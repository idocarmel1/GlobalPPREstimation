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SPPR" sheetId="4" state="visible" r:id="rId4"/>
    <sheet name="PPR by method" sheetId="5" state="visible" r:id="rId5"/>
    <sheet name="PPR by taxon" sheetId="6" state="visible" r:id="rId6"/>
    <sheet name="Model groups" sheetId="7" state="visible" r:id="rId7"/>
    <sheet name="NPP"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sz val="14"/>
    </font>
    <font>
      <i val="1"/>
    </font>
    <font>
      <i val="1"/>
      <color rgb="00808080"/>
    </font>
    <font>
      <b val="1"/>
      <color rgb="009C0006"/>
    </font>
    <font>
      <b val="1"/>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2" fillId="0" borderId="0" pivotButton="0" quotePrefix="0" xfId="0"/>
    <xf numFmtId="0" fontId="6" fillId="0" borderId="0" pivotButton="0" quotePrefix="0" xfId="0"/>
    <xf numFmtId="0" fontId="3"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0" fillId="6" borderId="0" pivotButton="0" quotePrefix="0" xfId="0"/>
    <xf numFmtId="0" fontId="4" fillId="0" borderId="0" pivotButton="0" quotePrefix="0" xfId="0"/>
    <xf numFmtId="0" fontId="5" fillId="0"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LME_047 — East China Sea</t>
        </is>
      </c>
    </row>
    <row r="2">
      <c r="A2" s="2" t="inlineStr">
        <is>
          <t>Ecopath model: 47_1_East_China_Sea_(1997)</t>
        </is>
      </c>
    </row>
    <row r="3">
      <c r="A3" s="3" t="inlineStr">
        <is>
          <t>`47_1_East_China_Sea_(1997)` — mapping notes</t>
        </is>
      </c>
    </row>
    <row r="5">
      <c r="A5" t="inlineStr">
        <is>
          <t>region type</t>
        </is>
      </c>
      <c r="B5" t="inlineStr">
        <is>
          <t>LME</t>
        </is>
      </c>
    </row>
    <row r="6">
      <c r="A6" t="inlineStr">
        <is>
          <t>latitude</t>
        </is>
      </c>
      <c r="B6" t="inlineStr">
        <is>
          <t>29.9554</t>
        </is>
      </c>
    </row>
    <row r="7">
      <c r="A7" t="inlineStr">
        <is>
          <t>longitude</t>
        </is>
      </c>
      <c r="B7" t="inlineStr">
        <is>
          <t>123.82371</t>
        </is>
      </c>
    </row>
    <row r="8">
      <c r="A8" t="inlineStr">
        <is>
          <t>catch years</t>
        </is>
      </c>
      <c r="B8" t="inlineStr">
        <is>
          <t>1950-2019</t>
        </is>
      </c>
    </row>
    <row r="9">
      <c r="A9" t="inlineStr">
        <is>
          <t>taxa in catch</t>
        </is>
      </c>
      <c r="B9" t="n">
        <v>276</v>
      </c>
    </row>
    <row r="10">
      <c r="A10" t="inlineStr">
        <is>
          <t>taxa apportioned across groups</t>
        </is>
      </c>
      <c r="B10" t="n">
        <v>21</v>
      </c>
    </row>
    <row r="11">
      <c r="A11" t="inlineStr">
        <is>
          <t>taxa unresolved</t>
        </is>
      </c>
      <c r="B11" t="n">
        <v>2</v>
      </c>
    </row>
    <row r="12">
      <c r="A12" t="inlineStr">
        <is>
          <t>catch tonnage on a named group, %</t>
        </is>
      </c>
      <c r="B12" t="n">
        <v>100</v>
      </c>
    </row>
    <row r="13">
      <c r="A13" t="inlineStr">
        <is>
          <t>SPPR methods</t>
        </is>
      </c>
      <c r="B13" t="n">
        <v>20</v>
      </c>
    </row>
    <row r="14">
      <c r="A14" t="inlineStr">
        <is>
          <t>methods flagged as unusable</t>
        </is>
      </c>
      <c r="B14" t="n">
        <v>1</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1156011.283</v>
      </c>
      <c r="C18" t="n">
        <v>648090346.409</v>
      </c>
      <c r="D18" t="n">
        <v>722777176.729</v>
      </c>
      <c r="E18" t="n">
        <v>283.1457</v>
      </c>
      <c r="F18" t="n">
        <v>315.7758</v>
      </c>
    </row>
    <row r="19">
      <c r="A19" t="n">
        <v>1951</v>
      </c>
      <c r="B19" t="n">
        <v>1258211.787</v>
      </c>
      <c r="C19" t="n">
        <v>724091060.365</v>
      </c>
      <c r="D19" t="n">
        <v>751353264.1339999</v>
      </c>
      <c r="E19" t="n">
        <v>316.3498</v>
      </c>
      <c r="F19" t="n">
        <v>328.2605</v>
      </c>
    </row>
    <row r="20">
      <c r="A20" t="n">
        <v>1952</v>
      </c>
      <c r="B20" t="n">
        <v>1335173.044</v>
      </c>
      <c r="C20" t="n">
        <v>801912835.323</v>
      </c>
      <c r="D20" t="n">
        <v>774219165.841</v>
      </c>
      <c r="E20" t="n">
        <v>350.3496</v>
      </c>
      <c r="F20" t="n">
        <v>338.2504</v>
      </c>
    </row>
    <row r="21">
      <c r="A21" t="n">
        <v>1953</v>
      </c>
      <c r="B21" t="n">
        <v>1363247.799</v>
      </c>
      <c r="C21" t="n">
        <v>799650534.286</v>
      </c>
      <c r="D21" t="n">
        <v>860075745.034</v>
      </c>
      <c r="E21" t="n">
        <v>349.3612</v>
      </c>
      <c r="F21" t="n">
        <v>375.7605</v>
      </c>
    </row>
    <row r="22">
      <c r="A22" t="n">
        <v>1954</v>
      </c>
      <c r="B22" t="n">
        <v>1465827.049</v>
      </c>
      <c r="C22" t="n">
        <v>886184547.729</v>
      </c>
      <c r="D22" t="n">
        <v>900703581.135</v>
      </c>
      <c r="E22" t="n">
        <v>387.1672</v>
      </c>
      <c r="F22" t="n">
        <v>393.5105</v>
      </c>
    </row>
    <row r="23">
      <c r="A23" t="n">
        <v>1955</v>
      </c>
      <c r="B23" t="n">
        <v>1544889.249</v>
      </c>
      <c r="C23" t="n">
        <v>986328995.752</v>
      </c>
      <c r="D23" t="n">
        <v>966180596.174</v>
      </c>
      <c r="E23" t="n">
        <v>430.9196</v>
      </c>
      <c r="F23" t="n">
        <v>422.1169</v>
      </c>
    </row>
    <row r="24">
      <c r="A24" t="n">
        <v>1956</v>
      </c>
      <c r="B24" t="n">
        <v>1691946.783</v>
      </c>
      <c r="C24" t="n">
        <v>1084666115.085</v>
      </c>
      <c r="D24" t="n">
        <v>936558860.686</v>
      </c>
      <c r="E24" t="n">
        <v>473.8823</v>
      </c>
      <c r="F24" t="n">
        <v>409.1754</v>
      </c>
    </row>
    <row r="25">
      <c r="A25" t="n">
        <v>1957</v>
      </c>
      <c r="B25" t="n">
        <v>1797170.31</v>
      </c>
      <c r="C25" t="n">
        <v>1156940940.81</v>
      </c>
      <c r="D25" t="n">
        <v>887000724.071</v>
      </c>
      <c r="E25" t="n">
        <v>505.4586</v>
      </c>
      <c r="F25" t="n">
        <v>387.5238</v>
      </c>
    </row>
    <row r="26">
      <c r="A26" t="n">
        <v>1958</v>
      </c>
      <c r="B26" t="n">
        <v>1846967.445</v>
      </c>
      <c r="C26" t="n">
        <v>1188556467.802</v>
      </c>
      <c r="D26" t="n">
        <v>832406000.358</v>
      </c>
      <c r="E26" t="n">
        <v>519.2712</v>
      </c>
      <c r="F26" t="n">
        <v>363.6718</v>
      </c>
    </row>
    <row r="27">
      <c r="A27" t="n">
        <v>1959</v>
      </c>
      <c r="B27" t="n">
        <v>1838622.514</v>
      </c>
      <c r="C27" t="n">
        <v>1242176262.912</v>
      </c>
      <c r="D27" t="n">
        <v>957099597.477</v>
      </c>
      <c r="E27" t="n">
        <v>542.6973</v>
      </c>
      <c r="F27" t="n">
        <v>418.1495</v>
      </c>
    </row>
    <row r="28">
      <c r="A28" t="n">
        <v>1960</v>
      </c>
      <c r="B28" t="n">
        <v>1887277.919</v>
      </c>
      <c r="C28" t="n">
        <v>1255533498.349</v>
      </c>
      <c r="D28" t="n">
        <v>1064931897.709</v>
      </c>
      <c r="E28" t="n">
        <v>548.533</v>
      </c>
      <c r="F28" t="n">
        <v>465.2606</v>
      </c>
    </row>
    <row r="29">
      <c r="A29" t="n">
        <v>1961</v>
      </c>
      <c r="B29" t="n">
        <v>1971222.434</v>
      </c>
      <c r="C29" t="n">
        <v>1308649600.866</v>
      </c>
      <c r="D29" t="n">
        <v>968374058.08</v>
      </c>
      <c r="E29" t="n">
        <v>571.739</v>
      </c>
      <c r="F29" t="n">
        <v>423.0752</v>
      </c>
    </row>
    <row r="30">
      <c r="A30" t="n">
        <v>1962</v>
      </c>
      <c r="B30" t="n">
        <v>2036353.717</v>
      </c>
      <c r="C30" t="n">
        <v>1344910127.605</v>
      </c>
      <c r="D30" t="n">
        <v>961929025.552</v>
      </c>
      <c r="E30" t="n">
        <v>587.5809</v>
      </c>
      <c r="F30" t="n">
        <v>420.2594</v>
      </c>
    </row>
    <row r="31">
      <c r="A31" t="n">
        <v>1963</v>
      </c>
      <c r="B31" t="n">
        <v>1956110.902</v>
      </c>
      <c r="C31" t="n">
        <v>1357679807.624</v>
      </c>
      <c r="D31" t="n">
        <v>999514105.457</v>
      </c>
      <c r="E31" t="n">
        <v>593.1599</v>
      </c>
      <c r="F31" t="n">
        <v>436.68</v>
      </c>
    </row>
    <row r="32">
      <c r="A32" t="n">
        <v>1964</v>
      </c>
      <c r="B32" t="n">
        <v>1946475.505</v>
      </c>
      <c r="C32" t="n">
        <v>1312133486.725</v>
      </c>
      <c r="D32" t="n">
        <v>1120663810.537</v>
      </c>
      <c r="E32" t="n">
        <v>573.2611000000001</v>
      </c>
      <c r="F32" t="n">
        <v>489.6094</v>
      </c>
    </row>
    <row r="33">
      <c r="A33" t="n">
        <v>1965</v>
      </c>
      <c r="B33" t="n">
        <v>2069909.048</v>
      </c>
      <c r="C33" t="n">
        <v>1377275287.393</v>
      </c>
      <c r="D33" t="n">
        <v>1135817890.315</v>
      </c>
      <c r="E33" t="n">
        <v>601.721</v>
      </c>
      <c r="F33" t="n">
        <v>496.2301</v>
      </c>
    </row>
    <row r="34">
      <c r="A34" t="n">
        <v>1966</v>
      </c>
      <c r="B34" t="n">
        <v>2136317.438</v>
      </c>
      <c r="C34" t="n">
        <v>1420916630.112</v>
      </c>
      <c r="D34" t="n">
        <v>1291621894.772</v>
      </c>
      <c r="E34" t="n">
        <v>620.7876</v>
      </c>
      <c r="F34" t="n">
        <v>564.2997</v>
      </c>
    </row>
    <row r="35">
      <c r="A35" t="n">
        <v>1967</v>
      </c>
      <c r="B35" t="n">
        <v>2170364.367</v>
      </c>
      <c r="C35" t="n">
        <v>1466872958.765</v>
      </c>
      <c r="D35" t="n">
        <v>1484610046.306</v>
      </c>
      <c r="E35" t="n">
        <v>640.8655</v>
      </c>
      <c r="F35" t="n">
        <v>648.6147</v>
      </c>
    </row>
    <row r="36">
      <c r="A36" t="n">
        <v>1968</v>
      </c>
      <c r="B36" t="n">
        <v>2294065.174</v>
      </c>
      <c r="C36" t="n">
        <v>1513068788.201</v>
      </c>
      <c r="D36" t="n">
        <v>1620041111.986</v>
      </c>
      <c r="E36" t="n">
        <v>661.0481</v>
      </c>
      <c r="F36" t="n">
        <v>707.7835</v>
      </c>
    </row>
    <row r="37">
      <c r="A37" t="n">
        <v>1969</v>
      </c>
      <c r="B37" t="n">
        <v>2343321.861</v>
      </c>
      <c r="C37" t="n">
        <v>1498496570.043</v>
      </c>
      <c r="D37" t="n">
        <v>1660508341.538</v>
      </c>
      <c r="E37" t="n">
        <v>654.6817</v>
      </c>
      <c r="F37" t="n">
        <v>725.4634</v>
      </c>
    </row>
    <row r="38">
      <c r="A38" t="n">
        <v>1970</v>
      </c>
      <c r="B38" t="n">
        <v>2467731.716</v>
      </c>
      <c r="C38" t="n">
        <v>1510994547.733</v>
      </c>
      <c r="D38" t="n">
        <v>1707014979.594</v>
      </c>
      <c r="E38" t="n">
        <v>660.1419</v>
      </c>
      <c r="F38" t="n">
        <v>745.7817</v>
      </c>
    </row>
    <row r="39">
      <c r="A39" t="n">
        <v>1971</v>
      </c>
      <c r="B39" t="n">
        <v>2527851.996</v>
      </c>
      <c r="C39" t="n">
        <v>1563566994.63</v>
      </c>
      <c r="D39" t="n">
        <v>1764610512.183</v>
      </c>
      <c r="E39" t="n">
        <v>683.1104</v>
      </c>
      <c r="F39" t="n">
        <v>770.9448</v>
      </c>
    </row>
    <row r="40">
      <c r="A40" t="n">
        <v>1972</v>
      </c>
      <c r="B40" t="n">
        <v>2671439.979</v>
      </c>
      <c r="C40" t="n">
        <v>1768512127.693</v>
      </c>
      <c r="D40" t="n">
        <v>1703165887.156</v>
      </c>
      <c r="E40" t="n">
        <v>772.6494</v>
      </c>
      <c r="F40" t="n">
        <v>744.1001</v>
      </c>
    </row>
    <row r="41">
      <c r="A41" t="n">
        <v>1973</v>
      </c>
      <c r="B41" t="n">
        <v>2977102.69</v>
      </c>
      <c r="C41" t="n">
        <v>1891959380.459</v>
      </c>
      <c r="D41" t="n">
        <v>1768178142.984</v>
      </c>
      <c r="E41" t="n">
        <v>826.5825</v>
      </c>
      <c r="F41" t="n">
        <v>772.5035</v>
      </c>
    </row>
    <row r="42">
      <c r="A42" t="n">
        <v>1974</v>
      </c>
      <c r="B42" t="n">
        <v>3167098.192</v>
      </c>
      <c r="C42" t="n">
        <v>1997751702.564</v>
      </c>
      <c r="D42" t="n">
        <v>1860748428.206</v>
      </c>
      <c r="E42" t="n">
        <v>872.8024</v>
      </c>
      <c r="F42" t="n">
        <v>812.9467</v>
      </c>
    </row>
    <row r="43">
      <c r="A43" t="n">
        <v>1975</v>
      </c>
      <c r="B43" t="n">
        <v>3294057.188</v>
      </c>
      <c r="C43" t="n">
        <v>1900570964.411</v>
      </c>
      <c r="D43" t="n">
        <v>1711339513.904</v>
      </c>
      <c r="E43" t="n">
        <v>830.3449000000001</v>
      </c>
      <c r="F43" t="n">
        <v>747.6711</v>
      </c>
    </row>
    <row r="44">
      <c r="A44" t="n">
        <v>1976</v>
      </c>
      <c r="B44" t="n">
        <v>3421262.754</v>
      </c>
      <c r="C44" t="n">
        <v>1847415337.822</v>
      </c>
      <c r="D44" t="n">
        <v>1887299790.268</v>
      </c>
      <c r="E44" t="n">
        <v>807.1215999999999</v>
      </c>
      <c r="F44" t="n">
        <v>824.5468</v>
      </c>
    </row>
    <row r="45">
      <c r="A45" t="n">
        <v>1977</v>
      </c>
      <c r="B45" t="n">
        <v>3775270.453</v>
      </c>
      <c r="C45" t="n">
        <v>1862902430.533</v>
      </c>
      <c r="D45" t="n">
        <v>2058879577.299</v>
      </c>
      <c r="E45" t="n">
        <v>813.8878</v>
      </c>
      <c r="F45" t="n">
        <v>899.5087</v>
      </c>
    </row>
    <row r="46">
      <c r="A46" t="n">
        <v>1978</v>
      </c>
      <c r="B46" t="n">
        <v>4065990.641</v>
      </c>
      <c r="C46" t="n">
        <v>1895045215.305</v>
      </c>
      <c r="D46" t="n">
        <v>2026739129.398</v>
      </c>
      <c r="E46" t="n">
        <v>827.9307</v>
      </c>
      <c r="F46" t="n">
        <v>885.4668</v>
      </c>
    </row>
    <row r="47">
      <c r="A47" t="n">
        <v>1979</v>
      </c>
      <c r="B47" t="n">
        <v>4022334.955</v>
      </c>
      <c r="C47" t="n">
        <v>1970841743.729</v>
      </c>
      <c r="D47" t="n">
        <v>2043447613.742</v>
      </c>
      <c r="E47" t="n">
        <v>861.0456</v>
      </c>
      <c r="F47" t="n">
        <v>892.7666</v>
      </c>
    </row>
    <row r="48">
      <c r="A48" t="n">
        <v>1980</v>
      </c>
      <c r="B48" t="n">
        <v>4078558.268</v>
      </c>
      <c r="C48" t="n">
        <v>2022874564.517</v>
      </c>
      <c r="D48" t="n">
        <v>1958593357.054</v>
      </c>
      <c r="E48" t="n">
        <v>883.7784</v>
      </c>
      <c r="F48" t="n">
        <v>855.6944</v>
      </c>
    </row>
    <row r="49">
      <c r="A49" t="n">
        <v>1981</v>
      </c>
      <c r="B49" t="n">
        <v>4402581.118</v>
      </c>
      <c r="C49" t="n">
        <v>2091877218.797</v>
      </c>
      <c r="D49" t="n">
        <v>2006359934.542</v>
      </c>
      <c r="E49" t="n">
        <v>913.9251</v>
      </c>
      <c r="F49" t="n">
        <v>876.5633</v>
      </c>
    </row>
    <row r="50">
      <c r="A50" t="n">
        <v>1982</v>
      </c>
      <c r="B50" t="n">
        <v>4543298.891</v>
      </c>
      <c r="C50" t="n">
        <v>2112302058.258</v>
      </c>
      <c r="D50" t="n">
        <v>2112156962.855</v>
      </c>
      <c r="E50" t="n">
        <v>922.8486</v>
      </c>
      <c r="F50" t="n">
        <v>922.7852</v>
      </c>
    </row>
    <row r="51">
      <c r="A51" t="n">
        <v>1983</v>
      </c>
      <c r="B51" t="n">
        <v>4795961.613</v>
      </c>
      <c r="C51" t="n">
        <v>2066949087.634</v>
      </c>
      <c r="D51" t="n">
        <v>2115672667.606</v>
      </c>
      <c r="E51" t="n">
        <v>903.0342000000001</v>
      </c>
      <c r="F51" t="n">
        <v>924.3212</v>
      </c>
    </row>
    <row r="52">
      <c r="A52" t="n">
        <v>1984</v>
      </c>
      <c r="B52" t="n">
        <v>5200357.918</v>
      </c>
      <c r="C52" t="n">
        <v>2232103593.893</v>
      </c>
      <c r="D52" t="n">
        <v>2085921197.894</v>
      </c>
      <c r="E52" t="n">
        <v>975.1889</v>
      </c>
      <c r="F52" t="n">
        <v>911.323</v>
      </c>
    </row>
    <row r="53">
      <c r="A53" t="n">
        <v>1985</v>
      </c>
      <c r="B53" t="n">
        <v>5123922.2</v>
      </c>
      <c r="C53" t="n">
        <v>2132045632.507</v>
      </c>
      <c r="D53" t="n">
        <v>2037657456.692</v>
      </c>
      <c r="E53" t="n">
        <v>931.4743999999999</v>
      </c>
      <c r="F53" t="n">
        <v>890.2369</v>
      </c>
    </row>
    <row r="54">
      <c r="A54" t="n">
        <v>1986</v>
      </c>
      <c r="B54" t="n">
        <v>5626261.441</v>
      </c>
      <c r="C54" t="n">
        <v>2212421884.526</v>
      </c>
      <c r="D54" t="n">
        <v>2171896734.148</v>
      </c>
      <c r="E54" t="n">
        <v>966.5901</v>
      </c>
      <c r="F54" t="n">
        <v>948.885</v>
      </c>
    </row>
    <row r="55">
      <c r="A55" t="n">
        <v>1987</v>
      </c>
      <c r="B55" t="n">
        <v>5561694.276</v>
      </c>
      <c r="C55" t="n">
        <v>2287561456.659</v>
      </c>
      <c r="D55" t="n">
        <v>2077265105.794</v>
      </c>
      <c r="E55" t="n">
        <v>999.418</v>
      </c>
      <c r="F55" t="n">
        <v>907.5412</v>
      </c>
    </row>
    <row r="56">
      <c r="A56" t="n">
        <v>1988</v>
      </c>
      <c r="B56" t="n">
        <v>5894659.747</v>
      </c>
      <c r="C56" t="n">
        <v>2318563456.147</v>
      </c>
      <c r="D56" t="n">
        <v>2082245199.072</v>
      </c>
      <c r="E56" t="n">
        <v>1012.9626</v>
      </c>
      <c r="F56" t="n">
        <v>909.717</v>
      </c>
    </row>
    <row r="57">
      <c r="A57" t="n">
        <v>1989</v>
      </c>
      <c r="B57" t="n">
        <v>5716507.479</v>
      </c>
      <c r="C57" t="n">
        <v>2485767848.2</v>
      </c>
      <c r="D57" t="n">
        <v>2028756263.845</v>
      </c>
      <c r="E57" t="n">
        <v>1086.0129</v>
      </c>
      <c r="F57" t="n">
        <v>886.348</v>
      </c>
    </row>
    <row r="58">
      <c r="A58" t="n">
        <v>1990</v>
      </c>
      <c r="B58" t="n">
        <v>5700144.893</v>
      </c>
      <c r="C58" t="n">
        <v>2598256338.77</v>
      </c>
      <c r="D58" t="n">
        <v>2027660425.612</v>
      </c>
      <c r="E58" t="n">
        <v>1135.1583</v>
      </c>
      <c r="F58" t="n">
        <v>885.8693</v>
      </c>
    </row>
    <row r="59">
      <c r="A59" t="n">
        <v>1991</v>
      </c>
      <c r="B59" t="n">
        <v>5262334.843</v>
      </c>
      <c r="C59" t="n">
        <v>2835351203.459</v>
      </c>
      <c r="D59" t="n">
        <v>1796599954.004</v>
      </c>
      <c r="E59" t="n">
        <v>1238.7432</v>
      </c>
      <c r="F59" t="n">
        <v>784.9207</v>
      </c>
    </row>
    <row r="60">
      <c r="A60" t="n">
        <v>1992</v>
      </c>
      <c r="B60" t="n">
        <v>4973063.242</v>
      </c>
      <c r="C60" t="n">
        <v>2763767631.069</v>
      </c>
      <c r="D60" t="n">
        <v>1657177955.68</v>
      </c>
      <c r="E60" t="n">
        <v>1207.4689</v>
      </c>
      <c r="F60" t="n">
        <v>724.0083</v>
      </c>
    </row>
    <row r="61">
      <c r="A61" t="n">
        <v>1993</v>
      </c>
      <c r="B61" t="n">
        <v>5082470.261</v>
      </c>
      <c r="C61" t="n">
        <v>2821857932.722</v>
      </c>
      <c r="D61" t="n">
        <v>1698948480.965</v>
      </c>
      <c r="E61" t="n">
        <v>1232.8481</v>
      </c>
      <c r="F61" t="n">
        <v>742.2576</v>
      </c>
    </row>
    <row r="62">
      <c r="A62" t="n">
        <v>1994</v>
      </c>
      <c r="B62" t="n">
        <v>5263656.408</v>
      </c>
      <c r="C62" t="n">
        <v>3317791333.879</v>
      </c>
      <c r="D62" t="n">
        <v>1883619612.997</v>
      </c>
      <c r="E62" t="n">
        <v>1449.5176</v>
      </c>
      <c r="F62" t="n">
        <v>822.939</v>
      </c>
    </row>
    <row r="63">
      <c r="A63" t="n">
        <v>1995</v>
      </c>
      <c r="B63" t="n">
        <v>5522908.532</v>
      </c>
      <c r="C63" t="n">
        <v>3808998600.285</v>
      </c>
      <c r="D63" t="n">
        <v>1906439622.835</v>
      </c>
      <c r="E63" t="n">
        <v>1664.1223</v>
      </c>
      <c r="F63" t="n">
        <v>832.9088</v>
      </c>
    </row>
    <row r="64">
      <c r="A64" t="n">
        <v>1996</v>
      </c>
      <c r="B64" t="n">
        <v>5266174.184</v>
      </c>
      <c r="C64" t="n">
        <v>3460663094.574</v>
      </c>
      <c r="D64" t="n">
        <v>1978526144.359</v>
      </c>
      <c r="E64" t="n">
        <v>1511.9372</v>
      </c>
      <c r="F64" t="n">
        <v>864.4029</v>
      </c>
    </row>
    <row r="65">
      <c r="A65" t="n">
        <v>1997</v>
      </c>
      <c r="B65" t="n">
        <v>5500304.426</v>
      </c>
      <c r="C65" t="n">
        <v>3366855839.294</v>
      </c>
      <c r="D65" t="n">
        <v>1971163689.414</v>
      </c>
      <c r="E65" t="n">
        <v>1470.9535</v>
      </c>
      <c r="F65" t="n">
        <v>861.1863</v>
      </c>
    </row>
    <row r="66">
      <c r="A66" t="n">
        <v>1998</v>
      </c>
      <c r="B66" t="n">
        <v>5509887.108</v>
      </c>
      <c r="C66" t="n">
        <v>3649822617.862</v>
      </c>
      <c r="D66" t="n">
        <v>1848411743.121</v>
      </c>
      <c r="E66" t="n">
        <v>1594.5795</v>
      </c>
      <c r="F66" t="n">
        <v>807.5569</v>
      </c>
    </row>
    <row r="67">
      <c r="A67" t="n">
        <v>1999</v>
      </c>
      <c r="B67" t="n">
        <v>5254625.691</v>
      </c>
      <c r="C67" t="n">
        <v>3438284801.782</v>
      </c>
      <c r="D67" t="n">
        <v>1700756881.716</v>
      </c>
      <c r="E67" t="n">
        <v>1502.1602</v>
      </c>
      <c r="F67" t="n">
        <v>743.0476</v>
      </c>
    </row>
    <row r="68">
      <c r="A68" t="n">
        <v>2000</v>
      </c>
      <c r="B68" t="n">
        <v>5110000.573</v>
      </c>
      <c r="C68" t="n">
        <v>3443982597.202</v>
      </c>
      <c r="D68" t="n">
        <v>1680811450.065</v>
      </c>
      <c r="E68" t="n">
        <v>1504.6496</v>
      </c>
      <c r="F68" t="n">
        <v>734.3336</v>
      </c>
    </row>
    <row r="69">
      <c r="A69" t="n">
        <v>2001</v>
      </c>
      <c r="B69" t="n">
        <v>5182054.924</v>
      </c>
      <c r="C69" t="n">
        <v>3424347408.258</v>
      </c>
      <c r="D69" t="n">
        <v>1630655111.078</v>
      </c>
      <c r="E69" t="n">
        <v>1496.0711</v>
      </c>
      <c r="F69" t="n">
        <v>712.4207</v>
      </c>
    </row>
    <row r="70">
      <c r="A70" t="n">
        <v>2002</v>
      </c>
      <c r="B70" t="n">
        <v>5054904.843</v>
      </c>
      <c r="C70" t="n">
        <v>3383131612.386</v>
      </c>
      <c r="D70" t="n">
        <v>1644432979.393</v>
      </c>
      <c r="E70" t="n">
        <v>1478.0642</v>
      </c>
      <c r="F70" t="n">
        <v>718.4402</v>
      </c>
    </row>
    <row r="71">
      <c r="A71" t="n">
        <v>2003</v>
      </c>
      <c r="B71" t="n">
        <v>5299202.842</v>
      </c>
      <c r="C71" t="n">
        <v>3275867655.799</v>
      </c>
      <c r="D71" t="n">
        <v>1693622944.832</v>
      </c>
      <c r="E71" t="n">
        <v>1431.2014</v>
      </c>
      <c r="F71" t="n">
        <v>739.9309</v>
      </c>
    </row>
    <row r="72">
      <c r="A72" t="n">
        <v>2004</v>
      </c>
      <c r="B72" t="n">
        <v>5434642.169</v>
      </c>
      <c r="C72" t="n">
        <v>3626593227.365</v>
      </c>
      <c r="D72" t="n">
        <v>1768904297.072</v>
      </c>
      <c r="E72" t="n">
        <v>1584.4308</v>
      </c>
      <c r="F72" t="n">
        <v>772.8207</v>
      </c>
    </row>
    <row r="73">
      <c r="A73" t="n">
        <v>2005</v>
      </c>
      <c r="B73" t="n">
        <v>5382331.02</v>
      </c>
      <c r="C73" t="n">
        <v>3445356401.644</v>
      </c>
      <c r="D73" t="n">
        <v>1741182495.877</v>
      </c>
      <c r="E73" t="n">
        <v>1505.2498</v>
      </c>
      <c r="F73" t="n">
        <v>760.7093</v>
      </c>
    </row>
    <row r="74">
      <c r="A74" t="n">
        <v>2006</v>
      </c>
      <c r="B74" t="n">
        <v>5382807.722</v>
      </c>
      <c r="C74" t="n">
        <v>3616191111.103</v>
      </c>
      <c r="D74" t="n">
        <v>1789109981.781</v>
      </c>
      <c r="E74" t="n">
        <v>1579.8862</v>
      </c>
      <c r="F74" t="n">
        <v>781.6484</v>
      </c>
    </row>
    <row r="75">
      <c r="A75" t="n">
        <v>2007</v>
      </c>
      <c r="B75" t="n">
        <v>5288214.329</v>
      </c>
      <c r="C75" t="n">
        <v>3579455504.528</v>
      </c>
      <c r="D75" t="n">
        <v>1333754815.037</v>
      </c>
      <c r="E75" t="n">
        <v>1563.8366</v>
      </c>
      <c r="F75" t="n">
        <v>582.7071999999999</v>
      </c>
    </row>
    <row r="76">
      <c r="A76" t="n">
        <v>2008</v>
      </c>
      <c r="B76" t="n">
        <v>5492696.397</v>
      </c>
      <c r="C76" t="n">
        <v>3669749431.625</v>
      </c>
      <c r="D76" t="n">
        <v>1338419403.396</v>
      </c>
      <c r="E76" t="n">
        <v>1603.2854</v>
      </c>
      <c r="F76" t="n">
        <v>584.7452</v>
      </c>
    </row>
    <row r="77">
      <c r="A77" t="n">
        <v>2009</v>
      </c>
      <c r="B77" t="n">
        <v>5325827.621</v>
      </c>
      <c r="C77" t="n">
        <v>3524513862.037</v>
      </c>
      <c r="D77" t="n">
        <v>1616866166.513</v>
      </c>
      <c r="E77" t="n">
        <v>1539.8331</v>
      </c>
      <c r="F77" t="n">
        <v>706.3964</v>
      </c>
    </row>
    <row r="78">
      <c r="A78" t="n">
        <v>2010</v>
      </c>
      <c r="B78" t="n">
        <v>5390402.26</v>
      </c>
      <c r="C78" t="n">
        <v>3525244047.307</v>
      </c>
      <c r="D78" t="n">
        <v>1697263732.775</v>
      </c>
      <c r="E78" t="n">
        <v>1540.1521</v>
      </c>
      <c r="F78" t="n">
        <v>741.5214999999999</v>
      </c>
    </row>
    <row r="79">
      <c r="A79" t="n">
        <v>2011</v>
      </c>
      <c r="B79" t="n">
        <v>5852515.43</v>
      </c>
      <c r="C79" t="n">
        <v>3913423344.6</v>
      </c>
      <c r="D79" t="n">
        <v>1607055544.75</v>
      </c>
      <c r="E79" t="n">
        <v>1709.7446</v>
      </c>
      <c r="F79" t="n">
        <v>702.1102</v>
      </c>
    </row>
    <row r="80">
      <c r="A80" t="n">
        <v>2012</v>
      </c>
      <c r="B80" t="n">
        <v>5923944.378</v>
      </c>
      <c r="C80" t="n">
        <v>3955333073.871</v>
      </c>
      <c r="D80" t="n">
        <v>1587505020.622</v>
      </c>
      <c r="E80" t="n">
        <v>1728.0547</v>
      </c>
      <c r="F80" t="n">
        <v>693.5688</v>
      </c>
    </row>
    <row r="81">
      <c r="A81" t="n">
        <v>2013</v>
      </c>
      <c r="B81" t="n">
        <v>5826324.731</v>
      </c>
      <c r="C81" t="n">
        <v>3827450482.201</v>
      </c>
      <c r="D81" t="n">
        <v>1601650107.223</v>
      </c>
      <c r="E81" t="n">
        <v>1672.1837</v>
      </c>
      <c r="F81" t="n">
        <v>699.7486</v>
      </c>
    </row>
    <row r="82">
      <c r="A82" t="n">
        <v>2014</v>
      </c>
      <c r="B82" t="n">
        <v>6246953.911</v>
      </c>
      <c r="C82" t="n">
        <v>4153111947.296</v>
      </c>
      <c r="D82" t="n">
        <v>1676496578.928</v>
      </c>
      <c r="E82" t="n">
        <v>1814.4627</v>
      </c>
      <c r="F82" t="n">
        <v>732.4485</v>
      </c>
    </row>
    <row r="83">
      <c r="A83" t="n">
        <v>2015</v>
      </c>
      <c r="B83" t="n">
        <v>5780408.223</v>
      </c>
      <c r="C83" t="n">
        <v>3806432969.337</v>
      </c>
      <c r="D83" t="n">
        <v>1549930762.967</v>
      </c>
      <c r="E83" t="n">
        <v>1663.0014</v>
      </c>
      <c r="F83" t="n">
        <v>677.1529</v>
      </c>
    </row>
    <row r="84">
      <c r="A84" t="n">
        <v>2016</v>
      </c>
      <c r="B84" t="n">
        <v>5568519.244</v>
      </c>
      <c r="C84" t="n">
        <v>3653287016.453</v>
      </c>
      <c r="D84" t="n">
        <v>1537161823.037</v>
      </c>
      <c r="E84" t="n">
        <v>1596.0931</v>
      </c>
      <c r="F84" t="n">
        <v>671.5742</v>
      </c>
    </row>
    <row r="85">
      <c r="A85" t="n">
        <v>2017</v>
      </c>
      <c r="B85" t="n">
        <v>5437618.34</v>
      </c>
      <c r="C85" t="n">
        <v>3520456762.594</v>
      </c>
      <c r="D85" t="n">
        <v>1785044459.705</v>
      </c>
      <c r="E85" t="n">
        <v>1538.0605</v>
      </c>
      <c r="F85" t="n">
        <v>779.8722</v>
      </c>
    </row>
    <row r="86">
      <c r="A86" t="n">
        <v>2018</v>
      </c>
      <c r="B86" t="n">
        <v>5375830.797</v>
      </c>
      <c r="C86" t="n">
        <v>3433008254.573</v>
      </c>
      <c r="D86" t="n">
        <v>1476102972.957</v>
      </c>
      <c r="E86" t="n">
        <v>1499.855</v>
      </c>
      <c r="F86" t="n">
        <v>644.8981</v>
      </c>
    </row>
    <row r="87">
      <c r="A87" t="n">
        <v>2019</v>
      </c>
      <c r="B87" t="n">
        <v>5649829.981</v>
      </c>
      <c r="C87" t="n">
        <v>3396644851.015</v>
      </c>
      <c r="D87" t="n">
        <v>1737037783.131</v>
      </c>
      <c r="E87" t="n">
        <v>1483.9681</v>
      </c>
      <c r="F87" t="n">
        <v>758.8985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277"/>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176494.054</v>
      </c>
      <c r="F2" t="n">
        <v>196371.803</v>
      </c>
      <c r="G2" t="n">
        <v>198518.446</v>
      </c>
      <c r="H2" t="n">
        <v>194040.934</v>
      </c>
      <c r="I2" t="n">
        <v>213793.253</v>
      </c>
      <c r="J2" t="n">
        <v>218882.056</v>
      </c>
      <c r="K2" t="n">
        <v>231549.294</v>
      </c>
      <c r="L2" t="n">
        <v>233103.991</v>
      </c>
      <c r="M2" t="n">
        <v>262233.58</v>
      </c>
      <c r="N2" t="n">
        <v>241327.775</v>
      </c>
      <c r="O2" t="n">
        <v>293976.647</v>
      </c>
      <c r="P2" t="n">
        <v>239439.431</v>
      </c>
      <c r="Q2" t="n">
        <v>275200.185</v>
      </c>
      <c r="R2" t="n">
        <v>268973.123</v>
      </c>
      <c r="S2" t="n">
        <v>273057.449</v>
      </c>
      <c r="T2" t="n">
        <v>286361.659</v>
      </c>
      <c r="U2" t="n">
        <v>322645.058</v>
      </c>
      <c r="V2" t="n">
        <v>308373.093</v>
      </c>
      <c r="W2" t="n">
        <v>320571.305</v>
      </c>
      <c r="X2" t="n">
        <v>364804.934</v>
      </c>
      <c r="Y2" t="n">
        <v>425916.345</v>
      </c>
      <c r="Z2" t="n">
        <v>438710.326</v>
      </c>
      <c r="AA2" t="n">
        <v>474943.282</v>
      </c>
      <c r="AB2" t="n">
        <v>553095.5699999999</v>
      </c>
      <c r="AC2" t="n">
        <v>570224.876</v>
      </c>
      <c r="AD2" t="n">
        <v>528388.765</v>
      </c>
      <c r="AE2" t="n">
        <v>517133.561</v>
      </c>
      <c r="AF2" t="n">
        <v>545306.049</v>
      </c>
      <c r="AG2" t="n">
        <v>543126.794</v>
      </c>
      <c r="AH2" t="n">
        <v>565154.12</v>
      </c>
      <c r="AI2" t="n">
        <v>544569.813</v>
      </c>
      <c r="AJ2" t="n">
        <v>602708.393</v>
      </c>
      <c r="AK2" t="n">
        <v>576580.702</v>
      </c>
      <c r="AL2" t="n">
        <v>576418.594</v>
      </c>
      <c r="AM2" t="n">
        <v>657428.4449999999</v>
      </c>
      <c r="AN2" t="n">
        <v>690329.2070000001</v>
      </c>
      <c r="AO2" t="n">
        <v>672109.676</v>
      </c>
      <c r="AP2" t="n">
        <v>728773.432</v>
      </c>
      <c r="AQ2" t="n">
        <v>801387.9889999999</v>
      </c>
      <c r="AR2" t="n">
        <v>788541.782</v>
      </c>
      <c r="AS2" t="n">
        <v>794007.844</v>
      </c>
      <c r="AT2" t="n">
        <v>709687.6949999999</v>
      </c>
      <c r="AU2" t="n">
        <v>705060.754</v>
      </c>
      <c r="AV2" t="n">
        <v>738879.236</v>
      </c>
      <c r="AW2" t="n">
        <v>678744.1090000001</v>
      </c>
      <c r="AX2" t="n">
        <v>679500.345</v>
      </c>
      <c r="AY2" t="n">
        <v>695061.069</v>
      </c>
      <c r="AZ2" t="n">
        <v>716139.899</v>
      </c>
      <c r="BA2" t="n">
        <v>722022.927</v>
      </c>
      <c r="BB2" t="n">
        <v>592334.2389999999</v>
      </c>
      <c r="BC2" t="n">
        <v>619571.59</v>
      </c>
      <c r="BD2" t="n">
        <v>643013.959</v>
      </c>
      <c r="BE2" t="n">
        <v>608769.042</v>
      </c>
      <c r="BF2" t="n">
        <v>674485.308</v>
      </c>
      <c r="BG2" t="n">
        <v>642639.199</v>
      </c>
      <c r="BH2" t="n">
        <v>634064.8419999999</v>
      </c>
      <c r="BI2" t="n">
        <v>596851.057</v>
      </c>
      <c r="BJ2" t="n">
        <v>603426.003</v>
      </c>
      <c r="BK2" t="n">
        <v>605685.9669999999</v>
      </c>
      <c r="BL2" t="n">
        <v>665597.453</v>
      </c>
      <c r="BM2" t="n">
        <v>636944.514</v>
      </c>
      <c r="BN2" t="n">
        <v>656654.338</v>
      </c>
      <c r="BO2" t="n">
        <v>695083.845</v>
      </c>
      <c r="BP2" t="n">
        <v>738023.464</v>
      </c>
      <c r="BQ2" t="n">
        <v>724713.746</v>
      </c>
      <c r="BR2" t="n">
        <v>558243.1629999999</v>
      </c>
      <c r="BS2" t="n">
        <v>598738.769</v>
      </c>
      <c r="BT2" t="n">
        <v>601125.439</v>
      </c>
      <c r="BU2" t="n">
        <v>595034.7560000001</v>
      </c>
      <c r="BV2" t="n">
        <v>541116.404</v>
      </c>
    </row>
    <row r="3">
      <c r="A3" t="inlineStr">
        <is>
          <t>Sardinops sagax</t>
        </is>
      </c>
      <c r="B3" t="inlineStr">
        <is>
          <t>South American pilchard</t>
        </is>
      </c>
      <c r="C3" t="inlineStr">
        <is>
          <t>Medium pelagics (30 - 89 cm)</t>
        </is>
      </c>
      <c r="D3" t="inlineStr">
        <is>
          <t>Herring-likes</t>
        </is>
      </c>
      <c r="E3" t="n">
        <v>82828.7</v>
      </c>
      <c r="F3" t="n">
        <v>82949.25900000001</v>
      </c>
      <c r="G3" t="n">
        <v>82949.40700000001</v>
      </c>
      <c r="H3" t="n">
        <v>114372.177</v>
      </c>
      <c r="I3" t="n">
        <v>81347.21799999999</v>
      </c>
      <c r="J3" t="n">
        <v>69953.16899999999</v>
      </c>
      <c r="K3" t="n">
        <v>68416.658</v>
      </c>
      <c r="L3" t="n">
        <v>70871.155</v>
      </c>
      <c r="M3" t="n">
        <v>45649.957</v>
      </c>
      <c r="N3" t="n">
        <v>40524.186</v>
      </c>
      <c r="O3" t="n">
        <v>25929.977</v>
      </c>
      <c r="P3" t="n">
        <v>42527.573</v>
      </c>
      <c r="Q3" t="n">
        <v>35959.88</v>
      </c>
      <c r="R3" t="n">
        <v>18045.408</v>
      </c>
      <c r="S3" t="n">
        <v>4808.703</v>
      </c>
      <c r="T3" t="n">
        <v>2280.33</v>
      </c>
      <c r="U3" t="n">
        <v>3880.897</v>
      </c>
      <c r="V3" t="n">
        <v>4947.796</v>
      </c>
      <c r="W3" t="n">
        <v>7564.157</v>
      </c>
      <c r="X3" t="n">
        <v>6592.494</v>
      </c>
      <c r="Y3" t="n">
        <v>5260.983</v>
      </c>
      <c r="Z3" t="n">
        <v>19672.489</v>
      </c>
      <c r="AA3" t="n">
        <v>20228.327</v>
      </c>
      <c r="AB3" t="n">
        <v>107925.173</v>
      </c>
      <c r="AC3" t="n">
        <v>126566.049</v>
      </c>
      <c r="AD3" t="n">
        <v>192038.103</v>
      </c>
      <c r="AE3" t="n">
        <v>392400.247</v>
      </c>
      <c r="AF3" t="n">
        <v>537639.079</v>
      </c>
      <c r="AG3" t="n">
        <v>625394.13</v>
      </c>
      <c r="AH3" t="n">
        <v>686172.927</v>
      </c>
      <c r="AI3" t="n">
        <v>817677.421</v>
      </c>
      <c r="AJ3" t="n">
        <v>1162458.931</v>
      </c>
      <c r="AK3" t="n">
        <v>1242937.899</v>
      </c>
      <c r="AL3" t="n">
        <v>1440713.845</v>
      </c>
      <c r="AM3" t="n">
        <v>1623521.483</v>
      </c>
      <c r="AN3" t="n">
        <v>1463598.936</v>
      </c>
      <c r="AO3" t="n">
        <v>1627857.291</v>
      </c>
      <c r="AP3" t="n">
        <v>1689759.213</v>
      </c>
      <c r="AQ3" t="n">
        <v>1729243.893</v>
      </c>
      <c r="AR3" t="n">
        <v>1581099.7</v>
      </c>
      <c r="AS3" t="n">
        <v>1419197.455</v>
      </c>
      <c r="AT3" t="n">
        <v>1143543.019</v>
      </c>
      <c r="AU3" t="n">
        <v>831501.6459999999</v>
      </c>
      <c r="AV3" t="n">
        <v>643257.287</v>
      </c>
      <c r="AW3" t="n">
        <v>458904.047</v>
      </c>
      <c r="AX3" t="n">
        <v>254430.654</v>
      </c>
      <c r="AY3" t="n">
        <v>141910.195</v>
      </c>
      <c r="AZ3" t="n">
        <v>140565.676</v>
      </c>
      <c r="BA3" t="n">
        <v>97386.09</v>
      </c>
      <c r="BB3" t="n">
        <v>171699.21</v>
      </c>
      <c r="BC3" t="n">
        <v>96712.603</v>
      </c>
      <c r="BD3" t="n">
        <v>106973.301</v>
      </c>
      <c r="BE3" t="n">
        <v>70543.49000000001</v>
      </c>
      <c r="BF3" t="n">
        <v>65995.626</v>
      </c>
      <c r="BG3" t="n">
        <v>71511.148</v>
      </c>
      <c r="BH3" t="n">
        <v>63395.085</v>
      </c>
      <c r="BI3" t="n">
        <v>82369.72500000001</v>
      </c>
      <c r="BJ3" t="n">
        <v>89235.323</v>
      </c>
      <c r="BK3" t="n">
        <v>66199.837</v>
      </c>
      <c r="BL3" t="n">
        <v>66238.13400000001</v>
      </c>
      <c r="BM3" t="n">
        <v>71564.269</v>
      </c>
      <c r="BN3" t="n">
        <v>117599.249</v>
      </c>
      <c r="BO3" t="n">
        <v>99926.95299999999</v>
      </c>
      <c r="BP3" t="n">
        <v>133707.026</v>
      </c>
      <c r="BQ3" t="n">
        <v>130271.224</v>
      </c>
      <c r="BR3" t="n">
        <v>172748.137</v>
      </c>
      <c r="BS3" t="n">
        <v>197778.633</v>
      </c>
      <c r="BT3" t="n">
        <v>240215.378</v>
      </c>
      <c r="BU3" t="n">
        <v>244802.83</v>
      </c>
      <c r="BV3" t="n">
        <v>443565.535</v>
      </c>
    </row>
    <row r="4">
      <c r="A4" t="inlineStr">
        <is>
          <t>Trichiurus lepturus</t>
        </is>
      </c>
      <c r="B4" t="inlineStr">
        <is>
          <t>Largehead hairtail</t>
        </is>
      </c>
      <c r="C4" t="inlineStr">
        <is>
          <t>Large benthopelagics (&gt;=90 cm)</t>
        </is>
      </c>
      <c r="D4" t="inlineStr">
        <is>
          <t>Perch-likes</t>
        </is>
      </c>
      <c r="E4" t="n">
        <v>51674.38</v>
      </c>
      <c r="F4" t="n">
        <v>66707.21799999999</v>
      </c>
      <c r="G4" t="n">
        <v>78655.272</v>
      </c>
      <c r="H4" t="n">
        <v>77362.723</v>
      </c>
      <c r="I4" t="n">
        <v>92426.842</v>
      </c>
      <c r="J4" t="n">
        <v>98990.516</v>
      </c>
      <c r="K4" t="n">
        <v>119226.227</v>
      </c>
      <c r="L4" t="n">
        <v>114153.479</v>
      </c>
      <c r="M4" t="n">
        <v>113550.457</v>
      </c>
      <c r="N4" t="n">
        <v>120130.371</v>
      </c>
      <c r="O4" t="n">
        <v>125849.524</v>
      </c>
      <c r="P4" t="n">
        <v>124068.965</v>
      </c>
      <c r="Q4" t="n">
        <v>133589.495</v>
      </c>
      <c r="R4" t="n">
        <v>130131.284</v>
      </c>
      <c r="S4" t="n">
        <v>134441.919</v>
      </c>
      <c r="T4" t="n">
        <v>144480.379</v>
      </c>
      <c r="U4" t="n">
        <v>147436.624</v>
      </c>
      <c r="V4" t="n">
        <v>166745.723</v>
      </c>
      <c r="W4" t="n">
        <v>153066.89</v>
      </c>
      <c r="X4" t="n">
        <v>165049.498</v>
      </c>
      <c r="Y4" t="n">
        <v>162926.351</v>
      </c>
      <c r="Z4" t="n">
        <v>175657.432</v>
      </c>
      <c r="AA4" t="n">
        <v>221990.13</v>
      </c>
      <c r="AB4" t="n">
        <v>241881.358</v>
      </c>
      <c r="AC4" t="n">
        <v>259921.458</v>
      </c>
      <c r="AD4" t="n">
        <v>209245.55</v>
      </c>
      <c r="AE4" t="n">
        <v>178664.659</v>
      </c>
      <c r="AF4" t="n">
        <v>174337.568</v>
      </c>
      <c r="AG4" t="n">
        <v>176429.819</v>
      </c>
      <c r="AH4" t="n">
        <v>197647.209</v>
      </c>
      <c r="AI4" t="n">
        <v>204317.888</v>
      </c>
      <c r="AJ4" t="n">
        <v>239112.264</v>
      </c>
      <c r="AK4" t="n">
        <v>222326.617</v>
      </c>
      <c r="AL4" t="n">
        <v>226739.93</v>
      </c>
      <c r="AM4" t="n">
        <v>222583.437</v>
      </c>
      <c r="AN4" t="n">
        <v>205523.276</v>
      </c>
      <c r="AO4" t="n">
        <v>198028.999</v>
      </c>
      <c r="AP4" t="n">
        <v>194220.414</v>
      </c>
      <c r="AQ4" t="n">
        <v>184992.947</v>
      </c>
      <c r="AR4" t="n">
        <v>222279.285</v>
      </c>
      <c r="AS4" t="n">
        <v>236536.412</v>
      </c>
      <c r="AT4" t="n">
        <v>254676.001</v>
      </c>
      <c r="AU4" t="n">
        <v>266049.188</v>
      </c>
      <c r="AV4" t="n">
        <v>266851.959</v>
      </c>
      <c r="AW4" t="n">
        <v>374415.02</v>
      </c>
      <c r="AX4" t="n">
        <v>472178.341</v>
      </c>
      <c r="AY4" t="n">
        <v>465766.466</v>
      </c>
      <c r="AZ4" t="n">
        <v>388622.185</v>
      </c>
      <c r="BA4" t="n">
        <v>464974.946</v>
      </c>
      <c r="BB4" t="n">
        <v>467768.733</v>
      </c>
      <c r="BC4" t="n">
        <v>490085.821</v>
      </c>
      <c r="BD4" t="n">
        <v>479397.601</v>
      </c>
      <c r="BE4" t="n">
        <v>465337.581</v>
      </c>
      <c r="BF4" t="n">
        <v>435093.699</v>
      </c>
      <c r="BG4" t="n">
        <v>502591.281</v>
      </c>
      <c r="BH4" t="n">
        <v>458811.545</v>
      </c>
      <c r="BI4" t="n">
        <v>505072.535</v>
      </c>
      <c r="BJ4" t="n">
        <v>479304.047</v>
      </c>
      <c r="BK4" t="n">
        <v>494018.876</v>
      </c>
      <c r="BL4" t="n">
        <v>447103.429</v>
      </c>
      <c r="BM4" t="n">
        <v>436401.027</v>
      </c>
      <c r="BN4" t="n">
        <v>443577.315</v>
      </c>
      <c r="BO4" t="n">
        <v>432013.059</v>
      </c>
      <c r="BP4" t="n">
        <v>407412.426</v>
      </c>
      <c r="BQ4" t="n">
        <v>469404.854</v>
      </c>
      <c r="BR4" t="n">
        <v>407385.912</v>
      </c>
      <c r="BS4" t="n">
        <v>380356.918</v>
      </c>
      <c r="BT4" t="n">
        <v>383495.879</v>
      </c>
      <c r="BU4" t="n">
        <v>360539.111</v>
      </c>
      <c r="BV4" t="n">
        <v>355462.829</v>
      </c>
    </row>
    <row r="5">
      <c r="A5" t="inlineStr">
        <is>
          <t>Engraulis japonicus</t>
        </is>
      </c>
      <c r="B5" t="inlineStr">
        <is>
          <t>Japanese anchovy</t>
        </is>
      </c>
      <c r="C5" t="inlineStr">
        <is>
          <t>Small pelagics (&lt;30 cm)</t>
        </is>
      </c>
      <c r="D5" t="inlineStr">
        <is>
          <t>Anchovies</t>
        </is>
      </c>
      <c r="E5" t="n">
        <v>68666.841</v>
      </c>
      <c r="F5" t="n">
        <v>70339.747</v>
      </c>
      <c r="G5" t="n">
        <v>70221.201</v>
      </c>
      <c r="H5" t="n">
        <v>64335.752</v>
      </c>
      <c r="I5" t="n">
        <v>81198.43799999999</v>
      </c>
      <c r="J5" t="n">
        <v>68449.353</v>
      </c>
      <c r="K5" t="n">
        <v>101179.785</v>
      </c>
      <c r="L5" t="n">
        <v>124988.703</v>
      </c>
      <c r="M5" t="n">
        <v>123256.312</v>
      </c>
      <c r="N5" t="n">
        <v>107479.676</v>
      </c>
      <c r="O5" t="n">
        <v>105345.847</v>
      </c>
      <c r="P5" t="n">
        <v>111684.089</v>
      </c>
      <c r="Q5" t="n">
        <v>110770.161</v>
      </c>
      <c r="R5" t="n">
        <v>96659.202</v>
      </c>
      <c r="S5" t="n">
        <v>91814.444</v>
      </c>
      <c r="T5" t="n">
        <v>129819.163</v>
      </c>
      <c r="U5" t="n">
        <v>134047.712</v>
      </c>
      <c r="V5" t="n">
        <v>128539.167</v>
      </c>
      <c r="W5" t="n">
        <v>120817.412</v>
      </c>
      <c r="X5" t="n">
        <v>148636.943</v>
      </c>
      <c r="Y5" t="n">
        <v>119932.367</v>
      </c>
      <c r="Z5" t="n">
        <v>122370.896</v>
      </c>
      <c r="AA5" t="n">
        <v>143940.747</v>
      </c>
      <c r="AB5" t="n">
        <v>131747.652</v>
      </c>
      <c r="AC5" t="n">
        <v>152342.062</v>
      </c>
      <c r="AD5" t="n">
        <v>143408.049</v>
      </c>
      <c r="AE5" t="n">
        <v>114903.046</v>
      </c>
      <c r="AF5" t="n">
        <v>131183.493</v>
      </c>
      <c r="AG5" t="n">
        <v>125610.963</v>
      </c>
      <c r="AH5" t="n">
        <v>110880.332</v>
      </c>
      <c r="AI5" t="n">
        <v>119939.704</v>
      </c>
      <c r="AJ5" t="n">
        <v>129454.334</v>
      </c>
      <c r="AK5" t="n">
        <v>129492.811</v>
      </c>
      <c r="AL5" t="n">
        <v>118977.48</v>
      </c>
      <c r="AM5" t="n">
        <v>135911.302</v>
      </c>
      <c r="AN5" t="n">
        <v>125356.26</v>
      </c>
      <c r="AO5" t="n">
        <v>156358.927</v>
      </c>
      <c r="AP5" t="n">
        <v>118428.013</v>
      </c>
      <c r="AQ5" t="n">
        <v>108266.419</v>
      </c>
      <c r="AR5" t="n">
        <v>113831.153</v>
      </c>
      <c r="AS5" t="n">
        <v>179894.049</v>
      </c>
      <c r="AT5" t="n">
        <v>204167.044</v>
      </c>
      <c r="AU5" t="n">
        <v>220958.514</v>
      </c>
      <c r="AV5" t="n">
        <v>343345.059</v>
      </c>
      <c r="AW5" t="n">
        <v>278269.715</v>
      </c>
      <c r="AX5" t="n">
        <v>326309.52</v>
      </c>
      <c r="AY5" t="n">
        <v>359156.052</v>
      </c>
      <c r="AZ5" t="n">
        <v>492905.32</v>
      </c>
      <c r="BA5" t="n">
        <v>598584.885</v>
      </c>
      <c r="BB5" t="n">
        <v>515548.892</v>
      </c>
      <c r="BC5" t="n">
        <v>479829.097</v>
      </c>
      <c r="BD5" t="n">
        <v>526497.617</v>
      </c>
      <c r="BE5" t="n">
        <v>522443.396</v>
      </c>
      <c r="BF5" t="n">
        <v>579987.6580000001</v>
      </c>
      <c r="BG5" t="n">
        <v>500593.273</v>
      </c>
      <c r="BH5" t="n">
        <v>468468.949</v>
      </c>
      <c r="BI5" t="n">
        <v>476594.805</v>
      </c>
      <c r="BJ5" t="n">
        <v>437457.117</v>
      </c>
      <c r="BK5" t="n">
        <v>407916.13</v>
      </c>
      <c r="BL5" t="n">
        <v>335614.171</v>
      </c>
      <c r="BM5" t="n">
        <v>380873.963</v>
      </c>
      <c r="BN5" t="n">
        <v>430920.109</v>
      </c>
      <c r="BO5" t="n">
        <v>410171.616</v>
      </c>
      <c r="BP5" t="n">
        <v>412306.531</v>
      </c>
      <c r="BQ5" t="n">
        <v>439769.593</v>
      </c>
      <c r="BR5" t="n">
        <v>418118.798</v>
      </c>
      <c r="BS5" t="n">
        <v>347006.383</v>
      </c>
      <c r="BT5" t="n">
        <v>339275.886</v>
      </c>
      <c r="BU5" t="n">
        <v>307509.223</v>
      </c>
      <c r="BV5" t="n">
        <v>454179.675</v>
      </c>
    </row>
    <row r="6">
      <c r="A6" t="inlineStr">
        <is>
          <t>Scomber japonicus</t>
        </is>
      </c>
      <c r="B6" t="inlineStr">
        <is>
          <t>Pacific chub mackerel</t>
        </is>
      </c>
      <c r="C6" t="inlineStr">
        <is>
          <t>Medium pelagics (30 - 89 cm)</t>
        </is>
      </c>
      <c r="D6" t="inlineStr">
        <is>
          <t>Perch-likes</t>
        </is>
      </c>
      <c r="E6" t="n">
        <v>26008.19</v>
      </c>
      <c r="F6" t="n">
        <v>35885.509</v>
      </c>
      <c r="G6" t="n">
        <v>42679.311</v>
      </c>
      <c r="H6" t="n">
        <v>42570.537</v>
      </c>
      <c r="I6" t="n">
        <v>50357.668</v>
      </c>
      <c r="J6" t="n">
        <v>52011.506</v>
      </c>
      <c r="K6" t="n">
        <v>54536.827</v>
      </c>
      <c r="L6" t="n">
        <v>51609.288</v>
      </c>
      <c r="M6" t="n">
        <v>48816.742</v>
      </c>
      <c r="N6" t="n">
        <v>49865.27</v>
      </c>
      <c r="O6" t="n">
        <v>49746.793</v>
      </c>
      <c r="P6" t="n">
        <v>49144.321</v>
      </c>
      <c r="Q6" t="n">
        <v>51949.193</v>
      </c>
      <c r="R6" t="n">
        <v>54560.91</v>
      </c>
      <c r="S6" t="n">
        <v>56265.181</v>
      </c>
      <c r="T6" t="n">
        <v>60240.039</v>
      </c>
      <c r="U6" t="n">
        <v>56586.432</v>
      </c>
      <c r="V6" t="n">
        <v>55927.331</v>
      </c>
      <c r="W6" t="n">
        <v>70136.658</v>
      </c>
      <c r="X6" t="n">
        <v>85233.51300000001</v>
      </c>
      <c r="Y6" t="n">
        <v>135621.143</v>
      </c>
      <c r="Z6" t="n">
        <v>62840.461</v>
      </c>
      <c r="AA6" t="n">
        <v>87911.931</v>
      </c>
      <c r="AB6" t="n">
        <v>87950.079</v>
      </c>
      <c r="AC6" t="n">
        <v>97703.03599999999</v>
      </c>
      <c r="AD6" t="n">
        <v>79988.50199999999</v>
      </c>
      <c r="AE6" t="n">
        <v>91059.24000000001</v>
      </c>
      <c r="AF6" t="n">
        <v>129456.614</v>
      </c>
      <c r="AG6" t="n">
        <v>202219.904</v>
      </c>
      <c r="AH6" t="n">
        <v>123865.536</v>
      </c>
      <c r="AI6" t="n">
        <v>82203.058</v>
      </c>
      <c r="AJ6" t="n">
        <v>106929.506</v>
      </c>
      <c r="AK6" t="n">
        <v>121609.07</v>
      </c>
      <c r="AL6" t="n">
        <v>164085.502</v>
      </c>
      <c r="AM6" t="n">
        <v>143037.506</v>
      </c>
      <c r="AN6" t="n">
        <v>111695.648</v>
      </c>
      <c r="AO6" t="n">
        <v>152974.797</v>
      </c>
      <c r="AP6" t="n">
        <v>173773.591</v>
      </c>
      <c r="AQ6" t="n">
        <v>244972.443</v>
      </c>
      <c r="AR6" t="n">
        <v>227655.75</v>
      </c>
      <c r="AS6" t="n">
        <v>177066.248</v>
      </c>
      <c r="AT6" t="n">
        <v>191397.582</v>
      </c>
      <c r="AU6" t="n">
        <v>209681.857</v>
      </c>
      <c r="AV6" t="n">
        <v>248877.726</v>
      </c>
      <c r="AW6" t="n">
        <v>309883.13</v>
      </c>
      <c r="AX6" t="n">
        <v>324967.741</v>
      </c>
      <c r="AY6" t="n">
        <v>386849.985</v>
      </c>
      <c r="AZ6" t="n">
        <v>296985.963</v>
      </c>
      <c r="BA6" t="n">
        <v>269104.266</v>
      </c>
      <c r="BB6" t="n">
        <v>269344.995</v>
      </c>
      <c r="BC6" t="n">
        <v>222777.502</v>
      </c>
      <c r="BD6" t="n">
        <v>267702.082</v>
      </c>
      <c r="BE6" t="n">
        <v>260127.083</v>
      </c>
      <c r="BF6" t="n">
        <v>263278.672</v>
      </c>
      <c r="BG6" t="n">
        <v>305376.094</v>
      </c>
      <c r="BH6" t="n">
        <v>301099.918</v>
      </c>
      <c r="BI6" t="n">
        <v>272052.358</v>
      </c>
      <c r="BJ6" t="n">
        <v>252348.537</v>
      </c>
      <c r="BK6" t="n">
        <v>398073.079</v>
      </c>
      <c r="BL6" t="n">
        <v>278695.231</v>
      </c>
      <c r="BM6" t="n">
        <v>301839.331</v>
      </c>
      <c r="BN6" t="n">
        <v>372193.905</v>
      </c>
      <c r="BO6" t="n">
        <v>333885.383</v>
      </c>
      <c r="BP6" t="n">
        <v>316307.461</v>
      </c>
      <c r="BQ6" t="n">
        <v>314266.038</v>
      </c>
      <c r="BR6" t="n">
        <v>316374.373</v>
      </c>
      <c r="BS6" t="n">
        <v>305168.044</v>
      </c>
      <c r="BT6" t="n">
        <v>298729.165</v>
      </c>
      <c r="BU6" t="n">
        <v>314239.311</v>
      </c>
      <c r="BV6" t="n">
        <v>427018.3</v>
      </c>
    </row>
    <row r="7">
      <c r="A7" t="inlineStr">
        <is>
          <t>Scomber</t>
        </is>
      </c>
      <c r="B7" t="inlineStr">
        <is>
          <t>Chub mackerels</t>
        </is>
      </c>
      <c r="C7" t="inlineStr">
        <is>
          <t>Medium pelagics (30 - 89 cm)</t>
        </is>
      </c>
      <c r="D7" t="inlineStr">
        <is>
          <t>Perch-likes</t>
        </is>
      </c>
      <c r="E7" t="n">
        <v>37898.322</v>
      </c>
      <c r="F7" t="n">
        <v>37771.519</v>
      </c>
      <c r="G7" t="n">
        <v>37771.519</v>
      </c>
      <c r="H7" t="n">
        <v>44658.694</v>
      </c>
      <c r="I7" t="n">
        <v>57437.123</v>
      </c>
      <c r="J7" t="n">
        <v>46420.594</v>
      </c>
      <c r="K7" t="n">
        <v>54455.127</v>
      </c>
      <c r="L7" t="n">
        <v>58969.854</v>
      </c>
      <c r="M7" t="n">
        <v>58870.532</v>
      </c>
      <c r="N7" t="n">
        <v>63367.363</v>
      </c>
      <c r="O7" t="n">
        <v>73406.22900000001</v>
      </c>
      <c r="P7" t="n">
        <v>72229.5</v>
      </c>
      <c r="Q7" t="n">
        <v>87599.25199999999</v>
      </c>
      <c r="R7" t="n">
        <v>100792.347</v>
      </c>
      <c r="S7" t="n">
        <v>108567.015</v>
      </c>
      <c r="T7" t="n">
        <v>143035.472</v>
      </c>
      <c r="U7" t="n">
        <v>134490.897</v>
      </c>
      <c r="V7" t="n">
        <v>146326.664</v>
      </c>
      <c r="W7" t="n">
        <v>213708.124</v>
      </c>
      <c r="X7" t="n">
        <v>214646.61</v>
      </c>
      <c r="Y7" t="n">
        <v>270582.733</v>
      </c>
      <c r="Z7" t="n">
        <v>260363.602</v>
      </c>
      <c r="AA7" t="n">
        <v>248629.096</v>
      </c>
      <c r="AB7" t="n">
        <v>237329.566</v>
      </c>
      <c r="AC7" t="n">
        <v>278134.795</v>
      </c>
      <c r="AD7" t="n">
        <v>276252.185</v>
      </c>
      <c r="AE7" t="n">
        <v>204853.442</v>
      </c>
      <c r="AF7" t="n">
        <v>283490.752</v>
      </c>
      <c r="AG7" t="n">
        <v>339643.223</v>
      </c>
      <c r="AH7" t="n">
        <v>295921.598</v>
      </c>
      <c r="AI7" t="n">
        <v>270988.928</v>
      </c>
      <c r="AJ7" t="n">
        <v>191432.358</v>
      </c>
      <c r="AK7" t="n">
        <v>151898.494</v>
      </c>
      <c r="AL7" t="n">
        <v>170511.063</v>
      </c>
      <c r="AM7" t="n">
        <v>173110.659</v>
      </c>
      <c r="AN7" t="n">
        <v>163826.441</v>
      </c>
      <c r="AO7" t="n">
        <v>200092.189</v>
      </c>
      <c r="AP7" t="n">
        <v>149784.293</v>
      </c>
      <c r="AQ7" t="n">
        <v>144450.185</v>
      </c>
      <c r="AR7" t="n">
        <v>125686.184</v>
      </c>
      <c r="AS7" t="n">
        <v>75788.357</v>
      </c>
      <c r="AT7" t="n">
        <v>69766.15700000001</v>
      </c>
      <c r="AU7" t="n">
        <v>65572.08100000001</v>
      </c>
      <c r="AV7" t="n">
        <v>152216.46</v>
      </c>
      <c r="AW7" t="n">
        <v>142270.166</v>
      </c>
      <c r="AX7" t="n">
        <v>107608.699</v>
      </c>
      <c r="AY7" t="n">
        <v>170138.519</v>
      </c>
      <c r="AZ7" t="n">
        <v>186211.729</v>
      </c>
      <c r="BA7" t="n">
        <v>115784.49</v>
      </c>
      <c r="BB7" t="n">
        <v>89146.97199999999</v>
      </c>
      <c r="BC7" t="n">
        <v>80210.999</v>
      </c>
      <c r="BD7" t="n">
        <v>87119.42600000001</v>
      </c>
      <c r="BE7" t="n">
        <v>67390.97500000001</v>
      </c>
      <c r="BF7" t="n">
        <v>77869.663</v>
      </c>
      <c r="BG7" t="n">
        <v>78013.56600000001</v>
      </c>
      <c r="BH7" t="n">
        <v>137600.286</v>
      </c>
      <c r="BI7" t="n">
        <v>143562.508</v>
      </c>
      <c r="BJ7" t="n">
        <v>104598.734</v>
      </c>
      <c r="BK7" t="n">
        <v>117989.734</v>
      </c>
      <c r="BL7" t="n">
        <v>107695.188</v>
      </c>
      <c r="BM7" t="n">
        <v>111855.834</v>
      </c>
      <c r="BN7" t="n">
        <v>91069.70699999999</v>
      </c>
      <c r="BO7" t="n">
        <v>116711.848</v>
      </c>
      <c r="BP7" t="n">
        <v>96168.039</v>
      </c>
      <c r="BQ7" t="n">
        <v>122696.872</v>
      </c>
      <c r="BR7" t="n">
        <v>129881.428</v>
      </c>
      <c r="BS7" t="n">
        <v>123856.769</v>
      </c>
      <c r="BT7" t="n">
        <v>124085.677</v>
      </c>
      <c r="BU7" t="n">
        <v>125437.515</v>
      </c>
      <c r="BV7" t="n">
        <v>108540.064</v>
      </c>
    </row>
    <row r="8">
      <c r="A8" t="inlineStr">
        <is>
          <t>Cololabis saira</t>
        </is>
      </c>
      <c r="B8" t="inlineStr">
        <is>
          <t>Pacific saury</t>
        </is>
      </c>
      <c r="C8" t="inlineStr">
        <is>
          <t>Medium pelagics (30 - 89 cm)</t>
        </is>
      </c>
      <c r="D8" t="inlineStr">
        <is>
          <t>Other fishes &amp; inverts</t>
        </is>
      </c>
      <c r="E8" t="n">
        <v>49840.984</v>
      </c>
      <c r="F8" t="n">
        <v>50814.226</v>
      </c>
      <c r="G8" t="n">
        <v>51711.462</v>
      </c>
      <c r="H8" t="n">
        <v>55627.608</v>
      </c>
      <c r="I8" t="n">
        <v>67058.122</v>
      </c>
      <c r="J8" t="n">
        <v>102555.448</v>
      </c>
      <c r="K8" t="n">
        <v>80314.567</v>
      </c>
      <c r="L8" t="n">
        <v>103950.309</v>
      </c>
      <c r="M8" t="n">
        <v>130433.571</v>
      </c>
      <c r="N8" t="n">
        <v>129657.822</v>
      </c>
      <c r="O8" t="n">
        <v>70664.473</v>
      </c>
      <c r="P8" t="n">
        <v>113766.237</v>
      </c>
      <c r="Q8" t="n">
        <v>124982.28</v>
      </c>
      <c r="R8" t="n">
        <v>84696.704</v>
      </c>
      <c r="S8" t="n">
        <v>63951.568</v>
      </c>
      <c r="T8" t="n">
        <v>73397.86</v>
      </c>
      <c r="U8" t="n">
        <v>80167.466</v>
      </c>
      <c r="V8" t="n">
        <v>68679.808</v>
      </c>
      <c r="W8" t="n">
        <v>54557.196</v>
      </c>
      <c r="X8" t="n">
        <v>43185.498</v>
      </c>
      <c r="Y8" t="n">
        <v>39514.769</v>
      </c>
      <c r="Z8" t="n">
        <v>65244.564</v>
      </c>
      <c r="AA8" t="n">
        <v>71513.954</v>
      </c>
      <c r="AB8" t="n">
        <v>105269.577</v>
      </c>
      <c r="AC8" t="n">
        <v>58407.385</v>
      </c>
      <c r="AD8" t="n">
        <v>67449.389</v>
      </c>
      <c r="AE8" t="n">
        <v>55334.091</v>
      </c>
      <c r="AF8" t="n">
        <v>68859.302</v>
      </c>
      <c r="AG8" t="n">
        <v>87267.61599999999</v>
      </c>
      <c r="AH8" t="n">
        <v>71095.965</v>
      </c>
      <c r="AI8" t="n">
        <v>51539.779</v>
      </c>
      <c r="AJ8" t="n">
        <v>47857.516</v>
      </c>
      <c r="AK8" t="n">
        <v>56025.726</v>
      </c>
      <c r="AL8" t="n">
        <v>59103.979</v>
      </c>
      <c r="AM8" t="n">
        <v>58266.859</v>
      </c>
      <c r="AN8" t="n">
        <v>65118.703</v>
      </c>
      <c r="AO8" t="n">
        <v>63350.948</v>
      </c>
      <c r="AP8" t="n">
        <v>57477.586</v>
      </c>
      <c r="AQ8" t="n">
        <v>72148.788</v>
      </c>
      <c r="AR8" t="n">
        <v>80355.389</v>
      </c>
      <c r="AS8" t="n">
        <v>131763.248</v>
      </c>
      <c r="AT8" t="n">
        <v>114376.897</v>
      </c>
      <c r="AU8" t="n">
        <v>141423.019</v>
      </c>
      <c r="AV8" t="n">
        <v>152754.352</v>
      </c>
      <c r="AW8" t="n">
        <v>111389.09</v>
      </c>
      <c r="AX8" t="n">
        <v>117608.866</v>
      </c>
      <c r="AY8" t="n">
        <v>100472.195</v>
      </c>
      <c r="AZ8" t="n">
        <v>176330.735</v>
      </c>
      <c r="BA8" t="n">
        <v>80958.901</v>
      </c>
      <c r="BB8" t="n">
        <v>83976.93700000001</v>
      </c>
      <c r="BC8" t="n">
        <v>130595.378</v>
      </c>
      <c r="BD8" t="n">
        <v>153068.841</v>
      </c>
      <c r="BE8" t="n">
        <v>164501.035</v>
      </c>
      <c r="BF8" t="n">
        <v>165710.513</v>
      </c>
      <c r="BG8" t="n">
        <v>121448.569</v>
      </c>
      <c r="BH8" t="n">
        <v>183003.82</v>
      </c>
      <c r="BI8" t="n">
        <v>126343.716</v>
      </c>
      <c r="BJ8" t="n">
        <v>145337.3</v>
      </c>
      <c r="BK8" t="n">
        <v>212633.815</v>
      </c>
      <c r="BL8" t="n">
        <v>217553.128</v>
      </c>
      <c r="BM8" t="n">
        <v>223247.058</v>
      </c>
      <c r="BN8" t="n">
        <v>223987.765</v>
      </c>
      <c r="BO8" t="n">
        <v>284696.668</v>
      </c>
      <c r="BP8" t="n">
        <v>261365.282</v>
      </c>
      <c r="BQ8" t="n">
        <v>338713.173</v>
      </c>
      <c r="BR8" t="n">
        <v>239258.545</v>
      </c>
      <c r="BS8" t="n">
        <v>278787.481</v>
      </c>
      <c r="BT8" t="n">
        <v>244436.088</v>
      </c>
      <c r="BU8" t="n">
        <v>271009.525</v>
      </c>
      <c r="BV8" t="n">
        <v>230694.459</v>
      </c>
    </row>
    <row r="9">
      <c r="A9" t="inlineStr">
        <is>
          <t>Mollusca</t>
        </is>
      </c>
      <c r="B9" t="inlineStr">
        <is>
          <t>Clams, seasnails, squids, octopuses</t>
        </is>
      </c>
      <c r="C9" t="inlineStr">
        <is>
          <t>Other demersal invertebrates</t>
        </is>
      </c>
      <c r="D9" t="inlineStr">
        <is>
          <t>Molluscs</t>
        </is>
      </c>
      <c r="E9" t="n">
        <v>20581.01</v>
      </c>
      <c r="F9" t="n">
        <v>25497.968</v>
      </c>
      <c r="G9" t="n">
        <v>26664.466</v>
      </c>
      <c r="H9" t="n">
        <v>25041.941</v>
      </c>
      <c r="I9" t="n">
        <v>29233.834</v>
      </c>
      <c r="J9" t="n">
        <v>29567.877</v>
      </c>
      <c r="K9" t="n">
        <v>48927.176</v>
      </c>
      <c r="L9" t="n">
        <v>33777.302</v>
      </c>
      <c r="M9" t="n">
        <v>43010.087</v>
      </c>
      <c r="N9" t="n">
        <v>40751.18</v>
      </c>
      <c r="O9" t="n">
        <v>36390.899</v>
      </c>
      <c r="P9" t="n">
        <v>44453.584</v>
      </c>
      <c r="Q9" t="n">
        <v>48058.738</v>
      </c>
      <c r="R9" t="n">
        <v>47140.594</v>
      </c>
      <c r="S9" t="n">
        <v>51416.687</v>
      </c>
      <c r="T9" t="n">
        <v>48046.597</v>
      </c>
      <c r="U9" t="n">
        <v>43834.091</v>
      </c>
      <c r="V9" t="n">
        <v>40181.184</v>
      </c>
      <c r="W9" t="n">
        <v>45056.569</v>
      </c>
      <c r="X9" t="n">
        <v>42840.478</v>
      </c>
      <c r="Y9" t="n">
        <v>47964.754</v>
      </c>
      <c r="Z9" t="n">
        <v>40244.144</v>
      </c>
      <c r="AA9" t="n">
        <v>40581.635</v>
      </c>
      <c r="AB9" t="n">
        <v>55137.012</v>
      </c>
      <c r="AC9" t="n">
        <v>52935.933</v>
      </c>
      <c r="AD9" t="n">
        <v>79601.16899999999</v>
      </c>
      <c r="AE9" t="n">
        <v>92239.477</v>
      </c>
      <c r="AF9" t="n">
        <v>95839.49800000001</v>
      </c>
      <c r="AG9" t="n">
        <v>32973.966</v>
      </c>
      <c r="AH9" t="n">
        <v>30725.474</v>
      </c>
      <c r="AI9" t="n">
        <v>29233.571</v>
      </c>
      <c r="AJ9" t="n">
        <v>29279.546</v>
      </c>
      <c r="AK9" t="n">
        <v>43938.886</v>
      </c>
      <c r="AL9" t="n">
        <v>95890.11</v>
      </c>
      <c r="AM9" t="n">
        <v>89619.333</v>
      </c>
      <c r="AN9" t="n">
        <v>108195.209</v>
      </c>
      <c r="AO9" t="n">
        <v>151500.642</v>
      </c>
      <c r="AP9" t="n">
        <v>184135.772</v>
      </c>
      <c r="AQ9" t="n">
        <v>205332.288</v>
      </c>
      <c r="AR9" t="n">
        <v>130049.503</v>
      </c>
      <c r="AS9" t="n">
        <v>140313.701</v>
      </c>
      <c r="AT9" t="n">
        <v>141146.152</v>
      </c>
      <c r="AU9" t="n">
        <v>194462.795</v>
      </c>
      <c r="AV9" t="n">
        <v>230941.785</v>
      </c>
      <c r="AW9" t="n">
        <v>273516.127</v>
      </c>
      <c r="AX9" t="n">
        <v>320190.498</v>
      </c>
      <c r="AY9" t="n">
        <v>227393.009</v>
      </c>
      <c r="AZ9" t="n">
        <v>334622.198</v>
      </c>
      <c r="BA9" t="n">
        <v>317864.526</v>
      </c>
      <c r="BB9" t="n">
        <v>287467.113</v>
      </c>
      <c r="BC9" t="n">
        <v>274429.739</v>
      </c>
      <c r="BD9" t="n">
        <v>284462.943</v>
      </c>
      <c r="BE9" t="n">
        <v>277527.629</v>
      </c>
      <c r="BF9" t="n">
        <v>164480.712</v>
      </c>
      <c r="BG9" t="n">
        <v>172110.608</v>
      </c>
      <c r="BH9" t="n">
        <v>179949.147</v>
      </c>
      <c r="BI9" t="n">
        <v>184261.737</v>
      </c>
      <c r="BJ9" t="n">
        <v>177816.024</v>
      </c>
      <c r="BK9" t="n">
        <v>154455.471</v>
      </c>
      <c r="BL9" t="n">
        <v>158774.532</v>
      </c>
      <c r="BM9" t="n">
        <v>147551.871</v>
      </c>
      <c r="BN9" t="n">
        <v>140916.463</v>
      </c>
      <c r="BO9" t="n">
        <v>137977.238</v>
      </c>
      <c r="BP9" t="n">
        <v>132323.785</v>
      </c>
      <c r="BQ9" t="n">
        <v>7329.996</v>
      </c>
      <c r="BR9" t="n">
        <v>7704.832</v>
      </c>
      <c r="BS9" t="n">
        <v>7057.501</v>
      </c>
      <c r="BT9" t="n">
        <v>6592.958</v>
      </c>
      <c r="BU9" t="n">
        <v>6364.885</v>
      </c>
      <c r="BV9" t="n">
        <v>5752.097</v>
      </c>
    </row>
    <row r="10">
      <c r="A10" t="inlineStr">
        <is>
          <t>Miscellaneous marine crustaceans</t>
        </is>
      </c>
      <c r="B10" t="inlineStr">
        <is>
          <t>Marine crabs, shrimps, lobsters nei</t>
        </is>
      </c>
      <c r="C10" t="inlineStr">
        <is>
          <t>Shrimps</t>
        </is>
      </c>
      <c r="D10" t="inlineStr">
        <is>
          <t>Crustaceans</t>
        </is>
      </c>
      <c r="E10" t="n">
        <v>21959.409</v>
      </c>
      <c r="F10" t="n">
        <v>30161.437</v>
      </c>
      <c r="G10" t="n">
        <v>36615.293</v>
      </c>
      <c r="H10" t="n">
        <v>36949.668</v>
      </c>
      <c r="I10" t="n">
        <v>43970.702</v>
      </c>
      <c r="J10" t="n">
        <v>47325.655</v>
      </c>
      <c r="K10" t="n">
        <v>54116.592</v>
      </c>
      <c r="L10" t="n">
        <v>53407.994</v>
      </c>
      <c r="M10" t="n">
        <v>53146.835</v>
      </c>
      <c r="N10" t="n">
        <v>55874.109</v>
      </c>
      <c r="O10" t="n">
        <v>55889.298</v>
      </c>
      <c r="P10" t="n">
        <v>58077.552</v>
      </c>
      <c r="Q10" t="n">
        <v>59703.466</v>
      </c>
      <c r="R10" t="n">
        <v>59216.874</v>
      </c>
      <c r="S10" t="n">
        <v>60698.035</v>
      </c>
      <c r="T10" t="n">
        <v>63029.116</v>
      </c>
      <c r="U10" t="n">
        <v>63001.849</v>
      </c>
      <c r="V10" t="n">
        <v>65155.928</v>
      </c>
      <c r="W10" t="n">
        <v>67677.338</v>
      </c>
      <c r="X10" t="n">
        <v>66440.984</v>
      </c>
      <c r="Y10" t="n">
        <v>60732.58</v>
      </c>
      <c r="Z10" t="n">
        <v>65490.026</v>
      </c>
      <c r="AA10" t="n">
        <v>63097.271</v>
      </c>
      <c r="AB10" t="n">
        <v>99681.50900000001</v>
      </c>
      <c r="AC10" t="n">
        <v>103242.658</v>
      </c>
      <c r="AD10" t="n">
        <v>100526.914</v>
      </c>
      <c r="AE10" t="n">
        <v>80668.935</v>
      </c>
      <c r="AF10" t="n">
        <v>77663.501</v>
      </c>
      <c r="AG10" t="n">
        <v>81863.694</v>
      </c>
      <c r="AH10" t="n">
        <v>77217.26300000001</v>
      </c>
      <c r="AI10" t="n">
        <v>76800.87699999999</v>
      </c>
      <c r="AJ10" t="n">
        <v>74530.823</v>
      </c>
      <c r="AK10" t="n">
        <v>92492.05100000001</v>
      </c>
      <c r="AL10" t="n">
        <v>95328.90700000001</v>
      </c>
      <c r="AM10" t="n">
        <v>115940.507</v>
      </c>
      <c r="AN10" t="n">
        <v>114619.138</v>
      </c>
      <c r="AO10" t="n">
        <v>113093.28</v>
      </c>
      <c r="AP10" t="n">
        <v>105334.912</v>
      </c>
      <c r="AQ10" t="n">
        <v>118603.583</v>
      </c>
      <c r="AR10" t="n">
        <v>127110.937</v>
      </c>
      <c r="AS10" t="n">
        <v>128916.922</v>
      </c>
      <c r="AT10" t="n">
        <v>135824.335</v>
      </c>
      <c r="AU10" t="n">
        <v>142809.442</v>
      </c>
      <c r="AV10" t="n">
        <v>204473.855</v>
      </c>
      <c r="AW10" t="n">
        <v>209898.348</v>
      </c>
      <c r="AX10" t="n">
        <v>228629.374</v>
      </c>
      <c r="AY10" t="n">
        <v>232248.261</v>
      </c>
      <c r="AZ10" t="n">
        <v>281884.047</v>
      </c>
      <c r="BA10" t="n">
        <v>289322.363</v>
      </c>
      <c r="BB10" t="n">
        <v>245119.237</v>
      </c>
      <c r="BC10" t="n">
        <v>255343.193</v>
      </c>
      <c r="BD10" t="n">
        <v>279011.345</v>
      </c>
      <c r="BE10" t="n">
        <v>265038.211</v>
      </c>
      <c r="BF10" t="n">
        <v>28691.934</v>
      </c>
      <c r="BG10" t="n">
        <v>25013.27</v>
      </c>
      <c r="BH10" t="n">
        <v>17153.329</v>
      </c>
      <c r="BI10" t="n">
        <v>17517.951</v>
      </c>
      <c r="BJ10" t="n">
        <v>16481.271</v>
      </c>
      <c r="BK10" t="n">
        <v>10352.021</v>
      </c>
      <c r="BL10" t="n">
        <v>9251.040000000001</v>
      </c>
      <c r="BM10" t="n">
        <v>10638.847</v>
      </c>
      <c r="BN10" t="n">
        <v>9637.589</v>
      </c>
      <c r="BO10" t="n">
        <v>8140.514</v>
      </c>
      <c r="BP10" t="n">
        <v>8427.117</v>
      </c>
      <c r="BQ10" t="n">
        <v>136592.356</v>
      </c>
      <c r="BR10" t="n">
        <v>133275.328</v>
      </c>
      <c r="BS10" t="n">
        <v>112135.586</v>
      </c>
      <c r="BT10" t="n">
        <v>108262.285</v>
      </c>
      <c r="BU10" t="n">
        <v>108114.661</v>
      </c>
      <c r="BV10" t="n">
        <v>102287.536</v>
      </c>
    </row>
    <row r="11">
      <c r="A11" t="inlineStr">
        <is>
          <t>Larimichthys polyactis</t>
        </is>
      </c>
      <c r="B11" t="inlineStr">
        <is>
          <t>Yellow croaker</t>
        </is>
      </c>
      <c r="C11" t="inlineStr">
        <is>
          <t>Medium benthopelagics (30 - 89 cm)</t>
        </is>
      </c>
      <c r="D11" t="inlineStr">
        <is>
          <t>Perch-likes</t>
        </is>
      </c>
      <c r="E11" t="n">
        <v>19778.652</v>
      </c>
      <c r="F11" t="n">
        <v>23494.688</v>
      </c>
      <c r="G11" t="n">
        <v>25859.233</v>
      </c>
      <c r="H11" t="n">
        <v>23781.531</v>
      </c>
      <c r="I11" t="n">
        <v>22152.256</v>
      </c>
      <c r="J11" t="n">
        <v>18815.763</v>
      </c>
      <c r="K11" t="n">
        <v>28859.321</v>
      </c>
      <c r="L11" t="n">
        <v>29272.621</v>
      </c>
      <c r="M11" t="n">
        <v>24842.861</v>
      </c>
      <c r="N11" t="n">
        <v>25453.665</v>
      </c>
      <c r="O11" t="n">
        <v>24463.396</v>
      </c>
      <c r="P11" t="n">
        <v>25083.342</v>
      </c>
      <c r="Q11" t="n">
        <v>25015.449</v>
      </c>
      <c r="R11" t="n">
        <v>25300.562</v>
      </c>
      <c r="S11" t="n">
        <v>36342.599</v>
      </c>
      <c r="T11" t="n">
        <v>33461.411</v>
      </c>
      <c r="U11" t="n">
        <v>35455.047</v>
      </c>
      <c r="V11" t="n">
        <v>31633.6</v>
      </c>
      <c r="W11" t="n">
        <v>36886.393</v>
      </c>
      <c r="X11" t="n">
        <v>29882.182</v>
      </c>
      <c r="Y11" t="n">
        <v>35538.785</v>
      </c>
      <c r="Z11" t="n">
        <v>35315.03</v>
      </c>
      <c r="AA11" t="n">
        <v>26579.326</v>
      </c>
      <c r="AB11" t="n">
        <v>35547.283</v>
      </c>
      <c r="AC11" t="n">
        <v>24998.44</v>
      </c>
      <c r="AD11" t="n">
        <v>19474.889</v>
      </c>
      <c r="AE11" t="n">
        <v>22449.438</v>
      </c>
      <c r="AF11" t="n">
        <v>13310.427</v>
      </c>
      <c r="AG11" t="n">
        <v>30060.628</v>
      </c>
      <c r="AH11" t="n">
        <v>42038.247</v>
      </c>
      <c r="AI11" t="n">
        <v>53411.896</v>
      </c>
      <c r="AJ11" t="n">
        <v>45473.448</v>
      </c>
      <c r="AK11" t="n">
        <v>33784.314</v>
      </c>
      <c r="AL11" t="n">
        <v>28154.632</v>
      </c>
      <c r="AM11" t="n">
        <v>20927.665</v>
      </c>
      <c r="AN11" t="n">
        <v>29265.968</v>
      </c>
      <c r="AO11" t="n">
        <v>22637.304</v>
      </c>
      <c r="AP11" t="n">
        <v>28403.686</v>
      </c>
      <c r="AQ11" t="n">
        <v>30923.942</v>
      </c>
      <c r="AR11" t="n">
        <v>25702.467</v>
      </c>
      <c r="AS11" t="n">
        <v>32744.181</v>
      </c>
      <c r="AT11" t="n">
        <v>53171.452</v>
      </c>
      <c r="AU11" t="n">
        <v>65392.59</v>
      </c>
      <c r="AV11" t="n">
        <v>70090.277</v>
      </c>
      <c r="AW11" t="n">
        <v>92036.67600000001</v>
      </c>
      <c r="AX11" t="n">
        <v>119053.441</v>
      </c>
      <c r="AY11" t="n">
        <v>180070.286</v>
      </c>
      <c r="AZ11" t="n">
        <v>102519.608</v>
      </c>
      <c r="BA11" t="n">
        <v>123014.018</v>
      </c>
      <c r="BB11" t="n">
        <v>142827.238</v>
      </c>
      <c r="BC11" t="n">
        <v>164434.861</v>
      </c>
      <c r="BD11" t="n">
        <v>142810.581</v>
      </c>
      <c r="BE11" t="n">
        <v>152410.907</v>
      </c>
      <c r="BF11" t="n">
        <v>160287.676</v>
      </c>
      <c r="BG11" t="n">
        <v>183919.016</v>
      </c>
      <c r="BH11" t="n">
        <v>188596.194</v>
      </c>
      <c r="BI11" t="n">
        <v>202237.273</v>
      </c>
      <c r="BJ11" t="n">
        <v>236425.728</v>
      </c>
      <c r="BK11" t="n">
        <v>245559.608</v>
      </c>
      <c r="BL11" t="n">
        <v>257805.747</v>
      </c>
      <c r="BM11" t="n">
        <v>277597.065</v>
      </c>
      <c r="BN11" t="n">
        <v>287303.282</v>
      </c>
      <c r="BO11" t="n">
        <v>277439.075</v>
      </c>
      <c r="BP11" t="n">
        <v>252898.292</v>
      </c>
      <c r="BQ11" t="n">
        <v>235240.824</v>
      </c>
      <c r="BR11" t="n">
        <v>261038.872</v>
      </c>
      <c r="BS11" t="n">
        <v>201581.282</v>
      </c>
      <c r="BT11" t="n">
        <v>197981.853</v>
      </c>
      <c r="BU11" t="n">
        <v>194842.586</v>
      </c>
      <c r="BV11" t="n">
        <v>197176.599</v>
      </c>
    </row>
    <row r="12">
      <c r="A12" t="inlineStr">
        <is>
          <t>Acetes japonicus</t>
        </is>
      </c>
      <c r="B12" t="inlineStr">
        <is>
          <t>Akiami paste shrimp</t>
        </is>
      </c>
      <c r="C12" t="inlineStr">
        <is>
          <t>Shrimps</t>
        </is>
      </c>
      <c r="D12" t="inlineStr">
        <is>
          <t>Crustaceans</t>
        </is>
      </c>
      <c r="E12" t="n">
        <v>12429.61</v>
      </c>
      <c r="F12" t="n">
        <v>16254.638</v>
      </c>
      <c r="G12" t="n">
        <v>18407.668</v>
      </c>
      <c r="H12" t="n">
        <v>20627.899</v>
      </c>
      <c r="I12" t="n">
        <v>21001.816</v>
      </c>
      <c r="J12" t="n">
        <v>23040.96</v>
      </c>
      <c r="K12" t="n">
        <v>26723.477</v>
      </c>
      <c r="L12" t="n">
        <v>29683.433</v>
      </c>
      <c r="M12" t="n">
        <v>25729.483</v>
      </c>
      <c r="N12" t="n">
        <v>27247.971</v>
      </c>
      <c r="O12" t="n">
        <v>24034.782</v>
      </c>
      <c r="P12" t="n">
        <v>27097.323</v>
      </c>
      <c r="Q12" t="n">
        <v>28704.229</v>
      </c>
      <c r="R12" t="n">
        <v>26161.744</v>
      </c>
      <c r="S12" t="n">
        <v>27341.706</v>
      </c>
      <c r="T12" t="n">
        <v>27900.223</v>
      </c>
      <c r="U12" t="n">
        <v>26210.845</v>
      </c>
      <c r="V12" t="n">
        <v>28926.345</v>
      </c>
      <c r="W12" t="n">
        <v>26678.608</v>
      </c>
      <c r="X12" t="n">
        <v>25652.23</v>
      </c>
      <c r="Y12" t="n">
        <v>26257.939</v>
      </c>
      <c r="Z12" t="n">
        <v>20847.712</v>
      </c>
      <c r="AA12" t="n">
        <v>25048.21</v>
      </c>
      <c r="AB12" t="n">
        <v>28356.741</v>
      </c>
      <c r="AC12" t="n">
        <v>29103.829</v>
      </c>
      <c r="AD12" t="n">
        <v>33241.091</v>
      </c>
      <c r="AE12" t="n">
        <v>33861.329</v>
      </c>
      <c r="AF12" t="n">
        <v>49400.982</v>
      </c>
      <c r="AG12" t="n">
        <v>52888.858</v>
      </c>
      <c r="AH12" t="n">
        <v>28960.421</v>
      </c>
      <c r="AI12" t="n">
        <v>37475.749</v>
      </c>
      <c r="AJ12" t="n">
        <v>43461.346</v>
      </c>
      <c r="AK12" t="n">
        <v>46883.471</v>
      </c>
      <c r="AL12" t="n">
        <v>50230.439</v>
      </c>
      <c r="AM12" t="n">
        <v>53068.3</v>
      </c>
      <c r="AN12" t="n">
        <v>60091.379</v>
      </c>
      <c r="AO12" t="n">
        <v>51820.853</v>
      </c>
      <c r="AP12" t="n">
        <v>49270.724</v>
      </c>
      <c r="AQ12" t="n">
        <v>55208.268</v>
      </c>
      <c r="AR12" t="n">
        <v>65958.236</v>
      </c>
      <c r="AS12" t="n">
        <v>65435.965</v>
      </c>
      <c r="AT12" t="n">
        <v>64764.042</v>
      </c>
      <c r="AU12" t="n">
        <v>72429.09299999999</v>
      </c>
      <c r="AV12" t="n">
        <v>79714.357</v>
      </c>
      <c r="AW12" t="n">
        <v>94764.55499999999</v>
      </c>
      <c r="AX12" t="n">
        <v>111107.603</v>
      </c>
      <c r="AY12" t="n">
        <v>131107.191</v>
      </c>
      <c r="AZ12" t="n">
        <v>130470.966</v>
      </c>
      <c r="BA12" t="n">
        <v>148510.979</v>
      </c>
      <c r="BB12" t="n">
        <v>148268.027</v>
      </c>
      <c r="BC12" t="n">
        <v>158870.412</v>
      </c>
      <c r="BD12" t="n">
        <v>142722.9</v>
      </c>
      <c r="BE12" t="n">
        <v>143728.796</v>
      </c>
      <c r="BF12" t="n">
        <v>156533.744</v>
      </c>
      <c r="BG12" t="n">
        <v>166880.394</v>
      </c>
      <c r="BH12" t="n">
        <v>162699.302</v>
      </c>
      <c r="BI12" t="n">
        <v>169678.155</v>
      </c>
      <c r="BJ12" t="n">
        <v>170288.283</v>
      </c>
      <c r="BK12" t="n">
        <v>153188.82</v>
      </c>
      <c r="BL12" t="n">
        <v>165071.411</v>
      </c>
      <c r="BM12" t="n">
        <v>157627.648</v>
      </c>
      <c r="BN12" t="n">
        <v>151530.041</v>
      </c>
      <c r="BO12" t="n">
        <v>161892.965</v>
      </c>
      <c r="BP12" t="n">
        <v>160861.251</v>
      </c>
      <c r="BQ12" t="n">
        <v>152949.854</v>
      </c>
      <c r="BR12" t="n">
        <v>149128.343</v>
      </c>
      <c r="BS12" t="n">
        <v>133872.009</v>
      </c>
      <c r="BT12" t="n">
        <v>124789.194</v>
      </c>
      <c r="BU12" t="n">
        <v>120856.1</v>
      </c>
      <c r="BV12" t="n">
        <v>110894.415</v>
      </c>
    </row>
    <row r="13">
      <c r="A13" t="inlineStr">
        <is>
          <t>Todarodes pacificus</t>
        </is>
      </c>
      <c r="B13" t="inlineStr">
        <is>
          <t>Japanese flying squid</t>
        </is>
      </c>
      <c r="C13" t="inlineStr">
        <is>
          <t>Cephalopods</t>
        </is>
      </c>
      <c r="D13" t="inlineStr">
        <is>
          <t>Other fishes &amp; inverts</t>
        </is>
      </c>
      <c r="E13" t="n">
        <v>20214.399</v>
      </c>
      <c r="F13" t="n">
        <v>26928.59</v>
      </c>
      <c r="G13" t="n">
        <v>30689.615</v>
      </c>
      <c r="H13" t="n">
        <v>27524.686</v>
      </c>
      <c r="I13" t="n">
        <v>20982.681</v>
      </c>
      <c r="J13" t="n">
        <v>31579.236</v>
      </c>
      <c r="K13" t="n">
        <v>38144.012</v>
      </c>
      <c r="L13" t="n">
        <v>43874.008</v>
      </c>
      <c r="M13" t="n">
        <v>41153.339</v>
      </c>
      <c r="N13" t="n">
        <v>55044.183</v>
      </c>
      <c r="O13" t="n">
        <v>54167.712</v>
      </c>
      <c r="P13" t="n">
        <v>72812.234</v>
      </c>
      <c r="Q13" t="n">
        <v>61653.588</v>
      </c>
      <c r="R13" t="n">
        <v>98096.113</v>
      </c>
      <c r="S13" t="n">
        <v>67235.90399999999</v>
      </c>
      <c r="T13" t="n">
        <v>63631.588</v>
      </c>
      <c r="U13" t="n">
        <v>66033.548</v>
      </c>
      <c r="V13" t="n">
        <v>44136.73</v>
      </c>
      <c r="W13" t="n">
        <v>64808.917</v>
      </c>
      <c r="X13" t="n">
        <v>54024.01</v>
      </c>
      <c r="Y13" t="n">
        <v>43267.586</v>
      </c>
      <c r="Z13" t="n">
        <v>34905.51</v>
      </c>
      <c r="AA13" t="n">
        <v>46819.694</v>
      </c>
      <c r="AB13" t="n">
        <v>45864.199</v>
      </c>
      <c r="AC13" t="n">
        <v>38344.838</v>
      </c>
      <c r="AD13" t="n">
        <v>51654.878</v>
      </c>
      <c r="AE13" t="n">
        <v>57760.474</v>
      </c>
      <c r="AF13" t="n">
        <v>31865.556</v>
      </c>
      <c r="AG13" t="n">
        <v>28830.369</v>
      </c>
      <c r="AH13" t="n">
        <v>43128.764</v>
      </c>
      <c r="AI13" t="n">
        <v>48963.718</v>
      </c>
      <c r="AJ13" t="n">
        <v>58557.954</v>
      </c>
      <c r="AK13" t="n">
        <v>66634.88</v>
      </c>
      <c r="AL13" t="n">
        <v>42871.167</v>
      </c>
      <c r="AM13" t="n">
        <v>95704.20299999999</v>
      </c>
      <c r="AN13" t="n">
        <v>55953.611</v>
      </c>
      <c r="AO13" t="n">
        <v>38034.903</v>
      </c>
      <c r="AP13" t="n">
        <v>70734.678</v>
      </c>
      <c r="AQ13" t="n">
        <v>76262.136</v>
      </c>
      <c r="AR13" t="n">
        <v>124719.404</v>
      </c>
      <c r="AS13" t="n">
        <v>122163.346</v>
      </c>
      <c r="AT13" t="n">
        <v>199194.937</v>
      </c>
      <c r="AU13" t="n">
        <v>208853.607</v>
      </c>
      <c r="AV13" t="n">
        <v>239534.333</v>
      </c>
      <c r="AW13" t="n">
        <v>261673.198</v>
      </c>
      <c r="AX13" t="n">
        <v>310218.506</v>
      </c>
      <c r="AY13" t="n">
        <v>171368.899</v>
      </c>
      <c r="AZ13" t="n">
        <v>129108.109</v>
      </c>
      <c r="BA13" t="n">
        <v>141384.758</v>
      </c>
      <c r="BB13" t="n">
        <v>117908.062</v>
      </c>
      <c r="BC13" t="n">
        <v>95169.30100000001</v>
      </c>
      <c r="BD13" t="n">
        <v>92835.00999999999</v>
      </c>
      <c r="BE13" t="n">
        <v>89430.742</v>
      </c>
      <c r="BF13" t="n">
        <v>56147.002</v>
      </c>
      <c r="BG13" t="n">
        <v>52521.768</v>
      </c>
      <c r="BH13" t="n">
        <v>46672.479</v>
      </c>
      <c r="BI13" t="n">
        <v>44918.305</v>
      </c>
      <c r="BJ13" t="n">
        <v>39188.656</v>
      </c>
      <c r="BK13" t="n">
        <v>41081.866</v>
      </c>
      <c r="BL13" t="n">
        <v>50046.908</v>
      </c>
      <c r="BM13" t="n">
        <v>45994.867</v>
      </c>
      <c r="BN13" t="n">
        <v>53334.834</v>
      </c>
      <c r="BO13" t="n">
        <v>55548.804</v>
      </c>
      <c r="BP13" t="n">
        <v>49461.199</v>
      </c>
      <c r="BQ13" t="n">
        <v>52771.564</v>
      </c>
      <c r="BR13" t="n">
        <v>43156.6</v>
      </c>
      <c r="BS13" t="n">
        <v>52603.782</v>
      </c>
      <c r="BT13" t="n">
        <v>48268.324</v>
      </c>
      <c r="BU13" t="n">
        <v>47006.304</v>
      </c>
      <c r="BV13" t="n">
        <v>44135.114</v>
      </c>
    </row>
    <row r="14">
      <c r="A14" t="inlineStr">
        <is>
          <t>Sciaenidae</t>
        </is>
      </c>
      <c r="B14" t="inlineStr">
        <is>
          <t>Drums, croakers</t>
        </is>
      </c>
      <c r="C14" t="inlineStr">
        <is>
          <t>Medium demersals (30 - 89 cm)</t>
        </is>
      </c>
      <c r="D14" t="inlineStr">
        <is>
          <t>Perch-likes</t>
        </is>
      </c>
      <c r="E14" t="n">
        <v>106741.518</v>
      </c>
      <c r="F14" t="n">
        <v>67126.708</v>
      </c>
      <c r="G14" t="n">
        <v>76520.879</v>
      </c>
      <c r="H14" t="n">
        <v>73673.238</v>
      </c>
      <c r="I14" t="n">
        <v>72155.52800000001</v>
      </c>
      <c r="J14" t="n">
        <v>64696.984</v>
      </c>
      <c r="K14" t="n">
        <v>77661.042</v>
      </c>
      <c r="L14" t="n">
        <v>76541.61900000001</v>
      </c>
      <c r="M14" t="n">
        <v>57569.616</v>
      </c>
      <c r="N14" t="n">
        <v>78585.783</v>
      </c>
      <c r="O14" t="n">
        <v>79618.518</v>
      </c>
      <c r="P14" t="n">
        <v>65731.023</v>
      </c>
      <c r="Q14" t="n">
        <v>62874.777</v>
      </c>
      <c r="R14" t="n">
        <v>60674.74</v>
      </c>
      <c r="S14" t="n">
        <v>59250.625</v>
      </c>
      <c r="T14" t="n">
        <v>69752.925</v>
      </c>
      <c r="U14" t="n">
        <v>75323.785</v>
      </c>
      <c r="V14" t="n">
        <v>78541.86900000001</v>
      </c>
      <c r="W14" t="n">
        <v>62496.962</v>
      </c>
      <c r="X14" t="n">
        <v>60432.34</v>
      </c>
      <c r="Y14" t="n">
        <v>60240.956</v>
      </c>
      <c r="Z14" t="n">
        <v>52497.91</v>
      </c>
      <c r="AA14" t="n">
        <v>54421.516</v>
      </c>
      <c r="AB14" t="n">
        <v>57069.573</v>
      </c>
      <c r="AC14" t="n">
        <v>77907.88099999999</v>
      </c>
      <c r="AD14" t="n">
        <v>67702.621</v>
      </c>
      <c r="AE14" t="n">
        <v>70620.496</v>
      </c>
      <c r="AF14" t="n">
        <v>53229.596</v>
      </c>
      <c r="AG14" t="n">
        <v>50290.265</v>
      </c>
      <c r="AH14" t="n">
        <v>53478.135</v>
      </c>
      <c r="AI14" t="n">
        <v>57738.19</v>
      </c>
      <c r="AJ14" t="n">
        <v>52488.052</v>
      </c>
      <c r="AK14" t="n">
        <v>45871.612</v>
      </c>
      <c r="AL14" t="n">
        <v>43130.773</v>
      </c>
      <c r="AM14" t="n">
        <v>39533.614</v>
      </c>
      <c r="AN14" t="n">
        <v>35850.832</v>
      </c>
      <c r="AO14" t="n">
        <v>40428.974</v>
      </c>
      <c r="AP14" t="n">
        <v>40601.996</v>
      </c>
      <c r="AQ14" t="n">
        <v>33224.092</v>
      </c>
      <c r="AR14" t="n">
        <v>37950.329</v>
      </c>
      <c r="AS14" t="n">
        <v>41149.296</v>
      </c>
      <c r="AT14" t="n">
        <v>52737.954</v>
      </c>
      <c r="AU14" t="n">
        <v>44475.154</v>
      </c>
      <c r="AV14" t="n">
        <v>44315.586</v>
      </c>
      <c r="AW14" t="n">
        <v>44623.095</v>
      </c>
      <c r="AX14" t="n">
        <v>76228.105</v>
      </c>
      <c r="AY14" t="n">
        <v>35152.102</v>
      </c>
      <c r="AZ14" t="n">
        <v>38914.607</v>
      </c>
      <c r="BA14" t="n">
        <v>37733.037</v>
      </c>
      <c r="BB14" t="n">
        <v>41933.656</v>
      </c>
      <c r="BC14" t="n">
        <v>23132.793</v>
      </c>
      <c r="BD14" t="n">
        <v>18756.585</v>
      </c>
      <c r="BE14" t="n">
        <v>19042.972</v>
      </c>
      <c r="BF14" t="n">
        <v>99096.94500000001</v>
      </c>
      <c r="BG14" t="n">
        <v>107943.134</v>
      </c>
      <c r="BH14" t="n">
        <v>109694.691</v>
      </c>
      <c r="BI14" t="n">
        <v>113541.509</v>
      </c>
      <c r="BJ14" t="n">
        <v>108224.869</v>
      </c>
      <c r="BK14" t="n">
        <v>113482.628</v>
      </c>
      <c r="BL14" t="n">
        <v>111528.907</v>
      </c>
      <c r="BM14" t="n">
        <v>109726.393</v>
      </c>
      <c r="BN14" t="n">
        <v>142225.734</v>
      </c>
      <c r="BO14" t="n">
        <v>145592.025</v>
      </c>
      <c r="BP14" t="n">
        <v>136134.188</v>
      </c>
      <c r="BQ14" t="n">
        <v>145612.863</v>
      </c>
      <c r="BR14" t="n">
        <v>138085.989</v>
      </c>
      <c r="BS14" t="n">
        <v>129157.546</v>
      </c>
      <c r="BT14" t="n">
        <v>121173.902</v>
      </c>
      <c r="BU14" t="n">
        <v>109146.743</v>
      </c>
      <c r="BV14" t="n">
        <v>104287.686</v>
      </c>
    </row>
    <row r="15">
      <c r="A15" t="inlineStr">
        <is>
          <t>Stephanolepis cirrhifer</t>
        </is>
      </c>
      <c r="B15" t="inlineStr">
        <is>
          <t>Threadsail filefish</t>
        </is>
      </c>
      <c r="C15" t="inlineStr">
        <is>
          <t>Small demersals (&lt;30 cm)</t>
        </is>
      </c>
      <c r="D15" t="inlineStr">
        <is>
          <t>Other fishes &amp; inverts</t>
        </is>
      </c>
      <c r="E15" t="n">
        <v>237.052</v>
      </c>
      <c r="F15" t="n">
        <v>219.422</v>
      </c>
      <c r="G15" t="n">
        <v>219.422</v>
      </c>
      <c r="H15" t="n">
        <v>219.422</v>
      </c>
      <c r="I15" t="n">
        <v>578.322</v>
      </c>
      <c r="J15" t="n">
        <v>237.334</v>
      </c>
      <c r="K15" t="n">
        <v>219.422</v>
      </c>
      <c r="L15" t="n">
        <v>219.422</v>
      </c>
      <c r="M15" t="n">
        <v>219.422</v>
      </c>
      <c r="N15" t="n">
        <v>219.422</v>
      </c>
      <c r="O15" t="n">
        <v>361.137</v>
      </c>
      <c r="P15" t="n">
        <v>398.089</v>
      </c>
      <c r="Q15" t="n">
        <v>219.422</v>
      </c>
      <c r="R15" t="n">
        <v>219.422</v>
      </c>
      <c r="S15" t="n">
        <v>219.422</v>
      </c>
      <c r="T15" t="n">
        <v>219.422</v>
      </c>
      <c r="U15" t="n">
        <v>252.546</v>
      </c>
      <c r="V15" t="n">
        <v>219.422</v>
      </c>
      <c r="W15" t="n">
        <v>219.422</v>
      </c>
      <c r="X15" t="n">
        <v>219.422</v>
      </c>
      <c r="Y15" t="n">
        <v>219.422</v>
      </c>
      <c r="Z15" t="n">
        <v>875.673</v>
      </c>
      <c r="AA15" t="n">
        <v>765.226</v>
      </c>
      <c r="AB15" t="n">
        <v>3482.84</v>
      </c>
      <c r="AC15" t="n">
        <v>23933.128</v>
      </c>
      <c r="AD15" t="n">
        <v>141421.093</v>
      </c>
      <c r="AE15" t="n">
        <v>179642.385</v>
      </c>
      <c r="AF15" t="n">
        <v>213518.574</v>
      </c>
      <c r="AG15" t="n">
        <v>291355.867</v>
      </c>
      <c r="AH15" t="n">
        <v>318396.212</v>
      </c>
      <c r="AI15" t="n">
        <v>303308.635</v>
      </c>
      <c r="AJ15" t="n">
        <v>247012.949</v>
      </c>
      <c r="AK15" t="n">
        <v>258578.396</v>
      </c>
      <c r="AL15" t="n">
        <v>254343.722</v>
      </c>
      <c r="AM15" t="n">
        <v>266913.942</v>
      </c>
      <c r="AN15" t="n">
        <v>333872.333</v>
      </c>
      <c r="AO15" t="n">
        <v>432601.01</v>
      </c>
      <c r="AP15" t="n">
        <v>229656.938</v>
      </c>
      <c r="AQ15" t="n">
        <v>355950.976</v>
      </c>
      <c r="AR15" t="n">
        <v>273028.554</v>
      </c>
      <c r="AS15" t="n">
        <v>373908.202</v>
      </c>
      <c r="AT15" t="n">
        <v>129213.466</v>
      </c>
      <c r="AU15" t="n">
        <v>75586.83</v>
      </c>
      <c r="AV15" t="n">
        <v>20376.618</v>
      </c>
      <c r="AW15" t="n">
        <v>9282.475</v>
      </c>
      <c r="AX15" t="n">
        <v>3911.296</v>
      </c>
      <c r="AY15" t="n">
        <v>4730.732</v>
      </c>
      <c r="AZ15" t="n">
        <v>37610.362</v>
      </c>
      <c r="BA15" t="n">
        <v>24197.81</v>
      </c>
      <c r="BB15" t="n">
        <v>6322.945</v>
      </c>
      <c r="BC15" t="n">
        <v>5643.483</v>
      </c>
      <c r="BD15" t="n">
        <v>3275.779</v>
      </c>
      <c r="BE15" t="n">
        <v>2038.063</v>
      </c>
      <c r="BF15" t="n">
        <v>2384.217</v>
      </c>
      <c r="BG15" t="n">
        <v>2048.451</v>
      </c>
      <c r="BH15" t="n">
        <v>1624.473</v>
      </c>
      <c r="BI15" t="n">
        <v>1642.531</v>
      </c>
      <c r="BJ15" t="n">
        <v>3980.176</v>
      </c>
      <c r="BK15" t="n">
        <v>3589.113</v>
      </c>
      <c r="BL15" t="n">
        <v>12508.504</v>
      </c>
      <c r="BM15" t="n">
        <v>5577.304</v>
      </c>
      <c r="BN15" t="n">
        <v>2772.761</v>
      </c>
      <c r="BO15" t="n">
        <v>2492.645</v>
      </c>
      <c r="BP15" t="n">
        <v>2333.38</v>
      </c>
      <c r="BQ15" t="n">
        <v>3204.605</v>
      </c>
      <c r="BR15" t="n">
        <v>2664.812</v>
      </c>
      <c r="BS15" t="n">
        <v>2862.472</v>
      </c>
      <c r="BT15" t="n">
        <v>2733.04</v>
      </c>
      <c r="BU15" t="n">
        <v>3076.877</v>
      </c>
      <c r="BV15" t="n">
        <v>3297.3</v>
      </c>
    </row>
    <row r="16">
      <c r="A16" t="inlineStr">
        <is>
          <t>Pectinidae</t>
        </is>
      </c>
      <c r="B16" t="inlineStr">
        <is>
          <t>Scallops</t>
        </is>
      </c>
      <c r="C16" t="inlineStr">
        <is>
          <t>Other demersal invertebrates</t>
        </is>
      </c>
      <c r="D16" t="inlineStr">
        <is>
          <t>Molluscs</t>
        </is>
      </c>
      <c r="E16" t="n">
        <v>11651.857</v>
      </c>
      <c r="F16" t="n">
        <v>11662.656</v>
      </c>
      <c r="G16" t="n">
        <v>11667.113</v>
      </c>
      <c r="H16" t="n">
        <v>9031.727999999999</v>
      </c>
      <c r="I16" t="n">
        <v>11148.426</v>
      </c>
      <c r="J16" t="n">
        <v>11392.704</v>
      </c>
      <c r="K16" t="n">
        <v>12129.322</v>
      </c>
      <c r="L16" t="n">
        <v>14326.273</v>
      </c>
      <c r="M16" t="n">
        <v>16979.153</v>
      </c>
      <c r="N16" t="n">
        <v>17019.477</v>
      </c>
      <c r="O16" t="n">
        <v>14256.1</v>
      </c>
      <c r="P16" t="n">
        <v>13631.433</v>
      </c>
      <c r="Q16" t="n">
        <v>13091.778</v>
      </c>
      <c r="R16" t="n">
        <v>12848.945</v>
      </c>
      <c r="S16" t="n">
        <v>13398.902</v>
      </c>
      <c r="T16" t="n">
        <v>14328.413</v>
      </c>
      <c r="U16" t="n">
        <v>15526.554</v>
      </c>
      <c r="V16" t="n">
        <v>15760.547</v>
      </c>
      <c r="W16" t="n">
        <v>14432.433</v>
      </c>
      <c r="X16" t="n">
        <v>17109.761</v>
      </c>
      <c r="Y16" t="n">
        <v>16467.313</v>
      </c>
      <c r="Z16" t="n">
        <v>17088.885</v>
      </c>
      <c r="AA16" t="n">
        <v>22373.442</v>
      </c>
      <c r="AB16" t="n">
        <v>18738.613</v>
      </c>
      <c r="AC16" t="n">
        <v>21331.253</v>
      </c>
      <c r="AD16" t="n">
        <v>22189.186</v>
      </c>
      <c r="AE16" t="n">
        <v>22419.439</v>
      </c>
      <c r="AF16" t="n">
        <v>27358.758</v>
      </c>
      <c r="AG16" t="n">
        <v>32186.705</v>
      </c>
      <c r="AH16" t="n">
        <v>37990.089</v>
      </c>
      <c r="AI16" t="n">
        <v>38207.389</v>
      </c>
      <c r="AJ16" t="n">
        <v>42289.431</v>
      </c>
      <c r="AK16" t="n">
        <v>44059.946</v>
      </c>
      <c r="AL16" t="n">
        <v>51942.554</v>
      </c>
      <c r="AM16" t="n">
        <v>54295.846</v>
      </c>
      <c r="AN16" t="n">
        <v>48833.436</v>
      </c>
      <c r="AO16" t="n">
        <v>46081.681</v>
      </c>
      <c r="AP16" t="n">
        <v>56198.48</v>
      </c>
      <c r="AQ16" t="n">
        <v>60569.934</v>
      </c>
      <c r="AR16" t="n">
        <v>68759.07799999999</v>
      </c>
      <c r="AS16" t="n">
        <v>80641.663</v>
      </c>
      <c r="AT16" t="n">
        <v>65265.082</v>
      </c>
      <c r="AU16" t="n">
        <v>68406.323</v>
      </c>
      <c r="AV16" t="n">
        <v>77419.431</v>
      </c>
      <c r="AW16" t="n">
        <v>90898.19</v>
      </c>
      <c r="AX16" t="n">
        <v>92168.49800000001</v>
      </c>
      <c r="AY16" t="n">
        <v>90853.62300000001</v>
      </c>
      <c r="AZ16" t="n">
        <v>87364.95699999999</v>
      </c>
      <c r="BA16" t="n">
        <v>95033.024</v>
      </c>
      <c r="BB16" t="n">
        <v>111034.312</v>
      </c>
      <c r="BC16" t="n">
        <v>111761.557</v>
      </c>
      <c r="BD16" t="n">
        <v>106503.021</v>
      </c>
      <c r="BE16" t="n">
        <v>111788.443</v>
      </c>
      <c r="BF16" t="n">
        <v>155851.031</v>
      </c>
      <c r="BG16" t="n">
        <v>142671.292</v>
      </c>
      <c r="BH16" t="n">
        <v>130530.49</v>
      </c>
      <c r="BI16" t="n">
        <v>124010.9</v>
      </c>
      <c r="BJ16" t="n">
        <v>121570.332</v>
      </c>
      <c r="BK16" t="n">
        <v>142665.881</v>
      </c>
      <c r="BL16" t="n">
        <v>147392.522</v>
      </c>
      <c r="BM16" t="n">
        <v>150317.722</v>
      </c>
      <c r="BN16" t="n">
        <v>141060.747</v>
      </c>
      <c r="BO16" t="n">
        <v>145490.206</v>
      </c>
      <c r="BP16" t="n">
        <v>166109.871</v>
      </c>
      <c r="BQ16" t="n">
        <v>174285.386</v>
      </c>
      <c r="BR16" t="n">
        <v>125718.877</v>
      </c>
      <c r="BS16" t="n">
        <v>117841.326</v>
      </c>
      <c r="BT16" t="n">
        <v>126627.161</v>
      </c>
      <c r="BU16" t="n">
        <v>154909.11</v>
      </c>
      <c r="BV16" t="n">
        <v>167843.226</v>
      </c>
    </row>
    <row r="17">
      <c r="A17" t="inlineStr">
        <is>
          <t>Scyphozoa</t>
        </is>
      </c>
      <c r="B17" t="inlineStr">
        <is>
          <t>True jellyfishes</t>
        </is>
      </c>
      <c r="C17" t="inlineStr">
        <is>
          <t>Jellyfish</t>
        </is>
      </c>
      <c r="D17" t="inlineStr">
        <is>
          <t>Other fishes &amp; inverts</t>
        </is>
      </c>
      <c r="E17" t="n">
        <v>3975.881</v>
      </c>
      <c r="F17" t="n">
        <v>6165.586</v>
      </c>
      <c r="G17" t="n">
        <v>8344.984</v>
      </c>
      <c r="H17" t="n">
        <v>9071.459000000001</v>
      </c>
      <c r="I17" t="n">
        <v>11791.694</v>
      </c>
      <c r="J17" t="n">
        <v>13729.305</v>
      </c>
      <c r="K17" t="n">
        <v>17104.244</v>
      </c>
      <c r="L17" t="n">
        <v>17488.816</v>
      </c>
      <c r="M17" t="n">
        <v>18559.965</v>
      </c>
      <c r="N17" t="n">
        <v>20536.941</v>
      </c>
      <c r="O17" t="n">
        <v>21569.065</v>
      </c>
      <c r="P17" t="n">
        <v>22702.691</v>
      </c>
      <c r="Q17" t="n">
        <v>25125.711</v>
      </c>
      <c r="R17" t="n">
        <v>26173.065</v>
      </c>
      <c r="S17" t="n">
        <v>27642.916</v>
      </c>
      <c r="T17" t="n">
        <v>30301.551</v>
      </c>
      <c r="U17" t="n">
        <v>31877.086</v>
      </c>
      <c r="V17" t="n">
        <v>33479.149</v>
      </c>
      <c r="W17" t="n">
        <v>36466.472</v>
      </c>
      <c r="X17" t="n">
        <v>37883.111</v>
      </c>
      <c r="Y17" t="n">
        <v>28462.396</v>
      </c>
      <c r="Z17" t="n">
        <v>42205.912</v>
      </c>
      <c r="AA17" t="n">
        <v>43765.476</v>
      </c>
      <c r="AB17" t="n">
        <v>44176.917</v>
      </c>
      <c r="AC17" t="n">
        <v>56133.872</v>
      </c>
      <c r="AD17" t="n">
        <v>71561.913</v>
      </c>
      <c r="AE17" t="n">
        <v>77785.86599999999</v>
      </c>
      <c r="AF17" t="n">
        <v>69763.353</v>
      </c>
      <c r="AG17" t="n">
        <v>62918.146</v>
      </c>
      <c r="AH17" t="n">
        <v>65539.219</v>
      </c>
      <c r="AI17" t="n">
        <v>65041.515</v>
      </c>
      <c r="AJ17" t="n">
        <v>66594.724</v>
      </c>
      <c r="AK17" t="n">
        <v>82640.734</v>
      </c>
      <c r="AL17" t="n">
        <v>87044.645</v>
      </c>
      <c r="AM17" t="n">
        <v>87883.35799999999</v>
      </c>
      <c r="AN17" t="n">
        <v>99039.573</v>
      </c>
      <c r="AO17" t="n">
        <v>116069.981</v>
      </c>
      <c r="AP17" t="n">
        <v>134531.77</v>
      </c>
      <c r="AQ17" t="n">
        <v>170964.533</v>
      </c>
      <c r="AR17" t="n">
        <v>180950.18</v>
      </c>
      <c r="AS17" t="n">
        <v>149558.148</v>
      </c>
      <c r="AT17" t="n">
        <v>156723.374</v>
      </c>
      <c r="AU17" t="n">
        <v>126253.779</v>
      </c>
      <c r="AV17" t="n">
        <v>125692.38</v>
      </c>
      <c r="AW17" t="n">
        <v>139617.358</v>
      </c>
      <c r="AX17" t="n">
        <v>145387.171</v>
      </c>
      <c r="AY17" t="n">
        <v>84136.743</v>
      </c>
      <c r="AZ17" t="n">
        <v>79837.77499999999</v>
      </c>
      <c r="BA17" t="n">
        <v>75549.128</v>
      </c>
      <c r="BB17" t="n">
        <v>67260.08900000001</v>
      </c>
      <c r="BC17" t="n">
        <v>60132.994</v>
      </c>
      <c r="BD17" t="n">
        <v>59268.73</v>
      </c>
      <c r="BE17" t="n">
        <v>58179.238</v>
      </c>
      <c r="BF17" t="n">
        <v>40762.948</v>
      </c>
      <c r="BG17" t="n">
        <v>40684.147</v>
      </c>
      <c r="BH17" t="n">
        <v>40837.931</v>
      </c>
      <c r="BI17" t="n">
        <v>38140.231</v>
      </c>
      <c r="BJ17" t="n">
        <v>37362.996</v>
      </c>
      <c r="BK17" t="n">
        <v>41062.094</v>
      </c>
      <c r="BL17" t="n">
        <v>55777.493</v>
      </c>
      <c r="BM17" t="n">
        <v>57701.921</v>
      </c>
      <c r="BN17" t="n">
        <v>60505.18</v>
      </c>
      <c r="BO17" t="n">
        <v>63708.596</v>
      </c>
      <c r="BP17" t="n">
        <v>63416.057</v>
      </c>
      <c r="BQ17" t="n">
        <v>68075.85400000001</v>
      </c>
      <c r="BR17" t="n">
        <v>53842.941</v>
      </c>
      <c r="BS17" t="n">
        <v>71736.26300000001</v>
      </c>
      <c r="BT17" t="n">
        <v>67698.215</v>
      </c>
      <c r="BU17" t="n">
        <v>68785.912</v>
      </c>
      <c r="BV17" t="n">
        <v>64205.573</v>
      </c>
    </row>
    <row r="18">
      <c r="A18" t="inlineStr">
        <is>
          <t>Pleuronectidae</t>
        </is>
      </c>
      <c r="B18" t="inlineStr">
        <is>
          <t>Righteye flounders</t>
        </is>
      </c>
      <c r="C18" t="inlineStr">
        <is>
          <t>Small to medium flatfishes (&lt;90 cm)</t>
        </is>
      </c>
      <c r="D18" t="inlineStr">
        <is>
          <t>Flatfishes</t>
        </is>
      </c>
      <c r="E18" t="n">
        <v>32117.399</v>
      </c>
      <c r="F18" t="n">
        <v>35970.117</v>
      </c>
      <c r="G18" t="n">
        <v>34013.13</v>
      </c>
      <c r="H18" t="n">
        <v>36579.854</v>
      </c>
      <c r="I18" t="n">
        <v>36626.51</v>
      </c>
      <c r="J18" t="n">
        <v>35568.16</v>
      </c>
      <c r="K18" t="n">
        <v>36896.342</v>
      </c>
      <c r="L18" t="n">
        <v>38493.819</v>
      </c>
      <c r="M18" t="n">
        <v>42539.227</v>
      </c>
      <c r="N18" t="n">
        <v>55803.855</v>
      </c>
      <c r="O18" t="n">
        <v>107930.961</v>
      </c>
      <c r="P18" t="n">
        <v>138337.931</v>
      </c>
      <c r="Q18" t="n">
        <v>121394.406</v>
      </c>
      <c r="R18" t="n">
        <v>62158.342</v>
      </c>
      <c r="S18" t="n">
        <v>69129.93799999999</v>
      </c>
      <c r="T18" t="n">
        <v>61793.545</v>
      </c>
      <c r="U18" t="n">
        <v>72438.37300000001</v>
      </c>
      <c r="V18" t="n">
        <v>81912.39200000001</v>
      </c>
      <c r="W18" t="n">
        <v>73681.88</v>
      </c>
      <c r="X18" t="n">
        <v>84918.80899999999</v>
      </c>
      <c r="Y18" t="n">
        <v>85297.746</v>
      </c>
      <c r="Z18" t="n">
        <v>99333.762</v>
      </c>
      <c r="AA18" t="n">
        <v>101561.34</v>
      </c>
      <c r="AB18" t="n">
        <v>108641.652</v>
      </c>
      <c r="AC18" t="n">
        <v>102132.381</v>
      </c>
      <c r="AD18" t="n">
        <v>100804.617</v>
      </c>
      <c r="AE18" t="n">
        <v>103650.724</v>
      </c>
      <c r="AF18" t="n">
        <v>89822.28999999999</v>
      </c>
      <c r="AG18" t="n">
        <v>95298.53200000001</v>
      </c>
      <c r="AH18" t="n">
        <v>87954.895</v>
      </c>
      <c r="AI18" t="n">
        <v>87392.235</v>
      </c>
      <c r="AJ18" t="n">
        <v>91558.181</v>
      </c>
      <c r="AK18" t="n">
        <v>86850.443</v>
      </c>
      <c r="AL18" t="n">
        <v>82726.88499999999</v>
      </c>
      <c r="AM18" t="n">
        <v>84094.864</v>
      </c>
      <c r="AN18" t="n">
        <v>71309.53200000001</v>
      </c>
      <c r="AO18" t="n">
        <v>59805.044</v>
      </c>
      <c r="AP18" t="n">
        <v>43484.501</v>
      </c>
      <c r="AQ18" t="n">
        <v>39347.257</v>
      </c>
      <c r="AR18" t="n">
        <v>38711.837</v>
      </c>
      <c r="AS18" t="n">
        <v>37115.603</v>
      </c>
      <c r="AT18" t="n">
        <v>35984.491</v>
      </c>
      <c r="AU18" t="n">
        <v>37311.832</v>
      </c>
      <c r="AV18" t="n">
        <v>36508.071</v>
      </c>
      <c r="AW18" t="n">
        <v>33775.974</v>
      </c>
      <c r="AX18" t="n">
        <v>34321.107</v>
      </c>
      <c r="AY18" t="n">
        <v>35782.295</v>
      </c>
      <c r="AZ18" t="n">
        <v>34609.891</v>
      </c>
      <c r="BA18" t="n">
        <v>33926.773</v>
      </c>
      <c r="BB18" t="n">
        <v>32654.028</v>
      </c>
      <c r="BC18" t="n">
        <v>31975.826</v>
      </c>
      <c r="BD18" t="n">
        <v>29945.594</v>
      </c>
      <c r="BE18" t="n">
        <v>29554.826</v>
      </c>
      <c r="BF18" t="n">
        <v>27606.289</v>
      </c>
      <c r="BG18" t="n">
        <v>26337.102</v>
      </c>
      <c r="BH18" t="n">
        <v>20104.088</v>
      </c>
      <c r="BI18" t="n">
        <v>18541.835</v>
      </c>
      <c r="BJ18" t="n">
        <v>18346.552</v>
      </c>
      <c r="BK18" t="n">
        <v>18044.465</v>
      </c>
      <c r="BL18" t="n">
        <v>17349.923</v>
      </c>
      <c r="BM18" t="n">
        <v>16709.562</v>
      </c>
      <c r="BN18" t="n">
        <v>16673.438</v>
      </c>
      <c r="BO18" t="n">
        <v>16090.185</v>
      </c>
      <c r="BP18" t="n">
        <v>16141.92</v>
      </c>
      <c r="BQ18" t="n">
        <v>15787.772</v>
      </c>
      <c r="BR18" t="n">
        <v>14006.859</v>
      </c>
      <c r="BS18" t="n">
        <v>14341.333</v>
      </c>
      <c r="BT18" t="n">
        <v>15184.452</v>
      </c>
      <c r="BU18" t="n">
        <v>14403.849</v>
      </c>
      <c r="BV18" t="n">
        <v>13897.479</v>
      </c>
    </row>
    <row r="19">
      <c r="A19" t="inlineStr">
        <is>
          <t>Muraenesox cinereus</t>
        </is>
      </c>
      <c r="B19" t="inlineStr">
        <is>
          <t>Daggertooth pike conger</t>
        </is>
      </c>
      <c r="C19" t="inlineStr">
        <is>
          <t>Large demersals (&gt;=90 cm)</t>
        </is>
      </c>
      <c r="D19" t="inlineStr">
        <is>
          <t>Other fishes &amp; inverts</t>
        </is>
      </c>
      <c r="E19" t="n">
        <v>13352.574</v>
      </c>
      <c r="F19" t="n">
        <v>13394.258</v>
      </c>
      <c r="G19" t="n">
        <v>13679.835</v>
      </c>
      <c r="H19" t="n">
        <v>13314.437</v>
      </c>
      <c r="I19" t="n">
        <v>14143.333</v>
      </c>
      <c r="J19" t="n">
        <v>14075.406</v>
      </c>
      <c r="K19" t="n">
        <v>13344.079</v>
      </c>
      <c r="L19" t="n">
        <v>15279.088</v>
      </c>
      <c r="M19" t="n">
        <v>17956.466</v>
      </c>
      <c r="N19" t="n">
        <v>18511.351</v>
      </c>
      <c r="O19" t="n">
        <v>19146.447</v>
      </c>
      <c r="P19" t="n">
        <v>19892.421</v>
      </c>
      <c r="Q19" t="n">
        <v>19381.663</v>
      </c>
      <c r="R19" t="n">
        <v>19314.612</v>
      </c>
      <c r="S19" t="n">
        <v>17893.202</v>
      </c>
      <c r="T19" t="n">
        <v>18587.696</v>
      </c>
      <c r="U19" t="n">
        <v>20218.107</v>
      </c>
      <c r="V19" t="n">
        <v>17451.855</v>
      </c>
      <c r="W19" t="n">
        <v>16941.786</v>
      </c>
      <c r="X19" t="n">
        <v>17188.276</v>
      </c>
      <c r="Y19" t="n">
        <v>16186.146</v>
      </c>
      <c r="Z19" t="n">
        <v>17828.194</v>
      </c>
      <c r="AA19" t="n">
        <v>18373.477</v>
      </c>
      <c r="AB19" t="n">
        <v>17783.873</v>
      </c>
      <c r="AC19" t="n">
        <v>16534.379</v>
      </c>
      <c r="AD19" t="n">
        <v>18681.864</v>
      </c>
      <c r="AE19" t="n">
        <v>17716.09</v>
      </c>
      <c r="AF19" t="n">
        <v>19637.015</v>
      </c>
      <c r="AG19" t="n">
        <v>20592.4</v>
      </c>
      <c r="AH19" t="n">
        <v>16546.517</v>
      </c>
      <c r="AI19" t="n">
        <v>19287.858</v>
      </c>
      <c r="AJ19" t="n">
        <v>17991.641</v>
      </c>
      <c r="AK19" t="n">
        <v>17756.289</v>
      </c>
      <c r="AL19" t="n">
        <v>15462.45</v>
      </c>
      <c r="AM19" t="n">
        <v>16516.719</v>
      </c>
      <c r="AN19" t="n">
        <v>14586.365</v>
      </c>
      <c r="AO19" t="n">
        <v>13734.067</v>
      </c>
      <c r="AP19" t="n">
        <v>14154.07</v>
      </c>
      <c r="AQ19" t="n">
        <v>13487.183</v>
      </c>
      <c r="AR19" t="n">
        <v>12720.906</v>
      </c>
      <c r="AS19" t="n">
        <v>15868.715</v>
      </c>
      <c r="AT19" t="n">
        <v>18018.01</v>
      </c>
      <c r="AU19" t="n">
        <v>13983.514</v>
      </c>
      <c r="AV19" t="n">
        <v>23576.439</v>
      </c>
      <c r="AW19" t="n">
        <v>53641.22</v>
      </c>
      <c r="AX19" t="n">
        <v>56028.702</v>
      </c>
      <c r="AY19" t="n">
        <v>40642.827</v>
      </c>
      <c r="AZ19" t="n">
        <v>60113.755</v>
      </c>
      <c r="BA19" t="n">
        <v>78011.34299999999</v>
      </c>
      <c r="BB19" t="n">
        <v>81952.06</v>
      </c>
      <c r="BC19" t="n">
        <v>76368.754</v>
      </c>
      <c r="BD19" t="n">
        <v>78157.19100000001</v>
      </c>
      <c r="BE19" t="n">
        <v>81419.033</v>
      </c>
      <c r="BF19" t="n">
        <v>83810.105</v>
      </c>
      <c r="BG19" t="n">
        <v>104146.586</v>
      </c>
      <c r="BH19" t="n">
        <v>95819.306</v>
      </c>
      <c r="BI19" t="n">
        <v>135072.525</v>
      </c>
      <c r="BJ19" t="n">
        <v>119830.424</v>
      </c>
      <c r="BK19" t="n">
        <v>127523.02</v>
      </c>
      <c r="BL19" t="n">
        <v>123423.734</v>
      </c>
      <c r="BM19" t="n">
        <v>122671.491</v>
      </c>
      <c r="BN19" t="n">
        <v>143392.073</v>
      </c>
      <c r="BO19" t="n">
        <v>146059.818</v>
      </c>
      <c r="BP19" t="n">
        <v>137633.409</v>
      </c>
      <c r="BQ19" t="n">
        <v>154032.632</v>
      </c>
      <c r="BR19" t="n">
        <v>144025.359</v>
      </c>
      <c r="BS19" t="n">
        <v>139542.077</v>
      </c>
      <c r="BT19" t="n">
        <v>126415.274</v>
      </c>
      <c r="BU19" t="n">
        <v>122131.425</v>
      </c>
      <c r="BV19" t="n">
        <v>114956.772</v>
      </c>
    </row>
    <row r="20">
      <c r="A20" t="inlineStr">
        <is>
          <t>Pennahia argentata</t>
        </is>
      </c>
      <c r="B20" t="inlineStr">
        <is>
          <t>Silver croaker</t>
        </is>
      </c>
      <c r="C20" t="inlineStr">
        <is>
          <t>Medium benthopelagics (30 - 89 cm)</t>
        </is>
      </c>
      <c r="D20" t="inlineStr">
        <is>
          <t>Perch-likes</t>
        </is>
      </c>
      <c r="E20" t="n">
        <v>12522.599</v>
      </c>
      <c r="F20" t="n">
        <v>16669.335</v>
      </c>
      <c r="G20" t="n">
        <v>22605.545</v>
      </c>
      <c r="H20" t="n">
        <v>23275.093</v>
      </c>
      <c r="I20" t="n">
        <v>23008.433</v>
      </c>
      <c r="J20" t="n">
        <v>27442.95</v>
      </c>
      <c r="K20" t="n">
        <v>38437.029</v>
      </c>
      <c r="L20" t="n">
        <v>51836.73</v>
      </c>
      <c r="M20" t="n">
        <v>42287.522</v>
      </c>
      <c r="N20" t="n">
        <v>27979.716</v>
      </c>
      <c r="O20" t="n">
        <v>36368.322</v>
      </c>
      <c r="P20" t="n">
        <v>46337.137</v>
      </c>
      <c r="Q20" t="n">
        <v>52158.216</v>
      </c>
      <c r="R20" t="n">
        <v>53427.021</v>
      </c>
      <c r="S20" t="n">
        <v>54971.485</v>
      </c>
      <c r="T20" t="n">
        <v>51113.479</v>
      </c>
      <c r="U20" t="n">
        <v>44257.212</v>
      </c>
      <c r="V20" t="n">
        <v>37887.851</v>
      </c>
      <c r="W20" t="n">
        <v>36926.092</v>
      </c>
      <c r="X20" t="n">
        <v>27261.184</v>
      </c>
      <c r="Y20" t="n">
        <v>30392.616</v>
      </c>
      <c r="Z20" t="n">
        <v>36982.181</v>
      </c>
      <c r="AA20" t="n">
        <v>25718.488</v>
      </c>
      <c r="AB20" t="n">
        <v>25004.055</v>
      </c>
      <c r="AC20" t="n">
        <v>28299.357</v>
      </c>
      <c r="AD20" t="n">
        <v>24716.248</v>
      </c>
      <c r="AE20" t="n">
        <v>21869.082</v>
      </c>
      <c r="AF20" t="n">
        <v>18131.151</v>
      </c>
      <c r="AG20" t="n">
        <v>25396.808</v>
      </c>
      <c r="AH20" t="n">
        <v>22364.717</v>
      </c>
      <c r="AI20" t="n">
        <v>26805.247</v>
      </c>
      <c r="AJ20" t="n">
        <v>25442.496</v>
      </c>
      <c r="AK20" t="n">
        <v>21398.843</v>
      </c>
      <c r="AL20" t="n">
        <v>30634.2</v>
      </c>
      <c r="AM20" t="n">
        <v>30131.838</v>
      </c>
      <c r="AN20" t="n">
        <v>24152.595</v>
      </c>
      <c r="AO20" t="n">
        <v>28123.546</v>
      </c>
      <c r="AP20" t="n">
        <v>29176.659</v>
      </c>
      <c r="AQ20" t="n">
        <v>43070.292</v>
      </c>
      <c r="AR20" t="n">
        <v>39253.73</v>
      </c>
      <c r="AS20" t="n">
        <v>25071.549</v>
      </c>
      <c r="AT20" t="n">
        <v>18143.366</v>
      </c>
      <c r="AU20" t="n">
        <v>27496.364</v>
      </c>
      <c r="AV20" t="n">
        <v>32333.023</v>
      </c>
      <c r="AW20" t="n">
        <v>51601.427</v>
      </c>
      <c r="AX20" t="n">
        <v>42433.788</v>
      </c>
      <c r="AY20" t="n">
        <v>67002.314</v>
      </c>
      <c r="AZ20" t="n">
        <v>40288.598</v>
      </c>
      <c r="BA20" t="n">
        <v>30104.561</v>
      </c>
      <c r="BB20" t="n">
        <v>30173.543</v>
      </c>
      <c r="BC20" t="n">
        <v>20362.579</v>
      </c>
      <c r="BD20" t="n">
        <v>19030.19</v>
      </c>
      <c r="BE20" t="n">
        <v>16211.699</v>
      </c>
      <c r="BF20" t="n">
        <v>81851.299</v>
      </c>
      <c r="BG20" t="n">
        <v>85827.42999999999</v>
      </c>
      <c r="BH20" t="n">
        <v>81917.341</v>
      </c>
      <c r="BI20" t="n">
        <v>103263.217</v>
      </c>
      <c r="BJ20" t="n">
        <v>97392.997</v>
      </c>
      <c r="BK20" t="n">
        <v>112347.614</v>
      </c>
      <c r="BL20" t="n">
        <v>113122.293</v>
      </c>
      <c r="BM20" t="n">
        <v>115440.994</v>
      </c>
      <c r="BN20" t="n">
        <v>110311.404</v>
      </c>
      <c r="BO20" t="n">
        <v>109494.435</v>
      </c>
      <c r="BP20" t="n">
        <v>108890.516</v>
      </c>
      <c r="BQ20" t="n">
        <v>99020.867</v>
      </c>
      <c r="BR20" t="n">
        <v>97730.5</v>
      </c>
      <c r="BS20" t="n">
        <v>92250.939</v>
      </c>
      <c r="BT20" t="n">
        <v>85117.92</v>
      </c>
      <c r="BU20" t="n">
        <v>86156.33900000001</v>
      </c>
      <c r="BV20" t="n">
        <v>81103.185</v>
      </c>
    </row>
    <row r="21">
      <c r="A21" t="inlineStr">
        <is>
          <t>Gadus macrocephalus</t>
        </is>
      </c>
      <c r="B21" t="inlineStr">
        <is>
          <t>Pacific cod</t>
        </is>
      </c>
      <c r="C21" t="inlineStr">
        <is>
          <t>Large demersals (&gt;=90 cm)</t>
        </is>
      </c>
      <c r="D21" t="inlineStr">
        <is>
          <t>Cod-likes</t>
        </is>
      </c>
      <c r="E21" t="n">
        <v>23658.924</v>
      </c>
      <c r="F21" t="n">
        <v>21463.975</v>
      </c>
      <c r="G21" t="n">
        <v>21047.252</v>
      </c>
      <c r="H21" t="n">
        <v>21442.829</v>
      </c>
      <c r="I21" t="n">
        <v>19639.84</v>
      </c>
      <c r="J21" t="n">
        <v>27839.045</v>
      </c>
      <c r="K21" t="n">
        <v>28999.717</v>
      </c>
      <c r="L21" t="n">
        <v>46078.942</v>
      </c>
      <c r="M21" t="n">
        <v>41460.889</v>
      </c>
      <c r="N21" t="n">
        <v>45993.955</v>
      </c>
      <c r="O21" t="n">
        <v>46189.052</v>
      </c>
      <c r="P21" t="n">
        <v>45811.119</v>
      </c>
      <c r="Q21" t="n">
        <v>51787.879</v>
      </c>
      <c r="R21" t="n">
        <v>55338.786</v>
      </c>
      <c r="S21" t="n">
        <v>61459.094</v>
      </c>
      <c r="T21" t="n">
        <v>58834.314</v>
      </c>
      <c r="U21" t="n">
        <v>55910.12</v>
      </c>
      <c r="V21" t="n">
        <v>62495.243</v>
      </c>
      <c r="W21" t="n">
        <v>70656.227</v>
      </c>
      <c r="X21" t="n">
        <v>65946.626</v>
      </c>
      <c r="Y21" t="n">
        <v>75294.47900000001</v>
      </c>
      <c r="Z21" t="n">
        <v>63488.476</v>
      </c>
      <c r="AA21" t="n">
        <v>58214.947</v>
      </c>
      <c r="AB21" t="n">
        <v>70849.075</v>
      </c>
      <c r="AC21" t="n">
        <v>72214.27499999999</v>
      </c>
      <c r="AD21" t="n">
        <v>63760.409</v>
      </c>
      <c r="AE21" t="n">
        <v>62046.358</v>
      </c>
      <c r="AF21" t="n">
        <v>58469.962</v>
      </c>
      <c r="AG21" t="n">
        <v>61560.017</v>
      </c>
      <c r="AH21" t="n">
        <v>62900.805</v>
      </c>
      <c r="AI21" t="n">
        <v>64639.301</v>
      </c>
      <c r="AJ21" t="n">
        <v>69505.239</v>
      </c>
      <c r="AK21" t="n">
        <v>66744.15700000001</v>
      </c>
      <c r="AL21" t="n">
        <v>69989.88</v>
      </c>
      <c r="AM21" t="n">
        <v>75836.639</v>
      </c>
      <c r="AN21" t="n">
        <v>78420.58500000001</v>
      </c>
      <c r="AO21" t="n">
        <v>67466.003</v>
      </c>
      <c r="AP21" t="n">
        <v>73660.01300000001</v>
      </c>
      <c r="AQ21" t="n">
        <v>45711.071</v>
      </c>
      <c r="AR21" t="n">
        <v>45370.526</v>
      </c>
      <c r="AS21" t="n">
        <v>45607.436</v>
      </c>
      <c r="AT21" t="n">
        <v>38656.437</v>
      </c>
      <c r="AU21" t="n">
        <v>53599.103</v>
      </c>
      <c r="AV21" t="n">
        <v>42667.411</v>
      </c>
      <c r="AW21" t="n">
        <v>43970.491</v>
      </c>
      <c r="AX21" t="n">
        <v>39012.906</v>
      </c>
      <c r="AY21" t="n">
        <v>39764.618</v>
      </c>
      <c r="AZ21" t="n">
        <v>40631.939</v>
      </c>
      <c r="BA21" t="n">
        <v>40215.633</v>
      </c>
      <c r="BB21" t="n">
        <v>39065.69</v>
      </c>
      <c r="BC21" t="n">
        <v>36270.978</v>
      </c>
      <c r="BD21" t="n">
        <v>31874.25</v>
      </c>
      <c r="BE21" t="n">
        <v>23421.853</v>
      </c>
      <c r="BF21" t="n">
        <v>25012.178</v>
      </c>
      <c r="BG21" t="n">
        <v>28042.821</v>
      </c>
      <c r="BH21" t="n">
        <v>34800.419</v>
      </c>
      <c r="BI21" t="n">
        <v>34523.453</v>
      </c>
      <c r="BJ21" t="n">
        <v>34064.932</v>
      </c>
      <c r="BK21" t="n">
        <v>29238.458</v>
      </c>
      <c r="BL21" t="n">
        <v>34596.409</v>
      </c>
      <c r="BM21" t="n">
        <v>38914.286</v>
      </c>
      <c r="BN21" t="n">
        <v>34481.799</v>
      </c>
      <c r="BO21" t="n">
        <v>36350.395</v>
      </c>
      <c r="BP21" t="n">
        <v>43150.004</v>
      </c>
      <c r="BQ21" t="n">
        <v>39893.339</v>
      </c>
      <c r="BR21" t="n">
        <v>35280.3</v>
      </c>
      <c r="BS21" t="n">
        <v>31446.605</v>
      </c>
      <c r="BT21" t="n">
        <v>31574.497</v>
      </c>
      <c r="BU21" t="n">
        <v>34928.306</v>
      </c>
      <c r="BV21" t="n">
        <v>37357.069</v>
      </c>
    </row>
    <row r="22">
      <c r="A22" t="inlineStr">
        <is>
          <t>Monacanthidae</t>
        </is>
      </c>
      <c r="B22" t="inlineStr">
        <is>
          <t>Filefishes</t>
        </is>
      </c>
      <c r="C22" t="inlineStr">
        <is>
          <t>Medium reef assoc. fish (30 - 89 cm)</t>
        </is>
      </c>
      <c r="D22" t="inlineStr">
        <is>
          <t>Other fishes &amp; inverts</t>
        </is>
      </c>
      <c r="E22" t="n">
        <v>0</v>
      </c>
      <c r="F22" t="n">
        <v>0</v>
      </c>
      <c r="G22" t="n">
        <v>0</v>
      </c>
      <c r="H22" t="n">
        <v>0</v>
      </c>
      <c r="I22" t="n">
        <v>0</v>
      </c>
      <c r="J22" t="n">
        <v>0</v>
      </c>
      <c r="K22" t="n">
        <v>0</v>
      </c>
      <c r="L22" t="n">
        <v>0</v>
      </c>
      <c r="M22" t="n">
        <v>0</v>
      </c>
      <c r="N22" t="n">
        <v>0</v>
      </c>
      <c r="O22" t="n">
        <v>0</v>
      </c>
      <c r="P22" t="n">
        <v>0</v>
      </c>
      <c r="Q22" t="n">
        <v>0.928</v>
      </c>
      <c r="R22" t="n">
        <v>0</v>
      </c>
      <c r="S22" t="n">
        <v>0</v>
      </c>
      <c r="T22" t="n">
        <v>0</v>
      </c>
      <c r="U22" t="n">
        <v>2.485</v>
      </c>
      <c r="V22" t="n">
        <v>0</v>
      </c>
      <c r="W22" t="n">
        <v>0.91</v>
      </c>
      <c r="X22" t="n">
        <v>0.546</v>
      </c>
      <c r="Y22" t="n">
        <v>1.01</v>
      </c>
      <c r="Z22" t="n">
        <v>1.708</v>
      </c>
      <c r="AA22" t="n">
        <v>0</v>
      </c>
      <c r="AB22" t="n">
        <v>0</v>
      </c>
      <c r="AC22" t="n">
        <v>3.974</v>
      </c>
      <c r="AD22" t="n">
        <v>1.251</v>
      </c>
      <c r="AE22" t="n">
        <v>2.125</v>
      </c>
      <c r="AF22" t="n">
        <v>67858.97500000001</v>
      </c>
      <c r="AG22" t="n">
        <v>88373.121</v>
      </c>
      <c r="AH22" t="n">
        <v>28607.111</v>
      </c>
      <c r="AI22" t="n">
        <v>44899.564</v>
      </c>
      <c r="AJ22" t="n">
        <v>56850.09</v>
      </c>
      <c r="AK22" t="n">
        <v>69578.015</v>
      </c>
      <c r="AL22" t="n">
        <v>36467.632</v>
      </c>
      <c r="AM22" t="n">
        <v>89011.505</v>
      </c>
      <c r="AN22" t="n">
        <v>74635.061</v>
      </c>
      <c r="AO22" t="n">
        <v>139412.885</v>
      </c>
      <c r="AP22" t="n">
        <v>136877.018</v>
      </c>
      <c r="AQ22" t="n">
        <v>88905.829</v>
      </c>
      <c r="AR22" t="n">
        <v>140761.371</v>
      </c>
      <c r="AS22" t="n">
        <v>119065.013</v>
      </c>
      <c r="AT22" t="n">
        <v>102546.432</v>
      </c>
      <c r="AU22" t="n">
        <v>56981.88</v>
      </c>
      <c r="AV22" t="n">
        <v>35834.081</v>
      </c>
      <c r="AW22" t="n">
        <v>71639.452</v>
      </c>
      <c r="AX22" t="n">
        <v>45114.417</v>
      </c>
      <c r="AY22" t="n">
        <v>75439.00599999999</v>
      </c>
      <c r="AZ22" t="n">
        <v>95712.121</v>
      </c>
      <c r="BA22" t="n">
        <v>74659.82799999999</v>
      </c>
      <c r="BB22" t="n">
        <v>78068.262</v>
      </c>
      <c r="BC22" t="n">
        <v>71600.692</v>
      </c>
      <c r="BD22" t="n">
        <v>62997.464</v>
      </c>
      <c r="BE22" t="n">
        <v>49801.612</v>
      </c>
      <c r="BF22" t="n">
        <v>58188.55</v>
      </c>
      <c r="BG22" t="n">
        <v>63326.604</v>
      </c>
      <c r="BH22" t="n">
        <v>79031.98</v>
      </c>
      <c r="BI22" t="n">
        <v>68697.03200000001</v>
      </c>
      <c r="BJ22" t="n">
        <v>65240.82</v>
      </c>
      <c r="BK22" t="n">
        <v>67814.299</v>
      </c>
      <c r="BL22" t="n">
        <v>68934.083</v>
      </c>
      <c r="BM22" t="n">
        <v>66589.92</v>
      </c>
      <c r="BN22" t="n">
        <v>74108.417</v>
      </c>
      <c r="BO22" t="n">
        <v>72450.803</v>
      </c>
      <c r="BP22" t="n">
        <v>64655.609</v>
      </c>
      <c r="BQ22" t="n">
        <v>72505.04300000001</v>
      </c>
      <c r="BR22" t="n">
        <v>64315.152</v>
      </c>
      <c r="BS22" t="n">
        <v>57628.4</v>
      </c>
      <c r="BT22" t="n">
        <v>53573.618</v>
      </c>
      <c r="BU22" t="n">
        <v>47337.433</v>
      </c>
      <c r="BV22" t="n">
        <v>43439.964</v>
      </c>
    </row>
    <row r="23">
      <c r="A23" t="inlineStr">
        <is>
          <t>Pampus</t>
        </is>
      </c>
      <c r="B23" t="inlineStr">
        <is>
          <t>Silver pomfrets</t>
        </is>
      </c>
      <c r="C23" t="inlineStr">
        <is>
          <t>Medium benthopelagics (30 - 89 cm)</t>
        </is>
      </c>
      <c r="D23" t="inlineStr">
        <is>
          <t>Perch-likes</t>
        </is>
      </c>
      <c r="E23" t="n">
        <v>0</v>
      </c>
      <c r="F23" t="n">
        <v>0</v>
      </c>
      <c r="G23" t="n">
        <v>0</v>
      </c>
      <c r="H23" t="n">
        <v>0</v>
      </c>
      <c r="I23" t="n">
        <v>0</v>
      </c>
      <c r="J23" t="n">
        <v>0</v>
      </c>
      <c r="K23" t="n">
        <v>0</v>
      </c>
      <c r="L23" t="n">
        <v>0.252</v>
      </c>
      <c r="M23" t="n">
        <v>0</v>
      </c>
      <c r="N23" t="n">
        <v>0</v>
      </c>
      <c r="O23" t="n">
        <v>0</v>
      </c>
      <c r="P23" t="n">
        <v>0</v>
      </c>
      <c r="Q23" t="n">
        <v>0</v>
      </c>
      <c r="R23" t="n">
        <v>0</v>
      </c>
      <c r="S23" t="n">
        <v>3.378</v>
      </c>
      <c r="T23" t="n">
        <v>0</v>
      </c>
      <c r="U23" t="n">
        <v>0</v>
      </c>
      <c r="V23" t="n">
        <v>0</v>
      </c>
      <c r="W23" t="n">
        <v>0</v>
      </c>
      <c r="X23" t="n">
        <v>0</v>
      </c>
      <c r="Y23" t="n">
        <v>0.145</v>
      </c>
      <c r="Z23" t="n">
        <v>0</v>
      </c>
      <c r="AA23" t="n">
        <v>0.434</v>
      </c>
      <c r="AB23" t="n">
        <v>0.07199999999999999</v>
      </c>
      <c r="AC23" t="n">
        <v>0</v>
      </c>
      <c r="AD23" t="n">
        <v>271.527</v>
      </c>
      <c r="AE23" t="n">
        <v>0</v>
      </c>
      <c r="AF23" t="n">
        <v>0.305</v>
      </c>
      <c r="AG23" t="n">
        <v>8599.871999999999</v>
      </c>
      <c r="AH23" t="n">
        <v>12189.72</v>
      </c>
      <c r="AI23" t="n">
        <v>12314.326</v>
      </c>
      <c r="AJ23" t="n">
        <v>12077.39</v>
      </c>
      <c r="AK23" t="n">
        <v>15721.561</v>
      </c>
      <c r="AL23" t="n">
        <v>12835.779</v>
      </c>
      <c r="AM23" t="n">
        <v>15555.059</v>
      </c>
      <c r="AN23" t="n">
        <v>18804.535</v>
      </c>
      <c r="AO23" t="n">
        <v>21021.362</v>
      </c>
      <c r="AP23" t="n">
        <v>27477.192</v>
      </c>
      <c r="AQ23" t="n">
        <v>19277.996</v>
      </c>
      <c r="AR23" t="n">
        <v>22686.97</v>
      </c>
      <c r="AS23" t="n">
        <v>25002.071</v>
      </c>
      <c r="AT23" t="n">
        <v>29038.215</v>
      </c>
      <c r="AU23" t="n">
        <v>22211.957</v>
      </c>
      <c r="AV23" t="n">
        <v>36115.664</v>
      </c>
      <c r="AW23" t="n">
        <v>42482.386</v>
      </c>
      <c r="AX23" t="n">
        <v>65995.985</v>
      </c>
      <c r="AY23" t="n">
        <v>63183.798</v>
      </c>
      <c r="AZ23" t="n">
        <v>64552.737</v>
      </c>
      <c r="BA23" t="n">
        <v>87673.49400000001</v>
      </c>
      <c r="BB23" t="n">
        <v>97519.931</v>
      </c>
      <c r="BC23" t="n">
        <v>96994.527</v>
      </c>
      <c r="BD23" t="n">
        <v>103077.632</v>
      </c>
      <c r="BE23" t="n">
        <v>114877.903</v>
      </c>
      <c r="BF23" t="n">
        <v>99784.713</v>
      </c>
      <c r="BG23" t="n">
        <v>113123.51</v>
      </c>
      <c r="BH23" t="n">
        <v>119027.575</v>
      </c>
      <c r="BI23" t="n">
        <v>114165.124</v>
      </c>
      <c r="BJ23" t="n">
        <v>116400.762</v>
      </c>
      <c r="BK23" t="n">
        <v>125866.628</v>
      </c>
      <c r="BL23" t="n">
        <v>113807.724</v>
      </c>
      <c r="BM23" t="n">
        <v>110982.732</v>
      </c>
      <c r="BN23" t="n">
        <v>121401.954</v>
      </c>
      <c r="BO23" t="n">
        <v>112866.605</v>
      </c>
      <c r="BP23" t="n">
        <v>99741.698</v>
      </c>
      <c r="BQ23" t="n">
        <v>109173.559</v>
      </c>
      <c r="BR23" t="n">
        <v>105873.082</v>
      </c>
      <c r="BS23" t="n">
        <v>100967.259</v>
      </c>
      <c r="BT23" t="n">
        <v>100686.412</v>
      </c>
      <c r="BU23" t="n">
        <v>99590.622</v>
      </c>
      <c r="BV23" t="n">
        <v>99753.959</v>
      </c>
    </row>
    <row r="24">
      <c r="A24" t="inlineStr">
        <is>
          <t>Bivalvia</t>
        </is>
      </c>
      <c r="B24" t="inlineStr">
        <is>
          <t>Clams</t>
        </is>
      </c>
      <c r="C24" t="inlineStr">
        <is>
          <t>Other demersal invertebrates</t>
        </is>
      </c>
      <c r="D24" t="inlineStr">
        <is>
          <t>Molluscs</t>
        </is>
      </c>
      <c r="E24" t="n">
        <v>28557.626</v>
      </c>
      <c r="F24" t="n">
        <v>29066.464</v>
      </c>
      <c r="G24" t="n">
        <v>29172.343</v>
      </c>
      <c r="H24" t="n">
        <v>31906.091</v>
      </c>
      <c r="I24" t="n">
        <v>32038.232</v>
      </c>
      <c r="J24" t="n">
        <v>36567.298</v>
      </c>
      <c r="K24" t="n">
        <v>45626.073</v>
      </c>
      <c r="L24" t="n">
        <v>45887.58</v>
      </c>
      <c r="M24" t="n">
        <v>42601.747</v>
      </c>
      <c r="N24" t="n">
        <v>46994.076</v>
      </c>
      <c r="O24" t="n">
        <v>55222.51</v>
      </c>
      <c r="P24" t="n">
        <v>56761.431</v>
      </c>
      <c r="Q24" t="n">
        <v>54150.348</v>
      </c>
      <c r="R24" t="n">
        <v>60496.948</v>
      </c>
      <c r="S24" t="n">
        <v>52680.523</v>
      </c>
      <c r="T24" t="n">
        <v>56707.562</v>
      </c>
      <c r="U24" t="n">
        <v>66720.197</v>
      </c>
      <c r="V24" t="n">
        <v>58930.727</v>
      </c>
      <c r="W24" t="n">
        <v>56558.584</v>
      </c>
      <c r="X24" t="n">
        <v>59497.918</v>
      </c>
      <c r="Y24" t="n">
        <v>63301.543</v>
      </c>
      <c r="Z24" t="n">
        <v>53541.516</v>
      </c>
      <c r="AA24" t="n">
        <v>62564.002</v>
      </c>
      <c r="AB24" t="n">
        <v>55143.418</v>
      </c>
      <c r="AC24" t="n">
        <v>56185.117</v>
      </c>
      <c r="AD24" t="n">
        <v>52375.511</v>
      </c>
      <c r="AE24" t="n">
        <v>70244.215</v>
      </c>
      <c r="AF24" t="n">
        <v>69658.678</v>
      </c>
      <c r="AG24" t="n">
        <v>65446.452</v>
      </c>
      <c r="AH24" t="n">
        <v>62258.381</v>
      </c>
      <c r="AI24" t="n">
        <v>59128.969</v>
      </c>
      <c r="AJ24" t="n">
        <v>61105.589</v>
      </c>
      <c r="AK24" t="n">
        <v>59334.152</v>
      </c>
      <c r="AL24" t="n">
        <v>59797.671</v>
      </c>
      <c r="AM24" t="n">
        <v>57312.983</v>
      </c>
      <c r="AN24" t="n">
        <v>57435.62</v>
      </c>
      <c r="AO24" t="n">
        <v>56113.813</v>
      </c>
      <c r="AP24" t="n">
        <v>49581.242</v>
      </c>
      <c r="AQ24" t="n">
        <v>52026.043</v>
      </c>
      <c r="AR24" t="n">
        <v>44240.904</v>
      </c>
      <c r="AS24" t="n">
        <v>46702.782</v>
      </c>
      <c r="AT24" t="n">
        <v>40654.686</v>
      </c>
      <c r="AU24" t="n">
        <v>38163.51</v>
      </c>
      <c r="AV24" t="n">
        <v>38808.68</v>
      </c>
      <c r="AW24" t="n">
        <v>36974.059</v>
      </c>
      <c r="AX24" t="n">
        <v>38528.689</v>
      </c>
      <c r="AY24" t="n">
        <v>42663.698</v>
      </c>
      <c r="AZ24" t="n">
        <v>26110.452</v>
      </c>
      <c r="BA24" t="n">
        <v>31149.155</v>
      </c>
      <c r="BB24" t="n">
        <v>26843.798</v>
      </c>
      <c r="BC24" t="n">
        <v>23618.663</v>
      </c>
      <c r="BD24" t="n">
        <v>24071.064</v>
      </c>
      <c r="BE24" t="n">
        <v>23632.71</v>
      </c>
      <c r="BF24" t="n">
        <v>26319.106</v>
      </c>
      <c r="BG24" t="n">
        <v>25386.133</v>
      </c>
      <c r="BH24" t="n">
        <v>21360.806</v>
      </c>
      <c r="BI24" t="n">
        <v>20554.488</v>
      </c>
      <c r="BJ24" t="n">
        <v>24775.123</v>
      </c>
      <c r="BK24" t="n">
        <v>21567.127</v>
      </c>
      <c r="BL24" t="n">
        <v>21134.844</v>
      </c>
      <c r="BM24" t="n">
        <v>21434.801</v>
      </c>
      <c r="BN24" t="n">
        <v>21033.376</v>
      </c>
      <c r="BO24" t="n">
        <v>19254.81</v>
      </c>
      <c r="BP24" t="n">
        <v>18525.998</v>
      </c>
      <c r="BQ24" t="n">
        <v>17418.466</v>
      </c>
      <c r="BR24" t="n">
        <v>16339.386</v>
      </c>
      <c r="BS24" t="n">
        <v>15576.736</v>
      </c>
      <c r="BT24" t="n">
        <v>14634.155</v>
      </c>
      <c r="BU24" t="n">
        <v>12890.856</v>
      </c>
      <c r="BV24" t="n">
        <v>14347.83</v>
      </c>
    </row>
    <row r="25">
      <c r="A25" t="inlineStr">
        <is>
          <t>Trachysalambria curvirostris</t>
        </is>
      </c>
      <c r="B25" t="inlineStr">
        <is>
          <t>Southern rough shrimp</t>
        </is>
      </c>
      <c r="C25" t="inlineStr">
        <is>
          <t>Shrimps</t>
        </is>
      </c>
      <c r="D25" t="inlineStr">
        <is>
          <t>Crustaceans</t>
        </is>
      </c>
      <c r="E25" t="n">
        <v>328.395</v>
      </c>
      <c r="F25" t="n">
        <v>448.191</v>
      </c>
      <c r="G25" t="n">
        <v>442.53</v>
      </c>
      <c r="H25" t="n">
        <v>404.928</v>
      </c>
      <c r="I25" t="n">
        <v>394.116</v>
      </c>
      <c r="J25" t="n">
        <v>413.96</v>
      </c>
      <c r="K25" t="n">
        <v>689.6900000000001</v>
      </c>
      <c r="L25" t="n">
        <v>634.111</v>
      </c>
      <c r="M25" t="n">
        <v>623.511</v>
      </c>
      <c r="N25" t="n">
        <v>606.1319999999999</v>
      </c>
      <c r="O25" t="n">
        <v>552.265</v>
      </c>
      <c r="P25" t="n">
        <v>691.929</v>
      </c>
      <c r="Q25" t="n">
        <v>702.187</v>
      </c>
      <c r="R25" t="n">
        <v>710.175</v>
      </c>
      <c r="S25" t="n">
        <v>834.659</v>
      </c>
      <c r="T25" t="n">
        <v>887.158</v>
      </c>
      <c r="U25" t="n">
        <v>856.902</v>
      </c>
      <c r="V25" t="n">
        <v>1051.278</v>
      </c>
      <c r="W25" t="n">
        <v>2915.759</v>
      </c>
      <c r="X25" t="n">
        <v>3301.858</v>
      </c>
      <c r="Y25" t="n">
        <v>3472.199</v>
      </c>
      <c r="Z25" t="n">
        <v>4740.707</v>
      </c>
      <c r="AA25" t="n">
        <v>8230.050999999999</v>
      </c>
      <c r="AB25" t="n">
        <v>6644.93</v>
      </c>
      <c r="AC25" t="n">
        <v>6022.715</v>
      </c>
      <c r="AD25" t="n">
        <v>6132.613</v>
      </c>
      <c r="AE25" t="n">
        <v>6831.741</v>
      </c>
      <c r="AF25" t="n">
        <v>8822.132</v>
      </c>
      <c r="AG25" t="n">
        <v>10717.468</v>
      </c>
      <c r="AH25" t="n">
        <v>9692.454</v>
      </c>
      <c r="AI25" t="n">
        <v>8926.200000000001</v>
      </c>
      <c r="AJ25" t="n">
        <v>6246.969</v>
      </c>
      <c r="AK25" t="n">
        <v>10999.611</v>
      </c>
      <c r="AL25" t="n">
        <v>12910.096</v>
      </c>
      <c r="AM25" t="n">
        <v>14247.826</v>
      </c>
      <c r="AN25" t="n">
        <v>29239.862</v>
      </c>
      <c r="AO25" t="n">
        <v>44368.022</v>
      </c>
      <c r="AP25" t="n">
        <v>36117.425</v>
      </c>
      <c r="AQ25" t="n">
        <v>42785.442</v>
      </c>
      <c r="AR25" t="n">
        <v>24620.109</v>
      </c>
      <c r="AS25" t="n">
        <v>30119.741</v>
      </c>
      <c r="AT25" t="n">
        <v>28653.729</v>
      </c>
      <c r="AU25" t="n">
        <v>31150.52</v>
      </c>
      <c r="AV25" t="n">
        <v>37883.01</v>
      </c>
      <c r="AW25" t="n">
        <v>50724.349</v>
      </c>
      <c r="AX25" t="n">
        <v>47520.016</v>
      </c>
      <c r="AY25" t="n">
        <v>35886.109</v>
      </c>
      <c r="AZ25" t="n">
        <v>50503.525</v>
      </c>
      <c r="BA25" t="n">
        <v>48705.02</v>
      </c>
      <c r="BB25" t="n">
        <v>125248.611</v>
      </c>
      <c r="BC25" t="n">
        <v>96634.306</v>
      </c>
      <c r="BD25" t="n">
        <v>75162.92999999999</v>
      </c>
      <c r="BE25" t="n">
        <v>72318.541</v>
      </c>
      <c r="BF25" t="n">
        <v>116588.689</v>
      </c>
      <c r="BG25" t="n">
        <v>91620.662</v>
      </c>
      <c r="BH25" t="n">
        <v>131328.624</v>
      </c>
      <c r="BI25" t="n">
        <v>120340.802</v>
      </c>
      <c r="BJ25" t="n">
        <v>125747.764</v>
      </c>
      <c r="BK25" t="n">
        <v>113110.296</v>
      </c>
      <c r="BL25" t="n">
        <v>90020.97900000001</v>
      </c>
      <c r="BM25" t="n">
        <v>91976.213</v>
      </c>
      <c r="BN25" t="n">
        <v>105904.602</v>
      </c>
      <c r="BO25" t="n">
        <v>113381.765</v>
      </c>
      <c r="BP25" t="n">
        <v>106964.285</v>
      </c>
      <c r="BQ25" t="n">
        <v>117776.489</v>
      </c>
      <c r="BR25" t="n">
        <v>119627.958</v>
      </c>
      <c r="BS25" t="n">
        <v>102248.12</v>
      </c>
      <c r="BT25" t="n">
        <v>93194.336</v>
      </c>
      <c r="BU25" t="n">
        <v>81175.649</v>
      </c>
      <c r="BV25" t="n">
        <v>79332.337</v>
      </c>
    </row>
    <row r="26">
      <c r="A26" t="inlineStr">
        <is>
          <t>Nemipterus</t>
        </is>
      </c>
      <c r="B26" t="inlineStr">
        <is>
          <t>Threadfin breams</t>
        </is>
      </c>
      <c r="C26" t="inlineStr">
        <is>
          <t>Small demersals (&lt;30 cm)</t>
        </is>
      </c>
      <c r="D26" t="inlineStr">
        <is>
          <t>Perch-likes</t>
        </is>
      </c>
      <c r="E26" t="n">
        <v>1578.938</v>
      </c>
      <c r="F26" t="n">
        <v>1584.137</v>
      </c>
      <c r="G26" t="n">
        <v>1587.301</v>
      </c>
      <c r="H26" t="n">
        <v>1432.351</v>
      </c>
      <c r="I26" t="n">
        <v>1356.356</v>
      </c>
      <c r="J26" t="n">
        <v>1999.923</v>
      </c>
      <c r="K26" t="n">
        <v>1604.175</v>
      </c>
      <c r="L26" t="n">
        <v>1769.268</v>
      </c>
      <c r="M26" t="n">
        <v>1370.785</v>
      </c>
      <c r="N26" t="n">
        <v>1212.722</v>
      </c>
      <c r="O26" t="n">
        <v>1053.813</v>
      </c>
      <c r="P26" t="n">
        <v>1462.997</v>
      </c>
      <c r="Q26" t="n">
        <v>651.946</v>
      </c>
      <c r="R26" t="n">
        <v>735.3869999999999</v>
      </c>
      <c r="S26" t="n">
        <v>491.56</v>
      </c>
      <c r="T26" t="n">
        <v>410.722</v>
      </c>
      <c r="U26" t="n">
        <v>411.813</v>
      </c>
      <c r="V26" t="n">
        <v>990.98</v>
      </c>
      <c r="W26" t="n">
        <v>2401.238</v>
      </c>
      <c r="X26" t="n">
        <v>2407.628</v>
      </c>
      <c r="Y26" t="n">
        <v>1748.096</v>
      </c>
      <c r="Z26" t="n">
        <v>1837.837</v>
      </c>
      <c r="AA26" t="n">
        <v>2008.483</v>
      </c>
      <c r="AB26" t="n">
        <v>1846.017</v>
      </c>
      <c r="AC26" t="n">
        <v>1878.704</v>
      </c>
      <c r="AD26" t="n">
        <v>2452.291</v>
      </c>
      <c r="AE26" t="n">
        <v>3799.189</v>
      </c>
      <c r="AF26" t="n">
        <v>4163.299</v>
      </c>
      <c r="AG26" t="n">
        <v>3009.79</v>
      </c>
      <c r="AH26" t="n">
        <v>2542.492</v>
      </c>
      <c r="AI26" t="n">
        <v>1678.186</v>
      </c>
      <c r="AJ26" t="n">
        <v>1346.389</v>
      </c>
      <c r="AK26" t="n">
        <v>1555.054</v>
      </c>
      <c r="AL26" t="n">
        <v>2004.324</v>
      </c>
      <c r="AM26" t="n">
        <v>3056.833</v>
      </c>
      <c r="AN26" t="n">
        <v>2454.898</v>
      </c>
      <c r="AO26" t="n">
        <v>2667.599</v>
      </c>
      <c r="AP26" t="n">
        <v>1937.475</v>
      </c>
      <c r="AQ26" t="n">
        <v>1533.197</v>
      </c>
      <c r="AR26" t="n">
        <v>1542.664</v>
      </c>
      <c r="AS26" t="n">
        <v>1505.08</v>
      </c>
      <c r="AT26" t="n">
        <v>1470.23</v>
      </c>
      <c r="AU26" t="n">
        <v>834.568</v>
      </c>
      <c r="AV26" t="n">
        <v>595.099</v>
      </c>
      <c r="AW26" t="n">
        <v>1173.817</v>
      </c>
      <c r="AX26" t="n">
        <v>82656.724</v>
      </c>
      <c r="AY26" t="n">
        <v>49684.74</v>
      </c>
      <c r="AZ26" t="n">
        <v>78974.427</v>
      </c>
      <c r="BA26" t="n">
        <v>81924.626</v>
      </c>
      <c r="BB26" t="n">
        <v>83407.5</v>
      </c>
      <c r="BC26" t="n">
        <v>98482.75999999999</v>
      </c>
      <c r="BD26" t="n">
        <v>90578.553</v>
      </c>
      <c r="BE26" t="n">
        <v>96802.924</v>
      </c>
      <c r="BF26" t="n">
        <v>125165.573</v>
      </c>
      <c r="BG26" t="n">
        <v>109618.755</v>
      </c>
      <c r="BH26" t="n">
        <v>93416.136</v>
      </c>
      <c r="BI26" t="n">
        <v>107682.361</v>
      </c>
      <c r="BJ26" t="n">
        <v>60721.252</v>
      </c>
      <c r="BK26" t="n">
        <v>130198.111</v>
      </c>
      <c r="BL26" t="n">
        <v>104706.921</v>
      </c>
      <c r="BM26" t="n">
        <v>107582.918</v>
      </c>
      <c r="BN26" t="n">
        <v>136770.147</v>
      </c>
      <c r="BO26" t="n">
        <v>137608.432</v>
      </c>
      <c r="BP26" t="n">
        <v>118020.89</v>
      </c>
      <c r="BQ26" t="n">
        <v>170877.235</v>
      </c>
      <c r="BR26" t="n">
        <v>142246.985</v>
      </c>
      <c r="BS26" t="n">
        <v>155805.164</v>
      </c>
      <c r="BT26" t="n">
        <v>132831.577</v>
      </c>
      <c r="BU26" t="n">
        <v>118670.258</v>
      </c>
      <c r="BV26" t="n">
        <v>116853.516</v>
      </c>
    </row>
    <row r="27">
      <c r="A27" t="inlineStr">
        <is>
          <t>Scomberomorus</t>
        </is>
      </c>
      <c r="B27" t="inlineStr">
        <is>
          <t>Spanish mackerels</t>
        </is>
      </c>
      <c r="C27" t="inlineStr">
        <is>
          <t>Large pelagics (&gt;=90 cm)</t>
        </is>
      </c>
      <c r="D27" t="inlineStr">
        <is>
          <t>Perch-likes</t>
        </is>
      </c>
      <c r="E27" t="n">
        <v>87.739</v>
      </c>
      <c r="F27" t="n">
        <v>88.825</v>
      </c>
      <c r="G27" t="n">
        <v>89.974</v>
      </c>
      <c r="H27" t="n">
        <v>90.32599999999999</v>
      </c>
      <c r="I27" t="n">
        <v>90.523</v>
      </c>
      <c r="J27" t="n">
        <v>92.137</v>
      </c>
      <c r="K27" t="n">
        <v>93.57899999999999</v>
      </c>
      <c r="L27" t="n">
        <v>94.595</v>
      </c>
      <c r="M27" t="n">
        <v>95.852</v>
      </c>
      <c r="N27" t="n">
        <v>97.5</v>
      </c>
      <c r="O27" t="n">
        <v>98.399</v>
      </c>
      <c r="P27" t="n">
        <v>101.162</v>
      </c>
      <c r="Q27" t="n">
        <v>102.901</v>
      </c>
      <c r="R27" t="n">
        <v>104.65</v>
      </c>
      <c r="S27" t="n">
        <v>108.83</v>
      </c>
      <c r="T27" t="n">
        <v>110.047</v>
      </c>
      <c r="U27" t="n">
        <v>111.646</v>
      </c>
      <c r="V27" t="n">
        <v>114.799</v>
      </c>
      <c r="W27" t="n">
        <v>122.616</v>
      </c>
      <c r="X27" t="n">
        <v>124.788</v>
      </c>
      <c r="Y27" t="n">
        <v>5838.036</v>
      </c>
      <c r="Z27" t="n">
        <v>129.13</v>
      </c>
      <c r="AA27" t="n">
        <v>7108.912</v>
      </c>
      <c r="AB27" t="n">
        <v>7884.25</v>
      </c>
      <c r="AC27" t="n">
        <v>8456.215</v>
      </c>
      <c r="AD27" t="n">
        <v>7319.69</v>
      </c>
      <c r="AE27" t="n">
        <v>6183.229</v>
      </c>
      <c r="AF27" t="n">
        <v>8408.482</v>
      </c>
      <c r="AG27" t="n">
        <v>3621.542</v>
      </c>
      <c r="AH27" t="n">
        <v>10928.038</v>
      </c>
      <c r="AI27" t="n">
        <v>13634.388</v>
      </c>
      <c r="AJ27" t="n">
        <v>12326.838</v>
      </c>
      <c r="AK27" t="n">
        <v>14532.106</v>
      </c>
      <c r="AL27" t="n">
        <v>14932.965</v>
      </c>
      <c r="AM27" t="n">
        <v>17927.593</v>
      </c>
      <c r="AN27" t="n">
        <v>21175.873</v>
      </c>
      <c r="AO27" t="n">
        <v>24213.589</v>
      </c>
      <c r="AP27" t="n">
        <v>26128.407</v>
      </c>
      <c r="AQ27" t="n">
        <v>32131.134</v>
      </c>
      <c r="AR27" t="n">
        <v>44779.122</v>
      </c>
      <c r="AS27" t="n">
        <v>59345.767</v>
      </c>
      <c r="AT27" t="n">
        <v>58554.363</v>
      </c>
      <c r="AU27" t="n">
        <v>41927.001</v>
      </c>
      <c r="AV27" t="n">
        <v>44519.54</v>
      </c>
      <c r="AW27" t="n">
        <v>59754.755</v>
      </c>
      <c r="AX27" t="n">
        <v>66573.026</v>
      </c>
      <c r="AY27" t="n">
        <v>46625.21</v>
      </c>
      <c r="AZ27" t="n">
        <v>67897.497</v>
      </c>
      <c r="BA27" t="n">
        <v>102769.328</v>
      </c>
      <c r="BB27" t="n">
        <v>113444.117</v>
      </c>
      <c r="BC27" t="n">
        <v>98430.613</v>
      </c>
      <c r="BD27" t="n">
        <v>95451.614</v>
      </c>
      <c r="BE27" t="n">
        <v>101212.322</v>
      </c>
      <c r="BF27" t="n">
        <v>71365.643</v>
      </c>
      <c r="BG27" t="n">
        <v>76532.76300000001</v>
      </c>
      <c r="BH27" t="n">
        <v>84385.75</v>
      </c>
      <c r="BI27" t="n">
        <v>79487.166</v>
      </c>
      <c r="BJ27" t="n">
        <v>107918.928</v>
      </c>
      <c r="BK27" t="n">
        <v>103339.863</v>
      </c>
      <c r="BL27" t="n">
        <v>91335.935</v>
      </c>
      <c r="BM27" t="n">
        <v>98957.673</v>
      </c>
      <c r="BN27" t="n">
        <v>115476.746</v>
      </c>
      <c r="BO27" t="n">
        <v>106878.055</v>
      </c>
      <c r="BP27" t="n">
        <v>101871.664</v>
      </c>
      <c r="BQ27" t="n">
        <v>101694.782</v>
      </c>
      <c r="BR27" t="n">
        <v>95100.45600000001</v>
      </c>
      <c r="BS27" t="n">
        <v>80990.242</v>
      </c>
      <c r="BT27" t="n">
        <v>79012.924</v>
      </c>
      <c r="BU27" t="n">
        <v>79376.546</v>
      </c>
      <c r="BV27" t="n">
        <v>77656.61</v>
      </c>
    </row>
    <row r="28">
      <c r="A28" t="inlineStr">
        <is>
          <t>Portunus trituberculatus</t>
        </is>
      </c>
      <c r="B28" t="inlineStr">
        <is>
          <t>Gazami crab</t>
        </is>
      </c>
      <c r="C28" t="inlineStr">
        <is>
          <t>Lobsters, crabs</t>
        </is>
      </c>
      <c r="D28" t="inlineStr">
        <is>
          <t>Crustaceans</t>
        </is>
      </c>
      <c r="E28" t="n">
        <v>333.324</v>
      </c>
      <c r="F28" t="n">
        <v>414.654</v>
      </c>
      <c r="G28" t="n">
        <v>449.544</v>
      </c>
      <c r="H28" t="n">
        <v>406.744</v>
      </c>
      <c r="I28" t="n">
        <v>394.893</v>
      </c>
      <c r="J28" t="n">
        <v>411.168</v>
      </c>
      <c r="K28" t="n">
        <v>573.693</v>
      </c>
      <c r="L28" t="n">
        <v>636.42</v>
      </c>
      <c r="M28" t="n">
        <v>621.8680000000001</v>
      </c>
      <c r="N28" t="n">
        <v>598.689</v>
      </c>
      <c r="O28" t="n">
        <v>538.6849999999999</v>
      </c>
      <c r="P28" t="n">
        <v>677.207</v>
      </c>
      <c r="Q28" t="n">
        <v>683.0940000000001</v>
      </c>
      <c r="R28" t="n">
        <v>688.808</v>
      </c>
      <c r="S28" t="n">
        <v>811.355</v>
      </c>
      <c r="T28" t="n">
        <v>861.231</v>
      </c>
      <c r="U28" t="n">
        <v>818.124</v>
      </c>
      <c r="V28" t="n">
        <v>1014.769</v>
      </c>
      <c r="W28" t="n">
        <v>1075.802</v>
      </c>
      <c r="X28" t="n">
        <v>1178.853</v>
      </c>
      <c r="Y28" t="n">
        <v>2578.194</v>
      </c>
      <c r="Z28" t="n">
        <v>3445.526</v>
      </c>
      <c r="AA28" t="n">
        <v>4319.749</v>
      </c>
      <c r="AB28" t="n">
        <v>5954.675</v>
      </c>
      <c r="AC28" t="n">
        <v>6780.754</v>
      </c>
      <c r="AD28" t="n">
        <v>7914.181</v>
      </c>
      <c r="AE28" t="n">
        <v>6870.947</v>
      </c>
      <c r="AF28" t="n">
        <v>9127.138999999999</v>
      </c>
      <c r="AG28" t="n">
        <v>9135.201999999999</v>
      </c>
      <c r="AH28" t="n">
        <v>10332.699</v>
      </c>
      <c r="AI28" t="n">
        <v>10235.619</v>
      </c>
      <c r="AJ28" t="n">
        <v>11383.719</v>
      </c>
      <c r="AK28" t="n">
        <v>10086.211</v>
      </c>
      <c r="AL28" t="n">
        <v>9424.689</v>
      </c>
      <c r="AM28" t="n">
        <v>12482.552</v>
      </c>
      <c r="AN28" t="n">
        <v>11690.202</v>
      </c>
      <c r="AO28" t="n">
        <v>14689.037</v>
      </c>
      <c r="AP28" t="n">
        <v>39891.547</v>
      </c>
      <c r="AQ28" t="n">
        <v>37938.967</v>
      </c>
      <c r="AR28" t="n">
        <v>49538.239</v>
      </c>
      <c r="AS28" t="n">
        <v>40677.263</v>
      </c>
      <c r="AT28" t="n">
        <v>42090.068</v>
      </c>
      <c r="AU28" t="n">
        <v>47056.308</v>
      </c>
      <c r="AV28" t="n">
        <v>36102.036</v>
      </c>
      <c r="AW28" t="n">
        <v>78981.405</v>
      </c>
      <c r="AX28" t="n">
        <v>70091.405</v>
      </c>
      <c r="AY28" t="n">
        <v>54173.227</v>
      </c>
      <c r="AZ28" t="n">
        <v>53091.37</v>
      </c>
      <c r="BA28" t="n">
        <v>59795.435</v>
      </c>
      <c r="BB28" t="n">
        <v>59903.773</v>
      </c>
      <c r="BC28" t="n">
        <v>72569.817</v>
      </c>
      <c r="BD28" t="n">
        <v>71368.33900000001</v>
      </c>
      <c r="BE28" t="n">
        <v>76182.20600000001</v>
      </c>
      <c r="BF28" t="n">
        <v>59854.132</v>
      </c>
      <c r="BG28" t="n">
        <v>67685.598</v>
      </c>
      <c r="BH28" t="n">
        <v>74713.177</v>
      </c>
      <c r="BI28" t="n">
        <v>82519.88099999999</v>
      </c>
      <c r="BJ28" t="n">
        <v>86549.712</v>
      </c>
      <c r="BK28" t="n">
        <v>88311.594</v>
      </c>
      <c r="BL28" t="n">
        <v>82813.607</v>
      </c>
      <c r="BM28" t="n">
        <v>87094.633</v>
      </c>
      <c r="BN28" t="n">
        <v>96804.827</v>
      </c>
      <c r="BO28" t="n">
        <v>102457.968</v>
      </c>
      <c r="BP28" t="n">
        <v>111206.764</v>
      </c>
      <c r="BQ28" t="n">
        <v>140188.407</v>
      </c>
      <c r="BR28" t="n">
        <v>118857.252</v>
      </c>
      <c r="BS28" t="n">
        <v>110105.944</v>
      </c>
      <c r="BT28" t="n">
        <v>108366.641</v>
      </c>
      <c r="BU28" t="n">
        <v>104070.49</v>
      </c>
      <c r="BV28" t="n">
        <v>94979.78999999999</v>
      </c>
    </row>
    <row r="29">
      <c r="A29" t="inlineStr">
        <is>
          <t>Octopoda</t>
        </is>
      </c>
      <c r="B29" t="inlineStr">
        <is>
          <t>Octopuses, argonauts</t>
        </is>
      </c>
      <c r="C29" t="inlineStr">
        <is>
          <t>Cephalopods</t>
        </is>
      </c>
      <c r="D29" t="inlineStr">
        <is>
          <t>Other fishes &amp; inverts</t>
        </is>
      </c>
      <c r="E29" t="n">
        <v>15862.806</v>
      </c>
      <c r="F29" t="n">
        <v>16057.801</v>
      </c>
      <c r="G29" t="n">
        <v>16018.385</v>
      </c>
      <c r="H29" t="n">
        <v>15394.013</v>
      </c>
      <c r="I29" t="n">
        <v>15789.588</v>
      </c>
      <c r="J29" t="n">
        <v>16611.23</v>
      </c>
      <c r="K29" t="n">
        <v>18621.988</v>
      </c>
      <c r="L29" t="n">
        <v>20819.235</v>
      </c>
      <c r="M29" t="n">
        <v>20034.957</v>
      </c>
      <c r="N29" t="n">
        <v>20594.004</v>
      </c>
      <c r="O29" t="n">
        <v>21736.396</v>
      </c>
      <c r="P29" t="n">
        <v>21560.175</v>
      </c>
      <c r="Q29" t="n">
        <v>24090.651</v>
      </c>
      <c r="R29" t="n">
        <v>24181.493</v>
      </c>
      <c r="S29" t="n">
        <v>22419.874</v>
      </c>
      <c r="T29" t="n">
        <v>25490.401</v>
      </c>
      <c r="U29" t="n">
        <v>23378.629</v>
      </c>
      <c r="V29" t="n">
        <v>39968.559</v>
      </c>
      <c r="W29" t="n">
        <v>45773.244</v>
      </c>
      <c r="X29" t="n">
        <v>39122.169</v>
      </c>
      <c r="Y29" t="n">
        <v>41202.703</v>
      </c>
      <c r="Z29" t="n">
        <v>38054.082</v>
      </c>
      <c r="AA29" t="n">
        <v>31134.253</v>
      </c>
      <c r="AB29" t="n">
        <v>31844.33</v>
      </c>
      <c r="AC29" t="n">
        <v>36453.729</v>
      </c>
      <c r="AD29" t="n">
        <v>36807.142</v>
      </c>
      <c r="AE29" t="n">
        <v>34053.508</v>
      </c>
      <c r="AF29" t="n">
        <v>34930.51</v>
      </c>
      <c r="AG29" t="n">
        <v>35146.071</v>
      </c>
      <c r="AH29" t="n">
        <v>30040.817</v>
      </c>
      <c r="AI29" t="n">
        <v>27244.811</v>
      </c>
      <c r="AJ29" t="n">
        <v>29599.173</v>
      </c>
      <c r="AK29" t="n">
        <v>27427.692</v>
      </c>
      <c r="AL29" t="n">
        <v>27224.338</v>
      </c>
      <c r="AM29" t="n">
        <v>27050.398</v>
      </c>
      <c r="AN29" t="n">
        <v>26636.888</v>
      </c>
      <c r="AO29" t="n">
        <v>29156.444</v>
      </c>
      <c r="AP29" t="n">
        <v>29420.366</v>
      </c>
      <c r="AQ29" t="n">
        <v>33450.495</v>
      </c>
      <c r="AR29" t="n">
        <v>34785.416</v>
      </c>
      <c r="AS29" t="n">
        <v>37194.119</v>
      </c>
      <c r="AT29" t="n">
        <v>34969.211</v>
      </c>
      <c r="AU29" t="n">
        <v>34871.312</v>
      </c>
      <c r="AV29" t="n">
        <v>31625.606</v>
      </c>
      <c r="AW29" t="n">
        <v>31257.756</v>
      </c>
      <c r="AX29" t="n">
        <v>37820.583</v>
      </c>
      <c r="AY29" t="n">
        <v>38077.191</v>
      </c>
      <c r="AZ29" t="n">
        <v>40848.468</v>
      </c>
      <c r="BA29" t="n">
        <v>45233.817</v>
      </c>
      <c r="BB29" t="n">
        <v>39893.195</v>
      </c>
      <c r="BC29" t="n">
        <v>35897.501</v>
      </c>
      <c r="BD29" t="n">
        <v>35130.951</v>
      </c>
      <c r="BE29" t="n">
        <v>40128.706</v>
      </c>
      <c r="BF29" t="n">
        <v>65265.423</v>
      </c>
      <c r="BG29" t="n">
        <v>71154.678</v>
      </c>
      <c r="BH29" t="n">
        <v>62400.215</v>
      </c>
      <c r="BI29" t="n">
        <v>67794.272</v>
      </c>
      <c r="BJ29" t="n">
        <v>70878.17999999999</v>
      </c>
      <c r="BK29" t="n">
        <v>62568.463</v>
      </c>
      <c r="BL29" t="n">
        <v>69052.69899999999</v>
      </c>
      <c r="BM29" t="n">
        <v>67092.349</v>
      </c>
      <c r="BN29" t="n">
        <v>54158.103</v>
      </c>
      <c r="BO29" t="n">
        <v>54226.781</v>
      </c>
      <c r="BP29" t="n">
        <v>48974.691</v>
      </c>
      <c r="BQ29" t="n">
        <v>52476.809</v>
      </c>
      <c r="BR29" t="n">
        <v>52545.466</v>
      </c>
      <c r="BS29" t="n">
        <v>50789.278</v>
      </c>
      <c r="BT29" t="n">
        <v>47069.562</v>
      </c>
      <c r="BU29" t="n">
        <v>46458.924</v>
      </c>
      <c r="BV29" t="n">
        <v>45834.892</v>
      </c>
    </row>
    <row r="30">
      <c r="A30" t="inlineStr">
        <is>
          <t>Sepiida</t>
        </is>
      </c>
      <c r="B30" t="inlineStr">
        <is>
          <t>Cuttlefishes, bobtail squids</t>
        </is>
      </c>
      <c r="C30" t="inlineStr">
        <is>
          <t>Cephalopods</t>
        </is>
      </c>
      <c r="D30" t="inlineStr">
        <is>
          <t>Other fishes &amp; inverts</t>
        </is>
      </c>
      <c r="E30" t="n">
        <v>3227.785</v>
      </c>
      <c r="F30" t="n">
        <v>4654.371</v>
      </c>
      <c r="G30" t="n">
        <v>6135.665</v>
      </c>
      <c r="H30" t="n">
        <v>5990.284</v>
      </c>
      <c r="I30" t="n">
        <v>7303.19</v>
      </c>
      <c r="J30" t="n">
        <v>7999.727</v>
      </c>
      <c r="K30" t="n">
        <v>9295.812</v>
      </c>
      <c r="L30" t="n">
        <v>9101.718000000001</v>
      </c>
      <c r="M30" t="n">
        <v>9164.226000000001</v>
      </c>
      <c r="N30" t="n">
        <v>10077.435</v>
      </c>
      <c r="O30" t="n">
        <v>9923.348</v>
      </c>
      <c r="P30" t="n">
        <v>9833.797</v>
      </c>
      <c r="Q30" t="n">
        <v>10482.427</v>
      </c>
      <c r="R30" t="n">
        <v>10457.542</v>
      </c>
      <c r="S30" t="n">
        <v>10889.55</v>
      </c>
      <c r="T30" t="n">
        <v>11102.796</v>
      </c>
      <c r="U30" t="n">
        <v>11177.19</v>
      </c>
      <c r="V30" t="n">
        <v>11253.065</v>
      </c>
      <c r="W30" t="n">
        <v>11832.326</v>
      </c>
      <c r="X30" t="n">
        <v>11902.902</v>
      </c>
      <c r="Y30" t="n">
        <v>14728.629</v>
      </c>
      <c r="Z30" t="n">
        <v>19083.287</v>
      </c>
      <c r="AA30" t="n">
        <v>13483.648</v>
      </c>
      <c r="AB30" t="n">
        <v>1.766</v>
      </c>
      <c r="AC30" t="n">
        <v>273.947</v>
      </c>
      <c r="AD30" t="n">
        <v>314.841</v>
      </c>
      <c r="AE30" t="n">
        <v>10103.51</v>
      </c>
      <c r="AF30" t="n">
        <v>12650.457</v>
      </c>
      <c r="AG30" t="n">
        <v>18229.944</v>
      </c>
      <c r="AH30" t="n">
        <v>25436.421</v>
      </c>
      <c r="AI30" t="n">
        <v>22863.873</v>
      </c>
      <c r="AJ30" t="n">
        <v>7885.625</v>
      </c>
      <c r="AK30" t="n">
        <v>13604.132</v>
      </c>
      <c r="AL30" t="n">
        <v>14409.373</v>
      </c>
      <c r="AM30" t="n">
        <v>14598.377</v>
      </c>
      <c r="AN30" t="n">
        <v>14447.472</v>
      </c>
      <c r="AO30" t="n">
        <v>14615.422</v>
      </c>
      <c r="AP30" t="n">
        <v>17970.502</v>
      </c>
      <c r="AQ30" t="n">
        <v>21737.999</v>
      </c>
      <c r="AR30" t="n">
        <v>18543.953</v>
      </c>
      <c r="AS30" t="n">
        <v>21147.018</v>
      </c>
      <c r="AT30" t="n">
        <v>22530.151</v>
      </c>
      <c r="AU30" t="n">
        <v>22224.18</v>
      </c>
      <c r="AV30" t="n">
        <v>40099.358</v>
      </c>
      <c r="AW30" t="n">
        <v>66382.936</v>
      </c>
      <c r="AX30" t="n">
        <v>77402.386</v>
      </c>
      <c r="AY30" t="n">
        <v>62254.456</v>
      </c>
      <c r="AZ30" t="n">
        <v>81136.905</v>
      </c>
      <c r="BA30" t="n">
        <v>72235.723</v>
      </c>
      <c r="BB30" t="n">
        <v>70787.874</v>
      </c>
      <c r="BC30" t="n">
        <v>85563.77899999999</v>
      </c>
      <c r="BD30" t="n">
        <v>101908.937</v>
      </c>
      <c r="BE30" t="n">
        <v>96875.406</v>
      </c>
      <c r="BF30" t="n">
        <v>49594.323</v>
      </c>
      <c r="BG30" t="n">
        <v>57775.435</v>
      </c>
      <c r="BH30" t="n">
        <v>54856.408</v>
      </c>
      <c r="BI30" t="n">
        <v>64132.38</v>
      </c>
      <c r="BJ30" t="n">
        <v>59853.416</v>
      </c>
      <c r="BK30" t="n">
        <v>45391.139</v>
      </c>
      <c r="BL30" t="n">
        <v>43399.298</v>
      </c>
      <c r="BM30" t="n">
        <v>42119.232</v>
      </c>
      <c r="BN30" t="n">
        <v>49755.094</v>
      </c>
      <c r="BO30" t="n">
        <v>50692.71</v>
      </c>
      <c r="BP30" t="n">
        <v>47968.798</v>
      </c>
      <c r="BQ30" t="n">
        <v>54880.581</v>
      </c>
      <c r="BR30" t="n">
        <v>55361.724</v>
      </c>
      <c r="BS30" t="n">
        <v>50233.947</v>
      </c>
      <c r="BT30" t="n">
        <v>51292.844</v>
      </c>
      <c r="BU30" t="n">
        <v>47737.263</v>
      </c>
      <c r="BV30" t="n">
        <v>49141.938</v>
      </c>
    </row>
    <row r="31">
      <c r="A31" t="inlineStr">
        <is>
          <t>Larimichthys crocea</t>
        </is>
      </c>
      <c r="B31" t="inlineStr">
        <is>
          <t>Large yellow croaker</t>
        </is>
      </c>
      <c r="C31" t="inlineStr">
        <is>
          <t>Medium benthopelagics (30 - 89 cm)</t>
        </is>
      </c>
      <c r="D31" t="inlineStr">
        <is>
          <t>Perch-likes</t>
        </is>
      </c>
      <c r="E31" t="n">
        <v>13377.848</v>
      </c>
      <c r="F31" t="n">
        <v>19282.176</v>
      </c>
      <c r="G31" t="n">
        <v>24400.666</v>
      </c>
      <c r="H31" t="n">
        <v>24798.589</v>
      </c>
      <c r="I31" t="n">
        <v>30183.658</v>
      </c>
      <c r="J31" t="n">
        <v>33045.144</v>
      </c>
      <c r="K31" t="n">
        <v>38407.593</v>
      </c>
      <c r="L31" t="n">
        <v>37377.804</v>
      </c>
      <c r="M31" t="n">
        <v>37328.119</v>
      </c>
      <c r="N31" t="n">
        <v>39234.667</v>
      </c>
      <c r="O31" t="n">
        <v>39178.851</v>
      </c>
      <c r="P31" t="n">
        <v>39388.941</v>
      </c>
      <c r="Q31" t="n">
        <v>41026.507</v>
      </c>
      <c r="R31" t="n">
        <v>40963.977</v>
      </c>
      <c r="S31" t="n">
        <v>40915.006</v>
      </c>
      <c r="T31" t="n">
        <v>42803.241</v>
      </c>
      <c r="U31" t="n">
        <v>42749.153</v>
      </c>
      <c r="V31" t="n">
        <v>42696.908</v>
      </c>
      <c r="W31" t="n">
        <v>44570.582</v>
      </c>
      <c r="X31" t="n">
        <v>44573.392</v>
      </c>
      <c r="Y31" t="n">
        <v>57900.728</v>
      </c>
      <c r="Z31" t="n">
        <v>51376.702</v>
      </c>
      <c r="AA31" t="n">
        <v>52475.557</v>
      </c>
      <c r="AB31" t="n">
        <v>51140.37</v>
      </c>
      <c r="AC31" t="n">
        <v>72637.132</v>
      </c>
      <c r="AD31" t="n">
        <v>50033.591</v>
      </c>
      <c r="AE31" t="n">
        <v>38890.923</v>
      </c>
      <c r="AF31" t="n">
        <v>27968.9</v>
      </c>
      <c r="AG31" t="n">
        <v>29267.377</v>
      </c>
      <c r="AH31" t="n">
        <v>27207.097</v>
      </c>
      <c r="AI31" t="n">
        <v>28261.983</v>
      </c>
      <c r="AJ31" t="n">
        <v>29003.796</v>
      </c>
      <c r="AK31" t="n">
        <v>28662.622</v>
      </c>
      <c r="AL31" t="n">
        <v>16931.166</v>
      </c>
      <c r="AM31" t="n">
        <v>20055.1</v>
      </c>
      <c r="AN31" t="n">
        <v>15226.501</v>
      </c>
      <c r="AO31" t="n">
        <v>11285.992</v>
      </c>
      <c r="AP31" t="n">
        <v>10431.202</v>
      </c>
      <c r="AQ31" t="n">
        <v>10468.5</v>
      </c>
      <c r="AR31" t="n">
        <v>10614.051</v>
      </c>
      <c r="AS31" t="n">
        <v>13518.271</v>
      </c>
      <c r="AT31" t="n">
        <v>15279.83</v>
      </c>
      <c r="AU31" t="n">
        <v>20035.322</v>
      </c>
      <c r="AV31" t="n">
        <v>18775.981</v>
      </c>
      <c r="AW31" t="n">
        <v>31866.839</v>
      </c>
      <c r="AX31" t="n">
        <v>30456.793</v>
      </c>
      <c r="AY31" t="n">
        <v>34837.145</v>
      </c>
      <c r="AZ31" t="n">
        <v>22692.605</v>
      </c>
      <c r="BA31" t="n">
        <v>22089.421</v>
      </c>
      <c r="BB31" t="n">
        <v>19901.103</v>
      </c>
      <c r="BC31" t="n">
        <v>33617.029</v>
      </c>
      <c r="BD31" t="n">
        <v>21428.94</v>
      </c>
      <c r="BE31" t="n">
        <v>23569.825</v>
      </c>
      <c r="BF31" t="n">
        <v>26150.079</v>
      </c>
      <c r="BG31" t="n">
        <v>24444.383</v>
      </c>
      <c r="BH31" t="n">
        <v>20818.887</v>
      </c>
      <c r="BI31" t="n">
        <v>21724.291</v>
      </c>
      <c r="BJ31" t="n">
        <v>22555.408</v>
      </c>
      <c r="BK31" t="n">
        <v>18682.626</v>
      </c>
      <c r="BL31" t="n">
        <v>19181.65</v>
      </c>
      <c r="BM31" t="n">
        <v>19965.495</v>
      </c>
      <c r="BN31" t="n">
        <v>22089.022</v>
      </c>
      <c r="BO31" t="n">
        <v>22658.068</v>
      </c>
      <c r="BP31" t="n">
        <v>27441.523</v>
      </c>
      <c r="BQ31" t="n">
        <v>30284.865</v>
      </c>
      <c r="BR31" t="n">
        <v>31505.749</v>
      </c>
      <c r="BS31" t="n">
        <v>24223.686</v>
      </c>
      <c r="BT31" t="n">
        <v>21184.048</v>
      </c>
      <c r="BU31" t="n">
        <v>21257.597</v>
      </c>
      <c r="BV31" t="n">
        <v>18497.547</v>
      </c>
    </row>
    <row r="32">
      <c r="A32" t="inlineStr">
        <is>
          <t>Scomberomorus niphonius</t>
        </is>
      </c>
      <c r="B32" t="inlineStr">
        <is>
          <t>Japanese Spanish mackerel</t>
        </is>
      </c>
      <c r="C32" t="inlineStr">
        <is>
          <t>Large pelagics (&gt;=90 cm)</t>
        </is>
      </c>
      <c r="D32" t="inlineStr">
        <is>
          <t>Perch-likes</t>
        </is>
      </c>
      <c r="E32" t="n">
        <v>4068.36</v>
      </c>
      <c r="F32" t="n">
        <v>5216.786</v>
      </c>
      <c r="G32" t="n">
        <v>5732.047</v>
      </c>
      <c r="H32" t="n">
        <v>7278.459</v>
      </c>
      <c r="I32" t="n">
        <v>7981.709</v>
      </c>
      <c r="J32" t="n">
        <v>8089.854</v>
      </c>
      <c r="K32" t="n">
        <v>11480.044</v>
      </c>
      <c r="L32" t="n">
        <v>12301.936</v>
      </c>
      <c r="M32" t="n">
        <v>10052.516</v>
      </c>
      <c r="N32" t="n">
        <v>9626.813</v>
      </c>
      <c r="O32" t="n">
        <v>13541.984</v>
      </c>
      <c r="P32" t="n">
        <v>11239.599</v>
      </c>
      <c r="Q32" t="n">
        <v>13293.624</v>
      </c>
      <c r="R32" t="n">
        <v>14783.769</v>
      </c>
      <c r="S32" t="n">
        <v>19482.906</v>
      </c>
      <c r="T32" t="n">
        <v>20593.173</v>
      </c>
      <c r="U32" t="n">
        <v>17979.112</v>
      </c>
      <c r="V32" t="n">
        <v>20277.709</v>
      </c>
      <c r="W32" t="n">
        <v>12964.37</v>
      </c>
      <c r="X32" t="n">
        <v>9364.241</v>
      </c>
      <c r="Y32" t="n">
        <v>8436.142</v>
      </c>
      <c r="Z32" t="n">
        <v>13654.994</v>
      </c>
      <c r="AA32" t="n">
        <v>16708.818</v>
      </c>
      <c r="AB32" t="n">
        <v>6826</v>
      </c>
      <c r="AC32" t="n">
        <v>24685.378</v>
      </c>
      <c r="AD32" t="n">
        <v>21677.52</v>
      </c>
      <c r="AE32" t="n">
        <v>28478.077</v>
      </c>
      <c r="AF32" t="n">
        <v>22504.872</v>
      </c>
      <c r="AG32" t="n">
        <v>23893.724</v>
      </c>
      <c r="AH32" t="n">
        <v>28193.558</v>
      </c>
      <c r="AI32" t="n">
        <v>34113.959</v>
      </c>
      <c r="AJ32" t="n">
        <v>26038.329</v>
      </c>
      <c r="AK32" t="n">
        <v>26896.193</v>
      </c>
      <c r="AL32" t="n">
        <v>27012.655</v>
      </c>
      <c r="AM32" t="n">
        <v>30245.139</v>
      </c>
      <c r="AN32" t="n">
        <v>22179.481</v>
      </c>
      <c r="AO32" t="n">
        <v>30474.594</v>
      </c>
      <c r="AP32" t="n">
        <v>37724.828</v>
      </c>
      <c r="AQ32" t="n">
        <v>43752.063</v>
      </c>
      <c r="AR32" t="n">
        <v>25603.208</v>
      </c>
      <c r="AS32" t="n">
        <v>40757.778</v>
      </c>
      <c r="AT32" t="n">
        <v>58883.428</v>
      </c>
      <c r="AU32" t="n">
        <v>36991.343</v>
      </c>
      <c r="AV32" t="n">
        <v>36611.008</v>
      </c>
      <c r="AW32" t="n">
        <v>46303.696</v>
      </c>
      <c r="AX32" t="n">
        <v>48610.465</v>
      </c>
      <c r="AY32" t="n">
        <v>39275.887</v>
      </c>
      <c r="AZ32" t="n">
        <v>55164.458</v>
      </c>
      <c r="BA32" t="n">
        <v>59779.029</v>
      </c>
      <c r="BB32" t="n">
        <v>37554.062</v>
      </c>
      <c r="BC32" t="n">
        <v>43506.674</v>
      </c>
      <c r="BD32" t="n">
        <v>58588.781</v>
      </c>
      <c r="BE32" t="n">
        <v>60177.388</v>
      </c>
      <c r="BF32" t="n">
        <v>37205.338</v>
      </c>
      <c r="BG32" t="n">
        <v>43516.391</v>
      </c>
      <c r="BH32" t="n">
        <v>41254.518</v>
      </c>
      <c r="BI32" t="n">
        <v>46012.689</v>
      </c>
      <c r="BJ32" t="n">
        <v>50841.597</v>
      </c>
      <c r="BK32" t="n">
        <v>35661.296</v>
      </c>
      <c r="BL32" t="n">
        <v>40432.387</v>
      </c>
      <c r="BM32" t="n">
        <v>38748.989</v>
      </c>
      <c r="BN32" t="n">
        <v>32062.752</v>
      </c>
      <c r="BO32" t="n">
        <v>41265.8</v>
      </c>
      <c r="BP32" t="n">
        <v>35303.623</v>
      </c>
      <c r="BQ32" t="n">
        <v>37291.575</v>
      </c>
      <c r="BR32" t="n">
        <v>34675.711</v>
      </c>
      <c r="BS32" t="n">
        <v>38629.232</v>
      </c>
      <c r="BT32" t="n">
        <v>38479.437</v>
      </c>
      <c r="BU32" t="n">
        <v>35702.222</v>
      </c>
      <c r="BV32" t="n">
        <v>50589.821</v>
      </c>
    </row>
    <row r="33">
      <c r="A33" t="inlineStr">
        <is>
          <t>Planiliza haematocheilus</t>
        </is>
      </c>
      <c r="B33" t="inlineStr">
        <is>
          <t>So-iny mullet</t>
        </is>
      </c>
      <c r="C33" t="inlineStr">
        <is>
          <t>Medium demersals (30 - 89 cm)</t>
        </is>
      </c>
      <c r="D33" t="inlineStr">
        <is>
          <t>Perch-likes</t>
        </is>
      </c>
      <c r="E33" t="n">
        <v>0</v>
      </c>
      <c r="F33" t="n">
        <v>0</v>
      </c>
      <c r="G33" t="n">
        <v>0</v>
      </c>
      <c r="H33" t="n">
        <v>0</v>
      </c>
      <c r="I33" t="n">
        <v>0</v>
      </c>
      <c r="J33" t="n">
        <v>0</v>
      </c>
      <c r="K33" t="n">
        <v>0</v>
      </c>
      <c r="L33" t="n">
        <v>0</v>
      </c>
      <c r="M33" t="n">
        <v>0</v>
      </c>
      <c r="N33" t="n">
        <v>1.82</v>
      </c>
      <c r="O33" t="n">
        <v>0</v>
      </c>
      <c r="P33" t="n">
        <v>0</v>
      </c>
      <c r="Q33" t="n">
        <v>0</v>
      </c>
      <c r="R33" t="n">
        <v>0</v>
      </c>
      <c r="S33" t="n">
        <v>0</v>
      </c>
      <c r="T33" t="n">
        <v>0</v>
      </c>
      <c r="U33" t="n">
        <v>0</v>
      </c>
      <c r="V33" t="n">
        <v>0</v>
      </c>
      <c r="W33" t="n">
        <v>0</v>
      </c>
      <c r="X33" t="n">
        <v>0</v>
      </c>
      <c r="Y33" t="n">
        <v>0</v>
      </c>
      <c r="Z33" t="n">
        <v>0</v>
      </c>
      <c r="AA33" t="n">
        <v>0</v>
      </c>
      <c r="AB33" t="n">
        <v>1.663</v>
      </c>
      <c r="AC33" t="n">
        <v>0</v>
      </c>
      <c r="AD33" t="n">
        <v>0</v>
      </c>
      <c r="AE33" t="n">
        <v>0</v>
      </c>
      <c r="AF33" t="n">
        <v>1.984</v>
      </c>
      <c r="AG33" t="n">
        <v>0</v>
      </c>
      <c r="AH33" t="n">
        <v>0</v>
      </c>
      <c r="AI33" t="n">
        <v>2.428</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1.614</v>
      </c>
      <c r="BA33" t="n">
        <v>0</v>
      </c>
      <c r="BB33" t="n">
        <v>0</v>
      </c>
      <c r="BC33" t="n">
        <v>0</v>
      </c>
      <c r="BD33" t="n">
        <v>0</v>
      </c>
      <c r="BE33" t="n">
        <v>2.12</v>
      </c>
      <c r="BF33" t="n">
        <v>90680.83100000001</v>
      </c>
      <c r="BG33" t="n">
        <v>118832.415</v>
      </c>
      <c r="BH33" t="n">
        <v>114624.638</v>
      </c>
      <c r="BI33" t="n">
        <v>110918.389</v>
      </c>
      <c r="BJ33" t="n">
        <v>106616.625</v>
      </c>
      <c r="BK33" t="n">
        <v>107641.052</v>
      </c>
      <c r="BL33" t="n">
        <v>107743.171</v>
      </c>
      <c r="BM33" t="n">
        <v>131800.762</v>
      </c>
      <c r="BN33" t="n">
        <v>126259.374</v>
      </c>
      <c r="BO33" t="n">
        <v>118831.354</v>
      </c>
      <c r="BP33" t="n">
        <v>121115.315</v>
      </c>
      <c r="BQ33" t="n">
        <v>131780.079</v>
      </c>
      <c r="BR33" t="n">
        <v>135091.333</v>
      </c>
      <c r="BS33" t="n">
        <v>122397.831</v>
      </c>
      <c r="BT33" t="n">
        <v>114621.935</v>
      </c>
      <c r="BU33" t="n">
        <v>100651.838</v>
      </c>
      <c r="BV33" t="n">
        <v>94545.85799999999</v>
      </c>
    </row>
    <row r="34">
      <c r="A34" t="inlineStr">
        <is>
          <t>Teuthida</t>
        </is>
      </c>
      <c r="B34" t="inlineStr">
        <is>
          <t>Squids</t>
        </is>
      </c>
      <c r="C34" t="inlineStr">
        <is>
          <t>Cephalopods</t>
        </is>
      </c>
      <c r="D34" t="inlineStr">
        <is>
          <t>Other fishes &amp; inverts</t>
        </is>
      </c>
      <c r="E34" t="n">
        <v>440.642</v>
      </c>
      <c r="F34" t="n">
        <v>477.547</v>
      </c>
      <c r="G34" t="n">
        <v>498.379</v>
      </c>
      <c r="H34" t="n">
        <v>500.834</v>
      </c>
      <c r="I34" t="n">
        <v>533.272</v>
      </c>
      <c r="J34" t="n">
        <v>557.436</v>
      </c>
      <c r="K34" t="n">
        <v>580.069</v>
      </c>
      <c r="L34" t="n">
        <v>569.187</v>
      </c>
      <c r="M34" t="n">
        <v>575.115</v>
      </c>
      <c r="N34" t="n">
        <v>599.227</v>
      </c>
      <c r="O34" t="n">
        <v>604.7329999999999</v>
      </c>
      <c r="P34" t="n">
        <v>619.092</v>
      </c>
      <c r="Q34" t="n">
        <v>643.658</v>
      </c>
      <c r="R34" t="n">
        <v>651.039</v>
      </c>
      <c r="S34" t="n">
        <v>664.164</v>
      </c>
      <c r="T34" t="n">
        <v>675.85</v>
      </c>
      <c r="U34" t="n">
        <v>690.885</v>
      </c>
      <c r="V34" t="n">
        <v>706.051</v>
      </c>
      <c r="W34" t="n">
        <v>729.715</v>
      </c>
      <c r="X34" t="n">
        <v>731.3920000000001</v>
      </c>
      <c r="Y34" t="n">
        <v>772.52</v>
      </c>
      <c r="Z34" t="n">
        <v>761.355</v>
      </c>
      <c r="AA34" t="n">
        <v>842.989</v>
      </c>
      <c r="AB34" t="n">
        <v>854.3819999999999</v>
      </c>
      <c r="AC34" t="n">
        <v>954.045</v>
      </c>
      <c r="AD34" t="n">
        <v>1065.528</v>
      </c>
      <c r="AE34" t="n">
        <v>1307.89</v>
      </c>
      <c r="AF34" t="n">
        <v>1344.113</v>
      </c>
      <c r="AG34" t="n">
        <v>1505.926</v>
      </c>
      <c r="AH34" t="n">
        <v>1605.945</v>
      </c>
      <c r="AI34" t="n">
        <v>2513.619</v>
      </c>
      <c r="AJ34" t="n">
        <v>1703.774</v>
      </c>
      <c r="AK34" t="n">
        <v>3283.189</v>
      </c>
      <c r="AL34" t="n">
        <v>7520.318</v>
      </c>
      <c r="AM34" t="n">
        <v>8879.206</v>
      </c>
      <c r="AN34" t="n">
        <v>9282.296</v>
      </c>
      <c r="AO34" t="n">
        <v>10787.914</v>
      </c>
      <c r="AP34" t="n">
        <v>12758.838</v>
      </c>
      <c r="AQ34" t="n">
        <v>15849.899</v>
      </c>
      <c r="AR34" t="n">
        <v>13405.91</v>
      </c>
      <c r="AS34" t="n">
        <v>12556.047</v>
      </c>
      <c r="AT34" t="n">
        <v>9209.608</v>
      </c>
      <c r="AU34" t="n">
        <v>6596.245</v>
      </c>
      <c r="AV34" t="n">
        <v>2215.525</v>
      </c>
      <c r="AW34" t="n">
        <v>3627.35</v>
      </c>
      <c r="AX34" t="n">
        <v>3811.38</v>
      </c>
      <c r="AY34" t="n">
        <v>2414.492</v>
      </c>
      <c r="AZ34" t="n">
        <v>2301.452</v>
      </c>
      <c r="BA34" t="n">
        <v>31271.353</v>
      </c>
      <c r="BB34" t="n">
        <v>31059.026</v>
      </c>
      <c r="BC34" t="n">
        <v>28633.863</v>
      </c>
      <c r="BD34" t="n">
        <v>20081.982</v>
      </c>
      <c r="BE34" t="n">
        <v>21319.208</v>
      </c>
      <c r="BF34" t="n">
        <v>89199.75</v>
      </c>
      <c r="BG34" t="n">
        <v>122904.97</v>
      </c>
      <c r="BH34" t="n">
        <v>118022.466</v>
      </c>
      <c r="BI34" t="n">
        <v>89419.85000000001</v>
      </c>
      <c r="BJ34" t="n">
        <v>107189.85</v>
      </c>
      <c r="BK34" t="n">
        <v>105925.886</v>
      </c>
      <c r="BL34" t="n">
        <v>89111.97</v>
      </c>
      <c r="BM34" t="n">
        <v>97134.895</v>
      </c>
      <c r="BN34" t="n">
        <v>88401.893</v>
      </c>
      <c r="BO34" t="n">
        <v>99766.74400000001</v>
      </c>
      <c r="BP34" t="n">
        <v>94275.023</v>
      </c>
      <c r="BQ34" t="n">
        <v>93955.719</v>
      </c>
      <c r="BR34" t="n">
        <v>94050.42600000001</v>
      </c>
      <c r="BS34" t="n">
        <v>79550.77099999999</v>
      </c>
      <c r="BT34" t="n">
        <v>86794.143</v>
      </c>
      <c r="BU34" t="n">
        <v>71750.773</v>
      </c>
      <c r="BV34" t="n">
        <v>66237.303</v>
      </c>
    </row>
    <row r="35">
      <c r="A35" t="inlineStr">
        <is>
          <t>Penaeus chinensis</t>
        </is>
      </c>
      <c r="B35" t="inlineStr">
        <is>
          <t>Fleshy prawn</t>
        </is>
      </c>
      <c r="C35" t="inlineStr">
        <is>
          <t>Shrimps</t>
        </is>
      </c>
      <c r="D35" t="inlineStr">
        <is>
          <t>Crustaceans</t>
        </is>
      </c>
      <c r="E35" t="n">
        <v>0</v>
      </c>
      <c r="F35" t="n">
        <v>0</v>
      </c>
      <c r="G35" t="n">
        <v>0</v>
      </c>
      <c r="H35" t="n">
        <v>0.364</v>
      </c>
      <c r="I35" t="n">
        <v>0</v>
      </c>
      <c r="J35" t="n">
        <v>87.861</v>
      </c>
      <c r="K35" t="n">
        <v>0</v>
      </c>
      <c r="L35" t="n">
        <v>48.033</v>
      </c>
      <c r="M35" t="n">
        <v>225.767</v>
      </c>
      <c r="N35" t="n">
        <v>0</v>
      </c>
      <c r="O35" t="n">
        <v>0</v>
      </c>
      <c r="P35" t="n">
        <v>0.289</v>
      </c>
      <c r="Q35" t="n">
        <v>0</v>
      </c>
      <c r="R35" t="n">
        <v>441.655</v>
      </c>
      <c r="S35" t="n">
        <v>45.523</v>
      </c>
      <c r="T35" t="n">
        <v>0</v>
      </c>
      <c r="U35" t="n">
        <v>0</v>
      </c>
      <c r="V35" t="n">
        <v>224.867</v>
      </c>
      <c r="W35" t="n">
        <v>232.154</v>
      </c>
      <c r="X35" t="n">
        <v>0</v>
      </c>
      <c r="Y35" t="n">
        <v>5977.292</v>
      </c>
      <c r="Z35" t="n">
        <v>5450.942</v>
      </c>
      <c r="AA35" t="n">
        <v>5306.768</v>
      </c>
      <c r="AB35" t="n">
        <v>16284.343</v>
      </c>
      <c r="AC35" t="n">
        <v>18998.627</v>
      </c>
      <c r="AD35" t="n">
        <v>16962.1</v>
      </c>
      <c r="AE35" t="n">
        <v>4535.767</v>
      </c>
      <c r="AF35" t="n">
        <v>11940.391</v>
      </c>
      <c r="AG35" t="n">
        <v>17074.475</v>
      </c>
      <c r="AH35" t="n">
        <v>22707.488</v>
      </c>
      <c r="AI35" t="n">
        <v>13091.31</v>
      </c>
      <c r="AJ35" t="n">
        <v>9436.869000000001</v>
      </c>
      <c r="AK35" t="n">
        <v>1613.609</v>
      </c>
      <c r="AL35" t="n">
        <v>5856.888</v>
      </c>
      <c r="AM35" t="n">
        <v>7885.31</v>
      </c>
      <c r="AN35" t="n">
        <v>15992.262</v>
      </c>
      <c r="AO35" t="n">
        <v>16241.126</v>
      </c>
      <c r="AP35" t="n">
        <v>18554.835</v>
      </c>
      <c r="AQ35" t="n">
        <v>30277.907</v>
      </c>
      <c r="AR35" t="n">
        <v>15479.494</v>
      </c>
      <c r="AS35" t="n">
        <v>22665.65</v>
      </c>
      <c r="AT35" t="n">
        <v>21657.976</v>
      </c>
      <c r="AU35" t="n">
        <v>23201.446</v>
      </c>
      <c r="AV35" t="n">
        <v>10581.271</v>
      </c>
      <c r="AW35" t="n">
        <v>28093.336</v>
      </c>
      <c r="AX35" t="n">
        <v>26435.158</v>
      </c>
      <c r="AY35" t="n">
        <v>22898.289</v>
      </c>
      <c r="AZ35" t="n">
        <v>34271.111</v>
      </c>
      <c r="BA35" t="n">
        <v>38079.699</v>
      </c>
      <c r="BB35" t="n">
        <v>32898.348</v>
      </c>
      <c r="BC35" t="n">
        <v>39554.157</v>
      </c>
      <c r="BD35" t="n">
        <v>44251.418</v>
      </c>
      <c r="BE35" t="n">
        <v>45096.07</v>
      </c>
      <c r="BF35" t="n">
        <v>42848.769</v>
      </c>
      <c r="BG35" t="n">
        <v>45171.242</v>
      </c>
      <c r="BH35" t="n">
        <v>48100.288</v>
      </c>
      <c r="BI35" t="n">
        <v>56280.094</v>
      </c>
      <c r="BJ35" t="n">
        <v>59340.564</v>
      </c>
      <c r="BK35" t="n">
        <v>47272.938</v>
      </c>
      <c r="BL35" t="n">
        <v>56550.012</v>
      </c>
      <c r="BM35" t="n">
        <v>56611.601</v>
      </c>
      <c r="BN35" t="n">
        <v>67135.628</v>
      </c>
      <c r="BO35" t="n">
        <v>71166.84699999999</v>
      </c>
      <c r="BP35" t="n">
        <v>70758.92999999999</v>
      </c>
      <c r="BQ35" t="n">
        <v>76251.591</v>
      </c>
      <c r="BR35" t="n">
        <v>85882.91</v>
      </c>
      <c r="BS35" t="n">
        <v>88336.06600000001</v>
      </c>
      <c r="BT35" t="n">
        <v>97648.852</v>
      </c>
      <c r="BU35" t="n">
        <v>111786.974</v>
      </c>
      <c r="BV35" t="n">
        <v>107938.026</v>
      </c>
    </row>
    <row r="36">
      <c r="A36" t="inlineStr">
        <is>
          <t>Oncorhynchus</t>
        </is>
      </c>
      <c r="B36" t="inlineStr">
        <is>
          <t>Salmons, trouts</t>
        </is>
      </c>
      <c r="C36" t="inlineStr">
        <is>
          <t>Large benthopelagics (&gt;=90 cm)</t>
        </is>
      </c>
      <c r="D36" t="inlineStr">
        <is>
          <t>Salmon, smelts, etc</t>
        </is>
      </c>
      <c r="E36" t="n">
        <v>11739.838</v>
      </c>
      <c r="F36" t="n">
        <v>11739.838</v>
      </c>
      <c r="G36" t="n">
        <v>11739.838</v>
      </c>
      <c r="H36" t="n">
        <v>8719.303</v>
      </c>
      <c r="I36" t="n">
        <v>11096.625</v>
      </c>
      <c r="J36" t="n">
        <v>20857.487</v>
      </c>
      <c r="K36" t="n">
        <v>19958.905</v>
      </c>
      <c r="L36" t="n">
        <v>21556.79</v>
      </c>
      <c r="M36" t="n">
        <v>22287.048</v>
      </c>
      <c r="N36" t="n">
        <v>17972.795</v>
      </c>
      <c r="O36" t="n">
        <v>18862.082</v>
      </c>
      <c r="P36" t="n">
        <v>18196.753</v>
      </c>
      <c r="Q36" t="n">
        <v>16487.055</v>
      </c>
      <c r="R36" t="n">
        <v>16559.846</v>
      </c>
      <c r="S36" t="n">
        <v>15917.997</v>
      </c>
      <c r="T36" t="n">
        <v>16423.485</v>
      </c>
      <c r="U36" t="n">
        <v>16548.284</v>
      </c>
      <c r="V36" t="n">
        <v>16692.592</v>
      </c>
      <c r="W36" t="n">
        <v>14609.121</v>
      </c>
      <c r="X36" t="n">
        <v>13997.304</v>
      </c>
      <c r="Y36" t="n">
        <v>15859.787</v>
      </c>
      <c r="Z36" t="n">
        <v>15726.989</v>
      </c>
      <c r="AA36" t="n">
        <v>16692.285</v>
      </c>
      <c r="AB36" t="n">
        <v>16764.018</v>
      </c>
      <c r="AC36" t="n">
        <v>19181.774</v>
      </c>
      <c r="AD36" t="n">
        <v>21942.383</v>
      </c>
      <c r="AE36" t="n">
        <v>18475.547</v>
      </c>
      <c r="AF36" t="n">
        <v>16446.194</v>
      </c>
      <c r="AG36" t="n">
        <v>17085.766</v>
      </c>
      <c r="AH36" t="n">
        <v>20859.642</v>
      </c>
      <c r="AI36" t="n">
        <v>20231.891</v>
      </c>
      <c r="AJ36" t="n">
        <v>24357.15</v>
      </c>
      <c r="AK36" t="n">
        <v>23010.922</v>
      </c>
      <c r="AL36" t="n">
        <v>24208.117</v>
      </c>
      <c r="AM36" t="n">
        <v>24944.762</v>
      </c>
      <c r="AN36" t="n">
        <v>28896.17</v>
      </c>
      <c r="AO36" t="n">
        <v>25633.62</v>
      </c>
      <c r="AP36" t="n">
        <v>24656.475</v>
      </c>
      <c r="AQ36" t="n">
        <v>26799.56</v>
      </c>
      <c r="AR36" t="n">
        <v>29999.538</v>
      </c>
      <c r="AS36" t="n">
        <v>33553.704</v>
      </c>
      <c r="AT36" t="n">
        <v>31009.117</v>
      </c>
      <c r="AU36" t="n">
        <v>27440.808</v>
      </c>
      <c r="AV36" t="n">
        <v>33062.943</v>
      </c>
      <c r="AW36" t="n">
        <v>34242.44</v>
      </c>
      <c r="AX36" t="n">
        <v>40361.089</v>
      </c>
      <c r="AY36" t="n">
        <v>44662.402</v>
      </c>
      <c r="AZ36" t="n">
        <v>40437.762</v>
      </c>
      <c r="BA36" t="n">
        <v>30773.057</v>
      </c>
      <c r="BB36" t="n">
        <v>28622.01</v>
      </c>
      <c r="BC36" t="n">
        <v>25974.365</v>
      </c>
      <c r="BD36" t="n">
        <v>33733.599</v>
      </c>
      <c r="BE36" t="n">
        <v>33391.569</v>
      </c>
      <c r="BF36" t="n">
        <v>60861.368</v>
      </c>
      <c r="BG36" t="n">
        <v>56569.952</v>
      </c>
      <c r="BH36" t="n">
        <v>52921.23</v>
      </c>
      <c r="BI36" t="n">
        <v>49145.571</v>
      </c>
      <c r="BJ36" t="n">
        <v>47362.949</v>
      </c>
      <c r="BK36" t="n">
        <v>38311.633</v>
      </c>
      <c r="BL36" t="n">
        <v>46537.379</v>
      </c>
      <c r="BM36" t="n">
        <v>37802.587</v>
      </c>
      <c r="BN36" t="n">
        <v>32034.929</v>
      </c>
      <c r="BO36" t="n">
        <v>29599.911</v>
      </c>
      <c r="BP36" t="n">
        <v>36186.172</v>
      </c>
      <c r="BQ36" t="n">
        <v>34368.598</v>
      </c>
      <c r="BR36" t="n">
        <v>32196.61</v>
      </c>
      <c r="BS36" t="n">
        <v>24202.969</v>
      </c>
      <c r="BT36" t="n">
        <v>19634.15</v>
      </c>
      <c r="BU36" t="n">
        <v>24484.354</v>
      </c>
      <c r="BV36" t="n">
        <v>24016.335</v>
      </c>
    </row>
    <row r="37">
      <c r="A37" t="inlineStr">
        <is>
          <t>Carangidae</t>
        </is>
      </c>
      <c r="B37" t="inlineStr">
        <is>
          <t>Jacks, pompanos</t>
        </is>
      </c>
      <c r="C37" t="inlineStr">
        <is>
          <t>Medium pelagics (30 - 89 cm)</t>
        </is>
      </c>
      <c r="D37" t="inlineStr">
        <is>
          <t>Perch-likes</t>
        </is>
      </c>
      <c r="E37" t="n">
        <v>11969.853</v>
      </c>
      <c r="F37" t="n">
        <v>20206.68</v>
      </c>
      <c r="G37" t="n">
        <v>25055.42</v>
      </c>
      <c r="H37" t="n">
        <v>24274.844</v>
      </c>
      <c r="I37" t="n">
        <v>31677.56</v>
      </c>
      <c r="J37" t="n">
        <v>30633.23</v>
      </c>
      <c r="K37" t="n">
        <v>27940.109</v>
      </c>
      <c r="L37" t="n">
        <v>30537.671</v>
      </c>
      <c r="M37" t="n">
        <v>48811.855</v>
      </c>
      <c r="N37" t="n">
        <v>41610.672</v>
      </c>
      <c r="O37" t="n">
        <v>40754.89</v>
      </c>
      <c r="P37" t="n">
        <v>29320.81</v>
      </c>
      <c r="Q37" t="n">
        <v>27371.692</v>
      </c>
      <c r="R37" t="n">
        <v>18032.244</v>
      </c>
      <c r="S37" t="n">
        <v>24553.522</v>
      </c>
      <c r="T37" t="n">
        <v>29405.459</v>
      </c>
      <c r="U37" t="n">
        <v>23362.995</v>
      </c>
      <c r="V37" t="n">
        <v>37322.456</v>
      </c>
      <c r="W37" t="n">
        <v>30011.649</v>
      </c>
      <c r="X37" t="n">
        <v>30986.642</v>
      </c>
      <c r="Y37" t="n">
        <v>27331.17</v>
      </c>
      <c r="Z37" t="n">
        <v>29492.596</v>
      </c>
      <c r="AA37" t="n">
        <v>23844.308</v>
      </c>
      <c r="AB37" t="n">
        <v>21938.971</v>
      </c>
      <c r="AC37" t="n">
        <v>22876.848</v>
      </c>
      <c r="AD37" t="n">
        <v>28036.465</v>
      </c>
      <c r="AE37" t="n">
        <v>34445.226</v>
      </c>
      <c r="AF37" t="n">
        <v>39196.061</v>
      </c>
      <c r="AG37" t="n">
        <v>37560.277</v>
      </c>
      <c r="AH37" t="n">
        <v>46532.405</v>
      </c>
      <c r="AI37" t="n">
        <v>42459.931</v>
      </c>
      <c r="AJ37" t="n">
        <v>31993.055</v>
      </c>
      <c r="AK37" t="n">
        <v>40416.39</v>
      </c>
      <c r="AL37" t="n">
        <v>38929.823</v>
      </c>
      <c r="AM37" t="n">
        <v>46026.852</v>
      </c>
      <c r="AN37" t="n">
        <v>44298.254</v>
      </c>
      <c r="AO37" t="n">
        <v>48224.372</v>
      </c>
      <c r="AP37" t="n">
        <v>50907.827</v>
      </c>
      <c r="AQ37" t="n">
        <v>63019.422</v>
      </c>
      <c r="AR37" t="n">
        <v>44712.726</v>
      </c>
      <c r="AS37" t="n">
        <v>37689.535</v>
      </c>
      <c r="AT37" t="n">
        <v>32376.517</v>
      </c>
      <c r="AU37" t="n">
        <v>31262.467</v>
      </c>
      <c r="AV37" t="n">
        <v>26757.722</v>
      </c>
      <c r="AW37" t="n">
        <v>29351.009</v>
      </c>
      <c r="AX37" t="n">
        <v>29874.705</v>
      </c>
      <c r="AY37" t="n">
        <v>31880.692</v>
      </c>
      <c r="AZ37" t="n">
        <v>35180.279</v>
      </c>
      <c r="BA37" t="n">
        <v>28539.151</v>
      </c>
      <c r="BB37" t="n">
        <v>19728.517</v>
      </c>
      <c r="BC37" t="n">
        <v>18770.341</v>
      </c>
      <c r="BD37" t="n">
        <v>15901.329</v>
      </c>
      <c r="BE37" t="n">
        <v>17744.085</v>
      </c>
      <c r="BF37" t="n">
        <v>11930.354</v>
      </c>
      <c r="BG37" t="n">
        <v>10716.014</v>
      </c>
      <c r="BH37" t="n">
        <v>8398.249</v>
      </c>
      <c r="BI37" t="n">
        <v>8035.016</v>
      </c>
      <c r="BJ37" t="n">
        <v>8620.768</v>
      </c>
      <c r="BK37" t="n">
        <v>9694.092000000001</v>
      </c>
      <c r="BL37" t="n">
        <v>8225.392</v>
      </c>
      <c r="BM37" t="n">
        <v>7950.408</v>
      </c>
      <c r="BN37" t="n">
        <v>3358.09</v>
      </c>
      <c r="BO37" t="n">
        <v>3312.338</v>
      </c>
      <c r="BP37" t="n">
        <v>3425.935</v>
      </c>
      <c r="BQ37" t="n">
        <v>3153.365</v>
      </c>
      <c r="BR37" t="n">
        <v>2839.981</v>
      </c>
      <c r="BS37" t="n">
        <v>2854.844</v>
      </c>
      <c r="BT37" t="n">
        <v>2578.573</v>
      </c>
      <c r="BU37" t="n">
        <v>2538.801</v>
      </c>
      <c r="BV37" t="n">
        <v>2522.531</v>
      </c>
    </row>
    <row r="38">
      <c r="A38" t="inlineStr">
        <is>
          <t>Psenopsis anomala</t>
        </is>
      </c>
      <c r="B38" t="inlineStr">
        <is>
          <t>Pacific rudderfish</t>
        </is>
      </c>
      <c r="C38" t="inlineStr">
        <is>
          <t>Small benthopelagics (&lt;30 cm)</t>
        </is>
      </c>
      <c r="D38" t="inlineStr">
        <is>
          <t>Perch-likes</t>
        </is>
      </c>
      <c r="E38" t="n">
        <v>5537.074</v>
      </c>
      <c r="F38" t="n">
        <v>6328.382</v>
      </c>
      <c r="G38" t="n">
        <v>7657.841</v>
      </c>
      <c r="H38" t="n">
        <v>7359.896</v>
      </c>
      <c r="I38" t="n">
        <v>6925.518</v>
      </c>
      <c r="J38" t="n">
        <v>5642.891</v>
      </c>
      <c r="K38" t="n">
        <v>9785.148999999999</v>
      </c>
      <c r="L38" t="n">
        <v>12445.104</v>
      </c>
      <c r="M38" t="n">
        <v>12491.841</v>
      </c>
      <c r="N38" t="n">
        <v>9906.058000000001</v>
      </c>
      <c r="O38" t="n">
        <v>9234.24</v>
      </c>
      <c r="P38" t="n">
        <v>24226.577</v>
      </c>
      <c r="Q38" t="n">
        <v>18270.127</v>
      </c>
      <c r="R38" t="n">
        <v>13737.003</v>
      </c>
      <c r="S38" t="n">
        <v>13100.17</v>
      </c>
      <c r="T38" t="n">
        <v>15402.484</v>
      </c>
      <c r="U38" t="n">
        <v>10744.262</v>
      </c>
      <c r="V38" t="n">
        <v>11904.118</v>
      </c>
      <c r="W38" t="n">
        <v>21358.938</v>
      </c>
      <c r="X38" t="n">
        <v>24662.409</v>
      </c>
      <c r="Y38" t="n">
        <v>22138.928</v>
      </c>
      <c r="Z38" t="n">
        <v>27463.52</v>
      </c>
      <c r="AA38" t="n">
        <v>23358.169</v>
      </c>
      <c r="AB38" t="n">
        <v>25475.072</v>
      </c>
      <c r="AC38" t="n">
        <v>27781.923</v>
      </c>
      <c r="AD38" t="n">
        <v>28725.57</v>
      </c>
      <c r="AE38" t="n">
        <v>35056.184</v>
      </c>
      <c r="AF38" t="n">
        <v>25464.861</v>
      </c>
      <c r="AG38" t="n">
        <v>13386.21</v>
      </c>
      <c r="AH38" t="n">
        <v>10425.927</v>
      </c>
      <c r="AI38" t="n">
        <v>14159.415</v>
      </c>
      <c r="AJ38" t="n">
        <v>10605.092</v>
      </c>
      <c r="AK38" t="n">
        <v>12582.825</v>
      </c>
      <c r="AL38" t="n">
        <v>28589.43</v>
      </c>
      <c r="AM38" t="n">
        <v>22318.308</v>
      </c>
      <c r="AN38" t="n">
        <v>22919.845</v>
      </c>
      <c r="AO38" t="n">
        <v>56180.73</v>
      </c>
      <c r="AP38" t="n">
        <v>52346.188</v>
      </c>
      <c r="AQ38" t="n">
        <v>39047.3</v>
      </c>
      <c r="AR38" t="n">
        <v>33088.856</v>
      </c>
      <c r="AS38" t="n">
        <v>28328.406</v>
      </c>
      <c r="AT38" t="n">
        <v>56274.659</v>
      </c>
      <c r="AU38" t="n">
        <v>46286.415</v>
      </c>
      <c r="AV38" t="n">
        <v>40852.655</v>
      </c>
      <c r="AW38" t="n">
        <v>49308.601</v>
      </c>
      <c r="AX38" t="n">
        <v>59861.604</v>
      </c>
      <c r="AY38" t="n">
        <v>72977.058</v>
      </c>
      <c r="AZ38" t="n">
        <v>47086.759</v>
      </c>
      <c r="BA38" t="n">
        <v>54461.929</v>
      </c>
      <c r="BB38" t="n">
        <v>36488.649</v>
      </c>
      <c r="BC38" t="n">
        <v>28203.809</v>
      </c>
      <c r="BD38" t="n">
        <v>34234.378</v>
      </c>
      <c r="BE38" t="n">
        <v>30391.955</v>
      </c>
      <c r="BF38" t="n">
        <v>16373.794</v>
      </c>
      <c r="BG38" t="n">
        <v>22628.153</v>
      </c>
      <c r="BH38" t="n">
        <v>16502.363</v>
      </c>
      <c r="BI38" t="n">
        <v>16314.772</v>
      </c>
      <c r="BJ38" t="n">
        <v>12479.86</v>
      </c>
      <c r="BK38" t="n">
        <v>14212.537</v>
      </c>
      <c r="BL38" t="n">
        <v>17382.358</v>
      </c>
      <c r="BM38" t="n">
        <v>12384.927</v>
      </c>
      <c r="BN38" t="n">
        <v>13441.543</v>
      </c>
      <c r="BO38" t="n">
        <v>13589.262</v>
      </c>
      <c r="BP38" t="n">
        <v>14137.514</v>
      </c>
      <c r="BQ38" t="n">
        <v>14304.335</v>
      </c>
      <c r="BR38" t="n">
        <v>10472.385</v>
      </c>
      <c r="BS38" t="n">
        <v>11066.116</v>
      </c>
      <c r="BT38" t="n">
        <v>9852.651</v>
      </c>
      <c r="BU38" t="n">
        <v>9708.946</v>
      </c>
      <c r="BV38" t="n">
        <v>9168.437</v>
      </c>
    </row>
    <row r="39">
      <c r="A39" t="inlineStr">
        <is>
          <t>Squillidae</t>
        </is>
      </c>
      <c r="B39" t="inlineStr">
        <is>
          <t>Squilla mantis shrimps</t>
        </is>
      </c>
      <c r="C39" t="inlineStr">
        <is>
          <t>Shrimps</t>
        </is>
      </c>
      <c r="D39" t="inlineStr">
        <is>
          <t>Crustaceans</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1.44</v>
      </c>
      <c r="W39" t="n">
        <v>0</v>
      </c>
      <c r="X39" t="n">
        <v>0</v>
      </c>
      <c r="Y39" t="n">
        <v>0</v>
      </c>
      <c r="Z39" t="n">
        <v>0</v>
      </c>
      <c r="AA39" t="n">
        <v>0</v>
      </c>
      <c r="AB39" t="n">
        <v>1.341</v>
      </c>
      <c r="AC39" t="n">
        <v>0</v>
      </c>
      <c r="AD39" t="n">
        <v>0</v>
      </c>
      <c r="AE39" t="n">
        <v>0</v>
      </c>
      <c r="AF39" t="n">
        <v>0</v>
      </c>
      <c r="AG39" t="n">
        <v>0</v>
      </c>
      <c r="AH39" t="n">
        <v>1.149</v>
      </c>
      <c r="AI39" t="n">
        <v>0</v>
      </c>
      <c r="AJ39" t="n">
        <v>1.055</v>
      </c>
      <c r="AK39" t="n">
        <v>0</v>
      </c>
      <c r="AL39" t="n">
        <v>0</v>
      </c>
      <c r="AM39" t="n">
        <v>0</v>
      </c>
      <c r="AN39" t="n">
        <v>0</v>
      </c>
      <c r="AO39" t="n">
        <v>0.799</v>
      </c>
      <c r="AP39" t="n">
        <v>0</v>
      </c>
      <c r="AQ39" t="n">
        <v>0</v>
      </c>
      <c r="AR39" t="n">
        <v>0</v>
      </c>
      <c r="AS39" t="n">
        <v>0</v>
      </c>
      <c r="AT39" t="n">
        <v>0</v>
      </c>
      <c r="AU39" t="n">
        <v>0</v>
      </c>
      <c r="AV39" t="n">
        <v>1.08</v>
      </c>
      <c r="AW39" t="n">
        <v>0</v>
      </c>
      <c r="AX39" t="n">
        <v>0</v>
      </c>
      <c r="AY39" t="n">
        <v>0</v>
      </c>
      <c r="AZ39" t="n">
        <v>0</v>
      </c>
      <c r="BA39" t="n">
        <v>0.571</v>
      </c>
      <c r="BB39" t="n">
        <v>0</v>
      </c>
      <c r="BC39" t="n">
        <v>0</v>
      </c>
      <c r="BD39" t="n">
        <v>0</v>
      </c>
      <c r="BE39" t="n">
        <v>0</v>
      </c>
      <c r="BF39" t="n">
        <v>68303.087</v>
      </c>
      <c r="BG39" t="n">
        <v>84410.564</v>
      </c>
      <c r="BH39" t="n">
        <v>82103.58199999999</v>
      </c>
      <c r="BI39" t="n">
        <v>89096.72199999999</v>
      </c>
      <c r="BJ39" t="n">
        <v>100868.957</v>
      </c>
      <c r="BK39" t="n">
        <v>92411.531</v>
      </c>
      <c r="BL39" t="n">
        <v>90438.399</v>
      </c>
      <c r="BM39" t="n">
        <v>94425.78200000001</v>
      </c>
      <c r="BN39" t="n">
        <v>98732.72900000001</v>
      </c>
      <c r="BO39" t="n">
        <v>101220.174</v>
      </c>
      <c r="BP39" t="n">
        <v>92988.675</v>
      </c>
      <c r="BQ39" t="n">
        <v>109345.537</v>
      </c>
      <c r="BR39" t="n">
        <v>100705.608</v>
      </c>
      <c r="BS39" t="n">
        <v>81094.048</v>
      </c>
      <c r="BT39" t="n">
        <v>75040.908</v>
      </c>
      <c r="BU39" t="n">
        <v>75527.12699999999</v>
      </c>
      <c r="BV39" t="n">
        <v>75778.09699999999</v>
      </c>
    </row>
    <row r="40">
      <c r="A40" t="inlineStr">
        <is>
          <t>Sparidae</t>
        </is>
      </c>
      <c r="B40" t="inlineStr">
        <is>
          <t>Porgies, seabreams</t>
        </is>
      </c>
      <c r="C40" t="inlineStr">
        <is>
          <t>Medium benthopelagics (30 - 89 cm)</t>
        </is>
      </c>
      <c r="D40" t="inlineStr">
        <is>
          <t>Perch-likes</t>
        </is>
      </c>
      <c r="E40" t="n">
        <v>6671.028</v>
      </c>
      <c r="F40" t="n">
        <v>9147.772000000001</v>
      </c>
      <c r="G40" t="n">
        <v>7501.842</v>
      </c>
      <c r="H40" t="n">
        <v>8533.177</v>
      </c>
      <c r="I40" t="n">
        <v>8470.472</v>
      </c>
      <c r="J40" t="n">
        <v>8262.483</v>
      </c>
      <c r="K40" t="n">
        <v>9207.143</v>
      </c>
      <c r="L40" t="n">
        <v>10358.004</v>
      </c>
      <c r="M40" t="n">
        <v>10608.086</v>
      </c>
      <c r="N40" t="n">
        <v>11071.886</v>
      </c>
      <c r="O40" t="n">
        <v>9232.453</v>
      </c>
      <c r="P40" t="n">
        <v>9313.57</v>
      </c>
      <c r="Q40" t="n">
        <v>9513.005999999999</v>
      </c>
      <c r="R40" t="n">
        <v>8894.1</v>
      </c>
      <c r="S40" t="n">
        <v>9613.482</v>
      </c>
      <c r="T40" t="n">
        <v>9258.098</v>
      </c>
      <c r="U40" t="n">
        <v>7816.859</v>
      </c>
      <c r="V40" t="n">
        <v>7330.242</v>
      </c>
      <c r="W40" t="n">
        <v>8134.746</v>
      </c>
      <c r="X40" t="n">
        <v>7533.161</v>
      </c>
      <c r="Y40" t="n">
        <v>7905.264</v>
      </c>
      <c r="Z40" t="n">
        <v>8126.935</v>
      </c>
      <c r="AA40" t="n">
        <v>9100.931</v>
      </c>
      <c r="AB40" t="n">
        <v>9681.129000000001</v>
      </c>
      <c r="AC40" t="n">
        <v>10137.884</v>
      </c>
      <c r="AD40" t="n">
        <v>9822.434999999999</v>
      </c>
      <c r="AE40" t="n">
        <v>9307.550999999999</v>
      </c>
      <c r="AF40" t="n">
        <v>10026.861</v>
      </c>
      <c r="AG40" t="n">
        <v>10372.124</v>
      </c>
      <c r="AH40" t="n">
        <v>10231.807</v>
      </c>
      <c r="AI40" t="n">
        <v>9810.464</v>
      </c>
      <c r="AJ40" t="n">
        <v>8729.143</v>
      </c>
      <c r="AK40" t="n">
        <v>9442.098</v>
      </c>
      <c r="AL40" t="n">
        <v>9411.135</v>
      </c>
      <c r="AM40" t="n">
        <v>10667.426</v>
      </c>
      <c r="AN40" t="n">
        <v>10098.209</v>
      </c>
      <c r="AO40" t="n">
        <v>11077.139</v>
      </c>
      <c r="AP40" t="n">
        <v>10989.502</v>
      </c>
      <c r="AQ40" t="n">
        <v>10897.125</v>
      </c>
      <c r="AR40" t="n">
        <v>8519.867</v>
      </c>
      <c r="AS40" t="n">
        <v>23238.142</v>
      </c>
      <c r="AT40" t="n">
        <v>21078.078</v>
      </c>
      <c r="AU40" t="n">
        <v>25127.081</v>
      </c>
      <c r="AV40" t="n">
        <v>24340.773</v>
      </c>
      <c r="AW40" t="n">
        <v>24110.963</v>
      </c>
      <c r="AX40" t="n">
        <v>23023.821</v>
      </c>
      <c r="AY40" t="n">
        <v>21451.086</v>
      </c>
      <c r="AZ40" t="n">
        <v>24676.253</v>
      </c>
      <c r="BA40" t="n">
        <v>24634.114</v>
      </c>
      <c r="BB40" t="n">
        <v>24777.07</v>
      </c>
      <c r="BC40" t="n">
        <v>31177.765</v>
      </c>
      <c r="BD40" t="n">
        <v>36947.627</v>
      </c>
      <c r="BE40" t="n">
        <v>34807.834</v>
      </c>
      <c r="BF40" t="n">
        <v>34751.2</v>
      </c>
      <c r="BG40" t="n">
        <v>42953.216</v>
      </c>
      <c r="BH40" t="n">
        <v>39851.97</v>
      </c>
      <c r="BI40" t="n">
        <v>47317.218</v>
      </c>
      <c r="BJ40" t="n">
        <v>43712.074</v>
      </c>
      <c r="BK40" t="n">
        <v>43871.276</v>
      </c>
      <c r="BL40" t="n">
        <v>48737.474</v>
      </c>
      <c r="BM40" t="n">
        <v>52434.77</v>
      </c>
      <c r="BN40" t="n">
        <v>54276.476</v>
      </c>
      <c r="BO40" t="n">
        <v>53496.496</v>
      </c>
      <c r="BP40" t="n">
        <v>51697.975</v>
      </c>
      <c r="BQ40" t="n">
        <v>51896.641</v>
      </c>
      <c r="BR40" t="n">
        <v>49589.041</v>
      </c>
      <c r="BS40" t="n">
        <v>48055.662</v>
      </c>
      <c r="BT40" t="n">
        <v>45180.317</v>
      </c>
      <c r="BU40" t="n">
        <v>39768.501</v>
      </c>
      <c r="BV40" t="n">
        <v>39624.727</v>
      </c>
    </row>
    <row r="41">
      <c r="A41" t="inlineStr">
        <is>
          <t>Alepes</t>
        </is>
      </c>
      <c r="B41" t="inlineStr">
        <is>
          <t>Crevalles</t>
        </is>
      </c>
      <c r="C41" t="inlineStr">
        <is>
          <t>Medium reef assoc. fish (30 - 89 cm)</t>
        </is>
      </c>
      <c r="D41" t="inlineStr">
        <is>
          <t>Perch-likes</t>
        </is>
      </c>
      <c r="E41" t="n">
        <v>0</v>
      </c>
      <c r="F41" t="n">
        <v>0</v>
      </c>
      <c r="G41" t="n">
        <v>0</v>
      </c>
      <c r="H41" t="n">
        <v>0</v>
      </c>
      <c r="I41" t="n">
        <v>0.197</v>
      </c>
      <c r="J41" t="n">
        <v>0</v>
      </c>
      <c r="K41" t="n">
        <v>2.852</v>
      </c>
      <c r="L41" t="n">
        <v>0</v>
      </c>
      <c r="M41" t="n">
        <v>0</v>
      </c>
      <c r="N41" t="n">
        <v>0</v>
      </c>
      <c r="O41" t="n">
        <v>0</v>
      </c>
      <c r="P41" t="n">
        <v>0</v>
      </c>
      <c r="Q41" t="n">
        <v>0</v>
      </c>
      <c r="R41" t="n">
        <v>0</v>
      </c>
      <c r="S41" t="n">
        <v>0</v>
      </c>
      <c r="T41" t="n">
        <v>0</v>
      </c>
      <c r="U41" t="n">
        <v>0.9320000000000001</v>
      </c>
      <c r="V41" t="n">
        <v>0</v>
      </c>
      <c r="W41" t="n">
        <v>0</v>
      </c>
      <c r="X41" t="n">
        <v>1.21</v>
      </c>
      <c r="Y41" t="n">
        <v>0.078</v>
      </c>
      <c r="Z41" t="n">
        <v>0</v>
      </c>
      <c r="AA41" t="n">
        <v>0</v>
      </c>
      <c r="AB41" t="n">
        <v>1.893</v>
      </c>
      <c r="AC41" t="n">
        <v>0.232</v>
      </c>
      <c r="AD41" t="n">
        <v>0</v>
      </c>
      <c r="AE41" t="n">
        <v>0</v>
      </c>
      <c r="AF41" t="n">
        <v>0</v>
      </c>
      <c r="AG41" t="n">
        <v>0</v>
      </c>
      <c r="AH41" t="n">
        <v>7589.964</v>
      </c>
      <c r="AI41" t="n">
        <v>13242.225</v>
      </c>
      <c r="AJ41" t="n">
        <v>11293.005</v>
      </c>
      <c r="AK41" t="n">
        <v>14285.769</v>
      </c>
      <c r="AL41" t="n">
        <v>16951.868</v>
      </c>
      <c r="AM41" t="n">
        <v>15923.95</v>
      </c>
      <c r="AN41" t="n">
        <v>18336.691</v>
      </c>
      <c r="AO41" t="n">
        <v>18477.937</v>
      </c>
      <c r="AP41" t="n">
        <v>26403.763</v>
      </c>
      <c r="AQ41" t="n">
        <v>18914.67</v>
      </c>
      <c r="AR41" t="n">
        <v>22811.645</v>
      </c>
      <c r="AS41" t="n">
        <v>29184.75</v>
      </c>
      <c r="AT41" t="n">
        <v>31646.255</v>
      </c>
      <c r="AU41" t="n">
        <v>29282.732</v>
      </c>
      <c r="AV41" t="n">
        <v>19650.163</v>
      </c>
      <c r="AW41" t="n">
        <v>32240.276</v>
      </c>
      <c r="AX41" t="n">
        <v>38648.787</v>
      </c>
      <c r="AY41" t="n">
        <v>47509.215</v>
      </c>
      <c r="AZ41" t="n">
        <v>37694.554</v>
      </c>
      <c r="BA41" t="n">
        <v>37425.043</v>
      </c>
      <c r="BB41" t="n">
        <v>32617.87</v>
      </c>
      <c r="BC41" t="n">
        <v>32046.489</v>
      </c>
      <c r="BD41" t="n">
        <v>42727.091</v>
      </c>
      <c r="BE41" t="n">
        <v>47197.845</v>
      </c>
      <c r="BF41" t="n">
        <v>52611.274</v>
      </c>
      <c r="BG41" t="n">
        <v>48323.253</v>
      </c>
      <c r="BH41" t="n">
        <v>48988.494</v>
      </c>
      <c r="BI41" t="n">
        <v>49152.143</v>
      </c>
      <c r="BJ41" t="n">
        <v>52766.152</v>
      </c>
      <c r="BK41" t="n">
        <v>55150.583</v>
      </c>
      <c r="BL41" t="n">
        <v>35188.129</v>
      </c>
      <c r="BM41" t="n">
        <v>36297.398</v>
      </c>
      <c r="BN41" t="n">
        <v>42465.573</v>
      </c>
      <c r="BO41" t="n">
        <v>57340.777</v>
      </c>
      <c r="BP41" t="n">
        <v>44900.477</v>
      </c>
      <c r="BQ41" t="n">
        <v>63380.51</v>
      </c>
      <c r="BR41" t="n">
        <v>46898.226</v>
      </c>
      <c r="BS41" t="n">
        <v>45996.45</v>
      </c>
      <c r="BT41" t="n">
        <v>42762.429</v>
      </c>
      <c r="BU41" t="n">
        <v>39480.229</v>
      </c>
      <c r="BV41" t="n">
        <v>35881.147</v>
      </c>
    </row>
    <row r="42">
      <c r="A42" t="inlineStr">
        <is>
          <t>Sepiidae</t>
        </is>
      </c>
      <c r="B42" t="inlineStr">
        <is>
          <t>Cuttlefishes</t>
        </is>
      </c>
      <c r="C42" t="inlineStr">
        <is>
          <t>Cephalopods</t>
        </is>
      </c>
      <c r="D42" t="inlineStr">
        <is>
          <t>Other fishes &amp; inverts</t>
        </is>
      </c>
      <c r="E42" t="n">
        <v>10664.579</v>
      </c>
      <c r="F42" t="n">
        <v>11140.06</v>
      </c>
      <c r="G42" t="n">
        <v>11356.449</v>
      </c>
      <c r="H42" t="n">
        <v>11193.478</v>
      </c>
      <c r="I42" t="n">
        <v>19479.248</v>
      </c>
      <c r="J42" t="n">
        <v>31303.909</v>
      </c>
      <c r="K42" t="n">
        <v>12238.178</v>
      </c>
      <c r="L42" t="n">
        <v>11010.405</v>
      </c>
      <c r="M42" t="n">
        <v>37982.76</v>
      </c>
      <c r="N42" t="n">
        <v>13953.468</v>
      </c>
      <c r="O42" t="n">
        <v>15271.075</v>
      </c>
      <c r="P42" t="n">
        <v>14086.405</v>
      </c>
      <c r="Q42" t="n">
        <v>17748.999</v>
      </c>
      <c r="R42" t="n">
        <v>12869.894</v>
      </c>
      <c r="S42" t="n">
        <v>17143.004</v>
      </c>
      <c r="T42" t="n">
        <v>17478.412</v>
      </c>
      <c r="U42" t="n">
        <v>14288.93</v>
      </c>
      <c r="V42" t="n">
        <v>15697.289</v>
      </c>
      <c r="W42" t="n">
        <v>17976.238</v>
      </c>
      <c r="X42" t="n">
        <v>20287.577</v>
      </c>
      <c r="Y42" t="n">
        <v>17124.371</v>
      </c>
      <c r="Z42" t="n">
        <v>20510.036</v>
      </c>
      <c r="AA42" t="n">
        <v>20003.074</v>
      </c>
      <c r="AB42" t="n">
        <v>19957.056</v>
      </c>
      <c r="AC42" t="n">
        <v>20950.42</v>
      </c>
      <c r="AD42" t="n">
        <v>24292.612</v>
      </c>
      <c r="AE42" t="n">
        <v>32291.603</v>
      </c>
      <c r="AF42" t="n">
        <v>33247.83</v>
      </c>
      <c r="AG42" t="n">
        <v>44747.986</v>
      </c>
      <c r="AH42" t="n">
        <v>58432.744</v>
      </c>
      <c r="AI42" t="n">
        <v>43928.484</v>
      </c>
      <c r="AJ42" t="n">
        <v>45477.613</v>
      </c>
      <c r="AK42" t="n">
        <v>68540.391</v>
      </c>
      <c r="AL42" t="n">
        <v>80574.114</v>
      </c>
      <c r="AM42" t="n">
        <v>65204.323</v>
      </c>
      <c r="AN42" t="n">
        <v>58441</v>
      </c>
      <c r="AO42" t="n">
        <v>43233.973</v>
      </c>
      <c r="AP42" t="n">
        <v>28879.285</v>
      </c>
      <c r="AQ42" t="n">
        <v>31459.16</v>
      </c>
      <c r="AR42" t="n">
        <v>33875.937</v>
      </c>
      <c r="AS42" t="n">
        <v>27357.638</v>
      </c>
      <c r="AT42" t="n">
        <v>30108.388</v>
      </c>
      <c r="AU42" t="n">
        <v>18280.318</v>
      </c>
      <c r="AV42" t="n">
        <v>15843.772</v>
      </c>
      <c r="AW42" t="n">
        <v>16436.238</v>
      </c>
      <c r="AX42" t="n">
        <v>16922.131</v>
      </c>
      <c r="AY42" t="n">
        <v>12747.979</v>
      </c>
      <c r="AZ42" t="n">
        <v>12775.538</v>
      </c>
      <c r="BA42" t="n">
        <v>13391.411</v>
      </c>
      <c r="BB42" t="n">
        <v>12824.643</v>
      </c>
      <c r="BC42" t="n">
        <v>8588.002</v>
      </c>
      <c r="BD42" t="n">
        <v>9119.403</v>
      </c>
      <c r="BE42" t="n">
        <v>8129.933</v>
      </c>
      <c r="BF42" t="n">
        <v>6848.46</v>
      </c>
      <c r="BG42" t="n">
        <v>8244.555</v>
      </c>
      <c r="BH42" t="n">
        <v>6939.416</v>
      </c>
      <c r="BI42" t="n">
        <v>6273.761</v>
      </c>
      <c r="BJ42" t="n">
        <v>1991.512</v>
      </c>
      <c r="BK42" t="n">
        <v>2433.178</v>
      </c>
      <c r="BL42" t="n">
        <v>2641.53</v>
      </c>
      <c r="BM42" t="n">
        <v>2832.786</v>
      </c>
      <c r="BN42" t="n">
        <v>2209.207</v>
      </c>
      <c r="BO42" t="n">
        <v>2669.468</v>
      </c>
      <c r="BP42" t="n">
        <v>3041.371</v>
      </c>
      <c r="BQ42" t="n">
        <v>2729.453</v>
      </c>
      <c r="BR42" t="n">
        <v>2624.853</v>
      </c>
      <c r="BS42" t="n">
        <v>2314.593</v>
      </c>
      <c r="BT42" t="n">
        <v>2519.407</v>
      </c>
      <c r="BU42" t="n">
        <v>3701.336</v>
      </c>
      <c r="BV42" t="n">
        <v>4838.085</v>
      </c>
    </row>
    <row r="43">
      <c r="A43" t="inlineStr">
        <is>
          <t>Harpadon nehereus</t>
        </is>
      </c>
      <c r="B43" t="inlineStr">
        <is>
          <t>Bombay-duck</t>
        </is>
      </c>
      <c r="C43" t="inlineStr">
        <is>
          <t>Medium benthopelagics (30 - 89 cm)</t>
        </is>
      </c>
      <c r="D43" t="inlineStr">
        <is>
          <t>Other fishes &amp; inverts</t>
        </is>
      </c>
      <c r="E43" t="n">
        <v>2751.886</v>
      </c>
      <c r="F43" t="n">
        <v>2999.331</v>
      </c>
      <c r="G43" t="n">
        <v>3204.36</v>
      </c>
      <c r="H43" t="n">
        <v>3218.736</v>
      </c>
      <c r="I43" t="n">
        <v>3951.613</v>
      </c>
      <c r="J43" t="n">
        <v>4168.355</v>
      </c>
      <c r="K43" t="n">
        <v>4138.498</v>
      </c>
      <c r="L43" t="n">
        <v>4048.399</v>
      </c>
      <c r="M43" t="n">
        <v>4150.281</v>
      </c>
      <c r="N43" t="n">
        <v>5088.847</v>
      </c>
      <c r="O43" t="n">
        <v>5498.815</v>
      </c>
      <c r="P43" t="n">
        <v>5086.115</v>
      </c>
      <c r="Q43" t="n">
        <v>6062.429</v>
      </c>
      <c r="R43" t="n">
        <v>5995.072</v>
      </c>
      <c r="S43" t="n">
        <v>5000.092</v>
      </c>
      <c r="T43" t="n">
        <v>4777.384</v>
      </c>
      <c r="U43" t="n">
        <v>4704.087</v>
      </c>
      <c r="V43" t="n">
        <v>4196.021</v>
      </c>
      <c r="W43" t="n">
        <v>6007.471</v>
      </c>
      <c r="X43" t="n">
        <v>6037.151</v>
      </c>
      <c r="Y43" t="n">
        <v>4905.235</v>
      </c>
      <c r="Z43" t="n">
        <v>5208.32</v>
      </c>
      <c r="AA43" t="n">
        <v>5754.473</v>
      </c>
      <c r="AB43" t="n">
        <v>5719.231</v>
      </c>
      <c r="AC43" t="n">
        <v>5906.878</v>
      </c>
      <c r="AD43" t="n">
        <v>7314.002</v>
      </c>
      <c r="AE43" t="n">
        <v>9094.246999999999</v>
      </c>
      <c r="AF43" t="n">
        <v>11127.037</v>
      </c>
      <c r="AG43" t="n">
        <v>10039.884</v>
      </c>
      <c r="AH43" t="n">
        <v>11783.082</v>
      </c>
      <c r="AI43" t="n">
        <v>10784.726</v>
      </c>
      <c r="AJ43" t="n">
        <v>11359.052</v>
      </c>
      <c r="AK43" t="n">
        <v>11107.61</v>
      </c>
      <c r="AL43" t="n">
        <v>11082.608</v>
      </c>
      <c r="AM43" t="n">
        <v>14661.88</v>
      </c>
      <c r="AN43" t="n">
        <v>15083.536</v>
      </c>
      <c r="AO43" t="n">
        <v>16560.225</v>
      </c>
      <c r="AP43" t="n">
        <v>18193.967</v>
      </c>
      <c r="AQ43" t="n">
        <v>20083.558</v>
      </c>
      <c r="AR43" t="n">
        <v>20733.319</v>
      </c>
      <c r="AS43" t="n">
        <v>21789.401</v>
      </c>
      <c r="AT43" t="n">
        <v>31135.003</v>
      </c>
      <c r="AU43" t="n">
        <v>34921.394</v>
      </c>
      <c r="AV43" t="n">
        <v>22439.792</v>
      </c>
      <c r="AW43" t="n">
        <v>24372.456</v>
      </c>
      <c r="AX43" t="n">
        <v>24559.578</v>
      </c>
      <c r="AY43" t="n">
        <v>22944.744</v>
      </c>
      <c r="AZ43" t="n">
        <v>21995.326</v>
      </c>
      <c r="BA43" t="n">
        <v>19535.228</v>
      </c>
      <c r="BB43" t="n">
        <v>15126.827</v>
      </c>
      <c r="BC43" t="n">
        <v>18307.148</v>
      </c>
      <c r="BD43" t="n">
        <v>21571.609</v>
      </c>
      <c r="BE43" t="n">
        <v>23245.771</v>
      </c>
      <c r="BF43" t="n">
        <v>23688.041</v>
      </c>
      <c r="BG43" t="n">
        <v>16615.916</v>
      </c>
      <c r="BH43" t="n">
        <v>27025.036</v>
      </c>
      <c r="BI43" t="n">
        <v>28059.481</v>
      </c>
      <c r="BJ43" t="n">
        <v>29181.354</v>
      </c>
      <c r="BK43" t="n">
        <v>31200.063</v>
      </c>
      <c r="BL43" t="n">
        <v>37181.936</v>
      </c>
      <c r="BM43" t="n">
        <v>40006.324</v>
      </c>
      <c r="BN43" t="n">
        <v>46651.761</v>
      </c>
      <c r="BO43" t="n">
        <v>48707.807</v>
      </c>
      <c r="BP43" t="n">
        <v>56070.343</v>
      </c>
      <c r="BQ43" t="n">
        <v>55248.633</v>
      </c>
      <c r="BR43" t="n">
        <v>54277.48</v>
      </c>
      <c r="BS43" t="n">
        <v>54126.686</v>
      </c>
      <c r="BT43" t="n">
        <v>53177.546</v>
      </c>
      <c r="BU43" t="n">
        <v>52974.562</v>
      </c>
      <c r="BV43" t="n">
        <v>52888.201</v>
      </c>
    </row>
    <row r="44">
      <c r="A44" t="inlineStr">
        <is>
          <t>Katsuwonus pelamis</t>
        </is>
      </c>
      <c r="B44" t="inlineStr">
        <is>
          <t>Skipjack tuna</t>
        </is>
      </c>
      <c r="C44" t="inlineStr">
        <is>
          <t>Large pelagics (&gt;=90 cm)</t>
        </is>
      </c>
      <c r="D44" t="inlineStr">
        <is>
          <t>Tuna &amp; billfishes</t>
        </is>
      </c>
      <c r="E44" t="n">
        <v>1085.664</v>
      </c>
      <c r="F44" t="n">
        <v>1086.968</v>
      </c>
      <c r="G44" t="n">
        <v>1087.007</v>
      </c>
      <c r="H44" t="n">
        <v>1029.051</v>
      </c>
      <c r="I44" t="n">
        <v>2209.405</v>
      </c>
      <c r="J44" t="n">
        <v>2189.765</v>
      </c>
      <c r="K44" t="n">
        <v>2109.941</v>
      </c>
      <c r="L44" t="n">
        <v>1698.998</v>
      </c>
      <c r="M44" t="n">
        <v>6417.377</v>
      </c>
      <c r="N44" t="n">
        <v>8199.338</v>
      </c>
      <c r="O44" t="n">
        <v>2831.632</v>
      </c>
      <c r="P44" t="n">
        <v>6591.795</v>
      </c>
      <c r="Q44" t="n">
        <v>8399.119000000001</v>
      </c>
      <c r="R44" t="n">
        <v>3814.362</v>
      </c>
      <c r="S44" t="n">
        <v>8125.558</v>
      </c>
      <c r="T44" t="n">
        <v>3993.986</v>
      </c>
      <c r="U44" t="n">
        <v>11248.155</v>
      </c>
      <c r="V44" t="n">
        <v>8626.023999999999</v>
      </c>
      <c r="W44" t="n">
        <v>7946.054</v>
      </c>
      <c r="X44" t="n">
        <v>7502.673</v>
      </c>
      <c r="Y44" t="n">
        <v>7759.902</v>
      </c>
      <c r="Z44" t="n">
        <v>4391.423</v>
      </c>
      <c r="AA44" t="n">
        <v>12508.587</v>
      </c>
      <c r="AB44" t="n">
        <v>17142.08</v>
      </c>
      <c r="AC44" t="n">
        <v>14333.112</v>
      </c>
      <c r="AD44" t="n">
        <v>16340.518</v>
      </c>
      <c r="AE44" t="n">
        <v>20619.51</v>
      </c>
      <c r="AF44" t="n">
        <v>22327.248</v>
      </c>
      <c r="AG44" t="n">
        <v>22403.349</v>
      </c>
      <c r="AH44" t="n">
        <v>18206.622</v>
      </c>
      <c r="AI44" t="n">
        <v>21887.827</v>
      </c>
      <c r="AJ44" t="n">
        <v>22606.656</v>
      </c>
      <c r="AK44" t="n">
        <v>27702.454</v>
      </c>
      <c r="AL44" t="n">
        <v>16346.583</v>
      </c>
      <c r="AM44" t="n">
        <v>21876.128</v>
      </c>
      <c r="AN44" t="n">
        <v>17484.903</v>
      </c>
      <c r="AO44" t="n">
        <v>25582.071</v>
      </c>
      <c r="AP44" t="n">
        <v>21555.781</v>
      </c>
      <c r="AQ44" t="n">
        <v>26184.799</v>
      </c>
      <c r="AR44" t="n">
        <v>26705.812</v>
      </c>
      <c r="AS44" t="n">
        <v>29244.253</v>
      </c>
      <c r="AT44" t="n">
        <v>22716.923</v>
      </c>
      <c r="AU44" t="n">
        <v>20522.195</v>
      </c>
      <c r="AV44" t="n">
        <v>25049.083</v>
      </c>
      <c r="AW44" t="n">
        <v>21365.248</v>
      </c>
      <c r="AX44" t="n">
        <v>22542.13</v>
      </c>
      <c r="AY44" t="n">
        <v>23807.263</v>
      </c>
      <c r="AZ44" t="n">
        <v>28942.388</v>
      </c>
      <c r="BA44" t="n">
        <v>33309.312</v>
      </c>
      <c r="BB44" t="n">
        <v>19543.53</v>
      </c>
      <c r="BC44" t="n">
        <v>31784.498</v>
      </c>
      <c r="BD44" t="n">
        <v>21882.722</v>
      </c>
      <c r="BE44" t="n">
        <v>26674.186</v>
      </c>
      <c r="BF44" t="n">
        <v>18709.773</v>
      </c>
      <c r="BG44" t="n">
        <v>25835.904</v>
      </c>
      <c r="BH44" t="n">
        <v>11594.47</v>
      </c>
      <c r="BI44" t="n">
        <v>13112.133</v>
      </c>
      <c r="BJ44" t="n">
        <v>16494.807</v>
      </c>
      <c r="BK44" t="n">
        <v>16139.616</v>
      </c>
      <c r="BL44" t="n">
        <v>23528.146</v>
      </c>
      <c r="BM44" t="n">
        <v>19141.603</v>
      </c>
      <c r="BN44" t="n">
        <v>42918.099</v>
      </c>
      <c r="BO44" t="n">
        <v>38469.071</v>
      </c>
      <c r="BP44" t="n">
        <v>42103.877</v>
      </c>
      <c r="BQ44" t="n">
        <v>34586.809</v>
      </c>
      <c r="BR44" t="n">
        <v>30059.931</v>
      </c>
      <c r="BS44" t="n">
        <v>32467.585</v>
      </c>
      <c r="BT44" t="n">
        <v>27813.674</v>
      </c>
      <c r="BU44" t="n">
        <v>27432.807</v>
      </c>
      <c r="BV44" t="n">
        <v>23281.925</v>
      </c>
    </row>
    <row r="45">
      <c r="A45" t="inlineStr">
        <is>
          <t>Cephalopoda</t>
        </is>
      </c>
      <c r="B45" t="inlineStr">
        <is>
          <t>Squids, cuttlefishes, octopuses</t>
        </is>
      </c>
      <c r="C45" t="inlineStr">
        <is>
          <t>Cephalopods</t>
        </is>
      </c>
      <c r="D45" t="inlineStr">
        <is>
          <t>Other fishes &amp; inverts</t>
        </is>
      </c>
      <c r="E45" t="n">
        <v>797.052</v>
      </c>
      <c r="F45" t="n">
        <v>798.263</v>
      </c>
      <c r="G45" t="n">
        <v>788.614</v>
      </c>
      <c r="H45" t="n">
        <v>755.151</v>
      </c>
      <c r="I45" t="n">
        <v>938.377</v>
      </c>
      <c r="J45" t="n">
        <v>735.65</v>
      </c>
      <c r="K45" t="n">
        <v>978.356</v>
      </c>
      <c r="L45" t="n">
        <v>1035.658</v>
      </c>
      <c r="M45" t="n">
        <v>1043.301</v>
      </c>
      <c r="N45" t="n">
        <v>1563.7</v>
      </c>
      <c r="O45" t="n">
        <v>1145.73</v>
      </c>
      <c r="P45" t="n">
        <v>1273.479</v>
      </c>
      <c r="Q45" t="n">
        <v>1676.042</v>
      </c>
      <c r="R45" t="n">
        <v>1691.36</v>
      </c>
      <c r="S45" t="n">
        <v>1429.013</v>
      </c>
      <c r="T45" t="n">
        <v>1612.58</v>
      </c>
      <c r="U45" t="n">
        <v>2135.524</v>
      </c>
      <c r="V45" t="n">
        <v>1670.609</v>
      </c>
      <c r="W45" t="n">
        <v>2490.125</v>
      </c>
      <c r="X45" t="n">
        <v>3233.24</v>
      </c>
      <c r="Y45" t="n">
        <v>3272.678</v>
      </c>
      <c r="Z45" t="n">
        <v>2851.763</v>
      </c>
      <c r="AA45" t="n">
        <v>3830.76</v>
      </c>
      <c r="AB45" t="n">
        <v>3352.309</v>
      </c>
      <c r="AC45" t="n">
        <v>3630.438</v>
      </c>
      <c r="AD45" t="n">
        <v>4699.112</v>
      </c>
      <c r="AE45" t="n">
        <v>5847.547</v>
      </c>
      <c r="AF45" t="n">
        <v>4294.033</v>
      </c>
      <c r="AG45" t="n">
        <v>15584.381</v>
      </c>
      <c r="AH45" t="n">
        <v>17649.307</v>
      </c>
      <c r="AI45" t="n">
        <v>19400.873</v>
      </c>
      <c r="AJ45" t="n">
        <v>20111.72</v>
      </c>
      <c r="AK45" t="n">
        <v>27261.486</v>
      </c>
      <c r="AL45" t="n">
        <v>21365.019</v>
      </c>
      <c r="AM45" t="n">
        <v>26010.894</v>
      </c>
      <c r="AN45" t="n">
        <v>27912.248</v>
      </c>
      <c r="AO45" t="n">
        <v>28131.629</v>
      </c>
      <c r="AP45" t="n">
        <v>49492.73</v>
      </c>
      <c r="AQ45" t="n">
        <v>47002.711</v>
      </c>
      <c r="AR45" t="n">
        <v>53013.753</v>
      </c>
      <c r="AS45" t="n">
        <v>25997.085</v>
      </c>
      <c r="AT45" t="n">
        <v>27879.955</v>
      </c>
      <c r="AU45" t="n">
        <v>33253.407</v>
      </c>
      <c r="AV45" t="n">
        <v>23389.291</v>
      </c>
      <c r="AW45" t="n">
        <v>30193.051</v>
      </c>
      <c r="AX45" t="n">
        <v>30415.595</v>
      </c>
      <c r="AY45" t="n">
        <v>27018.309</v>
      </c>
      <c r="AZ45" t="n">
        <v>32686.06</v>
      </c>
      <c r="BA45" t="n">
        <v>24692.681</v>
      </c>
      <c r="BB45" t="n">
        <v>21958.082</v>
      </c>
      <c r="BC45" t="n">
        <v>21217.209</v>
      </c>
      <c r="BD45" t="n">
        <v>19196.996</v>
      </c>
      <c r="BE45" t="n">
        <v>17228.144</v>
      </c>
      <c r="BF45" t="n">
        <v>21535.483</v>
      </c>
      <c r="BG45" t="n">
        <v>19719.63</v>
      </c>
      <c r="BH45" t="n">
        <v>27387.197</v>
      </c>
      <c r="BI45" t="n">
        <v>21991.589</v>
      </c>
      <c r="BJ45" t="n">
        <v>26496.204</v>
      </c>
      <c r="BK45" t="n">
        <v>29047.43</v>
      </c>
      <c r="BL45" t="n">
        <v>28060.578</v>
      </c>
      <c r="BM45" t="n">
        <v>28552.826</v>
      </c>
      <c r="BN45" t="n">
        <v>25837.644</v>
      </c>
      <c r="BO45" t="n">
        <v>27871.505</v>
      </c>
      <c r="BP45" t="n">
        <v>26730.738</v>
      </c>
      <c r="BQ45" t="n">
        <v>21389.004</v>
      </c>
      <c r="BR45" t="n">
        <v>20413.231</v>
      </c>
      <c r="BS45" t="n">
        <v>20534.124</v>
      </c>
      <c r="BT45" t="n">
        <v>18297.791</v>
      </c>
      <c r="BU45" t="n">
        <v>16611.142</v>
      </c>
      <c r="BV45" t="n">
        <v>17264.715</v>
      </c>
    </row>
    <row r="46">
      <c r="A46" t="inlineStr">
        <is>
          <t>Nemipteridae</t>
        </is>
      </c>
      <c r="B46" t="inlineStr">
        <is>
          <t>Threadfins, whiptail breams</t>
        </is>
      </c>
      <c r="C46" t="inlineStr">
        <is>
          <t>Small demersals (&lt;30 cm)</t>
        </is>
      </c>
      <c r="D46" t="inlineStr">
        <is>
          <t>Perch-likes</t>
        </is>
      </c>
      <c r="E46" t="n">
        <v>3082.164</v>
      </c>
      <c r="F46" t="n">
        <v>3090.315</v>
      </c>
      <c r="G46" t="n">
        <v>3563.263</v>
      </c>
      <c r="H46" t="n">
        <v>3572.691</v>
      </c>
      <c r="I46" t="n">
        <v>4205.129</v>
      </c>
      <c r="J46" t="n">
        <v>4450.499</v>
      </c>
      <c r="K46" t="n">
        <v>4697.142</v>
      </c>
      <c r="L46" t="n">
        <v>5573.01</v>
      </c>
      <c r="M46" t="n">
        <v>6059.986</v>
      </c>
      <c r="N46" t="n">
        <v>6707.329</v>
      </c>
      <c r="O46" t="n">
        <v>7199.83</v>
      </c>
      <c r="P46" t="n">
        <v>7298.259</v>
      </c>
      <c r="Q46" t="n">
        <v>7158.549</v>
      </c>
      <c r="R46" t="n">
        <v>9251.069</v>
      </c>
      <c r="S46" t="n">
        <v>7116.653</v>
      </c>
      <c r="T46" t="n">
        <v>7937.309</v>
      </c>
      <c r="U46" t="n">
        <v>7154.526</v>
      </c>
      <c r="V46" t="n">
        <v>7657.159</v>
      </c>
      <c r="W46" t="n">
        <v>11637.515</v>
      </c>
      <c r="X46" t="n">
        <v>10290.955</v>
      </c>
      <c r="Y46" t="n">
        <v>10562.092</v>
      </c>
      <c r="Z46" t="n">
        <v>10590.223</v>
      </c>
      <c r="AA46" t="n">
        <v>10700.122</v>
      </c>
      <c r="AB46" t="n">
        <v>10564.849</v>
      </c>
      <c r="AC46" t="n">
        <v>13737.265</v>
      </c>
      <c r="AD46" t="n">
        <v>12566.056</v>
      </c>
      <c r="AE46" t="n">
        <v>11233.872</v>
      </c>
      <c r="AF46" t="n">
        <v>11582.598</v>
      </c>
      <c r="AG46" t="n">
        <v>12863.282</v>
      </c>
      <c r="AH46" t="n">
        <v>16330.937</v>
      </c>
      <c r="AI46" t="n">
        <v>14941.843</v>
      </c>
      <c r="AJ46" t="n">
        <v>13518.687</v>
      </c>
      <c r="AK46" t="n">
        <v>12179.248</v>
      </c>
      <c r="AL46" t="n">
        <v>11712.079</v>
      </c>
      <c r="AM46" t="n">
        <v>14717.162</v>
      </c>
      <c r="AN46" t="n">
        <v>14922.905</v>
      </c>
      <c r="AO46" t="n">
        <v>19710.686</v>
      </c>
      <c r="AP46" t="n">
        <v>24006.687</v>
      </c>
      <c r="AQ46" t="n">
        <v>22945.716</v>
      </c>
      <c r="AR46" t="n">
        <v>20064.151</v>
      </c>
      <c r="AS46" t="n">
        <v>23007.227</v>
      </c>
      <c r="AT46" t="n">
        <v>38026.551</v>
      </c>
      <c r="AU46" t="n">
        <v>43477.229</v>
      </c>
      <c r="AV46" t="n">
        <v>33369.119</v>
      </c>
      <c r="AW46" t="n">
        <v>32036.993</v>
      </c>
      <c r="AX46" t="n">
        <v>29958.535</v>
      </c>
      <c r="AY46" t="n">
        <v>25348.673</v>
      </c>
      <c r="AZ46" t="n">
        <v>25949.063</v>
      </c>
      <c r="BA46" t="n">
        <v>25203.921</v>
      </c>
      <c r="BB46" t="n">
        <v>18142.573</v>
      </c>
      <c r="BC46" t="n">
        <v>22030.267</v>
      </c>
      <c r="BD46" t="n">
        <v>24362.883</v>
      </c>
      <c r="BE46" t="n">
        <v>23714.934</v>
      </c>
      <c r="BF46" t="n">
        <v>22030.267</v>
      </c>
      <c r="BG46" t="n">
        <v>23455.755</v>
      </c>
      <c r="BH46" t="n">
        <v>22678.216</v>
      </c>
      <c r="BI46" t="n">
        <v>21641.497</v>
      </c>
      <c r="BJ46" t="n">
        <v>21511.908</v>
      </c>
      <c r="BK46" t="n">
        <v>22069.144</v>
      </c>
      <c r="BL46" t="n">
        <v>22185.775</v>
      </c>
      <c r="BM46" t="n">
        <v>23481.673</v>
      </c>
      <c r="BN46" t="n">
        <v>23859.703</v>
      </c>
      <c r="BO46" t="n">
        <v>21694.947</v>
      </c>
      <c r="BP46" t="n">
        <v>23778.398</v>
      </c>
      <c r="BQ46" t="n">
        <v>22458.405</v>
      </c>
      <c r="BR46" t="n">
        <v>20289.916</v>
      </c>
      <c r="BS46" t="n">
        <v>19951.979</v>
      </c>
      <c r="BT46" t="n">
        <v>17824.901</v>
      </c>
      <c r="BU46" t="n">
        <v>17370.004</v>
      </c>
      <c r="BV46" t="n">
        <v>17176.463</v>
      </c>
    </row>
    <row r="47">
      <c r="A47" t="inlineStr">
        <is>
          <t>Thunnus albacares</t>
        </is>
      </c>
      <c r="B47" t="inlineStr">
        <is>
          <t>Yellowfin tuna</t>
        </is>
      </c>
      <c r="C47" t="inlineStr">
        <is>
          <t>Large pelagics (&gt;=90 cm)</t>
        </is>
      </c>
      <c r="D47" t="inlineStr">
        <is>
          <t>Tuna &amp; billfishes</t>
        </is>
      </c>
      <c r="E47" t="n">
        <v>273.26</v>
      </c>
      <c r="F47" t="n">
        <v>273.272</v>
      </c>
      <c r="G47" t="n">
        <v>284.778</v>
      </c>
      <c r="H47" t="n">
        <v>284.9</v>
      </c>
      <c r="I47" t="n">
        <v>262.528</v>
      </c>
      <c r="J47" t="n">
        <v>2495.937</v>
      </c>
      <c r="K47" t="n">
        <v>2908.616</v>
      </c>
      <c r="L47" t="n">
        <v>5734.394</v>
      </c>
      <c r="M47" t="n">
        <v>6745.289</v>
      </c>
      <c r="N47" t="n">
        <v>7325.871</v>
      </c>
      <c r="O47" t="n">
        <v>8442.893</v>
      </c>
      <c r="P47" t="n">
        <v>8382.877</v>
      </c>
      <c r="Q47" t="n">
        <v>8894.897000000001</v>
      </c>
      <c r="R47" t="n">
        <v>6063.271</v>
      </c>
      <c r="S47" t="n">
        <v>2137.9</v>
      </c>
      <c r="T47" t="n">
        <v>1597.043</v>
      </c>
      <c r="U47" t="n">
        <v>2114.197</v>
      </c>
      <c r="V47" t="n">
        <v>846.694</v>
      </c>
      <c r="W47" t="n">
        <v>2665.251</v>
      </c>
      <c r="X47" t="n">
        <v>1486.743</v>
      </c>
      <c r="Y47" t="n">
        <v>1163.199</v>
      </c>
      <c r="Z47" t="n">
        <v>1131.431</v>
      </c>
      <c r="AA47" t="n">
        <v>4708.322</v>
      </c>
      <c r="AB47" t="n">
        <v>6525.557</v>
      </c>
      <c r="AC47" t="n">
        <v>3577.107</v>
      </c>
      <c r="AD47" t="n">
        <v>5070.959</v>
      </c>
      <c r="AE47" t="n">
        <v>4480.799</v>
      </c>
      <c r="AF47" t="n">
        <v>8006.935</v>
      </c>
      <c r="AG47" t="n">
        <v>7697.076</v>
      </c>
      <c r="AH47" t="n">
        <v>7025.024</v>
      </c>
      <c r="AI47" t="n">
        <v>9203.611000000001</v>
      </c>
      <c r="AJ47" t="n">
        <v>11635.053</v>
      </c>
      <c r="AK47" t="n">
        <v>14271.55</v>
      </c>
      <c r="AL47" t="n">
        <v>9687.955</v>
      </c>
      <c r="AM47" t="n">
        <v>11826.031</v>
      </c>
      <c r="AN47" t="n">
        <v>12396.295</v>
      </c>
      <c r="AO47" t="n">
        <v>15821.15</v>
      </c>
      <c r="AP47" t="n">
        <v>12687.552</v>
      </c>
      <c r="AQ47" t="n">
        <v>13777.961</v>
      </c>
      <c r="AR47" t="n">
        <v>19616.818</v>
      </c>
      <c r="AS47" t="n">
        <v>17065.784</v>
      </c>
      <c r="AT47" t="n">
        <v>24668.176</v>
      </c>
      <c r="AU47" t="n">
        <v>19529.718</v>
      </c>
      <c r="AV47" t="n">
        <v>17673.705</v>
      </c>
      <c r="AW47" t="n">
        <v>17750.534</v>
      </c>
      <c r="AX47" t="n">
        <v>21722.993</v>
      </c>
      <c r="AY47" t="n">
        <v>29472.652</v>
      </c>
      <c r="AZ47" t="n">
        <v>28196.183</v>
      </c>
      <c r="BA47" t="n">
        <v>19529.615</v>
      </c>
      <c r="BB47" t="n">
        <v>26626.899</v>
      </c>
      <c r="BC47" t="n">
        <v>38827.432</v>
      </c>
      <c r="BD47" t="n">
        <v>33117.68</v>
      </c>
      <c r="BE47" t="n">
        <v>22466.888</v>
      </c>
      <c r="BF47" t="n">
        <v>19764.999</v>
      </c>
      <c r="BG47" t="n">
        <v>30964.785</v>
      </c>
      <c r="BH47" t="n">
        <v>27815.646</v>
      </c>
      <c r="BI47" t="n">
        <v>21197.93</v>
      </c>
      <c r="BJ47" t="n">
        <v>23720.267</v>
      </c>
      <c r="BK47" t="n">
        <v>27794.515</v>
      </c>
      <c r="BL47" t="n">
        <v>19535.968</v>
      </c>
      <c r="BM47" t="n">
        <v>24879.459</v>
      </c>
      <c r="BN47" t="n">
        <v>39284.194</v>
      </c>
      <c r="BO47" t="n">
        <v>34159.666</v>
      </c>
      <c r="BP47" t="n">
        <v>31231.754</v>
      </c>
      <c r="BQ47" t="n">
        <v>35256.421</v>
      </c>
      <c r="BR47" t="n">
        <v>53038.493</v>
      </c>
      <c r="BS47" t="n">
        <v>38238.854</v>
      </c>
      <c r="BT47" t="n">
        <v>23870.939</v>
      </c>
      <c r="BU47" t="n">
        <v>42600.863</v>
      </c>
      <c r="BV47" t="n">
        <v>27967.697</v>
      </c>
    </row>
    <row r="48">
      <c r="A48" t="inlineStr">
        <is>
          <t>Trachurus japonicus</t>
        </is>
      </c>
      <c r="B48" t="inlineStr">
        <is>
          <t>Japanese jack mackerel</t>
        </is>
      </c>
      <c r="C48" t="inlineStr">
        <is>
          <t>Medium demersals (30 - 89 cm)</t>
        </is>
      </c>
      <c r="D48" t="inlineStr">
        <is>
          <t>Perch-likes</t>
        </is>
      </c>
      <c r="E48" t="n">
        <v>20373.822</v>
      </c>
      <c r="F48" t="n">
        <v>20465.961</v>
      </c>
      <c r="G48" t="n">
        <v>20529.927</v>
      </c>
      <c r="H48" t="n">
        <v>22460.16</v>
      </c>
      <c r="I48" t="n">
        <v>23454.14</v>
      </c>
      <c r="J48" t="n">
        <v>22532.955</v>
      </c>
      <c r="K48" t="n">
        <v>23233.626</v>
      </c>
      <c r="L48" t="n">
        <v>28736.702</v>
      </c>
      <c r="M48" t="n">
        <v>31660.056</v>
      </c>
      <c r="N48" t="n">
        <v>28153.067</v>
      </c>
      <c r="O48" t="n">
        <v>31002.919</v>
      </c>
      <c r="P48" t="n">
        <v>28340.781</v>
      </c>
      <c r="Q48" t="n">
        <v>27654.841</v>
      </c>
      <c r="R48" t="n">
        <v>24299.608</v>
      </c>
      <c r="S48" t="n">
        <v>27354.71</v>
      </c>
      <c r="T48" t="n">
        <v>28984.235</v>
      </c>
      <c r="U48" t="n">
        <v>25823.103</v>
      </c>
      <c r="V48" t="n">
        <v>18168.161</v>
      </c>
      <c r="W48" t="n">
        <v>16618.142</v>
      </c>
      <c r="X48" t="n">
        <v>15009.118</v>
      </c>
      <c r="Y48" t="n">
        <v>11283.006</v>
      </c>
      <c r="Z48" t="n">
        <v>14141.285</v>
      </c>
      <c r="AA48" t="n">
        <v>8099.326</v>
      </c>
      <c r="AB48" t="n">
        <v>6929.52</v>
      </c>
      <c r="AC48" t="n">
        <v>8666.582</v>
      </c>
      <c r="AD48" t="n">
        <v>10106.805</v>
      </c>
      <c r="AE48" t="n">
        <v>7609.287</v>
      </c>
      <c r="AF48" t="n">
        <v>5820.334</v>
      </c>
      <c r="AG48" t="n">
        <v>4518.297</v>
      </c>
      <c r="AH48" t="n">
        <v>5881.417</v>
      </c>
      <c r="AI48" t="n">
        <v>4473.727</v>
      </c>
      <c r="AJ48" t="n">
        <v>5156.447</v>
      </c>
      <c r="AK48" t="n">
        <v>7385.658</v>
      </c>
      <c r="AL48" t="n">
        <v>8579.281999999999</v>
      </c>
      <c r="AM48" t="n">
        <v>8420.151</v>
      </c>
      <c r="AN48" t="n">
        <v>9445.712</v>
      </c>
      <c r="AO48" t="n">
        <v>6803.051</v>
      </c>
      <c r="AP48" t="n">
        <v>10070.2</v>
      </c>
      <c r="AQ48" t="n">
        <v>13964.394</v>
      </c>
      <c r="AR48" t="n">
        <v>11128.965</v>
      </c>
      <c r="AS48" t="n">
        <v>12355.494</v>
      </c>
      <c r="AT48" t="n">
        <v>12271.924</v>
      </c>
      <c r="AU48" t="n">
        <v>13601.311</v>
      </c>
      <c r="AV48" t="n">
        <v>18371.616</v>
      </c>
      <c r="AW48" t="n">
        <v>19458.927</v>
      </c>
      <c r="AX48" t="n">
        <v>18323.464</v>
      </c>
      <c r="AY48" t="n">
        <v>19385.549</v>
      </c>
      <c r="AZ48" t="n">
        <v>19402.491</v>
      </c>
      <c r="BA48" t="n">
        <v>18773.953</v>
      </c>
      <c r="BB48" t="n">
        <v>12919.474</v>
      </c>
      <c r="BC48" t="n">
        <v>15722.673</v>
      </c>
      <c r="BD48" t="n">
        <v>13815.859</v>
      </c>
      <c r="BE48" t="n">
        <v>14086.342</v>
      </c>
      <c r="BF48" t="n">
        <v>14891.769</v>
      </c>
      <c r="BG48" t="n">
        <v>15567.063</v>
      </c>
      <c r="BH48" t="n">
        <v>17586.571</v>
      </c>
      <c r="BI48" t="n">
        <v>14190.623</v>
      </c>
      <c r="BJ48" t="n">
        <v>15556.036</v>
      </c>
      <c r="BK48" t="n">
        <v>12428.262</v>
      </c>
      <c r="BL48" t="n">
        <v>10776.894</v>
      </c>
      <c r="BM48" t="n">
        <v>9946.281000000001</v>
      </c>
      <c r="BN48" t="n">
        <v>12826.087</v>
      </c>
      <c r="BO48" t="n">
        <v>10790.723</v>
      </c>
      <c r="BP48" t="n">
        <v>10217.744</v>
      </c>
      <c r="BQ48" t="n">
        <v>11106.016</v>
      </c>
      <c r="BR48" t="n">
        <v>12176.927</v>
      </c>
      <c r="BS48" t="n">
        <v>9936.742</v>
      </c>
      <c r="BT48" t="n">
        <v>11011.016</v>
      </c>
      <c r="BU48" t="n">
        <v>9617.406999999999</v>
      </c>
      <c r="BV48" t="n">
        <v>11928.085</v>
      </c>
    </row>
    <row r="49">
      <c r="A49" t="inlineStr">
        <is>
          <t>Rhopilema esculentum</t>
        </is>
      </c>
      <c r="B49" t="inlineStr">
        <is>
          <t>Flame jellyfish</t>
        </is>
      </c>
      <c r="C49" t="inlineStr">
        <is>
          <t>Jellyfish</t>
        </is>
      </c>
      <c r="D49" t="inlineStr">
        <is>
          <t>Other fishes &amp; inverts</t>
        </is>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1970.855</v>
      </c>
      <c r="Z49" t="n">
        <v>620.014</v>
      </c>
      <c r="AA49" t="n">
        <v>1135.247</v>
      </c>
      <c r="AB49" t="n">
        <v>4143.412</v>
      </c>
      <c r="AC49" t="n">
        <v>1738.871</v>
      </c>
      <c r="AD49" t="n">
        <v>1112.846</v>
      </c>
      <c r="AE49" t="n">
        <v>418.874</v>
      </c>
      <c r="AF49" t="n">
        <v>1150.656</v>
      </c>
      <c r="AG49" t="n">
        <v>285.064</v>
      </c>
      <c r="AH49" t="n">
        <v>687.724</v>
      </c>
      <c r="AI49" t="n">
        <v>592.672</v>
      </c>
      <c r="AJ49" t="n">
        <v>941.736</v>
      </c>
      <c r="AK49" t="n">
        <v>489.436</v>
      </c>
      <c r="AL49" t="n">
        <v>317.209</v>
      </c>
      <c r="AM49" t="n">
        <v>1169.828</v>
      </c>
      <c r="AN49" t="n">
        <v>1587.557</v>
      </c>
      <c r="AO49" t="n">
        <v>1194.202</v>
      </c>
      <c r="AP49" t="n">
        <v>4397.017</v>
      </c>
      <c r="AQ49" t="n">
        <v>2229.994</v>
      </c>
      <c r="AR49" t="n">
        <v>4248.363</v>
      </c>
      <c r="AS49" t="n">
        <v>3977.916</v>
      </c>
      <c r="AT49" t="n">
        <v>11221.399</v>
      </c>
      <c r="AU49" t="n">
        <v>24499.74</v>
      </c>
      <c r="AV49" t="n">
        <v>18285.403</v>
      </c>
      <c r="AW49" t="n">
        <v>13968.181</v>
      </c>
      <c r="AX49" t="n">
        <v>21060.113</v>
      </c>
      <c r="AY49" t="n">
        <v>104.397</v>
      </c>
      <c r="AZ49" t="n">
        <v>39970.605</v>
      </c>
      <c r="BA49" t="n">
        <v>49632.164</v>
      </c>
      <c r="BB49" t="n">
        <v>66861.633</v>
      </c>
      <c r="BC49" t="n">
        <v>56747.086</v>
      </c>
      <c r="BD49" t="n">
        <v>43806.841</v>
      </c>
      <c r="BE49" t="n">
        <v>38837.61</v>
      </c>
      <c r="BF49" t="n">
        <v>34886.067</v>
      </c>
      <c r="BG49" t="n">
        <v>28149.924</v>
      </c>
      <c r="BH49" t="n">
        <v>40240.845</v>
      </c>
      <c r="BI49" t="n">
        <v>33010.583</v>
      </c>
      <c r="BJ49" t="n">
        <v>38445.784</v>
      </c>
      <c r="BK49" t="n">
        <v>41349.756</v>
      </c>
      <c r="BL49" t="n">
        <v>33887.839</v>
      </c>
      <c r="BM49" t="n">
        <v>33443.042</v>
      </c>
      <c r="BN49" t="n">
        <v>17.114</v>
      </c>
      <c r="BO49" t="n">
        <v>53.054</v>
      </c>
      <c r="BP49" t="n">
        <v>53.054</v>
      </c>
      <c r="BQ49" t="n">
        <v>52227.475</v>
      </c>
      <c r="BR49" t="n">
        <v>53057.732</v>
      </c>
      <c r="BS49" t="n">
        <v>50203.757</v>
      </c>
      <c r="BT49" t="n">
        <v>65821.28</v>
      </c>
      <c r="BU49" t="n">
        <v>62558.429</v>
      </c>
      <c r="BV49" t="n">
        <v>56849.671</v>
      </c>
    </row>
    <row r="50">
      <c r="A50" t="inlineStr">
        <is>
          <t>Mugil cephalus</t>
        </is>
      </c>
      <c r="B50" t="inlineStr">
        <is>
          <t>Flathead grey mullet</t>
        </is>
      </c>
      <c r="C50" t="inlineStr">
        <is>
          <t>Large benthopelagics (&gt;=90 cm)</t>
        </is>
      </c>
      <c r="D50" t="inlineStr">
        <is>
          <t>Perch-likes</t>
        </is>
      </c>
      <c r="E50" t="n">
        <v>3020.331</v>
      </c>
      <c r="F50" t="n">
        <v>3691.251</v>
      </c>
      <c r="G50" t="n">
        <v>4227.07</v>
      </c>
      <c r="H50" t="n">
        <v>4696.342</v>
      </c>
      <c r="I50" t="n">
        <v>3563.089</v>
      </c>
      <c r="J50" t="n">
        <v>2769.268</v>
      </c>
      <c r="K50" t="n">
        <v>3438.354</v>
      </c>
      <c r="L50" t="n">
        <v>2620.034</v>
      </c>
      <c r="M50" t="n">
        <v>2480.363</v>
      </c>
      <c r="N50" t="n">
        <v>2797.764</v>
      </c>
      <c r="O50" t="n">
        <v>3160.013</v>
      </c>
      <c r="P50" t="n">
        <v>3720.53</v>
      </c>
      <c r="Q50" t="n">
        <v>4136.018</v>
      </c>
      <c r="R50" t="n">
        <v>3387.182</v>
      </c>
      <c r="S50" t="n">
        <v>4814.999</v>
      </c>
      <c r="T50" t="n">
        <v>3935.457</v>
      </c>
      <c r="U50" t="n">
        <v>4540.434</v>
      </c>
      <c r="V50" t="n">
        <v>4573.322</v>
      </c>
      <c r="W50" t="n">
        <v>3987.807</v>
      </c>
      <c r="X50" t="n">
        <v>5221.062</v>
      </c>
      <c r="Y50" t="n">
        <v>4330.757</v>
      </c>
      <c r="Z50" t="n">
        <v>4450.898</v>
      </c>
      <c r="AA50" t="n">
        <v>3286.966</v>
      </c>
      <c r="AB50" t="n">
        <v>3275.341</v>
      </c>
      <c r="AC50" t="n">
        <v>3328.22</v>
      </c>
      <c r="AD50" t="n">
        <v>6065.994</v>
      </c>
      <c r="AE50" t="n">
        <v>5404.156</v>
      </c>
      <c r="AF50" t="n">
        <v>5822.335</v>
      </c>
      <c r="AG50" t="n">
        <v>5561.232</v>
      </c>
      <c r="AH50" t="n">
        <v>8674.116</v>
      </c>
      <c r="AI50" t="n">
        <v>7145.439</v>
      </c>
      <c r="AJ50" t="n">
        <v>7012.824</v>
      </c>
      <c r="AK50" t="n">
        <v>6037.078</v>
      </c>
      <c r="AL50" t="n">
        <v>7784.099</v>
      </c>
      <c r="AM50" t="n">
        <v>6442.47</v>
      </c>
      <c r="AN50" t="n">
        <v>8464.728999999999</v>
      </c>
      <c r="AO50" t="n">
        <v>6670.174</v>
      </c>
      <c r="AP50" t="n">
        <v>5794.666</v>
      </c>
      <c r="AQ50" t="n">
        <v>5355.849</v>
      </c>
      <c r="AR50" t="n">
        <v>4153.457</v>
      </c>
      <c r="AS50" t="n">
        <v>4048.388</v>
      </c>
      <c r="AT50" t="n">
        <v>4000.248</v>
      </c>
      <c r="AU50" t="n">
        <v>4667.667</v>
      </c>
      <c r="AV50" t="n">
        <v>4542.992</v>
      </c>
      <c r="AW50" t="n">
        <v>3894.123</v>
      </c>
      <c r="AX50" t="n">
        <v>25701.161</v>
      </c>
      <c r="AY50" t="n">
        <v>23718.877</v>
      </c>
      <c r="AZ50" t="n">
        <v>27763.962</v>
      </c>
      <c r="BA50" t="n">
        <v>29988.77</v>
      </c>
      <c r="BB50" t="n">
        <v>34401.809</v>
      </c>
      <c r="BC50" t="n">
        <v>32379.694</v>
      </c>
      <c r="BD50" t="n">
        <v>37714.411</v>
      </c>
      <c r="BE50" t="n">
        <v>34985.749</v>
      </c>
      <c r="BF50" t="n">
        <v>38995.067</v>
      </c>
      <c r="BG50" t="n">
        <v>48976.001</v>
      </c>
      <c r="BH50" t="n">
        <v>34004.944</v>
      </c>
      <c r="BI50" t="n">
        <v>27576.064</v>
      </c>
      <c r="BJ50" t="n">
        <v>24092.659</v>
      </c>
      <c r="BK50" t="n">
        <v>26324.701</v>
      </c>
      <c r="BL50" t="n">
        <v>28783.769</v>
      </c>
      <c r="BM50" t="n">
        <v>29198.879</v>
      </c>
      <c r="BN50" t="n">
        <v>37590.882</v>
      </c>
      <c r="BO50" t="n">
        <v>35889.219</v>
      </c>
      <c r="BP50" t="n">
        <v>34340.603</v>
      </c>
      <c r="BQ50" t="n">
        <v>40328.887</v>
      </c>
      <c r="BR50" t="n">
        <v>39064.944</v>
      </c>
      <c r="BS50" t="n">
        <v>32442.496</v>
      </c>
      <c r="BT50" t="n">
        <v>31708.483</v>
      </c>
      <c r="BU50" t="n">
        <v>29507.69</v>
      </c>
      <c r="BV50" t="n">
        <v>27950.514</v>
      </c>
    </row>
    <row r="51">
      <c r="A51" t="inlineStr">
        <is>
          <t>Dendrobranchiata</t>
        </is>
      </c>
      <c r="B51" t="inlineStr">
        <is>
          <t>Shrimps and prawns</t>
        </is>
      </c>
      <c r="C51" t="inlineStr">
        <is>
          <t>Shrimps</t>
        </is>
      </c>
      <c r="D51" t="inlineStr">
        <is>
          <t>Crustaceans</t>
        </is>
      </c>
      <c r="E51" t="n">
        <v>912.8099999999999</v>
      </c>
      <c r="F51" t="n">
        <v>1043.255</v>
      </c>
      <c r="G51" t="n">
        <v>1319.843</v>
      </c>
      <c r="H51" t="n">
        <v>1335.348</v>
      </c>
      <c r="I51" t="n">
        <v>1066.666</v>
      </c>
      <c r="J51" t="n">
        <v>1591.051</v>
      </c>
      <c r="K51" t="n">
        <v>1714.237</v>
      </c>
      <c r="L51" t="n">
        <v>2207.15</v>
      </c>
      <c r="M51" t="n">
        <v>3085.659</v>
      </c>
      <c r="N51" t="n">
        <v>2845.818</v>
      </c>
      <c r="O51" t="n">
        <v>2195.155</v>
      </c>
      <c r="P51" t="n">
        <v>2444.045</v>
      </c>
      <c r="Q51" t="n">
        <v>3446.66</v>
      </c>
      <c r="R51" t="n">
        <v>4335.111</v>
      </c>
      <c r="S51" t="n">
        <v>8944.110000000001</v>
      </c>
      <c r="T51" t="n">
        <v>11185.712</v>
      </c>
      <c r="U51" t="n">
        <v>12055.804</v>
      </c>
      <c r="V51" t="n">
        <v>13013.247</v>
      </c>
      <c r="W51" t="n">
        <v>15513.532</v>
      </c>
      <c r="X51" t="n">
        <v>18444.839</v>
      </c>
      <c r="Y51" t="n">
        <v>16435.467</v>
      </c>
      <c r="Z51" t="n">
        <v>16761.262</v>
      </c>
      <c r="AA51" t="n">
        <v>18213.025</v>
      </c>
      <c r="AB51" t="n">
        <v>17445.421</v>
      </c>
      <c r="AC51" t="n">
        <v>18818.174</v>
      </c>
      <c r="AD51" t="n">
        <v>25624.094</v>
      </c>
      <c r="AE51" t="n">
        <v>25825.176</v>
      </c>
      <c r="AF51" t="n">
        <v>27763.099</v>
      </c>
      <c r="AG51" t="n">
        <v>28923.879</v>
      </c>
      <c r="AH51" t="n">
        <v>33475.775</v>
      </c>
      <c r="AI51" t="n">
        <v>30799.827</v>
      </c>
      <c r="AJ51" t="n">
        <v>26998.796</v>
      </c>
      <c r="AK51" t="n">
        <v>27261.311</v>
      </c>
      <c r="AL51" t="n">
        <v>29831.214</v>
      </c>
      <c r="AM51" t="n">
        <v>35319.434</v>
      </c>
      <c r="AN51" t="n">
        <v>35936.7</v>
      </c>
      <c r="AO51" t="n">
        <v>38991.597</v>
      </c>
      <c r="AP51" t="n">
        <v>37569.649</v>
      </c>
      <c r="AQ51" t="n">
        <v>34338.31</v>
      </c>
      <c r="AR51" t="n">
        <v>30218.431</v>
      </c>
      <c r="AS51" t="n">
        <v>22991.501</v>
      </c>
      <c r="AT51" t="n">
        <v>18050.439</v>
      </c>
      <c r="AU51" t="n">
        <v>16531.188</v>
      </c>
      <c r="AV51" t="n">
        <v>13770.129</v>
      </c>
      <c r="AW51" t="n">
        <v>13257.909</v>
      </c>
      <c r="AX51" t="n">
        <v>16367.247</v>
      </c>
      <c r="AY51" t="n">
        <v>15357.057</v>
      </c>
      <c r="AZ51" t="n">
        <v>14370.916</v>
      </c>
      <c r="BA51" t="n">
        <v>9750.035</v>
      </c>
      <c r="BB51" t="n">
        <v>7868.326</v>
      </c>
      <c r="BC51" t="n">
        <v>7477.821</v>
      </c>
      <c r="BD51" t="n">
        <v>8471.84</v>
      </c>
      <c r="BE51" t="n">
        <v>8374.495999999999</v>
      </c>
      <c r="BF51" t="n">
        <v>7974.689</v>
      </c>
      <c r="BG51" t="n">
        <v>8489.16</v>
      </c>
      <c r="BH51" t="n">
        <v>10300.186</v>
      </c>
      <c r="BI51" t="n">
        <v>7882.839</v>
      </c>
      <c r="BJ51" t="n">
        <v>6828.228</v>
      </c>
      <c r="BK51" t="n">
        <v>6659.674</v>
      </c>
      <c r="BL51" t="n">
        <v>5393.211</v>
      </c>
      <c r="BM51" t="n">
        <v>6158.477</v>
      </c>
      <c r="BN51" t="n">
        <v>6642.146</v>
      </c>
      <c r="BO51" t="n">
        <v>11114.525</v>
      </c>
      <c r="BP51" t="n">
        <v>10510.462</v>
      </c>
      <c r="BQ51" t="n">
        <v>11150.345</v>
      </c>
      <c r="BR51" t="n">
        <v>8604.196</v>
      </c>
      <c r="BS51" t="n">
        <v>7599.121</v>
      </c>
      <c r="BT51" t="n">
        <v>6857.738</v>
      </c>
      <c r="BU51" t="n">
        <v>3971.811</v>
      </c>
      <c r="BV51" t="n">
        <v>5799.378</v>
      </c>
    </row>
    <row r="52">
      <c r="A52" t="inlineStr">
        <is>
          <t>Pagrus major</t>
        </is>
      </c>
      <c r="B52" t="inlineStr">
        <is>
          <t>Japanese seabream</t>
        </is>
      </c>
      <c r="C52" t="inlineStr">
        <is>
          <t>Large demersals (&gt;=90 cm)</t>
        </is>
      </c>
      <c r="D52" t="inlineStr">
        <is>
          <t>Perch-likes</t>
        </is>
      </c>
      <c r="E52" t="n">
        <v>10378.873</v>
      </c>
      <c r="F52" t="n">
        <v>10384.628</v>
      </c>
      <c r="G52" t="n">
        <v>10390.149</v>
      </c>
      <c r="H52" t="n">
        <v>9601.264999999999</v>
      </c>
      <c r="I52" t="n">
        <v>12402.317</v>
      </c>
      <c r="J52" t="n">
        <v>11649.675</v>
      </c>
      <c r="K52" t="n">
        <v>12163.867</v>
      </c>
      <c r="L52" t="n">
        <v>12256.626</v>
      </c>
      <c r="M52" t="n">
        <v>13624.784</v>
      </c>
      <c r="N52" t="n">
        <v>16605.372</v>
      </c>
      <c r="O52" t="n">
        <v>15306.524</v>
      </c>
      <c r="P52" t="n">
        <v>14592.118</v>
      </c>
      <c r="Q52" t="n">
        <v>16831.54</v>
      </c>
      <c r="R52" t="n">
        <v>15208.46</v>
      </c>
      <c r="S52" t="n">
        <v>14865.16</v>
      </c>
      <c r="T52" t="n">
        <v>14552.698</v>
      </c>
      <c r="U52" t="n">
        <v>13472.806</v>
      </c>
      <c r="V52" t="n">
        <v>14399.941</v>
      </c>
      <c r="W52" t="n">
        <v>13577.556</v>
      </c>
      <c r="X52" t="n">
        <v>13342.035</v>
      </c>
      <c r="Y52" t="n">
        <v>13230.467</v>
      </c>
      <c r="Z52" t="n">
        <v>10379.589</v>
      </c>
      <c r="AA52" t="n">
        <v>12867.967</v>
      </c>
      <c r="AB52" t="n">
        <v>11790.762</v>
      </c>
      <c r="AC52" t="n">
        <v>11936.178</v>
      </c>
      <c r="AD52" t="n">
        <v>11883.252</v>
      </c>
      <c r="AE52" t="n">
        <v>12363.709</v>
      </c>
      <c r="AF52" t="n">
        <v>13464.568</v>
      </c>
      <c r="AG52" t="n">
        <v>13735.664</v>
      </c>
      <c r="AH52" t="n">
        <v>13382.312</v>
      </c>
      <c r="AI52" t="n">
        <v>13272.948</v>
      </c>
      <c r="AJ52" t="n">
        <v>12727.284</v>
      </c>
      <c r="AK52" t="n">
        <v>14030.956</v>
      </c>
      <c r="AL52" t="n">
        <v>13992.945</v>
      </c>
      <c r="AM52" t="n">
        <v>14531.834</v>
      </c>
      <c r="AN52" t="n">
        <v>13575.788</v>
      </c>
      <c r="AO52" t="n">
        <v>13093.478</v>
      </c>
      <c r="AP52" t="n">
        <v>12463.456</v>
      </c>
      <c r="AQ52" t="n">
        <v>13210.07</v>
      </c>
      <c r="AR52" t="n">
        <v>13398.263</v>
      </c>
      <c r="AS52" t="n">
        <v>13737.352</v>
      </c>
      <c r="AT52" t="n">
        <v>13445.105</v>
      </c>
      <c r="AU52" t="n">
        <v>13994.484</v>
      </c>
      <c r="AV52" t="n">
        <v>13051.245</v>
      </c>
      <c r="AW52" t="n">
        <v>13110.692</v>
      </c>
      <c r="AX52" t="n">
        <v>13619.541</v>
      </c>
      <c r="AY52" t="n">
        <v>14697.499</v>
      </c>
      <c r="AZ52" t="n">
        <v>14224.896</v>
      </c>
      <c r="BA52" t="n">
        <v>14522.059</v>
      </c>
      <c r="BB52" t="n">
        <v>14803.247</v>
      </c>
      <c r="BC52" t="n">
        <v>14578.548</v>
      </c>
      <c r="BD52" t="n">
        <v>14702.677</v>
      </c>
      <c r="BE52" t="n">
        <v>15179.022</v>
      </c>
      <c r="BF52" t="n">
        <v>12778.424</v>
      </c>
      <c r="BG52" t="n">
        <v>12850.013</v>
      </c>
      <c r="BH52" t="n">
        <v>12736.837</v>
      </c>
      <c r="BI52" t="n">
        <v>13730.682</v>
      </c>
      <c r="BJ52" t="n">
        <v>14083.642</v>
      </c>
      <c r="BK52" t="n">
        <v>14552.754</v>
      </c>
      <c r="BL52" t="n">
        <v>14923.844</v>
      </c>
      <c r="BM52" t="n">
        <v>14885.071</v>
      </c>
      <c r="BN52" t="n">
        <v>16315.805</v>
      </c>
      <c r="BO52" t="n">
        <v>16062.454</v>
      </c>
      <c r="BP52" t="n">
        <v>15783.075</v>
      </c>
      <c r="BQ52" t="n">
        <v>16139.193</v>
      </c>
      <c r="BR52" t="n">
        <v>16571.792</v>
      </c>
      <c r="BS52" t="n">
        <v>17004.651</v>
      </c>
      <c r="BT52" t="n">
        <v>17347.682</v>
      </c>
      <c r="BU52" t="n">
        <v>17715.44</v>
      </c>
      <c r="BV52" t="n">
        <v>17619.824</v>
      </c>
    </row>
    <row r="53">
      <c r="A53" t="inlineStr">
        <is>
          <t>Decapoda</t>
        </is>
      </c>
      <c r="B53" t="inlineStr">
        <is>
          <t>Crabs, lobsters, shrimps</t>
        </is>
      </c>
      <c r="C53" t="inlineStr">
        <is>
          <t>Lobsters, crabs</t>
        </is>
      </c>
      <c r="D53" t="inlineStr">
        <is>
          <t>Crustaceans</t>
        </is>
      </c>
      <c r="E53" t="n">
        <v>468.602</v>
      </c>
      <c r="F53" t="n">
        <v>477.174</v>
      </c>
      <c r="G53" t="n">
        <v>485.219</v>
      </c>
      <c r="H53" t="n">
        <v>646.61</v>
      </c>
      <c r="I53" t="n">
        <v>587.364</v>
      </c>
      <c r="J53" t="n">
        <v>647.526</v>
      </c>
      <c r="K53" t="n">
        <v>596.87</v>
      </c>
      <c r="L53" t="n">
        <v>556.159</v>
      </c>
      <c r="M53" t="n">
        <v>707.26</v>
      </c>
      <c r="N53" t="n">
        <v>691.264</v>
      </c>
      <c r="O53" t="n">
        <v>745.883</v>
      </c>
      <c r="P53" t="n">
        <v>925.962</v>
      </c>
      <c r="Q53" t="n">
        <v>749.397</v>
      </c>
      <c r="R53" t="n">
        <v>776.986</v>
      </c>
      <c r="S53" t="n">
        <v>823.328</v>
      </c>
      <c r="T53" t="n">
        <v>817.303</v>
      </c>
      <c r="U53" t="n">
        <v>705.228</v>
      </c>
      <c r="V53" t="n">
        <v>682.423</v>
      </c>
      <c r="W53" t="n">
        <v>626.422</v>
      </c>
      <c r="X53" t="n">
        <v>604.2380000000001</v>
      </c>
      <c r="Y53" t="n">
        <v>615.0839999999999</v>
      </c>
      <c r="Z53" t="n">
        <v>798.008</v>
      </c>
      <c r="AA53" t="n">
        <v>847.694</v>
      </c>
      <c r="AB53" t="n">
        <v>983.64</v>
      </c>
      <c r="AC53" t="n">
        <v>960.742</v>
      </c>
      <c r="AD53" t="n">
        <v>1064.63</v>
      </c>
      <c r="AE53" t="n">
        <v>1011.679</v>
      </c>
      <c r="AF53" t="n">
        <v>1013.545</v>
      </c>
      <c r="AG53" t="n">
        <v>1113.283</v>
      </c>
      <c r="AH53" t="n">
        <v>1105.603</v>
      </c>
      <c r="AI53" t="n">
        <v>1071.97</v>
      </c>
      <c r="AJ53" t="n">
        <v>1119.593</v>
      </c>
      <c r="AK53" t="n">
        <v>1151.232</v>
      </c>
      <c r="AL53" t="n">
        <v>1272.402</v>
      </c>
      <c r="AM53" t="n">
        <v>1222.225</v>
      </c>
      <c r="AN53" t="n">
        <v>1303.545</v>
      </c>
      <c r="AO53" t="n">
        <v>1228.301</v>
      </c>
      <c r="AP53" t="n">
        <v>1096.129</v>
      </c>
      <c r="AQ53" t="n">
        <v>1165.727</v>
      </c>
      <c r="AR53" t="n">
        <v>1021.461</v>
      </c>
      <c r="AS53" t="n">
        <v>1010.07</v>
      </c>
      <c r="AT53" t="n">
        <v>909.096</v>
      </c>
      <c r="AU53" t="n">
        <v>830.251</v>
      </c>
      <c r="AV53" t="n">
        <v>753.475</v>
      </c>
      <c r="AW53" t="n">
        <v>829.925</v>
      </c>
      <c r="AX53" t="n">
        <v>873.289</v>
      </c>
      <c r="AY53" t="n">
        <v>768.297</v>
      </c>
      <c r="AZ53" t="n">
        <v>716.823</v>
      </c>
      <c r="BA53" t="n">
        <v>645.078</v>
      </c>
      <c r="BB53" t="n">
        <v>537.937</v>
      </c>
      <c r="BC53" t="n">
        <v>558.568</v>
      </c>
      <c r="BD53" t="n">
        <v>563.155</v>
      </c>
      <c r="BE53" t="n">
        <v>651.499</v>
      </c>
      <c r="BF53" t="n">
        <v>64130.341</v>
      </c>
      <c r="BG53" t="n">
        <v>84891.47</v>
      </c>
      <c r="BH53" t="n">
        <v>57891.222</v>
      </c>
      <c r="BI53" t="n">
        <v>49980.776</v>
      </c>
      <c r="BJ53" t="n">
        <v>34023.037</v>
      </c>
      <c r="BK53" t="n">
        <v>40872.647</v>
      </c>
      <c r="BL53" t="n">
        <v>45195.627</v>
      </c>
      <c r="BM53" t="n">
        <v>42215.355</v>
      </c>
      <c r="BN53" t="n">
        <v>55549.665</v>
      </c>
      <c r="BO53" t="n">
        <v>63175.81</v>
      </c>
      <c r="BP53" t="n">
        <v>56223.663</v>
      </c>
      <c r="BQ53" t="n">
        <v>58193.273</v>
      </c>
      <c r="BR53" t="n">
        <v>55105.082</v>
      </c>
      <c r="BS53" t="n">
        <v>60323.859</v>
      </c>
      <c r="BT53" t="n">
        <v>54568.507</v>
      </c>
      <c r="BU53" t="n">
        <v>48954.121</v>
      </c>
      <c r="BV53" t="n">
        <v>48910.067</v>
      </c>
    </row>
    <row r="54">
      <c r="A54" t="inlineStr">
        <is>
          <t>Turbo cornutus</t>
        </is>
      </c>
      <c r="B54" t="inlineStr">
        <is>
          <t>Horned turban</t>
        </is>
      </c>
      <c r="C54" t="inlineStr">
        <is>
          <t>Other demersal invertebrates</t>
        </is>
      </c>
      <c r="D54" t="inlineStr">
        <is>
          <t>Molluscs</t>
        </is>
      </c>
      <c r="E54" t="n">
        <v>2135.885</v>
      </c>
      <c r="F54" t="n">
        <v>2135.885</v>
      </c>
      <c r="G54" t="n">
        <v>2135.885</v>
      </c>
      <c r="H54" t="n">
        <v>2668.923</v>
      </c>
      <c r="I54" t="n">
        <v>2536.966</v>
      </c>
      <c r="J54" t="n">
        <v>2283.864</v>
      </c>
      <c r="K54" t="n">
        <v>2175.099</v>
      </c>
      <c r="L54" t="n">
        <v>2043.741</v>
      </c>
      <c r="M54" t="n">
        <v>2810.145</v>
      </c>
      <c r="N54" t="n">
        <v>3060.829</v>
      </c>
      <c r="O54" t="n">
        <v>2670.398</v>
      </c>
      <c r="P54" t="n">
        <v>2525.855</v>
      </c>
      <c r="Q54" t="n">
        <v>2473.524</v>
      </c>
      <c r="R54" t="n">
        <v>2461.444</v>
      </c>
      <c r="S54" t="n">
        <v>7823.173</v>
      </c>
      <c r="T54" t="n">
        <v>11706.923</v>
      </c>
      <c r="U54" t="n">
        <v>17664.351</v>
      </c>
      <c r="V54" t="n">
        <v>12355.056</v>
      </c>
      <c r="W54" t="n">
        <v>11937.755</v>
      </c>
      <c r="X54" t="n">
        <v>12140.496</v>
      </c>
      <c r="Y54" t="n">
        <v>10530.194</v>
      </c>
      <c r="Z54" t="n">
        <v>15815.782</v>
      </c>
      <c r="AA54" t="n">
        <v>18100.749</v>
      </c>
      <c r="AB54" t="n">
        <v>27508.451</v>
      </c>
      <c r="AC54" t="n">
        <v>14292.121</v>
      </c>
      <c r="AD54" t="n">
        <v>13671.642</v>
      </c>
      <c r="AE54" t="n">
        <v>17418.422</v>
      </c>
      <c r="AF54" t="n">
        <v>16672.54</v>
      </c>
      <c r="AG54" t="n">
        <v>15097.251</v>
      </c>
      <c r="AH54" t="n">
        <v>13888.544</v>
      </c>
      <c r="AI54" t="n">
        <v>12533.842</v>
      </c>
      <c r="AJ54" t="n">
        <v>13410.526</v>
      </c>
      <c r="AK54" t="n">
        <v>18643.487</v>
      </c>
      <c r="AL54" t="n">
        <v>14820.067</v>
      </c>
      <c r="AM54" t="n">
        <v>12530.321</v>
      </c>
      <c r="AN54" t="n">
        <v>13526.151</v>
      </c>
      <c r="AO54" t="n">
        <v>11121.561</v>
      </c>
      <c r="AP54" t="n">
        <v>12110.539</v>
      </c>
      <c r="AQ54" t="n">
        <v>12512.52</v>
      </c>
      <c r="AR54" t="n">
        <v>13237.748</v>
      </c>
      <c r="AS54" t="n">
        <v>10985.019</v>
      </c>
      <c r="AT54" t="n">
        <v>14027.437</v>
      </c>
      <c r="AU54" t="n">
        <v>21328.478</v>
      </c>
      <c r="AV54" t="n">
        <v>24599.707</v>
      </c>
      <c r="AW54" t="n">
        <v>28747.121</v>
      </c>
      <c r="AX54" t="n">
        <v>28097.621</v>
      </c>
      <c r="AY54" t="n">
        <v>27591.125</v>
      </c>
      <c r="AZ54" t="n">
        <v>25742.99</v>
      </c>
      <c r="BA54" t="n">
        <v>35412.573</v>
      </c>
      <c r="BB54" t="n">
        <v>24473.367</v>
      </c>
      <c r="BC54" t="n">
        <v>22446.011</v>
      </c>
      <c r="BD54" t="n">
        <v>20349.15</v>
      </c>
      <c r="BE54" t="n">
        <v>21793.337</v>
      </c>
      <c r="BF54" t="n">
        <v>29014.475</v>
      </c>
      <c r="BG54" t="n">
        <v>21244.261</v>
      </c>
      <c r="BH54" t="n">
        <v>19184.742</v>
      </c>
      <c r="BI54" t="n">
        <v>16671.288</v>
      </c>
      <c r="BJ54" t="n">
        <v>15608.914</v>
      </c>
      <c r="BK54" t="n">
        <v>8711.888000000001</v>
      </c>
      <c r="BL54" t="n">
        <v>8615.916999999999</v>
      </c>
      <c r="BM54" t="n">
        <v>9590.945</v>
      </c>
      <c r="BN54" t="n">
        <v>9464.834999999999</v>
      </c>
      <c r="BO54" t="n">
        <v>9490.427</v>
      </c>
      <c r="BP54" t="n">
        <v>9015.618</v>
      </c>
      <c r="BQ54" t="n">
        <v>8772.224</v>
      </c>
      <c r="BR54" t="n">
        <v>8365.659</v>
      </c>
      <c r="BS54" t="n">
        <v>8737.441000000001</v>
      </c>
      <c r="BT54" t="n">
        <v>9239.446</v>
      </c>
      <c r="BU54" t="n">
        <v>8523.280000000001</v>
      </c>
      <c r="BV54" t="n">
        <v>8155.765</v>
      </c>
    </row>
    <row r="55">
      <c r="A55" t="inlineStr">
        <is>
          <t>Conger myriaster</t>
        </is>
      </c>
      <c r="B55" t="inlineStr">
        <is>
          <t>Whitespotted conger</t>
        </is>
      </c>
      <c r="C55" t="inlineStr">
        <is>
          <t>Medium demersals (30 - 89 cm)</t>
        </is>
      </c>
      <c r="D55" t="inlineStr">
        <is>
          <t>Other fishes &amp; inverts</t>
        </is>
      </c>
      <c r="E55" t="n">
        <v>0</v>
      </c>
      <c r="F55" t="n">
        <v>41.53</v>
      </c>
      <c r="G55" t="n">
        <v>104.775</v>
      </c>
      <c r="H55" t="n">
        <v>0</v>
      </c>
      <c r="I55" t="n">
        <v>0</v>
      </c>
      <c r="J55" t="n">
        <v>69.187</v>
      </c>
      <c r="K55" t="n">
        <v>0</v>
      </c>
      <c r="L55" t="n">
        <v>155.316</v>
      </c>
      <c r="M55" t="n">
        <v>110.423</v>
      </c>
      <c r="N55" t="n">
        <v>0</v>
      </c>
      <c r="O55" t="n">
        <v>0</v>
      </c>
      <c r="P55" t="n">
        <v>0</v>
      </c>
      <c r="Q55" t="n">
        <v>0</v>
      </c>
      <c r="R55" t="n">
        <v>0</v>
      </c>
      <c r="S55" t="n">
        <v>0</v>
      </c>
      <c r="T55" t="n">
        <v>39.689</v>
      </c>
      <c r="U55" t="n">
        <v>0</v>
      </c>
      <c r="V55" t="n">
        <v>76.131</v>
      </c>
      <c r="W55" t="n">
        <v>4263.686</v>
      </c>
      <c r="X55" t="n">
        <v>5083.592</v>
      </c>
      <c r="Y55" t="n">
        <v>3869.578</v>
      </c>
      <c r="Z55" t="n">
        <v>4346.298</v>
      </c>
      <c r="AA55" t="n">
        <v>4468.021</v>
      </c>
      <c r="AB55" t="n">
        <v>4011.451</v>
      </c>
      <c r="AC55" t="n">
        <v>6844.646</v>
      </c>
      <c r="AD55" t="n">
        <v>7145.029</v>
      </c>
      <c r="AE55" t="n">
        <v>6662.672</v>
      </c>
      <c r="AF55" t="n">
        <v>6352.826</v>
      </c>
      <c r="AG55" t="n">
        <v>3994.925</v>
      </c>
      <c r="AH55" t="n">
        <v>11358.813</v>
      </c>
      <c r="AI55" t="n">
        <v>8387.789000000001</v>
      </c>
      <c r="AJ55" t="n">
        <v>10689.553</v>
      </c>
      <c r="AK55" t="n">
        <v>12515.547</v>
      </c>
      <c r="AL55" t="n">
        <v>8237.48</v>
      </c>
      <c r="AM55" t="n">
        <v>11755.3</v>
      </c>
      <c r="AN55" t="n">
        <v>27470.989</v>
      </c>
      <c r="AO55" t="n">
        <v>26152.383</v>
      </c>
      <c r="AP55" t="n">
        <v>26352.041</v>
      </c>
      <c r="AQ55" t="n">
        <v>28119.599</v>
      </c>
      <c r="AR55" t="n">
        <v>34225.046</v>
      </c>
      <c r="AS55" t="n">
        <v>30565.36</v>
      </c>
      <c r="AT55" t="n">
        <v>35516.425</v>
      </c>
      <c r="AU55" t="n">
        <v>37168.043</v>
      </c>
      <c r="AV55" t="n">
        <v>39744.944</v>
      </c>
      <c r="AW55" t="n">
        <v>32667.209</v>
      </c>
      <c r="AX55" t="n">
        <v>29845.582</v>
      </c>
      <c r="AY55" t="n">
        <v>30711.897</v>
      </c>
      <c r="AZ55" t="n">
        <v>31510.704</v>
      </c>
      <c r="BA55" t="n">
        <v>21860.163</v>
      </c>
      <c r="BB55" t="n">
        <v>15223.165</v>
      </c>
      <c r="BC55" t="n">
        <v>11762.86</v>
      </c>
      <c r="BD55" t="n">
        <v>11044.694</v>
      </c>
      <c r="BE55" t="n">
        <v>24068.422</v>
      </c>
      <c r="BF55" t="n">
        <v>19315.257</v>
      </c>
      <c r="BG55" t="n">
        <v>18631.132</v>
      </c>
      <c r="BH55" t="n">
        <v>16724.177</v>
      </c>
      <c r="BI55" t="n">
        <v>16565.601</v>
      </c>
      <c r="BJ55" t="n">
        <v>20510.846</v>
      </c>
      <c r="BK55" t="n">
        <v>19529.194</v>
      </c>
      <c r="BL55" t="n">
        <v>15799.541</v>
      </c>
      <c r="BM55" t="n">
        <v>16843.984</v>
      </c>
      <c r="BN55" t="n">
        <v>20039.093</v>
      </c>
      <c r="BO55" t="n">
        <v>20780.818</v>
      </c>
      <c r="BP55" t="n">
        <v>17324.2</v>
      </c>
      <c r="BQ55" t="n">
        <v>17900.041</v>
      </c>
      <c r="BR55" t="n">
        <v>15712.506</v>
      </c>
      <c r="BS55" t="n">
        <v>17999.679</v>
      </c>
      <c r="BT55" t="n">
        <v>16339.619</v>
      </c>
      <c r="BU55" t="n">
        <v>17013.744</v>
      </c>
      <c r="BV55" t="n">
        <v>16878.992</v>
      </c>
    </row>
    <row r="56">
      <c r="A56" t="inlineStr">
        <is>
          <t>Congridae</t>
        </is>
      </c>
      <c r="B56" t="inlineStr">
        <is>
          <t>Conger, garden eels</t>
        </is>
      </c>
      <c r="C56" t="inlineStr">
        <is>
          <t>Large demersals (&gt;=90 cm)</t>
        </is>
      </c>
      <c r="D56" t="inlineStr">
        <is>
          <t>Other fishes &amp; inverts</t>
        </is>
      </c>
      <c r="E56" t="n">
        <v>7757.44</v>
      </c>
      <c r="F56" t="n">
        <v>7757.44</v>
      </c>
      <c r="G56" t="n">
        <v>7757.44</v>
      </c>
      <c r="H56" t="n">
        <v>7642.916</v>
      </c>
      <c r="I56" t="n">
        <v>7674.482</v>
      </c>
      <c r="J56" t="n">
        <v>7700.178</v>
      </c>
      <c r="K56" t="n">
        <v>7578.387</v>
      </c>
      <c r="L56" t="n">
        <v>7715.595</v>
      </c>
      <c r="M56" t="n">
        <v>7958.369</v>
      </c>
      <c r="N56" t="n">
        <v>7966.366</v>
      </c>
      <c r="O56" t="n">
        <v>8578.851000000001</v>
      </c>
      <c r="P56" t="n">
        <v>8889.093000000001</v>
      </c>
      <c r="Q56" t="n">
        <v>9018.085999999999</v>
      </c>
      <c r="R56" t="n">
        <v>9491.087</v>
      </c>
      <c r="S56" t="n">
        <v>9936.486000000001</v>
      </c>
      <c r="T56" t="n">
        <v>10390.47</v>
      </c>
      <c r="U56" t="n">
        <v>11063.82</v>
      </c>
      <c r="V56" t="n">
        <v>12223.823</v>
      </c>
      <c r="W56" t="n">
        <v>14309.591</v>
      </c>
      <c r="X56" t="n">
        <v>13851.585</v>
      </c>
      <c r="Y56" t="n">
        <v>13852.498</v>
      </c>
      <c r="Z56" t="n">
        <v>14560.258</v>
      </c>
      <c r="AA56" t="n">
        <v>15567.359</v>
      </c>
      <c r="AB56" t="n">
        <v>17331.457</v>
      </c>
      <c r="AC56" t="n">
        <v>17400.546</v>
      </c>
      <c r="AD56" t="n">
        <v>17361.729</v>
      </c>
      <c r="AE56" t="n">
        <v>18702.517</v>
      </c>
      <c r="AF56" t="n">
        <v>19176.658</v>
      </c>
      <c r="AG56" t="n">
        <v>19117.025</v>
      </c>
      <c r="AH56" t="n">
        <v>18518.989</v>
      </c>
      <c r="AI56" t="n">
        <v>18995.004</v>
      </c>
      <c r="AJ56" t="n">
        <v>19119.309</v>
      </c>
      <c r="AK56" t="n">
        <v>18817.89</v>
      </c>
      <c r="AL56" t="n">
        <v>18737.214</v>
      </c>
      <c r="AM56" t="n">
        <v>19056.889</v>
      </c>
      <c r="AN56" t="n">
        <v>19002.636</v>
      </c>
      <c r="AO56" t="n">
        <v>19969.041</v>
      </c>
      <c r="AP56" t="n">
        <v>20154.529</v>
      </c>
      <c r="AQ56" t="n">
        <v>20989.411</v>
      </c>
      <c r="AR56" t="n">
        <v>19389.097</v>
      </c>
      <c r="AS56" t="n">
        <v>19341.909</v>
      </c>
      <c r="AT56" t="n">
        <v>18907.894</v>
      </c>
      <c r="AU56" t="n">
        <v>18328.79</v>
      </c>
      <c r="AV56" t="n">
        <v>16432.92</v>
      </c>
      <c r="AW56" t="n">
        <v>15239.865</v>
      </c>
      <c r="AX56" t="n">
        <v>15227.519</v>
      </c>
      <c r="AY56" t="n">
        <v>14688.587</v>
      </c>
      <c r="AZ56" t="n">
        <v>14431.165</v>
      </c>
      <c r="BA56" t="n">
        <v>13420.609</v>
      </c>
      <c r="BB56" t="n">
        <v>12709.987</v>
      </c>
      <c r="BC56" t="n">
        <v>12597.629</v>
      </c>
      <c r="BD56" t="n">
        <v>12307.639</v>
      </c>
      <c r="BE56" t="n">
        <v>12548.138</v>
      </c>
      <c r="BF56" t="n">
        <v>12205.658</v>
      </c>
      <c r="BG56" t="n">
        <v>11713.073</v>
      </c>
      <c r="BH56" t="n">
        <v>6840.446</v>
      </c>
      <c r="BI56" t="n">
        <v>5624.351</v>
      </c>
      <c r="BJ56" t="n">
        <v>4063.873</v>
      </c>
      <c r="BK56" t="n">
        <v>3854.836</v>
      </c>
      <c r="BL56" t="n">
        <v>4753.351</v>
      </c>
      <c r="BM56" t="n">
        <v>4549.707</v>
      </c>
      <c r="BN56" t="n">
        <v>4150.685</v>
      </c>
      <c r="BO56" t="n">
        <v>4135.511</v>
      </c>
      <c r="BP56" t="n">
        <v>3992.963</v>
      </c>
      <c r="BQ56" t="n">
        <v>3993.714</v>
      </c>
      <c r="BR56" t="n">
        <v>2684.74</v>
      </c>
      <c r="BS56" t="n">
        <v>2580.501</v>
      </c>
      <c r="BT56" t="n">
        <v>2503.614</v>
      </c>
      <c r="BU56" t="n">
        <v>3109.645</v>
      </c>
      <c r="BV56" t="n">
        <v>2893.083</v>
      </c>
    </row>
    <row r="57">
      <c r="A57" t="inlineStr">
        <is>
          <t>Seriola</t>
        </is>
      </c>
      <c r="B57" t="inlineStr">
        <is>
          <t>Amberjacks</t>
        </is>
      </c>
      <c r="C57" t="inlineStr">
        <is>
          <t>Large benthopelagics (&gt;=90 cm)</t>
        </is>
      </c>
      <c r="D57" t="inlineStr">
        <is>
          <t>Perch-likes</t>
        </is>
      </c>
      <c r="E57" t="n">
        <v>4049.932</v>
      </c>
      <c r="F57" t="n">
        <v>4609.251</v>
      </c>
      <c r="G57" t="n">
        <v>5030.536</v>
      </c>
      <c r="H57" t="n">
        <v>5373.487</v>
      </c>
      <c r="I57" t="n">
        <v>6706.818</v>
      </c>
      <c r="J57" t="n">
        <v>7908.929</v>
      </c>
      <c r="K57" t="n">
        <v>5567.936</v>
      </c>
      <c r="L57" t="n">
        <v>4374.029</v>
      </c>
      <c r="M57" t="n">
        <v>2984.617</v>
      </c>
      <c r="N57" t="n">
        <v>3137.056</v>
      </c>
      <c r="O57" t="n">
        <v>2839.08</v>
      </c>
      <c r="P57" t="n">
        <v>1923.893</v>
      </c>
      <c r="Q57" t="n">
        <v>3000.349</v>
      </c>
      <c r="R57" t="n">
        <v>1893.436</v>
      </c>
      <c r="S57" t="n">
        <v>2553.992</v>
      </c>
      <c r="T57" t="n">
        <v>2592.333</v>
      </c>
      <c r="U57" t="n">
        <v>2756.129</v>
      </c>
      <c r="V57" t="n">
        <v>3145.257</v>
      </c>
      <c r="W57" t="n">
        <v>3935.726</v>
      </c>
      <c r="X57" t="n">
        <v>3502.154</v>
      </c>
      <c r="Y57" t="n">
        <v>2792.852</v>
      </c>
      <c r="Z57" t="n">
        <v>2313.986</v>
      </c>
      <c r="AA57" t="n">
        <v>2670.058</v>
      </c>
      <c r="AB57" t="n">
        <v>2717.445</v>
      </c>
      <c r="AC57" t="n">
        <v>3535.569</v>
      </c>
      <c r="AD57" t="n">
        <v>4887.862</v>
      </c>
      <c r="AE57" t="n">
        <v>4824.074</v>
      </c>
      <c r="AF57" t="n">
        <v>4818.662</v>
      </c>
      <c r="AG57" t="n">
        <v>5119.498</v>
      </c>
      <c r="AH57" t="n">
        <v>5542.966</v>
      </c>
      <c r="AI57" t="n">
        <v>5780.924</v>
      </c>
      <c r="AJ57" t="n">
        <v>5570.669</v>
      </c>
      <c r="AK57" t="n">
        <v>7404.042</v>
      </c>
      <c r="AL57" t="n">
        <v>7323.515</v>
      </c>
      <c r="AM57" t="n">
        <v>6716.27</v>
      </c>
      <c r="AN57" t="n">
        <v>7483.255</v>
      </c>
      <c r="AO57" t="n">
        <v>8327.476000000001</v>
      </c>
      <c r="AP57" t="n">
        <v>5890.236</v>
      </c>
      <c r="AQ57" t="n">
        <v>7168.245</v>
      </c>
      <c r="AR57" t="n">
        <v>7462.654</v>
      </c>
      <c r="AS57" t="n">
        <v>5737.852</v>
      </c>
      <c r="AT57" t="n">
        <v>5956.153</v>
      </c>
      <c r="AU57" t="n">
        <v>4090.118</v>
      </c>
      <c r="AV57" t="n">
        <v>4062.842</v>
      </c>
      <c r="AW57" t="n">
        <v>4993.744</v>
      </c>
      <c r="AX57" t="n">
        <v>5059.063</v>
      </c>
      <c r="AY57" t="n">
        <v>5832.143</v>
      </c>
      <c r="AZ57" t="n">
        <v>7341.32</v>
      </c>
      <c r="BA57" t="n">
        <v>12290.378</v>
      </c>
      <c r="BB57" t="n">
        <v>9595.275</v>
      </c>
      <c r="BC57" t="n">
        <v>6060.431</v>
      </c>
      <c r="BD57" t="n">
        <v>7498.412</v>
      </c>
      <c r="BE57" t="n">
        <v>6502.081</v>
      </c>
      <c r="BF57" t="n">
        <v>4688.313</v>
      </c>
      <c r="BG57" t="n">
        <v>5481.985</v>
      </c>
      <c r="BH57" t="n">
        <v>3264.79</v>
      </c>
      <c r="BI57" t="n">
        <v>4917.838</v>
      </c>
      <c r="BJ57" t="n">
        <v>5544.816</v>
      </c>
      <c r="BK57" t="n">
        <v>9572.245000000001</v>
      </c>
      <c r="BL57" t="n">
        <v>11197.437</v>
      </c>
      <c r="BM57" t="n">
        <v>16714.563</v>
      </c>
      <c r="BN57" t="n">
        <v>46752.821</v>
      </c>
      <c r="BO57" t="n">
        <v>42969.353</v>
      </c>
      <c r="BP57" t="n">
        <v>53929.789</v>
      </c>
      <c r="BQ57" t="n">
        <v>60243.422</v>
      </c>
      <c r="BR57" t="n">
        <v>56838.95</v>
      </c>
      <c r="BS57" t="n">
        <v>52616.104</v>
      </c>
      <c r="BT57" t="n">
        <v>59577.544</v>
      </c>
      <c r="BU57" t="n">
        <v>51870.976</v>
      </c>
      <c r="BV57" t="n">
        <v>56096.326</v>
      </c>
    </row>
    <row r="58">
      <c r="A58" t="inlineStr">
        <is>
          <t>Ilisha elongata</t>
        </is>
      </c>
      <c r="B58" t="inlineStr">
        <is>
          <t>Elongate ilisha</t>
        </is>
      </c>
      <c r="C58" t="inlineStr">
        <is>
          <t>Medium pelagics (30 - 89 cm)</t>
        </is>
      </c>
      <c r="D58" t="inlineStr">
        <is>
          <t>Herring-likes</t>
        </is>
      </c>
      <c r="E58" t="n">
        <v>0</v>
      </c>
      <c r="F58" t="n">
        <v>0</v>
      </c>
      <c r="G58" t="n">
        <v>0</v>
      </c>
      <c r="H58" t="n">
        <v>0</v>
      </c>
      <c r="I58" t="n">
        <v>0</v>
      </c>
      <c r="J58" t="n">
        <v>74.688</v>
      </c>
      <c r="K58" t="n">
        <v>0</v>
      </c>
      <c r="L58" t="n">
        <v>0</v>
      </c>
      <c r="M58" t="n">
        <v>0</v>
      </c>
      <c r="N58" t="n">
        <v>47.813</v>
      </c>
      <c r="O58" t="n">
        <v>39.579</v>
      </c>
      <c r="P58" t="n">
        <v>41.308</v>
      </c>
      <c r="Q58" t="n">
        <v>0</v>
      </c>
      <c r="R58" t="n">
        <v>0.1</v>
      </c>
      <c r="S58" t="n">
        <v>0</v>
      </c>
      <c r="T58" t="n">
        <v>0</v>
      </c>
      <c r="U58" t="n">
        <v>0</v>
      </c>
      <c r="V58" t="n">
        <v>0</v>
      </c>
      <c r="W58" t="n">
        <v>1882.443</v>
      </c>
      <c r="X58" t="n">
        <v>1326.304</v>
      </c>
      <c r="Y58" t="n">
        <v>4144.261</v>
      </c>
      <c r="Z58" t="n">
        <v>4873.519</v>
      </c>
      <c r="AA58" t="n">
        <v>5436.812</v>
      </c>
      <c r="AB58" t="n">
        <v>2199.155</v>
      </c>
      <c r="AC58" t="n">
        <v>692.413</v>
      </c>
      <c r="AD58" t="n">
        <v>1136.658</v>
      </c>
      <c r="AE58" t="n">
        <v>3595.903</v>
      </c>
      <c r="AF58" t="n">
        <v>1616.007</v>
      </c>
      <c r="AG58" t="n">
        <v>4664.27</v>
      </c>
      <c r="AH58" t="n">
        <v>5548.595</v>
      </c>
      <c r="AI58" t="n">
        <v>6528.666</v>
      </c>
      <c r="AJ58" t="n">
        <v>5452.971</v>
      </c>
      <c r="AK58" t="n">
        <v>6311.705</v>
      </c>
      <c r="AL58" t="n">
        <v>4901.075</v>
      </c>
      <c r="AM58" t="n">
        <v>6512.078</v>
      </c>
      <c r="AN58" t="n">
        <v>5712.68</v>
      </c>
      <c r="AO58" t="n">
        <v>8724.795</v>
      </c>
      <c r="AP58" t="n">
        <v>5565.715</v>
      </c>
      <c r="AQ58" t="n">
        <v>5515.314</v>
      </c>
      <c r="AR58" t="n">
        <v>6776.277</v>
      </c>
      <c r="AS58" t="n">
        <v>8526.682000000001</v>
      </c>
      <c r="AT58" t="n">
        <v>10970.254</v>
      </c>
      <c r="AU58" t="n">
        <v>10374.512</v>
      </c>
      <c r="AV58" t="n">
        <v>10368.174</v>
      </c>
      <c r="AW58" t="n">
        <v>11482.535</v>
      </c>
      <c r="AX58" t="n">
        <v>16571.493</v>
      </c>
      <c r="AY58" t="n">
        <v>11622.117</v>
      </c>
      <c r="AZ58" t="n">
        <v>21795.426</v>
      </c>
      <c r="BA58" t="n">
        <v>23433.856</v>
      </c>
      <c r="BB58" t="n">
        <v>31087.61</v>
      </c>
      <c r="BC58" t="n">
        <v>30074.276</v>
      </c>
      <c r="BD58" t="n">
        <v>27872.397</v>
      </c>
      <c r="BE58" t="n">
        <v>25955.579</v>
      </c>
      <c r="BF58" t="n">
        <v>24448.673</v>
      </c>
      <c r="BG58" t="n">
        <v>26157.664</v>
      </c>
      <c r="BH58" t="n">
        <v>27482.269</v>
      </c>
      <c r="BI58" t="n">
        <v>30013.33</v>
      </c>
      <c r="BJ58" t="n">
        <v>28964.126</v>
      </c>
      <c r="BK58" t="n">
        <v>30751.803</v>
      </c>
      <c r="BL58" t="n">
        <v>29686.217</v>
      </c>
      <c r="BM58" t="n">
        <v>25659.487</v>
      </c>
      <c r="BN58" t="n">
        <v>27819.407</v>
      </c>
      <c r="BO58" t="n">
        <v>26117.751</v>
      </c>
      <c r="BP58" t="n">
        <v>24919.445</v>
      </c>
      <c r="BQ58" t="n">
        <v>25285.818</v>
      </c>
      <c r="BR58" t="n">
        <v>25254.808</v>
      </c>
      <c r="BS58" t="n">
        <v>24577.081</v>
      </c>
      <c r="BT58" t="n">
        <v>22307.433</v>
      </c>
      <c r="BU58" t="n">
        <v>20098.066</v>
      </c>
      <c r="BV58" t="n">
        <v>19975.066</v>
      </c>
    </row>
    <row r="59">
      <c r="A59" t="inlineStr">
        <is>
          <t>Sebastes</t>
        </is>
      </c>
      <c r="B59" t="inlineStr">
        <is>
          <t>Redfishes</t>
        </is>
      </c>
      <c r="C59" t="inlineStr">
        <is>
          <t>Large reef assoc. fish (&gt;=90 cm)</t>
        </is>
      </c>
      <c r="D59" t="inlineStr">
        <is>
          <t>Scorpionfishes</t>
        </is>
      </c>
      <c r="E59" t="n">
        <v>3617.753</v>
      </c>
      <c r="F59" t="n">
        <v>3617.753</v>
      </c>
      <c r="G59" t="n">
        <v>3617.753</v>
      </c>
      <c r="H59" t="n">
        <v>3617.753</v>
      </c>
      <c r="I59" t="n">
        <v>3617.753</v>
      </c>
      <c r="J59" t="n">
        <v>3617.753</v>
      </c>
      <c r="K59" t="n">
        <v>3380.865</v>
      </c>
      <c r="L59" t="n">
        <v>3061.323</v>
      </c>
      <c r="M59" t="n">
        <v>3803.34</v>
      </c>
      <c r="N59" t="n">
        <v>4834.394</v>
      </c>
      <c r="O59" t="n">
        <v>5676.1</v>
      </c>
      <c r="P59" t="n">
        <v>4593.554</v>
      </c>
      <c r="Q59" t="n">
        <v>9251.843000000001</v>
      </c>
      <c r="R59" t="n">
        <v>14821.349</v>
      </c>
      <c r="S59" t="n">
        <v>19303.189</v>
      </c>
      <c r="T59" t="n">
        <v>28189.925</v>
      </c>
      <c r="U59" t="n">
        <v>38349.877</v>
      </c>
      <c r="V59" t="n">
        <v>41527.202</v>
      </c>
      <c r="W59" t="n">
        <v>51273.914</v>
      </c>
      <c r="X59" t="n">
        <v>39305.5</v>
      </c>
      <c r="Y59" t="n">
        <v>29223.227</v>
      </c>
      <c r="Z59" t="n">
        <v>34652.057</v>
      </c>
      <c r="AA59" t="n">
        <v>34933.714</v>
      </c>
      <c r="AB59" t="n">
        <v>40162.822</v>
      </c>
      <c r="AC59" t="n">
        <v>44783.835</v>
      </c>
      <c r="AD59" t="n">
        <v>33888.329</v>
      </c>
      <c r="AE59" t="n">
        <v>31998.935</v>
      </c>
      <c r="AF59" t="n">
        <v>22646.834</v>
      </c>
      <c r="AG59" t="n">
        <v>15073.066</v>
      </c>
      <c r="AH59" t="n">
        <v>18446.413</v>
      </c>
      <c r="AI59" t="n">
        <v>14886.254</v>
      </c>
      <c r="AJ59" t="n">
        <v>13744.371</v>
      </c>
      <c r="AK59" t="n">
        <v>9453.023999999999</v>
      </c>
      <c r="AL59" t="n">
        <v>7686.615</v>
      </c>
      <c r="AM59" t="n">
        <v>8761.819</v>
      </c>
      <c r="AN59" t="n">
        <v>9024.33</v>
      </c>
      <c r="AO59" t="n">
        <v>10287.756</v>
      </c>
      <c r="AP59" t="n">
        <v>5908.108</v>
      </c>
      <c r="AQ59" t="n">
        <v>5119.426</v>
      </c>
      <c r="AR59" t="n">
        <v>3759.938</v>
      </c>
      <c r="AS59" t="n">
        <v>5299.127</v>
      </c>
      <c r="AT59" t="n">
        <v>3147.743</v>
      </c>
      <c r="AU59" t="n">
        <v>2525.926</v>
      </c>
      <c r="AV59" t="n">
        <v>3197.55</v>
      </c>
      <c r="AW59" t="n">
        <v>3075.268</v>
      </c>
      <c r="AX59" t="n">
        <v>2202.776</v>
      </c>
      <c r="AY59" t="n">
        <v>2541.777</v>
      </c>
      <c r="AZ59" t="n">
        <v>1809.842</v>
      </c>
      <c r="BA59" t="n">
        <v>2031.818</v>
      </c>
      <c r="BB59" t="n">
        <v>1800.009</v>
      </c>
      <c r="BC59" t="n">
        <v>1563.483</v>
      </c>
      <c r="BD59" t="n">
        <v>1686.428</v>
      </c>
      <c r="BE59" t="n">
        <v>1727.24</v>
      </c>
      <c r="BF59" t="n">
        <v>1498.413</v>
      </c>
      <c r="BG59" t="n">
        <v>1336.615</v>
      </c>
      <c r="BH59" t="n">
        <v>1021.347</v>
      </c>
      <c r="BI59" t="n">
        <v>1213.693</v>
      </c>
      <c r="BJ59" t="n">
        <v>1028.144</v>
      </c>
      <c r="BK59" t="n">
        <v>1008.778</v>
      </c>
      <c r="BL59" t="n">
        <v>943.9400000000001</v>
      </c>
      <c r="BM59" t="n">
        <v>878.975</v>
      </c>
      <c r="BN59" t="n">
        <v>881.927</v>
      </c>
      <c r="BO59" t="n">
        <v>884.768</v>
      </c>
      <c r="BP59" t="n">
        <v>887.513</v>
      </c>
      <c r="BQ59" t="n">
        <v>890.168</v>
      </c>
      <c r="BR59" t="n">
        <v>890.168</v>
      </c>
      <c r="BS59" t="n">
        <v>890.168</v>
      </c>
      <c r="BT59" t="n">
        <v>912.735</v>
      </c>
      <c r="BU59" t="n">
        <v>912.735</v>
      </c>
      <c r="BV59" t="n">
        <v>912.735</v>
      </c>
    </row>
    <row r="60">
      <c r="A60" t="inlineStr">
        <is>
          <t>Epinephelus</t>
        </is>
      </c>
      <c r="B60" t="inlineStr">
        <is>
          <t>Seabasses, hinds</t>
        </is>
      </c>
      <c r="C60" t="inlineStr">
        <is>
          <t>Medium reef assoc. fish (30 - 89 cm)</t>
        </is>
      </c>
      <c r="D60" t="inlineStr">
        <is>
          <t>Perch-likes</t>
        </is>
      </c>
      <c r="E60" t="n">
        <v>42.608</v>
      </c>
      <c r="F60" t="n">
        <v>49.377</v>
      </c>
      <c r="G60" t="n">
        <v>102.648</v>
      </c>
      <c r="H60" t="n">
        <v>105.669</v>
      </c>
      <c r="I60" t="n">
        <v>102.239</v>
      </c>
      <c r="J60" t="n">
        <v>153.276</v>
      </c>
      <c r="K60" t="n">
        <v>255.493</v>
      </c>
      <c r="L60" t="n">
        <v>204.375</v>
      </c>
      <c r="M60" t="n">
        <v>357.776</v>
      </c>
      <c r="N60" t="n">
        <v>434.519</v>
      </c>
      <c r="O60" t="n">
        <v>511.116</v>
      </c>
      <c r="P60" t="n">
        <v>562.9690000000001</v>
      </c>
      <c r="Q60" t="n">
        <v>512.792</v>
      </c>
      <c r="R60" t="n">
        <v>564.231</v>
      </c>
      <c r="S60" t="n">
        <v>514.723</v>
      </c>
      <c r="T60" t="n">
        <v>514.251</v>
      </c>
      <c r="U60" t="n">
        <v>875.577</v>
      </c>
      <c r="V60" t="n">
        <v>877.415</v>
      </c>
      <c r="W60" t="n">
        <v>621.097</v>
      </c>
      <c r="X60" t="n">
        <v>621.846</v>
      </c>
      <c r="Y60" t="n">
        <v>793.116</v>
      </c>
      <c r="Z60" t="n">
        <v>1056.631</v>
      </c>
      <c r="AA60" t="n">
        <v>714.9589999999999</v>
      </c>
      <c r="AB60" t="n">
        <v>610.725</v>
      </c>
      <c r="AC60" t="n">
        <v>1036.212</v>
      </c>
      <c r="AD60" t="n">
        <v>2370.437</v>
      </c>
      <c r="AE60" t="n">
        <v>2443.636</v>
      </c>
      <c r="AF60" t="n">
        <v>1860.781</v>
      </c>
      <c r="AG60" t="n">
        <v>2001.345</v>
      </c>
      <c r="AH60" t="n">
        <v>1679.773</v>
      </c>
      <c r="AI60" t="n">
        <v>2124.062</v>
      </c>
      <c r="AJ60" t="n">
        <v>1723.143</v>
      </c>
      <c r="AK60" t="n">
        <v>2140.599</v>
      </c>
      <c r="AL60" t="n">
        <v>1691.392</v>
      </c>
      <c r="AM60" t="n">
        <v>1707.243</v>
      </c>
      <c r="AN60" t="n">
        <v>1863.916</v>
      </c>
      <c r="AO60" t="n">
        <v>1821.997</v>
      </c>
      <c r="AP60" t="n">
        <v>2089.171</v>
      </c>
      <c r="AQ60" t="n">
        <v>2409.577</v>
      </c>
      <c r="AR60" t="n">
        <v>2325.739</v>
      </c>
      <c r="AS60" t="n">
        <v>6635.07</v>
      </c>
      <c r="AT60" t="n">
        <v>7145.569</v>
      </c>
      <c r="AU60" t="n">
        <v>8373.120000000001</v>
      </c>
      <c r="AV60" t="n">
        <v>9162.171</v>
      </c>
      <c r="AW60" t="n">
        <v>9373.326999999999</v>
      </c>
      <c r="AX60" t="n">
        <v>8873.969999999999</v>
      </c>
      <c r="AY60" t="n">
        <v>9205.998</v>
      </c>
      <c r="AZ60" t="n">
        <v>10224.118</v>
      </c>
      <c r="BA60" t="n">
        <v>11124.096</v>
      </c>
      <c r="BB60" t="n">
        <v>12903.179</v>
      </c>
      <c r="BC60" t="n">
        <v>13232.583</v>
      </c>
      <c r="BD60" t="n">
        <v>13621.582</v>
      </c>
      <c r="BE60" t="n">
        <v>13555.569</v>
      </c>
      <c r="BF60" t="n">
        <v>19198.826</v>
      </c>
      <c r="BG60" t="n">
        <v>19653.543</v>
      </c>
      <c r="BH60" t="n">
        <v>19955.766</v>
      </c>
      <c r="BI60" t="n">
        <v>25374.191</v>
      </c>
      <c r="BJ60" t="n">
        <v>28677.865</v>
      </c>
      <c r="BK60" t="n">
        <v>27709.435</v>
      </c>
      <c r="BL60" t="n">
        <v>27426.726</v>
      </c>
      <c r="BM60" t="n">
        <v>29919.168</v>
      </c>
      <c r="BN60" t="n">
        <v>34206.815</v>
      </c>
      <c r="BO60" t="n">
        <v>35015.808</v>
      </c>
      <c r="BP60" t="n">
        <v>34420.04</v>
      </c>
      <c r="BQ60" t="n">
        <v>42004.802</v>
      </c>
      <c r="BR60" t="n">
        <v>40840.998</v>
      </c>
      <c r="BS60" t="n">
        <v>44217.182</v>
      </c>
      <c r="BT60" t="n">
        <v>41482.944</v>
      </c>
      <c r="BU60" t="n">
        <v>36054.888</v>
      </c>
      <c r="BV60" t="n">
        <v>34598.559</v>
      </c>
    </row>
    <row r="61">
      <c r="A61" t="inlineStr">
        <is>
          <t>Loliginidae</t>
        </is>
      </c>
      <c r="B61" t="inlineStr">
        <is>
          <t>Common pencil squids</t>
        </is>
      </c>
      <c r="C61" t="inlineStr">
        <is>
          <t>Cephalopods</t>
        </is>
      </c>
      <c r="D61" t="inlineStr">
        <is>
          <t>Other fishes &amp; inverts</t>
        </is>
      </c>
      <c r="E61" t="n">
        <v>228.733</v>
      </c>
      <c r="F61" t="n">
        <v>251.66</v>
      </c>
      <c r="G61" t="n">
        <v>273.864</v>
      </c>
      <c r="H61" t="n">
        <v>284.801</v>
      </c>
      <c r="I61" t="n">
        <v>287.858</v>
      </c>
      <c r="J61" t="n">
        <v>323.206</v>
      </c>
      <c r="K61" t="n">
        <v>355.041</v>
      </c>
      <c r="L61" t="n">
        <v>377.123</v>
      </c>
      <c r="M61" t="n">
        <v>403.174</v>
      </c>
      <c r="N61" t="n">
        <v>440.077</v>
      </c>
      <c r="O61" t="n">
        <v>465.833</v>
      </c>
      <c r="P61" t="n">
        <v>530.562</v>
      </c>
      <c r="Q61" t="n">
        <v>569.314</v>
      </c>
      <c r="R61" t="n">
        <v>601.011</v>
      </c>
      <c r="S61" t="n">
        <v>660.26</v>
      </c>
      <c r="T61" t="n">
        <v>714.511</v>
      </c>
      <c r="U61" t="n">
        <v>783.588</v>
      </c>
      <c r="V61" t="n">
        <v>850.192</v>
      </c>
      <c r="W61" t="n">
        <v>974.068</v>
      </c>
      <c r="X61" t="n">
        <v>1048.271</v>
      </c>
      <c r="Y61" t="n">
        <v>1095.322</v>
      </c>
      <c r="Z61" t="n">
        <v>1205.89</v>
      </c>
      <c r="AA61" t="n">
        <v>1220.02</v>
      </c>
      <c r="AB61" t="n">
        <v>1275.045</v>
      </c>
      <c r="AC61" t="n">
        <v>1324.382</v>
      </c>
      <c r="AD61" t="n">
        <v>1946.7</v>
      </c>
      <c r="AE61" t="n">
        <v>2052.917</v>
      </c>
      <c r="AF61" t="n">
        <v>3010.512</v>
      </c>
      <c r="AG61" t="n">
        <v>9392.965</v>
      </c>
      <c r="AH61" t="n">
        <v>11333.208</v>
      </c>
      <c r="AI61" t="n">
        <v>8532.58</v>
      </c>
      <c r="AJ61" t="n">
        <v>15254.879</v>
      </c>
      <c r="AK61" t="n">
        <v>20664.144</v>
      </c>
      <c r="AL61" t="n">
        <v>23353.488</v>
      </c>
      <c r="AM61" t="n">
        <v>17707.909</v>
      </c>
      <c r="AN61" t="n">
        <v>53131.343</v>
      </c>
      <c r="AO61" t="n">
        <v>41550.915</v>
      </c>
      <c r="AP61" t="n">
        <v>44504.027</v>
      </c>
      <c r="AQ61" t="n">
        <v>28870.633</v>
      </c>
      <c r="AR61" t="n">
        <v>30273.131</v>
      </c>
      <c r="AS61" t="n">
        <v>48834.737</v>
      </c>
      <c r="AT61" t="n">
        <v>16803.178</v>
      </c>
      <c r="AU61" t="n">
        <v>15552.419</v>
      </c>
      <c r="AV61" t="n">
        <v>19035.508</v>
      </c>
      <c r="AW61" t="n">
        <v>25149.268</v>
      </c>
      <c r="AX61" t="n">
        <v>9316.887000000001</v>
      </c>
      <c r="AY61" t="n">
        <v>30919.72</v>
      </c>
      <c r="AZ61" t="n">
        <v>34268.578</v>
      </c>
      <c r="BA61" t="n">
        <v>33084.151</v>
      </c>
      <c r="BB61" t="n">
        <v>20239.991</v>
      </c>
      <c r="BC61" t="n">
        <v>10655.581</v>
      </c>
      <c r="BD61" t="n">
        <v>8311.397000000001</v>
      </c>
      <c r="BE61" t="n">
        <v>3083.782</v>
      </c>
      <c r="BF61" t="n">
        <v>39205.243</v>
      </c>
      <c r="BG61" t="n">
        <v>4921.246</v>
      </c>
      <c r="BH61" t="n">
        <v>6873.562</v>
      </c>
      <c r="BI61" t="n">
        <v>3130.447</v>
      </c>
      <c r="BJ61" t="n">
        <v>3252.438</v>
      </c>
      <c r="BK61" t="n">
        <v>5036.945</v>
      </c>
      <c r="BL61" t="n">
        <v>5661.862</v>
      </c>
      <c r="BM61" t="n">
        <v>3077.789</v>
      </c>
      <c r="BN61" t="n">
        <v>3481.444</v>
      </c>
      <c r="BO61" t="n">
        <v>5049.593</v>
      </c>
      <c r="BP61" t="n">
        <v>4237.486</v>
      </c>
      <c r="BQ61" t="n">
        <v>4588.547</v>
      </c>
      <c r="BR61" t="n">
        <v>3649.767</v>
      </c>
      <c r="BS61" t="n">
        <v>4901.584</v>
      </c>
      <c r="BT61" t="n">
        <v>4531.528</v>
      </c>
      <c r="BU61" t="n">
        <v>4694.462</v>
      </c>
      <c r="BV61" t="n">
        <v>4331.449</v>
      </c>
    </row>
    <row r="62">
      <c r="A62" t="inlineStr">
        <is>
          <t>Stromateidae</t>
        </is>
      </c>
      <c r="B62" t="inlineStr">
        <is>
          <t>Butterfishes</t>
        </is>
      </c>
      <c r="C62" t="inlineStr">
        <is>
          <t>Small benthopelagics (&lt;30 cm)</t>
        </is>
      </c>
      <c r="D62" t="inlineStr">
        <is>
          <t>Perch-likes</t>
        </is>
      </c>
      <c r="E62" t="n">
        <v>1317.658</v>
      </c>
      <c r="F62" t="n">
        <v>1356.368</v>
      </c>
      <c r="G62" t="n">
        <v>1313.26</v>
      </c>
      <c r="H62" t="n">
        <v>1321.874</v>
      </c>
      <c r="I62" t="n">
        <v>1300.386</v>
      </c>
      <c r="J62" t="n">
        <v>1216.294</v>
      </c>
      <c r="K62" t="n">
        <v>1349.137</v>
      </c>
      <c r="L62" t="n">
        <v>2204.763</v>
      </c>
      <c r="M62" t="n">
        <v>2245.2</v>
      </c>
      <c r="N62" t="n">
        <v>2332.539</v>
      </c>
      <c r="O62" t="n">
        <v>2815.045</v>
      </c>
      <c r="P62" t="n">
        <v>3610.677</v>
      </c>
      <c r="Q62" t="n">
        <v>5295.754</v>
      </c>
      <c r="R62" t="n">
        <v>5666.264</v>
      </c>
      <c r="S62" t="n">
        <v>4645.006</v>
      </c>
      <c r="T62" t="n">
        <v>5932.627</v>
      </c>
      <c r="U62" t="n">
        <v>6325.813</v>
      </c>
      <c r="V62" t="n">
        <v>5949.17</v>
      </c>
      <c r="W62" t="n">
        <v>6187.648</v>
      </c>
      <c r="X62" t="n">
        <v>4290.601</v>
      </c>
      <c r="Y62" t="n">
        <v>6801.734</v>
      </c>
      <c r="Z62" t="n">
        <v>6546.997</v>
      </c>
      <c r="AA62" t="n">
        <v>9956.907999999999</v>
      </c>
      <c r="AB62" t="n">
        <v>11300.56</v>
      </c>
      <c r="AC62" t="n">
        <v>15501.871</v>
      </c>
      <c r="AD62" t="n">
        <v>22127.754</v>
      </c>
      <c r="AE62" t="n">
        <v>18296.272</v>
      </c>
      <c r="AF62" t="n">
        <v>14038.412</v>
      </c>
      <c r="AG62" t="n">
        <v>14747.668</v>
      </c>
      <c r="AH62" t="n">
        <v>16055.934</v>
      </c>
      <c r="AI62" t="n">
        <v>16489.072</v>
      </c>
      <c r="AJ62" t="n">
        <v>17019.1</v>
      </c>
      <c r="AK62" t="n">
        <v>16687.617</v>
      </c>
      <c r="AL62" t="n">
        <v>11966.299</v>
      </c>
      <c r="AM62" t="n">
        <v>14206.229</v>
      </c>
      <c r="AN62" t="n">
        <v>13446.106</v>
      </c>
      <c r="AO62" t="n">
        <v>17390.762</v>
      </c>
      <c r="AP62" t="n">
        <v>15510.3</v>
      </c>
      <c r="AQ62" t="n">
        <v>17272.889</v>
      </c>
      <c r="AR62" t="n">
        <v>12968.982</v>
      </c>
      <c r="AS62" t="n">
        <v>15036.694</v>
      </c>
      <c r="AT62" t="n">
        <v>15339.757</v>
      </c>
      <c r="AU62" t="n">
        <v>14198.752</v>
      </c>
      <c r="AV62" t="n">
        <v>11392.639</v>
      </c>
      <c r="AW62" t="n">
        <v>11950.583</v>
      </c>
      <c r="AX62" t="n">
        <v>12952.334</v>
      </c>
      <c r="AY62" t="n">
        <v>11432.135</v>
      </c>
      <c r="AZ62" t="n">
        <v>12245.714</v>
      </c>
      <c r="BA62" t="n">
        <v>14429.961</v>
      </c>
      <c r="BB62" t="n">
        <v>14908.997</v>
      </c>
      <c r="BC62" t="n">
        <v>9563.794</v>
      </c>
      <c r="BD62" t="n">
        <v>9116.191000000001</v>
      </c>
      <c r="BE62" t="n">
        <v>8579.305</v>
      </c>
      <c r="BF62" t="n">
        <v>9307.691999999999</v>
      </c>
      <c r="BG62" t="n">
        <v>11113.844</v>
      </c>
      <c r="BH62" t="n">
        <v>12568.871</v>
      </c>
      <c r="BI62" t="n">
        <v>14343.369</v>
      </c>
      <c r="BJ62" t="n">
        <v>10772.879</v>
      </c>
      <c r="BK62" t="n">
        <v>9770.125</v>
      </c>
      <c r="BL62" t="n">
        <v>8036.086</v>
      </c>
      <c r="BM62" t="n">
        <v>10597.516</v>
      </c>
      <c r="BN62" t="n">
        <v>8831.700999999999</v>
      </c>
      <c r="BO62" t="n">
        <v>7369.724</v>
      </c>
      <c r="BP62" t="n">
        <v>7996.393</v>
      </c>
      <c r="BQ62" t="n">
        <v>6612.886</v>
      </c>
      <c r="BR62" t="n">
        <v>5921.811</v>
      </c>
      <c r="BS62" t="n">
        <v>6884.626</v>
      </c>
      <c r="BT62" t="n">
        <v>7460.58</v>
      </c>
      <c r="BU62" t="n">
        <v>9271.832</v>
      </c>
      <c r="BV62" t="n">
        <v>9613.620000000001</v>
      </c>
    </row>
    <row r="63">
      <c r="A63" t="inlineStr">
        <is>
          <t>Brachyura</t>
        </is>
      </c>
      <c r="B63" t="inlineStr">
        <is>
          <t>Marine crabs</t>
        </is>
      </c>
      <c r="C63" t="inlineStr">
        <is>
          <t>Lobsters, crabs</t>
        </is>
      </c>
      <c r="D63" t="inlineStr">
        <is>
          <t>Crustaceans</t>
        </is>
      </c>
      <c r="E63" t="n">
        <v>1193.761</v>
      </c>
      <c r="F63" t="n">
        <v>1195.558</v>
      </c>
      <c r="G63" t="n">
        <v>1212.004</v>
      </c>
      <c r="H63" t="n">
        <v>1213.235</v>
      </c>
      <c r="I63" t="n">
        <v>1193.144</v>
      </c>
      <c r="J63" t="n">
        <v>1168.926</v>
      </c>
      <c r="K63" t="n">
        <v>1426.373</v>
      </c>
      <c r="L63" t="n">
        <v>1262.812</v>
      </c>
      <c r="M63" t="n">
        <v>1075.227</v>
      </c>
      <c r="N63" t="n">
        <v>1058.502</v>
      </c>
      <c r="O63" t="n">
        <v>1314.103</v>
      </c>
      <c r="P63" t="n">
        <v>1209.393</v>
      </c>
      <c r="Q63" t="n">
        <v>1157.53</v>
      </c>
      <c r="R63" t="n">
        <v>1336.102</v>
      </c>
      <c r="S63" t="n">
        <v>389.443</v>
      </c>
      <c r="T63" t="n">
        <v>617.294</v>
      </c>
      <c r="U63" t="n">
        <v>608.537</v>
      </c>
      <c r="V63" t="n">
        <v>719.099</v>
      </c>
      <c r="W63" t="n">
        <v>570.427</v>
      </c>
      <c r="X63" t="n">
        <v>618.889</v>
      </c>
      <c r="Y63" t="n">
        <v>893.0700000000001</v>
      </c>
      <c r="Z63" t="n">
        <v>1033.263</v>
      </c>
      <c r="AA63" t="n">
        <v>1524.711</v>
      </c>
      <c r="AB63" t="n">
        <v>1959.929</v>
      </c>
      <c r="AC63" t="n">
        <v>2037.43</v>
      </c>
      <c r="AD63" t="n">
        <v>2004.391</v>
      </c>
      <c r="AE63" t="n">
        <v>1697.657</v>
      </c>
      <c r="AF63" t="n">
        <v>2786.385</v>
      </c>
      <c r="AG63" t="n">
        <v>4360.668</v>
      </c>
      <c r="AH63" t="n">
        <v>3958.482</v>
      </c>
      <c r="AI63" t="n">
        <v>4112.582</v>
      </c>
      <c r="AJ63" t="n">
        <v>5251.3</v>
      </c>
      <c r="AK63" t="n">
        <v>5988.591</v>
      </c>
      <c r="AL63" t="n">
        <v>5650.67</v>
      </c>
      <c r="AM63" t="n">
        <v>6591.516</v>
      </c>
      <c r="AN63" t="n">
        <v>6614.158</v>
      </c>
      <c r="AO63" t="n">
        <v>6466.123</v>
      </c>
      <c r="AP63" t="n">
        <v>6052.406</v>
      </c>
      <c r="AQ63" t="n">
        <v>9864.432000000001</v>
      </c>
      <c r="AR63" t="n">
        <v>4488.019</v>
      </c>
      <c r="AS63" t="n">
        <v>16041.955</v>
      </c>
      <c r="AT63" t="n">
        <v>17065.959</v>
      </c>
      <c r="AU63" t="n">
        <v>14906.04</v>
      </c>
      <c r="AV63" t="n">
        <v>9423.983</v>
      </c>
      <c r="AW63" t="n">
        <v>13473.308</v>
      </c>
      <c r="AX63" t="n">
        <v>13951.121</v>
      </c>
      <c r="AY63" t="n">
        <v>12790.921</v>
      </c>
      <c r="AZ63" t="n">
        <v>10292.116</v>
      </c>
      <c r="BA63" t="n">
        <v>5816.186</v>
      </c>
      <c r="BB63" t="n">
        <v>6464.121</v>
      </c>
      <c r="BC63" t="n">
        <v>5586.62</v>
      </c>
      <c r="BD63" t="n">
        <v>5336.471</v>
      </c>
      <c r="BE63" t="n">
        <v>4377.1</v>
      </c>
      <c r="BF63" t="n">
        <v>17228.521</v>
      </c>
      <c r="BG63" t="n">
        <v>18855.51</v>
      </c>
      <c r="BH63" t="n">
        <v>19436.031</v>
      </c>
      <c r="BI63" t="n">
        <v>19183.371</v>
      </c>
      <c r="BJ63" t="n">
        <v>13759.726</v>
      </c>
      <c r="BK63" t="n">
        <v>13656.1</v>
      </c>
      <c r="BL63" t="n">
        <v>19651.467</v>
      </c>
      <c r="BM63" t="n">
        <v>19835.909</v>
      </c>
      <c r="BN63" t="n">
        <v>21527.752</v>
      </c>
      <c r="BO63" t="n">
        <v>20810.827</v>
      </c>
      <c r="BP63" t="n">
        <v>21822.855</v>
      </c>
      <c r="BQ63" t="n">
        <v>29180.738</v>
      </c>
      <c r="BR63" t="n">
        <v>35019.168</v>
      </c>
      <c r="BS63" t="n">
        <v>27783.496</v>
      </c>
      <c r="BT63" t="n">
        <v>25815.217</v>
      </c>
      <c r="BU63" t="n">
        <v>21379.266</v>
      </c>
      <c r="BV63" t="n">
        <v>17860.713</v>
      </c>
    </row>
    <row r="64">
      <c r="A64" t="inlineStr">
        <is>
          <t>Octopodidae</t>
        </is>
      </c>
      <c r="B64" t="inlineStr">
        <is>
          <t>Octopuses</t>
        </is>
      </c>
      <c r="C64" t="inlineStr">
        <is>
          <t>Cephalopods</t>
        </is>
      </c>
      <c r="D64" t="inlineStr">
        <is>
          <t>Other fishes &amp; inverts</t>
        </is>
      </c>
      <c r="E64" t="n">
        <v>8465.166999999999</v>
      </c>
      <c r="F64" t="n">
        <v>17204.358</v>
      </c>
      <c r="G64" t="n">
        <v>17825.953</v>
      </c>
      <c r="H64" t="n">
        <v>14042.263</v>
      </c>
      <c r="I64" t="n">
        <v>4512.534</v>
      </c>
      <c r="J64" t="n">
        <v>6443.004</v>
      </c>
      <c r="K64" t="n">
        <v>14877.219</v>
      </c>
      <c r="L64" t="n">
        <v>22085.504</v>
      </c>
      <c r="M64" t="n">
        <v>12266.146</v>
      </c>
      <c r="N64" t="n">
        <v>20847.607</v>
      </c>
      <c r="O64" t="n">
        <v>19967.578</v>
      </c>
      <c r="P64" t="n">
        <v>32565.59</v>
      </c>
      <c r="Q64" t="n">
        <v>25163.852</v>
      </c>
      <c r="R64" t="n">
        <v>35470.965</v>
      </c>
      <c r="S64" t="n">
        <v>24604.044</v>
      </c>
      <c r="T64" t="n">
        <v>21262.371</v>
      </c>
      <c r="U64" t="n">
        <v>22028.828</v>
      </c>
      <c r="V64" t="n">
        <v>13429.922</v>
      </c>
      <c r="W64" t="n">
        <v>21979.831</v>
      </c>
      <c r="X64" t="n">
        <v>18675.205</v>
      </c>
      <c r="Y64" t="n">
        <v>18530.628</v>
      </c>
      <c r="Z64" t="n">
        <v>12740.843</v>
      </c>
      <c r="AA64" t="n">
        <v>15371.492</v>
      </c>
      <c r="AB64" t="n">
        <v>10981.445</v>
      </c>
      <c r="AC64" t="n">
        <v>6104.033</v>
      </c>
      <c r="AD64" t="n">
        <v>6610.529</v>
      </c>
      <c r="AE64" t="n">
        <v>7944.522</v>
      </c>
      <c r="AF64" t="n">
        <v>4168.428</v>
      </c>
      <c r="AG64" t="n">
        <v>3941.774</v>
      </c>
      <c r="AH64" t="n">
        <v>4572.909</v>
      </c>
      <c r="AI64" t="n">
        <v>7055.095</v>
      </c>
      <c r="AJ64" t="n">
        <v>6394.898</v>
      </c>
      <c r="AK64" t="n">
        <v>7232.493</v>
      </c>
      <c r="AL64" t="n">
        <v>4811.319</v>
      </c>
      <c r="AM64" t="n">
        <v>5034.538</v>
      </c>
      <c r="AN64" t="n">
        <v>4875.673</v>
      </c>
      <c r="AO64" t="n">
        <v>4548.521</v>
      </c>
      <c r="AP64" t="n">
        <v>5493.849</v>
      </c>
      <c r="AQ64" t="n">
        <v>4172.782</v>
      </c>
      <c r="AR64" t="n">
        <v>5441.478</v>
      </c>
      <c r="AS64" t="n">
        <v>7901.3</v>
      </c>
      <c r="AT64" t="n">
        <v>5339.132</v>
      </c>
      <c r="AU64" t="n">
        <v>5129.392</v>
      </c>
      <c r="AV64" t="n">
        <v>5595.962</v>
      </c>
      <c r="AW64" t="n">
        <v>4373.653</v>
      </c>
      <c r="AX64" t="n">
        <v>3991.868</v>
      </c>
      <c r="AY64" t="n">
        <v>4238.822</v>
      </c>
      <c r="AZ64" t="n">
        <v>3372.591</v>
      </c>
      <c r="BA64" t="n">
        <v>3012.422</v>
      </c>
      <c r="BB64" t="n">
        <v>3025.063</v>
      </c>
      <c r="BC64" t="n">
        <v>2637.496</v>
      </c>
      <c r="BD64" t="n">
        <v>2514.576</v>
      </c>
      <c r="BE64" t="n">
        <v>2308.446</v>
      </c>
      <c r="BF64" t="n">
        <v>2160.838</v>
      </c>
      <c r="BG64" t="n">
        <v>1733.912</v>
      </c>
      <c r="BH64" t="n">
        <v>1059.934</v>
      </c>
      <c r="BI64" t="n">
        <v>778.524</v>
      </c>
      <c r="BJ64" t="n">
        <v>505.956</v>
      </c>
      <c r="BK64" t="n">
        <v>449.193</v>
      </c>
      <c r="BL64" t="n">
        <v>426.254</v>
      </c>
      <c r="BM64" t="n">
        <v>375.725</v>
      </c>
      <c r="BN64" t="n">
        <v>329.723</v>
      </c>
      <c r="BO64" t="n">
        <v>335.11</v>
      </c>
      <c r="BP64" t="n">
        <v>806.073</v>
      </c>
      <c r="BQ64" t="n">
        <v>344.551</v>
      </c>
      <c r="BR64" t="n">
        <v>344.884</v>
      </c>
      <c r="BS64" t="n">
        <v>341.549</v>
      </c>
      <c r="BT64" t="n">
        <v>435.367</v>
      </c>
      <c r="BU64" t="n">
        <v>378.878</v>
      </c>
      <c r="BV64" t="n">
        <v>339.232</v>
      </c>
    </row>
    <row r="65">
      <c r="A65" t="inlineStr">
        <is>
          <t>Clupeidae</t>
        </is>
      </c>
      <c r="B65" t="inlineStr">
        <is>
          <t>Herrings, sardines, menhadens</t>
        </is>
      </c>
      <c r="C65" t="inlineStr">
        <is>
          <t>Small pelagics (&lt;30 cm)</t>
        </is>
      </c>
      <c r="D65" t="inlineStr">
        <is>
          <t>Herring-likes</t>
        </is>
      </c>
      <c r="E65" t="n">
        <v>1187.699</v>
      </c>
      <c r="F65" t="n">
        <v>1906.488</v>
      </c>
      <c r="G65" t="n">
        <v>808.6609999999999</v>
      </c>
      <c r="H65" t="n">
        <v>855.049</v>
      </c>
      <c r="I65" t="n">
        <v>873.874</v>
      </c>
      <c r="J65" t="n">
        <v>8610.59</v>
      </c>
      <c r="K65" t="n">
        <v>10886.583</v>
      </c>
      <c r="L65" t="n">
        <v>8897.397999999999</v>
      </c>
      <c r="M65" t="n">
        <v>8783.914000000001</v>
      </c>
      <c r="N65" t="n">
        <v>10307.754</v>
      </c>
      <c r="O65" t="n">
        <v>7076.171</v>
      </c>
      <c r="P65" t="n">
        <v>7819.836</v>
      </c>
      <c r="Q65" t="n">
        <v>10974.936</v>
      </c>
      <c r="R65" t="n">
        <v>14026.946</v>
      </c>
      <c r="S65" t="n">
        <v>13495.777</v>
      </c>
      <c r="T65" t="n">
        <v>11169.287</v>
      </c>
      <c r="U65" t="n">
        <v>8450.135</v>
      </c>
      <c r="V65" t="n">
        <v>7184.565</v>
      </c>
      <c r="W65" t="n">
        <v>10871.167</v>
      </c>
      <c r="X65" t="n">
        <v>10907.541</v>
      </c>
      <c r="Y65" t="n">
        <v>11705.468</v>
      </c>
      <c r="Z65" t="n">
        <v>11238.449</v>
      </c>
      <c r="AA65" t="n">
        <v>10461.252</v>
      </c>
      <c r="AB65" t="n">
        <v>6666.498</v>
      </c>
      <c r="AC65" t="n">
        <v>8195.398999999999</v>
      </c>
      <c r="AD65" t="n">
        <v>6690.394</v>
      </c>
      <c r="AE65" t="n">
        <v>7562.543</v>
      </c>
      <c r="AF65" t="n">
        <v>8059.281</v>
      </c>
      <c r="AG65" t="n">
        <v>6553.484</v>
      </c>
      <c r="AH65" t="n">
        <v>6719.821</v>
      </c>
      <c r="AI65" t="n">
        <v>5605.192</v>
      </c>
      <c r="AJ65" t="n">
        <v>6520.24</v>
      </c>
      <c r="AK65" t="n">
        <v>6854.213</v>
      </c>
      <c r="AL65" t="n">
        <v>8552.528</v>
      </c>
      <c r="AM65" t="n">
        <v>6520.528</v>
      </c>
      <c r="AN65" t="n">
        <v>10307.619</v>
      </c>
      <c r="AO65" t="n">
        <v>10074.906</v>
      </c>
      <c r="AP65" t="n">
        <v>9347.662</v>
      </c>
      <c r="AQ65" t="n">
        <v>8618.501</v>
      </c>
      <c r="AR65" t="n">
        <v>8193.291999999999</v>
      </c>
      <c r="AS65" t="n">
        <v>7510.117</v>
      </c>
      <c r="AT65" t="n">
        <v>5887.079</v>
      </c>
      <c r="AU65" t="n">
        <v>6964.928</v>
      </c>
      <c r="AV65" t="n">
        <v>6054.731</v>
      </c>
      <c r="AW65" t="n">
        <v>8824.989</v>
      </c>
      <c r="AX65" t="n">
        <v>8322.806</v>
      </c>
      <c r="AY65" t="n">
        <v>7710.34</v>
      </c>
      <c r="AZ65" t="n">
        <v>6896.479</v>
      </c>
      <c r="BA65" t="n">
        <v>6617.912</v>
      </c>
      <c r="BB65" t="n">
        <v>5911.887</v>
      </c>
      <c r="BC65" t="n">
        <v>5330.145</v>
      </c>
      <c r="BD65" t="n">
        <v>5631.151</v>
      </c>
      <c r="BE65" t="n">
        <v>5511.885</v>
      </c>
      <c r="BF65" t="n">
        <v>3027.987</v>
      </c>
      <c r="BG65" t="n">
        <v>3967.11</v>
      </c>
      <c r="BH65" t="n">
        <v>3046.38</v>
      </c>
      <c r="BI65" t="n">
        <v>2151.527</v>
      </c>
      <c r="BJ65" t="n">
        <v>2657.471</v>
      </c>
      <c r="BK65" t="n">
        <v>1419.777</v>
      </c>
      <c r="BL65" t="n">
        <v>2379.127</v>
      </c>
      <c r="BM65" t="n">
        <v>1573.93</v>
      </c>
      <c r="BN65" t="n">
        <v>14960.263</v>
      </c>
      <c r="BO65" t="n">
        <v>18599.588</v>
      </c>
      <c r="BP65" t="n">
        <v>17140.628</v>
      </c>
      <c r="BQ65" t="n">
        <v>17418.474</v>
      </c>
      <c r="BR65" t="n">
        <v>18131.251</v>
      </c>
      <c r="BS65" t="n">
        <v>17921.374</v>
      </c>
      <c r="BT65" t="n">
        <v>15231.094</v>
      </c>
      <c r="BU65" t="n">
        <v>15179.956</v>
      </c>
      <c r="BV65" t="n">
        <v>16896.179</v>
      </c>
    </row>
    <row r="66">
      <c r="A66" t="inlineStr">
        <is>
          <t>Ammodytes personatus</t>
        </is>
      </c>
      <c r="B66" t="inlineStr">
        <is>
          <t>Pacific sandlance</t>
        </is>
      </c>
      <c r="C66" t="inlineStr">
        <is>
          <t>Small demersals (&lt;30 cm)</t>
        </is>
      </c>
      <c r="D66" t="inlineStr">
        <is>
          <t>Perch-likes</t>
        </is>
      </c>
      <c r="E66" t="n">
        <v>2650.276</v>
      </c>
      <c r="F66" t="n">
        <v>2650.276</v>
      </c>
      <c r="G66" t="n">
        <v>2650.276</v>
      </c>
      <c r="H66" t="n">
        <v>3336.726</v>
      </c>
      <c r="I66" t="n">
        <v>1997.484</v>
      </c>
      <c r="J66" t="n">
        <v>2918.923</v>
      </c>
      <c r="K66" t="n">
        <v>4540.569</v>
      </c>
      <c r="L66" t="n">
        <v>5145.369</v>
      </c>
      <c r="M66" t="n">
        <v>5805.76</v>
      </c>
      <c r="N66" t="n">
        <v>4138.033</v>
      </c>
      <c r="O66" t="n">
        <v>4740.832</v>
      </c>
      <c r="P66" t="n">
        <v>6420.011</v>
      </c>
      <c r="Q66" t="n">
        <v>4345.93</v>
      </c>
      <c r="R66" t="n">
        <v>4995.841</v>
      </c>
      <c r="S66" t="n">
        <v>3434.162</v>
      </c>
      <c r="T66" t="n">
        <v>6733.515</v>
      </c>
      <c r="U66" t="n">
        <v>4397.925</v>
      </c>
      <c r="V66" t="n">
        <v>6257.513</v>
      </c>
      <c r="W66" t="n">
        <v>9003.210999999999</v>
      </c>
      <c r="X66" t="n">
        <v>6595.015</v>
      </c>
      <c r="Y66" t="n">
        <v>13425.874</v>
      </c>
      <c r="Z66" t="n">
        <v>15943.692</v>
      </c>
      <c r="AA66" t="n">
        <v>11729.171</v>
      </c>
      <c r="AB66" t="n">
        <v>11672.492</v>
      </c>
      <c r="AC66" t="n">
        <v>17486.092</v>
      </c>
      <c r="AD66" t="n">
        <v>16215.242</v>
      </c>
      <c r="AE66" t="n">
        <v>13439.346</v>
      </c>
      <c r="AF66" t="n">
        <v>8530.519</v>
      </c>
      <c r="AG66" t="n">
        <v>6111.242</v>
      </c>
      <c r="AH66" t="n">
        <v>6694.034</v>
      </c>
      <c r="AI66" t="n">
        <v>11857.054</v>
      </c>
      <c r="AJ66" t="n">
        <v>9724.179</v>
      </c>
      <c r="AK66" t="n">
        <v>7793.089</v>
      </c>
      <c r="AL66" t="n">
        <v>7402.871</v>
      </c>
      <c r="AM66" t="n">
        <v>10122.861</v>
      </c>
      <c r="AN66" t="n">
        <v>7846.205</v>
      </c>
      <c r="AO66" t="n">
        <v>8789.174000000001</v>
      </c>
      <c r="AP66" t="n">
        <v>7534.87</v>
      </c>
      <c r="AQ66" t="n">
        <v>5219.781</v>
      </c>
      <c r="AR66" t="n">
        <v>5110.489</v>
      </c>
      <c r="AS66" t="n">
        <v>4824.085</v>
      </c>
      <c r="AT66" t="n">
        <v>5858.825</v>
      </c>
      <c r="AU66" t="n">
        <v>7968.21</v>
      </c>
      <c r="AV66" t="n">
        <v>6712.75</v>
      </c>
      <c r="AW66" t="n">
        <v>6868.95</v>
      </c>
      <c r="AX66" t="n">
        <v>6759.696</v>
      </c>
      <c r="AY66" t="n">
        <v>7298.726</v>
      </c>
      <c r="AZ66" t="n">
        <v>6751.641</v>
      </c>
      <c r="BA66" t="n">
        <v>5828.949</v>
      </c>
      <c r="BB66" t="n">
        <v>5516.889</v>
      </c>
      <c r="BC66" t="n">
        <v>7961.373</v>
      </c>
      <c r="BD66" t="n">
        <v>7077.618</v>
      </c>
      <c r="BE66" t="n">
        <v>5952.627</v>
      </c>
      <c r="BF66" t="n">
        <v>14107.912</v>
      </c>
      <c r="BG66" t="n">
        <v>12360.858</v>
      </c>
      <c r="BH66" t="n">
        <v>12704.297</v>
      </c>
      <c r="BI66" t="n">
        <v>13387.95</v>
      </c>
      <c r="BJ66" t="n">
        <v>9621.108</v>
      </c>
      <c r="BK66" t="n">
        <v>11574.124</v>
      </c>
      <c r="BL66" t="n">
        <v>9183.883</v>
      </c>
      <c r="BM66" t="n">
        <v>14825.753</v>
      </c>
      <c r="BN66" t="n">
        <v>10842.484</v>
      </c>
      <c r="BO66" t="n">
        <v>9476.130999999999</v>
      </c>
      <c r="BP66" t="n">
        <v>8728.103999999999</v>
      </c>
      <c r="BQ66" t="n">
        <v>8061.615</v>
      </c>
      <c r="BR66" t="n">
        <v>7300.004</v>
      </c>
      <c r="BS66" t="n">
        <v>6919.86</v>
      </c>
      <c r="BT66" t="n">
        <v>6021.183</v>
      </c>
      <c r="BU66" t="n">
        <v>7324.296</v>
      </c>
      <c r="BV66" t="n">
        <v>9823.778</v>
      </c>
    </row>
    <row r="67">
      <c r="A67" t="inlineStr">
        <is>
          <t>Ruditapes philippinarum</t>
        </is>
      </c>
      <c r="B67" t="inlineStr">
        <is>
          <t>Japanese carpet shell</t>
        </is>
      </c>
      <c r="C67" t="inlineStr">
        <is>
          <t>Other demersal invertebrates</t>
        </is>
      </c>
      <c r="D67" t="inlineStr">
        <is>
          <t>Molluscs</t>
        </is>
      </c>
      <c r="E67" t="n">
        <v>1.23</v>
      </c>
      <c r="F67" t="n">
        <v>2.639</v>
      </c>
      <c r="G67" t="n">
        <v>0</v>
      </c>
      <c r="H67" t="n">
        <v>0</v>
      </c>
      <c r="I67" t="n">
        <v>1.789</v>
      </c>
      <c r="J67" t="n">
        <v>0</v>
      </c>
      <c r="K67" t="n">
        <v>1.019</v>
      </c>
      <c r="L67" t="n">
        <v>0</v>
      </c>
      <c r="M67" t="n">
        <v>0.791</v>
      </c>
      <c r="N67" t="n">
        <v>0</v>
      </c>
      <c r="O67" t="n">
        <v>1.835</v>
      </c>
      <c r="P67" t="n">
        <v>1.199</v>
      </c>
      <c r="Q67" t="n">
        <v>0.752</v>
      </c>
      <c r="R67" t="n">
        <v>1.192</v>
      </c>
      <c r="S67" t="n">
        <v>7633.598</v>
      </c>
      <c r="T67" t="n">
        <v>3045.377</v>
      </c>
      <c r="U67" t="n">
        <v>5354.092</v>
      </c>
      <c r="V67" t="n">
        <v>5427.696</v>
      </c>
      <c r="W67" t="n">
        <v>8380.822</v>
      </c>
      <c r="X67" t="n">
        <v>9736.225</v>
      </c>
      <c r="Y67" t="n">
        <v>3011.415</v>
      </c>
      <c r="Z67" t="n">
        <v>5041.961</v>
      </c>
      <c r="AA67" t="n">
        <v>4129.438</v>
      </c>
      <c r="AB67" t="n">
        <v>4095.869</v>
      </c>
      <c r="AC67" t="n">
        <v>6204.046</v>
      </c>
      <c r="AD67" t="n">
        <v>14436.764</v>
      </c>
      <c r="AE67" t="n">
        <v>10066.927</v>
      </c>
      <c r="AF67" t="n">
        <v>8044.719</v>
      </c>
      <c r="AG67" t="n">
        <v>5948.994</v>
      </c>
      <c r="AH67" t="n">
        <v>3986.166</v>
      </c>
      <c r="AI67" t="n">
        <v>6262.791</v>
      </c>
      <c r="AJ67" t="n">
        <v>12655.947</v>
      </c>
      <c r="AK67" t="n">
        <v>8607.08</v>
      </c>
      <c r="AL67" t="n">
        <v>8390.184999999999</v>
      </c>
      <c r="AM67" t="n">
        <v>6285.377</v>
      </c>
      <c r="AN67" t="n">
        <v>9311.148999999999</v>
      </c>
      <c r="AO67" t="n">
        <v>14593.762</v>
      </c>
      <c r="AP67" t="n">
        <v>14256.602</v>
      </c>
      <c r="AQ67" t="n">
        <v>12116.266</v>
      </c>
      <c r="AR67" t="n">
        <v>11362.064</v>
      </c>
      <c r="AS67" t="n">
        <v>7413.946</v>
      </c>
      <c r="AT67" t="n">
        <v>8010.973</v>
      </c>
      <c r="AU67" t="n">
        <v>10270.049</v>
      </c>
      <c r="AV67" t="n">
        <v>21185.847</v>
      </c>
      <c r="AW67" t="n">
        <v>11217.356</v>
      </c>
      <c r="AX67" t="n">
        <v>11655.018</v>
      </c>
      <c r="AY67" t="n">
        <v>11114.123</v>
      </c>
      <c r="AZ67" t="n">
        <v>14214.144</v>
      </c>
      <c r="BA67" t="n">
        <v>13591.591</v>
      </c>
      <c r="BB67" t="n">
        <v>10763.738</v>
      </c>
      <c r="BC67" t="n">
        <v>15379.025</v>
      </c>
      <c r="BD67" t="n">
        <v>14792.15</v>
      </c>
      <c r="BE67" t="n">
        <v>10760.461</v>
      </c>
      <c r="BF67" t="n">
        <v>7656.046</v>
      </c>
      <c r="BG67" t="n">
        <v>7658.778</v>
      </c>
      <c r="BH67" t="n">
        <v>8555.02</v>
      </c>
      <c r="BI67" t="n">
        <v>4349.183</v>
      </c>
      <c r="BJ67" t="n">
        <v>4843.62</v>
      </c>
      <c r="BK67" t="n">
        <v>11702.964</v>
      </c>
      <c r="BL67" t="n">
        <v>14020.08</v>
      </c>
      <c r="BM67" t="n">
        <v>8319.450999999999</v>
      </c>
      <c r="BN67" t="n">
        <v>8203.236999999999</v>
      </c>
      <c r="BO67" t="n">
        <v>8402.795</v>
      </c>
      <c r="BP67" t="n">
        <v>9359.389999999999</v>
      </c>
      <c r="BQ67" t="n">
        <v>9378.800999999999</v>
      </c>
      <c r="BR67" t="n">
        <v>9322.315000000001</v>
      </c>
      <c r="BS67" t="n">
        <v>9954.206</v>
      </c>
      <c r="BT67" t="n">
        <v>11030.833</v>
      </c>
      <c r="BU67" t="n">
        <v>16335.744</v>
      </c>
      <c r="BV67" t="n">
        <v>13152.5</v>
      </c>
    </row>
    <row r="68">
      <c r="A68" t="inlineStr">
        <is>
          <t>Dussumieria</t>
        </is>
      </c>
      <c r="B68" t="inlineStr">
        <is>
          <t>Rainbow sardines</t>
        </is>
      </c>
      <c r="C68" t="inlineStr">
        <is>
          <t>Small pelagics (&lt;30 cm)</t>
        </is>
      </c>
      <c r="D68" t="inlineStr">
        <is>
          <t>Herring-likes</t>
        </is>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61363.49</v>
      </c>
      <c r="BO68" t="n">
        <v>58484.789</v>
      </c>
      <c r="BP68" t="n">
        <v>64738.569</v>
      </c>
      <c r="BQ68" t="n">
        <v>54307.895</v>
      </c>
      <c r="BR68" t="n">
        <v>70811.287</v>
      </c>
      <c r="BS68" t="n">
        <v>70867.228</v>
      </c>
      <c r="BT68" t="n">
        <v>52206.475</v>
      </c>
      <c r="BU68" t="n">
        <v>39882.997</v>
      </c>
      <c r="BV68" t="n">
        <v>44130.818</v>
      </c>
    </row>
    <row r="69">
      <c r="A69" t="inlineStr">
        <is>
          <t>Scombridae</t>
        </is>
      </c>
      <c r="B69" t="inlineStr">
        <is>
          <t>Mackerels, tunas, bonitos</t>
        </is>
      </c>
      <c r="C69" t="inlineStr">
        <is>
          <t>Medium pelagics (30 - 89 cm)</t>
        </is>
      </c>
      <c r="D69" t="inlineStr">
        <is>
          <t>Perch-likes</t>
        </is>
      </c>
      <c r="E69" t="n">
        <v>1605.056</v>
      </c>
      <c r="F69" t="n">
        <v>1605.325</v>
      </c>
      <c r="G69" t="n">
        <v>1606.91</v>
      </c>
      <c r="H69" t="n">
        <v>1628.111</v>
      </c>
      <c r="I69" t="n">
        <v>1587.348</v>
      </c>
      <c r="J69" t="n">
        <v>1717.597</v>
      </c>
      <c r="K69" t="n">
        <v>1763.77</v>
      </c>
      <c r="L69" t="n">
        <v>1693.579</v>
      </c>
      <c r="M69" t="n">
        <v>3181.915</v>
      </c>
      <c r="N69" t="n">
        <v>1606.868</v>
      </c>
      <c r="O69" t="n">
        <v>1566.398</v>
      </c>
      <c r="P69" t="n">
        <v>4612.258</v>
      </c>
      <c r="Q69" t="n">
        <v>5566.864</v>
      </c>
      <c r="R69" t="n">
        <v>5486.854</v>
      </c>
      <c r="S69" t="n">
        <v>3104.795</v>
      </c>
      <c r="T69" t="n">
        <v>2826.489</v>
      </c>
      <c r="U69" t="n">
        <v>3038.661</v>
      </c>
      <c r="V69" t="n">
        <v>3374.294</v>
      </c>
      <c r="W69" t="n">
        <v>5764.352</v>
      </c>
      <c r="X69" t="n">
        <v>6534.808</v>
      </c>
      <c r="Y69" t="n">
        <v>5884.411</v>
      </c>
      <c r="Z69" t="n">
        <v>7614.245</v>
      </c>
      <c r="AA69" t="n">
        <v>8158.497</v>
      </c>
      <c r="AB69" t="n">
        <v>8022.397</v>
      </c>
      <c r="AC69" t="n">
        <v>10316.1</v>
      </c>
      <c r="AD69" t="n">
        <v>7441.505</v>
      </c>
      <c r="AE69" t="n">
        <v>8912.999</v>
      </c>
      <c r="AF69" t="n">
        <v>10311.112</v>
      </c>
      <c r="AG69" t="n">
        <v>9388.129000000001</v>
      </c>
      <c r="AH69" t="n">
        <v>7748.963</v>
      </c>
      <c r="AI69" t="n">
        <v>7322.148</v>
      </c>
      <c r="AJ69" t="n">
        <v>8022.927</v>
      </c>
      <c r="AK69" t="n">
        <v>7183.317</v>
      </c>
      <c r="AL69" t="n">
        <v>6488.293</v>
      </c>
      <c r="AM69" t="n">
        <v>7998.4</v>
      </c>
      <c r="AN69" t="n">
        <v>9641.316000000001</v>
      </c>
      <c r="AO69" t="n">
        <v>6517.146</v>
      </c>
      <c r="AP69" t="n">
        <v>5195.418</v>
      </c>
      <c r="AQ69" t="n">
        <v>3244.925</v>
      </c>
      <c r="AR69" t="n">
        <v>5850.584</v>
      </c>
      <c r="AS69" t="n">
        <v>5497.43</v>
      </c>
      <c r="AT69" t="n">
        <v>4617.393</v>
      </c>
      <c r="AU69" t="n">
        <v>4582.731</v>
      </c>
      <c r="AV69" t="n">
        <v>3598.794</v>
      </c>
      <c r="AW69" t="n">
        <v>5300.32</v>
      </c>
      <c r="AX69" t="n">
        <v>11862.239</v>
      </c>
      <c r="AY69" t="n">
        <v>8994.18</v>
      </c>
      <c r="AZ69" t="n">
        <v>8345.266</v>
      </c>
      <c r="BA69" t="n">
        <v>7236.746</v>
      </c>
      <c r="BB69" t="n">
        <v>8020.447</v>
      </c>
      <c r="BC69" t="n">
        <v>11165.179</v>
      </c>
      <c r="BD69" t="n">
        <v>4939.448</v>
      </c>
      <c r="BE69" t="n">
        <v>4523.199</v>
      </c>
      <c r="BF69" t="n">
        <v>16925.636</v>
      </c>
      <c r="BG69" t="n">
        <v>16905.11</v>
      </c>
      <c r="BH69" t="n">
        <v>8915.392</v>
      </c>
      <c r="BI69" t="n">
        <v>18017.057</v>
      </c>
      <c r="BJ69" t="n">
        <v>17551.483</v>
      </c>
      <c r="BK69" t="n">
        <v>12801.636</v>
      </c>
      <c r="BL69" t="n">
        <v>10692.597</v>
      </c>
      <c r="BM69" t="n">
        <v>12139.636</v>
      </c>
      <c r="BN69" t="n">
        <v>10621.582</v>
      </c>
      <c r="BO69" t="n">
        <v>10176.131</v>
      </c>
      <c r="BP69" t="n">
        <v>10351.353</v>
      </c>
      <c r="BQ69" t="n">
        <v>10861.449</v>
      </c>
      <c r="BR69" t="n">
        <v>11276.333</v>
      </c>
      <c r="BS69" t="n">
        <v>11789.87</v>
      </c>
      <c r="BT69" t="n">
        <v>13305.661</v>
      </c>
      <c r="BU69" t="n">
        <v>12622.586</v>
      </c>
      <c r="BV69" t="n">
        <v>8979.284</v>
      </c>
    </row>
    <row r="70">
      <c r="A70" t="inlineStr">
        <is>
          <t>Paralichthyidae</t>
        </is>
      </c>
      <c r="B70" t="inlineStr">
        <is>
          <t>Largetooth flounders</t>
        </is>
      </c>
      <c r="C70" t="inlineStr">
        <is>
          <t>Small to medium flatfishes (&lt;90 cm)</t>
        </is>
      </c>
      <c r="D70" t="inlineStr">
        <is>
          <t>Flatfishes</t>
        </is>
      </c>
      <c r="E70" t="n">
        <v>7460.72</v>
      </c>
      <c r="F70" t="n">
        <v>8325.112999999999</v>
      </c>
      <c r="G70" t="n">
        <v>8651.459000000001</v>
      </c>
      <c r="H70" t="n">
        <v>8757.897999999999</v>
      </c>
      <c r="I70" t="n">
        <v>9841.124</v>
      </c>
      <c r="J70" t="n">
        <v>8431.173000000001</v>
      </c>
      <c r="K70" t="n">
        <v>7640.422</v>
      </c>
      <c r="L70" t="n">
        <v>8057.823</v>
      </c>
      <c r="M70" t="n">
        <v>6423.443</v>
      </c>
      <c r="N70" t="n">
        <v>7253.66</v>
      </c>
      <c r="O70" t="n">
        <v>7979.065</v>
      </c>
      <c r="P70" t="n">
        <v>6989.773</v>
      </c>
      <c r="Q70" t="n">
        <v>6765.53</v>
      </c>
      <c r="R70" t="n">
        <v>6178.413</v>
      </c>
      <c r="S70" t="n">
        <v>6144.153</v>
      </c>
      <c r="T70" t="n">
        <v>6470.591</v>
      </c>
      <c r="U70" t="n">
        <v>6837.576</v>
      </c>
      <c r="V70" t="n">
        <v>8155.959</v>
      </c>
      <c r="W70" t="n">
        <v>7530.474</v>
      </c>
      <c r="X70" t="n">
        <v>7317.989</v>
      </c>
      <c r="Y70" t="n">
        <v>7504.792</v>
      </c>
      <c r="Z70" t="n">
        <v>8813.043</v>
      </c>
      <c r="AA70" t="n">
        <v>9928.657999999999</v>
      </c>
      <c r="AB70" t="n">
        <v>9864.187</v>
      </c>
      <c r="AC70" t="n">
        <v>9165.200999999999</v>
      </c>
      <c r="AD70" t="n">
        <v>8490.75</v>
      </c>
      <c r="AE70" t="n">
        <v>8268.645</v>
      </c>
      <c r="AF70" t="n">
        <v>8749.567999999999</v>
      </c>
      <c r="AG70" t="n">
        <v>8473.072</v>
      </c>
      <c r="AH70" t="n">
        <v>8504.281000000001</v>
      </c>
      <c r="AI70" t="n">
        <v>8608.585999999999</v>
      </c>
      <c r="AJ70" t="n">
        <v>8956.422</v>
      </c>
      <c r="AK70" t="n">
        <v>9005.819</v>
      </c>
      <c r="AL70" t="n">
        <v>9039.011</v>
      </c>
      <c r="AM70" t="n">
        <v>9064.999</v>
      </c>
      <c r="AN70" t="n">
        <v>8992.333000000001</v>
      </c>
      <c r="AO70" t="n">
        <v>9052.228999999999</v>
      </c>
      <c r="AP70" t="n">
        <v>9255.117</v>
      </c>
      <c r="AQ70" t="n">
        <v>9266.538</v>
      </c>
      <c r="AR70" t="n">
        <v>9479.026</v>
      </c>
      <c r="AS70" t="n">
        <v>9278.691000000001</v>
      </c>
      <c r="AT70" t="n">
        <v>9069.755999999999</v>
      </c>
      <c r="AU70" t="n">
        <v>8939.237999999999</v>
      </c>
      <c r="AV70" t="n">
        <v>8818.022000000001</v>
      </c>
      <c r="AW70" t="n">
        <v>8698.159</v>
      </c>
      <c r="AX70" t="n">
        <v>8569.032999999999</v>
      </c>
      <c r="AY70" t="n">
        <v>8511.007</v>
      </c>
      <c r="AZ70" t="n">
        <v>8399.456</v>
      </c>
      <c r="BA70" t="n">
        <v>8332.101000000001</v>
      </c>
      <c r="BB70" t="n">
        <v>8222.674999999999</v>
      </c>
      <c r="BC70" t="n">
        <v>8145.561</v>
      </c>
      <c r="BD70" t="n">
        <v>8070.356</v>
      </c>
      <c r="BE70" t="n">
        <v>7992.868</v>
      </c>
      <c r="BF70" t="n">
        <v>7913.012</v>
      </c>
      <c r="BG70" t="n">
        <v>7833.068</v>
      </c>
      <c r="BH70" t="n">
        <v>4035.392</v>
      </c>
      <c r="BI70" t="n">
        <v>2646.155</v>
      </c>
      <c r="BJ70" t="n">
        <v>2481.688</v>
      </c>
      <c r="BK70" t="n">
        <v>2581.689</v>
      </c>
      <c r="BL70" t="n">
        <v>2668.002</v>
      </c>
      <c r="BM70" t="n">
        <v>2728.433</v>
      </c>
      <c r="BN70" t="n">
        <v>2802.977</v>
      </c>
      <c r="BO70" t="n">
        <v>2878.665</v>
      </c>
      <c r="BP70" t="n">
        <v>2954.354</v>
      </c>
      <c r="BQ70" t="n">
        <v>3030.042</v>
      </c>
      <c r="BR70" t="n">
        <v>1848.857</v>
      </c>
      <c r="BS70" t="n">
        <v>1924.51</v>
      </c>
      <c r="BT70" t="n">
        <v>2000.158</v>
      </c>
      <c r="BU70" t="n">
        <v>2559.144</v>
      </c>
      <c r="BV70" t="n">
        <v>2427.762</v>
      </c>
    </row>
    <row r="71">
      <c r="A71" t="inlineStr">
        <is>
          <t>Elasmobranchii</t>
        </is>
      </c>
      <c r="B71" t="inlineStr">
        <is>
          <t>Sharks, rays, skates</t>
        </is>
      </c>
      <c r="C71" t="inlineStr">
        <is>
          <t>Large sharks (&gt;=90 cm)</t>
        </is>
      </c>
      <c r="D71" t="inlineStr">
        <is>
          <t>Sharks &amp; rays</t>
        </is>
      </c>
      <c r="E71" t="n">
        <v>5550.904</v>
      </c>
      <c r="F71" t="n">
        <v>8566.397999999999</v>
      </c>
      <c r="G71" t="n">
        <v>10556.466</v>
      </c>
      <c r="H71" t="n">
        <v>10655.21</v>
      </c>
      <c r="I71" t="n">
        <v>8699.572</v>
      </c>
      <c r="J71" t="n">
        <v>8248.888999999999</v>
      </c>
      <c r="K71" t="n">
        <v>10488.919</v>
      </c>
      <c r="L71" t="n">
        <v>9863.769</v>
      </c>
      <c r="M71" t="n">
        <v>9394.698</v>
      </c>
      <c r="N71" t="n">
        <v>8494.442999999999</v>
      </c>
      <c r="O71" t="n">
        <v>8132.465</v>
      </c>
      <c r="P71" t="n">
        <v>7040.383</v>
      </c>
      <c r="Q71" t="n">
        <v>7546.81</v>
      </c>
      <c r="R71" t="n">
        <v>5911.299</v>
      </c>
      <c r="S71" t="n">
        <v>5811.855</v>
      </c>
      <c r="T71" t="n">
        <v>7346.913</v>
      </c>
      <c r="U71" t="n">
        <v>6539.875</v>
      </c>
      <c r="V71" t="n">
        <v>7323.756</v>
      </c>
      <c r="W71" t="n">
        <v>9977.415999999999</v>
      </c>
      <c r="X71" t="n">
        <v>10949.867</v>
      </c>
      <c r="Y71" t="n">
        <v>7691.39</v>
      </c>
      <c r="Z71" t="n">
        <v>9460.731</v>
      </c>
      <c r="AA71" t="n">
        <v>8667.267</v>
      </c>
      <c r="AB71" t="n">
        <v>7825.892</v>
      </c>
      <c r="AC71" t="n">
        <v>11105.612</v>
      </c>
      <c r="AD71" t="n">
        <v>14341.001</v>
      </c>
      <c r="AE71" t="n">
        <v>14543.972</v>
      </c>
      <c r="AF71" t="n">
        <v>11261.872</v>
      </c>
      <c r="AG71" t="n">
        <v>9379.444</v>
      </c>
      <c r="AH71" t="n">
        <v>7471.526</v>
      </c>
      <c r="AI71" t="n">
        <v>8120.961</v>
      </c>
      <c r="AJ71" t="n">
        <v>7671.103</v>
      </c>
      <c r="AK71" t="n">
        <v>9790.735000000001</v>
      </c>
      <c r="AL71" t="n">
        <v>9656.234</v>
      </c>
      <c r="AM71" t="n">
        <v>7784.182</v>
      </c>
      <c r="AN71" t="n">
        <v>9319.133</v>
      </c>
      <c r="AO71" t="n">
        <v>7648.541</v>
      </c>
      <c r="AP71" t="n">
        <v>7588.471</v>
      </c>
      <c r="AQ71" t="n">
        <v>5836.838</v>
      </c>
      <c r="AR71" t="n">
        <v>5198.039</v>
      </c>
      <c r="AS71" t="n">
        <v>7242.851</v>
      </c>
      <c r="AT71" t="n">
        <v>7078.498</v>
      </c>
      <c r="AU71" t="n">
        <v>9709.754999999999</v>
      </c>
      <c r="AV71" t="n">
        <v>9818.469999999999</v>
      </c>
      <c r="AW71" t="n">
        <v>8860.745999999999</v>
      </c>
      <c r="AX71" t="n">
        <v>6439.625</v>
      </c>
      <c r="AY71" t="n">
        <v>9107.199000000001</v>
      </c>
      <c r="AZ71" t="n">
        <v>8033.451</v>
      </c>
      <c r="BA71" t="n">
        <v>5000.835</v>
      </c>
      <c r="BB71" t="n">
        <v>9113.246999999999</v>
      </c>
      <c r="BC71" t="n">
        <v>6620.942</v>
      </c>
      <c r="BD71" t="n">
        <v>2517.414</v>
      </c>
      <c r="BE71" t="n">
        <v>2730.782</v>
      </c>
      <c r="BF71" t="n">
        <v>2144.521</v>
      </c>
      <c r="BG71" t="n">
        <v>6124.941</v>
      </c>
      <c r="BH71" t="n">
        <v>4735.299</v>
      </c>
      <c r="BI71" t="n">
        <v>4953.019</v>
      </c>
      <c r="BJ71" t="n">
        <v>4398.442</v>
      </c>
      <c r="BK71" t="n">
        <v>3820.129</v>
      </c>
      <c r="BL71" t="n">
        <v>3920.512</v>
      </c>
      <c r="BM71" t="n">
        <v>1986.512</v>
      </c>
      <c r="BN71" t="n">
        <v>4101.033</v>
      </c>
      <c r="BO71" t="n">
        <v>3144.311</v>
      </c>
      <c r="BP71" t="n">
        <v>2182.364</v>
      </c>
      <c r="BQ71" t="n">
        <v>2287.558</v>
      </c>
      <c r="BR71" t="n">
        <v>1899.391</v>
      </c>
      <c r="BS71" t="n">
        <v>2446.893</v>
      </c>
      <c r="BT71" t="n">
        <v>2440.05</v>
      </c>
      <c r="BU71" t="n">
        <v>1863.63</v>
      </c>
      <c r="BV71" t="n">
        <v>2627.962</v>
      </c>
    </row>
    <row r="72">
      <c r="A72" t="inlineStr">
        <is>
          <t>Konosirus punctatus</t>
        </is>
      </c>
      <c r="B72" t="inlineStr">
        <is>
          <t>Dotted gizzard shad</t>
        </is>
      </c>
      <c r="C72" t="inlineStr">
        <is>
          <t>Small pelagics (&lt;30 cm)</t>
        </is>
      </c>
      <c r="D72" t="inlineStr">
        <is>
          <t>Herring-likes</t>
        </is>
      </c>
      <c r="E72" t="n">
        <v>3783.64</v>
      </c>
      <c r="F72" t="n">
        <v>3783.64</v>
      </c>
      <c r="G72" t="n">
        <v>3783.64</v>
      </c>
      <c r="H72" t="n">
        <v>3686.808</v>
      </c>
      <c r="I72" t="n">
        <v>3686.808</v>
      </c>
      <c r="J72" t="n">
        <v>3686.808</v>
      </c>
      <c r="K72" t="n">
        <v>3598.376</v>
      </c>
      <c r="L72" t="n">
        <v>3741.185</v>
      </c>
      <c r="M72" t="n">
        <v>4301.269</v>
      </c>
      <c r="N72" t="n">
        <v>4338.118</v>
      </c>
      <c r="O72" t="n">
        <v>5527.966</v>
      </c>
      <c r="P72" t="n">
        <v>5863.667</v>
      </c>
      <c r="Q72" t="n">
        <v>5878.014</v>
      </c>
      <c r="R72" t="n">
        <v>6325.451</v>
      </c>
      <c r="S72" t="n">
        <v>6944.746</v>
      </c>
      <c r="T72" t="n">
        <v>7369.079</v>
      </c>
      <c r="U72" t="n">
        <v>8510.896000000001</v>
      </c>
      <c r="V72" t="n">
        <v>10313.179</v>
      </c>
      <c r="W72" t="n">
        <v>12121.121</v>
      </c>
      <c r="X72" t="n">
        <v>11329.724</v>
      </c>
      <c r="Y72" t="n">
        <v>10848.33</v>
      </c>
      <c r="Z72" t="n">
        <v>11568.121</v>
      </c>
      <c r="AA72" t="n">
        <v>12083.852</v>
      </c>
      <c r="AB72" t="n">
        <v>13214.8</v>
      </c>
      <c r="AC72" t="n">
        <v>12680.756</v>
      </c>
      <c r="AD72" t="n">
        <v>12547.601</v>
      </c>
      <c r="AE72" t="n">
        <v>13444.684</v>
      </c>
      <c r="AF72" t="n">
        <v>13592.156</v>
      </c>
      <c r="AG72" t="n">
        <v>12918.626</v>
      </c>
      <c r="AH72" t="n">
        <v>11946.516</v>
      </c>
      <c r="AI72" t="n">
        <v>12146.527</v>
      </c>
      <c r="AJ72" t="n">
        <v>12239.949</v>
      </c>
      <c r="AK72" t="n">
        <v>11689.377</v>
      </c>
      <c r="AL72" t="n">
        <v>11188.491</v>
      </c>
      <c r="AM72" t="n">
        <v>11417.677</v>
      </c>
      <c r="AN72" t="n">
        <v>11318.109</v>
      </c>
      <c r="AO72" t="n">
        <v>12187.596</v>
      </c>
      <c r="AP72" t="n">
        <v>12242.729</v>
      </c>
      <c r="AQ72" t="n">
        <v>13074.61</v>
      </c>
      <c r="AR72" t="n">
        <v>11081.634</v>
      </c>
      <c r="AS72" t="n">
        <v>11045.14</v>
      </c>
      <c r="AT72" t="n">
        <v>10830.086</v>
      </c>
      <c r="AU72" t="n">
        <v>10471.027</v>
      </c>
      <c r="AV72" t="n">
        <v>8039.083</v>
      </c>
      <c r="AW72" t="n">
        <v>6606.517</v>
      </c>
      <c r="AX72" t="n">
        <v>7198.118</v>
      </c>
      <c r="AY72" t="n">
        <v>5620.832</v>
      </c>
      <c r="AZ72" t="n">
        <v>4319.65</v>
      </c>
      <c r="BA72" t="n">
        <v>6375.847</v>
      </c>
      <c r="BB72" t="n">
        <v>5449.529</v>
      </c>
      <c r="BC72" t="n">
        <v>3653.08</v>
      </c>
      <c r="BD72" t="n">
        <v>5226.674</v>
      </c>
      <c r="BE72" t="n">
        <v>4083.219</v>
      </c>
      <c r="BF72" t="n">
        <v>3194.349</v>
      </c>
      <c r="BG72" t="n">
        <v>4556.62</v>
      </c>
      <c r="BH72" t="n">
        <v>3683.818</v>
      </c>
      <c r="BI72" t="n">
        <v>2631.875</v>
      </c>
      <c r="BJ72" t="n">
        <v>3980.885</v>
      </c>
      <c r="BK72" t="n">
        <v>2556.336</v>
      </c>
      <c r="BL72" t="n">
        <v>2283.281</v>
      </c>
      <c r="BM72" t="n">
        <v>2231.877</v>
      </c>
      <c r="BN72" t="n">
        <v>2051.863</v>
      </c>
      <c r="BO72" t="n">
        <v>2025.589</v>
      </c>
      <c r="BP72" t="n">
        <v>1869.425</v>
      </c>
      <c r="BQ72" t="n">
        <v>1759.698</v>
      </c>
      <c r="BR72" t="n">
        <v>1366.951</v>
      </c>
      <c r="BS72" t="n">
        <v>1445.024</v>
      </c>
      <c r="BT72" t="n">
        <v>1824.833</v>
      </c>
      <c r="BU72" t="n">
        <v>1657.971</v>
      </c>
      <c r="BV72" t="n">
        <v>1649.468</v>
      </c>
    </row>
    <row r="73">
      <c r="A73" t="inlineStr">
        <is>
          <t>Auxis</t>
        </is>
      </c>
      <c r="B73" t="inlineStr">
        <is>
          <t>Bullet and frigate tunas</t>
        </is>
      </c>
      <c r="C73" t="inlineStr">
        <is>
          <t>Medium pelagics (30 - 89 cm)</t>
        </is>
      </c>
      <c r="D73" t="inlineStr">
        <is>
          <t>Tuna &amp; billfishes</t>
        </is>
      </c>
      <c r="E73" t="n">
        <v>7362.462</v>
      </c>
      <c r="F73" t="n">
        <v>9876.278</v>
      </c>
      <c r="G73" t="n">
        <v>14156.796</v>
      </c>
      <c r="H73" t="n">
        <v>15730.804</v>
      </c>
      <c r="I73" t="n">
        <v>20068.621</v>
      </c>
      <c r="J73" t="n">
        <v>26892.269</v>
      </c>
      <c r="K73" t="n">
        <v>22778.497</v>
      </c>
      <c r="L73" t="n">
        <v>22370.695</v>
      </c>
      <c r="M73" t="n">
        <v>21061.417</v>
      </c>
      <c r="N73" t="n">
        <v>21736.413</v>
      </c>
      <c r="O73" t="n">
        <v>15240.976</v>
      </c>
      <c r="P73" t="n">
        <v>2633.233</v>
      </c>
      <c r="Q73" t="n">
        <v>2777.772</v>
      </c>
      <c r="R73" t="n">
        <v>4315.503</v>
      </c>
      <c r="S73" t="n">
        <v>3329.487</v>
      </c>
      <c r="T73" t="n">
        <v>3206.838</v>
      </c>
      <c r="U73" t="n">
        <v>3506.771</v>
      </c>
      <c r="V73" t="n">
        <v>3122.187</v>
      </c>
      <c r="W73" t="n">
        <v>2898.509</v>
      </c>
      <c r="X73" t="n">
        <v>3231.65</v>
      </c>
      <c r="Y73" t="n">
        <v>2416.641</v>
      </c>
      <c r="Z73" t="n">
        <v>2936.639</v>
      </c>
      <c r="AA73" t="n">
        <v>3151.03</v>
      </c>
      <c r="AB73" t="n">
        <v>2977.879</v>
      </c>
      <c r="AC73" t="n">
        <v>2911.146</v>
      </c>
      <c r="AD73" t="n">
        <v>1840.664</v>
      </c>
      <c r="AE73" t="n">
        <v>3151.019</v>
      </c>
      <c r="AF73" t="n">
        <v>24572.256</v>
      </c>
      <c r="AG73" t="n">
        <v>2007.254</v>
      </c>
      <c r="AH73" t="n">
        <v>3481.509</v>
      </c>
      <c r="AI73" t="n">
        <v>4424.825</v>
      </c>
      <c r="AJ73" t="n">
        <v>3148.842</v>
      </c>
      <c r="AK73" t="n">
        <v>1911.667</v>
      </c>
      <c r="AL73" t="n">
        <v>1435.639</v>
      </c>
      <c r="AM73" t="n">
        <v>1717.586</v>
      </c>
      <c r="AN73" t="n">
        <v>1528.288</v>
      </c>
      <c r="AO73" t="n">
        <v>1338.115</v>
      </c>
      <c r="AP73" t="n">
        <v>1318.354</v>
      </c>
      <c r="AQ73" t="n">
        <v>1461.982</v>
      </c>
      <c r="AR73" t="n">
        <v>4914.65</v>
      </c>
      <c r="AS73" t="n">
        <v>4031.228</v>
      </c>
      <c r="AT73" t="n">
        <v>3235.483</v>
      </c>
      <c r="AU73" t="n">
        <v>3694.88</v>
      </c>
      <c r="AV73" t="n">
        <v>4028.368</v>
      </c>
      <c r="AW73" t="n">
        <v>4538.055</v>
      </c>
      <c r="AX73" t="n">
        <v>5702.123</v>
      </c>
      <c r="AY73" t="n">
        <v>5973.781</v>
      </c>
      <c r="AZ73" t="n">
        <v>8634.139999999999</v>
      </c>
      <c r="BA73" t="n">
        <v>7880.07</v>
      </c>
      <c r="BB73" t="n">
        <v>8577.254000000001</v>
      </c>
      <c r="BC73" t="n">
        <v>5551.517</v>
      </c>
      <c r="BD73" t="n">
        <v>5320.145</v>
      </c>
      <c r="BE73" t="n">
        <v>5005.986</v>
      </c>
      <c r="BF73" t="n">
        <v>5722.714</v>
      </c>
      <c r="BG73" t="n">
        <v>7671.984</v>
      </c>
      <c r="BH73" t="n">
        <v>7711.302</v>
      </c>
      <c r="BI73" t="n">
        <v>6696.892</v>
      </c>
      <c r="BJ73" t="n">
        <v>6005.113</v>
      </c>
      <c r="BK73" t="n">
        <v>6491.009</v>
      </c>
      <c r="BL73" t="n">
        <v>9360.993</v>
      </c>
      <c r="BM73" t="n">
        <v>7397.486</v>
      </c>
      <c r="BN73" t="n">
        <v>4288.985</v>
      </c>
      <c r="BO73" t="n">
        <v>7373.314</v>
      </c>
      <c r="BP73" t="n">
        <v>2828.08</v>
      </c>
      <c r="BQ73" t="n">
        <v>2650.245</v>
      </c>
      <c r="BR73" t="n">
        <v>2675.546</v>
      </c>
      <c r="BS73" t="n">
        <v>2883.196</v>
      </c>
      <c r="BT73" t="n">
        <v>3326.055</v>
      </c>
      <c r="BU73" t="n">
        <v>1829.285</v>
      </c>
      <c r="BV73" t="n">
        <v>2370.214</v>
      </c>
    </row>
    <row r="74">
      <c r="A74" t="inlineStr">
        <is>
          <t>Tetraodontidae</t>
        </is>
      </c>
      <c r="B74" t="inlineStr">
        <is>
          <t>Puffers, tobies</t>
        </is>
      </c>
      <c r="C74" t="inlineStr">
        <is>
          <t>Large reef assoc. fish (&gt;=90 cm)</t>
        </is>
      </c>
      <c r="D74" t="inlineStr">
        <is>
          <t>Other fishes &amp; inverts</t>
        </is>
      </c>
      <c r="E74" t="n">
        <v>2463.057</v>
      </c>
      <c r="F74" t="n">
        <v>2480.933</v>
      </c>
      <c r="G74" t="n">
        <v>2679.74</v>
      </c>
      <c r="H74" t="n">
        <v>2663.496</v>
      </c>
      <c r="I74" t="n">
        <v>2782.427</v>
      </c>
      <c r="J74" t="n">
        <v>2975.677</v>
      </c>
      <c r="K74" t="n">
        <v>2705.011</v>
      </c>
      <c r="L74" t="n">
        <v>2975.637</v>
      </c>
      <c r="M74" t="n">
        <v>2904.467</v>
      </c>
      <c r="N74" t="n">
        <v>2938.018</v>
      </c>
      <c r="O74" t="n">
        <v>4443.403</v>
      </c>
      <c r="P74" t="n">
        <v>4188.679</v>
      </c>
      <c r="Q74" t="n">
        <v>4475.989</v>
      </c>
      <c r="R74" t="n">
        <v>4399.536</v>
      </c>
      <c r="S74" t="n">
        <v>4326.317</v>
      </c>
      <c r="T74" t="n">
        <v>8310.378000000001</v>
      </c>
      <c r="U74" t="n">
        <v>5803.013</v>
      </c>
      <c r="V74" t="n">
        <v>7491.121</v>
      </c>
      <c r="W74" t="n">
        <v>8329.887000000001</v>
      </c>
      <c r="X74" t="n">
        <v>8737.126</v>
      </c>
      <c r="Y74" t="n">
        <v>6733.353</v>
      </c>
      <c r="Z74" t="n">
        <v>6979.095</v>
      </c>
      <c r="AA74" t="n">
        <v>6850.677</v>
      </c>
      <c r="AB74" t="n">
        <v>11397.821</v>
      </c>
      <c r="AC74" t="n">
        <v>9366.562</v>
      </c>
      <c r="AD74" t="n">
        <v>8937.690000000001</v>
      </c>
      <c r="AE74" t="n">
        <v>9576.547</v>
      </c>
      <c r="AF74" t="n">
        <v>10687.958</v>
      </c>
      <c r="AG74" t="n">
        <v>9613.278</v>
      </c>
      <c r="AH74" t="n">
        <v>8757.509</v>
      </c>
      <c r="AI74" t="n">
        <v>8491.813</v>
      </c>
      <c r="AJ74" t="n">
        <v>8028.922</v>
      </c>
      <c r="AK74" t="n">
        <v>10904.283</v>
      </c>
      <c r="AL74" t="n">
        <v>7876.629</v>
      </c>
      <c r="AM74" t="n">
        <v>8442.912</v>
      </c>
      <c r="AN74" t="n">
        <v>8273.412</v>
      </c>
      <c r="AO74" t="n">
        <v>8762.771000000001</v>
      </c>
      <c r="AP74" t="n">
        <v>9059.534</v>
      </c>
      <c r="AQ74" t="n">
        <v>9164.046</v>
      </c>
      <c r="AR74" t="n">
        <v>8917.99</v>
      </c>
      <c r="AS74" t="n">
        <v>10284.09</v>
      </c>
      <c r="AT74" t="n">
        <v>9450.691000000001</v>
      </c>
      <c r="AU74" t="n">
        <v>14005.513</v>
      </c>
      <c r="AV74" t="n">
        <v>8850.044</v>
      </c>
      <c r="AW74" t="n">
        <v>7493.677</v>
      </c>
      <c r="AX74" t="n">
        <v>12323.488</v>
      </c>
      <c r="AY74" t="n">
        <v>13553.148</v>
      </c>
      <c r="AZ74" t="n">
        <v>10299.073</v>
      </c>
      <c r="BA74" t="n">
        <v>7588.037</v>
      </c>
      <c r="BB74" t="n">
        <v>7912.942</v>
      </c>
      <c r="BC74" t="n">
        <v>6543.122</v>
      </c>
      <c r="BD74" t="n">
        <v>6099.182</v>
      </c>
      <c r="BE74" t="n">
        <v>5501.708</v>
      </c>
      <c r="BF74" t="n">
        <v>3722.883</v>
      </c>
      <c r="BG74" t="n">
        <v>4764.239</v>
      </c>
      <c r="BH74" t="n">
        <v>3522.121</v>
      </c>
      <c r="BI74" t="n">
        <v>4102.181</v>
      </c>
      <c r="BJ74" t="n">
        <v>3224.719</v>
      </c>
      <c r="BK74" t="n">
        <v>3501.193</v>
      </c>
      <c r="BL74" t="n">
        <v>4586.285</v>
      </c>
      <c r="BM74" t="n">
        <v>4092.074</v>
      </c>
      <c r="BN74" t="n">
        <v>4398.497</v>
      </c>
      <c r="BO74" t="n">
        <v>3803.03</v>
      </c>
      <c r="BP74" t="n">
        <v>4361.131</v>
      </c>
      <c r="BQ74" t="n">
        <v>4845.793</v>
      </c>
      <c r="BR74" t="n">
        <v>4610.403</v>
      </c>
      <c r="BS74" t="n">
        <v>5207.175</v>
      </c>
      <c r="BT74" t="n">
        <v>4597.462</v>
      </c>
      <c r="BU74" t="n">
        <v>4813.21</v>
      </c>
      <c r="BV74" t="n">
        <v>4849.162</v>
      </c>
    </row>
    <row r="75">
      <c r="A75" t="inlineStr">
        <is>
          <t>Pampus argenteus</t>
        </is>
      </c>
      <c r="B75" t="inlineStr">
        <is>
          <t>Silver pomfret</t>
        </is>
      </c>
      <c r="C75" t="inlineStr">
        <is>
          <t>Medium benthopelagics (30 - 89 cm)</t>
        </is>
      </c>
      <c r="D75" t="inlineStr">
        <is>
          <t>Perch-likes</t>
        </is>
      </c>
      <c r="E75" t="n">
        <v>493.962</v>
      </c>
      <c r="F75" t="n">
        <v>612.393</v>
      </c>
      <c r="G75" t="n">
        <v>633.058</v>
      </c>
      <c r="H75" t="n">
        <v>580.504</v>
      </c>
      <c r="I75" t="n">
        <v>565.252</v>
      </c>
      <c r="J75" t="n">
        <v>594.928</v>
      </c>
      <c r="K75" t="n">
        <v>981.7619999999999</v>
      </c>
      <c r="L75" t="n">
        <v>908.669</v>
      </c>
      <c r="M75" t="n">
        <v>1487.046</v>
      </c>
      <c r="N75" t="n">
        <v>872.609</v>
      </c>
      <c r="O75" t="n">
        <v>797.0069999999999</v>
      </c>
      <c r="P75" t="n">
        <v>1038.704</v>
      </c>
      <c r="Q75" t="n">
        <v>1014.212</v>
      </c>
      <c r="R75" t="n">
        <v>1070.899</v>
      </c>
      <c r="S75" t="n">
        <v>1207.848</v>
      </c>
      <c r="T75" t="n">
        <v>1283.127</v>
      </c>
      <c r="U75" t="n">
        <v>1248.668</v>
      </c>
      <c r="V75" t="n">
        <v>1522.729</v>
      </c>
      <c r="W75" t="n">
        <v>1630.149</v>
      </c>
      <c r="X75" t="n">
        <v>1810.65</v>
      </c>
      <c r="Y75" t="n">
        <v>2894.344</v>
      </c>
      <c r="Z75" t="n">
        <v>4541.236</v>
      </c>
      <c r="AA75" t="n">
        <v>3778.049</v>
      </c>
      <c r="AB75" t="n">
        <v>8365.459000000001</v>
      </c>
      <c r="AC75" t="n">
        <v>9275.636</v>
      </c>
      <c r="AD75" t="n">
        <v>10219.884</v>
      </c>
      <c r="AE75" t="n">
        <v>13297.984</v>
      </c>
      <c r="AF75" t="n">
        <v>10200.753</v>
      </c>
      <c r="AG75" t="n">
        <v>8512.404</v>
      </c>
      <c r="AH75" t="n">
        <v>5425.662</v>
      </c>
      <c r="AI75" t="n">
        <v>7704.299</v>
      </c>
      <c r="AJ75" t="n">
        <v>12494.803</v>
      </c>
      <c r="AK75" t="n">
        <v>10083.632</v>
      </c>
      <c r="AL75" t="n">
        <v>5212.858</v>
      </c>
      <c r="AM75" t="n">
        <v>8021.873</v>
      </c>
      <c r="AN75" t="n">
        <v>9187.433999999999</v>
      </c>
      <c r="AO75" t="n">
        <v>9937.826999999999</v>
      </c>
      <c r="AP75" t="n">
        <v>6886.531</v>
      </c>
      <c r="AQ75" t="n">
        <v>8724.957</v>
      </c>
      <c r="AR75" t="n">
        <v>27595.465</v>
      </c>
      <c r="AS75" t="n">
        <v>21036.821</v>
      </c>
      <c r="AT75" t="n">
        <v>24807.053</v>
      </c>
      <c r="AU75" t="n">
        <v>28542.828</v>
      </c>
      <c r="AV75" t="n">
        <v>14359.531</v>
      </c>
      <c r="AW75" t="n">
        <v>15964.077</v>
      </c>
      <c r="AX75" t="n">
        <v>21648.913</v>
      </c>
      <c r="AY75" t="n">
        <v>20639.235</v>
      </c>
      <c r="AZ75" t="n">
        <v>8826.172</v>
      </c>
      <c r="BA75" t="n">
        <v>6424.951</v>
      </c>
      <c r="BB75" t="n">
        <v>10290.254</v>
      </c>
      <c r="BC75" t="n">
        <v>6108.556</v>
      </c>
      <c r="BD75" t="n">
        <v>8696.438</v>
      </c>
      <c r="BE75" t="n">
        <v>10144.477</v>
      </c>
      <c r="BF75" t="n">
        <v>6000.6</v>
      </c>
      <c r="BG75" t="n">
        <v>4681.974</v>
      </c>
      <c r="BH75" t="n">
        <v>2655.365</v>
      </c>
      <c r="BI75" t="n">
        <v>2472.834</v>
      </c>
      <c r="BJ75" t="n">
        <v>1812.785</v>
      </c>
      <c r="BK75" t="n">
        <v>1865.241</v>
      </c>
      <c r="BL75" t="n">
        <v>2032.871</v>
      </c>
      <c r="BM75" t="n">
        <v>1776.243</v>
      </c>
      <c r="BN75" t="n">
        <v>1891.076</v>
      </c>
      <c r="BO75" t="n">
        <v>1821.025</v>
      </c>
      <c r="BP75" t="n">
        <v>1686.646</v>
      </c>
      <c r="BQ75" t="n">
        <v>1695.903</v>
      </c>
      <c r="BR75" t="n">
        <v>1600.04</v>
      </c>
      <c r="BS75" t="n">
        <v>1504.643</v>
      </c>
      <c r="BT75" t="n">
        <v>1434.8</v>
      </c>
      <c r="BU75" t="n">
        <v>1328.839</v>
      </c>
      <c r="BV75" t="n">
        <v>1165.286</v>
      </c>
    </row>
    <row r="76">
      <c r="A76" t="inlineStr">
        <is>
          <t>Priacanthus</t>
        </is>
      </c>
      <c r="B76" t="inlineStr">
        <is>
          <t>Bigeyes</t>
        </is>
      </c>
      <c r="C76" t="inlineStr">
        <is>
          <t>Medium reef assoc. fish (30 - 89 cm)</t>
        </is>
      </c>
      <c r="D76" t="inlineStr">
        <is>
          <t>Perch-likes</t>
        </is>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1886.238</v>
      </c>
      <c r="W76" t="n">
        <v>2713.54</v>
      </c>
      <c r="X76" t="n">
        <v>3380.34</v>
      </c>
      <c r="Y76" t="n">
        <v>3720.006</v>
      </c>
      <c r="Z76" t="n">
        <v>2569.496</v>
      </c>
      <c r="AA76" t="n">
        <v>2742.559</v>
      </c>
      <c r="AB76" t="n">
        <v>3666.493</v>
      </c>
      <c r="AC76" t="n">
        <v>4028.023</v>
      </c>
      <c r="AD76" t="n">
        <v>5062.496</v>
      </c>
      <c r="AE76" t="n">
        <v>7741.96</v>
      </c>
      <c r="AF76" t="n">
        <v>5663.578</v>
      </c>
      <c r="AG76" t="n">
        <v>5941.454</v>
      </c>
      <c r="AH76" t="n">
        <v>10427.286</v>
      </c>
      <c r="AI76" t="n">
        <v>12977.557</v>
      </c>
      <c r="AJ76" t="n">
        <v>13913.914</v>
      </c>
      <c r="AK76" t="n">
        <v>14388.273</v>
      </c>
      <c r="AL76" t="n">
        <v>12778.908</v>
      </c>
      <c r="AM76" t="n">
        <v>9977.665999999999</v>
      </c>
      <c r="AN76" t="n">
        <v>9541.605</v>
      </c>
      <c r="AO76" t="n">
        <v>13203.576</v>
      </c>
      <c r="AP76" t="n">
        <v>12140.577</v>
      </c>
      <c r="AQ76" t="n">
        <v>11568.473</v>
      </c>
      <c r="AR76" t="n">
        <v>17297.96</v>
      </c>
      <c r="AS76" t="n">
        <v>20646.723</v>
      </c>
      <c r="AT76" t="n">
        <v>34136.517</v>
      </c>
      <c r="AU76" t="n">
        <v>32989.938</v>
      </c>
      <c r="AV76" t="n">
        <v>9154.147999999999</v>
      </c>
      <c r="AW76" t="n">
        <v>7532.252</v>
      </c>
      <c r="AX76" t="n">
        <v>8695.071</v>
      </c>
      <c r="AY76" t="n">
        <v>7105.631</v>
      </c>
      <c r="AZ76" t="n">
        <v>6542.627</v>
      </c>
      <c r="BA76" t="n">
        <v>5470.649</v>
      </c>
      <c r="BB76" t="n">
        <v>3955.639</v>
      </c>
      <c r="BC76" t="n">
        <v>4746.767</v>
      </c>
      <c r="BD76" t="n">
        <v>5274.185</v>
      </c>
      <c r="BE76" t="n">
        <v>5142.331</v>
      </c>
      <c r="BF76" t="n">
        <v>4746.767</v>
      </c>
      <c r="BG76" t="n">
        <v>5076.403</v>
      </c>
      <c r="BH76" t="n">
        <v>4904.992</v>
      </c>
      <c r="BI76" t="n">
        <v>4680.839</v>
      </c>
      <c r="BJ76" t="n">
        <v>4680.839</v>
      </c>
      <c r="BK76" t="n">
        <v>4667.654</v>
      </c>
      <c r="BL76" t="n">
        <v>4825.879</v>
      </c>
      <c r="BM76" t="n">
        <v>5102.774</v>
      </c>
      <c r="BN76" t="n">
        <v>5184.265</v>
      </c>
      <c r="BO76" t="n">
        <v>4712.712</v>
      </c>
      <c r="BP76" t="n">
        <v>5164.152</v>
      </c>
      <c r="BQ76" t="n">
        <v>4882.155</v>
      </c>
      <c r="BR76" t="n">
        <v>4408.516</v>
      </c>
      <c r="BS76" t="n">
        <v>4335.09</v>
      </c>
      <c r="BT76" t="n">
        <v>3872.927</v>
      </c>
      <c r="BU76" t="n">
        <v>3774.088</v>
      </c>
      <c r="BV76" t="n">
        <v>3732.036</v>
      </c>
    </row>
    <row r="77">
      <c r="A77" t="inlineStr">
        <is>
          <t>Synodontidae</t>
        </is>
      </c>
      <c r="B77" t="inlineStr">
        <is>
          <t>Lizardfishes, sauries</t>
        </is>
      </c>
      <c r="C77" t="inlineStr">
        <is>
          <t>Medium demersals (30 - 89 cm)</t>
        </is>
      </c>
      <c r="D77" t="inlineStr">
        <is>
          <t>Other fishes &amp; inverts</t>
        </is>
      </c>
      <c r="E77" t="n">
        <v>8442.947</v>
      </c>
      <c r="F77" t="n">
        <v>8442.947</v>
      </c>
      <c r="G77" t="n">
        <v>8442.947</v>
      </c>
      <c r="H77" t="n">
        <v>8442.947</v>
      </c>
      <c r="I77" t="n">
        <v>8442.947</v>
      </c>
      <c r="J77" t="n">
        <v>8442.947</v>
      </c>
      <c r="K77" t="n">
        <v>9536.022000000001</v>
      </c>
      <c r="L77" t="n">
        <v>9375.977999999999</v>
      </c>
      <c r="M77" t="n">
        <v>11240.346</v>
      </c>
      <c r="N77" t="n">
        <v>9608.754000000001</v>
      </c>
      <c r="O77" t="n">
        <v>9442.674999999999</v>
      </c>
      <c r="P77" t="n">
        <v>8289.013000000001</v>
      </c>
      <c r="Q77" t="n">
        <v>8668.263000000001</v>
      </c>
      <c r="R77" t="n">
        <v>7394.051</v>
      </c>
      <c r="S77" t="n">
        <v>6962.359</v>
      </c>
      <c r="T77" t="n">
        <v>9489.775</v>
      </c>
      <c r="U77" t="n">
        <v>9450.154</v>
      </c>
      <c r="V77" t="n">
        <v>10059.811</v>
      </c>
      <c r="W77" t="n">
        <v>9853.677</v>
      </c>
      <c r="X77" t="n">
        <v>7517.642</v>
      </c>
      <c r="Y77" t="n">
        <v>7636.6</v>
      </c>
      <c r="Z77" t="n">
        <v>9718.105</v>
      </c>
      <c r="AA77" t="n">
        <v>8467.550999999999</v>
      </c>
      <c r="AB77" t="n">
        <v>10187.579</v>
      </c>
      <c r="AC77" t="n">
        <v>9339.224</v>
      </c>
      <c r="AD77" t="n">
        <v>8988.708000000001</v>
      </c>
      <c r="AE77" t="n">
        <v>8337.59</v>
      </c>
      <c r="AF77" t="n">
        <v>9565.049999999999</v>
      </c>
      <c r="AG77" t="n">
        <v>9019.575999999999</v>
      </c>
      <c r="AH77" t="n">
        <v>9254.545</v>
      </c>
      <c r="AI77" t="n">
        <v>11644.886</v>
      </c>
      <c r="AJ77" t="n">
        <v>10822.011</v>
      </c>
      <c r="AK77" t="n">
        <v>8459.124</v>
      </c>
      <c r="AL77" t="n">
        <v>7008.845</v>
      </c>
      <c r="AM77" t="n">
        <v>6636.924</v>
      </c>
      <c r="AN77" t="n">
        <v>6372.024</v>
      </c>
      <c r="AO77" t="n">
        <v>7654.418</v>
      </c>
      <c r="AP77" t="n">
        <v>7046.369</v>
      </c>
      <c r="AQ77" t="n">
        <v>5821.756</v>
      </c>
      <c r="AR77" t="n">
        <v>5860.49</v>
      </c>
      <c r="AS77" t="n">
        <v>4838.749</v>
      </c>
      <c r="AT77" t="n">
        <v>5131.377</v>
      </c>
      <c r="AU77" t="n">
        <v>4671.716</v>
      </c>
      <c r="AV77" t="n">
        <v>4238.005</v>
      </c>
      <c r="AW77" t="n">
        <v>4163.502</v>
      </c>
      <c r="AX77" t="n">
        <v>4031.194</v>
      </c>
      <c r="AY77" t="n">
        <v>3574.286</v>
      </c>
      <c r="AZ77" t="n">
        <v>3370.749</v>
      </c>
      <c r="BA77" t="n">
        <v>3471.652</v>
      </c>
      <c r="BB77" t="n">
        <v>3373.809</v>
      </c>
      <c r="BC77" t="n">
        <v>3302.745</v>
      </c>
      <c r="BD77" t="n">
        <v>2640.45</v>
      </c>
      <c r="BE77" t="n">
        <v>2442.226</v>
      </c>
      <c r="BF77" t="n">
        <v>2393.378</v>
      </c>
      <c r="BG77" t="n">
        <v>2124.393</v>
      </c>
      <c r="BH77" t="n">
        <v>1839.611</v>
      </c>
      <c r="BI77" t="n">
        <v>1741.126</v>
      </c>
      <c r="BJ77" t="n">
        <v>1228.556</v>
      </c>
      <c r="BK77" t="n">
        <v>1136.281</v>
      </c>
      <c r="BL77" t="n">
        <v>1077.407</v>
      </c>
      <c r="BM77" t="n">
        <v>1069.185</v>
      </c>
      <c r="BN77" t="n">
        <v>952.538</v>
      </c>
      <c r="BO77" t="n">
        <v>941.015</v>
      </c>
      <c r="BP77" t="n">
        <v>849.774</v>
      </c>
      <c r="BQ77" t="n">
        <v>789.574</v>
      </c>
      <c r="BR77" t="n">
        <v>749.861</v>
      </c>
      <c r="BS77" t="n">
        <v>757.79</v>
      </c>
      <c r="BT77" t="n">
        <v>752.228</v>
      </c>
      <c r="BU77" t="n">
        <v>752.228</v>
      </c>
      <c r="BV77" t="n">
        <v>752.228</v>
      </c>
    </row>
    <row r="78">
      <c r="A78" t="inlineStr">
        <is>
          <t>Paralichthys olivaceus</t>
        </is>
      </c>
      <c r="B78" t="inlineStr">
        <is>
          <t>Bastard halibut</t>
        </is>
      </c>
      <c r="C78" t="inlineStr">
        <is>
          <t>Large flatfishes (&gt;=90 cm)</t>
        </is>
      </c>
      <c r="D78" t="inlineStr">
        <is>
          <t>Flatfishes</t>
        </is>
      </c>
      <c r="E78" t="n">
        <v>3692.5</v>
      </c>
      <c r="F78" t="n">
        <v>4143.791</v>
      </c>
      <c r="G78" t="n">
        <v>4814.907</v>
      </c>
      <c r="H78" t="n">
        <v>5061.175</v>
      </c>
      <c r="I78" t="n">
        <v>6342.214</v>
      </c>
      <c r="J78" t="n">
        <v>4987.441</v>
      </c>
      <c r="K78" t="n">
        <v>6895.822</v>
      </c>
      <c r="L78" t="n">
        <v>7351.942</v>
      </c>
      <c r="M78" t="n">
        <v>6686.255</v>
      </c>
      <c r="N78" t="n">
        <v>6646.48</v>
      </c>
      <c r="O78" t="n">
        <v>6822.896</v>
      </c>
      <c r="P78" t="n">
        <v>5876.72</v>
      </c>
      <c r="Q78" t="n">
        <v>4960.82</v>
      </c>
      <c r="R78" t="n">
        <v>5609.952</v>
      </c>
      <c r="S78" t="n">
        <v>5319.885</v>
      </c>
      <c r="T78" t="n">
        <v>4736.174</v>
      </c>
      <c r="U78" t="n">
        <v>5075.27</v>
      </c>
      <c r="V78" t="n">
        <v>6874.469</v>
      </c>
      <c r="W78" t="n">
        <v>6457.607</v>
      </c>
      <c r="X78" t="n">
        <v>5013.566</v>
      </c>
      <c r="Y78" t="n">
        <v>5157.278</v>
      </c>
      <c r="Z78" t="n">
        <v>7456.06</v>
      </c>
      <c r="AA78" t="n">
        <v>9119.772999999999</v>
      </c>
      <c r="AB78" t="n">
        <v>9393.727999999999</v>
      </c>
      <c r="AC78" t="n">
        <v>9276.832</v>
      </c>
      <c r="AD78" t="n">
        <v>7271.969</v>
      </c>
      <c r="AE78" t="n">
        <v>6238.191</v>
      </c>
      <c r="AF78" t="n">
        <v>5931.735</v>
      </c>
      <c r="AG78" t="n">
        <v>5334.587</v>
      </c>
      <c r="AH78" t="n">
        <v>5353.779</v>
      </c>
      <c r="AI78" t="n">
        <v>5612.24</v>
      </c>
      <c r="AJ78" t="n">
        <v>5973.322</v>
      </c>
      <c r="AK78" t="n">
        <v>6182.783</v>
      </c>
      <c r="AL78" t="n">
        <v>6167.405</v>
      </c>
      <c r="AM78" t="n">
        <v>5769.977</v>
      </c>
      <c r="AN78" t="n">
        <v>5543.001</v>
      </c>
      <c r="AO78" t="n">
        <v>5330.697</v>
      </c>
      <c r="AP78" t="n">
        <v>5209.99</v>
      </c>
      <c r="AQ78" t="n">
        <v>4900.012</v>
      </c>
      <c r="AR78" t="n">
        <v>4958.464</v>
      </c>
      <c r="AS78" t="n">
        <v>4380.979</v>
      </c>
      <c r="AT78" t="n">
        <v>4496.661</v>
      </c>
      <c r="AU78" t="n">
        <v>4981.464</v>
      </c>
      <c r="AV78" t="n">
        <v>4676.409</v>
      </c>
      <c r="AW78" t="n">
        <v>4601.088</v>
      </c>
      <c r="AX78" t="n">
        <v>4763.052</v>
      </c>
      <c r="AY78" t="n">
        <v>5873.335</v>
      </c>
      <c r="AZ78" t="n">
        <v>4960.283</v>
      </c>
      <c r="BA78" t="n">
        <v>5374.788</v>
      </c>
      <c r="BB78" t="n">
        <v>4463.358</v>
      </c>
      <c r="BC78" t="n">
        <v>4397.355</v>
      </c>
      <c r="BD78" t="n">
        <v>4201.366</v>
      </c>
      <c r="BE78" t="n">
        <v>4227.834</v>
      </c>
      <c r="BF78" t="n">
        <v>3359.608</v>
      </c>
      <c r="BG78" t="n">
        <v>3172.575</v>
      </c>
      <c r="BH78" t="n">
        <v>3417.82</v>
      </c>
      <c r="BI78" t="n">
        <v>3920.858</v>
      </c>
      <c r="BJ78" t="n">
        <v>4628.282</v>
      </c>
      <c r="BK78" t="n">
        <v>5227.197</v>
      </c>
      <c r="BL78" t="n">
        <v>6314.217</v>
      </c>
      <c r="BM78" t="n">
        <v>7351.847</v>
      </c>
      <c r="BN78" t="n">
        <v>6352.399</v>
      </c>
      <c r="BO78" t="n">
        <v>5973.601</v>
      </c>
      <c r="BP78" t="n">
        <v>5960.219</v>
      </c>
      <c r="BQ78" t="n">
        <v>6583.397</v>
      </c>
      <c r="BR78" t="n">
        <v>5950.492</v>
      </c>
      <c r="BS78" t="n">
        <v>6265.585</v>
      </c>
      <c r="BT78" t="n">
        <v>6335.01</v>
      </c>
      <c r="BU78" t="n">
        <v>6586.198</v>
      </c>
      <c r="BV78" t="n">
        <v>6225.574</v>
      </c>
    </row>
    <row r="79">
      <c r="A79" t="inlineStr">
        <is>
          <t>Coryphaena hippurus</t>
        </is>
      </c>
      <c r="B79" t="inlineStr">
        <is>
          <t>Common dolphinfish</t>
        </is>
      </c>
      <c r="C79" t="inlineStr">
        <is>
          <t>Large pelagics (&gt;=90 cm)</t>
        </is>
      </c>
      <c r="D79" t="inlineStr">
        <is>
          <t>Perch-likes</t>
        </is>
      </c>
      <c r="E79" t="n">
        <v>894.634</v>
      </c>
      <c r="F79" t="n">
        <v>1193.981</v>
      </c>
      <c r="G79" t="n">
        <v>1315.009</v>
      </c>
      <c r="H79" t="n">
        <v>1233.565</v>
      </c>
      <c r="I79" t="n">
        <v>1992.049</v>
      </c>
      <c r="J79" t="n">
        <v>2026.642</v>
      </c>
      <c r="K79" t="n">
        <v>1259.397</v>
      </c>
      <c r="L79" t="n">
        <v>2306.113</v>
      </c>
      <c r="M79" t="n">
        <v>3805.369</v>
      </c>
      <c r="N79" t="n">
        <v>4129.414</v>
      </c>
      <c r="O79" t="n">
        <v>1370.027</v>
      </c>
      <c r="P79" t="n">
        <v>4066.624</v>
      </c>
      <c r="Q79" t="n">
        <v>2311.137</v>
      </c>
      <c r="R79" t="n">
        <v>1850.834</v>
      </c>
      <c r="S79" t="n">
        <v>3935.204</v>
      </c>
      <c r="T79" t="n">
        <v>1844.093</v>
      </c>
      <c r="U79" t="n">
        <v>2585.402</v>
      </c>
      <c r="V79" t="n">
        <v>3319.015</v>
      </c>
      <c r="W79" t="n">
        <v>2062.116</v>
      </c>
      <c r="X79" t="n">
        <v>3503.64</v>
      </c>
      <c r="Y79" t="n">
        <v>1631.004</v>
      </c>
      <c r="Z79" t="n">
        <v>1023.808</v>
      </c>
      <c r="AA79" t="n">
        <v>2270.271</v>
      </c>
      <c r="AB79" t="n">
        <v>4140.49</v>
      </c>
      <c r="AC79" t="n">
        <v>2350.919</v>
      </c>
      <c r="AD79" t="n">
        <v>2383.137</v>
      </c>
      <c r="AE79" t="n">
        <v>3252.512</v>
      </c>
      <c r="AF79" t="n">
        <v>4771.317</v>
      </c>
      <c r="AG79" t="n">
        <v>5474.375</v>
      </c>
      <c r="AH79" t="n">
        <v>3958.783</v>
      </c>
      <c r="AI79" t="n">
        <v>3050.618</v>
      </c>
      <c r="AJ79" t="n">
        <v>3681.067</v>
      </c>
      <c r="AK79" t="n">
        <v>5323.844</v>
      </c>
      <c r="AL79" t="n">
        <v>5592.198</v>
      </c>
      <c r="AM79" t="n">
        <v>2408.196</v>
      </c>
      <c r="AN79" t="n">
        <v>2955.486</v>
      </c>
      <c r="AO79" t="n">
        <v>2628.75</v>
      </c>
      <c r="AP79" t="n">
        <v>5365.637</v>
      </c>
      <c r="AQ79" t="n">
        <v>4404.143</v>
      </c>
      <c r="AR79" t="n">
        <v>2884.824</v>
      </c>
      <c r="AS79" t="n">
        <v>5174.088</v>
      </c>
      <c r="AT79" t="n">
        <v>8077.539</v>
      </c>
      <c r="AU79" t="n">
        <v>14260.097</v>
      </c>
      <c r="AV79" t="n">
        <v>11250.599</v>
      </c>
      <c r="AW79" t="n">
        <v>10352.099</v>
      </c>
      <c r="AX79" t="n">
        <v>17169.697</v>
      </c>
      <c r="AY79" t="n">
        <v>6140.712</v>
      </c>
      <c r="AZ79" t="n">
        <v>13411.354</v>
      </c>
      <c r="BA79" t="n">
        <v>25076.957</v>
      </c>
      <c r="BB79" t="n">
        <v>12909.541</v>
      </c>
      <c r="BC79" t="n">
        <v>6736.185</v>
      </c>
      <c r="BD79" t="n">
        <v>9700.118</v>
      </c>
      <c r="BE79" t="n">
        <v>8365.527</v>
      </c>
      <c r="BF79" t="n">
        <v>5402.982</v>
      </c>
      <c r="BG79" t="n">
        <v>11499.081</v>
      </c>
      <c r="BH79" t="n">
        <v>8363.236999999999</v>
      </c>
      <c r="BI79" t="n">
        <v>9207.875</v>
      </c>
      <c r="BJ79" t="n">
        <v>7632.196</v>
      </c>
      <c r="BK79" t="n">
        <v>5388.282</v>
      </c>
      <c r="BL79" t="n">
        <v>5644.732</v>
      </c>
      <c r="BM79" t="n">
        <v>5518.136</v>
      </c>
      <c r="BN79" t="n">
        <v>4536.244</v>
      </c>
      <c r="BO79" t="n">
        <v>8861.779</v>
      </c>
      <c r="BP79" t="n">
        <v>6647.142</v>
      </c>
      <c r="BQ79" t="n">
        <v>7753.885</v>
      </c>
      <c r="BR79" t="n">
        <v>5987.72</v>
      </c>
      <c r="BS79" t="n">
        <v>8298.482</v>
      </c>
      <c r="BT79" t="n">
        <v>7619.365</v>
      </c>
      <c r="BU79" t="n">
        <v>6845.374</v>
      </c>
      <c r="BV79" t="n">
        <v>7585.576</v>
      </c>
    </row>
    <row r="80">
      <c r="A80" t="inlineStr">
        <is>
          <t>Nemipterus virgatus</t>
        </is>
      </c>
      <c r="B80" t="inlineStr">
        <is>
          <t>Golden threadfin bream</t>
        </is>
      </c>
      <c r="C80" t="inlineStr">
        <is>
          <t>Medium demersals (30 - 89 cm)</t>
        </is>
      </c>
      <c r="D80" t="inlineStr">
        <is>
          <t>Perch-likes</t>
        </is>
      </c>
      <c r="E80" t="n">
        <v>50.051</v>
      </c>
      <c r="F80" t="n">
        <v>116.749</v>
      </c>
      <c r="G80" t="n">
        <v>177.389</v>
      </c>
      <c r="H80" t="n">
        <v>25.221</v>
      </c>
      <c r="I80" t="n">
        <v>25.953</v>
      </c>
      <c r="J80" t="n">
        <v>32.175</v>
      </c>
      <c r="K80" t="n">
        <v>37.292</v>
      </c>
      <c r="L80" t="n">
        <v>64.303</v>
      </c>
      <c r="M80" t="n">
        <v>832.355</v>
      </c>
      <c r="N80" t="n">
        <v>2040.852</v>
      </c>
      <c r="O80" t="n">
        <v>3456.236</v>
      </c>
      <c r="P80" t="n">
        <v>3310.659</v>
      </c>
      <c r="Q80" t="n">
        <v>2575.001</v>
      </c>
      <c r="R80" t="n">
        <v>4078.192</v>
      </c>
      <c r="S80" t="n">
        <v>2939.698</v>
      </c>
      <c r="T80" t="n">
        <v>5333.857</v>
      </c>
      <c r="U80" t="n">
        <v>5701.656</v>
      </c>
      <c r="V80" t="n">
        <v>4342.315</v>
      </c>
      <c r="W80" t="n">
        <v>4651.555</v>
      </c>
      <c r="X80" t="n">
        <v>4569.716</v>
      </c>
      <c r="Y80" t="n">
        <v>4451.196</v>
      </c>
      <c r="Z80" t="n">
        <v>5768.302</v>
      </c>
      <c r="AA80" t="n">
        <v>9623.509</v>
      </c>
      <c r="AB80" t="n">
        <v>12750.235</v>
      </c>
      <c r="AC80" t="n">
        <v>20118.106</v>
      </c>
      <c r="AD80" t="n">
        <v>14571.542</v>
      </c>
      <c r="AE80" t="n">
        <v>5300.211</v>
      </c>
      <c r="AF80" t="n">
        <v>8793.938</v>
      </c>
      <c r="AG80" t="n">
        <v>7258.111</v>
      </c>
      <c r="AH80" t="n">
        <v>6442.941</v>
      </c>
      <c r="AI80" t="n">
        <v>6898.949</v>
      </c>
      <c r="AJ80" t="n">
        <v>6748.444</v>
      </c>
      <c r="AK80" t="n">
        <v>5763.935</v>
      </c>
      <c r="AL80" t="n">
        <v>5886.343</v>
      </c>
      <c r="AM80" t="n">
        <v>5819.509</v>
      </c>
      <c r="AN80" t="n">
        <v>6769.785</v>
      </c>
      <c r="AO80" t="n">
        <v>8160.482</v>
      </c>
      <c r="AP80" t="n">
        <v>7701.728</v>
      </c>
      <c r="AQ80" t="n">
        <v>12237.111</v>
      </c>
      <c r="AR80" t="n">
        <v>9188.07</v>
      </c>
      <c r="AS80" t="n">
        <v>15321.036</v>
      </c>
      <c r="AT80" t="n">
        <v>9917.880999999999</v>
      </c>
      <c r="AU80" t="n">
        <v>14612.048</v>
      </c>
      <c r="AV80" t="n">
        <v>16514.193</v>
      </c>
      <c r="AW80" t="n">
        <v>9417.531000000001</v>
      </c>
      <c r="AX80" t="n">
        <v>7984.266</v>
      </c>
      <c r="AY80" t="n">
        <v>11912.969</v>
      </c>
      <c r="AZ80" t="n">
        <v>10574.63</v>
      </c>
      <c r="BA80" t="n">
        <v>7920.978</v>
      </c>
      <c r="BB80" t="n">
        <v>8740.495999999999</v>
      </c>
      <c r="BC80" t="n">
        <v>8621.636</v>
      </c>
      <c r="BD80" t="n">
        <v>6585.207</v>
      </c>
      <c r="BE80" t="n">
        <v>5425.505</v>
      </c>
      <c r="BF80" t="n">
        <v>4029.172</v>
      </c>
      <c r="BG80" t="n">
        <v>4795.01</v>
      </c>
      <c r="BH80" t="n">
        <v>3539.226</v>
      </c>
      <c r="BI80" t="n">
        <v>3020.793</v>
      </c>
      <c r="BJ80" t="n">
        <v>2148.677</v>
      </c>
      <c r="BK80" t="n">
        <v>1497.742</v>
      </c>
      <c r="BL80" t="n">
        <v>2374.567</v>
      </c>
      <c r="BM80" t="n">
        <v>1289.285</v>
      </c>
      <c r="BN80" t="n">
        <v>1280.913</v>
      </c>
      <c r="BO80" t="n">
        <v>1384.532</v>
      </c>
      <c r="BP80" t="n">
        <v>1500.371</v>
      </c>
      <c r="BQ80" t="n">
        <v>1622.438</v>
      </c>
      <c r="BR80" t="n">
        <v>938.982</v>
      </c>
      <c r="BS80" t="n">
        <v>908.682</v>
      </c>
      <c r="BT80" t="n">
        <v>764.7140000000001</v>
      </c>
      <c r="BU80" t="n">
        <v>792.552</v>
      </c>
      <c r="BV80" t="n">
        <v>730.703</v>
      </c>
    </row>
    <row r="81">
      <c r="A81" t="inlineStr">
        <is>
          <t>Salmonidae</t>
        </is>
      </c>
      <c r="B81" t="inlineStr">
        <is>
          <t>Salmonids</t>
        </is>
      </c>
      <c r="C81" t="inlineStr">
        <is>
          <t>Large benthopelagics (&gt;=90 cm)</t>
        </is>
      </c>
      <c r="D81" t="inlineStr">
        <is>
          <t>Salmon, smelts, etc</t>
        </is>
      </c>
      <c r="E81" t="n">
        <v>6470.376</v>
      </c>
      <c r="F81" t="n">
        <v>6470.313</v>
      </c>
      <c r="G81" t="n">
        <v>6470.25</v>
      </c>
      <c r="H81" t="n">
        <v>4875.222</v>
      </c>
      <c r="I81" t="n">
        <v>6885.304</v>
      </c>
      <c r="J81" t="n">
        <v>13156.634</v>
      </c>
      <c r="K81" t="n">
        <v>10823.779</v>
      </c>
      <c r="L81" t="n">
        <v>14042.985</v>
      </c>
      <c r="M81" t="n">
        <v>13619.783</v>
      </c>
      <c r="N81" t="n">
        <v>14473.425</v>
      </c>
      <c r="O81" t="n">
        <v>9013.882</v>
      </c>
      <c r="P81" t="n">
        <v>11029.991</v>
      </c>
      <c r="Q81" t="n">
        <v>5906.212</v>
      </c>
      <c r="R81" t="n">
        <v>10811.382</v>
      </c>
      <c r="S81" t="n">
        <v>5795.689</v>
      </c>
      <c r="T81" t="n">
        <v>9562.207</v>
      </c>
      <c r="U81" t="n">
        <v>6854.792</v>
      </c>
      <c r="V81" t="n">
        <v>10417.164</v>
      </c>
      <c r="W81" t="n">
        <v>6877.989</v>
      </c>
      <c r="X81" t="n">
        <v>10537.942</v>
      </c>
      <c r="Y81" t="n">
        <v>5608.957</v>
      </c>
      <c r="Z81" t="n">
        <v>8342.027</v>
      </c>
      <c r="AA81" t="n">
        <v>5210.215</v>
      </c>
      <c r="AB81" t="n">
        <v>7618.201</v>
      </c>
      <c r="AC81" t="n">
        <v>5138.495</v>
      </c>
      <c r="AD81" t="n">
        <v>6944.349</v>
      </c>
      <c r="AE81" t="n">
        <v>4821.829</v>
      </c>
      <c r="AF81" t="n">
        <v>5435.562</v>
      </c>
      <c r="AG81" t="n">
        <v>3064.37</v>
      </c>
      <c r="AH81" t="n">
        <v>3811.03</v>
      </c>
      <c r="AI81" t="n">
        <v>3501.667</v>
      </c>
      <c r="AJ81" t="n">
        <v>6214.168</v>
      </c>
      <c r="AK81" t="n">
        <v>3995.063</v>
      </c>
      <c r="AL81" t="n">
        <v>4974.11</v>
      </c>
      <c r="AM81" t="n">
        <v>4410.073</v>
      </c>
      <c r="AN81" t="n">
        <v>5426.057</v>
      </c>
      <c r="AO81" t="n">
        <v>3682.395</v>
      </c>
      <c r="AP81" t="n">
        <v>3470.945</v>
      </c>
      <c r="AQ81" t="n">
        <v>3220.9</v>
      </c>
      <c r="AR81" t="n">
        <v>3766.268</v>
      </c>
      <c r="AS81" t="n">
        <v>2559.194</v>
      </c>
      <c r="AT81" t="n">
        <v>3783.897</v>
      </c>
      <c r="AU81" t="n">
        <v>4231.653</v>
      </c>
      <c r="AV81" t="n">
        <v>4541.669</v>
      </c>
      <c r="AW81" t="n">
        <v>5098.512</v>
      </c>
      <c r="AX81" t="n">
        <v>4728.334</v>
      </c>
      <c r="AY81" t="n">
        <v>5516.77</v>
      </c>
      <c r="AZ81" t="n">
        <v>3124.27</v>
      </c>
      <c r="BA81" t="n">
        <v>4338.563</v>
      </c>
      <c r="BB81" t="n">
        <v>2891.181</v>
      </c>
      <c r="BC81" t="n">
        <v>3988.112</v>
      </c>
      <c r="BD81" t="n">
        <v>1901.467</v>
      </c>
      <c r="BE81" t="n">
        <v>4131.291</v>
      </c>
      <c r="BF81" t="n">
        <v>4820.952</v>
      </c>
      <c r="BG81" t="n">
        <v>2867.772</v>
      </c>
      <c r="BH81" t="n">
        <v>3646.661</v>
      </c>
      <c r="BI81" t="n">
        <v>2565.174</v>
      </c>
      <c r="BJ81" t="n">
        <v>5122.747</v>
      </c>
      <c r="BK81" t="n">
        <v>2814.573</v>
      </c>
      <c r="BL81" t="n">
        <v>3879.896</v>
      </c>
      <c r="BM81" t="n">
        <v>3223.085</v>
      </c>
      <c r="BN81" t="n">
        <v>2692.93</v>
      </c>
      <c r="BO81" t="n">
        <v>2479.625</v>
      </c>
      <c r="BP81" t="n">
        <v>3060.161</v>
      </c>
      <c r="BQ81" t="n">
        <v>1393.626</v>
      </c>
      <c r="BR81" t="n">
        <v>1329.365</v>
      </c>
      <c r="BS81" t="n">
        <v>3323.4</v>
      </c>
      <c r="BT81" t="n">
        <v>416.331</v>
      </c>
      <c r="BU81" t="n">
        <v>450.379</v>
      </c>
      <c r="BV81" t="n">
        <v>408.95</v>
      </c>
    </row>
    <row r="82">
      <c r="A82" t="inlineStr">
        <is>
          <t>Portunus pelagicus</t>
        </is>
      </c>
      <c r="B82" t="inlineStr">
        <is>
          <t>Blue swimming crab</t>
        </is>
      </c>
      <c r="C82" t="inlineStr">
        <is>
          <t>Lobsters, crabs</t>
        </is>
      </c>
      <c r="D82" t="inlineStr">
        <is>
          <t>Crustaceans</t>
        </is>
      </c>
      <c r="E82" t="n">
        <v>1.868</v>
      </c>
      <c r="F82" t="n">
        <v>2.295</v>
      </c>
      <c r="G82" t="n">
        <v>2.692</v>
      </c>
      <c r="H82" t="n">
        <v>2.888</v>
      </c>
      <c r="I82" t="n">
        <v>2.943</v>
      </c>
      <c r="J82" t="n">
        <v>3.575</v>
      </c>
      <c r="K82" t="n">
        <v>4.156</v>
      </c>
      <c r="L82" t="n">
        <v>327.709</v>
      </c>
      <c r="M82" t="n">
        <v>5.046</v>
      </c>
      <c r="N82" t="n">
        <v>5.705</v>
      </c>
      <c r="O82" t="n">
        <v>6.105</v>
      </c>
      <c r="P82" t="n">
        <v>7.237</v>
      </c>
      <c r="Q82" t="n">
        <v>7.963</v>
      </c>
      <c r="R82" t="n">
        <v>8.606999999999999</v>
      </c>
      <c r="S82" t="n">
        <v>9.689</v>
      </c>
      <c r="T82" t="n">
        <v>10.549</v>
      </c>
      <c r="U82" t="n">
        <v>11.717</v>
      </c>
      <c r="V82" t="n">
        <v>13.028</v>
      </c>
      <c r="W82" t="n">
        <v>15.043</v>
      </c>
      <c r="X82" t="n">
        <v>16.828</v>
      </c>
      <c r="Y82" t="n">
        <v>17.624</v>
      </c>
      <c r="Z82" t="n">
        <v>19.047</v>
      </c>
      <c r="AA82" t="n">
        <v>18.639</v>
      </c>
      <c r="AB82" t="n">
        <v>19.831</v>
      </c>
      <c r="AC82" t="n">
        <v>46.18</v>
      </c>
      <c r="AD82" t="n">
        <v>25.277</v>
      </c>
      <c r="AE82" t="n">
        <v>26.194</v>
      </c>
      <c r="AF82" t="n">
        <v>27.288</v>
      </c>
      <c r="AG82" t="n">
        <v>30.302</v>
      </c>
      <c r="AH82" t="n">
        <v>57.008</v>
      </c>
      <c r="AI82" t="n">
        <v>32.258</v>
      </c>
      <c r="AJ82" t="n">
        <v>28.319</v>
      </c>
      <c r="AK82" t="n">
        <v>170.818</v>
      </c>
      <c r="AL82" t="n">
        <v>491.563</v>
      </c>
      <c r="AM82" t="n">
        <v>985.029</v>
      </c>
      <c r="AN82" t="n">
        <v>1104.943</v>
      </c>
      <c r="AO82" t="n">
        <v>1232.8</v>
      </c>
      <c r="AP82" t="n">
        <v>1696.476</v>
      </c>
      <c r="AQ82" t="n">
        <v>2147.177</v>
      </c>
      <c r="AR82" t="n">
        <v>1414.504</v>
      </c>
      <c r="AS82" t="n">
        <v>4346.553</v>
      </c>
      <c r="AT82" t="n">
        <v>4646.135</v>
      </c>
      <c r="AU82" t="n">
        <v>3633.411</v>
      </c>
      <c r="AV82" t="n">
        <v>4042.891</v>
      </c>
      <c r="AW82" t="n">
        <v>5272.44</v>
      </c>
      <c r="AX82" t="n">
        <v>6878.39</v>
      </c>
      <c r="AY82" t="n">
        <v>8276.797</v>
      </c>
      <c r="AZ82" t="n">
        <v>9121.864</v>
      </c>
      <c r="BA82" t="n">
        <v>9364.35</v>
      </c>
      <c r="BB82" t="n">
        <v>10229.508</v>
      </c>
      <c r="BC82" t="n">
        <v>11058.637</v>
      </c>
      <c r="BD82" t="n">
        <v>11732.758</v>
      </c>
      <c r="BE82" t="n">
        <v>11956.335</v>
      </c>
      <c r="BF82" t="n">
        <v>13899.025</v>
      </c>
      <c r="BG82" t="n">
        <v>14587.394</v>
      </c>
      <c r="BH82" t="n">
        <v>12410.692</v>
      </c>
      <c r="BI82" t="n">
        <v>12732.627</v>
      </c>
      <c r="BJ82" t="n">
        <v>15370.655</v>
      </c>
      <c r="BK82" t="n">
        <v>14387.731</v>
      </c>
      <c r="BL82" t="n">
        <v>12247.247</v>
      </c>
      <c r="BM82" t="n">
        <v>14279.086</v>
      </c>
      <c r="BN82" t="n">
        <v>16594.544</v>
      </c>
      <c r="BO82" t="n">
        <v>17410.675</v>
      </c>
      <c r="BP82" t="n">
        <v>17645.657</v>
      </c>
      <c r="BQ82" t="n">
        <v>20797.419</v>
      </c>
      <c r="BR82" t="n">
        <v>18085.274</v>
      </c>
      <c r="BS82" t="n">
        <v>17944.51</v>
      </c>
      <c r="BT82" t="n">
        <v>16017.195</v>
      </c>
      <c r="BU82" t="n">
        <v>16017.662</v>
      </c>
      <c r="BV82" t="n">
        <v>15940.358</v>
      </c>
    </row>
    <row r="83">
      <c r="A83" t="inlineStr">
        <is>
          <t>Sardinella zunasi</t>
        </is>
      </c>
      <c r="B83" t="inlineStr">
        <is>
          <t>Japanese sardinella</t>
        </is>
      </c>
      <c r="C83" t="inlineStr">
        <is>
          <t>Small pelagics (&lt;30 cm)</t>
        </is>
      </c>
      <c r="D83" t="inlineStr">
        <is>
          <t>Herring-likes</t>
        </is>
      </c>
      <c r="E83" t="n">
        <v>0</v>
      </c>
      <c r="F83" t="n">
        <v>0</v>
      </c>
      <c r="G83" t="n">
        <v>53.011</v>
      </c>
      <c r="H83" t="n">
        <v>33.767</v>
      </c>
      <c r="I83" t="n">
        <v>104.322</v>
      </c>
      <c r="J83" t="n">
        <v>0</v>
      </c>
      <c r="K83" t="n">
        <v>0</v>
      </c>
      <c r="L83" t="n">
        <v>577.373</v>
      </c>
      <c r="M83" t="n">
        <v>15.686</v>
      </c>
      <c r="N83" t="n">
        <v>18.494</v>
      </c>
      <c r="O83" t="n">
        <v>0</v>
      </c>
      <c r="P83" t="n">
        <v>0</v>
      </c>
      <c r="Q83" t="n">
        <v>0</v>
      </c>
      <c r="R83" t="n">
        <v>0</v>
      </c>
      <c r="S83" t="n">
        <v>74.863</v>
      </c>
      <c r="T83" t="n">
        <v>0</v>
      </c>
      <c r="U83" t="n">
        <v>0</v>
      </c>
      <c r="V83" t="n">
        <v>0</v>
      </c>
      <c r="W83" t="n">
        <v>45.669</v>
      </c>
      <c r="X83" t="n">
        <v>0</v>
      </c>
      <c r="Y83" t="n">
        <v>9.718</v>
      </c>
      <c r="Z83" t="n">
        <v>8.815</v>
      </c>
      <c r="AA83" t="n">
        <v>0</v>
      </c>
      <c r="AB83" t="n">
        <v>66.202</v>
      </c>
      <c r="AC83" t="n">
        <v>82.036</v>
      </c>
      <c r="AD83" t="n">
        <v>0</v>
      </c>
      <c r="AE83" t="n">
        <v>4347.168</v>
      </c>
      <c r="AF83" t="n">
        <v>9060.887000000001</v>
      </c>
      <c r="AG83" t="n">
        <v>12063.893</v>
      </c>
      <c r="AH83" t="n">
        <v>5708.967</v>
      </c>
      <c r="AI83" t="n">
        <v>5743.004</v>
      </c>
      <c r="AJ83" t="n">
        <v>4710.212</v>
      </c>
      <c r="AK83" t="n">
        <v>6669.493</v>
      </c>
      <c r="AL83" t="n">
        <v>12987.24</v>
      </c>
      <c r="AM83" t="n">
        <v>13204.496</v>
      </c>
      <c r="AN83" t="n">
        <v>9991.368</v>
      </c>
      <c r="AO83" t="n">
        <v>15305.409</v>
      </c>
      <c r="AP83" t="n">
        <v>13247.136</v>
      </c>
      <c r="AQ83" t="n">
        <v>14677.382</v>
      </c>
      <c r="AR83" t="n">
        <v>10669.016</v>
      </c>
      <c r="AS83" t="n">
        <v>5816.512</v>
      </c>
      <c r="AT83" t="n">
        <v>7120.964</v>
      </c>
      <c r="AU83" t="n">
        <v>6757.313</v>
      </c>
      <c r="AV83" t="n">
        <v>37874.066</v>
      </c>
      <c r="AW83" t="n">
        <v>43255.911</v>
      </c>
      <c r="AX83" t="n">
        <v>33315.632</v>
      </c>
      <c r="AY83" t="n">
        <v>23184.978</v>
      </c>
      <c r="AZ83" t="n">
        <v>11221.181</v>
      </c>
      <c r="BA83" t="n">
        <v>4432.623</v>
      </c>
      <c r="BB83" t="n">
        <v>11894.084</v>
      </c>
      <c r="BC83" t="n">
        <v>7869.204</v>
      </c>
      <c r="BD83" t="n">
        <v>1287.781</v>
      </c>
      <c r="BE83" t="n">
        <v>1312.821</v>
      </c>
      <c r="BF83" t="n">
        <v>1251.08</v>
      </c>
      <c r="BG83" t="n">
        <v>953.728</v>
      </c>
      <c r="BH83" t="n">
        <v>2206.502</v>
      </c>
      <c r="BI83" t="n">
        <v>1145.876</v>
      </c>
      <c r="BJ83" t="n">
        <v>919.389</v>
      </c>
      <c r="BK83" t="n">
        <v>5701.08</v>
      </c>
      <c r="BL83" t="n">
        <v>7924.846</v>
      </c>
      <c r="BM83" t="n">
        <v>2479.444</v>
      </c>
      <c r="BN83" t="n">
        <v>2428.367</v>
      </c>
      <c r="BO83" t="n">
        <v>2960.457</v>
      </c>
      <c r="BP83" t="n">
        <v>1323.979</v>
      </c>
      <c r="BQ83" t="n">
        <v>1769.626</v>
      </c>
      <c r="BR83" t="n">
        <v>2444.888</v>
      </c>
      <c r="BS83" t="n">
        <v>2129.399</v>
      </c>
      <c r="BT83" t="n">
        <v>1765.594</v>
      </c>
      <c r="BU83" t="n">
        <v>1982.495</v>
      </c>
      <c r="BV83" t="n">
        <v>2140.673</v>
      </c>
    </row>
    <row r="84">
      <c r="A84" t="inlineStr">
        <is>
          <t>Charybdis</t>
        </is>
      </c>
      <c r="B84" t="inlineStr">
        <is>
          <t>Whirlpool swimming crabs</t>
        </is>
      </c>
      <c r="C84" t="inlineStr">
        <is>
          <t>Lobsters, crabs</t>
        </is>
      </c>
      <c r="D84" t="inlineStr">
        <is>
          <t>Crustaceans</t>
        </is>
      </c>
      <c r="E84" t="n">
        <v>95.542</v>
      </c>
      <c r="F84" t="n">
        <v>118.854</v>
      </c>
      <c r="G84" t="n">
        <v>128.371</v>
      </c>
      <c r="H84" t="n">
        <v>116.587</v>
      </c>
      <c r="I84" t="n">
        <v>113.19</v>
      </c>
      <c r="J84" t="n">
        <v>117.855</v>
      </c>
      <c r="K84" t="n">
        <v>164.44</v>
      </c>
      <c r="L84" t="n">
        <v>182.42</v>
      </c>
      <c r="M84" t="n">
        <v>178.249</v>
      </c>
      <c r="N84" t="n">
        <v>171.605</v>
      </c>
      <c r="O84" t="n">
        <v>154.314</v>
      </c>
      <c r="P84" t="n">
        <v>194.111</v>
      </c>
      <c r="Q84" t="n">
        <v>195.798</v>
      </c>
      <c r="R84" t="n">
        <v>197.073</v>
      </c>
      <c r="S84" t="n">
        <v>137.623</v>
      </c>
      <c r="T84" t="n">
        <v>244.662</v>
      </c>
      <c r="U84" t="n">
        <v>256.672</v>
      </c>
      <c r="V84" t="n">
        <v>266.219</v>
      </c>
      <c r="W84" t="n">
        <v>229.595</v>
      </c>
      <c r="X84" t="n">
        <v>222.434</v>
      </c>
      <c r="Y84" t="n">
        <v>177.082</v>
      </c>
      <c r="Z84" t="n">
        <v>190.583</v>
      </c>
      <c r="AA84" t="n">
        <v>243.916</v>
      </c>
      <c r="AB84" t="n">
        <v>638.7910000000001</v>
      </c>
      <c r="AC84" t="n">
        <v>668.09</v>
      </c>
      <c r="AD84" t="n">
        <v>262.601</v>
      </c>
      <c r="AE84" t="n">
        <v>254.54</v>
      </c>
      <c r="AF84" t="n">
        <v>248.144</v>
      </c>
      <c r="AG84" t="n">
        <v>245.035</v>
      </c>
      <c r="AH84" t="n">
        <v>238.666</v>
      </c>
      <c r="AI84" t="n">
        <v>212.917</v>
      </c>
      <c r="AJ84" t="n">
        <v>217.045</v>
      </c>
      <c r="AK84" t="n">
        <v>190.969</v>
      </c>
      <c r="AL84" t="n">
        <v>175.832</v>
      </c>
      <c r="AM84" t="n">
        <v>155.09</v>
      </c>
      <c r="AN84" t="n">
        <v>131.775</v>
      </c>
      <c r="AO84" t="n">
        <v>129.716</v>
      </c>
      <c r="AP84" t="n">
        <v>91.461</v>
      </c>
      <c r="AQ84" t="n">
        <v>70.65600000000001</v>
      </c>
      <c r="AR84" t="n">
        <v>158.64</v>
      </c>
      <c r="AS84" t="n">
        <v>29.389</v>
      </c>
      <c r="AT84" t="n">
        <v>21.184</v>
      </c>
      <c r="AU84" t="n">
        <v>10.592</v>
      </c>
      <c r="AV84" t="n">
        <v>574.807</v>
      </c>
      <c r="AW84" t="n">
        <v>544.299</v>
      </c>
      <c r="AX84" t="n">
        <v>565.856</v>
      </c>
      <c r="AY84" t="n">
        <v>512.482</v>
      </c>
      <c r="AZ84" t="n">
        <v>318.839</v>
      </c>
      <c r="BA84" t="n">
        <v>82.499</v>
      </c>
      <c r="BB84" t="n">
        <v>239.888</v>
      </c>
      <c r="BC84" t="n">
        <v>110.844</v>
      </c>
      <c r="BD84" t="n">
        <v>257.492</v>
      </c>
      <c r="BE84" t="n">
        <v>367.93</v>
      </c>
      <c r="BF84" t="n">
        <v>21932.562</v>
      </c>
      <c r="BG84" t="n">
        <v>21470.55</v>
      </c>
      <c r="BH84" t="n">
        <v>26189.687</v>
      </c>
      <c r="BI84" t="n">
        <v>25039.976</v>
      </c>
      <c r="BJ84" t="n">
        <v>28334.039</v>
      </c>
      <c r="BK84" t="n">
        <v>28420.998</v>
      </c>
      <c r="BL84" t="n">
        <v>14488.566</v>
      </c>
      <c r="BM84" t="n">
        <v>22564.503</v>
      </c>
      <c r="BN84" t="n">
        <v>27179.334</v>
      </c>
      <c r="BO84" t="n">
        <v>25501.16</v>
      </c>
      <c r="BP84" t="n">
        <v>20645.228</v>
      </c>
      <c r="BQ84" t="n">
        <v>24737.038</v>
      </c>
      <c r="BR84" t="n">
        <v>20993.385</v>
      </c>
      <c r="BS84" t="n">
        <v>11858.661</v>
      </c>
      <c r="BT84" t="n">
        <v>12633.244</v>
      </c>
      <c r="BU84" t="n">
        <v>10611.34</v>
      </c>
      <c r="BV84" t="n">
        <v>9070.378000000001</v>
      </c>
    </row>
    <row r="85">
      <c r="A85" t="inlineStr">
        <is>
          <t>Magallana gigas</t>
        </is>
      </c>
      <c r="B85" t="inlineStr">
        <is>
          <t>Pacific cupped oyster</t>
        </is>
      </c>
      <c r="C85" t="inlineStr">
        <is>
          <t>Other demersal invertebrates</t>
        </is>
      </c>
      <c r="D85" t="inlineStr">
        <is>
          <t>Molluscs</t>
        </is>
      </c>
      <c r="E85" t="n">
        <v>351.923</v>
      </c>
      <c r="F85" t="n">
        <v>351.701</v>
      </c>
      <c r="G85" t="n">
        <v>195.266</v>
      </c>
      <c r="H85" t="n">
        <v>156.114</v>
      </c>
      <c r="I85" t="n">
        <v>195.02</v>
      </c>
      <c r="J85" t="n">
        <v>233.876</v>
      </c>
      <c r="K85" t="n">
        <v>233.728</v>
      </c>
      <c r="L85" t="n">
        <v>233.58</v>
      </c>
      <c r="M85" t="n">
        <v>1089.351</v>
      </c>
      <c r="N85" t="n">
        <v>1010.9</v>
      </c>
      <c r="O85" t="n">
        <v>1748.525</v>
      </c>
      <c r="P85" t="n">
        <v>3377.898</v>
      </c>
      <c r="Q85" t="n">
        <v>1859.222</v>
      </c>
      <c r="R85" t="n">
        <v>2597.955</v>
      </c>
      <c r="S85" t="n">
        <v>3941.037</v>
      </c>
      <c r="T85" t="n">
        <v>460.978</v>
      </c>
      <c r="U85" t="n">
        <v>1336.927</v>
      </c>
      <c r="V85" t="n">
        <v>944.897</v>
      </c>
      <c r="W85" t="n">
        <v>1168.576</v>
      </c>
      <c r="X85" t="n">
        <v>979.702</v>
      </c>
      <c r="Y85" t="n">
        <v>2152.899</v>
      </c>
      <c r="Z85" t="n">
        <v>2985.472</v>
      </c>
      <c r="AA85" t="n">
        <v>3212.617</v>
      </c>
      <c r="AB85" t="n">
        <v>5617.821</v>
      </c>
      <c r="AC85" t="n">
        <v>3401.195</v>
      </c>
      <c r="AD85" t="n">
        <v>3448.907</v>
      </c>
      <c r="AE85" t="n">
        <v>3816.388</v>
      </c>
      <c r="AF85" t="n">
        <v>3749.92</v>
      </c>
      <c r="AG85" t="n">
        <v>5469.93</v>
      </c>
      <c r="AH85" t="n">
        <v>4946.689</v>
      </c>
      <c r="AI85" t="n">
        <v>5095.385</v>
      </c>
      <c r="AJ85" t="n">
        <v>2601.092</v>
      </c>
      <c r="AK85" t="n">
        <v>2858.419</v>
      </c>
      <c r="AL85" t="n">
        <v>5262.679</v>
      </c>
      <c r="AM85" t="n">
        <v>3107.615</v>
      </c>
      <c r="AN85" t="n">
        <v>4249.323</v>
      </c>
      <c r="AO85" t="n">
        <v>4980.447</v>
      </c>
      <c r="AP85" t="n">
        <v>5526.032</v>
      </c>
      <c r="AQ85" t="n">
        <v>4681.588</v>
      </c>
      <c r="AR85" t="n">
        <v>4790.44</v>
      </c>
      <c r="AS85" t="n">
        <v>5825.712</v>
      </c>
      <c r="AT85" t="n">
        <v>5985.932</v>
      </c>
      <c r="AU85" t="n">
        <v>6351.91</v>
      </c>
      <c r="AV85" t="n">
        <v>11565.231</v>
      </c>
      <c r="AW85" t="n">
        <v>8488.834999999999</v>
      </c>
      <c r="AX85" t="n">
        <v>7488.212</v>
      </c>
      <c r="AY85" t="n">
        <v>7492.431</v>
      </c>
      <c r="AZ85" t="n">
        <v>7051.782</v>
      </c>
      <c r="BA85" t="n">
        <v>4057.158</v>
      </c>
      <c r="BB85" t="n">
        <v>4752.887</v>
      </c>
      <c r="BC85" t="n">
        <v>6519.654</v>
      </c>
      <c r="BD85" t="n">
        <v>4118.145</v>
      </c>
      <c r="BE85" t="n">
        <v>3256.004</v>
      </c>
      <c r="BF85" t="n">
        <v>8264.397999999999</v>
      </c>
      <c r="BG85" t="n">
        <v>10518.322</v>
      </c>
      <c r="BH85" t="n">
        <v>11354.083</v>
      </c>
      <c r="BI85" t="n">
        <v>12688</v>
      </c>
      <c r="BJ85" t="n">
        <v>11985.58</v>
      </c>
      <c r="BK85" t="n">
        <v>11940.017</v>
      </c>
      <c r="BL85" t="n">
        <v>9971.439</v>
      </c>
      <c r="BM85" t="n">
        <v>9284.825999999999</v>
      </c>
      <c r="BN85" t="n">
        <v>10225.75</v>
      </c>
      <c r="BO85" t="n">
        <v>7540.637</v>
      </c>
      <c r="BP85" t="n">
        <v>5218.673</v>
      </c>
      <c r="BQ85" t="n">
        <v>8232.716</v>
      </c>
      <c r="BR85" t="n">
        <v>8792.877</v>
      </c>
      <c r="BS85" t="n">
        <v>5760.963</v>
      </c>
      <c r="BT85" t="n">
        <v>5993.501</v>
      </c>
      <c r="BU85" t="n">
        <v>16418.031</v>
      </c>
      <c r="BV85" t="n">
        <v>13757.843</v>
      </c>
    </row>
    <row r="86">
      <c r="A86" t="inlineStr">
        <is>
          <t>Anadara</t>
        </is>
      </c>
      <c r="B86" t="inlineStr">
        <is>
          <t>Arks, blood cockles</t>
        </is>
      </c>
      <c r="C86" t="inlineStr">
        <is>
          <t>Other demersal invertebrates</t>
        </is>
      </c>
      <c r="D86" t="inlineStr">
        <is>
          <t>Molluscs</t>
        </is>
      </c>
      <c r="E86" t="n">
        <v>10739.228</v>
      </c>
      <c r="F86" t="n">
        <v>10739.228</v>
      </c>
      <c r="G86" t="n">
        <v>10739.228</v>
      </c>
      <c r="H86" t="n">
        <v>11614.475</v>
      </c>
      <c r="I86" t="n">
        <v>11641.391</v>
      </c>
      <c r="J86" t="n">
        <v>11667.309</v>
      </c>
      <c r="K86" t="n">
        <v>8186.356</v>
      </c>
      <c r="L86" t="n">
        <v>10918.764</v>
      </c>
      <c r="M86" t="n">
        <v>16758.799</v>
      </c>
      <c r="N86" t="n">
        <v>14156.284</v>
      </c>
      <c r="O86" t="n">
        <v>8886.853999999999</v>
      </c>
      <c r="P86" t="n">
        <v>8456.507</v>
      </c>
      <c r="Q86" t="n">
        <v>7355.071</v>
      </c>
      <c r="R86" t="n">
        <v>8041.313</v>
      </c>
      <c r="S86" t="n">
        <v>9868.566999999999</v>
      </c>
      <c r="T86" t="n">
        <v>8472.856</v>
      </c>
      <c r="U86" t="n">
        <v>6123.444</v>
      </c>
      <c r="V86" t="n">
        <v>11029.814</v>
      </c>
      <c r="W86" t="n">
        <v>10270.802</v>
      </c>
      <c r="X86" t="n">
        <v>10384.545</v>
      </c>
      <c r="Y86" t="n">
        <v>7732.485</v>
      </c>
      <c r="Z86" t="n">
        <v>16163.979</v>
      </c>
      <c r="AA86" t="n">
        <v>9863.887000000001</v>
      </c>
      <c r="AB86" t="n">
        <v>5585.838</v>
      </c>
      <c r="AC86" t="n">
        <v>9967.960999999999</v>
      </c>
      <c r="AD86" t="n">
        <v>5165.958</v>
      </c>
      <c r="AE86" t="n">
        <v>3186.781</v>
      </c>
      <c r="AF86" t="n">
        <v>1851.778</v>
      </c>
      <c r="AG86" t="n">
        <v>1366.803</v>
      </c>
      <c r="AH86" t="n">
        <v>2211.746</v>
      </c>
      <c r="AI86" t="n">
        <v>739.874</v>
      </c>
      <c r="AJ86" t="n">
        <v>1065.65</v>
      </c>
      <c r="AK86" t="n">
        <v>1286.854</v>
      </c>
      <c r="AL86" t="n">
        <v>1556.506</v>
      </c>
      <c r="AM86" t="n">
        <v>521.76</v>
      </c>
      <c r="AN86" t="n">
        <v>1313.47</v>
      </c>
      <c r="AO86" t="n">
        <v>1906.307</v>
      </c>
      <c r="AP86" t="n">
        <v>2428.465</v>
      </c>
      <c r="AQ86" t="n">
        <v>3747.618</v>
      </c>
      <c r="AR86" t="n">
        <v>4246.35</v>
      </c>
      <c r="AS86" t="n">
        <v>4912.356</v>
      </c>
      <c r="AT86" t="n">
        <v>4627.252</v>
      </c>
      <c r="AU86" t="n">
        <v>4276.953</v>
      </c>
      <c r="AV86" t="n">
        <v>4789.541</v>
      </c>
      <c r="AW86" t="n">
        <v>5022.509</v>
      </c>
      <c r="AX86" t="n">
        <v>4496.562</v>
      </c>
      <c r="AY86" t="n">
        <v>4737.404</v>
      </c>
      <c r="AZ86" t="n">
        <v>4127.821</v>
      </c>
      <c r="BA86" t="n">
        <v>3088.788</v>
      </c>
      <c r="BB86" t="n">
        <v>3164.051</v>
      </c>
      <c r="BC86" t="n">
        <v>2339.743</v>
      </c>
      <c r="BD86" t="n">
        <v>1672.441</v>
      </c>
      <c r="BE86" t="n">
        <v>3007.344</v>
      </c>
      <c r="BF86" t="n">
        <v>2369.798</v>
      </c>
      <c r="BG86" t="n">
        <v>2243.355</v>
      </c>
      <c r="BH86" t="n">
        <v>3066.796</v>
      </c>
      <c r="BI86" t="n">
        <v>918.831</v>
      </c>
      <c r="BJ86" t="n">
        <v>345.912</v>
      </c>
      <c r="BK86" t="n">
        <v>371.831</v>
      </c>
      <c r="BL86" t="n">
        <v>371.831</v>
      </c>
      <c r="BM86" t="n">
        <v>371.831</v>
      </c>
      <c r="BN86" t="n">
        <v>299.778</v>
      </c>
      <c r="BO86" t="n">
        <v>297.704</v>
      </c>
      <c r="BP86" t="n">
        <v>292.261</v>
      </c>
      <c r="BQ86" t="n">
        <v>292.261</v>
      </c>
      <c r="BR86" t="n">
        <v>292.261</v>
      </c>
      <c r="BS86" t="n">
        <v>292.261</v>
      </c>
      <c r="BT86" t="n">
        <v>292.682</v>
      </c>
      <c r="BU86" t="n">
        <v>304.233</v>
      </c>
      <c r="BV86" t="n">
        <v>298.48</v>
      </c>
    </row>
    <row r="87">
      <c r="A87" t="inlineStr">
        <is>
          <t>Echinoidea</t>
        </is>
      </c>
      <c r="B87" t="inlineStr">
        <is>
          <t>Sea urchins, sea hedgehogs</t>
        </is>
      </c>
      <c r="C87" t="inlineStr">
        <is>
          <t>Other demersal invertebrates</t>
        </is>
      </c>
      <c r="D87" t="inlineStr">
        <is>
          <t>Other fishes &amp; inverts</t>
        </is>
      </c>
      <c r="E87" t="n">
        <v>2937.656</v>
      </c>
      <c r="F87" t="n">
        <v>2948.07</v>
      </c>
      <c r="G87" t="n">
        <v>2952.342</v>
      </c>
      <c r="H87" t="n">
        <v>2947.114</v>
      </c>
      <c r="I87" t="n">
        <v>2945.366</v>
      </c>
      <c r="J87" t="n">
        <v>2947.735</v>
      </c>
      <c r="K87" t="n">
        <v>3267.471</v>
      </c>
      <c r="L87" t="n">
        <v>2178.743</v>
      </c>
      <c r="M87" t="n">
        <v>2873.457</v>
      </c>
      <c r="N87" t="n">
        <v>3270.322</v>
      </c>
      <c r="O87" t="n">
        <v>3681.113</v>
      </c>
      <c r="P87" t="n">
        <v>3767.703</v>
      </c>
      <c r="Q87" t="n">
        <v>3902.231</v>
      </c>
      <c r="R87" t="n">
        <v>4591.885</v>
      </c>
      <c r="S87" t="n">
        <v>4857.255</v>
      </c>
      <c r="T87" t="n">
        <v>4891.364</v>
      </c>
      <c r="U87" t="n">
        <v>5528.023</v>
      </c>
      <c r="V87" t="n">
        <v>5710.77</v>
      </c>
      <c r="W87" t="n">
        <v>6515.415</v>
      </c>
      <c r="X87" t="n">
        <v>7023.393</v>
      </c>
      <c r="Y87" t="n">
        <v>7481.477</v>
      </c>
      <c r="Z87" t="n">
        <v>7034.968</v>
      </c>
      <c r="AA87" t="n">
        <v>6256.172</v>
      </c>
      <c r="AB87" t="n">
        <v>7208.2</v>
      </c>
      <c r="AC87" t="n">
        <v>7150.508</v>
      </c>
      <c r="AD87" t="n">
        <v>6318.999</v>
      </c>
      <c r="AE87" t="n">
        <v>6724.841</v>
      </c>
      <c r="AF87" t="n">
        <v>8021.083</v>
      </c>
      <c r="AG87" t="n">
        <v>7278.456</v>
      </c>
      <c r="AH87" t="n">
        <v>7296.743</v>
      </c>
      <c r="AI87" t="n">
        <v>6726.047</v>
      </c>
      <c r="AJ87" t="n">
        <v>6977.176</v>
      </c>
      <c r="AK87" t="n">
        <v>7658.814</v>
      </c>
      <c r="AL87" t="n">
        <v>7542.376</v>
      </c>
      <c r="AM87" t="n">
        <v>7101.661</v>
      </c>
      <c r="AN87" t="n">
        <v>6805.782</v>
      </c>
      <c r="AO87" t="n">
        <v>7149.891</v>
      </c>
      <c r="AP87" t="n">
        <v>7010.81</v>
      </c>
      <c r="AQ87" t="n">
        <v>6648.481</v>
      </c>
      <c r="AR87" t="n">
        <v>6197.37</v>
      </c>
      <c r="AS87" t="n">
        <v>5990.371</v>
      </c>
      <c r="AT87" t="n">
        <v>4817.171</v>
      </c>
      <c r="AU87" t="n">
        <v>4543.811</v>
      </c>
      <c r="AV87" t="n">
        <v>4965.174</v>
      </c>
      <c r="AW87" t="n">
        <v>5701.908</v>
      </c>
      <c r="AX87" t="n">
        <v>5218.356</v>
      </c>
      <c r="AY87" t="n">
        <v>4884.279</v>
      </c>
      <c r="AZ87" t="n">
        <v>5004.369</v>
      </c>
      <c r="BA87" t="n">
        <v>4256.616</v>
      </c>
      <c r="BB87" t="n">
        <v>3950.421</v>
      </c>
      <c r="BC87" t="n">
        <v>3676.286</v>
      </c>
      <c r="BD87" t="n">
        <v>3436.771</v>
      </c>
      <c r="BE87" t="n">
        <v>3722.395</v>
      </c>
      <c r="BF87" t="n">
        <v>3274.397</v>
      </c>
      <c r="BG87" t="n">
        <v>3199.88</v>
      </c>
      <c r="BH87" t="n">
        <v>3291.313</v>
      </c>
      <c r="BI87" t="n">
        <v>3125.379</v>
      </c>
      <c r="BJ87" t="n">
        <v>934.8</v>
      </c>
      <c r="BK87" t="n">
        <v>1099.037</v>
      </c>
      <c r="BL87" t="n">
        <v>3607.349</v>
      </c>
      <c r="BM87" t="n">
        <v>3446.681</v>
      </c>
      <c r="BN87" t="n">
        <v>2859.008</v>
      </c>
      <c r="BO87" t="n">
        <v>2904.999</v>
      </c>
      <c r="BP87" t="n">
        <v>3147.62</v>
      </c>
      <c r="BQ87" t="n">
        <v>3194.399</v>
      </c>
      <c r="BR87" t="n">
        <v>3094.504</v>
      </c>
      <c r="BS87" t="n">
        <v>3208.791</v>
      </c>
      <c r="BT87" t="n">
        <v>3067.636</v>
      </c>
      <c r="BU87" t="n">
        <v>3174.449</v>
      </c>
      <c r="BV87" t="n">
        <v>3141.028</v>
      </c>
    </row>
    <row r="88">
      <c r="A88" t="inlineStr">
        <is>
          <t>Decapterus maruadsi</t>
        </is>
      </c>
      <c r="B88" t="inlineStr">
        <is>
          <t>Japanese scad</t>
        </is>
      </c>
      <c r="C88" t="inlineStr">
        <is>
          <t>Small pelagics (&lt;30 cm)</t>
        </is>
      </c>
      <c r="D88" t="inlineStr">
        <is>
          <t>Perch-likes</t>
        </is>
      </c>
      <c r="E88" t="n">
        <v>254.227</v>
      </c>
      <c r="F88" t="n">
        <v>312.346</v>
      </c>
      <c r="G88" t="n">
        <v>366.27</v>
      </c>
      <c r="H88" t="n">
        <v>392.985</v>
      </c>
      <c r="I88" t="n">
        <v>398.82</v>
      </c>
      <c r="J88" t="n">
        <v>484.356</v>
      </c>
      <c r="K88" t="n">
        <v>564.139</v>
      </c>
      <c r="L88" t="n">
        <v>618.351</v>
      </c>
      <c r="M88" t="n">
        <v>684.849</v>
      </c>
      <c r="N88" t="n">
        <v>775.148</v>
      </c>
      <c r="O88" t="n">
        <v>832.133</v>
      </c>
      <c r="P88" t="n">
        <v>988.58</v>
      </c>
      <c r="Q88" t="n">
        <v>1090.241</v>
      </c>
      <c r="R88" t="n">
        <v>1177.129</v>
      </c>
      <c r="S88" t="n">
        <v>1332.355</v>
      </c>
      <c r="T88" t="n">
        <v>1453.629</v>
      </c>
      <c r="U88" t="n">
        <v>1620.684</v>
      </c>
      <c r="V88" t="n">
        <v>1804.48</v>
      </c>
      <c r="W88" t="n">
        <v>2088.382</v>
      </c>
      <c r="X88" t="n">
        <v>2338.326</v>
      </c>
      <c r="Y88" t="n">
        <v>2448.761</v>
      </c>
      <c r="Z88" t="n">
        <v>2644.877</v>
      </c>
      <c r="AA88" t="n">
        <v>2586.235</v>
      </c>
      <c r="AB88" t="n">
        <v>2755.736</v>
      </c>
      <c r="AC88" t="n">
        <v>2757.616</v>
      </c>
      <c r="AD88" t="n">
        <v>3519.872</v>
      </c>
      <c r="AE88" t="n">
        <v>3647.308</v>
      </c>
      <c r="AF88" t="n">
        <v>3800.329</v>
      </c>
      <c r="AG88" t="n">
        <v>4226.812</v>
      </c>
      <c r="AH88" t="n">
        <v>4479.275</v>
      </c>
      <c r="AI88" t="n">
        <v>4497.89</v>
      </c>
      <c r="AJ88" t="n">
        <v>3943.031</v>
      </c>
      <c r="AK88" t="n">
        <v>3891.552</v>
      </c>
      <c r="AL88" t="n">
        <v>3885.679</v>
      </c>
      <c r="AM88" t="n">
        <v>3821.816</v>
      </c>
      <c r="AN88" t="n">
        <v>3936.386</v>
      </c>
      <c r="AO88" t="n">
        <v>3944.011</v>
      </c>
      <c r="AP88" t="n">
        <v>3637.055</v>
      </c>
      <c r="AQ88" t="n">
        <v>3512.172</v>
      </c>
      <c r="AR88" t="n">
        <v>4082.872</v>
      </c>
      <c r="AS88" t="n">
        <v>3573.333</v>
      </c>
      <c r="AT88" t="n">
        <v>3203.142</v>
      </c>
      <c r="AU88" t="n">
        <v>3377.602</v>
      </c>
      <c r="AV88" t="n">
        <v>3112.497</v>
      </c>
      <c r="AW88" t="n">
        <v>3970.028</v>
      </c>
      <c r="AX88" t="n">
        <v>4555.258</v>
      </c>
      <c r="AY88" t="n">
        <v>5290.643</v>
      </c>
      <c r="AZ88" t="n">
        <v>13224.412</v>
      </c>
      <c r="BA88" t="n">
        <v>7482.481</v>
      </c>
      <c r="BB88" t="n">
        <v>11102.097</v>
      </c>
      <c r="BC88" t="n">
        <v>2255.594</v>
      </c>
      <c r="BD88" t="n">
        <v>3362.714</v>
      </c>
      <c r="BE88" t="n">
        <v>4609.272</v>
      </c>
      <c r="BF88" t="n">
        <v>3904.049</v>
      </c>
      <c r="BG88" t="n">
        <v>4513.996</v>
      </c>
      <c r="BH88" t="n">
        <v>2902.078</v>
      </c>
      <c r="BI88" t="n">
        <v>1897.16</v>
      </c>
      <c r="BJ88" t="n">
        <v>1414.09</v>
      </c>
      <c r="BK88" t="n">
        <v>2201.783</v>
      </c>
      <c r="BL88" t="n">
        <v>3856.806</v>
      </c>
      <c r="BM88" t="n">
        <v>3261.316</v>
      </c>
      <c r="BN88" t="n">
        <v>17888.285</v>
      </c>
      <c r="BO88" t="n">
        <v>15931.104</v>
      </c>
      <c r="BP88" t="n">
        <v>15645.216</v>
      </c>
      <c r="BQ88" t="n">
        <v>10999.666</v>
      </c>
      <c r="BR88" t="n">
        <v>11452.187</v>
      </c>
      <c r="BS88" t="n">
        <v>19397.027</v>
      </c>
      <c r="BT88" t="n">
        <v>16661.713</v>
      </c>
      <c r="BU88" t="n">
        <v>16025.119</v>
      </c>
      <c r="BV88" t="n">
        <v>18277.138</v>
      </c>
    </row>
    <row r="89">
      <c r="A89" t="inlineStr">
        <is>
          <t>Lateolabrax japonicus</t>
        </is>
      </c>
      <c r="B89" t="inlineStr">
        <is>
          <t>Japanese seabass</t>
        </is>
      </c>
      <c r="C89" t="inlineStr">
        <is>
          <t>Medium reef assoc. fish (30 - 89 cm)</t>
        </is>
      </c>
      <c r="D89" t="inlineStr">
        <is>
          <t>Perch-likes</t>
        </is>
      </c>
      <c r="E89" t="n">
        <v>2528.755</v>
      </c>
      <c r="F89" t="n">
        <v>2528.654</v>
      </c>
      <c r="G89" t="n">
        <v>2528.554</v>
      </c>
      <c r="H89" t="n">
        <v>2518.87</v>
      </c>
      <c r="I89" t="n">
        <v>2484.407</v>
      </c>
      <c r="J89" t="n">
        <v>2358.078</v>
      </c>
      <c r="K89" t="n">
        <v>2709.553</v>
      </c>
      <c r="L89" t="n">
        <v>2824.783</v>
      </c>
      <c r="M89" t="n">
        <v>2733.344</v>
      </c>
      <c r="N89" t="n">
        <v>2718.418</v>
      </c>
      <c r="O89" t="n">
        <v>2689.172</v>
      </c>
      <c r="P89" t="n">
        <v>2866.221</v>
      </c>
      <c r="Q89" t="n">
        <v>3020.164</v>
      </c>
      <c r="R89" t="n">
        <v>2920.242</v>
      </c>
      <c r="S89" t="n">
        <v>2955.502</v>
      </c>
      <c r="T89" t="n">
        <v>2945.034</v>
      </c>
      <c r="U89" t="n">
        <v>3258.821</v>
      </c>
      <c r="V89" t="n">
        <v>3420.089</v>
      </c>
      <c r="W89" t="n">
        <v>4166.008</v>
      </c>
      <c r="X89" t="n">
        <v>3692.22</v>
      </c>
      <c r="Y89" t="n">
        <v>2941.324</v>
      </c>
      <c r="Z89" t="n">
        <v>3047.776</v>
      </c>
      <c r="AA89" t="n">
        <v>3266.262</v>
      </c>
      <c r="AB89" t="n">
        <v>3133.357</v>
      </c>
      <c r="AC89" t="n">
        <v>3841.429</v>
      </c>
      <c r="AD89" t="n">
        <v>6054.744</v>
      </c>
      <c r="AE89" t="n">
        <v>4941.747</v>
      </c>
      <c r="AF89" t="n">
        <v>5979.562</v>
      </c>
      <c r="AG89" t="n">
        <v>6312.113</v>
      </c>
      <c r="AH89" t="n">
        <v>5711.523</v>
      </c>
      <c r="AI89" t="n">
        <v>5839.481</v>
      </c>
      <c r="AJ89" t="n">
        <v>5999.878</v>
      </c>
      <c r="AK89" t="n">
        <v>5735.006</v>
      </c>
      <c r="AL89" t="n">
        <v>5182.824</v>
      </c>
      <c r="AM89" t="n">
        <v>5463.627</v>
      </c>
      <c r="AN89" t="n">
        <v>4858.445</v>
      </c>
      <c r="AO89" t="n">
        <v>4370.898</v>
      </c>
      <c r="AP89" t="n">
        <v>4340.868</v>
      </c>
      <c r="AQ89" t="n">
        <v>4447.54</v>
      </c>
      <c r="AR89" t="n">
        <v>4543.028</v>
      </c>
      <c r="AS89" t="n">
        <v>4648.19</v>
      </c>
      <c r="AT89" t="n">
        <v>4702.306</v>
      </c>
      <c r="AU89" t="n">
        <v>4817.825</v>
      </c>
      <c r="AV89" t="n">
        <v>5039.33</v>
      </c>
      <c r="AW89" t="n">
        <v>4986.271</v>
      </c>
      <c r="AX89" t="n">
        <v>5093.769</v>
      </c>
      <c r="AY89" t="n">
        <v>5365.827</v>
      </c>
      <c r="AZ89" t="n">
        <v>5746.146</v>
      </c>
      <c r="BA89" t="n">
        <v>6609.664</v>
      </c>
      <c r="BB89" t="n">
        <v>6662.743</v>
      </c>
      <c r="BC89" t="n">
        <v>5804.29</v>
      </c>
      <c r="BD89" t="n">
        <v>6447.599</v>
      </c>
      <c r="BE89" t="n">
        <v>6399.75</v>
      </c>
      <c r="BF89" t="n">
        <v>6046.179</v>
      </c>
      <c r="BG89" t="n">
        <v>5843.921</v>
      </c>
      <c r="BH89" t="n">
        <v>5882.821</v>
      </c>
      <c r="BI89" t="n">
        <v>6213.06</v>
      </c>
      <c r="BJ89" t="n">
        <v>5966.157</v>
      </c>
      <c r="BK89" t="n">
        <v>5754.116</v>
      </c>
      <c r="BL89" t="n">
        <v>5403.749</v>
      </c>
      <c r="BM89" t="n">
        <v>5429.604</v>
      </c>
      <c r="BN89" t="n">
        <v>5327.671</v>
      </c>
      <c r="BO89" t="n">
        <v>5286.148</v>
      </c>
      <c r="BP89" t="n">
        <v>5091.12</v>
      </c>
      <c r="BQ89" t="n">
        <v>5406.102</v>
      </c>
      <c r="BR89" t="n">
        <v>5064.1</v>
      </c>
      <c r="BS89" t="n">
        <v>5316.246</v>
      </c>
      <c r="BT89" t="n">
        <v>4802.039</v>
      </c>
      <c r="BU89" t="n">
        <v>4895.701</v>
      </c>
      <c r="BV89" t="n">
        <v>4893.026</v>
      </c>
    </row>
    <row r="90">
      <c r="A90" t="inlineStr">
        <is>
          <t>Priacanthus macracanthus</t>
        </is>
      </c>
      <c r="B90" t="inlineStr">
        <is>
          <t>Red bigeye</t>
        </is>
      </c>
      <c r="C90" t="inlineStr">
        <is>
          <t>Medium reef assoc. fish (30 - 89 cm)</t>
        </is>
      </c>
      <c r="D90" t="inlineStr">
        <is>
          <t>Perch-likes</t>
        </is>
      </c>
      <c r="E90" t="n">
        <v>18.272</v>
      </c>
      <c r="F90" t="n">
        <v>16.341</v>
      </c>
      <c r="G90" t="n">
        <v>19.237</v>
      </c>
      <c r="H90" t="n">
        <v>20.664</v>
      </c>
      <c r="I90" t="n">
        <v>66.13200000000001</v>
      </c>
      <c r="J90" t="n">
        <v>25.862</v>
      </c>
      <c r="K90" t="n">
        <v>58.073</v>
      </c>
      <c r="L90" t="n">
        <v>49.344</v>
      </c>
      <c r="M90" t="n">
        <v>3599.674</v>
      </c>
      <c r="N90" t="n">
        <v>2976.788</v>
      </c>
      <c r="O90" t="n">
        <v>2023.8</v>
      </c>
      <c r="P90" t="n">
        <v>7659.386</v>
      </c>
      <c r="Q90" t="n">
        <v>4233.464</v>
      </c>
      <c r="R90" t="n">
        <v>2681.886</v>
      </c>
      <c r="S90" t="n">
        <v>3438.837</v>
      </c>
      <c r="T90" t="n">
        <v>3685.716</v>
      </c>
      <c r="U90" t="n">
        <v>9867.978999999999</v>
      </c>
      <c r="V90" t="n">
        <v>10881.287</v>
      </c>
      <c r="W90" t="n">
        <v>9509.709999999999</v>
      </c>
      <c r="X90" t="n">
        <v>10385.689</v>
      </c>
      <c r="Y90" t="n">
        <v>9064.016</v>
      </c>
      <c r="Z90" t="n">
        <v>10885.654</v>
      </c>
      <c r="AA90" t="n">
        <v>13954.36</v>
      </c>
      <c r="AB90" t="n">
        <v>18430.893</v>
      </c>
      <c r="AC90" t="n">
        <v>7879.58</v>
      </c>
      <c r="AD90" t="n">
        <v>8483.446</v>
      </c>
      <c r="AE90" t="n">
        <v>9060.798000000001</v>
      </c>
      <c r="AF90" t="n">
        <v>6053.518</v>
      </c>
      <c r="AG90" t="n">
        <v>4928.055</v>
      </c>
      <c r="AH90" t="n">
        <v>6252.088</v>
      </c>
      <c r="AI90" t="n">
        <v>5890.711</v>
      </c>
      <c r="AJ90" t="n">
        <v>6417.551</v>
      </c>
      <c r="AK90" t="n">
        <v>5912.544</v>
      </c>
      <c r="AL90" t="n">
        <v>6110.892</v>
      </c>
      <c r="AM90" t="n">
        <v>4235.164</v>
      </c>
      <c r="AN90" t="n">
        <v>5207.415</v>
      </c>
      <c r="AO90" t="n">
        <v>5457.449</v>
      </c>
      <c r="AP90" t="n">
        <v>5873.835</v>
      </c>
      <c r="AQ90" t="n">
        <v>4431.506</v>
      </c>
      <c r="AR90" t="n">
        <v>5072.103</v>
      </c>
      <c r="AS90" t="n">
        <v>5488.542</v>
      </c>
      <c r="AT90" t="n">
        <v>2942.296</v>
      </c>
      <c r="AU90" t="n">
        <v>4361.24</v>
      </c>
      <c r="AV90" t="n">
        <v>5815.456</v>
      </c>
      <c r="AW90" t="n">
        <v>4752.162</v>
      </c>
      <c r="AX90" t="n">
        <v>7503.633</v>
      </c>
      <c r="AY90" t="n">
        <v>14860.794</v>
      </c>
      <c r="AZ90" t="n">
        <v>8498.127</v>
      </c>
      <c r="BA90" t="n">
        <v>5795.137</v>
      </c>
      <c r="BB90" t="n">
        <v>4500.634</v>
      </c>
      <c r="BC90" t="n">
        <v>5262.155</v>
      </c>
      <c r="BD90" t="n">
        <v>4255.242</v>
      </c>
      <c r="BE90" t="n">
        <v>2961.665</v>
      </c>
      <c r="BF90" t="n">
        <v>1742.196</v>
      </c>
      <c r="BG90" t="n">
        <v>1999.258</v>
      </c>
      <c r="BH90" t="n">
        <v>1361.613</v>
      </c>
      <c r="BI90" t="n">
        <v>1310.84</v>
      </c>
      <c r="BJ90" t="n">
        <v>970.146</v>
      </c>
      <c r="BK90" t="n">
        <v>828.772</v>
      </c>
      <c r="BL90" t="n">
        <v>1491.748</v>
      </c>
      <c r="BM90" t="n">
        <v>833.838</v>
      </c>
      <c r="BN90" t="n">
        <v>869.03</v>
      </c>
      <c r="BO90" t="n">
        <v>964.303</v>
      </c>
      <c r="BP90" t="n">
        <v>1314.397</v>
      </c>
      <c r="BQ90" t="n">
        <v>1327.307</v>
      </c>
      <c r="BR90" t="n">
        <v>761.7569999999999</v>
      </c>
      <c r="BS90" t="n">
        <v>824.671</v>
      </c>
      <c r="BT90" t="n">
        <v>819.824</v>
      </c>
      <c r="BU90" t="n">
        <v>721.287</v>
      </c>
      <c r="BV90" t="n">
        <v>824.5940000000001</v>
      </c>
    </row>
    <row r="91">
      <c r="A91" t="inlineStr">
        <is>
          <t>Exocoetidae</t>
        </is>
      </c>
      <c r="B91" t="inlineStr">
        <is>
          <t>Flyingfishes</t>
        </is>
      </c>
      <c r="C91" t="inlineStr">
        <is>
          <t>Small pelagics (&lt;30 cm)</t>
        </is>
      </c>
      <c r="D91" t="inlineStr">
        <is>
          <t>Other fishes &amp; inverts</t>
        </is>
      </c>
      <c r="E91" t="n">
        <v>5598.912</v>
      </c>
      <c r="F91" t="n">
        <v>6412.916</v>
      </c>
      <c r="G91" t="n">
        <v>7161.891</v>
      </c>
      <c r="H91" t="n">
        <v>6874.683</v>
      </c>
      <c r="I91" t="n">
        <v>8343.142</v>
      </c>
      <c r="J91" t="n">
        <v>6393.757</v>
      </c>
      <c r="K91" t="n">
        <v>9484.154</v>
      </c>
      <c r="L91" t="n">
        <v>7550.796</v>
      </c>
      <c r="M91" t="n">
        <v>7100.61</v>
      </c>
      <c r="N91" t="n">
        <v>7812.155</v>
      </c>
      <c r="O91" t="n">
        <v>7577.974</v>
      </c>
      <c r="P91" t="n">
        <v>7658.632</v>
      </c>
      <c r="Q91" t="n">
        <v>8673.494000000001</v>
      </c>
      <c r="R91" t="n">
        <v>8534.877</v>
      </c>
      <c r="S91" t="n">
        <v>6969.266</v>
      </c>
      <c r="T91" t="n">
        <v>6970.377</v>
      </c>
      <c r="U91" t="n">
        <v>5515.902</v>
      </c>
      <c r="V91" t="n">
        <v>6603.507</v>
      </c>
      <c r="W91" t="n">
        <v>6192.698</v>
      </c>
      <c r="X91" t="n">
        <v>6837.644</v>
      </c>
      <c r="Y91" t="n">
        <v>4745.223</v>
      </c>
      <c r="Z91" t="n">
        <v>5894.689</v>
      </c>
      <c r="AA91" t="n">
        <v>4547.192</v>
      </c>
      <c r="AB91" t="n">
        <v>3985.336</v>
      </c>
      <c r="AC91" t="n">
        <v>3827.578</v>
      </c>
      <c r="AD91" t="n">
        <v>3803.22</v>
      </c>
      <c r="AE91" t="n">
        <v>3658.125</v>
      </c>
      <c r="AF91" t="n">
        <v>3832.066</v>
      </c>
      <c r="AG91" t="n">
        <v>4086.745</v>
      </c>
      <c r="AH91" t="n">
        <v>3520.425</v>
      </c>
      <c r="AI91" t="n">
        <v>3120.592</v>
      </c>
      <c r="AJ91" t="n">
        <v>3539.836</v>
      </c>
      <c r="AK91" t="n">
        <v>3388.017</v>
      </c>
      <c r="AL91" t="n">
        <v>3632.953</v>
      </c>
      <c r="AM91" t="n">
        <v>5011.371</v>
      </c>
      <c r="AN91" t="n">
        <v>5714.672</v>
      </c>
      <c r="AO91" t="n">
        <v>6712.345</v>
      </c>
      <c r="AP91" t="n">
        <v>4055.402</v>
      </c>
      <c r="AQ91" t="n">
        <v>3627.459</v>
      </c>
      <c r="AR91" t="n">
        <v>3428.208</v>
      </c>
      <c r="AS91" t="n">
        <v>3187.14</v>
      </c>
      <c r="AT91" t="n">
        <v>2667.36</v>
      </c>
      <c r="AU91" t="n">
        <v>3073.892</v>
      </c>
      <c r="AV91" t="n">
        <v>3392.325</v>
      </c>
      <c r="AW91" t="n">
        <v>3907.813</v>
      </c>
      <c r="AX91" t="n">
        <v>3484.823</v>
      </c>
      <c r="AY91" t="n">
        <v>4124.143</v>
      </c>
      <c r="AZ91" t="n">
        <v>6196.306</v>
      </c>
      <c r="BA91" t="n">
        <v>4539.459</v>
      </c>
      <c r="BB91" t="n">
        <v>3272.644</v>
      </c>
      <c r="BC91" t="n">
        <v>3647.968</v>
      </c>
      <c r="BD91" t="n">
        <v>3321.935</v>
      </c>
      <c r="BE91" t="n">
        <v>3046.328</v>
      </c>
      <c r="BF91" t="n">
        <v>2420.093</v>
      </c>
      <c r="BG91" t="n">
        <v>2910.445</v>
      </c>
      <c r="BH91" t="n">
        <v>2967.693</v>
      </c>
      <c r="BI91" t="n">
        <v>2983.639</v>
      </c>
      <c r="BJ91" t="n">
        <v>2361.12</v>
      </c>
      <c r="BK91" t="n">
        <v>2265.938</v>
      </c>
      <c r="BL91" t="n">
        <v>2303.272</v>
      </c>
      <c r="BM91" t="n">
        <v>2137.19</v>
      </c>
      <c r="BN91" t="n">
        <v>1918.601</v>
      </c>
      <c r="BO91" t="n">
        <v>1956.869</v>
      </c>
      <c r="BP91" t="n">
        <v>1825.779</v>
      </c>
      <c r="BQ91" t="n">
        <v>1716.346</v>
      </c>
      <c r="BR91" t="n">
        <v>1631.373</v>
      </c>
      <c r="BS91" t="n">
        <v>1677.058</v>
      </c>
      <c r="BT91" t="n">
        <v>1637.255</v>
      </c>
      <c r="BU91" t="n">
        <v>1683.056</v>
      </c>
      <c r="BV91" t="n">
        <v>1637.305</v>
      </c>
    </row>
    <row r="92">
      <c r="A92" t="inlineStr">
        <is>
          <t>Scomber australasicus</t>
        </is>
      </c>
      <c r="B92" t="inlineStr">
        <is>
          <t>Blue mackerel</t>
        </is>
      </c>
      <c r="C92" t="inlineStr">
        <is>
          <t>Medium pelagics (30 - 89 cm)</t>
        </is>
      </c>
      <c r="D92" t="inlineStr">
        <is>
          <t>Perch-likes</t>
        </is>
      </c>
      <c r="E92" t="n">
        <v>464.431</v>
      </c>
      <c r="F92" t="n">
        <v>570.62</v>
      </c>
      <c r="G92" t="n">
        <v>669.125</v>
      </c>
      <c r="H92" t="n">
        <v>717.924</v>
      </c>
      <c r="I92" t="n">
        <v>729.022</v>
      </c>
      <c r="J92" t="n">
        <v>885.3819999999999</v>
      </c>
      <c r="K92" t="n">
        <v>1030.906</v>
      </c>
      <c r="L92" t="n">
        <v>1129.972</v>
      </c>
      <c r="M92" t="n">
        <v>1251.54</v>
      </c>
      <c r="N92" t="n">
        <v>1416.325</v>
      </c>
      <c r="O92" t="n">
        <v>1519.612</v>
      </c>
      <c r="P92" t="n">
        <v>1804.649</v>
      </c>
      <c r="Q92" t="n">
        <v>1989.591</v>
      </c>
      <c r="R92" t="n">
        <v>2148.63</v>
      </c>
      <c r="S92" t="n">
        <v>2429.974</v>
      </c>
      <c r="T92" t="n">
        <v>2650.149</v>
      </c>
      <c r="U92" t="n">
        <v>2952.929</v>
      </c>
      <c r="V92" t="n">
        <v>3287.329</v>
      </c>
      <c r="W92" t="n">
        <v>3803.404</v>
      </c>
      <c r="X92" t="n">
        <v>4258.186</v>
      </c>
      <c r="Y92" t="n">
        <v>4459.228</v>
      </c>
      <c r="Z92" t="n">
        <v>4815.943</v>
      </c>
      <c r="AA92" t="n">
        <v>4708.643</v>
      </c>
      <c r="AB92" t="n">
        <v>5016.562</v>
      </c>
      <c r="AC92" t="n">
        <v>5019.924</v>
      </c>
      <c r="AD92" t="n">
        <v>6406.881</v>
      </c>
      <c r="AE92" t="n">
        <v>6639.232</v>
      </c>
      <c r="AF92" t="n">
        <v>6917.624</v>
      </c>
      <c r="AG92" t="n">
        <v>7693.005</v>
      </c>
      <c r="AH92" t="n">
        <v>8152.877</v>
      </c>
      <c r="AI92" t="n">
        <v>8186.936</v>
      </c>
      <c r="AJ92" t="n">
        <v>7178.23</v>
      </c>
      <c r="AK92" t="n">
        <v>7084.998</v>
      </c>
      <c r="AL92" t="n">
        <v>7075.572</v>
      </c>
      <c r="AM92" t="n">
        <v>6959.466</v>
      </c>
      <c r="AN92" t="n">
        <v>7169.098</v>
      </c>
      <c r="AO92" t="n">
        <v>7183.854</v>
      </c>
      <c r="AP92" t="n">
        <v>6624.599</v>
      </c>
      <c r="AQ92" t="n">
        <v>6396.899</v>
      </c>
      <c r="AR92" t="n">
        <v>5779.549</v>
      </c>
      <c r="AS92" t="n">
        <v>4625.492</v>
      </c>
      <c r="AT92" t="n">
        <v>4143.209</v>
      </c>
      <c r="AU92" t="n">
        <v>4306.463</v>
      </c>
      <c r="AV92" t="n">
        <v>3811.342</v>
      </c>
      <c r="AW92" t="n">
        <v>3708.644</v>
      </c>
      <c r="AX92" t="n">
        <v>4403.545</v>
      </c>
      <c r="AY92" t="n">
        <v>4174.629</v>
      </c>
      <c r="AZ92" t="n">
        <v>3720.658</v>
      </c>
      <c r="BA92" t="n">
        <v>3060.395</v>
      </c>
      <c r="BB92" t="n">
        <v>3168.7</v>
      </c>
      <c r="BC92" t="n">
        <v>2021.272</v>
      </c>
      <c r="BD92" t="n">
        <v>1628.608</v>
      </c>
      <c r="BE92" t="n">
        <v>2284.57</v>
      </c>
      <c r="BF92" t="n">
        <v>2427.267</v>
      </c>
      <c r="BG92" t="n">
        <v>4112.363</v>
      </c>
      <c r="BH92" t="n">
        <v>5430.545</v>
      </c>
      <c r="BI92" t="n">
        <v>3912.273</v>
      </c>
      <c r="BJ92" t="n">
        <v>3141.806</v>
      </c>
      <c r="BK92" t="n">
        <v>3193.115</v>
      </c>
      <c r="BL92" t="n">
        <v>3407.243</v>
      </c>
      <c r="BM92" t="n">
        <v>3200.667</v>
      </c>
      <c r="BN92" t="n">
        <v>3972.694</v>
      </c>
      <c r="BO92" t="n">
        <v>5878.031</v>
      </c>
      <c r="BP92" t="n">
        <v>10567.054</v>
      </c>
      <c r="BQ92" t="n">
        <v>4987.857</v>
      </c>
      <c r="BR92" t="n">
        <v>8551.751</v>
      </c>
      <c r="BS92" t="n">
        <v>16109.827</v>
      </c>
      <c r="BT92" t="n">
        <v>3879.516</v>
      </c>
      <c r="BU92" t="n">
        <v>5863.218</v>
      </c>
      <c r="BV92" t="n">
        <v>4005.927</v>
      </c>
    </row>
    <row r="93">
      <c r="A93" t="inlineStr">
        <is>
          <t>Mytilus coruscus</t>
        </is>
      </c>
      <c r="B93" t="inlineStr">
        <is>
          <t>Korean mussel</t>
        </is>
      </c>
      <c r="C93" t="inlineStr">
        <is>
          <t>Other demersal invertebrates</t>
        </is>
      </c>
      <c r="D93" t="inlineStr">
        <is>
          <t>Molluscs</t>
        </is>
      </c>
      <c r="E93" t="n">
        <v>2277.938</v>
      </c>
      <c r="F93" t="n">
        <v>4497.118</v>
      </c>
      <c r="G93" t="n">
        <v>5168.839</v>
      </c>
      <c r="H93" t="n">
        <v>3546.488</v>
      </c>
      <c r="I93" t="n">
        <v>963.622</v>
      </c>
      <c r="J93" t="n">
        <v>1410.47</v>
      </c>
      <c r="K93" t="n">
        <v>1571.916</v>
      </c>
      <c r="L93" t="n">
        <v>1845.342</v>
      </c>
      <c r="M93" t="n">
        <v>3458.85</v>
      </c>
      <c r="N93" t="n">
        <v>1579.446</v>
      </c>
      <c r="O93" t="n">
        <v>1482.634</v>
      </c>
      <c r="P93" t="n">
        <v>1461.869</v>
      </c>
      <c r="Q93" t="n">
        <v>2096.723</v>
      </c>
      <c r="R93" t="n">
        <v>2502.568</v>
      </c>
      <c r="S93" t="n">
        <v>2456.016</v>
      </c>
      <c r="T93" t="n">
        <v>1721.37</v>
      </c>
      <c r="U93" t="n">
        <v>2613.782</v>
      </c>
      <c r="V93" t="n">
        <v>3347.874</v>
      </c>
      <c r="W93" t="n">
        <v>3003.264</v>
      </c>
      <c r="X93" t="n">
        <v>5380.577</v>
      </c>
      <c r="Y93" t="n">
        <v>4097.74</v>
      </c>
      <c r="Z93" t="n">
        <v>8534.519</v>
      </c>
      <c r="AA93" t="n">
        <v>11976.296</v>
      </c>
      <c r="AB93" t="n">
        <v>9571.724</v>
      </c>
      <c r="AC93" t="n">
        <v>11559.644</v>
      </c>
      <c r="AD93" t="n">
        <v>15044.301</v>
      </c>
      <c r="AE93" t="n">
        <v>17206.841</v>
      </c>
      <c r="AF93" t="n">
        <v>15326.492</v>
      </c>
      <c r="AG93" t="n">
        <v>10651.534</v>
      </c>
      <c r="AH93" t="n">
        <v>8905.523999999999</v>
      </c>
      <c r="AI93" t="n">
        <v>7895.686</v>
      </c>
      <c r="AJ93" t="n">
        <v>3981.673</v>
      </c>
      <c r="AK93" t="n">
        <v>4806.926</v>
      </c>
      <c r="AL93" t="n">
        <v>5368.699</v>
      </c>
      <c r="AM93" t="n">
        <v>6120.207</v>
      </c>
      <c r="AN93" t="n">
        <v>5523.064</v>
      </c>
      <c r="AO93" t="n">
        <v>5198.918</v>
      </c>
      <c r="AP93" t="n">
        <v>3787.117</v>
      </c>
      <c r="AQ93" t="n">
        <v>3628.802</v>
      </c>
      <c r="AR93" t="n">
        <v>7062.185</v>
      </c>
      <c r="AS93" t="n">
        <v>6163.148</v>
      </c>
      <c r="AT93" t="n">
        <v>7870.378</v>
      </c>
      <c r="AU93" t="n">
        <v>8862.205</v>
      </c>
      <c r="AV93" t="n">
        <v>2699.721</v>
      </c>
      <c r="AW93" t="n">
        <v>3706.597</v>
      </c>
      <c r="AX93" t="n">
        <v>4027.236</v>
      </c>
      <c r="AY93" t="n">
        <v>3529.09</v>
      </c>
      <c r="AZ93" t="n">
        <v>4810.413</v>
      </c>
      <c r="BA93" t="n">
        <v>2442.925</v>
      </c>
      <c r="BB93" t="n">
        <v>1907.955</v>
      </c>
      <c r="BC93" t="n">
        <v>1440.415</v>
      </c>
      <c r="BD93" t="n">
        <v>1392.732</v>
      </c>
      <c r="BE93" t="n">
        <v>1194.733</v>
      </c>
      <c r="BF93" t="n">
        <v>800.1130000000001</v>
      </c>
      <c r="BG93" t="n">
        <v>589.66</v>
      </c>
      <c r="BH93" t="n">
        <v>719.045</v>
      </c>
      <c r="BI93" t="n">
        <v>1138.448</v>
      </c>
      <c r="BJ93" t="n">
        <v>1506.586</v>
      </c>
      <c r="BK93" t="n">
        <v>2291.915</v>
      </c>
      <c r="BL93" t="n">
        <v>3560.226</v>
      </c>
      <c r="BM93" t="n">
        <v>3567.929</v>
      </c>
      <c r="BN93" t="n">
        <v>2512.691</v>
      </c>
      <c r="BO93" t="n">
        <v>1976.48</v>
      </c>
      <c r="BP93" t="n">
        <v>2280.87</v>
      </c>
      <c r="BQ93" t="n">
        <v>2260.425</v>
      </c>
      <c r="BR93" t="n">
        <v>1884.127</v>
      </c>
      <c r="BS93" t="n">
        <v>2574.143</v>
      </c>
      <c r="BT93" t="n">
        <v>2004.152</v>
      </c>
      <c r="BU93" t="n">
        <v>1824.67</v>
      </c>
      <c r="BV93" t="n">
        <v>1624.278</v>
      </c>
    </row>
    <row r="94">
      <c r="A94" t="inlineStr">
        <is>
          <t>Atrobucca nibe</t>
        </is>
      </c>
      <c r="B94" t="inlineStr">
        <is>
          <t>Blackmouth croaker</t>
        </is>
      </c>
      <c r="C94" t="inlineStr">
        <is>
          <t>Medium demersals (30 - 89 cm)</t>
        </is>
      </c>
      <c r="D94" t="inlineStr">
        <is>
          <t>Perch-likes</t>
        </is>
      </c>
      <c r="E94" t="n">
        <v>3726.349</v>
      </c>
      <c r="F94" t="n">
        <v>4895.415</v>
      </c>
      <c r="G94" t="n">
        <v>6615.693</v>
      </c>
      <c r="H94" t="n">
        <v>6684.763</v>
      </c>
      <c r="I94" t="n">
        <v>6716.665</v>
      </c>
      <c r="J94" t="n">
        <v>5436.46</v>
      </c>
      <c r="K94" t="n">
        <v>4521.063</v>
      </c>
      <c r="L94" t="n">
        <v>4216.37</v>
      </c>
      <c r="M94" t="n">
        <v>4772.745</v>
      </c>
      <c r="N94" t="n">
        <v>4512.909</v>
      </c>
      <c r="O94" t="n">
        <v>4493.885</v>
      </c>
      <c r="P94" t="n">
        <v>2084.109</v>
      </c>
      <c r="Q94" t="n">
        <v>3347.897</v>
      </c>
      <c r="R94" t="n">
        <v>3237.925</v>
      </c>
      <c r="S94" t="n">
        <v>4888.669</v>
      </c>
      <c r="T94" t="n">
        <v>4044.858</v>
      </c>
      <c r="U94" t="n">
        <v>3390.459</v>
      </c>
      <c r="V94" t="n">
        <v>3551.959</v>
      </c>
      <c r="W94" t="n">
        <v>3142.215</v>
      </c>
      <c r="X94" t="n">
        <v>3205.39</v>
      </c>
      <c r="Y94" t="n">
        <v>3356.503</v>
      </c>
      <c r="Z94" t="n">
        <v>5969.393</v>
      </c>
      <c r="AA94" t="n">
        <v>12861.572</v>
      </c>
      <c r="AB94" t="n">
        <v>13831.013</v>
      </c>
      <c r="AC94" t="n">
        <v>11148.103</v>
      </c>
      <c r="AD94" t="n">
        <v>11560.473</v>
      </c>
      <c r="AE94" t="n">
        <v>9367.893</v>
      </c>
      <c r="AF94" t="n">
        <v>9753.915999999999</v>
      </c>
      <c r="AG94" t="n">
        <v>9679.063</v>
      </c>
      <c r="AH94" t="n">
        <v>8227.780000000001</v>
      </c>
      <c r="AI94" t="n">
        <v>8883.477000000001</v>
      </c>
      <c r="AJ94" t="n">
        <v>8385.848</v>
      </c>
      <c r="AK94" t="n">
        <v>8072.524</v>
      </c>
      <c r="AL94" t="n">
        <v>9230.27</v>
      </c>
      <c r="AM94" t="n">
        <v>8395.539000000001</v>
      </c>
      <c r="AN94" t="n">
        <v>8661.877</v>
      </c>
      <c r="AO94" t="n">
        <v>9052.169</v>
      </c>
      <c r="AP94" t="n">
        <v>7225.91</v>
      </c>
      <c r="AQ94" t="n">
        <v>6143.665</v>
      </c>
      <c r="AR94" t="n">
        <v>7472.078</v>
      </c>
      <c r="AS94" t="n">
        <v>3473.4</v>
      </c>
      <c r="AT94" t="n">
        <v>2285.492</v>
      </c>
      <c r="AU94" t="n">
        <v>4269.341</v>
      </c>
      <c r="AV94" t="n">
        <v>4161.185</v>
      </c>
      <c r="AW94" t="n">
        <v>1126.93</v>
      </c>
      <c r="AX94" t="n">
        <v>436.782</v>
      </c>
      <c r="AY94" t="n">
        <v>842.439</v>
      </c>
      <c r="AZ94" t="n">
        <v>758.396</v>
      </c>
      <c r="BA94" t="n">
        <v>532.266</v>
      </c>
      <c r="BB94" t="n">
        <v>497.518</v>
      </c>
      <c r="BC94" t="n">
        <v>871.705</v>
      </c>
      <c r="BD94" t="n">
        <v>1234.552</v>
      </c>
      <c r="BE94" t="n">
        <v>995.869</v>
      </c>
      <c r="BF94" t="n">
        <v>452.5</v>
      </c>
      <c r="BG94" t="n">
        <v>427.128</v>
      </c>
      <c r="BH94" t="n">
        <v>332.269</v>
      </c>
      <c r="BI94" t="n">
        <v>438.14</v>
      </c>
      <c r="BJ94" t="n">
        <v>388.059</v>
      </c>
      <c r="BK94" t="n">
        <v>394.511</v>
      </c>
      <c r="BL94" t="n">
        <v>664.442</v>
      </c>
      <c r="BM94" t="n">
        <v>395.39</v>
      </c>
      <c r="BN94" t="n">
        <v>465.01</v>
      </c>
      <c r="BO94" t="n">
        <v>522.822</v>
      </c>
      <c r="BP94" t="n">
        <v>575.59</v>
      </c>
      <c r="BQ94" t="n">
        <v>631.577</v>
      </c>
      <c r="BR94" t="n">
        <v>608.77</v>
      </c>
      <c r="BS94" t="n">
        <v>579.902</v>
      </c>
      <c r="BT94" t="n">
        <v>725.648</v>
      </c>
      <c r="BU94" t="n">
        <v>531.547</v>
      </c>
      <c r="BV94" t="n">
        <v>739.21</v>
      </c>
    </row>
    <row r="95">
      <c r="A95" t="inlineStr">
        <is>
          <t>Spratelloides gracilis</t>
        </is>
      </c>
      <c r="B95" t="inlineStr">
        <is>
          <t>Silver-stripe round herring</t>
        </is>
      </c>
      <c r="C95" t="inlineStr">
        <is>
          <t>Small pelagics (&lt;30 cm)</t>
        </is>
      </c>
      <c r="D95" t="inlineStr">
        <is>
          <t>Herring-likes</t>
        </is>
      </c>
      <c r="E95" t="n">
        <v>3.085</v>
      </c>
      <c r="F95" t="n">
        <v>13.556</v>
      </c>
      <c r="G95" t="n">
        <v>4.444</v>
      </c>
      <c r="H95" t="n">
        <v>9.794</v>
      </c>
      <c r="I95" t="n">
        <v>19607.824</v>
      </c>
      <c r="J95" t="n">
        <v>12155.734</v>
      </c>
      <c r="K95" t="n">
        <v>8607.603999999999</v>
      </c>
      <c r="L95" t="n">
        <v>7498.802</v>
      </c>
      <c r="M95" t="n">
        <v>9978.633</v>
      </c>
      <c r="N95" t="n">
        <v>10270.603</v>
      </c>
      <c r="O95" t="n">
        <v>8557.232</v>
      </c>
      <c r="P95" t="n">
        <v>12563.27</v>
      </c>
      <c r="Q95" t="n">
        <v>11618.897</v>
      </c>
      <c r="R95" t="n">
        <v>16646.663</v>
      </c>
      <c r="S95" t="n">
        <v>10995.329</v>
      </c>
      <c r="T95" t="n">
        <v>10824.142</v>
      </c>
      <c r="U95" t="n">
        <v>10982.987</v>
      </c>
      <c r="V95" t="n">
        <v>11411.051</v>
      </c>
      <c r="W95" t="n">
        <v>7901.824</v>
      </c>
      <c r="X95" t="n">
        <v>9035.948</v>
      </c>
      <c r="Y95" t="n">
        <v>7160.546</v>
      </c>
      <c r="Z95" t="n">
        <v>8778.603999999999</v>
      </c>
      <c r="AA95" t="n">
        <v>7724.467</v>
      </c>
      <c r="AB95" t="n">
        <v>7323.026</v>
      </c>
      <c r="AC95" t="n">
        <v>10805.246</v>
      </c>
      <c r="AD95" t="n">
        <v>11223.57</v>
      </c>
      <c r="AE95" t="n">
        <v>11632.272</v>
      </c>
      <c r="AF95" t="n">
        <v>5473.645</v>
      </c>
      <c r="AG95" t="n">
        <v>2630.778</v>
      </c>
      <c r="AH95" t="n">
        <v>1852.54</v>
      </c>
      <c r="AI95" t="n">
        <v>1424.083</v>
      </c>
      <c r="AJ95" t="n">
        <v>3541.202</v>
      </c>
      <c r="AK95" t="n">
        <v>4608.368</v>
      </c>
      <c r="AL95" t="n">
        <v>3557.228</v>
      </c>
      <c r="AM95" t="n">
        <v>2399.082</v>
      </c>
      <c r="AN95" t="n">
        <v>1033.795</v>
      </c>
      <c r="AO95" t="n">
        <v>847.615</v>
      </c>
      <c r="AP95" t="n">
        <v>941.294</v>
      </c>
      <c r="AQ95" t="n">
        <v>803.41</v>
      </c>
      <c r="AR95" t="n">
        <v>417.944</v>
      </c>
      <c r="AS95" t="n">
        <v>519.322</v>
      </c>
      <c r="AT95" t="n">
        <v>531.0309999999999</v>
      </c>
      <c r="AU95" t="n">
        <v>1033.812</v>
      </c>
      <c r="AV95" t="n">
        <v>850.019</v>
      </c>
      <c r="AW95" t="n">
        <v>1909.501</v>
      </c>
      <c r="AX95" t="n">
        <v>1376.201</v>
      </c>
      <c r="AY95" t="n">
        <v>1125.581</v>
      </c>
      <c r="AZ95" t="n">
        <v>1195.165</v>
      </c>
      <c r="BA95" t="n">
        <v>1450.419</v>
      </c>
      <c r="BB95" t="n">
        <v>1005.805</v>
      </c>
      <c r="BC95" t="n">
        <v>1013.379</v>
      </c>
      <c r="BD95" t="n">
        <v>723.205</v>
      </c>
      <c r="BE95" t="n">
        <v>1465.175</v>
      </c>
      <c r="BF95" t="n">
        <v>263.029</v>
      </c>
      <c r="BG95" t="n">
        <v>466.068</v>
      </c>
      <c r="BH95" t="n">
        <v>170.5</v>
      </c>
      <c r="BI95" t="n">
        <v>367.326</v>
      </c>
      <c r="BJ95" t="n">
        <v>246.581</v>
      </c>
      <c r="BK95" t="n">
        <v>142.551</v>
      </c>
      <c r="BL95" t="n">
        <v>406.013</v>
      </c>
      <c r="BM95" t="n">
        <v>268.769</v>
      </c>
      <c r="BN95" t="n">
        <v>316.651</v>
      </c>
      <c r="BO95" t="n">
        <v>319.648</v>
      </c>
      <c r="BP95" t="n">
        <v>339.507</v>
      </c>
      <c r="BQ95" t="n">
        <v>535.207</v>
      </c>
      <c r="BR95" t="n">
        <v>308.316</v>
      </c>
      <c r="BS95" t="n">
        <v>229.773</v>
      </c>
      <c r="BT95" t="n">
        <v>216.304</v>
      </c>
      <c r="BU95" t="n">
        <v>204.238</v>
      </c>
      <c r="BV95" t="n">
        <v>196.736</v>
      </c>
    </row>
    <row r="96">
      <c r="A96" t="inlineStr">
        <is>
          <t>Ruvettus pretiosus</t>
        </is>
      </c>
      <c r="B96" t="inlineStr">
        <is>
          <t>Oilfish</t>
        </is>
      </c>
      <c r="C96" t="inlineStr">
        <is>
          <t>Large benthopelagics (&gt;=90 cm)</t>
        </is>
      </c>
      <c r="D96" t="inlineStr">
        <is>
          <t>Perch-likes</t>
        </is>
      </c>
      <c r="E96" t="n">
        <v>28.856</v>
      </c>
      <c r="F96" t="n">
        <v>0</v>
      </c>
      <c r="G96" t="n">
        <v>0</v>
      </c>
      <c r="H96" t="n">
        <v>3.539</v>
      </c>
      <c r="I96" t="n">
        <v>0</v>
      </c>
      <c r="J96" t="n">
        <v>0</v>
      </c>
      <c r="K96" t="n">
        <v>48.516</v>
      </c>
      <c r="L96" t="n">
        <v>2.365</v>
      </c>
      <c r="M96" t="n">
        <v>152.105</v>
      </c>
      <c r="N96" t="n">
        <v>144.075</v>
      </c>
      <c r="O96" t="n">
        <v>289.409</v>
      </c>
      <c r="P96" t="n">
        <v>252.679</v>
      </c>
      <c r="Q96" t="n">
        <v>129.907</v>
      </c>
      <c r="R96" t="n">
        <v>120.873</v>
      </c>
      <c r="S96" t="n">
        <v>125.574</v>
      </c>
      <c r="T96" t="n">
        <v>121.355</v>
      </c>
      <c r="U96" t="n">
        <v>112.347</v>
      </c>
      <c r="V96" t="n">
        <v>112.3</v>
      </c>
      <c r="W96" t="n">
        <v>229.659</v>
      </c>
      <c r="X96" t="n">
        <v>338.883</v>
      </c>
      <c r="Y96" t="n">
        <v>284.985</v>
      </c>
      <c r="Z96" t="n">
        <v>233.325</v>
      </c>
      <c r="AA96" t="n">
        <v>194.757</v>
      </c>
      <c r="AB96" t="n">
        <v>282.845</v>
      </c>
      <c r="AC96" t="n">
        <v>288.353</v>
      </c>
      <c r="AD96" t="n">
        <v>490.365</v>
      </c>
      <c r="AE96" t="n">
        <v>593.2</v>
      </c>
      <c r="AF96" t="n">
        <v>756.71</v>
      </c>
      <c r="AG96" t="n">
        <v>657.274</v>
      </c>
      <c r="AH96" t="n">
        <v>584.908</v>
      </c>
      <c r="AI96" t="n">
        <v>833.213</v>
      </c>
      <c r="AJ96" t="n">
        <v>1044.205</v>
      </c>
      <c r="AK96" t="n">
        <v>989.826</v>
      </c>
      <c r="AL96" t="n">
        <v>1044.574</v>
      </c>
      <c r="AM96" t="n">
        <v>1654.635</v>
      </c>
      <c r="AN96" t="n">
        <v>2733.032</v>
      </c>
      <c r="AO96" t="n">
        <v>3178.996</v>
      </c>
      <c r="AP96" t="n">
        <v>2875.522</v>
      </c>
      <c r="AQ96" t="n">
        <v>4593.577</v>
      </c>
      <c r="AR96" t="n">
        <v>5735.502</v>
      </c>
      <c r="AS96" t="n">
        <v>7815.086</v>
      </c>
      <c r="AT96" t="n">
        <v>9117.892</v>
      </c>
      <c r="AU96" t="n">
        <v>7776.485</v>
      </c>
      <c r="AV96" t="n">
        <v>4240.969</v>
      </c>
      <c r="AW96" t="n">
        <v>5387.974</v>
      </c>
      <c r="AX96" t="n">
        <v>9010.925999999999</v>
      </c>
      <c r="AY96" t="n">
        <v>8604.460999999999</v>
      </c>
      <c r="AZ96" t="n">
        <v>7080.442</v>
      </c>
      <c r="BA96" t="n">
        <v>7654.923</v>
      </c>
      <c r="BB96" t="n">
        <v>6862.062</v>
      </c>
      <c r="BC96" t="n">
        <v>5234.673</v>
      </c>
      <c r="BD96" t="n">
        <v>7720.93</v>
      </c>
      <c r="BE96" t="n">
        <v>8281.941999999999</v>
      </c>
      <c r="BF96" t="n">
        <v>4908.295</v>
      </c>
      <c r="BG96" t="n">
        <v>7789.47</v>
      </c>
      <c r="BH96" t="n">
        <v>11955.395</v>
      </c>
      <c r="BI96" t="n">
        <v>16103.174</v>
      </c>
      <c r="BJ96" t="n">
        <v>14045.691</v>
      </c>
      <c r="BK96" t="n">
        <v>5334.384</v>
      </c>
      <c r="BL96" t="n">
        <v>9354.643</v>
      </c>
      <c r="BM96" t="n">
        <v>5042.829</v>
      </c>
      <c r="BN96" t="n">
        <v>3913.721</v>
      </c>
      <c r="BO96" t="n">
        <v>4557.887</v>
      </c>
      <c r="BP96" t="n">
        <v>8257.941999999999</v>
      </c>
      <c r="BQ96" t="n">
        <v>7535.886</v>
      </c>
      <c r="BR96" t="n">
        <v>6308.305</v>
      </c>
      <c r="BS96" t="n">
        <v>10169.164</v>
      </c>
      <c r="BT96" t="n">
        <v>9978.173000000001</v>
      </c>
      <c r="BU96" t="n">
        <v>8210.956</v>
      </c>
      <c r="BV96" t="n">
        <v>10020.611</v>
      </c>
    </row>
    <row r="97">
      <c r="A97" t="inlineStr">
        <is>
          <t>Lutjanidae</t>
        </is>
      </c>
      <c r="B97" t="inlineStr">
        <is>
          <t>Snappers</t>
        </is>
      </c>
      <c r="C97" t="inlineStr">
        <is>
          <t>Medium reef assoc. fish (30 - 89 cm)</t>
        </is>
      </c>
      <c r="D97" t="inlineStr">
        <is>
          <t>Perch-likes</t>
        </is>
      </c>
      <c r="E97" t="n">
        <v>0</v>
      </c>
      <c r="F97" t="n">
        <v>0</v>
      </c>
      <c r="G97" t="n">
        <v>55.848</v>
      </c>
      <c r="H97" t="n">
        <v>186.527</v>
      </c>
      <c r="I97" t="n">
        <v>23.001</v>
      </c>
      <c r="J97" t="n">
        <v>0</v>
      </c>
      <c r="K97" t="n">
        <v>0</v>
      </c>
      <c r="L97" t="n">
        <v>37.295</v>
      </c>
      <c r="M97" t="n">
        <v>593.873</v>
      </c>
      <c r="N97" t="n">
        <v>293.738</v>
      </c>
      <c r="O97" t="n">
        <v>3623.62</v>
      </c>
      <c r="P97" t="n">
        <v>2852.87</v>
      </c>
      <c r="Q97" t="n">
        <v>2533.984</v>
      </c>
      <c r="R97" t="n">
        <v>1908.044</v>
      </c>
      <c r="S97" t="n">
        <v>1489.756</v>
      </c>
      <c r="T97" t="n">
        <v>1605.86</v>
      </c>
      <c r="U97" t="n">
        <v>3809.7</v>
      </c>
      <c r="V97" t="n">
        <v>3883.191</v>
      </c>
      <c r="W97" t="n">
        <v>4088.594</v>
      </c>
      <c r="X97" t="n">
        <v>4651.421</v>
      </c>
      <c r="Y97" t="n">
        <v>4222.988</v>
      </c>
      <c r="Z97" t="n">
        <v>6149.376</v>
      </c>
      <c r="AA97" t="n">
        <v>12965.444</v>
      </c>
      <c r="AB97" t="n">
        <v>14559.786</v>
      </c>
      <c r="AC97" t="n">
        <v>10583.536</v>
      </c>
      <c r="AD97" t="n">
        <v>14939.678</v>
      </c>
      <c r="AE97" t="n">
        <v>9548.058999999999</v>
      </c>
      <c r="AF97" t="n">
        <v>6303.103</v>
      </c>
      <c r="AG97" t="n">
        <v>5907.528</v>
      </c>
      <c r="AH97" t="n">
        <v>5042.546</v>
      </c>
      <c r="AI97" t="n">
        <v>6047.084</v>
      </c>
      <c r="AJ97" t="n">
        <v>5360.892</v>
      </c>
      <c r="AK97" t="n">
        <v>7078.092</v>
      </c>
      <c r="AL97" t="n">
        <v>6601.273</v>
      </c>
      <c r="AM97" t="n">
        <v>8330.227000000001</v>
      </c>
      <c r="AN97" t="n">
        <v>10004.286</v>
      </c>
      <c r="AO97" t="n">
        <v>7762.993</v>
      </c>
      <c r="AP97" t="n">
        <v>7923.692</v>
      </c>
      <c r="AQ97" t="n">
        <v>9454.814</v>
      </c>
      <c r="AR97" t="n">
        <v>11956.633</v>
      </c>
      <c r="AS97" t="n">
        <v>12808.807</v>
      </c>
      <c r="AT97" t="n">
        <v>9174.821</v>
      </c>
      <c r="AU97" t="n">
        <v>8796.385</v>
      </c>
      <c r="AV97" t="n">
        <v>5947.651</v>
      </c>
      <c r="AW97" t="n">
        <v>7439.29</v>
      </c>
      <c r="AX97" t="n">
        <v>3120.7</v>
      </c>
      <c r="AY97" t="n">
        <v>5980.146</v>
      </c>
      <c r="AZ97" t="n">
        <v>3146.201</v>
      </c>
      <c r="BA97" t="n">
        <v>1584.277</v>
      </c>
      <c r="BB97" t="n">
        <v>1046.534</v>
      </c>
      <c r="BC97" t="n">
        <v>569.773</v>
      </c>
      <c r="BD97" t="n">
        <v>688.9109999999999</v>
      </c>
      <c r="BE97" t="n">
        <v>662.854</v>
      </c>
      <c r="BF97" t="n">
        <v>237.908</v>
      </c>
      <c r="BG97" t="n">
        <v>245.915</v>
      </c>
      <c r="BH97" t="n">
        <v>192.125</v>
      </c>
      <c r="BI97" t="n">
        <v>157.416</v>
      </c>
      <c r="BJ97" t="n">
        <v>200.747</v>
      </c>
      <c r="BK97" t="n">
        <v>22.387</v>
      </c>
      <c r="BL97" t="n">
        <v>33.563</v>
      </c>
      <c r="BM97" t="n">
        <v>45.639</v>
      </c>
      <c r="BN97" t="n">
        <v>22.863</v>
      </c>
      <c r="BO97" t="n">
        <v>277.495</v>
      </c>
      <c r="BP97" t="n">
        <v>208.694</v>
      </c>
      <c r="BQ97" t="n">
        <v>266.729</v>
      </c>
      <c r="BR97" t="n">
        <v>262.957</v>
      </c>
      <c r="BS97" t="n">
        <v>286.174</v>
      </c>
      <c r="BT97" t="n">
        <v>251.769</v>
      </c>
      <c r="BU97" t="n">
        <v>184.396</v>
      </c>
      <c r="BV97" t="n">
        <v>219.625</v>
      </c>
    </row>
    <row r="98">
      <c r="A98" t="inlineStr">
        <is>
          <t>Sebastidae</t>
        </is>
      </c>
      <c r="B98" t="inlineStr">
        <is>
          <t>Rockfishes, rockcods, thornyheads</t>
        </is>
      </c>
      <c r="C98" t="inlineStr">
        <is>
          <t>Medium demersals (30 - 89 cm)</t>
        </is>
      </c>
      <c r="D98" t="inlineStr">
        <is>
          <t>Scorpionfishes</t>
        </is>
      </c>
      <c r="E98" t="n">
        <v>6438.461</v>
      </c>
      <c r="F98" t="n">
        <v>6733.555</v>
      </c>
      <c r="G98" t="n">
        <v>6316.479</v>
      </c>
      <c r="H98" t="n">
        <v>6479.206</v>
      </c>
      <c r="I98" t="n">
        <v>6660.591</v>
      </c>
      <c r="J98" t="n">
        <v>6682.807</v>
      </c>
      <c r="K98" t="n">
        <v>6625.977</v>
      </c>
      <c r="L98" t="n">
        <v>7074.426</v>
      </c>
      <c r="M98" t="n">
        <v>7155.074</v>
      </c>
      <c r="N98" t="n">
        <v>7177.701</v>
      </c>
      <c r="O98" t="n">
        <v>5242.571</v>
      </c>
      <c r="P98" t="n">
        <v>5488.003</v>
      </c>
      <c r="Q98" t="n">
        <v>5810.586</v>
      </c>
      <c r="R98" t="n">
        <v>4629.081</v>
      </c>
      <c r="S98" t="n">
        <v>3737.004</v>
      </c>
      <c r="T98" t="n">
        <v>3731.544</v>
      </c>
      <c r="U98" t="n">
        <v>3963.693</v>
      </c>
      <c r="V98" t="n">
        <v>4431.483</v>
      </c>
      <c r="W98" t="n">
        <v>4883.3</v>
      </c>
      <c r="X98" t="n">
        <v>5014.087</v>
      </c>
      <c r="Y98" t="n">
        <v>5426.033</v>
      </c>
      <c r="Z98" t="n">
        <v>5593.99</v>
      </c>
      <c r="AA98" t="n">
        <v>5425.06</v>
      </c>
      <c r="AB98" t="n">
        <v>4546.447</v>
      </c>
      <c r="AC98" t="n">
        <v>5110.193</v>
      </c>
      <c r="AD98" t="n">
        <v>6838.64</v>
      </c>
      <c r="AE98" t="n">
        <v>6549.17</v>
      </c>
      <c r="AF98" t="n">
        <v>6339.107</v>
      </c>
      <c r="AG98" t="n">
        <v>6218.981</v>
      </c>
      <c r="AH98" t="n">
        <v>5259.273</v>
      </c>
      <c r="AI98" t="n">
        <v>5886.569</v>
      </c>
      <c r="AJ98" t="n">
        <v>5637.994</v>
      </c>
      <c r="AK98" t="n">
        <v>6216.913</v>
      </c>
      <c r="AL98" t="n">
        <v>5830.255</v>
      </c>
      <c r="AM98" t="n">
        <v>4169.837</v>
      </c>
      <c r="AN98" t="n">
        <v>3966.936</v>
      </c>
      <c r="AO98" t="n">
        <v>3095.413</v>
      </c>
      <c r="AP98" t="n">
        <v>3291.73</v>
      </c>
      <c r="AQ98" t="n">
        <v>3274.287</v>
      </c>
      <c r="AR98" t="n">
        <v>3014.99</v>
      </c>
      <c r="AS98" t="n">
        <v>2482.94</v>
      </c>
      <c r="AT98" t="n">
        <v>2263.387</v>
      </c>
      <c r="AU98" t="n">
        <v>2181.066</v>
      </c>
      <c r="AV98" t="n">
        <v>2001.127</v>
      </c>
      <c r="AW98" t="n">
        <v>1742.689</v>
      </c>
      <c r="AX98" t="n">
        <v>1645.98</v>
      </c>
      <c r="AY98" t="n">
        <v>1437.512</v>
      </c>
      <c r="AZ98" t="n">
        <v>1393.888</v>
      </c>
      <c r="BA98" t="n">
        <v>1247.137</v>
      </c>
      <c r="BB98" t="n">
        <v>1110.85</v>
      </c>
      <c r="BC98" t="n">
        <v>1118.845</v>
      </c>
      <c r="BD98" t="n">
        <v>1107.823</v>
      </c>
      <c r="BE98" t="n">
        <v>1189.155</v>
      </c>
      <c r="BF98" t="n">
        <v>1231.221</v>
      </c>
      <c r="BG98" t="n">
        <v>1170.584</v>
      </c>
      <c r="BH98" t="n">
        <v>1355.767</v>
      </c>
      <c r="BI98" t="n">
        <v>1385.854</v>
      </c>
      <c r="BJ98" t="n">
        <v>1438.77</v>
      </c>
      <c r="BK98" t="n">
        <v>1550.035</v>
      </c>
      <c r="BL98" t="n">
        <v>1723.464</v>
      </c>
      <c r="BM98" t="n">
        <v>1701.908</v>
      </c>
      <c r="BN98" t="n">
        <v>1749.286</v>
      </c>
      <c r="BO98" t="n">
        <v>1820.841</v>
      </c>
      <c r="BP98" t="n">
        <v>1864.204</v>
      </c>
      <c r="BQ98" t="n">
        <v>1922.849</v>
      </c>
      <c r="BR98" t="n">
        <v>2041.332</v>
      </c>
      <c r="BS98" t="n">
        <v>2093.645</v>
      </c>
      <c r="BT98" t="n">
        <v>2160.757</v>
      </c>
      <c r="BU98" t="n">
        <v>2211.26</v>
      </c>
      <c r="BV98" t="n">
        <v>2115.592</v>
      </c>
    </row>
    <row r="99">
      <c r="A99" t="inlineStr">
        <is>
          <t>Pleurogrammus azonus</t>
        </is>
      </c>
      <c r="B99" t="inlineStr">
        <is>
          <t>Okhotsk atka mackerel</t>
        </is>
      </c>
      <c r="C99" t="inlineStr">
        <is>
          <t>Medium demersals (30 - 89 cm)</t>
        </is>
      </c>
      <c r="D99" t="inlineStr">
        <is>
          <t>Scorpionfishes</t>
        </is>
      </c>
      <c r="E99" t="n">
        <v>3439.187</v>
      </c>
      <c r="F99" t="n">
        <v>3439.158</v>
      </c>
      <c r="G99" t="n">
        <v>3439.129</v>
      </c>
      <c r="H99" t="n">
        <v>4384.806</v>
      </c>
      <c r="I99" t="n">
        <v>3228.101</v>
      </c>
      <c r="J99" t="n">
        <v>3217.459</v>
      </c>
      <c r="K99" t="n">
        <v>3488.579</v>
      </c>
      <c r="L99" t="n">
        <v>3152.851</v>
      </c>
      <c r="M99" t="n">
        <v>1735.396</v>
      </c>
      <c r="N99" t="n">
        <v>3037.451</v>
      </c>
      <c r="O99" t="n">
        <v>3416.978</v>
      </c>
      <c r="P99" t="n">
        <v>5061.474</v>
      </c>
      <c r="Q99" t="n">
        <v>3573.571</v>
      </c>
      <c r="R99" t="n">
        <v>4285.147</v>
      </c>
      <c r="S99" t="n">
        <v>5657.116</v>
      </c>
      <c r="T99" t="n">
        <v>3277.466</v>
      </c>
      <c r="U99" t="n">
        <v>3150.097</v>
      </c>
      <c r="V99" t="n">
        <v>2671.424</v>
      </c>
      <c r="W99" t="n">
        <v>2769.898</v>
      </c>
      <c r="X99" t="n">
        <v>3153.919</v>
      </c>
      <c r="Y99" t="n">
        <v>4335.278</v>
      </c>
      <c r="Z99" t="n">
        <v>4454.63</v>
      </c>
      <c r="AA99" t="n">
        <v>5268.823</v>
      </c>
      <c r="AB99" t="n">
        <v>3780.503</v>
      </c>
      <c r="AC99" t="n">
        <v>4751.547</v>
      </c>
      <c r="AD99" t="n">
        <v>4701.696</v>
      </c>
      <c r="AE99" t="n">
        <v>6867.376</v>
      </c>
      <c r="AF99" t="n">
        <v>7102.182</v>
      </c>
      <c r="AG99" t="n">
        <v>4724.666</v>
      </c>
      <c r="AH99" t="n">
        <v>4046.863</v>
      </c>
      <c r="AI99" t="n">
        <v>3976.208</v>
      </c>
      <c r="AJ99" t="n">
        <v>4194.247</v>
      </c>
      <c r="AK99" t="n">
        <v>4403.77</v>
      </c>
      <c r="AL99" t="n">
        <v>2462.226</v>
      </c>
      <c r="AM99" t="n">
        <v>2874.191</v>
      </c>
      <c r="AN99" t="n">
        <v>2984.06</v>
      </c>
      <c r="AO99" t="n">
        <v>3234.826</v>
      </c>
      <c r="AP99" t="n">
        <v>4073.256</v>
      </c>
      <c r="AQ99" t="n">
        <v>3726.402</v>
      </c>
      <c r="AR99" t="n">
        <v>3996.873</v>
      </c>
      <c r="AS99" t="n">
        <v>4550.277</v>
      </c>
      <c r="AT99" t="n">
        <v>4363.195</v>
      </c>
      <c r="AU99" t="n">
        <v>3336.823</v>
      </c>
      <c r="AV99" t="n">
        <v>4413.129</v>
      </c>
      <c r="AW99" t="n">
        <v>4593.568</v>
      </c>
      <c r="AX99" t="n">
        <v>5188.729</v>
      </c>
      <c r="AY99" t="n">
        <v>5374.307</v>
      </c>
      <c r="AZ99" t="n">
        <v>5809.675</v>
      </c>
      <c r="BA99" t="n">
        <v>7237.477</v>
      </c>
      <c r="BB99" t="n">
        <v>4786.062</v>
      </c>
      <c r="BC99" t="n">
        <v>4824.774</v>
      </c>
      <c r="BD99" t="n">
        <v>4543.628</v>
      </c>
      <c r="BE99" t="n">
        <v>4313.854</v>
      </c>
      <c r="BF99" t="n">
        <v>4904.518</v>
      </c>
      <c r="BG99" t="n">
        <v>4704.695</v>
      </c>
      <c r="BH99" t="n">
        <v>3909.922</v>
      </c>
      <c r="BI99" t="n">
        <v>3418.465</v>
      </c>
      <c r="BJ99" t="n">
        <v>3882.394</v>
      </c>
      <c r="BK99" t="n">
        <v>4573.43</v>
      </c>
      <c r="BL99" t="n">
        <v>3351.772</v>
      </c>
      <c r="BM99" t="n">
        <v>2671.828</v>
      </c>
      <c r="BN99" t="n">
        <v>1952.384</v>
      </c>
      <c r="BO99" t="n">
        <v>2134.967</v>
      </c>
      <c r="BP99" t="n">
        <v>1802.821</v>
      </c>
      <c r="BQ99" t="n">
        <v>1207.408</v>
      </c>
      <c r="BR99" t="n">
        <v>959.117</v>
      </c>
      <c r="BS99" t="n">
        <v>1180.599</v>
      </c>
      <c r="BT99" t="n">
        <v>783.403</v>
      </c>
      <c r="BU99" t="n">
        <v>1224.026</v>
      </c>
      <c r="BV99" t="n">
        <v>1395.097</v>
      </c>
    </row>
    <row r="100">
      <c r="A100" t="inlineStr">
        <is>
          <t>Bathylagidae</t>
        </is>
      </c>
      <c r="B100" t="inlineStr">
        <is>
          <t>Deepsea smelts</t>
        </is>
      </c>
      <c r="C100" t="inlineStr">
        <is>
          <t>Small bathypelagics (&lt;30 cm)</t>
        </is>
      </c>
      <c r="D100" t="inlineStr">
        <is>
          <t>Salmon, smelts, etc</t>
        </is>
      </c>
      <c r="E100" t="n">
        <v>4180.411</v>
      </c>
      <c r="F100" t="n">
        <v>4180.411</v>
      </c>
      <c r="G100" t="n">
        <v>4180.411</v>
      </c>
      <c r="H100" t="n">
        <v>4180.411</v>
      </c>
      <c r="I100" t="n">
        <v>4180.411</v>
      </c>
      <c r="J100" t="n">
        <v>4180.411</v>
      </c>
      <c r="K100" t="n">
        <v>3991.597</v>
      </c>
      <c r="L100" t="n">
        <v>4684.15</v>
      </c>
      <c r="M100" t="n">
        <v>4233.69</v>
      </c>
      <c r="N100" t="n">
        <v>4390.437</v>
      </c>
      <c r="O100" t="n">
        <v>4454.51</v>
      </c>
      <c r="P100" t="n">
        <v>3567.443</v>
      </c>
      <c r="Q100" t="n">
        <v>3107.238</v>
      </c>
      <c r="R100" t="n">
        <v>3865.011</v>
      </c>
      <c r="S100" t="n">
        <v>4826.248</v>
      </c>
      <c r="T100" t="n">
        <v>5313.968</v>
      </c>
      <c r="U100" t="n">
        <v>5589.529</v>
      </c>
      <c r="V100" t="n">
        <v>5818.787</v>
      </c>
      <c r="W100" t="n">
        <v>5498.706</v>
      </c>
      <c r="X100" t="n">
        <v>4721.762</v>
      </c>
      <c r="Y100" t="n">
        <v>7082.883</v>
      </c>
      <c r="Z100" t="n">
        <v>9600.178</v>
      </c>
      <c r="AA100" t="n">
        <v>5198.053</v>
      </c>
      <c r="AB100" t="n">
        <v>5269.898</v>
      </c>
      <c r="AC100" t="n">
        <v>5341.52</v>
      </c>
      <c r="AD100" t="n">
        <v>4793.834</v>
      </c>
      <c r="AE100" t="n">
        <v>4933.033</v>
      </c>
      <c r="AF100" t="n">
        <v>6705.514</v>
      </c>
      <c r="AG100" t="n">
        <v>5915.512</v>
      </c>
      <c r="AH100" t="n">
        <v>5528.934</v>
      </c>
      <c r="AI100" t="n">
        <v>5083.791</v>
      </c>
      <c r="AJ100" t="n">
        <v>5579.888</v>
      </c>
      <c r="AK100" t="n">
        <v>5534.794</v>
      </c>
      <c r="AL100" t="n">
        <v>5224.933</v>
      </c>
      <c r="AM100" t="n">
        <v>4248.887</v>
      </c>
      <c r="AN100" t="n">
        <v>3218.989</v>
      </c>
      <c r="AO100" t="n">
        <v>3241.823</v>
      </c>
      <c r="AP100" t="n">
        <v>3426.146</v>
      </c>
      <c r="AQ100" t="n">
        <v>3710.213</v>
      </c>
      <c r="AR100" t="n">
        <v>2917.344</v>
      </c>
      <c r="AS100" t="n">
        <v>2924.764</v>
      </c>
      <c r="AT100" t="n">
        <v>3091.7</v>
      </c>
      <c r="AU100" t="n">
        <v>3320.575</v>
      </c>
      <c r="AV100" t="n">
        <v>3408.63</v>
      </c>
      <c r="AW100" t="n">
        <v>3863.197</v>
      </c>
      <c r="AX100" t="n">
        <v>3364.362</v>
      </c>
      <c r="AY100" t="n">
        <v>3526.235</v>
      </c>
      <c r="AZ100" t="n">
        <v>3306.944</v>
      </c>
      <c r="BA100" t="n">
        <v>3147.428</v>
      </c>
      <c r="BB100" t="n">
        <v>2804.192</v>
      </c>
      <c r="BC100" t="n">
        <v>2609.932</v>
      </c>
      <c r="BD100" t="n">
        <v>2341.47</v>
      </c>
      <c r="BE100" t="n">
        <v>2191.317</v>
      </c>
      <c r="BF100" t="n">
        <v>2110.337</v>
      </c>
      <c r="BG100" t="n">
        <v>2468.194</v>
      </c>
      <c r="BH100" t="n">
        <v>1980.294</v>
      </c>
      <c r="BI100" t="n">
        <v>2162.014</v>
      </c>
      <c r="BJ100" t="n">
        <v>2283.507</v>
      </c>
      <c r="BK100" t="n">
        <v>2367.22</v>
      </c>
      <c r="BL100" t="n">
        <v>2089.625</v>
      </c>
      <c r="BM100" t="n">
        <v>1954.554</v>
      </c>
      <c r="BN100" t="n">
        <v>1863.404</v>
      </c>
      <c r="BO100" t="n">
        <v>1828.399</v>
      </c>
      <c r="BP100" t="n">
        <v>1676.739</v>
      </c>
      <c r="BQ100" t="n">
        <v>1397.217</v>
      </c>
      <c r="BR100" t="n">
        <v>1496.809</v>
      </c>
      <c r="BS100" t="n">
        <v>1407.723</v>
      </c>
      <c r="BT100" t="n">
        <v>1277.088</v>
      </c>
      <c r="BU100" t="n">
        <v>1229.608</v>
      </c>
      <c r="BV100" t="n">
        <v>1098.228</v>
      </c>
    </row>
    <row r="101">
      <c r="A101" t="inlineStr">
        <is>
          <t>Clupeiformes</t>
        </is>
      </c>
      <c r="B101" t="inlineStr">
        <is>
          <t>Herrings, shads, anchovies</t>
        </is>
      </c>
      <c r="C101" t="inlineStr">
        <is>
          <t>Small pelagics (&lt;30 cm)</t>
        </is>
      </c>
      <c r="D101" t="inlineStr">
        <is>
          <t>Other fishes &amp; inverts</t>
        </is>
      </c>
      <c r="E101" t="n">
        <v>0</v>
      </c>
      <c r="F101" t="n">
        <v>0</v>
      </c>
      <c r="G101" t="n">
        <v>0</v>
      </c>
      <c r="H101" t="n">
        <v>0</v>
      </c>
      <c r="I101" t="n">
        <v>0</v>
      </c>
      <c r="J101" t="n">
        <v>1864.551</v>
      </c>
      <c r="K101" t="n">
        <v>2348.918</v>
      </c>
      <c r="L101" t="n">
        <v>2105.924</v>
      </c>
      <c r="M101" t="n">
        <v>2535.94</v>
      </c>
      <c r="N101" t="n">
        <v>3041.672</v>
      </c>
      <c r="O101" t="n">
        <v>1886.194</v>
      </c>
      <c r="P101" t="n">
        <v>2747.411</v>
      </c>
      <c r="Q101" t="n">
        <v>3135.386</v>
      </c>
      <c r="R101" t="n">
        <v>4906.067</v>
      </c>
      <c r="S101" t="n">
        <v>5297.545</v>
      </c>
      <c r="T101" t="n">
        <v>4250.121</v>
      </c>
      <c r="U101" t="n">
        <v>2970.89</v>
      </c>
      <c r="V101" t="n">
        <v>2437.002</v>
      </c>
      <c r="W101" t="n">
        <v>4131.929</v>
      </c>
      <c r="X101" t="n">
        <v>4434.283</v>
      </c>
      <c r="Y101" t="n">
        <v>5726.124</v>
      </c>
      <c r="Z101" t="n">
        <v>4447.31</v>
      </c>
      <c r="AA101" t="n">
        <v>4747.476</v>
      </c>
      <c r="AB101" t="n">
        <v>2705.168</v>
      </c>
      <c r="AC101" t="n">
        <v>2477.766</v>
      </c>
      <c r="AD101" t="n">
        <v>2602.527</v>
      </c>
      <c r="AE101" t="n">
        <v>2553.805</v>
      </c>
      <c r="AF101" t="n">
        <v>3574.047</v>
      </c>
      <c r="AG101" t="n">
        <v>2634.006</v>
      </c>
      <c r="AH101" t="n">
        <v>3239.416</v>
      </c>
      <c r="AI101" t="n">
        <v>2670.366</v>
      </c>
      <c r="AJ101" t="n">
        <v>2773.065</v>
      </c>
      <c r="AK101" t="n">
        <v>2862.462</v>
      </c>
      <c r="AL101" t="n">
        <v>4454.048</v>
      </c>
      <c r="AM101" t="n">
        <v>3843.441</v>
      </c>
      <c r="AN101" t="n">
        <v>5684.131</v>
      </c>
      <c r="AO101" t="n">
        <v>4876.2</v>
      </c>
      <c r="AP101" t="n">
        <v>4568.324</v>
      </c>
      <c r="AQ101" t="n">
        <v>4899.894</v>
      </c>
      <c r="AR101" t="n">
        <v>3983.33</v>
      </c>
      <c r="AS101" t="n">
        <v>3512.604</v>
      </c>
      <c r="AT101" t="n">
        <v>2276.951</v>
      </c>
      <c r="AU101" t="n">
        <v>1988.795</v>
      </c>
      <c r="AV101" t="n">
        <v>2059.516</v>
      </c>
      <c r="AW101" t="n">
        <v>2404.235</v>
      </c>
      <c r="AX101" t="n">
        <v>2876.274</v>
      </c>
      <c r="AY101" t="n">
        <v>2345.303</v>
      </c>
      <c r="AZ101" t="n">
        <v>2586.749</v>
      </c>
      <c r="BA101" t="n">
        <v>2401.238</v>
      </c>
      <c r="BB101" t="n">
        <v>1998.901</v>
      </c>
      <c r="BC101" t="n">
        <v>2221.138</v>
      </c>
      <c r="BD101" t="n">
        <v>2383.379</v>
      </c>
      <c r="BE101" t="n">
        <v>2153.692</v>
      </c>
      <c r="BF101" t="n">
        <v>2705.33</v>
      </c>
      <c r="BG101" t="n">
        <v>2055.875</v>
      </c>
      <c r="BH101" t="n">
        <v>2272.109</v>
      </c>
      <c r="BI101" t="n">
        <v>1744.652</v>
      </c>
      <c r="BJ101" t="n">
        <v>2422.776</v>
      </c>
      <c r="BK101" t="n">
        <v>2920.137</v>
      </c>
      <c r="BL101" t="n">
        <v>24225.647</v>
      </c>
      <c r="BM101" t="n">
        <v>4031.24</v>
      </c>
      <c r="BN101" t="n">
        <v>976.947</v>
      </c>
      <c r="BO101" t="n">
        <v>1230.071</v>
      </c>
      <c r="BP101" t="n">
        <v>1291.44</v>
      </c>
      <c r="BQ101" t="n">
        <v>3031.683</v>
      </c>
      <c r="BR101" t="n">
        <v>5053.943</v>
      </c>
      <c r="BS101" t="n">
        <v>10265.161</v>
      </c>
      <c r="BT101" t="n">
        <v>445.193</v>
      </c>
      <c r="BU101" t="n">
        <v>31044.727</v>
      </c>
      <c r="BV101" t="n">
        <v>10312.77</v>
      </c>
    </row>
    <row r="102">
      <c r="A102" t="inlineStr">
        <is>
          <t>Mullidae</t>
        </is>
      </c>
      <c r="B102" t="inlineStr">
        <is>
          <t>Goatfishes</t>
        </is>
      </c>
      <c r="C102" t="inlineStr">
        <is>
          <t>Medium reef assoc. fish (30 - 89 cm)</t>
        </is>
      </c>
      <c r="D102" t="inlineStr">
        <is>
          <t>Perch-likes</t>
        </is>
      </c>
      <c r="E102" t="n">
        <v>2389.065</v>
      </c>
      <c r="F102" t="n">
        <v>2395.382</v>
      </c>
      <c r="G102" t="n">
        <v>2401.718</v>
      </c>
      <c r="H102" t="n">
        <v>2408.073</v>
      </c>
      <c r="I102" t="n">
        <v>2736.373</v>
      </c>
      <c r="J102" t="n">
        <v>2420.839</v>
      </c>
      <c r="K102" t="n">
        <v>2458.164</v>
      </c>
      <c r="L102" t="n">
        <v>2433.681</v>
      </c>
      <c r="M102" t="n">
        <v>2849.482</v>
      </c>
      <c r="N102" t="n">
        <v>4169.326</v>
      </c>
      <c r="O102" t="n">
        <v>5485.922</v>
      </c>
      <c r="P102" t="n">
        <v>5921.655</v>
      </c>
      <c r="Q102" t="n">
        <v>6024.199</v>
      </c>
      <c r="R102" t="n">
        <v>6210.624</v>
      </c>
      <c r="S102" t="n">
        <v>7088.769</v>
      </c>
      <c r="T102" t="n">
        <v>10328.312</v>
      </c>
      <c r="U102" t="n">
        <v>9374.072</v>
      </c>
      <c r="V102" t="n">
        <v>7940.485</v>
      </c>
      <c r="W102" t="n">
        <v>9729.754000000001</v>
      </c>
      <c r="X102" t="n">
        <v>10283.501</v>
      </c>
      <c r="Y102" t="n">
        <v>8981.049000000001</v>
      </c>
      <c r="Z102" t="n">
        <v>10824.897</v>
      </c>
      <c r="AA102" t="n">
        <v>8127.505</v>
      </c>
      <c r="AB102" t="n">
        <v>7770.226</v>
      </c>
      <c r="AC102" t="n">
        <v>8223.074000000001</v>
      </c>
      <c r="AD102" t="n">
        <v>8376.215</v>
      </c>
      <c r="AE102" t="n">
        <v>6620.347</v>
      </c>
      <c r="AF102" t="n">
        <v>7629.397</v>
      </c>
      <c r="AG102" t="n">
        <v>7052.109</v>
      </c>
      <c r="AH102" t="n">
        <v>5897.677</v>
      </c>
      <c r="AI102" t="n">
        <v>5289.691</v>
      </c>
      <c r="AJ102" t="n">
        <v>5084.29</v>
      </c>
      <c r="AK102" t="n">
        <v>5136.307</v>
      </c>
      <c r="AL102" t="n">
        <v>5299.065</v>
      </c>
      <c r="AM102" t="n">
        <v>3716.914</v>
      </c>
      <c r="AN102" t="n">
        <v>3979.723</v>
      </c>
      <c r="AO102" t="n">
        <v>3991.858</v>
      </c>
      <c r="AP102" t="n">
        <v>2570.371</v>
      </c>
      <c r="AQ102" t="n">
        <v>2944.363</v>
      </c>
      <c r="AR102" t="n">
        <v>2241.103</v>
      </c>
      <c r="AS102" t="n">
        <v>2240.341</v>
      </c>
      <c r="AT102" t="n">
        <v>2866.89</v>
      </c>
      <c r="AU102" t="n">
        <v>2751.484</v>
      </c>
      <c r="AV102" t="n">
        <v>2461.061</v>
      </c>
      <c r="AW102" t="n">
        <v>2400.506</v>
      </c>
      <c r="AX102" t="n">
        <v>1631.272</v>
      </c>
      <c r="AY102" t="n">
        <v>2381.185</v>
      </c>
      <c r="AZ102" t="n">
        <v>1690.331</v>
      </c>
      <c r="BA102" t="n">
        <v>1245.151</v>
      </c>
      <c r="BB102" t="n">
        <v>1449.93</v>
      </c>
      <c r="BC102" t="n">
        <v>1312.081</v>
      </c>
      <c r="BD102" t="n">
        <v>1085.657</v>
      </c>
      <c r="BE102" t="n">
        <v>1149.536</v>
      </c>
      <c r="BF102" t="n">
        <v>738.086</v>
      </c>
      <c r="BG102" t="n">
        <v>904.367</v>
      </c>
      <c r="BH102" t="n">
        <v>845.2190000000001</v>
      </c>
      <c r="BI102" t="n">
        <v>736.075</v>
      </c>
      <c r="BJ102" t="n">
        <v>668.308</v>
      </c>
      <c r="BK102" t="n">
        <v>543.865</v>
      </c>
      <c r="BL102" t="n">
        <v>660.526</v>
      </c>
      <c r="BM102" t="n">
        <v>563.86</v>
      </c>
      <c r="BN102" t="n">
        <v>545.787</v>
      </c>
      <c r="BO102" t="n">
        <v>548.297</v>
      </c>
      <c r="BP102" t="n">
        <v>581.772</v>
      </c>
      <c r="BQ102" t="n">
        <v>551.529</v>
      </c>
      <c r="BR102" t="n">
        <v>482.839</v>
      </c>
      <c r="BS102" t="n">
        <v>489.977</v>
      </c>
      <c r="BT102" t="n">
        <v>452.918</v>
      </c>
      <c r="BU102" t="n">
        <v>411.673</v>
      </c>
      <c r="BV102" t="n">
        <v>445.183</v>
      </c>
    </row>
    <row r="103">
      <c r="A103" t="inlineStr">
        <is>
          <t>Chelidonichthys kumu</t>
        </is>
      </c>
      <c r="B103" t="inlineStr">
        <is>
          <t>Bluefin gurnard</t>
        </is>
      </c>
      <c r="C103" t="inlineStr">
        <is>
          <t>Medium demersals (30 - 89 cm)</t>
        </is>
      </c>
      <c r="D103" t="inlineStr">
        <is>
          <t>Scorpionfishes</t>
        </is>
      </c>
      <c r="E103" t="n">
        <v>687.135</v>
      </c>
      <c r="F103" t="n">
        <v>759.158</v>
      </c>
      <c r="G103" t="n">
        <v>1050.566</v>
      </c>
      <c r="H103" t="n">
        <v>1130.047</v>
      </c>
      <c r="I103" t="n">
        <v>1033.728</v>
      </c>
      <c r="J103" t="n">
        <v>378.941</v>
      </c>
      <c r="K103" t="n">
        <v>183.473</v>
      </c>
      <c r="L103" t="n">
        <v>0.39</v>
      </c>
      <c r="M103" t="n">
        <v>643.971</v>
      </c>
      <c r="N103" t="n">
        <v>629.549</v>
      </c>
      <c r="O103" t="n">
        <v>159.051</v>
      </c>
      <c r="P103" t="n">
        <v>743.2859999999999</v>
      </c>
      <c r="Q103" t="n">
        <v>1688.847</v>
      </c>
      <c r="R103" t="n">
        <v>1611.99</v>
      </c>
      <c r="S103" t="n">
        <v>2356.005</v>
      </c>
      <c r="T103" t="n">
        <v>2505.99</v>
      </c>
      <c r="U103" t="n">
        <v>3906.595</v>
      </c>
      <c r="V103" t="n">
        <v>5008.261</v>
      </c>
      <c r="W103" t="n">
        <v>10598.691</v>
      </c>
      <c r="X103" t="n">
        <v>6652.813</v>
      </c>
      <c r="Y103" t="n">
        <v>6414.231</v>
      </c>
      <c r="Z103" t="n">
        <v>6667.325</v>
      </c>
      <c r="AA103" t="n">
        <v>5271.182</v>
      </c>
      <c r="AB103" t="n">
        <v>8391.825000000001</v>
      </c>
      <c r="AC103" t="n">
        <v>12340.049</v>
      </c>
      <c r="AD103" t="n">
        <v>22730.912</v>
      </c>
      <c r="AE103" t="n">
        <v>21315.222</v>
      </c>
      <c r="AF103" t="n">
        <v>20360.377</v>
      </c>
      <c r="AG103" t="n">
        <v>33142.295</v>
      </c>
      <c r="AH103" t="n">
        <v>27284.089</v>
      </c>
      <c r="AI103" t="n">
        <v>21425.387</v>
      </c>
      <c r="AJ103" t="n">
        <v>522.014</v>
      </c>
      <c r="AK103" t="n">
        <v>165.207</v>
      </c>
      <c r="AL103" t="n">
        <v>256.897</v>
      </c>
      <c r="AM103" t="n">
        <v>123.26</v>
      </c>
      <c r="AN103" t="n">
        <v>44.545</v>
      </c>
      <c r="AO103" t="n">
        <v>66.608</v>
      </c>
      <c r="AP103" t="n">
        <v>86.048</v>
      </c>
      <c r="AQ103" t="n">
        <v>36.659</v>
      </c>
      <c r="AR103" t="n">
        <v>42.787</v>
      </c>
      <c r="AS103" t="n">
        <v>161.79</v>
      </c>
      <c r="AT103" t="n">
        <v>187.757</v>
      </c>
      <c r="AU103" t="n">
        <v>81.98099999999999</v>
      </c>
      <c r="AV103" t="n">
        <v>178.821</v>
      </c>
      <c r="AW103" t="n">
        <v>94.392</v>
      </c>
      <c r="AX103" t="n">
        <v>54.686</v>
      </c>
      <c r="AY103" t="n">
        <v>131.604</v>
      </c>
      <c r="AZ103" t="n">
        <v>122.78</v>
      </c>
      <c r="BA103" t="n">
        <v>220.58</v>
      </c>
      <c r="BB103" t="n">
        <v>135.321</v>
      </c>
      <c r="BC103" t="n">
        <v>102.168</v>
      </c>
      <c r="BD103" t="n">
        <v>182.478</v>
      </c>
      <c r="BE103" t="n">
        <v>334.808</v>
      </c>
      <c r="BF103" t="n">
        <v>256.013</v>
      </c>
      <c r="BG103" t="n">
        <v>480.529</v>
      </c>
      <c r="BH103" t="n">
        <v>428.5</v>
      </c>
      <c r="BI103" t="n">
        <v>996.529</v>
      </c>
      <c r="BJ103" t="n">
        <v>806.311</v>
      </c>
      <c r="BK103" t="n">
        <v>1259.246</v>
      </c>
      <c r="BL103" t="n">
        <v>849.208</v>
      </c>
      <c r="BM103" t="n">
        <v>1166.941</v>
      </c>
      <c r="BN103" t="n">
        <v>1287.491</v>
      </c>
      <c r="BO103" t="n">
        <v>1923.735</v>
      </c>
      <c r="BP103" t="n">
        <v>1916.059</v>
      </c>
      <c r="BQ103" t="n">
        <v>2076.588</v>
      </c>
      <c r="BR103" t="n">
        <v>1711.463</v>
      </c>
      <c r="BS103" t="n">
        <v>1694.602</v>
      </c>
      <c r="BT103" t="n">
        <v>1709.599</v>
      </c>
      <c r="BU103" t="n">
        <v>1908.267</v>
      </c>
      <c r="BV103" t="n">
        <v>2012.529</v>
      </c>
    </row>
    <row r="104">
      <c r="A104" t="inlineStr">
        <is>
          <t>Nibea mitsukurii</t>
        </is>
      </c>
      <c r="B104" t="inlineStr">
        <is>
          <t>Honnibe croaker</t>
        </is>
      </c>
      <c r="C104" t="inlineStr">
        <is>
          <t>Medium benthopelagics (30 - 89 cm)</t>
        </is>
      </c>
      <c r="D104" t="inlineStr">
        <is>
          <t>Perch-likes</t>
        </is>
      </c>
      <c r="E104" t="n">
        <v>4587.119</v>
      </c>
      <c r="F104" t="n">
        <v>5870.019</v>
      </c>
      <c r="G104" t="n">
        <v>7590.003</v>
      </c>
      <c r="H104" t="n">
        <v>9652.333000000001</v>
      </c>
      <c r="I104" t="n">
        <v>8391.382</v>
      </c>
      <c r="J104" t="n">
        <v>9487.463</v>
      </c>
      <c r="K104" t="n">
        <v>7483.866</v>
      </c>
      <c r="L104" t="n">
        <v>7799.604</v>
      </c>
      <c r="M104" t="n">
        <v>4981.69</v>
      </c>
      <c r="N104" t="n">
        <v>3892.429</v>
      </c>
      <c r="O104" t="n">
        <v>6815.856</v>
      </c>
      <c r="P104" t="n">
        <v>5191.803</v>
      </c>
      <c r="Q104" t="n">
        <v>6858.388</v>
      </c>
      <c r="R104" t="n">
        <v>7196.647</v>
      </c>
      <c r="S104" t="n">
        <v>8112.693</v>
      </c>
      <c r="T104" t="n">
        <v>6672.676</v>
      </c>
      <c r="U104" t="n">
        <v>5557.357</v>
      </c>
      <c r="V104" t="n">
        <v>4744.128</v>
      </c>
      <c r="W104" t="n">
        <v>4472.875</v>
      </c>
      <c r="X104" t="n">
        <v>2244.766</v>
      </c>
      <c r="Y104" t="n">
        <v>350.71</v>
      </c>
      <c r="Z104" t="n">
        <v>2135.618</v>
      </c>
      <c r="AA104" t="n">
        <v>1903.033</v>
      </c>
      <c r="AB104" t="n">
        <v>1800.695</v>
      </c>
      <c r="AC104" t="n">
        <v>4336.479</v>
      </c>
      <c r="AD104" t="n">
        <v>3570.895</v>
      </c>
      <c r="AE104" t="n">
        <v>3058.152</v>
      </c>
      <c r="AF104" t="n">
        <v>2370.387</v>
      </c>
      <c r="AG104" t="n">
        <v>2552.046</v>
      </c>
      <c r="AH104" t="n">
        <v>3807.146</v>
      </c>
      <c r="AI104" t="n">
        <v>3056.242</v>
      </c>
      <c r="AJ104" t="n">
        <v>4771.461</v>
      </c>
      <c r="AK104" t="n">
        <v>3511.196</v>
      </c>
      <c r="AL104" t="n">
        <v>2478.911</v>
      </c>
      <c r="AM104" t="n">
        <v>3667.169</v>
      </c>
      <c r="AN104" t="n">
        <v>2882.676</v>
      </c>
      <c r="AO104" t="n">
        <v>3565.757</v>
      </c>
      <c r="AP104" t="n">
        <v>3137.547</v>
      </c>
      <c r="AQ104" t="n">
        <v>3520.76</v>
      </c>
      <c r="AR104" t="n">
        <v>3644.479</v>
      </c>
      <c r="AS104" t="n">
        <v>4008.367</v>
      </c>
      <c r="AT104" t="n">
        <v>5065.679</v>
      </c>
      <c r="AU104" t="n">
        <v>5713.557</v>
      </c>
      <c r="AV104" t="n">
        <v>3420.954</v>
      </c>
      <c r="AW104" t="n">
        <v>4932.555</v>
      </c>
      <c r="AX104" t="n">
        <v>4535.747</v>
      </c>
      <c r="AY104" t="n">
        <v>4917.955</v>
      </c>
      <c r="AZ104" t="n">
        <v>2726.926</v>
      </c>
      <c r="BA104" t="n">
        <v>3325.508</v>
      </c>
      <c r="BB104" t="n">
        <v>3156.835</v>
      </c>
      <c r="BC104" t="n">
        <v>3710.909</v>
      </c>
      <c r="BD104" t="n">
        <v>4097.678</v>
      </c>
      <c r="BE104" t="n">
        <v>2163.532</v>
      </c>
      <c r="BF104" t="n">
        <v>1784.207</v>
      </c>
      <c r="BG104" t="n">
        <v>1387.404</v>
      </c>
      <c r="BH104" t="n">
        <v>1832.321</v>
      </c>
      <c r="BI104" t="n">
        <v>2704.518</v>
      </c>
      <c r="BJ104" t="n">
        <v>3838.945</v>
      </c>
      <c r="BK104" t="n">
        <v>64.614</v>
      </c>
      <c r="BL104" t="n">
        <v>10.741</v>
      </c>
      <c r="BM104" t="n">
        <v>31.347</v>
      </c>
      <c r="BN104" t="n">
        <v>31.705</v>
      </c>
      <c r="BO104" t="n">
        <v>31.991</v>
      </c>
      <c r="BP104" t="n">
        <v>31.827</v>
      </c>
      <c r="BQ104" t="n">
        <v>32.219</v>
      </c>
      <c r="BR104" t="n">
        <v>43.699</v>
      </c>
      <c r="BS104" t="n">
        <v>42.892</v>
      </c>
      <c r="BT104" t="n">
        <v>40.087</v>
      </c>
      <c r="BU104" t="n">
        <v>37.935</v>
      </c>
      <c r="BV104" t="n">
        <v>35.892</v>
      </c>
    </row>
    <row r="105">
      <c r="A105" t="inlineStr">
        <is>
          <t>Saurida tumbil</t>
        </is>
      </c>
      <c r="B105" t="inlineStr">
        <is>
          <t>Greater lizardfish</t>
        </is>
      </c>
      <c r="C105" t="inlineStr">
        <is>
          <t>Medium demersals (30 - 89 cm)</t>
        </is>
      </c>
      <c r="D105" t="inlineStr">
        <is>
          <t>Other fishes &amp; inverts</t>
        </is>
      </c>
      <c r="E105" t="n">
        <v>694.247</v>
      </c>
      <c r="F105" t="n">
        <v>913.955</v>
      </c>
      <c r="G105" t="n">
        <v>1509.418</v>
      </c>
      <c r="H105" t="n">
        <v>1415.458</v>
      </c>
      <c r="I105" t="n">
        <v>1752.411</v>
      </c>
      <c r="J105" t="n">
        <v>5658.728</v>
      </c>
      <c r="K105" t="n">
        <v>6224.344</v>
      </c>
      <c r="L105" t="n">
        <v>6049.989</v>
      </c>
      <c r="M105" t="n">
        <v>4157.494</v>
      </c>
      <c r="N105" t="n">
        <v>5719.632</v>
      </c>
      <c r="O105" t="n">
        <v>7507.525</v>
      </c>
      <c r="P105" t="n">
        <v>5565.876</v>
      </c>
      <c r="Q105" t="n">
        <v>6155.237</v>
      </c>
      <c r="R105" t="n">
        <v>7735.814</v>
      </c>
      <c r="S105" t="n">
        <v>5604.053</v>
      </c>
      <c r="T105" t="n">
        <v>8330.791999999999</v>
      </c>
      <c r="U105" t="n">
        <v>8706.263000000001</v>
      </c>
      <c r="V105" t="n">
        <v>7546.969</v>
      </c>
      <c r="W105" t="n">
        <v>7871.91</v>
      </c>
      <c r="X105" t="n">
        <v>7375.828</v>
      </c>
      <c r="Y105" t="n">
        <v>6056.964</v>
      </c>
      <c r="Z105" t="n">
        <v>7384.442</v>
      </c>
      <c r="AA105" t="n">
        <v>6522.075</v>
      </c>
      <c r="AB105" t="n">
        <v>5898.183</v>
      </c>
      <c r="AC105" t="n">
        <v>5901.555</v>
      </c>
      <c r="AD105" t="n">
        <v>7293.699</v>
      </c>
      <c r="AE105" t="n">
        <v>7957.793</v>
      </c>
      <c r="AF105" t="n">
        <v>7536.157</v>
      </c>
      <c r="AG105" t="n">
        <v>5571.845</v>
      </c>
      <c r="AH105" t="n">
        <v>6816.568</v>
      </c>
      <c r="AI105" t="n">
        <v>5751.545</v>
      </c>
      <c r="AJ105" t="n">
        <v>4178.535</v>
      </c>
      <c r="AK105" t="n">
        <v>5026.249</v>
      </c>
      <c r="AL105" t="n">
        <v>4640.004</v>
      </c>
      <c r="AM105" t="n">
        <v>3663.004</v>
      </c>
      <c r="AN105" t="n">
        <v>3466.933</v>
      </c>
      <c r="AO105" t="n">
        <v>4013.145</v>
      </c>
      <c r="AP105" t="n">
        <v>3329.09</v>
      </c>
      <c r="AQ105" t="n">
        <v>4369.827</v>
      </c>
      <c r="AR105" t="n">
        <v>2407.132</v>
      </c>
      <c r="AS105" t="n">
        <v>2169.615</v>
      </c>
      <c r="AT105" t="n">
        <v>1805.049</v>
      </c>
      <c r="AU105" t="n">
        <v>2862.877</v>
      </c>
      <c r="AV105" t="n">
        <v>2741.447</v>
      </c>
      <c r="AW105" t="n">
        <v>2397.643</v>
      </c>
      <c r="AX105" t="n">
        <v>3497.254</v>
      </c>
      <c r="AY105" t="n">
        <v>4876.576</v>
      </c>
      <c r="AZ105" t="n">
        <v>2042.784</v>
      </c>
      <c r="BA105" t="n">
        <v>1767.26</v>
      </c>
      <c r="BB105" t="n">
        <v>1998.495</v>
      </c>
      <c r="BC105" t="n">
        <v>1886.806</v>
      </c>
      <c r="BD105" t="n">
        <v>1284.135</v>
      </c>
      <c r="BE105" t="n">
        <v>748.528</v>
      </c>
      <c r="BF105" t="n">
        <v>493.316</v>
      </c>
      <c r="BG105" t="n">
        <v>725.335</v>
      </c>
      <c r="BH105" t="n">
        <v>741.525</v>
      </c>
      <c r="BI105" t="n">
        <v>663.86</v>
      </c>
      <c r="BJ105" t="n">
        <v>444.528</v>
      </c>
      <c r="BK105" t="n">
        <v>423.063</v>
      </c>
      <c r="BL105" t="n">
        <v>782.462</v>
      </c>
      <c r="BM105" t="n">
        <v>304.329</v>
      </c>
      <c r="BN105" t="n">
        <v>312.391</v>
      </c>
      <c r="BO105" t="n">
        <v>318.308</v>
      </c>
      <c r="BP105" t="n">
        <v>356.589</v>
      </c>
      <c r="BQ105" t="n">
        <v>378.02</v>
      </c>
      <c r="BR105" t="n">
        <v>251.102</v>
      </c>
      <c r="BS105" t="n">
        <v>241.608</v>
      </c>
      <c r="BT105" t="n">
        <v>220.134</v>
      </c>
      <c r="BU105" t="n">
        <v>208.449</v>
      </c>
      <c r="BV105" t="n">
        <v>228.323</v>
      </c>
    </row>
    <row r="106">
      <c r="A106" t="inlineStr">
        <is>
          <t>Mugilidae</t>
        </is>
      </c>
      <c r="B106" t="inlineStr">
        <is>
          <t>Mullets, grey mullets</t>
        </is>
      </c>
      <c r="C106" t="inlineStr">
        <is>
          <t>Medium reef assoc. fish (30 - 89 cm)</t>
        </is>
      </c>
      <c r="D106" t="inlineStr">
        <is>
          <t>Perch-likes</t>
        </is>
      </c>
      <c r="E106" t="n">
        <v>5048.966</v>
      </c>
      <c r="F106" t="n">
        <v>8813.482</v>
      </c>
      <c r="G106" t="n">
        <v>4388.989</v>
      </c>
      <c r="H106" t="n">
        <v>5947.475</v>
      </c>
      <c r="I106" t="n">
        <v>5591.717</v>
      </c>
      <c r="J106" t="n">
        <v>5175.398</v>
      </c>
      <c r="K106" t="n">
        <v>4489.826</v>
      </c>
      <c r="L106" t="n">
        <v>3875.568</v>
      </c>
      <c r="M106" t="n">
        <v>3219.106</v>
      </c>
      <c r="N106" t="n">
        <v>3528.852</v>
      </c>
      <c r="O106" t="n">
        <v>5649.918</v>
      </c>
      <c r="P106" t="n">
        <v>3594.565</v>
      </c>
      <c r="Q106" t="n">
        <v>4089.985</v>
      </c>
      <c r="R106" t="n">
        <v>3198.861</v>
      </c>
      <c r="S106" t="n">
        <v>3320.782</v>
      </c>
      <c r="T106" t="n">
        <v>3755.994</v>
      </c>
      <c r="U106" t="n">
        <v>3777.085</v>
      </c>
      <c r="V106" t="n">
        <v>3906.873</v>
      </c>
      <c r="W106" t="n">
        <v>3647.967</v>
      </c>
      <c r="X106" t="n">
        <v>3879.41</v>
      </c>
      <c r="Y106" t="n">
        <v>3843.712</v>
      </c>
      <c r="Z106" t="n">
        <v>3865.676</v>
      </c>
      <c r="AA106" t="n">
        <v>3498.785</v>
      </c>
      <c r="AB106" t="n">
        <v>3424.282</v>
      </c>
      <c r="AC106" t="n">
        <v>3320.192</v>
      </c>
      <c r="AD106" t="n">
        <v>3465.205</v>
      </c>
      <c r="AE106" t="n">
        <v>3517.144</v>
      </c>
      <c r="AF106" t="n">
        <v>4405.601</v>
      </c>
      <c r="AG106" t="n">
        <v>3972.113</v>
      </c>
      <c r="AH106" t="n">
        <v>3810.874</v>
      </c>
      <c r="AI106" t="n">
        <v>3841.798</v>
      </c>
      <c r="AJ106" t="n">
        <v>3606.989</v>
      </c>
      <c r="AK106" t="n">
        <v>3497.77</v>
      </c>
      <c r="AL106" t="n">
        <v>4115.641</v>
      </c>
      <c r="AM106" t="n">
        <v>3795.147</v>
      </c>
      <c r="AN106" t="n">
        <v>4196.881</v>
      </c>
      <c r="AO106" t="n">
        <v>3821.845</v>
      </c>
      <c r="AP106" t="n">
        <v>3290.841</v>
      </c>
      <c r="AQ106" t="n">
        <v>3223.872</v>
      </c>
      <c r="AR106" t="n">
        <v>2865.115</v>
      </c>
      <c r="AS106" t="n">
        <v>2833.748</v>
      </c>
      <c r="AT106" t="n">
        <v>2759.513</v>
      </c>
      <c r="AU106" t="n">
        <v>2664.036</v>
      </c>
      <c r="AV106" t="n">
        <v>2579.825</v>
      </c>
      <c r="AW106" t="n">
        <v>2505.742</v>
      </c>
      <c r="AX106" t="n">
        <v>2456.393</v>
      </c>
      <c r="AY106" t="n">
        <v>2434.779</v>
      </c>
      <c r="AZ106" t="n">
        <v>2464.965</v>
      </c>
      <c r="BA106" t="n">
        <v>2467.856</v>
      </c>
      <c r="BB106" t="n">
        <v>2538.821</v>
      </c>
      <c r="BC106" t="n">
        <v>2527.851</v>
      </c>
      <c r="BD106" t="n">
        <v>2558.132</v>
      </c>
      <c r="BE106" t="n">
        <v>2535.722</v>
      </c>
      <c r="BF106" t="n">
        <v>2517.853</v>
      </c>
      <c r="BG106" t="n">
        <v>2522.104</v>
      </c>
      <c r="BH106" t="n">
        <v>2596.611</v>
      </c>
      <c r="BI106" t="n">
        <v>2640.956</v>
      </c>
      <c r="BJ106" t="n">
        <v>2717.058</v>
      </c>
      <c r="BK106" t="n">
        <v>2773.545</v>
      </c>
      <c r="BL106" t="n">
        <v>2827.155</v>
      </c>
      <c r="BM106" t="n">
        <v>2891.057</v>
      </c>
      <c r="BN106" t="n">
        <v>2959.801</v>
      </c>
      <c r="BO106" t="n">
        <v>3033.498</v>
      </c>
      <c r="BP106" t="n">
        <v>3107.196</v>
      </c>
      <c r="BQ106" t="n">
        <v>3180.893</v>
      </c>
      <c r="BR106" t="n">
        <v>3254.59</v>
      </c>
      <c r="BS106" t="n">
        <v>3328.137</v>
      </c>
      <c r="BT106" t="n">
        <v>3401.659</v>
      </c>
      <c r="BU106" t="n">
        <v>1975.752</v>
      </c>
      <c r="BV106" t="n">
        <v>3401.738</v>
      </c>
    </row>
    <row r="107">
      <c r="A107" t="inlineStr">
        <is>
          <t>Coryphaena</t>
        </is>
      </c>
      <c r="B107" t="inlineStr">
        <is>
          <t>Dolphinfishes</t>
        </is>
      </c>
      <c r="C107" t="inlineStr">
        <is>
          <t>Large pelagics (&gt;=90 cm)</t>
        </is>
      </c>
      <c r="D107" t="inlineStr">
        <is>
          <t>Perch-likes</t>
        </is>
      </c>
      <c r="E107" t="n">
        <v>3219.475</v>
      </c>
      <c r="F107" t="n">
        <v>3219.475</v>
      </c>
      <c r="G107" t="n">
        <v>3219.475</v>
      </c>
      <c r="H107" t="n">
        <v>3192.004</v>
      </c>
      <c r="I107" t="n">
        <v>3161.734</v>
      </c>
      <c r="J107" t="n">
        <v>3131.465</v>
      </c>
      <c r="K107" t="n">
        <v>2909.408</v>
      </c>
      <c r="L107" t="n">
        <v>3464.68</v>
      </c>
      <c r="M107" t="n">
        <v>4242.062</v>
      </c>
      <c r="N107" t="n">
        <v>3183.047</v>
      </c>
      <c r="O107" t="n">
        <v>3396.459</v>
      </c>
      <c r="P107" t="n">
        <v>4443.438</v>
      </c>
      <c r="Q107" t="n">
        <v>3489.58</v>
      </c>
      <c r="R107" t="n">
        <v>3270.498</v>
      </c>
      <c r="S107" t="n">
        <v>3270.218</v>
      </c>
      <c r="T107" t="n">
        <v>2577.715</v>
      </c>
      <c r="U107" t="n">
        <v>3742.518</v>
      </c>
      <c r="V107" t="n">
        <v>4309.495</v>
      </c>
      <c r="W107" t="n">
        <v>3600.914</v>
      </c>
      <c r="X107" t="n">
        <v>3154.125</v>
      </c>
      <c r="Y107" t="n">
        <v>3070.716</v>
      </c>
      <c r="Z107" t="n">
        <v>2788.627</v>
      </c>
      <c r="AA107" t="n">
        <v>3071.68</v>
      </c>
      <c r="AB107" t="n">
        <v>4721.314</v>
      </c>
      <c r="AC107" t="n">
        <v>3902.271</v>
      </c>
      <c r="AD107" t="n">
        <v>3649.209</v>
      </c>
      <c r="AE107" t="n">
        <v>3369.743</v>
      </c>
      <c r="AF107" t="n">
        <v>4409.04</v>
      </c>
      <c r="AG107" t="n">
        <v>4602.455</v>
      </c>
      <c r="AH107" t="n">
        <v>3513.691</v>
      </c>
      <c r="AI107" t="n">
        <v>3829.585</v>
      </c>
      <c r="AJ107" t="n">
        <v>4568.631</v>
      </c>
      <c r="AK107" t="n">
        <v>4870.177</v>
      </c>
      <c r="AL107" t="n">
        <v>5244.495</v>
      </c>
      <c r="AM107" t="n">
        <v>4272.299</v>
      </c>
      <c r="AN107" t="n">
        <v>5023.961</v>
      </c>
      <c r="AO107" t="n">
        <v>4630.713</v>
      </c>
      <c r="AP107" t="n">
        <v>7455.11</v>
      </c>
      <c r="AQ107" t="n">
        <v>4905.824</v>
      </c>
      <c r="AR107" t="n">
        <v>4672.655</v>
      </c>
      <c r="AS107" t="n">
        <v>6391.982</v>
      </c>
      <c r="AT107" t="n">
        <v>6285.913</v>
      </c>
      <c r="AU107" t="n">
        <v>6026.602</v>
      </c>
      <c r="AV107" t="n">
        <v>3849.953</v>
      </c>
      <c r="AW107" t="n">
        <v>2910.039</v>
      </c>
      <c r="AX107" t="n">
        <v>3486.325</v>
      </c>
      <c r="AY107" t="n">
        <v>3034.757</v>
      </c>
      <c r="AZ107" t="n">
        <v>3544.573</v>
      </c>
      <c r="BA107" t="n">
        <v>4797.686</v>
      </c>
      <c r="BB107" t="n">
        <v>3216.116</v>
      </c>
      <c r="BC107" t="n">
        <v>3097.712</v>
      </c>
      <c r="BD107" t="n">
        <v>3151.358</v>
      </c>
      <c r="BE107" t="n">
        <v>3218.46</v>
      </c>
      <c r="BF107" t="n">
        <v>3470.397</v>
      </c>
      <c r="BG107" t="n">
        <v>3208.005</v>
      </c>
      <c r="BH107" t="n">
        <v>2531.948</v>
      </c>
      <c r="BI107" t="n">
        <v>2983.861</v>
      </c>
      <c r="BJ107" t="n">
        <v>2450.32</v>
      </c>
      <c r="BK107" t="n">
        <v>2322.501</v>
      </c>
      <c r="BL107" t="n">
        <v>2196.537</v>
      </c>
      <c r="BM107" t="n">
        <v>2152.763</v>
      </c>
      <c r="BN107" t="n">
        <v>1933.857</v>
      </c>
      <c r="BO107" t="n">
        <v>1911.198</v>
      </c>
      <c r="BP107" t="n">
        <v>1757.091</v>
      </c>
      <c r="BQ107" t="n">
        <v>1656.232</v>
      </c>
      <c r="BR107" t="n">
        <v>1589.81</v>
      </c>
      <c r="BS107" t="n">
        <v>1604.194</v>
      </c>
      <c r="BT107" t="n">
        <v>1585.467</v>
      </c>
      <c r="BU107" t="n">
        <v>1591.895</v>
      </c>
      <c r="BV107" t="n">
        <v>1599.62</v>
      </c>
    </row>
    <row r="108">
      <c r="A108" t="inlineStr">
        <is>
          <t>Thunnus alalunga</t>
        </is>
      </c>
      <c r="B108" t="inlineStr">
        <is>
          <t>Albacore</t>
        </is>
      </c>
      <c r="C108" t="inlineStr">
        <is>
          <t>Large pelagics (&gt;=90 cm)</t>
        </is>
      </c>
      <c r="D108" t="inlineStr">
        <is>
          <t>Tuna &amp; billfishes</t>
        </is>
      </c>
      <c r="E108" t="n">
        <v>286.949</v>
      </c>
      <c r="F108" t="n">
        <v>286.949</v>
      </c>
      <c r="G108" t="n">
        <v>291.466</v>
      </c>
      <c r="H108" t="n">
        <v>233.698</v>
      </c>
      <c r="I108" t="n">
        <v>232.972</v>
      </c>
      <c r="J108" t="n">
        <v>682.6180000000001</v>
      </c>
      <c r="K108" t="n">
        <v>2488.831</v>
      </c>
      <c r="L108" t="n">
        <v>3438.454</v>
      </c>
      <c r="M108" t="n">
        <v>1323.306</v>
      </c>
      <c r="N108" t="n">
        <v>1519.672</v>
      </c>
      <c r="O108" t="n">
        <v>4961.884</v>
      </c>
      <c r="P108" t="n">
        <v>3369.841</v>
      </c>
      <c r="Q108" t="n">
        <v>4600.13</v>
      </c>
      <c r="R108" t="n">
        <v>6363.661</v>
      </c>
      <c r="S108" t="n">
        <v>2389.537</v>
      </c>
      <c r="T108" t="n">
        <v>2167.089</v>
      </c>
      <c r="U108" t="n">
        <v>1624.341</v>
      </c>
      <c r="V108" t="n">
        <v>2922.868</v>
      </c>
      <c r="W108" t="n">
        <v>790.7329999999999</v>
      </c>
      <c r="X108" t="n">
        <v>1259.035</v>
      </c>
      <c r="Y108" t="n">
        <v>220.819</v>
      </c>
      <c r="Z108" t="n">
        <v>2137.897</v>
      </c>
      <c r="AA108" t="n">
        <v>4150.196</v>
      </c>
      <c r="AB108" t="n">
        <v>2851.889</v>
      </c>
      <c r="AC108" t="n">
        <v>1517.926</v>
      </c>
      <c r="AD108" t="n">
        <v>2131.352</v>
      </c>
      <c r="AE108" t="n">
        <v>4992.759</v>
      </c>
      <c r="AF108" t="n">
        <v>1434.024</v>
      </c>
      <c r="AG108" t="n">
        <v>2512.72</v>
      </c>
      <c r="AH108" t="n">
        <v>1073.998</v>
      </c>
      <c r="AI108" t="n">
        <v>1256.785</v>
      </c>
      <c r="AJ108" t="n">
        <v>1355.11</v>
      </c>
      <c r="AK108" t="n">
        <v>2593.749</v>
      </c>
      <c r="AL108" t="n">
        <v>889.4640000000001</v>
      </c>
      <c r="AM108" t="n">
        <v>1039.759</v>
      </c>
      <c r="AN108" t="n">
        <v>1624.151</v>
      </c>
      <c r="AO108" t="n">
        <v>1141.921</v>
      </c>
      <c r="AP108" t="n">
        <v>1493.994</v>
      </c>
      <c r="AQ108" t="n">
        <v>740.471</v>
      </c>
      <c r="AR108" t="n">
        <v>1049.185</v>
      </c>
      <c r="AS108" t="n">
        <v>1776.396</v>
      </c>
      <c r="AT108" t="n">
        <v>847.399</v>
      </c>
      <c r="AU108" t="n">
        <v>2033.967</v>
      </c>
      <c r="AV108" t="n">
        <v>2772.82</v>
      </c>
      <c r="AW108" t="n">
        <v>5067.458</v>
      </c>
      <c r="AX108" t="n">
        <v>3859.18</v>
      </c>
      <c r="AY108" t="n">
        <v>4574.927</v>
      </c>
      <c r="AZ108" t="n">
        <v>7219.321</v>
      </c>
      <c r="BA108" t="n">
        <v>5479.267</v>
      </c>
      <c r="BB108" t="n">
        <v>9204.019</v>
      </c>
      <c r="BC108" t="n">
        <v>5188.155</v>
      </c>
      <c r="BD108" t="n">
        <v>6262.043</v>
      </c>
      <c r="BE108" t="n">
        <v>9749.496999999999</v>
      </c>
      <c r="BF108" t="n">
        <v>2727.51</v>
      </c>
      <c r="BG108" t="n">
        <v>3541.263</v>
      </c>
      <c r="BH108" t="n">
        <v>1208.933</v>
      </c>
      <c r="BI108" t="n">
        <v>1029.422</v>
      </c>
      <c r="BJ108" t="n">
        <v>2804.414</v>
      </c>
      <c r="BK108" t="n">
        <v>1479.598</v>
      </c>
      <c r="BL108" t="n">
        <v>3421.558</v>
      </c>
      <c r="BM108" t="n">
        <v>1711.704</v>
      </c>
      <c r="BN108" t="n">
        <v>10843.741</v>
      </c>
      <c r="BO108" t="n">
        <v>13108.123</v>
      </c>
      <c r="BP108" t="n">
        <v>12927.753</v>
      </c>
      <c r="BQ108" t="n">
        <v>10938.113</v>
      </c>
      <c r="BR108" t="n">
        <v>8308.323</v>
      </c>
      <c r="BS108" t="n">
        <v>6914.564</v>
      </c>
      <c r="BT108" t="n">
        <v>8359.645</v>
      </c>
      <c r="BU108" t="n">
        <v>6704.699</v>
      </c>
      <c r="BV108" t="n">
        <v>6472.807</v>
      </c>
    </row>
    <row r="109">
      <c r="A109" t="inlineStr">
        <is>
          <t>Platycephalus indicus</t>
        </is>
      </c>
      <c r="B109" t="inlineStr">
        <is>
          <t>Bartail flathead</t>
        </is>
      </c>
      <c r="C109" t="inlineStr">
        <is>
          <t>Medium demersals (30 - 89 cm)</t>
        </is>
      </c>
      <c r="D109" t="inlineStr">
        <is>
          <t>Scorpionfishes</t>
        </is>
      </c>
      <c r="E109" t="n">
        <v>483.803</v>
      </c>
      <c r="F109" t="n">
        <v>601.85</v>
      </c>
      <c r="G109" t="n">
        <v>653.77</v>
      </c>
      <c r="H109" t="n">
        <v>590.369</v>
      </c>
      <c r="I109" t="n">
        <v>579.66</v>
      </c>
      <c r="J109" t="n">
        <v>596.79</v>
      </c>
      <c r="K109" t="n">
        <v>832.687</v>
      </c>
      <c r="L109" t="n">
        <v>923.732</v>
      </c>
      <c r="M109" t="n">
        <v>902.61</v>
      </c>
      <c r="N109" t="n">
        <v>868.967</v>
      </c>
      <c r="O109" t="n">
        <v>781.413</v>
      </c>
      <c r="P109" t="n">
        <v>991.547</v>
      </c>
      <c r="Q109" t="n">
        <v>1000.193</v>
      </c>
      <c r="R109" t="n">
        <v>1001.543</v>
      </c>
      <c r="S109" t="n">
        <v>2047.125</v>
      </c>
      <c r="T109" t="n">
        <v>2168.131</v>
      </c>
      <c r="U109" t="n">
        <v>2238.123</v>
      </c>
      <c r="V109" t="n">
        <v>3075.27</v>
      </c>
      <c r="W109" t="n">
        <v>2533.49</v>
      </c>
      <c r="X109" t="n">
        <v>2766.863</v>
      </c>
      <c r="Y109" t="n">
        <v>3088.455</v>
      </c>
      <c r="Z109" t="n">
        <v>3311.967</v>
      </c>
      <c r="AA109" t="n">
        <v>3811.332</v>
      </c>
      <c r="AB109" t="n">
        <v>4159.737</v>
      </c>
      <c r="AC109" t="n">
        <v>4526.541</v>
      </c>
      <c r="AD109" t="n">
        <v>5359.633</v>
      </c>
      <c r="AE109" t="n">
        <v>4781.157</v>
      </c>
      <c r="AF109" t="n">
        <v>5611.754</v>
      </c>
      <c r="AG109" t="n">
        <v>4781.532</v>
      </c>
      <c r="AH109" t="n">
        <v>4386.166</v>
      </c>
      <c r="AI109" t="n">
        <v>5325.879</v>
      </c>
      <c r="AJ109" t="n">
        <v>5331.806</v>
      </c>
      <c r="AK109" t="n">
        <v>5879.454</v>
      </c>
      <c r="AL109" t="n">
        <v>6297.773</v>
      </c>
      <c r="AM109" t="n">
        <v>6941.796</v>
      </c>
      <c r="AN109" t="n">
        <v>6370.848</v>
      </c>
      <c r="AO109" t="n">
        <v>6980.601</v>
      </c>
      <c r="AP109" t="n">
        <v>5106.497</v>
      </c>
      <c r="AQ109" t="n">
        <v>5417.375</v>
      </c>
      <c r="AR109" t="n">
        <v>5946.01</v>
      </c>
      <c r="AS109" t="n">
        <v>5696.704</v>
      </c>
      <c r="AT109" t="n">
        <v>5696.383</v>
      </c>
      <c r="AU109" t="n">
        <v>5740.526</v>
      </c>
      <c r="AV109" t="n">
        <v>5686.02</v>
      </c>
      <c r="AW109" t="n">
        <v>5268.932</v>
      </c>
      <c r="AX109" t="n">
        <v>4644.494</v>
      </c>
      <c r="AY109" t="n">
        <v>5457.594</v>
      </c>
      <c r="AZ109" t="n">
        <v>6619.204</v>
      </c>
      <c r="BA109" t="n">
        <v>5233.466</v>
      </c>
      <c r="BB109" t="n">
        <v>4001.201</v>
      </c>
      <c r="BC109" t="n">
        <v>3754.182</v>
      </c>
      <c r="BD109" t="n">
        <v>3045.12</v>
      </c>
      <c r="BE109" t="n">
        <v>2479.669</v>
      </c>
      <c r="BF109" t="n">
        <v>2376.706</v>
      </c>
      <c r="BG109" t="n">
        <v>2451.245</v>
      </c>
      <c r="BH109" t="n">
        <v>2774.649</v>
      </c>
      <c r="BI109" t="n">
        <v>3078.755</v>
      </c>
      <c r="BJ109" t="n">
        <v>2713.412</v>
      </c>
      <c r="BK109" t="n">
        <v>2936.201</v>
      </c>
      <c r="BL109" t="n">
        <v>3209.47</v>
      </c>
      <c r="BM109" t="n">
        <v>3283.914</v>
      </c>
      <c r="BN109" t="n">
        <v>3539.134</v>
      </c>
      <c r="BO109" t="n">
        <v>2992.087</v>
      </c>
      <c r="BP109" t="n">
        <v>2817.308</v>
      </c>
      <c r="BQ109" t="n">
        <v>2834.636</v>
      </c>
      <c r="BR109" t="n">
        <v>2932.312</v>
      </c>
      <c r="BS109" t="n">
        <v>2755.034</v>
      </c>
      <c r="BT109" t="n">
        <v>2960.029</v>
      </c>
      <c r="BU109" t="n">
        <v>2819.553</v>
      </c>
      <c r="BV109" t="n">
        <v>2538.07</v>
      </c>
    </row>
    <row r="110">
      <c r="A110" t="inlineStr">
        <is>
          <t>Mactridae</t>
        </is>
      </c>
      <c r="B110" t="inlineStr">
        <is>
          <t>Mactra surf clams</t>
        </is>
      </c>
      <c r="C110" t="inlineStr">
        <is>
          <t>Other demersal invertebrates</t>
        </is>
      </c>
      <c r="D110" t="inlineStr">
        <is>
          <t>Molluscs</t>
        </is>
      </c>
      <c r="E110" t="n">
        <v>1447.488</v>
      </c>
      <c r="F110" t="n">
        <v>1447.488</v>
      </c>
      <c r="G110" t="n">
        <v>1447.488</v>
      </c>
      <c r="H110" t="n">
        <v>1459.09</v>
      </c>
      <c r="I110" t="n">
        <v>1351</v>
      </c>
      <c r="J110" t="n">
        <v>1427.54</v>
      </c>
      <c r="K110" t="n">
        <v>1430.795</v>
      </c>
      <c r="L110" t="n">
        <v>1576.946</v>
      </c>
      <c r="M110" t="n">
        <v>2056.846</v>
      </c>
      <c r="N110" t="n">
        <v>1367.199</v>
      </c>
      <c r="O110" t="n">
        <v>1298.665</v>
      </c>
      <c r="P110" t="n">
        <v>1388.316</v>
      </c>
      <c r="Q110" t="n">
        <v>1268.198</v>
      </c>
      <c r="R110" t="n">
        <v>1250.753</v>
      </c>
      <c r="S110" t="n">
        <v>2183.266</v>
      </c>
      <c r="T110" t="n">
        <v>1510.774</v>
      </c>
      <c r="U110" t="n">
        <v>1364.904</v>
      </c>
      <c r="V110" t="n">
        <v>1348.081</v>
      </c>
      <c r="W110" t="n">
        <v>1106.451</v>
      </c>
      <c r="X110" t="n">
        <v>1124.286</v>
      </c>
      <c r="Y110" t="n">
        <v>1132.762</v>
      </c>
      <c r="Z110" t="n">
        <v>1035.145</v>
      </c>
      <c r="AA110" t="n">
        <v>1349.969</v>
      </c>
      <c r="AB110" t="n">
        <v>990.542</v>
      </c>
      <c r="AC110" t="n">
        <v>4277.833</v>
      </c>
      <c r="AD110" t="n">
        <v>7282.936</v>
      </c>
      <c r="AE110" t="n">
        <v>10273.881</v>
      </c>
      <c r="AF110" t="n">
        <v>8288.929</v>
      </c>
      <c r="AG110" t="n">
        <v>13526.675</v>
      </c>
      <c r="AH110" t="n">
        <v>6980.968</v>
      </c>
      <c r="AI110" t="n">
        <v>9100.625</v>
      </c>
      <c r="AJ110" t="n">
        <v>5395.69</v>
      </c>
      <c r="AK110" t="n">
        <v>9103.544</v>
      </c>
      <c r="AL110" t="n">
        <v>7222.579</v>
      </c>
      <c r="AM110" t="n">
        <v>5770.712</v>
      </c>
      <c r="AN110" t="n">
        <v>7106.449</v>
      </c>
      <c r="AO110" t="n">
        <v>6071.304</v>
      </c>
      <c r="AP110" t="n">
        <v>6724.799</v>
      </c>
      <c r="AQ110" t="n">
        <v>3543.29</v>
      </c>
      <c r="AR110" t="n">
        <v>4430.101</v>
      </c>
      <c r="AS110" t="n">
        <v>3872.434</v>
      </c>
      <c r="AT110" t="n">
        <v>3580.151</v>
      </c>
      <c r="AU110" t="n">
        <v>3943.676</v>
      </c>
      <c r="AV110" t="n">
        <v>6038.143</v>
      </c>
      <c r="AW110" t="n">
        <v>7631.998</v>
      </c>
      <c r="AX110" t="n">
        <v>6545.378</v>
      </c>
      <c r="AY110" t="n">
        <v>5365.605</v>
      </c>
      <c r="AZ110" t="n">
        <v>5540.127</v>
      </c>
      <c r="BA110" t="n">
        <v>3755.373</v>
      </c>
      <c r="BB110" t="n">
        <v>6061.251</v>
      </c>
      <c r="BC110" t="n">
        <v>4475.651</v>
      </c>
      <c r="BD110" t="n">
        <v>4117.694</v>
      </c>
      <c r="BE110" t="n">
        <v>4159.289</v>
      </c>
      <c r="BF110" t="n">
        <v>4996.658</v>
      </c>
      <c r="BG110" t="n">
        <v>3924.713</v>
      </c>
      <c r="BH110" t="n">
        <v>2345.657</v>
      </c>
      <c r="BI110" t="n">
        <v>2603.701</v>
      </c>
      <c r="BJ110" t="n">
        <v>602.996</v>
      </c>
      <c r="BK110" t="n">
        <v>415.192</v>
      </c>
      <c r="BL110" t="n">
        <v>500.111</v>
      </c>
      <c r="BM110" t="n">
        <v>461.961</v>
      </c>
      <c r="BN110" t="n">
        <v>597.241</v>
      </c>
      <c r="BO110" t="n">
        <v>532.343</v>
      </c>
      <c r="BP110" t="n">
        <v>448.25</v>
      </c>
      <c r="BQ110" t="n">
        <v>418.087</v>
      </c>
      <c r="BR110" t="n">
        <v>428.141</v>
      </c>
      <c r="BS110" t="n">
        <v>498.98</v>
      </c>
      <c r="BT110" t="n">
        <v>373.555</v>
      </c>
      <c r="BU110" t="n">
        <v>368.563</v>
      </c>
      <c r="BV110" t="n">
        <v>379.97</v>
      </c>
    </row>
    <row r="111">
      <c r="A111" t="inlineStr">
        <is>
          <t>Muraenesocidae</t>
        </is>
      </c>
      <c r="B111" t="inlineStr">
        <is>
          <t>Pike congers</t>
        </is>
      </c>
      <c r="C111" t="inlineStr">
        <is>
          <t>Large demersals (&gt;=90 cm)</t>
        </is>
      </c>
      <c r="D111" t="inlineStr">
        <is>
          <t>Other fishes &amp; inverts</t>
        </is>
      </c>
      <c r="E111" t="n">
        <v>941.2329999999999</v>
      </c>
      <c r="F111" t="n">
        <v>943.722</v>
      </c>
      <c r="G111" t="n">
        <v>1103.921</v>
      </c>
      <c r="H111" t="n">
        <v>1106.842</v>
      </c>
      <c r="I111" t="n">
        <v>1585.388</v>
      </c>
      <c r="J111" t="n">
        <v>2145.94</v>
      </c>
      <c r="K111" t="n">
        <v>2071.934</v>
      </c>
      <c r="L111" t="n">
        <v>1837.72</v>
      </c>
      <c r="M111" t="n">
        <v>1842.59</v>
      </c>
      <c r="N111" t="n">
        <v>1767.15</v>
      </c>
      <c r="O111" t="n">
        <v>2013.45</v>
      </c>
      <c r="P111" t="n">
        <v>2099.543</v>
      </c>
      <c r="Q111" t="n">
        <v>2348.013</v>
      </c>
      <c r="R111" t="n">
        <v>2029.523</v>
      </c>
      <c r="S111" t="n">
        <v>2360.499</v>
      </c>
      <c r="T111" t="n">
        <v>2693.222</v>
      </c>
      <c r="U111" t="n">
        <v>2945.869</v>
      </c>
      <c r="V111" t="n">
        <v>2789.607</v>
      </c>
      <c r="W111" t="n">
        <v>4277.807</v>
      </c>
      <c r="X111" t="n">
        <v>4289.191</v>
      </c>
      <c r="Y111" t="n">
        <v>3473.569</v>
      </c>
      <c r="Z111" t="n">
        <v>2985.275</v>
      </c>
      <c r="AA111" t="n">
        <v>3076.374</v>
      </c>
      <c r="AB111" t="n">
        <v>2417.64</v>
      </c>
      <c r="AC111" t="n">
        <v>2955.715</v>
      </c>
      <c r="AD111" t="n">
        <v>3551.126</v>
      </c>
      <c r="AE111" t="n">
        <v>4026.19</v>
      </c>
      <c r="AF111" t="n">
        <v>4300.446</v>
      </c>
      <c r="AG111" t="n">
        <v>5203.618</v>
      </c>
      <c r="AH111" t="n">
        <v>4355.616</v>
      </c>
      <c r="AI111" t="n">
        <v>3888.315</v>
      </c>
      <c r="AJ111" t="n">
        <v>4341.099</v>
      </c>
      <c r="AK111" t="n">
        <v>3895.039</v>
      </c>
      <c r="AL111" t="n">
        <v>4021.589</v>
      </c>
      <c r="AM111" t="n">
        <v>5003.877</v>
      </c>
      <c r="AN111" t="n">
        <v>4542.074</v>
      </c>
      <c r="AO111" t="n">
        <v>5530.022</v>
      </c>
      <c r="AP111" t="n">
        <v>5975.723</v>
      </c>
      <c r="AQ111" t="n">
        <v>4714.287</v>
      </c>
      <c r="AR111" t="n">
        <v>5450.881</v>
      </c>
      <c r="AS111" t="n">
        <v>4590.979</v>
      </c>
      <c r="AT111" t="n">
        <v>5868.157</v>
      </c>
      <c r="AU111" t="n">
        <v>7622.42</v>
      </c>
      <c r="AV111" t="n">
        <v>4180.103</v>
      </c>
      <c r="AW111" t="n">
        <v>4188.689</v>
      </c>
      <c r="AX111" t="n">
        <v>4014.029</v>
      </c>
      <c r="AY111" t="n">
        <v>4326.484</v>
      </c>
      <c r="AZ111" t="n">
        <v>3829.463</v>
      </c>
      <c r="BA111" t="n">
        <v>3231.893</v>
      </c>
      <c r="BB111" t="n">
        <v>2242.538</v>
      </c>
      <c r="BC111" t="n">
        <v>2770.194</v>
      </c>
      <c r="BD111" t="n">
        <v>3034.022</v>
      </c>
      <c r="BE111" t="n">
        <v>2968.065</v>
      </c>
      <c r="BF111" t="n">
        <v>2770.194</v>
      </c>
      <c r="BG111" t="n">
        <v>2902.108</v>
      </c>
      <c r="BH111" t="n">
        <v>2809.768</v>
      </c>
      <c r="BI111" t="n">
        <v>2717.428</v>
      </c>
      <c r="BJ111" t="n">
        <v>2704.237</v>
      </c>
      <c r="BK111" t="n">
        <v>2770.194</v>
      </c>
      <c r="BL111" t="n">
        <v>2783.385</v>
      </c>
      <c r="BM111" t="n">
        <v>2941.682</v>
      </c>
      <c r="BN111" t="n">
        <v>2990.507</v>
      </c>
      <c r="BO111" t="n">
        <v>2717.793</v>
      </c>
      <c r="BP111" t="n">
        <v>2979.431</v>
      </c>
      <c r="BQ111" t="n">
        <v>2817.207</v>
      </c>
      <c r="BR111" t="n">
        <v>2542.841</v>
      </c>
      <c r="BS111" t="n">
        <v>2500.489</v>
      </c>
      <c r="BT111" t="n">
        <v>2233.912</v>
      </c>
      <c r="BU111" t="n">
        <v>2176.902</v>
      </c>
      <c r="BV111" t="n">
        <v>2152.647</v>
      </c>
    </row>
    <row r="112">
      <c r="A112" t="inlineStr">
        <is>
          <t>Squalidae</t>
        </is>
      </c>
      <c r="B112" t="inlineStr">
        <is>
          <t>Dogfish sharks</t>
        </is>
      </c>
      <c r="C112" t="inlineStr">
        <is>
          <t>Large sharks (&gt;=90 cm)</t>
        </is>
      </c>
      <c r="D112" t="inlineStr">
        <is>
          <t>Sharks &amp; rays</t>
        </is>
      </c>
      <c r="E112" t="n">
        <v>12808.459</v>
      </c>
      <c r="F112" t="n">
        <v>15474.406</v>
      </c>
      <c r="G112" t="n">
        <v>20204.916</v>
      </c>
      <c r="H112" t="n">
        <v>16508.466</v>
      </c>
      <c r="I112" t="n">
        <v>15103.884</v>
      </c>
      <c r="J112" t="n">
        <v>15591.592</v>
      </c>
      <c r="K112" t="n">
        <v>18711.178</v>
      </c>
      <c r="L112" t="n">
        <v>12204.775</v>
      </c>
      <c r="M112" t="n">
        <v>14014.594</v>
      </c>
      <c r="N112" t="n">
        <v>9447.154</v>
      </c>
      <c r="O112" t="n">
        <v>10472.066</v>
      </c>
      <c r="P112" t="n">
        <v>8837.544</v>
      </c>
      <c r="Q112" t="n">
        <v>10176.993</v>
      </c>
      <c r="R112" t="n">
        <v>8852.114</v>
      </c>
      <c r="S112" t="n">
        <v>5019.688</v>
      </c>
      <c r="T112" t="n">
        <v>5164.159</v>
      </c>
      <c r="U112" t="n">
        <v>4157.371</v>
      </c>
      <c r="V112" t="n">
        <v>1008.091</v>
      </c>
      <c r="W112" t="n">
        <v>0</v>
      </c>
      <c r="X112" t="n">
        <v>0</v>
      </c>
      <c r="Y112" t="n">
        <v>750.96</v>
      </c>
      <c r="Z112" t="n">
        <v>704.994</v>
      </c>
      <c r="AA112" t="n">
        <v>501.783</v>
      </c>
      <c r="AB112" t="n">
        <v>203.279</v>
      </c>
      <c r="AC112" t="n">
        <v>371.747</v>
      </c>
      <c r="AD112" t="n">
        <v>451.939</v>
      </c>
      <c r="AE112" t="n">
        <v>62.35</v>
      </c>
      <c r="AF112" t="n">
        <v>0</v>
      </c>
      <c r="AG112" t="n">
        <v>0</v>
      </c>
      <c r="AH112" t="n">
        <v>3.6</v>
      </c>
      <c r="AI112" t="n">
        <v>0</v>
      </c>
      <c r="AJ112" t="n">
        <v>0</v>
      </c>
      <c r="AK112" t="n">
        <v>0</v>
      </c>
      <c r="AL112" t="n">
        <v>0</v>
      </c>
      <c r="AM112" t="n">
        <v>0</v>
      </c>
      <c r="AN112" t="n">
        <v>0</v>
      </c>
      <c r="AO112" t="n">
        <v>18.209</v>
      </c>
      <c r="AP112" t="n">
        <v>0</v>
      </c>
      <c r="AQ112" t="n">
        <v>3.529</v>
      </c>
      <c r="AR112" t="n">
        <v>0</v>
      </c>
      <c r="AS112" t="n">
        <v>0</v>
      </c>
      <c r="AT112" t="n">
        <v>0</v>
      </c>
      <c r="AU112" t="n">
        <v>0</v>
      </c>
      <c r="AV112" t="n">
        <v>50.234</v>
      </c>
      <c r="AW112" t="n">
        <v>12.034</v>
      </c>
      <c r="AX112" t="n">
        <v>0</v>
      </c>
      <c r="AY112" t="n">
        <v>0</v>
      </c>
      <c r="AZ112" t="n">
        <v>0</v>
      </c>
      <c r="BA112" t="n">
        <v>1.721</v>
      </c>
      <c r="BB112" t="n">
        <v>0</v>
      </c>
      <c r="BC112" t="n">
        <v>290.852</v>
      </c>
      <c r="BD112" t="n">
        <v>14.234</v>
      </c>
      <c r="BE112" t="n">
        <v>134.559</v>
      </c>
      <c r="BF112" t="n">
        <v>33.793</v>
      </c>
      <c r="BG112" t="n">
        <v>283.085</v>
      </c>
      <c r="BH112" t="n">
        <v>115.739</v>
      </c>
      <c r="BI112" t="n">
        <v>0</v>
      </c>
      <c r="BJ112" t="n">
        <v>0</v>
      </c>
      <c r="BK112" t="n">
        <v>151.993</v>
      </c>
      <c r="BL112" t="n">
        <v>45.821</v>
      </c>
      <c r="BM112" t="n">
        <v>0</v>
      </c>
      <c r="BN112" t="n">
        <v>0</v>
      </c>
      <c r="BO112" t="n">
        <v>0</v>
      </c>
      <c r="BP112" t="n">
        <v>0</v>
      </c>
      <c r="BQ112" t="n">
        <v>0</v>
      </c>
      <c r="BR112" t="n">
        <v>0</v>
      </c>
      <c r="BS112" t="n">
        <v>0</v>
      </c>
      <c r="BT112" t="n">
        <v>0</v>
      </c>
      <c r="BU112" t="n">
        <v>0</v>
      </c>
      <c r="BV112" t="n">
        <v>0</v>
      </c>
    </row>
    <row r="113">
      <c r="A113" t="inlineStr">
        <is>
          <t>Seriola lalandi</t>
        </is>
      </c>
      <c r="B113" t="inlineStr">
        <is>
          <t>Yellowtail amberjack</t>
        </is>
      </c>
      <c r="C113" t="inlineStr">
        <is>
          <t>Large benthopelagics (&gt;=90 cm)</t>
        </is>
      </c>
      <c r="D113" t="inlineStr">
        <is>
          <t>Perch-likes</t>
        </is>
      </c>
      <c r="E113" t="n">
        <v>4417.022</v>
      </c>
      <c r="F113" t="n">
        <v>4417.022</v>
      </c>
      <c r="G113" t="n">
        <v>4417.022</v>
      </c>
      <c r="H113" t="n">
        <v>4794.424</v>
      </c>
      <c r="I113" t="n">
        <v>4483.36</v>
      </c>
      <c r="J113" t="n">
        <v>4399.567</v>
      </c>
      <c r="K113" t="n">
        <v>4261.73</v>
      </c>
      <c r="L113" t="n">
        <v>4230.197</v>
      </c>
      <c r="M113" t="n">
        <v>4359.521</v>
      </c>
      <c r="N113" t="n">
        <v>3266.906</v>
      </c>
      <c r="O113" t="n">
        <v>2899.423</v>
      </c>
      <c r="P113" t="n">
        <v>3559.502</v>
      </c>
      <c r="Q113" t="n">
        <v>3403.062</v>
      </c>
      <c r="R113" t="n">
        <v>2857.214</v>
      </c>
      <c r="S113" t="n">
        <v>3063.959</v>
      </c>
      <c r="T113" t="n">
        <v>3072.435</v>
      </c>
      <c r="U113" t="n">
        <v>2811.395</v>
      </c>
      <c r="V113" t="n">
        <v>3555.496</v>
      </c>
      <c r="W113" t="n">
        <v>3470.336</v>
      </c>
      <c r="X113" t="n">
        <v>3681.066</v>
      </c>
      <c r="Y113" t="n">
        <v>3884.606</v>
      </c>
      <c r="Z113" t="n">
        <v>3375.313</v>
      </c>
      <c r="AA113" t="n">
        <v>3464.461</v>
      </c>
      <c r="AB113" t="n">
        <v>2951.69</v>
      </c>
      <c r="AC113" t="n">
        <v>2287.62</v>
      </c>
      <c r="AD113" t="n">
        <v>2177.089</v>
      </c>
      <c r="AE113" t="n">
        <v>2336.887</v>
      </c>
      <c r="AF113" t="n">
        <v>1587.96</v>
      </c>
      <c r="AG113" t="n">
        <v>2070.034</v>
      </c>
      <c r="AH113" t="n">
        <v>2473.921</v>
      </c>
      <c r="AI113" t="n">
        <v>2356.99</v>
      </c>
      <c r="AJ113" t="n">
        <v>2195.927</v>
      </c>
      <c r="AK113" t="n">
        <v>2273.728</v>
      </c>
      <c r="AL113" t="n">
        <v>2413.468</v>
      </c>
      <c r="AM113" t="n">
        <v>2417.052</v>
      </c>
      <c r="AN113" t="n">
        <v>2091.928</v>
      </c>
      <c r="AO113" t="n">
        <v>2035.163</v>
      </c>
      <c r="AP113" t="n">
        <v>2166.398</v>
      </c>
      <c r="AQ113" t="n">
        <v>2110.566</v>
      </c>
      <c r="AR113" t="n">
        <v>2438.771</v>
      </c>
      <c r="AS113" t="n">
        <v>3021.356</v>
      </c>
      <c r="AT113" t="n">
        <v>2907.64</v>
      </c>
      <c r="AU113" t="n">
        <v>3254.915</v>
      </c>
      <c r="AV113" t="n">
        <v>2547.624</v>
      </c>
      <c r="AW113" t="n">
        <v>3146.074</v>
      </c>
      <c r="AX113" t="n">
        <v>3659.009</v>
      </c>
      <c r="AY113" t="n">
        <v>3098.905</v>
      </c>
      <c r="AZ113" t="n">
        <v>2858.663</v>
      </c>
      <c r="BA113" t="n">
        <v>2735.955</v>
      </c>
      <c r="BB113" t="n">
        <v>3325.255</v>
      </c>
      <c r="BC113" t="n">
        <v>4068.023</v>
      </c>
      <c r="BD113" t="n">
        <v>3591.658</v>
      </c>
      <c r="BE113" t="n">
        <v>2830.331</v>
      </c>
      <c r="BF113" t="n">
        <v>4077.689</v>
      </c>
      <c r="BG113" t="n">
        <v>4318.788</v>
      </c>
      <c r="BH113" t="n">
        <v>4010.106</v>
      </c>
      <c r="BI113" t="n">
        <v>4184.214</v>
      </c>
      <c r="BJ113" t="n">
        <v>4484.12</v>
      </c>
      <c r="BK113" t="n">
        <v>4732.773</v>
      </c>
      <c r="BL113" t="n">
        <v>4837.236</v>
      </c>
      <c r="BM113" t="n">
        <v>5788.188</v>
      </c>
      <c r="BN113" t="n">
        <v>0</v>
      </c>
      <c r="BO113" t="n">
        <v>0</v>
      </c>
      <c r="BP113" t="n">
        <v>0</v>
      </c>
      <c r="BQ113" t="n">
        <v>0</v>
      </c>
      <c r="BR113" t="n">
        <v>0</v>
      </c>
      <c r="BS113" t="n">
        <v>0</v>
      </c>
      <c r="BT113" t="n">
        <v>0</v>
      </c>
      <c r="BU113" t="n">
        <v>0</v>
      </c>
      <c r="BV113" t="n">
        <v>0</v>
      </c>
    </row>
    <row r="114">
      <c r="A114" t="inlineStr">
        <is>
          <t>Portunidae</t>
        </is>
      </c>
      <c r="B114" t="inlineStr">
        <is>
          <t>Swimming crabs</t>
        </is>
      </c>
      <c r="C114" t="inlineStr">
        <is>
          <t>Lobsters, crabs</t>
        </is>
      </c>
      <c r="D114" t="inlineStr">
        <is>
          <t>Crustaceans</t>
        </is>
      </c>
      <c r="E114" t="n">
        <v>263.876</v>
      </c>
      <c r="F114" t="n">
        <v>328.261</v>
      </c>
      <c r="G114" t="n">
        <v>354.545</v>
      </c>
      <c r="H114" t="n">
        <v>322</v>
      </c>
      <c r="I114" t="n">
        <v>312.617</v>
      </c>
      <c r="J114" t="n">
        <v>325.502</v>
      </c>
      <c r="K114" t="n">
        <v>454.165</v>
      </c>
      <c r="L114" t="n">
        <v>503.823</v>
      </c>
      <c r="M114" t="n">
        <v>492.302</v>
      </c>
      <c r="N114" t="n">
        <v>473.953</v>
      </c>
      <c r="O114" t="n">
        <v>426.199</v>
      </c>
      <c r="P114" t="n">
        <v>536.112</v>
      </c>
      <c r="Q114" t="n">
        <v>540.772</v>
      </c>
      <c r="R114" t="n">
        <v>544.292</v>
      </c>
      <c r="S114" t="n">
        <v>642.3099999999999</v>
      </c>
      <c r="T114" t="n">
        <v>680.364</v>
      </c>
      <c r="U114" t="n">
        <v>1562.452</v>
      </c>
      <c r="V114" t="n">
        <v>2260.316</v>
      </c>
      <c r="W114" t="n">
        <v>2125.701</v>
      </c>
      <c r="X114" t="n">
        <v>1725.565</v>
      </c>
      <c r="Y114" t="n">
        <v>2585.089</v>
      </c>
      <c r="Z114" t="n">
        <v>4112.512</v>
      </c>
      <c r="AA114" t="n">
        <v>4932.812</v>
      </c>
      <c r="AB114" t="n">
        <v>6362.414</v>
      </c>
      <c r="AC114" t="n">
        <v>6527.064</v>
      </c>
      <c r="AD114" t="n">
        <v>7058.508</v>
      </c>
      <c r="AE114" t="n">
        <v>6147.611</v>
      </c>
      <c r="AF114" t="n">
        <v>9321.491</v>
      </c>
      <c r="AG114" t="n">
        <v>9071.093000000001</v>
      </c>
      <c r="AH114" t="n">
        <v>8300.737999999999</v>
      </c>
      <c r="AI114" t="n">
        <v>7614.284</v>
      </c>
      <c r="AJ114" t="n">
        <v>8193.014999999999</v>
      </c>
      <c r="AK114" t="n">
        <v>6933.45</v>
      </c>
      <c r="AL114" t="n">
        <v>6264.503</v>
      </c>
      <c r="AM114" t="n">
        <v>8210.32</v>
      </c>
      <c r="AN114" t="n">
        <v>6984.41</v>
      </c>
      <c r="AO114" t="n">
        <v>8243.134</v>
      </c>
      <c r="AP114" t="n">
        <v>6896.697</v>
      </c>
      <c r="AQ114" t="n">
        <v>6734.118</v>
      </c>
      <c r="AR114" t="n">
        <v>5711.521</v>
      </c>
      <c r="AS114" t="n">
        <v>4503.558</v>
      </c>
      <c r="AT114" t="n">
        <v>3199.974</v>
      </c>
      <c r="AU114" t="n">
        <v>2800.134</v>
      </c>
      <c r="AV114" t="n">
        <v>2160.572</v>
      </c>
      <c r="AW114" t="n">
        <v>2422.22</v>
      </c>
      <c r="AX114" t="n">
        <v>2075.326</v>
      </c>
      <c r="AY114" t="n">
        <v>1888.917</v>
      </c>
      <c r="AZ114" t="n">
        <v>1620.04</v>
      </c>
      <c r="BA114" t="n">
        <v>1699.229</v>
      </c>
      <c r="BB114" t="n">
        <v>1438.391</v>
      </c>
      <c r="BC114" t="n">
        <v>1341.48</v>
      </c>
      <c r="BD114" t="n">
        <v>1215.27</v>
      </c>
      <c r="BE114" t="n">
        <v>1236.726</v>
      </c>
      <c r="BF114" t="n">
        <v>927.851</v>
      </c>
      <c r="BG114" t="n">
        <v>836.332</v>
      </c>
      <c r="BH114" t="n">
        <v>950.424</v>
      </c>
      <c r="BI114" t="n">
        <v>1063.108</v>
      </c>
      <c r="BJ114" t="n">
        <v>963.832</v>
      </c>
      <c r="BK114" t="n">
        <v>926.725</v>
      </c>
      <c r="BL114" t="n">
        <v>973.742</v>
      </c>
      <c r="BM114" t="n">
        <v>1038.501</v>
      </c>
      <c r="BN114" t="n">
        <v>1093.796</v>
      </c>
      <c r="BO114" t="n">
        <v>989.915</v>
      </c>
      <c r="BP114" t="n">
        <v>952.716</v>
      </c>
      <c r="BQ114" t="n">
        <v>972.922</v>
      </c>
      <c r="BR114" t="n">
        <v>965.287</v>
      </c>
      <c r="BS114" t="n">
        <v>844.3680000000001</v>
      </c>
      <c r="BT114" t="n">
        <v>839.525</v>
      </c>
      <c r="BU114" t="n">
        <v>775.182</v>
      </c>
      <c r="BV114" t="n">
        <v>678.814</v>
      </c>
    </row>
    <row r="115">
      <c r="A115" t="inlineStr">
        <is>
          <t>Pagrus auratus</t>
        </is>
      </c>
      <c r="B115" t="inlineStr">
        <is>
          <t>Silver seabream</t>
        </is>
      </c>
      <c r="C115" t="inlineStr">
        <is>
          <t>Large demersals (&gt;=90 cm)</t>
        </is>
      </c>
      <c r="D115" t="inlineStr">
        <is>
          <t>Perch-likes</t>
        </is>
      </c>
      <c r="E115" t="n">
        <v>1003.774</v>
      </c>
      <c r="F115" t="n">
        <v>1169.776</v>
      </c>
      <c r="G115" t="n">
        <v>1973.817</v>
      </c>
      <c r="H115" t="n">
        <v>2363.675</v>
      </c>
      <c r="I115" t="n">
        <v>2519.266</v>
      </c>
      <c r="J115" t="n">
        <v>1620.113</v>
      </c>
      <c r="K115" t="n">
        <v>1831.635</v>
      </c>
      <c r="L115" t="n">
        <v>1705.792</v>
      </c>
      <c r="M115" t="n">
        <v>2329.595</v>
      </c>
      <c r="N115" t="n">
        <v>2370.415</v>
      </c>
      <c r="O115" t="n">
        <v>3139.384</v>
      </c>
      <c r="P115" t="n">
        <v>1151.905</v>
      </c>
      <c r="Q115" t="n">
        <v>3827.926</v>
      </c>
      <c r="R115" t="n">
        <v>3156.677</v>
      </c>
      <c r="S115" t="n">
        <v>4112.79</v>
      </c>
      <c r="T115" t="n">
        <v>4379.544</v>
      </c>
      <c r="U115" t="n">
        <v>4227.371</v>
      </c>
      <c r="V115" t="n">
        <v>2875.481</v>
      </c>
      <c r="W115" t="n">
        <v>2905.081</v>
      </c>
      <c r="X115" t="n">
        <v>2464.516</v>
      </c>
      <c r="Y115" t="n">
        <v>2326.651</v>
      </c>
      <c r="Z115" t="n">
        <v>3070.035</v>
      </c>
      <c r="AA115" t="n">
        <v>3523.113</v>
      </c>
      <c r="AB115" t="n">
        <v>3318.453</v>
      </c>
      <c r="AC115" t="n">
        <v>3083.372</v>
      </c>
      <c r="AD115" t="n">
        <v>3284.931</v>
      </c>
      <c r="AE115" t="n">
        <v>2823.122</v>
      </c>
      <c r="AF115" t="n">
        <v>2947.111</v>
      </c>
      <c r="AG115" t="n">
        <v>2406.227</v>
      </c>
      <c r="AH115" t="n">
        <v>2307.469</v>
      </c>
      <c r="AI115" t="n">
        <v>2994.352</v>
      </c>
      <c r="AJ115" t="n">
        <v>3166.219</v>
      </c>
      <c r="AK115" t="n">
        <v>2991.511</v>
      </c>
      <c r="AL115" t="n">
        <v>2756.818</v>
      </c>
      <c r="AM115" t="n">
        <v>2421.957</v>
      </c>
      <c r="AN115" t="n">
        <v>3423.497</v>
      </c>
      <c r="AO115" t="n">
        <v>2729.705</v>
      </c>
      <c r="AP115" t="n">
        <v>2692.488</v>
      </c>
      <c r="AQ115" t="n">
        <v>2333.176</v>
      </c>
      <c r="AR115" t="n">
        <v>2281.222</v>
      </c>
      <c r="AS115" t="n">
        <v>1622.922</v>
      </c>
      <c r="AT115" t="n">
        <v>1678.391</v>
      </c>
      <c r="AU115" t="n">
        <v>2743.76</v>
      </c>
      <c r="AV115" t="n">
        <v>2872.244</v>
      </c>
      <c r="AW115" t="n">
        <v>2672.302</v>
      </c>
      <c r="AX115" t="n">
        <v>3157.292</v>
      </c>
      <c r="AY115" t="n">
        <v>4816.848</v>
      </c>
      <c r="AZ115" t="n">
        <v>5723.508</v>
      </c>
      <c r="BA115" t="n">
        <v>5302.45</v>
      </c>
      <c r="BB115" t="n">
        <v>6634.582</v>
      </c>
      <c r="BC115" t="n">
        <v>7481.178</v>
      </c>
      <c r="BD115" t="n">
        <v>9813.968999999999</v>
      </c>
      <c r="BE115" t="n">
        <v>9409.825999999999</v>
      </c>
      <c r="BF115" t="n">
        <v>3864.893</v>
      </c>
      <c r="BG115" t="n">
        <v>5160.059</v>
      </c>
      <c r="BH115" t="n">
        <v>3469.403</v>
      </c>
      <c r="BI115" t="n">
        <v>2669.413</v>
      </c>
      <c r="BJ115" t="n">
        <v>1360.786</v>
      </c>
      <c r="BK115" t="n">
        <v>921.381</v>
      </c>
      <c r="BL115" t="n">
        <v>1268.681</v>
      </c>
      <c r="BM115" t="n">
        <v>732.129</v>
      </c>
      <c r="BN115" t="n">
        <v>675.9829999999999</v>
      </c>
      <c r="BO115" t="n">
        <v>286.81</v>
      </c>
      <c r="BP115" t="n">
        <v>308.97</v>
      </c>
      <c r="BQ115" t="n">
        <v>319.467</v>
      </c>
      <c r="BR115" t="n">
        <v>228.481</v>
      </c>
      <c r="BS115" t="n">
        <v>247.4</v>
      </c>
      <c r="BT115" t="n">
        <v>246.635</v>
      </c>
      <c r="BU115" t="n">
        <v>212.398</v>
      </c>
      <c r="BV115" t="n">
        <v>234.951</v>
      </c>
    </row>
    <row r="116">
      <c r="A116" t="inlineStr">
        <is>
          <t>Thunnus obesus</t>
        </is>
      </c>
      <c r="B116" t="inlineStr">
        <is>
          <t>Bigeye tuna</t>
        </is>
      </c>
      <c r="C116" t="inlineStr">
        <is>
          <t>Large pelagics (&gt;=90 cm)</t>
        </is>
      </c>
      <c r="D116" t="inlineStr">
        <is>
          <t>Tuna &amp; billfishes</t>
        </is>
      </c>
      <c r="E116" t="n">
        <v>29.491</v>
      </c>
      <c r="F116" t="n">
        <v>29.498</v>
      </c>
      <c r="G116" t="n">
        <v>35.785</v>
      </c>
      <c r="H116" t="n">
        <v>16.015</v>
      </c>
      <c r="I116" t="n">
        <v>17.19</v>
      </c>
      <c r="J116" t="n">
        <v>51.841</v>
      </c>
      <c r="K116" t="n">
        <v>176.561</v>
      </c>
      <c r="L116" t="n">
        <v>135.014</v>
      </c>
      <c r="M116" t="n">
        <v>117.072</v>
      </c>
      <c r="N116" t="n">
        <v>162.505</v>
      </c>
      <c r="O116" t="n">
        <v>125.542</v>
      </c>
      <c r="P116" t="n">
        <v>1248.435</v>
      </c>
      <c r="Q116" t="n">
        <v>1538.223</v>
      </c>
      <c r="R116" t="n">
        <v>2374.212</v>
      </c>
      <c r="S116" t="n">
        <v>198.787</v>
      </c>
      <c r="T116" t="n">
        <v>136.877</v>
      </c>
      <c r="U116" t="n">
        <v>193.007</v>
      </c>
      <c r="V116" t="n">
        <v>190.48</v>
      </c>
      <c r="W116" t="n">
        <v>208.819</v>
      </c>
      <c r="X116" t="n">
        <v>215.456</v>
      </c>
      <c r="Y116" t="n">
        <v>160.829</v>
      </c>
      <c r="Z116" t="n">
        <v>456.557</v>
      </c>
      <c r="AA116" t="n">
        <v>1744.395</v>
      </c>
      <c r="AB116" t="n">
        <v>2773.79</v>
      </c>
      <c r="AC116" t="n">
        <v>2610.047</v>
      </c>
      <c r="AD116" t="n">
        <v>3726.556</v>
      </c>
      <c r="AE116" t="n">
        <v>4087.147</v>
      </c>
      <c r="AF116" t="n">
        <v>4912.56</v>
      </c>
      <c r="AG116" t="n">
        <v>4560.029</v>
      </c>
      <c r="AH116" t="n">
        <v>4736.861</v>
      </c>
      <c r="AI116" t="n">
        <v>4135.298</v>
      </c>
      <c r="AJ116" t="n">
        <v>3173.981</v>
      </c>
      <c r="AK116" t="n">
        <v>4590.82</v>
      </c>
      <c r="AL116" t="n">
        <v>4877.404</v>
      </c>
      <c r="AM116" t="n">
        <v>4144.956</v>
      </c>
      <c r="AN116" t="n">
        <v>5575.613</v>
      </c>
      <c r="AO116" t="n">
        <v>5874.496</v>
      </c>
      <c r="AP116" t="n">
        <v>5601.464</v>
      </c>
      <c r="AQ116" t="n">
        <v>4649.313</v>
      </c>
      <c r="AR116" t="n">
        <v>4946.065</v>
      </c>
      <c r="AS116" t="n">
        <v>5452.863</v>
      </c>
      <c r="AT116" t="n">
        <v>5084.697</v>
      </c>
      <c r="AU116" t="n">
        <v>7054.423</v>
      </c>
      <c r="AV116" t="n">
        <v>6455.715</v>
      </c>
      <c r="AW116" t="n">
        <v>5871.193</v>
      </c>
      <c r="AX116" t="n">
        <v>5647.084</v>
      </c>
      <c r="AY116" t="n">
        <v>5259.02</v>
      </c>
      <c r="AZ116" t="n">
        <v>5690.317</v>
      </c>
      <c r="BA116" t="n">
        <v>4321.483</v>
      </c>
      <c r="BB116" t="n">
        <v>4952.837</v>
      </c>
      <c r="BC116" t="n">
        <v>4242.211</v>
      </c>
      <c r="BD116" t="n">
        <v>4478.663</v>
      </c>
      <c r="BE116" t="n">
        <v>4303.832</v>
      </c>
      <c r="BF116" t="n">
        <v>215.46</v>
      </c>
      <c r="BG116" t="n">
        <v>540.706</v>
      </c>
      <c r="BH116" t="n">
        <v>341.207</v>
      </c>
      <c r="BI116" t="n">
        <v>323.338</v>
      </c>
      <c r="BJ116" t="n">
        <v>206.066</v>
      </c>
      <c r="BK116" t="n">
        <v>168.825</v>
      </c>
      <c r="BL116" t="n">
        <v>223.706</v>
      </c>
      <c r="BM116" t="n">
        <v>254.28</v>
      </c>
      <c r="BN116" t="n">
        <v>3375.197</v>
      </c>
      <c r="BO116" t="n">
        <v>3343.659</v>
      </c>
      <c r="BP116" t="n">
        <v>3216.557</v>
      </c>
      <c r="BQ116" t="n">
        <v>3444.713</v>
      </c>
      <c r="BR116" t="n">
        <v>3176.185</v>
      </c>
      <c r="BS116" t="n">
        <v>2379.083</v>
      </c>
      <c r="BT116" t="n">
        <v>2185.289</v>
      </c>
      <c r="BU116" t="n">
        <v>2422.306</v>
      </c>
      <c r="BV116" t="n">
        <v>2090.608</v>
      </c>
    </row>
    <row r="117">
      <c r="A117" t="inlineStr">
        <is>
          <t>Haemulidae</t>
        </is>
      </c>
      <c r="B117" t="inlineStr">
        <is>
          <t>Grunts, sweetlips, bonnetmouths</t>
        </is>
      </c>
      <c r="C117" t="inlineStr">
        <is>
          <t>Medium demersals (30 - 89 cm)</t>
        </is>
      </c>
      <c r="D117" t="inlineStr">
        <is>
          <t>Perch-likes</t>
        </is>
      </c>
      <c r="E117" t="n">
        <v>1065.711</v>
      </c>
      <c r="F117" t="n">
        <v>1065.711</v>
      </c>
      <c r="G117" t="n">
        <v>1065.711</v>
      </c>
      <c r="H117" t="n">
        <v>1065.711</v>
      </c>
      <c r="I117" t="n">
        <v>1065.711</v>
      </c>
      <c r="J117" t="n">
        <v>1065.711</v>
      </c>
      <c r="K117" t="n">
        <v>1087.071</v>
      </c>
      <c r="L117" t="n">
        <v>1109.342</v>
      </c>
      <c r="M117" t="n">
        <v>1205.803</v>
      </c>
      <c r="N117" t="n">
        <v>1202.798</v>
      </c>
      <c r="O117" t="n">
        <v>1502.312</v>
      </c>
      <c r="P117" t="n">
        <v>1573.725</v>
      </c>
      <c r="Q117" t="n">
        <v>1556.737</v>
      </c>
      <c r="R117" t="n">
        <v>1690.862</v>
      </c>
      <c r="S117" t="n">
        <v>1789.851</v>
      </c>
      <c r="T117" t="n">
        <v>1915.005</v>
      </c>
      <c r="U117" t="n">
        <v>2149.3</v>
      </c>
      <c r="V117" t="n">
        <v>2573.078</v>
      </c>
      <c r="W117" t="n">
        <v>3012.165</v>
      </c>
      <c r="X117" t="n">
        <v>2777.414</v>
      </c>
      <c r="Y117" t="n">
        <v>2689.633</v>
      </c>
      <c r="Z117" t="n">
        <v>3143.668</v>
      </c>
      <c r="AA117" t="n">
        <v>3653.814</v>
      </c>
      <c r="AB117" t="n">
        <v>4453.739</v>
      </c>
      <c r="AC117" t="n">
        <v>4379.808</v>
      </c>
      <c r="AD117" t="n">
        <v>4294.376</v>
      </c>
      <c r="AE117" t="n">
        <v>5065.9</v>
      </c>
      <c r="AF117" t="n">
        <v>5097.377</v>
      </c>
      <c r="AG117" t="n">
        <v>4957.374</v>
      </c>
      <c r="AH117" t="n">
        <v>4601.664</v>
      </c>
      <c r="AI117" t="n">
        <v>4735.884</v>
      </c>
      <c r="AJ117" t="n">
        <v>4711.509</v>
      </c>
      <c r="AK117" t="n">
        <v>4488.478</v>
      </c>
      <c r="AL117" t="n">
        <v>4345.368</v>
      </c>
      <c r="AM117" t="n">
        <v>4411.751</v>
      </c>
      <c r="AN117" t="n">
        <v>4335.985</v>
      </c>
      <c r="AO117" t="n">
        <v>4722.199</v>
      </c>
      <c r="AP117" t="n">
        <v>4717.464</v>
      </c>
      <c r="AQ117" t="n">
        <v>5010.306</v>
      </c>
      <c r="AR117" t="n">
        <v>4168.734</v>
      </c>
      <c r="AS117" t="n">
        <v>4185.206</v>
      </c>
      <c r="AT117" t="n">
        <v>4060.603</v>
      </c>
      <c r="AU117" t="n">
        <v>3853.699</v>
      </c>
      <c r="AV117" t="n">
        <v>3009.945</v>
      </c>
      <c r="AW117" t="n">
        <v>2482.336</v>
      </c>
      <c r="AX117" t="n">
        <v>2181.505</v>
      </c>
      <c r="AY117" t="n">
        <v>2073.374</v>
      </c>
      <c r="AZ117" t="n">
        <v>1889.737</v>
      </c>
      <c r="BA117" t="n">
        <v>2244.46</v>
      </c>
      <c r="BB117" t="n">
        <v>2059.836</v>
      </c>
      <c r="BC117" t="n">
        <v>1987.991</v>
      </c>
      <c r="BD117" t="n">
        <v>1925.036</v>
      </c>
      <c r="BE117" t="n">
        <v>2155.97</v>
      </c>
      <c r="BF117" t="n">
        <v>1431.877</v>
      </c>
      <c r="BG117" t="n">
        <v>1595.118</v>
      </c>
      <c r="BH117" t="n">
        <v>1500.165</v>
      </c>
      <c r="BI117" t="n">
        <v>1459.829</v>
      </c>
      <c r="BJ117" t="n">
        <v>1650.852</v>
      </c>
      <c r="BK117" t="n">
        <v>1405.808</v>
      </c>
      <c r="BL117" t="n">
        <v>1460.738</v>
      </c>
      <c r="BM117" t="n">
        <v>1115.069</v>
      </c>
      <c r="BN117" t="n">
        <v>1545.053</v>
      </c>
      <c r="BO117" t="n">
        <v>1535.692</v>
      </c>
      <c r="BP117" t="n">
        <v>1445.331</v>
      </c>
      <c r="BQ117" t="n">
        <v>1474.636</v>
      </c>
      <c r="BR117" t="n">
        <v>1595.778</v>
      </c>
      <c r="BS117" t="n">
        <v>1533.964</v>
      </c>
      <c r="BT117" t="n">
        <v>1506.299</v>
      </c>
      <c r="BU117" t="n">
        <v>1562.603</v>
      </c>
      <c r="BV117" t="n">
        <v>1390.171</v>
      </c>
    </row>
    <row r="118">
      <c r="A118" t="inlineStr">
        <is>
          <t>Gastropoda</t>
        </is>
      </c>
      <c r="B118" t="inlineStr">
        <is>
          <t>Sea snails</t>
        </is>
      </c>
      <c r="C118" t="inlineStr">
        <is>
          <t>Other demersal invertebrates</t>
        </is>
      </c>
      <c r="D118" t="inlineStr">
        <is>
          <t>Molluscs</t>
        </is>
      </c>
      <c r="E118" t="n">
        <v>0</v>
      </c>
      <c r="F118" t="n">
        <v>0</v>
      </c>
      <c r="G118" t="n">
        <v>0</v>
      </c>
      <c r="H118" t="n">
        <v>0</v>
      </c>
      <c r="I118" t="n">
        <v>0</v>
      </c>
      <c r="J118" t="n">
        <v>0</v>
      </c>
      <c r="K118" t="n">
        <v>0</v>
      </c>
      <c r="L118" t="n">
        <v>0</v>
      </c>
      <c r="M118" t="n">
        <v>0.458</v>
      </c>
      <c r="N118" t="n">
        <v>0</v>
      </c>
      <c r="O118" t="n">
        <v>0</v>
      </c>
      <c r="P118" t="n">
        <v>0.223</v>
      </c>
      <c r="Q118" t="n">
        <v>0.347</v>
      </c>
      <c r="R118" t="n">
        <v>0</v>
      </c>
      <c r="S118" t="n">
        <v>0.287</v>
      </c>
      <c r="T118" t="n">
        <v>0</v>
      </c>
      <c r="U118" t="n">
        <v>0.986</v>
      </c>
      <c r="V118" t="n">
        <v>1.1</v>
      </c>
      <c r="W118" t="n">
        <v>0</v>
      </c>
      <c r="X118" t="n">
        <v>0</v>
      </c>
      <c r="Y118" t="n">
        <v>0</v>
      </c>
      <c r="Z118" t="n">
        <v>0</v>
      </c>
      <c r="AA118" t="n">
        <v>2.263</v>
      </c>
      <c r="AB118" t="n">
        <v>0</v>
      </c>
      <c r="AC118" t="n">
        <v>1557.382</v>
      </c>
      <c r="AD118" t="n">
        <v>921.984</v>
      </c>
      <c r="AE118" t="n">
        <v>1434.128</v>
      </c>
      <c r="AF118" t="n">
        <v>4334.103</v>
      </c>
      <c r="AG118" t="n">
        <v>2192.519</v>
      </c>
      <c r="AH118" t="n">
        <v>1189.358</v>
      </c>
      <c r="AI118" t="n">
        <v>2079.214</v>
      </c>
      <c r="AJ118" t="n">
        <v>2459.859</v>
      </c>
      <c r="AK118" t="n">
        <v>3137.803</v>
      </c>
      <c r="AL118" t="n">
        <v>3546.28</v>
      </c>
      <c r="AM118" t="n">
        <v>4902.644</v>
      </c>
      <c r="AN118" t="n">
        <v>4175.966</v>
      </c>
      <c r="AO118" t="n">
        <v>4359.366</v>
      </c>
      <c r="AP118" t="n">
        <v>5396.261</v>
      </c>
      <c r="AQ118" t="n">
        <v>5769.823</v>
      </c>
      <c r="AR118" t="n">
        <v>6466.365</v>
      </c>
      <c r="AS118" t="n">
        <v>5635.587</v>
      </c>
      <c r="AT118" t="n">
        <v>8170.575</v>
      </c>
      <c r="AU118" t="n">
        <v>6445.365</v>
      </c>
      <c r="AV118" t="n">
        <v>7763.116</v>
      </c>
      <c r="AW118" t="n">
        <v>8724.009</v>
      </c>
      <c r="AX118" t="n">
        <v>6515.356</v>
      </c>
      <c r="AY118" t="n">
        <v>4914.531</v>
      </c>
      <c r="AZ118" t="n">
        <v>3743.254</v>
      </c>
      <c r="BA118" t="n">
        <v>1618.872</v>
      </c>
      <c r="BB118" t="n">
        <v>1452.282</v>
      </c>
      <c r="BC118" t="n">
        <v>692.836</v>
      </c>
      <c r="BD118" t="n">
        <v>699.453</v>
      </c>
      <c r="BE118" t="n">
        <v>1282.815</v>
      </c>
      <c r="BF118" t="n">
        <v>1747.099</v>
      </c>
      <c r="BG118" t="n">
        <v>1457.584</v>
      </c>
      <c r="BH118" t="n">
        <v>1165.085</v>
      </c>
      <c r="BI118" t="n">
        <v>974.559</v>
      </c>
      <c r="BJ118" t="n">
        <v>1073.592</v>
      </c>
      <c r="BK118" t="n">
        <v>3758.71</v>
      </c>
      <c r="BL118" t="n">
        <v>4276.342</v>
      </c>
      <c r="BM118" t="n">
        <v>4360.789</v>
      </c>
      <c r="BN118" t="n">
        <v>4348.2</v>
      </c>
      <c r="BO118" t="n">
        <v>4297.096</v>
      </c>
      <c r="BP118" t="n">
        <v>4000.551</v>
      </c>
      <c r="BQ118" t="n">
        <v>4496.409</v>
      </c>
      <c r="BR118" t="n">
        <v>3917.974</v>
      </c>
      <c r="BS118" t="n">
        <v>4607.12</v>
      </c>
      <c r="BT118" t="n">
        <v>4710.038</v>
      </c>
      <c r="BU118" t="n">
        <v>5062.339</v>
      </c>
      <c r="BV118" t="n">
        <v>6582.285</v>
      </c>
    </row>
    <row r="119">
      <c r="A119" t="inlineStr">
        <is>
          <t>Holothuroidea</t>
        </is>
      </c>
      <c r="B119" t="inlineStr">
        <is>
          <t>Sea cucumbers</t>
        </is>
      </c>
      <c r="C119" t="inlineStr">
        <is>
          <t>Other demersal invertebrates</t>
        </is>
      </c>
      <c r="D119" t="inlineStr">
        <is>
          <t>Other fishes &amp; inverts</t>
        </is>
      </c>
      <c r="E119" t="n">
        <v>1646.841</v>
      </c>
      <c r="F119" t="n">
        <v>1646.841</v>
      </c>
      <c r="G119" t="n">
        <v>1646.841</v>
      </c>
      <c r="H119" t="n">
        <v>1603.011</v>
      </c>
      <c r="I119" t="n">
        <v>1625.142</v>
      </c>
      <c r="J119" t="n">
        <v>1646.841</v>
      </c>
      <c r="K119" t="n">
        <v>1592.162</v>
      </c>
      <c r="L119" t="n">
        <v>1818.64</v>
      </c>
      <c r="M119" t="n">
        <v>1937.584</v>
      </c>
      <c r="N119" t="n">
        <v>1830.657</v>
      </c>
      <c r="O119" t="n">
        <v>1812.303</v>
      </c>
      <c r="P119" t="n">
        <v>1817.205</v>
      </c>
      <c r="Q119" t="n">
        <v>1682.942</v>
      </c>
      <c r="R119" t="n">
        <v>1647.922</v>
      </c>
      <c r="S119" t="n">
        <v>2015.043</v>
      </c>
      <c r="T119" t="n">
        <v>2032.834</v>
      </c>
      <c r="U119" t="n">
        <v>2333.215</v>
      </c>
      <c r="V119" t="n">
        <v>4055.313</v>
      </c>
      <c r="W119" t="n">
        <v>4633.124</v>
      </c>
      <c r="X119" t="n">
        <v>4417.227</v>
      </c>
      <c r="Y119" t="n">
        <v>4192.615</v>
      </c>
      <c r="Z119" t="n">
        <v>4437.612</v>
      </c>
      <c r="AA119" t="n">
        <v>4265.006</v>
      </c>
      <c r="AB119" t="n">
        <v>3957.022</v>
      </c>
      <c r="AC119" t="n">
        <v>4107.276</v>
      </c>
      <c r="AD119" t="n">
        <v>3612.76</v>
      </c>
      <c r="AE119" t="n">
        <v>4048.081</v>
      </c>
      <c r="AF119" t="n">
        <v>3803.305</v>
      </c>
      <c r="AG119" t="n">
        <v>3986.404</v>
      </c>
      <c r="AH119" t="n">
        <v>3700.431</v>
      </c>
      <c r="AI119" t="n">
        <v>3543.043</v>
      </c>
      <c r="AJ119" t="n">
        <v>3290.197</v>
      </c>
      <c r="AK119" t="n">
        <v>3410.727</v>
      </c>
      <c r="AL119" t="n">
        <v>3372.918</v>
      </c>
      <c r="AM119" t="n">
        <v>3139.913</v>
      </c>
      <c r="AN119" t="n">
        <v>3201.278</v>
      </c>
      <c r="AO119" t="n">
        <v>3005.442</v>
      </c>
      <c r="AP119" t="n">
        <v>2953.707</v>
      </c>
      <c r="AQ119" t="n">
        <v>2895.137</v>
      </c>
      <c r="AR119" t="n">
        <v>2760.221</v>
      </c>
      <c r="AS119" t="n">
        <v>2731.254</v>
      </c>
      <c r="AT119" t="n">
        <v>2749.222</v>
      </c>
      <c r="AU119" t="n">
        <v>2517.494</v>
      </c>
      <c r="AV119" t="n">
        <v>2540.723</v>
      </c>
      <c r="AW119" t="n">
        <v>2617.277</v>
      </c>
      <c r="AX119" t="n">
        <v>2749.607</v>
      </c>
      <c r="AY119" t="n">
        <v>2952.874</v>
      </c>
      <c r="AZ119" t="n">
        <v>2908.868</v>
      </c>
      <c r="BA119" t="n">
        <v>2877.569</v>
      </c>
      <c r="BB119" t="n">
        <v>2757.053</v>
      </c>
      <c r="BC119" t="n">
        <v>2840.413</v>
      </c>
      <c r="BD119" t="n">
        <v>2883.498</v>
      </c>
      <c r="BE119" t="n">
        <v>2924.398</v>
      </c>
      <c r="BF119" t="n">
        <v>3162.3</v>
      </c>
      <c r="BG119" t="n">
        <v>3377.084</v>
      </c>
      <c r="BH119" t="n">
        <v>3306.02</v>
      </c>
      <c r="BI119" t="n">
        <v>3610.932</v>
      </c>
      <c r="BJ119" t="n">
        <v>449.276</v>
      </c>
      <c r="BK119" t="n">
        <v>470.975</v>
      </c>
      <c r="BL119" t="n">
        <v>470.975</v>
      </c>
      <c r="BM119" t="n">
        <v>470.975</v>
      </c>
      <c r="BN119" t="n">
        <v>470.975</v>
      </c>
      <c r="BO119" t="n">
        <v>470.975</v>
      </c>
      <c r="BP119" t="n">
        <v>470.975</v>
      </c>
      <c r="BQ119" t="n">
        <v>470.975</v>
      </c>
      <c r="BR119" t="n">
        <v>470.975</v>
      </c>
      <c r="BS119" t="n">
        <v>470.975</v>
      </c>
      <c r="BT119" t="n">
        <v>471.785</v>
      </c>
      <c r="BU119" t="n">
        <v>492.043</v>
      </c>
      <c r="BV119" t="n">
        <v>486.51</v>
      </c>
    </row>
    <row r="120">
      <c r="A120" t="inlineStr">
        <is>
          <t>Penaeus japonicus</t>
        </is>
      </c>
      <c r="B120" t="inlineStr">
        <is>
          <t>Kuruma prawn</t>
        </is>
      </c>
      <c r="C120" t="inlineStr">
        <is>
          <t>Shrimps</t>
        </is>
      </c>
      <c r="D120" t="inlineStr">
        <is>
          <t>Crustaceans</t>
        </is>
      </c>
      <c r="E120" t="n">
        <v>10.257</v>
      </c>
      <c r="F120" t="n">
        <v>26.899</v>
      </c>
      <c r="G120" t="n">
        <v>58.656</v>
      </c>
      <c r="H120" t="n">
        <v>28.295</v>
      </c>
      <c r="I120" t="n">
        <v>16.537</v>
      </c>
      <c r="J120" t="n">
        <v>20.405</v>
      </c>
      <c r="K120" t="n">
        <v>23.677</v>
      </c>
      <c r="L120" t="n">
        <v>115.18</v>
      </c>
      <c r="M120" t="n">
        <v>324.524</v>
      </c>
      <c r="N120" t="n">
        <v>324.493</v>
      </c>
      <c r="O120" t="n">
        <v>1066.738</v>
      </c>
      <c r="P120" t="n">
        <v>316.519</v>
      </c>
      <c r="Q120" t="n">
        <v>287.848</v>
      </c>
      <c r="R120" t="n">
        <v>719.433</v>
      </c>
      <c r="S120" t="n">
        <v>586.462</v>
      </c>
      <c r="T120" t="n">
        <v>962.6559999999999</v>
      </c>
      <c r="U120" t="n">
        <v>1411.655</v>
      </c>
      <c r="V120" t="n">
        <v>1674.512</v>
      </c>
      <c r="W120" t="n">
        <v>1962.007</v>
      </c>
      <c r="X120" t="n">
        <v>2374.323</v>
      </c>
      <c r="Y120" t="n">
        <v>1849.925</v>
      </c>
      <c r="Z120" t="n">
        <v>2945.395</v>
      </c>
      <c r="AA120" t="n">
        <v>2847.96</v>
      </c>
      <c r="AB120" t="n">
        <v>3075.863</v>
      </c>
      <c r="AC120" t="n">
        <v>3259.601</v>
      </c>
      <c r="AD120" t="n">
        <v>4144.908</v>
      </c>
      <c r="AE120" t="n">
        <v>3346.359</v>
      </c>
      <c r="AF120" t="n">
        <v>2645.391</v>
      </c>
      <c r="AG120" t="n">
        <v>3469.253</v>
      </c>
      <c r="AH120" t="n">
        <v>2350.2</v>
      </c>
      <c r="AI120" t="n">
        <v>2769.263</v>
      </c>
      <c r="AJ120" t="n">
        <v>2166.276</v>
      </c>
      <c r="AK120" t="n">
        <v>3731.716</v>
      </c>
      <c r="AL120" t="n">
        <v>5302.795</v>
      </c>
      <c r="AM120" t="n">
        <v>4167.829</v>
      </c>
      <c r="AN120" t="n">
        <v>4499.839</v>
      </c>
      <c r="AO120" t="n">
        <v>4435.21</v>
      </c>
      <c r="AP120" t="n">
        <v>5216.604</v>
      </c>
      <c r="AQ120" t="n">
        <v>5211.433</v>
      </c>
      <c r="AR120" t="n">
        <v>5736.202</v>
      </c>
      <c r="AS120" t="n">
        <v>4240.331</v>
      </c>
      <c r="AT120" t="n">
        <v>3575.123</v>
      </c>
      <c r="AU120" t="n">
        <v>4651.19</v>
      </c>
      <c r="AV120" t="n">
        <v>3733.631</v>
      </c>
      <c r="AW120" t="n">
        <v>4634.491</v>
      </c>
      <c r="AX120" t="n">
        <v>4147.005</v>
      </c>
      <c r="AY120" t="n">
        <v>4376.28</v>
      </c>
      <c r="AZ120" t="n">
        <v>5921.865</v>
      </c>
      <c r="BA120" t="n">
        <v>3787.6</v>
      </c>
      <c r="BB120" t="n">
        <v>7128.17</v>
      </c>
      <c r="BC120" t="n">
        <v>10965.209</v>
      </c>
      <c r="BD120" t="n">
        <v>6024.533</v>
      </c>
      <c r="BE120" t="n">
        <v>2150.422</v>
      </c>
      <c r="BF120" t="n">
        <v>1208.238</v>
      </c>
      <c r="BG120" t="n">
        <v>1630.226</v>
      </c>
      <c r="BH120" t="n">
        <v>1120.536</v>
      </c>
      <c r="BI120" t="n">
        <v>1215.745</v>
      </c>
      <c r="BJ120" t="n">
        <v>929.299</v>
      </c>
      <c r="BK120" t="n">
        <v>890.817</v>
      </c>
      <c r="BL120" t="n">
        <v>876.038</v>
      </c>
      <c r="BM120" t="n">
        <v>1226.731</v>
      </c>
      <c r="BN120" t="n">
        <v>1292.731</v>
      </c>
      <c r="BO120" t="n">
        <v>1436.642</v>
      </c>
      <c r="BP120" t="n">
        <v>1428.951</v>
      </c>
      <c r="BQ120" t="n">
        <v>1515.914</v>
      </c>
      <c r="BR120" t="n">
        <v>945.91</v>
      </c>
      <c r="BS120" t="n">
        <v>1086.775</v>
      </c>
      <c r="BT120" t="n">
        <v>942.697</v>
      </c>
      <c r="BU120" t="n">
        <v>978.1559999999999</v>
      </c>
      <c r="BV120" t="n">
        <v>894.074</v>
      </c>
    </row>
    <row r="121">
      <c r="A121" t="inlineStr">
        <is>
          <t>Mytilidae</t>
        </is>
      </c>
      <c r="B121" t="inlineStr">
        <is>
          <t>Sea mussels</t>
        </is>
      </c>
      <c r="C121" t="inlineStr">
        <is>
          <t>Other demersal invertebrates</t>
        </is>
      </c>
      <c r="D121" t="inlineStr">
        <is>
          <t>Molluscs</t>
        </is>
      </c>
      <c r="E121" t="n">
        <v>0.6850000000000001</v>
      </c>
      <c r="F121" t="n">
        <v>0</v>
      </c>
      <c r="G121" t="n">
        <v>0</v>
      </c>
      <c r="H121" t="n">
        <v>0</v>
      </c>
      <c r="I121" t="n">
        <v>0</v>
      </c>
      <c r="J121" t="n">
        <v>2.111</v>
      </c>
      <c r="K121" t="n">
        <v>0</v>
      </c>
      <c r="L121" t="n">
        <v>0</v>
      </c>
      <c r="M121" t="n">
        <v>0</v>
      </c>
      <c r="N121" t="n">
        <v>1.631</v>
      </c>
      <c r="O121" t="n">
        <v>0.979</v>
      </c>
      <c r="P121" t="n">
        <v>0</v>
      </c>
      <c r="Q121" t="n">
        <v>0</v>
      </c>
      <c r="R121" t="n">
        <v>0</v>
      </c>
      <c r="S121" t="n">
        <v>0</v>
      </c>
      <c r="T121" t="n">
        <v>0</v>
      </c>
      <c r="U121" t="n">
        <v>0</v>
      </c>
      <c r="V121" t="n">
        <v>0.895</v>
      </c>
      <c r="W121" t="n">
        <v>0</v>
      </c>
      <c r="X121" t="n">
        <v>0</v>
      </c>
      <c r="Y121" t="n">
        <v>266.542</v>
      </c>
      <c r="Z121" t="n">
        <v>1646.407</v>
      </c>
      <c r="AA121" t="n">
        <v>1683.484</v>
      </c>
      <c r="AB121" t="n">
        <v>985.032</v>
      </c>
      <c r="AC121" t="n">
        <v>1780.59</v>
      </c>
      <c r="AD121" t="n">
        <v>418.186</v>
      </c>
      <c r="AE121" t="n">
        <v>709.3390000000001</v>
      </c>
      <c r="AF121" t="n">
        <v>1336.228</v>
      </c>
      <c r="AG121" t="n">
        <v>356.592</v>
      </c>
      <c r="AH121" t="n">
        <v>101.023</v>
      </c>
      <c r="AI121" t="n">
        <v>184.843</v>
      </c>
      <c r="AJ121" t="n">
        <v>6616.195</v>
      </c>
      <c r="AK121" t="n">
        <v>5925.371</v>
      </c>
      <c r="AL121" t="n">
        <v>2425.451</v>
      </c>
      <c r="AM121" t="n">
        <v>2458.538</v>
      </c>
      <c r="AN121" t="n">
        <v>1984.189</v>
      </c>
      <c r="AO121" t="n">
        <v>1378.246</v>
      </c>
      <c r="AP121" t="n">
        <v>1695.558</v>
      </c>
      <c r="AQ121" t="n">
        <v>5251.628</v>
      </c>
      <c r="AR121" t="n">
        <v>4035.082</v>
      </c>
      <c r="AS121" t="n">
        <v>10773.285</v>
      </c>
      <c r="AT121" t="n">
        <v>6484.443</v>
      </c>
      <c r="AU121" t="n">
        <v>4866.911</v>
      </c>
      <c r="AV121" t="n">
        <v>2558.045</v>
      </c>
      <c r="AW121" t="n">
        <v>2710.756</v>
      </c>
      <c r="AX121" t="n">
        <v>3184.972</v>
      </c>
      <c r="AY121" t="n">
        <v>831.662</v>
      </c>
      <c r="AZ121" t="n">
        <v>3831.524</v>
      </c>
      <c r="BA121" t="n">
        <v>6574.615</v>
      </c>
      <c r="BB121" t="n">
        <v>5775.334</v>
      </c>
      <c r="BC121" t="n">
        <v>4706.49</v>
      </c>
      <c r="BD121" t="n">
        <v>3135.186</v>
      </c>
      <c r="BE121" t="n">
        <v>2830.799</v>
      </c>
      <c r="BF121" t="n">
        <v>1609.817</v>
      </c>
      <c r="BG121" t="n">
        <v>1657.009</v>
      </c>
      <c r="BH121" t="n">
        <v>2302.422</v>
      </c>
      <c r="BI121" t="n">
        <v>3514.61</v>
      </c>
      <c r="BJ121" t="n">
        <v>5004.669</v>
      </c>
      <c r="BK121" t="n">
        <v>3499.433</v>
      </c>
      <c r="BL121" t="n">
        <v>5138.195</v>
      </c>
      <c r="BM121" t="n">
        <v>7378.164</v>
      </c>
      <c r="BN121" t="n">
        <v>5585.475</v>
      </c>
      <c r="BO121" t="n">
        <v>4908.941</v>
      </c>
      <c r="BP121" t="n">
        <v>3849.187</v>
      </c>
      <c r="BQ121" t="n">
        <v>3817.558</v>
      </c>
      <c r="BR121" t="n">
        <v>3366.148</v>
      </c>
      <c r="BS121" t="n">
        <v>5432.647</v>
      </c>
      <c r="BT121" t="n">
        <v>4092.796</v>
      </c>
      <c r="BU121" t="n">
        <v>4340.248</v>
      </c>
      <c r="BV121" t="n">
        <v>4855.796</v>
      </c>
    </row>
    <row r="122">
      <c r="A122" t="inlineStr">
        <is>
          <t>Penaeidae</t>
        </is>
      </c>
      <c r="B122" t="inlineStr">
        <is>
          <t>Commercial shrimps and prawns</t>
        </is>
      </c>
      <c r="C122" t="inlineStr">
        <is>
          <t>Shrimps</t>
        </is>
      </c>
      <c r="D122" t="inlineStr">
        <is>
          <t>Crustaceans</t>
        </is>
      </c>
      <c r="E122" t="n">
        <v>1422.34</v>
      </c>
      <c r="F122" t="n">
        <v>4654.286</v>
      </c>
      <c r="G122" t="n">
        <v>1304.132</v>
      </c>
      <c r="H122" t="n">
        <v>2330.911</v>
      </c>
      <c r="I122" t="n">
        <v>2739.328</v>
      </c>
      <c r="J122" t="n">
        <v>2713.718</v>
      </c>
      <c r="K122" t="n">
        <v>478.27</v>
      </c>
      <c r="L122" t="n">
        <v>1823.53</v>
      </c>
      <c r="M122" t="n">
        <v>1012.392</v>
      </c>
      <c r="N122" t="n">
        <v>1293.554</v>
      </c>
      <c r="O122" t="n">
        <v>1101.858</v>
      </c>
      <c r="P122" t="n">
        <v>564.567</v>
      </c>
      <c r="Q122" t="n">
        <v>1093.102</v>
      </c>
      <c r="R122" t="n">
        <v>1020.17</v>
      </c>
      <c r="S122" t="n">
        <v>1493.743</v>
      </c>
      <c r="T122" t="n">
        <v>2028.569</v>
      </c>
      <c r="U122" t="n">
        <v>1545.205</v>
      </c>
      <c r="V122" t="n">
        <v>3074.516</v>
      </c>
      <c r="W122" t="n">
        <v>2135.474</v>
      </c>
      <c r="X122" t="n">
        <v>1184.233</v>
      </c>
      <c r="Y122" t="n">
        <v>1554.805</v>
      </c>
      <c r="Z122" t="n">
        <v>2321.885</v>
      </c>
      <c r="AA122" t="n">
        <v>2995.254</v>
      </c>
      <c r="AB122" t="n">
        <v>5354.736</v>
      </c>
      <c r="AC122" t="n">
        <v>5274.693</v>
      </c>
      <c r="AD122" t="n">
        <v>8161.406</v>
      </c>
      <c r="AE122" t="n">
        <v>3342.479</v>
      </c>
      <c r="AF122" t="n">
        <v>4054.465</v>
      </c>
      <c r="AG122" t="n">
        <v>5803.527</v>
      </c>
      <c r="AH122" t="n">
        <v>3390.353</v>
      </c>
      <c r="AI122" t="n">
        <v>3179.239</v>
      </c>
      <c r="AJ122" t="n">
        <v>3391.324</v>
      </c>
      <c r="AK122" t="n">
        <v>3356.377</v>
      </c>
      <c r="AL122" t="n">
        <v>3499.756</v>
      </c>
      <c r="AM122" t="n">
        <v>3447.112</v>
      </c>
      <c r="AN122" t="n">
        <v>3638.489</v>
      </c>
      <c r="AO122" t="n">
        <v>3331.792</v>
      </c>
      <c r="AP122" t="n">
        <v>3653.188</v>
      </c>
      <c r="AQ122" t="n">
        <v>4997.995</v>
      </c>
      <c r="AR122" t="n">
        <v>3250.571</v>
      </c>
      <c r="AS122" t="n">
        <v>3345.754</v>
      </c>
      <c r="AT122" t="n">
        <v>3240.203</v>
      </c>
      <c r="AU122" t="n">
        <v>3130.201</v>
      </c>
      <c r="AV122" t="n">
        <v>3254.566</v>
      </c>
      <c r="AW122" t="n">
        <v>2963.857</v>
      </c>
      <c r="AX122" t="n">
        <v>2929.867</v>
      </c>
      <c r="AY122" t="n">
        <v>2546.313</v>
      </c>
      <c r="AZ122" t="n">
        <v>2591.219</v>
      </c>
      <c r="BA122" t="n">
        <v>2039.226</v>
      </c>
      <c r="BB122" t="n">
        <v>1563.236</v>
      </c>
      <c r="BC122" t="n">
        <v>1480.192</v>
      </c>
      <c r="BD122" t="n">
        <v>1308.582</v>
      </c>
      <c r="BE122" t="n">
        <v>1093.626</v>
      </c>
      <c r="BF122" t="n">
        <v>975.6900000000001</v>
      </c>
      <c r="BG122" t="n">
        <v>958.377</v>
      </c>
      <c r="BH122" t="n">
        <v>1154.069</v>
      </c>
      <c r="BI122" t="n">
        <v>1228.891</v>
      </c>
      <c r="BJ122" t="n">
        <v>1136.793</v>
      </c>
      <c r="BK122" t="n">
        <v>1056.456</v>
      </c>
      <c r="BL122" t="n">
        <v>1082.566</v>
      </c>
      <c r="BM122" t="n">
        <v>1038.642</v>
      </c>
      <c r="BN122" t="n">
        <v>1101.692</v>
      </c>
      <c r="BO122" t="n">
        <v>978.448</v>
      </c>
      <c r="BP122" t="n">
        <v>1015.398</v>
      </c>
      <c r="BQ122" t="n">
        <v>1032.346</v>
      </c>
      <c r="BR122" t="n">
        <v>955.422</v>
      </c>
      <c r="BS122" t="n">
        <v>1015.202</v>
      </c>
      <c r="BT122" t="n">
        <v>1156.681</v>
      </c>
      <c r="BU122" t="n">
        <v>981.081</v>
      </c>
      <c r="BV122" t="n">
        <v>752.0359999999999</v>
      </c>
    </row>
    <row r="123">
      <c r="A123" t="inlineStr">
        <is>
          <t>Trichiuridae</t>
        </is>
      </c>
      <c r="B123" t="inlineStr">
        <is>
          <t>Cutlassfishes</t>
        </is>
      </c>
      <c r="C123" t="inlineStr">
        <is>
          <t>Large benthopelagics (&gt;=90 cm)</t>
        </is>
      </c>
      <c r="D123" t="inlineStr">
        <is>
          <t>Perch-likes</t>
        </is>
      </c>
      <c r="E123" t="n">
        <v>718.2569999999999</v>
      </c>
      <c r="F123" t="n">
        <v>720.157</v>
      </c>
      <c r="G123" t="n">
        <v>938.6799999999999</v>
      </c>
      <c r="H123" t="n">
        <v>941.164</v>
      </c>
      <c r="I123" t="n">
        <v>871.066</v>
      </c>
      <c r="J123" t="n">
        <v>946.153</v>
      </c>
      <c r="K123" t="n">
        <v>802.711</v>
      </c>
      <c r="L123" t="n">
        <v>658.504</v>
      </c>
      <c r="M123" t="n">
        <v>660.249</v>
      </c>
      <c r="N123" t="n">
        <v>882.6660000000001</v>
      </c>
      <c r="O123" t="n">
        <v>958.7569999999999</v>
      </c>
      <c r="P123" t="n">
        <v>813.408</v>
      </c>
      <c r="Q123" t="n">
        <v>518.997</v>
      </c>
      <c r="R123" t="n">
        <v>446.036</v>
      </c>
      <c r="S123" t="n">
        <v>447.22</v>
      </c>
      <c r="T123" t="n">
        <v>1195.755</v>
      </c>
      <c r="U123" t="n">
        <v>974.133</v>
      </c>
      <c r="V123" t="n">
        <v>1126.989</v>
      </c>
      <c r="W123" t="n">
        <v>1431.316</v>
      </c>
      <c r="X123" t="n">
        <v>2643.652</v>
      </c>
      <c r="Y123" t="n">
        <v>1514.68</v>
      </c>
      <c r="Z123" t="n">
        <v>1366.843</v>
      </c>
      <c r="AA123" t="n">
        <v>2208.003</v>
      </c>
      <c r="AB123" t="n">
        <v>2519.253</v>
      </c>
      <c r="AC123" t="n">
        <v>2690.543</v>
      </c>
      <c r="AD123" t="n">
        <v>4040.826</v>
      </c>
      <c r="AE123" t="n">
        <v>4106.17</v>
      </c>
      <c r="AF123" t="n">
        <v>3167.945</v>
      </c>
      <c r="AG123" t="n">
        <v>2614.289</v>
      </c>
      <c r="AH123" t="n">
        <v>2157.374</v>
      </c>
      <c r="AI123" t="n">
        <v>1977.385</v>
      </c>
      <c r="AJ123" t="n">
        <v>2452.883</v>
      </c>
      <c r="AK123" t="n">
        <v>2957.478</v>
      </c>
      <c r="AL123" t="n">
        <v>2853.114</v>
      </c>
      <c r="AM123" t="n">
        <v>3976.379</v>
      </c>
      <c r="AN123" t="n">
        <v>4349.974</v>
      </c>
      <c r="AO123" t="n">
        <v>5750.529</v>
      </c>
      <c r="AP123" t="n">
        <v>4704.414</v>
      </c>
      <c r="AQ123" t="n">
        <v>3564.96</v>
      </c>
      <c r="AR123" t="n">
        <v>3866.469</v>
      </c>
      <c r="AS123" t="n">
        <v>3075.541</v>
      </c>
      <c r="AT123" t="n">
        <v>13890.469</v>
      </c>
      <c r="AU123" t="n">
        <v>5074.31</v>
      </c>
      <c r="AV123" t="n">
        <v>3986.01</v>
      </c>
      <c r="AW123" t="n">
        <v>3374.803</v>
      </c>
      <c r="AX123" t="n">
        <v>4076.323</v>
      </c>
      <c r="AY123" t="n">
        <v>4016.2</v>
      </c>
      <c r="AZ123" t="n">
        <v>3046.493</v>
      </c>
      <c r="BA123" t="n">
        <v>2041.464</v>
      </c>
      <c r="BB123" t="n">
        <v>1449.561</v>
      </c>
      <c r="BC123" t="n">
        <v>1811.951</v>
      </c>
      <c r="BD123" t="n">
        <v>1993.146</v>
      </c>
      <c r="BE123" t="n">
        <v>1932.747</v>
      </c>
      <c r="BF123" t="n">
        <v>1811.951</v>
      </c>
      <c r="BG123" t="n">
        <v>1932.747</v>
      </c>
      <c r="BH123" t="n">
        <v>1872.349</v>
      </c>
      <c r="BI123" t="n">
        <v>1775.712</v>
      </c>
      <c r="BJ123" t="n">
        <v>1775.712</v>
      </c>
      <c r="BK123" t="n">
        <v>1824.03</v>
      </c>
      <c r="BL123" t="n">
        <v>1836.11</v>
      </c>
      <c r="BM123" t="n">
        <v>1944.827</v>
      </c>
      <c r="BN123" t="n">
        <v>1977.456</v>
      </c>
      <c r="BO123" t="n">
        <v>1800.777</v>
      </c>
      <c r="BP123" t="n">
        <v>1969.267</v>
      </c>
      <c r="BQ123" t="n">
        <v>1864.084</v>
      </c>
      <c r="BR123" t="n">
        <v>1682.136</v>
      </c>
      <c r="BS123" t="n">
        <v>1654.119</v>
      </c>
      <c r="BT123" t="n">
        <v>1477.774</v>
      </c>
      <c r="BU123" t="n">
        <v>1440.061</v>
      </c>
      <c r="BV123" t="n">
        <v>1441.76</v>
      </c>
    </row>
    <row r="124">
      <c r="A124" t="inlineStr">
        <is>
          <t>Parastromateus niger</t>
        </is>
      </c>
      <c r="B124" t="inlineStr">
        <is>
          <t>Black pomfret</t>
        </is>
      </c>
      <c r="C124" t="inlineStr">
        <is>
          <t>Medium benthopelagics (30 - 89 cm)</t>
        </is>
      </c>
      <c r="D124" t="inlineStr">
        <is>
          <t>Perch-likes</t>
        </is>
      </c>
      <c r="E124" t="n">
        <v>5.465</v>
      </c>
      <c r="F124" t="n">
        <v>6.699</v>
      </c>
      <c r="G124" t="n">
        <v>7.906</v>
      </c>
      <c r="H124" t="n">
        <v>8.5</v>
      </c>
      <c r="I124" t="n">
        <v>8.69</v>
      </c>
      <c r="J124" t="n">
        <v>10.618</v>
      </c>
      <c r="K124" t="n">
        <v>42.233</v>
      </c>
      <c r="L124" t="n">
        <v>19.86</v>
      </c>
      <c r="M124" t="n">
        <v>14.929</v>
      </c>
      <c r="N124" t="n">
        <v>38.881</v>
      </c>
      <c r="O124" t="n">
        <v>18.327</v>
      </c>
      <c r="P124" t="n">
        <v>34.711</v>
      </c>
      <c r="Q124" t="n">
        <v>23.864</v>
      </c>
      <c r="R124" t="n">
        <v>25.547</v>
      </c>
      <c r="S124" t="n">
        <v>102.139</v>
      </c>
      <c r="T124" t="n">
        <v>43.399</v>
      </c>
      <c r="U124" t="n">
        <v>424.503</v>
      </c>
      <c r="V124" t="n">
        <v>501.987</v>
      </c>
      <c r="W124" t="n">
        <v>914.976</v>
      </c>
      <c r="X124" t="n">
        <v>1003.147</v>
      </c>
      <c r="Y124" t="n">
        <v>990.831</v>
      </c>
      <c r="Z124" t="n">
        <v>1385.155</v>
      </c>
      <c r="AA124" t="n">
        <v>1890.522</v>
      </c>
      <c r="AB124" t="n">
        <v>2320.478</v>
      </c>
      <c r="AC124" t="n">
        <v>2586.958</v>
      </c>
      <c r="AD124" t="n">
        <v>2279.352</v>
      </c>
      <c r="AE124" t="n">
        <v>2427.125</v>
      </c>
      <c r="AF124" t="n">
        <v>2054</v>
      </c>
      <c r="AG124" t="n">
        <v>1908.924</v>
      </c>
      <c r="AH124" t="n">
        <v>3783.292</v>
      </c>
      <c r="AI124" t="n">
        <v>5141.563</v>
      </c>
      <c r="AJ124" t="n">
        <v>9563.989</v>
      </c>
      <c r="AK124" t="n">
        <v>6779.987</v>
      </c>
      <c r="AL124" t="n">
        <v>6630.782</v>
      </c>
      <c r="AM124" t="n">
        <v>3772.808</v>
      </c>
      <c r="AN124" t="n">
        <v>5367.165</v>
      </c>
      <c r="AO124" t="n">
        <v>8061.062</v>
      </c>
      <c r="AP124" t="n">
        <v>2791.267</v>
      </c>
      <c r="AQ124" t="n">
        <v>2978.361</v>
      </c>
      <c r="AR124" t="n">
        <v>3874.572</v>
      </c>
      <c r="AS124" t="n">
        <v>4027.265</v>
      </c>
      <c r="AT124" t="n">
        <v>3505.527</v>
      </c>
      <c r="AU124" t="n">
        <v>6054.853</v>
      </c>
      <c r="AV124" t="n">
        <v>4528.043</v>
      </c>
      <c r="AW124" t="n">
        <v>8204.593999999999</v>
      </c>
      <c r="AX124" t="n">
        <v>9059.349</v>
      </c>
      <c r="AY124" t="n">
        <v>7675.514</v>
      </c>
      <c r="AZ124" t="n">
        <v>4873.446</v>
      </c>
      <c r="BA124" t="n">
        <v>3012.039</v>
      </c>
      <c r="BB124" t="n">
        <v>2313.188</v>
      </c>
      <c r="BC124" t="n">
        <v>2359.524</v>
      </c>
      <c r="BD124" t="n">
        <v>3126.725</v>
      </c>
      <c r="BE124" t="n">
        <v>2477.641</v>
      </c>
      <c r="BF124" t="n">
        <v>1494.223</v>
      </c>
      <c r="BG124" t="n">
        <v>1286.65</v>
      </c>
      <c r="BH124" t="n">
        <v>798.011</v>
      </c>
      <c r="BI124" t="n">
        <v>915.2329999999999</v>
      </c>
      <c r="BJ124" t="n">
        <v>1058.25</v>
      </c>
      <c r="BK124" t="n">
        <v>515.9640000000001</v>
      </c>
      <c r="BL124" t="n">
        <v>576.475</v>
      </c>
      <c r="BM124" t="n">
        <v>576.336</v>
      </c>
      <c r="BN124" t="n">
        <v>288.917</v>
      </c>
      <c r="BO124" t="n">
        <v>443.618</v>
      </c>
      <c r="BP124" t="n">
        <v>463.325</v>
      </c>
      <c r="BQ124" t="n">
        <v>328.803</v>
      </c>
      <c r="BR124" t="n">
        <v>318.144</v>
      </c>
      <c r="BS124" t="n">
        <v>402.053</v>
      </c>
      <c r="BT124" t="n">
        <v>364.586</v>
      </c>
      <c r="BU124" t="n">
        <v>358.341</v>
      </c>
      <c r="BV124" t="n">
        <v>360.961</v>
      </c>
    </row>
    <row r="125">
      <c r="A125" t="inlineStr">
        <is>
          <t>Miichthys miiuy</t>
        </is>
      </c>
      <c r="B125" t="inlineStr">
        <is>
          <t>Mi-iuy croaker</t>
        </is>
      </c>
      <c r="C125" t="inlineStr">
        <is>
          <t>Medium demersals (30 - 89 cm)</t>
        </is>
      </c>
      <c r="D125" t="inlineStr">
        <is>
          <t>Perch-likes</t>
        </is>
      </c>
      <c r="E125" t="n">
        <v>5.379</v>
      </c>
      <c r="F125" t="n">
        <v>6.609</v>
      </c>
      <c r="G125" t="n">
        <v>7.757</v>
      </c>
      <c r="H125" t="n">
        <v>8.326000000000001</v>
      </c>
      <c r="I125" t="n">
        <v>152.29</v>
      </c>
      <c r="J125" t="n">
        <v>10.368</v>
      </c>
      <c r="K125" t="n">
        <v>12.021</v>
      </c>
      <c r="L125" t="n">
        <v>13.179</v>
      </c>
      <c r="M125" t="n">
        <v>14.594</v>
      </c>
      <c r="N125" t="n">
        <v>16.488</v>
      </c>
      <c r="O125" t="n">
        <v>17.602</v>
      </c>
      <c r="P125" t="n">
        <v>20.821</v>
      </c>
      <c r="Q125" t="n">
        <v>22.829</v>
      </c>
      <c r="R125" t="n">
        <v>24.68</v>
      </c>
      <c r="S125" t="n">
        <v>27.582</v>
      </c>
      <c r="T125" t="n">
        <v>30.004</v>
      </c>
      <c r="U125" t="n">
        <v>33.19</v>
      </c>
      <c r="V125" t="n">
        <v>36.784</v>
      </c>
      <c r="W125" t="n">
        <v>42.286</v>
      </c>
      <c r="X125" t="n">
        <v>47.211</v>
      </c>
      <c r="Y125" t="n">
        <v>49.474</v>
      </c>
      <c r="Z125" t="n">
        <v>53.716</v>
      </c>
      <c r="AA125" t="n">
        <v>52.954</v>
      </c>
      <c r="AB125" t="n">
        <v>56.117</v>
      </c>
      <c r="AC125" t="n">
        <v>56.116</v>
      </c>
      <c r="AD125" t="n">
        <v>70.952</v>
      </c>
      <c r="AE125" t="n">
        <v>73.45</v>
      </c>
      <c r="AF125" t="n">
        <v>76.61499999999999</v>
      </c>
      <c r="AG125" t="n">
        <v>84.626</v>
      </c>
      <c r="AH125" t="n">
        <v>89.812</v>
      </c>
      <c r="AI125" t="n">
        <v>90.06</v>
      </c>
      <c r="AJ125" t="n">
        <v>79.31399999999999</v>
      </c>
      <c r="AK125" t="n">
        <v>78.002</v>
      </c>
      <c r="AL125" t="n">
        <v>78.194</v>
      </c>
      <c r="AM125" t="n">
        <v>77.321</v>
      </c>
      <c r="AN125" t="n">
        <v>78.98</v>
      </c>
      <c r="AO125" t="n">
        <v>79.379</v>
      </c>
      <c r="AP125" t="n">
        <v>73.413</v>
      </c>
      <c r="AQ125" t="n">
        <v>71.745</v>
      </c>
      <c r="AR125" t="n">
        <v>64.863</v>
      </c>
      <c r="AS125" t="n">
        <v>67.00700000000001</v>
      </c>
      <c r="AT125" t="n">
        <v>103.342</v>
      </c>
      <c r="AU125" t="n">
        <v>108.756</v>
      </c>
      <c r="AV125" t="n">
        <v>42.802</v>
      </c>
      <c r="AW125" t="n">
        <v>41.324</v>
      </c>
      <c r="AX125" t="n">
        <v>102.832</v>
      </c>
      <c r="AY125" t="n">
        <v>46.134</v>
      </c>
      <c r="AZ125" t="n">
        <v>41.42</v>
      </c>
      <c r="BA125" t="n">
        <v>69.114</v>
      </c>
      <c r="BB125" t="n">
        <v>83.33799999999999</v>
      </c>
      <c r="BC125" t="n">
        <v>38.9</v>
      </c>
      <c r="BD125" t="n">
        <v>106.974</v>
      </c>
      <c r="BE125" t="n">
        <v>250.588</v>
      </c>
      <c r="BF125" t="n">
        <v>5966.374</v>
      </c>
      <c r="BG125" t="n">
        <v>4651.965</v>
      </c>
      <c r="BH125" t="n">
        <v>2906.389</v>
      </c>
      <c r="BI125" t="n">
        <v>4642.348</v>
      </c>
      <c r="BJ125" t="n">
        <v>5951.699</v>
      </c>
      <c r="BK125" t="n">
        <v>5469.654</v>
      </c>
      <c r="BL125" t="n">
        <v>5599.08</v>
      </c>
      <c r="BM125" t="n">
        <v>6491.734</v>
      </c>
      <c r="BN125" t="n">
        <v>5696.096</v>
      </c>
      <c r="BO125" t="n">
        <v>12136.997</v>
      </c>
      <c r="BP125" t="n">
        <v>13453.995</v>
      </c>
      <c r="BQ125" t="n">
        <v>13286.017</v>
      </c>
      <c r="BR125" t="n">
        <v>12300.94</v>
      </c>
      <c r="BS125" t="n">
        <v>13041.132</v>
      </c>
      <c r="BT125" t="n">
        <v>11072.257</v>
      </c>
      <c r="BU125" t="n">
        <v>11442.768</v>
      </c>
      <c r="BV125" t="n">
        <v>11696.94</v>
      </c>
    </row>
    <row r="126">
      <c r="A126" t="inlineStr">
        <is>
          <t>Nemopilema nomurai</t>
        </is>
      </c>
      <c r="B126" t="inlineStr">
        <is>
          <t>Nomura jelly</t>
        </is>
      </c>
      <c r="C126" t="inlineStr">
        <is>
          <t>Jellyfish</t>
        </is>
      </c>
      <c r="D126" t="inlineStr">
        <is>
          <t>Other fishes &amp; inverts</t>
        </is>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4877.86</v>
      </c>
      <c r="BR126" t="n">
        <v>4877.86</v>
      </c>
      <c r="BS126" t="n">
        <v>4877.86</v>
      </c>
      <c r="BT126" t="n">
        <v>46329.776</v>
      </c>
      <c r="BU126" t="n">
        <v>46329.776</v>
      </c>
      <c r="BV126" t="n">
        <v>41058.536</v>
      </c>
    </row>
    <row r="127">
      <c r="A127" t="inlineStr">
        <is>
          <t>Decapterus</t>
        </is>
      </c>
      <c r="B127" t="inlineStr">
        <is>
          <t>Scads</t>
        </is>
      </c>
      <c r="C127" t="inlineStr">
        <is>
          <t>Medium pelagics (30 - 89 cm)</t>
        </is>
      </c>
      <c r="D127" t="inlineStr">
        <is>
          <t>Perch-likes</t>
        </is>
      </c>
      <c r="E127" t="n">
        <v>116.957</v>
      </c>
      <c r="F127" t="n">
        <v>143.711</v>
      </c>
      <c r="G127" t="n">
        <v>168.513</v>
      </c>
      <c r="H127" t="n">
        <v>180.799</v>
      </c>
      <c r="I127" t="n">
        <v>183.979</v>
      </c>
      <c r="J127" t="n">
        <v>223.442</v>
      </c>
      <c r="K127" t="n">
        <v>259.891</v>
      </c>
      <c r="L127" t="n">
        <v>284.864</v>
      </c>
      <c r="M127" t="n">
        <v>315.555</v>
      </c>
      <c r="N127" t="n">
        <v>356.898</v>
      </c>
      <c r="O127" t="n">
        <v>382.193</v>
      </c>
      <c r="P127" t="n">
        <v>453.3</v>
      </c>
      <c r="Q127" t="n">
        <v>499.191</v>
      </c>
      <c r="R127" t="n">
        <v>539.5119999999999</v>
      </c>
      <c r="S127" t="n">
        <v>608.403</v>
      </c>
      <c r="T127" t="n">
        <v>662.644</v>
      </c>
      <c r="U127" t="n">
        <v>736.778</v>
      </c>
      <c r="V127" t="n">
        <v>819.79</v>
      </c>
      <c r="W127" t="n">
        <v>947.495</v>
      </c>
      <c r="X127" t="n">
        <v>1060.419</v>
      </c>
      <c r="Y127" t="n">
        <v>1110.428</v>
      </c>
      <c r="Z127" t="n">
        <v>1198.889</v>
      </c>
      <c r="AA127" t="n">
        <v>1171.719</v>
      </c>
      <c r="AB127" t="n">
        <v>1247.739</v>
      </c>
      <c r="AC127" t="n">
        <v>1248.522</v>
      </c>
      <c r="AD127" t="n">
        <v>1592.908</v>
      </c>
      <c r="AE127" t="n">
        <v>1651.023</v>
      </c>
      <c r="AF127" t="n">
        <v>1720.117</v>
      </c>
      <c r="AG127" t="n">
        <v>1912.099</v>
      </c>
      <c r="AH127" t="n">
        <v>2026.732</v>
      </c>
      <c r="AI127" t="n">
        <v>2035.354</v>
      </c>
      <c r="AJ127" t="n">
        <v>1785.669</v>
      </c>
      <c r="AK127" t="n">
        <v>1762.904</v>
      </c>
      <c r="AL127" t="n">
        <v>1761.675</v>
      </c>
      <c r="AM127" t="n">
        <v>1732.931</v>
      </c>
      <c r="AN127" t="n">
        <v>1786.014</v>
      </c>
      <c r="AO127" t="n">
        <v>1790.456</v>
      </c>
      <c r="AP127" t="n">
        <v>1650.941</v>
      </c>
      <c r="AQ127" t="n">
        <v>1593.987</v>
      </c>
      <c r="AR127" t="n">
        <v>4558.658</v>
      </c>
      <c r="AS127" t="n">
        <v>2884.574</v>
      </c>
      <c r="AT127" t="n">
        <v>9499.396000000001</v>
      </c>
      <c r="AU127" t="n">
        <v>9940.575999999999</v>
      </c>
      <c r="AV127" t="n">
        <v>10518.219</v>
      </c>
      <c r="AW127" t="n">
        <v>10267.069</v>
      </c>
      <c r="AX127" t="n">
        <v>6922.095</v>
      </c>
      <c r="AY127" t="n">
        <v>21230.011</v>
      </c>
      <c r="AZ127" t="n">
        <v>8566.021000000001</v>
      </c>
      <c r="BA127" t="n">
        <v>2294.654</v>
      </c>
      <c r="BB127" t="n">
        <v>2090.039</v>
      </c>
      <c r="BC127" t="n">
        <v>1567.77</v>
      </c>
      <c r="BD127" t="n">
        <v>1422.688</v>
      </c>
      <c r="BE127" t="n">
        <v>1390.136</v>
      </c>
      <c r="BF127" t="n">
        <v>1630.757</v>
      </c>
      <c r="BG127" t="n">
        <v>2259.427</v>
      </c>
      <c r="BH127" t="n">
        <v>1197.374</v>
      </c>
      <c r="BI127" t="n">
        <v>1014.937</v>
      </c>
      <c r="BJ127" t="n">
        <v>701.371</v>
      </c>
      <c r="BK127" t="n">
        <v>858.934</v>
      </c>
      <c r="BL127" t="n">
        <v>1453.451</v>
      </c>
      <c r="BM127" t="n">
        <v>397.513</v>
      </c>
      <c r="BN127" t="n">
        <v>367.488</v>
      </c>
      <c r="BO127" t="n">
        <v>918.691</v>
      </c>
      <c r="BP127" t="n">
        <v>761.17</v>
      </c>
      <c r="BQ127" t="n">
        <v>37.419</v>
      </c>
      <c r="BR127" t="n">
        <v>35.468</v>
      </c>
      <c r="BS127" t="n">
        <v>34.755</v>
      </c>
      <c r="BT127" t="n">
        <v>39.732</v>
      </c>
      <c r="BU127" t="n">
        <v>137.746</v>
      </c>
      <c r="BV127" t="n">
        <v>241.155</v>
      </c>
    </row>
    <row r="128">
      <c r="A128" t="inlineStr">
        <is>
          <t>Gadus chalcogrammus</t>
        </is>
      </c>
      <c r="B128" t="inlineStr">
        <is>
          <t>Alaska pollock</t>
        </is>
      </c>
      <c r="C128" t="inlineStr">
        <is>
          <t>Medium benthopelagics (30 - 89 cm)</t>
        </is>
      </c>
      <c r="D128" t="inlineStr">
        <is>
          <t>Cod-likes</t>
        </is>
      </c>
      <c r="E128" t="n">
        <v>1154.608</v>
      </c>
      <c r="F128" t="n">
        <v>1229.483</v>
      </c>
      <c r="G128" t="n">
        <v>1528.456</v>
      </c>
      <c r="H128" t="n">
        <v>1480.336</v>
      </c>
      <c r="I128" t="n">
        <v>1272.228</v>
      </c>
      <c r="J128" t="n">
        <v>1987.741</v>
      </c>
      <c r="K128" t="n">
        <v>2196.952</v>
      </c>
      <c r="L128" t="n">
        <v>2731.485</v>
      </c>
      <c r="M128" t="n">
        <v>2764.281</v>
      </c>
      <c r="N128" t="n">
        <v>1996.629</v>
      </c>
      <c r="O128" t="n">
        <v>1705.373</v>
      </c>
      <c r="P128" t="n">
        <v>1536.587</v>
      </c>
      <c r="Q128" t="n">
        <v>2471.199</v>
      </c>
      <c r="R128" t="n">
        <v>2360.084</v>
      </c>
      <c r="S128" t="n">
        <v>1732.692</v>
      </c>
      <c r="T128" t="n">
        <v>1999.629</v>
      </c>
      <c r="U128" t="n">
        <v>1390.896</v>
      </c>
      <c r="V128" t="n">
        <v>1310.043</v>
      </c>
      <c r="W128" t="n">
        <v>1861.479</v>
      </c>
      <c r="X128" t="n">
        <v>958.279</v>
      </c>
      <c r="Y128" t="n">
        <v>1357.466</v>
      </c>
      <c r="Z128" t="n">
        <v>1538.864</v>
      </c>
      <c r="AA128" t="n">
        <v>3195.368</v>
      </c>
      <c r="AB128" t="n">
        <v>3305.043</v>
      </c>
      <c r="AC128" t="n">
        <v>4601.964</v>
      </c>
      <c r="AD128" t="n">
        <v>4712.931</v>
      </c>
      <c r="AE128" t="n">
        <v>6070.568</v>
      </c>
      <c r="AF128" t="n">
        <v>5512.64</v>
      </c>
      <c r="AG128" t="n">
        <v>5177.963</v>
      </c>
      <c r="AH128" t="n">
        <v>4372.528</v>
      </c>
      <c r="AI128" t="n">
        <v>4634.689</v>
      </c>
      <c r="AJ128" t="n">
        <v>4434.802</v>
      </c>
      <c r="AK128" t="n">
        <v>3652.885</v>
      </c>
      <c r="AL128" t="n">
        <v>3598.998</v>
      </c>
      <c r="AM128" t="n">
        <v>4246.639</v>
      </c>
      <c r="AN128" t="n">
        <v>4638.686</v>
      </c>
      <c r="AO128" t="n">
        <v>3981.641</v>
      </c>
      <c r="AP128" t="n">
        <v>2974.983</v>
      </c>
      <c r="AQ128" t="n">
        <v>2526.328</v>
      </c>
      <c r="AR128" t="n">
        <v>2569.755</v>
      </c>
      <c r="AS128" t="n">
        <v>2548.633</v>
      </c>
      <c r="AT128" t="n">
        <v>1931.887</v>
      </c>
      <c r="AU128" t="n">
        <v>1667.555</v>
      </c>
      <c r="AV128" t="n">
        <v>1360.336</v>
      </c>
      <c r="AW128" t="n">
        <v>1216.662</v>
      </c>
      <c r="AX128" t="n">
        <v>1155.949</v>
      </c>
      <c r="AY128" t="n">
        <v>1056.347</v>
      </c>
      <c r="AZ128" t="n">
        <v>1076.656</v>
      </c>
      <c r="BA128" t="n">
        <v>993.148</v>
      </c>
      <c r="BB128" t="n">
        <v>951.217</v>
      </c>
      <c r="BC128" t="n">
        <v>742.162</v>
      </c>
      <c r="BD128" t="n">
        <v>623.924</v>
      </c>
      <c r="BE128" t="n">
        <v>522.033</v>
      </c>
      <c r="BF128" t="n">
        <v>529.547</v>
      </c>
      <c r="BG128" t="n">
        <v>579.504</v>
      </c>
      <c r="BH128" t="n">
        <v>481.947</v>
      </c>
      <c r="BI128" t="n">
        <v>510.515</v>
      </c>
      <c r="BJ128" t="n">
        <v>517.663</v>
      </c>
      <c r="BK128" t="n">
        <v>485.208</v>
      </c>
      <c r="BL128" t="n">
        <v>555.457</v>
      </c>
      <c r="BM128" t="n">
        <v>594.7619999999999</v>
      </c>
      <c r="BN128" t="n">
        <v>575.603</v>
      </c>
      <c r="BO128" t="n">
        <v>554.5549999999999</v>
      </c>
      <c r="BP128" t="n">
        <v>550.269</v>
      </c>
      <c r="BQ128" t="n">
        <v>481.132</v>
      </c>
      <c r="BR128" t="n">
        <v>448.481</v>
      </c>
      <c r="BS128" t="n">
        <v>354.862</v>
      </c>
      <c r="BT128" t="n">
        <v>340.688</v>
      </c>
      <c r="BU128" t="n">
        <v>334.661</v>
      </c>
      <c r="BV128" t="n">
        <v>394.55</v>
      </c>
    </row>
    <row r="129">
      <c r="A129" t="inlineStr">
        <is>
          <t>Branchiostegus japonicus</t>
        </is>
      </c>
      <c r="B129" t="inlineStr">
        <is>
          <t>Horsehead tilefish</t>
        </is>
      </c>
      <c r="C129" t="inlineStr">
        <is>
          <t>Medium demersals (30 - 89 cm)</t>
        </is>
      </c>
      <c r="D129" t="inlineStr">
        <is>
          <t>Perch-likes</t>
        </is>
      </c>
      <c r="E129" t="n">
        <v>754.638</v>
      </c>
      <c r="F129" t="n">
        <v>754.638</v>
      </c>
      <c r="G129" t="n">
        <v>754.638</v>
      </c>
      <c r="H129" t="n">
        <v>717.216</v>
      </c>
      <c r="I129" t="n">
        <v>717.216</v>
      </c>
      <c r="J129" t="n">
        <v>717.216</v>
      </c>
      <c r="K129" t="n">
        <v>940.808</v>
      </c>
      <c r="L129" t="n">
        <v>1000.684</v>
      </c>
      <c r="M129" t="n">
        <v>1072.796</v>
      </c>
      <c r="N129" t="n">
        <v>1071.396</v>
      </c>
      <c r="O129" t="n">
        <v>1299.578</v>
      </c>
      <c r="P129" t="n">
        <v>1317.899</v>
      </c>
      <c r="Q129" t="n">
        <v>1302.539</v>
      </c>
      <c r="R129" t="n">
        <v>1448.325</v>
      </c>
      <c r="S129" t="n">
        <v>1483.405</v>
      </c>
      <c r="T129" t="n">
        <v>1619.916</v>
      </c>
      <c r="U129" t="n">
        <v>1796.487</v>
      </c>
      <c r="V129" t="n">
        <v>2123.986</v>
      </c>
      <c r="W129" t="n">
        <v>3059.267</v>
      </c>
      <c r="X129" t="n">
        <v>2794.524</v>
      </c>
      <c r="Y129" t="n">
        <v>2730.932</v>
      </c>
      <c r="Z129" t="n">
        <v>2937.25</v>
      </c>
      <c r="AA129" t="n">
        <v>3220.315</v>
      </c>
      <c r="AB129" t="n">
        <v>3885.06</v>
      </c>
      <c r="AC129" t="n">
        <v>3829.513</v>
      </c>
      <c r="AD129" t="n">
        <v>3759.121</v>
      </c>
      <c r="AE129" t="n">
        <v>3985.626</v>
      </c>
      <c r="AF129" t="n">
        <v>4008.133</v>
      </c>
      <c r="AG129" t="n">
        <v>4029.467</v>
      </c>
      <c r="AH129" t="n">
        <v>3751.838</v>
      </c>
      <c r="AI129" t="n">
        <v>3855.602</v>
      </c>
      <c r="AJ129" t="n">
        <v>3841.146</v>
      </c>
      <c r="AK129" t="n">
        <v>3665.183</v>
      </c>
      <c r="AL129" t="n">
        <v>3555.415</v>
      </c>
      <c r="AM129" t="n">
        <v>3612.253</v>
      </c>
      <c r="AN129" t="n">
        <v>3547.108</v>
      </c>
      <c r="AO129" t="n">
        <v>3849.104</v>
      </c>
      <c r="AP129" t="n">
        <v>3843.798</v>
      </c>
      <c r="AQ129" t="n">
        <v>4073.983</v>
      </c>
      <c r="AR129" t="n">
        <v>3426.52</v>
      </c>
      <c r="AS129" t="n">
        <v>3432.877</v>
      </c>
      <c r="AT129" t="n">
        <v>3336.832</v>
      </c>
      <c r="AU129" t="n">
        <v>3235.242</v>
      </c>
      <c r="AV129" t="n">
        <v>2456.135</v>
      </c>
      <c r="AW129" t="n">
        <v>2050.228</v>
      </c>
      <c r="AX129" t="n">
        <v>2364.254</v>
      </c>
      <c r="AY129" t="n">
        <v>2065.717</v>
      </c>
      <c r="AZ129" t="n">
        <v>1727.305</v>
      </c>
      <c r="BA129" t="n">
        <v>1351.447</v>
      </c>
      <c r="BB129" t="n">
        <v>1159.358</v>
      </c>
      <c r="BC129" t="n">
        <v>1011.765</v>
      </c>
      <c r="BD129" t="n">
        <v>1000.093</v>
      </c>
      <c r="BE129" t="n">
        <v>1006.797</v>
      </c>
      <c r="BF129" t="n">
        <v>796.474</v>
      </c>
      <c r="BG129" t="n">
        <v>780.062</v>
      </c>
      <c r="BH129" t="n">
        <v>640.293</v>
      </c>
      <c r="BI129" t="n">
        <v>668.875</v>
      </c>
      <c r="BJ129" t="n">
        <v>752.091</v>
      </c>
      <c r="BK129" t="n">
        <v>677.439</v>
      </c>
      <c r="BL129" t="n">
        <v>680.259</v>
      </c>
      <c r="BM129" t="n">
        <v>638.095</v>
      </c>
      <c r="BN129" t="n">
        <v>0</v>
      </c>
      <c r="BO129" t="n">
        <v>0</v>
      </c>
      <c r="BP129" t="n">
        <v>0</v>
      </c>
      <c r="BQ129" t="n">
        <v>0</v>
      </c>
      <c r="BR129" t="n">
        <v>0</v>
      </c>
      <c r="BS129" t="n">
        <v>0</v>
      </c>
      <c r="BT129" t="n">
        <v>0</v>
      </c>
      <c r="BU129" t="n">
        <v>0</v>
      </c>
      <c r="BV129" t="n">
        <v>0</v>
      </c>
    </row>
    <row r="130">
      <c r="A130" t="inlineStr">
        <is>
          <t>Meretrix lusoria</t>
        </is>
      </c>
      <c r="B130" t="inlineStr">
        <is>
          <t>Japanese hard clam</t>
        </is>
      </c>
      <c r="C130" t="inlineStr">
        <is>
          <t>Other demersal invertebrates</t>
        </is>
      </c>
      <c r="D130" t="inlineStr">
        <is>
          <t>Molluscs</t>
        </is>
      </c>
      <c r="E130" t="n">
        <v>843.313</v>
      </c>
      <c r="F130" t="n">
        <v>1249.797</v>
      </c>
      <c r="G130" t="n">
        <v>1113.036</v>
      </c>
      <c r="H130" t="n">
        <v>926.8150000000001</v>
      </c>
      <c r="I130" t="n">
        <v>369.52</v>
      </c>
      <c r="J130" t="n">
        <v>629.535</v>
      </c>
      <c r="K130" t="n">
        <v>683.0650000000001</v>
      </c>
      <c r="L130" t="n">
        <v>755.397</v>
      </c>
      <c r="M130" t="n">
        <v>1084.86</v>
      </c>
      <c r="N130" t="n">
        <v>1058.187</v>
      </c>
      <c r="O130" t="n">
        <v>1053.002</v>
      </c>
      <c r="P130" t="n">
        <v>572.303</v>
      </c>
      <c r="Q130" t="n">
        <v>232.705</v>
      </c>
      <c r="R130" t="n">
        <v>401.407</v>
      </c>
      <c r="S130" t="n">
        <v>1173.806</v>
      </c>
      <c r="T130" t="n">
        <v>1106.725</v>
      </c>
      <c r="U130" t="n">
        <v>1239.102</v>
      </c>
      <c r="V130" t="n">
        <v>3071.82</v>
      </c>
      <c r="W130" t="n">
        <v>2912.509</v>
      </c>
      <c r="X130" t="n">
        <v>3981.386</v>
      </c>
      <c r="Y130" t="n">
        <v>2646.688</v>
      </c>
      <c r="Z130" t="n">
        <v>4333.962</v>
      </c>
      <c r="AA130" t="n">
        <v>2326.577</v>
      </c>
      <c r="AB130" t="n">
        <v>981.272</v>
      </c>
      <c r="AC130" t="n">
        <v>827.712</v>
      </c>
      <c r="AD130" t="n">
        <v>1556.748</v>
      </c>
      <c r="AE130" t="n">
        <v>1043.819</v>
      </c>
      <c r="AF130" t="n">
        <v>784.252</v>
      </c>
      <c r="AG130" t="n">
        <v>1395.351</v>
      </c>
      <c r="AH130" t="n">
        <v>1435.08</v>
      </c>
      <c r="AI130" t="n">
        <v>1221.083</v>
      </c>
      <c r="AJ130" t="n">
        <v>2141.716</v>
      </c>
      <c r="AK130" t="n">
        <v>1417.74</v>
      </c>
      <c r="AL130" t="n">
        <v>917.955</v>
      </c>
      <c r="AM130" t="n">
        <v>1609.974</v>
      </c>
      <c r="AN130" t="n">
        <v>1246.851</v>
      </c>
      <c r="AO130" t="n">
        <v>1550.567</v>
      </c>
      <c r="AP130" t="n">
        <v>1363.562</v>
      </c>
      <c r="AQ130" t="n">
        <v>1906.911</v>
      </c>
      <c r="AR130" t="n">
        <v>1356.748</v>
      </c>
      <c r="AS130" t="n">
        <v>1090.32</v>
      </c>
      <c r="AT130" t="n">
        <v>4486.538</v>
      </c>
      <c r="AU130" t="n">
        <v>4052.045</v>
      </c>
      <c r="AV130" t="n">
        <v>2444.522</v>
      </c>
      <c r="AW130" t="n">
        <v>2063.425</v>
      </c>
      <c r="AX130" t="n">
        <v>3999.047</v>
      </c>
      <c r="AY130" t="n">
        <v>3795.957</v>
      </c>
      <c r="AZ130" t="n">
        <v>3265.767</v>
      </c>
      <c r="BA130" t="n">
        <v>7943.586</v>
      </c>
      <c r="BB130" t="n">
        <v>3976.84</v>
      </c>
      <c r="BC130" t="n">
        <v>1630.797</v>
      </c>
      <c r="BD130" t="n">
        <v>1199.944</v>
      </c>
      <c r="BE130" t="n">
        <v>1921.378</v>
      </c>
      <c r="BF130" t="n">
        <v>6360.285</v>
      </c>
      <c r="BG130" t="n">
        <v>6497.277</v>
      </c>
      <c r="BH130" t="n">
        <v>2948.18</v>
      </c>
      <c r="BI130" t="n">
        <v>4077.356</v>
      </c>
      <c r="BJ130" t="n">
        <v>2337.574</v>
      </c>
      <c r="BK130" t="n">
        <v>1252.557</v>
      </c>
      <c r="BL130" t="n">
        <v>1390.197</v>
      </c>
      <c r="BM130" t="n">
        <v>1192.802</v>
      </c>
      <c r="BN130" t="n">
        <v>856.211</v>
      </c>
      <c r="BO130" t="n">
        <v>624.106</v>
      </c>
      <c r="BP130" t="n">
        <v>160.551</v>
      </c>
      <c r="BQ130" t="n">
        <v>250.566</v>
      </c>
      <c r="BR130" t="n">
        <v>291.498</v>
      </c>
      <c r="BS130" t="n">
        <v>245.963</v>
      </c>
      <c r="BT130" t="n">
        <v>330.49</v>
      </c>
      <c r="BU130" t="n">
        <v>107.91</v>
      </c>
      <c r="BV130" t="n">
        <v>96.399</v>
      </c>
    </row>
    <row r="131">
      <c r="A131" t="inlineStr">
        <is>
          <t>Gadidae</t>
        </is>
      </c>
      <c r="B131" t="inlineStr">
        <is>
          <t>Cods, haddocks</t>
        </is>
      </c>
      <c r="C131" t="inlineStr">
        <is>
          <t>Medium demersals (30 - 89 cm)</t>
        </is>
      </c>
      <c r="D131" t="inlineStr">
        <is>
          <t>Cod-likes</t>
        </is>
      </c>
      <c r="E131" t="n">
        <v>6512.011</v>
      </c>
      <c r="F131" t="n">
        <v>3511.997</v>
      </c>
      <c r="G131" t="n">
        <v>2773.625</v>
      </c>
      <c r="H131" t="n">
        <v>2714.721</v>
      </c>
      <c r="I131" t="n">
        <v>2572.182</v>
      </c>
      <c r="J131" t="n">
        <v>3609.797</v>
      </c>
      <c r="K131" t="n">
        <v>3450.165</v>
      </c>
      <c r="L131" t="n">
        <v>2115.764</v>
      </c>
      <c r="M131" t="n">
        <v>1548.883</v>
      </c>
      <c r="N131" t="n">
        <v>2083.523</v>
      </c>
      <c r="O131" t="n">
        <v>1897.318</v>
      </c>
      <c r="P131" t="n">
        <v>1620.51</v>
      </c>
      <c r="Q131" t="n">
        <v>1625.544</v>
      </c>
      <c r="R131" t="n">
        <v>1285.306</v>
      </c>
      <c r="S131" t="n">
        <v>1436.129</v>
      </c>
      <c r="T131" t="n">
        <v>1705.846</v>
      </c>
      <c r="U131" t="n">
        <v>1650.951</v>
      </c>
      <c r="V131" t="n">
        <v>1780.85</v>
      </c>
      <c r="W131" t="n">
        <v>1577.137</v>
      </c>
      <c r="X131" t="n">
        <v>2006.595</v>
      </c>
      <c r="Y131" t="n">
        <v>1706.408</v>
      </c>
      <c r="Z131" t="n">
        <v>1799.373</v>
      </c>
      <c r="AA131" t="n">
        <v>1233.554</v>
      </c>
      <c r="AB131" t="n">
        <v>1195.572</v>
      </c>
      <c r="AC131" t="n">
        <v>1588.922</v>
      </c>
      <c r="AD131" t="n">
        <v>1937.165</v>
      </c>
      <c r="AE131" t="n">
        <v>2044.059</v>
      </c>
      <c r="AF131" t="n">
        <v>2564.46</v>
      </c>
      <c r="AG131" t="n">
        <v>2931.073</v>
      </c>
      <c r="AH131" t="n">
        <v>3048.479</v>
      </c>
      <c r="AI131" t="n">
        <v>3078.925</v>
      </c>
      <c r="AJ131" t="n">
        <v>3600.624</v>
      </c>
      <c r="AK131" t="n">
        <v>3843.675</v>
      </c>
      <c r="AL131" t="n">
        <v>3923.667</v>
      </c>
      <c r="AM131" t="n">
        <v>3193.959</v>
      </c>
      <c r="AN131" t="n">
        <v>2959.88</v>
      </c>
      <c r="AO131" t="n">
        <v>2302.727</v>
      </c>
      <c r="AP131" t="n">
        <v>1857.215</v>
      </c>
      <c r="AQ131" t="n">
        <v>1452.257</v>
      </c>
      <c r="AR131" t="n">
        <v>1545.755</v>
      </c>
      <c r="AS131" t="n">
        <v>1351.786</v>
      </c>
      <c r="AT131" t="n">
        <v>1331.422</v>
      </c>
      <c r="AU131" t="n">
        <v>1296.738</v>
      </c>
      <c r="AV131" t="n">
        <v>1292.808</v>
      </c>
      <c r="AW131" t="n">
        <v>1291.293</v>
      </c>
      <c r="AX131" t="n">
        <v>1286.571</v>
      </c>
      <c r="AY131" t="n">
        <v>1309.039</v>
      </c>
      <c r="AZ131" t="n">
        <v>1308.64</v>
      </c>
      <c r="BA131" t="n">
        <v>1309.336</v>
      </c>
      <c r="BB131" t="n">
        <v>1332.439</v>
      </c>
      <c r="BC131" t="n">
        <v>1341.667</v>
      </c>
      <c r="BD131" t="n">
        <v>1367.771</v>
      </c>
      <c r="BE131" t="n">
        <v>1380.747</v>
      </c>
      <c r="BF131" t="n">
        <v>1377.439</v>
      </c>
      <c r="BG131" t="n">
        <v>1197.823</v>
      </c>
      <c r="BH131" t="n">
        <v>856.048</v>
      </c>
      <c r="BI131" t="n">
        <v>1042.127</v>
      </c>
      <c r="BJ131" t="n">
        <v>915.076</v>
      </c>
      <c r="BK131" t="n">
        <v>886.8390000000001</v>
      </c>
      <c r="BL131" t="n">
        <v>847.176</v>
      </c>
      <c r="BM131" t="n">
        <v>748.176</v>
      </c>
      <c r="BN131" t="n">
        <v>745.706</v>
      </c>
      <c r="BO131" t="n">
        <v>745.8390000000001</v>
      </c>
      <c r="BP131" t="n">
        <v>745.971</v>
      </c>
      <c r="BQ131" t="n">
        <v>746.104</v>
      </c>
      <c r="BR131" t="n">
        <v>746.237</v>
      </c>
      <c r="BS131" t="n">
        <v>746.29</v>
      </c>
      <c r="BT131" t="n">
        <v>773.34</v>
      </c>
      <c r="BU131" t="n">
        <v>773.34</v>
      </c>
      <c r="BV131" t="n">
        <v>773.34</v>
      </c>
    </row>
    <row r="132">
      <c r="A132" t="inlineStr">
        <is>
          <t>Scomberomorus guttatus</t>
        </is>
      </c>
      <c r="B132" t="inlineStr">
        <is>
          <t>Indo-Pacific king mackerel</t>
        </is>
      </c>
      <c r="C132" t="inlineStr">
        <is>
          <t>Medium pelagics (30 - 89 cm)</t>
        </is>
      </c>
      <c r="D132" t="inlineStr">
        <is>
          <t>Perch-likes</t>
        </is>
      </c>
      <c r="E132" t="n">
        <v>258.106</v>
      </c>
      <c r="F132" t="n">
        <v>258.788</v>
      </c>
      <c r="G132" t="n">
        <v>365.142</v>
      </c>
      <c r="H132" t="n">
        <v>364.223</v>
      </c>
      <c r="I132" t="n">
        <v>469.527</v>
      </c>
      <c r="J132" t="n">
        <v>470.77</v>
      </c>
      <c r="K132" t="n">
        <v>473.839</v>
      </c>
      <c r="L132" t="n">
        <v>525.852</v>
      </c>
      <c r="M132" t="n">
        <v>528.968</v>
      </c>
      <c r="N132" t="n">
        <v>537.33</v>
      </c>
      <c r="O132" t="n">
        <v>583.05</v>
      </c>
      <c r="P132" t="n">
        <v>744.032</v>
      </c>
      <c r="Q132" t="n">
        <v>905.865</v>
      </c>
      <c r="R132" t="n">
        <v>543.199</v>
      </c>
      <c r="S132" t="n">
        <v>589.265</v>
      </c>
      <c r="T132" t="n">
        <v>859.39</v>
      </c>
      <c r="U132" t="n">
        <v>700.11</v>
      </c>
      <c r="V132" t="n">
        <v>917.963</v>
      </c>
      <c r="W132" t="n">
        <v>1105.573</v>
      </c>
      <c r="X132" t="n">
        <v>1036.325</v>
      </c>
      <c r="Y132" t="n">
        <v>1328.241</v>
      </c>
      <c r="Z132" t="n">
        <v>1309.997</v>
      </c>
      <c r="AA132" t="n">
        <v>1480.647</v>
      </c>
      <c r="AB132" t="n">
        <v>4450.16</v>
      </c>
      <c r="AC132" t="n">
        <v>1346.414</v>
      </c>
      <c r="AD132" t="n">
        <v>1511.552</v>
      </c>
      <c r="AE132" t="n">
        <v>2008.639</v>
      </c>
      <c r="AF132" t="n">
        <v>1713.973</v>
      </c>
      <c r="AG132" t="n">
        <v>1841.234</v>
      </c>
      <c r="AH132" t="n">
        <v>1793.704</v>
      </c>
      <c r="AI132" t="n">
        <v>1303.81</v>
      </c>
      <c r="AJ132" t="n">
        <v>1536.691</v>
      </c>
      <c r="AK132" t="n">
        <v>1681.553</v>
      </c>
      <c r="AL132" t="n">
        <v>1757.211</v>
      </c>
      <c r="AM132" t="n">
        <v>2130.828</v>
      </c>
      <c r="AN132" t="n">
        <v>2093.02</v>
      </c>
      <c r="AO132" t="n">
        <v>2124.193</v>
      </c>
      <c r="AP132" t="n">
        <v>2379.552</v>
      </c>
      <c r="AQ132" t="n">
        <v>2628.154</v>
      </c>
      <c r="AR132" t="n">
        <v>3813.24</v>
      </c>
      <c r="AS132" t="n">
        <v>4143.026</v>
      </c>
      <c r="AT132" t="n">
        <v>4078.154</v>
      </c>
      <c r="AU132" t="n">
        <v>4046.054</v>
      </c>
      <c r="AV132" t="n">
        <v>3111.225</v>
      </c>
      <c r="AW132" t="n">
        <v>3376.72</v>
      </c>
      <c r="AX132" t="n">
        <v>4914.26</v>
      </c>
      <c r="AY132" t="n">
        <v>4826.695</v>
      </c>
      <c r="AZ132" t="n">
        <v>4090.874</v>
      </c>
      <c r="BA132" t="n">
        <v>3147.139</v>
      </c>
      <c r="BB132" t="n">
        <v>2991.934</v>
      </c>
      <c r="BC132" t="n">
        <v>2806.942</v>
      </c>
      <c r="BD132" t="n">
        <v>3178.059</v>
      </c>
      <c r="BE132" t="n">
        <v>2577.119</v>
      </c>
      <c r="BF132" t="n">
        <v>1891.956</v>
      </c>
      <c r="BG132" t="n">
        <v>2399.181</v>
      </c>
      <c r="BH132" t="n">
        <v>1976.634</v>
      </c>
      <c r="BI132" t="n">
        <v>1624.592</v>
      </c>
      <c r="BJ132" t="n">
        <v>1505.692</v>
      </c>
      <c r="BK132" t="n">
        <v>1505.728</v>
      </c>
      <c r="BL132" t="n">
        <v>1531.082</v>
      </c>
      <c r="BM132" t="n">
        <v>1602.946</v>
      </c>
      <c r="BN132" t="n">
        <v>1637.559</v>
      </c>
      <c r="BO132" t="n">
        <v>1566.568</v>
      </c>
      <c r="BP132" t="n">
        <v>1651.782</v>
      </c>
      <c r="BQ132" t="n">
        <v>1578.669</v>
      </c>
      <c r="BR132" t="n">
        <v>1338.884</v>
      </c>
      <c r="BS132" t="n">
        <v>1384.911</v>
      </c>
      <c r="BT132" t="n">
        <v>1230.499</v>
      </c>
      <c r="BU132" t="n">
        <v>1190.95</v>
      </c>
      <c r="BV132" t="n">
        <v>1166.036</v>
      </c>
    </row>
    <row r="133">
      <c r="A133" t="inlineStr">
        <is>
          <t>Tegillarca granosa</t>
        </is>
      </c>
      <c r="B133" t="inlineStr">
        <is>
          <t>Granular ark</t>
        </is>
      </c>
      <c r="C133" t="inlineStr">
        <is>
          <t>Other demersal invertebrates</t>
        </is>
      </c>
      <c r="D133" t="inlineStr">
        <is>
          <t>Molluscs</t>
        </is>
      </c>
      <c r="E133" t="n">
        <v>1078.432</v>
      </c>
      <c r="F133" t="n">
        <v>1347.95</v>
      </c>
      <c r="G133" t="n">
        <v>1213.271</v>
      </c>
      <c r="H133" t="n">
        <v>1148.89</v>
      </c>
      <c r="I133" t="n">
        <v>1846.368</v>
      </c>
      <c r="J133" t="n">
        <v>1681.819</v>
      </c>
      <c r="K133" t="n">
        <v>3088.514</v>
      </c>
      <c r="L133" t="n">
        <v>3352.382</v>
      </c>
      <c r="M133" t="n">
        <v>5343.492</v>
      </c>
      <c r="N133" t="n">
        <v>3023.196</v>
      </c>
      <c r="O133" t="n">
        <v>3561.837</v>
      </c>
      <c r="P133" t="n">
        <v>2478.216</v>
      </c>
      <c r="Q133" t="n">
        <v>4104.372</v>
      </c>
      <c r="R133" t="n">
        <v>1260.735</v>
      </c>
      <c r="S133" t="n">
        <v>6876.849</v>
      </c>
      <c r="T133" t="n">
        <v>4392.904</v>
      </c>
      <c r="U133" t="n">
        <v>4393.06</v>
      </c>
      <c r="V133" t="n">
        <v>13540.626</v>
      </c>
      <c r="W133" t="n">
        <v>1106.683</v>
      </c>
      <c r="X133" t="n">
        <v>823.295</v>
      </c>
      <c r="Y133" t="n">
        <v>2290.807</v>
      </c>
      <c r="Z133" t="n">
        <v>2855.503</v>
      </c>
      <c r="AA133" t="n">
        <v>2665.731</v>
      </c>
      <c r="AB133" t="n">
        <v>3029.803</v>
      </c>
      <c r="AC133" t="n">
        <v>2032.859</v>
      </c>
      <c r="AD133" t="n">
        <v>1737.521</v>
      </c>
      <c r="AE133" t="n">
        <v>734.298</v>
      </c>
      <c r="AF133" t="n">
        <v>569.611</v>
      </c>
      <c r="AG133" t="n">
        <v>473.126</v>
      </c>
      <c r="AH133" t="n">
        <v>1652.004</v>
      </c>
      <c r="AI133" t="n">
        <v>500.787</v>
      </c>
      <c r="AJ133" t="n">
        <v>270.011</v>
      </c>
      <c r="AK133" t="n">
        <v>254.191</v>
      </c>
      <c r="AL133" t="n">
        <v>180.472</v>
      </c>
      <c r="AM133" t="n">
        <v>77.21899999999999</v>
      </c>
      <c r="AN133" t="n">
        <v>217.591</v>
      </c>
      <c r="AO133" t="n">
        <v>346.602</v>
      </c>
      <c r="AP133" t="n">
        <v>192.995</v>
      </c>
      <c r="AQ133" t="n">
        <v>129.384</v>
      </c>
      <c r="AR133" t="n">
        <v>485.319</v>
      </c>
      <c r="AS133" t="n">
        <v>398.259</v>
      </c>
      <c r="AT133" t="n">
        <v>201.163</v>
      </c>
      <c r="AU133" t="n">
        <v>267.288</v>
      </c>
      <c r="AV133" t="n">
        <v>2038.417</v>
      </c>
      <c r="AW133" t="n">
        <v>774.954</v>
      </c>
      <c r="AX133" t="n">
        <v>880.575</v>
      </c>
      <c r="AY133" t="n">
        <v>623.939</v>
      </c>
      <c r="AZ133" t="n">
        <v>306.479</v>
      </c>
      <c r="BA133" t="n">
        <v>7515.085</v>
      </c>
      <c r="BB133" t="n">
        <v>4022.756</v>
      </c>
      <c r="BC133" t="n">
        <v>2573.847</v>
      </c>
      <c r="BD133" t="n">
        <v>94.556</v>
      </c>
      <c r="BE133" t="n">
        <v>141.345</v>
      </c>
      <c r="BF133" t="n">
        <v>313.447</v>
      </c>
      <c r="BG133" t="n">
        <v>159.024</v>
      </c>
      <c r="BH133" t="n">
        <v>141.409</v>
      </c>
      <c r="BI133" t="n">
        <v>91.09999999999999</v>
      </c>
      <c r="BJ133" t="n">
        <v>93.232</v>
      </c>
      <c r="BK133" t="n">
        <v>756.285</v>
      </c>
      <c r="BL133" t="n">
        <v>3485.732</v>
      </c>
      <c r="BM133" t="n">
        <v>3531.161</v>
      </c>
      <c r="BN133" t="n">
        <v>2279.204</v>
      </c>
      <c r="BO133" t="n">
        <v>345.708</v>
      </c>
      <c r="BP133" t="n">
        <v>232.736</v>
      </c>
      <c r="BQ133" t="n">
        <v>67.907</v>
      </c>
      <c r="BR133" t="n">
        <v>31.484</v>
      </c>
      <c r="BS133" t="n">
        <v>351.881</v>
      </c>
      <c r="BT133" t="n">
        <v>246.317</v>
      </c>
      <c r="BU133" t="n">
        <v>510.632</v>
      </c>
      <c r="BV133" t="n">
        <v>95.06999999999999</v>
      </c>
    </row>
    <row r="134">
      <c r="A134" t="inlineStr">
        <is>
          <t>Menidae</t>
        </is>
      </c>
      <c r="B134" t="inlineStr">
        <is>
          <t>Moonfishes</t>
        </is>
      </c>
      <c r="C134" t="inlineStr">
        <is>
          <t>Medium reef assoc. fish (30 - 89 cm)</t>
        </is>
      </c>
      <c r="D134" t="inlineStr">
        <is>
          <t>Perch-likes</t>
        </is>
      </c>
      <c r="E134" t="n">
        <v>502.546</v>
      </c>
      <c r="F134" t="n">
        <v>799.481</v>
      </c>
      <c r="G134" t="n">
        <v>789.3579999999999</v>
      </c>
      <c r="H134" t="n">
        <v>731.722</v>
      </c>
      <c r="I134" t="n">
        <v>545.854</v>
      </c>
      <c r="J134" t="n">
        <v>354.986</v>
      </c>
      <c r="K134" t="n">
        <v>678.575</v>
      </c>
      <c r="L134" t="n">
        <v>741.285</v>
      </c>
      <c r="M134" t="n">
        <v>2131.121</v>
      </c>
      <c r="N134" t="n">
        <v>952.562</v>
      </c>
      <c r="O134" t="n">
        <v>1185.527</v>
      </c>
      <c r="P134" t="n">
        <v>3774.583</v>
      </c>
      <c r="Q134" t="n">
        <v>2821.7</v>
      </c>
      <c r="R134" t="n">
        <v>1049.664</v>
      </c>
      <c r="S134" t="n">
        <v>810.896</v>
      </c>
      <c r="T134" t="n">
        <v>2073.846</v>
      </c>
      <c r="U134" t="n">
        <v>1312.102</v>
      </c>
      <c r="V134" t="n">
        <v>1557.712</v>
      </c>
      <c r="W134" t="n">
        <v>1029.245</v>
      </c>
      <c r="X134" t="n">
        <v>1134.861</v>
      </c>
      <c r="Y134" t="n">
        <v>336.949</v>
      </c>
      <c r="Z134" t="n">
        <v>995.891</v>
      </c>
      <c r="AA134" t="n">
        <v>531.0549999999999</v>
      </c>
      <c r="AB134" t="n">
        <v>1136.793</v>
      </c>
      <c r="AC134" t="n">
        <v>516.537</v>
      </c>
      <c r="AD134" t="n">
        <v>583.853</v>
      </c>
      <c r="AE134" t="n">
        <v>975.735</v>
      </c>
      <c r="AF134" t="n">
        <v>581.078</v>
      </c>
      <c r="AG134" t="n">
        <v>874.832</v>
      </c>
      <c r="AH134" t="n">
        <v>1015.319</v>
      </c>
      <c r="AI134" t="n">
        <v>1471.781</v>
      </c>
      <c r="AJ134" t="n">
        <v>1325.176</v>
      </c>
      <c r="AK134" t="n">
        <v>1134.281</v>
      </c>
      <c r="AL134" t="n">
        <v>1145.481</v>
      </c>
      <c r="AM134" t="n">
        <v>979.936</v>
      </c>
      <c r="AN134" t="n">
        <v>2083.996</v>
      </c>
      <c r="AO134" t="n">
        <v>1333.833</v>
      </c>
      <c r="AP134" t="n">
        <v>503.402</v>
      </c>
      <c r="AQ134" t="n">
        <v>1475.878</v>
      </c>
      <c r="AR134" t="n">
        <v>8852.611000000001</v>
      </c>
      <c r="AS134" t="n">
        <v>5877.298</v>
      </c>
      <c r="AT134" t="n">
        <v>6102.899</v>
      </c>
      <c r="AU134" t="n">
        <v>5977.338</v>
      </c>
      <c r="AV134" t="n">
        <v>5643.362</v>
      </c>
      <c r="AW134" t="n">
        <v>2497.456</v>
      </c>
      <c r="AX134" t="n">
        <v>1080.471</v>
      </c>
      <c r="AY134" t="n">
        <v>1325.968</v>
      </c>
      <c r="AZ134" t="n">
        <v>1363.04</v>
      </c>
      <c r="BA134" t="n">
        <v>1413.183</v>
      </c>
      <c r="BB134" t="n">
        <v>2541.867</v>
      </c>
      <c r="BC134" t="n">
        <v>1713.191</v>
      </c>
      <c r="BD134" t="n">
        <v>1817.974</v>
      </c>
      <c r="BE134" t="n">
        <v>1213.123</v>
      </c>
      <c r="BF134" t="n">
        <v>389.809</v>
      </c>
      <c r="BG134" t="n">
        <v>1487.424</v>
      </c>
      <c r="BH134" t="n">
        <v>653.876</v>
      </c>
      <c r="BI134" t="n">
        <v>901.498</v>
      </c>
      <c r="BJ134" t="n">
        <v>833.326</v>
      </c>
      <c r="BK134" t="n">
        <v>733.657</v>
      </c>
      <c r="BL134" t="n">
        <v>807.596</v>
      </c>
      <c r="BM134" t="n">
        <v>829.854</v>
      </c>
      <c r="BN134" t="n">
        <v>1061.825</v>
      </c>
      <c r="BO134" t="n">
        <v>1179.857</v>
      </c>
      <c r="BP134" t="n">
        <v>2487.178</v>
      </c>
      <c r="BQ134" t="n">
        <v>2687.421</v>
      </c>
      <c r="BR134" t="n">
        <v>2134.403</v>
      </c>
      <c r="BS134" t="n">
        <v>2843.269</v>
      </c>
      <c r="BT134" t="n">
        <v>2684.834</v>
      </c>
      <c r="BU134" t="n">
        <v>2728.976</v>
      </c>
      <c r="BV134" t="n">
        <v>2548.723</v>
      </c>
    </row>
    <row r="135">
      <c r="A135" t="inlineStr">
        <is>
          <t>Scorpaenidae</t>
        </is>
      </c>
      <c r="B135" t="inlineStr">
        <is>
          <t>Scorpionfishes, rockfishes</t>
        </is>
      </c>
      <c r="C135" t="inlineStr">
        <is>
          <t>Large reef assoc. fish (&gt;=90 cm)</t>
        </is>
      </c>
      <c r="D135" t="inlineStr">
        <is>
          <t>Scorpionfishes</t>
        </is>
      </c>
      <c r="E135" t="n">
        <v>203.86</v>
      </c>
      <c r="F135" t="n">
        <v>203.76</v>
      </c>
      <c r="G135" t="n">
        <v>203.661</v>
      </c>
      <c r="H135" t="n">
        <v>162.849</v>
      </c>
      <c r="I135" t="n">
        <v>162.769</v>
      </c>
      <c r="J135" t="n">
        <v>203.362</v>
      </c>
      <c r="K135" t="n">
        <v>203.262</v>
      </c>
      <c r="L135" t="n">
        <v>81.265</v>
      </c>
      <c r="M135" t="n">
        <v>162.45</v>
      </c>
      <c r="N135" t="n">
        <v>284.148</v>
      </c>
      <c r="O135" t="n">
        <v>284.009</v>
      </c>
      <c r="P135" t="n">
        <v>202.553</v>
      </c>
      <c r="Q135" t="n">
        <v>283.139</v>
      </c>
      <c r="R135" t="n">
        <v>201.932</v>
      </c>
      <c r="S135" t="n">
        <v>161.297</v>
      </c>
      <c r="T135" t="n">
        <v>322.097</v>
      </c>
      <c r="U135" t="n">
        <v>281.4</v>
      </c>
      <c r="V135" t="n">
        <v>401.379</v>
      </c>
      <c r="W135" t="n">
        <v>440.833</v>
      </c>
      <c r="X135" t="n">
        <v>360.123</v>
      </c>
      <c r="Y135" t="n">
        <v>599.273</v>
      </c>
      <c r="Z135" t="n">
        <v>516.995</v>
      </c>
      <c r="AA135" t="n">
        <v>439.185</v>
      </c>
      <c r="AB135" t="n">
        <v>517.311</v>
      </c>
      <c r="AC135" t="n">
        <v>694.039</v>
      </c>
      <c r="AD135" t="n">
        <v>2250.793</v>
      </c>
      <c r="AE135" t="n">
        <v>1863.106</v>
      </c>
      <c r="AF135" t="n">
        <v>2790.963</v>
      </c>
      <c r="AG135" t="n">
        <v>1786.505</v>
      </c>
      <c r="AH135" t="n">
        <v>1873.35</v>
      </c>
      <c r="AI135" t="n">
        <v>2038.486</v>
      </c>
      <c r="AJ135" t="n">
        <v>2363.597</v>
      </c>
      <c r="AK135" t="n">
        <v>2300.217</v>
      </c>
      <c r="AL135" t="n">
        <v>3282.742</v>
      </c>
      <c r="AM135" t="n">
        <v>2575.199</v>
      </c>
      <c r="AN135" t="n">
        <v>2889.135</v>
      </c>
      <c r="AO135" t="n">
        <v>3189.015</v>
      </c>
      <c r="AP135" t="n">
        <v>3048.648</v>
      </c>
      <c r="AQ135" t="n">
        <v>2815.359</v>
      </c>
      <c r="AR135" t="n">
        <v>3195.869</v>
      </c>
      <c r="AS135" t="n">
        <v>2935.961</v>
      </c>
      <c r="AT135" t="n">
        <v>2859.531</v>
      </c>
      <c r="AU135" t="n">
        <v>3080.836</v>
      </c>
      <c r="AV135" t="n">
        <v>3196.111</v>
      </c>
      <c r="AW135" t="n">
        <v>2842.869</v>
      </c>
      <c r="AX135" t="n">
        <v>2880.226</v>
      </c>
      <c r="AY135" t="n">
        <v>2287.773</v>
      </c>
      <c r="AZ135" t="n">
        <v>2639.388</v>
      </c>
      <c r="BA135" t="n">
        <v>2238.234</v>
      </c>
      <c r="BB135" t="n">
        <v>2261.58</v>
      </c>
      <c r="BC135" t="n">
        <v>2350.463</v>
      </c>
      <c r="BD135" t="n">
        <v>2494.994</v>
      </c>
      <c r="BE135" t="n">
        <v>2433.312</v>
      </c>
      <c r="BF135" t="n">
        <v>2969.176</v>
      </c>
      <c r="BG135" t="n">
        <v>2515.909</v>
      </c>
      <c r="BH135" t="n">
        <v>2336.949</v>
      </c>
      <c r="BI135" t="n">
        <v>2533.843</v>
      </c>
      <c r="BJ135" t="n">
        <v>2878.536</v>
      </c>
      <c r="BK135" t="n">
        <v>2806.456</v>
      </c>
      <c r="BL135" t="n">
        <v>2164.231</v>
      </c>
      <c r="BM135" t="n">
        <v>1840.873</v>
      </c>
      <c r="BN135" t="n">
        <v>2067.233</v>
      </c>
      <c r="BO135" t="n">
        <v>2192.022</v>
      </c>
      <c r="BP135" t="n">
        <v>1926.967</v>
      </c>
      <c r="BQ135" t="n">
        <v>1924.549</v>
      </c>
      <c r="BR135" t="n">
        <v>2016.931</v>
      </c>
      <c r="BS135" t="n">
        <v>1710.764</v>
      </c>
      <c r="BT135" t="n">
        <v>1765.903</v>
      </c>
      <c r="BU135" t="n">
        <v>1939.059</v>
      </c>
      <c r="BV135" t="n">
        <v>2014.029</v>
      </c>
    </row>
    <row r="136">
      <c r="A136" t="inlineStr">
        <is>
          <t>Ommastrephidae</t>
        </is>
      </c>
      <c r="B136" t="inlineStr">
        <is>
          <t>Arrow squids</t>
        </is>
      </c>
      <c r="C136" t="inlineStr">
        <is>
          <t>Cephalopods</t>
        </is>
      </c>
      <c r="D136" t="inlineStr">
        <is>
          <t>Other fishes &amp; inverts</t>
        </is>
      </c>
      <c r="E136" t="n">
        <v>1560.482</v>
      </c>
      <c r="F136" t="n">
        <v>3164.936</v>
      </c>
      <c r="G136" t="n">
        <v>3281.034</v>
      </c>
      <c r="H136" t="n">
        <v>2588.111</v>
      </c>
      <c r="I136" t="n">
        <v>840.8339999999999</v>
      </c>
      <c r="J136" t="n">
        <v>1198.249</v>
      </c>
      <c r="K136" t="n">
        <v>2747.674</v>
      </c>
      <c r="L136" t="n">
        <v>4071.634</v>
      </c>
      <c r="M136" t="n">
        <v>2263.367</v>
      </c>
      <c r="N136" t="n">
        <v>3840.614</v>
      </c>
      <c r="O136" t="n">
        <v>3682.986</v>
      </c>
      <c r="P136" t="n">
        <v>5999.941</v>
      </c>
      <c r="Q136" t="n">
        <v>4635.693</v>
      </c>
      <c r="R136" t="n">
        <v>6508.535</v>
      </c>
      <c r="S136" t="n">
        <v>4537.512</v>
      </c>
      <c r="T136" t="n">
        <v>3923.041</v>
      </c>
      <c r="U136" t="n">
        <v>4052.6</v>
      </c>
      <c r="V136" t="n">
        <v>2477.722</v>
      </c>
      <c r="W136" t="n">
        <v>3989.289</v>
      </c>
      <c r="X136" t="n">
        <v>3442.687</v>
      </c>
      <c r="Y136" t="n">
        <v>3414.169</v>
      </c>
      <c r="Z136" t="n">
        <v>2220.454</v>
      </c>
      <c r="AA136" t="n">
        <v>2717.888</v>
      </c>
      <c r="AB136" t="n">
        <v>1965.238</v>
      </c>
      <c r="AC136" t="n">
        <v>1188.563</v>
      </c>
      <c r="AD136" t="n">
        <v>1266.259</v>
      </c>
      <c r="AE136" t="n">
        <v>1499.333</v>
      </c>
      <c r="AF136" t="n">
        <v>778.398</v>
      </c>
      <c r="AG136" t="n">
        <v>756.228</v>
      </c>
      <c r="AH136" t="n">
        <v>850.987</v>
      </c>
      <c r="AI136" t="n">
        <v>1282.514</v>
      </c>
      <c r="AJ136" t="n">
        <v>1186.611</v>
      </c>
      <c r="AK136" t="n">
        <v>1246.652</v>
      </c>
      <c r="AL136" t="n">
        <v>1862.712</v>
      </c>
      <c r="AM136" t="n">
        <v>2181.389</v>
      </c>
      <c r="AN136" t="n">
        <v>1639.733</v>
      </c>
      <c r="AO136" t="n">
        <v>1560.363</v>
      </c>
      <c r="AP136" t="n">
        <v>1911.562</v>
      </c>
      <c r="AQ136" t="n">
        <v>2243.729</v>
      </c>
      <c r="AR136" t="n">
        <v>1969.005</v>
      </c>
      <c r="AS136" t="n">
        <v>1743.431</v>
      </c>
      <c r="AT136" t="n">
        <v>1007.893</v>
      </c>
      <c r="AU136" t="n">
        <v>958.787</v>
      </c>
      <c r="AV136" t="n">
        <v>1260.752</v>
      </c>
      <c r="AW136" t="n">
        <v>929.138</v>
      </c>
      <c r="AX136" t="n">
        <v>897.174</v>
      </c>
      <c r="AY136" t="n">
        <v>844.812</v>
      </c>
      <c r="AZ136" t="n">
        <v>788.551</v>
      </c>
      <c r="BA136" t="n">
        <v>704.168</v>
      </c>
      <c r="BB136" t="n">
        <v>521.758</v>
      </c>
      <c r="BC136" t="n">
        <v>470.461</v>
      </c>
      <c r="BD136" t="n">
        <v>437.192</v>
      </c>
      <c r="BE136" t="n">
        <v>384.7</v>
      </c>
      <c r="BF136" t="n">
        <v>340.199</v>
      </c>
      <c r="BG136" t="n">
        <v>269.038</v>
      </c>
      <c r="BH136" t="n">
        <v>183.064</v>
      </c>
      <c r="BI136" t="n">
        <v>135.824</v>
      </c>
      <c r="BJ136" t="n">
        <v>86.91200000000001</v>
      </c>
      <c r="BK136" t="n">
        <v>77.631</v>
      </c>
      <c r="BL136" t="n">
        <v>67.27500000000001</v>
      </c>
      <c r="BM136" t="n">
        <v>64.819</v>
      </c>
      <c r="BN136" t="n">
        <v>54.539</v>
      </c>
      <c r="BO136" t="n">
        <v>55.092</v>
      </c>
      <c r="BP136" t="n">
        <v>99.818</v>
      </c>
      <c r="BQ136" t="n">
        <v>108.928</v>
      </c>
      <c r="BR136" t="n">
        <v>89.387</v>
      </c>
      <c r="BS136" t="n">
        <v>147.343</v>
      </c>
      <c r="BT136" t="n">
        <v>73.315</v>
      </c>
      <c r="BU136" t="n">
        <v>100.636</v>
      </c>
      <c r="BV136" t="n">
        <v>98.23699999999999</v>
      </c>
    </row>
    <row r="137">
      <c r="A137" t="inlineStr">
        <is>
          <t>Veneridae</t>
        </is>
      </c>
      <c r="B137" t="inlineStr">
        <is>
          <t>Venus clams</t>
        </is>
      </c>
      <c r="C137" t="inlineStr">
        <is>
          <t>Other demersal invertebrates</t>
        </is>
      </c>
      <c r="D137" t="inlineStr">
        <is>
          <t>Molluscs</t>
        </is>
      </c>
      <c r="E137" t="n">
        <v>0</v>
      </c>
      <c r="F137" t="n">
        <v>0</v>
      </c>
      <c r="G137" t="n">
        <v>0</v>
      </c>
      <c r="H137" t="n">
        <v>0</v>
      </c>
      <c r="I137" t="n">
        <v>0</v>
      </c>
      <c r="J137" t="n">
        <v>0</v>
      </c>
      <c r="K137" t="n">
        <v>0</v>
      </c>
      <c r="L137" t="n">
        <v>0</v>
      </c>
      <c r="M137" t="n">
        <v>0</v>
      </c>
      <c r="N137" t="n">
        <v>0</v>
      </c>
      <c r="O137" t="n">
        <v>0</v>
      </c>
      <c r="P137" t="n">
        <v>0</v>
      </c>
      <c r="Q137" t="n">
        <v>3243.98</v>
      </c>
      <c r="R137" t="n">
        <v>1389.987</v>
      </c>
      <c r="S137" t="n">
        <v>6249.616</v>
      </c>
      <c r="T137" t="n">
        <v>1212.47</v>
      </c>
      <c r="U137" t="n">
        <v>3413.838</v>
      </c>
      <c r="V137" t="n">
        <v>1879.438</v>
      </c>
      <c r="W137" t="n">
        <v>1658.123</v>
      </c>
      <c r="X137" t="n">
        <v>2852.504</v>
      </c>
      <c r="Y137" t="n">
        <v>2542.305</v>
      </c>
      <c r="Z137" t="n">
        <v>4216.024</v>
      </c>
      <c r="AA137" t="n">
        <v>3273.51</v>
      </c>
      <c r="AB137" t="n">
        <v>3061.168</v>
      </c>
      <c r="AC137" t="n">
        <v>3419.529</v>
      </c>
      <c r="AD137" t="n">
        <v>7829.314</v>
      </c>
      <c r="AE137" t="n">
        <v>5712.378</v>
      </c>
      <c r="AF137" t="n">
        <v>5898.263</v>
      </c>
      <c r="AG137" t="n">
        <v>4715.06</v>
      </c>
      <c r="AH137" t="n">
        <v>2584.641</v>
      </c>
      <c r="AI137" t="n">
        <v>3662.167</v>
      </c>
      <c r="AJ137" t="n">
        <v>4024.658</v>
      </c>
      <c r="AK137" t="n">
        <v>4278.644</v>
      </c>
      <c r="AL137" t="n">
        <v>3823.502</v>
      </c>
      <c r="AM137" t="n">
        <v>3019.298</v>
      </c>
      <c r="AN137" t="n">
        <v>4158.796</v>
      </c>
      <c r="AO137" t="n">
        <v>5720.89</v>
      </c>
      <c r="AP137" t="n">
        <v>4273.225</v>
      </c>
      <c r="AQ137" t="n">
        <v>3253.983</v>
      </c>
      <c r="AR137" t="n">
        <v>2669.074</v>
      </c>
      <c r="AS137" t="n">
        <v>1619.136</v>
      </c>
      <c r="AT137" t="n">
        <v>1157.718</v>
      </c>
      <c r="AU137" t="n">
        <v>916.261</v>
      </c>
      <c r="AV137" t="n">
        <v>1467.213</v>
      </c>
      <c r="AW137" t="n">
        <v>599.3680000000001</v>
      </c>
      <c r="AX137" t="n">
        <v>521.792</v>
      </c>
      <c r="AY137" t="n">
        <v>365.806</v>
      </c>
      <c r="AZ137" t="n">
        <v>458.774</v>
      </c>
      <c r="BA137" t="n">
        <v>446.146</v>
      </c>
      <c r="BB137" t="n">
        <v>318.049</v>
      </c>
      <c r="BC137" t="n">
        <v>473.072</v>
      </c>
      <c r="BD137" t="n">
        <v>422.76</v>
      </c>
      <c r="BE137" t="n">
        <v>272.965</v>
      </c>
      <c r="BF137" t="n">
        <v>211.872</v>
      </c>
      <c r="BG137" t="n">
        <v>180.188</v>
      </c>
      <c r="BH137" t="n">
        <v>154.554</v>
      </c>
      <c r="BI137" t="n">
        <v>57.574</v>
      </c>
      <c r="BJ137" t="n">
        <v>47.527</v>
      </c>
      <c r="BK137" t="n">
        <v>95.47799999999999</v>
      </c>
      <c r="BL137" t="n">
        <v>88.376</v>
      </c>
      <c r="BM137" t="n">
        <v>57.684</v>
      </c>
      <c r="BN137" t="n">
        <v>48.526</v>
      </c>
      <c r="BO137" t="n">
        <v>49.018</v>
      </c>
      <c r="BP137" t="n">
        <v>49.51</v>
      </c>
      <c r="BQ137" t="n">
        <v>50.003</v>
      </c>
      <c r="BR137" t="n">
        <v>50.495</v>
      </c>
      <c r="BS137" t="n">
        <v>50.693</v>
      </c>
      <c r="BT137" t="n">
        <v>50.844</v>
      </c>
      <c r="BU137" t="n">
        <v>50.844</v>
      </c>
      <c r="BV137" t="n">
        <v>50.844</v>
      </c>
    </row>
    <row r="138">
      <c r="A138" t="inlineStr">
        <is>
          <t>Meretrix</t>
        </is>
      </c>
      <c r="B138" t="inlineStr">
        <is>
          <t>Hard clams</t>
        </is>
      </c>
      <c r="C138" t="inlineStr">
        <is>
          <t>Other demersal invertebrates</t>
        </is>
      </c>
      <c r="D138" t="inlineStr">
        <is>
          <t>Molluscs</t>
        </is>
      </c>
      <c r="E138" t="n">
        <v>4253.817</v>
      </c>
      <c r="F138" t="n">
        <v>4253.817</v>
      </c>
      <c r="G138" t="n">
        <v>4253.817</v>
      </c>
      <c r="H138" t="n">
        <v>3856.794</v>
      </c>
      <c r="I138" t="n">
        <v>4747.237</v>
      </c>
      <c r="J138" t="n">
        <v>4494.867</v>
      </c>
      <c r="K138" t="n">
        <v>5045.119</v>
      </c>
      <c r="L138" t="n">
        <v>7196.104</v>
      </c>
      <c r="M138" t="n">
        <v>3999.909</v>
      </c>
      <c r="N138" t="n">
        <v>3717.814</v>
      </c>
      <c r="O138" t="n">
        <v>4496.532</v>
      </c>
      <c r="P138" t="n">
        <v>3655.091</v>
      </c>
      <c r="Q138" t="n">
        <v>3243.085</v>
      </c>
      <c r="R138" t="n">
        <v>8890.276</v>
      </c>
      <c r="S138" t="n">
        <v>4633.988</v>
      </c>
      <c r="T138" t="n">
        <v>3900.035</v>
      </c>
      <c r="U138" t="n">
        <v>2828.796</v>
      </c>
      <c r="V138" t="n">
        <v>1755.731</v>
      </c>
      <c r="W138" t="n">
        <v>1915.654</v>
      </c>
      <c r="X138" t="n">
        <v>2009.824</v>
      </c>
      <c r="Y138" t="n">
        <v>1408.744</v>
      </c>
      <c r="Z138" t="n">
        <v>1289.993</v>
      </c>
      <c r="AA138" t="n">
        <v>923.67</v>
      </c>
      <c r="AB138" t="n">
        <v>1460.949</v>
      </c>
      <c r="AC138" t="n">
        <v>2911.152</v>
      </c>
      <c r="AD138" t="n">
        <v>1160.093</v>
      </c>
      <c r="AE138" t="n">
        <v>1157.349</v>
      </c>
      <c r="AF138" t="n">
        <v>1416.069</v>
      </c>
      <c r="AG138" t="n">
        <v>1425.162</v>
      </c>
      <c r="AH138" t="n">
        <v>1140.541</v>
      </c>
      <c r="AI138" t="n">
        <v>543.169</v>
      </c>
      <c r="AJ138" t="n">
        <v>543.284</v>
      </c>
      <c r="AK138" t="n">
        <v>625.731</v>
      </c>
      <c r="AL138" t="n">
        <v>386.908</v>
      </c>
      <c r="AM138" t="n">
        <v>412.58</v>
      </c>
      <c r="AN138" t="n">
        <v>620.013</v>
      </c>
      <c r="AO138" t="n">
        <v>631.621</v>
      </c>
      <c r="AP138" t="n">
        <v>1046.83</v>
      </c>
      <c r="AQ138" t="n">
        <v>956.0359999999999</v>
      </c>
      <c r="AR138" t="n">
        <v>725.274</v>
      </c>
      <c r="AS138" t="n">
        <v>642.769</v>
      </c>
      <c r="AT138" t="n">
        <v>631.391</v>
      </c>
      <c r="AU138" t="n">
        <v>733.1609999999999</v>
      </c>
      <c r="AV138" t="n">
        <v>841.2809999999999</v>
      </c>
      <c r="AW138" t="n">
        <v>661.92</v>
      </c>
      <c r="AX138" t="n">
        <v>587.705</v>
      </c>
      <c r="AY138" t="n">
        <v>553.571</v>
      </c>
      <c r="AZ138" t="n">
        <v>539.506</v>
      </c>
      <c r="BA138" t="n">
        <v>530.987</v>
      </c>
      <c r="BB138" t="n">
        <v>508.116</v>
      </c>
      <c r="BC138" t="n">
        <v>439.848</v>
      </c>
      <c r="BD138" t="n">
        <v>354.657</v>
      </c>
      <c r="BE138" t="n">
        <v>371.638</v>
      </c>
      <c r="BF138" t="n">
        <v>331.301</v>
      </c>
      <c r="BG138" t="n">
        <v>276.293</v>
      </c>
      <c r="BH138" t="n">
        <v>275.143</v>
      </c>
      <c r="BI138" t="n">
        <v>245.835</v>
      </c>
      <c r="BJ138" t="n">
        <v>0</v>
      </c>
      <c r="BK138" t="n">
        <v>0</v>
      </c>
      <c r="BL138" t="n">
        <v>0</v>
      </c>
      <c r="BM138" t="n">
        <v>0</v>
      </c>
      <c r="BN138" t="n">
        <v>0</v>
      </c>
      <c r="BO138" t="n">
        <v>0</v>
      </c>
      <c r="BP138" t="n">
        <v>0</v>
      </c>
      <c r="BQ138" t="n">
        <v>0</v>
      </c>
      <c r="BR138" t="n">
        <v>0</v>
      </c>
      <c r="BS138" t="n">
        <v>0</v>
      </c>
      <c r="BT138" t="n">
        <v>0</v>
      </c>
      <c r="BU138" t="n">
        <v>0</v>
      </c>
      <c r="BV138" t="n">
        <v>0</v>
      </c>
    </row>
    <row r="139">
      <c r="A139" t="inlineStr">
        <is>
          <t>Miscellaneous aquatic invertebrates</t>
        </is>
      </c>
      <c r="B139" t="inlineStr">
        <is>
          <t>Aquatic invertebrates</t>
        </is>
      </c>
      <c r="C139" t="inlineStr">
        <is>
          <t>Other demersal invertebrates</t>
        </is>
      </c>
      <c r="D139" t="inlineStr">
        <is>
          <t>Other fishes &amp; inverts</t>
        </is>
      </c>
      <c r="E139" t="n">
        <v>134.489</v>
      </c>
      <c r="F139" t="n">
        <v>167.741</v>
      </c>
      <c r="G139" t="n">
        <v>180.7</v>
      </c>
      <c r="H139" t="n">
        <v>164.112</v>
      </c>
      <c r="I139" t="n">
        <v>159.33</v>
      </c>
      <c r="J139" t="n">
        <v>165.897</v>
      </c>
      <c r="K139" t="n">
        <v>231.472</v>
      </c>
      <c r="L139" t="n">
        <v>256.781</v>
      </c>
      <c r="M139" t="n">
        <v>250.91</v>
      </c>
      <c r="N139" t="n">
        <v>241.558</v>
      </c>
      <c r="O139" t="n">
        <v>217.219</v>
      </c>
      <c r="P139" t="n">
        <v>276.172</v>
      </c>
      <c r="Q139" t="n">
        <v>276.607</v>
      </c>
      <c r="R139" t="n">
        <v>277.948</v>
      </c>
      <c r="S139" t="n">
        <v>327.364</v>
      </c>
      <c r="T139" t="n">
        <v>347.952</v>
      </c>
      <c r="U139" t="n">
        <v>330.095</v>
      </c>
      <c r="V139" t="n">
        <v>409.752</v>
      </c>
      <c r="W139" t="n">
        <v>434.692</v>
      </c>
      <c r="X139" t="n">
        <v>476.185</v>
      </c>
      <c r="Y139" t="n">
        <v>3779.834</v>
      </c>
      <c r="Z139" t="n">
        <v>2435.143</v>
      </c>
      <c r="AA139" t="n">
        <v>2048.695</v>
      </c>
      <c r="AB139" t="n">
        <v>1981.481</v>
      </c>
      <c r="AC139" t="n">
        <v>1903.049</v>
      </c>
      <c r="AD139" t="n">
        <v>1103.409</v>
      </c>
      <c r="AE139" t="n">
        <v>1103.377</v>
      </c>
      <c r="AF139" t="n">
        <v>1323.199</v>
      </c>
      <c r="AG139" t="n">
        <v>1656.781</v>
      </c>
      <c r="AH139" t="n">
        <v>1656.104</v>
      </c>
      <c r="AI139" t="n">
        <v>1604.09</v>
      </c>
      <c r="AJ139" t="n">
        <v>1744.589</v>
      </c>
      <c r="AK139" t="n">
        <v>1861.829</v>
      </c>
      <c r="AL139" t="n">
        <v>2189.006</v>
      </c>
      <c r="AM139" t="n">
        <v>4154.675</v>
      </c>
      <c r="AN139" t="n">
        <v>1454.925</v>
      </c>
      <c r="AO139" t="n">
        <v>2847.905</v>
      </c>
      <c r="AP139" t="n">
        <v>3866.827</v>
      </c>
      <c r="AQ139" t="n">
        <v>2907.518</v>
      </c>
      <c r="AR139" t="n">
        <v>2177.581</v>
      </c>
      <c r="AS139" t="n">
        <v>2264.15</v>
      </c>
      <c r="AT139" t="n">
        <v>2619.312</v>
      </c>
      <c r="AU139" t="n">
        <v>2597.238</v>
      </c>
      <c r="AV139" t="n">
        <v>1583.25</v>
      </c>
      <c r="AW139" t="n">
        <v>2638.328</v>
      </c>
      <c r="AX139" t="n">
        <v>1657.564</v>
      </c>
      <c r="AY139" t="n">
        <v>1653.472</v>
      </c>
      <c r="AZ139" t="n">
        <v>1627.368</v>
      </c>
      <c r="BA139" t="n">
        <v>1770.939</v>
      </c>
      <c r="BB139" t="n">
        <v>1467.37</v>
      </c>
      <c r="BC139" t="n">
        <v>2025.068</v>
      </c>
      <c r="BD139" t="n">
        <v>1528.847</v>
      </c>
      <c r="BE139" t="n">
        <v>1965.931</v>
      </c>
      <c r="BF139" t="n">
        <v>1369.055</v>
      </c>
      <c r="BG139" t="n">
        <v>1476.674</v>
      </c>
      <c r="BH139" t="n">
        <v>835.4400000000001</v>
      </c>
      <c r="BI139" t="n">
        <v>985.956</v>
      </c>
      <c r="BJ139" t="n">
        <v>932.253</v>
      </c>
      <c r="BK139" t="n">
        <v>710.244</v>
      </c>
      <c r="BL139" t="n">
        <v>679.628</v>
      </c>
      <c r="BM139" t="n">
        <v>588.626</v>
      </c>
      <c r="BN139" t="n">
        <v>632.148</v>
      </c>
      <c r="BO139" t="n">
        <v>531.151</v>
      </c>
      <c r="BP139" t="n">
        <v>602.304</v>
      </c>
      <c r="BQ139" t="n">
        <v>2031.586</v>
      </c>
      <c r="BR139" t="n">
        <v>715.813</v>
      </c>
      <c r="BS139" t="n">
        <v>751.812</v>
      </c>
      <c r="BT139" t="n">
        <v>788.226</v>
      </c>
      <c r="BU139" t="n">
        <v>552.288</v>
      </c>
      <c r="BV139" t="n">
        <v>22309.675</v>
      </c>
    </row>
    <row r="140">
      <c r="A140" t="inlineStr">
        <is>
          <t>Ariidae</t>
        </is>
      </c>
      <c r="B140" t="inlineStr">
        <is>
          <t>Sea catfishes, coblers</t>
        </is>
      </c>
      <c r="C140" t="inlineStr">
        <is>
          <t>Medium demersals (30 - 89 cm)</t>
        </is>
      </c>
      <c r="D140" t="inlineStr">
        <is>
          <t>Other fishes &amp; inverts</t>
        </is>
      </c>
      <c r="E140" t="n">
        <v>1042.794</v>
      </c>
      <c r="F140" t="n">
        <v>1412.67</v>
      </c>
      <c r="G140" t="n">
        <v>1492.762</v>
      </c>
      <c r="H140" t="n">
        <v>1428.497</v>
      </c>
      <c r="I140" t="n">
        <v>1135.276</v>
      </c>
      <c r="J140" t="n">
        <v>1164.519</v>
      </c>
      <c r="K140" t="n">
        <v>2221.008</v>
      </c>
      <c r="L140" t="n">
        <v>2456.502</v>
      </c>
      <c r="M140" t="n">
        <v>1511.22</v>
      </c>
      <c r="N140" t="n">
        <v>1793.473</v>
      </c>
      <c r="O140" t="n">
        <v>2140.904</v>
      </c>
      <c r="P140" t="n">
        <v>2260.101</v>
      </c>
      <c r="Q140" t="n">
        <v>1715.348</v>
      </c>
      <c r="R140" t="n">
        <v>1219.129</v>
      </c>
      <c r="S140" t="n">
        <v>1525.281</v>
      </c>
      <c r="T140" t="n">
        <v>1540.071</v>
      </c>
      <c r="U140" t="n">
        <v>3380.807</v>
      </c>
      <c r="V140" t="n">
        <v>3337.278</v>
      </c>
      <c r="W140" t="n">
        <v>3996.512</v>
      </c>
      <c r="X140" t="n">
        <v>3012.06</v>
      </c>
      <c r="Y140" t="n">
        <v>2586.674</v>
      </c>
      <c r="Z140" t="n">
        <v>4182.358</v>
      </c>
      <c r="AA140" t="n">
        <v>4196.424</v>
      </c>
      <c r="AB140" t="n">
        <v>1910.865</v>
      </c>
      <c r="AC140" t="n">
        <v>2836.805</v>
      </c>
      <c r="AD140" t="n">
        <v>3416.542</v>
      </c>
      <c r="AE140" t="n">
        <v>5803.812</v>
      </c>
      <c r="AF140" t="n">
        <v>3253.752</v>
      </c>
      <c r="AG140" t="n">
        <v>2409.648</v>
      </c>
      <c r="AH140" t="n">
        <v>2329.635</v>
      </c>
      <c r="AI140" t="n">
        <v>1863.471</v>
      </c>
      <c r="AJ140" t="n">
        <v>1424.339</v>
      </c>
      <c r="AK140" t="n">
        <v>1950.701</v>
      </c>
      <c r="AL140" t="n">
        <v>1753.055</v>
      </c>
      <c r="AM140" t="n">
        <v>1692.182</v>
      </c>
      <c r="AN140" t="n">
        <v>1491.916</v>
      </c>
      <c r="AO140" t="n">
        <v>2074.427</v>
      </c>
      <c r="AP140" t="n">
        <v>2141.261</v>
      </c>
      <c r="AQ140" t="n">
        <v>6989.914</v>
      </c>
      <c r="AR140" t="n">
        <v>1989.712</v>
      </c>
      <c r="AS140" t="n">
        <v>797.855</v>
      </c>
      <c r="AT140" t="n">
        <v>309.341</v>
      </c>
      <c r="AU140" t="n">
        <v>848.279</v>
      </c>
      <c r="AV140" t="n">
        <v>780.306</v>
      </c>
      <c r="AW140" t="n">
        <v>745.092</v>
      </c>
      <c r="AX140" t="n">
        <v>643.8200000000001</v>
      </c>
      <c r="AY140" t="n">
        <v>382.172</v>
      </c>
      <c r="AZ140" t="n">
        <v>362.314</v>
      </c>
      <c r="BA140" t="n">
        <v>490.933</v>
      </c>
      <c r="BB140" t="n">
        <v>622.578</v>
      </c>
      <c r="BC140" t="n">
        <v>1387.978</v>
      </c>
      <c r="BD140" t="n">
        <v>863.636</v>
      </c>
      <c r="BE140" t="n">
        <v>1023.428</v>
      </c>
      <c r="BF140" t="n">
        <v>508.851</v>
      </c>
      <c r="BG140" t="n">
        <v>821.022</v>
      </c>
      <c r="BH140" t="n">
        <v>619.53</v>
      </c>
      <c r="BI140" t="n">
        <v>245.994</v>
      </c>
      <c r="BJ140" t="n">
        <v>190.493</v>
      </c>
      <c r="BK140" t="n">
        <v>163.214</v>
      </c>
      <c r="BL140" t="n">
        <v>379.453</v>
      </c>
      <c r="BM140" t="n">
        <v>161.959</v>
      </c>
      <c r="BN140" t="n">
        <v>150.96</v>
      </c>
      <c r="BO140" t="n">
        <v>399.23</v>
      </c>
      <c r="BP140" t="n">
        <v>174.791</v>
      </c>
      <c r="BQ140" t="n">
        <v>224.059</v>
      </c>
      <c r="BR140" t="n">
        <v>183.051</v>
      </c>
      <c r="BS140" t="n">
        <v>198.251</v>
      </c>
      <c r="BT140" t="n">
        <v>219.154</v>
      </c>
      <c r="BU140" t="n">
        <v>199.097</v>
      </c>
      <c r="BV140" t="n">
        <v>175.351</v>
      </c>
    </row>
    <row r="141">
      <c r="A141" t="inlineStr">
        <is>
          <t>Mene maculata</t>
        </is>
      </c>
      <c r="B141" t="inlineStr">
        <is>
          <t>Moonfish</t>
        </is>
      </c>
      <c r="C141" t="inlineStr">
        <is>
          <t>Medium reef assoc. fish (30 - 89 cm)</t>
        </is>
      </c>
      <c r="D141" t="inlineStr">
        <is>
          <t>Perch-likes</t>
        </is>
      </c>
      <c r="E141" t="n">
        <v>176.983</v>
      </c>
      <c r="F141" t="n">
        <v>206.376</v>
      </c>
      <c r="G141" t="n">
        <v>216.617</v>
      </c>
      <c r="H141" t="n">
        <v>223.792</v>
      </c>
      <c r="I141" t="n">
        <v>217.611</v>
      </c>
      <c r="J141" t="n">
        <v>174.58</v>
      </c>
      <c r="K141" t="n">
        <v>323.7</v>
      </c>
      <c r="L141" t="n">
        <v>374.98</v>
      </c>
      <c r="M141" t="n">
        <v>1196.511</v>
      </c>
      <c r="N141" t="n">
        <v>577.042</v>
      </c>
      <c r="O141" t="n">
        <v>720.881</v>
      </c>
      <c r="P141" t="n">
        <v>2679.984</v>
      </c>
      <c r="Q141" t="n">
        <v>2024.011</v>
      </c>
      <c r="R141" t="n">
        <v>888.891</v>
      </c>
      <c r="S141" t="n">
        <v>755.51</v>
      </c>
      <c r="T141" t="n">
        <v>1711.878</v>
      </c>
      <c r="U141" t="n">
        <v>1337.233</v>
      </c>
      <c r="V141" t="n">
        <v>1642.054</v>
      </c>
      <c r="W141" t="n">
        <v>1140.167</v>
      </c>
      <c r="X141" t="n">
        <v>1255.942</v>
      </c>
      <c r="Y141" t="n">
        <v>635.586</v>
      </c>
      <c r="Z141" t="n">
        <v>1255.471</v>
      </c>
      <c r="AA141" t="n">
        <v>813.1</v>
      </c>
      <c r="AB141" t="n">
        <v>1807.495</v>
      </c>
      <c r="AC141" t="n">
        <v>719.764</v>
      </c>
      <c r="AD141" t="n">
        <v>801.5069999999999</v>
      </c>
      <c r="AE141" t="n">
        <v>1185.865</v>
      </c>
      <c r="AF141" t="n">
        <v>979.879</v>
      </c>
      <c r="AG141" t="n">
        <v>1388.93</v>
      </c>
      <c r="AH141" t="n">
        <v>1826.284</v>
      </c>
      <c r="AI141" t="n">
        <v>2703.292</v>
      </c>
      <c r="AJ141" t="n">
        <v>2193.31</v>
      </c>
      <c r="AK141" t="n">
        <v>1532.339</v>
      </c>
      <c r="AL141" t="n">
        <v>1555.668</v>
      </c>
      <c r="AM141" t="n">
        <v>1627.373</v>
      </c>
      <c r="AN141" t="n">
        <v>2787.173</v>
      </c>
      <c r="AO141" t="n">
        <v>1799.56</v>
      </c>
      <c r="AP141" t="n">
        <v>759.0700000000001</v>
      </c>
      <c r="AQ141" t="n">
        <v>1763.526</v>
      </c>
      <c r="AR141" t="n">
        <v>9378.27</v>
      </c>
      <c r="AS141" t="n">
        <v>5938.931</v>
      </c>
      <c r="AT141" t="n">
        <v>5891.047</v>
      </c>
      <c r="AU141" t="n">
        <v>3875.995</v>
      </c>
      <c r="AV141" t="n">
        <v>3556.22</v>
      </c>
      <c r="AW141" t="n">
        <v>1292.801</v>
      </c>
      <c r="AX141" t="n">
        <v>749.393</v>
      </c>
      <c r="AY141" t="n">
        <v>654.0650000000001</v>
      </c>
      <c r="AZ141" t="n">
        <v>720.01</v>
      </c>
      <c r="BA141" t="n">
        <v>651.046</v>
      </c>
      <c r="BB141" t="n">
        <v>979.999</v>
      </c>
      <c r="BC141" t="n">
        <v>802.5309999999999</v>
      </c>
      <c r="BD141" t="n">
        <v>898.741</v>
      </c>
      <c r="BE141" t="n">
        <v>684.96</v>
      </c>
      <c r="BF141" t="n">
        <v>465.892</v>
      </c>
      <c r="BG141" t="n">
        <v>1368.583</v>
      </c>
      <c r="BH141" t="n">
        <v>771.246</v>
      </c>
      <c r="BI141" t="n">
        <v>941.163</v>
      </c>
      <c r="BJ141" t="n">
        <v>957.0890000000001</v>
      </c>
      <c r="BK141" t="n">
        <v>704.543</v>
      </c>
      <c r="BL141" t="n">
        <v>591.04</v>
      </c>
      <c r="BM141" t="n">
        <v>591.99</v>
      </c>
      <c r="BN141" t="n">
        <v>859.575</v>
      </c>
      <c r="BO141" t="n">
        <v>1532.43</v>
      </c>
      <c r="BP141" t="n">
        <v>3338.592</v>
      </c>
      <c r="BQ141" t="n">
        <v>3287.349</v>
      </c>
      <c r="BR141" t="n">
        <v>5540.462</v>
      </c>
      <c r="BS141" t="n">
        <v>3975.525</v>
      </c>
      <c r="BT141" t="n">
        <v>1206.308</v>
      </c>
      <c r="BU141" t="n">
        <v>766.849</v>
      </c>
      <c r="BV141" t="n">
        <v>1258.262</v>
      </c>
    </row>
    <row r="142">
      <c r="A142" t="inlineStr">
        <is>
          <t>Acanthopagrus schlegelii</t>
        </is>
      </c>
      <c r="B142" t="inlineStr">
        <is>
          <t>Blackhead seabream</t>
        </is>
      </c>
      <c r="C142" t="inlineStr">
        <is>
          <t>Medium demersals (30 - 89 cm)</t>
        </is>
      </c>
      <c r="D142" t="inlineStr">
        <is>
          <t>Perch-likes</t>
        </is>
      </c>
      <c r="E142" t="n">
        <v>5.054</v>
      </c>
      <c r="F142" t="n">
        <v>27.004</v>
      </c>
      <c r="G142" t="n">
        <v>7.286</v>
      </c>
      <c r="H142" t="n">
        <v>7.816</v>
      </c>
      <c r="I142" t="n">
        <v>8.113</v>
      </c>
      <c r="J142" t="n">
        <v>9.855</v>
      </c>
      <c r="K142" t="n">
        <v>11.348</v>
      </c>
      <c r="L142" t="n">
        <v>12.438</v>
      </c>
      <c r="M142" t="n">
        <v>13.796</v>
      </c>
      <c r="N142" t="n">
        <v>15.518</v>
      </c>
      <c r="O142" t="n">
        <v>16.313</v>
      </c>
      <c r="P142" t="n">
        <v>19.106</v>
      </c>
      <c r="Q142" t="n">
        <v>30.322</v>
      </c>
      <c r="R142" t="n">
        <v>22.66</v>
      </c>
      <c r="S142" t="n">
        <v>45.924</v>
      </c>
      <c r="T142" t="n">
        <v>60.356</v>
      </c>
      <c r="U142" t="n">
        <v>28.987</v>
      </c>
      <c r="V142" t="n">
        <v>32.075</v>
      </c>
      <c r="W142" t="n">
        <v>36.654</v>
      </c>
      <c r="X142" t="n">
        <v>54.579</v>
      </c>
      <c r="Y142" t="n">
        <v>42.769</v>
      </c>
      <c r="Z142" t="n">
        <v>86.321</v>
      </c>
      <c r="AA142" t="n">
        <v>125.383</v>
      </c>
      <c r="AB142" t="n">
        <v>168.334</v>
      </c>
      <c r="AC142" t="n">
        <v>208.64</v>
      </c>
      <c r="AD142" t="n">
        <v>261.786</v>
      </c>
      <c r="AE142" t="n">
        <v>304.431</v>
      </c>
      <c r="AF142" t="n">
        <v>356.404</v>
      </c>
      <c r="AG142" t="n">
        <v>401.539</v>
      </c>
      <c r="AH142" t="n">
        <v>445.639</v>
      </c>
      <c r="AI142" t="n">
        <v>479.977</v>
      </c>
      <c r="AJ142" t="n">
        <v>511.29</v>
      </c>
      <c r="AK142" t="n">
        <v>550.903</v>
      </c>
      <c r="AL142" t="n">
        <v>597.812</v>
      </c>
      <c r="AM142" t="n">
        <v>630.888</v>
      </c>
      <c r="AN142" t="n">
        <v>681.405</v>
      </c>
      <c r="AO142" t="n">
        <v>720.9880000000001</v>
      </c>
      <c r="AP142" t="n">
        <v>763.824</v>
      </c>
      <c r="AQ142" t="n">
        <v>800.699</v>
      </c>
      <c r="AR142" t="n">
        <v>2113.411</v>
      </c>
      <c r="AS142" t="n">
        <v>1710.67</v>
      </c>
      <c r="AT142" t="n">
        <v>1612.086</v>
      </c>
      <c r="AU142" t="n">
        <v>1865.29</v>
      </c>
      <c r="AV142" t="n">
        <v>1507.138</v>
      </c>
      <c r="AW142" t="n">
        <v>1638.743</v>
      </c>
      <c r="AX142" t="n">
        <v>1820.466</v>
      </c>
      <c r="AY142" t="n">
        <v>2153.314</v>
      </c>
      <c r="AZ142" t="n">
        <v>2340.354</v>
      </c>
      <c r="BA142" t="n">
        <v>2717.262</v>
      </c>
      <c r="BB142" t="n">
        <v>3661.522</v>
      </c>
      <c r="BC142" t="n">
        <v>3625.508</v>
      </c>
      <c r="BD142" t="n">
        <v>4335.186</v>
      </c>
      <c r="BE142" t="n">
        <v>3990.694</v>
      </c>
      <c r="BF142" t="n">
        <v>2804.712</v>
      </c>
      <c r="BG142" t="n">
        <v>3523.427</v>
      </c>
      <c r="BH142" t="n">
        <v>3007.125</v>
      </c>
      <c r="BI142" t="n">
        <v>3229.757</v>
      </c>
      <c r="BJ142" t="n">
        <v>3123.567</v>
      </c>
      <c r="BK142" t="n">
        <v>3432.739</v>
      </c>
      <c r="BL142" t="n">
        <v>3733.009</v>
      </c>
      <c r="BM142" t="n">
        <v>3482.959</v>
      </c>
      <c r="BN142" t="n">
        <v>3700.735</v>
      </c>
      <c r="BO142" t="n">
        <v>4009.754</v>
      </c>
      <c r="BP142" t="n">
        <v>4184.191</v>
      </c>
      <c r="BQ142" t="n">
        <v>4378.464</v>
      </c>
      <c r="BR142" t="n">
        <v>4321.689</v>
      </c>
      <c r="BS142" t="n">
        <v>4630.253</v>
      </c>
      <c r="BT142" t="n">
        <v>4785.495</v>
      </c>
      <c r="BU142" t="n">
        <v>4725.937</v>
      </c>
      <c r="BV142" t="n">
        <v>4762.899</v>
      </c>
    </row>
    <row r="143">
      <c r="A143" t="inlineStr">
        <is>
          <t>Octopus</t>
        </is>
      </c>
      <c r="B143" t="inlineStr">
        <is>
          <t>Octopuses, pikas</t>
        </is>
      </c>
      <c r="C143" t="inlineStr">
        <is>
          <t>Cephalopods</t>
        </is>
      </c>
      <c r="D143" t="inlineStr">
        <is>
          <t>Other fishes &amp; inverts</t>
        </is>
      </c>
      <c r="E143" t="n">
        <v>82.92</v>
      </c>
      <c r="F143" t="n">
        <v>82.92</v>
      </c>
      <c r="G143" t="n">
        <v>82.92</v>
      </c>
      <c r="H143" t="n">
        <v>82.92</v>
      </c>
      <c r="I143" t="n">
        <v>82.92</v>
      </c>
      <c r="J143" t="n">
        <v>82.92</v>
      </c>
      <c r="K143" t="n">
        <v>82.92</v>
      </c>
      <c r="L143" t="n">
        <v>82.92</v>
      </c>
      <c r="M143" t="n">
        <v>82.92</v>
      </c>
      <c r="N143" t="n">
        <v>82.92</v>
      </c>
      <c r="O143" t="n">
        <v>82.92</v>
      </c>
      <c r="P143" t="n">
        <v>82.92</v>
      </c>
      <c r="Q143" t="n">
        <v>82.92</v>
      </c>
      <c r="R143" t="n">
        <v>82.92</v>
      </c>
      <c r="S143" t="n">
        <v>82.92</v>
      </c>
      <c r="T143" t="n">
        <v>82.92</v>
      </c>
      <c r="U143" t="n">
        <v>82.92</v>
      </c>
      <c r="V143" t="n">
        <v>82.92</v>
      </c>
      <c r="W143" t="n">
        <v>82.92</v>
      </c>
      <c r="X143" t="n">
        <v>82.92</v>
      </c>
      <c r="Y143" t="n">
        <v>82.92</v>
      </c>
      <c r="Z143" t="n">
        <v>82.92</v>
      </c>
      <c r="AA143" t="n">
        <v>82.92</v>
      </c>
      <c r="AB143" t="n">
        <v>82.92</v>
      </c>
      <c r="AC143" t="n">
        <v>103.65</v>
      </c>
      <c r="AD143" t="n">
        <v>145.11</v>
      </c>
      <c r="AE143" t="n">
        <v>165.84</v>
      </c>
      <c r="AF143" t="n">
        <v>186.57</v>
      </c>
      <c r="AG143" t="n">
        <v>207.3</v>
      </c>
      <c r="AH143" t="n">
        <v>228.03</v>
      </c>
      <c r="AI143" t="n">
        <v>248.76</v>
      </c>
      <c r="AJ143" t="n">
        <v>269.491</v>
      </c>
      <c r="AK143" t="n">
        <v>269.491</v>
      </c>
      <c r="AL143" t="n">
        <v>290.221</v>
      </c>
      <c r="AM143" t="n">
        <v>248.76</v>
      </c>
      <c r="AN143" t="n">
        <v>228.03</v>
      </c>
      <c r="AO143" t="n">
        <v>186.57</v>
      </c>
      <c r="AP143" t="n">
        <v>145.11</v>
      </c>
      <c r="AQ143" t="n">
        <v>103.65</v>
      </c>
      <c r="AR143" t="n">
        <v>103.65</v>
      </c>
      <c r="AS143" t="n">
        <v>103.65</v>
      </c>
      <c r="AT143" t="n">
        <v>103.65</v>
      </c>
      <c r="AU143" t="n">
        <v>103.65</v>
      </c>
      <c r="AV143" t="n">
        <v>103.65</v>
      </c>
      <c r="AW143" t="n">
        <v>103.65</v>
      </c>
      <c r="AX143" t="n">
        <v>103.727</v>
      </c>
      <c r="AY143" t="n">
        <v>103.803</v>
      </c>
      <c r="AZ143" t="n">
        <v>103.88</v>
      </c>
      <c r="BA143" t="n">
        <v>103.956</v>
      </c>
      <c r="BB143" t="n">
        <v>104.033</v>
      </c>
      <c r="BC143" t="n">
        <v>104.11</v>
      </c>
      <c r="BD143" t="n">
        <v>104.186</v>
      </c>
      <c r="BE143" t="n">
        <v>104.263</v>
      </c>
      <c r="BF143" t="n">
        <v>104.339</v>
      </c>
      <c r="BG143" t="n">
        <v>104.416</v>
      </c>
      <c r="BH143" t="n">
        <v>63.079</v>
      </c>
      <c r="BI143" t="n">
        <v>83.93300000000001</v>
      </c>
      <c r="BJ143" t="n">
        <v>84.056</v>
      </c>
      <c r="BK143" t="n">
        <v>84.18000000000001</v>
      </c>
      <c r="BL143" t="n">
        <v>63.573</v>
      </c>
      <c r="BM143" t="n">
        <v>63.697</v>
      </c>
      <c r="BN143" t="n">
        <v>11306.909</v>
      </c>
      <c r="BO143" t="n">
        <v>10810.395</v>
      </c>
      <c r="BP143" t="n">
        <v>10829.744</v>
      </c>
      <c r="BQ143" t="n">
        <v>11109.905</v>
      </c>
      <c r="BR143" t="n">
        <v>10465.589</v>
      </c>
      <c r="BS143" t="n">
        <v>12230.54</v>
      </c>
      <c r="BT143" t="n">
        <v>11717.611</v>
      </c>
      <c r="BU143" t="n">
        <v>11944.762</v>
      </c>
      <c r="BV143" t="n">
        <v>11594.256</v>
      </c>
    </row>
    <row r="144">
      <c r="A144" t="inlineStr">
        <is>
          <t>Apostichopus japonicus</t>
        </is>
      </c>
      <c r="B144" t="inlineStr">
        <is>
          <t>Japanese sea cucumber</t>
        </is>
      </c>
      <c r="C144" t="inlineStr">
        <is>
          <t>Other demersal invertebrates</t>
        </is>
      </c>
      <c r="D144" t="inlineStr">
        <is>
          <t>Other fishes &amp; inverts</t>
        </is>
      </c>
      <c r="E144" t="n">
        <v>519.818</v>
      </c>
      <c r="F144" t="n">
        <v>614.361</v>
      </c>
      <c r="G144" t="n">
        <v>697.754</v>
      </c>
      <c r="H144" t="n">
        <v>1609.071</v>
      </c>
      <c r="I144" t="n">
        <v>1752.334</v>
      </c>
      <c r="J144" t="n">
        <v>2242.202</v>
      </c>
      <c r="K144" t="n">
        <v>1449.354</v>
      </c>
      <c r="L144" t="n">
        <v>1673.018</v>
      </c>
      <c r="M144" t="n">
        <v>135.01</v>
      </c>
      <c r="N144" t="n">
        <v>1118.941</v>
      </c>
      <c r="O144" t="n">
        <v>1457.51</v>
      </c>
      <c r="P144" t="n">
        <v>417.579</v>
      </c>
      <c r="Q144" t="n">
        <v>310.847</v>
      </c>
      <c r="R144" t="n">
        <v>382.662</v>
      </c>
      <c r="S144" t="n">
        <v>893.606</v>
      </c>
      <c r="T144" t="n">
        <v>746.333</v>
      </c>
      <c r="U144" t="n">
        <v>1258.566</v>
      </c>
      <c r="V144" t="n">
        <v>1133.46</v>
      </c>
      <c r="W144" t="n">
        <v>1074.392</v>
      </c>
      <c r="X144" t="n">
        <v>990.183</v>
      </c>
      <c r="Y144" t="n">
        <v>919.575</v>
      </c>
      <c r="Z144" t="n">
        <v>1519.918</v>
      </c>
      <c r="AA144" t="n">
        <v>1568.783</v>
      </c>
      <c r="AB144" t="n">
        <v>1055.018</v>
      </c>
      <c r="AC144" t="n">
        <v>1512.246</v>
      </c>
      <c r="AD144" t="n">
        <v>1027.717</v>
      </c>
      <c r="AE144" t="n">
        <v>1884.067</v>
      </c>
      <c r="AF144" t="n">
        <v>1934.913</v>
      </c>
      <c r="AG144" t="n">
        <v>1535.655</v>
      </c>
      <c r="AH144" t="n">
        <v>1990.628</v>
      </c>
      <c r="AI144" t="n">
        <v>1789.577</v>
      </c>
      <c r="AJ144" t="n">
        <v>2089.524</v>
      </c>
      <c r="AK144" t="n">
        <v>2334.112</v>
      </c>
      <c r="AL144" t="n">
        <v>2589.565</v>
      </c>
      <c r="AM144" t="n">
        <v>2232.355</v>
      </c>
      <c r="AN144" t="n">
        <v>1893.262</v>
      </c>
      <c r="AO144" t="n">
        <v>2063.825</v>
      </c>
      <c r="AP144" t="n">
        <v>1973.665</v>
      </c>
      <c r="AQ144" t="n">
        <v>1952.795</v>
      </c>
      <c r="AR144" t="n">
        <v>1861.107</v>
      </c>
      <c r="AS144" t="n">
        <v>1764.107</v>
      </c>
      <c r="AT144" t="n">
        <v>1596.689</v>
      </c>
      <c r="AU144" t="n">
        <v>1421.466</v>
      </c>
      <c r="AV144" t="n">
        <v>1604.411</v>
      </c>
      <c r="AW144" t="n">
        <v>1843.41</v>
      </c>
      <c r="AX144" t="n">
        <v>1659.846</v>
      </c>
      <c r="AY144" t="n">
        <v>2110.238</v>
      </c>
      <c r="AZ144" t="n">
        <v>2215.988</v>
      </c>
      <c r="BA144" t="n">
        <v>1587.278</v>
      </c>
      <c r="BB144" t="n">
        <v>1095.608</v>
      </c>
      <c r="BC144" t="n">
        <v>1224.462</v>
      </c>
      <c r="BD144" t="n">
        <v>783.208</v>
      </c>
      <c r="BE144" t="n">
        <v>714.775</v>
      </c>
      <c r="BF144" t="n">
        <v>875.33</v>
      </c>
      <c r="BG144" t="n">
        <v>803.521</v>
      </c>
      <c r="BH144" t="n">
        <v>787.0839999999999</v>
      </c>
      <c r="BI144" t="n">
        <v>1086.609</v>
      </c>
      <c r="BJ144" t="n">
        <v>1923.019</v>
      </c>
      <c r="BK144" t="n">
        <v>1487.713</v>
      </c>
      <c r="BL144" t="n">
        <v>2028.548</v>
      </c>
      <c r="BM144" t="n">
        <v>3026.455</v>
      </c>
      <c r="BN144" t="n">
        <v>1826.697</v>
      </c>
      <c r="BO144" t="n">
        <v>1580.081</v>
      </c>
      <c r="BP144" t="n">
        <v>1756.272</v>
      </c>
      <c r="BQ144" t="n">
        <v>1831.629</v>
      </c>
      <c r="BR144" t="n">
        <v>1671.919</v>
      </c>
      <c r="BS144" t="n">
        <v>1870.096</v>
      </c>
      <c r="BT144" t="n">
        <v>4801.804</v>
      </c>
      <c r="BU144" t="n">
        <v>1827.791</v>
      </c>
      <c r="BV144" t="n">
        <v>3947.717</v>
      </c>
    </row>
    <row r="145">
      <c r="A145" t="inlineStr">
        <is>
          <t>Arctoscopus japonicus</t>
        </is>
      </c>
      <c r="B145" t="inlineStr">
        <is>
          <t>Japanese sandfish</t>
        </is>
      </c>
      <c r="C145" t="inlineStr">
        <is>
          <t>Small bathydemersals (&lt;30 cm)</t>
        </is>
      </c>
      <c r="D145" t="inlineStr">
        <is>
          <t>Perch-likes</t>
        </is>
      </c>
      <c r="E145" t="n">
        <v>595.098</v>
      </c>
      <c r="F145" t="n">
        <v>595.098</v>
      </c>
      <c r="G145" t="n">
        <v>595.098</v>
      </c>
      <c r="H145" t="n">
        <v>595.12</v>
      </c>
      <c r="I145" t="n">
        <v>588.157</v>
      </c>
      <c r="J145" t="n">
        <v>682.547</v>
      </c>
      <c r="K145" t="n">
        <v>787.278</v>
      </c>
      <c r="L145" t="n">
        <v>701.588</v>
      </c>
      <c r="M145" t="n">
        <v>655.05</v>
      </c>
      <c r="N145" t="n">
        <v>995.006</v>
      </c>
      <c r="O145" t="n">
        <v>704.169</v>
      </c>
      <c r="P145" t="n">
        <v>1053.871</v>
      </c>
      <c r="Q145" t="n">
        <v>2200.879</v>
      </c>
      <c r="R145" t="n">
        <v>1493.001</v>
      </c>
      <c r="S145" t="n">
        <v>1445.758</v>
      </c>
      <c r="T145" t="n">
        <v>3232.729</v>
      </c>
      <c r="U145" t="n">
        <v>2698.008</v>
      </c>
      <c r="V145" t="n">
        <v>2792.648</v>
      </c>
      <c r="W145" t="n">
        <v>4406.943</v>
      </c>
      <c r="X145" t="n">
        <v>3341.758</v>
      </c>
      <c r="Y145" t="n">
        <v>4700.237</v>
      </c>
      <c r="Z145" t="n">
        <v>6255.23</v>
      </c>
      <c r="AA145" t="n">
        <v>3163.252</v>
      </c>
      <c r="AB145" t="n">
        <v>5361.614</v>
      </c>
      <c r="AC145" t="n">
        <v>3933.796</v>
      </c>
      <c r="AD145" t="n">
        <v>2753.982</v>
      </c>
      <c r="AE145" t="n">
        <v>2765.013</v>
      </c>
      <c r="AF145" t="n">
        <v>1613.753</v>
      </c>
      <c r="AG145" t="n">
        <v>922.599</v>
      </c>
      <c r="AH145" t="n">
        <v>713.092</v>
      </c>
      <c r="AI145" t="n">
        <v>1310.969</v>
      </c>
      <c r="AJ145" t="n">
        <v>771.465</v>
      </c>
      <c r="AK145" t="n">
        <v>1031.056</v>
      </c>
      <c r="AL145" t="n">
        <v>1714.406</v>
      </c>
      <c r="AM145" t="n">
        <v>1320.039</v>
      </c>
      <c r="AN145" t="n">
        <v>1662.59</v>
      </c>
      <c r="AO145" t="n">
        <v>2132.13</v>
      </c>
      <c r="AP145" t="n">
        <v>2580.579</v>
      </c>
      <c r="AQ145" t="n">
        <v>1115.424</v>
      </c>
      <c r="AR145" t="n">
        <v>805.797</v>
      </c>
      <c r="AS145" t="n">
        <v>858.463</v>
      </c>
      <c r="AT145" t="n">
        <v>1263.908</v>
      </c>
      <c r="AU145" t="n">
        <v>1045.996</v>
      </c>
      <c r="AV145" t="n">
        <v>962.854</v>
      </c>
      <c r="AW145" t="n">
        <v>562.1180000000001</v>
      </c>
      <c r="AX145" t="n">
        <v>662.148</v>
      </c>
      <c r="AY145" t="n">
        <v>776.2569999999999</v>
      </c>
      <c r="AZ145" t="n">
        <v>708.376</v>
      </c>
      <c r="BA145" t="n">
        <v>607.538</v>
      </c>
      <c r="BB145" t="n">
        <v>777.673</v>
      </c>
      <c r="BC145" t="n">
        <v>619.313</v>
      </c>
      <c r="BD145" t="n">
        <v>628.913</v>
      </c>
      <c r="BE145" t="n">
        <v>1025.932</v>
      </c>
      <c r="BF145" t="n">
        <v>976.071</v>
      </c>
      <c r="BG145" t="n">
        <v>991.111</v>
      </c>
      <c r="BH145" t="n">
        <v>1025.315</v>
      </c>
      <c r="BI145" t="n">
        <v>1029.642</v>
      </c>
      <c r="BJ145" t="n">
        <v>1051.683</v>
      </c>
      <c r="BK145" t="n">
        <v>1102.557</v>
      </c>
      <c r="BL145" t="n">
        <v>1146.775</v>
      </c>
      <c r="BM145" t="n">
        <v>1167.785</v>
      </c>
      <c r="BN145" t="n">
        <v>1111.476</v>
      </c>
      <c r="BO145" t="n">
        <v>1412.284</v>
      </c>
      <c r="BP145" t="n">
        <v>1535.4</v>
      </c>
      <c r="BQ145" t="n">
        <v>1158.483</v>
      </c>
      <c r="BR145" t="n">
        <v>1242.983</v>
      </c>
      <c r="BS145" t="n">
        <v>1689.209</v>
      </c>
      <c r="BT145" t="n">
        <v>1202.049</v>
      </c>
      <c r="BU145" t="n">
        <v>1002.034</v>
      </c>
      <c r="BV145" t="n">
        <v>821.873</v>
      </c>
    </row>
    <row r="146">
      <c r="A146" t="inlineStr">
        <is>
          <t>Batoidea</t>
        </is>
      </c>
      <c r="B146" t="inlineStr">
        <is>
          <t>Batoids, skates, rays, sawfishes</t>
        </is>
      </c>
      <c r="C146" t="inlineStr">
        <is>
          <t>Large rays (&gt;=90 cm)</t>
        </is>
      </c>
      <c r="D146" t="inlineStr">
        <is>
          <t>Sharks &amp; rays</t>
        </is>
      </c>
      <c r="E146" t="n">
        <v>2902.487</v>
      </c>
      <c r="F146" t="n">
        <v>2902.487</v>
      </c>
      <c r="G146" t="n">
        <v>2902.487</v>
      </c>
      <c r="H146" t="n">
        <v>2865.184</v>
      </c>
      <c r="I146" t="n">
        <v>2845.579</v>
      </c>
      <c r="J146" t="n">
        <v>2825.973</v>
      </c>
      <c r="K146" t="n">
        <v>3354.23</v>
      </c>
      <c r="L146" t="n">
        <v>3335.595</v>
      </c>
      <c r="M146" t="n">
        <v>3154.388</v>
      </c>
      <c r="N146" t="n">
        <v>2916.984</v>
      </c>
      <c r="O146" t="n">
        <v>2680.434</v>
      </c>
      <c r="P146" t="n">
        <v>2471.798</v>
      </c>
      <c r="Q146" t="n">
        <v>2382.757</v>
      </c>
      <c r="R146" t="n">
        <v>2608.591</v>
      </c>
      <c r="S146" t="n">
        <v>2354.357</v>
      </c>
      <c r="T146" t="n">
        <v>2029.232</v>
      </c>
      <c r="U146" t="n">
        <v>2107.636</v>
      </c>
      <c r="V146" t="n">
        <v>2144.284</v>
      </c>
      <c r="W146" t="n">
        <v>2174.858</v>
      </c>
      <c r="X146" t="n">
        <v>1724.082</v>
      </c>
      <c r="Y146" t="n">
        <v>2046.451</v>
      </c>
      <c r="Z146" t="n">
        <v>1610.058</v>
      </c>
      <c r="AA146" t="n">
        <v>1447.175</v>
      </c>
      <c r="AB146" t="n">
        <v>1546.369</v>
      </c>
      <c r="AC146" t="n">
        <v>1350.544</v>
      </c>
      <c r="AD146" t="n">
        <v>1565.897</v>
      </c>
      <c r="AE146" t="n">
        <v>1569.119</v>
      </c>
      <c r="AF146" t="n">
        <v>1862.507</v>
      </c>
      <c r="AG146" t="n">
        <v>1697.023</v>
      </c>
      <c r="AH146" t="n">
        <v>1891.527</v>
      </c>
      <c r="AI146" t="n">
        <v>2342.537</v>
      </c>
      <c r="AJ146" t="n">
        <v>1930.719</v>
      </c>
      <c r="AK146" t="n">
        <v>2073.705</v>
      </c>
      <c r="AL146" t="n">
        <v>1704.904</v>
      </c>
      <c r="AM146" t="n">
        <v>1890.246</v>
      </c>
      <c r="AN146" t="n">
        <v>1503.974</v>
      </c>
      <c r="AO146" t="n">
        <v>1467.693</v>
      </c>
      <c r="AP146" t="n">
        <v>1539.846</v>
      </c>
      <c r="AQ146" t="n">
        <v>1471.925</v>
      </c>
      <c r="AR146" t="n">
        <v>1257.271</v>
      </c>
      <c r="AS146" t="n">
        <v>1283.05</v>
      </c>
      <c r="AT146" t="n">
        <v>1120.497</v>
      </c>
      <c r="AU146" t="n">
        <v>1072.899</v>
      </c>
      <c r="AV146" t="n">
        <v>923.372</v>
      </c>
      <c r="AW146" t="n">
        <v>870.184</v>
      </c>
      <c r="AX146" t="n">
        <v>863.7</v>
      </c>
      <c r="AY146" t="n">
        <v>873.173</v>
      </c>
      <c r="AZ146" t="n">
        <v>859.449</v>
      </c>
      <c r="BA146" t="n">
        <v>923.741</v>
      </c>
      <c r="BB146" t="n">
        <v>940.415</v>
      </c>
      <c r="BC146" t="n">
        <v>1092.175</v>
      </c>
      <c r="BD146" t="n">
        <v>906.154</v>
      </c>
      <c r="BE146" t="n">
        <v>922.4589999999999</v>
      </c>
      <c r="BF146" t="n">
        <v>1007.502</v>
      </c>
      <c r="BG146" t="n">
        <v>958.011</v>
      </c>
      <c r="BH146" t="n">
        <v>1067.449</v>
      </c>
      <c r="BI146" t="n">
        <v>1087.012</v>
      </c>
      <c r="BJ146" t="n">
        <v>130.64</v>
      </c>
      <c r="BK146" t="n">
        <v>114.334</v>
      </c>
      <c r="BL146" t="n">
        <v>130.64</v>
      </c>
      <c r="BM146" t="n">
        <v>130.64</v>
      </c>
      <c r="BN146" t="n">
        <v>105.529</v>
      </c>
      <c r="BO146" t="n">
        <v>106.018</v>
      </c>
      <c r="BP146" t="n">
        <v>110.095</v>
      </c>
      <c r="BQ146" t="n">
        <v>111.725</v>
      </c>
      <c r="BR146" t="n">
        <v>113.356</v>
      </c>
      <c r="BS146" t="n">
        <v>114.986</v>
      </c>
      <c r="BT146" t="n">
        <v>109.6</v>
      </c>
      <c r="BU146" t="n">
        <v>115.79</v>
      </c>
      <c r="BV146" t="n">
        <v>121.105</v>
      </c>
    </row>
    <row r="147">
      <c r="A147" t="inlineStr">
        <is>
          <t>Perciformes</t>
        </is>
      </c>
      <c r="B147" t="inlineStr">
        <is>
          <t>Perch-likes</t>
        </is>
      </c>
      <c r="C147" t="inlineStr">
        <is>
          <t>Medium demersals (30 - 89 cm)</t>
        </is>
      </c>
      <c r="D147" t="inlineStr">
        <is>
          <t>Perch-likes</t>
        </is>
      </c>
      <c r="E147" t="n">
        <v>516.129</v>
      </c>
      <c r="F147" t="n">
        <v>671.157</v>
      </c>
      <c r="G147" t="n">
        <v>658.0359999999999</v>
      </c>
      <c r="H147" t="n">
        <v>643.799</v>
      </c>
      <c r="I147" t="n">
        <v>1086.862</v>
      </c>
      <c r="J147" t="n">
        <v>562.3440000000001</v>
      </c>
      <c r="K147" t="n">
        <v>691.6180000000001</v>
      </c>
      <c r="L147" t="n">
        <v>948.211</v>
      </c>
      <c r="M147" t="n">
        <v>700.014</v>
      </c>
      <c r="N147" t="n">
        <v>879.578</v>
      </c>
      <c r="O147" t="n">
        <v>1284.961</v>
      </c>
      <c r="P147" t="n">
        <v>1332.531</v>
      </c>
      <c r="Q147" t="n">
        <v>1392.129</v>
      </c>
      <c r="R147" t="n">
        <v>1419.897</v>
      </c>
      <c r="S147" t="n">
        <v>1658.767</v>
      </c>
      <c r="T147" t="n">
        <v>2775.969</v>
      </c>
      <c r="U147" t="n">
        <v>2850.359</v>
      </c>
      <c r="V147" t="n">
        <v>2967.594</v>
      </c>
      <c r="W147" t="n">
        <v>2389.316</v>
      </c>
      <c r="X147" t="n">
        <v>1627.326</v>
      </c>
      <c r="Y147" t="n">
        <v>1599.11</v>
      </c>
      <c r="Z147" t="n">
        <v>2224.508</v>
      </c>
      <c r="AA147" t="n">
        <v>3070.323</v>
      </c>
      <c r="AB147" t="n">
        <v>3054.404</v>
      </c>
      <c r="AC147" t="n">
        <v>4409.978</v>
      </c>
      <c r="AD147" t="n">
        <v>5535.613</v>
      </c>
      <c r="AE147" t="n">
        <v>4361.639</v>
      </c>
      <c r="AF147" t="n">
        <v>2999.039</v>
      </c>
      <c r="AG147" t="n">
        <v>2568.574</v>
      </c>
      <c r="AH147" t="n">
        <v>2062.708</v>
      </c>
      <c r="AI147" t="n">
        <v>1940.242</v>
      </c>
      <c r="AJ147" t="n">
        <v>2285.578</v>
      </c>
      <c r="AK147" t="n">
        <v>2280.062</v>
      </c>
      <c r="AL147" t="n">
        <v>1676.46</v>
      </c>
      <c r="AM147" t="n">
        <v>1933.548</v>
      </c>
      <c r="AN147" t="n">
        <v>1603.662</v>
      </c>
      <c r="AO147" t="n">
        <v>2353.866</v>
      </c>
      <c r="AP147" t="n">
        <v>2915.957</v>
      </c>
      <c r="AQ147" t="n">
        <v>1938.788</v>
      </c>
      <c r="AR147" t="n">
        <v>715.8579999999999</v>
      </c>
      <c r="AS147" t="n">
        <v>1013.486</v>
      </c>
      <c r="AT147" t="n">
        <v>1201.245</v>
      </c>
      <c r="AU147" t="n">
        <v>1392.674</v>
      </c>
      <c r="AV147" t="n">
        <v>956.707</v>
      </c>
      <c r="AW147" t="n">
        <v>991.686</v>
      </c>
      <c r="AX147" t="n">
        <v>1049.942</v>
      </c>
      <c r="AY147" t="n">
        <v>1248.597</v>
      </c>
      <c r="AZ147" t="n">
        <v>1293.913</v>
      </c>
      <c r="BA147" t="n">
        <v>1768.671</v>
      </c>
      <c r="BB147" t="n">
        <v>1461.552</v>
      </c>
      <c r="BC147" t="n">
        <v>681.3920000000001</v>
      </c>
      <c r="BD147" t="n">
        <v>609.342</v>
      </c>
      <c r="BE147" t="n">
        <v>567.509</v>
      </c>
      <c r="BF147" t="n">
        <v>387.363</v>
      </c>
      <c r="BG147" t="n">
        <v>533.28</v>
      </c>
      <c r="BH147" t="n">
        <v>625.1319999999999</v>
      </c>
      <c r="BI147" t="n">
        <v>656.6660000000001</v>
      </c>
      <c r="BJ147" t="n">
        <v>508.478</v>
      </c>
      <c r="BK147" t="n">
        <v>526.225</v>
      </c>
      <c r="BL147" t="n">
        <v>498.419</v>
      </c>
      <c r="BM147" t="n">
        <v>712.438</v>
      </c>
      <c r="BN147" t="n">
        <v>577.16</v>
      </c>
      <c r="BO147" t="n">
        <v>505.696</v>
      </c>
      <c r="BP147" t="n">
        <v>568.2619999999999</v>
      </c>
      <c r="BQ147" t="n">
        <v>574.15</v>
      </c>
      <c r="BR147" t="n">
        <v>472.463</v>
      </c>
      <c r="BS147" t="n">
        <v>596.289</v>
      </c>
      <c r="BT147" t="n">
        <v>469.987</v>
      </c>
      <c r="BU147" t="n">
        <v>453.203</v>
      </c>
      <c r="BV147" t="n">
        <v>423.584</v>
      </c>
    </row>
    <row r="148">
      <c r="A148" t="inlineStr">
        <is>
          <t>Ostreidae</t>
        </is>
      </c>
      <c r="B148" t="inlineStr">
        <is>
          <t>True oysters</t>
        </is>
      </c>
      <c r="C148" t="inlineStr">
        <is>
          <t>Other demersal invertebrates</t>
        </is>
      </c>
      <c r="D148" t="inlineStr">
        <is>
          <t>Molluscs</t>
        </is>
      </c>
      <c r="E148" t="n">
        <v>0</v>
      </c>
      <c r="F148" t="n">
        <v>0</v>
      </c>
      <c r="G148" t="n">
        <v>0</v>
      </c>
      <c r="H148" t="n">
        <v>0</v>
      </c>
      <c r="I148" t="n">
        <v>0</v>
      </c>
      <c r="J148" t="n">
        <v>0</v>
      </c>
      <c r="K148" t="n">
        <v>0</v>
      </c>
      <c r="L148" t="n">
        <v>0</v>
      </c>
      <c r="M148" t="n">
        <v>0</v>
      </c>
      <c r="N148" t="n">
        <v>0</v>
      </c>
      <c r="O148" t="n">
        <v>0</v>
      </c>
      <c r="P148" t="n">
        <v>0</v>
      </c>
      <c r="Q148" t="n">
        <v>3686.966</v>
      </c>
      <c r="R148" t="n">
        <v>2144.391</v>
      </c>
      <c r="S148" t="n">
        <v>5831.342</v>
      </c>
      <c r="T148" t="n">
        <v>774.8200000000001</v>
      </c>
      <c r="U148" t="n">
        <v>2174.737</v>
      </c>
      <c r="V148" t="n">
        <v>1635.37</v>
      </c>
      <c r="W148" t="n">
        <v>1775.46</v>
      </c>
      <c r="X148" t="n">
        <v>3930.463</v>
      </c>
      <c r="Y148" t="n">
        <v>2857.877</v>
      </c>
      <c r="Z148" t="n">
        <v>4871.207</v>
      </c>
      <c r="AA148" t="n">
        <v>4545.335</v>
      </c>
      <c r="AB148" t="n">
        <v>6815.673</v>
      </c>
      <c r="AC148" t="n">
        <v>3372.224</v>
      </c>
      <c r="AD148" t="n">
        <v>3103.048</v>
      </c>
      <c r="AE148" t="n">
        <v>3396.341</v>
      </c>
      <c r="AF148" t="n">
        <v>4160.044</v>
      </c>
      <c r="AG148" t="n">
        <v>5898.99</v>
      </c>
      <c r="AH148" t="n">
        <v>4225.888</v>
      </c>
      <c r="AI148" t="n">
        <v>3739.27</v>
      </c>
      <c r="AJ148" t="n">
        <v>1827.782</v>
      </c>
      <c r="AK148" t="n">
        <v>1866.736</v>
      </c>
      <c r="AL148" t="n">
        <v>3239.256</v>
      </c>
      <c r="AM148" t="n">
        <v>2004.951</v>
      </c>
      <c r="AN148" t="n">
        <v>2398.286</v>
      </c>
      <c r="AO148" t="n">
        <v>2652.931</v>
      </c>
      <c r="AP148" t="n">
        <v>2509.88</v>
      </c>
      <c r="AQ148" t="n">
        <v>2207.913</v>
      </c>
      <c r="AR148" t="n">
        <v>1870.153</v>
      </c>
      <c r="AS148" t="n">
        <v>2015.252</v>
      </c>
      <c r="AT148" t="n">
        <v>1508.58</v>
      </c>
      <c r="AU148" t="n">
        <v>1225.93</v>
      </c>
      <c r="AV148" t="n">
        <v>1318.353</v>
      </c>
      <c r="AW148" t="n">
        <v>845.104</v>
      </c>
      <c r="AX148" t="n">
        <v>629.521</v>
      </c>
      <c r="AY148" t="n">
        <v>535.583</v>
      </c>
      <c r="AZ148" t="n">
        <v>465.498</v>
      </c>
      <c r="BA148" t="n">
        <v>301.069</v>
      </c>
      <c r="BB148" t="n">
        <v>264.588</v>
      </c>
      <c r="BC148" t="n">
        <v>357.094</v>
      </c>
      <c r="BD148" t="n">
        <v>211.175</v>
      </c>
      <c r="BE148" t="n">
        <v>146.112</v>
      </c>
      <c r="BF148" t="n">
        <v>323.465</v>
      </c>
      <c r="BG148" t="n">
        <v>356.511</v>
      </c>
      <c r="BH148" t="n">
        <v>290.419</v>
      </c>
      <c r="BI148" t="n">
        <v>234.739</v>
      </c>
      <c r="BJ148" t="n">
        <v>160.242</v>
      </c>
      <c r="BK148" t="n">
        <v>133.37</v>
      </c>
      <c r="BL148" t="n">
        <v>94.71299999999999</v>
      </c>
      <c r="BM148" t="n">
        <v>101.445</v>
      </c>
      <c r="BN148" t="n">
        <v>85.34</v>
      </c>
      <c r="BO148" t="n">
        <v>86.206</v>
      </c>
      <c r="BP148" t="n">
        <v>87.071</v>
      </c>
      <c r="BQ148" t="n">
        <v>87.937</v>
      </c>
      <c r="BR148" t="n">
        <v>88.80200000000001</v>
      </c>
      <c r="BS148" t="n">
        <v>89.151</v>
      </c>
      <c r="BT148" t="n">
        <v>89.417</v>
      </c>
      <c r="BU148" t="n">
        <v>89.417</v>
      </c>
      <c r="BV148" t="n">
        <v>89.417</v>
      </c>
    </row>
    <row r="149">
      <c r="A149" t="inlineStr">
        <is>
          <t>Portunus</t>
        </is>
      </c>
      <c r="B149" t="inlineStr">
        <is>
          <t>Swimmer crabs</t>
        </is>
      </c>
      <c r="C149" t="inlineStr">
        <is>
          <t>Lobsters, crabs</t>
        </is>
      </c>
      <c r="D149" t="inlineStr">
        <is>
          <t>Crustaceans</t>
        </is>
      </c>
      <c r="E149" t="n">
        <v>931.972</v>
      </c>
      <c r="F149" t="n">
        <v>931.972</v>
      </c>
      <c r="G149" t="n">
        <v>931.972</v>
      </c>
      <c r="H149" t="n">
        <v>931.972</v>
      </c>
      <c r="I149" t="n">
        <v>974.534</v>
      </c>
      <c r="J149" t="n">
        <v>952.1369999999999</v>
      </c>
      <c r="K149" t="n">
        <v>1109.414</v>
      </c>
      <c r="L149" t="n">
        <v>990.744</v>
      </c>
      <c r="M149" t="n">
        <v>910.9109999999999</v>
      </c>
      <c r="N149" t="n">
        <v>799.897</v>
      </c>
      <c r="O149" t="n">
        <v>1077.381</v>
      </c>
      <c r="P149" t="n">
        <v>928.371</v>
      </c>
      <c r="Q149" t="n">
        <v>906.522</v>
      </c>
      <c r="R149" t="n">
        <v>631.407</v>
      </c>
      <c r="S149" t="n">
        <v>650.138</v>
      </c>
      <c r="T149" t="n">
        <v>441.768</v>
      </c>
      <c r="U149" t="n">
        <v>709.688</v>
      </c>
      <c r="V149" t="n">
        <v>611.052</v>
      </c>
      <c r="W149" t="n">
        <v>1308.645</v>
      </c>
      <c r="X149" t="n">
        <v>1201.601</v>
      </c>
      <c r="Y149" t="n">
        <v>1186.009</v>
      </c>
      <c r="Z149" t="n">
        <v>1034.721</v>
      </c>
      <c r="AA149" t="n">
        <v>1136.199</v>
      </c>
      <c r="AB149" t="n">
        <v>1652.552</v>
      </c>
      <c r="AC149" t="n">
        <v>1758.46</v>
      </c>
      <c r="AD149" t="n">
        <v>1908.391</v>
      </c>
      <c r="AE149" t="n">
        <v>1660.439</v>
      </c>
      <c r="AF149" t="n">
        <v>2080.752</v>
      </c>
      <c r="AG149" t="n">
        <v>2032.858</v>
      </c>
      <c r="AH149" t="n">
        <v>2514.047</v>
      </c>
      <c r="AI149" t="n">
        <v>1816.697</v>
      </c>
      <c r="AJ149" t="n">
        <v>2134.834</v>
      </c>
      <c r="AK149" t="n">
        <v>2274.556</v>
      </c>
      <c r="AL149" t="n">
        <v>2603.112</v>
      </c>
      <c r="AM149" t="n">
        <v>2489.186</v>
      </c>
      <c r="AN149" t="n">
        <v>2802.461</v>
      </c>
      <c r="AO149" t="n">
        <v>3342.756</v>
      </c>
      <c r="AP149" t="n">
        <v>2664.139</v>
      </c>
      <c r="AQ149" t="n">
        <v>2377.468</v>
      </c>
      <c r="AR149" t="n">
        <v>2071.365</v>
      </c>
      <c r="AS149" t="n">
        <v>2164.789</v>
      </c>
      <c r="AT149" t="n">
        <v>2028.833</v>
      </c>
      <c r="AU149" t="n">
        <v>2523.93</v>
      </c>
      <c r="AV149" t="n">
        <v>1570.949</v>
      </c>
      <c r="AW149" t="n">
        <v>2159.782</v>
      </c>
      <c r="AX149" t="n">
        <v>2145.198</v>
      </c>
      <c r="AY149" t="n">
        <v>2017.827</v>
      </c>
      <c r="AZ149" t="n">
        <v>1604.422</v>
      </c>
      <c r="BA149" t="n">
        <v>1704.714</v>
      </c>
      <c r="BB149" t="n">
        <v>1338.612</v>
      </c>
      <c r="BC149" t="n">
        <v>1538.075</v>
      </c>
      <c r="BD149" t="n">
        <v>1714.462</v>
      </c>
      <c r="BE149" t="n">
        <v>1632.323</v>
      </c>
      <c r="BF149" t="n">
        <v>1391.358</v>
      </c>
      <c r="BG149" t="n">
        <v>1590.619</v>
      </c>
      <c r="BH149" t="n">
        <v>1535.544</v>
      </c>
      <c r="BI149" t="n">
        <v>1457.873</v>
      </c>
      <c r="BJ149" t="n">
        <v>957.804</v>
      </c>
      <c r="BK149" t="n">
        <v>1335.499</v>
      </c>
      <c r="BL149" t="n">
        <v>1329.162</v>
      </c>
      <c r="BM149" t="n">
        <v>1446.919</v>
      </c>
      <c r="BN149" t="n">
        <v>723.25</v>
      </c>
      <c r="BO149" t="n">
        <v>657.28</v>
      </c>
      <c r="BP149" t="n">
        <v>719.667</v>
      </c>
      <c r="BQ149" t="n">
        <v>681.6559999999999</v>
      </c>
      <c r="BR149" t="n">
        <v>615.003</v>
      </c>
      <c r="BS149" t="n">
        <v>604.76</v>
      </c>
      <c r="BT149" t="n">
        <v>540.287</v>
      </c>
      <c r="BU149" t="n">
        <v>526.498</v>
      </c>
      <c r="BV149" t="n">
        <v>520.6319999999999</v>
      </c>
    </row>
    <row r="150">
      <c r="A150" t="inlineStr">
        <is>
          <t>Penaeus penicillatus</t>
        </is>
      </c>
      <c r="B150" t="inlineStr">
        <is>
          <t>Redtail prawn</t>
        </is>
      </c>
      <c r="C150" t="inlineStr">
        <is>
          <t>Shrimps</t>
        </is>
      </c>
      <c r="D150" t="inlineStr">
        <is>
          <t>Crustaceans</t>
        </is>
      </c>
      <c r="E150" t="n">
        <v>3.722</v>
      </c>
      <c r="F150" t="n">
        <v>17.101</v>
      </c>
      <c r="G150" t="n">
        <v>2.738</v>
      </c>
      <c r="H150" t="n">
        <v>30.227</v>
      </c>
      <c r="I150" t="n">
        <v>2.987</v>
      </c>
      <c r="J150" t="n">
        <v>12.631</v>
      </c>
      <c r="K150" t="n">
        <v>4.231</v>
      </c>
      <c r="L150" t="n">
        <v>4.639</v>
      </c>
      <c r="M150" t="n">
        <v>5.132</v>
      </c>
      <c r="N150" t="n">
        <v>9.01</v>
      </c>
      <c r="O150" t="n">
        <v>6.264</v>
      </c>
      <c r="P150" t="n">
        <v>9.379</v>
      </c>
      <c r="Q150" t="n">
        <v>8.202</v>
      </c>
      <c r="R150" t="n">
        <v>8.829000000000001</v>
      </c>
      <c r="S150" t="n">
        <v>28.374</v>
      </c>
      <c r="T150" t="n">
        <v>12.45</v>
      </c>
      <c r="U150" t="n">
        <v>12.208</v>
      </c>
      <c r="V150" t="n">
        <v>13.538</v>
      </c>
      <c r="W150" t="n">
        <v>15.608</v>
      </c>
      <c r="X150" t="n">
        <v>17.436</v>
      </c>
      <c r="Y150" t="n">
        <v>53.893</v>
      </c>
      <c r="Z150" t="n">
        <v>203.707</v>
      </c>
      <c r="AA150" t="n">
        <v>331.078</v>
      </c>
      <c r="AB150" t="n">
        <v>285.947</v>
      </c>
      <c r="AC150" t="n">
        <v>530.329</v>
      </c>
      <c r="AD150" t="n">
        <v>1727.455</v>
      </c>
      <c r="AE150" t="n">
        <v>1578.464</v>
      </c>
      <c r="AF150" t="n">
        <v>1063.993</v>
      </c>
      <c r="AG150" t="n">
        <v>1261.832</v>
      </c>
      <c r="AH150" t="n">
        <v>2781.388</v>
      </c>
      <c r="AI150" t="n">
        <v>3917.836</v>
      </c>
      <c r="AJ150" t="n">
        <v>5128.013</v>
      </c>
      <c r="AK150" t="n">
        <v>5073.312</v>
      </c>
      <c r="AL150" t="n">
        <v>7264.342</v>
      </c>
      <c r="AM150" t="n">
        <v>5540.797</v>
      </c>
      <c r="AN150" t="n">
        <v>5425.577</v>
      </c>
      <c r="AO150" t="n">
        <v>4748.042</v>
      </c>
      <c r="AP150" t="n">
        <v>5257.209</v>
      </c>
      <c r="AQ150" t="n">
        <v>4619.105</v>
      </c>
      <c r="AR150" t="n">
        <v>2652.398</v>
      </c>
      <c r="AS150" t="n">
        <v>2835.714</v>
      </c>
      <c r="AT150" t="n">
        <v>2814.881</v>
      </c>
      <c r="AU150" t="n">
        <v>2579.579</v>
      </c>
      <c r="AV150" t="n">
        <v>2301.259</v>
      </c>
      <c r="AW150" t="n">
        <v>2389.785</v>
      </c>
      <c r="AX150" t="n">
        <v>3962.274</v>
      </c>
      <c r="AY150" t="n">
        <v>8053.453</v>
      </c>
      <c r="AZ150" t="n">
        <v>3426.668</v>
      </c>
      <c r="BA150" t="n">
        <v>827.582</v>
      </c>
      <c r="BB150" t="n">
        <v>423.254</v>
      </c>
      <c r="BC150" t="n">
        <v>351.943</v>
      </c>
      <c r="BD150" t="n">
        <v>364.441</v>
      </c>
      <c r="BE150" t="n">
        <v>574.287</v>
      </c>
      <c r="BF150" t="n">
        <v>673.752</v>
      </c>
      <c r="BG150" t="n">
        <v>403.017</v>
      </c>
      <c r="BH150" t="n">
        <v>522.491</v>
      </c>
      <c r="BI150" t="n">
        <v>834</v>
      </c>
      <c r="BJ150" t="n">
        <v>672.421</v>
      </c>
      <c r="BK150" t="n">
        <v>431.303</v>
      </c>
      <c r="BL150" t="n">
        <v>147.385</v>
      </c>
      <c r="BM150" t="n">
        <v>65.724</v>
      </c>
      <c r="BN150" t="n">
        <v>65.78100000000001</v>
      </c>
      <c r="BO150" t="n">
        <v>65.78</v>
      </c>
      <c r="BP150" t="n">
        <v>72.98099999999999</v>
      </c>
      <c r="BQ150" t="n">
        <v>65.824</v>
      </c>
      <c r="BR150" t="n">
        <v>55.801</v>
      </c>
      <c r="BS150" t="n">
        <v>72.88</v>
      </c>
      <c r="BT150" t="n">
        <v>76.866</v>
      </c>
      <c r="BU150" t="n">
        <v>73.819</v>
      </c>
      <c r="BV150" t="n">
        <v>62.8</v>
      </c>
    </row>
    <row r="151">
      <c r="A151" t="inlineStr">
        <is>
          <t>Thunnus orientalis</t>
        </is>
      </c>
      <c r="B151" t="inlineStr">
        <is>
          <t>Pacific bluefin tuna</t>
        </is>
      </c>
      <c r="C151" t="inlineStr">
        <is>
          <t>Large pelagics (&gt;=90 cm)</t>
        </is>
      </c>
      <c r="D151" t="inlineStr">
        <is>
          <t>Tuna &amp; billfishes</t>
        </is>
      </c>
      <c r="E151" t="n">
        <v>245.695</v>
      </c>
      <c r="F151" t="n">
        <v>245.695</v>
      </c>
      <c r="G151" t="n">
        <v>245.74</v>
      </c>
      <c r="H151" t="n">
        <v>218.482</v>
      </c>
      <c r="I151" t="n">
        <v>218.454</v>
      </c>
      <c r="J151" t="n">
        <v>881.955</v>
      </c>
      <c r="K151" t="n">
        <v>2151.443</v>
      </c>
      <c r="L151" t="n">
        <v>1613.48</v>
      </c>
      <c r="M151" t="n">
        <v>109.314</v>
      </c>
      <c r="N151" t="n">
        <v>2735.619</v>
      </c>
      <c r="O151" t="n">
        <v>4127.72</v>
      </c>
      <c r="P151" t="n">
        <v>4163.205</v>
      </c>
      <c r="Q151" t="n">
        <v>1561.658</v>
      </c>
      <c r="R151" t="n">
        <v>3322.474</v>
      </c>
      <c r="S151" t="n">
        <v>1988.868</v>
      </c>
      <c r="T151" t="n">
        <v>1292.669</v>
      </c>
      <c r="U151" t="n">
        <v>614.924</v>
      </c>
      <c r="V151" t="n">
        <v>2219.594</v>
      </c>
      <c r="W151" t="n">
        <v>2409.159</v>
      </c>
      <c r="X151" t="n">
        <v>2186.405</v>
      </c>
      <c r="Y151" t="n">
        <v>1567.663</v>
      </c>
      <c r="Z151" t="n">
        <v>2067.909</v>
      </c>
      <c r="AA151" t="n">
        <v>1974.098</v>
      </c>
      <c r="AB151" t="n">
        <v>2254.388</v>
      </c>
      <c r="AC151" t="n">
        <v>2350.076</v>
      </c>
      <c r="AD151" t="n">
        <v>1665.099</v>
      </c>
      <c r="AE151" t="n">
        <v>1753.057</v>
      </c>
      <c r="AF151" t="n">
        <v>2470.213</v>
      </c>
      <c r="AG151" t="n">
        <v>1923.991</v>
      </c>
      <c r="AH151" t="n">
        <v>1778.125</v>
      </c>
      <c r="AI151" t="n">
        <v>2168.169</v>
      </c>
      <c r="AJ151" t="n">
        <v>2734.366</v>
      </c>
      <c r="AK151" t="n">
        <v>1753.136</v>
      </c>
      <c r="AL151" t="n">
        <v>1097.368</v>
      </c>
      <c r="AM151" t="n">
        <v>999.569</v>
      </c>
      <c r="AN151" t="n">
        <v>648.158</v>
      </c>
      <c r="AO151" t="n">
        <v>192.978</v>
      </c>
      <c r="AP151" t="n">
        <v>541.9400000000001</v>
      </c>
      <c r="AQ151" t="n">
        <v>151.216</v>
      </c>
      <c r="AR151" t="n">
        <v>368.847</v>
      </c>
      <c r="AS151" t="n">
        <v>161.627</v>
      </c>
      <c r="AT151" t="n">
        <v>121.06</v>
      </c>
      <c r="AU151" t="n">
        <v>145.992</v>
      </c>
      <c r="AV151" t="n">
        <v>116.136</v>
      </c>
      <c r="AW151" t="n">
        <v>118.565</v>
      </c>
      <c r="AX151" t="n">
        <v>124.057</v>
      </c>
      <c r="AY151" t="n">
        <v>219.431</v>
      </c>
      <c r="AZ151" t="n">
        <v>216.23</v>
      </c>
      <c r="BA151" t="n">
        <v>115.556</v>
      </c>
      <c r="BB151" t="n">
        <v>788.853</v>
      </c>
      <c r="BC151" t="n">
        <v>852.4829999999999</v>
      </c>
      <c r="BD151" t="n">
        <v>239.773</v>
      </c>
      <c r="BE151" t="n">
        <v>295.005</v>
      </c>
      <c r="BF151" t="n">
        <v>398.285</v>
      </c>
      <c r="BG151" t="n">
        <v>695.2430000000001</v>
      </c>
      <c r="BH151" t="n">
        <v>1204.786</v>
      </c>
      <c r="BI151" t="n">
        <v>718.817</v>
      </c>
      <c r="BJ151" t="n">
        <v>1413.409</v>
      </c>
      <c r="BK151" t="n">
        <v>1742.322</v>
      </c>
      <c r="BL151" t="n">
        <v>1684.685</v>
      </c>
      <c r="BM151" t="n">
        <v>1136.179</v>
      </c>
      <c r="BN151" t="n">
        <v>3418.891</v>
      </c>
      <c r="BO151" t="n">
        <v>1922.147</v>
      </c>
      <c r="BP151" t="n">
        <v>1902.38</v>
      </c>
      <c r="BQ151" t="n">
        <v>2495.187</v>
      </c>
      <c r="BR151" t="n">
        <v>1695.715</v>
      </c>
      <c r="BS151" t="n">
        <v>2162.588</v>
      </c>
      <c r="BT151" t="n">
        <v>2190.039</v>
      </c>
      <c r="BU151" t="n">
        <v>1657.527</v>
      </c>
      <c r="BV151" t="n">
        <v>1860.637</v>
      </c>
    </row>
    <row r="152">
      <c r="A152" t="inlineStr">
        <is>
          <t>Liparis tanakae</t>
        </is>
      </c>
      <c r="B152" t="inlineStr">
        <is>
          <t>Tanaka's snailfish</t>
        </is>
      </c>
      <c r="C152" t="inlineStr">
        <is>
          <t>Medium demersals (30 - 89 cm)</t>
        </is>
      </c>
      <c r="D152" t="inlineStr">
        <is>
          <t>Scorpionfishes</t>
        </is>
      </c>
      <c r="E152" t="n">
        <v>261.378</v>
      </c>
      <c r="F152" t="n">
        <v>325.153</v>
      </c>
      <c r="G152" t="n">
        <v>351.188</v>
      </c>
      <c r="H152" t="n">
        <v>318.951</v>
      </c>
      <c r="I152" t="n">
        <v>309.657</v>
      </c>
      <c r="J152" t="n">
        <v>322.42</v>
      </c>
      <c r="K152" t="n">
        <v>449.865</v>
      </c>
      <c r="L152" t="n">
        <v>499.052</v>
      </c>
      <c r="M152" t="n">
        <v>487.641</v>
      </c>
      <c r="N152" t="n">
        <v>469.465</v>
      </c>
      <c r="O152" t="n">
        <v>422.163</v>
      </c>
      <c r="P152" t="n">
        <v>531.0359999999999</v>
      </c>
      <c r="Q152" t="n">
        <v>535.652</v>
      </c>
      <c r="R152" t="n">
        <v>539.138</v>
      </c>
      <c r="S152" t="n">
        <v>636.229</v>
      </c>
      <c r="T152" t="n">
        <v>673.922</v>
      </c>
      <c r="U152" t="n">
        <v>641.537</v>
      </c>
      <c r="V152" t="n">
        <v>795.737</v>
      </c>
      <c r="W152" t="n">
        <v>843.596</v>
      </c>
      <c r="X152" t="n">
        <v>924.404</v>
      </c>
      <c r="Y152" t="n">
        <v>1140.36</v>
      </c>
      <c r="Z152" t="n">
        <v>1371.289</v>
      </c>
      <c r="AA152" t="n">
        <v>1613.676</v>
      </c>
      <c r="AB152" t="n">
        <v>1741.324</v>
      </c>
      <c r="AC152" t="n">
        <v>2154.812</v>
      </c>
      <c r="AD152" t="n">
        <v>1995.426</v>
      </c>
      <c r="AE152" t="n">
        <v>1990.192</v>
      </c>
      <c r="AF152" t="n">
        <v>2002.411</v>
      </c>
      <c r="AG152" t="n">
        <v>2047.959</v>
      </c>
      <c r="AH152" t="n">
        <v>2074.666</v>
      </c>
      <c r="AI152" t="n">
        <v>1934.699</v>
      </c>
      <c r="AJ152" t="n">
        <v>2074.214</v>
      </c>
      <c r="AK152" t="n">
        <v>1933.928</v>
      </c>
      <c r="AL152" t="n">
        <v>1904.918</v>
      </c>
      <c r="AM152" t="n">
        <v>1819.609</v>
      </c>
      <c r="AN152" t="n">
        <v>1701.754</v>
      </c>
      <c r="AO152" t="n">
        <v>1885.627</v>
      </c>
      <c r="AP152" t="n">
        <v>1545.97</v>
      </c>
      <c r="AQ152" t="n">
        <v>1461.046</v>
      </c>
      <c r="AR152" t="n">
        <v>1379.453</v>
      </c>
      <c r="AS152" t="n">
        <v>1319.128</v>
      </c>
      <c r="AT152" t="n">
        <v>1256.218</v>
      </c>
      <c r="AU152" t="n">
        <v>1348.477</v>
      </c>
      <c r="AV152" t="n">
        <v>1431.433</v>
      </c>
      <c r="AW152" t="n">
        <v>1315.928</v>
      </c>
      <c r="AX152" t="n">
        <v>1251.932</v>
      </c>
      <c r="AY152" t="n">
        <v>1219.463</v>
      </c>
      <c r="AZ152" t="n">
        <v>1121.891</v>
      </c>
      <c r="BA152" t="n">
        <v>1093.223</v>
      </c>
      <c r="BB152" t="n">
        <v>1002.035</v>
      </c>
      <c r="BC152" t="n">
        <v>901.0599999999999</v>
      </c>
      <c r="BD152" t="n">
        <v>805.0940000000001</v>
      </c>
      <c r="BE152" t="n">
        <v>762.7</v>
      </c>
      <c r="BF152" t="n">
        <v>664.129</v>
      </c>
      <c r="BG152" t="n">
        <v>685.412</v>
      </c>
      <c r="BH152" t="n">
        <v>781.371</v>
      </c>
      <c r="BI152" t="n">
        <v>866.998</v>
      </c>
      <c r="BJ152" t="n">
        <v>1978.399</v>
      </c>
      <c r="BK152" t="n">
        <v>2546.28</v>
      </c>
      <c r="BL152" t="n">
        <v>2882.756</v>
      </c>
      <c r="BM152" t="n">
        <v>3207.966</v>
      </c>
      <c r="BN152" t="n">
        <v>3480.537</v>
      </c>
      <c r="BO152" t="n">
        <v>2701.189</v>
      </c>
      <c r="BP152" t="n">
        <v>2526.299</v>
      </c>
      <c r="BQ152" t="n">
        <v>2691.885</v>
      </c>
      <c r="BR152" t="n">
        <v>2899.953</v>
      </c>
      <c r="BS152" t="n">
        <v>2994.317</v>
      </c>
      <c r="BT152" t="n">
        <v>706.841</v>
      </c>
      <c r="BU152" t="n">
        <v>642.419</v>
      </c>
      <c r="BV152" t="n">
        <v>545.8819999999999</v>
      </c>
    </row>
    <row r="153">
      <c r="A153" t="inlineStr">
        <is>
          <t>Trachurus</t>
        </is>
      </c>
      <c r="B153" t="inlineStr">
        <is>
          <t>Jacks, horse mackerels</t>
        </is>
      </c>
      <c r="C153" t="inlineStr">
        <is>
          <t>Medium pelagics (30 - 89 cm)</t>
        </is>
      </c>
      <c r="D153" t="inlineStr">
        <is>
          <t>Perch-likes</t>
        </is>
      </c>
      <c r="E153" t="n">
        <v>218.16</v>
      </c>
      <c r="F153" t="n">
        <v>261.793</v>
      </c>
      <c r="G153" t="n">
        <v>261.793</v>
      </c>
      <c r="H153" t="n">
        <v>218.16</v>
      </c>
      <c r="I153" t="n">
        <v>261.793</v>
      </c>
      <c r="J153" t="n">
        <v>261.793</v>
      </c>
      <c r="K153" t="n">
        <v>349.057</v>
      </c>
      <c r="L153" t="n">
        <v>436.321</v>
      </c>
      <c r="M153" t="n">
        <v>436.321</v>
      </c>
      <c r="N153" t="n">
        <v>479.953</v>
      </c>
      <c r="O153" t="n">
        <v>436.321</v>
      </c>
      <c r="P153" t="n">
        <v>523.585</v>
      </c>
      <c r="Q153" t="n">
        <v>523.585</v>
      </c>
      <c r="R153" t="n">
        <v>523.585</v>
      </c>
      <c r="S153" t="n">
        <v>523.585</v>
      </c>
      <c r="T153" t="n">
        <v>610.849</v>
      </c>
      <c r="U153" t="n">
        <v>610.849</v>
      </c>
      <c r="V153" t="n">
        <v>567.217</v>
      </c>
      <c r="W153" t="n">
        <v>567.217</v>
      </c>
      <c r="X153" t="n">
        <v>741.746</v>
      </c>
      <c r="Y153" t="n">
        <v>698.1130000000001</v>
      </c>
      <c r="Z153" t="n">
        <v>785.378</v>
      </c>
      <c r="AA153" t="n">
        <v>1003.538</v>
      </c>
      <c r="AB153" t="n">
        <v>1003.538</v>
      </c>
      <c r="AC153" t="n">
        <v>1265.331</v>
      </c>
      <c r="AD153" t="n">
        <v>1178.066</v>
      </c>
      <c r="AE153" t="n">
        <v>1134.434</v>
      </c>
      <c r="AF153" t="n">
        <v>1134.434</v>
      </c>
      <c r="AG153" t="n">
        <v>1221.698</v>
      </c>
      <c r="AH153" t="n">
        <v>1308.963</v>
      </c>
      <c r="AI153" t="n">
        <v>1221.698</v>
      </c>
      <c r="AJ153" t="n">
        <v>1527.123</v>
      </c>
      <c r="AK153" t="n">
        <v>1439.859</v>
      </c>
      <c r="AL153" t="n">
        <v>1614.387</v>
      </c>
      <c r="AM153" t="n">
        <v>1701.651</v>
      </c>
      <c r="AN153" t="n">
        <v>1483.491</v>
      </c>
      <c r="AO153" t="n">
        <v>1745.284</v>
      </c>
      <c r="AP153" t="n">
        <v>1832.548</v>
      </c>
      <c r="AQ153" t="n">
        <v>1788.916</v>
      </c>
      <c r="AR153" t="n">
        <v>1963.444</v>
      </c>
      <c r="AS153" t="n">
        <v>1788.916</v>
      </c>
      <c r="AT153" t="n">
        <v>1570.755</v>
      </c>
      <c r="AU153" t="n">
        <v>1658.019</v>
      </c>
      <c r="AV153" t="n">
        <v>2050.708</v>
      </c>
      <c r="AW153" t="n">
        <v>2050.708</v>
      </c>
      <c r="AX153" t="n">
        <v>2007.076</v>
      </c>
      <c r="AY153" t="n">
        <v>2574.293</v>
      </c>
      <c r="AZ153" t="n">
        <v>1963.444</v>
      </c>
      <c r="BA153" t="n">
        <v>1832.548</v>
      </c>
      <c r="BB153" t="n">
        <v>2050.708</v>
      </c>
      <c r="BC153" t="n">
        <v>1788.916</v>
      </c>
      <c r="BD153" t="n">
        <v>2356.133</v>
      </c>
      <c r="BE153" t="n">
        <v>2225.237</v>
      </c>
      <c r="BF153" t="n">
        <v>2007.076</v>
      </c>
      <c r="BG153" t="n">
        <v>1745.284</v>
      </c>
      <c r="BH153" t="n">
        <v>1701.651</v>
      </c>
      <c r="BI153" t="n">
        <v>1527.123</v>
      </c>
      <c r="BJ153" t="n">
        <v>1527.123</v>
      </c>
      <c r="BK153" t="n">
        <v>1527.123</v>
      </c>
      <c r="BL153" t="n">
        <v>1527.123</v>
      </c>
      <c r="BM153" t="n">
        <v>1527.123</v>
      </c>
      <c r="BN153" t="n">
        <v>1528.868</v>
      </c>
      <c r="BO153" t="n">
        <v>1528.432</v>
      </c>
      <c r="BP153" t="n">
        <v>1527.559</v>
      </c>
      <c r="BQ153" t="n">
        <v>1527.123</v>
      </c>
      <c r="BR153" t="n">
        <v>1631.404</v>
      </c>
      <c r="BS153" t="n">
        <v>1736.121</v>
      </c>
      <c r="BT153" t="n">
        <v>1736.121</v>
      </c>
      <c r="BU153" t="n">
        <v>1736.121</v>
      </c>
      <c r="BV153" t="n">
        <v>1736.121</v>
      </c>
    </row>
    <row r="154">
      <c r="A154" t="inlineStr">
        <is>
          <t>Hyporhamphus sajori</t>
        </is>
      </c>
      <c r="B154" t="inlineStr">
        <is>
          <t>Japanese halfbeak</t>
        </is>
      </c>
      <c r="C154" t="inlineStr">
        <is>
          <t>Medium pelagics (30 - 89 cm)</t>
        </is>
      </c>
      <c r="D154" t="inlineStr">
        <is>
          <t>Other fishes &amp; inverts</t>
        </is>
      </c>
      <c r="E154" t="n">
        <v>27.139</v>
      </c>
      <c r="F154" t="n">
        <v>37.365</v>
      </c>
      <c r="G154" t="n">
        <v>11.804</v>
      </c>
      <c r="H154" t="n">
        <v>31.954</v>
      </c>
      <c r="I154" t="n">
        <v>0</v>
      </c>
      <c r="J154" t="n">
        <v>0</v>
      </c>
      <c r="K154" t="n">
        <v>26.672</v>
      </c>
      <c r="L154" t="n">
        <v>0.8080000000000001</v>
      </c>
      <c r="M154" t="n">
        <v>343.475</v>
      </c>
      <c r="N154" t="n">
        <v>37.375</v>
      </c>
      <c r="O154" t="n">
        <v>0.836</v>
      </c>
      <c r="P154" t="n">
        <v>266.489</v>
      </c>
      <c r="Q154" t="n">
        <v>0.606</v>
      </c>
      <c r="R154" t="n">
        <v>462.679</v>
      </c>
      <c r="S154" t="n">
        <v>393.669</v>
      </c>
      <c r="T154" t="n">
        <v>1885.453</v>
      </c>
      <c r="U154" t="n">
        <v>397.355</v>
      </c>
      <c r="V154" t="n">
        <v>1079.985</v>
      </c>
      <c r="W154" t="n">
        <v>907.532</v>
      </c>
      <c r="X154" t="n">
        <v>1195.034</v>
      </c>
      <c r="Y154" t="n">
        <v>277.653</v>
      </c>
      <c r="Z154" t="n">
        <v>1983.994</v>
      </c>
      <c r="AA154" t="n">
        <v>2055.863</v>
      </c>
      <c r="AB154" t="n">
        <v>2309.048</v>
      </c>
      <c r="AC154" t="n">
        <v>9886.567999999999</v>
      </c>
      <c r="AD154" t="n">
        <v>1830.266</v>
      </c>
      <c r="AE154" t="n">
        <v>1138.789</v>
      </c>
      <c r="AF154" t="n">
        <v>1135.321</v>
      </c>
      <c r="AG154" t="n">
        <v>1397.777</v>
      </c>
      <c r="AH154" t="n">
        <v>1275.585</v>
      </c>
      <c r="AI154" t="n">
        <v>1055.611</v>
      </c>
      <c r="AJ154" t="n">
        <v>1094.336</v>
      </c>
      <c r="AK154" t="n">
        <v>856.153</v>
      </c>
      <c r="AL154" t="n">
        <v>1579.697</v>
      </c>
      <c r="AM154" t="n">
        <v>1858.125</v>
      </c>
      <c r="AN154" t="n">
        <v>2107.067</v>
      </c>
      <c r="AO154" t="n">
        <v>2604.179</v>
      </c>
      <c r="AP154" t="n">
        <v>2127.649</v>
      </c>
      <c r="AQ154" t="n">
        <v>2282.526</v>
      </c>
      <c r="AR154" t="n">
        <v>4888.102</v>
      </c>
      <c r="AS154" t="n">
        <v>2375.664</v>
      </c>
      <c r="AT154" t="n">
        <v>1492.537</v>
      </c>
      <c r="AU154" t="n">
        <v>2862.409</v>
      </c>
      <c r="AV154" t="n">
        <v>2777.011</v>
      </c>
      <c r="AW154" t="n">
        <v>2476.857</v>
      </c>
      <c r="AX154" t="n">
        <v>2576.289</v>
      </c>
      <c r="AY154" t="n">
        <v>2052.629</v>
      </c>
      <c r="AZ154" t="n">
        <v>2263.283</v>
      </c>
      <c r="BA154" t="n">
        <v>2536.752</v>
      </c>
      <c r="BB154" t="n">
        <v>1532.491</v>
      </c>
      <c r="BC154" t="n">
        <v>1456.323</v>
      </c>
      <c r="BD154" t="n">
        <v>942.244</v>
      </c>
      <c r="BE154" t="n">
        <v>1021.091</v>
      </c>
      <c r="BF154" t="n">
        <v>433.471</v>
      </c>
      <c r="BG154" t="n">
        <v>1221.229</v>
      </c>
      <c r="BH154" t="n">
        <v>650.294</v>
      </c>
      <c r="BI154" t="n">
        <v>371.983</v>
      </c>
      <c r="BJ154" t="n">
        <v>281.551</v>
      </c>
      <c r="BK154" t="n">
        <v>453.53</v>
      </c>
      <c r="BL154" t="n">
        <v>596.521</v>
      </c>
      <c r="BM154" t="n">
        <v>0</v>
      </c>
      <c r="BN154" t="n">
        <v>504.624</v>
      </c>
      <c r="BO154" t="n">
        <v>491.202</v>
      </c>
      <c r="BP154" t="n">
        <v>888.187</v>
      </c>
      <c r="BQ154" t="n">
        <v>1027.536</v>
      </c>
      <c r="BR154" t="n">
        <v>977.672</v>
      </c>
      <c r="BS154" t="n">
        <v>952.269</v>
      </c>
      <c r="BT154" t="n">
        <v>1056.584</v>
      </c>
      <c r="BU154" t="n">
        <v>927.356</v>
      </c>
      <c r="BV154" t="n">
        <v>895.414</v>
      </c>
    </row>
    <row r="155">
      <c r="A155" t="inlineStr">
        <is>
          <t>Kajikia audax</t>
        </is>
      </c>
      <c r="B155" t="inlineStr">
        <is>
          <t>Striped marlin</t>
        </is>
      </c>
      <c r="C155" t="inlineStr">
        <is>
          <t>Large pelagics (&gt;=90 cm)</t>
        </is>
      </c>
      <c r="D155" t="inlineStr">
        <is>
          <t>Tuna &amp; billfishes</t>
        </is>
      </c>
      <c r="E155" t="n">
        <v>741.942</v>
      </c>
      <c r="F155" t="n">
        <v>741.962</v>
      </c>
      <c r="G155" t="n">
        <v>741.979</v>
      </c>
      <c r="H155" t="n">
        <v>578.779</v>
      </c>
      <c r="I155" t="n">
        <v>1517.249</v>
      </c>
      <c r="J155" t="n">
        <v>1072.166</v>
      </c>
      <c r="K155" t="n">
        <v>1342.962</v>
      </c>
      <c r="L155" t="n">
        <v>1261.376</v>
      </c>
      <c r="M155" t="n">
        <v>1805.079</v>
      </c>
      <c r="N155" t="n">
        <v>1753.901</v>
      </c>
      <c r="O155" t="n">
        <v>1522.101</v>
      </c>
      <c r="P155" t="n">
        <v>1603.575</v>
      </c>
      <c r="Q155" t="n">
        <v>2742.982</v>
      </c>
      <c r="R155" t="n">
        <v>2960.306</v>
      </c>
      <c r="S155" t="n">
        <v>4231.35</v>
      </c>
      <c r="T155" t="n">
        <v>3842.165</v>
      </c>
      <c r="U155" t="n">
        <v>3576.59</v>
      </c>
      <c r="V155" t="n">
        <v>3534.929</v>
      </c>
      <c r="W155" t="n">
        <v>3231.569</v>
      </c>
      <c r="X155" t="n">
        <v>2742.202</v>
      </c>
      <c r="Y155" t="n">
        <v>2686.668</v>
      </c>
      <c r="Z155" t="n">
        <v>2512.234</v>
      </c>
      <c r="AA155" t="n">
        <v>1888.637</v>
      </c>
      <c r="AB155" t="n">
        <v>1596.784</v>
      </c>
      <c r="AC155" t="n">
        <v>1701.32</v>
      </c>
      <c r="AD155" t="n">
        <v>1897.514</v>
      </c>
      <c r="AE155" t="n">
        <v>1414.164</v>
      </c>
      <c r="AF155" t="n">
        <v>1202.997</v>
      </c>
      <c r="AG155" t="n">
        <v>1254.627</v>
      </c>
      <c r="AH155" t="n">
        <v>1284.167</v>
      </c>
      <c r="AI155" t="n">
        <v>1421.237</v>
      </c>
      <c r="AJ155" t="n">
        <v>1302.88</v>
      </c>
      <c r="AK155" t="n">
        <v>1205.768</v>
      </c>
      <c r="AL155" t="n">
        <v>1154.793</v>
      </c>
      <c r="AM155" t="n">
        <v>1062.373</v>
      </c>
      <c r="AN155" t="n">
        <v>1072.976</v>
      </c>
      <c r="AO155" t="n">
        <v>1272.95</v>
      </c>
      <c r="AP155" t="n">
        <v>1117.378</v>
      </c>
      <c r="AQ155" t="n">
        <v>1236.05</v>
      </c>
      <c r="AR155" t="n">
        <v>1013.375</v>
      </c>
      <c r="AS155" t="n">
        <v>824.109</v>
      </c>
      <c r="AT155" t="n">
        <v>824.256</v>
      </c>
      <c r="AU155" t="n">
        <v>913.439</v>
      </c>
      <c r="AV155" t="n">
        <v>977.1369999999999</v>
      </c>
      <c r="AW155" t="n">
        <v>995.169</v>
      </c>
      <c r="AX155" t="n">
        <v>1046.834</v>
      </c>
      <c r="AY155" t="n">
        <v>1072.806</v>
      </c>
      <c r="AZ155" t="n">
        <v>850.572</v>
      </c>
      <c r="BA155" t="n">
        <v>1032.121</v>
      </c>
      <c r="BB155" t="n">
        <v>790.761</v>
      </c>
      <c r="BC155" t="n">
        <v>776.057</v>
      </c>
      <c r="BD155" t="n">
        <v>634.609</v>
      </c>
      <c r="BE155" t="n">
        <v>619.601</v>
      </c>
      <c r="BF155" t="n">
        <v>120.342</v>
      </c>
      <c r="BG155" t="n">
        <v>120.682</v>
      </c>
      <c r="BH155" t="n">
        <v>122.394</v>
      </c>
      <c r="BI155" t="n">
        <v>58.285</v>
      </c>
      <c r="BJ155" t="n">
        <v>44.03</v>
      </c>
      <c r="BK155" t="n">
        <v>41.247</v>
      </c>
      <c r="BL155" t="n">
        <v>45.647</v>
      </c>
      <c r="BM155" t="n">
        <v>51.331</v>
      </c>
      <c r="BN155" t="n">
        <v>304.712</v>
      </c>
      <c r="BO155" t="n">
        <v>312.7</v>
      </c>
      <c r="BP155" t="n">
        <v>287.454</v>
      </c>
      <c r="BQ155" t="n">
        <v>384.68</v>
      </c>
      <c r="BR155" t="n">
        <v>415.385</v>
      </c>
      <c r="BS155" t="n">
        <v>367.085</v>
      </c>
      <c r="BT155" t="n">
        <v>413.747</v>
      </c>
      <c r="BU155" t="n">
        <v>306.71</v>
      </c>
      <c r="BV155" t="n">
        <v>417.49</v>
      </c>
    </row>
    <row r="156">
      <c r="A156" t="inlineStr">
        <is>
          <t>Clupea pallasii</t>
        </is>
      </c>
      <c r="B156" t="inlineStr">
        <is>
          <t>Pacific herring</t>
        </is>
      </c>
      <c r="C156" t="inlineStr">
        <is>
          <t>Medium pelagics (30 - 89 cm)</t>
        </is>
      </c>
      <c r="D156" t="inlineStr">
        <is>
          <t>Herring-likes</t>
        </is>
      </c>
      <c r="E156" t="n">
        <v>523.47</v>
      </c>
      <c r="F156" t="n">
        <v>523.41</v>
      </c>
      <c r="G156" t="n">
        <v>538.648</v>
      </c>
      <c r="H156" t="n">
        <v>508.088</v>
      </c>
      <c r="I156" t="n">
        <v>505.144</v>
      </c>
      <c r="J156" t="n">
        <v>634.188</v>
      </c>
      <c r="K156" t="n">
        <v>489.336</v>
      </c>
      <c r="L156" t="n">
        <v>671.008</v>
      </c>
      <c r="M156" t="n">
        <v>534.303</v>
      </c>
      <c r="N156" t="n">
        <v>233.217</v>
      </c>
      <c r="O156" t="n">
        <v>232.029</v>
      </c>
      <c r="P156" t="n">
        <v>1328.447</v>
      </c>
      <c r="Q156" t="n">
        <v>461.756</v>
      </c>
      <c r="R156" t="n">
        <v>613.847</v>
      </c>
      <c r="S156" t="n">
        <v>752.306</v>
      </c>
      <c r="T156" t="n">
        <v>656.971</v>
      </c>
      <c r="U156" t="n">
        <v>651.23</v>
      </c>
      <c r="V156" t="n">
        <v>863.899</v>
      </c>
      <c r="W156" t="n">
        <v>1053.123</v>
      </c>
      <c r="X156" t="n">
        <v>1218.15</v>
      </c>
      <c r="Y156" t="n">
        <v>1314.147</v>
      </c>
      <c r="Z156" t="n">
        <v>2069.826</v>
      </c>
      <c r="AA156" t="n">
        <v>1688.536</v>
      </c>
      <c r="AB156" t="n">
        <v>1607.259</v>
      </c>
      <c r="AC156" t="n">
        <v>993.547</v>
      </c>
      <c r="AD156" t="n">
        <v>1111.175</v>
      </c>
      <c r="AE156" t="n">
        <v>824.586</v>
      </c>
      <c r="AF156" t="n">
        <v>792.564</v>
      </c>
      <c r="AG156" t="n">
        <v>269.524</v>
      </c>
      <c r="AH156" t="n">
        <v>246.85</v>
      </c>
      <c r="AI156" t="n">
        <v>347.337</v>
      </c>
      <c r="AJ156" t="n">
        <v>265.941</v>
      </c>
      <c r="AK156" t="n">
        <v>407.625</v>
      </c>
      <c r="AL156" t="n">
        <v>246.867</v>
      </c>
      <c r="AM156" t="n">
        <v>184.986</v>
      </c>
      <c r="AN156" t="n">
        <v>215.375</v>
      </c>
      <c r="AO156" t="n">
        <v>978.793</v>
      </c>
      <c r="AP156" t="n">
        <v>562.886</v>
      </c>
      <c r="AQ156" t="n">
        <v>648.254</v>
      </c>
      <c r="AR156" t="n">
        <v>707.177</v>
      </c>
      <c r="AS156" t="n">
        <v>578.332</v>
      </c>
      <c r="AT156" t="n">
        <v>622.894</v>
      </c>
      <c r="AU156" t="n">
        <v>592.79</v>
      </c>
      <c r="AV156" t="n">
        <v>396.349</v>
      </c>
      <c r="AW156" t="n">
        <v>390.724</v>
      </c>
      <c r="AX156" t="n">
        <v>844.765</v>
      </c>
      <c r="AY156" t="n">
        <v>512.231</v>
      </c>
      <c r="AZ156" t="n">
        <v>1245.467</v>
      </c>
      <c r="BA156" t="n">
        <v>1290.363</v>
      </c>
      <c r="BB156" t="n">
        <v>2084.544</v>
      </c>
      <c r="BC156" t="n">
        <v>1544.594</v>
      </c>
      <c r="BD156" t="n">
        <v>880.559</v>
      </c>
      <c r="BE156" t="n">
        <v>239.885</v>
      </c>
      <c r="BF156" t="n">
        <v>438.612</v>
      </c>
      <c r="BG156" t="n">
        <v>594.544</v>
      </c>
      <c r="BH156" t="n">
        <v>868.422</v>
      </c>
      <c r="BI156" t="n">
        <v>1308.366</v>
      </c>
      <c r="BJ156" t="n">
        <v>2930.097</v>
      </c>
      <c r="BK156" t="n">
        <v>4505.137</v>
      </c>
      <c r="BL156" t="n">
        <v>3639.928</v>
      </c>
      <c r="BM156" t="n">
        <v>2468.547</v>
      </c>
      <c r="BN156" t="n">
        <v>2344.212</v>
      </c>
      <c r="BO156" t="n">
        <v>2784.659</v>
      </c>
      <c r="BP156" t="n">
        <v>4413.779</v>
      </c>
      <c r="BQ156" t="n">
        <v>2372.625</v>
      </c>
      <c r="BR156" t="n">
        <v>2576.309</v>
      </c>
      <c r="BS156" t="n">
        <v>2457.389</v>
      </c>
      <c r="BT156" t="n">
        <v>3273.084</v>
      </c>
      <c r="BU156" t="n">
        <v>2508.467</v>
      </c>
      <c r="BV156" t="n">
        <v>2780.102</v>
      </c>
    </row>
    <row r="157">
      <c r="A157" t="inlineStr">
        <is>
          <t>Sepia</t>
        </is>
      </c>
      <c r="B157" t="inlineStr">
        <is>
          <t>Sepia cuttlefishes</t>
        </is>
      </c>
      <c r="C157" t="inlineStr">
        <is>
          <t>Cephalopods</t>
        </is>
      </c>
      <c r="D157" t="inlineStr">
        <is>
          <t>Other fishes &amp; inverts</t>
        </is>
      </c>
      <c r="E157" t="n">
        <v>849.598</v>
      </c>
      <c r="F157" t="n">
        <v>851.845</v>
      </c>
      <c r="G157" t="n">
        <v>1024.918</v>
      </c>
      <c r="H157" t="n">
        <v>1027.629</v>
      </c>
      <c r="I157" t="n">
        <v>3005.186</v>
      </c>
      <c r="J157" t="n">
        <v>1377.436</v>
      </c>
      <c r="K157" t="n">
        <v>431.589</v>
      </c>
      <c r="L157" t="n">
        <v>519.279</v>
      </c>
      <c r="M157" t="n">
        <v>867.758</v>
      </c>
      <c r="N157" t="n">
        <v>1479.099</v>
      </c>
      <c r="O157" t="n">
        <v>697.893</v>
      </c>
      <c r="P157" t="n">
        <v>262.404</v>
      </c>
      <c r="Q157" t="n">
        <v>438.501</v>
      </c>
      <c r="R157" t="n">
        <v>615.5309999999999</v>
      </c>
      <c r="S157" t="n">
        <v>705.332</v>
      </c>
      <c r="T157" t="n">
        <v>353.603</v>
      </c>
      <c r="U157" t="n">
        <v>443.178</v>
      </c>
      <c r="V157" t="n">
        <v>533.228</v>
      </c>
      <c r="W157" t="n">
        <v>1069.293</v>
      </c>
      <c r="X157" t="n">
        <v>982.794</v>
      </c>
      <c r="Y157" t="n">
        <v>985.41</v>
      </c>
      <c r="Z157" t="n">
        <v>1167.677</v>
      </c>
      <c r="AA157" t="n">
        <v>900.607</v>
      </c>
      <c r="AB157" t="n">
        <v>993.308</v>
      </c>
      <c r="AC157" t="n">
        <v>990.525</v>
      </c>
      <c r="AD157" t="n">
        <v>1612.309</v>
      </c>
      <c r="AE157" t="n">
        <v>1576.013</v>
      </c>
      <c r="AF157" t="n">
        <v>1828.259</v>
      </c>
      <c r="AG157" t="n">
        <v>2009.029</v>
      </c>
      <c r="AH157" t="n">
        <v>1646.4</v>
      </c>
      <c r="AI157" t="n">
        <v>1780.483</v>
      </c>
      <c r="AJ157" t="n">
        <v>1603.441</v>
      </c>
      <c r="AK157" t="n">
        <v>1445.521</v>
      </c>
      <c r="AL157" t="n">
        <v>1834.082</v>
      </c>
      <c r="AM157" t="n">
        <v>1931.091</v>
      </c>
      <c r="AN157" t="n">
        <v>2057.293</v>
      </c>
      <c r="AO157" t="n">
        <v>2778.311</v>
      </c>
      <c r="AP157" t="n">
        <v>3154.905</v>
      </c>
      <c r="AQ157" t="n">
        <v>2887.79</v>
      </c>
      <c r="AR157" t="n">
        <v>2433.547</v>
      </c>
      <c r="AS157" t="n">
        <v>2102.57</v>
      </c>
      <c r="AT157" t="n">
        <v>1941.693</v>
      </c>
      <c r="AU157" t="n">
        <v>2005.015</v>
      </c>
      <c r="AV157" t="n">
        <v>1593.154</v>
      </c>
      <c r="AW157" t="n">
        <v>1556.998</v>
      </c>
      <c r="AX157" t="n">
        <v>2346.941</v>
      </c>
      <c r="AY157" t="n">
        <v>1415.468</v>
      </c>
      <c r="AZ157" t="n">
        <v>1201.668</v>
      </c>
      <c r="BA157" t="n">
        <v>728.717</v>
      </c>
      <c r="BB157" t="n">
        <v>571.543</v>
      </c>
      <c r="BC157" t="n">
        <v>642.985</v>
      </c>
      <c r="BD157" t="n">
        <v>714.428</v>
      </c>
      <c r="BE157" t="n">
        <v>700.14</v>
      </c>
      <c r="BF157" t="n">
        <v>642.985</v>
      </c>
      <c r="BG157" t="n">
        <v>685.851</v>
      </c>
      <c r="BH157" t="n">
        <v>671.562</v>
      </c>
      <c r="BI157" t="n">
        <v>628.697</v>
      </c>
      <c r="BJ157" t="n">
        <v>628.697</v>
      </c>
      <c r="BK157" t="n">
        <v>642.985</v>
      </c>
      <c r="BL157" t="n">
        <v>657.274</v>
      </c>
      <c r="BM157" t="n">
        <v>700.14</v>
      </c>
      <c r="BN157" t="n">
        <v>712.207</v>
      </c>
      <c r="BO157" t="n">
        <v>649.564</v>
      </c>
      <c r="BP157" t="n">
        <v>710.381</v>
      </c>
      <c r="BQ157" t="n">
        <v>671.9059999999999</v>
      </c>
      <c r="BR157" t="n">
        <v>606.2619999999999</v>
      </c>
      <c r="BS157" t="n">
        <v>596.164</v>
      </c>
      <c r="BT157" t="n">
        <v>532.607</v>
      </c>
      <c r="BU157" t="n">
        <v>519.015</v>
      </c>
      <c r="BV157" t="n">
        <v>513.232</v>
      </c>
    </row>
    <row r="158">
      <c r="A158" t="inlineStr">
        <is>
          <t>Haliotidae</t>
        </is>
      </c>
      <c r="B158" t="inlineStr">
        <is>
          <t>Abalones, ear shells</t>
        </is>
      </c>
      <c r="C158" t="inlineStr">
        <is>
          <t>Other demersal invertebrates</t>
        </is>
      </c>
      <c r="D158" t="inlineStr">
        <is>
          <t>Molluscs</t>
        </is>
      </c>
      <c r="E158" t="n">
        <v>1265.344</v>
      </c>
      <c r="F158" t="n">
        <v>1419.923</v>
      </c>
      <c r="G158" t="n">
        <v>1506.952</v>
      </c>
      <c r="H158" t="n">
        <v>1778.12</v>
      </c>
      <c r="I158" t="n">
        <v>1623.315</v>
      </c>
      <c r="J158" t="n">
        <v>1677.272</v>
      </c>
      <c r="K158" t="n">
        <v>1524.422</v>
      </c>
      <c r="L158" t="n">
        <v>1592.361</v>
      </c>
      <c r="M158" t="n">
        <v>2064.47</v>
      </c>
      <c r="N158" t="n">
        <v>2472.746</v>
      </c>
      <c r="O158" t="n">
        <v>2626.697</v>
      </c>
      <c r="P158" t="n">
        <v>1800.915</v>
      </c>
      <c r="Q158" t="n">
        <v>2907.391</v>
      </c>
      <c r="R158" t="n">
        <v>2156.201</v>
      </c>
      <c r="S158" t="n">
        <v>1846.422</v>
      </c>
      <c r="T158" t="n">
        <v>1262.75</v>
      </c>
      <c r="U158" t="n">
        <v>1596.145</v>
      </c>
      <c r="V158" t="n">
        <v>1655.069</v>
      </c>
      <c r="W158" t="n">
        <v>1695.619</v>
      </c>
      <c r="X158" t="n">
        <v>1734.279</v>
      </c>
      <c r="Y158" t="n">
        <v>1741.454</v>
      </c>
      <c r="Z158" t="n">
        <v>1714.41</v>
      </c>
      <c r="AA158" t="n">
        <v>1855.018</v>
      </c>
      <c r="AB158" t="n">
        <v>2269.747</v>
      </c>
      <c r="AC158" t="n">
        <v>1471.527</v>
      </c>
      <c r="AD158" t="n">
        <v>1587.58</v>
      </c>
      <c r="AE158" t="n">
        <v>1638.648</v>
      </c>
      <c r="AF158" t="n">
        <v>1503.415</v>
      </c>
      <c r="AG158" t="n">
        <v>1467.575</v>
      </c>
      <c r="AH158" t="n">
        <v>1332.242</v>
      </c>
      <c r="AI158" t="n">
        <v>1340.436</v>
      </c>
      <c r="AJ158" t="n">
        <v>1300.502</v>
      </c>
      <c r="AK158" t="n">
        <v>1289.332</v>
      </c>
      <c r="AL158" t="n">
        <v>1261.22</v>
      </c>
      <c r="AM158" t="n">
        <v>1085.141</v>
      </c>
      <c r="AN158" t="n">
        <v>1248.841</v>
      </c>
      <c r="AO158" t="n">
        <v>1232.065</v>
      </c>
      <c r="AP158" t="n">
        <v>1148.022</v>
      </c>
      <c r="AQ158" t="n">
        <v>1091.602</v>
      </c>
      <c r="AR158" t="n">
        <v>1060.663</v>
      </c>
      <c r="AS158" t="n">
        <v>948.199</v>
      </c>
      <c r="AT158" t="n">
        <v>914.75</v>
      </c>
      <c r="AU158" t="n">
        <v>775.664</v>
      </c>
      <c r="AV158" t="n">
        <v>718.8579999999999</v>
      </c>
      <c r="AW158" t="n">
        <v>674.871</v>
      </c>
      <c r="AX158" t="n">
        <v>614.41</v>
      </c>
      <c r="AY158" t="n">
        <v>597.109</v>
      </c>
      <c r="AZ158" t="n">
        <v>662.5940000000001</v>
      </c>
      <c r="BA158" t="n">
        <v>606.772</v>
      </c>
      <c r="BB158" t="n">
        <v>556.475</v>
      </c>
      <c r="BC158" t="n">
        <v>616.0069999999999</v>
      </c>
      <c r="BD158" t="n">
        <v>527.043</v>
      </c>
      <c r="BE158" t="n">
        <v>572.967</v>
      </c>
      <c r="BF158" t="n">
        <v>506.573</v>
      </c>
      <c r="BG158" t="n">
        <v>467.241</v>
      </c>
      <c r="BH158" t="n">
        <v>441.097</v>
      </c>
      <c r="BI158" t="n">
        <v>478.677</v>
      </c>
      <c r="BJ158" t="n">
        <v>494.922</v>
      </c>
      <c r="BK158" t="n">
        <v>387.261</v>
      </c>
      <c r="BL158" t="n">
        <v>502.778</v>
      </c>
      <c r="BM158" t="n">
        <v>415.82</v>
      </c>
      <c r="BN158" t="n">
        <v>421.086</v>
      </c>
      <c r="BO158" t="n">
        <v>404.306</v>
      </c>
      <c r="BP158" t="n">
        <v>385.313</v>
      </c>
      <c r="BQ158" t="n">
        <v>370.602</v>
      </c>
      <c r="BR158" t="n">
        <v>347.327</v>
      </c>
      <c r="BS158" t="n">
        <v>317.987</v>
      </c>
      <c r="BT158" t="n">
        <v>273.954</v>
      </c>
      <c r="BU158" t="n">
        <v>261.316</v>
      </c>
      <c r="BV158" t="n">
        <v>232.206</v>
      </c>
    </row>
    <row r="159">
      <c r="A159" t="inlineStr">
        <is>
          <t>Metapenaeus</t>
        </is>
      </c>
      <c r="B159" t="inlineStr">
        <is>
          <t>Indo-Pacific prawns</t>
        </is>
      </c>
      <c r="C159" t="inlineStr">
        <is>
          <t>Shrimps</t>
        </is>
      </c>
      <c r="D159" t="inlineStr">
        <is>
          <t>Crustaceans</t>
        </is>
      </c>
      <c r="E159" t="n">
        <v>0</v>
      </c>
      <c r="F159" t="n">
        <v>16.563</v>
      </c>
      <c r="G159" t="n">
        <v>0</v>
      </c>
      <c r="H159" t="n">
        <v>6.077</v>
      </c>
      <c r="I159" t="n">
        <v>0</v>
      </c>
      <c r="J159" t="n">
        <v>0</v>
      </c>
      <c r="K159" t="n">
        <v>367.164</v>
      </c>
      <c r="L159" t="n">
        <v>479.106</v>
      </c>
      <c r="M159" t="n">
        <v>601.697</v>
      </c>
      <c r="N159" t="n">
        <v>888.022</v>
      </c>
      <c r="O159" t="n">
        <v>457.811</v>
      </c>
      <c r="P159" t="n">
        <v>660.128</v>
      </c>
      <c r="Q159" t="n">
        <v>560.225</v>
      </c>
      <c r="R159" t="n">
        <v>550.542</v>
      </c>
      <c r="S159" t="n">
        <v>624.793</v>
      </c>
      <c r="T159" t="n">
        <v>517.505</v>
      </c>
      <c r="U159" t="n">
        <v>1025.857</v>
      </c>
      <c r="V159" t="n">
        <v>781.676</v>
      </c>
      <c r="W159" t="n">
        <v>974.78</v>
      </c>
      <c r="X159" t="n">
        <v>1111.057</v>
      </c>
      <c r="Y159" t="n">
        <v>1232.803</v>
      </c>
      <c r="Z159" t="n">
        <v>1163.569</v>
      </c>
      <c r="AA159" t="n">
        <v>1488.25</v>
      </c>
      <c r="AB159" t="n">
        <v>1403.997</v>
      </c>
      <c r="AC159" t="n">
        <v>5290.299</v>
      </c>
      <c r="AD159" t="n">
        <v>1995.243</v>
      </c>
      <c r="AE159" t="n">
        <v>2759.612</v>
      </c>
      <c r="AF159" t="n">
        <v>2701.724</v>
      </c>
      <c r="AG159" t="n">
        <v>1885.927</v>
      </c>
      <c r="AH159" t="n">
        <v>5158.713</v>
      </c>
      <c r="AI159" t="n">
        <v>5335.987</v>
      </c>
      <c r="AJ159" t="n">
        <v>3356.149</v>
      </c>
      <c r="AK159" t="n">
        <v>1961.822</v>
      </c>
      <c r="AL159" t="n">
        <v>1875.282</v>
      </c>
      <c r="AM159" t="n">
        <v>1034.755</v>
      </c>
      <c r="AN159" t="n">
        <v>1652.068</v>
      </c>
      <c r="AO159" t="n">
        <v>830.828</v>
      </c>
      <c r="AP159" t="n">
        <v>853.936</v>
      </c>
      <c r="AQ159" t="n">
        <v>676.35</v>
      </c>
      <c r="AR159" t="n">
        <v>2109.407</v>
      </c>
      <c r="AS159" t="n">
        <v>2064.714</v>
      </c>
      <c r="AT159" t="n">
        <v>1913.576</v>
      </c>
      <c r="AU159" t="n">
        <v>1571.133</v>
      </c>
      <c r="AV159" t="n">
        <v>1174.941</v>
      </c>
      <c r="AW159" t="n">
        <v>1535.039</v>
      </c>
      <c r="AX159" t="n">
        <v>8424.825999999999</v>
      </c>
      <c r="AY159" t="n">
        <v>1848.785</v>
      </c>
      <c r="AZ159" t="n">
        <v>933.431</v>
      </c>
      <c r="BA159" t="n">
        <v>673.736</v>
      </c>
      <c r="BB159" t="n">
        <v>483.138</v>
      </c>
      <c r="BC159" t="n">
        <v>406.464</v>
      </c>
      <c r="BD159" t="n">
        <v>463.019</v>
      </c>
      <c r="BE159" t="n">
        <v>423.406</v>
      </c>
      <c r="BF159" t="n">
        <v>237.142</v>
      </c>
      <c r="BG159" t="n">
        <v>282.494</v>
      </c>
      <c r="BH159" t="n">
        <v>140.515</v>
      </c>
      <c r="BI159" t="n">
        <v>132.926</v>
      </c>
      <c r="BJ159" t="n">
        <v>103.577</v>
      </c>
      <c r="BK159" t="n">
        <v>16.987</v>
      </c>
      <c r="BL159" t="n">
        <v>25.496</v>
      </c>
      <c r="BM159" t="n">
        <v>24.785</v>
      </c>
      <c r="BN159" t="n">
        <v>11.868</v>
      </c>
      <c r="BO159" t="n">
        <v>18.605</v>
      </c>
      <c r="BP159" t="n">
        <v>23.845</v>
      </c>
      <c r="BQ159" t="n">
        <v>24.619</v>
      </c>
      <c r="BR159" t="n">
        <v>38.272</v>
      </c>
      <c r="BS159" t="n">
        <v>141.737</v>
      </c>
      <c r="BT159" t="n">
        <v>242.183</v>
      </c>
      <c r="BU159" t="n">
        <v>47.71</v>
      </c>
      <c r="BV159" t="n">
        <v>113.555</v>
      </c>
    </row>
    <row r="160">
      <c r="A160" t="inlineStr">
        <is>
          <t>Serranidae</t>
        </is>
      </c>
      <c r="B160" t="inlineStr">
        <is>
          <t>Basses, groupers, hinds</t>
        </is>
      </c>
      <c r="C160" t="inlineStr">
        <is>
          <t>Medium reef assoc. fish (30 - 89 cm)</t>
        </is>
      </c>
      <c r="D160" t="inlineStr">
        <is>
          <t>Perch-likes</t>
        </is>
      </c>
      <c r="E160" t="n">
        <v>459.954</v>
      </c>
      <c r="F160" t="n">
        <v>233.753</v>
      </c>
      <c r="G160" t="n">
        <v>263.196</v>
      </c>
      <c r="H160" t="n">
        <v>220.174</v>
      </c>
      <c r="I160" t="n">
        <v>243.42</v>
      </c>
      <c r="J160" t="n">
        <v>192.984</v>
      </c>
      <c r="K160" t="n">
        <v>175.309</v>
      </c>
      <c r="L160" t="n">
        <v>163.017</v>
      </c>
      <c r="M160" t="n">
        <v>178.76</v>
      </c>
      <c r="N160" t="n">
        <v>258.558</v>
      </c>
      <c r="O160" t="n">
        <v>130.025</v>
      </c>
      <c r="P160" t="n">
        <v>220.636</v>
      </c>
      <c r="Q160" t="n">
        <v>347.494</v>
      </c>
      <c r="R160" t="n">
        <v>182.6</v>
      </c>
      <c r="S160" t="n">
        <v>206.995</v>
      </c>
      <c r="T160" t="n">
        <v>139.913</v>
      </c>
      <c r="U160" t="n">
        <v>168.256</v>
      </c>
      <c r="V160" t="n">
        <v>274.214</v>
      </c>
      <c r="W160" t="n">
        <v>179.506</v>
      </c>
      <c r="X160" t="n">
        <v>166.962</v>
      </c>
      <c r="Y160" t="n">
        <v>1576.698</v>
      </c>
      <c r="Z160" t="n">
        <v>1747.018</v>
      </c>
      <c r="AA160" t="n">
        <v>1108.089</v>
      </c>
      <c r="AB160" t="n">
        <v>980.985</v>
      </c>
      <c r="AC160" t="n">
        <v>1024.596</v>
      </c>
      <c r="AD160" t="n">
        <v>1570.991</v>
      </c>
      <c r="AE160" t="n">
        <v>1413.86</v>
      </c>
      <c r="AF160" t="n">
        <v>829.468</v>
      </c>
      <c r="AG160" t="n">
        <v>1452.143</v>
      </c>
      <c r="AH160" t="n">
        <v>2009.889</v>
      </c>
      <c r="AI160" t="n">
        <v>1899.693</v>
      </c>
      <c r="AJ160" t="n">
        <v>1168.213</v>
      </c>
      <c r="AK160" t="n">
        <v>1205.872</v>
      </c>
      <c r="AL160" t="n">
        <v>1445.045</v>
      </c>
      <c r="AM160" t="n">
        <v>1117.018</v>
      </c>
      <c r="AN160" t="n">
        <v>1185.43</v>
      </c>
      <c r="AO160" t="n">
        <v>1370.442</v>
      </c>
      <c r="AP160" t="n">
        <v>1164.197</v>
      </c>
      <c r="AQ160" t="n">
        <v>1128.108</v>
      </c>
      <c r="AR160" t="n">
        <v>964.298</v>
      </c>
      <c r="AS160" t="n">
        <v>925.754</v>
      </c>
      <c r="AT160" t="n">
        <v>935.3579999999999</v>
      </c>
      <c r="AU160" t="n">
        <v>1134.897</v>
      </c>
      <c r="AV160" t="n">
        <v>1179.251</v>
      </c>
      <c r="AW160" t="n">
        <v>954.165</v>
      </c>
      <c r="AX160" t="n">
        <v>1106.261</v>
      </c>
      <c r="AY160" t="n">
        <v>1072.908</v>
      </c>
      <c r="AZ160" t="n">
        <v>1209.78</v>
      </c>
      <c r="BA160" t="n">
        <v>1526.206</v>
      </c>
      <c r="BB160" t="n">
        <v>1206.615</v>
      </c>
      <c r="BC160" t="n">
        <v>1557.921</v>
      </c>
      <c r="BD160" t="n">
        <v>790.003</v>
      </c>
      <c r="BE160" t="n">
        <v>796.423</v>
      </c>
      <c r="BF160" t="n">
        <v>1224.241</v>
      </c>
      <c r="BG160" t="n">
        <v>1224.858</v>
      </c>
      <c r="BH160" t="n">
        <v>1226.347</v>
      </c>
      <c r="BI160" t="n">
        <v>1284.086</v>
      </c>
      <c r="BJ160" t="n">
        <v>1337.352</v>
      </c>
      <c r="BK160" t="n">
        <v>1426.247</v>
      </c>
      <c r="BL160" t="n">
        <v>1633.089</v>
      </c>
      <c r="BM160" t="n">
        <v>1719.133</v>
      </c>
      <c r="BN160" t="n">
        <v>1911.687</v>
      </c>
      <c r="BO160" t="n">
        <v>1976.174</v>
      </c>
      <c r="BP160" t="n">
        <v>2066.4</v>
      </c>
      <c r="BQ160" t="n">
        <v>2182.536</v>
      </c>
      <c r="BR160" t="n">
        <v>2143.321</v>
      </c>
      <c r="BS160" t="n">
        <v>2382.798</v>
      </c>
      <c r="BT160" t="n">
        <v>2448.958</v>
      </c>
      <c r="BU160" t="n">
        <v>2427.249</v>
      </c>
      <c r="BV160" t="n">
        <v>2402.35</v>
      </c>
    </row>
    <row r="161">
      <c r="A161" t="inlineStr">
        <is>
          <t>Pleuronectiformes</t>
        </is>
      </c>
      <c r="B161" t="inlineStr">
        <is>
          <t>Flatfishes</t>
        </is>
      </c>
      <c r="C161" t="inlineStr">
        <is>
          <t>Small to medium flatfishes (&lt;90 cm)</t>
        </is>
      </c>
      <c r="D161" t="inlineStr">
        <is>
          <t>Flatfishes</t>
        </is>
      </c>
      <c r="E161" t="n">
        <v>248.917</v>
      </c>
      <c r="F161" t="n">
        <v>299.379</v>
      </c>
      <c r="G161" t="n">
        <v>313.161</v>
      </c>
      <c r="H161" t="n">
        <v>301.722</v>
      </c>
      <c r="I161" t="n">
        <v>457.573</v>
      </c>
      <c r="J161" t="n">
        <v>581.5119999999999</v>
      </c>
      <c r="K161" t="n">
        <v>609.554</v>
      </c>
      <c r="L161" t="n">
        <v>571.394</v>
      </c>
      <c r="M161" t="n">
        <v>521.819</v>
      </c>
      <c r="N161" t="n">
        <v>680.351</v>
      </c>
      <c r="O161" t="n">
        <v>511.905</v>
      </c>
      <c r="P161" t="n">
        <v>600.879</v>
      </c>
      <c r="Q161" t="n">
        <v>743.431</v>
      </c>
      <c r="R161" t="n">
        <v>947.222</v>
      </c>
      <c r="S161" t="n">
        <v>1016.743</v>
      </c>
      <c r="T161" t="n">
        <v>1230.649</v>
      </c>
      <c r="U161" t="n">
        <v>1644.799</v>
      </c>
      <c r="V161" t="n">
        <v>2234.34</v>
      </c>
      <c r="W161" t="n">
        <v>2163.938</v>
      </c>
      <c r="X161" t="n">
        <v>2074.774</v>
      </c>
      <c r="Y161" t="n">
        <v>1924.284</v>
      </c>
      <c r="Z161" t="n">
        <v>2430.153</v>
      </c>
      <c r="AA161" t="n">
        <v>2059.966</v>
      </c>
      <c r="AB161" t="n">
        <v>1468.814</v>
      </c>
      <c r="AC161" t="n">
        <v>1453.991</v>
      </c>
      <c r="AD161" t="n">
        <v>2445.535</v>
      </c>
      <c r="AE161" t="n">
        <v>2094.513</v>
      </c>
      <c r="AF161" t="n">
        <v>2193.467</v>
      </c>
      <c r="AG161" t="n">
        <v>2647.394</v>
      </c>
      <c r="AH161" t="n">
        <v>2700.619</v>
      </c>
      <c r="AI161" t="n">
        <v>2635.032</v>
      </c>
      <c r="AJ161" t="n">
        <v>2051.023</v>
      </c>
      <c r="AK161" t="n">
        <v>2377.654</v>
      </c>
      <c r="AL161" t="n">
        <v>2609.593</v>
      </c>
      <c r="AM161" t="n">
        <v>1322.433</v>
      </c>
      <c r="AN161" t="n">
        <v>1818.981</v>
      </c>
      <c r="AO161" t="n">
        <v>1853.425</v>
      </c>
      <c r="AP161" t="n">
        <v>666.785</v>
      </c>
      <c r="AQ161" t="n">
        <v>1049.538</v>
      </c>
      <c r="AR161" t="n">
        <v>1034.302</v>
      </c>
      <c r="AS161" t="n">
        <v>707.6079999999999</v>
      </c>
      <c r="AT161" t="n">
        <v>507.753</v>
      </c>
      <c r="AU161" t="n">
        <v>633.124</v>
      </c>
      <c r="AV161" t="n">
        <v>513.946</v>
      </c>
      <c r="AW161" t="n">
        <v>579.611</v>
      </c>
      <c r="AX161" t="n">
        <v>611.201</v>
      </c>
      <c r="AY161" t="n">
        <v>1403.611</v>
      </c>
      <c r="AZ161" t="n">
        <v>1063.616</v>
      </c>
      <c r="BA161" t="n">
        <v>618.913</v>
      </c>
      <c r="BB161" t="n">
        <v>613.631</v>
      </c>
      <c r="BC161" t="n">
        <v>501.768</v>
      </c>
      <c r="BD161" t="n">
        <v>686.861</v>
      </c>
      <c r="BE161" t="n">
        <v>615.859</v>
      </c>
      <c r="BF161" t="n">
        <v>502.801</v>
      </c>
      <c r="BG161" t="n">
        <v>608.41</v>
      </c>
      <c r="BH161" t="n">
        <v>494.72</v>
      </c>
      <c r="BI161" t="n">
        <v>589.457</v>
      </c>
      <c r="BJ161" t="n">
        <v>531.497</v>
      </c>
      <c r="BK161" t="n">
        <v>488.199</v>
      </c>
      <c r="BL161" t="n">
        <v>672.174</v>
      </c>
      <c r="BM161" t="n">
        <v>442.738</v>
      </c>
      <c r="BN161" t="n">
        <v>478.254</v>
      </c>
      <c r="BO161" t="n">
        <v>545.951</v>
      </c>
      <c r="BP161" t="n">
        <v>618.408</v>
      </c>
      <c r="BQ161" t="n">
        <v>727.676</v>
      </c>
      <c r="BR161" t="n">
        <v>604.606</v>
      </c>
      <c r="BS161" t="n">
        <v>688.062</v>
      </c>
      <c r="BT161" t="n">
        <v>673.518</v>
      </c>
      <c r="BU161" t="n">
        <v>650.597</v>
      </c>
      <c r="BV161" t="n">
        <v>683.295</v>
      </c>
    </row>
    <row r="162">
      <c r="A162" t="inlineStr">
        <is>
          <t>Scomberomorus commerson</t>
        </is>
      </c>
      <c r="B162" t="inlineStr">
        <is>
          <t>Narrow-barred Spanish mackerel</t>
        </is>
      </c>
      <c r="C162" t="inlineStr">
        <is>
          <t>Large pelagics (&gt;=90 cm)</t>
        </is>
      </c>
      <c r="D162" t="inlineStr">
        <is>
          <t>Perch-likes</t>
        </is>
      </c>
      <c r="E162" t="n">
        <v>6.498</v>
      </c>
      <c r="F162" t="n">
        <v>7.986</v>
      </c>
      <c r="G162" t="n">
        <v>9.363</v>
      </c>
      <c r="H162" t="n">
        <v>10.045</v>
      </c>
      <c r="I162" t="n">
        <v>10.289</v>
      </c>
      <c r="J162" t="n">
        <v>12.497</v>
      </c>
      <c r="K162" t="n">
        <v>21.574</v>
      </c>
      <c r="L162" t="n">
        <v>15.879</v>
      </c>
      <c r="M162" t="n">
        <v>17.597</v>
      </c>
      <c r="N162" t="n">
        <v>19.867</v>
      </c>
      <c r="O162" t="n">
        <v>21.147</v>
      </c>
      <c r="P162" t="n">
        <v>24.979</v>
      </c>
      <c r="Q162" t="n">
        <v>33.181</v>
      </c>
      <c r="R162" t="n">
        <v>80.881</v>
      </c>
      <c r="S162" t="n">
        <v>33.181</v>
      </c>
      <c r="T162" t="n">
        <v>35.983</v>
      </c>
      <c r="U162" t="n">
        <v>39.731</v>
      </c>
      <c r="V162" t="n">
        <v>44.133</v>
      </c>
      <c r="W162" t="n">
        <v>76.002</v>
      </c>
      <c r="X162" t="n">
        <v>56.825</v>
      </c>
      <c r="Y162" t="n">
        <v>59.495</v>
      </c>
      <c r="Z162" t="n">
        <v>64.17</v>
      </c>
      <c r="AA162" t="n">
        <v>94.521</v>
      </c>
      <c r="AB162" t="n">
        <v>66.59099999999999</v>
      </c>
      <c r="AC162" t="n">
        <v>66.623</v>
      </c>
      <c r="AD162" t="n">
        <v>84.899</v>
      </c>
      <c r="AE162" t="n">
        <v>88.05800000000001</v>
      </c>
      <c r="AF162" t="n">
        <v>131.007</v>
      </c>
      <c r="AG162" t="n">
        <v>101.81</v>
      </c>
      <c r="AH162" t="n">
        <v>160.768</v>
      </c>
      <c r="AI162" t="n">
        <v>108.46</v>
      </c>
      <c r="AJ162" t="n">
        <v>95.348</v>
      </c>
      <c r="AK162" t="n">
        <v>94.208</v>
      </c>
      <c r="AL162" t="n">
        <v>94.34</v>
      </c>
      <c r="AM162" t="n">
        <v>113.234</v>
      </c>
      <c r="AN162" t="n">
        <v>136.185</v>
      </c>
      <c r="AO162" t="n">
        <v>96.20399999999999</v>
      </c>
      <c r="AP162" t="n">
        <v>88.684</v>
      </c>
      <c r="AQ162" t="n">
        <v>85.58799999999999</v>
      </c>
      <c r="AR162" t="n">
        <v>2722.902</v>
      </c>
      <c r="AS162" t="n">
        <v>3768.063</v>
      </c>
      <c r="AT162" t="n">
        <v>5004.203</v>
      </c>
      <c r="AU162" t="n">
        <v>4219.651</v>
      </c>
      <c r="AV162" t="n">
        <v>3020.93</v>
      </c>
      <c r="AW162" t="n">
        <v>3568.824</v>
      </c>
      <c r="AX162" t="n">
        <v>3860.491</v>
      </c>
      <c r="AY162" t="n">
        <v>4068.567</v>
      </c>
      <c r="AZ162" t="n">
        <v>3665.359</v>
      </c>
      <c r="BA162" t="n">
        <v>2967.051</v>
      </c>
      <c r="BB162" t="n">
        <v>3383.86</v>
      </c>
      <c r="BC162" t="n">
        <v>3606.65</v>
      </c>
      <c r="BD162" t="n">
        <v>4404.053</v>
      </c>
      <c r="BE162" t="n">
        <v>6599.876</v>
      </c>
      <c r="BF162" t="n">
        <v>3103.312</v>
      </c>
      <c r="BG162" t="n">
        <v>2410.345</v>
      </c>
      <c r="BH162" t="n">
        <v>1270.967</v>
      </c>
      <c r="BI162" t="n">
        <v>743.895</v>
      </c>
      <c r="BJ162" t="n">
        <v>614.7670000000001</v>
      </c>
      <c r="BK162" t="n">
        <v>674.616</v>
      </c>
      <c r="BL162" t="n">
        <v>762.299</v>
      </c>
      <c r="BM162" t="n">
        <v>630.446</v>
      </c>
      <c r="BN162" t="n">
        <v>562.636</v>
      </c>
      <c r="BO162" t="n">
        <v>906.3099999999999</v>
      </c>
      <c r="BP162" t="n">
        <v>1163.53</v>
      </c>
      <c r="BQ162" t="n">
        <v>1204.63</v>
      </c>
      <c r="BR162" t="n">
        <v>805.102</v>
      </c>
      <c r="BS162" t="n">
        <v>884.026</v>
      </c>
      <c r="BT162" t="n">
        <v>815.104</v>
      </c>
      <c r="BU162" t="n">
        <v>807.578</v>
      </c>
      <c r="BV162" t="n">
        <v>760.884</v>
      </c>
    </row>
    <row r="163">
      <c r="A163" t="inlineStr">
        <is>
          <t>Engraulidae</t>
        </is>
      </c>
      <c r="B163" t="inlineStr">
        <is>
          <t>Anchovies, round herrings</t>
        </is>
      </c>
      <c r="C163" t="inlineStr">
        <is>
          <t>Small pelagics (&lt;30 cm)</t>
        </is>
      </c>
      <c r="D163" t="inlineStr">
        <is>
          <t>Anchovies</t>
        </is>
      </c>
      <c r="E163" t="n">
        <v>277.817</v>
      </c>
      <c r="F163" t="n">
        <v>345.603</v>
      </c>
      <c r="G163" t="n">
        <v>373.275</v>
      </c>
      <c r="H163" t="n">
        <v>339.011</v>
      </c>
      <c r="I163" t="n">
        <v>329.133</v>
      </c>
      <c r="J163" t="n">
        <v>342.698</v>
      </c>
      <c r="K163" t="n">
        <v>478.158</v>
      </c>
      <c r="L163" t="n">
        <v>530.439</v>
      </c>
      <c r="M163" t="n">
        <v>518.3099999999999</v>
      </c>
      <c r="N163" t="n">
        <v>498.991</v>
      </c>
      <c r="O163" t="n">
        <v>448.714</v>
      </c>
      <c r="P163" t="n">
        <v>564.434</v>
      </c>
      <c r="Q163" t="n">
        <v>569.341</v>
      </c>
      <c r="R163" t="n">
        <v>573.046</v>
      </c>
      <c r="S163" t="n">
        <v>676.2430000000001</v>
      </c>
      <c r="T163" t="n">
        <v>716.307</v>
      </c>
      <c r="U163" t="n">
        <v>681.884</v>
      </c>
      <c r="V163" t="n">
        <v>845.783</v>
      </c>
      <c r="W163" t="n">
        <v>896.652</v>
      </c>
      <c r="X163" t="n">
        <v>982.542</v>
      </c>
      <c r="Y163" t="n">
        <v>1218.139</v>
      </c>
      <c r="Z163" t="n">
        <v>1464.819</v>
      </c>
      <c r="AA163" t="n">
        <v>1641.061</v>
      </c>
      <c r="AB163" t="n">
        <v>1770.875</v>
      </c>
      <c r="AC163" t="n">
        <v>2049.161</v>
      </c>
      <c r="AD163" t="n">
        <v>1897.59</v>
      </c>
      <c r="AE163" t="n">
        <v>1892.612</v>
      </c>
      <c r="AF163" t="n">
        <v>1904.232</v>
      </c>
      <c r="AG163" t="n">
        <v>1957.409</v>
      </c>
      <c r="AH163" t="n">
        <v>2015.931</v>
      </c>
      <c r="AI163" t="n">
        <v>1845.684</v>
      </c>
      <c r="AJ163" t="n">
        <v>1972.514</v>
      </c>
      <c r="AK163" t="n">
        <v>1840.138</v>
      </c>
      <c r="AL163" t="n">
        <v>1811.519</v>
      </c>
      <c r="AM163" t="n">
        <v>1730.393</v>
      </c>
      <c r="AN163" t="n">
        <v>1618.316</v>
      </c>
      <c r="AO163" t="n">
        <v>1793.174</v>
      </c>
      <c r="AP163" t="n">
        <v>1470.17</v>
      </c>
      <c r="AQ163" t="n">
        <v>1389.411</v>
      </c>
      <c r="AR163" t="n">
        <v>1311.818</v>
      </c>
      <c r="AS163" t="n">
        <v>1254.451</v>
      </c>
      <c r="AT163" t="n">
        <v>1194.625</v>
      </c>
      <c r="AU163" t="n">
        <v>1282.36</v>
      </c>
      <c r="AV163" t="n">
        <v>1361.249</v>
      </c>
      <c r="AW163" t="n">
        <v>1251.408</v>
      </c>
      <c r="AX163" t="n">
        <v>1197.461</v>
      </c>
      <c r="AY163" t="n">
        <v>1167.675</v>
      </c>
      <c r="AZ163" t="n">
        <v>1068.703</v>
      </c>
      <c r="BA163" t="n">
        <v>1047.988</v>
      </c>
      <c r="BB163" t="n">
        <v>965.273</v>
      </c>
      <c r="BC163" t="n">
        <v>881.98</v>
      </c>
      <c r="BD163" t="n">
        <v>807.0890000000001</v>
      </c>
      <c r="BE163" t="n">
        <v>819.883</v>
      </c>
      <c r="BF163" t="n">
        <v>698.498</v>
      </c>
      <c r="BG163" t="n">
        <v>694.366</v>
      </c>
      <c r="BH163" t="n">
        <v>962.044</v>
      </c>
      <c r="BI163" t="n">
        <v>880.872</v>
      </c>
      <c r="BJ163" t="n">
        <v>728.838</v>
      </c>
      <c r="BK163" t="n">
        <v>697.034</v>
      </c>
      <c r="BL163" t="n">
        <v>694.437</v>
      </c>
      <c r="BM163" t="n">
        <v>733.503</v>
      </c>
      <c r="BN163" t="n">
        <v>788.7910000000001</v>
      </c>
      <c r="BO163" t="n">
        <v>702.856</v>
      </c>
      <c r="BP163" t="n">
        <v>671.41</v>
      </c>
      <c r="BQ163" t="n">
        <v>686.869</v>
      </c>
      <c r="BR163" t="n">
        <v>679.578</v>
      </c>
      <c r="BS163" t="n">
        <v>580.351</v>
      </c>
      <c r="BT163" t="n">
        <v>576.071</v>
      </c>
      <c r="BU163" t="n">
        <v>523.567</v>
      </c>
      <c r="BV163" t="n">
        <v>444.89</v>
      </c>
    </row>
    <row r="164">
      <c r="A164" t="inlineStr">
        <is>
          <t>Metapenaeus joyneri</t>
        </is>
      </c>
      <c r="B164" t="inlineStr">
        <is>
          <t>Shiba shrimp</t>
        </is>
      </c>
      <c r="C164" t="inlineStr">
        <is>
          <t>Shrimps</t>
        </is>
      </c>
      <c r="D164" t="inlineStr">
        <is>
          <t>Crustaceans</t>
        </is>
      </c>
      <c r="E164" t="n">
        <v>24.954</v>
      </c>
      <c r="F164" t="n">
        <v>0</v>
      </c>
      <c r="G164" t="n">
        <v>0</v>
      </c>
      <c r="H164" t="n">
        <v>0</v>
      </c>
      <c r="I164" t="n">
        <v>0</v>
      </c>
      <c r="J164" t="n">
        <v>0</v>
      </c>
      <c r="K164" t="n">
        <v>0</v>
      </c>
      <c r="L164" t="n">
        <v>0</v>
      </c>
      <c r="M164" t="n">
        <v>0</v>
      </c>
      <c r="N164" t="n">
        <v>11.971</v>
      </c>
      <c r="O164" t="n">
        <v>0</v>
      </c>
      <c r="P164" t="n">
        <v>0</v>
      </c>
      <c r="Q164" t="n">
        <v>0</v>
      </c>
      <c r="R164" t="n">
        <v>0</v>
      </c>
      <c r="S164" t="n">
        <v>0</v>
      </c>
      <c r="T164" t="n">
        <v>0</v>
      </c>
      <c r="U164" t="n">
        <v>3.943</v>
      </c>
      <c r="V164" t="n">
        <v>11.297</v>
      </c>
      <c r="W164" t="n">
        <v>12.253</v>
      </c>
      <c r="X164" t="n">
        <v>37.095</v>
      </c>
      <c r="Y164" t="n">
        <v>409.417</v>
      </c>
      <c r="Z164" t="n">
        <v>750.506</v>
      </c>
      <c r="AA164" t="n">
        <v>658.171</v>
      </c>
      <c r="AB164" t="n">
        <v>857.145</v>
      </c>
      <c r="AC164" t="n">
        <v>1690.152</v>
      </c>
      <c r="AD164" t="n">
        <v>1127.943</v>
      </c>
      <c r="AE164" t="n">
        <v>1389.282</v>
      </c>
      <c r="AF164" t="n">
        <v>1268.838</v>
      </c>
      <c r="AG164" t="n">
        <v>1443.483</v>
      </c>
      <c r="AH164" t="n">
        <v>2111.452</v>
      </c>
      <c r="AI164" t="n">
        <v>1481.389</v>
      </c>
      <c r="AJ164" t="n">
        <v>978.78</v>
      </c>
      <c r="AK164" t="n">
        <v>693.546</v>
      </c>
      <c r="AL164" t="n">
        <v>792.6799999999999</v>
      </c>
      <c r="AM164" t="n">
        <v>1312.327</v>
      </c>
      <c r="AN164" t="n">
        <v>1480.661</v>
      </c>
      <c r="AO164" t="n">
        <v>2062.166</v>
      </c>
      <c r="AP164" t="n">
        <v>1796.001</v>
      </c>
      <c r="AQ164" t="n">
        <v>1289.766</v>
      </c>
      <c r="AR164" t="n">
        <v>1549.626</v>
      </c>
      <c r="AS164" t="n">
        <v>2362.437</v>
      </c>
      <c r="AT164" t="n">
        <v>5218.083</v>
      </c>
      <c r="AU164" t="n">
        <v>5101.142</v>
      </c>
      <c r="AV164" t="n">
        <v>2478.483</v>
      </c>
      <c r="AW164" t="n">
        <v>3595.918</v>
      </c>
      <c r="AX164" t="n">
        <v>1572.373</v>
      </c>
      <c r="AY164" t="n">
        <v>1843.085</v>
      </c>
      <c r="AZ164" t="n">
        <v>1551.115</v>
      </c>
      <c r="BA164" t="n">
        <v>3131.175</v>
      </c>
      <c r="BB164" t="n">
        <v>2611.665</v>
      </c>
      <c r="BC164" t="n">
        <v>1801.168</v>
      </c>
      <c r="BD164" t="n">
        <v>1643.849</v>
      </c>
      <c r="BE164" t="n">
        <v>1175.846</v>
      </c>
      <c r="BF164" t="n">
        <v>186.066</v>
      </c>
      <c r="BG164" t="n">
        <v>232.735</v>
      </c>
      <c r="BH164" t="n">
        <v>471.573</v>
      </c>
      <c r="BI164" t="n">
        <v>536.068</v>
      </c>
      <c r="BJ164" t="n">
        <v>540.735</v>
      </c>
      <c r="BK164" t="n">
        <v>882.045</v>
      </c>
      <c r="BL164" t="n">
        <v>610.131</v>
      </c>
      <c r="BM164" t="n">
        <v>392.762</v>
      </c>
      <c r="BN164" t="n">
        <v>650.492</v>
      </c>
      <c r="BO164" t="n">
        <v>826.399</v>
      </c>
      <c r="BP164" t="n">
        <v>728.312</v>
      </c>
      <c r="BQ164" t="n">
        <v>656.55</v>
      </c>
      <c r="BR164" t="n">
        <v>464.975</v>
      </c>
      <c r="BS164" t="n">
        <v>683.147</v>
      </c>
      <c r="BT164" t="n">
        <v>626.574</v>
      </c>
      <c r="BU164" t="n">
        <v>755.2670000000001</v>
      </c>
      <c r="BV164" t="n">
        <v>1115.345</v>
      </c>
    </row>
    <row r="165">
      <c r="A165" t="inlineStr">
        <is>
          <t>Kyphosidae</t>
        </is>
      </c>
      <c r="B165" t="inlineStr">
        <is>
          <t>Sea chubs, knifefishes, niblers</t>
        </is>
      </c>
      <c r="C165" t="inlineStr">
        <is>
          <t>Medium reef assoc. fish (30 - 89 cm)</t>
        </is>
      </c>
      <c r="D165" t="inlineStr">
        <is>
          <t>Perch-likes</t>
        </is>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38.062</v>
      </c>
      <c r="AA165" t="n">
        <v>76.123</v>
      </c>
      <c r="AB165" t="n">
        <v>114.185</v>
      </c>
      <c r="AC165" t="n">
        <v>152.246</v>
      </c>
      <c r="AD165" t="n">
        <v>190.308</v>
      </c>
      <c r="AE165" t="n">
        <v>228.369</v>
      </c>
      <c r="AF165" t="n">
        <v>266.431</v>
      </c>
      <c r="AG165" t="n">
        <v>304.493</v>
      </c>
      <c r="AH165" t="n">
        <v>342.554</v>
      </c>
      <c r="AI165" t="n">
        <v>380.616</v>
      </c>
      <c r="AJ165" t="n">
        <v>418.677</v>
      </c>
      <c r="AK165" t="n">
        <v>456.739</v>
      </c>
      <c r="AL165" t="n">
        <v>494.801</v>
      </c>
      <c r="AM165" t="n">
        <v>532.862</v>
      </c>
      <c r="AN165" t="n">
        <v>570.924</v>
      </c>
      <c r="AO165" t="n">
        <v>608.985</v>
      </c>
      <c r="AP165" t="n">
        <v>647.047</v>
      </c>
      <c r="AQ165" t="n">
        <v>685.1079999999999</v>
      </c>
      <c r="AR165" t="n">
        <v>723.17</v>
      </c>
      <c r="AS165" t="n">
        <v>761.232</v>
      </c>
      <c r="AT165" t="n">
        <v>805.149</v>
      </c>
      <c r="AU165" t="n">
        <v>849.066</v>
      </c>
      <c r="AV165" t="n">
        <v>892.9829999999999</v>
      </c>
      <c r="AW165" t="n">
        <v>936.9</v>
      </c>
      <c r="AX165" t="n">
        <v>983.745</v>
      </c>
      <c r="AY165" t="n">
        <v>1030.59</v>
      </c>
      <c r="AZ165" t="n">
        <v>1077.435</v>
      </c>
      <c r="BA165" t="n">
        <v>1124.28</v>
      </c>
      <c r="BB165" t="n">
        <v>1171.125</v>
      </c>
      <c r="BC165" t="n">
        <v>1241.112</v>
      </c>
      <c r="BD165" t="n">
        <v>1311.098</v>
      </c>
      <c r="BE165" t="n">
        <v>1381.085</v>
      </c>
      <c r="BF165" t="n">
        <v>1451.071</v>
      </c>
      <c r="BG165" t="n">
        <v>1521.058</v>
      </c>
      <c r="BH165" t="n">
        <v>1731.598</v>
      </c>
      <c r="BI165" t="n">
        <v>1942.137</v>
      </c>
      <c r="BJ165" t="n">
        <v>2152.677</v>
      </c>
      <c r="BK165" t="n">
        <v>2363.217</v>
      </c>
      <c r="BL165" t="n">
        <v>2544.671</v>
      </c>
      <c r="BM165" t="n">
        <v>2707.706</v>
      </c>
      <c r="BN165" t="n">
        <v>2870.847</v>
      </c>
      <c r="BO165" t="n">
        <v>3033.989</v>
      </c>
      <c r="BP165" t="n">
        <v>3197.131</v>
      </c>
      <c r="BQ165" t="n">
        <v>3360.273</v>
      </c>
      <c r="BR165" t="n">
        <v>3523.415</v>
      </c>
      <c r="BS165" t="n">
        <v>3686.557</v>
      </c>
      <c r="BT165" t="n">
        <v>3849.698</v>
      </c>
      <c r="BU165" t="n">
        <v>3849.842</v>
      </c>
      <c r="BV165" t="n">
        <v>3849.873</v>
      </c>
    </row>
    <row r="166">
      <c r="A166" t="inlineStr">
        <is>
          <t>Marine finfishes not identified</t>
        </is>
      </c>
      <c r="B166" t="inlineStr">
        <is>
          <t>Finfishes</t>
        </is>
      </c>
      <c r="C166" t="inlineStr">
        <is>
          <t>Medium demersals (30 - 89 cm)</t>
        </is>
      </c>
      <c r="D166" t="inlineStr">
        <is>
          <t>Other fishes &amp; inverts</t>
        </is>
      </c>
      <c r="E166" t="n">
        <v>0.097</v>
      </c>
      <c r="F166" t="n">
        <v>0.097</v>
      </c>
      <c r="G166" t="n">
        <v>0.097</v>
      </c>
      <c r="H166" t="n">
        <v>0.097</v>
      </c>
      <c r="I166" t="n">
        <v>0</v>
      </c>
      <c r="J166" t="n">
        <v>0.097</v>
      </c>
      <c r="K166" t="n">
        <v>0.097</v>
      </c>
      <c r="L166" t="n">
        <v>0</v>
      </c>
      <c r="M166" t="n">
        <v>0</v>
      </c>
      <c r="N166" t="n">
        <v>0</v>
      </c>
      <c r="O166" t="n">
        <v>0.096</v>
      </c>
      <c r="P166" t="n">
        <v>38.497</v>
      </c>
      <c r="Q166" t="n">
        <v>38.411</v>
      </c>
      <c r="R166" t="n">
        <v>114.971</v>
      </c>
      <c r="S166" t="n">
        <v>114.711</v>
      </c>
      <c r="T166" t="n">
        <v>76.3</v>
      </c>
      <c r="U166" t="n">
        <v>152.253</v>
      </c>
      <c r="V166" t="n">
        <v>265.834</v>
      </c>
      <c r="W166" t="n">
        <v>227.337</v>
      </c>
      <c r="X166" t="n">
        <v>378.026</v>
      </c>
      <c r="Y166" t="n">
        <v>1282.334</v>
      </c>
      <c r="Z166" t="n">
        <v>749.205</v>
      </c>
      <c r="AA166" t="n">
        <v>715.918</v>
      </c>
      <c r="AB166" t="n">
        <v>1012.346</v>
      </c>
      <c r="AC166" t="n">
        <v>1275.559</v>
      </c>
      <c r="AD166" t="n">
        <v>867.186</v>
      </c>
      <c r="AE166" t="n">
        <v>1308.863</v>
      </c>
      <c r="AF166" t="n">
        <v>1472.38</v>
      </c>
      <c r="AG166" t="n">
        <v>1053.295</v>
      </c>
      <c r="AH166" t="n">
        <v>964.891</v>
      </c>
      <c r="AI166" t="n">
        <v>1194.096</v>
      </c>
      <c r="AJ166" t="n">
        <v>1942.095</v>
      </c>
      <c r="AK166" t="n">
        <v>2135.841</v>
      </c>
      <c r="AL166" t="n">
        <v>2075.895</v>
      </c>
      <c r="AM166" t="n">
        <v>1890.419</v>
      </c>
      <c r="AN166" t="n">
        <v>2391.167</v>
      </c>
      <c r="AO166" t="n">
        <v>3225.439</v>
      </c>
      <c r="AP166" t="n">
        <v>2180.299</v>
      </c>
      <c r="AQ166" t="n">
        <v>1773.632</v>
      </c>
      <c r="AR166" t="n">
        <v>1501.756</v>
      </c>
      <c r="AS166" t="n">
        <v>1792.298</v>
      </c>
      <c r="AT166" t="n">
        <v>1551.285</v>
      </c>
      <c r="AU166" t="n">
        <v>1024.441</v>
      </c>
      <c r="AV166" t="n">
        <v>1629.954</v>
      </c>
      <c r="AW166" t="n">
        <v>1535.393</v>
      </c>
      <c r="AX166" t="n">
        <v>1532.413</v>
      </c>
      <c r="AY166" t="n">
        <v>1160.523</v>
      </c>
      <c r="AZ166" t="n">
        <v>1145.184</v>
      </c>
      <c r="BA166" t="n">
        <v>582.413</v>
      </c>
      <c r="BB166" t="n">
        <v>487.888</v>
      </c>
      <c r="BC166" t="n">
        <v>602.213</v>
      </c>
      <c r="BD166" t="n">
        <v>600.018</v>
      </c>
      <c r="BE166" t="n">
        <v>602.549</v>
      </c>
      <c r="BF166" t="n">
        <v>662.566</v>
      </c>
      <c r="BG166" t="n">
        <v>537.044</v>
      </c>
      <c r="BH166" t="n">
        <v>838.6950000000001</v>
      </c>
      <c r="BI166" t="n">
        <v>1070.215</v>
      </c>
      <c r="BJ166" t="n">
        <v>1091.927</v>
      </c>
      <c r="BK166" t="n">
        <v>1465.76</v>
      </c>
      <c r="BL166" t="n">
        <v>1174.566</v>
      </c>
      <c r="BM166" t="n">
        <v>1183.205</v>
      </c>
      <c r="BN166" t="n">
        <v>1017.771</v>
      </c>
      <c r="BO166" t="n">
        <v>969.915</v>
      </c>
      <c r="BP166" t="n">
        <v>1275.205</v>
      </c>
      <c r="BQ166" t="n">
        <v>1171.241</v>
      </c>
      <c r="BR166" t="n">
        <v>1222.398</v>
      </c>
      <c r="BS166" t="n">
        <v>928.659</v>
      </c>
      <c r="BT166" t="n">
        <v>781.79</v>
      </c>
      <c r="BU166" t="n">
        <v>1054.076</v>
      </c>
      <c r="BV166" t="n">
        <v>1021.897</v>
      </c>
    </row>
    <row r="167">
      <c r="A167" t="inlineStr">
        <is>
          <t>Oplegnathus fasciatus</t>
        </is>
      </c>
      <c r="B167" t="inlineStr">
        <is>
          <t>Barred knifejaw</t>
        </is>
      </c>
      <c r="C167" t="inlineStr">
        <is>
          <t>Medium reef assoc. fish (30 - 89 cm)</t>
        </is>
      </c>
      <c r="D167" t="inlineStr">
        <is>
          <t>Perch-likes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35.459</v>
      </c>
      <c r="AA167" t="n">
        <v>70.919</v>
      </c>
      <c r="AB167" t="n">
        <v>106.378</v>
      </c>
      <c r="AC167" t="n">
        <v>141.838</v>
      </c>
      <c r="AD167" t="n">
        <v>177.297</v>
      </c>
      <c r="AE167" t="n">
        <v>212.756</v>
      </c>
      <c r="AF167" t="n">
        <v>248.216</v>
      </c>
      <c r="AG167" t="n">
        <v>283.675</v>
      </c>
      <c r="AH167" t="n">
        <v>319.134</v>
      </c>
      <c r="AI167" t="n">
        <v>354.594</v>
      </c>
      <c r="AJ167" t="n">
        <v>390.053</v>
      </c>
      <c r="AK167" t="n">
        <v>425.513</v>
      </c>
      <c r="AL167" t="n">
        <v>460.972</v>
      </c>
      <c r="AM167" t="n">
        <v>496.431</v>
      </c>
      <c r="AN167" t="n">
        <v>531.891</v>
      </c>
      <c r="AO167" t="n">
        <v>567.35</v>
      </c>
      <c r="AP167" t="n">
        <v>602.8099999999999</v>
      </c>
      <c r="AQ167" t="n">
        <v>638.269</v>
      </c>
      <c r="AR167" t="n">
        <v>673.728</v>
      </c>
      <c r="AS167" t="n">
        <v>709.188</v>
      </c>
      <c r="AT167" t="n">
        <v>750.102</v>
      </c>
      <c r="AU167" t="n">
        <v>791.0170000000001</v>
      </c>
      <c r="AV167" t="n">
        <v>831.932</v>
      </c>
      <c r="AW167" t="n">
        <v>872.846</v>
      </c>
      <c r="AX167" t="n">
        <v>916.489</v>
      </c>
      <c r="AY167" t="n">
        <v>960.131</v>
      </c>
      <c r="AZ167" t="n">
        <v>1003.773</v>
      </c>
      <c r="BA167" t="n">
        <v>1047.416</v>
      </c>
      <c r="BB167" t="n">
        <v>1091.058</v>
      </c>
      <c r="BC167" t="n">
        <v>1156.26</v>
      </c>
      <c r="BD167" t="n">
        <v>1221.461</v>
      </c>
      <c r="BE167" t="n">
        <v>1286.663</v>
      </c>
      <c r="BF167" t="n">
        <v>1351.865</v>
      </c>
      <c r="BG167" t="n">
        <v>1417.066</v>
      </c>
      <c r="BH167" t="n">
        <v>1613.212</v>
      </c>
      <c r="BI167" t="n">
        <v>1809.358</v>
      </c>
      <c r="BJ167" t="n">
        <v>2005.503</v>
      </c>
      <c r="BK167" t="n">
        <v>2201.649</v>
      </c>
      <c r="BL167" t="n">
        <v>2370.698</v>
      </c>
      <c r="BM167" t="n">
        <v>2522.585</v>
      </c>
      <c r="BN167" t="n">
        <v>2674.574</v>
      </c>
      <c r="BO167" t="n">
        <v>2826.562</v>
      </c>
      <c r="BP167" t="n">
        <v>2978.55</v>
      </c>
      <c r="BQ167" t="n">
        <v>3130.538</v>
      </c>
      <c r="BR167" t="n">
        <v>3282.526</v>
      </c>
      <c r="BS167" t="n">
        <v>3434.514</v>
      </c>
      <c r="BT167" t="n">
        <v>3586.502</v>
      </c>
      <c r="BU167" t="n">
        <v>3586.636</v>
      </c>
      <c r="BV167" t="n">
        <v>3586.665</v>
      </c>
    </row>
    <row r="168">
      <c r="A168" t="inlineStr">
        <is>
          <t>Cardiidae</t>
        </is>
      </c>
      <c r="B168" t="inlineStr">
        <is>
          <t>Cockles</t>
        </is>
      </c>
      <c r="C168" t="inlineStr">
        <is>
          <t>Other demersal invertebrates</t>
        </is>
      </c>
      <c r="D168" t="inlineStr">
        <is>
          <t>Molluscs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224.555</v>
      </c>
      <c r="AD168" t="n">
        <v>1441.037</v>
      </c>
      <c r="AE168" t="n">
        <v>516.3920000000001</v>
      </c>
      <c r="AF168" t="n">
        <v>834.078</v>
      </c>
      <c r="AG168" t="n">
        <v>552.335</v>
      </c>
      <c r="AH168" t="n">
        <v>2709.436</v>
      </c>
      <c r="AI168" t="n">
        <v>2292.963</v>
      </c>
      <c r="AJ168" t="n">
        <v>3882.46</v>
      </c>
      <c r="AK168" t="n">
        <v>4597.816</v>
      </c>
      <c r="AL168" t="n">
        <v>734.145</v>
      </c>
      <c r="AM168" t="n">
        <v>1906.312</v>
      </c>
      <c r="AN168" t="n">
        <v>2228.809</v>
      </c>
      <c r="AO168" t="n">
        <v>2743.575</v>
      </c>
      <c r="AP168" t="n">
        <v>3198.781</v>
      </c>
      <c r="AQ168" t="n">
        <v>4439.262</v>
      </c>
      <c r="AR168" t="n">
        <v>4533.293</v>
      </c>
      <c r="AS168" t="n">
        <v>1584.005</v>
      </c>
      <c r="AT168" t="n">
        <v>2744.085</v>
      </c>
      <c r="AU168" t="n">
        <v>1909.89</v>
      </c>
      <c r="AV168" t="n">
        <v>5213.481</v>
      </c>
      <c r="AW168" t="n">
        <v>3030.414</v>
      </c>
      <c r="AX168" t="n">
        <v>198.124</v>
      </c>
      <c r="AY168" t="n">
        <v>1167.471</v>
      </c>
      <c r="AZ168" t="n">
        <v>737.011</v>
      </c>
      <c r="BA168" t="n">
        <v>503.839</v>
      </c>
      <c r="BB168" t="n">
        <v>52.8</v>
      </c>
      <c r="BC168" t="n">
        <v>196.998</v>
      </c>
      <c r="BD168" t="n">
        <v>946.499</v>
      </c>
      <c r="BE168" t="n">
        <v>379.375</v>
      </c>
      <c r="BF168" t="n">
        <v>615.451</v>
      </c>
      <c r="BG168" t="n">
        <v>1340.58</v>
      </c>
      <c r="BH168" t="n">
        <v>453.692</v>
      </c>
      <c r="BI168" t="n">
        <v>130.137</v>
      </c>
      <c r="BJ168" t="n">
        <v>878.4109999999999</v>
      </c>
      <c r="BK168" t="n">
        <v>173.883</v>
      </c>
      <c r="BL168" t="n">
        <v>1654.648</v>
      </c>
      <c r="BM168" t="n">
        <v>450.139</v>
      </c>
      <c r="BN168" t="n">
        <v>119.057</v>
      </c>
      <c r="BO168" t="n">
        <v>202.065</v>
      </c>
      <c r="BP168" t="n">
        <v>223.41</v>
      </c>
      <c r="BQ168" t="n">
        <v>905.971</v>
      </c>
      <c r="BR168" t="n">
        <v>37.946</v>
      </c>
      <c r="BS168" t="n">
        <v>138.979</v>
      </c>
      <c r="BT168" t="n">
        <v>450.614</v>
      </c>
      <c r="BU168" t="n">
        <v>71.15000000000001</v>
      </c>
      <c r="BV168" t="n">
        <v>23.242</v>
      </c>
    </row>
    <row r="169">
      <c r="A169" t="inlineStr">
        <is>
          <t>Lethrinidae</t>
        </is>
      </c>
      <c r="B169" t="inlineStr">
        <is>
          <t>Emperors, scavengers</t>
        </is>
      </c>
      <c r="C169" t="inlineStr">
        <is>
          <t>Medium reef assoc. fish (30 - 89 cm)</t>
        </is>
      </c>
      <c r="D169" t="inlineStr">
        <is>
          <t>Perch-likes</t>
        </is>
      </c>
      <c r="E169" t="n">
        <v>377.137</v>
      </c>
      <c r="F169" t="n">
        <v>378.134</v>
      </c>
      <c r="G169" t="n">
        <v>606.615</v>
      </c>
      <c r="H169" t="n">
        <v>608.22</v>
      </c>
      <c r="I169" t="n">
        <v>686.058</v>
      </c>
      <c r="J169" t="n">
        <v>917.1660000000001</v>
      </c>
      <c r="K169" t="n">
        <v>996.228</v>
      </c>
      <c r="L169" t="n">
        <v>1459.883</v>
      </c>
      <c r="M169" t="n">
        <v>1001.515</v>
      </c>
      <c r="N169" t="n">
        <v>1004.17</v>
      </c>
      <c r="O169" t="n">
        <v>1161.73</v>
      </c>
      <c r="P169" t="n">
        <v>1164.812</v>
      </c>
      <c r="Q169" t="n">
        <v>1090.043</v>
      </c>
      <c r="R169" t="n">
        <v>1014.87</v>
      </c>
      <c r="S169" t="n">
        <v>547.92</v>
      </c>
      <c r="T169" t="n">
        <v>549.375</v>
      </c>
      <c r="U169" t="n">
        <v>472.145</v>
      </c>
      <c r="V169" t="n">
        <v>631.2</v>
      </c>
      <c r="W169" t="n">
        <v>870.2089999999999</v>
      </c>
      <c r="X169" t="n">
        <v>872.525</v>
      </c>
      <c r="Y169" t="n">
        <v>795.316</v>
      </c>
      <c r="Z169" t="n">
        <v>797.434</v>
      </c>
      <c r="AA169" t="n">
        <v>559.691</v>
      </c>
      <c r="AB169" t="n">
        <v>1122.367</v>
      </c>
      <c r="AC169" t="n">
        <v>1118.929</v>
      </c>
      <c r="AD169" t="n">
        <v>823.705</v>
      </c>
      <c r="AE169" t="n">
        <v>849.188</v>
      </c>
      <c r="AF169" t="n">
        <v>1085.647</v>
      </c>
      <c r="AG169" t="n">
        <v>1011.191</v>
      </c>
      <c r="AH169" t="n">
        <v>1822.181</v>
      </c>
      <c r="AI169" t="n">
        <v>1948.443</v>
      </c>
      <c r="AJ169" t="n">
        <v>1850.33</v>
      </c>
      <c r="AK169" t="n">
        <v>1655.447</v>
      </c>
      <c r="AL169" t="n">
        <v>1729.314</v>
      </c>
      <c r="AM169" t="n">
        <v>1970.025</v>
      </c>
      <c r="AN169" t="n">
        <v>1709.409</v>
      </c>
      <c r="AO169" t="n">
        <v>2191.642</v>
      </c>
      <c r="AP169" t="n">
        <v>2541.975</v>
      </c>
      <c r="AQ169" t="n">
        <v>2843.24</v>
      </c>
      <c r="AR169" t="n">
        <v>2482.619</v>
      </c>
      <c r="AS169" t="n">
        <v>2019.686</v>
      </c>
      <c r="AT169" t="n">
        <v>1433.564</v>
      </c>
      <c r="AU169" t="n">
        <v>1149.451</v>
      </c>
      <c r="AV169" t="n">
        <v>1213.181</v>
      </c>
      <c r="AW169" t="n">
        <v>523.6180000000001</v>
      </c>
      <c r="AX169" t="n">
        <v>500.857</v>
      </c>
      <c r="AY169" t="n">
        <v>545.268</v>
      </c>
      <c r="AZ169" t="n">
        <v>556.889</v>
      </c>
      <c r="BA169" t="n">
        <v>385.636</v>
      </c>
      <c r="BB169" t="n">
        <v>317.135</v>
      </c>
      <c r="BC169" t="n">
        <v>380.562</v>
      </c>
      <c r="BD169" t="n">
        <v>418.618</v>
      </c>
      <c r="BE169" t="n">
        <v>380.562</v>
      </c>
      <c r="BF169" t="n">
        <v>355.191</v>
      </c>
      <c r="BG169" t="n">
        <v>380.562</v>
      </c>
      <c r="BH169" t="n">
        <v>367.876</v>
      </c>
      <c r="BI169" t="n">
        <v>342.506</v>
      </c>
      <c r="BJ169" t="n">
        <v>342.506</v>
      </c>
      <c r="BK169" t="n">
        <v>351.385</v>
      </c>
      <c r="BL169" t="n">
        <v>355.191</v>
      </c>
      <c r="BM169" t="n">
        <v>374.219</v>
      </c>
      <c r="BN169" t="n">
        <v>380.335</v>
      </c>
      <c r="BO169" t="n">
        <v>344.916</v>
      </c>
      <c r="BP169" t="n">
        <v>379.359</v>
      </c>
      <c r="BQ169" t="n">
        <v>357.372</v>
      </c>
      <c r="BR169" t="n">
        <v>323.186</v>
      </c>
      <c r="BS169" t="n">
        <v>317.803</v>
      </c>
      <c r="BT169" t="n">
        <v>283.922</v>
      </c>
      <c r="BU169" t="n">
        <v>276.677</v>
      </c>
      <c r="BV169" t="n">
        <v>273.594</v>
      </c>
    </row>
    <row r="170">
      <c r="A170" t="inlineStr">
        <is>
          <t>Chondrichthyes</t>
        </is>
      </c>
      <c r="B170" t="inlineStr">
        <is>
          <t>Sharks, rays, chimaeras</t>
        </is>
      </c>
      <c r="C170" t="inlineStr">
        <is>
          <t>Large sharks (&gt;=90 cm)</t>
        </is>
      </c>
      <c r="D170" t="inlineStr">
        <is>
          <t>Sharks &amp; rays</t>
        </is>
      </c>
      <c r="E170" t="n">
        <v>2339.492</v>
      </c>
      <c r="F170" t="n">
        <v>2339.492</v>
      </c>
      <c r="G170" t="n">
        <v>2339.492</v>
      </c>
      <c r="H170" t="n">
        <v>2441.647</v>
      </c>
      <c r="I170" t="n">
        <v>2542.32</v>
      </c>
      <c r="J170" t="n">
        <v>2369.369</v>
      </c>
      <c r="K170" t="n">
        <v>2024.327</v>
      </c>
      <c r="L170" t="n">
        <v>2009.286</v>
      </c>
      <c r="M170" t="n">
        <v>1612.944</v>
      </c>
      <c r="N170" t="n">
        <v>1614.877</v>
      </c>
      <c r="O170" t="n">
        <v>1565.65</v>
      </c>
      <c r="P170" t="n">
        <v>1311.794</v>
      </c>
      <c r="Q170" t="n">
        <v>1365.891</v>
      </c>
      <c r="R170" t="n">
        <v>1227.329</v>
      </c>
      <c r="S170" t="n">
        <v>682.829</v>
      </c>
      <c r="T170" t="n">
        <v>587.309</v>
      </c>
      <c r="U170" t="n">
        <v>883.91</v>
      </c>
      <c r="V170" t="n">
        <v>950.116</v>
      </c>
      <c r="W170" t="n">
        <v>943.341</v>
      </c>
      <c r="X170" t="n">
        <v>810.474</v>
      </c>
      <c r="Y170" t="n">
        <v>870.335</v>
      </c>
      <c r="Z170" t="n">
        <v>730.851</v>
      </c>
      <c r="AA170" t="n">
        <v>737.325</v>
      </c>
      <c r="AB170" t="n">
        <v>804.899</v>
      </c>
      <c r="AC170" t="n">
        <v>745.7190000000001</v>
      </c>
      <c r="AD170" t="n">
        <v>818.39</v>
      </c>
      <c r="AE170" t="n">
        <v>905.103</v>
      </c>
      <c r="AF170" t="n">
        <v>1048.406</v>
      </c>
      <c r="AG170" t="n">
        <v>862.784</v>
      </c>
      <c r="AH170" t="n">
        <v>873.553</v>
      </c>
      <c r="AI170" t="n">
        <v>873.237</v>
      </c>
      <c r="AJ170" t="n">
        <v>692.923</v>
      </c>
      <c r="AK170" t="n">
        <v>601.079</v>
      </c>
      <c r="AL170" t="n">
        <v>635.081</v>
      </c>
      <c r="AM170" t="n">
        <v>607.901</v>
      </c>
      <c r="AN170" t="n">
        <v>550.172</v>
      </c>
      <c r="AO170" t="n">
        <v>591.73</v>
      </c>
      <c r="AP170" t="n">
        <v>635.372</v>
      </c>
      <c r="AQ170" t="n">
        <v>544.048</v>
      </c>
      <c r="AR170" t="n">
        <v>473.675</v>
      </c>
      <c r="AS170" t="n">
        <v>465.58</v>
      </c>
      <c r="AT170" t="n">
        <v>504.576</v>
      </c>
      <c r="AU170" t="n">
        <v>570.884</v>
      </c>
      <c r="AV170" t="n">
        <v>496.149</v>
      </c>
      <c r="AW170" t="n">
        <v>434.348</v>
      </c>
      <c r="AX170" t="n">
        <v>326.932</v>
      </c>
      <c r="AY170" t="n">
        <v>413.19</v>
      </c>
      <c r="AZ170" t="n">
        <v>489.367</v>
      </c>
      <c r="BA170" t="n">
        <v>535.908</v>
      </c>
      <c r="BB170" t="n">
        <v>583.124</v>
      </c>
      <c r="BC170" t="n">
        <v>498.523</v>
      </c>
      <c r="BD170" t="n">
        <v>569.749</v>
      </c>
      <c r="BE170" t="n">
        <v>589.871</v>
      </c>
      <c r="BF170" t="n">
        <v>469.404</v>
      </c>
      <c r="BG170" t="n">
        <v>412.533</v>
      </c>
      <c r="BH170" t="n">
        <v>549.033</v>
      </c>
      <c r="BI170" t="n">
        <v>540.859</v>
      </c>
      <c r="BJ170" t="n">
        <v>453.714</v>
      </c>
      <c r="BK170" t="n">
        <v>426.496</v>
      </c>
      <c r="BL170" t="n">
        <v>457.915</v>
      </c>
      <c r="BM170" t="n">
        <v>434.61</v>
      </c>
      <c r="BN170" t="n">
        <v>329.763</v>
      </c>
      <c r="BO170" t="n">
        <v>379.413</v>
      </c>
      <c r="BP170" t="n">
        <v>338.704</v>
      </c>
      <c r="BQ170" t="n">
        <v>366.072</v>
      </c>
      <c r="BR170" t="n">
        <v>365.496</v>
      </c>
      <c r="BS170" t="n">
        <v>345.44</v>
      </c>
      <c r="BT170" t="n">
        <v>288.861</v>
      </c>
      <c r="BU170" t="n">
        <v>764.636</v>
      </c>
      <c r="BV170" t="n">
        <v>290.168</v>
      </c>
    </row>
    <row r="171">
      <c r="A171" t="inlineStr">
        <is>
          <t>Parapristipoma trilineatum</t>
        </is>
      </c>
      <c r="B171" t="inlineStr">
        <is>
          <t>Chicken grunt</t>
        </is>
      </c>
      <c r="C171" t="inlineStr">
        <is>
          <t>Small pelagics (&lt;30 cm)</t>
        </is>
      </c>
      <c r="D171" t="inlineStr">
        <is>
          <t>Perch-likes</t>
        </is>
      </c>
      <c r="E171" t="n">
        <v>607.433</v>
      </c>
      <c r="F171" t="n">
        <v>607.433</v>
      </c>
      <c r="G171" t="n">
        <v>607.433</v>
      </c>
      <c r="H171" t="n">
        <v>607.433</v>
      </c>
      <c r="I171" t="n">
        <v>607.433</v>
      </c>
      <c r="J171" t="n">
        <v>607.433</v>
      </c>
      <c r="K171" t="n">
        <v>607.433</v>
      </c>
      <c r="L171" t="n">
        <v>607.433</v>
      </c>
      <c r="M171" t="n">
        <v>607.433</v>
      </c>
      <c r="N171" t="n">
        <v>607.433</v>
      </c>
      <c r="O171" t="n">
        <v>607.433</v>
      </c>
      <c r="P171" t="n">
        <v>607.433</v>
      </c>
      <c r="Q171" t="n">
        <v>607.433</v>
      </c>
      <c r="R171" t="n">
        <v>607.433</v>
      </c>
      <c r="S171" t="n">
        <v>607.433</v>
      </c>
      <c r="T171" t="n">
        <v>607.433</v>
      </c>
      <c r="U171" t="n">
        <v>607.433</v>
      </c>
      <c r="V171" t="n">
        <v>607.433</v>
      </c>
      <c r="W171" t="n">
        <v>607.433</v>
      </c>
      <c r="X171" t="n">
        <v>607.433</v>
      </c>
      <c r="Y171" t="n">
        <v>607.433</v>
      </c>
      <c r="Z171" t="n">
        <v>607.433</v>
      </c>
      <c r="AA171" t="n">
        <v>607.433</v>
      </c>
      <c r="AB171" t="n">
        <v>607.433</v>
      </c>
      <c r="AC171" t="n">
        <v>780.986</v>
      </c>
      <c r="AD171" t="n">
        <v>954.538</v>
      </c>
      <c r="AE171" t="n">
        <v>1128.091</v>
      </c>
      <c r="AF171" t="n">
        <v>1301.643</v>
      </c>
      <c r="AG171" t="n">
        <v>1504.121</v>
      </c>
      <c r="AH171" t="n">
        <v>1590.897</v>
      </c>
      <c r="AI171" t="n">
        <v>1706.599</v>
      </c>
      <c r="AJ171" t="n">
        <v>1822.3</v>
      </c>
      <c r="AK171" t="n">
        <v>1909.077</v>
      </c>
      <c r="AL171" t="n">
        <v>2024.778</v>
      </c>
      <c r="AM171" t="n">
        <v>1793.375</v>
      </c>
      <c r="AN171" t="n">
        <v>1533.046</v>
      </c>
      <c r="AO171" t="n">
        <v>1272.718</v>
      </c>
      <c r="AP171" t="n">
        <v>1041.315</v>
      </c>
      <c r="AQ171" t="n">
        <v>780.986</v>
      </c>
      <c r="AR171" t="n">
        <v>780.986</v>
      </c>
      <c r="AS171" t="n">
        <v>752.0599999999999</v>
      </c>
      <c r="AT171" t="n">
        <v>752.0599999999999</v>
      </c>
      <c r="AU171" t="n">
        <v>752.0599999999999</v>
      </c>
      <c r="AV171" t="n">
        <v>723.135</v>
      </c>
      <c r="AW171" t="n">
        <v>723.135</v>
      </c>
      <c r="AX171" t="n">
        <v>752.0599999999999</v>
      </c>
      <c r="AY171" t="n">
        <v>752.0599999999999</v>
      </c>
      <c r="AZ171" t="n">
        <v>752.0599999999999</v>
      </c>
      <c r="BA171" t="n">
        <v>752.0599999999999</v>
      </c>
      <c r="BB171" t="n">
        <v>752.0599999999999</v>
      </c>
      <c r="BC171" t="n">
        <v>752.0599999999999</v>
      </c>
      <c r="BD171" t="n">
        <v>780.986</v>
      </c>
      <c r="BE171" t="n">
        <v>780.986</v>
      </c>
      <c r="BF171" t="n">
        <v>780.986</v>
      </c>
      <c r="BG171" t="n">
        <v>665.284</v>
      </c>
      <c r="BH171" t="n">
        <v>491.732</v>
      </c>
      <c r="BI171" t="n">
        <v>578.508</v>
      </c>
      <c r="BJ171" t="n">
        <v>520.657</v>
      </c>
      <c r="BK171" t="n">
        <v>520.657</v>
      </c>
      <c r="BL171" t="n">
        <v>462.806</v>
      </c>
      <c r="BM171" t="n">
        <v>433.881</v>
      </c>
      <c r="BN171" t="n">
        <v>0</v>
      </c>
      <c r="BO171" t="n">
        <v>0</v>
      </c>
      <c r="BP171" t="n">
        <v>0</v>
      </c>
      <c r="BQ171" t="n">
        <v>0</v>
      </c>
      <c r="BR171" t="n">
        <v>0</v>
      </c>
      <c r="BS171" t="n">
        <v>0</v>
      </c>
      <c r="BT171" t="n">
        <v>0</v>
      </c>
      <c r="BU171" t="n">
        <v>0</v>
      </c>
      <c r="BV171" t="n">
        <v>0</v>
      </c>
    </row>
    <row r="172">
      <c r="A172" t="inlineStr">
        <is>
          <t>Evynnis tumifrons</t>
        </is>
      </c>
      <c r="B172" t="inlineStr">
        <is>
          <t>Yellowback seabream</t>
        </is>
      </c>
      <c r="C172" t="inlineStr">
        <is>
          <t>Medium demersals (30 - 89 cm)</t>
        </is>
      </c>
      <c r="D172" t="inlineStr">
        <is>
          <t>Perch-likes</t>
        </is>
      </c>
      <c r="E172" t="n">
        <v>374.139</v>
      </c>
      <c r="F172" t="n">
        <v>378.881</v>
      </c>
      <c r="G172" t="n">
        <v>383.252</v>
      </c>
      <c r="H172" t="n">
        <v>385.416</v>
      </c>
      <c r="I172" t="n">
        <v>386.552</v>
      </c>
      <c r="J172" t="n">
        <v>393.648</v>
      </c>
      <c r="K172" t="n">
        <v>399.786</v>
      </c>
      <c r="L172" t="n">
        <v>404.233</v>
      </c>
      <c r="M172" t="n">
        <v>409.765</v>
      </c>
      <c r="N172" t="n">
        <v>416.832</v>
      </c>
      <c r="O172" t="n">
        <v>420.231</v>
      </c>
      <c r="P172" t="n">
        <v>431.779</v>
      </c>
      <c r="Q172" t="n">
        <v>438.864</v>
      </c>
      <c r="R172" t="n">
        <v>446.384</v>
      </c>
      <c r="S172" t="n">
        <v>455.626</v>
      </c>
      <c r="T172" t="n">
        <v>463.404</v>
      </c>
      <c r="U172" t="n">
        <v>473.34</v>
      </c>
      <c r="V172" t="n">
        <v>486.206</v>
      </c>
      <c r="W172" t="n">
        <v>505.385</v>
      </c>
      <c r="X172" t="n">
        <v>522.929</v>
      </c>
      <c r="Y172" t="n">
        <v>530.835</v>
      </c>
      <c r="Z172" t="n">
        <v>544.41</v>
      </c>
      <c r="AA172" t="n">
        <v>539.391</v>
      </c>
      <c r="AB172" t="n">
        <v>550.5410000000001</v>
      </c>
      <c r="AC172" t="n">
        <v>668.415</v>
      </c>
      <c r="AD172" t="n">
        <v>832.093</v>
      </c>
      <c r="AE172" t="n">
        <v>977.102</v>
      </c>
      <c r="AF172" t="n">
        <v>1107.269</v>
      </c>
      <c r="AG172" t="n">
        <v>1238.49</v>
      </c>
      <c r="AH172" t="n">
        <v>1321.311</v>
      </c>
      <c r="AI172" t="n">
        <v>1411.524</v>
      </c>
      <c r="AJ172" t="n">
        <v>1425.361</v>
      </c>
      <c r="AK172" t="n">
        <v>1480.629</v>
      </c>
      <c r="AL172" t="n">
        <v>1540.953</v>
      </c>
      <c r="AM172" t="n">
        <v>1388.469</v>
      </c>
      <c r="AN172" t="n">
        <v>1252.523</v>
      </c>
      <c r="AO172" t="n">
        <v>1107.203</v>
      </c>
      <c r="AP172" t="n">
        <v>933.128</v>
      </c>
      <c r="AQ172" t="n">
        <v>774.684</v>
      </c>
      <c r="AR172" t="n">
        <v>745.976</v>
      </c>
      <c r="AS172" t="n">
        <v>664.279</v>
      </c>
      <c r="AT172" t="n">
        <v>640.603</v>
      </c>
      <c r="AU172" t="n">
        <v>648.7569999999999</v>
      </c>
      <c r="AV172" t="n">
        <v>625.974</v>
      </c>
      <c r="AW172" t="n">
        <v>620.968</v>
      </c>
      <c r="AX172" t="n">
        <v>653.509</v>
      </c>
      <c r="AY172" t="n">
        <v>642.062</v>
      </c>
      <c r="AZ172" t="n">
        <v>621.196</v>
      </c>
      <c r="BA172" t="n">
        <v>592.426</v>
      </c>
      <c r="BB172" t="n">
        <v>596.215</v>
      </c>
      <c r="BC172" t="n">
        <v>736.251</v>
      </c>
      <c r="BD172" t="n">
        <v>836.73</v>
      </c>
      <c r="BE172" t="n">
        <v>796.122</v>
      </c>
      <c r="BF172" t="n">
        <v>600.021</v>
      </c>
      <c r="BG172" t="n">
        <v>603.5940000000001</v>
      </c>
      <c r="BH172" t="n">
        <v>449.205</v>
      </c>
      <c r="BI172" t="n">
        <v>514.689</v>
      </c>
      <c r="BJ172" t="n">
        <v>481.691</v>
      </c>
      <c r="BK172" t="n">
        <v>413.842</v>
      </c>
      <c r="BL172" t="n">
        <v>398.042</v>
      </c>
      <c r="BM172" t="n">
        <v>344.561</v>
      </c>
      <c r="BN172" t="n">
        <v>96.48</v>
      </c>
      <c r="BO172" t="n">
        <v>97.08199999999999</v>
      </c>
      <c r="BP172" t="n">
        <v>80.67100000000001</v>
      </c>
      <c r="BQ172" t="n">
        <v>87.251</v>
      </c>
      <c r="BR172" t="n">
        <v>83.80500000000001</v>
      </c>
      <c r="BS172" t="n">
        <v>81.349</v>
      </c>
      <c r="BT172" t="n">
        <v>94.223</v>
      </c>
      <c r="BU172" t="n">
        <v>142.295</v>
      </c>
      <c r="BV172" t="n">
        <v>97.033</v>
      </c>
    </row>
    <row r="173">
      <c r="A173" t="inlineStr">
        <is>
          <t>Scyllaridae</t>
        </is>
      </c>
      <c r="B173" t="inlineStr">
        <is>
          <t>Slipper lobsters</t>
        </is>
      </c>
      <c r="C173" t="inlineStr">
        <is>
          <t>Lobsters, crabs</t>
        </is>
      </c>
      <c r="D173" t="inlineStr">
        <is>
          <t>Crustaceans</t>
        </is>
      </c>
      <c r="E173" t="n">
        <v>0</v>
      </c>
      <c r="F173" t="n">
        <v>0</v>
      </c>
      <c r="G173" t="n">
        <v>0</v>
      </c>
      <c r="H173" t="n">
        <v>0</v>
      </c>
      <c r="I173" t="n">
        <v>0</v>
      </c>
      <c r="J173" t="n">
        <v>0</v>
      </c>
      <c r="K173" t="n">
        <v>0</v>
      </c>
      <c r="L173" t="n">
        <v>0</v>
      </c>
      <c r="M173" t="n">
        <v>0</v>
      </c>
      <c r="N173" t="n">
        <v>21.445</v>
      </c>
      <c r="O173" t="n">
        <v>0</v>
      </c>
      <c r="P173" t="n">
        <v>89.67100000000001</v>
      </c>
      <c r="Q173" t="n">
        <v>0</v>
      </c>
      <c r="R173" t="n">
        <v>0</v>
      </c>
      <c r="S173" t="n">
        <v>13.642</v>
      </c>
      <c r="T173" t="n">
        <v>0</v>
      </c>
      <c r="U173" t="n">
        <v>22.602</v>
      </c>
      <c r="V173" t="n">
        <v>9.955</v>
      </c>
      <c r="W173" t="n">
        <v>7.563</v>
      </c>
      <c r="X173" t="n">
        <v>4.274</v>
      </c>
      <c r="Y173" t="n">
        <v>8.645</v>
      </c>
      <c r="Z173" t="n">
        <v>0</v>
      </c>
      <c r="AA173" t="n">
        <v>0</v>
      </c>
      <c r="AB173" t="n">
        <v>0</v>
      </c>
      <c r="AC173" t="n">
        <v>4.891</v>
      </c>
      <c r="AD173" t="n">
        <v>5.881</v>
      </c>
      <c r="AE173" t="n">
        <v>4.435</v>
      </c>
      <c r="AF173" t="n">
        <v>0</v>
      </c>
      <c r="AG173" t="n">
        <v>0</v>
      </c>
      <c r="AH173" t="n">
        <v>0</v>
      </c>
      <c r="AI173" t="n">
        <v>0</v>
      </c>
      <c r="AJ173" t="n">
        <v>0</v>
      </c>
      <c r="AK173" t="n">
        <v>8.933999999999999</v>
      </c>
      <c r="AL173" t="n">
        <v>0</v>
      </c>
      <c r="AM173" t="n">
        <v>0</v>
      </c>
      <c r="AN173" t="n">
        <v>0</v>
      </c>
      <c r="AO173" t="n">
        <v>0</v>
      </c>
      <c r="AP173" t="n">
        <v>0</v>
      </c>
      <c r="AQ173" t="n">
        <v>3.65</v>
      </c>
      <c r="AR173" t="n">
        <v>404.266</v>
      </c>
      <c r="AS173" t="n">
        <v>200.932</v>
      </c>
      <c r="AT173" t="n">
        <v>277.726</v>
      </c>
      <c r="AU173" t="n">
        <v>526.744</v>
      </c>
      <c r="AV173" t="n">
        <v>471.983</v>
      </c>
      <c r="AW173" t="n">
        <v>362.803</v>
      </c>
      <c r="AX173" t="n">
        <v>1730.562</v>
      </c>
      <c r="AY173" t="n">
        <v>2308.124</v>
      </c>
      <c r="AZ173" t="n">
        <v>1087.839</v>
      </c>
      <c r="BA173" t="n">
        <v>1098.689</v>
      </c>
      <c r="BB173" t="n">
        <v>1115.661</v>
      </c>
      <c r="BC173" t="n">
        <v>2029.524</v>
      </c>
      <c r="BD173" t="n">
        <v>2086.092</v>
      </c>
      <c r="BE173" t="n">
        <v>1209.632</v>
      </c>
      <c r="BF173" t="n">
        <v>755.222</v>
      </c>
      <c r="BG173" t="n">
        <v>1190.502</v>
      </c>
      <c r="BH173" t="n">
        <v>758.664</v>
      </c>
      <c r="BI173" t="n">
        <v>861.518</v>
      </c>
      <c r="BJ173" t="n">
        <v>651.462</v>
      </c>
      <c r="BK173" t="n">
        <v>678.569</v>
      </c>
      <c r="BL173" t="n">
        <v>458.72</v>
      </c>
      <c r="BM173" t="n">
        <v>6413.403</v>
      </c>
      <c r="BN173" t="n">
        <v>6134.123</v>
      </c>
      <c r="BO173" t="n">
        <v>705.177</v>
      </c>
      <c r="BP173" t="n">
        <v>951.698</v>
      </c>
      <c r="BQ173" t="n">
        <v>1027.834</v>
      </c>
      <c r="BR173" t="n">
        <v>828.913</v>
      </c>
      <c r="BS173" t="n">
        <v>1093.006</v>
      </c>
      <c r="BT173" t="n">
        <v>1031.627</v>
      </c>
      <c r="BU173" t="n">
        <v>1046.42</v>
      </c>
      <c r="BV173" t="n">
        <v>977.505</v>
      </c>
    </row>
    <row r="174">
      <c r="A174" t="inlineStr">
        <is>
          <t>Xiphias gladius</t>
        </is>
      </c>
      <c r="B174" t="inlineStr">
        <is>
          <t>Swordfish</t>
        </is>
      </c>
      <c r="C174" t="inlineStr">
        <is>
          <t>Large pelagics (&gt;=90 cm)</t>
        </is>
      </c>
      <c r="D174" t="inlineStr">
        <is>
          <t>Tuna &amp; billfishes</t>
        </is>
      </c>
      <c r="E174" t="n">
        <v>320.347</v>
      </c>
      <c r="F174" t="n">
        <v>320.377</v>
      </c>
      <c r="G174" t="n">
        <v>321.32</v>
      </c>
      <c r="H174" t="n">
        <v>211.729</v>
      </c>
      <c r="I174" t="n">
        <v>333.232</v>
      </c>
      <c r="J174" t="n">
        <v>605.977</v>
      </c>
      <c r="K174" t="n">
        <v>565.359</v>
      </c>
      <c r="L174" t="n">
        <v>187.923</v>
      </c>
      <c r="M174" t="n">
        <v>433.148</v>
      </c>
      <c r="N174" t="n">
        <v>308.073</v>
      </c>
      <c r="O174" t="n">
        <v>319.764</v>
      </c>
      <c r="P174" t="n">
        <v>313.504</v>
      </c>
      <c r="Q174" t="n">
        <v>493.153</v>
      </c>
      <c r="R174" t="n">
        <v>489.289</v>
      </c>
      <c r="S174" t="n">
        <v>132.094</v>
      </c>
      <c r="T174" t="n">
        <v>102.716</v>
      </c>
      <c r="U174" t="n">
        <v>282.018</v>
      </c>
      <c r="V174" t="n">
        <v>201.684</v>
      </c>
      <c r="W174" t="n">
        <v>333.467</v>
      </c>
      <c r="X174" t="n">
        <v>615.745</v>
      </c>
      <c r="Y174" t="n">
        <v>732.265</v>
      </c>
      <c r="Z174" t="n">
        <v>71.383</v>
      </c>
      <c r="AA174" t="n">
        <v>269.623</v>
      </c>
      <c r="AB174" t="n">
        <v>323.902</v>
      </c>
      <c r="AC174" t="n">
        <v>346.111</v>
      </c>
      <c r="AD174" t="n">
        <v>567.674</v>
      </c>
      <c r="AE174" t="n">
        <v>671.908</v>
      </c>
      <c r="AF174" t="n">
        <v>479.107</v>
      </c>
      <c r="AG174" t="n">
        <v>532.011</v>
      </c>
      <c r="AH174" t="n">
        <v>477.2</v>
      </c>
      <c r="AI174" t="n">
        <v>377.704</v>
      </c>
      <c r="AJ174" t="n">
        <v>578.822</v>
      </c>
      <c r="AK174" t="n">
        <v>412.814</v>
      </c>
      <c r="AL174" t="n">
        <v>570.122</v>
      </c>
      <c r="AM174" t="n">
        <v>558.099</v>
      </c>
      <c r="AN174" t="n">
        <v>768.562</v>
      </c>
      <c r="AO174" t="n">
        <v>572.78</v>
      </c>
      <c r="AP174" t="n">
        <v>596.643</v>
      </c>
      <c r="AQ174" t="n">
        <v>701.244</v>
      </c>
      <c r="AR174" t="n">
        <v>614.95</v>
      </c>
      <c r="AS174" t="n">
        <v>610.482</v>
      </c>
      <c r="AT174" t="n">
        <v>441.741</v>
      </c>
      <c r="AU174" t="n">
        <v>626.111</v>
      </c>
      <c r="AV174" t="n">
        <v>588.955</v>
      </c>
      <c r="AW174" t="n">
        <v>543.879</v>
      </c>
      <c r="AX174" t="n">
        <v>460.68</v>
      </c>
      <c r="AY174" t="n">
        <v>690.468</v>
      </c>
      <c r="AZ174" t="n">
        <v>568.638</v>
      </c>
      <c r="BA174" t="n">
        <v>551.24</v>
      </c>
      <c r="BB174" t="n">
        <v>491.497</v>
      </c>
      <c r="BC174" t="n">
        <v>454.615</v>
      </c>
      <c r="BD174" t="n">
        <v>345.171</v>
      </c>
      <c r="BE174" t="n">
        <v>364.775</v>
      </c>
      <c r="BF174" t="n">
        <v>125.931</v>
      </c>
      <c r="BG174" t="n">
        <v>562.303</v>
      </c>
      <c r="BH174" t="n">
        <v>783.225</v>
      </c>
      <c r="BI174" t="n">
        <v>673.814</v>
      </c>
      <c r="BJ174" t="n">
        <v>296.25</v>
      </c>
      <c r="BK174" t="n">
        <v>118.633</v>
      </c>
      <c r="BL174" t="n">
        <v>150.461</v>
      </c>
      <c r="BM174" t="n">
        <v>110.745</v>
      </c>
      <c r="BN174" t="n">
        <v>562.7430000000001</v>
      </c>
      <c r="BO174" t="n">
        <v>577.101</v>
      </c>
      <c r="BP174" t="n">
        <v>539.794</v>
      </c>
      <c r="BQ174" t="n">
        <v>1226.949</v>
      </c>
      <c r="BR174" t="n">
        <v>1270.519</v>
      </c>
      <c r="BS174" t="n">
        <v>1229.209</v>
      </c>
      <c r="BT174" t="n">
        <v>1254.094</v>
      </c>
      <c r="BU174" t="n">
        <v>1311.906</v>
      </c>
      <c r="BV174" t="n">
        <v>1151.096</v>
      </c>
    </row>
    <row r="175">
      <c r="A175" t="inlineStr">
        <is>
          <t>Epinephelus coioides</t>
        </is>
      </c>
      <c r="B175" t="inlineStr">
        <is>
          <t>Orange-spotted grouper</t>
        </is>
      </c>
      <c r="C175" t="inlineStr">
        <is>
          <t>Large reef assoc. fish (&gt;=90 cm)</t>
        </is>
      </c>
      <c r="D175" t="inlineStr">
        <is>
          <t>Perch-likes</t>
        </is>
      </c>
      <c r="E175" t="n">
        <v>106.117</v>
      </c>
      <c r="F175" t="n">
        <v>106.398</v>
      </c>
      <c r="G175" t="n">
        <v>106.68</v>
      </c>
      <c r="H175" t="n">
        <v>106.962</v>
      </c>
      <c r="I175" t="n">
        <v>134.056</v>
      </c>
      <c r="J175" t="n">
        <v>134.411</v>
      </c>
      <c r="K175" t="n">
        <v>134.767</v>
      </c>
      <c r="L175" t="n">
        <v>162.149</v>
      </c>
      <c r="M175" t="n">
        <v>189.675</v>
      </c>
      <c r="N175" t="n">
        <v>298.851</v>
      </c>
      <c r="O175" t="n">
        <v>299.643</v>
      </c>
      <c r="P175" t="n">
        <v>491.626</v>
      </c>
      <c r="Q175" t="n">
        <v>273.851</v>
      </c>
      <c r="R175" t="n">
        <v>302.035</v>
      </c>
      <c r="S175" t="n">
        <v>247.776</v>
      </c>
      <c r="T175" t="n">
        <v>220.831</v>
      </c>
      <c r="U175" t="n">
        <v>193.74</v>
      </c>
      <c r="V175" t="n">
        <v>222.006</v>
      </c>
      <c r="W175" t="n">
        <v>333.895</v>
      </c>
      <c r="X175" t="n">
        <v>334.784</v>
      </c>
      <c r="Y175" t="n">
        <v>335.675</v>
      </c>
      <c r="Z175" t="n">
        <v>336.569</v>
      </c>
      <c r="AA175" t="n">
        <v>309.344</v>
      </c>
      <c r="AB175" t="n">
        <v>310.168</v>
      </c>
      <c r="AC175" t="n">
        <v>369.236</v>
      </c>
      <c r="AD175" t="n">
        <v>371.922</v>
      </c>
      <c r="AE175" t="n">
        <v>502.617</v>
      </c>
      <c r="AF175" t="n">
        <v>632.746</v>
      </c>
      <c r="AG175" t="n">
        <v>802.953</v>
      </c>
      <c r="AH175" t="n">
        <v>963.602</v>
      </c>
      <c r="AI175" t="n">
        <v>935.096</v>
      </c>
      <c r="AJ175" t="n">
        <v>963.846</v>
      </c>
      <c r="AK175" t="n">
        <v>930.203</v>
      </c>
      <c r="AL175" t="n">
        <v>950.165</v>
      </c>
      <c r="AM175" t="n">
        <v>1062.822</v>
      </c>
      <c r="AN175" t="n">
        <v>944.895</v>
      </c>
      <c r="AO175" t="n">
        <v>1144.442</v>
      </c>
      <c r="AP175" t="n">
        <v>1433.422</v>
      </c>
      <c r="AQ175" t="n">
        <v>1255.585</v>
      </c>
      <c r="AR175" t="n">
        <v>989.837</v>
      </c>
      <c r="AS175" t="n">
        <v>752.354</v>
      </c>
      <c r="AT175" t="n">
        <v>677.501</v>
      </c>
      <c r="AU175" t="n">
        <v>955.7670000000001</v>
      </c>
      <c r="AV175" t="n">
        <v>867.804</v>
      </c>
      <c r="AW175" t="n">
        <v>717.6609999999999</v>
      </c>
      <c r="AX175" t="n">
        <v>603.984</v>
      </c>
      <c r="AY175" t="n">
        <v>601.6609999999999</v>
      </c>
      <c r="AZ175" t="n">
        <v>588.054</v>
      </c>
      <c r="BA175" t="n">
        <v>553.253</v>
      </c>
      <c r="BB175" t="n">
        <v>401.554</v>
      </c>
      <c r="BC175" t="n">
        <v>490.789</v>
      </c>
      <c r="BD175" t="n">
        <v>535.4059999999999</v>
      </c>
      <c r="BE175" t="n">
        <v>513.097</v>
      </c>
      <c r="BF175" t="n">
        <v>468.48</v>
      </c>
      <c r="BG175" t="n">
        <v>513.097</v>
      </c>
      <c r="BH175" t="n">
        <v>490.789</v>
      </c>
      <c r="BI175" t="n">
        <v>446.172</v>
      </c>
      <c r="BJ175" t="n">
        <v>446.172</v>
      </c>
      <c r="BK175" t="n">
        <v>459.557</v>
      </c>
      <c r="BL175" t="n">
        <v>464.018</v>
      </c>
      <c r="BM175" t="n">
        <v>468.48</v>
      </c>
      <c r="BN175" t="n">
        <v>475.239</v>
      </c>
      <c r="BO175" t="n">
        <v>431.678</v>
      </c>
      <c r="BP175" t="n">
        <v>472.866</v>
      </c>
      <c r="BQ175" t="n">
        <v>447.779</v>
      </c>
      <c r="BR175" t="n">
        <v>404.139</v>
      </c>
      <c r="BS175" t="n">
        <v>397.408</v>
      </c>
      <c r="BT175" t="n">
        <v>355.04</v>
      </c>
      <c r="BU175" t="n">
        <v>345.98</v>
      </c>
      <c r="BV175" t="n">
        <v>342.124</v>
      </c>
    </row>
    <row r="176">
      <c r="A176" t="inlineStr">
        <is>
          <t>Gobiidae</t>
        </is>
      </c>
      <c r="B176" t="inlineStr">
        <is>
          <t>Gobies</t>
        </is>
      </c>
      <c r="C176" t="inlineStr">
        <is>
          <t>Small reef assoc. fish (&lt;30 cm)</t>
        </is>
      </c>
      <c r="D176" t="inlineStr">
        <is>
          <t>Perch-likes</t>
        </is>
      </c>
      <c r="E176" t="n">
        <v>25.713</v>
      </c>
      <c r="F176" t="n">
        <v>25.716</v>
      </c>
      <c r="G176" t="n">
        <v>26.199</v>
      </c>
      <c r="H176" t="n">
        <v>26.733</v>
      </c>
      <c r="I176" t="n">
        <v>25.716</v>
      </c>
      <c r="J176" t="n">
        <v>25.716</v>
      </c>
      <c r="K176" t="n">
        <v>25.723</v>
      </c>
      <c r="L176" t="n">
        <v>25.725</v>
      </c>
      <c r="M176" t="n">
        <v>25.725</v>
      </c>
      <c r="N176" t="n">
        <v>25.724</v>
      </c>
      <c r="O176" t="n">
        <v>25.721</v>
      </c>
      <c r="P176" t="n">
        <v>26.643</v>
      </c>
      <c r="Q176" t="n">
        <v>25.727</v>
      </c>
      <c r="R176" t="n">
        <v>25.728</v>
      </c>
      <c r="S176" t="n">
        <v>27.17</v>
      </c>
      <c r="T176" t="n">
        <v>25.734</v>
      </c>
      <c r="U176" t="n">
        <v>27.282</v>
      </c>
      <c r="V176" t="n">
        <v>25.737</v>
      </c>
      <c r="W176" t="n">
        <v>26.312</v>
      </c>
      <c r="X176" t="n">
        <v>26.55</v>
      </c>
      <c r="Y176" t="n">
        <v>26.031</v>
      </c>
      <c r="Z176" t="n">
        <v>26.14</v>
      </c>
      <c r="AA176" t="n">
        <v>25.734</v>
      </c>
      <c r="AB176" t="n">
        <v>25.736</v>
      </c>
      <c r="AC176" t="n">
        <v>25.741</v>
      </c>
      <c r="AD176" t="n">
        <v>26.67</v>
      </c>
      <c r="AE176" t="n">
        <v>684.285</v>
      </c>
      <c r="AF176" t="n">
        <v>963.332</v>
      </c>
      <c r="AG176" t="n">
        <v>896.522</v>
      </c>
      <c r="AH176" t="n">
        <v>644.62</v>
      </c>
      <c r="AI176" t="n">
        <v>602.3390000000001</v>
      </c>
      <c r="AJ176" t="n">
        <v>814.306</v>
      </c>
      <c r="AK176" t="n">
        <v>1059.876</v>
      </c>
      <c r="AL176" t="n">
        <v>1361.943</v>
      </c>
      <c r="AM176" t="n">
        <v>961.462</v>
      </c>
      <c r="AN176" t="n">
        <v>1220.447</v>
      </c>
      <c r="AO176" t="n">
        <v>1086.404</v>
      </c>
      <c r="AP176" t="n">
        <v>1531.569</v>
      </c>
      <c r="AQ176" t="n">
        <v>2091.821</v>
      </c>
      <c r="AR176" t="n">
        <v>1752.948</v>
      </c>
      <c r="AS176" t="n">
        <v>1177.957</v>
      </c>
      <c r="AT176" t="n">
        <v>975.158</v>
      </c>
      <c r="AU176" t="n">
        <v>1271.926</v>
      </c>
      <c r="AV176" t="n">
        <v>1005.07</v>
      </c>
      <c r="AW176" t="n">
        <v>1617.419</v>
      </c>
      <c r="AX176" t="n">
        <v>902.379</v>
      </c>
      <c r="AY176" t="n">
        <v>960.422</v>
      </c>
      <c r="AZ176" t="n">
        <v>926.878</v>
      </c>
      <c r="BA176" t="n">
        <v>825.413</v>
      </c>
      <c r="BB176" t="n">
        <v>419.14</v>
      </c>
      <c r="BC176" t="n">
        <v>337.39</v>
      </c>
      <c r="BD176" t="n">
        <v>306.815</v>
      </c>
      <c r="BE176" t="n">
        <v>175.722</v>
      </c>
      <c r="BF176" t="n">
        <v>207.43</v>
      </c>
      <c r="BG176" t="n">
        <v>291.528</v>
      </c>
      <c r="BH176" t="n">
        <v>1751.459</v>
      </c>
      <c r="BI176" t="n">
        <v>473.896</v>
      </c>
      <c r="BJ176" t="n">
        <v>331.058</v>
      </c>
      <c r="BK176" t="n">
        <v>183.167</v>
      </c>
      <c r="BL176" t="n">
        <v>274.902</v>
      </c>
      <c r="BM176" t="n">
        <v>194.996</v>
      </c>
      <c r="BN176" t="n">
        <v>250.664</v>
      </c>
      <c r="BO176" t="n">
        <v>336.833</v>
      </c>
      <c r="BP176" t="n">
        <v>301.025</v>
      </c>
      <c r="BQ176" t="n">
        <v>323.315</v>
      </c>
      <c r="BR176" t="n">
        <v>257.147</v>
      </c>
      <c r="BS176" t="n">
        <v>342.259</v>
      </c>
      <c r="BT176" t="n">
        <v>323.187</v>
      </c>
      <c r="BU176" t="n">
        <v>328.546</v>
      </c>
      <c r="BV176" t="n">
        <v>460.142</v>
      </c>
    </row>
    <row r="177">
      <c r="A177" t="inlineStr">
        <is>
          <t>Ariomma indica</t>
        </is>
      </c>
      <c r="B177" t="inlineStr">
        <is>
          <t>Indian driftfish</t>
        </is>
      </c>
      <c r="C177" t="inlineStr">
        <is>
          <t>Small benthopelagics (&lt;30 cm)</t>
        </is>
      </c>
      <c r="D177" t="inlineStr">
        <is>
          <t>Perch-likes</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828.278</v>
      </c>
      <c r="W177" t="n">
        <v>1469.313</v>
      </c>
      <c r="X177" t="n">
        <v>1345.117</v>
      </c>
      <c r="Y177" t="n">
        <v>1990.935</v>
      </c>
      <c r="Z177" t="n">
        <v>1159.106</v>
      </c>
      <c r="AA177" t="n">
        <v>1033.062</v>
      </c>
      <c r="AB177" t="n">
        <v>906.3390000000001</v>
      </c>
      <c r="AC177" t="n">
        <v>1187.874</v>
      </c>
      <c r="AD177" t="n">
        <v>1470.255</v>
      </c>
      <c r="AE177" t="n">
        <v>1261.423</v>
      </c>
      <c r="AF177" t="n">
        <v>1274.215</v>
      </c>
      <c r="AG177" t="n">
        <v>1242.094</v>
      </c>
      <c r="AH177" t="n">
        <v>1072.721</v>
      </c>
      <c r="AI177" t="n">
        <v>1450.273</v>
      </c>
      <c r="AJ177" t="n">
        <v>1382.895</v>
      </c>
      <c r="AK177" t="n">
        <v>1423.296</v>
      </c>
      <c r="AL177" t="n">
        <v>1237.06</v>
      </c>
      <c r="AM177" t="n">
        <v>1301.877</v>
      </c>
      <c r="AN177" t="n">
        <v>1116.343</v>
      </c>
      <c r="AO177" t="n">
        <v>1070.189</v>
      </c>
      <c r="AP177" t="n">
        <v>1286.515</v>
      </c>
      <c r="AQ177" t="n">
        <v>1197.724</v>
      </c>
      <c r="AR177" t="n">
        <v>564.726</v>
      </c>
      <c r="AS177" t="n">
        <v>399.63</v>
      </c>
      <c r="AT177" t="n">
        <v>723.861</v>
      </c>
      <c r="AU177" t="n">
        <v>362.812</v>
      </c>
      <c r="AV177" t="n">
        <v>125.648</v>
      </c>
      <c r="AW177" t="n">
        <v>280.273</v>
      </c>
      <c r="AX177" t="n">
        <v>285.908</v>
      </c>
      <c r="AY177" t="n">
        <v>122.879</v>
      </c>
      <c r="AZ177" t="n">
        <v>80.926</v>
      </c>
      <c r="BA177" t="n">
        <v>50.194</v>
      </c>
      <c r="BB177" t="n">
        <v>35.853</v>
      </c>
      <c r="BC177" t="n">
        <v>40.975</v>
      </c>
      <c r="BD177" t="n">
        <v>46.097</v>
      </c>
      <c r="BE177" t="n">
        <v>40.975</v>
      </c>
      <c r="BF177" t="n">
        <v>37.902</v>
      </c>
      <c r="BG177" t="n">
        <v>39.951</v>
      </c>
      <c r="BH177" t="n">
        <v>38.926</v>
      </c>
      <c r="BI177" t="n">
        <v>37.902</v>
      </c>
      <c r="BJ177" t="n">
        <v>37.902</v>
      </c>
      <c r="BK177" t="n">
        <v>38.926</v>
      </c>
      <c r="BL177" t="n">
        <v>40.975</v>
      </c>
      <c r="BM177" t="n">
        <v>43.024</v>
      </c>
      <c r="BN177" t="n">
        <v>43.803</v>
      </c>
      <c r="BO177" t="n">
        <v>40.067</v>
      </c>
      <c r="BP177" t="n">
        <v>43.691</v>
      </c>
      <c r="BQ177" t="n">
        <v>41.123</v>
      </c>
      <c r="BR177" t="n">
        <v>37.266</v>
      </c>
      <c r="BS177" t="n">
        <v>36.645</v>
      </c>
      <c r="BT177" t="n">
        <v>32.739</v>
      </c>
      <c r="BU177" t="n">
        <v>31.903</v>
      </c>
      <c r="BV177" t="n">
        <v>31.548</v>
      </c>
    </row>
    <row r="178">
      <c r="A178" t="inlineStr">
        <is>
          <t>Platycaranx talamparoides</t>
        </is>
      </c>
      <c r="B178" t="inlineStr">
        <is>
          <t>Imposter trevally</t>
        </is>
      </c>
      <c r="C178" t="inlineStr">
        <is>
          <t>Medium pelagics (30 - 89 cm)</t>
        </is>
      </c>
      <c r="D178" t="inlineStr">
        <is>
          <t>Perch-likes</t>
        </is>
      </c>
      <c r="E178" t="n">
        <v>550.749</v>
      </c>
      <c r="F178" t="n">
        <v>551.704</v>
      </c>
      <c r="G178" t="n">
        <v>773.728</v>
      </c>
      <c r="H178" t="n">
        <v>775.077</v>
      </c>
      <c r="I178" t="n">
        <v>942.811</v>
      </c>
      <c r="J178" t="n">
        <v>555.567</v>
      </c>
      <c r="K178" t="n">
        <v>834.816</v>
      </c>
      <c r="L178" t="n">
        <v>836.288</v>
      </c>
      <c r="M178" t="n">
        <v>893.617</v>
      </c>
      <c r="N178" t="n">
        <v>1678.503</v>
      </c>
      <c r="O178" t="n">
        <v>672.595</v>
      </c>
      <c r="P178" t="n">
        <v>1291.439</v>
      </c>
      <c r="Q178" t="n">
        <v>899.999</v>
      </c>
      <c r="R178" t="n">
        <v>1183.366</v>
      </c>
      <c r="S178" t="n">
        <v>1411.302</v>
      </c>
      <c r="T178" t="n">
        <v>395.877</v>
      </c>
      <c r="U178" t="n">
        <v>339.937</v>
      </c>
      <c r="V178" t="n">
        <v>510.829</v>
      </c>
      <c r="W178" t="n">
        <v>739.206</v>
      </c>
      <c r="X178" t="n">
        <v>683.588</v>
      </c>
      <c r="Y178" t="n">
        <v>513.628</v>
      </c>
      <c r="Z178" t="n">
        <v>628.919</v>
      </c>
      <c r="AA178" t="n">
        <v>687.355</v>
      </c>
      <c r="AB178" t="n">
        <v>746.0069999999999</v>
      </c>
      <c r="AC178" t="n">
        <v>697.944</v>
      </c>
      <c r="AD178" t="n">
        <v>966.492</v>
      </c>
      <c r="AE178" t="n">
        <v>882.716</v>
      </c>
      <c r="AF178" t="n">
        <v>857.914</v>
      </c>
      <c r="AG178" t="n">
        <v>565.833</v>
      </c>
      <c r="AH178" t="n">
        <v>685.158</v>
      </c>
      <c r="AI178" t="n">
        <v>689.355</v>
      </c>
      <c r="AJ178" t="n">
        <v>663.503</v>
      </c>
      <c r="AK178" t="n">
        <v>600.034</v>
      </c>
      <c r="AL178" t="n">
        <v>491.54</v>
      </c>
      <c r="AM178" t="n">
        <v>482.466</v>
      </c>
      <c r="AN178" t="n">
        <v>374.409</v>
      </c>
      <c r="AO178" t="n">
        <v>352.123</v>
      </c>
      <c r="AP178" t="n">
        <v>417.786</v>
      </c>
      <c r="AQ178" t="n">
        <v>546.582</v>
      </c>
      <c r="AR178" t="n">
        <v>359.221</v>
      </c>
      <c r="AS178" t="n">
        <v>263.908</v>
      </c>
      <c r="AT178" t="n">
        <v>248.055</v>
      </c>
      <c r="AU178" t="n">
        <v>200.872</v>
      </c>
      <c r="AV178" t="n">
        <v>35.834</v>
      </c>
      <c r="AW178" t="n">
        <v>52.713</v>
      </c>
      <c r="AX178" t="n">
        <v>79.369</v>
      </c>
      <c r="AY178" t="n">
        <v>50.602</v>
      </c>
      <c r="AZ178" t="n">
        <v>25.065</v>
      </c>
      <c r="BA178" t="n">
        <v>15.191</v>
      </c>
      <c r="BB178" t="n">
        <v>7.595</v>
      </c>
      <c r="BC178" t="n">
        <v>11.393</v>
      </c>
      <c r="BD178" t="n">
        <v>12.912</v>
      </c>
      <c r="BE178" t="n">
        <v>11.393</v>
      </c>
      <c r="BF178" t="n">
        <v>10.633</v>
      </c>
      <c r="BG178" t="n">
        <v>11.393</v>
      </c>
      <c r="BH178" t="n">
        <v>11.393</v>
      </c>
      <c r="BI178" t="n">
        <v>10.633</v>
      </c>
      <c r="BJ178" t="n">
        <v>10.633</v>
      </c>
      <c r="BK178" t="n">
        <v>10.633</v>
      </c>
      <c r="BL178" t="n">
        <v>11.393</v>
      </c>
      <c r="BM178" t="n">
        <v>12.153</v>
      </c>
      <c r="BN178" t="n">
        <v>12.298</v>
      </c>
      <c r="BO178" t="n">
        <v>11.271</v>
      </c>
      <c r="BP178" t="n">
        <v>12.266</v>
      </c>
      <c r="BQ178" t="n">
        <v>11.569</v>
      </c>
      <c r="BR178" t="n">
        <v>10.484</v>
      </c>
      <c r="BS178" t="n">
        <v>10.309</v>
      </c>
      <c r="BT178" t="n">
        <v>9.210000000000001</v>
      </c>
      <c r="BU178" t="n">
        <v>8.975</v>
      </c>
      <c r="BV178" t="n">
        <v>8.875</v>
      </c>
    </row>
    <row r="179">
      <c r="A179" t="inlineStr">
        <is>
          <t>Decapterus russelli</t>
        </is>
      </c>
      <c r="B179" t="inlineStr">
        <is>
          <t>Indian scad</t>
        </is>
      </c>
      <c r="C179" t="inlineStr">
        <is>
          <t>Medium pelagics (30 - 89 cm)</t>
        </is>
      </c>
      <c r="D179" t="inlineStr">
        <is>
          <t>Perch-likes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6780.143</v>
      </c>
      <c r="AS179" t="n">
        <v>11579.662</v>
      </c>
      <c r="AT179" t="n">
        <v>2370.101</v>
      </c>
      <c r="AU179" t="n">
        <v>174.879</v>
      </c>
      <c r="AV179" t="n">
        <v>425.54</v>
      </c>
      <c r="AW179" t="n">
        <v>338.956</v>
      </c>
      <c r="AX179" t="n">
        <v>152.972</v>
      </c>
      <c r="AY179" t="n">
        <v>189.509</v>
      </c>
      <c r="AZ179" t="n">
        <v>335.36</v>
      </c>
      <c r="BA179" t="n">
        <v>2368.215</v>
      </c>
      <c r="BB179" t="n">
        <v>2808.258</v>
      </c>
      <c r="BC179" t="n">
        <v>1347.728</v>
      </c>
      <c r="BD179" t="n">
        <v>221.896</v>
      </c>
      <c r="BE179" t="n">
        <v>23.828</v>
      </c>
      <c r="BF179" t="n">
        <v>13.346</v>
      </c>
      <c r="BG179" t="n">
        <v>16.917</v>
      </c>
      <c r="BH179" t="n">
        <v>13.432</v>
      </c>
      <c r="BI179" t="n">
        <v>56.702</v>
      </c>
      <c r="BJ179" t="n">
        <v>35.724</v>
      </c>
      <c r="BK179" t="n">
        <v>103.245</v>
      </c>
      <c r="BL179" t="n">
        <v>12.284</v>
      </c>
      <c r="BM179" t="n">
        <v>36.453</v>
      </c>
      <c r="BN179" t="n">
        <v>78.46599999999999</v>
      </c>
      <c r="BO179" t="n">
        <v>65.292</v>
      </c>
      <c r="BP179" t="n">
        <v>91.51900000000001</v>
      </c>
      <c r="BQ179" t="n">
        <v>0</v>
      </c>
      <c r="BR179" t="n">
        <v>0</v>
      </c>
      <c r="BS179" t="n">
        <v>0</v>
      </c>
      <c r="BT179" t="n">
        <v>0</v>
      </c>
      <c r="BU179" t="n">
        <v>10.294</v>
      </c>
      <c r="BV179" t="n">
        <v>24.583</v>
      </c>
    </row>
    <row r="180">
      <c r="A180" t="inlineStr">
        <is>
          <t>Panulirus</t>
        </is>
      </c>
      <c r="B180" t="inlineStr">
        <is>
          <t>Spiny lobsters</t>
        </is>
      </c>
      <c r="C180" t="inlineStr">
        <is>
          <t>Lobsters, crabs</t>
        </is>
      </c>
      <c r="D180" t="inlineStr">
        <is>
          <t>Crustaceans</t>
        </is>
      </c>
      <c r="E180" t="n">
        <v>354.428</v>
      </c>
      <c r="F180" t="n">
        <v>354.428</v>
      </c>
      <c r="G180" t="n">
        <v>354.428</v>
      </c>
      <c r="H180" t="n">
        <v>354.428</v>
      </c>
      <c r="I180" t="n">
        <v>331.353</v>
      </c>
      <c r="J180" t="n">
        <v>308.278</v>
      </c>
      <c r="K180" t="n">
        <v>356.855</v>
      </c>
      <c r="L180" t="n">
        <v>415.728</v>
      </c>
      <c r="M180" t="n">
        <v>427.74</v>
      </c>
      <c r="N180" t="n">
        <v>428.689</v>
      </c>
      <c r="O180" t="n">
        <v>426.026</v>
      </c>
      <c r="P180" t="n">
        <v>423.955</v>
      </c>
      <c r="Q180" t="n">
        <v>520.698</v>
      </c>
      <c r="R180" t="n">
        <v>471.529</v>
      </c>
      <c r="S180" t="n">
        <v>603.974</v>
      </c>
      <c r="T180" t="n">
        <v>514.328</v>
      </c>
      <c r="U180" t="n">
        <v>534.728</v>
      </c>
      <c r="V180" t="n">
        <v>576.998</v>
      </c>
      <c r="W180" t="n">
        <v>613.326</v>
      </c>
      <c r="X180" t="n">
        <v>592.068</v>
      </c>
      <c r="Y180" t="n">
        <v>586.963</v>
      </c>
      <c r="Z180" t="n">
        <v>553.801</v>
      </c>
      <c r="AA180" t="n">
        <v>547.736</v>
      </c>
      <c r="AB180" t="n">
        <v>549.308</v>
      </c>
      <c r="AC180" t="n">
        <v>542.263</v>
      </c>
      <c r="AD180" t="n">
        <v>471.323</v>
      </c>
      <c r="AE180" t="n">
        <v>456.988</v>
      </c>
      <c r="AF180" t="n">
        <v>463.42</v>
      </c>
      <c r="AG180" t="n">
        <v>470.833</v>
      </c>
      <c r="AH180" t="n">
        <v>487.475</v>
      </c>
      <c r="AI180" t="n">
        <v>510.428</v>
      </c>
      <c r="AJ180" t="n">
        <v>531.318</v>
      </c>
      <c r="AK180" t="n">
        <v>625.701</v>
      </c>
      <c r="AL180" t="n">
        <v>586.841</v>
      </c>
      <c r="AM180" t="n">
        <v>593.273</v>
      </c>
      <c r="AN180" t="n">
        <v>616.103</v>
      </c>
      <c r="AO180" t="n">
        <v>602.871</v>
      </c>
      <c r="AP180" t="n">
        <v>632.134</v>
      </c>
      <c r="AQ180" t="n">
        <v>557.313</v>
      </c>
      <c r="AR180" t="n">
        <v>644.896</v>
      </c>
      <c r="AS180" t="n">
        <v>600.196</v>
      </c>
      <c r="AT180" t="n">
        <v>536.913</v>
      </c>
      <c r="AU180" t="n">
        <v>518.085</v>
      </c>
      <c r="AV180" t="n">
        <v>436.588</v>
      </c>
      <c r="AW180" t="n">
        <v>405.242</v>
      </c>
      <c r="AX180" t="n">
        <v>411.92</v>
      </c>
      <c r="AY180" t="n">
        <v>399.892</v>
      </c>
      <c r="AZ180" t="n">
        <v>392.97</v>
      </c>
      <c r="BA180" t="n">
        <v>397.707</v>
      </c>
      <c r="BB180" t="n">
        <v>437.302</v>
      </c>
      <c r="BC180" t="n">
        <v>437.793</v>
      </c>
      <c r="BD180" t="n">
        <v>494.888</v>
      </c>
      <c r="BE180" t="n">
        <v>445.45</v>
      </c>
      <c r="BF180" t="n">
        <v>459.294</v>
      </c>
      <c r="BG180" t="n">
        <v>412.425</v>
      </c>
      <c r="BH180" t="n">
        <v>419.252</v>
      </c>
      <c r="BI180" t="n">
        <v>408.6</v>
      </c>
      <c r="BJ180" t="n">
        <v>410.15</v>
      </c>
      <c r="BK180" t="n">
        <v>434.075</v>
      </c>
      <c r="BL180" t="n">
        <v>428.475</v>
      </c>
      <c r="BM180" t="n">
        <v>395.317</v>
      </c>
      <c r="BN180" t="n">
        <v>0</v>
      </c>
      <c r="BO180" t="n">
        <v>0</v>
      </c>
      <c r="BP180" t="n">
        <v>0</v>
      </c>
      <c r="BQ180" t="n">
        <v>0</v>
      </c>
      <c r="BR180" t="n">
        <v>0</v>
      </c>
      <c r="BS180" t="n">
        <v>0</v>
      </c>
      <c r="BT180" t="n">
        <v>0</v>
      </c>
      <c r="BU180" t="n">
        <v>0</v>
      </c>
      <c r="BV180" t="n">
        <v>0</v>
      </c>
    </row>
    <row r="181">
      <c r="A181" t="inlineStr">
        <is>
          <t>Niphon spinosus</t>
        </is>
      </c>
      <c r="B181" t="inlineStr">
        <is>
          <t>Ara</t>
        </is>
      </c>
      <c r="C181" t="inlineStr">
        <is>
          <t>Medium demersals (30 - 89 cm)</t>
        </is>
      </c>
      <c r="D181" t="inlineStr">
        <is>
          <t>Perch-likes</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16.081</v>
      </c>
      <c r="AA181" t="n">
        <v>32.162</v>
      </c>
      <c r="AB181" t="n">
        <v>48.243</v>
      </c>
      <c r="AC181" t="n">
        <v>64.324</v>
      </c>
      <c r="AD181" t="n">
        <v>80.405</v>
      </c>
      <c r="AE181" t="n">
        <v>96.485</v>
      </c>
      <c r="AF181" t="n">
        <v>112.566</v>
      </c>
      <c r="AG181" t="n">
        <v>128.647</v>
      </c>
      <c r="AH181" t="n">
        <v>144.728</v>
      </c>
      <c r="AI181" t="n">
        <v>160.809</v>
      </c>
      <c r="AJ181" t="n">
        <v>176.89</v>
      </c>
      <c r="AK181" t="n">
        <v>192.971</v>
      </c>
      <c r="AL181" t="n">
        <v>209.052</v>
      </c>
      <c r="AM181" t="n">
        <v>225.133</v>
      </c>
      <c r="AN181" t="n">
        <v>241.214</v>
      </c>
      <c r="AO181" t="n">
        <v>257.295</v>
      </c>
      <c r="AP181" t="n">
        <v>273.375</v>
      </c>
      <c r="AQ181" t="n">
        <v>289.456</v>
      </c>
      <c r="AR181" t="n">
        <v>305.537</v>
      </c>
      <c r="AS181" t="n">
        <v>321.618</v>
      </c>
      <c r="AT181" t="n">
        <v>340.173</v>
      </c>
      <c r="AU181" t="n">
        <v>358.728</v>
      </c>
      <c r="AV181" t="n">
        <v>377.283</v>
      </c>
      <c r="AW181" t="n">
        <v>395.838</v>
      </c>
      <c r="AX181" t="n">
        <v>415.63</v>
      </c>
      <c r="AY181" t="n">
        <v>435.422</v>
      </c>
      <c r="AZ181" t="n">
        <v>455.213</v>
      </c>
      <c r="BA181" t="n">
        <v>475.005</v>
      </c>
      <c r="BB181" t="n">
        <v>494.797</v>
      </c>
      <c r="BC181" t="n">
        <v>524.366</v>
      </c>
      <c r="BD181" t="n">
        <v>553.9349999999999</v>
      </c>
      <c r="BE181" t="n">
        <v>583.504</v>
      </c>
      <c r="BF181" t="n">
        <v>613.074</v>
      </c>
      <c r="BG181" t="n">
        <v>642.643</v>
      </c>
      <c r="BH181" t="n">
        <v>731.595</v>
      </c>
      <c r="BI181" t="n">
        <v>820.548</v>
      </c>
      <c r="BJ181" t="n">
        <v>909.5</v>
      </c>
      <c r="BK181" t="n">
        <v>998.453</v>
      </c>
      <c r="BL181" t="n">
        <v>1075.117</v>
      </c>
      <c r="BM181" t="n">
        <v>1143.998</v>
      </c>
      <c r="BN181" t="n">
        <v>1212.925</v>
      </c>
      <c r="BO181" t="n">
        <v>1281.852</v>
      </c>
      <c r="BP181" t="n">
        <v>1350.779</v>
      </c>
      <c r="BQ181" t="n">
        <v>1419.706</v>
      </c>
      <c r="BR181" t="n">
        <v>1488.633</v>
      </c>
      <c r="BS181" t="n">
        <v>1557.56</v>
      </c>
      <c r="BT181" t="n">
        <v>1626.487</v>
      </c>
      <c r="BU181" t="n">
        <v>1626.547</v>
      </c>
      <c r="BV181" t="n">
        <v>1626.561</v>
      </c>
    </row>
    <row r="182">
      <c r="A182" t="inlineStr">
        <is>
          <t>Chanos chanos</t>
        </is>
      </c>
      <c r="B182" t="inlineStr">
        <is>
          <t>Milkfish</t>
        </is>
      </c>
      <c r="C182" t="inlineStr">
        <is>
          <t>Large benthopelagics (&gt;=90 cm)</t>
        </is>
      </c>
      <c r="D182" t="inlineStr">
        <is>
          <t>Other fishes &amp; inverts</t>
        </is>
      </c>
      <c r="E182" t="n">
        <v>477.923</v>
      </c>
      <c r="F182" t="n">
        <v>1307.726</v>
      </c>
      <c r="G182" t="n">
        <v>253.723</v>
      </c>
      <c r="H182" t="n">
        <v>1236.918</v>
      </c>
      <c r="I182" t="n">
        <v>731.492</v>
      </c>
      <c r="J182" t="n">
        <v>318.354</v>
      </c>
      <c r="K182" t="n">
        <v>330.821</v>
      </c>
      <c r="L182" t="n">
        <v>287.717</v>
      </c>
      <c r="M182" t="n">
        <v>186.072</v>
      </c>
      <c r="N182" t="n">
        <v>138.744</v>
      </c>
      <c r="O182" t="n">
        <v>158.376</v>
      </c>
      <c r="P182" t="n">
        <v>112.62</v>
      </c>
      <c r="Q182" t="n">
        <v>222.832</v>
      </c>
      <c r="R182" t="n">
        <v>175.463</v>
      </c>
      <c r="S182" t="n">
        <v>113.918</v>
      </c>
      <c r="T182" t="n">
        <v>124.297</v>
      </c>
      <c r="U182" t="n">
        <v>185.408</v>
      </c>
      <c r="V182" t="n">
        <v>204.296</v>
      </c>
      <c r="W182" t="n">
        <v>136.96</v>
      </c>
      <c r="X182" t="n">
        <v>147.818</v>
      </c>
      <c r="Y182" t="n">
        <v>121.781</v>
      </c>
      <c r="Z182" t="n">
        <v>99.438</v>
      </c>
      <c r="AA182" t="n">
        <v>113.638</v>
      </c>
      <c r="AB182" t="n">
        <v>168.214</v>
      </c>
      <c r="AC182" t="n">
        <v>142.825</v>
      </c>
      <c r="AD182" t="n">
        <v>827.825</v>
      </c>
      <c r="AE182" t="n">
        <v>304.139</v>
      </c>
      <c r="AF182" t="n">
        <v>577.696</v>
      </c>
      <c r="AG182" t="n">
        <v>385.239</v>
      </c>
      <c r="AH182" t="n">
        <v>364.313</v>
      </c>
      <c r="AI182" t="n">
        <v>405.909</v>
      </c>
      <c r="AJ182" t="n">
        <v>370.831</v>
      </c>
      <c r="AK182" t="n">
        <v>336.593</v>
      </c>
      <c r="AL182" t="n">
        <v>266.15</v>
      </c>
      <c r="AM182" t="n">
        <v>280.841</v>
      </c>
      <c r="AN182" t="n">
        <v>273.136</v>
      </c>
      <c r="AO182" t="n">
        <v>227.182</v>
      </c>
      <c r="AP182" t="n">
        <v>252.857</v>
      </c>
      <c r="AQ182" t="n">
        <v>254.585</v>
      </c>
      <c r="AR182" t="n">
        <v>258.671</v>
      </c>
      <c r="AS182" t="n">
        <v>253.874</v>
      </c>
      <c r="AT182" t="n">
        <v>256.232</v>
      </c>
      <c r="AU182" t="n">
        <v>251.226</v>
      </c>
      <c r="AV182" t="n">
        <v>258.171</v>
      </c>
      <c r="AW182" t="n">
        <v>285.421</v>
      </c>
      <c r="AX182" t="n">
        <v>259.693</v>
      </c>
      <c r="AY182" t="n">
        <v>279.04</v>
      </c>
      <c r="AZ182" t="n">
        <v>285.923</v>
      </c>
      <c r="BA182" t="n">
        <v>339.941</v>
      </c>
      <c r="BB182" t="n">
        <v>322.95</v>
      </c>
      <c r="BC182" t="n">
        <v>319.211</v>
      </c>
      <c r="BD182" t="n">
        <v>340.879</v>
      </c>
      <c r="BE182" t="n">
        <v>353.656</v>
      </c>
      <c r="BF182" t="n">
        <v>382.719</v>
      </c>
      <c r="BG182" t="n">
        <v>383.755</v>
      </c>
      <c r="BH182" t="n">
        <v>430.672</v>
      </c>
      <c r="BI182" t="n">
        <v>481.672</v>
      </c>
      <c r="BJ182" t="n">
        <v>531.207</v>
      </c>
      <c r="BK182" t="n">
        <v>583.621</v>
      </c>
      <c r="BL182" t="n">
        <v>636.138</v>
      </c>
      <c r="BM182" t="n">
        <v>674.328</v>
      </c>
      <c r="BN182" t="n">
        <v>707.648</v>
      </c>
      <c r="BO182" t="n">
        <v>752.811</v>
      </c>
      <c r="BP182" t="n">
        <v>792.304</v>
      </c>
      <c r="BQ182" t="n">
        <v>835.081</v>
      </c>
      <c r="BR182" t="n">
        <v>877.671</v>
      </c>
      <c r="BS182" t="n">
        <v>920.3680000000001</v>
      </c>
      <c r="BT182" t="n">
        <v>954.772</v>
      </c>
      <c r="BU182" t="n">
        <v>962.7670000000001</v>
      </c>
      <c r="BV182" t="n">
        <v>957.776</v>
      </c>
    </row>
    <row r="183">
      <c r="A183" t="inlineStr">
        <is>
          <t>Istiompax indica</t>
        </is>
      </c>
      <c r="B183" t="inlineStr">
        <is>
          <t>Black marlin</t>
        </is>
      </c>
      <c r="C183" t="inlineStr">
        <is>
          <t>Large pelagics (&gt;=90 cm)</t>
        </is>
      </c>
      <c r="D183" t="inlineStr">
        <is>
          <t>Tuna &amp; billfishes</t>
        </is>
      </c>
      <c r="E183" t="n">
        <v>737.372</v>
      </c>
      <c r="F183" t="n">
        <v>737.438</v>
      </c>
      <c r="G183" t="n">
        <v>737.496</v>
      </c>
      <c r="H183" t="n">
        <v>833.347</v>
      </c>
      <c r="I183" t="n">
        <v>1074.196</v>
      </c>
      <c r="J183" t="n">
        <v>1351.941</v>
      </c>
      <c r="K183" t="n">
        <v>1627.18</v>
      </c>
      <c r="L183" t="n">
        <v>2108.811</v>
      </c>
      <c r="M183" t="n">
        <v>1834.377</v>
      </c>
      <c r="N183" t="n">
        <v>1361.778</v>
      </c>
      <c r="O183" t="n">
        <v>1149.52</v>
      </c>
      <c r="P183" t="n">
        <v>1275.33</v>
      </c>
      <c r="Q183" t="n">
        <v>1835.673</v>
      </c>
      <c r="R183" t="n">
        <v>1978.585</v>
      </c>
      <c r="S183" t="n">
        <v>1087.553</v>
      </c>
      <c r="T183" t="n">
        <v>692.3099999999999</v>
      </c>
      <c r="U183" t="n">
        <v>552.468</v>
      </c>
      <c r="V183" t="n">
        <v>357.543</v>
      </c>
      <c r="W183" t="n">
        <v>53.622</v>
      </c>
      <c r="X183" t="n">
        <v>125.837</v>
      </c>
      <c r="Y183" t="n">
        <v>310.23</v>
      </c>
      <c r="Z183" t="n">
        <v>9.497999999999999</v>
      </c>
      <c r="AA183" t="n">
        <v>27.284</v>
      </c>
      <c r="AB183" t="n">
        <v>121.557</v>
      </c>
      <c r="AC183" t="n">
        <v>142.58</v>
      </c>
      <c r="AD183" t="n">
        <v>67.506</v>
      </c>
      <c r="AE183" t="n">
        <v>54.338</v>
      </c>
      <c r="AF183" t="n">
        <v>87.916</v>
      </c>
      <c r="AG183" t="n">
        <v>253.496</v>
      </c>
      <c r="AH183" t="n">
        <v>180.394</v>
      </c>
      <c r="AI183" t="n">
        <v>272.052</v>
      </c>
      <c r="AJ183" t="n">
        <v>322.1</v>
      </c>
      <c r="AK183" t="n">
        <v>307.506</v>
      </c>
      <c r="AL183" t="n">
        <v>332.012</v>
      </c>
      <c r="AM183" t="n">
        <v>419.828</v>
      </c>
      <c r="AN183" t="n">
        <v>294.227</v>
      </c>
      <c r="AO183" t="n">
        <v>221.246</v>
      </c>
      <c r="AP183" t="n">
        <v>358.738</v>
      </c>
      <c r="AQ183" t="n">
        <v>354.2</v>
      </c>
      <c r="AR183" t="n">
        <v>191.049</v>
      </c>
      <c r="AS183" t="n">
        <v>156.445</v>
      </c>
      <c r="AT183" t="n">
        <v>102.841</v>
      </c>
      <c r="AU183" t="n">
        <v>159.666</v>
      </c>
      <c r="AV183" t="n">
        <v>158.657</v>
      </c>
      <c r="AW183" t="n">
        <v>232.982</v>
      </c>
      <c r="AX183" t="n">
        <v>335.743</v>
      </c>
      <c r="AY183" t="n">
        <v>102.287</v>
      </c>
      <c r="AZ183" t="n">
        <v>62.746</v>
      </c>
      <c r="BA183" t="n">
        <v>50.474</v>
      </c>
      <c r="BB183" t="n">
        <v>117.027</v>
      </c>
      <c r="BC183" t="n">
        <v>50.488</v>
      </c>
      <c r="BD183" t="n">
        <v>58.31</v>
      </c>
      <c r="BE183" t="n">
        <v>1.348</v>
      </c>
      <c r="BF183" t="n">
        <v>47.763</v>
      </c>
      <c r="BG183" t="n">
        <v>178.713</v>
      </c>
      <c r="BH183" t="n">
        <v>215.654</v>
      </c>
      <c r="BI183" t="n">
        <v>97.005</v>
      </c>
      <c r="BJ183" t="n">
        <v>61.754</v>
      </c>
      <c r="BK183" t="n">
        <v>65.51300000000001</v>
      </c>
      <c r="BL183" t="n">
        <v>51.563</v>
      </c>
      <c r="BM183" t="n">
        <v>74.88800000000001</v>
      </c>
      <c r="BN183" t="n">
        <v>5.746</v>
      </c>
      <c r="BO183" t="n">
        <v>4.184</v>
      </c>
      <c r="BP183" t="n">
        <v>9.356</v>
      </c>
      <c r="BQ183" t="n">
        <v>21.685</v>
      </c>
      <c r="BR183" t="n">
        <v>8.630000000000001</v>
      </c>
      <c r="BS183" t="n">
        <v>17.881</v>
      </c>
      <c r="BT183" t="n">
        <v>8.596</v>
      </c>
      <c r="BU183" t="n">
        <v>9.801</v>
      </c>
      <c r="BV183" t="n">
        <v>6.381</v>
      </c>
    </row>
    <row r="184">
      <c r="A184" t="inlineStr">
        <is>
          <t>Panulirus longipes</t>
        </is>
      </c>
      <c r="B184" t="inlineStr">
        <is>
          <t>Longlegged spiny lobster</t>
        </is>
      </c>
      <c r="C184" t="inlineStr">
        <is>
          <t>Lobsters, crabs</t>
        </is>
      </c>
      <c r="D184" t="inlineStr">
        <is>
          <t>Crustaceans</t>
        </is>
      </c>
      <c r="E184" t="n">
        <v>7.113</v>
      </c>
      <c r="F184" t="n">
        <v>3.583</v>
      </c>
      <c r="G184" t="n">
        <v>285.543</v>
      </c>
      <c r="H184" t="n">
        <v>270.257</v>
      </c>
      <c r="I184" t="n">
        <v>217.164</v>
      </c>
      <c r="J184" t="n">
        <v>180.984</v>
      </c>
      <c r="K184" t="n">
        <v>4.521</v>
      </c>
      <c r="L184" t="n">
        <v>3.024</v>
      </c>
      <c r="M184" t="n">
        <v>160.763</v>
      </c>
      <c r="N184" t="n">
        <v>153.355</v>
      </c>
      <c r="O184" t="n">
        <v>5.357</v>
      </c>
      <c r="P184" t="n">
        <v>131.277</v>
      </c>
      <c r="Q184" t="n">
        <v>132.414</v>
      </c>
      <c r="R184" t="n">
        <v>123.037</v>
      </c>
      <c r="S184" t="n">
        <v>114.576</v>
      </c>
      <c r="T184" t="n">
        <v>119.146</v>
      </c>
      <c r="U184" t="n">
        <v>104.11</v>
      </c>
      <c r="V184" t="n">
        <v>101.963</v>
      </c>
      <c r="W184" t="n">
        <v>102.514</v>
      </c>
      <c r="X184" t="n">
        <v>100.43</v>
      </c>
      <c r="Y184" t="n">
        <v>130.965</v>
      </c>
      <c r="Z184" t="n">
        <v>184.654</v>
      </c>
      <c r="AA184" t="n">
        <v>105.273</v>
      </c>
      <c r="AB184" t="n">
        <v>114.462</v>
      </c>
      <c r="AC184" t="n">
        <v>162.997</v>
      </c>
      <c r="AD184" t="n">
        <v>148.188</v>
      </c>
      <c r="AE184" t="n">
        <v>212.004</v>
      </c>
      <c r="AF184" t="n">
        <v>252.74</v>
      </c>
      <c r="AG184" t="n">
        <v>81.535</v>
      </c>
      <c r="AH184" t="n">
        <v>69.527</v>
      </c>
      <c r="AI184" t="n">
        <v>73.39400000000001</v>
      </c>
      <c r="AJ184" t="n">
        <v>82.14</v>
      </c>
      <c r="AK184" t="n">
        <v>73.563</v>
      </c>
      <c r="AL184" t="n">
        <v>184.785</v>
      </c>
      <c r="AM184" t="n">
        <v>177.045</v>
      </c>
      <c r="AN184" t="n">
        <v>178.749</v>
      </c>
      <c r="AO184" t="n">
        <v>274.516</v>
      </c>
      <c r="AP184" t="n">
        <v>216.554</v>
      </c>
      <c r="AQ184" t="n">
        <v>83.242</v>
      </c>
      <c r="AR184" t="n">
        <v>81.09399999999999</v>
      </c>
      <c r="AS184" t="n">
        <v>158.276</v>
      </c>
      <c r="AT184" t="n">
        <v>65.283</v>
      </c>
      <c r="AU184" t="n">
        <v>320.678</v>
      </c>
      <c r="AV184" t="n">
        <v>33.26</v>
      </c>
      <c r="AW184" t="n">
        <v>39.848</v>
      </c>
      <c r="AX184" t="n">
        <v>33.776</v>
      </c>
      <c r="AY184" t="n">
        <v>33.221</v>
      </c>
      <c r="AZ184" t="n">
        <v>28.529</v>
      </c>
      <c r="BA184" t="n">
        <v>24.42</v>
      </c>
      <c r="BB184" t="n">
        <v>21.564</v>
      </c>
      <c r="BC184" t="n">
        <v>651.707</v>
      </c>
      <c r="BD184" t="n">
        <v>608.1180000000001</v>
      </c>
      <c r="BE184" t="n">
        <v>554.3440000000001</v>
      </c>
      <c r="BF184" t="n">
        <v>630.013</v>
      </c>
      <c r="BG184" t="n">
        <v>754.487</v>
      </c>
      <c r="BH184" t="n">
        <v>926.716</v>
      </c>
      <c r="BI184" t="n">
        <v>948.9400000000001</v>
      </c>
      <c r="BJ184" t="n">
        <v>879.253</v>
      </c>
      <c r="BK184" t="n">
        <v>667.891</v>
      </c>
      <c r="BL184" t="n">
        <v>1409.649</v>
      </c>
      <c r="BM184" t="n">
        <v>1405.759</v>
      </c>
      <c r="BN184" t="n">
        <v>2096.447</v>
      </c>
      <c r="BO184" t="n">
        <v>2297.261</v>
      </c>
      <c r="BP184" t="n">
        <v>1515.921</v>
      </c>
      <c r="BQ184" t="n">
        <v>1486.553</v>
      </c>
      <c r="BR184" t="n">
        <v>1419.502</v>
      </c>
      <c r="BS184" t="n">
        <v>1358.967</v>
      </c>
      <c r="BT184" t="n">
        <v>818.842</v>
      </c>
      <c r="BU184" t="n">
        <v>864.504</v>
      </c>
      <c r="BV184" t="n">
        <v>822.55</v>
      </c>
    </row>
    <row r="185">
      <c r="A185" t="inlineStr">
        <is>
          <t>Sillaginidae</t>
        </is>
      </c>
      <c r="B185" t="inlineStr">
        <is>
          <t>Smelt-whitings</t>
        </is>
      </c>
      <c r="C185" t="inlineStr">
        <is>
          <t>Medium demersals (30 - 89 cm)</t>
        </is>
      </c>
      <c r="D185" t="inlineStr">
        <is>
          <t>Perch-likes</t>
        </is>
      </c>
      <c r="E185" t="n">
        <v>140.3</v>
      </c>
      <c r="F185" t="n">
        <v>140.3</v>
      </c>
      <c r="G185" t="n">
        <v>140.3</v>
      </c>
      <c r="H185" t="n">
        <v>140.3</v>
      </c>
      <c r="I185" t="n">
        <v>140.3</v>
      </c>
      <c r="J185" t="n">
        <v>140.3</v>
      </c>
      <c r="K185" t="n">
        <v>140.3</v>
      </c>
      <c r="L185" t="n">
        <v>140.3</v>
      </c>
      <c r="M185" t="n">
        <v>140.3</v>
      </c>
      <c r="N185" t="n">
        <v>140.3</v>
      </c>
      <c r="O185" t="n">
        <v>140.3</v>
      </c>
      <c r="P185" t="n">
        <v>140.3</v>
      </c>
      <c r="Q185" t="n">
        <v>140.3</v>
      </c>
      <c r="R185" t="n">
        <v>140.3</v>
      </c>
      <c r="S185" t="n">
        <v>140.3</v>
      </c>
      <c r="T185" t="n">
        <v>140.3</v>
      </c>
      <c r="U185" t="n">
        <v>140.3</v>
      </c>
      <c r="V185" t="n">
        <v>140.3</v>
      </c>
      <c r="W185" t="n">
        <v>140.3</v>
      </c>
      <c r="X185" t="n">
        <v>140.3</v>
      </c>
      <c r="Y185" t="n">
        <v>140.3</v>
      </c>
      <c r="Z185" t="n">
        <v>140.3</v>
      </c>
      <c r="AA185" t="n">
        <v>140.3</v>
      </c>
      <c r="AB185" t="n">
        <v>140.3</v>
      </c>
      <c r="AC185" t="n">
        <v>352.481</v>
      </c>
      <c r="AD185" t="n">
        <v>685.019</v>
      </c>
      <c r="AE185" t="n">
        <v>741.9299999999999</v>
      </c>
      <c r="AF185" t="n">
        <v>1109.797</v>
      </c>
      <c r="AG185" t="n">
        <v>1172.33</v>
      </c>
      <c r="AH185" t="n">
        <v>4641.199</v>
      </c>
      <c r="AI185" t="n">
        <v>713.62</v>
      </c>
      <c r="AJ185" t="n">
        <v>1417.459</v>
      </c>
      <c r="AK185" t="n">
        <v>560.606</v>
      </c>
      <c r="AL185" t="n">
        <v>875.8869999999999</v>
      </c>
      <c r="AM185" t="n">
        <v>536.176</v>
      </c>
      <c r="AN185" t="n">
        <v>429.009</v>
      </c>
      <c r="AO185" t="n">
        <v>591.4349999999999</v>
      </c>
      <c r="AP185" t="n">
        <v>293.935</v>
      </c>
      <c r="AQ185" t="n">
        <v>260.625</v>
      </c>
      <c r="AR185" t="n">
        <v>818.662</v>
      </c>
      <c r="AS185" t="n">
        <v>838.2670000000001</v>
      </c>
      <c r="AT185" t="n">
        <v>825.356</v>
      </c>
      <c r="AU185" t="n">
        <v>591.204</v>
      </c>
      <c r="AV185" t="n">
        <v>527.419</v>
      </c>
      <c r="AW185" t="n">
        <v>369.773</v>
      </c>
      <c r="AX185" t="n">
        <v>352.808</v>
      </c>
      <c r="AY185" t="n">
        <v>401.182</v>
      </c>
      <c r="AZ185" t="n">
        <v>348.17</v>
      </c>
      <c r="BA185" t="n">
        <v>251.471</v>
      </c>
      <c r="BB185" t="n">
        <v>245.313</v>
      </c>
      <c r="BC185" t="n">
        <v>240.314</v>
      </c>
      <c r="BD185" t="n">
        <v>224.791</v>
      </c>
      <c r="BE185" t="n">
        <v>248.957</v>
      </c>
      <c r="BF185" t="n">
        <v>225.595</v>
      </c>
      <c r="BG185" t="n">
        <v>220.597</v>
      </c>
      <c r="BH185" t="n">
        <v>144.217</v>
      </c>
      <c r="BI185" t="n">
        <v>225.731</v>
      </c>
      <c r="BJ185" t="n">
        <v>212.616</v>
      </c>
      <c r="BK185" t="n">
        <v>176.954</v>
      </c>
      <c r="BL185" t="n">
        <v>215.526</v>
      </c>
      <c r="BM185" t="n">
        <v>119.728</v>
      </c>
      <c r="BN185" t="n">
        <v>125.16</v>
      </c>
      <c r="BO185" t="n">
        <v>125.178</v>
      </c>
      <c r="BP185" t="n">
        <v>128.387</v>
      </c>
      <c r="BQ185" t="n">
        <v>125.89</v>
      </c>
      <c r="BR185" t="n">
        <v>120.709</v>
      </c>
      <c r="BS185" t="n">
        <v>120.139</v>
      </c>
      <c r="BT185" t="n">
        <v>130.555</v>
      </c>
      <c r="BU185" t="n">
        <v>127.812</v>
      </c>
      <c r="BV185" t="n">
        <v>230.599</v>
      </c>
    </row>
    <row r="186">
      <c r="A186" t="inlineStr">
        <is>
          <t>Lateolabracidae</t>
        </is>
      </c>
      <c r="B186" t="inlineStr">
        <is>
          <t>Asian seaperches</t>
        </is>
      </c>
      <c r="C186" t="inlineStr">
        <is>
          <t>Large demersals (&gt;=90 cm)</t>
        </is>
      </c>
      <c r="D186" t="inlineStr">
        <is>
          <t>Perch-likes</t>
        </is>
      </c>
      <c r="E186" t="n">
        <v>449.835</v>
      </c>
      <c r="F186" t="n">
        <v>1230.87</v>
      </c>
      <c r="G186" t="n">
        <v>238.811</v>
      </c>
      <c r="H186" t="n">
        <v>1164.224</v>
      </c>
      <c r="I186" t="n">
        <v>688.502</v>
      </c>
      <c r="J186" t="n">
        <v>297.82</v>
      </c>
      <c r="K186" t="n">
        <v>311.378</v>
      </c>
      <c r="L186" t="n">
        <v>270.808</v>
      </c>
      <c r="M186" t="n">
        <v>175.136</v>
      </c>
      <c r="N186" t="n">
        <v>130.59</v>
      </c>
      <c r="O186" t="n">
        <v>149.068</v>
      </c>
      <c r="P186" t="n">
        <v>106.002</v>
      </c>
      <c r="Q186" t="n">
        <v>209.736</v>
      </c>
      <c r="R186" t="n">
        <v>161.303</v>
      </c>
      <c r="S186" t="n">
        <v>107.223</v>
      </c>
      <c r="T186" t="n">
        <v>116.992</v>
      </c>
      <c r="U186" t="n">
        <v>174.511</v>
      </c>
      <c r="V186" t="n">
        <v>192.289</v>
      </c>
      <c r="W186" t="n">
        <v>128.911</v>
      </c>
      <c r="X186" t="n">
        <v>139.131</v>
      </c>
      <c r="Y186" t="n">
        <v>114.624</v>
      </c>
      <c r="Z186" t="n">
        <v>92.717</v>
      </c>
      <c r="AA186" t="n">
        <v>106.96</v>
      </c>
      <c r="AB186" t="n">
        <v>154.774</v>
      </c>
      <c r="AC186" t="n">
        <v>134.431</v>
      </c>
      <c r="AD186" t="n">
        <v>777.621</v>
      </c>
      <c r="AE186" t="n">
        <v>284.862</v>
      </c>
      <c r="AF186" t="n">
        <v>543.744</v>
      </c>
      <c r="AG186" t="n">
        <v>360.864</v>
      </c>
      <c r="AH186" t="n">
        <v>341.691</v>
      </c>
      <c r="AI186" t="n">
        <v>294.352</v>
      </c>
      <c r="AJ186" t="n">
        <v>316.364</v>
      </c>
      <c r="AK186" t="n">
        <v>312.456</v>
      </c>
      <c r="AL186" t="n">
        <v>248.983</v>
      </c>
      <c r="AM186" t="n">
        <v>263.276</v>
      </c>
      <c r="AN186" t="n">
        <v>248.275</v>
      </c>
      <c r="AO186" t="n">
        <v>205.725</v>
      </c>
      <c r="AP186" t="n">
        <v>237.996</v>
      </c>
      <c r="AQ186" t="n">
        <v>233.902</v>
      </c>
      <c r="AR186" t="n">
        <v>240.509</v>
      </c>
      <c r="AS186" t="n">
        <v>238.285</v>
      </c>
      <c r="AT186" t="n">
        <v>240.518</v>
      </c>
      <c r="AU186" t="n">
        <v>236.461</v>
      </c>
      <c r="AV186" t="n">
        <v>242.346</v>
      </c>
      <c r="AW186" t="n">
        <v>239.346</v>
      </c>
      <c r="AX186" t="n">
        <v>243.051</v>
      </c>
      <c r="AY186" t="n">
        <v>255.216</v>
      </c>
      <c r="AZ186" t="n">
        <v>269.119</v>
      </c>
      <c r="BA186" t="n">
        <v>319.963</v>
      </c>
      <c r="BB186" t="n">
        <v>303.97</v>
      </c>
      <c r="BC186" t="n">
        <v>299.785</v>
      </c>
      <c r="BD186" t="n">
        <v>318.985</v>
      </c>
      <c r="BE186" t="n">
        <v>332.175</v>
      </c>
      <c r="BF186" t="n">
        <v>347.199</v>
      </c>
      <c r="BG186" t="n">
        <v>360.306</v>
      </c>
      <c r="BH186" t="n">
        <v>405.362</v>
      </c>
      <c r="BI186" t="n">
        <v>452.021</v>
      </c>
      <c r="BJ186" t="n">
        <v>498.792</v>
      </c>
      <c r="BK186" t="n">
        <v>546.672</v>
      </c>
      <c r="BL186" t="n">
        <v>588.511</v>
      </c>
      <c r="BM186" t="n">
        <v>626.489</v>
      </c>
      <c r="BN186" t="n">
        <v>663.655</v>
      </c>
      <c r="BO186" t="n">
        <v>701.264</v>
      </c>
      <c r="BP186" t="n">
        <v>738.873</v>
      </c>
      <c r="BQ186" t="n">
        <v>776.482</v>
      </c>
      <c r="BR186" t="n">
        <v>814.092</v>
      </c>
      <c r="BS186" t="n">
        <v>851.687</v>
      </c>
      <c r="BT186" t="n">
        <v>889.2809999999999</v>
      </c>
      <c r="BU186" t="n">
        <v>889.314</v>
      </c>
      <c r="BV186" t="n">
        <v>889.321</v>
      </c>
    </row>
    <row r="187">
      <c r="A187" t="inlineStr">
        <is>
          <t>Ammodytes</t>
        </is>
      </c>
      <c r="B187" t="inlineStr">
        <is>
          <t>Sand eels</t>
        </is>
      </c>
      <c r="C187" t="inlineStr">
        <is>
          <t>Large reef assoc. fish (&gt;=90 cm)</t>
        </is>
      </c>
      <c r="D187" t="inlineStr">
        <is>
          <t>Perch-likes</t>
        </is>
      </c>
      <c r="E187" t="n">
        <v>126.732</v>
      </c>
      <c r="F187" t="n">
        <v>245.478</v>
      </c>
      <c r="G187" t="n">
        <v>286.548</v>
      </c>
      <c r="H187" t="n">
        <v>296.096</v>
      </c>
      <c r="I187" t="n">
        <v>278.133</v>
      </c>
      <c r="J187" t="n">
        <v>434.713</v>
      </c>
      <c r="K187" t="n">
        <v>673.466</v>
      </c>
      <c r="L187" t="n">
        <v>1305.093</v>
      </c>
      <c r="M187" t="n">
        <v>828.046</v>
      </c>
      <c r="N187" t="n">
        <v>861.486</v>
      </c>
      <c r="O187" t="n">
        <v>525.941</v>
      </c>
      <c r="P187" t="n">
        <v>452.431</v>
      </c>
      <c r="Q187" t="n">
        <v>841.301</v>
      </c>
      <c r="R187" t="n">
        <v>236.191</v>
      </c>
      <c r="S187" t="n">
        <v>651.9880000000001</v>
      </c>
      <c r="T187" t="n">
        <v>105.861</v>
      </c>
      <c r="U187" t="n">
        <v>233.209</v>
      </c>
      <c r="V187" t="n">
        <v>452.022</v>
      </c>
      <c r="W187" t="n">
        <v>393.138</v>
      </c>
      <c r="X187" t="n">
        <v>629.602</v>
      </c>
      <c r="Y187" t="n">
        <v>440.729</v>
      </c>
      <c r="Z187" t="n">
        <v>56.087</v>
      </c>
      <c r="AA187" t="n">
        <v>205.43</v>
      </c>
      <c r="AB187" t="n">
        <v>333.77</v>
      </c>
      <c r="AC187" t="n">
        <v>401.541</v>
      </c>
      <c r="AD187" t="n">
        <v>201.052</v>
      </c>
      <c r="AE187" t="n">
        <v>223.304</v>
      </c>
      <c r="AF187" t="n">
        <v>313.435</v>
      </c>
      <c r="AG187" t="n">
        <v>244.159</v>
      </c>
      <c r="AH187" t="n">
        <v>328.347</v>
      </c>
      <c r="AI187" t="n">
        <v>165.402</v>
      </c>
      <c r="AJ187" t="n">
        <v>381.031</v>
      </c>
      <c r="AK187" t="n">
        <v>429.248</v>
      </c>
      <c r="AL187" t="n">
        <v>1038.741</v>
      </c>
      <c r="AM187" t="n">
        <v>377.748</v>
      </c>
      <c r="AN187" t="n">
        <v>174.384</v>
      </c>
      <c r="AO187" t="n">
        <v>200.932</v>
      </c>
      <c r="AP187" t="n">
        <v>249.81</v>
      </c>
      <c r="AQ187" t="n">
        <v>243.002</v>
      </c>
      <c r="AR187" t="n">
        <v>195.944</v>
      </c>
      <c r="AS187" t="n">
        <v>395.593</v>
      </c>
      <c r="AT187" t="n">
        <v>569.24</v>
      </c>
      <c r="AU187" t="n">
        <v>715.521</v>
      </c>
      <c r="AV187" t="n">
        <v>639.494</v>
      </c>
      <c r="AW187" t="n">
        <v>962.9</v>
      </c>
      <c r="AX187" t="n">
        <v>990.179</v>
      </c>
      <c r="AY187" t="n">
        <v>873.159</v>
      </c>
      <c r="AZ187" t="n">
        <v>1111.671</v>
      </c>
      <c r="BA187" t="n">
        <v>713.324</v>
      </c>
      <c r="BB187" t="n">
        <v>506.997</v>
      </c>
      <c r="BC187" t="n">
        <v>6.494</v>
      </c>
      <c r="BD187" t="n">
        <v>44.609</v>
      </c>
      <c r="BE187" t="n">
        <v>2.185</v>
      </c>
      <c r="BF187" t="n">
        <v>63.521</v>
      </c>
      <c r="BG187" t="n">
        <v>140.818</v>
      </c>
      <c r="BH187" t="n">
        <v>229.56</v>
      </c>
      <c r="BI187" t="n">
        <v>223.164</v>
      </c>
      <c r="BJ187" t="n">
        <v>180.087</v>
      </c>
      <c r="BK187" t="n">
        <v>199.263</v>
      </c>
      <c r="BL187" t="n">
        <v>222.087</v>
      </c>
      <c r="BM187" t="n">
        <v>2.352</v>
      </c>
      <c r="BN187" t="n">
        <v>2.379</v>
      </c>
      <c r="BO187" t="n">
        <v>2.4</v>
      </c>
      <c r="BP187" t="n">
        <v>2.388</v>
      </c>
      <c r="BQ187" t="n">
        <v>2.417</v>
      </c>
      <c r="BR187" t="n">
        <v>3.278</v>
      </c>
      <c r="BS187" t="n">
        <v>3.231</v>
      </c>
      <c r="BT187" t="n">
        <v>3.071</v>
      </c>
      <c r="BU187" t="n">
        <v>2.957</v>
      </c>
      <c r="BV187" t="n">
        <v>2.846</v>
      </c>
    </row>
    <row r="188">
      <c r="A188" t="inlineStr">
        <is>
          <t>Cypselurus</t>
        </is>
      </c>
      <c r="B188" t="inlineStr">
        <is>
          <t>Cypselurid flyingfishes</t>
        </is>
      </c>
      <c r="C188" t="inlineStr">
        <is>
          <t>Small pelagics (&lt;30 cm)</t>
        </is>
      </c>
      <c r="D188" t="inlineStr">
        <is>
          <t>Other fishes &amp; inverts</t>
        </is>
      </c>
      <c r="E188" t="n">
        <v>305.923</v>
      </c>
      <c r="F188" t="n">
        <v>354.537</v>
      </c>
      <c r="G188" t="n">
        <v>417.406</v>
      </c>
      <c r="H188" t="n">
        <v>429.528</v>
      </c>
      <c r="I188" t="n">
        <v>758.4400000000001</v>
      </c>
      <c r="J188" t="n">
        <v>586.817</v>
      </c>
      <c r="K188" t="n">
        <v>806.9930000000001</v>
      </c>
      <c r="L188" t="n">
        <v>733.551</v>
      </c>
      <c r="M188" t="n">
        <v>856.134</v>
      </c>
      <c r="N188" t="n">
        <v>978.177</v>
      </c>
      <c r="O188" t="n">
        <v>972.4349999999999</v>
      </c>
      <c r="P188" t="n">
        <v>1159.011</v>
      </c>
      <c r="Q188" t="n">
        <v>1274.092</v>
      </c>
      <c r="R188" t="n">
        <v>1013.033</v>
      </c>
      <c r="S188" t="n">
        <v>1002.51</v>
      </c>
      <c r="T188" t="n">
        <v>999.704</v>
      </c>
      <c r="U188" t="n">
        <v>826.372</v>
      </c>
      <c r="V188" t="n">
        <v>1249.158</v>
      </c>
      <c r="W188" t="n">
        <v>821.4160000000001</v>
      </c>
      <c r="X188" t="n">
        <v>914.7670000000001</v>
      </c>
      <c r="Y188" t="n">
        <v>773.436</v>
      </c>
      <c r="Z188" t="n">
        <v>538.251</v>
      </c>
      <c r="AA188" t="n">
        <v>420.608</v>
      </c>
      <c r="AB188" t="n">
        <v>372.902</v>
      </c>
      <c r="AC188" t="n">
        <v>195.309</v>
      </c>
      <c r="AD188" t="n">
        <v>288.422</v>
      </c>
      <c r="AE188" t="n">
        <v>263.415</v>
      </c>
      <c r="AF188" t="n">
        <v>309.858</v>
      </c>
      <c r="AG188" t="n">
        <v>365.085</v>
      </c>
      <c r="AH188" t="n">
        <v>314.361</v>
      </c>
      <c r="AI188" t="n">
        <v>239.94</v>
      </c>
      <c r="AJ188" t="n">
        <v>221.108</v>
      </c>
      <c r="AK188" t="n">
        <v>138.546</v>
      </c>
      <c r="AL188" t="n">
        <v>311.834</v>
      </c>
      <c r="AM188" t="n">
        <v>230.894</v>
      </c>
      <c r="AN188" t="n">
        <v>236.726</v>
      </c>
      <c r="AO188" t="n">
        <v>172.63</v>
      </c>
      <c r="AP188" t="n">
        <v>185.82</v>
      </c>
      <c r="AQ188" t="n">
        <v>158.788</v>
      </c>
      <c r="AR188" t="n">
        <v>150.887</v>
      </c>
      <c r="AS188" t="n">
        <v>142.462</v>
      </c>
      <c r="AT188" t="n">
        <v>130.957</v>
      </c>
      <c r="AU188" t="n">
        <v>98.917</v>
      </c>
      <c r="AV188" t="n">
        <v>130.674</v>
      </c>
      <c r="AW188" t="n">
        <v>151.783</v>
      </c>
      <c r="AX188" t="n">
        <v>127.338</v>
      </c>
      <c r="AY188" t="n">
        <v>134.927</v>
      </c>
      <c r="AZ188" t="n">
        <v>487.04</v>
      </c>
      <c r="BA188" t="n">
        <v>184.754</v>
      </c>
      <c r="BB188" t="n">
        <v>100.045</v>
      </c>
      <c r="BC188" t="n">
        <v>44.716</v>
      </c>
      <c r="BD188" t="n">
        <v>62.602</v>
      </c>
      <c r="BE188" t="n">
        <v>93.84</v>
      </c>
      <c r="BF188" t="n">
        <v>71.142</v>
      </c>
      <c r="BG188" t="n">
        <v>206.888</v>
      </c>
      <c r="BH188" t="n">
        <v>79.193</v>
      </c>
      <c r="BI188" t="n">
        <v>25.572</v>
      </c>
      <c r="BJ188" t="n">
        <v>9.218</v>
      </c>
      <c r="BK188" t="n">
        <v>10.815</v>
      </c>
      <c r="BL188" t="n">
        <v>46.068</v>
      </c>
      <c r="BM188" t="n">
        <v>9.057</v>
      </c>
      <c r="BN188" t="n">
        <v>10.732</v>
      </c>
      <c r="BO188" t="n">
        <v>17.306</v>
      </c>
      <c r="BP188" t="n">
        <v>18.74</v>
      </c>
      <c r="BQ188" t="n">
        <v>12.794</v>
      </c>
      <c r="BR188" t="n">
        <v>18.966</v>
      </c>
      <c r="BS188" t="n">
        <v>24.333</v>
      </c>
      <c r="BT188" t="n">
        <v>19.722</v>
      </c>
      <c r="BU188" t="n">
        <v>0.999</v>
      </c>
      <c r="BV188" t="n">
        <v>12.678</v>
      </c>
    </row>
    <row r="189">
      <c r="A189" t="inlineStr">
        <is>
          <t>Gymnocranius</t>
        </is>
      </c>
      <c r="B189" t="inlineStr">
        <is>
          <t>Largeeye breams</t>
        </is>
      </c>
      <c r="C189" t="inlineStr">
        <is>
          <t>Medium reef assoc. fish (30 - 89 cm)</t>
        </is>
      </c>
      <c r="D189" t="inlineStr">
        <is>
          <t>Perch-likes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252.021</v>
      </c>
      <c r="W189" t="n">
        <v>336.922</v>
      </c>
      <c r="X189" t="n">
        <v>422.273</v>
      </c>
      <c r="Y189" t="n">
        <v>338.718</v>
      </c>
      <c r="Z189" t="n">
        <v>339.62</v>
      </c>
      <c r="AA189" t="n">
        <v>340.525</v>
      </c>
      <c r="AB189" t="n">
        <v>426.791</v>
      </c>
      <c r="AC189" t="n">
        <v>536.623</v>
      </c>
      <c r="AD189" t="n">
        <v>600.699</v>
      </c>
      <c r="AE189" t="n">
        <v>753.891</v>
      </c>
      <c r="AF189" t="n">
        <v>744.653</v>
      </c>
      <c r="AG189" t="n">
        <v>759.9829999999999</v>
      </c>
      <c r="AH189" t="n">
        <v>1393.471</v>
      </c>
      <c r="AI189" t="n">
        <v>1117.071</v>
      </c>
      <c r="AJ189" t="n">
        <v>962.801</v>
      </c>
      <c r="AK189" t="n">
        <v>914.155</v>
      </c>
      <c r="AL189" t="n">
        <v>782.481</v>
      </c>
      <c r="AM189" t="n">
        <v>776.12</v>
      </c>
      <c r="AN189" t="n">
        <v>653.0359999999999</v>
      </c>
      <c r="AO189" t="n">
        <v>766.601</v>
      </c>
      <c r="AP189" t="n">
        <v>1027.461</v>
      </c>
      <c r="AQ189" t="n">
        <v>879.42</v>
      </c>
      <c r="AR189" t="n">
        <v>903.668</v>
      </c>
      <c r="AS189" t="n">
        <v>732.597</v>
      </c>
      <c r="AT189" t="n">
        <v>916.524</v>
      </c>
      <c r="AU189" t="n">
        <v>998.022</v>
      </c>
      <c r="AV189" t="n">
        <v>336.317</v>
      </c>
      <c r="AW189" t="n">
        <v>269.804</v>
      </c>
      <c r="AX189" t="n">
        <v>257.444</v>
      </c>
      <c r="AY189" t="n">
        <v>280.83</v>
      </c>
      <c r="AZ189" t="n">
        <v>229.61</v>
      </c>
      <c r="BA189" t="n">
        <v>193.143</v>
      </c>
      <c r="BB189" t="n">
        <v>135.065</v>
      </c>
      <c r="BC189" t="n">
        <v>162.078</v>
      </c>
      <c r="BD189" t="n">
        <v>175.584</v>
      </c>
      <c r="BE189" t="n">
        <v>162.078</v>
      </c>
      <c r="BF189" t="n">
        <v>148.571</v>
      </c>
      <c r="BG189" t="n">
        <v>162.078</v>
      </c>
      <c r="BH189" t="n">
        <v>156.675</v>
      </c>
      <c r="BI189" t="n">
        <v>144.519</v>
      </c>
      <c r="BJ189" t="n">
        <v>144.519</v>
      </c>
      <c r="BK189" t="n">
        <v>148.571</v>
      </c>
      <c r="BL189" t="n">
        <v>155.325</v>
      </c>
      <c r="BM189" t="n">
        <v>162.078</v>
      </c>
      <c r="BN189" t="n">
        <v>164.715</v>
      </c>
      <c r="BO189" t="n">
        <v>149.445</v>
      </c>
      <c r="BP189" t="n">
        <v>163.595</v>
      </c>
      <c r="BQ189" t="n">
        <v>155.165</v>
      </c>
      <c r="BR189" t="n">
        <v>139.932</v>
      </c>
      <c r="BS189" t="n">
        <v>137.602</v>
      </c>
      <c r="BT189" t="n">
        <v>122.932</v>
      </c>
      <c r="BU189" t="n">
        <v>119.795</v>
      </c>
      <c r="BV189" t="n">
        <v>118.46</v>
      </c>
    </row>
    <row r="190">
      <c r="A190" t="inlineStr">
        <is>
          <t>Muraenidae</t>
        </is>
      </c>
      <c r="B190" t="inlineStr">
        <is>
          <t>Moray eels</t>
        </is>
      </c>
      <c r="C190" t="inlineStr">
        <is>
          <t>Large reef assoc. fish (&gt;=90 cm)</t>
        </is>
      </c>
      <c r="D190" t="inlineStr">
        <is>
          <t>Other fishes &amp; inverts</t>
        </is>
      </c>
      <c r="E190" t="n">
        <v>39.241</v>
      </c>
      <c r="F190" t="n">
        <v>47.914</v>
      </c>
      <c r="G190" t="n">
        <v>57.163</v>
      </c>
      <c r="H190" t="n">
        <v>61.664</v>
      </c>
      <c r="I190" t="n">
        <v>63.351</v>
      </c>
      <c r="J190" t="n">
        <v>78.146</v>
      </c>
      <c r="K190" t="n">
        <v>90.601</v>
      </c>
      <c r="L190" t="n">
        <v>99.577</v>
      </c>
      <c r="M190" t="n">
        <v>109.244</v>
      </c>
      <c r="N190" t="n">
        <v>124.431</v>
      </c>
      <c r="O190" t="n">
        <v>137.423</v>
      </c>
      <c r="P190" t="n">
        <v>164.911</v>
      </c>
      <c r="Q190" t="n">
        <v>178.627</v>
      </c>
      <c r="R190" t="n">
        <v>188.188</v>
      </c>
      <c r="S190" t="n">
        <v>209.595</v>
      </c>
      <c r="T190" t="n">
        <v>236.396</v>
      </c>
      <c r="U190" t="n">
        <v>266.245</v>
      </c>
      <c r="V190" t="n">
        <v>286.6</v>
      </c>
      <c r="W190" t="n">
        <v>320.608</v>
      </c>
      <c r="X190" t="n">
        <v>351.795</v>
      </c>
      <c r="Y190" t="n">
        <v>372.998</v>
      </c>
      <c r="Z190" t="n">
        <v>439.665</v>
      </c>
      <c r="AA190" t="n">
        <v>484.45</v>
      </c>
      <c r="AB190" t="n">
        <v>495.183</v>
      </c>
      <c r="AC190" t="n">
        <v>492.434</v>
      </c>
      <c r="AD190" t="n">
        <v>688.821</v>
      </c>
      <c r="AE190" t="n">
        <v>699.519</v>
      </c>
      <c r="AF190" t="n">
        <v>713.605</v>
      </c>
      <c r="AG190" t="n">
        <v>766.648</v>
      </c>
      <c r="AH190" t="n">
        <v>827.403</v>
      </c>
      <c r="AI190" t="n">
        <v>816.277</v>
      </c>
      <c r="AJ190" t="n">
        <v>731.246</v>
      </c>
      <c r="AK190" t="n">
        <v>688.145</v>
      </c>
      <c r="AL190" t="n">
        <v>697.205</v>
      </c>
      <c r="AM190" t="n">
        <v>721.914</v>
      </c>
      <c r="AN190" t="n">
        <v>665.95</v>
      </c>
      <c r="AO190" t="n">
        <v>677.3339999999999</v>
      </c>
      <c r="AP190" t="n">
        <v>646.931</v>
      </c>
      <c r="AQ190" t="n">
        <v>709.121</v>
      </c>
      <c r="AR190" t="n">
        <v>618.492</v>
      </c>
      <c r="AS190" t="n">
        <v>493.234</v>
      </c>
      <c r="AT190" t="n">
        <v>444.525</v>
      </c>
      <c r="AU190" t="n">
        <v>418.343</v>
      </c>
      <c r="AV190" t="n">
        <v>383.386</v>
      </c>
      <c r="AW190" t="n">
        <v>346.158</v>
      </c>
      <c r="AX190" t="n">
        <v>410.821</v>
      </c>
      <c r="AY190" t="n">
        <v>364.483</v>
      </c>
      <c r="AZ190" t="n">
        <v>348.648</v>
      </c>
      <c r="BA190" t="n">
        <v>234.419</v>
      </c>
      <c r="BB190" t="n">
        <v>242.536</v>
      </c>
      <c r="BC190" t="n">
        <v>163.123</v>
      </c>
      <c r="BD190" t="n">
        <v>132.597</v>
      </c>
      <c r="BE190" t="n">
        <v>109.828</v>
      </c>
      <c r="BF190" t="n">
        <v>154.762</v>
      </c>
      <c r="BG190" t="n">
        <v>215.814</v>
      </c>
      <c r="BH190" t="n">
        <v>219.746</v>
      </c>
      <c r="BI190" t="n">
        <v>153.529</v>
      </c>
      <c r="BJ190" t="n">
        <v>155.085</v>
      </c>
      <c r="BK190" t="n">
        <v>53.581</v>
      </c>
      <c r="BL190" t="n">
        <v>47.847</v>
      </c>
      <c r="BM190" t="n">
        <v>40.399</v>
      </c>
      <c r="BN190" t="n">
        <v>50.158</v>
      </c>
      <c r="BO190" t="n">
        <v>50.102</v>
      </c>
      <c r="BP190" t="n">
        <v>73.70399999999999</v>
      </c>
      <c r="BQ190" t="n">
        <v>81.762</v>
      </c>
      <c r="BR190" t="n">
        <v>67.205</v>
      </c>
      <c r="BS190" t="n">
        <v>107.695</v>
      </c>
      <c r="BT190" t="n">
        <v>60.725</v>
      </c>
      <c r="BU190" t="n">
        <v>92.538</v>
      </c>
      <c r="BV190" t="n">
        <v>68.074</v>
      </c>
    </row>
    <row r="191">
      <c r="A191" t="inlineStr">
        <is>
          <t>Ibacus ciliatus</t>
        </is>
      </c>
      <c r="B191" t="inlineStr">
        <is>
          <t>Sand Crayfish</t>
        </is>
      </c>
      <c r="C191" t="inlineStr">
        <is>
          <t>Lobsters, crabs</t>
        </is>
      </c>
      <c r="D191" t="inlineStr">
        <is>
          <t>Crustaceans</t>
        </is>
      </c>
      <c r="E191" t="n">
        <v>1.913</v>
      </c>
      <c r="F191" t="n">
        <v>2.313</v>
      </c>
      <c r="G191" t="n">
        <v>2.835</v>
      </c>
      <c r="H191" t="n">
        <v>3.083</v>
      </c>
      <c r="I191" t="n">
        <v>3.211</v>
      </c>
      <c r="J191" t="n">
        <v>4.05</v>
      </c>
      <c r="K191" t="n">
        <v>4.675</v>
      </c>
      <c r="L191" t="n">
        <v>5.158</v>
      </c>
      <c r="M191" t="n">
        <v>5.581</v>
      </c>
      <c r="N191" t="n">
        <v>6.422</v>
      </c>
      <c r="O191" t="n">
        <v>7.4</v>
      </c>
      <c r="P191" t="n">
        <v>9.016999999999999</v>
      </c>
      <c r="Q191" t="n">
        <v>9.561</v>
      </c>
      <c r="R191" t="n">
        <v>9.725</v>
      </c>
      <c r="S191" t="n">
        <v>10.645</v>
      </c>
      <c r="T191" t="n">
        <v>12.608</v>
      </c>
      <c r="U191" t="n">
        <v>14.447</v>
      </c>
      <c r="V191" t="n">
        <v>14.875</v>
      </c>
      <c r="W191" t="n">
        <v>15.869</v>
      </c>
      <c r="X191" t="n">
        <v>16.887</v>
      </c>
      <c r="Y191" t="n">
        <v>18.258</v>
      </c>
      <c r="Z191" t="n">
        <v>24.318</v>
      </c>
      <c r="AA191" t="n">
        <v>30.591</v>
      </c>
      <c r="AB191" t="n">
        <v>29.998</v>
      </c>
      <c r="AC191" t="n">
        <v>29.636</v>
      </c>
      <c r="AD191" t="n">
        <v>30.273</v>
      </c>
      <c r="AE191" t="n">
        <v>29.582</v>
      </c>
      <c r="AF191" t="n">
        <v>27.19</v>
      </c>
      <c r="AG191" t="n">
        <v>25.497</v>
      </c>
      <c r="AH191" t="n">
        <v>28.097</v>
      </c>
      <c r="AI191" t="n">
        <v>26.51</v>
      </c>
      <c r="AJ191" t="n">
        <v>25.032</v>
      </c>
      <c r="AK191" t="n">
        <v>20.776</v>
      </c>
      <c r="AL191" t="n">
        <v>21.887</v>
      </c>
      <c r="AM191" t="n">
        <v>25.741</v>
      </c>
      <c r="AN191" t="n">
        <v>17.43</v>
      </c>
      <c r="AO191" t="n">
        <v>18.616</v>
      </c>
      <c r="AP191" t="n">
        <v>19.775</v>
      </c>
      <c r="AQ191" t="n">
        <v>28.949</v>
      </c>
      <c r="AR191" t="n">
        <v>392.691</v>
      </c>
      <c r="AS191" t="n">
        <v>195.091</v>
      </c>
      <c r="AT191" t="n">
        <v>245.517</v>
      </c>
      <c r="AU191" t="n">
        <v>287.204</v>
      </c>
      <c r="AV191" t="n">
        <v>258.26</v>
      </c>
      <c r="AW191" t="n">
        <v>143.438</v>
      </c>
      <c r="AX191" t="n">
        <v>721.475</v>
      </c>
      <c r="AY191" t="n">
        <v>615.938</v>
      </c>
      <c r="AZ191" t="n">
        <v>352.127</v>
      </c>
      <c r="BA191" t="n">
        <v>275.371</v>
      </c>
      <c r="BB191" t="n">
        <v>253.641</v>
      </c>
      <c r="BC191" t="n">
        <v>618.7430000000001</v>
      </c>
      <c r="BD191" t="n">
        <v>657.596</v>
      </c>
      <c r="BE191" t="n">
        <v>458.28</v>
      </c>
      <c r="BF191" t="n">
        <v>590.598</v>
      </c>
      <c r="BG191" t="n">
        <v>716.117</v>
      </c>
      <c r="BH191" t="n">
        <v>564.019</v>
      </c>
      <c r="BI191" t="n">
        <v>646.178</v>
      </c>
      <c r="BJ191" t="n">
        <v>466.687</v>
      </c>
      <c r="BK191" t="n">
        <v>443.931</v>
      </c>
      <c r="BL191" t="n">
        <v>265.475</v>
      </c>
      <c r="BM191" t="n">
        <v>2878.5</v>
      </c>
      <c r="BN191" t="n">
        <v>3365.601</v>
      </c>
      <c r="BO191" t="n">
        <v>728.169</v>
      </c>
      <c r="BP191" t="n">
        <v>1550.993</v>
      </c>
      <c r="BQ191" t="n">
        <v>880.5410000000001</v>
      </c>
      <c r="BR191" t="n">
        <v>421.496</v>
      </c>
      <c r="BS191" t="n">
        <v>928.1369999999999</v>
      </c>
      <c r="BT191" t="n">
        <v>203.456</v>
      </c>
      <c r="BU191" t="n">
        <v>317.243</v>
      </c>
      <c r="BV191" t="n">
        <v>280.503</v>
      </c>
    </row>
    <row r="192">
      <c r="A192" t="inlineStr">
        <is>
          <t>Scylla serrata</t>
        </is>
      </c>
      <c r="B192" t="inlineStr">
        <is>
          <t>Indo-Pacific swamp crab</t>
        </is>
      </c>
      <c r="C192" t="inlineStr">
        <is>
          <t>Lobsters, crabs</t>
        </is>
      </c>
      <c r="D192" t="inlineStr">
        <is>
          <t>Crustaceans</t>
        </is>
      </c>
      <c r="E192" t="n">
        <v>0</v>
      </c>
      <c r="F192" t="n">
        <v>0</v>
      </c>
      <c r="G192" t="n">
        <v>0</v>
      </c>
      <c r="H192" t="n">
        <v>0</v>
      </c>
      <c r="I192" t="n">
        <v>1.361</v>
      </c>
      <c r="J192" t="n">
        <v>0</v>
      </c>
      <c r="K192" t="n">
        <v>1.371</v>
      </c>
      <c r="L192" t="n">
        <v>0</v>
      </c>
      <c r="M192" t="n">
        <v>0</v>
      </c>
      <c r="N192" t="n">
        <v>0</v>
      </c>
      <c r="O192" t="n">
        <v>0</v>
      </c>
      <c r="P192" t="n">
        <v>0</v>
      </c>
      <c r="Q192" t="n">
        <v>0</v>
      </c>
      <c r="R192" t="n">
        <v>0</v>
      </c>
      <c r="S192" t="n">
        <v>0</v>
      </c>
      <c r="T192" t="n">
        <v>0</v>
      </c>
      <c r="U192" t="n">
        <v>0.287</v>
      </c>
      <c r="V192" t="n">
        <v>0.269</v>
      </c>
      <c r="W192" t="n">
        <v>0.105</v>
      </c>
      <c r="X192" t="n">
        <v>0</v>
      </c>
      <c r="Y192" t="n">
        <v>132.88</v>
      </c>
      <c r="Z192" t="n">
        <v>137.814</v>
      </c>
      <c r="AA192" t="n">
        <v>177.463</v>
      </c>
      <c r="AB192" t="n">
        <v>655.176</v>
      </c>
      <c r="AC192" t="n">
        <v>425.37</v>
      </c>
      <c r="AD192" t="n">
        <v>234.204</v>
      </c>
      <c r="AE192" t="n">
        <v>2105.417</v>
      </c>
      <c r="AF192" t="n">
        <v>1055.71</v>
      </c>
      <c r="AG192" t="n">
        <v>1669.502</v>
      </c>
      <c r="AH192" t="n">
        <v>98.5</v>
      </c>
      <c r="AI192" t="n">
        <v>99.23699999999999</v>
      </c>
      <c r="AJ192" t="n">
        <v>141.348</v>
      </c>
      <c r="AK192" t="n">
        <v>148.365</v>
      </c>
      <c r="AL192" t="n">
        <v>161.678</v>
      </c>
      <c r="AM192" t="n">
        <v>165.874</v>
      </c>
      <c r="AN192" t="n">
        <v>169.559</v>
      </c>
      <c r="AO192" t="n">
        <v>343.594</v>
      </c>
      <c r="AP192" t="n">
        <v>150.348</v>
      </c>
      <c r="AQ192" t="n">
        <v>145.665</v>
      </c>
      <c r="AR192" t="n">
        <v>209.248</v>
      </c>
      <c r="AS192" t="n">
        <v>88.65000000000001</v>
      </c>
      <c r="AT192" t="n">
        <v>1392.754</v>
      </c>
      <c r="AU192" t="n">
        <v>230.828</v>
      </c>
      <c r="AV192" t="n">
        <v>123.483</v>
      </c>
      <c r="AW192" t="n">
        <v>337.939</v>
      </c>
      <c r="AX192" t="n">
        <v>2640.169</v>
      </c>
      <c r="AY192" t="n">
        <v>2379.674</v>
      </c>
      <c r="AZ192" t="n">
        <v>391.793</v>
      </c>
      <c r="BA192" t="n">
        <v>415.125</v>
      </c>
      <c r="BB192" t="n">
        <v>538.522</v>
      </c>
      <c r="BC192" t="n">
        <v>465.444</v>
      </c>
      <c r="BD192" t="n">
        <v>384.624</v>
      </c>
      <c r="BE192" t="n">
        <v>541.444</v>
      </c>
      <c r="BF192" t="n">
        <v>230.916</v>
      </c>
      <c r="BG192" t="n">
        <v>10.661</v>
      </c>
      <c r="BH192" t="n">
        <v>579.614</v>
      </c>
      <c r="BI192" t="n">
        <v>478.637</v>
      </c>
      <c r="BJ192" t="n">
        <v>452.718</v>
      </c>
      <c r="BK192" t="n">
        <v>301.722</v>
      </c>
      <c r="BL192" t="n">
        <v>234.972</v>
      </c>
      <c r="BM192" t="n">
        <v>124.274</v>
      </c>
      <c r="BN192" t="n">
        <v>89.675</v>
      </c>
      <c r="BO192" t="n">
        <v>50.293</v>
      </c>
      <c r="BP192" t="n">
        <v>13.066</v>
      </c>
      <c r="BQ192" t="n">
        <v>11.779</v>
      </c>
      <c r="BR192" t="n">
        <v>12.446</v>
      </c>
      <c r="BS192" t="n">
        <v>17.127</v>
      </c>
      <c r="BT192" t="n">
        <v>16.594</v>
      </c>
      <c r="BU192" t="n">
        <v>12.586</v>
      </c>
      <c r="BV192" t="n">
        <v>12.567</v>
      </c>
    </row>
    <row r="193">
      <c r="A193" t="inlineStr">
        <is>
          <t>Istiophoridae</t>
        </is>
      </c>
      <c r="B193" t="inlineStr">
        <is>
          <t>Billfishes</t>
        </is>
      </c>
      <c r="C193" t="inlineStr">
        <is>
          <t>Large pelagics (&gt;=90 cm)</t>
        </is>
      </c>
      <c r="D193" t="inlineStr">
        <is>
          <t>Tuna &amp; billfishes</t>
        </is>
      </c>
      <c r="E193" t="n">
        <v>0</v>
      </c>
      <c r="F193" t="n">
        <v>0</v>
      </c>
      <c r="G193" t="n">
        <v>0.521</v>
      </c>
      <c r="H193" t="n">
        <v>0.984</v>
      </c>
      <c r="I193" t="n">
        <v>0.598</v>
      </c>
      <c r="J193" t="n">
        <v>1.215</v>
      </c>
      <c r="K193" t="n">
        <v>1.925</v>
      </c>
      <c r="L193" t="n">
        <v>215.765</v>
      </c>
      <c r="M193" t="n">
        <v>283.687</v>
      </c>
      <c r="N193" t="n">
        <v>333.175</v>
      </c>
      <c r="O193" t="n">
        <v>370.301</v>
      </c>
      <c r="P193" t="n">
        <v>393.17</v>
      </c>
      <c r="Q193" t="n">
        <v>605.103</v>
      </c>
      <c r="R193" t="n">
        <v>620.784</v>
      </c>
      <c r="S193" t="n">
        <v>382.964</v>
      </c>
      <c r="T193" t="n">
        <v>1302.241</v>
      </c>
      <c r="U193" t="n">
        <v>1173.107</v>
      </c>
      <c r="V193" t="n">
        <v>1269.807</v>
      </c>
      <c r="W193" t="n">
        <v>1143.453</v>
      </c>
      <c r="X193" t="n">
        <v>1049.893</v>
      </c>
      <c r="Y193" t="n">
        <v>718.153</v>
      </c>
      <c r="Z193" t="n">
        <v>600.066</v>
      </c>
      <c r="AA193" t="n">
        <v>488.063</v>
      </c>
      <c r="AB193" t="n">
        <v>546.5069999999999</v>
      </c>
      <c r="AC193" t="n">
        <v>563.832</v>
      </c>
      <c r="AD193" t="n">
        <v>425.024</v>
      </c>
      <c r="AE193" t="n">
        <v>306.856</v>
      </c>
      <c r="AF193" t="n">
        <v>277.868</v>
      </c>
      <c r="AG193" t="n">
        <v>277.524</v>
      </c>
      <c r="AH193" t="n">
        <v>173.643</v>
      </c>
      <c r="AI193" t="n">
        <v>150.546</v>
      </c>
      <c r="AJ193" t="n">
        <v>159.246</v>
      </c>
      <c r="AK193" t="n">
        <v>139.271</v>
      </c>
      <c r="AL193" t="n">
        <v>196.696</v>
      </c>
      <c r="AM193" t="n">
        <v>112.892</v>
      </c>
      <c r="AN193" t="n">
        <v>107.224</v>
      </c>
      <c r="AO193" t="n">
        <v>101.4</v>
      </c>
      <c r="AP193" t="n">
        <v>98.446</v>
      </c>
      <c r="AQ193" t="n">
        <v>89.85599999999999</v>
      </c>
      <c r="AR193" t="n">
        <v>63.927</v>
      </c>
      <c r="AS193" t="n">
        <v>78.142</v>
      </c>
      <c r="AT193" t="n">
        <v>81.161</v>
      </c>
      <c r="AU193" t="n">
        <v>98.48999999999999</v>
      </c>
      <c r="AV193" t="n">
        <v>67.15300000000001</v>
      </c>
      <c r="AW193" t="n">
        <v>93.16200000000001</v>
      </c>
      <c r="AX193" t="n">
        <v>115.73</v>
      </c>
      <c r="AY193" t="n">
        <v>118.686</v>
      </c>
      <c r="AZ193" t="n">
        <v>92.645</v>
      </c>
      <c r="BA193" t="n">
        <v>161.961</v>
      </c>
      <c r="BB193" t="n">
        <v>130.224</v>
      </c>
      <c r="BC193" t="n">
        <v>78.17100000000001</v>
      </c>
      <c r="BD193" t="n">
        <v>0.243</v>
      </c>
      <c r="BE193" t="n">
        <v>0.246</v>
      </c>
      <c r="BF193" t="n">
        <v>157.278</v>
      </c>
      <c r="BG193" t="n">
        <v>69.048</v>
      </c>
      <c r="BH193" t="n">
        <v>123.408</v>
      </c>
      <c r="BI193" t="n">
        <v>111.792</v>
      </c>
      <c r="BJ193" t="n">
        <v>181.944</v>
      </c>
      <c r="BK193" t="n">
        <v>86.473</v>
      </c>
      <c r="BL193" t="n">
        <v>121.632</v>
      </c>
      <c r="BM193" t="n">
        <v>145.326</v>
      </c>
      <c r="BN193" t="n">
        <v>1150.518</v>
      </c>
      <c r="BO193" t="n">
        <v>1181.995</v>
      </c>
      <c r="BP193" t="n">
        <v>1093.754</v>
      </c>
      <c r="BQ193" t="n">
        <v>171.763</v>
      </c>
      <c r="BR193" t="n">
        <v>125.807</v>
      </c>
      <c r="BS193" t="n">
        <v>122.379</v>
      </c>
      <c r="BT193" t="n">
        <v>18.053</v>
      </c>
      <c r="BU193" t="n">
        <v>17.393</v>
      </c>
      <c r="BV193" t="n">
        <v>20.254</v>
      </c>
    </row>
    <row r="194">
      <c r="A194" t="inlineStr">
        <is>
          <t>Megalaspis cordyla</t>
        </is>
      </c>
      <c r="B194" t="inlineStr">
        <is>
          <t>Torpedo scad</t>
        </is>
      </c>
      <c r="C194" t="inlineStr">
        <is>
          <t>Medium pelagics (30 - 89 cm)</t>
        </is>
      </c>
      <c r="D194" t="inlineStr">
        <is>
          <t>Perch-likes</t>
        </is>
      </c>
      <c r="E194" t="n">
        <v>0.555</v>
      </c>
      <c r="F194" t="n">
        <v>3.112</v>
      </c>
      <c r="G194" t="n">
        <v>0.8</v>
      </c>
      <c r="H194" t="n">
        <v>0.858</v>
      </c>
      <c r="I194" t="n">
        <v>0.877</v>
      </c>
      <c r="J194" t="n">
        <v>1.065</v>
      </c>
      <c r="K194" t="n">
        <v>1.236</v>
      </c>
      <c r="L194" t="n">
        <v>1.355</v>
      </c>
      <c r="M194" t="n">
        <v>4.763</v>
      </c>
      <c r="N194" t="n">
        <v>1.696</v>
      </c>
      <c r="O194" t="n">
        <v>1.809</v>
      </c>
      <c r="P194" t="n">
        <v>312.61</v>
      </c>
      <c r="Q194" t="n">
        <v>2.35</v>
      </c>
      <c r="R194" t="n">
        <v>2.544</v>
      </c>
      <c r="S194" t="n">
        <v>5.666</v>
      </c>
      <c r="T194" t="n">
        <v>10.055</v>
      </c>
      <c r="U194" t="n">
        <v>3.428</v>
      </c>
      <c r="V194" t="n">
        <v>3.811</v>
      </c>
      <c r="W194" t="n">
        <v>6.302</v>
      </c>
      <c r="X194" t="n">
        <v>7.309</v>
      </c>
      <c r="Y194" t="n">
        <v>5.146</v>
      </c>
      <c r="Z194" t="n">
        <v>9.875999999999999</v>
      </c>
      <c r="AA194" t="n">
        <v>7.608</v>
      </c>
      <c r="AB194" t="n">
        <v>5.767</v>
      </c>
      <c r="AC194" t="n">
        <v>5.77</v>
      </c>
      <c r="AD194" t="n">
        <v>7.356</v>
      </c>
      <c r="AE194" t="n">
        <v>9.313000000000001</v>
      </c>
      <c r="AF194" t="n">
        <v>9.643000000000001</v>
      </c>
      <c r="AG194" t="n">
        <v>8.824999999999999</v>
      </c>
      <c r="AH194" t="n">
        <v>9.356999999999999</v>
      </c>
      <c r="AI194" t="n">
        <v>12.668</v>
      </c>
      <c r="AJ194" t="n">
        <v>8.256</v>
      </c>
      <c r="AK194" t="n">
        <v>8.154999999999999</v>
      </c>
      <c r="AL194" t="n">
        <v>9.718</v>
      </c>
      <c r="AM194" t="n">
        <v>8.029</v>
      </c>
      <c r="AN194" t="n">
        <v>9.646000000000001</v>
      </c>
      <c r="AO194" t="n">
        <v>8.311999999999999</v>
      </c>
      <c r="AP194" t="n">
        <v>8.618</v>
      </c>
      <c r="AQ194" t="n">
        <v>7.397</v>
      </c>
      <c r="AR194" t="n">
        <v>156.79</v>
      </c>
      <c r="AS194" t="n">
        <v>70.705</v>
      </c>
      <c r="AT194" t="n">
        <v>164.25</v>
      </c>
      <c r="AU194" t="n">
        <v>269.222</v>
      </c>
      <c r="AV194" t="n">
        <v>552.35</v>
      </c>
      <c r="AW194" t="n">
        <v>345.299</v>
      </c>
      <c r="AX194" t="n">
        <v>106.674</v>
      </c>
      <c r="AY194" t="n">
        <v>495.13</v>
      </c>
      <c r="AZ194" t="n">
        <v>12252.098</v>
      </c>
      <c r="BA194" t="n">
        <v>86.611</v>
      </c>
      <c r="BB194" t="n">
        <v>189.357</v>
      </c>
      <c r="BC194" t="n">
        <v>440.747</v>
      </c>
      <c r="BD194" t="n">
        <v>274.902</v>
      </c>
      <c r="BE194" t="n">
        <v>305.35</v>
      </c>
      <c r="BF194" t="n">
        <v>79.32599999999999</v>
      </c>
      <c r="BG194" t="n">
        <v>132.31</v>
      </c>
      <c r="BH194" t="n">
        <v>104.309</v>
      </c>
      <c r="BI194" t="n">
        <v>78.295</v>
      </c>
      <c r="BJ194" t="n">
        <v>139.987</v>
      </c>
      <c r="BK194" t="n">
        <v>60.343</v>
      </c>
      <c r="BL194" t="n">
        <v>161.779</v>
      </c>
      <c r="BM194" t="n">
        <v>51.446</v>
      </c>
      <c r="BN194" t="n">
        <v>109.161</v>
      </c>
      <c r="BO194" t="n">
        <v>366.567</v>
      </c>
      <c r="BP194" t="n">
        <v>472.668</v>
      </c>
      <c r="BQ194" t="n">
        <v>537.596</v>
      </c>
      <c r="BR194" t="n">
        <v>501.976</v>
      </c>
      <c r="BS194" t="n">
        <v>511.953</v>
      </c>
      <c r="BT194" t="n">
        <v>380.088</v>
      </c>
      <c r="BU194" t="n">
        <v>330.976</v>
      </c>
      <c r="BV194" t="n">
        <v>330.834</v>
      </c>
    </row>
    <row r="195">
      <c r="A195" t="inlineStr">
        <is>
          <t>Hexagrammos otakii</t>
        </is>
      </c>
      <c r="B195" t="inlineStr">
        <is>
          <t>Fat grrenling</t>
        </is>
      </c>
      <c r="C195" t="inlineStr">
        <is>
          <t>Small pelagics (&lt;30 cm)</t>
        </is>
      </c>
      <c r="D195" t="inlineStr">
        <is>
          <t>Scorpionfishes</t>
        </is>
      </c>
      <c r="E195" t="n">
        <v>202.511</v>
      </c>
      <c r="F195" t="n">
        <v>202.511</v>
      </c>
      <c r="G195" t="n">
        <v>202.511</v>
      </c>
      <c r="H195" t="n">
        <v>202.511</v>
      </c>
      <c r="I195" t="n">
        <v>202.511</v>
      </c>
      <c r="J195" t="n">
        <v>202.511</v>
      </c>
      <c r="K195" t="n">
        <v>202.511</v>
      </c>
      <c r="L195" t="n">
        <v>202.511</v>
      </c>
      <c r="M195" t="n">
        <v>202.511</v>
      </c>
      <c r="N195" t="n">
        <v>202.511</v>
      </c>
      <c r="O195" t="n">
        <v>202.511</v>
      </c>
      <c r="P195" t="n">
        <v>202.511</v>
      </c>
      <c r="Q195" t="n">
        <v>202.511</v>
      </c>
      <c r="R195" t="n">
        <v>202.511</v>
      </c>
      <c r="S195" t="n">
        <v>202.511</v>
      </c>
      <c r="T195" t="n">
        <v>202.511</v>
      </c>
      <c r="U195" t="n">
        <v>202.511</v>
      </c>
      <c r="V195" t="n">
        <v>202.511</v>
      </c>
      <c r="W195" t="n">
        <v>202.511</v>
      </c>
      <c r="X195" t="n">
        <v>202.511</v>
      </c>
      <c r="Y195" t="n">
        <v>202.511</v>
      </c>
      <c r="Z195" t="n">
        <v>202.511</v>
      </c>
      <c r="AA195" t="n">
        <v>202.511</v>
      </c>
      <c r="AB195" t="n">
        <v>202.511</v>
      </c>
      <c r="AC195" t="n">
        <v>256.515</v>
      </c>
      <c r="AD195" t="n">
        <v>324.018</v>
      </c>
      <c r="AE195" t="n">
        <v>378.021</v>
      </c>
      <c r="AF195" t="n">
        <v>445.525</v>
      </c>
      <c r="AG195" t="n">
        <v>499.528</v>
      </c>
      <c r="AH195" t="n">
        <v>540.0309999999999</v>
      </c>
      <c r="AI195" t="n">
        <v>567.032</v>
      </c>
      <c r="AJ195" t="n">
        <v>607.534</v>
      </c>
      <c r="AK195" t="n">
        <v>648.037</v>
      </c>
      <c r="AL195" t="n">
        <v>675.038</v>
      </c>
      <c r="AM195" t="n">
        <v>594.034</v>
      </c>
      <c r="AN195" t="n">
        <v>513.029</v>
      </c>
      <c r="AO195" t="n">
        <v>432.024</v>
      </c>
      <c r="AP195" t="n">
        <v>351.02</v>
      </c>
      <c r="AQ195" t="n">
        <v>256.515</v>
      </c>
      <c r="AR195" t="n">
        <v>256.515</v>
      </c>
      <c r="AS195" t="n">
        <v>256.515</v>
      </c>
      <c r="AT195" t="n">
        <v>256.515</v>
      </c>
      <c r="AU195" t="n">
        <v>243.014</v>
      </c>
      <c r="AV195" t="n">
        <v>243.014</v>
      </c>
      <c r="AW195" t="n">
        <v>243.014</v>
      </c>
      <c r="AX195" t="n">
        <v>243.014</v>
      </c>
      <c r="AY195" t="n">
        <v>243.014</v>
      </c>
      <c r="AZ195" t="n">
        <v>256.515</v>
      </c>
      <c r="BA195" t="n">
        <v>256.515</v>
      </c>
      <c r="BB195" t="n">
        <v>256.515</v>
      </c>
      <c r="BC195" t="n">
        <v>256.515</v>
      </c>
      <c r="BD195" t="n">
        <v>256.515</v>
      </c>
      <c r="BE195" t="n">
        <v>256.515</v>
      </c>
      <c r="BF195" t="n">
        <v>256.515</v>
      </c>
      <c r="BG195" t="n">
        <v>229.513</v>
      </c>
      <c r="BH195" t="n">
        <v>162.009</v>
      </c>
      <c r="BI195" t="n">
        <v>202.511</v>
      </c>
      <c r="BJ195" t="n">
        <v>175.51</v>
      </c>
      <c r="BK195" t="n">
        <v>175.51</v>
      </c>
      <c r="BL195" t="n">
        <v>162.009</v>
      </c>
      <c r="BM195" t="n">
        <v>148.508</v>
      </c>
      <c r="BN195" t="n">
        <v>0</v>
      </c>
      <c r="BO195" t="n">
        <v>0</v>
      </c>
      <c r="BP195" t="n">
        <v>0</v>
      </c>
      <c r="BQ195" t="n">
        <v>0</v>
      </c>
      <c r="BR195" t="n">
        <v>0</v>
      </c>
      <c r="BS195" t="n">
        <v>0</v>
      </c>
      <c r="BT195" t="n">
        <v>0</v>
      </c>
      <c r="BU195" t="n">
        <v>0</v>
      </c>
      <c r="BV195" t="n">
        <v>0</v>
      </c>
    </row>
    <row r="196">
      <c r="A196" t="inlineStr">
        <is>
          <t>Mizuhopecten yessoensis</t>
        </is>
      </c>
      <c r="B196" t="inlineStr">
        <is>
          <t>Yesso scallop</t>
        </is>
      </c>
      <c r="C196" t="inlineStr">
        <is>
          <t>Other demersal invertebrates</t>
        </is>
      </c>
      <c r="D196" t="inlineStr">
        <is>
          <t>Molluscs</t>
        </is>
      </c>
      <c r="E196" t="n">
        <v>0.002</v>
      </c>
      <c r="F196" t="n">
        <v>0.003</v>
      </c>
      <c r="G196" t="n">
        <v>0</v>
      </c>
      <c r="H196" t="n">
        <v>0</v>
      </c>
      <c r="I196" t="n">
        <v>0</v>
      </c>
      <c r="J196" t="n">
        <v>0</v>
      </c>
      <c r="K196" t="n">
        <v>0.004</v>
      </c>
      <c r="L196" t="n">
        <v>0</v>
      </c>
      <c r="M196" t="n">
        <v>0</v>
      </c>
      <c r="N196" t="n">
        <v>0</v>
      </c>
      <c r="O196" t="n">
        <v>0</v>
      </c>
      <c r="P196" t="n">
        <v>0</v>
      </c>
      <c r="Q196" t="n">
        <v>0</v>
      </c>
      <c r="R196" t="n">
        <v>0</v>
      </c>
      <c r="S196" t="n">
        <v>0</v>
      </c>
      <c r="T196" t="n">
        <v>0</v>
      </c>
      <c r="U196" t="n">
        <v>0.001</v>
      </c>
      <c r="V196" t="n">
        <v>0</v>
      </c>
      <c r="W196" t="n">
        <v>0.001</v>
      </c>
      <c r="X196" t="n">
        <v>0.001</v>
      </c>
      <c r="Y196" t="n">
        <v>78.07599999999999</v>
      </c>
      <c r="Z196" t="n">
        <v>11.777</v>
      </c>
      <c r="AA196" t="n">
        <v>848.492</v>
      </c>
      <c r="AB196" t="n">
        <v>301.725</v>
      </c>
      <c r="AC196" t="n">
        <v>655.687</v>
      </c>
      <c r="AD196" t="n">
        <v>132.263</v>
      </c>
      <c r="AE196" t="n">
        <v>2156.389</v>
      </c>
      <c r="AF196" t="n">
        <v>1244.832</v>
      </c>
      <c r="AG196" t="n">
        <v>1289.167</v>
      </c>
      <c r="AH196" t="n">
        <v>55.457</v>
      </c>
      <c r="AI196" t="n">
        <v>323.154</v>
      </c>
      <c r="AJ196" t="n">
        <v>362.501</v>
      </c>
      <c r="AK196" t="n">
        <v>282.813</v>
      </c>
      <c r="AL196" t="n">
        <v>100.456</v>
      </c>
      <c r="AM196" t="n">
        <v>25.396</v>
      </c>
      <c r="AN196" t="n">
        <v>598.085</v>
      </c>
      <c r="AO196" t="n">
        <v>173.948</v>
      </c>
      <c r="AP196" t="n">
        <v>499.166</v>
      </c>
      <c r="AQ196" t="n">
        <v>503.19</v>
      </c>
      <c r="AR196" t="n">
        <v>422.596</v>
      </c>
      <c r="AS196" t="n">
        <v>428.211</v>
      </c>
      <c r="AT196" t="n">
        <v>360.461</v>
      </c>
      <c r="AU196" t="n">
        <v>244.979</v>
      </c>
      <c r="AV196" t="n">
        <v>299.194</v>
      </c>
      <c r="AW196" t="n">
        <v>349.063</v>
      </c>
      <c r="AX196" t="n">
        <v>191.407</v>
      </c>
      <c r="AY196" t="n">
        <v>671.361</v>
      </c>
      <c r="AZ196" t="n">
        <v>612.045</v>
      </c>
      <c r="BA196" t="n">
        <v>613.207</v>
      </c>
      <c r="BB196" t="n">
        <v>559.504</v>
      </c>
      <c r="BC196" t="n">
        <v>352.283</v>
      </c>
      <c r="BD196" t="n">
        <v>201.578</v>
      </c>
      <c r="BE196" t="n">
        <v>96.913</v>
      </c>
      <c r="BF196" t="n">
        <v>86.97799999999999</v>
      </c>
      <c r="BG196" t="n">
        <v>100.753</v>
      </c>
      <c r="BH196" t="n">
        <v>8.513999999999999</v>
      </c>
      <c r="BI196" t="n">
        <v>43.233</v>
      </c>
      <c r="BJ196" t="n">
        <v>153.285</v>
      </c>
      <c r="BK196" t="n">
        <v>8.346</v>
      </c>
      <c r="BL196" t="n">
        <v>36.068</v>
      </c>
      <c r="BM196" t="n">
        <v>104.266</v>
      </c>
      <c r="BN196" t="n">
        <v>45.597</v>
      </c>
      <c r="BO196" t="n">
        <v>143.543</v>
      </c>
      <c r="BP196" t="n">
        <v>40.265</v>
      </c>
      <c r="BQ196" t="n">
        <v>43.052</v>
      </c>
      <c r="BR196" t="n">
        <v>33.799</v>
      </c>
      <c r="BS196" t="n">
        <v>44.912</v>
      </c>
      <c r="BT196" t="n">
        <v>42.357</v>
      </c>
      <c r="BU196" t="n">
        <v>43.164</v>
      </c>
      <c r="BV196" t="n">
        <v>40.195</v>
      </c>
    </row>
    <row r="197">
      <c r="A197" t="inlineStr">
        <is>
          <t>Platycaranx malabaricus</t>
        </is>
      </c>
      <c r="B197" t="inlineStr">
        <is>
          <t>Malabar trevally</t>
        </is>
      </c>
      <c r="C197" t="inlineStr">
        <is>
          <t>Medium reef assoc. fish (30 - 89 cm)</t>
        </is>
      </c>
      <c r="D197" t="inlineStr">
        <is>
          <t>Perch-likes</t>
        </is>
      </c>
      <c r="E197" t="n">
        <v>28.187</v>
      </c>
      <c r="F197" t="n">
        <v>34.632</v>
      </c>
      <c r="G197" t="n">
        <v>40.61</v>
      </c>
      <c r="H197" t="n">
        <v>43.572</v>
      </c>
      <c r="I197" t="n">
        <v>44.267</v>
      </c>
      <c r="J197" t="n">
        <v>53.762</v>
      </c>
      <c r="K197" t="n">
        <v>62.583</v>
      </c>
      <c r="L197" t="n">
        <v>68.596</v>
      </c>
      <c r="M197" t="n">
        <v>75.979</v>
      </c>
      <c r="N197" t="n">
        <v>85.971</v>
      </c>
      <c r="O197" t="n">
        <v>92.199</v>
      </c>
      <c r="P197" t="n">
        <v>109.459</v>
      </c>
      <c r="Q197" t="n">
        <v>120.644</v>
      </c>
      <c r="R197" t="n">
        <v>130.312</v>
      </c>
      <c r="S197" t="n">
        <v>147.275</v>
      </c>
      <c r="T197" t="n">
        <v>160.568</v>
      </c>
      <c r="U197" t="n">
        <v>178.823</v>
      </c>
      <c r="V197" t="n">
        <v>199.049</v>
      </c>
      <c r="W197" t="n">
        <v>230.241</v>
      </c>
      <c r="X197" t="n">
        <v>257.75</v>
      </c>
      <c r="Y197" t="n">
        <v>269.916</v>
      </c>
      <c r="Z197" t="n">
        <v>291.486</v>
      </c>
      <c r="AA197" t="n">
        <v>284.966</v>
      </c>
      <c r="AB197" t="n">
        <v>303.566</v>
      </c>
      <c r="AC197" t="n">
        <v>303.767</v>
      </c>
      <c r="AD197" t="n">
        <v>387.662</v>
      </c>
      <c r="AE197" t="n">
        <v>401.741</v>
      </c>
      <c r="AF197" t="n">
        <v>428.929</v>
      </c>
      <c r="AG197" t="n">
        <v>584.115</v>
      </c>
      <c r="AH197" t="n">
        <v>638.822</v>
      </c>
      <c r="AI197" t="n">
        <v>641.496</v>
      </c>
      <c r="AJ197" t="n">
        <v>562.494</v>
      </c>
      <c r="AK197" t="n">
        <v>555.202</v>
      </c>
      <c r="AL197" t="n">
        <v>554.5</v>
      </c>
      <c r="AM197" t="n">
        <v>545.4059999999999</v>
      </c>
      <c r="AN197" t="n">
        <v>561.864</v>
      </c>
      <c r="AO197" t="n">
        <v>563.045</v>
      </c>
      <c r="AP197" t="n">
        <v>519.2089999999999</v>
      </c>
      <c r="AQ197" t="n">
        <v>501.356</v>
      </c>
      <c r="AR197" t="n">
        <v>452.982</v>
      </c>
      <c r="AS197" t="n">
        <v>362.583</v>
      </c>
      <c r="AT197" t="n">
        <v>324.768</v>
      </c>
      <c r="AU197" t="n">
        <v>337.571</v>
      </c>
      <c r="AV197" t="n">
        <v>298.78</v>
      </c>
      <c r="AW197" t="n">
        <v>290.728</v>
      </c>
      <c r="AX197" t="n">
        <v>345.183</v>
      </c>
      <c r="AY197" t="n">
        <v>327.23</v>
      </c>
      <c r="AZ197" t="n">
        <v>291.663</v>
      </c>
      <c r="BA197" t="n">
        <v>239.965</v>
      </c>
      <c r="BB197" t="n">
        <v>248.427</v>
      </c>
      <c r="BC197" t="n">
        <v>351.24</v>
      </c>
      <c r="BD197" t="n">
        <v>173.038</v>
      </c>
      <c r="BE197" t="n">
        <v>246.257</v>
      </c>
      <c r="BF197" t="n">
        <v>99.30800000000001</v>
      </c>
      <c r="BG197" t="n">
        <v>132.385</v>
      </c>
      <c r="BH197" t="n">
        <v>49.115</v>
      </c>
      <c r="BI197" t="n">
        <v>55.322</v>
      </c>
      <c r="BJ197" t="n">
        <v>43.229</v>
      </c>
      <c r="BK197" t="n">
        <v>19.048</v>
      </c>
      <c r="BL197" t="n">
        <v>10.115</v>
      </c>
      <c r="BM197" t="n">
        <v>11.598</v>
      </c>
      <c r="BN197" t="n">
        <v>14.277</v>
      </c>
      <c r="BO197" t="n">
        <v>14.301</v>
      </c>
      <c r="BP197" t="n">
        <v>11.882</v>
      </c>
      <c r="BQ197" t="n">
        <v>12.857</v>
      </c>
      <c r="BR197" t="n">
        <v>12.389</v>
      </c>
      <c r="BS197" t="n">
        <v>11.999</v>
      </c>
      <c r="BT197" t="n">
        <v>13.942</v>
      </c>
      <c r="BU197" t="n">
        <v>21.065</v>
      </c>
      <c r="BV197" t="n">
        <v>14.382</v>
      </c>
    </row>
    <row r="198">
      <c r="A198" t="inlineStr">
        <is>
          <t>Rachycentridae</t>
        </is>
      </c>
      <c r="B198" t="inlineStr">
        <is>
          <t>Cobias</t>
        </is>
      </c>
      <c r="C198" t="inlineStr">
        <is>
          <t>Large pelagics (&gt;=90 cm)</t>
        </is>
      </c>
      <c r="D198" t="inlineStr">
        <is>
          <t>Perch-likes</t>
        </is>
      </c>
      <c r="E198" t="n">
        <v>0</v>
      </c>
      <c r="F198" t="n">
        <v>0</v>
      </c>
      <c r="G198" t="n">
        <v>0</v>
      </c>
      <c r="H198" t="n">
        <v>0</v>
      </c>
      <c r="I198" t="n">
        <v>4.657</v>
      </c>
      <c r="J198" t="n">
        <v>0</v>
      </c>
      <c r="K198" t="n">
        <v>4.22</v>
      </c>
      <c r="L198" t="n">
        <v>0</v>
      </c>
      <c r="M198" t="n">
        <v>0</v>
      </c>
      <c r="N198" t="n">
        <v>0</v>
      </c>
      <c r="O198" t="n">
        <v>4.644</v>
      </c>
      <c r="P198" t="n">
        <v>0</v>
      </c>
      <c r="Q198" t="n">
        <v>0</v>
      </c>
      <c r="R198" t="n">
        <v>0</v>
      </c>
      <c r="S198" t="n">
        <v>0</v>
      </c>
      <c r="T198" t="n">
        <v>0</v>
      </c>
      <c r="U198" t="n">
        <v>2.876</v>
      </c>
      <c r="V198" t="n">
        <v>0</v>
      </c>
      <c r="W198" t="n">
        <v>0</v>
      </c>
      <c r="X198" t="n">
        <v>0</v>
      </c>
      <c r="Y198" t="n">
        <v>0</v>
      </c>
      <c r="Z198" t="n">
        <v>10.391</v>
      </c>
      <c r="AA198" t="n">
        <v>0</v>
      </c>
      <c r="AB198" t="n">
        <v>0</v>
      </c>
      <c r="AC198" t="n">
        <v>0</v>
      </c>
      <c r="AD198" t="n">
        <v>0</v>
      </c>
      <c r="AE198" t="n">
        <v>0</v>
      </c>
      <c r="AF198" t="n">
        <v>5.397</v>
      </c>
      <c r="AG198" t="n">
        <v>1.894</v>
      </c>
      <c r="AH198" t="n">
        <v>0</v>
      </c>
      <c r="AI198" t="n">
        <v>1.774</v>
      </c>
      <c r="AJ198" t="n">
        <v>1.85</v>
      </c>
      <c r="AK198" t="n">
        <v>0</v>
      </c>
      <c r="AL198" t="n">
        <v>1.336</v>
      </c>
      <c r="AM198" t="n">
        <v>0</v>
      </c>
      <c r="AN198" t="n">
        <v>0</v>
      </c>
      <c r="AO198" t="n">
        <v>0</v>
      </c>
      <c r="AP198" t="n">
        <v>6.745</v>
      </c>
      <c r="AQ198" t="n">
        <v>0</v>
      </c>
      <c r="AR198" t="n">
        <v>675.479</v>
      </c>
      <c r="AS198" t="n">
        <v>329.798</v>
      </c>
      <c r="AT198" t="n">
        <v>19.048</v>
      </c>
      <c r="AU198" t="n">
        <v>25.921</v>
      </c>
      <c r="AV198" t="n">
        <v>950.724</v>
      </c>
      <c r="AW198" t="n">
        <v>1488.695</v>
      </c>
      <c r="AX198" t="n">
        <v>1127.657</v>
      </c>
      <c r="AY198" t="n">
        <v>1306.371</v>
      </c>
      <c r="AZ198" t="n">
        <v>1599.005</v>
      </c>
      <c r="BA198" t="n">
        <v>1193.403</v>
      </c>
      <c r="BB198" t="n">
        <v>977.784</v>
      </c>
      <c r="BC198" t="n">
        <v>1230.256</v>
      </c>
      <c r="BD198" t="n">
        <v>612.86</v>
      </c>
      <c r="BE198" t="n">
        <v>565.196</v>
      </c>
      <c r="BF198" t="n">
        <v>417.939</v>
      </c>
      <c r="BG198" t="n">
        <v>598.378</v>
      </c>
      <c r="BH198" t="n">
        <v>268.712</v>
      </c>
      <c r="BI198" t="n">
        <v>353.828</v>
      </c>
      <c r="BJ198" t="n">
        <v>309.011</v>
      </c>
      <c r="BK198" t="n">
        <v>146.487</v>
      </c>
      <c r="BL198" t="n">
        <v>83.637</v>
      </c>
      <c r="BM198" t="n">
        <v>204.401</v>
      </c>
      <c r="BN198" t="n">
        <v>179.099</v>
      </c>
      <c r="BO198" t="n">
        <v>160.605</v>
      </c>
      <c r="BP198" t="n">
        <v>146.407</v>
      </c>
      <c r="BQ198" t="n">
        <v>134.859</v>
      </c>
      <c r="BR198" t="n">
        <v>95.998</v>
      </c>
      <c r="BS198" t="n">
        <v>106.975</v>
      </c>
      <c r="BT198" t="n">
        <v>104.522</v>
      </c>
      <c r="BU198" t="n">
        <v>98.389</v>
      </c>
      <c r="BV198" t="n">
        <v>101.701</v>
      </c>
    </row>
    <row r="199">
      <c r="A199" t="inlineStr">
        <is>
          <t>Haliotis</t>
        </is>
      </c>
      <c r="B199" t="inlineStr">
        <is>
          <t>Abalones</t>
        </is>
      </c>
      <c r="C199" t="inlineStr">
        <is>
          <t>Other demersal invertebrates</t>
        </is>
      </c>
      <c r="D199" t="inlineStr">
        <is>
          <t>Molluscs</t>
        </is>
      </c>
      <c r="E199" t="n">
        <v>193.853</v>
      </c>
      <c r="F199" t="n">
        <v>232.447</v>
      </c>
      <c r="G199" t="n">
        <v>232.27</v>
      </c>
      <c r="H199" t="n">
        <v>270.775</v>
      </c>
      <c r="I199" t="n">
        <v>154.61</v>
      </c>
      <c r="J199" t="n">
        <v>231.738</v>
      </c>
      <c r="K199" t="n">
        <v>231.561</v>
      </c>
      <c r="L199" t="n">
        <v>308.512</v>
      </c>
      <c r="M199" t="n">
        <v>423.879</v>
      </c>
      <c r="N199" t="n">
        <v>654.5839999999999</v>
      </c>
      <c r="O199" t="n">
        <v>731.033</v>
      </c>
      <c r="P199" t="n">
        <v>575.751</v>
      </c>
      <c r="Q199" t="n">
        <v>1177.25</v>
      </c>
      <c r="R199" t="n">
        <v>744.8440000000001</v>
      </c>
      <c r="S199" t="n">
        <v>626.607</v>
      </c>
      <c r="T199" t="n">
        <v>156.494</v>
      </c>
      <c r="U199" t="n">
        <v>195.421</v>
      </c>
      <c r="V199" t="n">
        <v>156.18</v>
      </c>
      <c r="W199" t="n">
        <v>195.028</v>
      </c>
      <c r="X199" t="n">
        <v>116.899</v>
      </c>
      <c r="Y199" t="n">
        <v>174.191</v>
      </c>
      <c r="Z199" t="n">
        <v>257.818</v>
      </c>
      <c r="AA199" t="n">
        <v>391.49</v>
      </c>
      <c r="AB199" t="n">
        <v>1007.657</v>
      </c>
      <c r="AC199" t="n">
        <v>225.135</v>
      </c>
      <c r="AD199" t="n">
        <v>255.057</v>
      </c>
      <c r="AE199" t="n">
        <v>276.139</v>
      </c>
      <c r="AF199" t="n">
        <v>276.682</v>
      </c>
      <c r="AG199" t="n">
        <v>196.212</v>
      </c>
      <c r="AH199" t="n">
        <v>219.095</v>
      </c>
      <c r="AI199" t="n">
        <v>261.154</v>
      </c>
      <c r="AJ199" t="n">
        <v>267.025</v>
      </c>
      <c r="AK199" t="n">
        <v>239.632</v>
      </c>
      <c r="AL199" t="n">
        <v>183.366</v>
      </c>
      <c r="AM199" t="n">
        <v>184.175</v>
      </c>
      <c r="AN199" t="n">
        <v>199.686</v>
      </c>
      <c r="AO199" t="n">
        <v>216.917</v>
      </c>
      <c r="AP199" t="n">
        <v>158.004</v>
      </c>
      <c r="AQ199" t="n">
        <v>152.043</v>
      </c>
      <c r="AR199" t="n">
        <v>220.392</v>
      </c>
      <c r="AS199" t="n">
        <v>162.202</v>
      </c>
      <c r="AT199" t="n">
        <v>182.468</v>
      </c>
      <c r="AU199" t="n">
        <v>147.907</v>
      </c>
      <c r="AV199" t="n">
        <v>164.559</v>
      </c>
      <c r="AW199" t="n">
        <v>131.745</v>
      </c>
      <c r="AX199" t="n">
        <v>122.19</v>
      </c>
      <c r="AY199" t="n">
        <v>87.10899999999999</v>
      </c>
      <c r="AZ199" t="n">
        <v>96.34099999999999</v>
      </c>
      <c r="BA199" t="n">
        <v>31.682</v>
      </c>
      <c r="BB199" t="n">
        <v>35.019</v>
      </c>
      <c r="BC199" t="n">
        <v>68.892</v>
      </c>
      <c r="BD199" t="n">
        <v>45.221</v>
      </c>
      <c r="BE199" t="n">
        <v>32.291</v>
      </c>
      <c r="BF199" t="n">
        <v>42.193</v>
      </c>
      <c r="BG199" t="n">
        <v>43.44</v>
      </c>
      <c r="BH199" t="n">
        <v>86.56699999999999</v>
      </c>
      <c r="BI199" t="n">
        <v>72.901</v>
      </c>
      <c r="BJ199" t="n">
        <v>110.847</v>
      </c>
      <c r="BK199" t="n">
        <v>73.78100000000001</v>
      </c>
      <c r="BL199" t="n">
        <v>97.15600000000001</v>
      </c>
      <c r="BM199" t="n">
        <v>100.941</v>
      </c>
      <c r="BN199" t="n">
        <v>70.873</v>
      </c>
      <c r="BO199" t="n">
        <v>74.309</v>
      </c>
      <c r="BP199" t="n">
        <v>53.262</v>
      </c>
      <c r="BQ199" t="n">
        <v>78.175</v>
      </c>
      <c r="BR199" t="n">
        <v>64.001</v>
      </c>
      <c r="BS199" t="n">
        <v>41.235</v>
      </c>
      <c r="BT199" t="n">
        <v>48.108</v>
      </c>
      <c r="BU199" t="n">
        <v>48.665</v>
      </c>
      <c r="BV199" t="n">
        <v>50.685</v>
      </c>
    </row>
    <row r="200">
      <c r="A200" t="inlineStr">
        <is>
          <t>Sillago</t>
        </is>
      </c>
      <c r="B200" t="inlineStr">
        <is>
          <t>Smelt-whitings</t>
        </is>
      </c>
      <c r="C200" t="inlineStr">
        <is>
          <t>Medium demersals (30 - 89 cm)</t>
        </is>
      </c>
      <c r="D200" t="inlineStr">
        <is>
          <t>Perch-likes</t>
        </is>
      </c>
      <c r="E200" t="n">
        <v>0</v>
      </c>
      <c r="F200" t="n">
        <v>0</v>
      </c>
      <c r="G200" t="n">
        <v>3.342</v>
      </c>
      <c r="H200" t="n">
        <v>0</v>
      </c>
      <c r="I200" t="n">
        <v>0</v>
      </c>
      <c r="J200" t="n">
        <v>0</v>
      </c>
      <c r="K200" t="n">
        <v>0</v>
      </c>
      <c r="L200" t="n">
        <v>0</v>
      </c>
      <c r="M200" t="n">
        <v>0</v>
      </c>
      <c r="N200" t="n">
        <v>17.155</v>
      </c>
      <c r="O200" t="n">
        <v>2.285</v>
      </c>
      <c r="P200" t="n">
        <v>0</v>
      </c>
      <c r="Q200" t="n">
        <v>14.821</v>
      </c>
      <c r="R200" t="n">
        <v>0</v>
      </c>
      <c r="S200" t="n">
        <v>0</v>
      </c>
      <c r="T200" t="n">
        <v>2.281</v>
      </c>
      <c r="U200" t="n">
        <v>0</v>
      </c>
      <c r="V200" t="n">
        <v>5.979</v>
      </c>
      <c r="W200" t="n">
        <v>0</v>
      </c>
      <c r="X200" t="n">
        <v>0</v>
      </c>
      <c r="Y200" t="n">
        <v>14.098</v>
      </c>
      <c r="Z200" t="n">
        <v>4.903</v>
      </c>
      <c r="AA200" t="n">
        <v>0</v>
      </c>
      <c r="AB200" t="n">
        <v>0</v>
      </c>
      <c r="AC200" t="n">
        <v>137.09</v>
      </c>
      <c r="AD200" t="n">
        <v>350.247</v>
      </c>
      <c r="AE200" t="n">
        <v>311.526</v>
      </c>
      <c r="AF200" t="n">
        <v>490.387</v>
      </c>
      <c r="AG200" t="n">
        <v>371.685</v>
      </c>
      <c r="AH200" t="n">
        <v>1822.151</v>
      </c>
      <c r="AI200" t="n">
        <v>119.319</v>
      </c>
      <c r="AJ200" t="n">
        <v>357.19</v>
      </c>
      <c r="AK200" t="n">
        <v>48.113</v>
      </c>
      <c r="AL200" t="n">
        <v>182.661</v>
      </c>
      <c r="AM200" t="n">
        <v>51.091</v>
      </c>
      <c r="AN200" t="n">
        <v>24.759</v>
      </c>
      <c r="AO200" t="n">
        <v>102.632</v>
      </c>
      <c r="AP200" t="n">
        <v>19.648</v>
      </c>
      <c r="AQ200" t="n">
        <v>34.339</v>
      </c>
      <c r="AR200" t="n">
        <v>1065.145</v>
      </c>
      <c r="AS200" t="n">
        <v>1126.729</v>
      </c>
      <c r="AT200" t="n">
        <v>1261.708</v>
      </c>
      <c r="AU200" t="n">
        <v>1228.398</v>
      </c>
      <c r="AV200" t="n">
        <v>1033.668</v>
      </c>
      <c r="AW200" t="n">
        <v>666.417</v>
      </c>
      <c r="AX200" t="n">
        <v>484.663</v>
      </c>
      <c r="AY200" t="n">
        <v>927.163</v>
      </c>
      <c r="AZ200" t="n">
        <v>571.9299999999999</v>
      </c>
      <c r="BA200" t="n">
        <v>432.115</v>
      </c>
      <c r="BB200" t="n">
        <v>263.631</v>
      </c>
      <c r="BC200" t="n">
        <v>207.377</v>
      </c>
      <c r="BD200" t="n">
        <v>127.384</v>
      </c>
      <c r="BE200" t="n">
        <v>205.188</v>
      </c>
      <c r="BF200" t="n">
        <v>56.01</v>
      </c>
      <c r="BG200" t="n">
        <v>133.812</v>
      </c>
      <c r="BH200" t="n">
        <v>55.03</v>
      </c>
      <c r="BI200" t="n">
        <v>68.214</v>
      </c>
      <c r="BJ200" t="n">
        <v>63.615</v>
      </c>
      <c r="BK200" t="n">
        <v>49.521</v>
      </c>
      <c r="BL200" t="n">
        <v>80.742</v>
      </c>
      <c r="BM200" t="n">
        <v>33.381</v>
      </c>
      <c r="BN200" t="n">
        <v>49.965</v>
      </c>
      <c r="BO200" t="n">
        <v>69.18000000000001</v>
      </c>
      <c r="BP200" t="n">
        <v>95.54900000000001</v>
      </c>
      <c r="BQ200" t="n">
        <v>97.178</v>
      </c>
      <c r="BR200" t="n">
        <v>71.102</v>
      </c>
      <c r="BS200" t="n">
        <v>85.86199999999999</v>
      </c>
      <c r="BT200" t="n">
        <v>82.50700000000001</v>
      </c>
      <c r="BU200" t="n">
        <v>72.85599999999999</v>
      </c>
      <c r="BV200" t="n">
        <v>157.31</v>
      </c>
    </row>
    <row r="201">
      <c r="A201" t="inlineStr">
        <is>
          <t>Hemiramphidae</t>
        </is>
      </c>
      <c r="B201" t="inlineStr">
        <is>
          <t>Halfbeaks, garfishes</t>
        </is>
      </c>
      <c r="C201" t="inlineStr">
        <is>
          <t>Medium pelagics (30 - 89 cm)</t>
        </is>
      </c>
      <c r="D201" t="inlineStr">
        <is>
          <t>Other fishes &amp; inverts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8.539</v>
      </c>
      <c r="AA201" t="n">
        <v>17.077</v>
      </c>
      <c r="AB201" t="n">
        <v>25.616</v>
      </c>
      <c r="AC201" t="n">
        <v>34.155</v>
      </c>
      <c r="AD201" t="n">
        <v>42.693</v>
      </c>
      <c r="AE201" t="n">
        <v>51.232</v>
      </c>
      <c r="AF201" t="n">
        <v>59.771</v>
      </c>
      <c r="AG201" t="n">
        <v>68.309</v>
      </c>
      <c r="AH201" t="n">
        <v>76.848</v>
      </c>
      <c r="AI201" t="n">
        <v>85.387</v>
      </c>
      <c r="AJ201" t="n">
        <v>93.925</v>
      </c>
      <c r="AK201" t="n">
        <v>102.464</v>
      </c>
      <c r="AL201" t="n">
        <v>111.003</v>
      </c>
      <c r="AM201" t="n">
        <v>119.541</v>
      </c>
      <c r="AN201" t="n">
        <v>128.08</v>
      </c>
      <c r="AO201" t="n">
        <v>136.619</v>
      </c>
      <c r="AP201" t="n">
        <v>145.157</v>
      </c>
      <c r="AQ201" t="n">
        <v>153.696</v>
      </c>
      <c r="AR201" t="n">
        <v>162.235</v>
      </c>
      <c r="AS201" t="n">
        <v>170.773</v>
      </c>
      <c r="AT201" t="n">
        <v>180.626</v>
      </c>
      <c r="AU201" t="n">
        <v>190.478</v>
      </c>
      <c r="AV201" t="n">
        <v>200.33</v>
      </c>
      <c r="AW201" t="n">
        <v>210.183</v>
      </c>
      <c r="AX201" t="n">
        <v>220.692</v>
      </c>
      <c r="AY201" t="n">
        <v>231.201</v>
      </c>
      <c r="AZ201" t="n">
        <v>241.71</v>
      </c>
      <c r="BA201" t="n">
        <v>252.219</v>
      </c>
      <c r="BB201" t="n">
        <v>262.728</v>
      </c>
      <c r="BC201" t="n">
        <v>278.429</v>
      </c>
      <c r="BD201" t="n">
        <v>294.13</v>
      </c>
      <c r="BE201" t="n">
        <v>309.83</v>
      </c>
      <c r="BF201" t="n">
        <v>325.531</v>
      </c>
      <c r="BG201" t="n">
        <v>341.232</v>
      </c>
      <c r="BH201" t="n">
        <v>388.464</v>
      </c>
      <c r="BI201" t="n">
        <v>435.696</v>
      </c>
      <c r="BJ201" t="n">
        <v>482.928</v>
      </c>
      <c r="BK201" t="n">
        <v>530.16</v>
      </c>
      <c r="BL201" t="n">
        <v>570.867</v>
      </c>
      <c r="BM201" t="n">
        <v>607.442</v>
      </c>
      <c r="BN201" t="n">
        <v>644.0410000000001</v>
      </c>
      <c r="BO201" t="n">
        <v>680.64</v>
      </c>
      <c r="BP201" t="n">
        <v>717.239</v>
      </c>
      <c r="BQ201" t="n">
        <v>753.838</v>
      </c>
      <c r="BR201" t="n">
        <v>790.437</v>
      </c>
      <c r="BS201" t="n">
        <v>827.0359999999999</v>
      </c>
      <c r="BT201" t="n">
        <v>863.635</v>
      </c>
      <c r="BU201" t="n">
        <v>863.667</v>
      </c>
      <c r="BV201" t="n">
        <v>863.674</v>
      </c>
    </row>
    <row r="202">
      <c r="A202" t="inlineStr">
        <is>
          <t>Hypoptychus dybowskii</t>
        </is>
      </c>
      <c r="B202" t="inlineStr">
        <is>
          <t>Korean sandlance</t>
        </is>
      </c>
      <c r="C202" t="inlineStr">
        <is>
          <t>Small benthopelagics (&lt;30 cm)</t>
        </is>
      </c>
      <c r="D202" t="inlineStr">
        <is>
          <t>Other fishes &amp; inverts</t>
        </is>
      </c>
      <c r="E202" t="n">
        <v>87.017</v>
      </c>
      <c r="F202" t="n">
        <v>130.077</v>
      </c>
      <c r="G202" t="n">
        <v>120.986</v>
      </c>
      <c r="H202" t="n">
        <v>120.567</v>
      </c>
      <c r="I202" t="n">
        <v>77.238</v>
      </c>
      <c r="J202" t="n">
        <v>136.833</v>
      </c>
      <c r="K202" t="n">
        <v>238.62</v>
      </c>
      <c r="L202" t="n">
        <v>619.933</v>
      </c>
      <c r="M202" t="n">
        <v>372.341</v>
      </c>
      <c r="N202" t="n">
        <v>438.483</v>
      </c>
      <c r="O202" t="n">
        <v>243.671</v>
      </c>
      <c r="P202" t="n">
        <v>290.821</v>
      </c>
      <c r="Q202" t="n">
        <v>550.466</v>
      </c>
      <c r="R202" t="n">
        <v>170.575</v>
      </c>
      <c r="S202" t="n">
        <v>521.909</v>
      </c>
      <c r="T202" t="n">
        <v>79.361</v>
      </c>
      <c r="U202" t="n">
        <v>180.385</v>
      </c>
      <c r="V202" t="n">
        <v>302.233</v>
      </c>
      <c r="W202" t="n">
        <v>344.533</v>
      </c>
      <c r="X202" t="n">
        <v>476.47</v>
      </c>
      <c r="Y202" t="n">
        <v>522.8819999999999</v>
      </c>
      <c r="Z202" t="n">
        <v>35.977</v>
      </c>
      <c r="AA202" t="n">
        <v>178.35</v>
      </c>
      <c r="AB202" t="n">
        <v>332.671</v>
      </c>
      <c r="AC202" t="n">
        <v>326.58</v>
      </c>
      <c r="AD202" t="n">
        <v>184.143</v>
      </c>
      <c r="AE202" t="n">
        <v>231.443</v>
      </c>
      <c r="AF202" t="n">
        <v>304.612</v>
      </c>
      <c r="AG202" t="n">
        <v>303.603</v>
      </c>
      <c r="AH202" t="n">
        <v>453.074</v>
      </c>
      <c r="AI202" t="n">
        <v>254.089</v>
      </c>
      <c r="AJ202" t="n">
        <v>480.476</v>
      </c>
      <c r="AK202" t="n">
        <v>461.92</v>
      </c>
      <c r="AL202" t="n">
        <v>817.215</v>
      </c>
      <c r="AM202" t="n">
        <v>293.213</v>
      </c>
      <c r="AN202" t="n">
        <v>174.748</v>
      </c>
      <c r="AO202" t="n">
        <v>199.828</v>
      </c>
      <c r="AP202" t="n">
        <v>201.004</v>
      </c>
      <c r="AQ202" t="n">
        <v>167.916</v>
      </c>
      <c r="AR202" t="n">
        <v>120.407</v>
      </c>
      <c r="AS202" t="n">
        <v>236.541</v>
      </c>
      <c r="AT202" t="n">
        <v>289.502</v>
      </c>
      <c r="AU202" t="n">
        <v>280.628</v>
      </c>
      <c r="AV202" t="n">
        <v>358.567</v>
      </c>
      <c r="AW202" t="n">
        <v>346.652</v>
      </c>
      <c r="AX202" t="n">
        <v>355.399</v>
      </c>
      <c r="AY202" t="n">
        <v>218.867</v>
      </c>
      <c r="AZ202" t="n">
        <v>328.767</v>
      </c>
      <c r="BA202" t="n">
        <v>183.466</v>
      </c>
      <c r="BB202" t="n">
        <v>190.12</v>
      </c>
      <c r="BC202" t="n">
        <v>0</v>
      </c>
      <c r="BD202" t="n">
        <v>18.483</v>
      </c>
      <c r="BE202" t="n">
        <v>0.27</v>
      </c>
      <c r="BF202" t="n">
        <v>43.647</v>
      </c>
      <c r="BG202" t="n">
        <v>95.38</v>
      </c>
      <c r="BH202" t="n">
        <v>166.574</v>
      </c>
      <c r="BI202" t="n">
        <v>175.815</v>
      </c>
      <c r="BJ202" t="n">
        <v>160.352</v>
      </c>
      <c r="BK202" t="n">
        <v>167.944</v>
      </c>
      <c r="BL202" t="n">
        <v>139.491</v>
      </c>
      <c r="BM202" t="n">
        <v>0</v>
      </c>
      <c r="BN202" t="n">
        <v>0</v>
      </c>
      <c r="BO202" t="n">
        <v>0</v>
      </c>
      <c r="BP202" t="n">
        <v>0</v>
      </c>
      <c r="BQ202" t="n">
        <v>6.362</v>
      </c>
      <c r="BR202" t="n">
        <v>0</v>
      </c>
      <c r="BS202" t="n">
        <v>0</v>
      </c>
      <c r="BT202" t="n">
        <v>0</v>
      </c>
      <c r="BU202" t="n">
        <v>0</v>
      </c>
      <c r="BV202" t="n">
        <v>0</v>
      </c>
    </row>
    <row r="203">
      <c r="A203" t="inlineStr">
        <is>
          <t>Bramidae</t>
        </is>
      </c>
      <c r="B203" t="inlineStr">
        <is>
          <t>Pomfrets</t>
        </is>
      </c>
      <c r="C203" t="inlineStr">
        <is>
          <t>Medium pelagics (30 - 89 cm)</t>
        </is>
      </c>
      <c r="D203" t="inlineStr">
        <is>
          <t>Perch-likes</t>
        </is>
      </c>
      <c r="E203" t="n">
        <v>0.625</v>
      </c>
      <c r="F203" t="n">
        <v>0.754</v>
      </c>
      <c r="G203" t="n">
        <v>0.93</v>
      </c>
      <c r="H203" t="n">
        <v>1.013</v>
      </c>
      <c r="I203" t="n">
        <v>1.059</v>
      </c>
      <c r="J203" t="n">
        <v>1.342</v>
      </c>
      <c r="K203" t="n">
        <v>1.547</v>
      </c>
      <c r="L203" t="n">
        <v>1.708</v>
      </c>
      <c r="M203" t="n">
        <v>1.843</v>
      </c>
      <c r="N203" t="n">
        <v>2.125</v>
      </c>
      <c r="O203" t="n">
        <v>2.469</v>
      </c>
      <c r="P203" t="n">
        <v>3.018</v>
      </c>
      <c r="Q203" t="n">
        <v>3.185</v>
      </c>
      <c r="R203" t="n">
        <v>3.217</v>
      </c>
      <c r="S203" t="n">
        <v>3.506</v>
      </c>
      <c r="T203" t="n">
        <v>4.195</v>
      </c>
      <c r="U203" t="n">
        <v>4.822</v>
      </c>
      <c r="V203" t="n">
        <v>4.918</v>
      </c>
      <c r="W203" t="n">
        <v>5.191</v>
      </c>
      <c r="X203" t="n">
        <v>5.484</v>
      </c>
      <c r="Y203" t="n">
        <v>5.957</v>
      </c>
      <c r="Z203" t="n">
        <v>8.145</v>
      </c>
      <c r="AA203" t="n">
        <v>10.499</v>
      </c>
      <c r="AB203" t="n">
        <v>10.221</v>
      </c>
      <c r="AC203" t="n">
        <v>10.085</v>
      </c>
      <c r="AD203" t="n">
        <v>10.061</v>
      </c>
      <c r="AE203" t="n">
        <v>9.760999999999999</v>
      </c>
      <c r="AF203" t="n">
        <v>372.663</v>
      </c>
      <c r="AG203" t="n">
        <v>371.77</v>
      </c>
      <c r="AH203" t="n">
        <v>372.725</v>
      </c>
      <c r="AI203" t="n">
        <v>372.042</v>
      </c>
      <c r="AJ203" t="n">
        <v>371.63</v>
      </c>
      <c r="AK203" t="n">
        <v>369.839</v>
      </c>
      <c r="AL203" t="n">
        <v>370.314</v>
      </c>
      <c r="AM203" t="n">
        <v>371.98</v>
      </c>
      <c r="AN203" t="n">
        <v>368.396</v>
      </c>
      <c r="AO203" t="n">
        <v>368.899</v>
      </c>
      <c r="AP203" t="n">
        <v>369.512</v>
      </c>
      <c r="AQ203" t="n">
        <v>373.467</v>
      </c>
      <c r="AR203" t="n">
        <v>371.447</v>
      </c>
      <c r="AS203" t="n">
        <v>369.56</v>
      </c>
      <c r="AT203" t="n">
        <v>368.201</v>
      </c>
      <c r="AU203" t="n">
        <v>366.479</v>
      </c>
      <c r="AV203" t="n">
        <v>367.156</v>
      </c>
      <c r="AW203" t="n">
        <v>365.673</v>
      </c>
      <c r="AX203" t="n">
        <v>366.26</v>
      </c>
      <c r="AY203" t="n">
        <v>364.748</v>
      </c>
      <c r="AZ203" t="n">
        <v>365.628</v>
      </c>
      <c r="BA203" t="n">
        <v>362.517</v>
      </c>
      <c r="BB203" t="n">
        <v>362.517</v>
      </c>
      <c r="BC203" t="n">
        <v>310.729</v>
      </c>
      <c r="BD203" t="n">
        <v>310.729</v>
      </c>
      <c r="BE203" t="n">
        <v>569.669</v>
      </c>
      <c r="BF203" t="n">
        <v>569.669</v>
      </c>
      <c r="BG203" t="n">
        <v>466.093</v>
      </c>
      <c r="BH203" t="n">
        <v>258.941</v>
      </c>
      <c r="BI203" t="n">
        <v>155.364</v>
      </c>
      <c r="BJ203" t="n">
        <v>207.153</v>
      </c>
      <c r="BK203" t="n">
        <v>310.729</v>
      </c>
      <c r="BL203" t="n">
        <v>258.941</v>
      </c>
      <c r="BM203" t="n">
        <v>362.517</v>
      </c>
      <c r="BN203" t="n">
        <v>309.175</v>
      </c>
      <c r="BO203" t="n">
        <v>309.175</v>
      </c>
      <c r="BP203" t="n">
        <v>313.779</v>
      </c>
      <c r="BQ203" t="n">
        <v>314.461</v>
      </c>
      <c r="BR203" t="n">
        <v>312.576</v>
      </c>
      <c r="BS203" t="n">
        <v>318.593</v>
      </c>
      <c r="BT203" t="n">
        <v>310.849</v>
      </c>
      <c r="BU203" t="n">
        <v>311.834</v>
      </c>
      <c r="BV203" t="n">
        <v>311.688</v>
      </c>
    </row>
    <row r="204">
      <c r="A204" t="inlineStr">
        <is>
          <t>Penaeus monodon</t>
        </is>
      </c>
      <c r="B204" t="inlineStr">
        <is>
          <t>Giant tiger prawn</t>
        </is>
      </c>
      <c r="C204" t="inlineStr">
        <is>
          <t>Shrimps</t>
        </is>
      </c>
      <c r="D204" t="inlineStr">
        <is>
          <t>Crustaceans</t>
        </is>
      </c>
      <c r="E204" t="n">
        <v>2.576</v>
      </c>
      <c r="F204" t="n">
        <v>0</v>
      </c>
      <c r="G204" t="n">
        <v>4.33</v>
      </c>
      <c r="H204" t="n">
        <v>0</v>
      </c>
      <c r="I204" t="n">
        <v>5.244</v>
      </c>
      <c r="J204" t="n">
        <v>2.588</v>
      </c>
      <c r="K204" t="n">
        <v>52.971</v>
      </c>
      <c r="L204" t="n">
        <v>50.925</v>
      </c>
      <c r="M204" t="n">
        <v>43.685</v>
      </c>
      <c r="N204" t="n">
        <v>36.92</v>
      </c>
      <c r="O204" t="n">
        <v>42.954</v>
      </c>
      <c r="P204" t="n">
        <v>38.048</v>
      </c>
      <c r="Q204" t="n">
        <v>68.008</v>
      </c>
      <c r="R204" t="n">
        <v>72.913</v>
      </c>
      <c r="S204" t="n">
        <v>59.994</v>
      </c>
      <c r="T204" t="n">
        <v>50.772</v>
      </c>
      <c r="U204" t="n">
        <v>35.899</v>
      </c>
      <c r="V204" t="n">
        <v>47.49</v>
      </c>
      <c r="W204" t="n">
        <v>47.542</v>
      </c>
      <c r="X204" t="n">
        <v>35.407</v>
      </c>
      <c r="Y204" t="n">
        <v>10.53</v>
      </c>
      <c r="Z204" t="n">
        <v>12.934</v>
      </c>
      <c r="AA204" t="n">
        <v>40.88</v>
      </c>
      <c r="AB204" t="n">
        <v>40.523</v>
      </c>
      <c r="AC204" t="n">
        <v>100.96</v>
      </c>
      <c r="AD204" t="n">
        <v>139.156</v>
      </c>
      <c r="AE204" t="n">
        <v>620.216</v>
      </c>
      <c r="AF204" t="n">
        <v>368.48</v>
      </c>
      <c r="AG204" t="n">
        <v>491.594</v>
      </c>
      <c r="AH204" t="n">
        <v>214.279</v>
      </c>
      <c r="AI204" t="n">
        <v>534.621</v>
      </c>
      <c r="AJ204" t="n">
        <v>306.665</v>
      </c>
      <c r="AK204" t="n">
        <v>702.676</v>
      </c>
      <c r="AL204" t="n">
        <v>893.827</v>
      </c>
      <c r="AM204" t="n">
        <v>1129.073</v>
      </c>
      <c r="AN204" t="n">
        <v>1026.132</v>
      </c>
      <c r="AO204" t="n">
        <v>1606.209</v>
      </c>
      <c r="AP204" t="n">
        <v>2137.105</v>
      </c>
      <c r="AQ204" t="n">
        <v>720.925</v>
      </c>
      <c r="AR204" t="n">
        <v>361.514</v>
      </c>
      <c r="AS204" t="n">
        <v>796.894</v>
      </c>
      <c r="AT204" t="n">
        <v>260.689</v>
      </c>
      <c r="AU204" t="n">
        <v>408.647</v>
      </c>
      <c r="AV204" t="n">
        <v>62.55</v>
      </c>
      <c r="AW204" t="n">
        <v>63.485</v>
      </c>
      <c r="AX204" t="n">
        <v>142.333</v>
      </c>
      <c r="AY204" t="n">
        <v>137.359</v>
      </c>
      <c r="AZ204" t="n">
        <v>108.319</v>
      </c>
      <c r="BA204" t="n">
        <v>82.087</v>
      </c>
      <c r="BB204" t="n">
        <v>206.181</v>
      </c>
      <c r="BC204" t="n">
        <v>100.919</v>
      </c>
      <c r="BD204" t="n">
        <v>166.082</v>
      </c>
      <c r="BE204" t="n">
        <v>95.035</v>
      </c>
      <c r="BF204" t="n">
        <v>45.124</v>
      </c>
      <c r="BG204" t="n">
        <v>65.711</v>
      </c>
      <c r="BH204" t="n">
        <v>37.061</v>
      </c>
      <c r="BI204" t="n">
        <v>9.183999999999999</v>
      </c>
      <c r="BJ204" t="n">
        <v>9.468999999999999</v>
      </c>
      <c r="BK204" t="n">
        <v>12.346</v>
      </c>
      <c r="BL204" t="n">
        <v>15.66</v>
      </c>
      <c r="BM204" t="n">
        <v>7.126</v>
      </c>
      <c r="BN204" t="n">
        <v>7.301</v>
      </c>
      <c r="BO204" t="n">
        <v>9.657</v>
      </c>
      <c r="BP204" t="n">
        <v>7.882</v>
      </c>
      <c r="BQ204" t="n">
        <v>11.605</v>
      </c>
      <c r="BR204" t="n">
        <v>12.477</v>
      </c>
      <c r="BS204" t="n">
        <v>13.476</v>
      </c>
      <c r="BT204" t="n">
        <v>9.781000000000001</v>
      </c>
      <c r="BU204" t="n">
        <v>10.343</v>
      </c>
      <c r="BV204" t="n">
        <v>10.486</v>
      </c>
    </row>
    <row r="205">
      <c r="A205" t="inlineStr">
        <is>
          <t>Acanthocybium solandri</t>
        </is>
      </c>
      <c r="B205" t="inlineStr">
        <is>
          <t>Wahoo</t>
        </is>
      </c>
      <c r="C205" t="inlineStr">
        <is>
          <t>Large pelagics (&gt;=90 cm)</t>
        </is>
      </c>
      <c r="D205" t="inlineStr">
        <is>
          <t>Perch-likes</t>
        </is>
      </c>
      <c r="E205" t="n">
        <v>0</v>
      </c>
      <c r="F205" t="n">
        <v>0</v>
      </c>
      <c r="G205" t="n">
        <v>0.412</v>
      </c>
      <c r="H205" t="n">
        <v>0.826</v>
      </c>
      <c r="I205" t="n">
        <v>0.464</v>
      </c>
      <c r="J205" t="n">
        <v>5.351</v>
      </c>
      <c r="K205" t="n">
        <v>6.132</v>
      </c>
      <c r="L205" t="n">
        <v>5.934</v>
      </c>
      <c r="M205" t="n">
        <v>4.848</v>
      </c>
      <c r="N205" t="n">
        <v>1.05</v>
      </c>
      <c r="O205" t="n">
        <v>4.705</v>
      </c>
      <c r="P205" t="n">
        <v>0.424</v>
      </c>
      <c r="Q205" t="n">
        <v>1.457</v>
      </c>
      <c r="R205" t="n">
        <v>2.804</v>
      </c>
      <c r="S205" t="n">
        <v>4.405</v>
      </c>
      <c r="T205" t="n">
        <v>7.044</v>
      </c>
      <c r="U205" t="n">
        <v>3.541</v>
      </c>
      <c r="V205" t="n">
        <v>2.272</v>
      </c>
      <c r="W205" t="n">
        <v>28.662</v>
      </c>
      <c r="X205" t="n">
        <v>1.7</v>
      </c>
      <c r="Y205" t="n">
        <v>2.358</v>
      </c>
      <c r="Z205" t="n">
        <v>8552.597</v>
      </c>
      <c r="AA205" t="n">
        <v>0.462</v>
      </c>
      <c r="AB205" t="n">
        <v>0.756</v>
      </c>
      <c r="AC205" t="n">
        <v>4.773</v>
      </c>
      <c r="AD205" t="n">
        <v>526.271</v>
      </c>
      <c r="AE205" t="n">
        <v>0.593</v>
      </c>
      <c r="AF205" t="n">
        <v>0.506</v>
      </c>
      <c r="AG205" t="n">
        <v>2668.271</v>
      </c>
      <c r="AH205" t="n">
        <v>0.594</v>
      </c>
      <c r="AI205" t="n">
        <v>0.597</v>
      </c>
      <c r="AJ205" t="n">
        <v>2519.084</v>
      </c>
      <c r="AK205" t="n">
        <v>0.962</v>
      </c>
      <c r="AL205" t="n">
        <v>0.698</v>
      </c>
      <c r="AM205" t="n">
        <v>0.5659999999999999</v>
      </c>
      <c r="AN205" t="n">
        <v>3.122</v>
      </c>
      <c r="AO205" t="n">
        <v>2.941</v>
      </c>
      <c r="AP205" t="n">
        <v>2.676</v>
      </c>
      <c r="AQ205" t="n">
        <v>0.725</v>
      </c>
      <c r="AR205" t="n">
        <v>0.752</v>
      </c>
      <c r="AS205" t="n">
        <v>0.605</v>
      </c>
      <c r="AT205" t="n">
        <v>2.292</v>
      </c>
      <c r="AU205" t="n">
        <v>2.329</v>
      </c>
      <c r="AV205" t="n">
        <v>7.944</v>
      </c>
      <c r="AW205" t="n">
        <v>0.5659999999999999</v>
      </c>
      <c r="AX205" t="n">
        <v>0.138</v>
      </c>
      <c r="AY205" t="n">
        <v>33.182</v>
      </c>
      <c r="AZ205" t="n">
        <v>0.145</v>
      </c>
      <c r="BA205" t="n">
        <v>1.772</v>
      </c>
      <c r="BB205" t="n">
        <v>0.182</v>
      </c>
      <c r="BC205" t="n">
        <v>0.131</v>
      </c>
      <c r="BD205" t="n">
        <v>1.748</v>
      </c>
      <c r="BE205" t="n">
        <v>0.136</v>
      </c>
      <c r="BF205" t="n">
        <v>1.839</v>
      </c>
      <c r="BG205" t="n">
        <v>11.219</v>
      </c>
      <c r="BH205" t="n">
        <v>10.308</v>
      </c>
      <c r="BI205" t="n">
        <v>10.197</v>
      </c>
      <c r="BJ205" t="n">
        <v>6.494</v>
      </c>
      <c r="BK205" t="n">
        <v>3.586</v>
      </c>
      <c r="BL205" t="n">
        <v>4.423</v>
      </c>
      <c r="BM205" t="n">
        <v>4.735</v>
      </c>
      <c r="BN205" t="n">
        <v>1.304</v>
      </c>
      <c r="BO205" t="n">
        <v>0.464</v>
      </c>
      <c r="BP205" t="n">
        <v>0.454</v>
      </c>
      <c r="BQ205" t="n">
        <v>0.947</v>
      </c>
      <c r="BR205" t="n">
        <v>0.961</v>
      </c>
      <c r="BS205" t="n">
        <v>1.463</v>
      </c>
      <c r="BT205" t="n">
        <v>0.089</v>
      </c>
      <c r="BU205" t="n">
        <v>0.128</v>
      </c>
      <c r="BV205" t="n">
        <v>0.025</v>
      </c>
    </row>
    <row r="206">
      <c r="A206" t="inlineStr">
        <is>
          <t>Saurida undosquamis</t>
        </is>
      </c>
      <c r="B206" t="inlineStr">
        <is>
          <t>Brushtooth lizardfish</t>
        </is>
      </c>
      <c r="C206" t="inlineStr">
        <is>
          <t>Medium demersals (30 - 89 cm)</t>
        </is>
      </c>
      <c r="D206" t="inlineStr">
        <is>
          <t>Other fishes &amp; inverts</t>
        </is>
      </c>
      <c r="E206" t="n">
        <v>2.268</v>
      </c>
      <c r="F206" t="n">
        <v>0</v>
      </c>
      <c r="G206" t="n">
        <v>0</v>
      </c>
      <c r="H206" t="n">
        <v>0</v>
      </c>
      <c r="I206" t="n">
        <v>0</v>
      </c>
      <c r="J206" t="n">
        <v>0</v>
      </c>
      <c r="K206" t="n">
        <v>0</v>
      </c>
      <c r="L206" t="n">
        <v>2.714</v>
      </c>
      <c r="M206" t="n">
        <v>0</v>
      </c>
      <c r="N206" t="n">
        <v>0</v>
      </c>
      <c r="O206" t="n">
        <v>0</v>
      </c>
      <c r="P206" t="n">
        <v>2.322</v>
      </c>
      <c r="Q206" t="n">
        <v>0</v>
      </c>
      <c r="R206" t="n">
        <v>0</v>
      </c>
      <c r="S206" t="n">
        <v>2.188</v>
      </c>
      <c r="T206" t="n">
        <v>2.142</v>
      </c>
      <c r="U206" t="n">
        <v>0</v>
      </c>
      <c r="V206" t="n">
        <v>0</v>
      </c>
      <c r="W206" t="n">
        <v>72.682</v>
      </c>
      <c r="X206" t="n">
        <v>163.053</v>
      </c>
      <c r="Y206" t="n">
        <v>199.47</v>
      </c>
      <c r="Z206" t="n">
        <v>171.994</v>
      </c>
      <c r="AA206" t="n">
        <v>232.843</v>
      </c>
      <c r="AB206" t="n">
        <v>371.553</v>
      </c>
      <c r="AC206" t="n">
        <v>434.011</v>
      </c>
      <c r="AD206" t="n">
        <v>605.482</v>
      </c>
      <c r="AE206" t="n">
        <v>307.066</v>
      </c>
      <c r="AF206" t="n">
        <v>556.704</v>
      </c>
      <c r="AG206" t="n">
        <v>203.097</v>
      </c>
      <c r="AH206" t="n">
        <v>901.014</v>
      </c>
      <c r="AI206" t="n">
        <v>995.182</v>
      </c>
      <c r="AJ206" t="n">
        <v>591.227</v>
      </c>
      <c r="AK206" t="n">
        <v>347.34</v>
      </c>
      <c r="AL206" t="n">
        <v>348.831</v>
      </c>
      <c r="AM206" t="n">
        <v>211.061</v>
      </c>
      <c r="AN206" t="n">
        <v>180.588</v>
      </c>
      <c r="AO206" t="n">
        <v>166.333</v>
      </c>
      <c r="AP206" t="n">
        <v>421.944</v>
      </c>
      <c r="AQ206" t="n">
        <v>391.147</v>
      </c>
      <c r="AR206" t="n">
        <v>105.278</v>
      </c>
      <c r="AS206" t="n">
        <v>56.625</v>
      </c>
      <c r="AT206" t="n">
        <v>101.134</v>
      </c>
      <c r="AU206" t="n">
        <v>164.907</v>
      </c>
      <c r="AV206" t="n">
        <v>133.631</v>
      </c>
      <c r="AW206" t="n">
        <v>322.873</v>
      </c>
      <c r="AX206" t="n">
        <v>229.045</v>
      </c>
      <c r="AY206" t="n">
        <v>201.538</v>
      </c>
      <c r="AZ206" t="n">
        <v>236.813</v>
      </c>
      <c r="BA206" t="n">
        <v>259.525</v>
      </c>
      <c r="BB206" t="n">
        <v>38.441</v>
      </c>
      <c r="BC206" t="n">
        <v>845.2569999999999</v>
      </c>
      <c r="BD206" t="n">
        <v>829.888</v>
      </c>
      <c r="BE206" t="n">
        <v>36.247</v>
      </c>
      <c r="BF206" t="n">
        <v>582.082</v>
      </c>
      <c r="BG206" t="n">
        <v>28.791</v>
      </c>
      <c r="BH206" t="n">
        <v>70.41</v>
      </c>
      <c r="BI206" t="n">
        <v>19.765</v>
      </c>
      <c r="BJ206" t="n">
        <v>300.283</v>
      </c>
      <c r="BK206" t="n">
        <v>89.53100000000001</v>
      </c>
      <c r="BL206" t="n">
        <v>268.524</v>
      </c>
      <c r="BM206" t="n">
        <v>0.839</v>
      </c>
      <c r="BN206" t="n">
        <v>0.849</v>
      </c>
      <c r="BO206" t="n">
        <v>0.856</v>
      </c>
      <c r="BP206" t="n">
        <v>0.852</v>
      </c>
      <c r="BQ206" t="n">
        <v>0.863</v>
      </c>
      <c r="BR206" t="n">
        <v>1.17</v>
      </c>
      <c r="BS206" t="n">
        <v>1.148</v>
      </c>
      <c r="BT206" t="n">
        <v>1.073</v>
      </c>
      <c r="BU206" t="n">
        <v>1.016</v>
      </c>
      <c r="BV206" t="n">
        <v>0.961</v>
      </c>
    </row>
    <row r="207">
      <c r="A207" t="inlineStr">
        <is>
          <t>Beryx splendens</t>
        </is>
      </c>
      <c r="B207" t="inlineStr">
        <is>
          <t>Splendid alfonsino</t>
        </is>
      </c>
      <c r="C207" t="inlineStr">
        <is>
          <t>Medium benthopelagics (30 - 89 cm)</t>
        </is>
      </c>
      <c r="D207" t="inlineStr">
        <is>
          <t>Other fishes &amp; inverts</t>
        </is>
      </c>
      <c r="E207" t="n">
        <v>141.364</v>
      </c>
      <c r="F207" t="n">
        <v>141.364</v>
      </c>
      <c r="G207" t="n">
        <v>141.364</v>
      </c>
      <c r="H207" t="n">
        <v>141.364</v>
      </c>
      <c r="I207" t="n">
        <v>141.364</v>
      </c>
      <c r="J207" t="n">
        <v>141.364</v>
      </c>
      <c r="K207" t="n">
        <v>141.364</v>
      </c>
      <c r="L207" t="n">
        <v>141.364</v>
      </c>
      <c r="M207" t="n">
        <v>141.364</v>
      </c>
      <c r="N207" t="n">
        <v>141.364</v>
      </c>
      <c r="O207" t="n">
        <v>141.364</v>
      </c>
      <c r="P207" t="n">
        <v>141.364</v>
      </c>
      <c r="Q207" t="n">
        <v>141.364</v>
      </c>
      <c r="R207" t="n">
        <v>141.364</v>
      </c>
      <c r="S207" t="n">
        <v>141.364</v>
      </c>
      <c r="T207" t="n">
        <v>141.364</v>
      </c>
      <c r="U207" t="n">
        <v>141.364</v>
      </c>
      <c r="V207" t="n">
        <v>141.364</v>
      </c>
      <c r="W207" t="n">
        <v>141.364</v>
      </c>
      <c r="X207" t="n">
        <v>141.364</v>
      </c>
      <c r="Y207" t="n">
        <v>141.364</v>
      </c>
      <c r="Z207" t="n">
        <v>141.364</v>
      </c>
      <c r="AA207" t="n">
        <v>141.364</v>
      </c>
      <c r="AB207" t="n">
        <v>141.364</v>
      </c>
      <c r="AC207" t="n">
        <v>176.704</v>
      </c>
      <c r="AD207" t="n">
        <v>212.045</v>
      </c>
      <c r="AE207" t="n">
        <v>247.386</v>
      </c>
      <c r="AF207" t="n">
        <v>282.727</v>
      </c>
      <c r="AG207" t="n">
        <v>353.409</v>
      </c>
      <c r="AH207" t="n">
        <v>353.409</v>
      </c>
      <c r="AI207" t="n">
        <v>388.75</v>
      </c>
      <c r="AJ207" t="n">
        <v>424.091</v>
      </c>
      <c r="AK207" t="n">
        <v>424.091</v>
      </c>
      <c r="AL207" t="n">
        <v>459.431</v>
      </c>
      <c r="AM207" t="n">
        <v>424.091</v>
      </c>
      <c r="AN207" t="n">
        <v>353.409</v>
      </c>
      <c r="AO207" t="n">
        <v>282.727</v>
      </c>
      <c r="AP207" t="n">
        <v>247.386</v>
      </c>
      <c r="AQ207" t="n">
        <v>176.704</v>
      </c>
      <c r="AR207" t="n">
        <v>176.704</v>
      </c>
      <c r="AS207" t="n">
        <v>176.704</v>
      </c>
      <c r="AT207" t="n">
        <v>176.704</v>
      </c>
      <c r="AU207" t="n">
        <v>176.704</v>
      </c>
      <c r="AV207" t="n">
        <v>176.704</v>
      </c>
      <c r="AW207" t="n">
        <v>176.704</v>
      </c>
      <c r="AX207" t="n">
        <v>176.704</v>
      </c>
      <c r="AY207" t="n">
        <v>176.704</v>
      </c>
      <c r="AZ207" t="n">
        <v>176.704</v>
      </c>
      <c r="BA207" t="n">
        <v>176.704</v>
      </c>
      <c r="BB207" t="n">
        <v>176.704</v>
      </c>
      <c r="BC207" t="n">
        <v>176.704</v>
      </c>
      <c r="BD207" t="n">
        <v>176.704</v>
      </c>
      <c r="BE207" t="n">
        <v>176.704</v>
      </c>
      <c r="BF207" t="n">
        <v>176.704</v>
      </c>
      <c r="BG207" t="n">
        <v>141.364</v>
      </c>
      <c r="BH207" t="n">
        <v>106.023</v>
      </c>
      <c r="BI207" t="n">
        <v>141.364</v>
      </c>
      <c r="BJ207" t="n">
        <v>106.023</v>
      </c>
      <c r="BK207" t="n">
        <v>106.023</v>
      </c>
      <c r="BL207" t="n">
        <v>106.023</v>
      </c>
      <c r="BM207" t="n">
        <v>106.023</v>
      </c>
      <c r="BN207" t="n">
        <v>106.023</v>
      </c>
      <c r="BO207" t="n">
        <v>106.023</v>
      </c>
      <c r="BP207" t="n">
        <v>106.023</v>
      </c>
      <c r="BQ207" t="n">
        <v>106.023</v>
      </c>
      <c r="BR207" t="n">
        <v>106.023</v>
      </c>
      <c r="BS207" t="n">
        <v>106.023</v>
      </c>
      <c r="BT207" t="n">
        <v>109.931</v>
      </c>
      <c r="BU207" t="n">
        <v>109.931</v>
      </c>
      <c r="BV207" t="n">
        <v>109.931</v>
      </c>
    </row>
    <row r="208">
      <c r="A208" t="inlineStr">
        <is>
          <t>Auxis rochei</t>
        </is>
      </c>
      <c r="B208" t="inlineStr">
        <is>
          <t>Bullet tuna</t>
        </is>
      </c>
      <c r="C208" t="inlineStr">
        <is>
          <t>Medium pelagics (30 - 89 cm)</t>
        </is>
      </c>
      <c r="D208" t="inlineStr">
        <is>
          <t>Tuna &amp; billfishes</t>
        </is>
      </c>
      <c r="E208" t="n">
        <v>20.603</v>
      </c>
      <c r="F208" t="n">
        <v>25.315</v>
      </c>
      <c r="G208" t="n">
        <v>29.685</v>
      </c>
      <c r="H208" t="n">
        <v>31.849</v>
      </c>
      <c r="I208" t="n">
        <v>32.381</v>
      </c>
      <c r="J208" t="n">
        <v>39.327</v>
      </c>
      <c r="K208" t="n">
        <v>45.762</v>
      </c>
      <c r="L208" t="n">
        <v>50.159</v>
      </c>
      <c r="M208" t="n">
        <v>55.56</v>
      </c>
      <c r="N208" t="n">
        <v>62.855</v>
      </c>
      <c r="O208" t="n">
        <v>67.363</v>
      </c>
      <c r="P208" t="n">
        <v>79.93899999999999</v>
      </c>
      <c r="Q208" t="n">
        <v>88.074</v>
      </c>
      <c r="R208" t="n">
        <v>95.157</v>
      </c>
      <c r="S208" t="n">
        <v>107.437</v>
      </c>
      <c r="T208" t="n">
        <v>117.081</v>
      </c>
      <c r="U208" t="n">
        <v>130.296</v>
      </c>
      <c r="V208" t="n">
        <v>145.008</v>
      </c>
      <c r="W208" t="n">
        <v>167.671</v>
      </c>
      <c r="X208" t="n">
        <v>187.682</v>
      </c>
      <c r="Y208" t="n">
        <v>196.537</v>
      </c>
      <c r="Z208" t="n">
        <v>212.221</v>
      </c>
      <c r="AA208" t="n">
        <v>207.446</v>
      </c>
      <c r="AB208" t="n">
        <v>220.95</v>
      </c>
      <c r="AC208" t="n">
        <v>221.092</v>
      </c>
      <c r="AD208" t="n">
        <v>282.12</v>
      </c>
      <c r="AE208" t="n">
        <v>292.387</v>
      </c>
      <c r="AF208" t="n">
        <v>304.633</v>
      </c>
      <c r="AG208" t="n">
        <v>338.694</v>
      </c>
      <c r="AH208" t="n">
        <v>358.975</v>
      </c>
      <c r="AI208" t="n">
        <v>360.49</v>
      </c>
      <c r="AJ208" t="n">
        <v>316.186</v>
      </c>
      <c r="AK208" t="n">
        <v>312.123</v>
      </c>
      <c r="AL208" t="n">
        <v>311.822</v>
      </c>
      <c r="AM208" t="n">
        <v>306.722</v>
      </c>
      <c r="AN208" t="n">
        <v>316.052</v>
      </c>
      <c r="AO208" t="n">
        <v>316.781</v>
      </c>
      <c r="AP208" t="n">
        <v>292.107</v>
      </c>
      <c r="AQ208" t="n">
        <v>282.045</v>
      </c>
      <c r="AR208" t="n">
        <v>254.861</v>
      </c>
      <c r="AS208" t="n">
        <v>204.131</v>
      </c>
      <c r="AT208" t="n">
        <v>182.817</v>
      </c>
      <c r="AU208" t="n">
        <v>190.041</v>
      </c>
      <c r="AV208" t="n">
        <v>168.254</v>
      </c>
      <c r="AW208" t="n">
        <v>163.717</v>
      </c>
      <c r="AX208" t="n">
        <v>194.33</v>
      </c>
      <c r="AY208" t="n">
        <v>184.201</v>
      </c>
      <c r="AZ208" t="n">
        <v>164.226</v>
      </c>
      <c r="BA208" t="n">
        <v>135.271</v>
      </c>
      <c r="BB208" t="n">
        <v>139.963</v>
      </c>
      <c r="BC208" t="n">
        <v>96.33499999999999</v>
      </c>
      <c r="BD208" t="n">
        <v>46.66</v>
      </c>
      <c r="BE208" t="n">
        <v>78.911</v>
      </c>
      <c r="BF208" t="n">
        <v>82.595</v>
      </c>
      <c r="BG208" t="n">
        <v>199.861</v>
      </c>
      <c r="BH208" t="n">
        <v>178.191</v>
      </c>
      <c r="BI208" t="n">
        <v>145.405</v>
      </c>
      <c r="BJ208" t="n">
        <v>60.244</v>
      </c>
      <c r="BK208" t="n">
        <v>156.683</v>
      </c>
      <c r="BL208" t="n">
        <v>216.169</v>
      </c>
      <c r="BM208" t="n">
        <v>145.16</v>
      </c>
      <c r="BN208" t="n">
        <v>180.227</v>
      </c>
      <c r="BO208" t="n">
        <v>180.024</v>
      </c>
      <c r="BP208" t="n">
        <v>149.559</v>
      </c>
      <c r="BQ208" t="n">
        <v>161.872</v>
      </c>
      <c r="BR208" t="n">
        <v>156.312</v>
      </c>
      <c r="BS208" t="n">
        <v>151.156</v>
      </c>
      <c r="BT208" t="n">
        <v>175.999</v>
      </c>
      <c r="BU208" t="n">
        <v>265.995</v>
      </c>
      <c r="BV208" t="n">
        <v>181.741</v>
      </c>
    </row>
    <row r="209">
      <c r="A209" t="inlineStr">
        <is>
          <t>Scorpaeniformes</t>
        </is>
      </c>
      <c r="B209" t="inlineStr">
        <is>
          <t>Scorpionfishes, flatheads</t>
        </is>
      </c>
      <c r="C209" t="inlineStr">
        <is>
          <t>Medium demersals (30 - 89 cm)</t>
        </is>
      </c>
      <c r="D209" t="inlineStr">
        <is>
          <t>Scorpionfishes</t>
        </is>
      </c>
      <c r="E209" t="n">
        <v>132.087</v>
      </c>
      <c r="F209" t="n">
        <v>132.087</v>
      </c>
      <c r="G209" t="n">
        <v>132.087</v>
      </c>
      <c r="H209" t="n">
        <v>132.087</v>
      </c>
      <c r="I209" t="n">
        <v>132.087</v>
      </c>
      <c r="J209" t="n">
        <v>132.087</v>
      </c>
      <c r="K209" t="n">
        <v>132.087</v>
      </c>
      <c r="L209" t="n">
        <v>132.087</v>
      </c>
      <c r="M209" t="n">
        <v>132.087</v>
      </c>
      <c r="N209" t="n">
        <v>132.087</v>
      </c>
      <c r="O209" t="n">
        <v>132.087</v>
      </c>
      <c r="P209" t="n">
        <v>132.087</v>
      </c>
      <c r="Q209" t="n">
        <v>132.087</v>
      </c>
      <c r="R209" t="n">
        <v>132.087</v>
      </c>
      <c r="S209" t="n">
        <v>132.087</v>
      </c>
      <c r="T209" t="n">
        <v>132.087</v>
      </c>
      <c r="U209" t="n">
        <v>132.087</v>
      </c>
      <c r="V209" t="n">
        <v>132.087</v>
      </c>
      <c r="W209" t="n">
        <v>132.087</v>
      </c>
      <c r="X209" t="n">
        <v>132.087</v>
      </c>
      <c r="Y209" t="n">
        <v>132.087</v>
      </c>
      <c r="Z209" t="n">
        <v>132.087</v>
      </c>
      <c r="AA209" t="n">
        <v>132.087</v>
      </c>
      <c r="AB209" t="n">
        <v>132.087</v>
      </c>
      <c r="AC209" t="n">
        <v>166.846</v>
      </c>
      <c r="AD209" t="n">
        <v>201.606</v>
      </c>
      <c r="AE209" t="n">
        <v>243.318</v>
      </c>
      <c r="AF209" t="n">
        <v>278.077</v>
      </c>
      <c r="AG209" t="n">
        <v>319.789</v>
      </c>
      <c r="AH209" t="n">
        <v>340.645</v>
      </c>
      <c r="AI209" t="n">
        <v>368.452</v>
      </c>
      <c r="AJ209" t="n">
        <v>389.308</v>
      </c>
      <c r="AK209" t="n">
        <v>410.164</v>
      </c>
      <c r="AL209" t="n">
        <v>437.972</v>
      </c>
      <c r="AM209" t="n">
        <v>382.356</v>
      </c>
      <c r="AN209" t="n">
        <v>326.741</v>
      </c>
      <c r="AO209" t="n">
        <v>278.077</v>
      </c>
      <c r="AP209" t="n">
        <v>222.462</v>
      </c>
      <c r="AQ209" t="n">
        <v>166.846</v>
      </c>
      <c r="AR209" t="n">
        <v>166.846</v>
      </c>
      <c r="AS209" t="n">
        <v>166.846</v>
      </c>
      <c r="AT209" t="n">
        <v>159.894</v>
      </c>
      <c r="AU209" t="n">
        <v>159.894</v>
      </c>
      <c r="AV209" t="n">
        <v>159.894</v>
      </c>
      <c r="AW209" t="n">
        <v>159.894</v>
      </c>
      <c r="AX209" t="n">
        <v>159.894</v>
      </c>
      <c r="AY209" t="n">
        <v>159.894</v>
      </c>
      <c r="AZ209" t="n">
        <v>159.894</v>
      </c>
      <c r="BA209" t="n">
        <v>159.894</v>
      </c>
      <c r="BB209" t="n">
        <v>159.894</v>
      </c>
      <c r="BC209" t="n">
        <v>166.846</v>
      </c>
      <c r="BD209" t="n">
        <v>166.846</v>
      </c>
      <c r="BE209" t="n">
        <v>166.846</v>
      </c>
      <c r="BF209" t="n">
        <v>166.846</v>
      </c>
      <c r="BG209" t="n">
        <v>145.991</v>
      </c>
      <c r="BH209" t="n">
        <v>104.279</v>
      </c>
      <c r="BI209" t="n">
        <v>125.135</v>
      </c>
      <c r="BJ209" t="n">
        <v>111.231</v>
      </c>
      <c r="BK209" t="n">
        <v>111.231</v>
      </c>
      <c r="BL209" t="n">
        <v>104.279</v>
      </c>
      <c r="BM209" t="n">
        <v>90.375</v>
      </c>
      <c r="BN209" t="n">
        <v>90.375</v>
      </c>
      <c r="BO209" t="n">
        <v>90.375</v>
      </c>
      <c r="BP209" t="n">
        <v>90.375</v>
      </c>
      <c r="BQ209" t="n">
        <v>90.375</v>
      </c>
      <c r="BR209" t="n">
        <v>90.375</v>
      </c>
      <c r="BS209" t="n">
        <v>90.375</v>
      </c>
      <c r="BT209" t="n">
        <v>93.70699999999999</v>
      </c>
      <c r="BU209" t="n">
        <v>93.70699999999999</v>
      </c>
      <c r="BV209" t="n">
        <v>93.70699999999999</v>
      </c>
    </row>
    <row r="210">
      <c r="A210" t="inlineStr">
        <is>
          <t>Epinephelus maculatus</t>
        </is>
      </c>
      <c r="B210" t="inlineStr">
        <is>
          <t>Highfin grouper</t>
        </is>
      </c>
      <c r="C210" t="inlineStr">
        <is>
          <t>Medium reef assoc. fish (30 - 89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83.28700000000001</v>
      </c>
      <c r="AO210" t="n">
        <v>132.601</v>
      </c>
      <c r="AP210" t="n">
        <v>168.026</v>
      </c>
      <c r="AQ210" t="n">
        <v>195.858</v>
      </c>
      <c r="AR210" t="n">
        <v>218.888</v>
      </c>
      <c r="AS210" t="n">
        <v>238.636</v>
      </c>
      <c r="AT210" t="n">
        <v>254.504</v>
      </c>
      <c r="AU210" t="n">
        <v>268.508</v>
      </c>
      <c r="AV210" t="n">
        <v>281.042</v>
      </c>
      <c r="AW210" t="n">
        <v>292.384</v>
      </c>
      <c r="AX210" t="n">
        <v>302.744</v>
      </c>
      <c r="AY210" t="n">
        <v>312.275</v>
      </c>
      <c r="AZ210" t="n">
        <v>321.126</v>
      </c>
      <c r="BA210" t="n">
        <v>329.359</v>
      </c>
      <c r="BB210" t="n">
        <v>337.056</v>
      </c>
      <c r="BC210" t="n">
        <v>344.3</v>
      </c>
      <c r="BD210" t="n">
        <v>351.11</v>
      </c>
      <c r="BE210" t="n">
        <v>357.538</v>
      </c>
      <c r="BF210" t="n">
        <v>363.639</v>
      </c>
      <c r="BG210" t="n">
        <v>369.443</v>
      </c>
      <c r="BH210" t="n">
        <v>374.979</v>
      </c>
      <c r="BI210" t="n">
        <v>380.301</v>
      </c>
      <c r="BJ210" t="n">
        <v>385.4</v>
      </c>
      <c r="BK210" t="n">
        <v>390.293</v>
      </c>
      <c r="BL210" t="n">
        <v>394.996</v>
      </c>
      <c r="BM210" t="n">
        <v>399.514</v>
      </c>
      <c r="BN210" t="n">
        <v>403.677</v>
      </c>
      <c r="BO210" t="n">
        <v>407.862</v>
      </c>
      <c r="BP210" t="n">
        <v>411.894</v>
      </c>
      <c r="BQ210" t="n">
        <v>415.795</v>
      </c>
      <c r="BR210" t="n">
        <v>415.839</v>
      </c>
      <c r="BS210" t="n">
        <v>415.853</v>
      </c>
      <c r="BT210" t="n">
        <v>415.86</v>
      </c>
      <c r="BU210" t="n">
        <v>407.18</v>
      </c>
      <c r="BV210" t="n">
        <v>415.86</v>
      </c>
    </row>
    <row r="211">
      <c r="A211" t="inlineStr">
        <is>
          <t>Isurus</t>
        </is>
      </c>
      <c r="B211" t="inlineStr">
        <is>
          <t>Mako sharks</t>
        </is>
      </c>
      <c r="C211" t="inlineStr">
        <is>
          <t>Large sharks (&gt;=90 cm)</t>
        </is>
      </c>
      <c r="D211" t="inlineStr">
        <is>
          <t>Sharks &amp; rays</t>
        </is>
      </c>
      <c r="E211" t="n">
        <v>58.473</v>
      </c>
      <c r="F211" t="n">
        <v>59.363</v>
      </c>
      <c r="G211" t="n">
        <v>82.53</v>
      </c>
      <c r="H211" t="n">
        <v>83.334</v>
      </c>
      <c r="I211" t="n">
        <v>94.633</v>
      </c>
      <c r="J211" t="n">
        <v>96.598</v>
      </c>
      <c r="K211" t="n">
        <v>98.48699999999999</v>
      </c>
      <c r="L211" t="n">
        <v>87.551</v>
      </c>
      <c r="M211" t="n">
        <v>100.005</v>
      </c>
      <c r="N211" t="n">
        <v>148.023</v>
      </c>
      <c r="O211" t="n">
        <v>148.035</v>
      </c>
      <c r="P211" t="n">
        <v>173.332</v>
      </c>
      <c r="Q211" t="n">
        <v>232.221</v>
      </c>
      <c r="R211" t="n">
        <v>247.624</v>
      </c>
      <c r="S211" t="n">
        <v>206.599</v>
      </c>
      <c r="T211" t="n">
        <v>208.112</v>
      </c>
      <c r="U211" t="n">
        <v>198.611</v>
      </c>
      <c r="V211" t="n">
        <v>234.656</v>
      </c>
      <c r="W211" t="n">
        <v>357.597</v>
      </c>
      <c r="X211" t="n">
        <v>393.938</v>
      </c>
      <c r="Y211" t="n">
        <v>293.466</v>
      </c>
      <c r="Z211" t="n">
        <v>285.232</v>
      </c>
      <c r="AA211" t="n">
        <v>286.981</v>
      </c>
      <c r="AB211" t="n">
        <v>240.991</v>
      </c>
      <c r="AC211" t="n">
        <v>276.45</v>
      </c>
      <c r="AD211" t="n">
        <v>245.041</v>
      </c>
      <c r="AE211" t="n">
        <v>175.938</v>
      </c>
      <c r="AF211" t="n">
        <v>168.202</v>
      </c>
      <c r="AG211" t="n">
        <v>162.598</v>
      </c>
      <c r="AH211" t="n">
        <v>235.323</v>
      </c>
      <c r="AI211" t="n">
        <v>214.039</v>
      </c>
      <c r="AJ211" t="n">
        <v>257.067</v>
      </c>
      <c r="AK211" t="n">
        <v>248.224</v>
      </c>
      <c r="AL211" t="n">
        <v>278.527</v>
      </c>
      <c r="AM211" t="n">
        <v>263.19</v>
      </c>
      <c r="AN211" t="n">
        <v>205.295</v>
      </c>
      <c r="AO211" t="n">
        <v>219.874</v>
      </c>
      <c r="AP211" t="n">
        <v>229.596</v>
      </c>
      <c r="AQ211" t="n">
        <v>282.655</v>
      </c>
      <c r="AR211" t="n">
        <v>210.49</v>
      </c>
      <c r="AS211" t="n">
        <v>198.043</v>
      </c>
      <c r="AT211" t="n">
        <v>211.331</v>
      </c>
      <c r="AU211" t="n">
        <v>170.193</v>
      </c>
      <c r="AV211" t="n">
        <v>177.31</v>
      </c>
      <c r="AW211" t="n">
        <v>144.285</v>
      </c>
      <c r="AX211" t="n">
        <v>115.332</v>
      </c>
      <c r="AY211" t="n">
        <v>103.295</v>
      </c>
      <c r="AZ211" t="n">
        <v>102.836</v>
      </c>
      <c r="BA211" t="n">
        <v>75.068</v>
      </c>
      <c r="BB211" t="n">
        <v>59.999</v>
      </c>
      <c r="BC211" t="n">
        <v>72.923</v>
      </c>
      <c r="BD211" t="n">
        <v>75.72</v>
      </c>
      <c r="BE211" t="n">
        <v>69.902</v>
      </c>
      <c r="BF211" t="n">
        <v>62.285</v>
      </c>
      <c r="BG211" t="n">
        <v>79.544</v>
      </c>
      <c r="BH211" t="n">
        <v>76.886</v>
      </c>
      <c r="BI211" t="n">
        <v>76.107</v>
      </c>
      <c r="BJ211" t="n">
        <v>74.129</v>
      </c>
      <c r="BK211" t="n">
        <v>63.863</v>
      </c>
      <c r="BL211" t="n">
        <v>71.96299999999999</v>
      </c>
      <c r="BM211" t="n">
        <v>74.81699999999999</v>
      </c>
      <c r="BN211" t="n">
        <v>68.051</v>
      </c>
      <c r="BO211" t="n">
        <v>60.722</v>
      </c>
      <c r="BP211" t="n">
        <v>71.96899999999999</v>
      </c>
      <c r="BQ211" t="n">
        <v>72.614</v>
      </c>
      <c r="BR211" t="n">
        <v>61.98</v>
      </c>
      <c r="BS211" t="n">
        <v>73.28700000000001</v>
      </c>
      <c r="BT211" t="n">
        <v>51.217</v>
      </c>
      <c r="BU211" t="n">
        <v>52.288</v>
      </c>
      <c r="BV211" t="n">
        <v>50.873</v>
      </c>
    </row>
    <row r="212">
      <c r="A212" t="inlineStr">
        <is>
          <t>Dussumieria elopsoides</t>
        </is>
      </c>
      <c r="B212" t="inlineStr">
        <is>
          <t>Slender rainbow sardine</t>
        </is>
      </c>
      <c r="C212" t="inlineStr">
        <is>
          <t>Small pelagics (&lt;30 cm)</t>
        </is>
      </c>
      <c r="D212" t="inlineStr">
        <is>
          <t>Herring-likes</t>
        </is>
      </c>
      <c r="E212" t="n">
        <v>0</v>
      </c>
      <c r="F212" t="n">
        <v>0</v>
      </c>
      <c r="G212" t="n">
        <v>0</v>
      </c>
      <c r="H212" t="n">
        <v>666.821</v>
      </c>
      <c r="I212" t="n">
        <v>1069.861</v>
      </c>
      <c r="J212" t="n">
        <v>67.051</v>
      </c>
      <c r="K212" t="n">
        <v>0</v>
      </c>
      <c r="L212" t="n">
        <v>337.111</v>
      </c>
      <c r="M212" t="n">
        <v>0</v>
      </c>
      <c r="N212" t="n">
        <v>0</v>
      </c>
      <c r="O212" t="n">
        <v>0</v>
      </c>
      <c r="P212" t="n">
        <v>0</v>
      </c>
      <c r="Q212" t="n">
        <v>0</v>
      </c>
      <c r="R212" t="n">
        <v>0</v>
      </c>
      <c r="S212" t="n">
        <v>412.433</v>
      </c>
      <c r="T212" t="n">
        <v>68.929</v>
      </c>
      <c r="U212" t="n">
        <v>69.12</v>
      </c>
      <c r="V212" t="n">
        <v>277.246</v>
      </c>
      <c r="W212" t="n">
        <v>278.015</v>
      </c>
      <c r="X212" t="n">
        <v>487.875</v>
      </c>
      <c r="Y212" t="n">
        <v>559.117</v>
      </c>
      <c r="Z212" t="n">
        <v>630.751</v>
      </c>
      <c r="AA212" t="n">
        <v>983.891</v>
      </c>
      <c r="AB212" t="n">
        <v>704.73</v>
      </c>
      <c r="AC212" t="n">
        <v>260.061</v>
      </c>
      <c r="AD212" t="n">
        <v>593.139</v>
      </c>
      <c r="AE212" t="n">
        <v>448.856</v>
      </c>
      <c r="AF212" t="n">
        <v>344.173</v>
      </c>
      <c r="AG212" t="n">
        <v>365.993</v>
      </c>
      <c r="AH212" t="n">
        <v>222.32</v>
      </c>
      <c r="AI212" t="n">
        <v>313.268</v>
      </c>
      <c r="AJ212" t="n">
        <v>222.954</v>
      </c>
      <c r="AK212" t="n">
        <v>91.245</v>
      </c>
      <c r="AL212" t="n">
        <v>86.10299999999999</v>
      </c>
      <c r="AM212" t="n">
        <v>95.55500000000001</v>
      </c>
      <c r="AN212" t="n">
        <v>70.98099999999999</v>
      </c>
      <c r="AO212" t="n">
        <v>46.271</v>
      </c>
      <c r="AP212" t="n">
        <v>48.868</v>
      </c>
      <c r="AQ212" t="n">
        <v>33.719</v>
      </c>
      <c r="AR212" t="n">
        <v>83.45999999999999</v>
      </c>
      <c r="AS212" t="n">
        <v>53.353</v>
      </c>
      <c r="AT212" t="n">
        <v>83.93300000000001</v>
      </c>
      <c r="AU212" t="n">
        <v>66.26000000000001</v>
      </c>
      <c r="AV212" t="n">
        <v>9.749000000000001</v>
      </c>
      <c r="AW212" t="n">
        <v>8.215999999999999</v>
      </c>
      <c r="AX212" t="n">
        <v>16.306</v>
      </c>
      <c r="AY212" t="n">
        <v>4.079</v>
      </c>
      <c r="AZ212" t="n">
        <v>0.632</v>
      </c>
      <c r="BA212" t="n">
        <v>0.5649999999999999</v>
      </c>
      <c r="BB212" t="n">
        <v>0.332</v>
      </c>
      <c r="BC212" t="n">
        <v>0.499</v>
      </c>
      <c r="BD212" t="n">
        <v>0.5649999999999999</v>
      </c>
      <c r="BE212" t="n">
        <v>0.499</v>
      </c>
      <c r="BF212" t="n">
        <v>0.465</v>
      </c>
      <c r="BG212" t="n">
        <v>0.499</v>
      </c>
      <c r="BH212" t="n">
        <v>0.499</v>
      </c>
      <c r="BI212" t="n">
        <v>0.465</v>
      </c>
      <c r="BJ212" t="n">
        <v>0.465</v>
      </c>
      <c r="BK212" t="n">
        <v>0.465</v>
      </c>
      <c r="BL212" t="n">
        <v>0.499</v>
      </c>
      <c r="BM212" t="n">
        <v>0.532</v>
      </c>
      <c r="BN212" t="n">
        <v>0.538</v>
      </c>
      <c r="BO212" t="n">
        <v>0.493</v>
      </c>
      <c r="BP212" t="n">
        <v>0.537</v>
      </c>
      <c r="BQ212" t="n">
        <v>0.506</v>
      </c>
      <c r="BR212" t="n">
        <v>0.459</v>
      </c>
      <c r="BS212" t="n">
        <v>0.451</v>
      </c>
      <c r="BT212" t="n">
        <v>0.403</v>
      </c>
      <c r="BU212" t="n">
        <v>0.393</v>
      </c>
      <c r="BV212" t="n">
        <v>0.388</v>
      </c>
    </row>
    <row r="213">
      <c r="A213" t="inlineStr">
        <is>
          <t>Chirocentrus dorab</t>
        </is>
      </c>
      <c r="B213" t="inlineStr">
        <is>
          <t>Dorab wolf-herring</t>
        </is>
      </c>
      <c r="C213" t="inlineStr">
        <is>
          <t>Large benthopelagics (&gt;=90 cm)</t>
        </is>
      </c>
      <c r="D213" t="inlineStr">
        <is>
          <t>Herring-likes</t>
        </is>
      </c>
      <c r="E213" t="n">
        <v>544.927</v>
      </c>
      <c r="F213" t="n">
        <v>716.503</v>
      </c>
      <c r="G213" t="n">
        <v>781.144</v>
      </c>
      <c r="H213" t="n">
        <v>742.0069999999999</v>
      </c>
      <c r="I213" t="n">
        <v>396.683</v>
      </c>
      <c r="J213" t="n">
        <v>344.54</v>
      </c>
      <c r="K213" t="n">
        <v>349.622</v>
      </c>
      <c r="L213" t="n">
        <v>162.961</v>
      </c>
      <c r="M213" t="n">
        <v>147.38</v>
      </c>
      <c r="N213" t="n">
        <v>145.931</v>
      </c>
      <c r="O213" t="n">
        <v>289.345</v>
      </c>
      <c r="P213" t="n">
        <v>259.216</v>
      </c>
      <c r="Q213" t="n">
        <v>251.167</v>
      </c>
      <c r="R213" t="n">
        <v>235.867</v>
      </c>
      <c r="S213" t="n">
        <v>229.288</v>
      </c>
      <c r="T213" t="n">
        <v>238.665</v>
      </c>
      <c r="U213" t="n">
        <v>317.34</v>
      </c>
      <c r="V213" t="n">
        <v>106.658</v>
      </c>
      <c r="W213" t="n">
        <v>118.733</v>
      </c>
      <c r="X213" t="n">
        <v>8.561999999999999</v>
      </c>
      <c r="Y213" t="n">
        <v>26.587</v>
      </c>
      <c r="Z213" t="n">
        <v>43.338</v>
      </c>
      <c r="AA213" t="n">
        <v>34.907</v>
      </c>
      <c r="AB213" t="n">
        <v>90.5</v>
      </c>
      <c r="AC213" t="n">
        <v>128.072</v>
      </c>
      <c r="AD213" t="n">
        <v>177.922</v>
      </c>
      <c r="AE213" t="n">
        <v>92.589</v>
      </c>
      <c r="AF213" t="n">
        <v>40.863</v>
      </c>
      <c r="AG213" t="n">
        <v>210.793</v>
      </c>
      <c r="AH213" t="n">
        <v>151.959</v>
      </c>
      <c r="AI213" t="n">
        <v>80.239</v>
      </c>
      <c r="AJ213" t="n">
        <v>389.31</v>
      </c>
      <c r="AK213" t="n">
        <v>65.129</v>
      </c>
      <c r="AL213" t="n">
        <v>221.011</v>
      </c>
      <c r="AM213" t="n">
        <v>264.902</v>
      </c>
      <c r="AN213" t="n">
        <v>50.955</v>
      </c>
      <c r="AO213" t="n">
        <v>186.602</v>
      </c>
      <c r="AP213" t="n">
        <v>277.092</v>
      </c>
      <c r="AQ213" t="n">
        <v>339.176</v>
      </c>
      <c r="AR213" t="n">
        <v>683.011</v>
      </c>
      <c r="AS213" t="n">
        <v>17.458</v>
      </c>
      <c r="AT213" t="n">
        <v>27.668</v>
      </c>
      <c r="AU213" t="n">
        <v>16.978</v>
      </c>
      <c r="AV213" t="n">
        <v>5.471</v>
      </c>
      <c r="AW213" t="n">
        <v>1.865</v>
      </c>
      <c r="AX213" t="n">
        <v>5.299</v>
      </c>
      <c r="AY213" t="n">
        <v>2.337</v>
      </c>
      <c r="AZ213" t="n">
        <v>3.983</v>
      </c>
      <c r="BA213" t="n">
        <v>1.794</v>
      </c>
      <c r="BB213" t="n">
        <v>9.896000000000001</v>
      </c>
      <c r="BC213" t="n">
        <v>1.477</v>
      </c>
      <c r="BD213" t="n">
        <v>1.455</v>
      </c>
      <c r="BE213" t="n">
        <v>22.925</v>
      </c>
      <c r="BF213" t="n">
        <v>4.927</v>
      </c>
      <c r="BG213" t="n">
        <v>0</v>
      </c>
      <c r="BH213" t="n">
        <v>0</v>
      </c>
      <c r="BI213" t="n">
        <v>0.8100000000000001</v>
      </c>
      <c r="BJ213" t="n">
        <v>0.882</v>
      </c>
      <c r="BK213" t="n">
        <v>2.813</v>
      </c>
      <c r="BL213" t="n">
        <v>2.267</v>
      </c>
      <c r="BM213" t="n">
        <v>0</v>
      </c>
      <c r="BN213" t="n">
        <v>0</v>
      </c>
      <c r="BO213" t="n">
        <v>0</v>
      </c>
      <c r="BP213" t="n">
        <v>0</v>
      </c>
      <c r="BQ213" t="n">
        <v>0</v>
      </c>
      <c r="BR213" t="n">
        <v>0</v>
      </c>
      <c r="BS213" t="n">
        <v>0</v>
      </c>
      <c r="BT213" t="n">
        <v>0</v>
      </c>
      <c r="BU213" t="n">
        <v>0.091</v>
      </c>
      <c r="BV213" t="n">
        <v>0</v>
      </c>
    </row>
    <row r="214">
      <c r="A214" t="inlineStr">
        <is>
          <t>Oratosquilla oratoria</t>
        </is>
      </c>
      <c r="B214" t="inlineStr">
        <is>
          <t>Japanese squillid mantis shrimp</t>
        </is>
      </c>
      <c r="C214" t="inlineStr">
        <is>
          <t>Shrimps</t>
        </is>
      </c>
      <c r="D214" t="inlineStr">
        <is>
          <t>Crustaceans</t>
        </is>
      </c>
      <c r="E214" t="n">
        <v>42.313</v>
      </c>
      <c r="F214" t="n">
        <v>52.638</v>
      </c>
      <c r="G214" t="n">
        <v>56.852</v>
      </c>
      <c r="H214" t="n">
        <v>51.634</v>
      </c>
      <c r="I214" t="n">
        <v>50.129</v>
      </c>
      <c r="J214" t="n">
        <v>52.195</v>
      </c>
      <c r="K214" t="n">
        <v>72.827</v>
      </c>
      <c r="L214" t="n">
        <v>80.789</v>
      </c>
      <c r="M214" t="n">
        <v>78.94199999999999</v>
      </c>
      <c r="N214" t="n">
        <v>76</v>
      </c>
      <c r="O214" t="n">
        <v>68.342</v>
      </c>
      <c r="P214" t="n">
        <v>85.967</v>
      </c>
      <c r="Q214" t="n">
        <v>86.714</v>
      </c>
      <c r="R214" t="n">
        <v>87.279</v>
      </c>
      <c r="S214" t="n">
        <v>60.95</v>
      </c>
      <c r="T214" t="n">
        <v>108.355</v>
      </c>
      <c r="U214" t="n">
        <v>113.674</v>
      </c>
      <c r="V214" t="n">
        <v>117.902</v>
      </c>
      <c r="W214" t="n">
        <v>101.682</v>
      </c>
      <c r="X214" t="n">
        <v>98.511</v>
      </c>
      <c r="Y214" t="n">
        <v>78.425</v>
      </c>
      <c r="Z214" t="n">
        <v>84.405</v>
      </c>
      <c r="AA214" t="n">
        <v>108.025</v>
      </c>
      <c r="AB214" t="n">
        <v>114.062</v>
      </c>
      <c r="AC214" t="n">
        <v>128.893</v>
      </c>
      <c r="AD214" t="n">
        <v>116.3</v>
      </c>
      <c r="AE214" t="n">
        <v>112.73</v>
      </c>
      <c r="AF214" t="n">
        <v>109.897</v>
      </c>
      <c r="AG214" t="n">
        <v>108.52</v>
      </c>
      <c r="AH214" t="n">
        <v>105.7</v>
      </c>
      <c r="AI214" t="n">
        <v>94.29600000000001</v>
      </c>
      <c r="AJ214" t="n">
        <v>96.124</v>
      </c>
      <c r="AK214" t="n">
        <v>84.57599999999999</v>
      </c>
      <c r="AL214" t="n">
        <v>77.872</v>
      </c>
      <c r="AM214" t="n">
        <v>68.68600000000001</v>
      </c>
      <c r="AN214" t="n">
        <v>58.36</v>
      </c>
      <c r="AO214" t="n">
        <v>57.448</v>
      </c>
      <c r="AP214" t="n">
        <v>40.506</v>
      </c>
      <c r="AQ214" t="n">
        <v>31.292</v>
      </c>
      <c r="AR214" t="n">
        <v>22.093</v>
      </c>
      <c r="AS214" t="n">
        <v>13.016</v>
      </c>
      <c r="AT214" t="n">
        <v>9.382</v>
      </c>
      <c r="AU214" t="n">
        <v>4.691</v>
      </c>
      <c r="AV214" t="n">
        <v>254.569</v>
      </c>
      <c r="AW214" t="n">
        <v>241.057</v>
      </c>
      <c r="AX214" t="n">
        <v>250.605</v>
      </c>
      <c r="AY214" t="n">
        <v>119.653</v>
      </c>
      <c r="AZ214" t="n">
        <v>82.687</v>
      </c>
      <c r="BA214" t="n">
        <v>36.537</v>
      </c>
      <c r="BB214" t="n">
        <v>106.241</v>
      </c>
      <c r="BC214" t="n">
        <v>49.09</v>
      </c>
      <c r="BD214" t="n">
        <v>114.037</v>
      </c>
      <c r="BE214" t="n">
        <v>51.865</v>
      </c>
      <c r="BF214" t="n">
        <v>165.44</v>
      </c>
      <c r="BG214" t="n">
        <v>109.082</v>
      </c>
      <c r="BH214" t="n">
        <v>169.668</v>
      </c>
      <c r="BI214" t="n">
        <v>174.227</v>
      </c>
      <c r="BJ214" t="n">
        <v>275.183</v>
      </c>
      <c r="BK214" t="n">
        <v>250.968</v>
      </c>
      <c r="BL214" t="n">
        <v>213.605</v>
      </c>
      <c r="BM214" t="n">
        <v>174.293</v>
      </c>
      <c r="BN214" t="n">
        <v>187.77</v>
      </c>
      <c r="BO214" t="n">
        <v>166.099</v>
      </c>
      <c r="BP214" t="n">
        <v>156.773</v>
      </c>
      <c r="BQ214" t="n">
        <v>163.083</v>
      </c>
      <c r="BR214" t="n">
        <v>160.839</v>
      </c>
      <c r="BS214" t="n">
        <v>141.621</v>
      </c>
      <c r="BT214" t="n">
        <v>142.601</v>
      </c>
      <c r="BU214" t="n">
        <v>227.874</v>
      </c>
      <c r="BV214" t="n">
        <v>201.37</v>
      </c>
    </row>
    <row r="215">
      <c r="A215" t="inlineStr">
        <is>
          <t>Saurida</t>
        </is>
      </c>
      <c r="B215" t="inlineStr">
        <is>
          <t>Lizardfishes</t>
        </is>
      </c>
      <c r="C215" t="inlineStr">
        <is>
          <t>Medium demersals (30 - 89 cm)</t>
        </is>
      </c>
      <c r="D215" t="inlineStr">
        <is>
          <t>Other fishes &amp; inverts</t>
        </is>
      </c>
      <c r="E215" t="n">
        <v>12.835</v>
      </c>
      <c r="F215" t="n">
        <v>15.657</v>
      </c>
      <c r="G215" t="n">
        <v>18.728</v>
      </c>
      <c r="H215" t="n">
        <v>20.219</v>
      </c>
      <c r="I215" t="n">
        <v>20.797</v>
      </c>
      <c r="J215" t="n">
        <v>25.712</v>
      </c>
      <c r="K215" t="n">
        <v>29.8</v>
      </c>
      <c r="L215" t="n">
        <v>32.765</v>
      </c>
      <c r="M215" t="n">
        <v>35.895</v>
      </c>
      <c r="N215" t="n">
        <v>40.929</v>
      </c>
      <c r="O215" t="n">
        <v>45.41</v>
      </c>
      <c r="P215" t="n">
        <v>54.588</v>
      </c>
      <c r="Q215" t="n">
        <v>58.999</v>
      </c>
      <c r="R215" t="n">
        <v>61.927</v>
      </c>
      <c r="S215" t="n">
        <v>68.866</v>
      </c>
      <c r="T215" t="n">
        <v>78.072</v>
      </c>
      <c r="U215" t="n">
        <v>88.10599999999999</v>
      </c>
      <c r="V215" t="n">
        <v>94.40600000000001</v>
      </c>
      <c r="W215" t="n">
        <v>105.118</v>
      </c>
      <c r="X215" t="n">
        <v>115.005</v>
      </c>
      <c r="Y215" t="n">
        <v>122.166</v>
      </c>
      <c r="Z215" t="n">
        <v>145.819</v>
      </c>
      <c r="AA215" t="n">
        <v>163.137</v>
      </c>
      <c r="AB215" t="n">
        <v>165.934</v>
      </c>
      <c r="AC215" t="n">
        <v>164.886</v>
      </c>
      <c r="AD215" t="n">
        <v>209.118</v>
      </c>
      <c r="AE215" t="n">
        <v>228.828</v>
      </c>
      <c r="AF215" t="n">
        <v>233.159</v>
      </c>
      <c r="AG215" t="n">
        <v>253.227</v>
      </c>
      <c r="AH215" t="n">
        <v>273.526</v>
      </c>
      <c r="AI215" t="n">
        <v>269.145</v>
      </c>
      <c r="AJ215" t="n">
        <v>241.836</v>
      </c>
      <c r="AK215" t="n">
        <v>225.965</v>
      </c>
      <c r="AL215" t="n">
        <v>229.41</v>
      </c>
      <c r="AM215" t="n">
        <v>239.323</v>
      </c>
      <c r="AN215" t="n">
        <v>217.096</v>
      </c>
      <c r="AO215" t="n">
        <v>221.312</v>
      </c>
      <c r="AP215" t="n">
        <v>212.536</v>
      </c>
      <c r="AQ215" t="n">
        <v>237.191</v>
      </c>
      <c r="AR215" t="n">
        <v>204.131</v>
      </c>
      <c r="AS215" t="n">
        <v>162.682</v>
      </c>
      <c r="AT215" t="n">
        <v>146.622</v>
      </c>
      <c r="AU215" t="n">
        <v>136.327</v>
      </c>
      <c r="AV215" t="n">
        <v>125.587</v>
      </c>
      <c r="AW215" t="n">
        <v>112.28</v>
      </c>
      <c r="AX215" t="n">
        <v>133.261</v>
      </c>
      <c r="AY215" t="n">
        <v>117.012</v>
      </c>
      <c r="AZ215" t="n">
        <v>113.685</v>
      </c>
      <c r="BA215" t="n">
        <v>73.708</v>
      </c>
      <c r="BB215" t="n">
        <v>76.274</v>
      </c>
      <c r="BC215" t="n">
        <v>100.333</v>
      </c>
      <c r="BD215" t="n">
        <v>63.932</v>
      </c>
      <c r="BE215" t="n">
        <v>40.225</v>
      </c>
      <c r="BF215" t="n">
        <v>37.36</v>
      </c>
      <c r="BG215" t="n">
        <v>55.62</v>
      </c>
      <c r="BH215" t="n">
        <v>50.127</v>
      </c>
      <c r="BI215" t="n">
        <v>58.291</v>
      </c>
      <c r="BJ215" t="n">
        <v>52.794</v>
      </c>
      <c r="BK215" t="n">
        <v>41.237</v>
      </c>
      <c r="BL215" t="n">
        <v>36.496</v>
      </c>
      <c r="BM215" t="n">
        <v>26.888</v>
      </c>
      <c r="BN215" t="n">
        <v>33.063</v>
      </c>
      <c r="BO215" t="n">
        <v>33.132</v>
      </c>
      <c r="BP215" t="n">
        <v>54.012</v>
      </c>
      <c r="BQ215" t="n">
        <v>60.092</v>
      </c>
      <c r="BR215" t="n">
        <v>48.262</v>
      </c>
      <c r="BS215" t="n">
        <v>81.97199999999999</v>
      </c>
      <c r="BT215" t="n">
        <v>41.983</v>
      </c>
      <c r="BU215" t="n">
        <v>64.07599999999999</v>
      </c>
      <c r="BV215" t="n">
        <v>47.757</v>
      </c>
    </row>
    <row r="216">
      <c r="A216" t="inlineStr">
        <is>
          <t>Stolephorus</t>
        </is>
      </c>
      <c r="B216" t="inlineStr">
        <is>
          <t>Garment anchovies</t>
        </is>
      </c>
      <c r="C216" t="inlineStr">
        <is>
          <t>Small pelagics (&lt;30 cm)</t>
        </is>
      </c>
      <c r="D216" t="inlineStr">
        <is>
          <t>Anchovies</t>
        </is>
      </c>
      <c r="E216" t="n">
        <v>372.992</v>
      </c>
      <c r="F216" t="n">
        <v>373.746</v>
      </c>
      <c r="G216" t="n">
        <v>412.224</v>
      </c>
      <c r="H216" t="n">
        <v>413.949</v>
      </c>
      <c r="I216" t="n">
        <v>354.447</v>
      </c>
      <c r="J216" t="n">
        <v>394.89</v>
      </c>
      <c r="K216" t="n">
        <v>470.875</v>
      </c>
      <c r="L216" t="n">
        <v>528.9829999999999</v>
      </c>
      <c r="M216" t="n">
        <v>92.057</v>
      </c>
      <c r="N216" t="n">
        <v>143.863</v>
      </c>
      <c r="O216" t="n">
        <v>187.48</v>
      </c>
      <c r="P216" t="n">
        <v>224.69</v>
      </c>
      <c r="Q216" t="n">
        <v>258.929</v>
      </c>
      <c r="R216" t="n">
        <v>144.776</v>
      </c>
      <c r="S216" t="n">
        <v>91.143</v>
      </c>
      <c r="T216" t="n">
        <v>108.481</v>
      </c>
      <c r="U216" t="n">
        <v>63.336</v>
      </c>
      <c r="V216" t="n">
        <v>89.009</v>
      </c>
      <c r="W216" t="n">
        <v>139.006</v>
      </c>
      <c r="X216" t="n">
        <v>54.45</v>
      </c>
      <c r="Y216" t="n">
        <v>133.822</v>
      </c>
      <c r="Z216" t="n">
        <v>100.869</v>
      </c>
      <c r="AA216" t="n">
        <v>249.452</v>
      </c>
      <c r="AB216" t="n">
        <v>117.52</v>
      </c>
      <c r="AC216" t="n">
        <v>505.309</v>
      </c>
      <c r="AD216" t="n">
        <v>310.832</v>
      </c>
      <c r="AE216" t="n">
        <v>287.719</v>
      </c>
      <c r="AF216" t="n">
        <v>107.766</v>
      </c>
      <c r="AG216" t="n">
        <v>0</v>
      </c>
      <c r="AH216" t="n">
        <v>0</v>
      </c>
      <c r="AI216" t="n">
        <v>0</v>
      </c>
      <c r="AJ216" t="n">
        <v>0</v>
      </c>
      <c r="AK216" t="n">
        <v>0</v>
      </c>
      <c r="AL216" t="n">
        <v>0</v>
      </c>
      <c r="AM216" t="n">
        <v>0</v>
      </c>
      <c r="AN216" t="n">
        <v>0</v>
      </c>
      <c r="AO216" t="n">
        <v>1.353</v>
      </c>
      <c r="AP216" t="n">
        <v>0</v>
      </c>
      <c r="AQ216" t="n">
        <v>25.909</v>
      </c>
      <c r="AR216" t="n">
        <v>19.169</v>
      </c>
      <c r="AS216" t="n">
        <v>0</v>
      </c>
      <c r="AT216" t="n">
        <v>17.779</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row>
    <row r="217">
      <c r="A217" t="inlineStr">
        <is>
          <t>Sphyraena</t>
        </is>
      </c>
      <c r="B217" t="inlineStr">
        <is>
          <t>Barracudas, sennets</t>
        </is>
      </c>
      <c r="C217" t="inlineStr">
        <is>
          <t>Large pelagics (&gt;=90 cm)</t>
        </is>
      </c>
      <c r="D217" t="inlineStr">
        <is>
          <t>Perch-likes</t>
        </is>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13.338</v>
      </c>
      <c r="V217" t="n">
        <v>33.962</v>
      </c>
      <c r="W217" t="n">
        <v>48.215</v>
      </c>
      <c r="X217" t="n">
        <v>48.831</v>
      </c>
      <c r="Y217" t="n">
        <v>57.454</v>
      </c>
      <c r="Z217" t="n">
        <v>62.868</v>
      </c>
      <c r="AA217" t="n">
        <v>71.792</v>
      </c>
      <c r="AB217" t="n">
        <v>83.571</v>
      </c>
      <c r="AC217" t="n">
        <v>137.573</v>
      </c>
      <c r="AD217" t="n">
        <v>138.88</v>
      </c>
      <c r="AE217" t="n">
        <v>154.959</v>
      </c>
      <c r="AF217" t="n">
        <v>159.429</v>
      </c>
      <c r="AG217" t="n">
        <v>180.536</v>
      </c>
      <c r="AH217" t="n">
        <v>180.887</v>
      </c>
      <c r="AI217" t="n">
        <v>174.514</v>
      </c>
      <c r="AJ217" t="n">
        <v>171.813</v>
      </c>
      <c r="AK217" t="n">
        <v>168.486</v>
      </c>
      <c r="AL217" t="n">
        <v>154.341</v>
      </c>
      <c r="AM217" t="n">
        <v>163.542</v>
      </c>
      <c r="AN217" t="n">
        <v>150.319</v>
      </c>
      <c r="AO217" t="n">
        <v>380.973</v>
      </c>
      <c r="AP217" t="n">
        <v>445.265</v>
      </c>
      <c r="AQ217" t="n">
        <v>310.743</v>
      </c>
      <c r="AR217" t="n">
        <v>146.938</v>
      </c>
      <c r="AS217" t="n">
        <v>89.82899999999999</v>
      </c>
      <c r="AT217" t="n">
        <v>48.38</v>
      </c>
      <c r="AU217" t="n">
        <v>64.26900000000001</v>
      </c>
      <c r="AV217" t="n">
        <v>62.541</v>
      </c>
      <c r="AW217" t="n">
        <v>66.715</v>
      </c>
      <c r="AX217" t="n">
        <v>33.895</v>
      </c>
      <c r="AY217" t="n">
        <v>43.915</v>
      </c>
      <c r="AZ217" t="n">
        <v>57.283</v>
      </c>
      <c r="BA217" t="n">
        <v>53.055</v>
      </c>
      <c r="BB217" t="n">
        <v>33.742</v>
      </c>
      <c r="BC217" t="n">
        <v>22.524</v>
      </c>
      <c r="BD217" t="n">
        <v>29.872</v>
      </c>
      <c r="BE217" t="n">
        <v>23.203</v>
      </c>
      <c r="BF217" t="n">
        <v>28.508</v>
      </c>
      <c r="BG217" t="n">
        <v>41.23</v>
      </c>
      <c r="BH217" t="n">
        <v>33.402</v>
      </c>
      <c r="BI217" t="n">
        <v>45.268</v>
      </c>
      <c r="BJ217" t="n">
        <v>29.774</v>
      </c>
      <c r="BK217" t="n">
        <v>16.8</v>
      </c>
      <c r="BL217" t="n">
        <v>30.729</v>
      </c>
      <c r="BM217" t="n">
        <v>18.543</v>
      </c>
      <c r="BN217" t="n">
        <v>20.837</v>
      </c>
      <c r="BO217" t="n">
        <v>35.252</v>
      </c>
      <c r="BP217" t="n">
        <v>66.248</v>
      </c>
      <c r="BQ217" t="n">
        <v>45.698</v>
      </c>
      <c r="BR217" t="n">
        <v>54.592</v>
      </c>
      <c r="BS217" t="n">
        <v>38.999</v>
      </c>
      <c r="BT217" t="n">
        <v>30.085</v>
      </c>
      <c r="BU217" t="n">
        <v>38.315</v>
      </c>
      <c r="BV217" t="n">
        <v>15.8</v>
      </c>
    </row>
    <row r="218">
      <c r="A218" t="inlineStr">
        <is>
          <t>Rapana</t>
        </is>
      </c>
      <c r="B218" t="inlineStr">
        <is>
          <t>Rapa whelks</t>
        </is>
      </c>
      <c r="C218" t="inlineStr">
        <is>
          <t>Other demersal invertebrates</t>
        </is>
      </c>
      <c r="D218" t="inlineStr">
        <is>
          <t>Molluscs</t>
        </is>
      </c>
      <c r="E218" t="n">
        <v>26.747</v>
      </c>
      <c r="F218" t="n">
        <v>33.273</v>
      </c>
      <c r="G218" t="n">
        <v>35.937</v>
      </c>
      <c r="H218" t="n">
        <v>32.638</v>
      </c>
      <c r="I218" t="n">
        <v>31.687</v>
      </c>
      <c r="J218" t="n">
        <v>32.993</v>
      </c>
      <c r="K218" t="n">
        <v>46.034</v>
      </c>
      <c r="L218" t="n">
        <v>51.068</v>
      </c>
      <c r="M218" t="n">
        <v>49.9</v>
      </c>
      <c r="N218" t="n">
        <v>48.04</v>
      </c>
      <c r="O218" t="n">
        <v>43.2</v>
      </c>
      <c r="P218" t="n">
        <v>54.341</v>
      </c>
      <c r="Q218" t="n">
        <v>54.813</v>
      </c>
      <c r="R218" t="n">
        <v>55.17</v>
      </c>
      <c r="S218" t="n">
        <v>38.527</v>
      </c>
      <c r="T218" t="n">
        <v>68.492</v>
      </c>
      <c r="U218" t="n">
        <v>71.854</v>
      </c>
      <c r="V218" t="n">
        <v>74.527</v>
      </c>
      <c r="W218" t="n">
        <v>64.274</v>
      </c>
      <c r="X218" t="n">
        <v>62.269</v>
      </c>
      <c r="Y218" t="n">
        <v>49.573</v>
      </c>
      <c r="Z218" t="n">
        <v>53.353</v>
      </c>
      <c r="AA218" t="n">
        <v>68.283</v>
      </c>
      <c r="AB218" t="n">
        <v>72.099</v>
      </c>
      <c r="AC218" t="n">
        <v>81.474</v>
      </c>
      <c r="AD218" t="n">
        <v>73.514</v>
      </c>
      <c r="AE218" t="n">
        <v>71.25700000000001</v>
      </c>
      <c r="AF218" t="n">
        <v>69.467</v>
      </c>
      <c r="AG218" t="n">
        <v>68.59699999999999</v>
      </c>
      <c r="AH218" t="n">
        <v>66.81399999999999</v>
      </c>
      <c r="AI218" t="n">
        <v>59.605</v>
      </c>
      <c r="AJ218" t="n">
        <v>60.761</v>
      </c>
      <c r="AK218" t="n">
        <v>53.461</v>
      </c>
      <c r="AL218" t="n">
        <v>49.223</v>
      </c>
      <c r="AM218" t="n">
        <v>43.417</v>
      </c>
      <c r="AN218" t="n">
        <v>36.89</v>
      </c>
      <c r="AO218" t="n">
        <v>36.314</v>
      </c>
      <c r="AP218" t="n">
        <v>25.604</v>
      </c>
      <c r="AQ218" t="n">
        <v>19.78</v>
      </c>
      <c r="AR218" t="n">
        <v>13.965</v>
      </c>
      <c r="AS218" t="n">
        <v>8.227</v>
      </c>
      <c r="AT218" t="n">
        <v>5.93</v>
      </c>
      <c r="AU218" t="n">
        <v>2.965</v>
      </c>
      <c r="AV218" t="n">
        <v>160.915</v>
      </c>
      <c r="AW218" t="n">
        <v>152.374</v>
      </c>
      <c r="AX218" t="n">
        <v>158.409</v>
      </c>
      <c r="AY218" t="n">
        <v>75.634</v>
      </c>
      <c r="AZ218" t="n">
        <v>52.267</v>
      </c>
      <c r="BA218" t="n">
        <v>23.095</v>
      </c>
      <c r="BB218" t="n">
        <v>67.15600000000001</v>
      </c>
      <c r="BC218" t="n">
        <v>31.03</v>
      </c>
      <c r="BD218" t="n">
        <v>72.084</v>
      </c>
      <c r="BE218" t="n">
        <v>32.784</v>
      </c>
      <c r="BF218" t="n">
        <v>104.576</v>
      </c>
      <c r="BG218" t="n">
        <v>68.952</v>
      </c>
      <c r="BH218" t="n">
        <v>107.249</v>
      </c>
      <c r="BI218" t="n">
        <v>110.131</v>
      </c>
      <c r="BJ218" t="n">
        <v>173.945</v>
      </c>
      <c r="BK218" t="n">
        <v>158.639</v>
      </c>
      <c r="BL218" t="n">
        <v>135.022</v>
      </c>
      <c r="BM218" t="n">
        <v>110.172</v>
      </c>
      <c r="BN218" t="n">
        <v>118.691</v>
      </c>
      <c r="BO218" t="n">
        <v>104.993</v>
      </c>
      <c r="BP218" t="n">
        <v>99.098</v>
      </c>
      <c r="BQ218" t="n">
        <v>103.086</v>
      </c>
      <c r="BR218" t="n">
        <v>101.668</v>
      </c>
      <c r="BS218" t="n">
        <v>89.52</v>
      </c>
      <c r="BT218" t="n">
        <v>90.139</v>
      </c>
      <c r="BU218" t="n">
        <v>144.041</v>
      </c>
      <c r="BV218" t="n">
        <v>127.288</v>
      </c>
    </row>
    <row r="219">
      <c r="A219" t="inlineStr">
        <is>
          <t>Sphyraenidae</t>
        </is>
      </c>
      <c r="B219" t="inlineStr">
        <is>
          <t>Barracudas</t>
        </is>
      </c>
      <c r="C219" t="inlineStr">
        <is>
          <t>Medium reef assoc. fish (30 - 89 cm)</t>
        </is>
      </c>
      <c r="D219" t="inlineStr">
        <is>
          <t>Perch-likes</t>
        </is>
      </c>
      <c r="E219" t="n">
        <v>0.851</v>
      </c>
      <c r="F219" t="n">
        <v>0</v>
      </c>
      <c r="G219" t="n">
        <v>1.786</v>
      </c>
      <c r="H219" t="n">
        <v>0</v>
      </c>
      <c r="I219" t="n">
        <v>0</v>
      </c>
      <c r="J219" t="n">
        <v>0</v>
      </c>
      <c r="K219" t="n">
        <v>0</v>
      </c>
      <c r="L219" t="n">
        <v>0</v>
      </c>
      <c r="M219" t="n">
        <v>0</v>
      </c>
      <c r="N219" t="n">
        <v>6.347</v>
      </c>
      <c r="O219" t="n">
        <v>0.792</v>
      </c>
      <c r="P219" t="n">
        <v>2.072</v>
      </c>
      <c r="Q219" t="n">
        <v>2.938</v>
      </c>
      <c r="R219" t="n">
        <v>0</v>
      </c>
      <c r="S219" t="n">
        <v>0</v>
      </c>
      <c r="T219" t="n">
        <v>2.13</v>
      </c>
      <c r="U219" t="n">
        <v>18.109</v>
      </c>
      <c r="V219" t="n">
        <v>37.04</v>
      </c>
      <c r="W219" t="n">
        <v>52.326</v>
      </c>
      <c r="X219" t="n">
        <v>50.541</v>
      </c>
      <c r="Y219" t="n">
        <v>41.469</v>
      </c>
      <c r="Z219" t="n">
        <v>64.524</v>
      </c>
      <c r="AA219" t="n">
        <v>71.935</v>
      </c>
      <c r="AB219" t="n">
        <v>67.779</v>
      </c>
      <c r="AC219" t="n">
        <v>150.557</v>
      </c>
      <c r="AD219" t="n">
        <v>154.099</v>
      </c>
      <c r="AE219" t="n">
        <v>166.741</v>
      </c>
      <c r="AF219" t="n">
        <v>127.453</v>
      </c>
      <c r="AG219" t="n">
        <v>139.107</v>
      </c>
      <c r="AH219" t="n">
        <v>116.897</v>
      </c>
      <c r="AI219" t="n">
        <v>110.357</v>
      </c>
      <c r="AJ219" t="n">
        <v>117.34</v>
      </c>
      <c r="AK219" t="n">
        <v>138.243</v>
      </c>
      <c r="AL219" t="n">
        <v>125.024</v>
      </c>
      <c r="AM219" t="n">
        <v>111.516</v>
      </c>
      <c r="AN219" t="n">
        <v>109.102</v>
      </c>
      <c r="AO219" t="n">
        <v>248.012</v>
      </c>
      <c r="AP219" t="n">
        <v>324.289</v>
      </c>
      <c r="AQ219" t="n">
        <v>242.994</v>
      </c>
      <c r="AR219" t="n">
        <v>114.576</v>
      </c>
      <c r="AS219" t="n">
        <v>72.684</v>
      </c>
      <c r="AT219" t="n">
        <v>40.922</v>
      </c>
      <c r="AU219" t="n">
        <v>79.32299999999999</v>
      </c>
      <c r="AV219" t="n">
        <v>79.001</v>
      </c>
      <c r="AW219" t="n">
        <v>109.208</v>
      </c>
      <c r="AX219" t="n">
        <v>49.856</v>
      </c>
      <c r="AY219" t="n">
        <v>93.68600000000001</v>
      </c>
      <c r="AZ219" t="n">
        <v>107.681</v>
      </c>
      <c r="BA219" t="n">
        <v>100.565</v>
      </c>
      <c r="BB219" t="n">
        <v>71.874</v>
      </c>
      <c r="BC219" t="n">
        <v>38.241</v>
      </c>
      <c r="BD219" t="n">
        <v>47.385</v>
      </c>
      <c r="BE219" t="n">
        <v>30.954</v>
      </c>
      <c r="BF219" t="n">
        <v>17.869</v>
      </c>
      <c r="BG219" t="n">
        <v>34.592</v>
      </c>
      <c r="BH219" t="n">
        <v>23.185</v>
      </c>
      <c r="BI219" t="n">
        <v>30.38</v>
      </c>
      <c r="BJ219" t="n">
        <v>20.595</v>
      </c>
      <c r="BK219" t="n">
        <v>13.013</v>
      </c>
      <c r="BL219" t="n">
        <v>32.429</v>
      </c>
      <c r="BM219" t="n">
        <v>21.331</v>
      </c>
      <c r="BN219" t="n">
        <v>21.377</v>
      </c>
      <c r="BO219" t="n">
        <v>49.595</v>
      </c>
      <c r="BP219" t="n">
        <v>105.388</v>
      </c>
      <c r="BQ219" t="n">
        <v>102.569</v>
      </c>
      <c r="BR219" t="n">
        <v>82.137</v>
      </c>
      <c r="BS219" t="n">
        <v>96.782</v>
      </c>
      <c r="BT219" t="n">
        <v>87.43600000000001</v>
      </c>
      <c r="BU219" t="n">
        <v>82.48399999999999</v>
      </c>
      <c r="BV219" t="n">
        <v>79.59999999999999</v>
      </c>
    </row>
    <row r="220">
      <c r="A220" t="inlineStr">
        <is>
          <t>Pseudopleuronectes herzensteini</t>
        </is>
      </c>
      <c r="B220" t="inlineStr">
        <is>
          <t>Yellow striped flounder</t>
        </is>
      </c>
      <c r="C220" t="inlineStr">
        <is>
          <t>Small to medium flatfishes (&lt;90 cm)</t>
        </is>
      </c>
      <c r="D220" t="inlineStr">
        <is>
          <t>Flatfishes</t>
        </is>
      </c>
      <c r="E220" t="n">
        <v>30.074</v>
      </c>
      <c r="F220" t="n">
        <v>30.032</v>
      </c>
      <c r="G220" t="n">
        <v>31.374</v>
      </c>
      <c r="H220" t="n">
        <v>31.791</v>
      </c>
      <c r="I220" t="n">
        <v>27.605</v>
      </c>
      <c r="J220" t="n">
        <v>33.08</v>
      </c>
      <c r="K220" t="n">
        <v>31.657</v>
      </c>
      <c r="L220" t="n">
        <v>32.528</v>
      </c>
      <c r="M220" t="n">
        <v>46.665</v>
      </c>
      <c r="N220" t="n">
        <v>33.807</v>
      </c>
      <c r="O220" t="n">
        <v>41.97</v>
      </c>
      <c r="P220" t="n">
        <v>34.972</v>
      </c>
      <c r="Q220" t="n">
        <v>42.955</v>
      </c>
      <c r="R220" t="n">
        <v>57.168</v>
      </c>
      <c r="S220" t="n">
        <v>46.156</v>
      </c>
      <c r="T220" t="n">
        <v>60.223</v>
      </c>
      <c r="U220" t="n">
        <v>53.289</v>
      </c>
      <c r="V220" t="n">
        <v>72.93899999999999</v>
      </c>
      <c r="W220" t="n">
        <v>87.127</v>
      </c>
      <c r="X220" t="n">
        <v>88.041</v>
      </c>
      <c r="Y220" t="n">
        <v>94.175</v>
      </c>
      <c r="Z220" t="n">
        <v>79.98999999999999</v>
      </c>
      <c r="AA220" t="n">
        <v>90.514</v>
      </c>
      <c r="AB220" t="n">
        <v>90.477</v>
      </c>
      <c r="AC220" t="n">
        <v>93.511</v>
      </c>
      <c r="AD220" t="n">
        <v>99.074</v>
      </c>
      <c r="AE220" t="n">
        <v>120.3</v>
      </c>
      <c r="AF220" t="n">
        <v>102.668</v>
      </c>
      <c r="AG220" t="n">
        <v>81.102</v>
      </c>
      <c r="AH220" t="n">
        <v>98.535</v>
      </c>
      <c r="AI220" t="n">
        <v>101.461</v>
      </c>
      <c r="AJ220" t="n">
        <v>89.47199999999999</v>
      </c>
      <c r="AK220" t="n">
        <v>81.312</v>
      </c>
      <c r="AL220" t="n">
        <v>80.48399999999999</v>
      </c>
      <c r="AM220" t="n">
        <v>69.812</v>
      </c>
      <c r="AN220" t="n">
        <v>83.438</v>
      </c>
      <c r="AO220" t="n">
        <v>71.51000000000001</v>
      </c>
      <c r="AP220" t="n">
        <v>78.806</v>
      </c>
      <c r="AQ220" t="n">
        <v>54.956</v>
      </c>
      <c r="AR220" t="n">
        <v>54.417</v>
      </c>
      <c r="AS220" t="n">
        <v>43.848</v>
      </c>
      <c r="AT220" t="n">
        <v>44.514</v>
      </c>
      <c r="AU220" t="n">
        <v>49.613</v>
      </c>
      <c r="AV220" t="n">
        <v>46.48</v>
      </c>
      <c r="AW220" t="n">
        <v>45.734</v>
      </c>
      <c r="AX220" t="n">
        <v>46.933</v>
      </c>
      <c r="AY220" t="n">
        <v>60.433</v>
      </c>
      <c r="AZ220" t="n">
        <v>62.222</v>
      </c>
      <c r="BA220" t="n">
        <v>69.764</v>
      </c>
      <c r="BB220" t="n">
        <v>68.41800000000001</v>
      </c>
      <c r="BC220" t="n">
        <v>54.868</v>
      </c>
      <c r="BD220" t="n">
        <v>50.858</v>
      </c>
      <c r="BE220" t="n">
        <v>47.975</v>
      </c>
      <c r="BF220" t="n">
        <v>46.159</v>
      </c>
      <c r="BG220" t="n">
        <v>42.051</v>
      </c>
      <c r="BH220" t="n">
        <v>54.591</v>
      </c>
      <c r="BI220" t="n">
        <v>70.586</v>
      </c>
      <c r="BJ220" t="n">
        <v>88.45099999999999</v>
      </c>
      <c r="BK220" t="n">
        <v>72.892</v>
      </c>
      <c r="BL220" t="n">
        <v>68.95099999999999</v>
      </c>
      <c r="BM220" t="n">
        <v>70.752</v>
      </c>
      <c r="BN220" t="n">
        <v>70.43600000000001</v>
      </c>
      <c r="BO220" t="n">
        <v>69.911</v>
      </c>
      <c r="BP220" t="n">
        <v>63.94</v>
      </c>
      <c r="BQ220" t="n">
        <v>66.167</v>
      </c>
      <c r="BR220" t="n">
        <v>62.469</v>
      </c>
      <c r="BS220" t="n">
        <v>103.447</v>
      </c>
      <c r="BT220" t="n">
        <v>49.552</v>
      </c>
      <c r="BU220" t="n">
        <v>58.102</v>
      </c>
      <c r="BV220" t="n">
        <v>70.012</v>
      </c>
    </row>
    <row r="221">
      <c r="A221" t="inlineStr">
        <is>
          <t>Hemitriakis japanica</t>
        </is>
      </c>
      <c r="B221" t="inlineStr">
        <is>
          <t>Japanese topeshark</t>
        </is>
      </c>
      <c r="C221" t="inlineStr">
        <is>
          <t>Large sharks (&gt;=90 cm)</t>
        </is>
      </c>
      <c r="D221" t="inlineStr">
        <is>
          <t>Sharks &amp; rays</t>
        </is>
      </c>
      <c r="E221" t="n">
        <v>8.547000000000001</v>
      </c>
      <c r="F221" t="n">
        <v>10.396</v>
      </c>
      <c r="G221" t="n">
        <v>12.54</v>
      </c>
      <c r="H221" t="n">
        <v>13.574</v>
      </c>
      <c r="I221" t="n">
        <v>14.102</v>
      </c>
      <c r="J221" t="n">
        <v>17.56</v>
      </c>
      <c r="K221" t="n">
        <v>20.266</v>
      </c>
      <c r="L221" t="n">
        <v>22.311</v>
      </c>
      <c r="M221" t="n">
        <v>24.342</v>
      </c>
      <c r="N221" t="n">
        <v>27.806</v>
      </c>
      <c r="O221" t="n">
        <v>31.132</v>
      </c>
      <c r="P221" t="n">
        <v>37.501</v>
      </c>
      <c r="Q221" t="n">
        <v>40.122</v>
      </c>
      <c r="R221" t="n">
        <v>41.699</v>
      </c>
      <c r="S221" t="n">
        <v>45.747</v>
      </c>
      <c r="T221" t="n">
        <v>52.564</v>
      </c>
      <c r="U221" t="n">
        <v>59.361</v>
      </c>
      <c r="V221" t="n">
        <v>62.511</v>
      </c>
      <c r="W221" t="n">
        <v>68.244</v>
      </c>
      <c r="X221" t="n">
        <v>73.789</v>
      </c>
      <c r="Y221" t="n">
        <v>78.911</v>
      </c>
      <c r="Z221" t="n">
        <v>98.371</v>
      </c>
      <c r="AA221" t="n">
        <v>115.675</v>
      </c>
      <c r="AB221" t="n">
        <v>115.645</v>
      </c>
      <c r="AC221" t="n">
        <v>114.611</v>
      </c>
      <c r="AD221" t="n">
        <v>124.43</v>
      </c>
      <c r="AE221" t="n">
        <v>123.876</v>
      </c>
      <c r="AF221" t="n">
        <v>120.84</v>
      </c>
      <c r="AG221" t="n">
        <v>147.885</v>
      </c>
      <c r="AH221" t="n">
        <v>166.695</v>
      </c>
      <c r="AI221" t="n">
        <v>161.884</v>
      </c>
      <c r="AJ221" t="n">
        <v>147.991</v>
      </c>
      <c r="AK221" t="n">
        <v>133.388</v>
      </c>
      <c r="AL221" t="n">
        <v>137.156</v>
      </c>
      <c r="AM221" t="n">
        <v>148.637</v>
      </c>
      <c r="AN221" t="n">
        <v>123.775</v>
      </c>
      <c r="AO221" t="n">
        <v>127.938</v>
      </c>
      <c r="AP221" t="n">
        <v>126.426</v>
      </c>
      <c r="AQ221" t="n">
        <v>154.066</v>
      </c>
      <c r="AR221" t="n">
        <v>138.634</v>
      </c>
      <c r="AS221" t="n">
        <v>110.423</v>
      </c>
      <c r="AT221" t="n">
        <v>100.02</v>
      </c>
      <c r="AU221" t="n">
        <v>85.48999999999999</v>
      </c>
      <c r="AV221" t="n">
        <v>77.76300000000001</v>
      </c>
      <c r="AW221" t="n">
        <v>65.315</v>
      </c>
      <c r="AX221" t="n">
        <v>77.389</v>
      </c>
      <c r="AY221" t="n">
        <v>62.857</v>
      </c>
      <c r="AZ221" t="n">
        <v>61.912</v>
      </c>
      <c r="BA221" t="n">
        <v>34.429</v>
      </c>
      <c r="BB221" t="n">
        <v>35.444</v>
      </c>
      <c r="BC221" t="n">
        <v>47.95</v>
      </c>
      <c r="BD221" t="n">
        <v>26.561</v>
      </c>
      <c r="BE221" t="n">
        <v>24.435</v>
      </c>
      <c r="BF221" t="n">
        <v>23.421</v>
      </c>
      <c r="BG221" t="n">
        <v>25.669</v>
      </c>
      <c r="BH221" t="n">
        <v>19.114</v>
      </c>
      <c r="BI221" t="n">
        <v>24.834</v>
      </c>
      <c r="BJ221" t="n">
        <v>19.551</v>
      </c>
      <c r="BK221" t="n">
        <v>12.548</v>
      </c>
      <c r="BL221" t="n">
        <v>17.853</v>
      </c>
      <c r="BM221" t="n">
        <v>15.915</v>
      </c>
      <c r="BN221" t="n">
        <v>162.049</v>
      </c>
      <c r="BO221" t="n">
        <v>24.226</v>
      </c>
      <c r="BP221" t="n">
        <v>0</v>
      </c>
      <c r="BQ221" t="n">
        <v>0</v>
      </c>
      <c r="BR221" t="n">
        <v>0</v>
      </c>
      <c r="BS221" t="n">
        <v>0</v>
      </c>
      <c r="BT221" t="n">
        <v>0</v>
      </c>
      <c r="BU221" t="n">
        <v>0.107</v>
      </c>
      <c r="BV221" t="n">
        <v>0</v>
      </c>
    </row>
    <row r="222">
      <c r="A222" t="inlineStr">
        <is>
          <t>Makaira mazara</t>
        </is>
      </c>
      <c r="B222" t="inlineStr">
        <is>
          <t>Indo-Pacific blue marlin</t>
        </is>
      </c>
      <c r="C222" t="inlineStr">
        <is>
          <t>Large pelagics (&gt;=90 cm)</t>
        </is>
      </c>
      <c r="D222" t="inlineStr">
        <is>
          <t>Tuna &amp; billfishes</t>
        </is>
      </c>
      <c r="E222" t="n">
        <v>0.346</v>
      </c>
      <c r="F222" t="n">
        <v>0.428</v>
      </c>
      <c r="G222" t="n">
        <v>0.5</v>
      </c>
      <c r="H222" t="n">
        <v>0.536</v>
      </c>
      <c r="I222" t="n">
        <v>0.616</v>
      </c>
      <c r="J222" t="n">
        <v>0.749</v>
      </c>
      <c r="K222" t="n">
        <v>0.82</v>
      </c>
      <c r="L222" t="n">
        <v>0.899</v>
      </c>
      <c r="M222" t="n">
        <v>1.004</v>
      </c>
      <c r="N222" t="n">
        <v>1.098</v>
      </c>
      <c r="O222" t="n">
        <v>1.042</v>
      </c>
      <c r="P222" t="n">
        <v>1.129</v>
      </c>
      <c r="Q222" t="n">
        <v>1.14</v>
      </c>
      <c r="R222" t="n">
        <v>1.309</v>
      </c>
      <c r="S222" t="n">
        <v>1.154</v>
      </c>
      <c r="T222" t="n">
        <v>1.093</v>
      </c>
      <c r="U222" t="n">
        <v>0.926</v>
      </c>
      <c r="V222" t="n">
        <v>0.951</v>
      </c>
      <c r="W222" t="n">
        <v>0.916</v>
      </c>
      <c r="X222" t="n">
        <v>0.956</v>
      </c>
      <c r="Y222" t="n">
        <v>0.991</v>
      </c>
      <c r="Z222" t="n">
        <v>1.002</v>
      </c>
      <c r="AA222" t="n">
        <v>0.894</v>
      </c>
      <c r="AB222" t="n">
        <v>0.84</v>
      </c>
      <c r="AC222" t="n">
        <v>0.831</v>
      </c>
      <c r="AD222" t="n">
        <v>0.955</v>
      </c>
      <c r="AE222" t="n">
        <v>1.054</v>
      </c>
      <c r="AF222" t="n">
        <v>1.073</v>
      </c>
      <c r="AG222" t="n">
        <v>1.04</v>
      </c>
      <c r="AH222" t="n">
        <v>1.164</v>
      </c>
      <c r="AI222" t="n">
        <v>1.198</v>
      </c>
      <c r="AJ222" t="n">
        <v>1.253</v>
      </c>
      <c r="AK222" t="n">
        <v>1.316</v>
      </c>
      <c r="AL222" t="n">
        <v>1.523</v>
      </c>
      <c r="AM222" t="n">
        <v>1.528</v>
      </c>
      <c r="AN222" t="n">
        <v>1.739</v>
      </c>
      <c r="AO222" t="n">
        <v>1.885</v>
      </c>
      <c r="AP222" t="n">
        <v>1.714</v>
      </c>
      <c r="AQ222" t="n">
        <v>1.616</v>
      </c>
      <c r="AR222" t="n">
        <v>1.524</v>
      </c>
      <c r="AS222" t="n">
        <v>1.512</v>
      </c>
      <c r="AT222" t="n">
        <v>1.3</v>
      </c>
      <c r="AU222" t="n">
        <v>1.387</v>
      </c>
      <c r="AV222" t="n">
        <v>1.341</v>
      </c>
      <c r="AW222" t="n">
        <v>1.3</v>
      </c>
      <c r="AX222" t="n">
        <v>1.429</v>
      </c>
      <c r="AY222" t="n">
        <v>1.304</v>
      </c>
      <c r="AZ222" t="n">
        <v>1.264</v>
      </c>
      <c r="BA222" t="n">
        <v>1.383</v>
      </c>
      <c r="BB222" t="n">
        <v>1.259</v>
      </c>
      <c r="BC222" t="n">
        <v>1.698</v>
      </c>
      <c r="BD222" t="n">
        <v>2.051</v>
      </c>
      <c r="BE222" t="n">
        <v>0.498</v>
      </c>
      <c r="BF222" t="n">
        <v>0.783</v>
      </c>
      <c r="BG222" t="n">
        <v>0.57</v>
      </c>
      <c r="BH222" t="n">
        <v>0.412</v>
      </c>
      <c r="BI222" t="n">
        <v>0.5639999999999999</v>
      </c>
      <c r="BJ222" t="n">
        <v>0.311</v>
      </c>
      <c r="BK222" t="n">
        <v>0.359</v>
      </c>
      <c r="BL222" t="n">
        <v>0.205</v>
      </c>
      <c r="BM222" t="n">
        <v>0.391</v>
      </c>
      <c r="BN222" t="n">
        <v>550.914</v>
      </c>
      <c r="BO222" t="n">
        <v>567.111</v>
      </c>
      <c r="BP222" t="n">
        <v>522.4829999999999</v>
      </c>
      <c r="BQ222" t="n">
        <v>585.319</v>
      </c>
      <c r="BR222" t="n">
        <v>568.428</v>
      </c>
      <c r="BS222" t="n">
        <v>591.954</v>
      </c>
      <c r="BT222" t="n">
        <v>298.593</v>
      </c>
      <c r="BU222" t="n">
        <v>281.197</v>
      </c>
      <c r="BV222" t="n">
        <v>289.108</v>
      </c>
    </row>
    <row r="223">
      <c r="A223" t="inlineStr">
        <is>
          <t>Marine pelagic fishes not identified</t>
        </is>
      </c>
      <c r="B223" t="inlineStr">
        <is>
          <t>Pelagic fishes</t>
        </is>
      </c>
      <c r="C223" t="inlineStr">
        <is>
          <t>Medium pelagics (30 - 89 cm)</t>
        </is>
      </c>
      <c r="D223" t="inlineStr">
        <is>
          <t>Other fishes &amp; inverts</t>
        </is>
      </c>
      <c r="E223" t="n">
        <v>0</v>
      </c>
      <c r="F223" t="n">
        <v>0</v>
      </c>
      <c r="G223" t="n">
        <v>0</v>
      </c>
      <c r="H223" t="n">
        <v>0</v>
      </c>
      <c r="I223" t="n">
        <v>0</v>
      </c>
      <c r="J223" t="n">
        <v>0</v>
      </c>
      <c r="K223" t="n">
        <v>0</v>
      </c>
      <c r="L223" t="n">
        <v>0</v>
      </c>
      <c r="M223" t="n">
        <v>0.5590000000000001</v>
      </c>
      <c r="N223" t="n">
        <v>2.675</v>
      </c>
      <c r="O223" t="n">
        <v>3.591</v>
      </c>
      <c r="P223" t="n">
        <v>0.846</v>
      </c>
      <c r="Q223" t="n">
        <v>12.325</v>
      </c>
      <c r="R223" t="n">
        <v>18.425</v>
      </c>
      <c r="S223" t="n">
        <v>51.412</v>
      </c>
      <c r="T223" t="n">
        <v>47.083</v>
      </c>
      <c r="U223" t="n">
        <v>34.701</v>
      </c>
      <c r="V223" t="n">
        <v>38.604</v>
      </c>
      <c r="W223" t="n">
        <v>24.348</v>
      </c>
      <c r="X223" t="n">
        <v>7.156</v>
      </c>
      <c r="Y223" t="n">
        <v>11.645</v>
      </c>
      <c r="Z223" t="n">
        <v>17.815</v>
      </c>
      <c r="AA223" t="n">
        <v>0.144</v>
      </c>
      <c r="AB223" t="n">
        <v>0.8139999999999999</v>
      </c>
      <c r="AC223" t="n">
        <v>2.146</v>
      </c>
      <c r="AD223" t="n">
        <v>0.079</v>
      </c>
      <c r="AE223" t="n">
        <v>0.036</v>
      </c>
      <c r="AF223" t="n">
        <v>0.028</v>
      </c>
      <c r="AG223" t="n">
        <v>0.07000000000000001</v>
      </c>
      <c r="AH223" t="n">
        <v>0.279</v>
      </c>
      <c r="AI223" t="n">
        <v>0.221</v>
      </c>
      <c r="AJ223" t="n">
        <v>0.286</v>
      </c>
      <c r="AK223" t="n">
        <v>4.442</v>
      </c>
      <c r="AL223" t="n">
        <v>0.322</v>
      </c>
      <c r="AM223" t="n">
        <v>0.01</v>
      </c>
      <c r="AN223" t="n">
        <v>0.162</v>
      </c>
      <c r="AO223" t="n">
        <v>0.007</v>
      </c>
      <c r="AP223" t="n">
        <v>0.002</v>
      </c>
      <c r="AQ223" t="n">
        <v>0.031</v>
      </c>
      <c r="AR223" t="n">
        <v>0.112</v>
      </c>
      <c r="AS223" t="n">
        <v>0.005</v>
      </c>
      <c r="AT223" t="n">
        <v>0.408</v>
      </c>
      <c r="AU223" t="n">
        <v>1.023</v>
      </c>
      <c r="AV223" t="n">
        <v>1.438</v>
      </c>
      <c r="AW223" t="n">
        <v>1.028</v>
      </c>
      <c r="AX223" t="n">
        <v>0.332</v>
      </c>
      <c r="AY223" t="n">
        <v>0.104</v>
      </c>
      <c r="AZ223" t="n">
        <v>0.617</v>
      </c>
      <c r="BA223" t="n">
        <v>0.298</v>
      </c>
      <c r="BB223" t="n">
        <v>0.221</v>
      </c>
      <c r="BC223" t="n">
        <v>0.011</v>
      </c>
      <c r="BD223" t="n">
        <v>0.042</v>
      </c>
      <c r="BE223" t="n">
        <v>0.02</v>
      </c>
      <c r="BF223" t="n">
        <v>0.03</v>
      </c>
      <c r="BG223" t="n">
        <v>1153.325</v>
      </c>
      <c r="BH223" t="n">
        <v>1006.423</v>
      </c>
      <c r="BI223" t="n">
        <v>604.375</v>
      </c>
      <c r="BJ223" t="n">
        <v>281.633</v>
      </c>
      <c r="BK223" t="n">
        <v>38.566</v>
      </c>
      <c r="BL223" t="n">
        <v>43.572</v>
      </c>
      <c r="BM223" t="n">
        <v>57.211</v>
      </c>
      <c r="BN223" t="n">
        <v>15.987</v>
      </c>
      <c r="BO223" t="n">
        <v>11.469</v>
      </c>
      <c r="BP223" t="n">
        <v>15.515</v>
      </c>
      <c r="BQ223" t="n">
        <v>40.225</v>
      </c>
      <c r="BR223" t="n">
        <v>22.407</v>
      </c>
      <c r="BS223" t="n">
        <v>20.821</v>
      </c>
      <c r="BT223" t="n">
        <v>4.805</v>
      </c>
      <c r="BU223" t="n">
        <v>1.848</v>
      </c>
      <c r="BV223" t="n">
        <v>1.118</v>
      </c>
    </row>
    <row r="224">
      <c r="A224" t="inlineStr">
        <is>
          <t>Mierspenaeopsis hardwickii</t>
        </is>
      </c>
      <c r="B224" t="inlineStr">
        <is>
          <t>Spear shrimp</t>
        </is>
      </c>
      <c r="C224" t="inlineStr">
        <is>
          <t>Shrimps</t>
        </is>
      </c>
      <c r="D224" t="inlineStr">
        <is>
          <t>Crustaceans</t>
        </is>
      </c>
      <c r="E224" t="n">
        <v>6.505</v>
      </c>
      <c r="F224" t="n">
        <v>7.977</v>
      </c>
      <c r="G224" t="n">
        <v>9.404</v>
      </c>
      <c r="H224" t="n">
        <v>10.107</v>
      </c>
      <c r="I224" t="n">
        <v>10.304</v>
      </c>
      <c r="J224" t="n">
        <v>12.575</v>
      </c>
      <c r="K224" t="n">
        <v>14.62</v>
      </c>
      <c r="L224" t="n">
        <v>16.039</v>
      </c>
      <c r="M224" t="n">
        <v>17.711</v>
      </c>
      <c r="N224" t="n">
        <v>20.082</v>
      </c>
      <c r="O224" t="n">
        <v>21.74</v>
      </c>
      <c r="P224" t="n">
        <v>25.901</v>
      </c>
      <c r="Q224" t="n">
        <v>28.387</v>
      </c>
      <c r="R224" t="n">
        <v>30.419</v>
      </c>
      <c r="S224" t="n">
        <v>34.221</v>
      </c>
      <c r="T224" t="n">
        <v>37.712</v>
      </c>
      <c r="U224" t="n">
        <v>42.152</v>
      </c>
      <c r="V224" t="n">
        <v>46.421</v>
      </c>
      <c r="W224" t="n">
        <v>53.138</v>
      </c>
      <c r="X224" t="n">
        <v>59.123</v>
      </c>
      <c r="Y224" t="n">
        <v>62.149</v>
      </c>
      <c r="Z224" t="n">
        <v>69</v>
      </c>
      <c r="AA224" t="n">
        <v>70.248</v>
      </c>
      <c r="AB224" t="n">
        <v>73.76600000000001</v>
      </c>
      <c r="AC224" t="n">
        <v>73.657</v>
      </c>
      <c r="AD224" t="n">
        <v>90.899</v>
      </c>
      <c r="AE224" t="n">
        <v>93.46899999999999</v>
      </c>
      <c r="AF224" t="n">
        <v>100.111</v>
      </c>
      <c r="AG224" t="n">
        <v>108.527</v>
      </c>
      <c r="AH224" t="n">
        <v>118.02</v>
      </c>
      <c r="AI224" t="n">
        <v>117.527</v>
      </c>
      <c r="AJ224" t="n">
        <v>104.106</v>
      </c>
      <c r="AK224" t="n">
        <v>100.482</v>
      </c>
      <c r="AL224" t="n">
        <v>101.032</v>
      </c>
      <c r="AM224" t="n">
        <v>101.822</v>
      </c>
      <c r="AN224" t="n">
        <v>99.634</v>
      </c>
      <c r="AO224" t="n">
        <v>100.523</v>
      </c>
      <c r="AP224" t="n">
        <v>94.208</v>
      </c>
      <c r="AQ224" t="n">
        <v>96.684</v>
      </c>
      <c r="AR224" t="n">
        <v>83.73999999999999</v>
      </c>
      <c r="AS224" t="n">
        <v>66.93600000000001</v>
      </c>
      <c r="AT224" t="n">
        <v>60.105</v>
      </c>
      <c r="AU224" t="n">
        <v>60.039</v>
      </c>
      <c r="AV224" t="n">
        <v>53.914</v>
      </c>
      <c r="AW224" t="n">
        <v>50.949</v>
      </c>
      <c r="AX224" t="n">
        <v>60.479</v>
      </c>
      <c r="AY224" t="n">
        <v>56.123</v>
      </c>
      <c r="AZ224" t="n">
        <v>52.21</v>
      </c>
      <c r="BA224" t="n">
        <v>39.18</v>
      </c>
      <c r="BB224" t="n">
        <v>40.548</v>
      </c>
      <c r="BC224" t="n">
        <v>36.141</v>
      </c>
      <c r="BD224" t="n">
        <v>30.844</v>
      </c>
      <c r="BE224" t="n">
        <v>22.18</v>
      </c>
      <c r="BF224" t="n">
        <v>21.302</v>
      </c>
      <c r="BG224" t="n">
        <v>27.437</v>
      </c>
      <c r="BH224" t="n">
        <v>27.756</v>
      </c>
      <c r="BI224" t="n">
        <v>28.145</v>
      </c>
      <c r="BJ224" t="n">
        <v>24.979</v>
      </c>
      <c r="BK224" t="n">
        <v>19.968</v>
      </c>
      <c r="BL224" t="n">
        <v>17.461</v>
      </c>
      <c r="BM224" t="n">
        <v>17.297</v>
      </c>
      <c r="BN224" t="n">
        <v>21.477</v>
      </c>
      <c r="BO224" t="n">
        <v>21.452</v>
      </c>
      <c r="BP224" t="n">
        <v>32.891</v>
      </c>
      <c r="BQ224" t="n">
        <v>36.534</v>
      </c>
      <c r="BR224" t="n">
        <v>29.761</v>
      </c>
      <c r="BS224" t="n">
        <v>48.84</v>
      </c>
      <c r="BT224" t="n">
        <v>26.49</v>
      </c>
      <c r="BU224" t="n">
        <v>40.458</v>
      </c>
      <c r="BV224" t="n">
        <v>29.937</v>
      </c>
    </row>
    <row r="225">
      <c r="A225" t="inlineStr">
        <is>
          <t>Beryx</t>
        </is>
      </c>
      <c r="B225" t="inlineStr">
        <is>
          <t>Alfonsinos</t>
        </is>
      </c>
      <c r="C225" t="inlineStr">
        <is>
          <t>Medium benthopelagics (30 - 89 cm)</t>
        </is>
      </c>
      <c r="D225" t="inlineStr">
        <is>
          <t>Other fishes &amp; inverts</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57.128</v>
      </c>
      <c r="BN225" t="n">
        <v>27.235</v>
      </c>
      <c r="BO225" t="n">
        <v>21.921</v>
      </c>
      <c r="BP225" t="n">
        <v>76.506</v>
      </c>
      <c r="BQ225" t="n">
        <v>0</v>
      </c>
      <c r="BR225" t="n">
        <v>152.399</v>
      </c>
      <c r="BS225" t="n">
        <v>65.675</v>
      </c>
      <c r="BT225" t="n">
        <v>1719.165</v>
      </c>
      <c r="BU225" t="n">
        <v>165.696</v>
      </c>
      <c r="BV225" t="n">
        <v>712.251</v>
      </c>
    </row>
    <row r="226">
      <c r="A226" t="inlineStr">
        <is>
          <t>Auxis thazard</t>
        </is>
      </c>
      <c r="B226" t="inlineStr">
        <is>
          <t>Frigate tuna</t>
        </is>
      </c>
      <c r="C226" t="inlineStr">
        <is>
          <t>Medium pelagics (30 - 89 cm)</t>
        </is>
      </c>
      <c r="D226" t="inlineStr">
        <is>
          <t>Tuna &amp; billfishes</t>
        </is>
      </c>
      <c r="E226" t="n">
        <v>5.996</v>
      </c>
      <c r="F226" t="n">
        <v>7.38</v>
      </c>
      <c r="G226" t="n">
        <v>8.647</v>
      </c>
      <c r="H226" t="n">
        <v>9.273999999999999</v>
      </c>
      <c r="I226" t="n">
        <v>9.803000000000001</v>
      </c>
      <c r="J226" t="n">
        <v>11.909</v>
      </c>
      <c r="K226" t="n">
        <v>13.589</v>
      </c>
      <c r="L226" t="n">
        <v>14.894</v>
      </c>
      <c r="M226" t="n">
        <v>16.54</v>
      </c>
      <c r="N226" t="n">
        <v>18.513</v>
      </c>
      <c r="O226" t="n">
        <v>19.129</v>
      </c>
      <c r="P226" t="n">
        <v>22.135</v>
      </c>
      <c r="Q226" t="n">
        <v>23.84</v>
      </c>
      <c r="R226" t="n">
        <v>26.163</v>
      </c>
      <c r="S226" t="n">
        <v>27.834</v>
      </c>
      <c r="T226" t="n">
        <v>29.469</v>
      </c>
      <c r="U226" t="n">
        <v>31.261</v>
      </c>
      <c r="V226" t="n">
        <v>34.377</v>
      </c>
      <c r="W226" t="n">
        <v>38.779</v>
      </c>
      <c r="X226" t="n">
        <v>43.045</v>
      </c>
      <c r="Y226" t="n">
        <v>45.021</v>
      </c>
      <c r="Z226" t="n">
        <v>48.255</v>
      </c>
      <c r="AA226" t="n">
        <v>46.72</v>
      </c>
      <c r="AB226" t="n">
        <v>49.171</v>
      </c>
      <c r="AC226" t="n">
        <v>49.15</v>
      </c>
      <c r="AD226" t="n">
        <v>62.161</v>
      </c>
      <c r="AE226" t="n">
        <v>64.76300000000001</v>
      </c>
      <c r="AF226" t="n">
        <v>67.342</v>
      </c>
      <c r="AG226" t="n">
        <v>74.06699999999999</v>
      </c>
      <c r="AH226" t="n">
        <v>78.827</v>
      </c>
      <c r="AI226" t="n">
        <v>79.312</v>
      </c>
      <c r="AJ226" t="n">
        <v>70.63</v>
      </c>
      <c r="AK226" t="n">
        <v>70.14100000000001</v>
      </c>
      <c r="AL226" t="n">
        <v>71.166</v>
      </c>
      <c r="AM226" t="n">
        <v>70.16200000000001</v>
      </c>
      <c r="AN226" t="n">
        <v>73.161</v>
      </c>
      <c r="AO226" t="n">
        <v>74.07899999999999</v>
      </c>
      <c r="AP226" t="n">
        <v>68.181</v>
      </c>
      <c r="AQ226" t="n">
        <v>65.629</v>
      </c>
      <c r="AR226" t="n">
        <v>59.639</v>
      </c>
      <c r="AS226" t="n">
        <v>49.304</v>
      </c>
      <c r="AT226" t="n">
        <v>43.869</v>
      </c>
      <c r="AU226" t="n">
        <v>45.793</v>
      </c>
      <c r="AV226" t="n">
        <v>41.135</v>
      </c>
      <c r="AW226" t="n">
        <v>40</v>
      </c>
      <c r="AX226" t="n">
        <v>46.879</v>
      </c>
      <c r="AY226" t="n">
        <v>44.173</v>
      </c>
      <c r="AZ226" t="n">
        <v>39.916</v>
      </c>
      <c r="BA226" t="n">
        <v>34.678</v>
      </c>
      <c r="BB226" t="n">
        <v>34.975</v>
      </c>
      <c r="BC226" t="n">
        <v>27.935</v>
      </c>
      <c r="BD226" t="n">
        <v>31.919</v>
      </c>
      <c r="BE226" t="n">
        <v>21.273</v>
      </c>
      <c r="BF226" t="n">
        <v>17.176</v>
      </c>
      <c r="BG226" t="n">
        <v>20.536</v>
      </c>
      <c r="BH226" t="n">
        <v>19.221</v>
      </c>
      <c r="BI226" t="n">
        <v>6.741</v>
      </c>
      <c r="BJ226" t="n">
        <v>5.844</v>
      </c>
      <c r="BK226" t="n">
        <v>4.832</v>
      </c>
      <c r="BL226" t="n">
        <v>5.167</v>
      </c>
      <c r="BM226" t="n">
        <v>5.437</v>
      </c>
      <c r="BN226" t="n">
        <v>4.611</v>
      </c>
      <c r="BO226" t="n">
        <v>5.312</v>
      </c>
      <c r="BP226" t="n">
        <v>4.431</v>
      </c>
      <c r="BQ226" t="n">
        <v>4.735</v>
      </c>
      <c r="BR226" t="n">
        <v>4.126</v>
      </c>
      <c r="BS226" t="n">
        <v>4.296</v>
      </c>
      <c r="BT226" t="n">
        <v>4.509</v>
      </c>
      <c r="BU226" t="n">
        <v>6.707</v>
      </c>
      <c r="BV226" t="n">
        <v>4.394</v>
      </c>
    </row>
    <row r="227">
      <c r="A227" t="inlineStr">
        <is>
          <t>Polydactylus sexfilis</t>
        </is>
      </c>
      <c r="B227" t="inlineStr">
        <is>
          <t>Sixfinger threadfin</t>
        </is>
      </c>
      <c r="C227" t="inlineStr">
        <is>
          <t>Medium demersals (30 - 89 cm)</t>
        </is>
      </c>
      <c r="D227" t="inlineStr">
        <is>
          <t>Perch-likes</t>
        </is>
      </c>
      <c r="E227" t="n">
        <v>4.24</v>
      </c>
      <c r="F227" t="n">
        <v>5.184</v>
      </c>
      <c r="G227" t="n">
        <v>6.171</v>
      </c>
      <c r="H227" t="n">
        <v>6.652</v>
      </c>
      <c r="I227" t="n">
        <v>6.929</v>
      </c>
      <c r="J227" t="n">
        <v>8.532</v>
      </c>
      <c r="K227" t="n">
        <v>9.821999999999999</v>
      </c>
      <c r="L227" t="n">
        <v>10.791</v>
      </c>
      <c r="M227" t="n">
        <v>11.864</v>
      </c>
      <c r="N227" t="n">
        <v>13.448</v>
      </c>
      <c r="O227" t="n">
        <v>14.607</v>
      </c>
      <c r="P227" t="n">
        <v>17.355</v>
      </c>
      <c r="Q227" t="n">
        <v>18.676</v>
      </c>
      <c r="R227" t="n">
        <v>19.828</v>
      </c>
      <c r="S227" t="n">
        <v>21.642</v>
      </c>
      <c r="T227" t="n">
        <v>24.114</v>
      </c>
      <c r="U227" t="n">
        <v>26.718</v>
      </c>
      <c r="V227" t="n">
        <v>28.689</v>
      </c>
      <c r="W227" t="n">
        <v>31.87</v>
      </c>
      <c r="X227" t="n">
        <v>34.895</v>
      </c>
      <c r="Y227" t="n">
        <v>36.968</v>
      </c>
      <c r="Z227" t="n">
        <v>43.363</v>
      </c>
      <c r="AA227" t="n">
        <v>47.514</v>
      </c>
      <c r="AB227" t="n">
        <v>48.447</v>
      </c>
      <c r="AC227" t="n">
        <v>48.17</v>
      </c>
      <c r="AD227" t="n">
        <v>55.494</v>
      </c>
      <c r="AE227" t="n">
        <v>56.23</v>
      </c>
      <c r="AF227" t="n">
        <v>58.868</v>
      </c>
      <c r="AG227" t="n">
        <v>60.95</v>
      </c>
      <c r="AH227" t="n">
        <v>66.242</v>
      </c>
      <c r="AI227" t="n">
        <v>64.985</v>
      </c>
      <c r="AJ227" t="n">
        <v>58.952</v>
      </c>
      <c r="AK227" t="n">
        <v>54.67</v>
      </c>
      <c r="AL227" t="n">
        <v>55.976</v>
      </c>
      <c r="AM227" t="n">
        <v>59.009</v>
      </c>
      <c r="AN227" t="n">
        <v>52.626</v>
      </c>
      <c r="AO227" t="n">
        <v>54.024</v>
      </c>
      <c r="AP227" t="n">
        <v>52.196</v>
      </c>
      <c r="AQ227" t="n">
        <v>59.47</v>
      </c>
      <c r="AR227" t="n">
        <v>47.597</v>
      </c>
      <c r="AS227" t="n">
        <v>38.372</v>
      </c>
      <c r="AT227" t="n">
        <v>34.525</v>
      </c>
      <c r="AU227" t="n">
        <v>32.162</v>
      </c>
      <c r="AV227" t="n">
        <v>29.601</v>
      </c>
      <c r="AW227" t="n">
        <v>26.519</v>
      </c>
      <c r="AX227" t="n">
        <v>31.303</v>
      </c>
      <c r="AY227" t="n">
        <v>27.882</v>
      </c>
      <c r="AZ227" t="n">
        <v>28.479</v>
      </c>
      <c r="BA227" t="n">
        <v>18.005</v>
      </c>
      <c r="BB227" t="n">
        <v>18.372</v>
      </c>
      <c r="BC227" t="n">
        <v>165.747</v>
      </c>
      <c r="BD227" t="n">
        <v>22.392</v>
      </c>
      <c r="BE227" t="n">
        <v>16.425</v>
      </c>
      <c r="BF227" t="n">
        <v>11.372</v>
      </c>
      <c r="BG227" t="n">
        <v>18.408</v>
      </c>
      <c r="BH227" t="n">
        <v>20.239</v>
      </c>
      <c r="BI227" t="n">
        <v>17.049</v>
      </c>
      <c r="BJ227" t="n">
        <v>16.208</v>
      </c>
      <c r="BK227" t="n">
        <v>15.346</v>
      </c>
      <c r="BL227" t="n">
        <v>12.008</v>
      </c>
      <c r="BM227" t="n">
        <v>9.933999999999999</v>
      </c>
      <c r="BN227" t="n">
        <v>11.6</v>
      </c>
      <c r="BO227" t="n">
        <v>11.829</v>
      </c>
      <c r="BP227" t="n">
        <v>13.977</v>
      </c>
      <c r="BQ227" t="n">
        <v>15.363</v>
      </c>
      <c r="BR227" t="n">
        <v>13.165</v>
      </c>
      <c r="BS227" t="n">
        <v>18.351</v>
      </c>
      <c r="BT227" t="n">
        <v>12.847</v>
      </c>
      <c r="BU227" t="n">
        <v>19.42</v>
      </c>
      <c r="BV227" t="n">
        <v>13.815</v>
      </c>
    </row>
    <row r="228">
      <c r="A228" t="inlineStr">
        <is>
          <t>Seriola dumerili</t>
        </is>
      </c>
      <c r="B228" t="inlineStr">
        <is>
          <t>Greater amberjack</t>
        </is>
      </c>
      <c r="C228" t="inlineStr">
        <is>
          <t>Large reef assoc. fish (&gt;=90 cm)</t>
        </is>
      </c>
      <c r="D228" t="inlineStr">
        <is>
          <t>Perch-likes</t>
        </is>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29.63</v>
      </c>
      <c r="BO228" t="n">
        <v>95.95399999999999</v>
      </c>
      <c r="BP228" t="n">
        <v>125.297</v>
      </c>
      <c r="BQ228" t="n">
        <v>249.612</v>
      </c>
      <c r="BR228" t="n">
        <v>299.668</v>
      </c>
      <c r="BS228" t="n">
        <v>440.825</v>
      </c>
      <c r="BT228" t="n">
        <v>263.625</v>
      </c>
      <c r="BU228" t="n">
        <v>273.811</v>
      </c>
      <c r="BV228" t="n">
        <v>339.79</v>
      </c>
    </row>
    <row r="229">
      <c r="A229" t="inlineStr">
        <is>
          <t>Cheilopogon unicolor</t>
        </is>
      </c>
      <c r="B229" t="inlineStr">
        <is>
          <t>Limpidwing flyingfish</t>
        </is>
      </c>
      <c r="C229" t="inlineStr">
        <is>
          <t>Medium pelagics (30 - 89 cm)</t>
        </is>
      </c>
      <c r="D229" t="inlineStr">
        <is>
          <t>Other fishes &amp; inverts</t>
        </is>
      </c>
      <c r="E229" t="n">
        <v>4.459</v>
      </c>
      <c r="F229" t="n">
        <v>5.481</v>
      </c>
      <c r="G229" t="n">
        <v>6.426</v>
      </c>
      <c r="H229" t="n">
        <v>6.894</v>
      </c>
      <c r="I229" t="n">
        <v>7.054</v>
      </c>
      <c r="J229" t="n">
        <v>8.568</v>
      </c>
      <c r="K229" t="n">
        <v>9.938000000000001</v>
      </c>
      <c r="L229" t="n">
        <v>10.892</v>
      </c>
      <c r="M229" t="n">
        <v>12.07</v>
      </c>
      <c r="N229" t="n">
        <v>13.631</v>
      </c>
      <c r="O229" t="n">
        <v>14.523</v>
      </c>
      <c r="P229" t="n">
        <v>17.166</v>
      </c>
      <c r="Q229" t="n">
        <v>18.847</v>
      </c>
      <c r="R229" t="n">
        <v>20.411</v>
      </c>
      <c r="S229" t="n">
        <v>22.84</v>
      </c>
      <c r="T229" t="n">
        <v>24.786</v>
      </c>
      <c r="U229" t="n">
        <v>27.398</v>
      </c>
      <c r="V229" t="n">
        <v>30.442</v>
      </c>
      <c r="W229" t="n">
        <v>35.082</v>
      </c>
      <c r="X229" t="n">
        <v>39.226</v>
      </c>
      <c r="Y229" t="n">
        <v>41.07</v>
      </c>
      <c r="Z229" t="n">
        <v>44.304</v>
      </c>
      <c r="AA229" t="n">
        <v>43.253</v>
      </c>
      <c r="AB229" t="n">
        <v>45.997</v>
      </c>
      <c r="AC229" t="n">
        <v>46.021</v>
      </c>
      <c r="AD229" t="n">
        <v>58.656</v>
      </c>
      <c r="AE229" t="n">
        <v>60.832</v>
      </c>
      <c r="AF229" t="n">
        <v>63.364</v>
      </c>
      <c r="AG229" t="n">
        <v>70.352</v>
      </c>
      <c r="AH229" t="n">
        <v>74.60299999999999</v>
      </c>
      <c r="AI229" t="n">
        <v>74.937</v>
      </c>
      <c r="AJ229" t="n">
        <v>65.85599999999999</v>
      </c>
      <c r="AK229" t="n">
        <v>65.06</v>
      </c>
      <c r="AL229" t="n">
        <v>65.129</v>
      </c>
      <c r="AM229" t="n">
        <v>64.083</v>
      </c>
      <c r="AN229" t="n">
        <v>66.137</v>
      </c>
      <c r="AO229" t="n">
        <v>66.379</v>
      </c>
      <c r="AP229" t="n">
        <v>61.194</v>
      </c>
      <c r="AQ229" t="n">
        <v>59.061</v>
      </c>
      <c r="AR229" t="n">
        <v>53.409</v>
      </c>
      <c r="AS229" t="n">
        <v>42.964</v>
      </c>
      <c r="AT229" t="n">
        <v>38.443</v>
      </c>
      <c r="AU229" t="n">
        <v>39.985</v>
      </c>
      <c r="AV229" t="n">
        <v>35.472</v>
      </c>
      <c r="AW229" t="n">
        <v>34.513</v>
      </c>
      <c r="AX229" t="n">
        <v>40.894</v>
      </c>
      <c r="AY229" t="n">
        <v>38.731</v>
      </c>
      <c r="AZ229" t="n">
        <v>34.595</v>
      </c>
      <c r="BA229" t="n">
        <v>28.713</v>
      </c>
      <c r="BB229" t="n">
        <v>29.599</v>
      </c>
      <c r="BC229" t="n">
        <v>10.37</v>
      </c>
      <c r="BD229" t="n">
        <v>14.696</v>
      </c>
      <c r="BE229" t="n">
        <v>24.026</v>
      </c>
      <c r="BF229" t="n">
        <v>18.121</v>
      </c>
      <c r="BG229" t="n">
        <v>63.464</v>
      </c>
      <c r="BH229" t="n">
        <v>30.73</v>
      </c>
      <c r="BI229" t="n">
        <v>8.441000000000001</v>
      </c>
      <c r="BJ229" t="n">
        <v>1.73</v>
      </c>
      <c r="BK229" t="n">
        <v>1.543</v>
      </c>
      <c r="BL229" t="n">
        <v>3.892</v>
      </c>
      <c r="BM229" t="n">
        <v>1.963</v>
      </c>
      <c r="BN229" t="n">
        <v>2.256</v>
      </c>
      <c r="BO229" t="n">
        <v>2.313</v>
      </c>
      <c r="BP229" t="n">
        <v>1.923</v>
      </c>
      <c r="BQ229" t="n">
        <v>2.076</v>
      </c>
      <c r="BR229" t="n">
        <v>1.967</v>
      </c>
      <c r="BS229" t="n">
        <v>1.928</v>
      </c>
      <c r="BT229" t="n">
        <v>2.203</v>
      </c>
      <c r="BU229" t="n">
        <v>3.321</v>
      </c>
      <c r="BV229" t="n">
        <v>2.253</v>
      </c>
    </row>
    <row r="230">
      <c r="A230" t="inlineStr">
        <is>
          <t>Lates calcarifer</t>
        </is>
      </c>
      <c r="B230" t="inlineStr">
        <is>
          <t>Barramundi</t>
        </is>
      </c>
      <c r="C230" t="inlineStr">
        <is>
          <t>Large demersals (&gt;=90 cm)</t>
        </is>
      </c>
      <c r="D230" t="inlineStr">
        <is>
          <t>Perch-likes</t>
        </is>
      </c>
      <c r="E230" t="n">
        <v>0</v>
      </c>
      <c r="F230" t="n">
        <v>0</v>
      </c>
      <c r="G230" t="n">
        <v>2.632</v>
      </c>
      <c r="H230" t="n">
        <v>0</v>
      </c>
      <c r="I230" t="n">
        <v>0</v>
      </c>
      <c r="J230" t="n">
        <v>0</v>
      </c>
      <c r="K230" t="n">
        <v>0</v>
      </c>
      <c r="L230" t="n">
        <v>0</v>
      </c>
      <c r="M230" t="n">
        <v>0</v>
      </c>
      <c r="N230" t="n">
        <v>0</v>
      </c>
      <c r="O230" t="n">
        <v>0</v>
      </c>
      <c r="P230" t="n">
        <v>2.203</v>
      </c>
      <c r="Q230" t="n">
        <v>0</v>
      </c>
      <c r="R230" t="n">
        <v>0</v>
      </c>
      <c r="S230" t="n">
        <v>2.797</v>
      </c>
      <c r="T230" t="n">
        <v>2.134</v>
      </c>
      <c r="U230" t="n">
        <v>0</v>
      </c>
      <c r="V230" t="n">
        <v>0</v>
      </c>
      <c r="W230" t="n">
        <v>2.479</v>
      </c>
      <c r="X230" t="n">
        <v>2.983</v>
      </c>
      <c r="Y230" t="n">
        <v>0</v>
      </c>
      <c r="Z230" t="n">
        <v>2.983</v>
      </c>
      <c r="AA230" t="n">
        <v>0</v>
      </c>
      <c r="AB230" t="n">
        <v>0</v>
      </c>
      <c r="AC230" t="n">
        <v>0</v>
      </c>
      <c r="AD230" t="n">
        <v>0</v>
      </c>
      <c r="AE230" t="n">
        <v>2.207</v>
      </c>
      <c r="AF230" t="n">
        <v>2.478</v>
      </c>
      <c r="AG230" t="n">
        <v>0</v>
      </c>
      <c r="AH230" t="n">
        <v>0</v>
      </c>
      <c r="AI230" t="n">
        <v>0</v>
      </c>
      <c r="AJ230" t="n">
        <v>1.658</v>
      </c>
      <c r="AK230" t="n">
        <v>1.598</v>
      </c>
      <c r="AL230" t="n">
        <v>0</v>
      </c>
      <c r="AM230" t="n">
        <v>0</v>
      </c>
      <c r="AN230" t="n">
        <v>1.63</v>
      </c>
      <c r="AO230" t="n">
        <v>0</v>
      </c>
      <c r="AP230" t="n">
        <v>0</v>
      </c>
      <c r="AQ230" t="n">
        <v>0.889</v>
      </c>
      <c r="AR230" t="n">
        <v>1.047</v>
      </c>
      <c r="AS230" t="n">
        <v>23.226</v>
      </c>
      <c r="AT230" t="n">
        <v>465.242</v>
      </c>
      <c r="AU230" t="n">
        <v>125.543</v>
      </c>
      <c r="AV230" t="n">
        <v>3.61</v>
      </c>
      <c r="AW230" t="n">
        <v>3.676</v>
      </c>
      <c r="AX230" t="n">
        <v>1.511</v>
      </c>
      <c r="AY230" t="n">
        <v>32.633</v>
      </c>
      <c r="AZ230" t="n">
        <v>19.704</v>
      </c>
      <c r="BA230" t="n">
        <v>46.231</v>
      </c>
      <c r="BB230" t="n">
        <v>86.235</v>
      </c>
      <c r="BC230" t="n">
        <v>46.729</v>
      </c>
      <c r="BD230" t="n">
        <v>120.972</v>
      </c>
      <c r="BE230" t="n">
        <v>106.03</v>
      </c>
      <c r="BF230" t="n">
        <v>36.653</v>
      </c>
      <c r="BG230" t="n">
        <v>44.033</v>
      </c>
      <c r="BH230" t="n">
        <v>52.184</v>
      </c>
      <c r="BI230" t="n">
        <v>45.168</v>
      </c>
      <c r="BJ230" t="n">
        <v>21.207</v>
      </c>
      <c r="BK230" t="n">
        <v>28.531</v>
      </c>
      <c r="BL230" t="n">
        <v>66.27500000000001</v>
      </c>
      <c r="BM230" t="n">
        <v>66.066</v>
      </c>
      <c r="BN230" t="n">
        <v>63.652</v>
      </c>
      <c r="BO230" t="n">
        <v>91.105</v>
      </c>
      <c r="BP230" t="n">
        <v>74.315</v>
      </c>
      <c r="BQ230" t="n">
        <v>44.881</v>
      </c>
      <c r="BR230" t="n">
        <v>36.045</v>
      </c>
      <c r="BS230" t="n">
        <v>47.798</v>
      </c>
      <c r="BT230" t="n">
        <v>45.13</v>
      </c>
      <c r="BU230" t="n">
        <v>49.211</v>
      </c>
      <c r="BV230" t="n">
        <v>43.755</v>
      </c>
    </row>
    <row r="231">
      <c r="A231" t="inlineStr">
        <is>
          <t>Hexagrammidae</t>
        </is>
      </c>
      <c r="B231" t="inlineStr">
        <is>
          <t>Greenlings</t>
        </is>
      </c>
      <c r="C231" t="inlineStr">
        <is>
          <t>Medium demersals (30 - 89 cm)</t>
        </is>
      </c>
      <c r="D231" t="inlineStr">
        <is>
          <t>Scorpionfishes</t>
        </is>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183.412</v>
      </c>
      <c r="BO231" t="n">
        <v>183.412</v>
      </c>
      <c r="BP231" t="n">
        <v>183.412</v>
      </c>
      <c r="BQ231" t="n">
        <v>183.412</v>
      </c>
      <c r="BR231" t="n">
        <v>183.412</v>
      </c>
      <c r="BS231" t="n">
        <v>183.412</v>
      </c>
      <c r="BT231" t="n">
        <v>190.174</v>
      </c>
      <c r="BU231" t="n">
        <v>190.174</v>
      </c>
      <c r="BV231" t="n">
        <v>190.174</v>
      </c>
    </row>
    <row r="232">
      <c r="A232" t="inlineStr">
        <is>
          <t>Clupanodon thrissa</t>
        </is>
      </c>
      <c r="B232" t="inlineStr">
        <is>
          <t>Chinese gizzard shad</t>
        </is>
      </c>
      <c r="C232" t="inlineStr">
        <is>
          <t>Small pelagics (&lt;30 cm)</t>
        </is>
      </c>
      <c r="D232" t="inlineStr">
        <is>
          <t>Herring-likes</t>
        </is>
      </c>
      <c r="E232" t="n">
        <v>4.146</v>
      </c>
      <c r="F232" t="n">
        <v>5.79</v>
      </c>
      <c r="G232" t="n">
        <v>6.93</v>
      </c>
      <c r="H232" t="n">
        <v>13.519</v>
      </c>
      <c r="I232" t="n">
        <v>7.902</v>
      </c>
      <c r="J232" t="n">
        <v>8.609</v>
      </c>
      <c r="K232" t="n">
        <v>11.06</v>
      </c>
      <c r="L232" t="n">
        <v>7.086</v>
      </c>
      <c r="M232" t="n">
        <v>5.928</v>
      </c>
      <c r="N232" t="n">
        <v>4.779</v>
      </c>
      <c r="O232" t="n">
        <v>5.3</v>
      </c>
      <c r="P232" t="n">
        <v>3.9</v>
      </c>
      <c r="Q232" t="n">
        <v>18.594</v>
      </c>
      <c r="R232" t="n">
        <v>23.706</v>
      </c>
      <c r="S232" t="n">
        <v>11.066</v>
      </c>
      <c r="T232" t="n">
        <v>12.206</v>
      </c>
      <c r="U232" t="n">
        <v>21.449</v>
      </c>
      <c r="V232" t="n">
        <v>27.444</v>
      </c>
      <c r="W232" t="n">
        <v>24.44</v>
      </c>
      <c r="X232" t="n">
        <v>20.933</v>
      </c>
      <c r="Y232" t="n">
        <v>27.402</v>
      </c>
      <c r="Z232" t="n">
        <v>28.257</v>
      </c>
      <c r="AA232" t="n">
        <v>20.5</v>
      </c>
      <c r="AB232" t="n">
        <v>23.926</v>
      </c>
      <c r="AC232" t="n">
        <v>44.493</v>
      </c>
      <c r="AD232" t="n">
        <v>20.381</v>
      </c>
      <c r="AE232" t="n">
        <v>20.893</v>
      </c>
      <c r="AF232" t="n">
        <v>24.978</v>
      </c>
      <c r="AG232" t="n">
        <v>16.979</v>
      </c>
      <c r="AH232" t="n">
        <v>19.25</v>
      </c>
      <c r="AI232" t="n">
        <v>17.493</v>
      </c>
      <c r="AJ232" t="n">
        <v>21.307</v>
      </c>
      <c r="AK232" t="n">
        <v>19.88</v>
      </c>
      <c r="AL232" t="n">
        <v>28.802</v>
      </c>
      <c r="AM232" t="n">
        <v>14.57</v>
      </c>
      <c r="AN232" t="n">
        <v>18.96</v>
      </c>
      <c r="AO232" t="n">
        <v>23.843</v>
      </c>
      <c r="AP232" t="n">
        <v>29.695</v>
      </c>
      <c r="AQ232" t="n">
        <v>23.969</v>
      </c>
      <c r="AR232" t="n">
        <v>28.786</v>
      </c>
      <c r="AS232" t="n">
        <v>24.74</v>
      </c>
      <c r="AT232" t="n">
        <v>23.56</v>
      </c>
      <c r="AU232" t="n">
        <v>25.269</v>
      </c>
      <c r="AV232" t="n">
        <v>18.412</v>
      </c>
      <c r="AW232" t="n">
        <v>26.336</v>
      </c>
      <c r="AX232" t="n">
        <v>28.564</v>
      </c>
      <c r="AY232" t="n">
        <v>23.195</v>
      </c>
      <c r="AZ232" t="n">
        <v>57.303</v>
      </c>
      <c r="BA232" t="n">
        <v>55.179</v>
      </c>
      <c r="BB232" t="n">
        <v>33.582</v>
      </c>
      <c r="BC232" t="n">
        <v>20.331</v>
      </c>
      <c r="BD232" t="n">
        <v>30.412</v>
      </c>
      <c r="BE232" t="n">
        <v>15.175</v>
      </c>
      <c r="BF232" t="n">
        <v>12.84</v>
      </c>
      <c r="BG232" t="n">
        <v>9.041</v>
      </c>
      <c r="BH232" t="n">
        <v>13.959</v>
      </c>
      <c r="BI232" t="n">
        <v>17.297</v>
      </c>
      <c r="BJ232" t="n">
        <v>19.804</v>
      </c>
      <c r="BK232" t="n">
        <v>15.079</v>
      </c>
      <c r="BL232" t="n">
        <v>21.134</v>
      </c>
      <c r="BM232" t="n">
        <v>44.511</v>
      </c>
      <c r="BN232" t="n">
        <v>31.135</v>
      </c>
      <c r="BO232" t="n">
        <v>45.076</v>
      </c>
      <c r="BP232" t="n">
        <v>40.173</v>
      </c>
      <c r="BQ232" t="n">
        <v>42.615</v>
      </c>
      <c r="BR232" t="n">
        <v>33.459</v>
      </c>
      <c r="BS232" t="n">
        <v>39.064</v>
      </c>
      <c r="BT232" t="n">
        <v>44.629</v>
      </c>
      <c r="BU232" t="n">
        <v>39.252</v>
      </c>
      <c r="BV232" t="n">
        <v>50.481</v>
      </c>
    </row>
    <row r="233">
      <c r="A233" t="inlineStr">
        <is>
          <t>Ommastrephes bartramii</t>
        </is>
      </c>
      <c r="B233" t="inlineStr">
        <is>
          <t>Neon flying squid</t>
        </is>
      </c>
      <c r="C233" t="inlineStr">
        <is>
          <t>Cephalopods</t>
        </is>
      </c>
      <c r="D233" t="inlineStr">
        <is>
          <t>Other fishes &amp; inverts</t>
        </is>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247.364</v>
      </c>
      <c r="BO233" t="n">
        <v>188.525</v>
      </c>
      <c r="BP233" t="n">
        <v>197.15</v>
      </c>
      <c r="BQ233" t="n">
        <v>184.488</v>
      </c>
      <c r="BR233" t="n">
        <v>154.151</v>
      </c>
      <c r="BS233" t="n">
        <v>113.546</v>
      </c>
      <c r="BT233" t="n">
        <v>121.015</v>
      </c>
      <c r="BU233" t="n">
        <v>133.026</v>
      </c>
      <c r="BV233" t="n">
        <v>174.771</v>
      </c>
    </row>
    <row r="234">
      <c r="A234" t="inlineStr">
        <is>
          <t>Mola mola</t>
        </is>
      </c>
      <c r="B234" t="inlineStr">
        <is>
          <t>Ocean sunfish</t>
        </is>
      </c>
      <c r="C234" t="inlineStr">
        <is>
          <t>Large pelagics (&gt;=90 cm)</t>
        </is>
      </c>
      <c r="D234" t="inlineStr">
        <is>
          <t>Other fishes &amp; inverts</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0.792</v>
      </c>
      <c r="BI234" t="n">
        <v>3.057</v>
      </c>
      <c r="BJ234" t="n">
        <v>2.891</v>
      </c>
      <c r="BK234" t="n">
        <v>3.196</v>
      </c>
      <c r="BL234" t="n">
        <v>2.24</v>
      </c>
      <c r="BM234" t="n">
        <v>5.034</v>
      </c>
      <c r="BN234" t="n">
        <v>110.85</v>
      </c>
      <c r="BO234" t="n">
        <v>156.893</v>
      </c>
      <c r="BP234" t="n">
        <v>3.995</v>
      </c>
      <c r="BQ234" t="n">
        <v>276.768</v>
      </c>
      <c r="BR234" t="n">
        <v>354.552</v>
      </c>
      <c r="BS234" t="n">
        <v>142.078</v>
      </c>
      <c r="BT234" t="n">
        <v>160.155</v>
      </c>
      <c r="BU234" t="n">
        <v>87.47199999999999</v>
      </c>
      <c r="BV234" t="n">
        <v>147.235</v>
      </c>
    </row>
    <row r="235">
      <c r="A235" t="inlineStr">
        <is>
          <t>Scaridae</t>
        </is>
      </c>
      <c r="B235" t="inlineStr">
        <is>
          <t>Parrotfishes</t>
        </is>
      </c>
      <c r="C235" t="inlineStr">
        <is>
          <t>Medium reef assoc. fish (30 - 89 cm)</t>
        </is>
      </c>
      <c r="D235" t="inlineStr">
        <is>
          <t>Perch-likes</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1.681</v>
      </c>
      <c r="AB235" t="n">
        <v>0</v>
      </c>
      <c r="AC235" t="n">
        <v>1.741</v>
      </c>
      <c r="AD235" t="n">
        <v>0</v>
      </c>
      <c r="AE235" t="n">
        <v>0</v>
      </c>
      <c r="AF235" t="n">
        <v>0</v>
      </c>
      <c r="AG235" t="n">
        <v>0</v>
      </c>
      <c r="AH235" t="n">
        <v>0</v>
      </c>
      <c r="AI235" t="n">
        <v>1.685</v>
      </c>
      <c r="AJ235" t="n">
        <v>0</v>
      </c>
      <c r="AK235" t="n">
        <v>0</v>
      </c>
      <c r="AL235" t="n">
        <v>0</v>
      </c>
      <c r="AM235" t="n">
        <v>0</v>
      </c>
      <c r="AN235" t="n">
        <v>2.416</v>
      </c>
      <c r="AO235" t="n">
        <v>0</v>
      </c>
      <c r="AP235" t="n">
        <v>0</v>
      </c>
      <c r="AQ235" t="n">
        <v>3.091</v>
      </c>
      <c r="AR235" t="n">
        <v>0</v>
      </c>
      <c r="AS235" t="n">
        <v>0</v>
      </c>
      <c r="AT235" t="n">
        <v>0</v>
      </c>
      <c r="AU235" t="n">
        <v>22.342</v>
      </c>
      <c r="AV235" t="n">
        <v>12.336</v>
      </c>
      <c r="AW235" t="n">
        <v>569.674</v>
      </c>
      <c r="AX235" t="n">
        <v>9.599</v>
      </c>
      <c r="AY235" t="n">
        <v>18.775</v>
      </c>
      <c r="AZ235" t="n">
        <v>23.574</v>
      </c>
      <c r="BA235" t="n">
        <v>15.59</v>
      </c>
      <c r="BB235" t="n">
        <v>6.426</v>
      </c>
      <c r="BC235" t="n">
        <v>29.566</v>
      </c>
      <c r="BD235" t="n">
        <v>29.944</v>
      </c>
      <c r="BE235" t="n">
        <v>46.744</v>
      </c>
      <c r="BF235" t="n">
        <v>18.18</v>
      </c>
      <c r="BG235" t="n">
        <v>54.061</v>
      </c>
      <c r="BH235" t="n">
        <v>35.891</v>
      </c>
      <c r="BI235" t="n">
        <v>45.742</v>
      </c>
      <c r="BJ235" t="n">
        <v>22.936</v>
      </c>
      <c r="BK235" t="n">
        <v>25.61</v>
      </c>
      <c r="BL235" t="n">
        <v>43.409</v>
      </c>
      <c r="BM235" t="n">
        <v>31.143</v>
      </c>
      <c r="BN235" t="n">
        <v>33.895</v>
      </c>
      <c r="BO235" t="n">
        <v>32.925</v>
      </c>
      <c r="BP235" t="n">
        <v>37.779</v>
      </c>
      <c r="BQ235" t="n">
        <v>37.356</v>
      </c>
      <c r="BR235" t="n">
        <v>36.918</v>
      </c>
      <c r="BS235" t="n">
        <v>43.44</v>
      </c>
      <c r="BT235" t="n">
        <v>36.805</v>
      </c>
      <c r="BU235" t="n">
        <v>30.638</v>
      </c>
      <c r="BV235" t="n">
        <v>31.129</v>
      </c>
    </row>
    <row r="236">
      <c r="A236" t="inlineStr">
        <is>
          <t>Aluterus</t>
        </is>
      </c>
      <c r="B236" t="inlineStr">
        <is>
          <t>Aluterid filefishes</t>
        </is>
      </c>
      <c r="C236" t="inlineStr">
        <is>
          <t>Large reef assoc. fish (&gt;=90 cm)</t>
        </is>
      </c>
      <c r="D236" t="inlineStr">
        <is>
          <t>Other fishes &amp; inverts</t>
        </is>
      </c>
      <c r="E236" t="n">
        <v>2.845</v>
      </c>
      <c r="F236" t="n">
        <v>3.504</v>
      </c>
      <c r="G236" t="n">
        <v>4.104</v>
      </c>
      <c r="H236" t="n">
        <v>4.401</v>
      </c>
      <c r="I236" t="n">
        <v>4.719</v>
      </c>
      <c r="J236" t="n">
        <v>5.734</v>
      </c>
      <c r="K236" t="n">
        <v>6.496</v>
      </c>
      <c r="L236" t="n">
        <v>7.12</v>
      </c>
      <c r="M236" t="n">
        <v>7.914</v>
      </c>
      <c r="N236" t="n">
        <v>8.823</v>
      </c>
      <c r="O236" t="n">
        <v>8.991</v>
      </c>
      <c r="P236" t="n">
        <v>10.299</v>
      </c>
      <c r="Q236" t="n">
        <v>10.989</v>
      </c>
      <c r="R236" t="n">
        <v>12.138</v>
      </c>
      <c r="S236" t="n">
        <v>12.589</v>
      </c>
      <c r="T236" t="n">
        <v>13.155</v>
      </c>
      <c r="U236" t="n">
        <v>13.636</v>
      </c>
      <c r="V236" t="n">
        <v>14.905</v>
      </c>
      <c r="W236" t="n">
        <v>16.6</v>
      </c>
      <c r="X236" t="n">
        <v>18.344</v>
      </c>
      <c r="Y236" t="n">
        <v>19.174</v>
      </c>
      <c r="Z236" t="n">
        <v>20.469</v>
      </c>
      <c r="AA236" t="n">
        <v>19.715</v>
      </c>
      <c r="AB236" t="n">
        <v>20.612</v>
      </c>
      <c r="AC236" t="n">
        <v>20.591</v>
      </c>
      <c r="AD236" t="n">
        <v>25.911</v>
      </c>
      <c r="AE236" t="n">
        <v>27.076</v>
      </c>
      <c r="AF236" t="n">
        <v>28.123</v>
      </c>
      <c r="AG236" t="n">
        <v>30.741</v>
      </c>
      <c r="AH236" t="n">
        <v>32.794</v>
      </c>
      <c r="AI236" t="n">
        <v>33.032</v>
      </c>
      <c r="AJ236" t="n">
        <v>29.67</v>
      </c>
      <c r="AK236" t="n">
        <v>29.562</v>
      </c>
      <c r="AL236" t="n">
        <v>30.248</v>
      </c>
      <c r="AM236" t="n">
        <v>29.858</v>
      </c>
      <c r="AN236" t="n">
        <v>31.332</v>
      </c>
      <c r="AO236" t="n">
        <v>31.894</v>
      </c>
      <c r="AP236" t="n">
        <v>29.326</v>
      </c>
      <c r="AQ236" t="n">
        <v>28.183</v>
      </c>
      <c r="AR236" t="n">
        <v>25.686</v>
      </c>
      <c r="AS236" t="n">
        <v>21.578</v>
      </c>
      <c r="AT236" t="n">
        <v>19.138</v>
      </c>
      <c r="AU236" t="n">
        <v>20.018</v>
      </c>
      <c r="AV236" t="n">
        <v>18.11</v>
      </c>
      <c r="AW236" t="n">
        <v>17.605</v>
      </c>
      <c r="AX236" t="n">
        <v>20.504</v>
      </c>
      <c r="AY236" t="n">
        <v>19.264</v>
      </c>
      <c r="AZ236" t="n">
        <v>17.523</v>
      </c>
      <c r="BA236" t="n">
        <v>15.611</v>
      </c>
      <c r="BB236" t="n">
        <v>15.56</v>
      </c>
      <c r="BC236" t="n">
        <v>15.84</v>
      </c>
      <c r="BD236" t="n">
        <v>17.992</v>
      </c>
      <c r="BE236" t="n">
        <v>22.024</v>
      </c>
      <c r="BF236" t="n">
        <v>53.975</v>
      </c>
      <c r="BG236" t="n">
        <v>70.102</v>
      </c>
      <c r="BH236" t="n">
        <v>86.08199999999999</v>
      </c>
      <c r="BI236" t="n">
        <v>46.5</v>
      </c>
      <c r="BJ236" t="n">
        <v>17.752</v>
      </c>
      <c r="BK236" t="n">
        <v>16.486</v>
      </c>
      <c r="BL236" t="n">
        <v>8.445</v>
      </c>
      <c r="BM236" t="n">
        <v>4.677</v>
      </c>
      <c r="BN236" t="n">
        <v>5.264</v>
      </c>
      <c r="BO236" t="n">
        <v>5.437</v>
      </c>
      <c r="BP236" t="n">
        <v>4.522</v>
      </c>
      <c r="BQ236" t="n">
        <v>4.878</v>
      </c>
      <c r="BR236" t="n">
        <v>4.598</v>
      </c>
      <c r="BS236" t="n">
        <v>4.524</v>
      </c>
      <c r="BT236" t="n">
        <v>5.142</v>
      </c>
      <c r="BU236" t="n">
        <v>7.744</v>
      </c>
      <c r="BV236" t="n">
        <v>5.243</v>
      </c>
    </row>
    <row r="237">
      <c r="A237" t="inlineStr">
        <is>
          <t>Chionoecetes</t>
        </is>
      </c>
      <c r="B237" t="inlineStr">
        <is>
          <t>Tanner, snow crabs</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46.425</v>
      </c>
      <c r="AW237" t="n">
        <v>52.184</v>
      </c>
      <c r="AX237" t="n">
        <v>54.446</v>
      </c>
      <c r="AY237" t="n">
        <v>51.811</v>
      </c>
      <c r="AZ237" t="n">
        <v>60.36</v>
      </c>
      <c r="BA237" t="n">
        <v>52.749</v>
      </c>
      <c r="BB237" t="n">
        <v>36.796</v>
      </c>
      <c r="BC237" t="n">
        <v>28.491</v>
      </c>
      <c r="BD237" t="n">
        <v>21.575</v>
      </c>
      <c r="BE237" t="n">
        <v>14.706</v>
      </c>
      <c r="BF237" t="n">
        <v>33.33</v>
      </c>
      <c r="BG237" t="n">
        <v>37.906</v>
      </c>
      <c r="BH237" t="n">
        <v>38.599</v>
      </c>
      <c r="BI237" t="n">
        <v>41.532</v>
      </c>
      <c r="BJ237" t="n">
        <v>45.821</v>
      </c>
      <c r="BK237" t="n">
        <v>48.905</v>
      </c>
      <c r="BL237" t="n">
        <v>49.658</v>
      </c>
      <c r="BM237" t="n">
        <v>51.774</v>
      </c>
      <c r="BN237" t="n">
        <v>54.462</v>
      </c>
      <c r="BO237" t="n">
        <v>60.988</v>
      </c>
      <c r="BP237" t="n">
        <v>61.903</v>
      </c>
      <c r="BQ237" t="n">
        <v>63.021</v>
      </c>
      <c r="BR237" t="n">
        <v>67.617</v>
      </c>
      <c r="BS237" t="n">
        <v>58.599</v>
      </c>
      <c r="BT237" t="n">
        <v>48.856</v>
      </c>
      <c r="BU237" t="n">
        <v>34.968</v>
      </c>
      <c r="BV237" t="n">
        <v>0</v>
      </c>
    </row>
    <row r="238">
      <c r="A238" t="inlineStr">
        <is>
          <t>Prionace glauca</t>
        </is>
      </c>
      <c r="B238" t="inlineStr">
        <is>
          <t>Blue shark</t>
        </is>
      </c>
      <c r="C238" t="inlineStr">
        <is>
          <t>Large sharks (&gt;=90 cm)</t>
        </is>
      </c>
      <c r="D238" t="inlineStr">
        <is>
          <t>Sharks &amp; rays</t>
        </is>
      </c>
      <c r="E238" t="n">
        <v>0</v>
      </c>
      <c r="F238" t="n">
        <v>0</v>
      </c>
      <c r="G238" t="n">
        <v>0.426</v>
      </c>
      <c r="H238" t="n">
        <v>1.908</v>
      </c>
      <c r="I238" t="n">
        <v>0.666</v>
      </c>
      <c r="J238" t="n">
        <v>3.495</v>
      </c>
      <c r="K238" t="n">
        <v>6.534</v>
      </c>
      <c r="L238" t="n">
        <v>2.805</v>
      </c>
      <c r="M238" t="n">
        <v>6.429</v>
      </c>
      <c r="N238" t="n">
        <v>16.584</v>
      </c>
      <c r="O238" t="n">
        <v>5.015</v>
      </c>
      <c r="P238" t="n">
        <v>3.002</v>
      </c>
      <c r="Q238" t="n">
        <v>4.479</v>
      </c>
      <c r="R238" t="n">
        <v>38.049</v>
      </c>
      <c r="S238" t="n">
        <v>63.619</v>
      </c>
      <c r="T238" t="n">
        <v>60.795</v>
      </c>
      <c r="U238" t="n">
        <v>45.682</v>
      </c>
      <c r="V238" t="n">
        <v>35.611</v>
      </c>
      <c r="W238" t="n">
        <v>15.733</v>
      </c>
      <c r="X238" t="n">
        <v>6.769</v>
      </c>
      <c r="Y238" t="n">
        <v>24.126</v>
      </c>
      <c r="Z238" t="n">
        <v>26.022</v>
      </c>
      <c r="AA238" t="n">
        <v>0.293</v>
      </c>
      <c r="AB238" t="n">
        <v>0.552</v>
      </c>
      <c r="AC238" t="n">
        <v>2.751</v>
      </c>
      <c r="AD238" t="n">
        <v>0.6830000000000001</v>
      </c>
      <c r="AE238" t="n">
        <v>0.549</v>
      </c>
      <c r="AF238" t="n">
        <v>0.383</v>
      </c>
      <c r="AG238" t="n">
        <v>0.673</v>
      </c>
      <c r="AH238" t="n">
        <v>1.127</v>
      </c>
      <c r="AI238" t="n">
        <v>0.879</v>
      </c>
      <c r="AJ238" t="n">
        <v>0.87</v>
      </c>
      <c r="AK238" t="n">
        <v>3.991</v>
      </c>
      <c r="AL238" t="n">
        <v>0.864</v>
      </c>
      <c r="AM238" t="n">
        <v>0.872</v>
      </c>
      <c r="AN238" t="n">
        <v>0.711</v>
      </c>
      <c r="AO238" t="n">
        <v>0.626</v>
      </c>
      <c r="AP238" t="n">
        <v>0.911</v>
      </c>
      <c r="AQ238" t="n">
        <v>0.894</v>
      </c>
      <c r="AR238" t="n">
        <v>0.8</v>
      </c>
      <c r="AS238" t="n">
        <v>0.6909999999999999</v>
      </c>
      <c r="AT238" t="n">
        <v>0.695</v>
      </c>
      <c r="AU238" t="n">
        <v>0.841</v>
      </c>
      <c r="AV238" t="n">
        <v>0.729</v>
      </c>
      <c r="AW238" t="n">
        <v>0.907</v>
      </c>
      <c r="AX238" t="n">
        <v>0.841</v>
      </c>
      <c r="AY238" t="n">
        <v>0.994</v>
      </c>
      <c r="AZ238" t="n">
        <v>1.204</v>
      </c>
      <c r="BA238" t="n">
        <v>0.838</v>
      </c>
      <c r="BB238" t="n">
        <v>0.844</v>
      </c>
      <c r="BC238" t="n">
        <v>0.758</v>
      </c>
      <c r="BD238" t="n">
        <v>0.904</v>
      </c>
      <c r="BE238" t="n">
        <v>0.632</v>
      </c>
      <c r="BF238" t="n">
        <v>0.609</v>
      </c>
      <c r="BG238" t="n">
        <v>115.055</v>
      </c>
      <c r="BH238" t="n">
        <v>139.126</v>
      </c>
      <c r="BI238" t="n">
        <v>148.843</v>
      </c>
      <c r="BJ238" t="n">
        <v>135.233</v>
      </c>
      <c r="BK238" t="n">
        <v>25.017</v>
      </c>
      <c r="BL238" t="n">
        <v>76.12</v>
      </c>
      <c r="BM238" t="n">
        <v>81.215</v>
      </c>
      <c r="BN238" t="n">
        <v>16.127</v>
      </c>
      <c r="BO238" t="n">
        <v>8.223000000000001</v>
      </c>
      <c r="BP238" t="n">
        <v>4.793</v>
      </c>
      <c r="BQ238" t="n">
        <v>10.69</v>
      </c>
      <c r="BR238" t="n">
        <v>10.689</v>
      </c>
      <c r="BS238" t="n">
        <v>32.032</v>
      </c>
      <c r="BT238" t="n">
        <v>0.716</v>
      </c>
      <c r="BU238" t="n">
        <v>0.272</v>
      </c>
      <c r="BV238" t="n">
        <v>0.712</v>
      </c>
    </row>
    <row r="239">
      <c r="A239" t="inlineStr">
        <is>
          <t>Scylla</t>
        </is>
      </c>
      <c r="B239" t="inlineStr">
        <is>
          <t>Mud crabs</t>
        </is>
      </c>
      <c r="C239" t="inlineStr">
        <is>
          <t>Lobsters, crabs</t>
        </is>
      </c>
      <c r="D239" t="inlineStr">
        <is>
          <t>Crustaceans</t>
        </is>
      </c>
      <c r="E239" t="n">
        <v>0.8139999999999999</v>
      </c>
      <c r="F239" t="n">
        <v>1.005</v>
      </c>
      <c r="G239" t="n">
        <v>1.176</v>
      </c>
      <c r="H239" t="n">
        <v>1.261</v>
      </c>
      <c r="I239" t="n">
        <v>1.418</v>
      </c>
      <c r="J239" t="n">
        <v>1.723</v>
      </c>
      <c r="K239" t="n">
        <v>1.907</v>
      </c>
      <c r="L239" t="n">
        <v>2.09</v>
      </c>
      <c r="M239" t="n">
        <v>2.33</v>
      </c>
      <c r="N239" t="n">
        <v>2.564</v>
      </c>
      <c r="O239" t="n">
        <v>2.489</v>
      </c>
      <c r="P239" t="n">
        <v>2.748</v>
      </c>
      <c r="Q239" t="n">
        <v>2.829</v>
      </c>
      <c r="R239" t="n">
        <v>3.204</v>
      </c>
      <c r="S239" t="n">
        <v>2.997</v>
      </c>
      <c r="T239" t="n">
        <v>2.952</v>
      </c>
      <c r="U239" t="n">
        <v>2.727</v>
      </c>
      <c r="V239" t="n">
        <v>2.885</v>
      </c>
      <c r="W239" t="n">
        <v>2.983</v>
      </c>
      <c r="X239" t="n">
        <v>3.207</v>
      </c>
      <c r="Y239" t="n">
        <v>3.338</v>
      </c>
      <c r="Z239" t="n">
        <v>3.474</v>
      </c>
      <c r="AA239" t="n">
        <v>3.232</v>
      </c>
      <c r="AB239" t="n">
        <v>3.228</v>
      </c>
      <c r="AC239" t="n">
        <v>3.211</v>
      </c>
      <c r="AD239" t="n">
        <v>3.895</v>
      </c>
      <c r="AE239" t="n">
        <v>4.16</v>
      </c>
      <c r="AF239" t="n">
        <v>4.286</v>
      </c>
      <c r="AG239" t="n">
        <v>4.472</v>
      </c>
      <c r="AH239" t="n">
        <v>4.859</v>
      </c>
      <c r="AI239" t="n">
        <v>4.934</v>
      </c>
      <c r="AJ239" t="n">
        <v>4.716</v>
      </c>
      <c r="AK239" t="n">
        <v>4.807</v>
      </c>
      <c r="AL239" t="n">
        <v>5.2</v>
      </c>
      <c r="AM239" t="n">
        <v>5.173</v>
      </c>
      <c r="AN239" t="n">
        <v>5.645</v>
      </c>
      <c r="AO239" t="n">
        <v>5.931</v>
      </c>
      <c r="AP239" t="n">
        <v>93.83199999999999</v>
      </c>
      <c r="AQ239" t="n">
        <v>106.006</v>
      </c>
      <c r="AR239" t="n">
        <v>64.532</v>
      </c>
      <c r="AS239" t="n">
        <v>66.899</v>
      </c>
      <c r="AT239" t="n">
        <v>62.401</v>
      </c>
      <c r="AU239" t="n">
        <v>79.54900000000001</v>
      </c>
      <c r="AV239" t="n">
        <v>66.114</v>
      </c>
      <c r="AW239" t="n">
        <v>57.287</v>
      </c>
      <c r="AX239" t="n">
        <v>26.301</v>
      </c>
      <c r="AY239" t="n">
        <v>3.848</v>
      </c>
      <c r="AZ239" t="n">
        <v>3.625</v>
      </c>
      <c r="BA239" t="n">
        <v>3.64</v>
      </c>
      <c r="BB239" t="n">
        <v>3.437</v>
      </c>
      <c r="BC239" t="n">
        <v>25.26</v>
      </c>
      <c r="BD239" t="n">
        <v>6.52</v>
      </c>
      <c r="BE239" t="n">
        <v>36.103</v>
      </c>
      <c r="BF239" t="n">
        <v>21.833</v>
      </c>
      <c r="BG239" t="n">
        <v>0.287</v>
      </c>
      <c r="BH239" t="n">
        <v>0.533</v>
      </c>
      <c r="BI239" t="n">
        <v>54.184</v>
      </c>
      <c r="BJ239" t="n">
        <v>63.12</v>
      </c>
      <c r="BK239" t="n">
        <v>34.809</v>
      </c>
      <c r="BL239" t="n">
        <v>14.959</v>
      </c>
      <c r="BM239" t="n">
        <v>11.804</v>
      </c>
      <c r="BN239" t="n">
        <v>14.689</v>
      </c>
      <c r="BO239" t="n">
        <v>14.661</v>
      </c>
      <c r="BP239" t="n">
        <v>12.18</v>
      </c>
      <c r="BQ239" t="n">
        <v>13.184</v>
      </c>
      <c r="BR239" t="n">
        <v>12.738</v>
      </c>
      <c r="BS239" t="n">
        <v>12.313</v>
      </c>
      <c r="BT239" t="n">
        <v>14.344</v>
      </c>
      <c r="BU239" t="n">
        <v>21.681</v>
      </c>
      <c r="BV239" t="n">
        <v>14.816</v>
      </c>
    </row>
    <row r="240">
      <c r="A240" t="inlineStr">
        <is>
          <t>Gadiformes</t>
        </is>
      </c>
      <c r="B240" t="inlineStr">
        <is>
          <t>Cods</t>
        </is>
      </c>
      <c r="C240" t="inlineStr">
        <is>
          <t>Medium benthopelagics (30 - 89 cm)</t>
        </is>
      </c>
      <c r="D240" t="inlineStr">
        <is>
          <t>Cod-likes</t>
        </is>
      </c>
      <c r="E240" t="n">
        <v>0</v>
      </c>
      <c r="F240" t="n">
        <v>0</v>
      </c>
      <c r="G240" t="n">
        <v>0</v>
      </c>
      <c r="H240" t="n">
        <v>0</v>
      </c>
      <c r="I240" t="n">
        <v>0</v>
      </c>
      <c r="J240" t="n">
        <v>0</v>
      </c>
      <c r="K240" t="n">
        <v>0</v>
      </c>
      <c r="L240" t="n">
        <v>0</v>
      </c>
      <c r="M240" t="n">
        <v>13.684</v>
      </c>
      <c r="N240" t="n">
        <v>0</v>
      </c>
      <c r="O240" t="n">
        <v>0</v>
      </c>
      <c r="P240" t="n">
        <v>0</v>
      </c>
      <c r="Q240" t="n">
        <v>3.89</v>
      </c>
      <c r="R240" t="n">
        <v>0</v>
      </c>
      <c r="S240" t="n">
        <v>0</v>
      </c>
      <c r="T240" t="n">
        <v>0</v>
      </c>
      <c r="U240" t="n">
        <v>0</v>
      </c>
      <c r="V240" t="n">
        <v>0</v>
      </c>
      <c r="W240" t="n">
        <v>0</v>
      </c>
      <c r="X240" t="n">
        <v>0</v>
      </c>
      <c r="Y240" t="n">
        <v>0</v>
      </c>
      <c r="Z240" t="n">
        <v>0</v>
      </c>
      <c r="AA240" t="n">
        <v>0</v>
      </c>
      <c r="AB240" t="n">
        <v>0</v>
      </c>
      <c r="AC240" t="n">
        <v>0</v>
      </c>
      <c r="AD240" t="n">
        <v>0</v>
      </c>
      <c r="AE240" t="n">
        <v>5.552</v>
      </c>
      <c r="AF240" t="n">
        <v>0</v>
      </c>
      <c r="AG240" t="n">
        <v>0</v>
      </c>
      <c r="AH240" t="n">
        <v>0</v>
      </c>
      <c r="AI240" t="n">
        <v>0</v>
      </c>
      <c r="AJ240" t="n">
        <v>0</v>
      </c>
      <c r="AK240" t="n">
        <v>0</v>
      </c>
      <c r="AL240" t="n">
        <v>0</v>
      </c>
      <c r="AM240" t="n">
        <v>0</v>
      </c>
      <c r="AN240" t="n">
        <v>5.838</v>
      </c>
      <c r="AO240" t="n">
        <v>0</v>
      </c>
      <c r="AP240" t="n">
        <v>0</v>
      </c>
      <c r="AQ240" t="n">
        <v>0</v>
      </c>
      <c r="AR240" t="n">
        <v>3.991</v>
      </c>
      <c r="AS240" t="n">
        <v>0</v>
      </c>
      <c r="AT240" t="n">
        <v>0</v>
      </c>
      <c r="AU240" t="n">
        <v>0</v>
      </c>
      <c r="AV240" t="n">
        <v>0</v>
      </c>
      <c r="AW240" t="n">
        <v>0</v>
      </c>
      <c r="AX240" t="n">
        <v>0</v>
      </c>
      <c r="AY240" t="n">
        <v>0</v>
      </c>
      <c r="AZ240" t="n">
        <v>0</v>
      </c>
      <c r="BA240" t="n">
        <v>0</v>
      </c>
      <c r="BB240" t="n">
        <v>0.057</v>
      </c>
      <c r="BC240" t="n">
        <v>0</v>
      </c>
      <c r="BD240" t="n">
        <v>0.001</v>
      </c>
      <c r="BE240" t="n">
        <v>0.001</v>
      </c>
      <c r="BF240" t="n">
        <v>279.096</v>
      </c>
      <c r="BG240" t="n">
        <v>238.581</v>
      </c>
      <c r="BH240" t="n">
        <v>115.346</v>
      </c>
      <c r="BI240" t="n">
        <v>190.898</v>
      </c>
      <c r="BJ240" t="n">
        <v>248.999</v>
      </c>
      <c r="BK240" t="n">
        <v>0</v>
      </c>
      <c r="BL240" t="n">
        <v>0</v>
      </c>
      <c r="BM240" t="n">
        <v>0</v>
      </c>
      <c r="BN240" t="n">
        <v>0</v>
      </c>
      <c r="BO240" t="n">
        <v>0</v>
      </c>
      <c r="BP240" t="n">
        <v>0</v>
      </c>
      <c r="BQ240" t="n">
        <v>0</v>
      </c>
      <c r="BR240" t="n">
        <v>0</v>
      </c>
      <c r="BS240" t="n">
        <v>0</v>
      </c>
      <c r="BT240" t="n">
        <v>1.076</v>
      </c>
      <c r="BU240" t="n">
        <v>0</v>
      </c>
      <c r="BV240" t="n">
        <v>0</v>
      </c>
    </row>
    <row r="241">
      <c r="A241" t="inlineStr">
        <is>
          <t>Encrasicholina punctifer</t>
        </is>
      </c>
      <c r="B241" t="inlineStr">
        <is>
          <t>Buccaneer anchovy</t>
        </is>
      </c>
      <c r="C241" t="inlineStr">
        <is>
          <t>Small pelagics (&lt;30 cm)</t>
        </is>
      </c>
      <c r="D241" t="inlineStr">
        <is>
          <t>Anchovies</t>
        </is>
      </c>
      <c r="E241" t="n">
        <v>2.744</v>
      </c>
      <c r="F241" t="n">
        <v>3.382</v>
      </c>
      <c r="G241" t="n">
        <v>3.96</v>
      </c>
      <c r="H241" t="n">
        <v>4.246</v>
      </c>
      <c r="I241" t="n">
        <v>4.634</v>
      </c>
      <c r="J241" t="n">
        <v>5.631</v>
      </c>
      <c r="K241" t="n">
        <v>6.324</v>
      </c>
      <c r="L241" t="n">
        <v>6.931</v>
      </c>
      <c r="M241" t="n">
        <v>7.713</v>
      </c>
      <c r="N241" t="n">
        <v>8.557</v>
      </c>
      <c r="O241" t="n">
        <v>8.568</v>
      </c>
      <c r="P241" t="n">
        <v>9.688000000000001</v>
      </c>
      <c r="Q241" t="n">
        <v>10.209</v>
      </c>
      <c r="R241" t="n">
        <v>11.375</v>
      </c>
      <c r="S241" t="n">
        <v>11.396</v>
      </c>
      <c r="T241" t="n">
        <v>11.687</v>
      </c>
      <c r="U241" t="n">
        <v>11.705</v>
      </c>
      <c r="V241" t="n">
        <v>12.675</v>
      </c>
      <c r="W241" t="n">
        <v>13.834</v>
      </c>
      <c r="X241" t="n">
        <v>15.177</v>
      </c>
      <c r="Y241" t="n">
        <v>15.846</v>
      </c>
      <c r="Z241" t="n">
        <v>16.807</v>
      </c>
      <c r="AA241" t="n">
        <v>16.048</v>
      </c>
      <c r="AB241" t="n">
        <v>16.591</v>
      </c>
      <c r="AC241" t="n">
        <v>16.558</v>
      </c>
      <c r="AD241" t="n">
        <v>20.657</v>
      </c>
      <c r="AE241" t="n">
        <v>21.696</v>
      </c>
      <c r="AF241" t="n">
        <v>22.492</v>
      </c>
      <c r="AG241" t="n">
        <v>24.324</v>
      </c>
      <c r="AH241" t="n">
        <v>26.057</v>
      </c>
      <c r="AI241" t="n">
        <v>26.296</v>
      </c>
      <c r="AJ241" t="n">
        <v>23.968</v>
      </c>
      <c r="AK241" t="n">
        <v>24.015</v>
      </c>
      <c r="AL241" t="n">
        <v>24.919</v>
      </c>
      <c r="AM241" t="n">
        <v>24.647</v>
      </c>
      <c r="AN241" t="n">
        <v>26.129</v>
      </c>
      <c r="AO241" t="n">
        <v>26.825</v>
      </c>
      <c r="AP241" t="n">
        <v>24.627</v>
      </c>
      <c r="AQ241" t="n">
        <v>23.606</v>
      </c>
      <c r="AR241" t="n">
        <v>21.616</v>
      </c>
      <c r="AS241" t="n">
        <v>18.616</v>
      </c>
      <c r="AT241" t="n">
        <v>16.429</v>
      </c>
      <c r="AU241" t="n">
        <v>17.24</v>
      </c>
      <c r="AV241" t="n">
        <v>15.765</v>
      </c>
      <c r="AW241" t="n">
        <v>15.318</v>
      </c>
      <c r="AX241" t="n">
        <v>17.673</v>
      </c>
      <c r="AY241" t="n">
        <v>16.529</v>
      </c>
      <c r="AZ241" t="n">
        <v>15.189</v>
      </c>
      <c r="BA241" t="n">
        <v>14.037</v>
      </c>
      <c r="BB241" t="n">
        <v>13.756</v>
      </c>
      <c r="BC241" t="n">
        <v>14.205</v>
      </c>
      <c r="BD241" t="n">
        <v>8.951000000000001</v>
      </c>
      <c r="BE241" t="n">
        <v>27.711</v>
      </c>
      <c r="BF241" t="n">
        <v>24.546</v>
      </c>
      <c r="BG241" t="n">
        <v>25.605</v>
      </c>
      <c r="BH241" t="n">
        <v>64.539</v>
      </c>
      <c r="BI241" t="n">
        <v>33.306</v>
      </c>
      <c r="BJ241" t="n">
        <v>7.259</v>
      </c>
      <c r="BK241" t="n">
        <v>6.612</v>
      </c>
      <c r="BL241" t="n">
        <v>19.103</v>
      </c>
      <c r="BM241" t="n">
        <v>5.753</v>
      </c>
      <c r="BN241" t="n">
        <v>4.656</v>
      </c>
      <c r="BO241" t="n">
        <v>5.471</v>
      </c>
      <c r="BP241" t="n">
        <v>4.566</v>
      </c>
      <c r="BQ241" t="n">
        <v>4.871</v>
      </c>
      <c r="BR241" t="n">
        <v>4.185</v>
      </c>
      <c r="BS241" t="n">
        <v>4.403</v>
      </c>
      <c r="BT241" t="n">
        <v>4.554</v>
      </c>
      <c r="BU241" t="n">
        <v>6.757</v>
      </c>
      <c r="BV241" t="n">
        <v>4.397</v>
      </c>
    </row>
    <row r="242">
      <c r="A242" t="inlineStr">
        <is>
          <t>Nibea albiflora</t>
        </is>
      </c>
      <c r="B242" t="inlineStr">
        <is>
          <t>Yellow drum</t>
        </is>
      </c>
      <c r="C242" t="inlineStr">
        <is>
          <t>Medium benthopelagics (30 - 89 cm)</t>
        </is>
      </c>
      <c r="D242" t="inlineStr">
        <is>
          <t>Perch-likes</t>
        </is>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4.768</v>
      </c>
      <c r="AO242" t="n">
        <v>9.632999999999999</v>
      </c>
      <c r="AP242" t="n">
        <v>14.609</v>
      </c>
      <c r="AQ242" t="n">
        <v>19.705</v>
      </c>
      <c r="AR242" t="n">
        <v>24.881</v>
      </c>
      <c r="AS242" t="n">
        <v>30.22</v>
      </c>
      <c r="AT242" t="n">
        <v>30.523</v>
      </c>
      <c r="AU242" t="n">
        <v>30.814</v>
      </c>
      <c r="AV242" t="n">
        <v>31.1</v>
      </c>
      <c r="AW242" t="n">
        <v>31.37</v>
      </c>
      <c r="AX242" t="n">
        <v>31.636</v>
      </c>
      <c r="AY242" t="n">
        <v>31.885</v>
      </c>
      <c r="AZ242" t="n">
        <v>32.207</v>
      </c>
      <c r="BA242" t="n">
        <v>32.482</v>
      </c>
      <c r="BB242" t="n">
        <v>32.725</v>
      </c>
      <c r="BC242" t="n">
        <v>32.998</v>
      </c>
      <c r="BD242" t="n">
        <v>33.189</v>
      </c>
      <c r="BE242" t="n">
        <v>33.322</v>
      </c>
      <c r="BF242" t="n">
        <v>33.456</v>
      </c>
      <c r="BG242" t="n">
        <v>33.589</v>
      </c>
      <c r="BH242" t="n">
        <v>33.723</v>
      </c>
      <c r="BI242" t="n">
        <v>33.961</v>
      </c>
      <c r="BJ242" t="n">
        <v>34.2</v>
      </c>
      <c r="BK242" t="n">
        <v>34.438</v>
      </c>
      <c r="BL242" t="n">
        <v>34.677</v>
      </c>
      <c r="BM242" t="n">
        <v>34.915</v>
      </c>
      <c r="BN242" t="n">
        <v>34.403</v>
      </c>
      <c r="BO242" t="n">
        <v>34.537</v>
      </c>
      <c r="BP242" t="n">
        <v>34.623</v>
      </c>
      <c r="BQ242" t="n">
        <v>34.712</v>
      </c>
      <c r="BR242" t="n">
        <v>34.869</v>
      </c>
      <c r="BS242" t="n">
        <v>34.915</v>
      </c>
      <c r="BT242" t="n">
        <v>34.941</v>
      </c>
      <c r="BU242" t="n">
        <v>4.625</v>
      </c>
      <c r="BV242" t="n">
        <v>34.941</v>
      </c>
    </row>
    <row r="243">
      <c r="A243" t="inlineStr">
        <is>
          <t>Carcharhinus falciformis</t>
        </is>
      </c>
      <c r="B243" t="inlineStr">
        <is>
          <t>Silky shark</t>
        </is>
      </c>
      <c r="C243" t="inlineStr">
        <is>
          <t>Large sharks (&gt;=90 cm)</t>
        </is>
      </c>
      <c r="D243" t="inlineStr">
        <is>
          <t>Sharks &amp; rays</t>
        </is>
      </c>
      <c r="E243" t="n">
        <v>0</v>
      </c>
      <c r="F243" t="n">
        <v>0</v>
      </c>
      <c r="G243" t="n">
        <v>10.184</v>
      </c>
      <c r="H243" t="n">
        <v>8.629</v>
      </c>
      <c r="I243" t="n">
        <v>9.132999999999999</v>
      </c>
      <c r="J243" t="n">
        <v>12.384</v>
      </c>
      <c r="K243" t="n">
        <v>17.329</v>
      </c>
      <c r="L243" t="n">
        <v>29.705</v>
      </c>
      <c r="M243" t="n">
        <v>12.004</v>
      </c>
      <c r="N243" t="n">
        <v>13.517</v>
      </c>
      <c r="O243" t="n">
        <v>13.211</v>
      </c>
      <c r="P243" t="n">
        <v>11.814</v>
      </c>
      <c r="Q243" t="n">
        <v>25.86</v>
      </c>
      <c r="R243" t="n">
        <v>23.09</v>
      </c>
      <c r="S243" t="n">
        <v>42.861</v>
      </c>
      <c r="T243" t="n">
        <v>26.004</v>
      </c>
      <c r="U243" t="n">
        <v>43.292</v>
      </c>
      <c r="V243" t="n">
        <v>21.324</v>
      </c>
      <c r="W243" t="n">
        <v>28.894</v>
      </c>
      <c r="X243" t="n">
        <v>15.998</v>
      </c>
      <c r="Y243" t="n">
        <v>15.67</v>
      </c>
      <c r="Z243" t="n">
        <v>14.445</v>
      </c>
      <c r="AA243" t="n">
        <v>4.628</v>
      </c>
      <c r="AB243" t="n">
        <v>7.84</v>
      </c>
      <c r="AC243" t="n">
        <v>5.257</v>
      </c>
      <c r="AD243" t="n">
        <v>3.728</v>
      </c>
      <c r="AE243" t="n">
        <v>2.605</v>
      </c>
      <c r="AF243" t="n">
        <v>1.841</v>
      </c>
      <c r="AG243" t="n">
        <v>2.451</v>
      </c>
      <c r="AH243" t="n">
        <v>2.706</v>
      </c>
      <c r="AI243" t="n">
        <v>3.568</v>
      </c>
      <c r="AJ243" t="n">
        <v>4.278</v>
      </c>
      <c r="AK243" t="n">
        <v>6.355</v>
      </c>
      <c r="AL243" t="n">
        <v>2.824</v>
      </c>
      <c r="AM243" t="n">
        <v>3.725</v>
      </c>
      <c r="AN243" t="n">
        <v>4.247</v>
      </c>
      <c r="AO243" t="n">
        <v>3.265</v>
      </c>
      <c r="AP243" t="n">
        <v>1.926</v>
      </c>
      <c r="AQ243" t="n">
        <v>2.613</v>
      </c>
      <c r="AR243" t="n">
        <v>3.449</v>
      </c>
      <c r="AS243" t="n">
        <v>1.408</v>
      </c>
      <c r="AT243" t="n">
        <v>3.226</v>
      </c>
      <c r="AU243" t="n">
        <v>2.51</v>
      </c>
      <c r="AV243" t="n">
        <v>5.94</v>
      </c>
      <c r="AW243" t="n">
        <v>8.208</v>
      </c>
      <c r="AX243" t="n">
        <v>4.225</v>
      </c>
      <c r="AY243" t="n">
        <v>1.685</v>
      </c>
      <c r="AZ243" t="n">
        <v>2.077</v>
      </c>
      <c r="BA243" t="n">
        <v>2.402</v>
      </c>
      <c r="BB243" t="n">
        <v>2.746</v>
      </c>
      <c r="BC243" t="n">
        <v>1.748</v>
      </c>
      <c r="BD243" t="n">
        <v>2.141</v>
      </c>
      <c r="BE243" t="n">
        <v>1.566</v>
      </c>
      <c r="BF243" t="n">
        <v>1.603</v>
      </c>
      <c r="BG243" t="n">
        <v>102.433</v>
      </c>
      <c r="BH243" t="n">
        <v>105.394</v>
      </c>
      <c r="BI243" t="n">
        <v>90.81699999999999</v>
      </c>
      <c r="BJ243" t="n">
        <v>48.852</v>
      </c>
      <c r="BK243" t="n">
        <v>15.938</v>
      </c>
      <c r="BL243" t="n">
        <v>33.241</v>
      </c>
      <c r="BM243" t="n">
        <v>31.801</v>
      </c>
      <c r="BN243" t="n">
        <v>10.852</v>
      </c>
      <c r="BO243" t="n">
        <v>3.842</v>
      </c>
      <c r="BP243" t="n">
        <v>5.542</v>
      </c>
      <c r="BQ243" t="n">
        <v>9.071999999999999</v>
      </c>
      <c r="BR243" t="n">
        <v>7.409</v>
      </c>
      <c r="BS243" t="n">
        <v>7.811</v>
      </c>
      <c r="BT243" t="n">
        <v>1.066</v>
      </c>
      <c r="BU243" t="n">
        <v>0.425</v>
      </c>
      <c r="BV243" t="n">
        <v>0.355</v>
      </c>
    </row>
    <row r="244">
      <c r="A244" t="inlineStr">
        <is>
          <t>Parupeneus barberinus</t>
        </is>
      </c>
      <c r="B244" t="inlineStr">
        <is>
          <t>Dash-and-dot goatfish</t>
        </is>
      </c>
      <c r="C244" t="inlineStr">
        <is>
          <t>Medium reef assoc. fish (30 - 89 cm)</t>
        </is>
      </c>
      <c r="D244" t="inlineStr">
        <is>
          <t>Perch-likes</t>
        </is>
      </c>
      <c r="E244" t="n">
        <v>1.717</v>
      </c>
      <c r="F244" t="n">
        <v>2.109</v>
      </c>
      <c r="G244" t="n">
        <v>2.474</v>
      </c>
      <c r="H244" t="n">
        <v>2.654</v>
      </c>
      <c r="I244" t="n">
        <v>2.693</v>
      </c>
      <c r="J244" t="n">
        <v>3.271</v>
      </c>
      <c r="K244" t="n">
        <v>3.81</v>
      </c>
      <c r="L244" t="n">
        <v>4.176</v>
      </c>
      <c r="M244" t="n">
        <v>4.625</v>
      </c>
      <c r="N244" t="n">
        <v>5.235</v>
      </c>
      <c r="O244" t="n">
        <v>5.622</v>
      </c>
      <c r="P244" t="n">
        <v>6.68</v>
      </c>
      <c r="Q244" t="n">
        <v>7.366</v>
      </c>
      <c r="R244" t="n">
        <v>7.952</v>
      </c>
      <c r="S244" t="n">
        <v>9.002000000000001</v>
      </c>
      <c r="T244" t="n">
        <v>9.824</v>
      </c>
      <c r="U244" t="n">
        <v>10.954</v>
      </c>
      <c r="V244" t="n">
        <v>12.195</v>
      </c>
      <c r="W244" t="n">
        <v>14.113</v>
      </c>
      <c r="X244" t="n">
        <v>15.801</v>
      </c>
      <c r="Y244" t="n">
        <v>16.548</v>
      </c>
      <c r="Z244" t="n">
        <v>17.881</v>
      </c>
      <c r="AA244" t="n">
        <v>17.495</v>
      </c>
      <c r="AB244" t="n">
        <v>18.638</v>
      </c>
      <c r="AC244" t="n">
        <v>18.651</v>
      </c>
      <c r="AD244" t="n">
        <v>23.795</v>
      </c>
      <c r="AE244" t="n">
        <v>24.653</v>
      </c>
      <c r="AF244" t="n">
        <v>25.694</v>
      </c>
      <c r="AG244" t="n">
        <v>28.569</v>
      </c>
      <c r="AH244" t="n">
        <v>31.381</v>
      </c>
      <c r="AI244" t="n">
        <v>31.508</v>
      </c>
      <c r="AJ244" t="n">
        <v>27.624</v>
      </c>
      <c r="AK244" t="n">
        <v>27.254</v>
      </c>
      <c r="AL244" t="n">
        <v>27.214</v>
      </c>
      <c r="AM244" t="n">
        <v>26.776</v>
      </c>
      <c r="AN244" t="n">
        <v>27.559</v>
      </c>
      <c r="AO244" t="n">
        <v>27.614</v>
      </c>
      <c r="AP244" t="n">
        <v>25.47</v>
      </c>
      <c r="AQ244" t="n">
        <v>24.617</v>
      </c>
      <c r="AR244" t="n">
        <v>22.224</v>
      </c>
      <c r="AS244" t="n">
        <v>17.778</v>
      </c>
      <c r="AT244" t="n">
        <v>15.926</v>
      </c>
      <c r="AU244" t="n">
        <v>16.544</v>
      </c>
      <c r="AV244" t="n">
        <v>14.641</v>
      </c>
      <c r="AW244" t="n">
        <v>14.242</v>
      </c>
      <c r="AX244" t="n">
        <v>16.914</v>
      </c>
      <c r="AY244" t="n">
        <v>16.032</v>
      </c>
      <c r="AZ244" t="n">
        <v>14.294</v>
      </c>
      <c r="BA244" t="n">
        <v>11.734</v>
      </c>
      <c r="BB244" t="n">
        <v>12.154</v>
      </c>
      <c r="BC244" t="n">
        <v>13.339</v>
      </c>
      <c r="BD244" t="n">
        <v>8.176</v>
      </c>
      <c r="BE244" t="n">
        <v>9.073</v>
      </c>
      <c r="BF244" t="n">
        <v>4.579</v>
      </c>
      <c r="BG244" t="n">
        <v>7.137</v>
      </c>
      <c r="BH244" t="n">
        <v>6.594</v>
      </c>
      <c r="BI244" t="n">
        <v>5.473</v>
      </c>
      <c r="BJ244" t="n">
        <v>3.159</v>
      </c>
      <c r="BK244" t="n">
        <v>1.129</v>
      </c>
      <c r="BL244" t="n">
        <v>2.239</v>
      </c>
      <c r="BM244" t="n">
        <v>0.919</v>
      </c>
      <c r="BN244" t="n">
        <v>1.143</v>
      </c>
      <c r="BO244" t="n">
        <v>1.141</v>
      </c>
      <c r="BP244" t="n">
        <v>1.111</v>
      </c>
      <c r="BQ244" t="n">
        <v>1.213</v>
      </c>
      <c r="BR244" t="n">
        <v>1.112</v>
      </c>
      <c r="BS244" t="n">
        <v>1.293</v>
      </c>
      <c r="BT244" t="n">
        <v>1.176</v>
      </c>
      <c r="BU244" t="n">
        <v>1.78</v>
      </c>
      <c r="BV244" t="n">
        <v>1.241</v>
      </c>
    </row>
    <row r="245">
      <c r="A245" t="inlineStr">
        <is>
          <t>Epinephelus malabaricus</t>
        </is>
      </c>
      <c r="B245" t="inlineStr">
        <is>
          <t>Malabar grouper</t>
        </is>
      </c>
      <c r="C245" t="inlineStr">
        <is>
          <t>Large reef assoc. fish (&gt;=90 cm)</t>
        </is>
      </c>
      <c r="D245" t="inlineStr">
        <is>
          <t>Perch-likes</t>
        </is>
      </c>
      <c r="E245" t="n">
        <v>1.577</v>
      </c>
      <c r="F245" t="n">
        <v>1.936</v>
      </c>
      <c r="G245" t="n">
        <v>2.279</v>
      </c>
      <c r="H245" t="n">
        <v>2.448</v>
      </c>
      <c r="I245" t="n">
        <v>2.533</v>
      </c>
      <c r="J245" t="n">
        <v>3.088</v>
      </c>
      <c r="K245" t="n">
        <v>3.563</v>
      </c>
      <c r="L245" t="n">
        <v>3.908</v>
      </c>
      <c r="M245" t="n">
        <v>4.323</v>
      </c>
      <c r="N245" t="n">
        <v>4.878</v>
      </c>
      <c r="O245" t="n">
        <v>5.193</v>
      </c>
      <c r="P245" t="n">
        <v>6.122</v>
      </c>
      <c r="Q245" t="n">
        <v>6.661</v>
      </c>
      <c r="R245" t="n">
        <v>7.193</v>
      </c>
      <c r="S245" t="n">
        <v>7.921</v>
      </c>
      <c r="T245" t="n">
        <v>8.618</v>
      </c>
      <c r="U245" t="n">
        <v>9.464</v>
      </c>
      <c r="V245" t="n">
        <v>10.4</v>
      </c>
      <c r="W245" t="n">
        <v>11.826</v>
      </c>
      <c r="X245" t="n">
        <v>13.135</v>
      </c>
      <c r="Y245" t="n">
        <v>13.792</v>
      </c>
      <c r="Z245" t="n">
        <v>15.2</v>
      </c>
      <c r="AA245" t="n">
        <v>15.321</v>
      </c>
      <c r="AB245" t="n">
        <v>16.064</v>
      </c>
      <c r="AC245" t="n">
        <v>16.041</v>
      </c>
      <c r="AD245" t="n">
        <v>19.848</v>
      </c>
      <c r="AE245" t="n">
        <v>20.471</v>
      </c>
      <c r="AF245" t="n">
        <v>21.503</v>
      </c>
      <c r="AG245" t="n">
        <v>23.379</v>
      </c>
      <c r="AH245" t="n">
        <v>25.511</v>
      </c>
      <c r="AI245" t="n">
        <v>25.472</v>
      </c>
      <c r="AJ245" t="n">
        <v>22.62</v>
      </c>
      <c r="AK245" t="n">
        <v>21.998</v>
      </c>
      <c r="AL245" t="n">
        <v>22.197</v>
      </c>
      <c r="AM245" t="n">
        <v>22.251</v>
      </c>
      <c r="AN245" t="n">
        <v>22.151</v>
      </c>
      <c r="AO245" t="n">
        <v>22.388</v>
      </c>
      <c r="AP245" t="n">
        <v>20.88</v>
      </c>
      <c r="AQ245" t="n">
        <v>21.078</v>
      </c>
      <c r="AR245" t="n">
        <v>18.358</v>
      </c>
      <c r="AS245" t="n">
        <v>14.843</v>
      </c>
      <c r="AT245" t="n">
        <v>13.287</v>
      </c>
      <c r="AU245" t="n">
        <v>13.464</v>
      </c>
      <c r="AV245" t="n">
        <v>12.083</v>
      </c>
      <c r="AW245" t="n">
        <v>11.53</v>
      </c>
      <c r="AX245" t="n">
        <v>13.624</v>
      </c>
      <c r="AY245" t="n">
        <v>12.722</v>
      </c>
      <c r="AZ245" t="n">
        <v>11.784</v>
      </c>
      <c r="BA245" t="n">
        <v>9.263</v>
      </c>
      <c r="BB245" t="n">
        <v>9.491</v>
      </c>
      <c r="BC245" t="n">
        <v>12.697</v>
      </c>
      <c r="BD245" t="n">
        <v>10.995</v>
      </c>
      <c r="BE245" t="n">
        <v>11.492</v>
      </c>
      <c r="BF245" t="n">
        <v>8.112</v>
      </c>
      <c r="BG245" t="n">
        <v>11.033</v>
      </c>
      <c r="BH245" t="n">
        <v>7.074</v>
      </c>
      <c r="BI245" t="n">
        <v>7.815</v>
      </c>
      <c r="BJ245" t="n">
        <v>6.283</v>
      </c>
      <c r="BK245" t="n">
        <v>4.251</v>
      </c>
      <c r="BL245" t="n">
        <v>4.996</v>
      </c>
      <c r="BM245" t="n">
        <v>3.612</v>
      </c>
      <c r="BN245" t="n">
        <v>4.33</v>
      </c>
      <c r="BO245" t="n">
        <v>4.376</v>
      </c>
      <c r="BP245" t="n">
        <v>4.311</v>
      </c>
      <c r="BQ245" t="n">
        <v>4.704</v>
      </c>
      <c r="BR245" t="n">
        <v>4.263</v>
      </c>
      <c r="BS245" t="n">
        <v>5.042</v>
      </c>
      <c r="BT245" t="n">
        <v>4.476</v>
      </c>
      <c r="BU245" t="n">
        <v>6.767</v>
      </c>
      <c r="BV245" t="n">
        <v>4.71</v>
      </c>
    </row>
    <row r="246">
      <c r="A246" t="inlineStr">
        <is>
          <t>Ranina ranina</t>
        </is>
      </c>
      <c r="B246" t="inlineStr">
        <is>
          <t xml:space="preserve">Kona crab </t>
        </is>
      </c>
      <c r="C246" t="inlineStr">
        <is>
          <t>Lobsters, crabs</t>
        </is>
      </c>
      <c r="D246" t="inlineStr">
        <is>
          <t>Crustaceans</t>
        </is>
      </c>
      <c r="E246" t="n">
        <v>2.464</v>
      </c>
      <c r="F246" t="n">
        <v>3.027</v>
      </c>
      <c r="G246" t="n">
        <v>3.55</v>
      </c>
      <c r="H246" t="n">
        <v>3.809</v>
      </c>
      <c r="I246" t="n">
        <v>3.865</v>
      </c>
      <c r="J246" t="n">
        <v>4.694</v>
      </c>
      <c r="K246" t="n">
        <v>5.467</v>
      </c>
      <c r="L246" t="n">
        <v>5.993</v>
      </c>
      <c r="M246" t="n">
        <v>6.637</v>
      </c>
      <c r="N246" t="n">
        <v>7.512</v>
      </c>
      <c r="O246" t="n">
        <v>8.066000000000001</v>
      </c>
      <c r="P246" t="n">
        <v>9.583</v>
      </c>
      <c r="Q246" t="n">
        <v>10.569</v>
      </c>
      <c r="R246" t="n">
        <v>11.411</v>
      </c>
      <c r="S246" t="n">
        <v>12.918</v>
      </c>
      <c r="T246" t="n">
        <v>14.094</v>
      </c>
      <c r="U246" t="n">
        <v>13.366</v>
      </c>
      <c r="V246" t="n">
        <v>14.883</v>
      </c>
      <c r="W246" t="n">
        <v>17.225</v>
      </c>
      <c r="X246" t="n">
        <v>17.574</v>
      </c>
      <c r="Y246" t="n">
        <v>18.404</v>
      </c>
      <c r="Z246" t="n">
        <v>19.878</v>
      </c>
      <c r="AA246" t="n">
        <v>19.438</v>
      </c>
      <c r="AB246" t="n">
        <v>20.037</v>
      </c>
      <c r="AC246" t="n">
        <v>20.051</v>
      </c>
      <c r="AD246" t="n">
        <v>23.237</v>
      </c>
      <c r="AE246" t="n">
        <v>22.983</v>
      </c>
      <c r="AF246" t="n">
        <v>22.959</v>
      </c>
      <c r="AG246" t="n">
        <v>24.236</v>
      </c>
      <c r="AH246" t="n">
        <v>24.91</v>
      </c>
      <c r="AI246" t="n">
        <v>25.014</v>
      </c>
      <c r="AJ246" t="n">
        <v>21.927</v>
      </c>
      <c r="AK246" t="n">
        <v>21.641</v>
      </c>
      <c r="AL246" t="n">
        <v>21.607</v>
      </c>
      <c r="AM246" t="n">
        <v>21.252</v>
      </c>
      <c r="AN246" t="n">
        <v>21.888</v>
      </c>
      <c r="AO246" t="n">
        <v>21.93</v>
      </c>
      <c r="AP246" t="n">
        <v>20.224</v>
      </c>
      <c r="AQ246" t="n">
        <v>19.529</v>
      </c>
      <c r="AR246" t="n">
        <v>17.643</v>
      </c>
      <c r="AS246" t="n">
        <v>14.114</v>
      </c>
      <c r="AT246" t="n">
        <v>12.643</v>
      </c>
      <c r="AU246" t="n">
        <v>13.141</v>
      </c>
      <c r="AV246" t="n">
        <v>11.627</v>
      </c>
      <c r="AW246" t="n">
        <v>11.314</v>
      </c>
      <c r="AX246" t="n">
        <v>13.437</v>
      </c>
      <c r="AY246" t="n">
        <v>12.739</v>
      </c>
      <c r="AZ246" t="n">
        <v>11.352</v>
      </c>
      <c r="BA246" t="n">
        <v>9.329000000000001</v>
      </c>
      <c r="BB246" t="n">
        <v>9.663</v>
      </c>
      <c r="BC246" t="n">
        <v>8.712</v>
      </c>
      <c r="BD246" t="n">
        <v>5.572</v>
      </c>
      <c r="BE246" t="n">
        <v>4.993</v>
      </c>
      <c r="BF246" t="n">
        <v>2.797</v>
      </c>
      <c r="BG246" t="n">
        <v>2.205</v>
      </c>
      <c r="BH246" t="n">
        <v>3.056</v>
      </c>
      <c r="BI246" t="n">
        <v>3.547</v>
      </c>
      <c r="BJ246" t="n">
        <v>1.694</v>
      </c>
      <c r="BK246" t="n">
        <v>0.217</v>
      </c>
      <c r="BL246" t="n">
        <v>0</v>
      </c>
      <c r="BM246" t="n">
        <v>0</v>
      </c>
      <c r="BN246" t="n">
        <v>0</v>
      </c>
      <c r="BO246" t="n">
        <v>0</v>
      </c>
      <c r="BP246" t="n">
        <v>0</v>
      </c>
      <c r="BQ246" t="n">
        <v>0</v>
      </c>
      <c r="BR246" t="n">
        <v>0</v>
      </c>
      <c r="BS246" t="n">
        <v>0</v>
      </c>
      <c r="BT246" t="n">
        <v>0</v>
      </c>
      <c r="BU246" t="n">
        <v>0</v>
      </c>
      <c r="BV246" t="n">
        <v>0</v>
      </c>
    </row>
    <row r="247">
      <c r="A247" t="inlineStr">
        <is>
          <t>Metapenaeus ensis</t>
        </is>
      </c>
      <c r="B247" t="inlineStr">
        <is>
          <t>Greasyback shrimp</t>
        </is>
      </c>
      <c r="C247" t="inlineStr">
        <is>
          <t>Shrimps</t>
        </is>
      </c>
      <c r="D247" t="inlineStr">
        <is>
          <t>Crustaceans</t>
        </is>
      </c>
      <c r="E247" t="n">
        <v>1.619</v>
      </c>
      <c r="F247" t="n">
        <v>1.99</v>
      </c>
      <c r="G247" t="n">
        <v>2.333</v>
      </c>
      <c r="H247" t="n">
        <v>2.503</v>
      </c>
      <c r="I247" t="n">
        <v>2.564</v>
      </c>
      <c r="J247" t="n">
        <v>3.114</v>
      </c>
      <c r="K247" t="n">
        <v>3.61</v>
      </c>
      <c r="L247" t="n">
        <v>3.956</v>
      </c>
      <c r="M247" t="n">
        <v>4.385</v>
      </c>
      <c r="N247" t="n">
        <v>4.95</v>
      </c>
      <c r="O247" t="n">
        <v>5.268</v>
      </c>
      <c r="P247" t="n">
        <v>6.222</v>
      </c>
      <c r="Q247" t="n">
        <v>6.827</v>
      </c>
      <c r="R247" t="n">
        <v>7.397</v>
      </c>
      <c r="S247" t="n">
        <v>8.263</v>
      </c>
      <c r="T247" t="n">
        <v>8.960000000000001</v>
      </c>
      <c r="U247" t="n">
        <v>9.84</v>
      </c>
      <c r="V247" t="n">
        <v>10.93</v>
      </c>
      <c r="W247" t="n">
        <v>12.588</v>
      </c>
      <c r="X247" t="n">
        <v>14.071</v>
      </c>
      <c r="Y247" t="n">
        <v>14.768</v>
      </c>
      <c r="Z247" t="n">
        <v>15.928</v>
      </c>
      <c r="AA247" t="n">
        <v>15.546</v>
      </c>
      <c r="AB247" t="n">
        <v>16.527</v>
      </c>
      <c r="AC247" t="n">
        <v>16.535</v>
      </c>
      <c r="AD247" t="n">
        <v>21.026</v>
      </c>
      <c r="AE247" t="n">
        <v>21.517</v>
      </c>
      <c r="AF247" t="n">
        <v>22.135</v>
      </c>
      <c r="AG247" t="n">
        <v>23.824</v>
      </c>
      <c r="AH247" t="n">
        <v>24.817</v>
      </c>
      <c r="AI247" t="n">
        <v>24.93</v>
      </c>
      <c r="AJ247" t="n">
        <v>21.922</v>
      </c>
      <c r="AK247" t="n">
        <v>21.663</v>
      </c>
      <c r="AL247" t="n">
        <v>21.7</v>
      </c>
      <c r="AM247" t="n">
        <v>21.353</v>
      </c>
      <c r="AN247" t="n">
        <v>22.048</v>
      </c>
      <c r="AO247" t="n">
        <v>22.139</v>
      </c>
      <c r="AP247" t="n">
        <v>20.408</v>
      </c>
      <c r="AQ247" t="n">
        <v>19.694</v>
      </c>
      <c r="AR247" t="n">
        <v>17.814</v>
      </c>
      <c r="AS247" t="n">
        <v>14.349</v>
      </c>
      <c r="AT247" t="n">
        <v>12.836</v>
      </c>
      <c r="AU247" t="n">
        <v>13.353</v>
      </c>
      <c r="AV247" t="n">
        <v>11.853</v>
      </c>
      <c r="AW247" t="n">
        <v>11.532</v>
      </c>
      <c r="AX247" t="n">
        <v>13.657</v>
      </c>
      <c r="AY247" t="n">
        <v>12.931</v>
      </c>
      <c r="AZ247" t="n">
        <v>11.557</v>
      </c>
      <c r="BA247" t="n">
        <v>9.615</v>
      </c>
      <c r="BB247" t="n">
        <v>9.9</v>
      </c>
      <c r="BC247" t="n">
        <v>12.079</v>
      </c>
      <c r="BD247" t="n">
        <v>12.117</v>
      </c>
      <c r="BE247" t="n">
        <v>11.919</v>
      </c>
      <c r="BF247" t="n">
        <v>9.454000000000001</v>
      </c>
      <c r="BG247" t="n">
        <v>11.127</v>
      </c>
      <c r="BH247" t="n">
        <v>7.872</v>
      </c>
      <c r="BI247" t="n">
        <v>7.14</v>
      </c>
      <c r="BJ247" t="n">
        <v>6.212</v>
      </c>
      <c r="BK247" t="n">
        <v>0.442</v>
      </c>
      <c r="BL247" t="n">
        <v>0.5580000000000001</v>
      </c>
      <c r="BM247" t="n">
        <v>1.016</v>
      </c>
      <c r="BN247" t="n">
        <v>1.246</v>
      </c>
      <c r="BO247" t="n">
        <v>1.25</v>
      </c>
      <c r="BP247" t="n">
        <v>1.038</v>
      </c>
      <c r="BQ247" t="n">
        <v>1.123</v>
      </c>
      <c r="BR247" t="n">
        <v>1.082</v>
      </c>
      <c r="BS247" t="n">
        <v>1.048</v>
      </c>
      <c r="BT247" t="n">
        <v>1.217</v>
      </c>
      <c r="BU247" t="n">
        <v>1.839</v>
      </c>
      <c r="BV247" t="n">
        <v>1.255</v>
      </c>
    </row>
    <row r="248">
      <c r="A248" t="inlineStr">
        <is>
          <t>Rachycentron canadum</t>
        </is>
      </c>
      <c r="B248" t="inlineStr">
        <is>
          <t>Cobia</t>
        </is>
      </c>
      <c r="C248" t="inlineStr">
        <is>
          <t>Large pelagics (&gt;=90 cm)</t>
        </is>
      </c>
      <c r="D248" t="inlineStr">
        <is>
          <t>Perch-likes</t>
        </is>
      </c>
      <c r="E248" t="n">
        <v>0.895</v>
      </c>
      <c r="F248" t="n">
        <v>1.08</v>
      </c>
      <c r="G248" t="n">
        <v>1.33</v>
      </c>
      <c r="H248" t="n">
        <v>1.448</v>
      </c>
      <c r="I248" t="n">
        <v>1.517</v>
      </c>
      <c r="J248" t="n">
        <v>1.92</v>
      </c>
      <c r="K248" t="n">
        <v>2.211</v>
      </c>
      <c r="L248" t="n">
        <v>2.441</v>
      </c>
      <c r="M248" t="n">
        <v>2.636</v>
      </c>
      <c r="N248" t="n">
        <v>3.036</v>
      </c>
      <c r="O248" t="n">
        <v>3.512</v>
      </c>
      <c r="P248" t="n">
        <v>4.283</v>
      </c>
      <c r="Q248" t="n">
        <v>4.517</v>
      </c>
      <c r="R248" t="n">
        <v>4.572</v>
      </c>
      <c r="S248" t="n">
        <v>4.965</v>
      </c>
      <c r="T248" t="n">
        <v>5.921</v>
      </c>
      <c r="U248" t="n">
        <v>6.785</v>
      </c>
      <c r="V248" t="n">
        <v>6.92</v>
      </c>
      <c r="W248" t="n">
        <v>7.298</v>
      </c>
      <c r="X248" t="n">
        <v>7.71</v>
      </c>
      <c r="Y248" t="n">
        <v>8.371</v>
      </c>
      <c r="Z248" t="n">
        <v>11.422</v>
      </c>
      <c r="AA248" t="n">
        <v>14.698</v>
      </c>
      <c r="AB248" t="n">
        <v>14.306</v>
      </c>
      <c r="AC248" t="n">
        <v>14.116</v>
      </c>
      <c r="AD248" t="n">
        <v>14.091</v>
      </c>
      <c r="AE248" t="n">
        <v>13.678</v>
      </c>
      <c r="AF248" t="n">
        <v>13.5</v>
      </c>
      <c r="AG248" t="n">
        <v>12.316</v>
      </c>
      <c r="AH248" t="n">
        <v>13.659</v>
      </c>
      <c r="AI248" t="n">
        <v>12.752</v>
      </c>
      <c r="AJ248" t="n">
        <v>12.208</v>
      </c>
      <c r="AK248" t="n">
        <v>9.829000000000001</v>
      </c>
      <c r="AL248" t="n">
        <v>10.474</v>
      </c>
      <c r="AM248" t="n">
        <v>12.691</v>
      </c>
      <c r="AN248" t="n">
        <v>7.938</v>
      </c>
      <c r="AO248" t="n">
        <v>8.616</v>
      </c>
      <c r="AP248" t="n">
        <v>9.420999999999999</v>
      </c>
      <c r="AQ248" t="n">
        <v>14.676</v>
      </c>
      <c r="AR248" t="n">
        <v>10.399</v>
      </c>
      <c r="AS248" t="n">
        <v>8.223000000000001</v>
      </c>
      <c r="AT248" t="n">
        <v>7.502</v>
      </c>
      <c r="AU248" t="n">
        <v>5.262</v>
      </c>
      <c r="AV248" t="n">
        <v>5.422</v>
      </c>
      <c r="AW248" t="n">
        <v>3.714</v>
      </c>
      <c r="AX248" t="n">
        <v>4.398</v>
      </c>
      <c r="AY248" t="n">
        <v>3.017</v>
      </c>
      <c r="AZ248" t="n">
        <v>4.674</v>
      </c>
      <c r="BA248" t="n">
        <v>0.092</v>
      </c>
      <c r="BB248" t="n">
        <v>0.08400000000000001</v>
      </c>
      <c r="BC248" t="n">
        <v>0.058</v>
      </c>
      <c r="BD248" t="n">
        <v>0.117</v>
      </c>
      <c r="BE248" t="n">
        <v>0.462</v>
      </c>
      <c r="BF248" t="n">
        <v>0.64</v>
      </c>
      <c r="BG248" t="n">
        <v>1.086</v>
      </c>
      <c r="BH248" t="n">
        <v>0.724</v>
      </c>
      <c r="BI248" t="n">
        <v>0.995</v>
      </c>
      <c r="BJ248" t="n">
        <v>0.925</v>
      </c>
      <c r="BK248" t="n">
        <v>0.858</v>
      </c>
      <c r="BL248" t="n">
        <v>0.545</v>
      </c>
      <c r="BM248" t="n">
        <v>0.467</v>
      </c>
      <c r="BN248" t="n">
        <v>0.378</v>
      </c>
      <c r="BO248" t="n">
        <v>41.688</v>
      </c>
      <c r="BP248" t="n">
        <v>63.837</v>
      </c>
      <c r="BQ248" t="n">
        <v>48.404</v>
      </c>
      <c r="BR248" t="n">
        <v>18.823</v>
      </c>
      <c r="BS248" t="n">
        <v>16.495</v>
      </c>
      <c r="BT248" t="n">
        <v>5.799</v>
      </c>
      <c r="BU248" t="n">
        <v>7.826</v>
      </c>
      <c r="BV248" t="n">
        <v>7.92</v>
      </c>
    </row>
    <row r="249">
      <c r="A249" t="inlineStr">
        <is>
          <t>Sphyraena barracuda</t>
        </is>
      </c>
      <c r="B249" t="inlineStr">
        <is>
          <t>Great barracuda</t>
        </is>
      </c>
      <c r="C249" t="inlineStr">
        <is>
          <t>Large pelagics (&gt;=90 cm)</t>
        </is>
      </c>
      <c r="D249" t="inlineStr">
        <is>
          <t>Perch-likes</t>
        </is>
      </c>
      <c r="E249" t="n">
        <v>1.251</v>
      </c>
      <c r="F249" t="n">
        <v>1.537</v>
      </c>
      <c r="G249" t="n">
        <v>1.81</v>
      </c>
      <c r="H249" t="n">
        <v>1.944</v>
      </c>
      <c r="I249" t="n">
        <v>2.054</v>
      </c>
      <c r="J249" t="n">
        <v>2.505</v>
      </c>
      <c r="K249" t="n">
        <v>2.861</v>
      </c>
      <c r="L249" t="n">
        <v>3.138</v>
      </c>
      <c r="M249" t="n">
        <v>3.475</v>
      </c>
      <c r="N249" t="n">
        <v>3.9</v>
      </c>
      <c r="O249" t="n">
        <v>4.079</v>
      </c>
      <c r="P249" t="n">
        <v>4.747</v>
      </c>
      <c r="Q249" t="n">
        <v>5.099</v>
      </c>
      <c r="R249" t="n">
        <v>5.546</v>
      </c>
      <c r="S249" t="n">
        <v>5.91</v>
      </c>
      <c r="T249" t="n">
        <v>6.344</v>
      </c>
      <c r="U249" t="n">
        <v>6.793</v>
      </c>
      <c r="V249" t="n">
        <v>7.397</v>
      </c>
      <c r="W249" t="n">
        <v>8.275</v>
      </c>
      <c r="X249" t="n">
        <v>9.132</v>
      </c>
      <c r="Y249" t="n">
        <v>9.592000000000001</v>
      </c>
      <c r="Z249" t="n">
        <v>10.607</v>
      </c>
      <c r="AA249" t="n">
        <v>10.753</v>
      </c>
      <c r="AB249" t="n">
        <v>11.161</v>
      </c>
      <c r="AC249" t="n">
        <v>11.132</v>
      </c>
      <c r="AD249" t="n">
        <v>13.576</v>
      </c>
      <c r="AE249" t="n">
        <v>14.011</v>
      </c>
      <c r="AF249" t="n">
        <v>14.908</v>
      </c>
      <c r="AG249" t="n">
        <v>15.975</v>
      </c>
      <c r="AH249" t="n">
        <v>17.229</v>
      </c>
      <c r="AI249" t="n">
        <v>17.161</v>
      </c>
      <c r="AJ249" t="n">
        <v>15.435</v>
      </c>
      <c r="AK249" t="n">
        <v>14.925</v>
      </c>
      <c r="AL249" t="n">
        <v>15.78</v>
      </c>
      <c r="AM249" t="n">
        <v>16.097</v>
      </c>
      <c r="AN249" t="n">
        <v>15.577</v>
      </c>
      <c r="AO249" t="n">
        <v>15.906</v>
      </c>
      <c r="AP249" t="n">
        <v>14.979</v>
      </c>
      <c r="AQ249" t="n">
        <v>15.699</v>
      </c>
      <c r="AR249" t="n">
        <v>13.44</v>
      </c>
      <c r="AS249" t="n">
        <v>11.033</v>
      </c>
      <c r="AT249" t="n">
        <v>9.859999999999999</v>
      </c>
      <c r="AU249" t="n">
        <v>9.744</v>
      </c>
      <c r="AV249" t="n">
        <v>8.835000000000001</v>
      </c>
      <c r="AW249" t="n">
        <v>8.278</v>
      </c>
      <c r="AX249" t="n">
        <v>9.710000000000001</v>
      </c>
      <c r="AY249" t="n">
        <v>8.845000000000001</v>
      </c>
      <c r="AZ249" t="n">
        <v>8.381</v>
      </c>
      <c r="BA249" t="n">
        <v>6.55</v>
      </c>
      <c r="BB249" t="n">
        <v>6.603</v>
      </c>
      <c r="BC249" t="n">
        <v>4.218</v>
      </c>
      <c r="BD249" t="n">
        <v>6.408</v>
      </c>
      <c r="BE249" t="n">
        <v>5.463</v>
      </c>
      <c r="BF249" t="n">
        <v>3.628</v>
      </c>
      <c r="BG249" t="n">
        <v>5.493</v>
      </c>
      <c r="BH249" t="n">
        <v>4.801</v>
      </c>
      <c r="BI249" t="n">
        <v>4.681</v>
      </c>
      <c r="BJ249" t="n">
        <v>3.869</v>
      </c>
      <c r="BK249" t="n">
        <v>3.964</v>
      </c>
      <c r="BL249" t="n">
        <v>6.317</v>
      </c>
      <c r="BM249" t="n">
        <v>5.457</v>
      </c>
      <c r="BN249" t="n">
        <v>6.023</v>
      </c>
      <c r="BO249" t="n">
        <v>6.265</v>
      </c>
      <c r="BP249" t="n">
        <v>5.664</v>
      </c>
      <c r="BQ249" t="n">
        <v>6.204</v>
      </c>
      <c r="BR249" t="n">
        <v>5.603</v>
      </c>
      <c r="BS249" t="n">
        <v>6.13</v>
      </c>
      <c r="BT249" t="n">
        <v>6.034</v>
      </c>
      <c r="BU249" t="n">
        <v>9.108000000000001</v>
      </c>
      <c r="BV249" t="n">
        <v>6.223</v>
      </c>
    </row>
    <row r="250">
      <c r="A250" t="inlineStr">
        <is>
          <t>Berycidae</t>
        </is>
      </c>
      <c r="B250" t="inlineStr">
        <is>
          <t>Alfonsinos, redfishes</t>
        </is>
      </c>
      <c r="C250" t="inlineStr">
        <is>
          <t>Medium benthopelagics (30 - 89 cm)</t>
        </is>
      </c>
      <c r="D250" t="inlineStr">
        <is>
          <t>Other fishes &amp; inverts</t>
        </is>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17.882</v>
      </c>
      <c r="BN250" t="n">
        <v>13.293</v>
      </c>
      <c r="BO250" t="n">
        <v>10.948</v>
      </c>
      <c r="BP250" t="n">
        <v>47.821</v>
      </c>
      <c r="BQ250" t="n">
        <v>54.692</v>
      </c>
      <c r="BR250" t="n">
        <v>43.317</v>
      </c>
      <c r="BS250" t="n">
        <v>55.308</v>
      </c>
      <c r="BT250" t="n">
        <v>52.205</v>
      </c>
      <c r="BU250" t="n">
        <v>53.052</v>
      </c>
      <c r="BV250" t="n">
        <v>56.463</v>
      </c>
    </row>
    <row r="251">
      <c r="A251" t="inlineStr">
        <is>
          <t>Psettodes erumei</t>
        </is>
      </c>
      <c r="B251" t="inlineStr">
        <is>
          <t>Indian halibut</t>
        </is>
      </c>
      <c r="C251" t="inlineStr">
        <is>
          <t>Small to medium flatfishes (&lt;90 cm)</t>
        </is>
      </c>
      <c r="D251" t="inlineStr">
        <is>
          <t>Flatfishes</t>
        </is>
      </c>
      <c r="E251" t="n">
        <v>0.502</v>
      </c>
      <c r="F251" t="n">
        <v>0.617</v>
      </c>
      <c r="G251" t="n">
        <v>0.723</v>
      </c>
      <c r="H251" t="n">
        <v>0.775</v>
      </c>
      <c r="I251" t="n">
        <v>0.796</v>
      </c>
      <c r="J251" t="n">
        <v>0.967</v>
      </c>
      <c r="K251" t="n">
        <v>1.12</v>
      </c>
      <c r="L251" t="n">
        <v>1.227</v>
      </c>
      <c r="M251" t="n">
        <v>1.36</v>
      </c>
      <c r="N251" t="n">
        <v>1.535</v>
      </c>
      <c r="O251" t="n">
        <v>1.63</v>
      </c>
      <c r="P251" t="n">
        <v>1.922</v>
      </c>
      <c r="Q251" t="n">
        <v>2.106</v>
      </c>
      <c r="R251" t="n">
        <v>2.284</v>
      </c>
      <c r="S251" t="n">
        <v>2.542</v>
      </c>
      <c r="T251" t="n">
        <v>2.752</v>
      </c>
      <c r="U251" t="n">
        <v>3.029</v>
      </c>
      <c r="V251" t="n">
        <v>3.363</v>
      </c>
      <c r="W251" t="n">
        <v>3.867</v>
      </c>
      <c r="X251" t="n">
        <v>4.321</v>
      </c>
      <c r="Y251" t="n">
        <v>4.524</v>
      </c>
      <c r="Z251" t="n">
        <v>4.877</v>
      </c>
      <c r="AA251" t="n">
        <v>4.758</v>
      </c>
      <c r="AB251" t="n">
        <v>5.055</v>
      </c>
      <c r="AC251" t="n">
        <v>5.057</v>
      </c>
      <c r="AD251" t="n">
        <v>6.441</v>
      </c>
      <c r="AE251" t="n">
        <v>6.683</v>
      </c>
      <c r="AF251" t="n">
        <v>6.96</v>
      </c>
      <c r="AG251" t="n">
        <v>7.721</v>
      </c>
      <c r="AH251" t="n">
        <v>8.19</v>
      </c>
      <c r="AI251" t="n">
        <v>8.228</v>
      </c>
      <c r="AJ251" t="n">
        <v>7.24</v>
      </c>
      <c r="AK251" t="n">
        <v>7.156</v>
      </c>
      <c r="AL251" t="n">
        <v>7.172</v>
      </c>
      <c r="AM251" t="n">
        <v>7.058</v>
      </c>
      <c r="AN251" t="n">
        <v>7.291</v>
      </c>
      <c r="AO251" t="n">
        <v>7.324</v>
      </c>
      <c r="AP251" t="n">
        <v>6.751</v>
      </c>
      <c r="AQ251" t="n">
        <v>6.514</v>
      </c>
      <c r="AR251" t="n">
        <v>5.893</v>
      </c>
      <c r="AS251" t="n">
        <v>4.753</v>
      </c>
      <c r="AT251" t="n">
        <v>4.251</v>
      </c>
      <c r="AU251" t="n">
        <v>4.423</v>
      </c>
      <c r="AV251" t="n">
        <v>3.928</v>
      </c>
      <c r="AW251" t="n">
        <v>3.822</v>
      </c>
      <c r="AX251" t="n">
        <v>4.524</v>
      </c>
      <c r="AY251" t="n">
        <v>4.282</v>
      </c>
      <c r="AZ251" t="n">
        <v>3.829</v>
      </c>
      <c r="BA251" t="n">
        <v>3.193</v>
      </c>
      <c r="BB251" t="n">
        <v>3.284</v>
      </c>
      <c r="BC251" t="n">
        <v>3.024</v>
      </c>
      <c r="BD251" t="n">
        <v>5.156</v>
      </c>
      <c r="BE251" t="n">
        <v>3.992</v>
      </c>
      <c r="BF251" t="n">
        <v>3.137</v>
      </c>
      <c r="BG251" t="n">
        <v>6.848</v>
      </c>
      <c r="BH251" t="n">
        <v>6.798</v>
      </c>
      <c r="BI251" t="n">
        <v>10.307</v>
      </c>
      <c r="BJ251" t="n">
        <v>9.962</v>
      </c>
      <c r="BK251" t="n">
        <v>8.778</v>
      </c>
      <c r="BL251" t="n">
        <v>8.629</v>
      </c>
      <c r="BM251" t="n">
        <v>5.536</v>
      </c>
      <c r="BN251" t="n">
        <v>6.82</v>
      </c>
      <c r="BO251" t="n">
        <v>6.83</v>
      </c>
      <c r="BP251" t="n">
        <v>5.675</v>
      </c>
      <c r="BQ251" t="n">
        <v>6.14</v>
      </c>
      <c r="BR251" t="n">
        <v>5.918</v>
      </c>
      <c r="BS251" t="n">
        <v>5.731</v>
      </c>
      <c r="BT251" t="n">
        <v>6.66</v>
      </c>
      <c r="BU251" t="n">
        <v>10.063</v>
      </c>
      <c r="BV251" t="n">
        <v>6.871</v>
      </c>
    </row>
    <row r="252">
      <c r="A252" t="inlineStr">
        <is>
          <t>Paralithodes</t>
        </is>
      </c>
      <c r="B252" t="inlineStr">
        <is>
          <t>North Pacific king crabs</t>
        </is>
      </c>
      <c r="C252" t="inlineStr">
        <is>
          <t>Lobsters, crabs</t>
        </is>
      </c>
      <c r="D252" t="inlineStr">
        <is>
          <t>Crustaceans</t>
        </is>
      </c>
      <c r="E252" t="n">
        <v>5.271</v>
      </c>
      <c r="F252" t="n">
        <v>5.271</v>
      </c>
      <c r="G252" t="n">
        <v>7.379</v>
      </c>
      <c r="H252" t="n">
        <v>6.325</v>
      </c>
      <c r="I252" t="n">
        <v>10.541</v>
      </c>
      <c r="J252" t="n">
        <v>17.92</v>
      </c>
      <c r="K252" t="n">
        <v>8.433</v>
      </c>
      <c r="L252" t="n">
        <v>12.649</v>
      </c>
      <c r="M252" t="n">
        <v>15.812</v>
      </c>
      <c r="N252" t="n">
        <v>14.758</v>
      </c>
      <c r="O252" t="n">
        <v>15.812</v>
      </c>
      <c r="P252" t="n">
        <v>17.92</v>
      </c>
      <c r="Q252" t="n">
        <v>36.894</v>
      </c>
      <c r="R252" t="n">
        <v>24.245</v>
      </c>
      <c r="S252" t="n">
        <v>23.19</v>
      </c>
      <c r="T252" t="n">
        <v>3.162</v>
      </c>
      <c r="U252" t="n">
        <v>4.216</v>
      </c>
      <c r="V252" t="n">
        <v>15.812</v>
      </c>
      <c r="W252" t="n">
        <v>26.353</v>
      </c>
      <c r="X252" t="n">
        <v>13.703</v>
      </c>
      <c r="Y252" t="n">
        <v>2.108</v>
      </c>
      <c r="Z252" t="n">
        <v>5.271</v>
      </c>
      <c r="AA252" t="n">
        <v>1.054</v>
      </c>
      <c r="AB252" t="n">
        <v>4.216</v>
      </c>
      <c r="AC252" t="n">
        <v>3.584</v>
      </c>
      <c r="AD252" t="n">
        <v>1.054</v>
      </c>
      <c r="AE252" t="n">
        <v>0.095</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0.098</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row>
    <row r="253">
      <c r="A253" t="inlineStr">
        <is>
          <t>Hemitrygon akajei</t>
        </is>
      </c>
      <c r="B253" t="inlineStr">
        <is>
          <t>Whip stingray</t>
        </is>
      </c>
      <c r="C253" t="inlineStr">
        <is>
          <t>Large rays (&gt;=90 cm)</t>
        </is>
      </c>
      <c r="D253" t="inlineStr">
        <is>
          <t>Sharks &amp; rays</t>
        </is>
      </c>
      <c r="E253" t="n">
        <v>0.583</v>
      </c>
      <c r="F253" t="n">
        <v>0.717</v>
      </c>
      <c r="G253" t="n">
        <v>0.841</v>
      </c>
      <c r="H253" t="n">
        <v>0.902</v>
      </c>
      <c r="I253" t="n">
        <v>0.9340000000000001</v>
      </c>
      <c r="J253" t="n">
        <v>1.134</v>
      </c>
      <c r="K253" t="n">
        <v>1.308</v>
      </c>
      <c r="L253" t="n">
        <v>1.433</v>
      </c>
      <c r="M253" t="n">
        <v>1.589</v>
      </c>
      <c r="N253" t="n">
        <v>1.789</v>
      </c>
      <c r="O253" t="n">
        <v>1.885</v>
      </c>
      <c r="P253" t="n">
        <v>2.211</v>
      </c>
      <c r="Q253" t="n">
        <v>2.411</v>
      </c>
      <c r="R253" t="n">
        <v>2.624</v>
      </c>
      <c r="S253" t="n">
        <v>2.885</v>
      </c>
      <c r="T253" t="n">
        <v>3.104</v>
      </c>
      <c r="U253" t="n">
        <v>3.385</v>
      </c>
      <c r="V253" t="n">
        <v>3.748</v>
      </c>
      <c r="W253" t="n">
        <v>4.29</v>
      </c>
      <c r="X253" t="n">
        <v>4.785</v>
      </c>
      <c r="Y253" t="n">
        <v>5.009</v>
      </c>
      <c r="Z253" t="n">
        <v>5.392</v>
      </c>
      <c r="AA253" t="n">
        <v>5.25</v>
      </c>
      <c r="AB253" t="n">
        <v>5.565</v>
      </c>
      <c r="AC253" t="n">
        <v>5.566</v>
      </c>
      <c r="AD253" t="n">
        <v>7.078</v>
      </c>
      <c r="AE253" t="n">
        <v>7.351</v>
      </c>
      <c r="AF253" t="n">
        <v>7.652</v>
      </c>
      <c r="AG253" t="n">
        <v>8.471</v>
      </c>
      <c r="AH253" t="n">
        <v>8.994</v>
      </c>
      <c r="AI253" t="n">
        <v>9.038</v>
      </c>
      <c r="AJ253" t="n">
        <v>7.976</v>
      </c>
      <c r="AK253" t="n">
        <v>7.893</v>
      </c>
      <c r="AL253" t="n">
        <v>7.935</v>
      </c>
      <c r="AM253" t="n">
        <v>7.812</v>
      </c>
      <c r="AN253" t="n">
        <v>8.089</v>
      </c>
      <c r="AO253" t="n">
        <v>8.141999999999999</v>
      </c>
      <c r="AP253" t="n">
        <v>7.502</v>
      </c>
      <c r="AQ253" t="n">
        <v>7.234</v>
      </c>
      <c r="AR253" t="n">
        <v>6.552</v>
      </c>
      <c r="AS253" t="n">
        <v>5.318</v>
      </c>
      <c r="AT253" t="n">
        <v>4.75</v>
      </c>
      <c r="AU253" t="n">
        <v>4.946</v>
      </c>
      <c r="AV253" t="n">
        <v>4.406</v>
      </c>
      <c r="AW253" t="n">
        <v>4.286</v>
      </c>
      <c r="AX253" t="n">
        <v>5.06</v>
      </c>
      <c r="AY253" t="n">
        <v>4.784</v>
      </c>
      <c r="AZ253" t="n">
        <v>4.29</v>
      </c>
      <c r="BA253" t="n">
        <v>3.615</v>
      </c>
      <c r="BB253" t="n">
        <v>3.7</v>
      </c>
      <c r="BC253" t="n">
        <v>6.946</v>
      </c>
      <c r="BD253" t="n">
        <v>3.2</v>
      </c>
      <c r="BE253" t="n">
        <v>3.466</v>
      </c>
      <c r="BF253" t="n">
        <v>2.12</v>
      </c>
      <c r="BG253" t="n">
        <v>3.186</v>
      </c>
      <c r="BH253" t="n">
        <v>2.347</v>
      </c>
      <c r="BI253" t="n">
        <v>2.354</v>
      </c>
      <c r="BJ253" t="n">
        <v>1.897</v>
      </c>
      <c r="BK253" t="n">
        <v>2.119</v>
      </c>
      <c r="BL253" t="n">
        <v>4.157</v>
      </c>
      <c r="BM253" t="n">
        <v>2.074</v>
      </c>
      <c r="BN253" t="n">
        <v>2.444</v>
      </c>
      <c r="BO253" t="n">
        <v>2.484</v>
      </c>
      <c r="BP253" t="n">
        <v>2.137</v>
      </c>
      <c r="BQ253" t="n">
        <v>2.314</v>
      </c>
      <c r="BR253" t="n">
        <v>2.18</v>
      </c>
      <c r="BS253" t="n">
        <v>2.223</v>
      </c>
      <c r="BT253" t="n">
        <v>2.413</v>
      </c>
      <c r="BU253" t="n">
        <v>3.643</v>
      </c>
      <c r="BV253" t="n">
        <v>2.488</v>
      </c>
    </row>
    <row r="254">
      <c r="A254" t="inlineStr">
        <is>
          <t>Chionoecetes opilio</t>
        </is>
      </c>
      <c r="B254" t="inlineStr">
        <is>
          <t>Snow crab</t>
        </is>
      </c>
      <c r="C254" t="inlineStr">
        <is>
          <t>Lobsters, crabs</t>
        </is>
      </c>
      <c r="D254" t="inlineStr">
        <is>
          <t>Crustaceans</t>
        </is>
      </c>
      <c r="E254" t="n">
        <v>0.05</v>
      </c>
      <c r="F254" t="n">
        <v>0.05</v>
      </c>
      <c r="G254" t="n">
        <v>0.05</v>
      </c>
      <c r="H254" t="n">
        <v>0.05</v>
      </c>
      <c r="I254" t="n">
        <v>0.05</v>
      </c>
      <c r="J254" t="n">
        <v>0.05</v>
      </c>
      <c r="K254" t="n">
        <v>0.051</v>
      </c>
      <c r="L254" t="n">
        <v>0.06</v>
      </c>
      <c r="M254" t="n">
        <v>0.068</v>
      </c>
      <c r="N254" t="n">
        <v>0.068</v>
      </c>
      <c r="O254" t="n">
        <v>0.082</v>
      </c>
      <c r="P254" t="n">
        <v>0.08</v>
      </c>
      <c r="Q254" t="n">
        <v>0.091</v>
      </c>
      <c r="R254" t="n">
        <v>0.1</v>
      </c>
      <c r="S254" t="n">
        <v>0.098</v>
      </c>
      <c r="T254" t="n">
        <v>0.08</v>
      </c>
      <c r="U254" t="n">
        <v>0.093</v>
      </c>
      <c r="V254" t="n">
        <v>0.139</v>
      </c>
      <c r="W254" t="n">
        <v>0.227</v>
      </c>
      <c r="X254" t="n">
        <v>0.191</v>
      </c>
      <c r="Y254" t="n">
        <v>0.189</v>
      </c>
      <c r="Z254" t="n">
        <v>0.148</v>
      </c>
      <c r="AA254" t="n">
        <v>0.144</v>
      </c>
      <c r="AB254" t="n">
        <v>0.116</v>
      </c>
      <c r="AC254" t="n">
        <v>0.104</v>
      </c>
      <c r="AD254" t="n">
        <v>0.08400000000000001</v>
      </c>
      <c r="AE254" t="n">
        <v>0.077</v>
      </c>
      <c r="AF254" t="n">
        <v>0.07199999999999999</v>
      </c>
      <c r="AG254" t="n">
        <v>0.076</v>
      </c>
      <c r="AH254" t="n">
        <v>0.079</v>
      </c>
      <c r="AI254" t="n">
        <v>0.07199999999999999</v>
      </c>
      <c r="AJ254" t="n">
        <v>0.043</v>
      </c>
      <c r="AK254" t="n">
        <v>0.034</v>
      </c>
      <c r="AL254" t="n">
        <v>0.029</v>
      </c>
      <c r="AM254" t="n">
        <v>0.061</v>
      </c>
      <c r="AN254" t="n">
        <v>0.126</v>
      </c>
      <c r="AO254" t="n">
        <v>0.1</v>
      </c>
      <c r="AP254" t="n">
        <v>0.058</v>
      </c>
      <c r="AQ254" t="n">
        <v>0.09</v>
      </c>
      <c r="AR254" t="n">
        <v>0.048</v>
      </c>
      <c r="AS254" t="n">
        <v>0.035</v>
      </c>
      <c r="AT254" t="n">
        <v>0.04</v>
      </c>
      <c r="AU254" t="n">
        <v>0.093</v>
      </c>
      <c r="AV254" t="n">
        <v>0.625</v>
      </c>
      <c r="AW254" t="n">
        <v>0.651</v>
      </c>
      <c r="AX254" t="n">
        <v>0.539</v>
      </c>
      <c r="AY254" t="n">
        <v>0.83</v>
      </c>
      <c r="AZ254" t="n">
        <v>5.262</v>
      </c>
      <c r="BA254" t="n">
        <v>3.004</v>
      </c>
      <c r="BB254" t="n">
        <v>6.217</v>
      </c>
      <c r="BC254" t="n">
        <v>4.335</v>
      </c>
      <c r="BD254" t="n">
        <v>5.533</v>
      </c>
      <c r="BE254" t="n">
        <v>4.834</v>
      </c>
      <c r="BF254" t="n">
        <v>9.686</v>
      </c>
      <c r="BG254" t="n">
        <v>11.382</v>
      </c>
      <c r="BH254" t="n">
        <v>14.764</v>
      </c>
      <c r="BI254" t="n">
        <v>17.28</v>
      </c>
      <c r="BJ254" t="n">
        <v>20.851</v>
      </c>
      <c r="BK254" t="n">
        <v>12.389</v>
      </c>
      <c r="BL254" t="n">
        <v>9.223000000000001</v>
      </c>
      <c r="BM254" t="n">
        <v>10.349</v>
      </c>
      <c r="BN254" t="n">
        <v>10.885</v>
      </c>
      <c r="BO254" t="n">
        <v>12.187</v>
      </c>
      <c r="BP254" t="n">
        <v>12.37</v>
      </c>
      <c r="BQ254" t="n">
        <v>12.592</v>
      </c>
      <c r="BR254" t="n">
        <v>13.51</v>
      </c>
      <c r="BS254" t="n">
        <v>11.709</v>
      </c>
      <c r="BT254" t="n">
        <v>9.763</v>
      </c>
      <c r="BU254" t="n">
        <v>6.992</v>
      </c>
      <c r="BV254" t="n">
        <v>0.01</v>
      </c>
    </row>
    <row r="255">
      <c r="A255" t="inlineStr">
        <is>
          <t>Sillago sihama</t>
        </is>
      </c>
      <c r="B255" t="inlineStr">
        <is>
          <t>Silver sillago</t>
        </is>
      </c>
      <c r="C255" t="inlineStr">
        <is>
          <t>Medium demersals (30 - 89 cm)</t>
        </is>
      </c>
      <c r="D255" t="inlineStr">
        <is>
          <t>Perch-likes</t>
        </is>
      </c>
      <c r="E255" t="n">
        <v>0.489</v>
      </c>
      <c r="F255" t="n">
        <v>0.6</v>
      </c>
      <c r="G255" t="n">
        <v>0.708</v>
      </c>
      <c r="H255" t="n">
        <v>0.761</v>
      </c>
      <c r="I255" t="n">
        <v>0.791</v>
      </c>
      <c r="J255" t="n">
        <v>0.966</v>
      </c>
      <c r="K255" t="n">
        <v>1.112</v>
      </c>
      <c r="L255" t="n">
        <v>1.221</v>
      </c>
      <c r="M255" t="n">
        <v>1.349</v>
      </c>
      <c r="N255" t="n">
        <v>1.522</v>
      </c>
      <c r="O255" t="n">
        <v>1.623</v>
      </c>
      <c r="P255" t="n">
        <v>1.913</v>
      </c>
      <c r="Q255" t="n">
        <v>2.073</v>
      </c>
      <c r="R255" t="n">
        <v>2.232</v>
      </c>
      <c r="S255" t="n">
        <v>2.441</v>
      </c>
      <c r="T255" t="n">
        <v>2.665</v>
      </c>
      <c r="U255" t="n">
        <v>2.922</v>
      </c>
      <c r="V255" t="n">
        <v>3.19</v>
      </c>
      <c r="W255" t="n">
        <v>3.6</v>
      </c>
      <c r="X255" t="n">
        <v>3.983</v>
      </c>
      <c r="Y255" t="n">
        <v>4.19</v>
      </c>
      <c r="Z255" t="n">
        <v>4.685</v>
      </c>
      <c r="AA255" t="n">
        <v>4.821</v>
      </c>
      <c r="AB255" t="n">
        <v>5.014</v>
      </c>
      <c r="AC255" t="n">
        <v>5.001</v>
      </c>
      <c r="AD255" t="n">
        <v>6.074</v>
      </c>
      <c r="AE255" t="n">
        <v>6.24</v>
      </c>
      <c r="AF255" t="n">
        <v>6.504</v>
      </c>
      <c r="AG255" t="n">
        <v>6.992</v>
      </c>
      <c r="AH255" t="n">
        <v>7.461</v>
      </c>
      <c r="AI255" t="n">
        <v>7.423</v>
      </c>
      <c r="AJ255" t="n">
        <v>6.631</v>
      </c>
      <c r="AK255" t="n">
        <v>6.387</v>
      </c>
      <c r="AL255" t="n">
        <v>6.474</v>
      </c>
      <c r="AM255" t="n">
        <v>6.562</v>
      </c>
      <c r="AN255" t="n">
        <v>6.389</v>
      </c>
      <c r="AO255" t="n">
        <v>6.484</v>
      </c>
      <c r="AP255" t="n">
        <v>6.091</v>
      </c>
      <c r="AQ255" t="n">
        <v>6.313</v>
      </c>
      <c r="AR255" t="n">
        <v>5.496</v>
      </c>
      <c r="AS255" t="n">
        <v>4.452</v>
      </c>
      <c r="AT255" t="n">
        <v>3.989</v>
      </c>
      <c r="AU255" t="n">
        <v>3.952</v>
      </c>
      <c r="AV255" t="n">
        <v>3.576</v>
      </c>
      <c r="AW255" t="n">
        <v>3.357</v>
      </c>
      <c r="AX255" t="n">
        <v>3.961</v>
      </c>
      <c r="AY255" t="n">
        <v>3.634</v>
      </c>
      <c r="AZ255" t="n">
        <v>3.405</v>
      </c>
      <c r="BA255" t="n">
        <v>2.601</v>
      </c>
      <c r="BB255" t="n">
        <v>2.656</v>
      </c>
      <c r="BC255" t="n">
        <v>1.991</v>
      </c>
      <c r="BD255" t="n">
        <v>1.465</v>
      </c>
      <c r="BE255" t="n">
        <v>2.771</v>
      </c>
      <c r="BF255" t="n">
        <v>1.316</v>
      </c>
      <c r="BG255" t="n">
        <v>1.702</v>
      </c>
      <c r="BH255" t="n">
        <v>1.885</v>
      </c>
      <c r="BI255" t="n">
        <v>1.75</v>
      </c>
      <c r="BJ255" t="n">
        <v>1.341</v>
      </c>
      <c r="BK255" t="n">
        <v>1.466</v>
      </c>
      <c r="BL255" t="n">
        <v>0.724</v>
      </c>
      <c r="BM255" t="n">
        <v>0.375</v>
      </c>
      <c r="BN255" t="n">
        <v>0.401</v>
      </c>
      <c r="BO255" t="n">
        <v>0.422</v>
      </c>
      <c r="BP255" t="n">
        <v>0.906</v>
      </c>
      <c r="BQ255" t="n">
        <v>1.013</v>
      </c>
      <c r="BR255" t="n">
        <v>0.761</v>
      </c>
      <c r="BS255" t="n">
        <v>1.485</v>
      </c>
      <c r="BT255" t="n">
        <v>0.595</v>
      </c>
      <c r="BU255" t="n">
        <v>0.905</v>
      </c>
      <c r="BV255" t="n">
        <v>0.695</v>
      </c>
    </row>
    <row r="256">
      <c r="A256" t="inlineStr">
        <is>
          <t>Lethrinus miniatus</t>
        </is>
      </c>
      <c r="B256" t="inlineStr">
        <is>
          <t>Trumpet emperor</t>
        </is>
      </c>
      <c r="C256" t="inlineStr">
        <is>
          <t>Medium reef assoc. fish (30 - 89 cm)</t>
        </is>
      </c>
      <c r="D256" t="inlineStr">
        <is>
          <t>Perch-likes</t>
        </is>
      </c>
      <c r="E256" t="n">
        <v>0.307</v>
      </c>
      <c r="F256" t="n">
        <v>0.377</v>
      </c>
      <c r="G256" t="n">
        <v>0.443</v>
      </c>
      <c r="H256" t="n">
        <v>0.476</v>
      </c>
      <c r="I256" t="n">
        <v>0.484</v>
      </c>
      <c r="J256" t="n">
        <v>0.59</v>
      </c>
      <c r="K256" t="n">
        <v>0.6870000000000001</v>
      </c>
      <c r="L256" t="n">
        <v>0.753</v>
      </c>
      <c r="M256" t="n">
        <v>0.833</v>
      </c>
      <c r="N256" t="n">
        <v>0.944</v>
      </c>
      <c r="O256" t="n">
        <v>1.02</v>
      </c>
      <c r="P256" t="n">
        <v>1.215</v>
      </c>
      <c r="Q256" t="n">
        <v>1.335</v>
      </c>
      <c r="R256" t="n">
        <v>1.433</v>
      </c>
      <c r="S256" t="n">
        <v>1.618</v>
      </c>
      <c r="T256" t="n">
        <v>1.778</v>
      </c>
      <c r="U256" t="n">
        <v>1.988</v>
      </c>
      <c r="V256" t="n">
        <v>2.198</v>
      </c>
      <c r="W256" t="n">
        <v>2.526</v>
      </c>
      <c r="X256" t="n">
        <v>2.817</v>
      </c>
      <c r="Y256" t="n">
        <v>2.958</v>
      </c>
      <c r="Z256" t="n">
        <v>3.255</v>
      </c>
      <c r="AA256" t="n">
        <v>3.272</v>
      </c>
      <c r="AB256" t="n">
        <v>3.452</v>
      </c>
      <c r="AC256" t="n">
        <v>3.449</v>
      </c>
      <c r="AD256" t="n">
        <v>4.304</v>
      </c>
      <c r="AE256" t="n">
        <v>4.437</v>
      </c>
      <c r="AF256" t="n">
        <v>4.738</v>
      </c>
      <c r="AG256" t="n">
        <v>5.176</v>
      </c>
      <c r="AH256" t="n">
        <v>5.529</v>
      </c>
      <c r="AI256" t="n">
        <v>5.516</v>
      </c>
      <c r="AJ256" t="n">
        <v>4.873</v>
      </c>
      <c r="AK256" t="n">
        <v>4.727</v>
      </c>
      <c r="AL256" t="n">
        <v>4.744</v>
      </c>
      <c r="AM256" t="n">
        <v>4.754</v>
      </c>
      <c r="AN256" t="n">
        <v>4.706</v>
      </c>
      <c r="AO256" t="n">
        <v>4.74</v>
      </c>
      <c r="AP256" t="n">
        <v>4.425</v>
      </c>
      <c r="AQ256" t="n">
        <v>4.479</v>
      </c>
      <c r="AR256" t="n">
        <v>3.887</v>
      </c>
      <c r="AS256" t="n">
        <v>3.106</v>
      </c>
      <c r="AT256" t="n">
        <v>2.787</v>
      </c>
      <c r="AU256" t="n">
        <v>2.816</v>
      </c>
      <c r="AV256" t="n">
        <v>2.511</v>
      </c>
      <c r="AW256" t="n">
        <v>2.395</v>
      </c>
      <c r="AX256" t="n">
        <v>2.844</v>
      </c>
      <c r="AY256" t="n">
        <v>2.661</v>
      </c>
      <c r="AZ256" t="n">
        <v>2.453</v>
      </c>
      <c r="BA256" t="n">
        <v>1.883</v>
      </c>
      <c r="BB256" t="n">
        <v>1.951</v>
      </c>
      <c r="BC256" t="n">
        <v>3.368</v>
      </c>
      <c r="BD256" t="n">
        <v>3.001</v>
      </c>
      <c r="BE256" t="n">
        <v>3.452</v>
      </c>
      <c r="BF256" t="n">
        <v>2.452</v>
      </c>
      <c r="BG256" t="n">
        <v>2.482</v>
      </c>
      <c r="BH256" t="n">
        <v>2.235</v>
      </c>
      <c r="BI256" t="n">
        <v>2.372</v>
      </c>
      <c r="BJ256" t="n">
        <v>2.104</v>
      </c>
      <c r="BK256" t="n">
        <v>0.41</v>
      </c>
      <c r="BL256" t="n">
        <v>0.327</v>
      </c>
      <c r="BM256" t="n">
        <v>0.284</v>
      </c>
      <c r="BN256" t="n">
        <v>3.753</v>
      </c>
      <c r="BO256" t="n">
        <v>4.402</v>
      </c>
      <c r="BP256" t="n">
        <v>4.133</v>
      </c>
      <c r="BQ256" t="n">
        <v>6.443</v>
      </c>
      <c r="BR256" t="n">
        <v>6.894</v>
      </c>
      <c r="BS256" t="n">
        <v>2.54</v>
      </c>
      <c r="BT256" t="n">
        <v>5.679</v>
      </c>
      <c r="BU256" t="n">
        <v>4.328</v>
      </c>
      <c r="BV256" t="n">
        <v>4.041</v>
      </c>
    </row>
    <row r="257">
      <c r="A257" t="inlineStr">
        <is>
          <t>Istiophorus platypterus</t>
        </is>
      </c>
      <c r="B257" t="inlineStr">
        <is>
          <t>Indo-Pacific sailfish</t>
        </is>
      </c>
      <c r="C257" t="inlineStr">
        <is>
          <t>Large pelagics (&gt;=90 cm)</t>
        </is>
      </c>
      <c r="D257" t="inlineStr">
        <is>
          <t>Tuna &amp; billfishes</t>
        </is>
      </c>
      <c r="E257" t="n">
        <v>0.371</v>
      </c>
      <c r="F257" t="n">
        <v>0.459</v>
      </c>
      <c r="G257" t="n">
        <v>0.537</v>
      </c>
      <c r="H257" t="n">
        <v>0.575</v>
      </c>
      <c r="I257" t="n">
        <v>0.661</v>
      </c>
      <c r="J257" t="n">
        <v>0.803</v>
      </c>
      <c r="K257" t="n">
        <v>0.88</v>
      </c>
      <c r="L257" t="n">
        <v>0.964</v>
      </c>
      <c r="M257" t="n">
        <v>1.077</v>
      </c>
      <c r="N257" t="n">
        <v>1.178</v>
      </c>
      <c r="O257" t="n">
        <v>1.117</v>
      </c>
      <c r="P257" t="n">
        <v>1.211</v>
      </c>
      <c r="Q257" t="n">
        <v>1.222</v>
      </c>
      <c r="R257" t="n">
        <v>1.403</v>
      </c>
      <c r="S257" t="n">
        <v>1.237</v>
      </c>
      <c r="T257" t="n">
        <v>1.173</v>
      </c>
      <c r="U257" t="n">
        <v>0.993</v>
      </c>
      <c r="V257" t="n">
        <v>1.02</v>
      </c>
      <c r="W257" t="n">
        <v>0.982</v>
      </c>
      <c r="X257" t="n">
        <v>1.026</v>
      </c>
      <c r="Y257" t="n">
        <v>1.063</v>
      </c>
      <c r="Z257" t="n">
        <v>1.075</v>
      </c>
      <c r="AA257" t="n">
        <v>0.959</v>
      </c>
      <c r="AB257" t="n">
        <v>0.901</v>
      </c>
      <c r="AC257" t="n">
        <v>0.891</v>
      </c>
      <c r="AD257" t="n">
        <v>1.024</v>
      </c>
      <c r="AE257" t="n">
        <v>1.13</v>
      </c>
      <c r="AF257" t="n">
        <v>1.151</v>
      </c>
      <c r="AG257" t="n">
        <v>1.115</v>
      </c>
      <c r="AH257" t="n">
        <v>1.248</v>
      </c>
      <c r="AI257" t="n">
        <v>1.285</v>
      </c>
      <c r="AJ257" t="n">
        <v>1.344</v>
      </c>
      <c r="AK257" t="n">
        <v>1.412</v>
      </c>
      <c r="AL257" t="n">
        <v>1.633</v>
      </c>
      <c r="AM257" t="n">
        <v>1.639</v>
      </c>
      <c r="AN257" t="n">
        <v>1.864</v>
      </c>
      <c r="AO257" t="n">
        <v>2.021</v>
      </c>
      <c r="AP257" t="n">
        <v>1.838</v>
      </c>
      <c r="AQ257" t="n">
        <v>1.733</v>
      </c>
      <c r="AR257" t="n">
        <v>1.634</v>
      </c>
      <c r="AS257" t="n">
        <v>1.622</v>
      </c>
      <c r="AT257" t="n">
        <v>1.394</v>
      </c>
      <c r="AU257" t="n">
        <v>1.488</v>
      </c>
      <c r="AV257" t="n">
        <v>1.438</v>
      </c>
      <c r="AW257" t="n">
        <v>1.394</v>
      </c>
      <c r="AX257" t="n">
        <v>1.532</v>
      </c>
      <c r="AY257" t="n">
        <v>1.399</v>
      </c>
      <c r="AZ257" t="n">
        <v>1.356</v>
      </c>
      <c r="BA257" t="n">
        <v>1.483</v>
      </c>
      <c r="BB257" t="n">
        <v>1.35</v>
      </c>
      <c r="BC257" t="n">
        <v>1.232</v>
      </c>
      <c r="BD257" t="n">
        <v>1.262</v>
      </c>
      <c r="BE257" t="n">
        <v>0.911</v>
      </c>
      <c r="BF257" t="n">
        <v>1.13</v>
      </c>
      <c r="BG257" t="n">
        <v>0.659</v>
      </c>
      <c r="BH257" t="n">
        <v>1.01</v>
      </c>
      <c r="BI257" t="n">
        <v>4.01</v>
      </c>
      <c r="BJ257" t="n">
        <v>6.434</v>
      </c>
      <c r="BK257" t="n">
        <v>5.715</v>
      </c>
      <c r="BL257" t="n">
        <v>3.802</v>
      </c>
      <c r="BM257" t="n">
        <v>6.066</v>
      </c>
      <c r="BN257" t="n">
        <v>4.909</v>
      </c>
      <c r="BO257" t="n">
        <v>5.768</v>
      </c>
      <c r="BP257" t="n">
        <v>4.814</v>
      </c>
      <c r="BQ257" t="n">
        <v>5.136</v>
      </c>
      <c r="BR257" t="n">
        <v>4.412</v>
      </c>
      <c r="BS257" t="n">
        <v>4.642</v>
      </c>
      <c r="BT257" t="n">
        <v>4.801</v>
      </c>
      <c r="BU257" t="n">
        <v>7.123</v>
      </c>
      <c r="BV257" t="n">
        <v>4.636</v>
      </c>
    </row>
    <row r="258">
      <c r="A258" t="inlineStr">
        <is>
          <t>Lutjanus bohar</t>
        </is>
      </c>
      <c r="B258" t="inlineStr">
        <is>
          <t>Two-spot red snapper</t>
        </is>
      </c>
      <c r="C258" t="inlineStr">
        <is>
          <t>Medium reef assoc. fish (30 - 89 cm)</t>
        </is>
      </c>
      <c r="D258" t="inlineStr">
        <is>
          <t>Perch-likes</t>
        </is>
      </c>
      <c r="E258" t="n">
        <v>0.215</v>
      </c>
      <c r="F258" t="n">
        <v>0.26</v>
      </c>
      <c r="G258" t="n">
        <v>0.32</v>
      </c>
      <c r="H258" t="n">
        <v>0.349</v>
      </c>
      <c r="I258" t="n">
        <v>0.364</v>
      </c>
      <c r="J258" t="n">
        <v>0.462</v>
      </c>
      <c r="K258" t="n">
        <v>0.533</v>
      </c>
      <c r="L258" t="n">
        <v>0.588</v>
      </c>
      <c r="M258" t="n">
        <v>0.635</v>
      </c>
      <c r="N258" t="n">
        <v>0.732</v>
      </c>
      <c r="O258" t="n">
        <v>0.85</v>
      </c>
      <c r="P258" t="n">
        <v>1.039</v>
      </c>
      <c r="Q258" t="n">
        <v>1.097</v>
      </c>
      <c r="R258" t="n">
        <v>1.108</v>
      </c>
      <c r="S258" t="n">
        <v>1.207</v>
      </c>
      <c r="T258" t="n">
        <v>1.444</v>
      </c>
      <c r="U258" t="n">
        <v>1.66</v>
      </c>
      <c r="V258" t="n">
        <v>1.693</v>
      </c>
      <c r="W258" t="n">
        <v>1.787</v>
      </c>
      <c r="X258" t="n">
        <v>1.888</v>
      </c>
      <c r="Y258" t="n">
        <v>2.051</v>
      </c>
      <c r="Z258" t="n">
        <v>2.804</v>
      </c>
      <c r="AA258" t="n">
        <v>3.615</v>
      </c>
      <c r="AB258" t="n">
        <v>3.519</v>
      </c>
      <c r="AC258" t="n">
        <v>3.473</v>
      </c>
      <c r="AD258" t="n">
        <v>3.464</v>
      </c>
      <c r="AE258" t="n">
        <v>3.361</v>
      </c>
      <c r="AF258" t="n">
        <v>3.594</v>
      </c>
      <c r="AG258" t="n">
        <v>3.278</v>
      </c>
      <c r="AH258" t="n">
        <v>3.649</v>
      </c>
      <c r="AI258" t="n">
        <v>3.405</v>
      </c>
      <c r="AJ258" t="n">
        <v>3.257</v>
      </c>
      <c r="AK258" t="n">
        <v>2.617</v>
      </c>
      <c r="AL258" t="n">
        <v>2.787</v>
      </c>
      <c r="AM258" t="n">
        <v>3.382</v>
      </c>
      <c r="AN258" t="n">
        <v>2.101</v>
      </c>
      <c r="AO258" t="n">
        <v>2.281</v>
      </c>
      <c r="AP258" t="n">
        <v>2.5</v>
      </c>
      <c r="AQ258" t="n">
        <v>3.914</v>
      </c>
      <c r="AR258" t="n">
        <v>2.619</v>
      </c>
      <c r="AS258" t="n">
        <v>2.066</v>
      </c>
      <c r="AT258" t="n">
        <v>1.892</v>
      </c>
      <c r="AU258" t="n">
        <v>1.319</v>
      </c>
      <c r="AV258" t="n">
        <v>1.353</v>
      </c>
      <c r="AW258" t="n">
        <v>0.921</v>
      </c>
      <c r="AX258" t="n">
        <v>1.092</v>
      </c>
      <c r="AY258" t="n">
        <v>0.739</v>
      </c>
      <c r="AZ258" t="n">
        <v>1.222</v>
      </c>
      <c r="BA258" t="n">
        <v>0</v>
      </c>
      <c r="BB258" t="n">
        <v>0</v>
      </c>
      <c r="BC258" t="n">
        <v>0</v>
      </c>
      <c r="BD258" t="n">
        <v>0</v>
      </c>
      <c r="BE258" t="n">
        <v>0</v>
      </c>
      <c r="BF258" t="n">
        <v>0</v>
      </c>
      <c r="BG258" t="n">
        <v>0</v>
      </c>
      <c r="BH258" t="n">
        <v>0</v>
      </c>
      <c r="BI258" t="n">
        <v>0</v>
      </c>
      <c r="BJ258" t="n">
        <v>0</v>
      </c>
      <c r="BK258" t="n">
        <v>0</v>
      </c>
      <c r="BL258" t="n">
        <v>0</v>
      </c>
      <c r="BM258" t="n">
        <v>0</v>
      </c>
      <c r="BN258" t="n">
        <v>40.001</v>
      </c>
      <c r="BO258" t="n">
        <v>0</v>
      </c>
      <c r="BP258" t="n">
        <v>1.074</v>
      </c>
      <c r="BQ258" t="n">
        <v>1.23</v>
      </c>
      <c r="BR258" t="n">
        <v>0.794</v>
      </c>
      <c r="BS258" t="n">
        <v>2.198</v>
      </c>
      <c r="BT258" t="n">
        <v>0.393</v>
      </c>
      <c r="BU258" t="n">
        <v>0.615</v>
      </c>
      <c r="BV258" t="n">
        <v>0.582</v>
      </c>
    </row>
    <row r="259">
      <c r="A259" t="inlineStr">
        <is>
          <t>Rhincodon typus</t>
        </is>
      </c>
      <c r="B259" t="inlineStr">
        <is>
          <t>Whale shark</t>
        </is>
      </c>
      <c r="C259" t="inlineStr">
        <is>
          <t>Large sharks (&gt;=90 cm)</t>
        </is>
      </c>
      <c r="D259" t="inlineStr">
        <is>
          <t>Sharks &amp; rays</t>
        </is>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8.186999999999999</v>
      </c>
      <c r="AT259" t="n">
        <v>8.186999999999999</v>
      </c>
      <c r="AU259" t="n">
        <v>8.186999999999999</v>
      </c>
      <c r="AV259" t="n">
        <v>8.186999999999999</v>
      </c>
      <c r="AW259" t="n">
        <v>8.186999999999999</v>
      </c>
      <c r="AX259" t="n">
        <v>8.186999999999999</v>
      </c>
      <c r="AY259" t="n">
        <v>8.186999999999999</v>
      </c>
      <c r="AZ259" t="n">
        <v>8.186999999999999</v>
      </c>
      <c r="BA259" t="n">
        <v>8.186999999999999</v>
      </c>
      <c r="BB259" t="n">
        <v>8.186999999999999</v>
      </c>
      <c r="BC259" t="n">
        <v>8.186999999999999</v>
      </c>
      <c r="BD259" t="n">
        <v>3.697</v>
      </c>
      <c r="BE259" t="n">
        <v>3.697</v>
      </c>
      <c r="BF259" t="n">
        <v>3.697</v>
      </c>
      <c r="BG259" t="n">
        <v>3.697</v>
      </c>
      <c r="BH259" t="n">
        <v>3.697</v>
      </c>
      <c r="BI259" t="n">
        <v>3.697</v>
      </c>
      <c r="BJ259" t="n">
        <v>3.697</v>
      </c>
      <c r="BK259" t="n">
        <v>3.697</v>
      </c>
      <c r="BL259" t="n">
        <v>3.697</v>
      </c>
      <c r="BM259" t="n">
        <v>3.697</v>
      </c>
      <c r="BN259" t="n">
        <v>3.697</v>
      </c>
      <c r="BO259" t="n">
        <v>3.697</v>
      </c>
      <c r="BP259" t="n">
        <v>0</v>
      </c>
      <c r="BQ259" t="n">
        <v>0</v>
      </c>
      <c r="BR259" t="n">
        <v>0</v>
      </c>
      <c r="BS259" t="n">
        <v>0</v>
      </c>
      <c r="BT259" t="n">
        <v>0</v>
      </c>
      <c r="BU259" t="n">
        <v>0</v>
      </c>
      <c r="BV259" t="n">
        <v>0</v>
      </c>
    </row>
    <row r="260">
      <c r="A260" t="inlineStr">
        <is>
          <t>Sergestidae</t>
        </is>
      </c>
      <c r="B260" t="inlineStr">
        <is>
          <t>Sergestid shrimp</t>
        </is>
      </c>
      <c r="C260" t="inlineStr">
        <is>
          <t>Shrimps</t>
        </is>
      </c>
      <c r="D260" t="inlineStr">
        <is>
          <t>Crustaceans</t>
        </is>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3.992</v>
      </c>
      <c r="BI260" t="n">
        <v>7.104</v>
      </c>
      <c r="BJ260" t="n">
        <v>7.884</v>
      </c>
      <c r="BK260" t="n">
        <v>13.98</v>
      </c>
      <c r="BL260" t="n">
        <v>16.312</v>
      </c>
      <c r="BM260" t="n">
        <v>9.260999999999999</v>
      </c>
      <c r="BN260" t="n">
        <v>7.494</v>
      </c>
      <c r="BO260" t="n">
        <v>8.805999999999999</v>
      </c>
      <c r="BP260" t="n">
        <v>7.35</v>
      </c>
      <c r="BQ260" t="n">
        <v>7.841</v>
      </c>
      <c r="BR260" t="n">
        <v>6.736</v>
      </c>
      <c r="BS260" t="n">
        <v>7.087</v>
      </c>
      <c r="BT260" t="n">
        <v>7.329</v>
      </c>
      <c r="BU260" t="n">
        <v>10.875</v>
      </c>
      <c r="BV260" t="n">
        <v>7.078</v>
      </c>
    </row>
    <row r="261">
      <c r="A261" t="inlineStr">
        <is>
          <t>Lepidocybium flavobrunneum</t>
        </is>
      </c>
      <c r="B261" t="inlineStr">
        <is>
          <t>Escolar</t>
        </is>
      </c>
      <c r="C261" t="inlineStr">
        <is>
          <t>Large bathypelagics (&gt;=90 cm)</t>
        </is>
      </c>
      <c r="D261" t="inlineStr">
        <is>
          <t>Perch-likes</t>
        </is>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18.347</v>
      </c>
      <c r="AG261" t="n">
        <v>19.909</v>
      </c>
      <c r="AH261" t="n">
        <v>4.101</v>
      </c>
      <c r="AI261" t="n">
        <v>2.928</v>
      </c>
      <c r="AJ261" t="n">
        <v>1.707</v>
      </c>
      <c r="AK261" t="n">
        <v>1.961</v>
      </c>
      <c r="AL261" t="n">
        <v>3.559</v>
      </c>
      <c r="AM261" t="n">
        <v>3.181</v>
      </c>
      <c r="AN261" t="n">
        <v>0</v>
      </c>
      <c r="AO261" t="n">
        <v>6.173</v>
      </c>
      <c r="AP261" t="n">
        <v>8.013</v>
      </c>
      <c r="AQ261" t="n">
        <v>2.733</v>
      </c>
      <c r="AR261" t="n">
        <v>8.393000000000001</v>
      </c>
      <c r="AS261" t="n">
        <v>8.076000000000001</v>
      </c>
      <c r="AT261" t="n">
        <v>9.611000000000001</v>
      </c>
      <c r="AU261" t="n">
        <v>4.106</v>
      </c>
      <c r="AV261" t="n">
        <v>0</v>
      </c>
      <c r="AW261" t="n">
        <v>0</v>
      </c>
      <c r="AX261" t="n">
        <v>5.33</v>
      </c>
      <c r="AY261" t="n">
        <v>5.479</v>
      </c>
      <c r="AZ261" t="n">
        <v>0.305</v>
      </c>
      <c r="BA261" t="n">
        <v>1.218</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row>
    <row r="262">
      <c r="A262" t="inlineStr">
        <is>
          <t>Acetes</t>
        </is>
      </c>
      <c r="B262" t="inlineStr">
        <is>
          <t>Acetes shrimps</t>
        </is>
      </c>
      <c r="C262" t="inlineStr">
        <is>
          <t>Shrimps</t>
        </is>
      </c>
      <c r="D262" t="inlineStr">
        <is>
          <t>Crustaceans</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10.022</v>
      </c>
      <c r="BI262" t="n">
        <v>14.839</v>
      </c>
      <c r="BJ262" t="n">
        <v>14.399</v>
      </c>
      <c r="BK262" t="n">
        <v>11.718</v>
      </c>
      <c r="BL262" t="n">
        <v>20.268</v>
      </c>
      <c r="BM262" t="n">
        <v>3.955</v>
      </c>
      <c r="BN262" t="n">
        <v>3.2</v>
      </c>
      <c r="BO262" t="n">
        <v>3.761</v>
      </c>
      <c r="BP262" t="n">
        <v>3.139</v>
      </c>
      <c r="BQ262" t="n">
        <v>3.348</v>
      </c>
      <c r="BR262" t="n">
        <v>2.877</v>
      </c>
      <c r="BS262" t="n">
        <v>3.026</v>
      </c>
      <c r="BT262" t="n">
        <v>3.13</v>
      </c>
      <c r="BU262" t="n">
        <v>4.644</v>
      </c>
      <c r="BV262" t="n">
        <v>3.023</v>
      </c>
    </row>
    <row r="263">
      <c r="A263" t="inlineStr">
        <is>
          <t>Zenopsis nebulosa</t>
        </is>
      </c>
      <c r="B263" t="inlineStr">
        <is>
          <t>Mirror dory</t>
        </is>
      </c>
      <c r="C263" t="inlineStr">
        <is>
          <t>Medium bathydemersals (30 - 89 cm)</t>
        </is>
      </c>
      <c r="D263" t="inlineStr">
        <is>
          <t>Other fishes &amp; inverts</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23.17</v>
      </c>
      <c r="BU263" t="n">
        <v>4.365</v>
      </c>
      <c r="BV263" t="n">
        <v>51.015</v>
      </c>
    </row>
    <row r="264">
      <c r="A264" t="inlineStr">
        <is>
          <t>Carcharhinus longimanus</t>
        </is>
      </c>
      <c r="B264" t="inlineStr">
        <is>
          <t>Oceanic whitetip shark</t>
        </is>
      </c>
      <c r="C264" t="inlineStr">
        <is>
          <t>Large sharks (&gt;=90 cm)</t>
        </is>
      </c>
      <c r="D264" t="inlineStr">
        <is>
          <t>Sharks &amp; rays</t>
        </is>
      </c>
      <c r="E264" t="n">
        <v>0</v>
      </c>
      <c r="F264" t="n">
        <v>0</v>
      </c>
      <c r="G264" t="n">
        <v>0.035</v>
      </c>
      <c r="H264" t="n">
        <v>0.153</v>
      </c>
      <c r="I264" t="n">
        <v>0.047</v>
      </c>
      <c r="J264" t="n">
        <v>0.314</v>
      </c>
      <c r="K264" t="n">
        <v>0.514</v>
      </c>
      <c r="L264" t="n">
        <v>0.228</v>
      </c>
      <c r="M264" t="n">
        <v>0.216</v>
      </c>
      <c r="N264" t="n">
        <v>0.6929999999999999</v>
      </c>
      <c r="O264" t="n">
        <v>0.076</v>
      </c>
      <c r="P264" t="n">
        <v>0.099</v>
      </c>
      <c r="Q264" t="n">
        <v>0.4</v>
      </c>
      <c r="R264" t="n">
        <v>2.414</v>
      </c>
      <c r="S264" t="n">
        <v>3.619</v>
      </c>
      <c r="T264" t="n">
        <v>2.679</v>
      </c>
      <c r="U264" t="n">
        <v>3.045</v>
      </c>
      <c r="V264" t="n">
        <v>2.14</v>
      </c>
      <c r="W264" t="n">
        <v>1.171</v>
      </c>
      <c r="X264" t="n">
        <v>0.573</v>
      </c>
      <c r="Y264" t="n">
        <v>1.719</v>
      </c>
      <c r="Z264" t="n">
        <v>1.765</v>
      </c>
      <c r="AA264" t="n">
        <v>0.016</v>
      </c>
      <c r="AB264" t="n">
        <v>0.03</v>
      </c>
      <c r="AC264" t="n">
        <v>0.238</v>
      </c>
      <c r="AD264" t="n">
        <v>0.037</v>
      </c>
      <c r="AE264" t="n">
        <v>0.029</v>
      </c>
      <c r="AF264" t="n">
        <v>0.02</v>
      </c>
      <c r="AG264" t="n">
        <v>0.035</v>
      </c>
      <c r="AH264" t="n">
        <v>0.057</v>
      </c>
      <c r="AI264" t="n">
        <v>0.042</v>
      </c>
      <c r="AJ264" t="n">
        <v>0.039</v>
      </c>
      <c r="AK264" t="n">
        <v>0.193</v>
      </c>
      <c r="AL264" t="n">
        <v>0.04</v>
      </c>
      <c r="AM264" t="n">
        <v>0.039</v>
      </c>
      <c r="AN264" t="n">
        <v>0.031</v>
      </c>
      <c r="AO264" t="n">
        <v>0.026</v>
      </c>
      <c r="AP264" t="n">
        <v>0.047</v>
      </c>
      <c r="AQ264" t="n">
        <v>0.043</v>
      </c>
      <c r="AR264" t="n">
        <v>0.04</v>
      </c>
      <c r="AS264" t="n">
        <v>0.034</v>
      </c>
      <c r="AT264" t="n">
        <v>0.031</v>
      </c>
      <c r="AU264" t="n">
        <v>0.037</v>
      </c>
      <c r="AV264" t="n">
        <v>0.037</v>
      </c>
      <c r="AW264" t="n">
        <v>0.046</v>
      </c>
      <c r="AX264" t="n">
        <v>0.041</v>
      </c>
      <c r="AY264" t="n">
        <v>0.045</v>
      </c>
      <c r="AZ264" t="n">
        <v>0.054</v>
      </c>
      <c r="BA264" t="n">
        <v>0.041</v>
      </c>
      <c r="BB264" t="n">
        <v>0.04</v>
      </c>
      <c r="BC264" t="n">
        <v>0.036</v>
      </c>
      <c r="BD264" t="n">
        <v>0.049</v>
      </c>
      <c r="BE264" t="n">
        <v>0.03</v>
      </c>
      <c r="BF264" t="n">
        <v>0.028</v>
      </c>
      <c r="BG264" t="n">
        <v>5.893</v>
      </c>
      <c r="BH264" t="n">
        <v>7.066</v>
      </c>
      <c r="BI264" t="n">
        <v>8.311</v>
      </c>
      <c r="BJ264" t="n">
        <v>7.067</v>
      </c>
      <c r="BK264" t="n">
        <v>1.251</v>
      </c>
      <c r="BL264" t="n">
        <v>3.858</v>
      </c>
      <c r="BM264" t="n">
        <v>5.015</v>
      </c>
      <c r="BN264" t="n">
        <v>0.954</v>
      </c>
      <c r="BO264" t="n">
        <v>0.396</v>
      </c>
      <c r="BP264" t="n">
        <v>0.227</v>
      </c>
      <c r="BQ264" t="n">
        <v>0.494</v>
      </c>
      <c r="BR264" t="n">
        <v>0.489</v>
      </c>
      <c r="BS264" t="n">
        <v>1.442</v>
      </c>
      <c r="BT264" t="n">
        <v>0.033</v>
      </c>
      <c r="BU264" t="n">
        <v>0.008999999999999999</v>
      </c>
      <c r="BV264" t="n">
        <v>0.007</v>
      </c>
    </row>
    <row r="265">
      <c r="A265" t="inlineStr">
        <is>
          <t>Lutjanus</t>
        </is>
      </c>
      <c r="B265" t="inlineStr">
        <is>
          <t>Snappers</t>
        </is>
      </c>
      <c r="C265" t="inlineStr">
        <is>
          <t>Medium reef assoc. fish (30 - 89 cm)</t>
        </is>
      </c>
      <c r="D265" t="inlineStr">
        <is>
          <t>Perch-likes</t>
        </is>
      </c>
      <c r="E265" t="n">
        <v>0.005</v>
      </c>
      <c r="F265" t="n">
        <v>0.006</v>
      </c>
      <c r="G265" t="n">
        <v>0.007</v>
      </c>
      <c r="H265" t="n">
        <v>0.007</v>
      </c>
      <c r="I265" t="n">
        <v>0.008</v>
      </c>
      <c r="J265" t="n">
        <v>0.01</v>
      </c>
      <c r="K265" t="n">
        <v>0.011</v>
      </c>
      <c r="L265" t="n">
        <v>0.012</v>
      </c>
      <c r="M265" t="n">
        <v>0.014</v>
      </c>
      <c r="N265" t="n">
        <v>0.015</v>
      </c>
      <c r="O265" t="n">
        <v>0.014</v>
      </c>
      <c r="P265" t="n">
        <v>0.015</v>
      </c>
      <c r="Q265" t="n">
        <v>0.015</v>
      </c>
      <c r="R265" t="n">
        <v>0.018</v>
      </c>
      <c r="S265" t="n">
        <v>0.016</v>
      </c>
      <c r="T265" t="n">
        <v>0.015</v>
      </c>
      <c r="U265" t="n">
        <v>0.013</v>
      </c>
      <c r="V265" t="n">
        <v>0.013</v>
      </c>
      <c r="W265" t="n">
        <v>0.012</v>
      </c>
      <c r="X265" t="n">
        <v>0.013</v>
      </c>
      <c r="Y265" t="n">
        <v>0.013</v>
      </c>
      <c r="Z265" t="n">
        <v>0.014</v>
      </c>
      <c r="AA265" t="n">
        <v>0.012</v>
      </c>
      <c r="AB265" t="n">
        <v>0.011</v>
      </c>
      <c r="AC265" t="n">
        <v>0.011</v>
      </c>
      <c r="AD265" t="n">
        <v>0.013</v>
      </c>
      <c r="AE265" t="n">
        <v>0.014</v>
      </c>
      <c r="AF265" t="n">
        <v>0.015</v>
      </c>
      <c r="AG265" t="n">
        <v>0.014</v>
      </c>
      <c r="AH265" t="n">
        <v>0.016</v>
      </c>
      <c r="AI265" t="n">
        <v>0.016</v>
      </c>
      <c r="AJ265" t="n">
        <v>0.017</v>
      </c>
      <c r="AK265" t="n">
        <v>0.018</v>
      </c>
      <c r="AL265" t="n">
        <v>0.021</v>
      </c>
      <c r="AM265" t="n">
        <v>0.021</v>
      </c>
      <c r="AN265" t="n">
        <v>0.024</v>
      </c>
      <c r="AO265" t="n">
        <v>0.026</v>
      </c>
      <c r="AP265" t="n">
        <v>0.023</v>
      </c>
      <c r="AQ265" t="n">
        <v>0.022</v>
      </c>
      <c r="AR265" t="n">
        <v>0.021</v>
      </c>
      <c r="AS265" t="n">
        <v>0.02</v>
      </c>
      <c r="AT265" t="n">
        <v>0.018</v>
      </c>
      <c r="AU265" t="n">
        <v>0.019</v>
      </c>
      <c r="AV265" t="n">
        <v>0.018</v>
      </c>
      <c r="AW265" t="n">
        <v>0.018</v>
      </c>
      <c r="AX265" t="n">
        <v>0.019</v>
      </c>
      <c r="AY265" t="n">
        <v>0.018</v>
      </c>
      <c r="AZ265" t="n">
        <v>0.017</v>
      </c>
      <c r="BA265" t="n">
        <v>0.019</v>
      </c>
      <c r="BB265" t="n">
        <v>0.017</v>
      </c>
      <c r="BC265" t="n">
        <v>0.095</v>
      </c>
      <c r="BD265" t="n">
        <v>0.101</v>
      </c>
      <c r="BE265" t="n">
        <v>0.182</v>
      </c>
      <c r="BF265" t="n">
        <v>0.066</v>
      </c>
      <c r="BG265" t="n">
        <v>0.154</v>
      </c>
      <c r="BH265" t="n">
        <v>0.219</v>
      </c>
      <c r="BI265" t="n">
        <v>0.379</v>
      </c>
      <c r="BJ265" t="n">
        <v>0.418</v>
      </c>
      <c r="BK265" t="n">
        <v>0.423</v>
      </c>
      <c r="BL265" t="n">
        <v>0.464</v>
      </c>
      <c r="BM265" t="n">
        <v>0.71</v>
      </c>
      <c r="BN265" t="n">
        <v>21.96</v>
      </c>
      <c r="BO265" t="n">
        <v>0.675</v>
      </c>
      <c r="BP265" t="n">
        <v>0.5629999999999999</v>
      </c>
      <c r="BQ265" t="n">
        <v>0.601</v>
      </c>
      <c r="BR265" t="n">
        <v>0.516</v>
      </c>
      <c r="BS265" t="n">
        <v>0.543</v>
      </c>
      <c r="BT265" t="n">
        <v>0.5620000000000001</v>
      </c>
      <c r="BU265" t="n">
        <v>0.834</v>
      </c>
      <c r="BV265" t="n">
        <v>0.543</v>
      </c>
    </row>
    <row r="266">
      <c r="A266" t="inlineStr">
        <is>
          <t>Alopias</t>
        </is>
      </c>
      <c r="B266" t="inlineStr">
        <is>
          <t>Thresher sharks</t>
        </is>
      </c>
      <c r="C266" t="inlineStr">
        <is>
          <t>Large sharks (&gt;=90 cm)</t>
        </is>
      </c>
      <c r="D266" t="inlineStr">
        <is>
          <t>Sharks &amp; rays</t>
        </is>
      </c>
      <c r="E266" t="n">
        <v>0</v>
      </c>
      <c r="F266" t="n">
        <v>0</v>
      </c>
      <c r="G266" t="n">
        <v>0.011</v>
      </c>
      <c r="H266" t="n">
        <v>0.045</v>
      </c>
      <c r="I266" t="n">
        <v>0.015</v>
      </c>
      <c r="J266" t="n">
        <v>0.08</v>
      </c>
      <c r="K266" t="n">
        <v>0.142</v>
      </c>
      <c r="L266" t="n">
        <v>0.064</v>
      </c>
      <c r="M266" t="n">
        <v>0.063</v>
      </c>
      <c r="N266" t="n">
        <v>0.269</v>
      </c>
      <c r="O266" t="n">
        <v>0.019</v>
      </c>
      <c r="P266" t="n">
        <v>0.025</v>
      </c>
      <c r="Q266" t="n">
        <v>0.096</v>
      </c>
      <c r="R266" t="n">
        <v>0.672</v>
      </c>
      <c r="S266" t="n">
        <v>1.008</v>
      </c>
      <c r="T266" t="n">
        <v>0.785</v>
      </c>
      <c r="U266" t="n">
        <v>0.612</v>
      </c>
      <c r="V266" t="n">
        <v>0.502</v>
      </c>
      <c r="W266" t="n">
        <v>0.297</v>
      </c>
      <c r="X266" t="n">
        <v>0.08599999999999999</v>
      </c>
      <c r="Y266" t="n">
        <v>0.396</v>
      </c>
      <c r="Z266" t="n">
        <v>0.432</v>
      </c>
      <c r="AA266" t="n">
        <v>0.005</v>
      </c>
      <c r="AB266" t="n">
        <v>0.008</v>
      </c>
      <c r="AC266" t="n">
        <v>0.053</v>
      </c>
      <c r="AD266" t="n">
        <v>0.011</v>
      </c>
      <c r="AE266" t="n">
        <v>0.01</v>
      </c>
      <c r="AF266" t="n">
        <v>0.006</v>
      </c>
      <c r="AG266" t="n">
        <v>0.011</v>
      </c>
      <c r="AH266" t="n">
        <v>0.022</v>
      </c>
      <c r="AI266" t="n">
        <v>0.016</v>
      </c>
      <c r="AJ266" t="n">
        <v>0.013</v>
      </c>
      <c r="AK266" t="n">
        <v>0.067</v>
      </c>
      <c r="AL266" t="n">
        <v>0.012</v>
      </c>
      <c r="AM266" t="n">
        <v>0.013</v>
      </c>
      <c r="AN266" t="n">
        <v>0.01</v>
      </c>
      <c r="AO266" t="n">
        <v>0.005</v>
      </c>
      <c r="AP266" t="n">
        <v>0.015</v>
      </c>
      <c r="AQ266" t="n">
        <v>0.014</v>
      </c>
      <c r="AR266" t="n">
        <v>0.01</v>
      </c>
      <c r="AS266" t="n">
        <v>0.008999999999999999</v>
      </c>
      <c r="AT266" t="n">
        <v>0.007</v>
      </c>
      <c r="AU266" t="n">
        <v>0.01</v>
      </c>
      <c r="AV266" t="n">
        <v>0.008</v>
      </c>
      <c r="AW266" t="n">
        <v>0.008999999999999999</v>
      </c>
      <c r="AX266" t="n">
        <v>0.008</v>
      </c>
      <c r="AY266" t="n">
        <v>0.012</v>
      </c>
      <c r="AZ266" t="n">
        <v>0.013</v>
      </c>
      <c r="BA266" t="n">
        <v>0.01</v>
      </c>
      <c r="BB266" t="n">
        <v>0.008</v>
      </c>
      <c r="BC266" t="n">
        <v>0.011</v>
      </c>
      <c r="BD266" t="n">
        <v>0.013</v>
      </c>
      <c r="BE266" t="n">
        <v>0.005</v>
      </c>
      <c r="BF266" t="n">
        <v>0.006</v>
      </c>
      <c r="BG266" t="n">
        <v>1.418</v>
      </c>
      <c r="BH266" t="n">
        <v>1.326</v>
      </c>
      <c r="BI266" t="n">
        <v>1.472</v>
      </c>
      <c r="BJ266" t="n">
        <v>1.065</v>
      </c>
      <c r="BK266" t="n">
        <v>0.383</v>
      </c>
      <c r="BL266" t="n">
        <v>1.807</v>
      </c>
      <c r="BM266" t="n">
        <v>1.531</v>
      </c>
      <c r="BN266" t="n">
        <v>0.555</v>
      </c>
      <c r="BO266" t="n">
        <v>0.204</v>
      </c>
      <c r="BP266" t="n">
        <v>0.127</v>
      </c>
      <c r="BQ266" t="n">
        <v>0.264</v>
      </c>
      <c r="BR266" t="n">
        <v>0.223</v>
      </c>
      <c r="BS266" t="n">
        <v>0.909</v>
      </c>
      <c r="BT266" t="n">
        <v>0.022</v>
      </c>
      <c r="BU266" t="n">
        <v>0.008</v>
      </c>
      <c r="BV266" t="n">
        <v>0.005</v>
      </c>
    </row>
    <row r="267">
      <c r="A267" t="inlineStr">
        <is>
          <t>Holothuriidae</t>
        </is>
      </c>
      <c r="B267" t="inlineStr">
        <is>
          <t>Fleshy sea cucumbers</t>
        </is>
      </c>
      <c r="C267" t="inlineStr">
        <is>
          <t>Other demersal invertebrates</t>
        </is>
      </c>
      <c r="D267" t="inlineStr">
        <is>
          <t>Other fishes &amp; inverts</t>
        </is>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0.042</v>
      </c>
      <c r="AY267" t="n">
        <v>0.08400000000000001</v>
      </c>
      <c r="AZ267" t="n">
        <v>0.125</v>
      </c>
      <c r="BA267" t="n">
        <v>0.167</v>
      </c>
      <c r="BB267" t="n">
        <v>0.209</v>
      </c>
      <c r="BC267" t="n">
        <v>0.251</v>
      </c>
      <c r="BD267" t="n">
        <v>0.292</v>
      </c>
      <c r="BE267" t="n">
        <v>0.334</v>
      </c>
      <c r="BF267" t="n">
        <v>0.376</v>
      </c>
      <c r="BG267" t="n">
        <v>0.418</v>
      </c>
      <c r="BH267" t="n">
        <v>0.485</v>
      </c>
      <c r="BI267" t="n">
        <v>0.552</v>
      </c>
      <c r="BJ267" t="n">
        <v>0.62</v>
      </c>
      <c r="BK267" t="n">
        <v>0.6870000000000001</v>
      </c>
      <c r="BL267" t="n">
        <v>0.755</v>
      </c>
      <c r="BM267" t="n">
        <v>0.822</v>
      </c>
      <c r="BN267" t="n">
        <v>0.822</v>
      </c>
      <c r="BO267" t="n">
        <v>0.822</v>
      </c>
      <c r="BP267" t="n">
        <v>0.822</v>
      </c>
      <c r="BQ267" t="n">
        <v>0.822</v>
      </c>
      <c r="BR267" t="n">
        <v>0.822</v>
      </c>
      <c r="BS267" t="n">
        <v>0.822</v>
      </c>
      <c r="BT267" t="n">
        <v>0.822</v>
      </c>
      <c r="BU267" t="n">
        <v>0.776</v>
      </c>
      <c r="BV267" t="n">
        <v>0.734</v>
      </c>
    </row>
    <row r="268">
      <c r="A268" t="inlineStr">
        <is>
          <t>Tripneustes gratilla</t>
        </is>
      </c>
      <c r="B268" t="inlineStr">
        <is>
          <t>Shortspine urchin</t>
        </is>
      </c>
      <c r="C268" t="inlineStr">
        <is>
          <t>Other demersal invertebrates</t>
        </is>
      </c>
      <c r="D268" t="inlineStr">
        <is>
          <t>Other fishes &amp; inverts</t>
        </is>
      </c>
      <c r="E268" t="n">
        <v>0.052</v>
      </c>
      <c r="F268" t="n">
        <v>0.064</v>
      </c>
      <c r="G268" t="n">
        <v>0.075</v>
      </c>
      <c r="H268" t="n">
        <v>0.08</v>
      </c>
      <c r="I268" t="n">
        <v>0.092</v>
      </c>
      <c r="J268" t="n">
        <v>0.112</v>
      </c>
      <c r="K268" t="n">
        <v>0.123</v>
      </c>
      <c r="L268" t="n">
        <v>0.134</v>
      </c>
      <c r="M268" t="n">
        <v>0.15</v>
      </c>
      <c r="N268" t="n">
        <v>0.164</v>
      </c>
      <c r="O268" t="n">
        <v>0.156</v>
      </c>
      <c r="P268" t="n">
        <v>0.169</v>
      </c>
      <c r="Q268" t="n">
        <v>0.17</v>
      </c>
      <c r="R268" t="n">
        <v>0.196</v>
      </c>
      <c r="S268" t="n">
        <v>0.173</v>
      </c>
      <c r="T268" t="n">
        <v>0.164</v>
      </c>
      <c r="U268" t="n">
        <v>0.138</v>
      </c>
      <c r="V268" t="n">
        <v>0.142</v>
      </c>
      <c r="W268" t="n">
        <v>0.137</v>
      </c>
      <c r="X268" t="n">
        <v>0.143</v>
      </c>
      <c r="Y268" t="n">
        <v>0.148</v>
      </c>
      <c r="Z268" t="n">
        <v>0.15</v>
      </c>
      <c r="AA268" t="n">
        <v>0.134</v>
      </c>
      <c r="AB268" t="n">
        <v>0.126</v>
      </c>
      <c r="AC268" t="n">
        <v>0.124</v>
      </c>
      <c r="AD268" t="n">
        <v>0.143</v>
      </c>
      <c r="AE268" t="n">
        <v>0.158</v>
      </c>
      <c r="AF268" t="n">
        <v>0.16</v>
      </c>
      <c r="AG268" t="n">
        <v>0.156</v>
      </c>
      <c r="AH268" t="n">
        <v>0.174</v>
      </c>
      <c r="AI268" t="n">
        <v>0.179</v>
      </c>
      <c r="AJ268" t="n">
        <v>0.187</v>
      </c>
      <c r="AK268" t="n">
        <v>0.197</v>
      </c>
      <c r="AL268" t="n">
        <v>0.228</v>
      </c>
      <c r="AM268" t="n">
        <v>0.229</v>
      </c>
      <c r="AN268" t="n">
        <v>0.26</v>
      </c>
      <c r="AO268" t="n">
        <v>0.282</v>
      </c>
      <c r="AP268" t="n">
        <v>0.256</v>
      </c>
      <c r="AQ268" t="n">
        <v>0.242</v>
      </c>
      <c r="AR268" t="n">
        <v>0.228</v>
      </c>
      <c r="AS268" t="n">
        <v>0.226</v>
      </c>
      <c r="AT268" t="n">
        <v>0.194</v>
      </c>
      <c r="AU268" t="n">
        <v>0.208</v>
      </c>
      <c r="AV268" t="n">
        <v>0.201</v>
      </c>
      <c r="AW268" t="n">
        <v>0.194</v>
      </c>
      <c r="AX268" t="n">
        <v>0.214</v>
      </c>
      <c r="AY268" t="n">
        <v>0.195</v>
      </c>
      <c r="AZ268" t="n">
        <v>0.189</v>
      </c>
      <c r="BA268" t="n">
        <v>0.207</v>
      </c>
      <c r="BB268" t="n">
        <v>0.188</v>
      </c>
      <c r="BC268" t="n">
        <v>0.244</v>
      </c>
      <c r="BD268" t="n">
        <v>0.307</v>
      </c>
      <c r="BE268" t="n">
        <v>0.42</v>
      </c>
      <c r="BF268" t="n">
        <v>0.503</v>
      </c>
      <c r="BG268" t="n">
        <v>0.475</v>
      </c>
      <c r="BH268" t="n">
        <v>0.127</v>
      </c>
      <c r="BI268" t="n">
        <v>0.329</v>
      </c>
      <c r="BJ268" t="n">
        <v>0.308</v>
      </c>
      <c r="BK268" t="n">
        <v>0.052</v>
      </c>
      <c r="BL268" t="n">
        <v>0.038</v>
      </c>
      <c r="BM268" t="n">
        <v>0.051</v>
      </c>
      <c r="BN268" t="n">
        <v>0.042</v>
      </c>
      <c r="BO268" t="n">
        <v>0.049</v>
      </c>
      <c r="BP268" t="n">
        <v>0.041</v>
      </c>
      <c r="BQ268" t="n">
        <v>0.043</v>
      </c>
      <c r="BR268" t="n">
        <v>0.037</v>
      </c>
      <c r="BS268" t="n">
        <v>0.039</v>
      </c>
      <c r="BT268" t="n">
        <v>0.041</v>
      </c>
      <c r="BU268" t="n">
        <v>0.06</v>
      </c>
      <c r="BV268" t="n">
        <v>0.039</v>
      </c>
    </row>
    <row r="269">
      <c r="A269" t="inlineStr">
        <is>
          <t>Chionoecetes japonicus</t>
        </is>
      </c>
      <c r="B269" t="inlineStr">
        <is>
          <t>Red snow crab</t>
        </is>
      </c>
      <c r="C269" t="inlineStr">
        <is>
          <t>Lobsters, crabs</t>
        </is>
      </c>
      <c r="D269" t="inlineStr">
        <is>
          <t>Crustaceans</t>
        </is>
      </c>
      <c r="E269" t="n">
        <v>0.064</v>
      </c>
      <c r="F269" t="n">
        <v>0.064</v>
      </c>
      <c r="G269" t="n">
        <v>0.064</v>
      </c>
      <c r="H269" t="n">
        <v>0.064</v>
      </c>
      <c r="I269" t="n">
        <v>0.064</v>
      </c>
      <c r="J269" t="n">
        <v>0.064</v>
      </c>
      <c r="K269" t="n">
        <v>0.081</v>
      </c>
      <c r="L269" t="n">
        <v>0.06900000000000001</v>
      </c>
      <c r="M269" t="n">
        <v>0.057</v>
      </c>
      <c r="N269" t="n">
        <v>0.056</v>
      </c>
      <c r="O269" t="n">
        <v>0.074</v>
      </c>
      <c r="P269" t="n">
        <v>0.065</v>
      </c>
      <c r="Q269" t="n">
        <v>0.058</v>
      </c>
      <c r="R269" t="n">
        <v>0.07199999999999999</v>
      </c>
      <c r="S269" t="n">
        <v>0</v>
      </c>
      <c r="T269" t="n">
        <v>0</v>
      </c>
      <c r="U269" t="n">
        <v>0</v>
      </c>
      <c r="V269" t="n">
        <v>0</v>
      </c>
      <c r="W269" t="n">
        <v>0</v>
      </c>
      <c r="X269" t="n">
        <v>0</v>
      </c>
      <c r="Y269" t="n">
        <v>0</v>
      </c>
      <c r="Z269" t="n">
        <v>0</v>
      </c>
      <c r="AA269" t="n">
        <v>0</v>
      </c>
      <c r="AB269" t="n">
        <v>0</v>
      </c>
      <c r="AC269" t="n">
        <v>0.008</v>
      </c>
      <c r="AD269" t="n">
        <v>0.025</v>
      </c>
      <c r="AE269" t="n">
        <v>0.012</v>
      </c>
      <c r="AF269" t="n">
        <v>0.04</v>
      </c>
      <c r="AG269" t="n">
        <v>0.041</v>
      </c>
      <c r="AH269" t="n">
        <v>0.038</v>
      </c>
      <c r="AI269" t="n">
        <v>0.11</v>
      </c>
      <c r="AJ269" t="n">
        <v>0.192</v>
      </c>
      <c r="AK269" t="n">
        <v>0.246</v>
      </c>
      <c r="AL269" t="n">
        <v>0.22</v>
      </c>
      <c r="AM269" t="n">
        <v>0.221</v>
      </c>
      <c r="AN269" t="n">
        <v>0.22</v>
      </c>
      <c r="AO269" t="n">
        <v>0.193</v>
      </c>
      <c r="AP269" t="n">
        <v>0.164</v>
      </c>
      <c r="AQ269" t="n">
        <v>0.149</v>
      </c>
      <c r="AR269" t="n">
        <v>0.139</v>
      </c>
      <c r="AS269" t="n">
        <v>0.133</v>
      </c>
      <c r="AT269" t="n">
        <v>0.136</v>
      </c>
      <c r="AU269" t="n">
        <v>0.127</v>
      </c>
      <c r="AV269" t="n">
        <v>0.126</v>
      </c>
      <c r="AW269" t="n">
        <v>0.124</v>
      </c>
      <c r="AX269" t="n">
        <v>0.387</v>
      </c>
      <c r="AY269" t="n">
        <v>0.385</v>
      </c>
      <c r="AZ269" t="n">
        <v>0.366</v>
      </c>
      <c r="BA269" t="n">
        <v>0.361</v>
      </c>
      <c r="BB269" t="n">
        <v>0.337</v>
      </c>
      <c r="BC269" t="n">
        <v>0.331</v>
      </c>
      <c r="BD269" t="n">
        <v>0.285</v>
      </c>
      <c r="BE269" t="n">
        <v>0.26</v>
      </c>
      <c r="BF269" t="n">
        <v>0.313</v>
      </c>
      <c r="BG269" t="n">
        <v>0.307</v>
      </c>
      <c r="BH269" t="n">
        <v>0.338</v>
      </c>
      <c r="BI269" t="n">
        <v>0.369</v>
      </c>
      <c r="BJ269" t="n">
        <v>0.001</v>
      </c>
      <c r="BK269" t="n">
        <v>0.006</v>
      </c>
      <c r="BL269" t="n">
        <v>0.295</v>
      </c>
      <c r="BM269" t="n">
        <v>0.279</v>
      </c>
      <c r="BN269" t="n">
        <v>0.283</v>
      </c>
      <c r="BO269" t="n">
        <v>0.279</v>
      </c>
      <c r="BP269" t="n">
        <v>0.277</v>
      </c>
      <c r="BQ269" t="n">
        <v>0.272</v>
      </c>
      <c r="BR269" t="n">
        <v>0.261</v>
      </c>
      <c r="BS269" t="n">
        <v>0.249</v>
      </c>
      <c r="BT269" t="n">
        <v>0.234</v>
      </c>
      <c r="BU269" t="n">
        <v>0.218</v>
      </c>
      <c r="BV269" t="n">
        <v>0.204</v>
      </c>
    </row>
    <row r="270">
      <c r="A270" t="inlineStr">
        <is>
          <t>Upeneus</t>
        </is>
      </c>
      <c r="B270" t="inlineStr">
        <is>
          <t>Upeneid goatfishes</t>
        </is>
      </c>
      <c r="C270" t="inlineStr">
        <is>
          <t>Small reef assoc. fish (&lt;30 cm)</t>
        </is>
      </c>
      <c r="D270" t="inlineStr">
        <is>
          <t>Perch-likes</t>
        </is>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6.831</v>
      </c>
      <c r="BV270" t="n">
        <v>0</v>
      </c>
    </row>
    <row r="271">
      <c r="A271" t="inlineStr">
        <is>
          <t>Echinozoa</t>
        </is>
      </c>
      <c r="B271" t="inlineStr">
        <is>
          <t>Sea urchins and sea cucumbers</t>
        </is>
      </c>
      <c r="C271" t="inlineStr">
        <is>
          <t>Other demersal invertebrates</t>
        </is>
      </c>
      <c r="D271" t="inlineStr">
        <is>
          <t>Other fishes &amp; inverts</t>
        </is>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2.274</v>
      </c>
      <c r="BP271" t="n">
        <v>1.289</v>
      </c>
      <c r="BQ271" t="n">
        <v>0.528</v>
      </c>
      <c r="BR271" t="n">
        <v>0.056</v>
      </c>
      <c r="BS271" t="n">
        <v>0.055</v>
      </c>
      <c r="BT271" t="n">
        <v>0</v>
      </c>
      <c r="BU271" t="n">
        <v>0</v>
      </c>
      <c r="BV271" t="n">
        <v>0</v>
      </c>
    </row>
    <row r="272">
      <c r="A272" t="inlineStr">
        <is>
          <t>Rhopilema hispidum</t>
        </is>
      </c>
      <c r="B272" t="inlineStr">
        <is>
          <t>Sand jellyfish</t>
        </is>
      </c>
      <c r="C272" t="inlineStr">
        <is>
          <t>Jellyfish</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0.233</v>
      </c>
      <c r="BQ272" t="n">
        <v>0.233</v>
      </c>
      <c r="BR272" t="n">
        <v>0.233</v>
      </c>
      <c r="BS272" t="n">
        <v>0.233</v>
      </c>
      <c r="BT272" t="n">
        <v>0.233</v>
      </c>
      <c r="BU272" t="n">
        <v>0.233</v>
      </c>
      <c r="BV272" t="n">
        <v>0.233</v>
      </c>
    </row>
    <row r="273">
      <c r="A273" t="inlineStr">
        <is>
          <t>Sphyrna</t>
        </is>
      </c>
      <c r="B273" t="inlineStr">
        <is>
          <t>Hammerhead sharks</t>
        </is>
      </c>
      <c r="C273" t="inlineStr">
        <is>
          <t>Large sharks (&gt;=90 cm)</t>
        </is>
      </c>
      <c r="D273" t="inlineStr">
        <is>
          <t>Sharks &amp; rays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0.587</v>
      </c>
      <c r="BN273" t="n">
        <v>0.19</v>
      </c>
      <c r="BO273" t="n">
        <v>0.066</v>
      </c>
      <c r="BP273" t="n">
        <v>0.026</v>
      </c>
      <c r="BQ273" t="n">
        <v>0.061</v>
      </c>
      <c r="BR273" t="n">
        <v>0.058</v>
      </c>
      <c r="BS273" t="n">
        <v>0.184</v>
      </c>
      <c r="BT273" t="n">
        <v>0.004</v>
      </c>
      <c r="BU273" t="n">
        <v>0.003</v>
      </c>
      <c r="BV273" t="n">
        <v>0.002</v>
      </c>
    </row>
    <row r="274">
      <c r="A274" t="inlineStr">
        <is>
          <t>Isurus oxyrinchus</t>
        </is>
      </c>
      <c r="B274" t="inlineStr">
        <is>
          <t>Shortfin mako</t>
        </is>
      </c>
      <c r="C274" t="inlineStr">
        <is>
          <t>Large sharks (&gt;=90 cm)</t>
        </is>
      </c>
      <c r="D274" t="inlineStr">
        <is>
          <t>Sharks &amp; rays</t>
        </is>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1.068</v>
      </c>
      <c r="BP274" t="n">
        <v>0</v>
      </c>
      <c r="BQ274" t="n">
        <v>0</v>
      </c>
      <c r="BR274" t="n">
        <v>0.003</v>
      </c>
      <c r="BS274" t="n">
        <v>0.059</v>
      </c>
      <c r="BT274" t="n">
        <v>0.003</v>
      </c>
      <c r="BU274" t="n">
        <v>0.003</v>
      </c>
      <c r="BV274" t="n">
        <v>0.003</v>
      </c>
    </row>
    <row r="275">
      <c r="A275" t="inlineStr">
        <is>
          <t>Pinctada</t>
        </is>
      </c>
      <c r="B275" t="inlineStr">
        <is>
          <t>Mother of pearl oysters</t>
        </is>
      </c>
      <c r="C275" t="inlineStr">
        <is>
          <t>Other demersal invertebrates</t>
        </is>
      </c>
      <c r="D275" t="inlineStr">
        <is>
          <t>Molluscs</t>
        </is>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0.081</v>
      </c>
      <c r="BV275" t="n">
        <v>0</v>
      </c>
    </row>
    <row r="276">
      <c r="A276" t="inlineStr">
        <is>
          <t>Scombroidei</t>
        </is>
      </c>
      <c r="B276" t="inlineStr">
        <is>
          <t>Tunas, bonitos, billfishes</t>
        </is>
      </c>
      <c r="C276" t="inlineStr">
        <is>
          <t>Large pelagics (&gt;=90 cm)</t>
        </is>
      </c>
      <c r="D276" t="inlineStr">
        <is>
          <t>Tuna &amp; billfishes</t>
        </is>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0.047</v>
      </c>
      <c r="BV276" t="n">
        <v>0</v>
      </c>
    </row>
    <row r="277">
      <c r="A277" t="inlineStr">
        <is>
          <t>Caranx</t>
        </is>
      </c>
      <c r="B277" t="inlineStr">
        <is>
          <t>Jacks</t>
        </is>
      </c>
      <c r="C277" t="inlineStr">
        <is>
          <t>Medium reef assoc. fish (30 - 89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0.008</v>
      </c>
      <c r="BV27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Benthivores | Piscivores | Planktivores/piscivores | Benthivores/piscivores | Omnivores</t>
        </is>
      </c>
      <c r="F5" t="inlineStr">
        <is>
          <t>0.214 | 0.285 | 0.167 | 0.266 | 0.068</t>
        </is>
      </c>
      <c r="G5" t="inlineStr">
        <is>
          <t>catch_composition</t>
        </is>
      </c>
      <c r="H5" t="inlineStr">
        <is>
          <t>medium</t>
        </is>
      </c>
      <c r="I5" t="inlineStr">
        <is>
          <t>composite_split</t>
        </is>
      </c>
      <c r="J5" t="n">
        <v>36591786.766</v>
      </c>
      <c r="K5" t="n">
        <v>12.9398</v>
      </c>
      <c r="L5"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6">
      <c r="A6" t="inlineStr">
        <is>
          <t>Sardinops sagax</t>
        </is>
      </c>
      <c r="B6" t="inlineStr">
        <is>
          <t>South American pilchard</t>
        </is>
      </c>
      <c r="C6" t="inlineStr">
        <is>
          <t>Medium pelagics (30 - 89 cm)</t>
        </is>
      </c>
      <c r="D6" t="inlineStr">
        <is>
          <t>Herring-likes</t>
        </is>
      </c>
      <c r="E6" s="5" t="inlineStr">
        <is>
          <t>Planktivores</t>
        </is>
      </c>
      <c r="F6" t="inlineStr"/>
      <c r="G6" t="inlineStr"/>
      <c r="H6" t="inlineStr">
        <is>
          <t>medium</t>
        </is>
      </c>
      <c r="I6" t="inlineStr">
        <is>
          <t>habitat_size_guild</t>
        </is>
      </c>
      <c r="J6" t="n">
        <v>25918314.005</v>
      </c>
      <c r="K6" t="n">
        <v>9.1654</v>
      </c>
      <c r="L6" s="6" t="inlineStr">
        <is>
          <t>Sea Around Us reports Northwest Pacific Sardinops (the Japanese pilchard) under this name; it is a small obligate filter-feeding planktivore. Supplementary Table S1 places the analogous clupeid Sardinella aurita in Planktivores.</t>
        </is>
      </c>
    </row>
    <row r="7">
      <c r="A7" t="inlineStr">
        <is>
          <t>Trichiurus lepturus</t>
        </is>
      </c>
      <c r="B7" t="inlineStr">
        <is>
          <t>Largehead hairtail</t>
        </is>
      </c>
      <c r="C7" t="inlineStr">
        <is>
          <t>Large benthopelagics (&gt;=90 cm)</t>
        </is>
      </c>
      <c r="D7" t="inlineStr">
        <is>
          <t>Perch-likes</t>
        </is>
      </c>
      <c r="E7" s="7" t="inlineStr">
        <is>
          <t>Hairtails</t>
        </is>
      </c>
      <c r="F7" t="inlineStr"/>
      <c r="G7" t="inlineStr"/>
      <c r="H7" t="inlineStr">
        <is>
          <t>high</t>
        </is>
      </c>
      <c r="I7" t="inlineStr">
        <is>
          <t>explicit_member</t>
        </is>
      </c>
      <c r="J7" t="n">
        <v>18967269.373</v>
      </c>
      <c r="K7" t="n">
        <v>6.7073</v>
      </c>
      <c r="L7" s="6" t="inlineStr">
        <is>
          <t>Supplementary Table S1 defines Hairtails as the single species Trichiurus lepturus; this record is that species.</t>
        </is>
      </c>
    </row>
    <row r="8">
      <c r="A8" t="inlineStr">
        <is>
          <t>Engraulis japonicus</t>
        </is>
      </c>
      <c r="B8" t="inlineStr">
        <is>
          <t>Japanese anchovy</t>
        </is>
      </c>
      <c r="C8" t="inlineStr">
        <is>
          <t>Small pelagics (&lt;30 cm)</t>
        </is>
      </c>
      <c r="D8" t="inlineStr">
        <is>
          <t>Anchovies</t>
        </is>
      </c>
      <c r="E8" s="5" t="inlineStr">
        <is>
          <t>Planktivores</t>
        </is>
      </c>
      <c r="F8" t="inlineStr"/>
      <c r="G8" t="inlineStr"/>
      <c r="H8" t="inlineStr">
        <is>
          <t>medium</t>
        </is>
      </c>
      <c r="I8" t="inlineStr">
        <is>
          <t>habitat_size_guild</t>
        </is>
      </c>
      <c r="J8" t="n">
        <v>16805258.998</v>
      </c>
      <c r="K8" t="n">
        <v>5.9428</v>
      </c>
      <c r="L8" s="6"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row>
    <row r="9">
      <c r="A9" t="inlineStr">
        <is>
          <t>Scomber japonicus</t>
        </is>
      </c>
      <c r="B9" t="inlineStr">
        <is>
          <t>Pacific chub mackerel</t>
        </is>
      </c>
      <c r="C9" t="inlineStr">
        <is>
          <t>Medium pelagics (30 - 89 cm)</t>
        </is>
      </c>
      <c r="D9" t="inlineStr">
        <is>
          <t>Perch-likes</t>
        </is>
      </c>
      <c r="E9" s="7" t="inlineStr">
        <is>
          <t>Planktivores/Benthivores</t>
        </is>
      </c>
      <c r="F9" t="inlineStr"/>
      <c r="G9" t="inlineStr"/>
      <c r="H9" t="inlineStr">
        <is>
          <t>high</t>
        </is>
      </c>
      <c r="I9" t="inlineStr">
        <is>
          <t>explicit_member</t>
        </is>
      </c>
      <c r="J9" t="n">
        <v>12477395.896</v>
      </c>
      <c r="K9" t="n">
        <v>4.4123</v>
      </c>
      <c r="L9" s="6" t="inlineStr">
        <is>
          <t>Supplementary Table S1 lists Scomber japonicus under Planktivores/Benthivores; this record is that species.</t>
        </is>
      </c>
    </row>
    <row r="10">
      <c r="A10" t="inlineStr">
        <is>
          <t>Scomber</t>
        </is>
      </c>
      <c r="B10" t="inlineStr">
        <is>
          <t>Chub mackerels</t>
        </is>
      </c>
      <c r="C10" t="inlineStr">
        <is>
          <t>Medium pelagics (30 - 89 cm)</t>
        </is>
      </c>
      <c r="D10" t="inlineStr">
        <is>
          <t>Perch-likes</t>
        </is>
      </c>
      <c r="E10" s="7" t="inlineStr">
        <is>
          <t>Planktivores/Benthivores</t>
        </is>
      </c>
      <c r="F10" t="inlineStr"/>
      <c r="G10" t="inlineStr"/>
      <c r="H10" t="inlineStr">
        <is>
          <t>high</t>
        </is>
      </c>
      <c r="I10" t="inlineStr">
        <is>
          <t>taxonomic_containment</t>
        </is>
      </c>
      <c r="J10" t="n">
        <v>9556263.005000001</v>
      </c>
      <c r="K10" t="n">
        <v>3.3794</v>
      </c>
      <c r="L10" s="6" t="inlineStr">
        <is>
          <t>Supplementary Table S1 lists Scomber japonicus in Planktivores/Benthivores; this genus-level record is that genus, and S. japonicus is the East China Sea Scomber stock.</t>
        </is>
      </c>
    </row>
    <row r="11">
      <c r="A11" t="inlineStr">
        <is>
          <t>Cololabis saira</t>
        </is>
      </c>
      <c r="B11" t="inlineStr">
        <is>
          <t>Pacific saury</t>
        </is>
      </c>
      <c r="C11" t="inlineStr">
        <is>
          <t>Medium pelagics (30 - 89 cm)</t>
        </is>
      </c>
      <c r="D11" t="inlineStr">
        <is>
          <t>Other fishes &amp; inverts</t>
        </is>
      </c>
      <c r="E11" s="5" t="inlineStr">
        <is>
          <t>Planktivores</t>
        </is>
      </c>
      <c r="F11" t="inlineStr"/>
      <c r="G11" t="inlineStr"/>
      <c r="H11" t="inlineStr">
        <is>
          <t>medium</t>
        </is>
      </c>
      <c r="I11" t="inlineStr">
        <is>
          <t>habitat_size_guild</t>
        </is>
      </c>
      <c r="J11" t="n">
        <v>8328661.493</v>
      </c>
      <c r="K11" t="n">
        <v>2.9452</v>
      </c>
      <c r="L11" s="6" t="inlineStr">
        <is>
          <t>Pacific saury is an epipelagic zooplanktivore feeding on copepods and euphausiids, matching the model's plankton-feeding guild; Supplementary Table S1 gives Planktivores a correspondingly mixed roster of small pelagic and mesopelagic filter feeders.</t>
        </is>
      </c>
    </row>
    <row r="12">
      <c r="A12" t="inlineStr">
        <is>
          <t>Mollusca</t>
        </is>
      </c>
      <c r="B12" t="inlineStr">
        <is>
          <t>Clams, seasnails, squids, octopuses</t>
        </is>
      </c>
      <c r="C12" t="inlineStr">
        <is>
          <t>Other demersal invertebrates</t>
        </is>
      </c>
      <c r="D12" t="inlineStr">
        <is>
          <t>Molluscs</t>
        </is>
      </c>
      <c r="E12" s="5" t="inlineStr">
        <is>
          <t>Mollusks</t>
        </is>
      </c>
      <c r="F12" t="inlineStr"/>
      <c r="G12" t="inlineStr"/>
      <c r="H12" t="inlineStr">
        <is>
          <t>medium</t>
        </is>
      </c>
      <c r="I12" t="inlineStr">
        <is>
          <t>habitat_size_guild</t>
        </is>
      </c>
      <c r="J12" t="n">
        <v>7501648.256</v>
      </c>
      <c r="K12" t="n">
        <v>2.6528</v>
      </c>
      <c r="L12" s="6"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row>
    <row r="13">
      <c r="A13" t="inlineStr">
        <is>
          <t>Miscellaneous marine crustaceans</t>
        </is>
      </c>
      <c r="B13" t="inlineStr">
        <is>
          <t>Marine crabs, shrimps, lobsters nei</t>
        </is>
      </c>
      <c r="C13" t="inlineStr">
        <is>
          <t>Shrimps</t>
        </is>
      </c>
      <c r="D13" t="inlineStr">
        <is>
          <t>Crustaceans</t>
        </is>
      </c>
      <c r="E13" s="5" t="inlineStr">
        <is>
          <t>Shrimps | Crabs</t>
        </is>
      </c>
      <c r="F13" t="inlineStr">
        <is>
          <t>0.748 | 0.252</t>
        </is>
      </c>
      <c r="G13" t="inlineStr">
        <is>
          <t>catch_composition</t>
        </is>
      </c>
      <c r="H13" t="inlineStr">
        <is>
          <t>medium</t>
        </is>
      </c>
      <c r="I13" t="inlineStr">
        <is>
          <t>composite_split</t>
        </is>
      </c>
      <c r="J13" t="n">
        <v>6656949.068</v>
      </c>
      <c r="K13" t="n">
        <v>2.3541</v>
      </c>
      <c r="L13"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row>
    <row r="14">
      <c r="A14" t="inlineStr">
        <is>
          <t>Larimichthys polyactis</t>
        </is>
      </c>
      <c r="B14" t="inlineStr">
        <is>
          <t>Yellow croaker</t>
        </is>
      </c>
      <c r="C14" t="inlineStr">
        <is>
          <t>Medium benthopelagics (30 - 89 cm)</t>
        </is>
      </c>
      <c r="D14" t="inlineStr">
        <is>
          <t>Perch-likes</t>
        </is>
      </c>
      <c r="E14" s="7" t="inlineStr">
        <is>
          <t>Small yellow croakers</t>
        </is>
      </c>
      <c r="F14" t="inlineStr"/>
      <c r="G14" t="inlineStr"/>
      <c r="H14" t="inlineStr">
        <is>
          <t>high</t>
        </is>
      </c>
      <c r="I14" t="inlineStr">
        <is>
          <t>explicit_member</t>
        </is>
      </c>
      <c r="J14" t="n">
        <v>6448339.475</v>
      </c>
      <c r="K14" t="n">
        <v>2.2803</v>
      </c>
      <c r="L14" s="6" t="inlineStr">
        <is>
          <t>Supplementary Table S1 defines Small yellow croakers as the single species Larimichthys polyactis.</t>
        </is>
      </c>
    </row>
    <row r="15">
      <c r="A15" t="inlineStr">
        <is>
          <t>Acetes japonicus</t>
        </is>
      </c>
      <c r="B15" t="inlineStr">
        <is>
          <t>Akiami paste shrimp</t>
        </is>
      </c>
      <c r="C15" t="inlineStr">
        <is>
          <t>Shrimps</t>
        </is>
      </c>
      <c r="D15" t="inlineStr">
        <is>
          <t>Crustaceans</t>
        </is>
      </c>
      <c r="E15" s="7" t="inlineStr">
        <is>
          <t>Shrimps</t>
        </is>
      </c>
      <c r="F15" t="inlineStr"/>
      <c r="G15" t="inlineStr"/>
      <c r="H15" t="inlineStr">
        <is>
          <t>high</t>
        </is>
      </c>
      <c r="I15" t="inlineStr">
        <is>
          <t>taxonomic_containment</t>
        </is>
      </c>
      <c r="J15" t="n">
        <v>5391927.682</v>
      </c>
      <c r="K15" t="n">
        <v>1.9067</v>
      </c>
      <c r="L15" s="6" t="inlineStr">
        <is>
          <t>Supplementary Table S1 lists Acetes chinensis under Shrimps; this record is another species of that listed genus.</t>
        </is>
      </c>
    </row>
    <row r="16">
      <c r="A16" t="inlineStr">
        <is>
          <t>Todarodes pacificus</t>
        </is>
      </c>
      <c r="B16" t="inlineStr">
        <is>
          <t>Japanese flying squid</t>
        </is>
      </c>
      <c r="C16" t="inlineStr">
        <is>
          <t>Cephalopods</t>
        </is>
      </c>
      <c r="D16" t="inlineStr">
        <is>
          <t>Other fishes &amp; inverts</t>
        </is>
      </c>
      <c r="E16" s="7" t="inlineStr">
        <is>
          <t>Cephalopods</t>
        </is>
      </c>
      <c r="F16" t="inlineStr"/>
      <c r="G16" t="inlineStr"/>
      <c r="H16" t="inlineStr">
        <is>
          <t>high</t>
        </is>
      </c>
      <c r="I16" t="inlineStr">
        <is>
          <t>taxonomic_containment</t>
        </is>
      </c>
      <c r="J16" t="n">
        <v>5085314.799</v>
      </c>
      <c r="K16" t="n">
        <v>1.7983</v>
      </c>
      <c r="L16" s="6" t="inlineStr">
        <is>
          <t>Japanese flying squid, an ommastrephid fall inside the model's Cephalopods group, whose members Supplementary Table S1 gives as ten squid, cuttlefish and octopus species (Uroteuthis edulis, Sepia esculenta, Octopus ocellatus, Ommastrephes bartrami and others).</t>
        </is>
      </c>
    </row>
    <row r="17">
      <c r="A17" t="inlineStr">
        <is>
          <t>Sciaenidae</t>
        </is>
      </c>
      <c r="B17" t="inlineStr">
        <is>
          <t>Drums, croakers</t>
        </is>
      </c>
      <c r="C17" t="inlineStr">
        <is>
          <t>Medium demersals (30 - 89 cm)</t>
        </is>
      </c>
      <c r="D17" t="inlineStr">
        <is>
          <t>Perch-likes</t>
        </is>
      </c>
      <c r="E17" s="5" t="inlineStr">
        <is>
          <t>Benthivores | Piscivores | Benthivores/piscivores | Omnivores | Large yellow croakers | Small yellow croakers</t>
        </is>
      </c>
      <c r="F17" t="inlineStr">
        <is>
          <t>0.219 | 0.292 | 0.272 | 0.070 | 0.036 | 0.111</t>
        </is>
      </c>
      <c r="G17" t="inlineStr">
        <is>
          <t>catch_composition</t>
        </is>
      </c>
      <c r="H17" t="inlineStr">
        <is>
          <t>medium</t>
        </is>
      </c>
      <c r="I17" t="inlineStr">
        <is>
          <t>composite_split</t>
        </is>
      </c>
      <c r="J17" t="n">
        <v>5013098.586</v>
      </c>
      <c r="K17" t="n">
        <v>1.7728</v>
      </c>
      <c r="L17"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row>
    <row r="18">
      <c r="A18" t="inlineStr">
        <is>
          <t>Stephanolepis cirrhifer</t>
        </is>
      </c>
      <c r="B18" t="inlineStr">
        <is>
          <t>Threadsail filefish</t>
        </is>
      </c>
      <c r="C18" t="inlineStr">
        <is>
          <t>Small demersals (&lt;30 cm)</t>
        </is>
      </c>
      <c r="D18" t="inlineStr">
        <is>
          <t>Other fishes &amp; inverts</t>
        </is>
      </c>
      <c r="E18" s="5" t="inlineStr">
        <is>
          <t>Benthivores</t>
        </is>
      </c>
      <c r="F18" t="inlineStr"/>
      <c r="G18" t="inlineStr"/>
      <c r="H18" t="inlineStr">
        <is>
          <t>medium</t>
        </is>
      </c>
      <c r="I18" t="inlineStr">
        <is>
          <t>habitat_size_guild</t>
        </is>
      </c>
      <c r="J18" t="n">
        <v>4888904.985</v>
      </c>
      <c r="K18" t="n">
        <v>1.7288</v>
      </c>
      <c r="L18" s="6" t="inlineStr">
        <is>
          <t>Threadsail filefish is a small demersal picker on benthic invertebrates; Supplementary Table S1 places the analogous small demersal invertebrate feeders, including the tetraodontiform Diodon holocanthus and the apogonid Ostorhinchus angustatus, in Benthivores.</t>
        </is>
      </c>
    </row>
    <row r="19">
      <c r="A19" t="inlineStr">
        <is>
          <t>Pectinidae</t>
        </is>
      </c>
      <c r="B19" t="inlineStr">
        <is>
          <t>Scallops</t>
        </is>
      </c>
      <c r="C19" t="inlineStr">
        <is>
          <t>Other demersal invertebrates</t>
        </is>
      </c>
      <c r="D19" t="inlineStr">
        <is>
          <t>Molluscs</t>
        </is>
      </c>
      <c r="E19" s="7" t="inlineStr">
        <is>
          <t>Mollusks</t>
        </is>
      </c>
      <c r="F19" t="inlineStr"/>
      <c r="G19" t="inlineStr"/>
      <c r="H19" t="inlineStr">
        <is>
          <t>high</t>
        </is>
      </c>
      <c r="I19" t="inlineStr">
        <is>
          <t>explicit_member</t>
        </is>
      </c>
      <c r="J19" t="n">
        <v>4644809.237</v>
      </c>
      <c r="K19" t="n">
        <v>1.6425</v>
      </c>
      <c r="L19" s="6" t="inlineStr">
        <is>
          <t>Supplementary Table S1 defines the model's Mollusks group as 'Bivalves'; this record is a bivalve.</t>
        </is>
      </c>
    </row>
    <row r="20">
      <c r="A20" t="inlineStr">
        <is>
          <t>Scyphozoa</t>
        </is>
      </c>
      <c r="B20" t="inlineStr">
        <is>
          <t>True jellyfishes</t>
        </is>
      </c>
      <c r="C20" t="inlineStr">
        <is>
          <t>Jellyfish</t>
        </is>
      </c>
      <c r="D20" t="inlineStr">
        <is>
          <t>Other fishes &amp; inverts</t>
        </is>
      </c>
      <c r="E20" s="7" t="inlineStr">
        <is>
          <t>Other invertebrates</t>
        </is>
      </c>
      <c r="F20" t="inlineStr"/>
      <c r="G20" t="inlineStr"/>
      <c r="H20" t="inlineStr">
        <is>
          <t>high</t>
        </is>
      </c>
      <c r="I20" t="inlineStr">
        <is>
          <t>explicit_member</t>
        </is>
      </c>
      <c r="J20" t="n">
        <v>4334965.034</v>
      </c>
      <c r="K20" t="n">
        <v>1.533</v>
      </c>
      <c r="L20" s="6" t="inlineStr">
        <is>
          <t>Supplementary Table S1 defines the model's Other invertebrates group as 'Cnidaria'. True jellyfishes are scyphozoan cnidarians and this is the model's only compartment for them.</t>
        </is>
      </c>
    </row>
    <row r="21">
      <c r="A21" t="inlineStr">
        <is>
          <t>Pleuronectidae</t>
        </is>
      </c>
      <c r="B21" t="inlineStr">
        <is>
          <t>Righteye flounders</t>
        </is>
      </c>
      <c r="C21" t="inlineStr">
        <is>
          <t>Small to medium flatfishes (&lt;90 cm)</t>
        </is>
      </c>
      <c r="D21" t="inlineStr">
        <is>
          <t>Flatfishes</t>
        </is>
      </c>
      <c r="E21" s="5" t="inlineStr">
        <is>
          <t>Benthivores</t>
        </is>
      </c>
      <c r="F21" t="inlineStr"/>
      <c r="G21" t="inlineStr"/>
      <c r="H21" t="inlineStr">
        <is>
          <t>medium</t>
        </is>
      </c>
      <c r="I21" t="inlineStr">
        <is>
          <t>habitat_size_guild</t>
        </is>
      </c>
      <c r="J21" t="n">
        <v>3661117.122</v>
      </c>
      <c r="K21" t="n">
        <v>1.2947</v>
      </c>
      <c r="L21" s="6" t="inlineStr">
        <is>
          <t>Righteye flounders are demersal feeders on polychaetes, small crustaceans and bivalves, matching the Benthivores definition of Supplementary Table S1 (Parapercis sexfasciata, Acanthocepola limbata, Uranoscopus japonicus, Johnius spp.).</t>
        </is>
      </c>
    </row>
    <row r="22">
      <c r="A22" t="inlineStr">
        <is>
          <t>Muraenesox cinereus</t>
        </is>
      </c>
      <c r="B22" t="inlineStr">
        <is>
          <t>Daggertooth pike conger</t>
        </is>
      </c>
      <c r="C22" t="inlineStr">
        <is>
          <t>Large demersals (&gt;=90 cm)</t>
        </is>
      </c>
      <c r="D22" t="inlineStr">
        <is>
          <t>Other fishes &amp; inverts</t>
        </is>
      </c>
      <c r="E22" s="7" t="inlineStr">
        <is>
          <t>Piscivores</t>
        </is>
      </c>
      <c r="F22" t="inlineStr"/>
      <c r="G22" t="inlineStr"/>
      <c r="H22" t="inlineStr">
        <is>
          <t>high</t>
        </is>
      </c>
      <c r="I22" t="inlineStr">
        <is>
          <t>explicit_member</t>
        </is>
      </c>
      <c r="J22" t="n">
        <v>3486911.988</v>
      </c>
      <c r="K22" t="n">
        <v>1.2331</v>
      </c>
      <c r="L22" s="6" t="inlineStr">
        <is>
          <t>Supplementary Table S1 lists Muraenesox cinereus under Piscivores.</t>
        </is>
      </c>
    </row>
    <row r="23">
      <c r="A23" t="inlineStr">
        <is>
          <t>Pennahia argentata</t>
        </is>
      </c>
      <c r="B23" t="inlineStr">
        <is>
          <t>Silver croaker</t>
        </is>
      </c>
      <c r="C23" t="inlineStr">
        <is>
          <t>Medium benthopelagics (30 - 89 cm)</t>
        </is>
      </c>
      <c r="D23" t="inlineStr">
        <is>
          <t>Perch-likes</t>
        </is>
      </c>
      <c r="E23" s="7" t="inlineStr">
        <is>
          <t>Benthivores/piscivores</t>
        </is>
      </c>
      <c r="F23" t="inlineStr"/>
      <c r="G23" t="inlineStr"/>
      <c r="H23" t="inlineStr">
        <is>
          <t>high</t>
        </is>
      </c>
      <c r="I23" t="inlineStr">
        <is>
          <t>explicit_member</t>
        </is>
      </c>
      <c r="J23" t="n">
        <v>3365329.391</v>
      </c>
      <c r="K23" t="n">
        <v>1.1901</v>
      </c>
      <c r="L23" s="6"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row>
    <row r="24">
      <c r="A24" t="inlineStr">
        <is>
          <t>Gadus macrocephalus</t>
        </is>
      </c>
      <c r="B24" t="inlineStr">
        <is>
          <t>Pacific cod</t>
        </is>
      </c>
      <c r="C24" t="inlineStr">
        <is>
          <t>Large demersals (&gt;=90 cm)</t>
        </is>
      </c>
      <c r="D24" t="inlineStr">
        <is>
          <t>Cod-likes</t>
        </is>
      </c>
      <c r="E24" s="8" t="inlineStr">
        <is>
          <t>Benthivores/piscivores</t>
        </is>
      </c>
      <c r="F24" t="inlineStr"/>
      <c r="G24" t="inlineStr"/>
      <c r="H24" t="inlineStr">
        <is>
          <t>low</t>
        </is>
      </c>
      <c r="I24" t="inlineStr">
        <is>
          <t>analogue</t>
        </is>
      </c>
      <c r="J24" t="n">
        <v>3276610.06</v>
      </c>
      <c r="K24" t="n">
        <v>1.1587</v>
      </c>
      <c r="L24" s="6"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row>
    <row r="25">
      <c r="A25" t="inlineStr">
        <is>
          <t>Monacanthidae</t>
        </is>
      </c>
      <c r="B25" t="inlineStr">
        <is>
          <t>Filefishes</t>
        </is>
      </c>
      <c r="C25" t="inlineStr">
        <is>
          <t>Medium reef assoc. fish (30 - 89 cm)</t>
        </is>
      </c>
      <c r="D25" t="inlineStr">
        <is>
          <t>Other fishes &amp; inverts</t>
        </is>
      </c>
      <c r="E25" s="5" t="inlineStr">
        <is>
          <t>Benthivores | Planktivores/piscivores</t>
        </is>
      </c>
      <c r="F25" t="inlineStr">
        <is>
          <t>0.561 | 0.439</t>
        </is>
      </c>
      <c r="G25" t="inlineStr">
        <is>
          <t>catch_composition</t>
        </is>
      </c>
      <c r="H25" t="inlineStr">
        <is>
          <t>medium</t>
        </is>
      </c>
      <c r="I25" t="inlineStr">
        <is>
          <t>composite_split</t>
        </is>
      </c>
      <c r="J25" t="n">
        <v>3089551.101</v>
      </c>
      <c r="K25" t="n">
        <v>1.0925</v>
      </c>
      <c r="L25"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row>
    <row r="26">
      <c r="A26" t="inlineStr">
        <is>
          <t>Pampus</t>
        </is>
      </c>
      <c r="B26" t="inlineStr">
        <is>
          <t>Silver pomfrets</t>
        </is>
      </c>
      <c r="C26" t="inlineStr">
        <is>
          <t>Medium benthopelagics (30 - 89 cm)</t>
        </is>
      </c>
      <c r="D26" t="inlineStr">
        <is>
          <t>Perch-likes</t>
        </is>
      </c>
      <c r="E26" s="7" t="inlineStr">
        <is>
          <t>Planktivores/piscivores</t>
        </is>
      </c>
      <c r="F26" t="inlineStr"/>
      <c r="G26" t="inlineStr"/>
      <c r="H26" t="inlineStr">
        <is>
          <t>high</t>
        </is>
      </c>
      <c r="I26" t="inlineStr">
        <is>
          <t>taxonomic_containment</t>
        </is>
      </c>
      <c r="J26" t="n">
        <v>2910778.093</v>
      </c>
      <c r="K26" t="n">
        <v>1.0293</v>
      </c>
      <c r="L26" s="6" t="inlineStr">
        <is>
          <t>Supplementary Table S1 lists Pampus chinensis and Pampus argenteus in Planktivores/piscivores; this genus-level record is that genus.</t>
        </is>
      </c>
    </row>
    <row r="27">
      <c r="A27" t="inlineStr">
        <is>
          <t>Bivalvia</t>
        </is>
      </c>
      <c r="B27" t="inlineStr">
        <is>
          <t>Clams</t>
        </is>
      </c>
      <c r="C27" t="inlineStr">
        <is>
          <t>Other demersal invertebrates</t>
        </is>
      </c>
      <c r="D27" t="inlineStr">
        <is>
          <t>Molluscs</t>
        </is>
      </c>
      <c r="E27" s="7" t="inlineStr">
        <is>
          <t>Mollusks</t>
        </is>
      </c>
      <c r="F27" t="inlineStr"/>
      <c r="G27" t="inlineStr"/>
      <c r="H27" t="inlineStr">
        <is>
          <t>high</t>
        </is>
      </c>
      <c r="I27" t="inlineStr">
        <is>
          <t>explicit_member</t>
        </is>
      </c>
      <c r="J27" t="n">
        <v>2883416.084</v>
      </c>
      <c r="K27" t="n">
        <v>1.0197</v>
      </c>
      <c r="L27" s="6" t="inlineStr">
        <is>
          <t>Supplementary Table S1 defines the model's Mollusks group as 'Bivalves'; this record is a bivalve.</t>
        </is>
      </c>
    </row>
    <row r="28">
      <c r="A28" t="inlineStr">
        <is>
          <t>Trachysalambria curvirostris</t>
        </is>
      </c>
      <c r="B28" t="inlineStr">
        <is>
          <t>Southern rough shrimp</t>
        </is>
      </c>
      <c r="C28" t="inlineStr">
        <is>
          <t>Shrimps</t>
        </is>
      </c>
      <c r="D28" t="inlineStr">
        <is>
          <t>Crustaceans</t>
        </is>
      </c>
      <c r="E28" s="7" t="inlineStr">
        <is>
          <t>Shrimps</t>
        </is>
      </c>
      <c r="F28" t="inlineStr"/>
      <c r="G28" t="inlineStr"/>
      <c r="H28" t="inlineStr">
        <is>
          <t>high</t>
        </is>
      </c>
      <c r="I28" t="inlineStr">
        <is>
          <t>synonym</t>
        </is>
      </c>
      <c r="J28" t="n">
        <v>2850108.283</v>
      </c>
      <c r="K28" t="n">
        <v>1.0079</v>
      </c>
      <c r="L28" s="6" t="inlineStr">
        <is>
          <t>Supplementary Table S1 lists 'Trachypenaeus curvirostris' under Shrimps, the historical combination of this species.</t>
        </is>
      </c>
    </row>
    <row r="29">
      <c r="A29" t="inlineStr">
        <is>
          <t>Nemipterus</t>
        </is>
      </c>
      <c r="B29" t="inlineStr">
        <is>
          <t>Threadfin breams</t>
        </is>
      </c>
      <c r="C29" t="inlineStr">
        <is>
          <t>Small demersals (&lt;30 cm)</t>
        </is>
      </c>
      <c r="D29" t="inlineStr">
        <is>
          <t>Perch-likes</t>
        </is>
      </c>
      <c r="E29" s="7" t="inlineStr">
        <is>
          <t>Benthivores/piscivores</t>
        </is>
      </c>
      <c r="F29" t="inlineStr"/>
      <c r="G29" t="inlineStr"/>
      <c r="H29" t="inlineStr">
        <is>
          <t>high</t>
        </is>
      </c>
      <c r="I29" t="inlineStr">
        <is>
          <t>taxonomic_containment</t>
        </is>
      </c>
      <c r="J29" t="n">
        <v>2808444.136</v>
      </c>
      <c r="K29" t="n">
        <v>0.9931</v>
      </c>
      <c r="L29" s="6" t="inlineStr">
        <is>
          <t>Supplementary Table S1 lists Nemipterus virgatus in Benthivores/piscivores; this genus-level record is that genus.</t>
        </is>
      </c>
    </row>
    <row r="30">
      <c r="A30" t="inlineStr">
        <is>
          <t>Scomberomorus</t>
        </is>
      </c>
      <c r="B30" t="inlineStr">
        <is>
          <t>Spanish mackerels</t>
        </is>
      </c>
      <c r="C30" t="inlineStr">
        <is>
          <t>Large pelagics (&gt;=90 cm)</t>
        </is>
      </c>
      <c r="D30" t="inlineStr">
        <is>
          <t>Perch-likes</t>
        </is>
      </c>
      <c r="E30" s="7" t="inlineStr">
        <is>
          <t>Piscivores</t>
        </is>
      </c>
      <c r="F30" t="inlineStr"/>
      <c r="G30" t="inlineStr"/>
      <c r="H30" t="inlineStr">
        <is>
          <t>high</t>
        </is>
      </c>
      <c r="I30" t="inlineStr">
        <is>
          <t>taxonomic_containment</t>
        </is>
      </c>
      <c r="J30" t="n">
        <v>2797567.326</v>
      </c>
      <c r="K30" t="n">
        <v>0.9893</v>
      </c>
      <c r="L30" s="6" t="inlineStr">
        <is>
          <t>Supplementary Table S1 lists Scomberomorus niphonius and S. guttatus in Piscivores; this genus-level record is that genus.</t>
        </is>
      </c>
    </row>
    <row r="31">
      <c r="A31" t="inlineStr">
        <is>
          <t>Portunus trituberculatus</t>
        </is>
      </c>
      <c r="B31" t="inlineStr">
        <is>
          <t>Gazami crab</t>
        </is>
      </c>
      <c r="C31" t="inlineStr">
        <is>
          <t>Lobsters, crabs</t>
        </is>
      </c>
      <c r="D31" t="inlineStr">
        <is>
          <t>Crustaceans</t>
        </is>
      </c>
      <c r="E31" s="7" t="inlineStr">
        <is>
          <t>Crabs</t>
        </is>
      </c>
      <c r="F31" t="inlineStr"/>
      <c r="G31" t="inlineStr"/>
      <c r="H31" t="inlineStr">
        <is>
          <t>high</t>
        </is>
      </c>
      <c r="I31" t="inlineStr">
        <is>
          <t>explicit_member</t>
        </is>
      </c>
      <c r="J31" t="n">
        <v>2665671.842</v>
      </c>
      <c r="K31" t="n">
        <v>0.9427</v>
      </c>
      <c r="L31" s="6" t="inlineStr">
        <is>
          <t>Supplementary Table S1 lists Portunus trituberculatus under Crabs.</t>
        </is>
      </c>
    </row>
    <row r="32">
      <c r="A32" t="inlineStr">
        <is>
          <t>Octopoda</t>
        </is>
      </c>
      <c r="B32" t="inlineStr">
        <is>
          <t>Octopuses, argonauts</t>
        </is>
      </c>
      <c r="C32" t="inlineStr">
        <is>
          <t>Cephalopods</t>
        </is>
      </c>
      <c r="D32" t="inlineStr">
        <is>
          <t>Other fishes &amp; inverts</t>
        </is>
      </c>
      <c r="E32" s="7" t="inlineStr">
        <is>
          <t>Cephalopods</t>
        </is>
      </c>
      <c r="F32" t="inlineStr"/>
      <c r="G32" t="inlineStr"/>
      <c r="H32" t="inlineStr">
        <is>
          <t>high</t>
        </is>
      </c>
      <c r="I32" t="inlineStr">
        <is>
          <t>taxonomic_containment</t>
        </is>
      </c>
      <c r="J32" t="n">
        <v>2576877.965</v>
      </c>
      <c r="K32" t="n">
        <v>0.9113</v>
      </c>
      <c r="L32" s="6" t="inlineStr">
        <is>
          <t>Octopuses fall inside the model's Cephalopods group, whose members Supplementary Table S1 gives as ten squid, cuttlefish and octopus species (Uroteuthis edulis, Sepia esculenta, Octopus ocellatus, Ommastrephes bartrami and others).</t>
        </is>
      </c>
    </row>
    <row r="33">
      <c r="A33" t="inlineStr">
        <is>
          <t>Sepiida</t>
        </is>
      </c>
      <c r="B33" t="inlineStr">
        <is>
          <t>Cuttlefishes, bobtail squids</t>
        </is>
      </c>
      <c r="C33" t="inlineStr">
        <is>
          <t>Cephalopods</t>
        </is>
      </c>
      <c r="D33" t="inlineStr">
        <is>
          <t>Other fishes &amp; inverts</t>
        </is>
      </c>
      <c r="E33" s="7" t="inlineStr">
        <is>
          <t>Cephalopods</t>
        </is>
      </c>
      <c r="F33" t="inlineStr"/>
      <c r="G33" t="inlineStr"/>
      <c r="H33" t="inlineStr">
        <is>
          <t>high</t>
        </is>
      </c>
      <c r="I33" t="inlineStr">
        <is>
          <t>taxonomic_containment</t>
        </is>
      </c>
      <c r="J33" t="n">
        <v>2151523.973</v>
      </c>
      <c r="K33" t="n">
        <v>0.7608</v>
      </c>
      <c r="L33" s="6" t="inlineStr">
        <is>
          <t>Cuttlefishes and bobtail squids fall inside the model's Cephalopods group, whose members Supplementary Table S1 gives as ten squid, cuttlefish and octopus species (Uroteuthis edulis, Sepia esculenta, Octopus ocellatus, Ommastrephes bartrami and others).</t>
        </is>
      </c>
    </row>
    <row r="34">
      <c r="A34" t="inlineStr">
        <is>
          <t>Larimichthys crocea</t>
        </is>
      </c>
      <c r="B34" t="inlineStr">
        <is>
          <t>Large yellow croaker</t>
        </is>
      </c>
      <c r="C34" t="inlineStr">
        <is>
          <t>Medium benthopelagics (30 - 89 cm)</t>
        </is>
      </c>
      <c r="D34" t="inlineStr">
        <is>
          <t>Perch-likes</t>
        </is>
      </c>
      <c r="E34" s="7" t="inlineStr">
        <is>
          <t>Large yellow croakers</t>
        </is>
      </c>
      <c r="F34" t="inlineStr"/>
      <c r="G34" t="inlineStr"/>
      <c r="H34" t="inlineStr">
        <is>
          <t>high</t>
        </is>
      </c>
      <c r="I34" t="inlineStr">
        <is>
          <t>explicit_member</t>
        </is>
      </c>
      <c r="J34" t="n">
        <v>2056876.14</v>
      </c>
      <c r="K34" t="n">
        <v>0.7274</v>
      </c>
      <c r="L34" s="6" t="inlineStr">
        <is>
          <t>Supplementary Table S1 defines Large yellow croakers as the single species Larimichthys crocea.</t>
        </is>
      </c>
    </row>
    <row r="35">
      <c r="A35" t="inlineStr">
        <is>
          <t>Scomberomorus niphonius</t>
        </is>
      </c>
      <c r="B35" t="inlineStr">
        <is>
          <t>Japanese Spanish mackerel</t>
        </is>
      </c>
      <c r="C35" t="inlineStr">
        <is>
          <t>Large pelagics (&gt;=90 cm)</t>
        </is>
      </c>
      <c r="D35" t="inlineStr">
        <is>
          <t>Perch-likes</t>
        </is>
      </c>
      <c r="E35" s="7" t="inlineStr">
        <is>
          <t>Piscivores</t>
        </is>
      </c>
      <c r="F35" t="inlineStr"/>
      <c r="G35" t="inlineStr"/>
      <c r="H35" t="inlineStr">
        <is>
          <t>high</t>
        </is>
      </c>
      <c r="I35" t="inlineStr">
        <is>
          <t>explicit_member</t>
        </is>
      </c>
      <c r="J35" t="n">
        <v>2034325.918</v>
      </c>
      <c r="K35" t="n">
        <v>0.7194</v>
      </c>
      <c r="L35" s="6" t="inlineStr">
        <is>
          <t>Supplementary Table S1 lists Scomberomorus niphonius under Piscivores; the paper's discussion names it as the group's exemplar.</t>
        </is>
      </c>
    </row>
    <row r="36">
      <c r="A36" t="inlineStr">
        <is>
          <t>Planiliza haematocheilus</t>
        </is>
      </c>
      <c r="B36" t="inlineStr">
        <is>
          <t>So-iny mullet</t>
        </is>
      </c>
      <c r="C36" t="inlineStr">
        <is>
          <t>Medium demersals (30 - 89 cm)</t>
        </is>
      </c>
      <c r="D36" t="inlineStr">
        <is>
          <t>Perch-likes</t>
        </is>
      </c>
      <c r="E36" s="8" t="inlineStr">
        <is>
          <t>Benthivores</t>
        </is>
      </c>
      <c r="F36" t="inlineStr"/>
      <c r="G36" t="inlineStr"/>
      <c r="H36" t="inlineStr">
        <is>
          <t>low</t>
        </is>
      </c>
      <c r="I36" t="inlineStr">
        <is>
          <t>analogue</t>
        </is>
      </c>
      <c r="J36" t="n">
        <v>1954164.429</v>
      </c>
      <c r="K36" t="n">
        <v>0.6909999999999999</v>
      </c>
      <c r="L36" s="6"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row>
    <row r="37">
      <c r="A37" t="inlineStr">
        <is>
          <t>Teuthida</t>
        </is>
      </c>
      <c r="B37" t="inlineStr">
        <is>
          <t>Squids</t>
        </is>
      </c>
      <c r="C37" t="inlineStr">
        <is>
          <t>Cephalopods</t>
        </is>
      </c>
      <c r="D37" t="inlineStr">
        <is>
          <t>Other fishes &amp; inverts</t>
        </is>
      </c>
      <c r="E37" s="7" t="inlineStr">
        <is>
          <t>Cephalopods</t>
        </is>
      </c>
      <c r="F37" t="inlineStr"/>
      <c r="G37" t="inlineStr"/>
      <c r="H37" t="inlineStr">
        <is>
          <t>high</t>
        </is>
      </c>
      <c r="I37" t="inlineStr">
        <is>
          <t>taxonomic_containment</t>
        </is>
      </c>
      <c r="J37" t="n">
        <v>1877837.906</v>
      </c>
      <c r="K37" t="n">
        <v>0.6641</v>
      </c>
      <c r="L37" s="6" t="inlineStr">
        <is>
          <t>Squids fall inside the model's Cephalopods group, whose members Supplementary Table S1 gives as ten squid, cuttlefish and octopus species (Uroteuthis edulis, Sepia esculenta, Octopus ocellatus, Ommastrephes bartrami and others).</t>
        </is>
      </c>
    </row>
    <row r="38">
      <c r="A38" t="inlineStr">
        <is>
          <t>Penaeus chinensis</t>
        </is>
      </c>
      <c r="B38" t="inlineStr">
        <is>
          <t>Fleshy prawn</t>
        </is>
      </c>
      <c r="C38" t="inlineStr">
        <is>
          <t>Shrimps</t>
        </is>
      </c>
      <c r="D38" t="inlineStr">
        <is>
          <t>Crustaceans</t>
        </is>
      </c>
      <c r="E38" s="7" t="inlineStr">
        <is>
          <t>Shrimps</t>
        </is>
      </c>
      <c r="F38" t="inlineStr"/>
      <c r="G38" t="inlineStr"/>
      <c r="H38" t="inlineStr">
        <is>
          <t>high</t>
        </is>
      </c>
      <c r="I38" t="inlineStr">
        <is>
          <t>taxonomic_containment</t>
        </is>
      </c>
      <c r="J38" t="n">
        <v>1839739.577</v>
      </c>
      <c r="K38" t="n">
        <v>0.6506</v>
      </c>
      <c r="L38" s="6" t="inlineStr">
        <is>
          <t>Fleshy prawn fall inside the model's Shrimps group, which Supplementary Table S1 fills with thirteen penaeid, solenocerid, sergestid and caridean species including Metapenaeus joyneri, Parapenaeopsis hardwickii and Metapenaeopsis barbata.</t>
        </is>
      </c>
    </row>
    <row r="39">
      <c r="A39" t="inlineStr">
        <is>
          <t>Oncorhynchus</t>
        </is>
      </c>
      <c r="B39" t="inlineStr">
        <is>
          <t>Salmons, trouts</t>
        </is>
      </c>
      <c r="C39" t="inlineStr">
        <is>
          <t>Large benthopelagics (&gt;=90 cm)</t>
        </is>
      </c>
      <c r="D39" t="inlineStr">
        <is>
          <t>Salmon, smelts, etc</t>
        </is>
      </c>
      <c r="E39" s="8" t="inlineStr">
        <is>
          <t>Planktivores/piscivores</t>
        </is>
      </c>
      <c r="F39" t="inlineStr"/>
      <c r="G39" t="inlineStr"/>
      <c r="H39" t="inlineStr">
        <is>
          <t>low</t>
        </is>
      </c>
      <c r="I39" t="inlineStr">
        <is>
          <t>analogue</t>
        </is>
      </c>
      <c r="J39" t="n">
        <v>1837237.138</v>
      </c>
      <c r="K39" t="n">
        <v>0.6497000000000001</v>
      </c>
      <c r="L39" s="6"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row>
    <row r="40">
      <c r="A40" t="inlineStr">
        <is>
          <t>Carangidae</t>
        </is>
      </c>
      <c r="B40" t="inlineStr">
        <is>
          <t>Jacks, pompanos</t>
        </is>
      </c>
      <c r="C40" t="inlineStr">
        <is>
          <t>Medium pelagics (30 - 89 cm)</t>
        </is>
      </c>
      <c r="D40" t="inlineStr">
        <is>
          <t>Perch-likes</t>
        </is>
      </c>
      <c r="E40" s="5" t="inlineStr">
        <is>
          <t>Planktivores/piscivores | Omnivores</t>
        </is>
      </c>
      <c r="F40" t="inlineStr">
        <is>
          <t>0.711 | 0.289</t>
        </is>
      </c>
      <c r="G40" t="inlineStr">
        <is>
          <t>catch_composition</t>
        </is>
      </c>
      <c r="H40" t="inlineStr">
        <is>
          <t>medium</t>
        </is>
      </c>
      <c r="I40" t="inlineStr">
        <is>
          <t>composite_split</t>
        </is>
      </c>
      <c r="J40" t="n">
        <v>1801294.332</v>
      </c>
      <c r="K40" t="n">
        <v>0.637</v>
      </c>
      <c r="L40"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row>
    <row r="41">
      <c r="A41" t="inlineStr">
        <is>
          <t>Psenopsis anomala</t>
        </is>
      </c>
      <c r="B41" t="inlineStr">
        <is>
          <t>Pacific rudderfish</t>
        </is>
      </c>
      <c r="C41" t="inlineStr">
        <is>
          <t>Small benthopelagics (&lt;30 cm)</t>
        </is>
      </c>
      <c r="D41" t="inlineStr">
        <is>
          <t>Perch-likes</t>
        </is>
      </c>
      <c r="E41" s="8" t="inlineStr">
        <is>
          <t>Planktivores/Benthivores | Planktivores/piscivores</t>
        </is>
      </c>
      <c r="F41" t="inlineStr">
        <is>
          <t>0.500 | 0.500</t>
        </is>
      </c>
      <c r="G41" t="inlineStr">
        <is>
          <t>equal</t>
        </is>
      </c>
      <c r="H41" t="inlineStr">
        <is>
          <t>low</t>
        </is>
      </c>
      <c r="I41" t="inlineStr">
        <is>
          <t>composite_split</t>
        </is>
      </c>
      <c r="J41" t="n">
        <v>1596611.265</v>
      </c>
      <c r="K41" t="n">
        <v>0.5646</v>
      </c>
      <c r="L41"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row>
    <row r="42">
      <c r="A42" t="inlineStr">
        <is>
          <t>Squillidae</t>
        </is>
      </c>
      <c r="B42" t="inlineStr">
        <is>
          <t>Squilla mantis shrimps</t>
        </is>
      </c>
      <c r="C42" t="inlineStr">
        <is>
          <t>Shrimps</t>
        </is>
      </c>
      <c r="D42" t="inlineStr">
        <is>
          <t>Crustaceans</t>
        </is>
      </c>
      <c r="E42" s="5" t="inlineStr">
        <is>
          <t>Shrimps</t>
        </is>
      </c>
      <c r="F42" t="inlineStr"/>
      <c r="G42" t="inlineStr"/>
      <c r="H42" t="inlineStr">
        <is>
          <t>medium</t>
        </is>
      </c>
      <c r="I42" t="inlineStr">
        <is>
          <t>analogue</t>
        </is>
      </c>
      <c r="J42" t="n">
        <v>1512498.962</v>
      </c>
      <c r="K42" t="n">
        <v>0.5349</v>
      </c>
      <c r="L42" s="6"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row>
    <row r="43">
      <c r="A43" t="inlineStr">
        <is>
          <t>Sparidae</t>
        </is>
      </c>
      <c r="B43" t="inlineStr">
        <is>
          <t>Porgies, seabreams</t>
        </is>
      </c>
      <c r="C43" t="inlineStr">
        <is>
          <t>Medium benthopelagics (30 - 89 cm)</t>
        </is>
      </c>
      <c r="D43" t="inlineStr">
        <is>
          <t>Perch-likes</t>
        </is>
      </c>
      <c r="E43" s="5" t="inlineStr">
        <is>
          <t>Omnivores</t>
        </is>
      </c>
      <c r="F43" t="inlineStr"/>
      <c r="G43" t="inlineStr"/>
      <c r="H43" t="inlineStr">
        <is>
          <t>medium</t>
        </is>
      </c>
      <c r="I43" t="inlineStr">
        <is>
          <t>habitat_size_guild</t>
        </is>
      </c>
      <c r="J43" t="n">
        <v>1497432.28</v>
      </c>
      <c r="K43" t="n">
        <v>0.5295</v>
      </c>
      <c r="L43" s="6" t="inlineStr">
        <is>
          <t>Porgies and seabreams take a wide mix of benthic invertebrates, algae and small fish; Supplementary Table S1 places the sparid Acanthopagrus schlegelii in Omnivores.</t>
        </is>
      </c>
    </row>
    <row r="44">
      <c r="A44" t="inlineStr">
        <is>
          <t>Alepes</t>
        </is>
      </c>
      <c r="B44" t="inlineStr">
        <is>
          <t>Crevalles</t>
        </is>
      </c>
      <c r="C44" t="inlineStr">
        <is>
          <t>Medium reef assoc. fish (30 - 89 cm)</t>
        </is>
      </c>
      <c r="D44" t="inlineStr">
        <is>
          <t>Perch-likes</t>
        </is>
      </c>
      <c r="E44" s="5" t="inlineStr">
        <is>
          <t>Planktivores/piscivores</t>
        </is>
      </c>
      <c r="F44" t="inlineStr"/>
      <c r="G44" t="inlineStr"/>
      <c r="H44" t="inlineStr">
        <is>
          <t>medium</t>
        </is>
      </c>
      <c r="I44" t="inlineStr">
        <is>
          <t>habitat_size_guild</t>
        </is>
      </c>
      <c r="J44" t="n">
        <v>1439693.195</v>
      </c>
      <c r="K44" t="n">
        <v>0.5091</v>
      </c>
      <c r="L44" s="6" t="inlineStr">
        <is>
          <t>Crevalles are small carangids taking zooplankton and small fish; Supplementary Table S1 places the comparable carangids Decapterus maruadsi and Trachurus japonicus in Planktivores/piscivores.</t>
        </is>
      </c>
    </row>
    <row r="45">
      <c r="A45" t="inlineStr">
        <is>
          <t>Sepiidae</t>
        </is>
      </c>
      <c r="B45" t="inlineStr">
        <is>
          <t>Cuttlefishes</t>
        </is>
      </c>
      <c r="C45" t="inlineStr">
        <is>
          <t>Cephalopods</t>
        </is>
      </c>
      <c r="D45" t="inlineStr">
        <is>
          <t>Other fishes &amp; inverts</t>
        </is>
      </c>
      <c r="E45" s="7" t="inlineStr">
        <is>
          <t>Cephalopods</t>
        </is>
      </c>
      <c r="F45" t="inlineStr"/>
      <c r="G45" t="inlineStr"/>
      <c r="H45" t="inlineStr">
        <is>
          <t>high</t>
        </is>
      </c>
      <c r="I45" t="inlineStr">
        <is>
          <t>taxonomic_containment</t>
        </is>
      </c>
      <c r="J45" t="n">
        <v>1391720.734</v>
      </c>
      <c r="K45" t="n">
        <v>0.4921</v>
      </c>
      <c r="L45" s="6" t="inlineStr">
        <is>
          <t>Cuttlefishes fall inside the model's Cephalopods group, whose members Supplementary Table S1 gives as ten squid, cuttlefish and octopus species (Uroteuthis edulis, Sepia esculenta, Octopus ocellatus, Ommastrephes bartrami and others).</t>
        </is>
      </c>
    </row>
    <row r="46">
      <c r="A46" t="inlineStr">
        <is>
          <t>Harpadon nehereus</t>
        </is>
      </c>
      <c r="B46" t="inlineStr">
        <is>
          <t>Bombay-duck</t>
        </is>
      </c>
      <c r="C46" t="inlineStr">
        <is>
          <t>Medium benthopelagics (30 - 89 cm)</t>
        </is>
      </c>
      <c r="D46" t="inlineStr">
        <is>
          <t>Other fishes &amp; inverts</t>
        </is>
      </c>
      <c r="E46" s="7" t="inlineStr">
        <is>
          <t>Bombay duck</t>
        </is>
      </c>
      <c r="F46" t="inlineStr"/>
      <c r="G46" t="inlineStr"/>
      <c r="H46" t="inlineStr">
        <is>
          <t>high</t>
        </is>
      </c>
      <c r="I46" t="inlineStr">
        <is>
          <t>explicit_member</t>
        </is>
      </c>
      <c r="J46" t="n">
        <v>1326613.26</v>
      </c>
      <c r="K46" t="n">
        <v>0.4691</v>
      </c>
      <c r="L46" s="6" t="inlineStr">
        <is>
          <t>Supplementary Table S1 defines Bombay duck as Harpadon nehereus; the same species is also listed under Piscivores, but the dedicated single-species group is the model's own compartment for this stock and takes the record.</t>
        </is>
      </c>
    </row>
    <row r="47">
      <c r="A47" t="inlineStr">
        <is>
          <t>Katsuwonus pelamis</t>
        </is>
      </c>
      <c r="B47" t="inlineStr">
        <is>
          <t>Skipjack tuna</t>
        </is>
      </c>
      <c r="C47" t="inlineStr">
        <is>
          <t>Large pelagics (&gt;=90 cm)</t>
        </is>
      </c>
      <c r="D47" t="inlineStr">
        <is>
          <t>Tuna &amp; billfishes</t>
        </is>
      </c>
      <c r="E47" s="5" t="inlineStr">
        <is>
          <t>Piscivores</t>
        </is>
      </c>
      <c r="F47" t="inlineStr"/>
      <c r="G47" t="inlineStr"/>
      <c r="H47" t="inlineStr">
        <is>
          <t>medium</t>
        </is>
      </c>
      <c r="I47" t="inlineStr">
        <is>
          <t>habitat_size_guild</t>
        </is>
      </c>
      <c r="J47" t="n">
        <v>1251232.198</v>
      </c>
      <c r="K47" t="n">
        <v>0.4425</v>
      </c>
      <c r="L47" s="6" t="inlineStr">
        <is>
          <t>Skipjack tuna is an epipelagic piscivore; Supplementary Table S1 puts the comparable scombrid Auxis thazard and the epipelagic Coryphaena hippurus in Piscivores, so the model's top fish-eating guild does extend to oceanic predators.</t>
        </is>
      </c>
    </row>
    <row r="48">
      <c r="A48" t="inlineStr">
        <is>
          <t>Cephalopoda</t>
        </is>
      </c>
      <c r="B48" t="inlineStr">
        <is>
          <t>Squids, cuttlefishes, octopuses</t>
        </is>
      </c>
      <c r="C48" t="inlineStr">
        <is>
          <t>Cephalopods</t>
        </is>
      </c>
      <c r="D48" t="inlineStr">
        <is>
          <t>Other fishes &amp; inverts</t>
        </is>
      </c>
      <c r="E48" s="7" t="inlineStr">
        <is>
          <t>Cephalopods</t>
        </is>
      </c>
      <c r="F48" t="inlineStr"/>
      <c r="G48" t="inlineStr"/>
      <c r="H48" t="inlineStr">
        <is>
          <t>high</t>
        </is>
      </c>
      <c r="I48" t="inlineStr">
        <is>
          <t>taxonomic_containment</t>
        </is>
      </c>
      <c r="J48" t="n">
        <v>1145373.911</v>
      </c>
      <c r="K48" t="n">
        <v>0.405</v>
      </c>
      <c r="L48" s="6" t="inlineStr">
        <is>
          <t>The cephalopod class record fall inside the model's Cephalopods group, whose members Supplementary Table S1 gives as ten squid, cuttlefish and octopus species (Uroteuthis edulis, Sepia esculenta, Octopus ocellatus, Ommastrephes bartrami and others).</t>
        </is>
      </c>
    </row>
    <row r="49">
      <c r="A49" t="inlineStr">
        <is>
          <t>Nemipteridae</t>
        </is>
      </c>
      <c r="B49" t="inlineStr">
        <is>
          <t>Threadfins, whiptail breams</t>
        </is>
      </c>
      <c r="C49" t="inlineStr">
        <is>
          <t>Small demersals (&lt;30 cm)</t>
        </is>
      </c>
      <c r="D49" t="inlineStr">
        <is>
          <t>Perch-likes</t>
        </is>
      </c>
      <c r="E49" s="7" t="inlineStr">
        <is>
          <t>Benthivores/piscivores</t>
        </is>
      </c>
      <c r="F49" t="inlineStr"/>
      <c r="G49" t="inlineStr"/>
      <c r="H49" t="inlineStr">
        <is>
          <t>high</t>
        </is>
      </c>
      <c r="I49" t="inlineStr">
        <is>
          <t>taxonomic_containment</t>
        </is>
      </c>
      <c r="J49" t="n">
        <v>1145240.731</v>
      </c>
      <c r="K49" t="n">
        <v>0.405</v>
      </c>
      <c r="L49" s="6" t="inlineStr">
        <is>
          <t>Supplementary Table S1 lists the nemipterid Nemipterus virgatus in Benthivores/piscivores; this family record is that family.</t>
        </is>
      </c>
    </row>
    <row r="50">
      <c r="A50" t="inlineStr">
        <is>
          <t>Thunnus albacares</t>
        </is>
      </c>
      <c r="B50" t="inlineStr">
        <is>
          <t>Yellowfin tuna</t>
        </is>
      </c>
      <c r="C50" t="inlineStr">
        <is>
          <t>Large pelagics (&gt;=90 cm)</t>
        </is>
      </c>
      <c r="D50" t="inlineStr">
        <is>
          <t>Tuna &amp; billfishes</t>
        </is>
      </c>
      <c r="E50" s="5" t="inlineStr">
        <is>
          <t>Piscivores</t>
        </is>
      </c>
      <c r="F50" t="inlineStr"/>
      <c r="G50" t="inlineStr"/>
      <c r="H50" t="inlineStr">
        <is>
          <t>medium</t>
        </is>
      </c>
      <c r="I50" t="inlineStr">
        <is>
          <t>habitat_size_guild</t>
        </is>
      </c>
      <c r="J50" t="n">
        <v>1087501.705</v>
      </c>
      <c r="K50" t="n">
        <v>0.3846</v>
      </c>
      <c r="L50" s="6" t="inlineStr">
        <is>
          <t>Yellowfin tuna is an epipelagic piscivore; Supplementary Table S1 places the scombrid Auxis thazard and the epipelagic Coryphaena hippurus in Piscivores.</t>
        </is>
      </c>
    </row>
    <row r="51">
      <c r="A51" t="inlineStr">
        <is>
          <t>Trachurus japonicus</t>
        </is>
      </c>
      <c r="B51" t="inlineStr">
        <is>
          <t>Japanese jack mackerel</t>
        </is>
      </c>
      <c r="C51" t="inlineStr">
        <is>
          <t>Medium demersals (30 - 89 cm)</t>
        </is>
      </c>
      <c r="D51" t="inlineStr">
        <is>
          <t>Perch-likes</t>
        </is>
      </c>
      <c r="E51" s="7" t="inlineStr">
        <is>
          <t>Planktivores/piscivores</t>
        </is>
      </c>
      <c r="F51" t="inlineStr"/>
      <c r="G51" t="inlineStr"/>
      <c r="H51" t="inlineStr">
        <is>
          <t>high</t>
        </is>
      </c>
      <c r="I51" t="inlineStr">
        <is>
          <t>explicit_member</t>
        </is>
      </c>
      <c r="J51" t="n">
        <v>1072382.803</v>
      </c>
      <c r="K51" t="n">
        <v>0.3792</v>
      </c>
      <c r="L51" s="6" t="inlineStr">
        <is>
          <t>Supplementary Table S1 lists Trachurus japonicus under Planktivores/piscivores.</t>
        </is>
      </c>
    </row>
    <row r="52">
      <c r="A52" t="inlineStr">
        <is>
          <t>Rhopilema esculentum</t>
        </is>
      </c>
      <c r="B52" t="inlineStr">
        <is>
          <t>Flame jellyfish</t>
        </is>
      </c>
      <c r="C52" t="inlineStr">
        <is>
          <t>Jellyfish</t>
        </is>
      </c>
      <c r="D52" t="inlineStr">
        <is>
          <t>Other fishes &amp; inverts</t>
        </is>
      </c>
      <c r="E52" s="7" t="inlineStr">
        <is>
          <t>Other invertebrates</t>
        </is>
      </c>
      <c r="F52" t="inlineStr"/>
      <c r="G52" t="inlineStr"/>
      <c r="H52" t="inlineStr">
        <is>
          <t>high</t>
        </is>
      </c>
      <c r="I52" t="inlineStr">
        <is>
          <t>explicit_member</t>
        </is>
      </c>
      <c r="J52" t="n">
        <v>1043660.071</v>
      </c>
      <c r="K52" t="n">
        <v>0.3691</v>
      </c>
      <c r="L52" s="6" t="inlineStr">
        <is>
          <t>Supplementary Table S1 defines the model's Other invertebrates group as 'Cnidaria'. The flame jellyfish are scyphozoan cnidarians and this is the model's only compartment for them.</t>
        </is>
      </c>
    </row>
    <row r="53">
      <c r="A53" t="inlineStr">
        <is>
          <t>Mugil cephalus</t>
        </is>
      </c>
      <c r="B53" t="inlineStr">
        <is>
          <t>Flathead grey mullet</t>
        </is>
      </c>
      <c r="C53" t="inlineStr">
        <is>
          <t>Large benthopelagics (&gt;=90 cm)</t>
        </is>
      </c>
      <c r="D53" t="inlineStr">
        <is>
          <t>Perch-likes</t>
        </is>
      </c>
      <c r="E53" s="8" t="inlineStr">
        <is>
          <t>Benthivores</t>
        </is>
      </c>
      <c r="F53" t="inlineStr"/>
      <c r="G53" t="inlineStr"/>
      <c r="H53" t="inlineStr">
        <is>
          <t>low</t>
        </is>
      </c>
      <c r="I53" t="inlineStr">
        <is>
          <t>analogue</t>
        </is>
      </c>
      <c r="J53" t="n">
        <v>1024425.143</v>
      </c>
      <c r="K53" t="n">
        <v>0.3623</v>
      </c>
      <c r="L53" s="6" t="inlineStr">
        <is>
          <t>Flathead grey mullet feeds on benthic microalgae and detritus; the model has no herbivore or detritivore fish group, so it is placed in the only bottom-feeding guild, with the same caveat as the other mullets.</t>
        </is>
      </c>
    </row>
    <row r="54">
      <c r="A54" t="inlineStr">
        <is>
          <t>Dendrobranchiata</t>
        </is>
      </c>
      <c r="B54" t="inlineStr">
        <is>
          <t>Shrimps and prawns</t>
        </is>
      </c>
      <c r="C54" t="inlineStr">
        <is>
          <t>Shrimps</t>
        </is>
      </c>
      <c r="D54" t="inlineStr">
        <is>
          <t>Crustaceans</t>
        </is>
      </c>
      <c r="E54" s="7" t="inlineStr">
        <is>
          <t>Shrimps</t>
        </is>
      </c>
      <c r="F54" t="inlineStr"/>
      <c r="G54" t="inlineStr"/>
      <c r="H54" t="inlineStr">
        <is>
          <t>high</t>
        </is>
      </c>
      <c r="I54" t="inlineStr">
        <is>
          <t>taxonomic_containment</t>
        </is>
      </c>
      <c r="J54" t="n">
        <v>969825.7830000001</v>
      </c>
      <c r="K54" t="n">
        <v>0.343</v>
      </c>
      <c r="L54" s="6" t="inlineStr">
        <is>
          <t>Penaeoid prawns fall inside the model's Shrimps group, which Supplementary Table S1 fills with thirteen penaeid, solenocerid, sergestid and caridean species including Metapenaeus joyneri, Parapenaeopsis hardwickii and Metapenaeopsis barbata.</t>
        </is>
      </c>
    </row>
    <row r="55">
      <c r="A55" t="inlineStr">
        <is>
          <t>Pagrus major</t>
        </is>
      </c>
      <c r="B55" t="inlineStr">
        <is>
          <t>Japanese seabream</t>
        </is>
      </c>
      <c r="C55" t="inlineStr">
        <is>
          <t>Large demersals (&gt;=90 cm)</t>
        </is>
      </c>
      <c r="D55" t="inlineStr">
        <is>
          <t>Perch-likes</t>
        </is>
      </c>
      <c r="E55" s="5" t="inlineStr">
        <is>
          <t>Omnivores</t>
        </is>
      </c>
      <c r="F55" t="inlineStr"/>
      <c r="G55" t="inlineStr"/>
      <c r="H55" t="inlineStr">
        <is>
          <t>medium</t>
        </is>
      </c>
      <c r="I55" t="inlineStr">
        <is>
          <t>habitat_size_guild</t>
        </is>
      </c>
      <c r="J55" t="n">
        <v>969705.434</v>
      </c>
      <c r="K55" t="n">
        <v>0.3429</v>
      </c>
      <c r="L55" s="6" t="inlineStr">
        <is>
          <t>Red seabream is a generalist on crustaceans, molluscs, echinoderms and small fish; Supplementary Table S1 places the sparid Acanthopagrus schlegelii in Omnivores.</t>
        </is>
      </c>
    </row>
    <row r="56">
      <c r="A56" t="inlineStr">
        <is>
          <t>Decapoda</t>
        </is>
      </c>
      <c r="B56" t="inlineStr">
        <is>
          <t>Crabs, lobsters, shrimps</t>
        </is>
      </c>
      <c r="C56" t="inlineStr">
        <is>
          <t>Lobsters, crabs</t>
        </is>
      </c>
      <c r="D56" t="inlineStr">
        <is>
          <t>Crustaceans</t>
        </is>
      </c>
      <c r="E56" s="5" t="inlineStr">
        <is>
          <t>Crabs | Shrimps</t>
        </is>
      </c>
      <c r="F56" t="inlineStr">
        <is>
          <t>0.252 | 0.748</t>
        </is>
      </c>
      <c r="G56" t="inlineStr">
        <is>
          <t>catch_composition</t>
        </is>
      </c>
      <c r="H56" t="inlineStr">
        <is>
          <t>medium</t>
        </is>
      </c>
      <c r="I56" t="inlineStr">
        <is>
          <t>composite_split</t>
        </is>
      </c>
      <c r="J56" t="n">
        <v>964339.696</v>
      </c>
      <c r="K56" t="n">
        <v>0.341</v>
      </c>
      <c r="L56"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row>
    <row r="57">
      <c r="A57" t="inlineStr">
        <is>
          <t>Turbo cornutus</t>
        </is>
      </c>
      <c r="B57" t="inlineStr">
        <is>
          <t>Horned turban</t>
        </is>
      </c>
      <c r="C57" t="inlineStr">
        <is>
          <t>Other demersal invertebrates</t>
        </is>
      </c>
      <c r="D57" t="inlineStr">
        <is>
          <t>Molluscs</t>
        </is>
      </c>
      <c r="E57" s="5" t="inlineStr">
        <is>
          <t>Mollusks</t>
        </is>
      </c>
      <c r="F57" t="inlineStr"/>
      <c r="G57" t="inlineStr"/>
      <c r="H57" t="inlineStr">
        <is>
          <t>medium</t>
        </is>
      </c>
      <c r="I57" t="inlineStr">
        <is>
          <t>taxonomic_containment</t>
        </is>
      </c>
      <c r="J57" t="n">
        <v>919189.716</v>
      </c>
      <c r="K57" t="n">
        <v>0.3251</v>
      </c>
      <c r="L57" s="6" t="inlineStr">
        <is>
          <t>The horned turban fall inside the model's Mollusks group by name, but Supplementary Table S1 states its composition as bivalves only, so a gastropod is included on the group's taxonomic name rather than on its listed membership.</t>
        </is>
      </c>
    </row>
    <row r="58">
      <c r="A58" t="inlineStr">
        <is>
          <t>Conger myriaster</t>
        </is>
      </c>
      <c r="B58" t="inlineStr">
        <is>
          <t>Whitespotted conger</t>
        </is>
      </c>
      <c r="C58" t="inlineStr">
        <is>
          <t>Medium demersals (30 - 89 cm)</t>
        </is>
      </c>
      <c r="D58" t="inlineStr">
        <is>
          <t>Other fishes &amp; inverts</t>
        </is>
      </c>
      <c r="E58" s="5" t="inlineStr">
        <is>
          <t>Benthivores/piscivores</t>
        </is>
      </c>
      <c r="F58" t="inlineStr"/>
      <c r="G58" t="inlineStr"/>
      <c r="H58" t="inlineStr">
        <is>
          <t>medium</t>
        </is>
      </c>
      <c r="I58" t="inlineStr">
        <is>
          <t>habitat_size_guild</t>
        </is>
      </c>
      <c r="J58" t="n">
        <v>918502.2070000001</v>
      </c>
      <c r="K58" t="n">
        <v>0.3248</v>
      </c>
      <c r="L58" s="6" t="inlineStr">
        <is>
          <t>Whitespotted conger takes both benthic crustaceans and small fish; Supplementary Table S1 places the congrid Ariosoma anago in Benthivores/piscivores.</t>
        </is>
      </c>
    </row>
    <row r="59">
      <c r="A59" t="inlineStr">
        <is>
          <t>Congridae</t>
        </is>
      </c>
      <c r="B59" t="inlineStr">
        <is>
          <t>Conger, garden eels</t>
        </is>
      </c>
      <c r="C59" t="inlineStr">
        <is>
          <t>Large demersals (&gt;=90 cm)</t>
        </is>
      </c>
      <c r="D59" t="inlineStr">
        <is>
          <t>Other fishes &amp; inverts</t>
        </is>
      </c>
      <c r="E59" s="5" t="inlineStr">
        <is>
          <t>Benthivores | Benthivores/piscivores</t>
        </is>
      </c>
      <c r="F59" t="inlineStr">
        <is>
          <t>0.446 | 0.554</t>
        </is>
      </c>
      <c r="G59" t="inlineStr">
        <is>
          <t>catch_composition</t>
        </is>
      </c>
      <c r="H59" t="inlineStr">
        <is>
          <t>medium</t>
        </is>
      </c>
      <c r="I59" t="inlineStr">
        <is>
          <t>composite_split</t>
        </is>
      </c>
      <c r="J59" t="n">
        <v>830913.963</v>
      </c>
      <c r="K59" t="n">
        <v>0.2938</v>
      </c>
      <c r="L59" s="6" t="inlineStr">
        <is>
          <t>Family-level record. Supplementary Table S1 splits the model's congrids: Uroconger lepturus and Rhynchoconger ectenurus sit in Benthivores while Ariosoma anago sits in Benthivores/piscivores. Apportioned by catch composition.</t>
        </is>
      </c>
    </row>
    <row r="60">
      <c r="A60" t="inlineStr">
        <is>
          <t>Seriola</t>
        </is>
      </c>
      <c r="B60" t="inlineStr">
        <is>
          <t>Amberjacks</t>
        </is>
      </c>
      <c r="C60" t="inlineStr">
        <is>
          <t>Large benthopelagics (&gt;=90 cm)</t>
        </is>
      </c>
      <c r="D60" t="inlineStr">
        <is>
          <t>Perch-likes</t>
        </is>
      </c>
      <c r="E60" s="5" t="inlineStr">
        <is>
          <t>Piscivores</t>
        </is>
      </c>
      <c r="F60" t="inlineStr"/>
      <c r="G60" t="inlineStr"/>
      <c r="H60" t="inlineStr">
        <is>
          <t>medium</t>
        </is>
      </c>
      <c r="I60" t="inlineStr">
        <is>
          <t>habitat_size_guild</t>
        </is>
      </c>
      <c r="J60" t="n">
        <v>813532.282</v>
      </c>
      <c r="K60" t="n">
        <v>0.2877</v>
      </c>
      <c r="L60" s="6" t="inlineStr">
        <is>
          <t>Amberjacks are large carangid piscivores, unlike the plankton-and-fish scads Supplementary Table S1 lists in Planktivores/piscivores; they belong in the model's fish-eating guild.</t>
        </is>
      </c>
    </row>
    <row r="61">
      <c r="A61" t="inlineStr">
        <is>
          <t>Ilisha elongata</t>
        </is>
      </c>
      <c r="B61" t="inlineStr">
        <is>
          <t>Elongate ilisha</t>
        </is>
      </c>
      <c r="C61" t="inlineStr">
        <is>
          <t>Medium pelagics (30 - 89 cm)</t>
        </is>
      </c>
      <c r="D61" t="inlineStr">
        <is>
          <t>Herring-likes</t>
        </is>
      </c>
      <c r="E61" s="7" t="inlineStr">
        <is>
          <t>Omnivores</t>
        </is>
      </c>
      <c r="F61" t="inlineStr"/>
      <c r="G61" t="inlineStr"/>
      <c r="H61" t="inlineStr">
        <is>
          <t>high</t>
        </is>
      </c>
      <c r="I61" t="inlineStr">
        <is>
          <t>explicit_member</t>
        </is>
      </c>
      <c r="J61" t="n">
        <v>778974.459</v>
      </c>
      <c r="K61" t="n">
        <v>0.2755</v>
      </c>
      <c r="L61" s="6" t="inlineStr">
        <is>
          <t>Supplementary Table S1 lists Ilisha elongata (spelled 'Ilisha elongate') under Omnivores.</t>
        </is>
      </c>
    </row>
    <row r="62">
      <c r="A62" t="inlineStr">
        <is>
          <t>Sebastes</t>
        </is>
      </c>
      <c r="B62" t="inlineStr">
        <is>
          <t>Redfishes</t>
        </is>
      </c>
      <c r="C62" t="inlineStr">
        <is>
          <t>Large reef assoc. fish (&gt;=90 cm)</t>
        </is>
      </c>
      <c r="D62" t="inlineStr">
        <is>
          <t>Scorpionfishes</t>
        </is>
      </c>
      <c r="E62" s="5" t="inlineStr">
        <is>
          <t>Benthivores/piscivores</t>
        </is>
      </c>
      <c r="F62" t="inlineStr"/>
      <c r="G62" t="inlineStr"/>
      <c r="H62" t="inlineStr">
        <is>
          <t>medium</t>
        </is>
      </c>
      <c r="I62" t="inlineStr">
        <is>
          <t>habitat_size_guild</t>
        </is>
      </c>
      <c r="J62" t="n">
        <v>733121.575</v>
      </c>
      <c r="K62" t="n">
        <v>0.2593</v>
      </c>
      <c r="L62" s="6" t="inlineStr">
        <is>
          <t>Rockfishes are demersal ambush predators taking both benthic crustaceans and fish, the mixed guild of Supplementary Table S1 (Nemipterus virgatus, Priacanthus macracanthus).</t>
        </is>
      </c>
    </row>
    <row r="63">
      <c r="A63" t="inlineStr">
        <is>
          <t>Epinephelus</t>
        </is>
      </c>
      <c r="B63" t="inlineStr">
        <is>
          <t>Seabasses, hinds</t>
        </is>
      </c>
      <c r="C63" t="inlineStr">
        <is>
          <t>Medium reef assoc. fish (30 - 89 cm)</t>
        </is>
      </c>
      <c r="D63" t="inlineStr">
        <is>
          <t>Perch-likes</t>
        </is>
      </c>
      <c r="E63" s="5" t="inlineStr">
        <is>
          <t>Piscivores</t>
        </is>
      </c>
      <c r="F63" t="inlineStr"/>
      <c r="G63" t="inlineStr"/>
      <c r="H63" t="inlineStr">
        <is>
          <t>medium</t>
        </is>
      </c>
      <c r="I63" t="inlineStr">
        <is>
          <t>habitat_size_guild</t>
        </is>
      </c>
      <c r="J63" t="n">
        <v>716636.3590000001</v>
      </c>
      <c r="K63" t="n">
        <v>0.2534</v>
      </c>
      <c r="L63" s="6" t="inlineStr">
        <is>
          <t>Groupers are ambush piscivores on the shelf and its hard bottoms, matching the model's fish-eating guild.</t>
        </is>
      </c>
    </row>
    <row r="64">
      <c r="A64" t="inlineStr">
        <is>
          <t>Loliginidae</t>
        </is>
      </c>
      <c r="B64" t="inlineStr">
        <is>
          <t>Common pencil squids</t>
        </is>
      </c>
      <c r="C64" t="inlineStr">
        <is>
          <t>Cephalopods</t>
        </is>
      </c>
      <c r="D64" t="inlineStr">
        <is>
          <t>Other fishes &amp; inverts</t>
        </is>
      </c>
      <c r="E64" s="7" t="inlineStr">
        <is>
          <t>Cephalopods</t>
        </is>
      </c>
      <c r="F64" t="inlineStr"/>
      <c r="G64" t="inlineStr"/>
      <c r="H64" t="inlineStr">
        <is>
          <t>high</t>
        </is>
      </c>
      <c r="I64" t="inlineStr">
        <is>
          <t>taxonomic_containment</t>
        </is>
      </c>
      <c r="J64" t="n">
        <v>714003.746</v>
      </c>
      <c r="K64" t="n">
        <v>0.2525</v>
      </c>
      <c r="L64" s="6" t="inlineStr">
        <is>
          <t>Pencil squids fall inside the model's Cephalopods group, whose members Supplementary Table S1 gives as ten squid, cuttlefish and octopus species (Uroteuthis edulis, Sepia esculenta, Octopus ocellatus, Ommastrephes bartrami and others).</t>
        </is>
      </c>
    </row>
    <row r="65">
      <c r="A65" t="inlineStr">
        <is>
          <t>Stromateidae</t>
        </is>
      </c>
      <c r="B65" t="inlineStr">
        <is>
          <t>Butterfishes</t>
        </is>
      </c>
      <c r="C65" t="inlineStr">
        <is>
          <t>Small benthopelagics (&lt;30 cm)</t>
        </is>
      </c>
      <c r="D65" t="inlineStr">
        <is>
          <t>Perch-likes</t>
        </is>
      </c>
      <c r="E65" s="7" t="inlineStr">
        <is>
          <t>Planktivores/piscivores</t>
        </is>
      </c>
      <c r="F65" t="inlineStr"/>
      <c r="G65" t="inlineStr"/>
      <c r="H65" t="inlineStr">
        <is>
          <t>high</t>
        </is>
      </c>
      <c r="I65" t="inlineStr">
        <is>
          <t>taxonomic_containment</t>
        </is>
      </c>
      <c r="J65" t="n">
        <v>672627.961</v>
      </c>
      <c r="K65" t="n">
        <v>0.2379</v>
      </c>
      <c r="L65" s="6" t="inlineStr">
        <is>
          <t>Supplementary Table S1 lists the stromateids Pampus chinensis and Pampus argenteus in Planktivores/piscivores; this family record is that family.</t>
        </is>
      </c>
    </row>
    <row r="66">
      <c r="A66" t="inlineStr">
        <is>
          <t>Brachyura</t>
        </is>
      </c>
      <c r="B66" t="inlineStr">
        <is>
          <t>Marine crabs</t>
        </is>
      </c>
      <c r="C66" t="inlineStr">
        <is>
          <t>Lobsters, crabs</t>
        </is>
      </c>
      <c r="D66" t="inlineStr">
        <is>
          <t>Crustaceans</t>
        </is>
      </c>
      <c r="E66" s="7" t="inlineStr">
        <is>
          <t>Crabs</t>
        </is>
      </c>
      <c r="F66" t="inlineStr"/>
      <c r="G66" t="inlineStr"/>
      <c r="H66" t="inlineStr">
        <is>
          <t>high</t>
        </is>
      </c>
      <c r="I66" t="inlineStr">
        <is>
          <t>taxonomic_containment</t>
        </is>
      </c>
      <c r="J66" t="n">
        <v>602208.71</v>
      </c>
      <c r="K66" t="n">
        <v>0.213</v>
      </c>
      <c r="L66" s="6" t="inlineStr">
        <is>
          <t>True crabs fall inside the model's Crabs group, which Supplementary Table S1 fills with six portunids (Portunus trituberculatus, Charybdis feriatus, C. bimaculata, P. sanguinolentus, C. acuta, P. argentatus).</t>
        </is>
      </c>
    </row>
    <row r="67">
      <c r="A67" t="inlineStr">
        <is>
          <t>Octopodidae</t>
        </is>
      </c>
      <c r="B67" t="inlineStr">
        <is>
          <t>Octopuses</t>
        </is>
      </c>
      <c r="C67" t="inlineStr">
        <is>
          <t>Cephalopods</t>
        </is>
      </c>
      <c r="D67" t="inlineStr">
        <is>
          <t>Other fishes &amp; inverts</t>
        </is>
      </c>
      <c r="E67" s="7" t="inlineStr">
        <is>
          <t>Cephalopods</t>
        </is>
      </c>
      <c r="F67" t="inlineStr"/>
      <c r="G67" t="inlineStr"/>
      <c r="H67" t="inlineStr">
        <is>
          <t>high</t>
        </is>
      </c>
      <c r="I67" t="inlineStr">
        <is>
          <t>taxonomic_containment</t>
        </is>
      </c>
      <c r="J67" t="n">
        <v>584331.616</v>
      </c>
      <c r="K67" t="n">
        <v>0.2066</v>
      </c>
      <c r="L67" s="6" t="inlineStr">
        <is>
          <t>Octopuses fall inside the model's Cephalopods group, whose members Supplementary Table S1 gives as ten squid, cuttlefish and octopus species (Uroteuthis edulis, Sepia esculenta, Octopus ocellatus, Ommastrephes bartrami and others).</t>
        </is>
      </c>
    </row>
    <row r="68">
      <c r="A68" t="inlineStr">
        <is>
          <t>Clupeidae</t>
        </is>
      </c>
      <c r="B68" t="inlineStr">
        <is>
          <t>Herrings, sardines, menhadens</t>
        </is>
      </c>
      <c r="C68" t="inlineStr">
        <is>
          <t>Small pelagics (&lt;30 cm)</t>
        </is>
      </c>
      <c r="D68" t="inlineStr">
        <is>
          <t>Herring-likes</t>
        </is>
      </c>
      <c r="E68" s="5" t="inlineStr">
        <is>
          <t>Planktivores</t>
        </is>
      </c>
      <c r="F68" t="inlineStr"/>
      <c r="G68" t="inlineStr"/>
      <c r="H68" t="inlineStr">
        <is>
          <t>medium</t>
        </is>
      </c>
      <c r="I68" t="inlineStr">
        <is>
          <t>habitat_size_guild</t>
        </is>
      </c>
      <c r="J68" t="n">
        <v>578418.206</v>
      </c>
      <c r="K68" t="n">
        <v>0.2045</v>
      </c>
      <c r="L68" s="6" t="inlineStr">
        <is>
          <t>Family record for filter-feeding herrings and sardines; Supplementary Table S1 places the clupeid Sardinella aurita in Planktivores. The one clupeiform the paper puts elsewhere, Ilisha elongata (Omnivores), is reported separately by Sea Around Us.</t>
        </is>
      </c>
    </row>
    <row r="69">
      <c r="A69" t="inlineStr">
        <is>
          <t>Ammodytes personatus</t>
        </is>
      </c>
      <c r="B69" t="inlineStr">
        <is>
          <t>Pacific sandlance</t>
        </is>
      </c>
      <c r="C69" t="inlineStr">
        <is>
          <t>Small demersals (&lt;30 cm)</t>
        </is>
      </c>
      <c r="D69" t="inlineStr">
        <is>
          <t>Perch-likes</t>
        </is>
      </c>
      <c r="E69" s="5" t="inlineStr">
        <is>
          <t>Planktivores</t>
        </is>
      </c>
      <c r="F69" t="inlineStr"/>
      <c r="G69" t="inlineStr"/>
      <c r="H69" t="inlineStr">
        <is>
          <t>medium</t>
        </is>
      </c>
      <c r="I69" t="inlineStr">
        <is>
          <t>habitat_size_guild</t>
        </is>
      </c>
      <c r="J69" t="n">
        <v>553049.603</v>
      </c>
      <c r="K69" t="n">
        <v>0.1956</v>
      </c>
      <c r="L69" s="6" t="inlineStr">
        <is>
          <t>Pacific sandlance is a small copepod-feeding schooling fish under 30 cm, matching the Planktivores roster of Supplementary Table S1.</t>
        </is>
      </c>
    </row>
    <row r="70">
      <c r="A70" t="inlineStr">
        <is>
          <t>Ruditapes philippinarum</t>
        </is>
      </c>
      <c r="B70" t="inlineStr">
        <is>
          <t>Japanese carpet shell</t>
        </is>
      </c>
      <c r="C70" t="inlineStr">
        <is>
          <t>Other demersal invertebrates</t>
        </is>
      </c>
      <c r="D70" t="inlineStr">
        <is>
          <t>Molluscs</t>
        </is>
      </c>
      <c r="E70" s="7" t="inlineStr">
        <is>
          <t>Mollusks</t>
        </is>
      </c>
      <c r="F70" t="inlineStr"/>
      <c r="G70" t="inlineStr"/>
      <c r="H70" t="inlineStr">
        <is>
          <t>high</t>
        </is>
      </c>
      <c r="I70" t="inlineStr">
        <is>
          <t>explicit_member</t>
        </is>
      </c>
      <c r="J70" t="n">
        <v>531011.162</v>
      </c>
      <c r="K70" t="n">
        <v>0.1878</v>
      </c>
      <c r="L70" s="6" t="inlineStr">
        <is>
          <t>Supplementary Table S1 defines the model's Mollusks group as 'Bivalves'; this record is a bivalve.</t>
        </is>
      </c>
    </row>
    <row r="71">
      <c r="A71" t="inlineStr">
        <is>
          <t>Dussumieria</t>
        </is>
      </c>
      <c r="B71" t="inlineStr">
        <is>
          <t>Rainbow sardines</t>
        </is>
      </c>
      <c r="C71" t="inlineStr">
        <is>
          <t>Small pelagics (&lt;30 cm)</t>
        </is>
      </c>
      <c r="D71" t="inlineStr">
        <is>
          <t>Herring-likes</t>
        </is>
      </c>
      <c r="E71" s="5" t="inlineStr">
        <is>
          <t>Planktivores</t>
        </is>
      </c>
      <c r="F71" t="inlineStr"/>
      <c r="G71" t="inlineStr"/>
      <c r="H71" t="inlineStr">
        <is>
          <t>medium</t>
        </is>
      </c>
      <c r="I71" t="inlineStr">
        <is>
          <t>habitat_size_guild</t>
        </is>
      </c>
      <c r="J71" t="n">
        <v>516793.548</v>
      </c>
      <c r="K71" t="n">
        <v>0.1828</v>
      </c>
      <c r="L71" s="6" t="inlineStr">
        <is>
          <t>Rainbow sardines are small round herrings feeding on zooplankton, the functional type Supplementary Table S1 lists in Planktivores as Sardinella aurita.</t>
        </is>
      </c>
    </row>
    <row r="72">
      <c r="A72" t="inlineStr">
        <is>
          <t>Scombridae</t>
        </is>
      </c>
      <c r="B72" t="inlineStr">
        <is>
          <t>Mackerels, tunas, bonitos</t>
        </is>
      </c>
      <c r="C72" t="inlineStr">
        <is>
          <t>Medium pelagics (30 - 89 cm)</t>
        </is>
      </c>
      <c r="D72" t="inlineStr">
        <is>
          <t>Perch-likes</t>
        </is>
      </c>
      <c r="E72" s="5" t="inlineStr">
        <is>
          <t>Piscivores | Planktivores/Benthivores</t>
        </is>
      </c>
      <c r="F72" t="inlineStr">
        <is>
          <t>0.428 | 0.572</t>
        </is>
      </c>
      <c r="G72" t="inlineStr">
        <is>
          <t>catch_composition</t>
        </is>
      </c>
      <c r="H72" t="inlineStr">
        <is>
          <t>medium</t>
        </is>
      </c>
      <c r="I72" t="inlineStr">
        <is>
          <t>composite_split</t>
        </is>
      </c>
      <c r="J72" t="n">
        <v>513751.252</v>
      </c>
      <c r="K72" t="n">
        <v>0.1817</v>
      </c>
      <c r="L72" s="6" t="inlineStr">
        <is>
          <t>Family-level record. Supplementary Table S1 places Scomber japonicus in Planktivores/Benthivores and Scomberomorus niphonius, S. guttatus and Auxis thazard in Piscivores, so the family spans exactly these two groups. Apportioned by catch composition.</t>
        </is>
      </c>
    </row>
    <row r="73">
      <c r="A73" t="inlineStr">
        <is>
          <t>Paralichthyidae</t>
        </is>
      </c>
      <c r="B73" t="inlineStr">
        <is>
          <t>Largetooth flounders</t>
        </is>
      </c>
      <c r="C73" t="inlineStr">
        <is>
          <t>Small to medium flatfishes (&lt;90 cm)</t>
        </is>
      </c>
      <c r="D73" t="inlineStr">
        <is>
          <t>Flatfishes</t>
        </is>
      </c>
      <c r="E73" s="5" t="inlineStr">
        <is>
          <t>Piscivores</t>
        </is>
      </c>
      <c r="F73" t="inlineStr"/>
      <c r="G73" t="inlineStr"/>
      <c r="H73" t="inlineStr">
        <is>
          <t>medium</t>
        </is>
      </c>
      <c r="I73" t="inlineStr">
        <is>
          <t>habitat_size_guild</t>
        </is>
      </c>
      <c r="J73" t="n">
        <v>496055.466</v>
      </c>
      <c r="K73" t="n">
        <v>0.1754</v>
      </c>
      <c r="L73" s="6" t="inlineStr">
        <is>
          <t>Largetooth flounders are ambush piscivores as adults, unlike the invertebrate-feeding righteye flounders, so they belong in the model's fish-eating guild.</t>
        </is>
      </c>
    </row>
    <row r="74">
      <c r="A74" t="inlineStr">
        <is>
          <t>Elasmobranchii</t>
        </is>
      </c>
      <c r="B74" t="inlineStr">
        <is>
          <t>Sharks, rays, skates</t>
        </is>
      </c>
      <c r="C74" t="inlineStr">
        <is>
          <t>Large sharks (&gt;=90 cm)</t>
        </is>
      </c>
      <c r="D74" t="inlineStr">
        <is>
          <t>Sharks &amp; rays</t>
        </is>
      </c>
      <c r="E74" s="5" t="inlineStr">
        <is>
          <t>Sharks | Benthivores</t>
        </is>
      </c>
      <c r="F74" t="inlineStr">
        <is>
          <t>0.017 | 0.983</t>
        </is>
      </c>
      <c r="G74" t="inlineStr">
        <is>
          <t>catch_composition</t>
        </is>
      </c>
      <c r="H74" t="inlineStr">
        <is>
          <t>medium</t>
        </is>
      </c>
      <c r="I74" t="inlineStr">
        <is>
          <t>composite_split</t>
        </is>
      </c>
      <c r="J74" t="n">
        <v>494813.233</v>
      </c>
      <c r="K74" t="n">
        <v>0.175</v>
      </c>
      <c r="L74"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row>
    <row r="75">
      <c r="A75" t="inlineStr">
        <is>
          <t>Konosirus punctatus</t>
        </is>
      </c>
      <c r="B75" t="inlineStr">
        <is>
          <t>Dotted gizzard shad</t>
        </is>
      </c>
      <c r="C75" t="inlineStr">
        <is>
          <t>Small pelagics (&lt;30 cm)</t>
        </is>
      </c>
      <c r="D75" t="inlineStr">
        <is>
          <t>Herring-likes</t>
        </is>
      </c>
      <c r="E75" s="5" t="inlineStr">
        <is>
          <t>Planktivores</t>
        </is>
      </c>
      <c r="F75" t="inlineStr"/>
      <c r="G75" t="inlineStr"/>
      <c r="H75" t="inlineStr">
        <is>
          <t>medium</t>
        </is>
      </c>
      <c r="I75" t="inlineStr">
        <is>
          <t>habitat_size_guild</t>
        </is>
      </c>
      <c r="J75" t="n">
        <v>491694.941</v>
      </c>
      <c r="K75" t="n">
        <v>0.1739</v>
      </c>
      <c r="L75" s="6" t="inlineStr">
        <is>
          <t>Dotted gizzard shad is a small clupeid filter feeder on phytoplankton and zooplankton, matching Planktivores, where Supplementary Table S1 places Sardinella aurita.</t>
        </is>
      </c>
    </row>
    <row r="76">
      <c r="A76" t="inlineStr">
        <is>
          <t>Auxis</t>
        </is>
      </c>
      <c r="B76" t="inlineStr">
        <is>
          <t>Bullet and frigate tunas</t>
        </is>
      </c>
      <c r="C76" t="inlineStr">
        <is>
          <t>Medium pelagics (30 - 89 cm)</t>
        </is>
      </c>
      <c r="D76" t="inlineStr">
        <is>
          <t>Tuna &amp; billfishes</t>
        </is>
      </c>
      <c r="E76" s="7" t="inlineStr">
        <is>
          <t>Piscivores</t>
        </is>
      </c>
      <c r="F76" t="inlineStr"/>
      <c r="G76" t="inlineStr"/>
      <c r="H76" t="inlineStr">
        <is>
          <t>high</t>
        </is>
      </c>
      <c r="I76" t="inlineStr">
        <is>
          <t>taxonomic_containment</t>
        </is>
      </c>
      <c r="J76" t="n">
        <v>458398.606</v>
      </c>
      <c r="K76" t="n">
        <v>0.1621</v>
      </c>
      <c r="L76" s="6" t="inlineStr">
        <is>
          <t>Supplementary Table S1 lists Auxis thazard in Piscivores; this genus-level record is that genus.</t>
        </is>
      </c>
    </row>
    <row r="77">
      <c r="A77" t="inlineStr">
        <is>
          <t>Tetraodontidae</t>
        </is>
      </c>
      <c r="B77" t="inlineStr">
        <is>
          <t>Puffers, tobies</t>
        </is>
      </c>
      <c r="C77" t="inlineStr">
        <is>
          <t>Large reef assoc. fish (&gt;=90 cm)</t>
        </is>
      </c>
      <c r="D77" t="inlineStr">
        <is>
          <t>Other fishes &amp; inverts</t>
        </is>
      </c>
      <c r="E77" s="7" t="inlineStr">
        <is>
          <t>Benthivores/piscivores</t>
        </is>
      </c>
      <c r="F77" t="inlineStr"/>
      <c r="G77" t="inlineStr"/>
      <c r="H77" t="inlineStr">
        <is>
          <t>high</t>
        </is>
      </c>
      <c r="I77" t="inlineStr">
        <is>
          <t>taxonomic_containment</t>
        </is>
      </c>
      <c r="J77" t="n">
        <v>457802.987</v>
      </c>
      <c r="K77" t="n">
        <v>0.1619</v>
      </c>
      <c r="L77" s="6" t="inlineStr">
        <is>
          <t>Supplementary Table S1 lists the tetraodontid Lagocephalus spadiceus in Benthivores/piscivores; this family record is that family.</t>
        </is>
      </c>
    </row>
    <row r="78">
      <c r="A78" t="inlineStr">
        <is>
          <t>Pampus argenteus</t>
        </is>
      </c>
      <c r="B78" t="inlineStr">
        <is>
          <t>Silver pomfret</t>
        </is>
      </c>
      <c r="C78" t="inlineStr">
        <is>
          <t>Medium benthopelagics (30 - 89 cm)</t>
        </is>
      </c>
      <c r="D78" t="inlineStr">
        <is>
          <t>Perch-likes</t>
        </is>
      </c>
      <c r="E78" s="7" t="inlineStr">
        <is>
          <t>Planktivores/piscivores</t>
        </is>
      </c>
      <c r="F78" t="inlineStr"/>
      <c r="G78" t="inlineStr"/>
      <c r="H78" t="inlineStr">
        <is>
          <t>high</t>
        </is>
      </c>
      <c r="I78" t="inlineStr">
        <is>
          <t>explicit_member</t>
        </is>
      </c>
      <c r="J78" t="n">
        <v>437630.743</v>
      </c>
      <c r="K78" t="n">
        <v>0.1548</v>
      </c>
      <c r="L78" s="6" t="inlineStr">
        <is>
          <t>Supplementary Table S1 lists Pampus argenteus under Planktivores/piscivores.</t>
        </is>
      </c>
    </row>
    <row r="79">
      <c r="A79" t="inlineStr">
        <is>
          <t>Priacanthus</t>
        </is>
      </c>
      <c r="B79" t="inlineStr">
        <is>
          <t>Bigeyes</t>
        </is>
      </c>
      <c r="C79" t="inlineStr">
        <is>
          <t>Medium reef assoc. fish (30 - 89 cm)</t>
        </is>
      </c>
      <c r="D79" t="inlineStr">
        <is>
          <t>Perch-likes</t>
        </is>
      </c>
      <c r="E79" s="7" t="inlineStr">
        <is>
          <t>Benthivores/piscivores</t>
        </is>
      </c>
      <c r="F79" t="inlineStr"/>
      <c r="G79" t="inlineStr"/>
      <c r="H79" t="inlineStr">
        <is>
          <t>high</t>
        </is>
      </c>
      <c r="I79" t="inlineStr">
        <is>
          <t>taxonomic_containment</t>
        </is>
      </c>
      <c r="J79" t="n">
        <v>417476.544</v>
      </c>
      <c r="K79" t="n">
        <v>0.1476</v>
      </c>
      <c r="L79" s="6" t="inlineStr">
        <is>
          <t>Supplementary Table S1 lists Priacanthus macracanthus in Benthivores/piscivores; this genus-level record is that genus.</t>
        </is>
      </c>
    </row>
    <row r="80">
      <c r="A80" t="inlineStr">
        <is>
          <t>Synodontidae</t>
        </is>
      </c>
      <c r="B80" t="inlineStr">
        <is>
          <t>Lizardfishes, sauries</t>
        </is>
      </c>
      <c r="C80" t="inlineStr">
        <is>
          <t>Medium demersals (30 - 89 cm)</t>
        </is>
      </c>
      <c r="D80" t="inlineStr">
        <is>
          <t>Other fishes &amp; inverts</t>
        </is>
      </c>
      <c r="E80" s="7" t="inlineStr">
        <is>
          <t>Piscivores</t>
        </is>
      </c>
      <c r="F80" t="inlineStr"/>
      <c r="G80" t="inlineStr"/>
      <c r="H80" t="inlineStr">
        <is>
          <t>high</t>
        </is>
      </c>
      <c r="I80" t="inlineStr">
        <is>
          <t>taxonomic_containment</t>
        </is>
      </c>
      <c r="J80" t="n">
        <v>414545.21</v>
      </c>
      <c r="K80" t="n">
        <v>0.1466</v>
      </c>
      <c r="L80" s="6" t="inlineStr">
        <is>
          <t>Supplementary Table S1 lists the synodontid Saurida tumbil in Piscivores; this family record is that family. The one synodontid the model treats separately, Harpadon nehereus, is reported under its own Sea Around Us name.</t>
        </is>
      </c>
    </row>
    <row r="81">
      <c r="A81" t="inlineStr">
        <is>
          <t>Paralichthys olivaceus</t>
        </is>
      </c>
      <c r="B81" t="inlineStr">
        <is>
          <t>Bastard halibut</t>
        </is>
      </c>
      <c r="C81" t="inlineStr">
        <is>
          <t>Large flatfishes (&gt;=90 cm)</t>
        </is>
      </c>
      <c r="D81" t="inlineStr">
        <is>
          <t>Flatfishes</t>
        </is>
      </c>
      <c r="E81" s="5" t="inlineStr">
        <is>
          <t>Piscivores</t>
        </is>
      </c>
      <c r="F81" t="inlineStr"/>
      <c r="G81" t="inlineStr"/>
      <c r="H81" t="inlineStr">
        <is>
          <t>medium</t>
        </is>
      </c>
      <c r="I81" t="inlineStr">
        <is>
          <t>habitat_size_guild</t>
        </is>
      </c>
      <c r="J81" t="n">
        <v>394574.56</v>
      </c>
      <c r="K81" t="n">
        <v>0.1395</v>
      </c>
      <c r="L81" s="6" t="inlineStr">
        <is>
          <t>Bastard halibut is an ambush piscivore taking mainly fish and squid as an adult.</t>
        </is>
      </c>
    </row>
    <row r="82">
      <c r="A82" t="inlineStr">
        <is>
          <t>Coryphaena hippurus</t>
        </is>
      </c>
      <c r="B82" t="inlineStr">
        <is>
          <t>Common dolphinfish</t>
        </is>
      </c>
      <c r="C82" t="inlineStr">
        <is>
          <t>Large pelagics (&gt;=90 cm)</t>
        </is>
      </c>
      <c r="D82" t="inlineStr">
        <is>
          <t>Perch-likes</t>
        </is>
      </c>
      <c r="E82" s="7" t="inlineStr">
        <is>
          <t>Piscivores</t>
        </is>
      </c>
      <c r="F82" t="inlineStr"/>
      <c r="G82" t="inlineStr"/>
      <c r="H82" t="inlineStr">
        <is>
          <t>high</t>
        </is>
      </c>
      <c r="I82" t="inlineStr">
        <is>
          <t>explicit_member</t>
        </is>
      </c>
      <c r="J82" t="n">
        <v>387972.245</v>
      </c>
      <c r="K82" t="n">
        <v>0.1372</v>
      </c>
      <c r="L82" s="6" t="inlineStr">
        <is>
          <t>Supplementary Table S1 lists Coryphaena hippurus under Piscivores.</t>
        </is>
      </c>
    </row>
    <row r="83">
      <c r="A83" t="inlineStr">
        <is>
          <t>Nemipterus virgatus</t>
        </is>
      </c>
      <c r="B83" t="inlineStr">
        <is>
          <t>Golden threadfin bream</t>
        </is>
      </c>
      <c r="C83" t="inlineStr">
        <is>
          <t>Medium demersals (30 - 89 cm)</t>
        </is>
      </c>
      <c r="D83" t="inlineStr">
        <is>
          <t>Perch-likes</t>
        </is>
      </c>
      <c r="E83" s="7" t="inlineStr">
        <is>
          <t>Benthivores/piscivores</t>
        </is>
      </c>
      <c r="F83" t="inlineStr"/>
      <c r="G83" t="inlineStr"/>
      <c r="H83" t="inlineStr">
        <is>
          <t>high</t>
        </is>
      </c>
      <c r="I83" t="inlineStr">
        <is>
          <t>explicit_member</t>
        </is>
      </c>
      <c r="J83" t="n">
        <v>380780.407</v>
      </c>
      <c r="K83" t="n">
        <v>0.1347</v>
      </c>
      <c r="L83" s="6" t="inlineStr">
        <is>
          <t>Supplementary Table S1 lists Nemipterus virgatus under Benthivores/piscivores; the paper's discussion names it as an exemplar of that group.</t>
        </is>
      </c>
    </row>
    <row r="84">
      <c r="A84" t="inlineStr">
        <is>
          <t>Salmonidae</t>
        </is>
      </c>
      <c r="B84" t="inlineStr">
        <is>
          <t>Salmonids</t>
        </is>
      </c>
      <c r="C84" t="inlineStr">
        <is>
          <t>Large benthopelagics (&gt;=90 cm)</t>
        </is>
      </c>
      <c r="D84" t="inlineStr">
        <is>
          <t>Salmon, smelts, etc</t>
        </is>
      </c>
      <c r="E84" s="8" t="inlineStr">
        <is>
          <t>Planktivores/piscivores</t>
        </is>
      </c>
      <c r="F84" t="inlineStr"/>
      <c r="G84" t="inlineStr"/>
      <c r="H84" t="inlineStr">
        <is>
          <t>low</t>
        </is>
      </c>
      <c r="I84" t="inlineStr">
        <is>
          <t>analogue</t>
        </is>
      </c>
      <c r="J84" t="n">
        <v>378082.542</v>
      </c>
      <c r="K84" t="n">
        <v>0.1337</v>
      </c>
      <c r="L84" s="6" t="inlineStr">
        <is>
          <t>Family record for the same marginal salmonid catch as the Oncorhynchus record; placed by analogy in the mixed plankton-and-fish guild, with the same caveat that the model has no anadromous compartment.</t>
        </is>
      </c>
    </row>
    <row r="85">
      <c r="A85" t="inlineStr">
        <is>
          <t>Portunus pelagicus</t>
        </is>
      </c>
      <c r="B85" t="inlineStr">
        <is>
          <t>Blue swimming crab</t>
        </is>
      </c>
      <c r="C85" t="inlineStr">
        <is>
          <t>Lobsters, crabs</t>
        </is>
      </c>
      <c r="D85" t="inlineStr">
        <is>
          <t>Crustaceans</t>
        </is>
      </c>
      <c r="E85" s="7" t="inlineStr">
        <is>
          <t>Crabs</t>
        </is>
      </c>
      <c r="F85" t="inlineStr"/>
      <c r="G85" t="inlineStr"/>
      <c r="H85" t="inlineStr">
        <is>
          <t>high</t>
        </is>
      </c>
      <c r="I85" t="inlineStr">
        <is>
          <t>taxonomic_containment</t>
        </is>
      </c>
      <c r="J85" t="n">
        <v>376984.74</v>
      </c>
      <c r="K85" t="n">
        <v>0.1333</v>
      </c>
      <c r="L85" s="6" t="inlineStr">
        <is>
          <t>Blue swimming crab fall inside the model's Crabs group, which Supplementary Table S1 fills with six portunids (Portunus trituberculatus, Charybdis feriatus, C. bimaculata, P. sanguinolentus, C. acuta, P. argentatus).</t>
        </is>
      </c>
    </row>
    <row r="86">
      <c r="A86" t="inlineStr">
        <is>
          <t>Sardinella zunasi</t>
        </is>
      </c>
      <c r="B86" t="inlineStr">
        <is>
          <t>Japanese sardinella</t>
        </is>
      </c>
      <c r="C86" t="inlineStr">
        <is>
          <t>Small pelagics (&lt;30 cm)</t>
        </is>
      </c>
      <c r="D86" t="inlineStr">
        <is>
          <t>Herring-likes</t>
        </is>
      </c>
      <c r="E86" s="7" t="inlineStr">
        <is>
          <t>Planktivores</t>
        </is>
      </c>
      <c r="F86" t="inlineStr"/>
      <c r="G86" t="inlineStr"/>
      <c r="H86" t="inlineStr">
        <is>
          <t>high</t>
        </is>
      </c>
      <c r="I86" t="inlineStr">
        <is>
          <t>taxonomic_containment</t>
        </is>
      </c>
      <c r="J86" t="n">
        <v>376346.12</v>
      </c>
      <c r="K86" t="n">
        <v>0.1331</v>
      </c>
      <c r="L86" s="6" t="inlineStr">
        <is>
          <t>Supplementary Table S1 lists Sardinella aurita in Planktivores; this record is another species of that listed genus.</t>
        </is>
      </c>
    </row>
    <row r="87">
      <c r="A87" t="inlineStr">
        <is>
          <t>Charybdis</t>
        </is>
      </c>
      <c r="B87" t="inlineStr">
        <is>
          <t>Whirlpool swimming crabs</t>
        </is>
      </c>
      <c r="C87" t="inlineStr">
        <is>
          <t>Lobsters, crabs</t>
        </is>
      </c>
      <c r="D87" t="inlineStr">
        <is>
          <t>Crustaceans</t>
        </is>
      </c>
      <c r="E87" s="7" t="inlineStr">
        <is>
          <t>Crabs</t>
        </is>
      </c>
      <c r="F87" t="inlineStr"/>
      <c r="G87" t="inlineStr"/>
      <c r="H87" t="inlineStr">
        <is>
          <t>high</t>
        </is>
      </c>
      <c r="I87" t="inlineStr">
        <is>
          <t>taxonomic_containment</t>
        </is>
      </c>
      <c r="J87" t="n">
        <v>363493.913</v>
      </c>
      <c r="K87" t="n">
        <v>0.1285</v>
      </c>
      <c r="L87" s="6" t="inlineStr">
        <is>
          <t>The genus Charybdis fall inside the model's Crabs group, which Supplementary Table S1 fills with six portunids (Portunus trituberculatus, Charybdis feriatus, C. bimaculata, P. sanguinolentus, C. acuta, P. argentatus).</t>
        </is>
      </c>
    </row>
    <row r="88">
      <c r="A88" t="inlineStr">
        <is>
          <t>Magallana gigas</t>
        </is>
      </c>
      <c r="B88" t="inlineStr">
        <is>
          <t>Pacific cupped oyster</t>
        </is>
      </c>
      <c r="C88" t="inlineStr">
        <is>
          <t>Other demersal invertebrates</t>
        </is>
      </c>
      <c r="D88" t="inlineStr">
        <is>
          <t>Molluscs</t>
        </is>
      </c>
      <c r="E88" s="7" t="inlineStr">
        <is>
          <t>Mollusks</t>
        </is>
      </c>
      <c r="F88" t="inlineStr"/>
      <c r="G88" t="inlineStr"/>
      <c r="H88" t="inlineStr">
        <is>
          <t>high</t>
        </is>
      </c>
      <c r="I88" t="inlineStr">
        <is>
          <t>explicit_member</t>
        </is>
      </c>
      <c r="J88" t="n">
        <v>355323.583</v>
      </c>
      <c r="K88" t="n">
        <v>0.1257</v>
      </c>
      <c r="L88" s="6" t="inlineStr">
        <is>
          <t>Supplementary Table S1 defines the model's Mollusks group as 'Bivalves'; this record is a bivalve.</t>
        </is>
      </c>
    </row>
    <row r="89">
      <c r="A89" t="inlineStr">
        <is>
          <t>Anadara</t>
        </is>
      </c>
      <c r="B89" t="inlineStr">
        <is>
          <t>Arks, blood cockles</t>
        </is>
      </c>
      <c r="C89" t="inlineStr">
        <is>
          <t>Other demersal invertebrates</t>
        </is>
      </c>
      <c r="D89" t="inlineStr">
        <is>
          <t>Molluscs</t>
        </is>
      </c>
      <c r="E89" s="7" t="inlineStr">
        <is>
          <t>Mollusks</t>
        </is>
      </c>
      <c r="F89" t="inlineStr"/>
      <c r="G89" t="inlineStr"/>
      <c r="H89" t="inlineStr">
        <is>
          <t>high</t>
        </is>
      </c>
      <c r="I89" t="inlineStr">
        <is>
          <t>explicit_member</t>
        </is>
      </c>
      <c r="J89" t="n">
        <v>350945.776</v>
      </c>
      <c r="K89" t="n">
        <v>0.1241</v>
      </c>
      <c r="L89" s="6" t="inlineStr">
        <is>
          <t>Supplementary Table S1 defines the model's Mollusks group as 'Bivalves'; this record is a bivalve.</t>
        </is>
      </c>
    </row>
    <row r="90">
      <c r="A90" t="inlineStr">
        <is>
          <t>Echinoidea</t>
        </is>
      </c>
      <c r="B90" t="inlineStr">
        <is>
          <t>Sea urchins, sea hedgehogs</t>
        </is>
      </c>
      <c r="C90" t="inlineStr">
        <is>
          <t>Other demersal invertebrates</t>
        </is>
      </c>
      <c r="D90" t="inlineStr">
        <is>
          <t>Other fishes &amp; inverts</t>
        </is>
      </c>
      <c r="E90" s="7" t="inlineStr">
        <is>
          <t>Echinoderms</t>
        </is>
      </c>
      <c r="F90" t="inlineStr"/>
      <c r="G90" t="inlineStr"/>
      <c r="H90" t="inlineStr">
        <is>
          <t>high</t>
        </is>
      </c>
      <c r="I90" t="inlineStr">
        <is>
          <t>taxonomic_containment</t>
        </is>
      </c>
      <c r="J90" t="n">
        <v>330266.481</v>
      </c>
      <c r="K90" t="n">
        <v>0.1168</v>
      </c>
      <c r="L90" s="6" t="inlineStr">
        <is>
          <t>Sea urchins fall inside the model's Echinoderms group, which Supplementary Table S1 represents by Ophiuroidea and which is the model's only echinoderm compartment.</t>
        </is>
      </c>
    </row>
    <row r="91">
      <c r="A91" t="inlineStr">
        <is>
          <t>Decapterus maruadsi</t>
        </is>
      </c>
      <c r="B91" t="inlineStr">
        <is>
          <t>Japanese scad</t>
        </is>
      </c>
      <c r="C91" t="inlineStr">
        <is>
          <t>Small pelagics (&lt;30 cm)</t>
        </is>
      </c>
      <c r="D91" t="inlineStr">
        <is>
          <t>Perch-likes</t>
        </is>
      </c>
      <c r="E91" s="7" t="inlineStr">
        <is>
          <t>Planktivores/piscivores</t>
        </is>
      </c>
      <c r="F91" t="inlineStr"/>
      <c r="G91" t="inlineStr"/>
      <c r="H91" t="inlineStr">
        <is>
          <t>high</t>
        </is>
      </c>
      <c r="I91" t="inlineStr">
        <is>
          <t>explicit_member</t>
        </is>
      </c>
      <c r="J91" t="n">
        <v>326944.521</v>
      </c>
      <c r="K91" t="n">
        <v>0.1156</v>
      </c>
      <c r="L91" s="6" t="inlineStr">
        <is>
          <t>Supplementary Table S1 lists Decapterus maruadsi under Planktivores/piscivores; the paper names it the group's dominant species in M1997.</t>
        </is>
      </c>
    </row>
    <row r="92">
      <c r="A92" t="inlineStr">
        <is>
          <t>Lateolabrax japonicus</t>
        </is>
      </c>
      <c r="B92" t="inlineStr">
        <is>
          <t>Japanese seabass</t>
        </is>
      </c>
      <c r="C92" t="inlineStr">
        <is>
          <t>Medium reef assoc. fish (30 - 89 cm)</t>
        </is>
      </c>
      <c r="D92" t="inlineStr">
        <is>
          <t>Perch-likes</t>
        </is>
      </c>
      <c r="E92" s="5" t="inlineStr">
        <is>
          <t>Benthivores/piscivores</t>
        </is>
      </c>
      <c r="F92" t="inlineStr"/>
      <c r="G92" t="inlineStr"/>
      <c r="H92" t="inlineStr">
        <is>
          <t>medium</t>
        </is>
      </c>
      <c r="I92" t="inlineStr">
        <is>
          <t>habitat_size_guild</t>
        </is>
      </c>
      <c r="J92" t="n">
        <v>318823.791</v>
      </c>
      <c r="K92" t="n">
        <v>0.1127</v>
      </c>
      <c r="L92" s="6" t="inlineStr">
        <is>
          <t>Japanese seabass takes both shrimps and fish in coastal and estuarine water, matching the mixed benthivore-piscivore guild of Supplementary Table S1.</t>
        </is>
      </c>
    </row>
    <row r="93">
      <c r="A93" t="inlineStr">
        <is>
          <t>Priacanthus macracanthus</t>
        </is>
      </c>
      <c r="B93" t="inlineStr">
        <is>
          <t>Red bigeye</t>
        </is>
      </c>
      <c r="C93" t="inlineStr">
        <is>
          <t>Medium reef assoc. fish (30 - 89 cm)</t>
        </is>
      </c>
      <c r="D93" t="inlineStr">
        <is>
          <t>Perch-likes</t>
        </is>
      </c>
      <c r="E93" s="7" t="inlineStr">
        <is>
          <t>Benthivores/piscivores</t>
        </is>
      </c>
      <c r="F93" t="inlineStr"/>
      <c r="G93" t="inlineStr"/>
      <c r="H93" t="inlineStr">
        <is>
          <t>high</t>
        </is>
      </c>
      <c r="I93" t="inlineStr">
        <is>
          <t>explicit_member</t>
        </is>
      </c>
      <c r="J93" t="n">
        <v>316782.383</v>
      </c>
      <c r="K93" t="n">
        <v>0.112</v>
      </c>
      <c r="L93" s="6" t="inlineStr">
        <is>
          <t>Supplementary Table S1 lists Priacanthus macracanthus under Benthivores/piscivores.</t>
        </is>
      </c>
    </row>
    <row r="94">
      <c r="A94" t="inlineStr">
        <is>
          <t>Exocoetidae</t>
        </is>
      </c>
      <c r="B94" t="inlineStr">
        <is>
          <t>Flyingfishes</t>
        </is>
      </c>
      <c r="C94" t="inlineStr">
        <is>
          <t>Small pelagics (&lt;30 cm)</t>
        </is>
      </c>
      <c r="D94" t="inlineStr">
        <is>
          <t>Other fishes &amp; inverts</t>
        </is>
      </c>
      <c r="E94" s="5" t="inlineStr">
        <is>
          <t>Planktivores</t>
        </is>
      </c>
      <c r="F94" t="inlineStr"/>
      <c r="G94" t="inlineStr"/>
      <c r="H94" t="inlineStr">
        <is>
          <t>medium</t>
        </is>
      </c>
      <c r="I94" t="inlineStr">
        <is>
          <t>habitat_size_guild</t>
        </is>
      </c>
      <c r="J94" t="n">
        <v>312294.009</v>
      </c>
      <c r="K94" t="n">
        <v>0.1104</v>
      </c>
      <c r="L94" s="6" t="inlineStr">
        <is>
          <t>Flyingfishes are epipelagic zooplanktivores feeding on copepods and other small crustaceans, matching the Planktivores guild rather than the carnivorous Omnivores roster of Supplementary Table S1 (Nibea albiflora, Acanthopagrus schlegelii, Caranx sexfasciatus).</t>
        </is>
      </c>
    </row>
    <row r="95">
      <c r="A95" t="inlineStr">
        <is>
          <t>Scomber australasicus</t>
        </is>
      </c>
      <c r="B95" t="inlineStr">
        <is>
          <t>Blue mackerel</t>
        </is>
      </c>
      <c r="C95" t="inlineStr">
        <is>
          <t>Medium pelagics (30 - 89 cm)</t>
        </is>
      </c>
      <c r="D95" t="inlineStr">
        <is>
          <t>Perch-likes</t>
        </is>
      </c>
      <c r="E95" s="7" t="inlineStr">
        <is>
          <t>Planktivores/Benthivores</t>
        </is>
      </c>
      <c r="F95" t="inlineStr"/>
      <c r="G95" t="inlineStr"/>
      <c r="H95" t="inlineStr">
        <is>
          <t>high</t>
        </is>
      </c>
      <c r="I95" t="inlineStr">
        <is>
          <t>taxonomic_containment</t>
        </is>
      </c>
      <c r="J95" t="n">
        <v>302877.501</v>
      </c>
      <c r="K95" t="n">
        <v>0.1071</v>
      </c>
      <c r="L95" s="6" t="inlineStr">
        <is>
          <t>Supplementary Table S1 lists the congener Scomber japonicus in Planktivores/Benthivores; blue mackerel is the same genus with the same mixed plankton-and-benthos diet.</t>
        </is>
      </c>
    </row>
    <row r="96">
      <c r="A96" t="inlineStr">
        <is>
          <t>Mytilus coruscus</t>
        </is>
      </c>
      <c r="B96" t="inlineStr">
        <is>
          <t>Korean mussel</t>
        </is>
      </c>
      <c r="C96" t="inlineStr">
        <is>
          <t>Other demersal invertebrates</t>
        </is>
      </c>
      <c r="D96" t="inlineStr">
        <is>
          <t>Molluscs</t>
        </is>
      </c>
      <c r="E96" s="7" t="inlineStr">
        <is>
          <t>Mollusks</t>
        </is>
      </c>
      <c r="F96" t="inlineStr"/>
      <c r="G96" t="inlineStr"/>
      <c r="H96" t="inlineStr">
        <is>
          <t>high</t>
        </is>
      </c>
      <c r="I96" t="inlineStr">
        <is>
          <t>explicit_member</t>
        </is>
      </c>
      <c r="J96" t="n">
        <v>301797.904</v>
      </c>
      <c r="K96" t="n">
        <v>0.1067</v>
      </c>
      <c r="L96" s="6" t="inlineStr">
        <is>
          <t>Supplementary Table S1 defines the model's Mollusks group as 'Bivalves'; this record is a bivalve.</t>
        </is>
      </c>
    </row>
    <row r="97">
      <c r="A97" t="inlineStr">
        <is>
          <t>Atrobucca nibe</t>
        </is>
      </c>
      <c r="B97" t="inlineStr">
        <is>
          <t>Blackmouth croaker</t>
        </is>
      </c>
      <c r="C97" t="inlineStr">
        <is>
          <t>Medium demersals (30 - 89 cm)</t>
        </is>
      </c>
      <c r="D97" t="inlineStr">
        <is>
          <t>Perch-likes</t>
        </is>
      </c>
      <c r="E97" s="7" t="inlineStr">
        <is>
          <t>Benthivores/piscivores</t>
        </is>
      </c>
      <c r="F97" t="inlineStr"/>
      <c r="G97" t="inlineStr"/>
      <c r="H97" t="inlineStr">
        <is>
          <t>high</t>
        </is>
      </c>
      <c r="I97" t="inlineStr">
        <is>
          <t>explicit_member</t>
        </is>
      </c>
      <c r="J97" t="n">
        <v>295123.254</v>
      </c>
      <c r="K97" t="n">
        <v>0.1044</v>
      </c>
      <c r="L97" s="6" t="inlineStr">
        <is>
          <t>Supplementary Table S1 lists Atrobucca nibe under Benthivores/piscivores.</t>
        </is>
      </c>
    </row>
    <row r="98">
      <c r="A98" t="inlineStr">
        <is>
          <t>Spratelloides gracilis</t>
        </is>
      </c>
      <c r="B98" t="inlineStr">
        <is>
          <t>Silver-stripe round herring</t>
        </is>
      </c>
      <c r="C98" t="inlineStr">
        <is>
          <t>Small pelagics (&lt;30 cm)</t>
        </is>
      </c>
      <c r="D98" t="inlineStr">
        <is>
          <t>Herring-likes</t>
        </is>
      </c>
      <c r="E98" s="5" t="inlineStr">
        <is>
          <t>Planktivores</t>
        </is>
      </c>
      <c r="F98" t="inlineStr"/>
      <c r="G98" t="inlineStr"/>
      <c r="H98" t="inlineStr">
        <is>
          <t>medium</t>
        </is>
      </c>
      <c r="I98" t="inlineStr">
        <is>
          <t>habitat_size_guild</t>
        </is>
      </c>
      <c r="J98" t="n">
        <v>292061.969</v>
      </c>
      <c r="K98" t="n">
        <v>0.1033</v>
      </c>
      <c r="L98" s="6" t="inlineStr">
        <is>
          <t>Silver-stripe round herring is a small schooling zooplanktivore, the Planktivores type of Supplementary Table S1 (Sardinella aurita, Thryssa spp.).</t>
        </is>
      </c>
    </row>
    <row r="99">
      <c r="A99" t="inlineStr">
        <is>
          <t>Ruvettus pretiosus</t>
        </is>
      </c>
      <c r="B99" t="inlineStr">
        <is>
          <t>Oilfish</t>
        </is>
      </c>
      <c r="C99" t="inlineStr">
        <is>
          <t>Large benthopelagics (&gt;=90 cm)</t>
        </is>
      </c>
      <c r="D99" t="inlineStr">
        <is>
          <t>Perch-likes</t>
        </is>
      </c>
      <c r="E99" s="5" t="inlineStr">
        <is>
          <t>Benthivores/piscivores</t>
        </is>
      </c>
      <c r="F99" t="inlineStr"/>
      <c r="G99" t="inlineStr"/>
      <c r="H99" t="inlineStr">
        <is>
          <t>medium</t>
        </is>
      </c>
      <c r="I99" t="inlineStr">
        <is>
          <t>habitat_size_guild</t>
        </is>
      </c>
      <c r="J99" t="n">
        <v>269537.537</v>
      </c>
      <c r="K99" t="n">
        <v>0.0953</v>
      </c>
      <c r="L99" s="6" t="inlineStr">
        <is>
          <t>Oilfish is a deep-slope gempylid taking fish, squid and crustaceans; Supplementary Table S1 places the gempylid Rexea prometheoides in Benthivores/piscivores.</t>
        </is>
      </c>
    </row>
    <row r="100">
      <c r="A100" t="inlineStr">
        <is>
          <t>Lutjanidae</t>
        </is>
      </c>
      <c r="B100" t="inlineStr">
        <is>
          <t>Snappers</t>
        </is>
      </c>
      <c r="C100" t="inlineStr">
        <is>
          <t>Medium reef assoc. fish (30 - 89 cm)</t>
        </is>
      </c>
      <c r="D100" t="inlineStr">
        <is>
          <t>Perch-likes</t>
        </is>
      </c>
      <c r="E100" s="5" t="inlineStr">
        <is>
          <t>Piscivores</t>
        </is>
      </c>
      <c r="F100" t="inlineStr"/>
      <c r="G100" t="inlineStr"/>
      <c r="H100" t="inlineStr">
        <is>
          <t>medium</t>
        </is>
      </c>
      <c r="I100" t="inlineStr">
        <is>
          <t>habitat_size_guild</t>
        </is>
      </c>
      <c r="J100" t="n">
        <v>266462.104</v>
      </c>
      <c r="K100" t="n">
        <v>0.09420000000000001</v>
      </c>
      <c r="L100" s="6" t="inlineStr">
        <is>
          <t>Snappers are nocturnal predators taking mainly fish and large crustaceans, matching the model's fish-eating guild.</t>
        </is>
      </c>
    </row>
    <row r="101">
      <c r="A101" t="inlineStr">
        <is>
          <t>Sebastidae</t>
        </is>
      </c>
      <c r="B101" t="inlineStr">
        <is>
          <t>Rockfishes, rockcods, thornyheads</t>
        </is>
      </c>
      <c r="C101" t="inlineStr">
        <is>
          <t>Medium demersals (30 - 89 cm)</t>
        </is>
      </c>
      <c r="D101" t="inlineStr">
        <is>
          <t>Scorpionfishes</t>
        </is>
      </c>
      <c r="E101" s="5" t="inlineStr">
        <is>
          <t>Benthivores/piscivores</t>
        </is>
      </c>
      <c r="F101" t="inlineStr"/>
      <c r="G101" t="inlineStr"/>
      <c r="H101" t="inlineStr">
        <is>
          <t>medium</t>
        </is>
      </c>
      <c r="I101" t="inlineStr">
        <is>
          <t>habitat_size_guild</t>
        </is>
      </c>
      <c r="J101" t="n">
        <v>266427.215</v>
      </c>
      <c r="K101" t="n">
        <v>0.09420000000000001</v>
      </c>
      <c r="L101" s="6" t="inlineStr">
        <is>
          <t>Rockfishes and thornyheads are demersal ambush predators on crustaceans and fish, matching the model's mixed benthivore-piscivore guild.</t>
        </is>
      </c>
    </row>
    <row r="102">
      <c r="A102" t="inlineStr">
        <is>
          <t>Pleurogrammus azonus</t>
        </is>
      </c>
      <c r="B102" t="inlineStr">
        <is>
          <t>Okhotsk atka mackerel</t>
        </is>
      </c>
      <c r="C102" t="inlineStr">
        <is>
          <t>Medium demersals (30 - 89 cm)</t>
        </is>
      </c>
      <c r="D102" t="inlineStr">
        <is>
          <t>Scorpionfishes</t>
        </is>
      </c>
      <c r="E102" s="5" t="inlineStr">
        <is>
          <t>Planktivores/Benthivores</t>
        </is>
      </c>
      <c r="F102" t="inlineStr"/>
      <c r="G102" t="inlineStr"/>
      <c r="H102" t="inlineStr">
        <is>
          <t>medium</t>
        </is>
      </c>
      <c r="I102" t="inlineStr">
        <is>
          <t>habitat_size_guild</t>
        </is>
      </c>
      <c r="J102" t="n">
        <v>262931.174</v>
      </c>
      <c r="K102" t="n">
        <v>0.093</v>
      </c>
      <c r="L102" s="6"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row>
    <row r="103">
      <c r="A103" t="inlineStr">
        <is>
          <t>Bathylagidae</t>
        </is>
      </c>
      <c r="B103" t="inlineStr">
        <is>
          <t>Deepsea smelts</t>
        </is>
      </c>
      <c r="C103" t="inlineStr">
        <is>
          <t>Small bathypelagics (&lt;30 cm)</t>
        </is>
      </c>
      <c r="D103" t="inlineStr">
        <is>
          <t>Salmon, smelts, etc</t>
        </is>
      </c>
      <c r="E103" s="5" t="inlineStr">
        <is>
          <t>Planktivores</t>
        </is>
      </c>
      <c r="F103" t="inlineStr"/>
      <c r="G103" t="inlineStr"/>
      <c r="H103" t="inlineStr">
        <is>
          <t>medium</t>
        </is>
      </c>
      <c r="I103" t="inlineStr">
        <is>
          <t>habitat_size_guild</t>
        </is>
      </c>
      <c r="J103" t="n">
        <v>262293.415</v>
      </c>
      <c r="K103" t="n">
        <v>0.09279999999999999</v>
      </c>
      <c r="L103" s="6" t="inlineStr">
        <is>
          <t>Deepsea smelts are small mesopelagic zooplanktivores. Supplementary Table S1 places the mesopelagic myctophid Benthosema pterotum, the group's dominant species, in Planktivores, so the model's plankton-feeding guild is where mesopelagic filter feeders belong.</t>
        </is>
      </c>
    </row>
    <row r="104">
      <c r="A104" t="inlineStr">
        <is>
          <t>Clupeiformes</t>
        </is>
      </c>
      <c r="B104" t="inlineStr">
        <is>
          <t>Herrings, shads, anchovies</t>
        </is>
      </c>
      <c r="C104" t="inlineStr">
        <is>
          <t>Small pelagics (&lt;30 cm)</t>
        </is>
      </c>
      <c r="D104" t="inlineStr">
        <is>
          <t>Other fishes &amp; inverts</t>
        </is>
      </c>
      <c r="E104" s="5" t="inlineStr">
        <is>
          <t>Planktivores | Planktivores/Benthivores | Omnivores</t>
        </is>
      </c>
      <c r="F104" t="inlineStr">
        <is>
          <t>0.672 | 0.278 | 0.050</t>
        </is>
      </c>
      <c r="G104" t="inlineStr">
        <is>
          <t>catch_composition</t>
        </is>
      </c>
      <c r="H104" t="inlineStr">
        <is>
          <t>medium</t>
        </is>
      </c>
      <c r="I104" t="inlineStr">
        <is>
          <t>composite_split</t>
        </is>
      </c>
      <c r="J104" t="n">
        <v>260655.215</v>
      </c>
      <c r="K104" t="n">
        <v>0.0922</v>
      </c>
      <c r="L104"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row>
    <row r="105">
      <c r="A105" t="inlineStr">
        <is>
          <t>Mullidae</t>
        </is>
      </c>
      <c r="B105" t="inlineStr">
        <is>
          <t>Goatfishes</t>
        </is>
      </c>
      <c r="C105" t="inlineStr">
        <is>
          <t>Medium reef assoc. fish (30 - 89 cm)</t>
        </is>
      </c>
      <c r="D105" t="inlineStr">
        <is>
          <t>Perch-likes</t>
        </is>
      </c>
      <c r="E105" s="5" t="inlineStr">
        <is>
          <t>Benthivores</t>
        </is>
      </c>
      <c r="F105" t="inlineStr"/>
      <c r="G105" t="inlineStr"/>
      <c r="H105" t="inlineStr">
        <is>
          <t>medium</t>
        </is>
      </c>
      <c r="I105" t="inlineStr">
        <is>
          <t>habitat_size_guild</t>
        </is>
      </c>
      <c r="J105" t="n">
        <v>259641.283</v>
      </c>
      <c r="K105" t="n">
        <v>0.09180000000000001</v>
      </c>
      <c r="L105" s="6" t="inlineStr">
        <is>
          <t>Goatfishes sift the sediment with their barbels for polychaetes and small crustaceans, the Benthivores definition of Supplementary Table S1.</t>
        </is>
      </c>
    </row>
    <row r="106">
      <c r="A106" t="inlineStr">
        <is>
          <t>Chelidonichthys kumu</t>
        </is>
      </c>
      <c r="B106" t="inlineStr">
        <is>
          <t>Bluefin gurnard</t>
        </is>
      </c>
      <c r="C106" t="inlineStr">
        <is>
          <t>Medium demersals (30 - 89 cm)</t>
        </is>
      </c>
      <c r="D106" t="inlineStr">
        <is>
          <t>Scorpionfishes</t>
        </is>
      </c>
      <c r="E106" s="7" t="inlineStr">
        <is>
          <t>Benthivores</t>
        </is>
      </c>
      <c r="F106" t="inlineStr"/>
      <c r="G106" t="inlineStr"/>
      <c r="H106" t="inlineStr">
        <is>
          <t>high</t>
        </is>
      </c>
      <c r="I106" t="inlineStr">
        <is>
          <t>explicit_member</t>
        </is>
      </c>
      <c r="J106" t="n">
        <v>252888.182</v>
      </c>
      <c r="K106" t="n">
        <v>0.08939999999999999</v>
      </c>
      <c r="L106" s="6" t="inlineStr">
        <is>
          <t>Supplementary Table S1 lists Chelidonichthys kumu under Benthivores.</t>
        </is>
      </c>
    </row>
    <row r="107">
      <c r="A107" t="inlineStr">
        <is>
          <t>Nibea mitsukurii</t>
        </is>
      </c>
      <c r="B107" t="inlineStr">
        <is>
          <t>Honnibe croaker</t>
        </is>
      </c>
      <c r="C107" t="inlineStr">
        <is>
          <t>Medium benthopelagics (30 - 89 cm)</t>
        </is>
      </c>
      <c r="D107" t="inlineStr">
        <is>
          <t>Perch-likes</t>
        </is>
      </c>
      <c r="E107" s="7" t="inlineStr">
        <is>
          <t>Omnivores</t>
        </is>
      </c>
      <c r="F107" t="inlineStr"/>
      <c r="G107" t="inlineStr"/>
      <c r="H107" t="inlineStr">
        <is>
          <t>high</t>
        </is>
      </c>
      <c r="I107" t="inlineStr">
        <is>
          <t>taxonomic_containment</t>
        </is>
      </c>
      <c r="J107" t="n">
        <v>251483.002</v>
      </c>
      <c r="K107" t="n">
        <v>0.08890000000000001</v>
      </c>
      <c r="L107" s="6" t="inlineStr">
        <is>
          <t>Supplementary Table S1 lists Nibea albiflora in Omnivores; this record is another species of that listed genus.</t>
        </is>
      </c>
    </row>
    <row r="108">
      <c r="A108" t="inlineStr">
        <is>
          <t>Saurida tumbil</t>
        </is>
      </c>
      <c r="B108" t="inlineStr">
        <is>
          <t>Greater lizardfish</t>
        </is>
      </c>
      <c r="C108" t="inlineStr">
        <is>
          <t>Medium demersals (30 - 89 cm)</t>
        </is>
      </c>
      <c r="D108" t="inlineStr">
        <is>
          <t>Other fishes &amp; inverts</t>
        </is>
      </c>
      <c r="E108" s="7" t="inlineStr">
        <is>
          <t>Piscivores</t>
        </is>
      </c>
      <c r="F108" t="inlineStr"/>
      <c r="G108" t="inlineStr"/>
      <c r="H108" t="inlineStr">
        <is>
          <t>high</t>
        </is>
      </c>
      <c r="I108" t="inlineStr">
        <is>
          <t>explicit_member</t>
        </is>
      </c>
      <c r="J108" t="n">
        <v>251452.499</v>
      </c>
      <c r="K108" t="n">
        <v>0.08890000000000001</v>
      </c>
      <c r="L108" s="6" t="inlineStr">
        <is>
          <t>Supplementary Table S1 lists Saurida tumbil under Piscivores.</t>
        </is>
      </c>
    </row>
    <row r="109">
      <c r="A109" t="inlineStr">
        <is>
          <t>Mugilidae</t>
        </is>
      </c>
      <c r="B109" t="inlineStr">
        <is>
          <t>Mullets, grey mullets</t>
        </is>
      </c>
      <c r="C109" t="inlineStr">
        <is>
          <t>Medium reef assoc. fish (30 - 89 cm)</t>
        </is>
      </c>
      <c r="D109" t="inlineStr">
        <is>
          <t>Perch-likes</t>
        </is>
      </c>
      <c r="E109" s="8" t="inlineStr">
        <is>
          <t>Benthivores</t>
        </is>
      </c>
      <c r="F109" t="inlineStr"/>
      <c r="G109" t="inlineStr"/>
      <c r="H109" t="inlineStr">
        <is>
          <t>low</t>
        </is>
      </c>
      <c r="I109" t="inlineStr">
        <is>
          <t>analogue</t>
        </is>
      </c>
      <c r="J109" t="n">
        <v>244737.288</v>
      </c>
      <c r="K109" t="n">
        <v>0.08649999999999999</v>
      </c>
      <c r="L109" s="6" t="inlineStr">
        <is>
          <t>Mullets are detritus and benthic microalgae feeders and the model has no herbivore or detritivore fish compartment; placed in the only bottom-feeding guild, with the diet mismatch noted.</t>
        </is>
      </c>
    </row>
    <row r="110">
      <c r="A110" t="inlineStr">
        <is>
          <t>Coryphaena</t>
        </is>
      </c>
      <c r="B110" t="inlineStr">
        <is>
          <t>Dolphinfishes</t>
        </is>
      </c>
      <c r="C110" t="inlineStr">
        <is>
          <t>Large pelagics (&gt;=90 cm)</t>
        </is>
      </c>
      <c r="D110" t="inlineStr">
        <is>
          <t>Perch-likes</t>
        </is>
      </c>
      <c r="E110" s="7" t="inlineStr">
        <is>
          <t>Piscivores</t>
        </is>
      </c>
      <c r="F110" t="inlineStr"/>
      <c r="G110" t="inlineStr"/>
      <c r="H110" t="inlineStr">
        <is>
          <t>high</t>
        </is>
      </c>
      <c r="I110" t="inlineStr">
        <is>
          <t>taxonomic_containment</t>
        </is>
      </c>
      <c r="J110" t="n">
        <v>244327.153</v>
      </c>
      <c r="K110" t="n">
        <v>0.0864</v>
      </c>
      <c r="L110" s="6" t="inlineStr">
        <is>
          <t>Supplementary Table S1 lists Coryphaena hippurus in Piscivores; this genus-level record is that genus.</t>
        </is>
      </c>
    </row>
    <row r="111">
      <c r="A111" t="inlineStr">
        <is>
          <t>Thunnus alalunga</t>
        </is>
      </c>
      <c r="B111" t="inlineStr">
        <is>
          <t>Albacore</t>
        </is>
      </c>
      <c r="C111" t="inlineStr">
        <is>
          <t>Large pelagics (&gt;=90 cm)</t>
        </is>
      </c>
      <c r="D111" t="inlineStr">
        <is>
          <t>Tuna &amp; billfishes</t>
        </is>
      </c>
      <c r="E111" s="5" t="inlineStr">
        <is>
          <t>Piscivores</t>
        </is>
      </c>
      <c r="F111" t="inlineStr"/>
      <c r="G111" t="inlineStr"/>
      <c r="H111" t="inlineStr">
        <is>
          <t>medium</t>
        </is>
      </c>
      <c r="I111" t="inlineStr">
        <is>
          <t>habitat_size_guild</t>
        </is>
      </c>
      <c r="J111" t="n">
        <v>243978.822</v>
      </c>
      <c r="K111" t="n">
        <v>0.0863</v>
      </c>
      <c r="L111" s="6" t="inlineStr">
        <is>
          <t>Albacore is an epipelagic piscivore, the functional type Supplementary Table S1 places in Piscivores as Auxis thazard and Coryphaena hippurus.</t>
        </is>
      </c>
    </row>
    <row r="112">
      <c r="A112" t="inlineStr">
        <is>
          <t>Platycephalus indicus</t>
        </is>
      </c>
      <c r="B112" t="inlineStr">
        <is>
          <t>Bartail flathead</t>
        </is>
      </c>
      <c r="C112" t="inlineStr">
        <is>
          <t>Medium demersals (30 - 89 cm)</t>
        </is>
      </c>
      <c r="D112" t="inlineStr">
        <is>
          <t>Scorpionfishes</t>
        </is>
      </c>
      <c r="E112" s="5" t="inlineStr">
        <is>
          <t>Piscivores</t>
        </is>
      </c>
      <c r="F112" t="inlineStr"/>
      <c r="G112" t="inlineStr"/>
      <c r="H112" t="inlineStr">
        <is>
          <t>medium</t>
        </is>
      </c>
      <c r="I112" t="inlineStr">
        <is>
          <t>habitat_size_guild</t>
        </is>
      </c>
      <c r="J112" t="n">
        <v>241390.259</v>
      </c>
      <c r="K112" t="n">
        <v>0.0854</v>
      </c>
      <c r="L112" s="6" t="inlineStr">
        <is>
          <t>Bartail flathead is a sand-ambush predator taking mainly fish and large shrimps.</t>
        </is>
      </c>
    </row>
    <row r="113">
      <c r="A113" t="inlineStr">
        <is>
          <t>Mactridae</t>
        </is>
      </c>
      <c r="B113" t="inlineStr">
        <is>
          <t>Mactra surf clams</t>
        </is>
      </c>
      <c r="C113" t="inlineStr">
        <is>
          <t>Other demersal invertebrates</t>
        </is>
      </c>
      <c r="D113" t="inlineStr">
        <is>
          <t>Molluscs</t>
        </is>
      </c>
      <c r="E113" s="7" t="inlineStr">
        <is>
          <t>Mollusks</t>
        </is>
      </c>
      <c r="F113" t="inlineStr"/>
      <c r="G113" t="inlineStr"/>
      <c r="H113" t="inlineStr">
        <is>
          <t>high</t>
        </is>
      </c>
      <c r="I113" t="inlineStr">
        <is>
          <t>explicit_member</t>
        </is>
      </c>
      <c r="J113" t="n">
        <v>233447.196</v>
      </c>
      <c r="K113" t="n">
        <v>0.08260000000000001</v>
      </c>
      <c r="L113" s="6" t="inlineStr">
        <is>
          <t>Supplementary Table S1 defines the model's Mollusks group as 'Bivalves'; this record is a bivalve.</t>
        </is>
      </c>
    </row>
    <row r="114">
      <c r="A114" t="inlineStr">
        <is>
          <t>Muraenesocidae</t>
        </is>
      </c>
      <c r="B114" t="inlineStr">
        <is>
          <t>Pike congers</t>
        </is>
      </c>
      <c r="C114" t="inlineStr">
        <is>
          <t>Large demersals (&gt;=90 cm)</t>
        </is>
      </c>
      <c r="D114" t="inlineStr">
        <is>
          <t>Other fishes &amp; inverts</t>
        </is>
      </c>
      <c r="E114" s="7" t="inlineStr">
        <is>
          <t>Piscivores</t>
        </is>
      </c>
      <c r="F114" t="inlineStr"/>
      <c r="G114" t="inlineStr"/>
      <c r="H114" t="inlineStr">
        <is>
          <t>high</t>
        </is>
      </c>
      <c r="I114" t="inlineStr">
        <is>
          <t>taxonomic_containment</t>
        </is>
      </c>
      <c r="J114" t="n">
        <v>225279.4</v>
      </c>
      <c r="K114" t="n">
        <v>0.07969999999999999</v>
      </c>
      <c r="L114" s="6" t="inlineStr">
        <is>
          <t>Supplementary Table S1 lists the muraenesocid Muraenesox cinereus in Piscivores; this family record is that family.</t>
        </is>
      </c>
    </row>
    <row r="115">
      <c r="A115" t="inlineStr">
        <is>
          <t>Squalidae</t>
        </is>
      </c>
      <c r="B115" t="inlineStr">
        <is>
          <t>Dogfish sharks</t>
        </is>
      </c>
      <c r="C115" t="inlineStr">
        <is>
          <t>Large sharks (&gt;=90 cm)</t>
        </is>
      </c>
      <c r="D115" t="inlineStr">
        <is>
          <t>Sharks &amp; rays</t>
        </is>
      </c>
      <c r="E115" s="7" t="inlineStr">
        <is>
          <t>Sharks</t>
        </is>
      </c>
      <c r="F115" t="inlineStr"/>
      <c r="G115" t="inlineStr"/>
      <c r="H115" t="inlineStr">
        <is>
          <t>high</t>
        </is>
      </c>
      <c r="I115" t="inlineStr">
        <is>
          <t>taxonomic_containment</t>
        </is>
      </c>
      <c r="J115" t="n">
        <v>207963.905</v>
      </c>
      <c r="K115" t="n">
        <v>0.0735</v>
      </c>
      <c r="L115" s="6" t="inlineStr">
        <is>
          <t>Dogfish sharks fall inside the model's Sharks group, which Supplementary Table S1 represents by Scoliodon laticaudus and which is the model's only shark compartment.</t>
        </is>
      </c>
    </row>
    <row r="116">
      <c r="A116" t="inlineStr">
        <is>
          <t>Seriola lalandi</t>
        </is>
      </c>
      <c r="B116" t="inlineStr">
        <is>
          <t>Yellowtail amberjack</t>
        </is>
      </c>
      <c r="C116" t="inlineStr">
        <is>
          <t>Large benthopelagics (&gt;=90 cm)</t>
        </is>
      </c>
      <c r="D116" t="inlineStr">
        <is>
          <t>Perch-likes</t>
        </is>
      </c>
      <c r="E116" s="5" t="inlineStr">
        <is>
          <t>Piscivores</t>
        </is>
      </c>
      <c r="F116" t="inlineStr"/>
      <c r="G116" t="inlineStr"/>
      <c r="H116" t="inlineStr">
        <is>
          <t>medium</t>
        </is>
      </c>
      <c r="I116" t="inlineStr">
        <is>
          <t>habitat_size_guild</t>
        </is>
      </c>
      <c r="J116" t="n">
        <v>202008.753</v>
      </c>
      <c r="K116" t="n">
        <v>0.07140000000000001</v>
      </c>
      <c r="L116" s="6" t="inlineStr">
        <is>
          <t>Yellowtail amberjack is a large carangid piscivore taking mainly fish and squid, matching the model's fish-eating guild rather than the plankton-and-fish scad guild.</t>
        </is>
      </c>
    </row>
    <row r="117">
      <c r="A117" t="inlineStr">
        <is>
          <t>Portunidae</t>
        </is>
      </c>
      <c r="B117" t="inlineStr">
        <is>
          <t>Swimming crabs</t>
        </is>
      </c>
      <c r="C117" t="inlineStr">
        <is>
          <t>Lobsters, crabs</t>
        </is>
      </c>
      <c r="D117" t="inlineStr">
        <is>
          <t>Crustaceans</t>
        </is>
      </c>
      <c r="E117" s="7" t="inlineStr">
        <is>
          <t>Crabs</t>
        </is>
      </c>
      <c r="F117" t="inlineStr"/>
      <c r="G117" t="inlineStr"/>
      <c r="H117" t="inlineStr">
        <is>
          <t>high</t>
        </is>
      </c>
      <c r="I117" t="inlineStr">
        <is>
          <t>taxonomic_containment</t>
        </is>
      </c>
      <c r="J117" t="n">
        <v>194474.788</v>
      </c>
      <c r="K117" t="n">
        <v>0.0688</v>
      </c>
      <c r="L117" s="6" t="inlineStr">
        <is>
          <t>Swimming crabs fall inside the model's Crabs group, which Supplementary Table S1 fills with six portunids (Portunus trituberculatus, Charybdis feriatus, C. bimaculata, P. sanguinolentus, C. acuta, P. argentatus).</t>
        </is>
      </c>
    </row>
    <row r="118">
      <c r="A118" t="inlineStr">
        <is>
          <t>Pagrus auratus</t>
        </is>
      </c>
      <c r="B118" t="inlineStr">
        <is>
          <t>Silver seabream</t>
        </is>
      </c>
      <c r="C118" t="inlineStr">
        <is>
          <t>Large demersals (&gt;=90 cm)</t>
        </is>
      </c>
      <c r="D118" t="inlineStr">
        <is>
          <t>Perch-likes</t>
        </is>
      </c>
      <c r="E118" s="5" t="inlineStr">
        <is>
          <t>Omnivores</t>
        </is>
      </c>
      <c r="F118" t="inlineStr"/>
      <c r="G118" t="inlineStr"/>
      <c r="H118" t="inlineStr">
        <is>
          <t>medium</t>
        </is>
      </c>
      <c r="I118" t="inlineStr">
        <is>
          <t>habitat_size_guild</t>
        </is>
      </c>
      <c r="J118" t="n">
        <v>194147.074</v>
      </c>
      <c r="K118" t="n">
        <v>0.0687</v>
      </c>
      <c r="L118" s="6" t="inlineStr">
        <is>
          <t>Silver seabream is a sparid generalist on benthic invertebrates and small fish, following the sparid placement of Supplementary Table S1.</t>
        </is>
      </c>
    </row>
    <row r="119">
      <c r="A119" t="inlineStr">
        <is>
          <t>Thunnus obesus</t>
        </is>
      </c>
      <c r="B119" t="inlineStr">
        <is>
          <t>Bigeye tuna</t>
        </is>
      </c>
      <c r="C119" t="inlineStr">
        <is>
          <t>Large pelagics (&gt;=90 cm)</t>
        </is>
      </c>
      <c r="D119" t="inlineStr">
        <is>
          <t>Tuna &amp; billfishes</t>
        </is>
      </c>
      <c r="E119" s="5" t="inlineStr">
        <is>
          <t>Piscivores</t>
        </is>
      </c>
      <c r="F119" t="inlineStr"/>
      <c r="G119" t="inlineStr"/>
      <c r="H119" t="inlineStr">
        <is>
          <t>medium</t>
        </is>
      </c>
      <c r="I119" t="inlineStr">
        <is>
          <t>habitat_size_guild</t>
        </is>
      </c>
      <c r="J119" t="n">
        <v>181260.514</v>
      </c>
      <c r="K119" t="n">
        <v>0.0641</v>
      </c>
      <c r="L119" s="6" t="inlineStr">
        <is>
          <t>Bigeye tuna is an epipelagic and mesopelagic piscivore, the guild Supplementary Table S1 fills with Auxis thazard and Coryphaena hippurus.</t>
        </is>
      </c>
    </row>
    <row r="120">
      <c r="A120" t="inlineStr">
        <is>
          <t>Haemulidae</t>
        </is>
      </c>
      <c r="B120" t="inlineStr">
        <is>
          <t>Grunts, sweetlips, bonnetmouths</t>
        </is>
      </c>
      <c r="C120" t="inlineStr">
        <is>
          <t>Medium demersals (30 - 89 cm)</t>
        </is>
      </c>
      <c r="D120" t="inlineStr">
        <is>
          <t>Perch-likes</t>
        </is>
      </c>
      <c r="E120" s="5" t="inlineStr">
        <is>
          <t>Benthivores</t>
        </is>
      </c>
      <c r="F120" t="inlineStr"/>
      <c r="G120" t="inlineStr"/>
      <c r="H120" t="inlineStr">
        <is>
          <t>medium</t>
        </is>
      </c>
      <c r="I120" t="inlineStr">
        <is>
          <t>habitat_size_guild</t>
        </is>
      </c>
      <c r="J120" t="n">
        <v>178843.441</v>
      </c>
      <c r="K120" t="n">
        <v>0.06320000000000001</v>
      </c>
      <c r="L120" s="6" t="inlineStr">
        <is>
          <t>Grunts are demersal feeders on benthic crustaceans, polychaetes and molluscs, matching the Benthivores definition of Supplementary Table S1. This corrects an inherited assignment to Benthivores/piscivores, which the family's diet does not support.</t>
        </is>
      </c>
    </row>
    <row r="121">
      <c r="A121" t="inlineStr">
        <is>
          <t>Gastropoda</t>
        </is>
      </c>
      <c r="B121" t="inlineStr">
        <is>
          <t>Sea snails</t>
        </is>
      </c>
      <c r="C121" t="inlineStr">
        <is>
          <t>Other demersal invertebrates</t>
        </is>
      </c>
      <c r="D121" t="inlineStr">
        <is>
          <t>Molluscs</t>
        </is>
      </c>
      <c r="E121" s="5" t="inlineStr">
        <is>
          <t>Mollusks</t>
        </is>
      </c>
      <c r="F121" t="inlineStr"/>
      <c r="G121" t="inlineStr"/>
      <c r="H121" t="inlineStr">
        <is>
          <t>medium</t>
        </is>
      </c>
      <c r="I121" t="inlineStr">
        <is>
          <t>taxonomic_containment</t>
        </is>
      </c>
      <c r="J121" t="n">
        <v>172422.542</v>
      </c>
      <c r="K121" t="n">
        <v>0.061</v>
      </c>
      <c r="L121" s="6" t="inlineStr">
        <is>
          <t>Sea snails fall inside the model's Mollusks group by name, but Supplementary Table S1 states its composition as bivalves only, so a gastropod is included on the group's taxonomic name rather than on its listed membership.</t>
        </is>
      </c>
    </row>
    <row r="122">
      <c r="A122" t="inlineStr">
        <is>
          <t>Holothuroidea</t>
        </is>
      </c>
      <c r="B122" t="inlineStr">
        <is>
          <t>Sea cucumbers</t>
        </is>
      </c>
      <c r="C122" t="inlineStr">
        <is>
          <t>Other demersal invertebrates</t>
        </is>
      </c>
      <c r="D122" t="inlineStr">
        <is>
          <t>Other fishes &amp; inverts</t>
        </is>
      </c>
      <c r="E122" s="7" t="inlineStr">
        <is>
          <t>Echinoderms</t>
        </is>
      </c>
      <c r="F122" t="inlineStr"/>
      <c r="G122" t="inlineStr"/>
      <c r="H122" t="inlineStr">
        <is>
          <t>high</t>
        </is>
      </c>
      <c r="I122" t="inlineStr">
        <is>
          <t>taxonomic_containment</t>
        </is>
      </c>
      <c r="J122" t="n">
        <v>170769.758</v>
      </c>
      <c r="K122" t="n">
        <v>0.0604</v>
      </c>
      <c r="L122" s="6" t="inlineStr">
        <is>
          <t>Sea cucumbers fall inside the model's Echinoderms group, which Supplementary Table S1 represents by Ophiuroidea and which is the model's only echinoderm compartment.</t>
        </is>
      </c>
    </row>
    <row r="123">
      <c r="A123" t="inlineStr">
        <is>
          <t>Penaeus japonicus</t>
        </is>
      </c>
      <c r="B123" t="inlineStr">
        <is>
          <t>Kuruma prawn</t>
        </is>
      </c>
      <c r="C123" t="inlineStr">
        <is>
          <t>Shrimps</t>
        </is>
      </c>
      <c r="D123" t="inlineStr">
        <is>
          <t>Crustaceans</t>
        </is>
      </c>
      <c r="E123" s="7" t="inlineStr">
        <is>
          <t>Shrimps</t>
        </is>
      </c>
      <c r="F123" t="inlineStr"/>
      <c r="G123" t="inlineStr"/>
      <c r="H123" t="inlineStr">
        <is>
          <t>high</t>
        </is>
      </c>
      <c r="I123" t="inlineStr">
        <is>
          <t>taxonomic_containment</t>
        </is>
      </c>
      <c r="J123" t="n">
        <v>170438.428</v>
      </c>
      <c r="K123" t="n">
        <v>0.0603</v>
      </c>
      <c r="L123" s="6" t="inlineStr">
        <is>
          <t>Kuruma prawn fall inside the model's Shrimps group, which Supplementary Table S1 fills with thirteen penaeid, solenocerid, sergestid and caridean species including Metapenaeus joyneri, Parapenaeopsis hardwickii and Metapenaeopsis barbata.</t>
        </is>
      </c>
    </row>
    <row r="124">
      <c r="A124" t="inlineStr">
        <is>
          <t>Mytilidae</t>
        </is>
      </c>
      <c r="B124" t="inlineStr">
        <is>
          <t>Sea mussels</t>
        </is>
      </c>
      <c r="C124" t="inlineStr">
        <is>
          <t>Other demersal invertebrates</t>
        </is>
      </c>
      <c r="D124" t="inlineStr">
        <is>
          <t>Molluscs</t>
        </is>
      </c>
      <c r="E124" s="7" t="inlineStr">
        <is>
          <t>Mollusks</t>
        </is>
      </c>
      <c r="F124" t="inlineStr"/>
      <c r="G124" t="inlineStr"/>
      <c r="H124" t="inlineStr">
        <is>
          <t>high</t>
        </is>
      </c>
      <c r="I124" t="inlineStr">
        <is>
          <t>explicit_member</t>
        </is>
      </c>
      <c r="J124" t="n">
        <v>169861.962</v>
      </c>
      <c r="K124" t="n">
        <v>0.0601</v>
      </c>
      <c r="L124" s="6" t="inlineStr">
        <is>
          <t>Supplementary Table S1 defines the model's Mollusks group as 'Bivalves'; this record is a bivalve.</t>
        </is>
      </c>
    </row>
    <row r="125">
      <c r="A125" t="inlineStr">
        <is>
          <t>Penaeidae</t>
        </is>
      </c>
      <c r="B125" t="inlineStr">
        <is>
          <t>Commercial shrimps and prawns</t>
        </is>
      </c>
      <c r="C125" t="inlineStr">
        <is>
          <t>Shrimps</t>
        </is>
      </c>
      <c r="D125" t="inlineStr">
        <is>
          <t>Crustaceans</t>
        </is>
      </c>
      <c r="E125" s="7" t="inlineStr">
        <is>
          <t>Shrimps</t>
        </is>
      </c>
      <c r="F125" t="inlineStr"/>
      <c r="G125" t="inlineStr"/>
      <c r="H125" t="inlineStr">
        <is>
          <t>high</t>
        </is>
      </c>
      <c r="I125" t="inlineStr">
        <is>
          <t>taxonomic_containment</t>
        </is>
      </c>
      <c r="J125" t="n">
        <v>162119.976</v>
      </c>
      <c r="K125" t="n">
        <v>0.0573</v>
      </c>
      <c r="L125" s="6" t="inlineStr">
        <is>
          <t>Penaeid prawns fall inside the model's Shrimps group, which Supplementary Table S1 fills with thirteen penaeid, solenocerid, sergestid and caridean species including Metapenaeus joyneri, Parapenaeopsis hardwickii and Metapenaeopsis barbata.</t>
        </is>
      </c>
    </row>
    <row r="126">
      <c r="A126" t="inlineStr">
        <is>
          <t>Trichiuridae</t>
        </is>
      </c>
      <c r="B126" t="inlineStr">
        <is>
          <t>Cutlassfishes</t>
        </is>
      </c>
      <c r="C126" t="inlineStr">
        <is>
          <t>Large benthopelagics (&gt;=90 cm)</t>
        </is>
      </c>
      <c r="D126" t="inlineStr">
        <is>
          <t>Perch-likes</t>
        </is>
      </c>
      <c r="E126" s="5" t="inlineStr">
        <is>
          <t>Hairtails</t>
        </is>
      </c>
      <c r="F126" t="inlineStr"/>
      <c r="G126" t="inlineStr"/>
      <c r="H126" t="inlineStr">
        <is>
          <t>medium</t>
        </is>
      </c>
      <c r="I126" t="inlineStr">
        <is>
          <t>taxonomic_containment</t>
        </is>
      </c>
      <c r="J126" t="n">
        <v>161385.271</v>
      </c>
      <c r="K126" t="n">
        <v>0.0571</v>
      </c>
      <c r="L126" s="6"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row>
    <row r="127">
      <c r="A127" t="inlineStr">
        <is>
          <t>Parastromateus niger</t>
        </is>
      </c>
      <c r="B127" t="inlineStr">
        <is>
          <t>Black pomfret</t>
        </is>
      </c>
      <c r="C127" t="inlineStr">
        <is>
          <t>Medium benthopelagics (30 - 89 cm)</t>
        </is>
      </c>
      <c r="D127" t="inlineStr">
        <is>
          <t>Perch-likes</t>
        </is>
      </c>
      <c r="E127" s="7" t="inlineStr">
        <is>
          <t>Planktivores/piscivores</t>
        </is>
      </c>
      <c r="F127" t="inlineStr"/>
      <c r="G127" t="inlineStr"/>
      <c r="H127" t="inlineStr">
        <is>
          <t>high</t>
        </is>
      </c>
      <c r="I127" t="inlineStr">
        <is>
          <t>explicit_member</t>
        </is>
      </c>
      <c r="J127" t="n">
        <v>151612.172</v>
      </c>
      <c r="K127" t="n">
        <v>0.0536</v>
      </c>
      <c r="L127" s="6" t="inlineStr">
        <is>
          <t>Supplementary Table S1 lists Parastromateus niger under Planktivores/piscivores.</t>
        </is>
      </c>
    </row>
    <row r="128">
      <c r="A128" t="inlineStr">
        <is>
          <t>Miichthys miiuy</t>
        </is>
      </c>
      <c r="B128" t="inlineStr">
        <is>
          <t>Mi-iuy croaker</t>
        </is>
      </c>
      <c r="C128" t="inlineStr">
        <is>
          <t>Medium demersals (30 - 89 cm)</t>
        </is>
      </c>
      <c r="D128" t="inlineStr">
        <is>
          <t>Perch-likes</t>
        </is>
      </c>
      <c r="E128" s="7" t="inlineStr">
        <is>
          <t>Benthivores/piscivores</t>
        </is>
      </c>
      <c r="F128" t="inlineStr"/>
      <c r="G128" t="inlineStr"/>
      <c r="H128" t="inlineStr">
        <is>
          <t>high</t>
        </is>
      </c>
      <c r="I128" t="inlineStr">
        <is>
          <t>explicit_member</t>
        </is>
      </c>
      <c r="J128" t="n">
        <v>148894.019</v>
      </c>
      <c r="K128" t="n">
        <v>0.0527</v>
      </c>
      <c r="L128" s="6" t="inlineStr">
        <is>
          <t>Supplementary Table S1 lists Miichthys miiuy under Benthivores/piscivores.</t>
        </is>
      </c>
    </row>
    <row r="129">
      <c r="A129" t="inlineStr">
        <is>
          <t>Nemopilema nomurai</t>
        </is>
      </c>
      <c r="B129" t="inlineStr">
        <is>
          <t>Nomura jelly</t>
        </is>
      </c>
      <c r="C129" t="inlineStr">
        <is>
          <t>Jellyfish</t>
        </is>
      </c>
      <c r="D129" t="inlineStr">
        <is>
          <t>Other fishes &amp; inverts</t>
        </is>
      </c>
      <c r="E129" s="7" t="inlineStr">
        <is>
          <t>Other invertebrates</t>
        </is>
      </c>
      <c r="F129" t="inlineStr"/>
      <c r="G129" t="inlineStr"/>
      <c r="H129" t="inlineStr">
        <is>
          <t>high</t>
        </is>
      </c>
      <c r="I129" t="inlineStr">
        <is>
          <t>explicit_member</t>
        </is>
      </c>
      <c r="J129" t="n">
        <v>148351.668</v>
      </c>
      <c r="K129" t="n">
        <v>0.0525</v>
      </c>
      <c r="L129" s="6" t="inlineStr">
        <is>
          <t>Supplementary Table S1 defines the model's Other invertebrates group as 'Cnidaria'. Nomura's jellyfish are scyphozoan cnidarians and this is the model's only compartment for them.</t>
        </is>
      </c>
    </row>
    <row r="130">
      <c r="A130" t="inlineStr">
        <is>
          <t>Decapterus</t>
        </is>
      </c>
      <c r="B130" t="inlineStr">
        <is>
          <t>Scads</t>
        </is>
      </c>
      <c r="C130" t="inlineStr">
        <is>
          <t>Medium pelagics (30 - 89 cm)</t>
        </is>
      </c>
      <c r="D130" t="inlineStr">
        <is>
          <t>Perch-likes</t>
        </is>
      </c>
      <c r="E130" s="7" t="inlineStr">
        <is>
          <t>Planktivores/piscivores</t>
        </is>
      </c>
      <c r="F130" t="inlineStr"/>
      <c r="G130" t="inlineStr"/>
      <c r="H130" t="inlineStr">
        <is>
          <t>high</t>
        </is>
      </c>
      <c r="I130" t="inlineStr">
        <is>
          <t>taxonomic_containment</t>
        </is>
      </c>
      <c r="J130" t="n">
        <v>144963.735</v>
      </c>
      <c r="K130" t="n">
        <v>0.0513</v>
      </c>
      <c r="L130" s="6" t="inlineStr">
        <is>
          <t>Supplementary Table S1 lists Decapterus maruadsi in Planktivores/piscivores; this genus-level record is that genus.</t>
        </is>
      </c>
    </row>
    <row r="131">
      <c r="A131" t="inlineStr">
        <is>
          <t>Gadus chalcogrammus</t>
        </is>
      </c>
      <c r="B131" t="inlineStr">
        <is>
          <t>Alaska pollock</t>
        </is>
      </c>
      <c r="C131" t="inlineStr">
        <is>
          <t>Medium benthopelagics (30 - 89 cm)</t>
        </is>
      </c>
      <c r="D131" t="inlineStr">
        <is>
          <t>Cod-likes</t>
        </is>
      </c>
      <c r="E131" s="8" t="inlineStr">
        <is>
          <t>Planktivores/piscivores</t>
        </is>
      </c>
      <c r="F131" t="inlineStr"/>
      <c r="G131" t="inlineStr"/>
      <c r="H131" t="inlineStr">
        <is>
          <t>low</t>
        </is>
      </c>
      <c r="I131" t="inlineStr">
        <is>
          <t>analogue</t>
        </is>
      </c>
      <c r="J131" t="n">
        <v>136909.114</v>
      </c>
      <c r="K131" t="n">
        <v>0.0484</v>
      </c>
      <c r="L131" s="6" t="inlineStr">
        <is>
          <t>Walleye pollock is a midwater feeder on euphausiids and small fish, the functional type of the model's mixed plankton-and-fish guild. No gadid appears in Supplementary Table S1 and the species is at the northern margin of the East China Sea, so this is analogy.</t>
        </is>
      </c>
    </row>
    <row r="132">
      <c r="A132" t="inlineStr">
        <is>
          <t>Branchiostegus japonicus</t>
        </is>
      </c>
      <c r="B132" t="inlineStr">
        <is>
          <t>Horsehead tilefish</t>
        </is>
      </c>
      <c r="C132" t="inlineStr">
        <is>
          <t>Medium demersals (30 - 89 cm)</t>
        </is>
      </c>
      <c r="D132" t="inlineStr">
        <is>
          <t>Perch-likes</t>
        </is>
      </c>
      <c r="E132" s="5" t="inlineStr">
        <is>
          <t>Benthivores/piscivores</t>
        </is>
      </c>
      <c r="F132" t="inlineStr"/>
      <c r="G132" t="inlineStr"/>
      <c r="H132" t="inlineStr">
        <is>
          <t>medium</t>
        </is>
      </c>
      <c r="I132" t="inlineStr">
        <is>
          <t>habitat_size_guild</t>
        </is>
      </c>
      <c r="J132" t="n">
        <v>131986.177</v>
      </c>
      <c r="K132" t="n">
        <v>0.0467</v>
      </c>
      <c r="L132" s="6" t="inlineStr">
        <is>
          <t>Japanese horsehead is a burrow-dwelling demersal predator on shrimps, crabs, polychaetes and small fish, matching the model's mixed benthivore-piscivore guild.</t>
        </is>
      </c>
    </row>
    <row r="133">
      <c r="A133" t="inlineStr">
        <is>
          <t>Meretrix lusoria</t>
        </is>
      </c>
      <c r="B133" t="inlineStr">
        <is>
          <t>Japanese hard clam</t>
        </is>
      </c>
      <c r="C133" t="inlineStr">
        <is>
          <t>Other demersal invertebrates</t>
        </is>
      </c>
      <c r="D133" t="inlineStr">
        <is>
          <t>Molluscs</t>
        </is>
      </c>
      <c r="E133" s="7" t="inlineStr">
        <is>
          <t>Mollusks</t>
        </is>
      </c>
      <c r="F133" t="inlineStr"/>
      <c r="G133" t="inlineStr"/>
      <c r="H133" t="inlineStr">
        <is>
          <t>high</t>
        </is>
      </c>
      <c r="I133" t="inlineStr">
        <is>
          <t>explicit_member</t>
        </is>
      </c>
      <c r="J133" t="n">
        <v>127412.946</v>
      </c>
      <c r="K133" t="n">
        <v>0.0451</v>
      </c>
      <c r="L133" s="6" t="inlineStr">
        <is>
          <t>Supplementary Table S1 defines the model's Mollusks group as 'Bivalves'; this record is a bivalve.</t>
        </is>
      </c>
    </row>
    <row r="134">
      <c r="A134" t="inlineStr">
        <is>
          <t>Gadidae</t>
        </is>
      </c>
      <c r="B134" t="inlineStr">
        <is>
          <t>Cods, haddocks</t>
        </is>
      </c>
      <c r="C134" t="inlineStr">
        <is>
          <t>Medium demersals (30 - 89 cm)</t>
        </is>
      </c>
      <c r="D134" t="inlineStr">
        <is>
          <t>Cod-likes</t>
        </is>
      </c>
      <c r="E134" s="8" t="inlineStr">
        <is>
          <t>Benthivores/piscivores | Planktivores/piscivores</t>
        </is>
      </c>
      <c r="F134" t="inlineStr">
        <is>
          <t>0.613 | 0.387</t>
        </is>
      </c>
      <c r="G134" t="inlineStr">
        <is>
          <t>catch_composition</t>
        </is>
      </c>
      <c r="H134" t="inlineStr">
        <is>
          <t>low</t>
        </is>
      </c>
      <c r="I134" t="inlineStr">
        <is>
          <t>composite_split</t>
        </is>
      </c>
      <c r="J134" t="n">
        <v>127153.731</v>
      </c>
      <c r="K134" t="n">
        <v>0.045</v>
      </c>
      <c r="L134"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row>
    <row r="135">
      <c r="A135" t="inlineStr">
        <is>
          <t>Scomberomorus guttatus</t>
        </is>
      </c>
      <c r="B135" t="inlineStr">
        <is>
          <t>Indo-Pacific king mackerel</t>
        </is>
      </c>
      <c r="C135" t="inlineStr">
        <is>
          <t>Medium pelagics (30 - 89 cm)</t>
        </is>
      </c>
      <c r="D135" t="inlineStr">
        <is>
          <t>Perch-likes</t>
        </is>
      </c>
      <c r="E135" s="7" t="inlineStr">
        <is>
          <t>Piscivores</t>
        </is>
      </c>
      <c r="F135" t="inlineStr"/>
      <c r="G135" t="inlineStr"/>
      <c r="H135" t="inlineStr">
        <is>
          <t>high</t>
        </is>
      </c>
      <c r="I135" t="inlineStr">
        <is>
          <t>explicit_member</t>
        </is>
      </c>
      <c r="J135" t="n">
        <v>126542</v>
      </c>
      <c r="K135" t="n">
        <v>0.0447</v>
      </c>
      <c r="L135" s="6" t="inlineStr">
        <is>
          <t>Supplementary Table S1 lists Scomberomorus guttatus under Piscivores.</t>
        </is>
      </c>
    </row>
    <row r="136">
      <c r="A136" t="inlineStr">
        <is>
          <t>Tegillarca granosa</t>
        </is>
      </c>
      <c r="B136" t="inlineStr">
        <is>
          <t>Granular ark</t>
        </is>
      </c>
      <c r="C136" t="inlineStr">
        <is>
          <t>Other demersal invertebrates</t>
        </is>
      </c>
      <c r="D136" t="inlineStr">
        <is>
          <t>Molluscs</t>
        </is>
      </c>
      <c r="E136" s="7" t="inlineStr">
        <is>
          <t>Mollusks</t>
        </is>
      </c>
      <c r="F136" t="inlineStr"/>
      <c r="G136" t="inlineStr"/>
      <c r="H136" t="inlineStr">
        <is>
          <t>high</t>
        </is>
      </c>
      <c r="I136" t="inlineStr">
        <is>
          <t>explicit_member</t>
        </is>
      </c>
      <c r="J136" t="n">
        <v>118929.717</v>
      </c>
      <c r="K136" t="n">
        <v>0.0421</v>
      </c>
      <c r="L136" s="6" t="inlineStr">
        <is>
          <t>Supplementary Table S1 defines the model's Mollusks group as 'Bivalves'; this record is a bivalve.</t>
        </is>
      </c>
    </row>
    <row r="137">
      <c r="A137" t="inlineStr">
        <is>
          <t>Menidae</t>
        </is>
      </c>
      <c r="B137" t="inlineStr">
        <is>
          <t>Moonfishes</t>
        </is>
      </c>
      <c r="C137" t="inlineStr">
        <is>
          <t>Medium reef assoc. fish (30 - 89 cm)</t>
        </is>
      </c>
      <c r="D137" t="inlineStr">
        <is>
          <t>Perch-likes</t>
        </is>
      </c>
      <c r="E137" s="7" t="inlineStr">
        <is>
          <t>Planktivores/piscivores</t>
        </is>
      </c>
      <c r="F137" t="inlineStr"/>
      <c r="G137" t="inlineStr"/>
      <c r="H137" t="inlineStr">
        <is>
          <t>high</t>
        </is>
      </c>
      <c r="I137" t="inlineStr">
        <is>
          <t>taxonomic_containment</t>
        </is>
      </c>
      <c r="J137" t="n">
        <v>118392.739</v>
      </c>
      <c r="K137" t="n">
        <v>0.0419</v>
      </c>
      <c r="L137" s="6" t="inlineStr">
        <is>
          <t>Supplementary Table S1 lists Mene maculata in Planktivores/piscivores; Menidae is a monogeneric family, so the family record is that species.</t>
        </is>
      </c>
    </row>
    <row r="138">
      <c r="A138" t="inlineStr">
        <is>
          <t>Scorpaenidae</t>
        </is>
      </c>
      <c r="B138" t="inlineStr">
        <is>
          <t>Scorpionfishes, rockfishes</t>
        </is>
      </c>
      <c r="C138" t="inlineStr">
        <is>
          <t>Large reef assoc. fish (&gt;=90 cm)</t>
        </is>
      </c>
      <c r="D138" t="inlineStr">
        <is>
          <t>Scorpionfishes</t>
        </is>
      </c>
      <c r="E138" s="5" t="inlineStr">
        <is>
          <t>Benthivores/piscivores</t>
        </is>
      </c>
      <c r="F138" t="inlineStr"/>
      <c r="G138" t="inlineStr"/>
      <c r="H138" t="inlineStr">
        <is>
          <t>medium</t>
        </is>
      </c>
      <c r="I138" t="inlineStr">
        <is>
          <t>habitat_size_guild</t>
        </is>
      </c>
      <c r="J138" t="n">
        <v>117944.643</v>
      </c>
      <c r="K138" t="n">
        <v>0.0417</v>
      </c>
      <c r="L138" s="6" t="inlineStr">
        <is>
          <t>Scorpionfishes are demersal ambush predators taking benthic crustaceans and small fish, matching the model's mixed benthivore-piscivore guild.</t>
        </is>
      </c>
    </row>
    <row r="139">
      <c r="A139" t="inlineStr">
        <is>
          <t>Ommastrephidae</t>
        </is>
      </c>
      <c r="B139" t="inlineStr">
        <is>
          <t>Arrow squids</t>
        </is>
      </c>
      <c r="C139" t="inlineStr">
        <is>
          <t>Cephalopods</t>
        </is>
      </c>
      <c r="D139" t="inlineStr">
        <is>
          <t>Other fishes &amp; inverts</t>
        </is>
      </c>
      <c r="E139" s="7" t="inlineStr">
        <is>
          <t>Cephalopods</t>
        </is>
      </c>
      <c r="F139" t="inlineStr"/>
      <c r="G139" t="inlineStr"/>
      <c r="H139" t="inlineStr">
        <is>
          <t>high</t>
        </is>
      </c>
      <c r="I139" t="inlineStr">
        <is>
          <t>taxonomic_containment</t>
        </is>
      </c>
      <c r="J139" t="n">
        <v>115549.602</v>
      </c>
      <c r="K139" t="n">
        <v>0.0409</v>
      </c>
      <c r="L139" s="6" t="inlineStr">
        <is>
          <t>Flying squids fall inside the model's Cephalopods group, whose members Supplementary Table S1 gives as ten squid, cuttlefish and octopus species (Uroteuthis edulis, Sepia esculenta, Octopus ocellatus, Ommastrephes bartrami and others).</t>
        </is>
      </c>
    </row>
    <row r="140">
      <c r="A140" t="inlineStr">
        <is>
          <t>Veneridae</t>
        </is>
      </c>
      <c r="B140" t="inlineStr">
        <is>
          <t>Venus clams</t>
        </is>
      </c>
      <c r="C140" t="inlineStr">
        <is>
          <t>Other demersal invertebrates</t>
        </is>
      </c>
      <c r="D140" t="inlineStr">
        <is>
          <t>Molluscs</t>
        </is>
      </c>
      <c r="E140" s="7" t="inlineStr">
        <is>
          <t>Mollusks</t>
        </is>
      </c>
      <c r="F140" t="inlineStr"/>
      <c r="G140" t="inlineStr"/>
      <c r="H140" t="inlineStr">
        <is>
          <t>high</t>
        </is>
      </c>
      <c r="I140" t="inlineStr">
        <is>
          <t>explicit_member</t>
        </is>
      </c>
      <c r="J140" t="n">
        <v>114419.475</v>
      </c>
      <c r="K140" t="n">
        <v>0.0405</v>
      </c>
      <c r="L140" s="6" t="inlineStr">
        <is>
          <t>Supplementary Table S1 defines the model's Mollusks group as 'Bivalves'; this record is a bivalve.</t>
        </is>
      </c>
    </row>
    <row r="141">
      <c r="A141" t="inlineStr">
        <is>
          <t>Meretrix</t>
        </is>
      </c>
      <c r="B141" t="inlineStr">
        <is>
          <t>Hard clams</t>
        </is>
      </c>
      <c r="C141" t="inlineStr">
        <is>
          <t>Other demersal invertebrates</t>
        </is>
      </c>
      <c r="D141" t="inlineStr">
        <is>
          <t>Molluscs</t>
        </is>
      </c>
      <c r="E141" s="7" t="inlineStr">
        <is>
          <t>Mollusks</t>
        </is>
      </c>
      <c r="F141" t="inlineStr"/>
      <c r="G141" t="inlineStr"/>
      <c r="H141" t="inlineStr">
        <is>
          <t>high</t>
        </is>
      </c>
      <c r="I141" t="inlineStr">
        <is>
          <t>explicit_member</t>
        </is>
      </c>
      <c r="J141" t="n">
        <v>112458.597</v>
      </c>
      <c r="K141" t="n">
        <v>0.0398</v>
      </c>
      <c r="L141" s="6" t="inlineStr">
        <is>
          <t>Supplementary Table S1 defines the model's Mollusks group as 'Bivalves'; this record is a bivalve.</t>
        </is>
      </c>
    </row>
    <row r="142">
      <c r="A142" t="inlineStr">
        <is>
          <t>Miscellaneous aquatic invertebrates</t>
        </is>
      </c>
      <c r="B142" t="inlineStr">
        <is>
          <t>Aquatic invertebrates</t>
        </is>
      </c>
      <c r="C142" t="inlineStr">
        <is>
          <t>Other demersal invertebrates</t>
        </is>
      </c>
      <c r="D142" t="inlineStr">
        <is>
          <t>Other fishes &amp; inverts</t>
        </is>
      </c>
      <c r="E142" s="5" t="inlineStr">
        <is>
          <t>Mollusks | Echinoderms | Other invertebrates</t>
        </is>
      </c>
      <c r="F142" t="inlineStr">
        <is>
          <t>0.754 | 0.024 | 0.222</t>
        </is>
      </c>
      <c r="G142" t="inlineStr">
        <is>
          <t>catch_composition</t>
        </is>
      </c>
      <c r="H142" t="inlineStr">
        <is>
          <t>medium</t>
        </is>
      </c>
      <c r="I142" t="inlineStr">
        <is>
          <t>composite_split</t>
        </is>
      </c>
      <c r="J142" t="n">
        <v>111018.709</v>
      </c>
      <c r="K142" t="n">
        <v>0.0393</v>
      </c>
      <c r="L142"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row>
    <row r="143">
      <c r="A143" t="inlineStr">
        <is>
          <t>Ariidae</t>
        </is>
      </c>
      <c r="B143" t="inlineStr">
        <is>
          <t>Sea catfishes, coblers</t>
        </is>
      </c>
      <c r="C143" t="inlineStr">
        <is>
          <t>Medium demersals (30 - 89 cm)</t>
        </is>
      </c>
      <c r="D143" t="inlineStr">
        <is>
          <t>Other fishes &amp; inverts</t>
        </is>
      </c>
      <c r="E143" s="5" t="inlineStr">
        <is>
          <t>Benthivores/piscivores</t>
        </is>
      </c>
      <c r="F143" t="inlineStr"/>
      <c r="G143" t="inlineStr"/>
      <c r="H143" t="inlineStr">
        <is>
          <t>medium</t>
        </is>
      </c>
      <c r="I143" t="inlineStr">
        <is>
          <t>habitat_size_guild</t>
        </is>
      </c>
      <c r="J143" t="n">
        <v>110355.897</v>
      </c>
      <c r="K143" t="n">
        <v>0.039</v>
      </c>
      <c r="L143" s="6" t="inlineStr">
        <is>
          <t>Sea catfishes are demersal generalists on benthic invertebrates and small fish, matching the mixed benthivore-piscivore guild.</t>
        </is>
      </c>
    </row>
    <row r="144">
      <c r="A144" t="inlineStr">
        <is>
          <t>Mene maculata</t>
        </is>
      </c>
      <c r="B144" t="inlineStr">
        <is>
          <t>Moonfish</t>
        </is>
      </c>
      <c r="C144" t="inlineStr">
        <is>
          <t>Medium reef assoc. fish (30 - 89 cm)</t>
        </is>
      </c>
      <c r="D144" t="inlineStr">
        <is>
          <t>Perch-likes</t>
        </is>
      </c>
      <c r="E144" s="7" t="inlineStr">
        <is>
          <t>Planktivores/piscivores</t>
        </is>
      </c>
      <c r="F144" t="inlineStr"/>
      <c r="G144" t="inlineStr"/>
      <c r="H144" t="inlineStr">
        <is>
          <t>high</t>
        </is>
      </c>
      <c r="I144" t="inlineStr">
        <is>
          <t>explicit_member</t>
        </is>
      </c>
      <c r="J144" t="n">
        <v>110210.842</v>
      </c>
      <c r="K144" t="n">
        <v>0.039</v>
      </c>
      <c r="L144" s="6" t="inlineStr">
        <is>
          <t>Supplementary Table S1 lists Mene maculata (spelled 'Mene maculate') under Planktivores/piscivores.</t>
        </is>
      </c>
    </row>
    <row r="145">
      <c r="A145" t="inlineStr">
        <is>
          <t>Acanthopagrus schlegelii</t>
        </is>
      </c>
      <c r="B145" t="inlineStr">
        <is>
          <t>Blackhead seabream</t>
        </is>
      </c>
      <c r="C145" t="inlineStr">
        <is>
          <t>Medium demersals (30 - 89 cm)</t>
        </is>
      </c>
      <c r="D145" t="inlineStr">
        <is>
          <t>Perch-likes</t>
        </is>
      </c>
      <c r="E145" s="7" t="inlineStr">
        <is>
          <t>Omnivores</t>
        </is>
      </c>
      <c r="F145" t="inlineStr"/>
      <c r="G145" t="inlineStr"/>
      <c r="H145" t="inlineStr">
        <is>
          <t>high</t>
        </is>
      </c>
      <c r="I145" t="inlineStr">
        <is>
          <t>explicit_member</t>
        </is>
      </c>
      <c r="J145" t="n">
        <v>109532.592</v>
      </c>
      <c r="K145" t="n">
        <v>0.0387</v>
      </c>
      <c r="L145" s="6" t="inlineStr">
        <is>
          <t>Supplementary Table S1 lists Acanthopagrus schlegelii under Omnivores.</t>
        </is>
      </c>
    </row>
    <row r="146">
      <c r="A146" t="inlineStr">
        <is>
          <t>Octopus</t>
        </is>
      </c>
      <c r="B146" t="inlineStr">
        <is>
          <t>Octopuses, pikas</t>
        </is>
      </c>
      <c r="C146" t="inlineStr">
        <is>
          <t>Cephalopods</t>
        </is>
      </c>
      <c r="D146" t="inlineStr">
        <is>
          <t>Other fishes &amp; inverts</t>
        </is>
      </c>
      <c r="E146" s="7" t="inlineStr">
        <is>
          <t>Cephalopods</t>
        </is>
      </c>
      <c r="F146" t="inlineStr"/>
      <c r="G146" t="inlineStr"/>
      <c r="H146" t="inlineStr">
        <is>
          <t>high</t>
        </is>
      </c>
      <c r="I146" t="inlineStr">
        <is>
          <t>taxonomic_containment</t>
        </is>
      </c>
      <c r="J146" t="n">
        <v>109131.505</v>
      </c>
      <c r="K146" t="n">
        <v>0.0386</v>
      </c>
      <c r="L146" s="6" t="inlineStr">
        <is>
          <t>The genus Octopus fall inside the model's Cephalopods group, whose members Supplementary Table S1 gives as ten squid, cuttlefish and octopus species (Uroteuthis edulis, Sepia esculenta, Octopus ocellatus, Ommastrephes bartrami and others).</t>
        </is>
      </c>
    </row>
    <row r="147">
      <c r="A147" t="inlineStr">
        <is>
          <t>Apostichopus japonicus</t>
        </is>
      </c>
      <c r="B147" t="inlineStr">
        <is>
          <t>Japanese sea cucumber</t>
        </is>
      </c>
      <c r="C147" t="inlineStr">
        <is>
          <t>Other demersal invertebrates</t>
        </is>
      </c>
      <c r="D147" t="inlineStr">
        <is>
          <t>Other fishes &amp; inverts</t>
        </is>
      </c>
      <c r="E147" s="7" t="inlineStr">
        <is>
          <t>Echinoderms</t>
        </is>
      </c>
      <c r="F147" t="inlineStr"/>
      <c r="G147" t="inlineStr"/>
      <c r="H147" t="inlineStr">
        <is>
          <t>high</t>
        </is>
      </c>
      <c r="I147" t="inlineStr">
        <is>
          <t>taxonomic_containment</t>
        </is>
      </c>
      <c r="J147" t="n">
        <v>108959.079</v>
      </c>
      <c r="K147" t="n">
        <v>0.0385</v>
      </c>
      <c r="L147" s="6" t="inlineStr">
        <is>
          <t>The Japanese sea cucumber fall inside the model's Echinoderms group, which Supplementary Table S1 represents by Ophiuroidea and which is the model's only echinoderm compartment.</t>
        </is>
      </c>
    </row>
    <row r="148">
      <c r="A148" t="inlineStr">
        <is>
          <t>Arctoscopus japonicus</t>
        </is>
      </c>
      <c r="B148" t="inlineStr">
        <is>
          <t>Japanese sandfish</t>
        </is>
      </c>
      <c r="C148" t="inlineStr">
        <is>
          <t>Small bathydemersals (&lt;30 cm)</t>
        </is>
      </c>
      <c r="D148" t="inlineStr">
        <is>
          <t>Perch-likes</t>
        </is>
      </c>
      <c r="E148" s="8" t="inlineStr">
        <is>
          <t>Benthivores/piscivores</t>
        </is>
      </c>
      <c r="F148" t="inlineStr"/>
      <c r="G148" t="inlineStr"/>
      <c r="H148" t="inlineStr">
        <is>
          <t>low</t>
        </is>
      </c>
      <c r="I148" t="inlineStr">
        <is>
          <t>analogue</t>
        </is>
      </c>
      <c r="J148" t="n">
        <v>106953.046</v>
      </c>
      <c r="K148" t="n">
        <v>0.0378</v>
      </c>
      <c r="L148" s="6" t="inlineStr">
        <is>
          <t>Sailfin sandfish is a demersal shelf species taking planktonic crustaceans and small fish; no trichodontid appears in Supplementary Table S1, so the mixed benthivore-piscivore guild is an analogue placement.</t>
        </is>
      </c>
    </row>
    <row r="149">
      <c r="A149" t="inlineStr">
        <is>
          <t>Batoidea</t>
        </is>
      </c>
      <c r="B149" t="inlineStr">
        <is>
          <t>Batoids, skates, rays, sawfishes</t>
        </is>
      </c>
      <c r="C149" t="inlineStr">
        <is>
          <t>Large rays (&gt;=90 cm)</t>
        </is>
      </c>
      <c r="D149" t="inlineStr">
        <is>
          <t>Sharks &amp; rays</t>
        </is>
      </c>
      <c r="E149" s="5" t="inlineStr">
        <is>
          <t>Benthivores</t>
        </is>
      </c>
      <c r="F149" t="inlineStr"/>
      <c r="G149" t="inlineStr"/>
      <c r="H149" t="inlineStr">
        <is>
          <t>medium</t>
        </is>
      </c>
      <c r="I149" t="inlineStr">
        <is>
          <t>habitat_size_guild</t>
        </is>
      </c>
      <c r="J149" t="n">
        <v>104738.613</v>
      </c>
      <c r="K149" t="n">
        <v>0.037</v>
      </c>
      <c r="L149" s="6" t="inlineStr">
        <is>
          <t>Supplementary Table S1 places the model's two batoids, Narcine lingula and Dasyatis zugei, in Benthivores; the model has no separate ray group, so a rays-and-skates record goes there.</t>
        </is>
      </c>
    </row>
    <row r="150">
      <c r="A150" t="inlineStr">
        <is>
          <t>Perciformes</t>
        </is>
      </c>
      <c r="B150" t="inlineStr">
        <is>
          <t>Perch-likes</t>
        </is>
      </c>
      <c r="C150" t="inlineStr">
        <is>
          <t>Medium demersals (30 - 89 cm)</t>
        </is>
      </c>
      <c r="D150" t="inlineStr">
        <is>
          <t>Perch-likes</t>
        </is>
      </c>
      <c r="E150" s="5" t="inlineStr">
        <is>
          <t>Benthivores | Piscivores | Planktivores/piscivores | Benthivores/piscivores | Omnivores</t>
        </is>
      </c>
      <c r="F150" t="inlineStr">
        <is>
          <t>0.214 | 0.285 | 0.167 | 0.266 | 0.068</t>
        </is>
      </c>
      <c r="G150" t="inlineStr">
        <is>
          <t>catch_composition</t>
        </is>
      </c>
      <c r="H150" t="inlineStr">
        <is>
          <t>medium</t>
        </is>
      </c>
      <c r="I150" t="inlineStr">
        <is>
          <t>composite_split</t>
        </is>
      </c>
      <c r="J150" t="n">
        <v>101912.025</v>
      </c>
      <c r="K150" t="n">
        <v>0.036</v>
      </c>
      <c r="L150"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row>
    <row r="151">
      <c r="A151" t="inlineStr">
        <is>
          <t>Ostreidae</t>
        </is>
      </c>
      <c r="B151" t="inlineStr">
        <is>
          <t>True oysters</t>
        </is>
      </c>
      <c r="C151" t="inlineStr">
        <is>
          <t>Other demersal invertebrates</t>
        </is>
      </c>
      <c r="D151" t="inlineStr">
        <is>
          <t>Molluscs</t>
        </is>
      </c>
      <c r="E151" s="7" t="inlineStr">
        <is>
          <t>Mollusks</t>
        </is>
      </c>
      <c r="F151" t="inlineStr"/>
      <c r="G151" t="inlineStr"/>
      <c r="H151" t="inlineStr">
        <is>
          <t>high</t>
        </is>
      </c>
      <c r="I151" t="inlineStr">
        <is>
          <t>explicit_member</t>
        </is>
      </c>
      <c r="J151" t="n">
        <v>101828.855</v>
      </c>
      <c r="K151" t="n">
        <v>0.036</v>
      </c>
      <c r="L151" s="6" t="inlineStr">
        <is>
          <t>Supplementary Table S1 defines the model's Mollusks group as 'Bivalves'; this record is a bivalve.</t>
        </is>
      </c>
    </row>
    <row r="152">
      <c r="A152" t="inlineStr">
        <is>
          <t>Portunus</t>
        </is>
      </c>
      <c r="B152" t="inlineStr">
        <is>
          <t>Swimmer crabs</t>
        </is>
      </c>
      <c r="C152" t="inlineStr">
        <is>
          <t>Lobsters, crabs</t>
        </is>
      </c>
      <c r="D152" t="inlineStr">
        <is>
          <t>Crustaceans</t>
        </is>
      </c>
      <c r="E152" s="7" t="inlineStr">
        <is>
          <t>Crabs</t>
        </is>
      </c>
      <c r="F152" t="inlineStr"/>
      <c r="G152" t="inlineStr"/>
      <c r="H152" t="inlineStr">
        <is>
          <t>high</t>
        </is>
      </c>
      <c r="I152" t="inlineStr">
        <is>
          <t>taxonomic_containment</t>
        </is>
      </c>
      <c r="J152" t="n">
        <v>100250.827</v>
      </c>
      <c r="K152" t="n">
        <v>0.0355</v>
      </c>
      <c r="L152" s="6" t="inlineStr">
        <is>
          <t>The genus Portunus fall inside the model's Crabs group, which Supplementary Table S1 fills with six portunids (Portunus trituberculatus, Charybdis feriatus, C. bimaculata, P. sanguinolentus, C. acuta, P. argentatus).</t>
        </is>
      </c>
    </row>
    <row r="153">
      <c r="A153" t="inlineStr">
        <is>
          <t>Penaeus penicillatus</t>
        </is>
      </c>
      <c r="B153" t="inlineStr">
        <is>
          <t>Redtail prawn</t>
        </is>
      </c>
      <c r="C153" t="inlineStr">
        <is>
          <t>Shrimps</t>
        </is>
      </c>
      <c r="D153" t="inlineStr">
        <is>
          <t>Crustaceans</t>
        </is>
      </c>
      <c r="E153" s="7" t="inlineStr">
        <is>
          <t>Shrimps</t>
        </is>
      </c>
      <c r="F153" t="inlineStr"/>
      <c r="G153" t="inlineStr"/>
      <c r="H153" t="inlineStr">
        <is>
          <t>high</t>
        </is>
      </c>
      <c r="I153" t="inlineStr">
        <is>
          <t>taxonomic_containment</t>
        </is>
      </c>
      <c r="J153" t="n">
        <v>94937.16800000001</v>
      </c>
      <c r="K153" t="n">
        <v>0.0336</v>
      </c>
      <c r="L153" s="6" t="inlineStr">
        <is>
          <t>Redtail prawn fall inside the model's Shrimps group, which Supplementary Table S1 fills with thirteen penaeid, solenocerid, sergestid and caridean species including Metapenaeus joyneri, Parapenaeopsis hardwickii and Metapenaeopsis barbata.</t>
        </is>
      </c>
    </row>
    <row r="154">
      <c r="A154" t="inlineStr">
        <is>
          <t>Thunnus orientalis</t>
        </is>
      </c>
      <c r="B154" t="inlineStr">
        <is>
          <t>Pacific bluefin tuna</t>
        </is>
      </c>
      <c r="C154" t="inlineStr">
        <is>
          <t>Large pelagics (&gt;=90 cm)</t>
        </is>
      </c>
      <c r="D154" t="inlineStr">
        <is>
          <t>Tuna &amp; billfishes</t>
        </is>
      </c>
      <c r="E154" s="5" t="inlineStr">
        <is>
          <t>Piscivores</t>
        </is>
      </c>
      <c r="F154" t="inlineStr"/>
      <c r="G154" t="inlineStr"/>
      <c r="H154" t="inlineStr">
        <is>
          <t>medium</t>
        </is>
      </c>
      <c r="I154" t="inlineStr">
        <is>
          <t>habitat_size_guild</t>
        </is>
      </c>
      <c r="J154" t="n">
        <v>94826.524</v>
      </c>
      <c r="K154" t="n">
        <v>0.0335</v>
      </c>
      <c r="L154" s="6" t="inlineStr">
        <is>
          <t>Pacific bluefin tuna is a large pelagic piscivore, the guild Supplementary Table S1 fills with Auxis thazard and Coryphaena hippurus.</t>
        </is>
      </c>
    </row>
    <row r="155">
      <c r="A155" t="inlineStr">
        <is>
          <t>Liparis tanakae</t>
        </is>
      </c>
      <c r="B155" t="inlineStr">
        <is>
          <t>Tanaka's snailfish</t>
        </is>
      </c>
      <c r="C155" t="inlineStr">
        <is>
          <t>Medium demersals (30 - 89 cm)</t>
        </is>
      </c>
      <c r="D155" t="inlineStr">
        <is>
          <t>Scorpionfishes</t>
        </is>
      </c>
      <c r="E155" s="5" t="inlineStr">
        <is>
          <t>Benthivores/piscivores</t>
        </is>
      </c>
      <c r="F155" t="inlineStr"/>
      <c r="G155" t="inlineStr"/>
      <c r="H155" t="inlineStr">
        <is>
          <t>medium</t>
        </is>
      </c>
      <c r="I155" t="inlineStr">
        <is>
          <t>habitat_size_guild</t>
        </is>
      </c>
      <c r="J155" t="n">
        <v>93742.732</v>
      </c>
      <c r="K155" t="n">
        <v>0.0331</v>
      </c>
      <c r="L155" s="6" t="inlineStr">
        <is>
          <t>Tanaka's snailfish is a large demersal predator on shrimps, crabs and small fish, matching the mixed benthivore-piscivore guild.</t>
        </is>
      </c>
    </row>
    <row r="156">
      <c r="A156" t="inlineStr">
        <is>
          <t>Trachurus</t>
        </is>
      </c>
      <c r="B156" t="inlineStr">
        <is>
          <t>Jacks, horse mackerels</t>
        </is>
      </c>
      <c r="C156" t="inlineStr">
        <is>
          <t>Medium pelagics (30 - 89 cm)</t>
        </is>
      </c>
      <c r="D156" t="inlineStr">
        <is>
          <t>Perch-likes</t>
        </is>
      </c>
      <c r="E156" s="7" t="inlineStr">
        <is>
          <t>Planktivores/piscivores</t>
        </is>
      </c>
      <c r="F156" t="inlineStr"/>
      <c r="G156" t="inlineStr"/>
      <c r="H156" t="inlineStr">
        <is>
          <t>high</t>
        </is>
      </c>
      <c r="I156" t="inlineStr">
        <is>
          <t>taxonomic_containment</t>
        </is>
      </c>
      <c r="J156" t="n">
        <v>89560.534</v>
      </c>
      <c r="K156" t="n">
        <v>0.0317</v>
      </c>
      <c r="L156" s="6" t="inlineStr">
        <is>
          <t>Supplementary Table S1 lists Trachurus japonicus in Planktivores/piscivores; this genus-level record is that genus.</t>
        </is>
      </c>
    </row>
    <row r="157">
      <c r="A157" t="inlineStr">
        <is>
          <t>Hyporhamphus sajori</t>
        </is>
      </c>
      <c r="B157" t="inlineStr">
        <is>
          <t>Japanese halfbeak</t>
        </is>
      </c>
      <c r="C157" t="inlineStr">
        <is>
          <t>Medium pelagics (30 - 89 cm)</t>
        </is>
      </c>
      <c r="D157" t="inlineStr">
        <is>
          <t>Other fishes &amp; inverts</t>
        </is>
      </c>
      <c r="E157" s="5" t="inlineStr">
        <is>
          <t>Omnivores</t>
        </is>
      </c>
      <c r="F157" t="inlineStr"/>
      <c r="G157" t="inlineStr"/>
      <c r="H157" t="inlineStr">
        <is>
          <t>medium</t>
        </is>
      </c>
      <c r="I157" t="inlineStr">
        <is>
          <t>habitat_size_guild</t>
        </is>
      </c>
      <c r="J157" t="n">
        <v>88945.542</v>
      </c>
      <c r="K157" t="n">
        <v>0.0315</v>
      </c>
      <c r="L157" s="6" t="inlineStr">
        <is>
          <t>Japanese halfbeak takes both drifting algae and zooplankton, a mixed diet matching the model's omnivore guild.</t>
        </is>
      </c>
    </row>
    <row r="158">
      <c r="A158" t="inlineStr">
        <is>
          <t>Kajikia audax</t>
        </is>
      </c>
      <c r="B158" t="inlineStr">
        <is>
          <t>Striped marlin</t>
        </is>
      </c>
      <c r="C158" t="inlineStr">
        <is>
          <t>Large pelagics (&gt;=90 cm)</t>
        </is>
      </c>
      <c r="D158" t="inlineStr">
        <is>
          <t>Tuna &amp; billfishes</t>
        </is>
      </c>
      <c r="E158" s="8" t="inlineStr">
        <is>
          <t>Piscivores</t>
        </is>
      </c>
      <c r="F158" t="inlineStr"/>
      <c r="G158" t="inlineStr"/>
      <c r="H158" t="inlineStr">
        <is>
          <t>low</t>
        </is>
      </c>
      <c r="I158" t="inlineStr">
        <is>
          <t>analogue</t>
        </is>
      </c>
      <c r="J158" t="n">
        <v>86015.448</v>
      </c>
      <c r="K158" t="n">
        <v>0.0304</v>
      </c>
      <c r="L158" s="6" t="inlineStr">
        <is>
          <t>Striped marlin is an oceanic piscivore placed in the model's fish-eating guild by analogy with the oceanic predators Supplementary Table S1 lists there (Coryphaena hippurus, Auxis thazard); no billfish appears in the paper.</t>
        </is>
      </c>
    </row>
    <row r="159">
      <c r="A159" t="inlineStr">
        <is>
          <t>Clupea pallasii</t>
        </is>
      </c>
      <c r="B159" t="inlineStr">
        <is>
          <t>Pacific herring</t>
        </is>
      </c>
      <c r="C159" t="inlineStr">
        <is>
          <t>Medium pelagics (30 - 89 cm)</t>
        </is>
      </c>
      <c r="D159" t="inlineStr">
        <is>
          <t>Herring-likes</t>
        </is>
      </c>
      <c r="E159" s="5" t="inlineStr">
        <is>
          <t>Planktivores</t>
        </is>
      </c>
      <c r="F159" t="inlineStr"/>
      <c r="G159" t="inlineStr"/>
      <c r="H159" t="inlineStr">
        <is>
          <t>medium</t>
        </is>
      </c>
      <c r="I159" t="inlineStr">
        <is>
          <t>habitat_size_guild</t>
        </is>
      </c>
      <c r="J159" t="n">
        <v>81963.601</v>
      </c>
      <c r="K159" t="n">
        <v>0.029</v>
      </c>
      <c r="L159" s="6" t="inlineStr">
        <is>
          <t>Pacific herring is a zooplanktivore; Supplementary Table S1 places the clupeid Sardinella aurita in Planktivores.</t>
        </is>
      </c>
    </row>
    <row r="160">
      <c r="A160" t="inlineStr">
        <is>
          <t>Sepia</t>
        </is>
      </c>
      <c r="B160" t="inlineStr">
        <is>
          <t>Sepia cuttlefishes</t>
        </is>
      </c>
      <c r="C160" t="inlineStr">
        <is>
          <t>Cephalopods</t>
        </is>
      </c>
      <c r="D160" t="inlineStr">
        <is>
          <t>Other fishes &amp; inverts</t>
        </is>
      </c>
      <c r="E160" s="7" t="inlineStr">
        <is>
          <t>Cephalopods</t>
        </is>
      </c>
      <c r="F160" t="inlineStr"/>
      <c r="G160" t="inlineStr"/>
      <c r="H160" t="inlineStr">
        <is>
          <t>high</t>
        </is>
      </c>
      <c r="I160" t="inlineStr">
        <is>
          <t>taxonomic_containment</t>
        </is>
      </c>
      <c r="J160" t="n">
        <v>81442.944</v>
      </c>
      <c r="K160" t="n">
        <v>0.0288</v>
      </c>
      <c r="L160" s="6" t="inlineStr">
        <is>
          <t>The genus Sepia fall inside the model's Cephalopods group, whose members Supplementary Table S1 gives as ten squid, cuttlefish and octopus species (Uroteuthis edulis, Sepia esculenta, Octopus ocellatus, Ommastrephes bartrami and others).</t>
        </is>
      </c>
    </row>
    <row r="161">
      <c r="A161" t="inlineStr">
        <is>
          <t>Haliotidae</t>
        </is>
      </c>
      <c r="B161" t="inlineStr">
        <is>
          <t>Abalones, ear shells</t>
        </is>
      </c>
      <c r="C161" t="inlineStr">
        <is>
          <t>Other demersal invertebrates</t>
        </is>
      </c>
      <c r="D161" t="inlineStr">
        <is>
          <t>Molluscs</t>
        </is>
      </c>
      <c r="E161" s="5" t="inlineStr">
        <is>
          <t>Mollusks</t>
        </is>
      </c>
      <c r="F161" t="inlineStr"/>
      <c r="G161" t="inlineStr"/>
      <c r="H161" t="inlineStr">
        <is>
          <t>medium</t>
        </is>
      </c>
      <c r="I161" t="inlineStr">
        <is>
          <t>taxonomic_containment</t>
        </is>
      </c>
      <c r="J161" t="n">
        <v>80340.038</v>
      </c>
      <c r="K161" t="n">
        <v>0.0284</v>
      </c>
      <c r="L161" s="6" t="inlineStr">
        <is>
          <t>Abalones fall inside the model's Mollusks group by name, but Supplementary Table S1 states its composition as bivalves only, so a gastropod is included on the group's taxonomic name rather than on its listed membership.</t>
        </is>
      </c>
    </row>
    <row r="162">
      <c r="A162" t="inlineStr">
        <is>
          <t>Metapenaeus</t>
        </is>
      </c>
      <c r="B162" t="inlineStr">
        <is>
          <t>Indo-Pacific prawns</t>
        </is>
      </c>
      <c r="C162" t="inlineStr">
        <is>
          <t>Shrimps</t>
        </is>
      </c>
      <c r="D162" t="inlineStr">
        <is>
          <t>Crustaceans</t>
        </is>
      </c>
      <c r="E162" s="7" t="inlineStr">
        <is>
          <t>Shrimps</t>
        </is>
      </c>
      <c r="F162" t="inlineStr"/>
      <c r="G162" t="inlineStr"/>
      <c r="H162" t="inlineStr">
        <is>
          <t>high</t>
        </is>
      </c>
      <c r="I162" t="inlineStr">
        <is>
          <t>taxonomic_containment</t>
        </is>
      </c>
      <c r="J162" t="n">
        <v>77932.24800000001</v>
      </c>
      <c r="K162" t="n">
        <v>0.0276</v>
      </c>
      <c r="L162" s="6" t="inlineStr">
        <is>
          <t>The genus Metapenaeus fall inside the model's Shrimps group, which Supplementary Table S1 fills with thirteen penaeid, solenocerid, sergestid and caridean species including Metapenaeus joyneri, Parapenaeopsis hardwickii and Metapenaeopsis barbata.</t>
        </is>
      </c>
    </row>
    <row r="163">
      <c r="A163" t="inlineStr">
        <is>
          <t>Serranidae</t>
        </is>
      </c>
      <c r="B163" t="inlineStr">
        <is>
          <t>Basses, groupers, hinds</t>
        </is>
      </c>
      <c r="C163" t="inlineStr">
        <is>
          <t>Medium reef assoc. fish (30 - 89 cm)</t>
        </is>
      </c>
      <c r="D163" t="inlineStr">
        <is>
          <t>Perch-likes</t>
        </is>
      </c>
      <c r="E163" s="5" t="inlineStr">
        <is>
          <t>Piscivores</t>
        </is>
      </c>
      <c r="F163" t="inlineStr"/>
      <c r="G163" t="inlineStr"/>
      <c r="H163" t="inlineStr">
        <is>
          <t>medium</t>
        </is>
      </c>
      <c r="I163" t="inlineStr">
        <is>
          <t>habitat_size_guild</t>
        </is>
      </c>
      <c r="J163" t="n">
        <v>76180.147</v>
      </c>
      <c r="K163" t="n">
        <v>0.0269</v>
      </c>
      <c r="L163" s="6" t="inlineStr">
        <is>
          <t>Seabasses and groupers are ambush piscivores, matching the model's fish-eating guild.</t>
        </is>
      </c>
    </row>
    <row r="164">
      <c r="A164" t="inlineStr">
        <is>
          <t>Pleuronectiformes</t>
        </is>
      </c>
      <c r="B164" t="inlineStr">
        <is>
          <t>Flatfishes</t>
        </is>
      </c>
      <c r="C164" t="inlineStr">
        <is>
          <t>Small to medium flatfishes (&lt;90 cm)</t>
        </is>
      </c>
      <c r="D164" t="inlineStr">
        <is>
          <t>Flatfishes</t>
        </is>
      </c>
      <c r="E164" s="5" t="inlineStr">
        <is>
          <t>Benthivores | Benthivores/piscivores</t>
        </is>
      </c>
      <c r="F164" t="inlineStr">
        <is>
          <t>0.446 | 0.554</t>
        </is>
      </c>
      <c r="G164" t="inlineStr">
        <is>
          <t>catch_composition</t>
        </is>
      </c>
      <c r="H164" t="inlineStr">
        <is>
          <t>medium</t>
        </is>
      </c>
      <c r="I164" t="inlineStr">
        <is>
          <t>composite_split</t>
        </is>
      </c>
      <c r="J164" t="n">
        <v>75649.429</v>
      </c>
      <c r="K164" t="n">
        <v>0.0268</v>
      </c>
      <c r="L164"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row>
    <row r="165">
      <c r="A165" t="inlineStr">
        <is>
          <t>Scomberomorus commerson</t>
        </is>
      </c>
      <c r="B165" t="inlineStr">
        <is>
          <t>Narrow-barred Spanish mackerel</t>
        </is>
      </c>
      <c r="C165" t="inlineStr">
        <is>
          <t>Large pelagics (&gt;=90 cm)</t>
        </is>
      </c>
      <c r="D165" t="inlineStr">
        <is>
          <t>Perch-likes</t>
        </is>
      </c>
      <c r="E165" s="7" t="inlineStr">
        <is>
          <t>Piscivores</t>
        </is>
      </c>
      <c r="F165" t="inlineStr"/>
      <c r="G165" t="inlineStr"/>
      <c r="H165" t="inlineStr">
        <is>
          <t>high</t>
        </is>
      </c>
      <c r="I165" t="inlineStr">
        <is>
          <t>taxonomic_containment</t>
        </is>
      </c>
      <c r="J165" t="n">
        <v>75388.758</v>
      </c>
      <c r="K165" t="n">
        <v>0.0267</v>
      </c>
      <c r="L165" s="6" t="inlineStr">
        <is>
          <t>Supplementary Table S1 lists two congeners, Scomberomorus niphonius and S. guttatus, in Piscivores.</t>
        </is>
      </c>
    </row>
    <row r="166">
      <c r="A166" t="inlineStr">
        <is>
          <t>Engraulidae</t>
        </is>
      </c>
      <c r="B166" t="inlineStr">
        <is>
          <t>Anchovies, round herrings</t>
        </is>
      </c>
      <c r="C166" t="inlineStr">
        <is>
          <t>Small pelagics (&lt;30 cm)</t>
        </is>
      </c>
      <c r="D166" t="inlineStr">
        <is>
          <t>Anchovies</t>
        </is>
      </c>
      <c r="E166" s="5" t="inlineStr">
        <is>
          <t>Planktivores</t>
        </is>
      </c>
      <c r="F166" t="inlineStr"/>
      <c r="G166" t="inlineStr"/>
      <c r="H166" t="inlineStr">
        <is>
          <t>medium</t>
        </is>
      </c>
      <c r="I166" t="inlineStr">
        <is>
          <t>habitat_size_guild</t>
        </is>
      </c>
      <c r="J166" t="n">
        <v>71627.467</v>
      </c>
      <c r="K166" t="n">
        <v>0.0253</v>
      </c>
      <c r="L166" s="6"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row>
    <row r="167">
      <c r="A167" t="inlineStr">
        <is>
          <t>Metapenaeus joyneri</t>
        </is>
      </c>
      <c r="B167" t="inlineStr">
        <is>
          <t>Shiba shrimp</t>
        </is>
      </c>
      <c r="C167" t="inlineStr">
        <is>
          <t>Shrimps</t>
        </is>
      </c>
      <c r="D167" t="inlineStr">
        <is>
          <t>Crustaceans</t>
        </is>
      </c>
      <c r="E167" s="7" t="inlineStr">
        <is>
          <t>Shrimps</t>
        </is>
      </c>
      <c r="F167" t="inlineStr"/>
      <c r="G167" t="inlineStr"/>
      <c r="H167" t="inlineStr">
        <is>
          <t>high</t>
        </is>
      </c>
      <c r="I167" t="inlineStr">
        <is>
          <t>explicit_member</t>
        </is>
      </c>
      <c r="J167" t="n">
        <v>69690.359</v>
      </c>
      <c r="K167" t="n">
        <v>0.0246</v>
      </c>
      <c r="L167" s="6" t="inlineStr">
        <is>
          <t>Supplementary Table S1 lists Metapenaeus joyneri under Shrimps.</t>
        </is>
      </c>
    </row>
    <row r="168">
      <c r="A168" t="inlineStr">
        <is>
          <t>Kyphosidae</t>
        </is>
      </c>
      <c r="B168" t="inlineStr">
        <is>
          <t>Sea chubs, knifefishes, niblers</t>
        </is>
      </c>
      <c r="C168" t="inlineStr">
        <is>
          <t>Medium reef assoc. fish (30 - 89 cm)</t>
        </is>
      </c>
      <c r="D168" t="inlineStr">
        <is>
          <t>Perch-likes</t>
        </is>
      </c>
      <c r="E168" s="5" t="inlineStr">
        <is>
          <t>Omnivores</t>
        </is>
      </c>
      <c r="F168" t="inlineStr"/>
      <c r="G168" t="inlineStr"/>
      <c r="H168" t="inlineStr">
        <is>
          <t>medium</t>
        </is>
      </c>
      <c r="I168" t="inlineStr">
        <is>
          <t>habitat_size_guild</t>
        </is>
      </c>
      <c r="J168" t="n">
        <v>68433.25999999999</v>
      </c>
      <c r="K168" t="n">
        <v>0.0242</v>
      </c>
      <c r="L168" s="6" t="inlineStr">
        <is>
          <t>Sea chubs feed on benthic algae with an invertebrate component, the broadest diet in the model's fish guilds and the only one Omnivores can accommodate.</t>
        </is>
      </c>
    </row>
    <row r="169">
      <c r="A169" t="inlineStr">
        <is>
          <t>Marine finfishes not identified</t>
        </is>
      </c>
      <c r="B169" t="inlineStr">
        <is>
          <t>Finfishes</t>
        </is>
      </c>
      <c r="C169" t="inlineStr">
        <is>
          <t>Medium demersals (30 - 89 cm)</t>
        </is>
      </c>
      <c r="D169" t="inlineStr">
        <is>
          <t>Other fishes &amp; inverts</t>
        </is>
      </c>
      <c r="E169" s="5" t="inlineStr">
        <is>
          <t>Benthivores | Piscivores | Planktivores/piscivores | Benthivores/piscivores | Omnivores</t>
        </is>
      </c>
      <c r="F169" t="inlineStr">
        <is>
          <t>0.214 | 0.285 | 0.167 | 0.266 | 0.068</t>
        </is>
      </c>
      <c r="G169" t="inlineStr">
        <is>
          <t>catch_composition</t>
        </is>
      </c>
      <c r="H169" t="inlineStr">
        <is>
          <t>medium</t>
        </is>
      </c>
      <c r="I169" t="inlineStr">
        <is>
          <t>composite_split</t>
        </is>
      </c>
      <c r="J169" t="n">
        <v>64133.136</v>
      </c>
      <c r="K169" t="n">
        <v>0.0227</v>
      </c>
      <c r="L16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170">
      <c r="A170" t="inlineStr">
        <is>
          <t>Oplegnathus fasciatus</t>
        </is>
      </c>
      <c r="B170" t="inlineStr">
        <is>
          <t>Barred knifejaw</t>
        </is>
      </c>
      <c r="C170" t="inlineStr">
        <is>
          <t>Medium reef assoc. fish (30 - 89 cm)</t>
        </is>
      </c>
      <c r="D170" t="inlineStr">
        <is>
          <t>Perch-likes</t>
        </is>
      </c>
      <c r="E170" s="5" t="inlineStr">
        <is>
          <t>Benthivores</t>
        </is>
      </c>
      <c r="F170" t="inlineStr"/>
      <c r="G170" t="inlineStr"/>
      <c r="H170" t="inlineStr">
        <is>
          <t>medium</t>
        </is>
      </c>
      <c r="I170" t="inlineStr">
        <is>
          <t>habitat_size_guild</t>
        </is>
      </c>
      <c r="J170" t="n">
        <v>63754.622</v>
      </c>
      <c r="K170" t="n">
        <v>0.0225</v>
      </c>
      <c r="L170" s="6" t="inlineStr">
        <is>
          <t>Barred knifejaw crushes barnacles, mussels and sea urchins with fused beak-like teeth; it is a hard-shelled benthos specialist, not a piscivore, so it belongs in Benthivores. This corrects an inherited assignment to Benthivores/piscivores.</t>
        </is>
      </c>
    </row>
    <row r="171">
      <c r="A171" t="inlineStr">
        <is>
          <t>Cardiidae</t>
        </is>
      </c>
      <c r="B171" t="inlineStr">
        <is>
          <t>Cockles</t>
        </is>
      </c>
      <c r="C171" t="inlineStr">
        <is>
          <t>Other demersal invertebrates</t>
        </is>
      </c>
      <c r="D171" t="inlineStr">
        <is>
          <t>Molluscs</t>
        </is>
      </c>
      <c r="E171" s="7" t="inlineStr">
        <is>
          <t>Mollusks</t>
        </is>
      </c>
      <c r="F171" t="inlineStr"/>
      <c r="G171" t="inlineStr"/>
      <c r="H171" t="inlineStr">
        <is>
          <t>high</t>
        </is>
      </c>
      <c r="I171" t="inlineStr">
        <is>
          <t>explicit_member</t>
        </is>
      </c>
      <c r="J171" t="n">
        <v>63368.616</v>
      </c>
      <c r="K171" t="n">
        <v>0.0224</v>
      </c>
      <c r="L171" s="6" t="inlineStr">
        <is>
          <t>Supplementary Table S1 defines the model's Mollusks group as 'Bivalves'; this record is a bivalve.</t>
        </is>
      </c>
    </row>
    <row r="172">
      <c r="A172" t="inlineStr">
        <is>
          <t>Lethrinidae</t>
        </is>
      </c>
      <c r="B172" t="inlineStr">
        <is>
          <t>Emperors, scavengers</t>
        </is>
      </c>
      <c r="C172" t="inlineStr">
        <is>
          <t>Medium reef assoc. fish (30 - 89 cm)</t>
        </is>
      </c>
      <c r="D172" t="inlineStr">
        <is>
          <t>Perch-likes</t>
        </is>
      </c>
      <c r="E172" s="5" t="inlineStr">
        <is>
          <t>Benthivores/piscivores</t>
        </is>
      </c>
      <c r="F172" t="inlineStr"/>
      <c r="G172" t="inlineStr"/>
      <c r="H172" t="inlineStr">
        <is>
          <t>medium</t>
        </is>
      </c>
      <c r="I172" t="inlineStr">
        <is>
          <t>habitat_size_guild</t>
        </is>
      </c>
      <c r="J172" t="n">
        <v>62949.675</v>
      </c>
      <c r="K172" t="n">
        <v>0.0223</v>
      </c>
      <c r="L172" s="6" t="inlineStr">
        <is>
          <t>Emperors take hard-shelled benthic invertebrates and fish, matching the mixed benthivore-piscivore guild.</t>
        </is>
      </c>
    </row>
    <row r="173">
      <c r="A173" t="inlineStr">
        <is>
          <t>Chondrichthyes</t>
        </is>
      </c>
      <c r="B173" t="inlineStr">
        <is>
          <t>Sharks, rays, chimaeras</t>
        </is>
      </c>
      <c r="C173" t="inlineStr">
        <is>
          <t>Large sharks (&gt;=90 cm)</t>
        </is>
      </c>
      <c r="D173" t="inlineStr">
        <is>
          <t>Sharks &amp; rays</t>
        </is>
      </c>
      <c r="E173" s="5" t="inlineStr">
        <is>
          <t>Sharks | Benthivores</t>
        </is>
      </c>
      <c r="F173" t="inlineStr">
        <is>
          <t>0.017 | 0.983</t>
        </is>
      </c>
      <c r="G173" t="inlineStr">
        <is>
          <t>catch_composition</t>
        </is>
      </c>
      <c r="H173" t="inlineStr">
        <is>
          <t>medium</t>
        </is>
      </c>
      <c r="I173" t="inlineStr">
        <is>
          <t>composite_split</t>
        </is>
      </c>
      <c r="J173" t="n">
        <v>60255.79</v>
      </c>
      <c r="K173" t="n">
        <v>0.0213</v>
      </c>
      <c r="L173" s="6" t="inlineStr">
        <is>
          <t>Class-level record. Supplementary Table S1 puts the model's only shark, Scoliodon laticaudus, in Sharks and its two batoids, Narcine lingula and Dasyatis zugei, in Benthivores; there is no separate ray group. Apportioned by catch composition.</t>
        </is>
      </c>
    </row>
    <row r="174">
      <c r="A174" t="inlineStr">
        <is>
          <t>Parapristipoma trilineatum</t>
        </is>
      </c>
      <c r="B174" t="inlineStr">
        <is>
          <t>Chicken grunt</t>
        </is>
      </c>
      <c r="C174" t="inlineStr">
        <is>
          <t>Small pelagics (&lt;30 cm)</t>
        </is>
      </c>
      <c r="D174" t="inlineStr">
        <is>
          <t>Perch-likes</t>
        </is>
      </c>
      <c r="E174" s="5" t="inlineStr">
        <is>
          <t>Planktivores/Benthivores</t>
        </is>
      </c>
      <c r="F174" t="inlineStr"/>
      <c r="G174" t="inlineStr"/>
      <c r="H174" t="inlineStr">
        <is>
          <t>medium</t>
        </is>
      </c>
      <c r="I174" t="inlineStr">
        <is>
          <t>habitat_size_guild</t>
        </is>
      </c>
      <c r="J174" t="n">
        <v>50735.141</v>
      </c>
      <c r="K174" t="n">
        <v>0.0179</v>
      </c>
      <c r="L174" s="6"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row>
    <row r="175">
      <c r="A175" t="inlineStr">
        <is>
          <t>Evynnis tumifrons</t>
        </is>
      </c>
      <c r="B175" t="inlineStr">
        <is>
          <t>Yellowback seabream</t>
        </is>
      </c>
      <c r="C175" t="inlineStr">
        <is>
          <t>Medium demersals (30 - 89 cm)</t>
        </is>
      </c>
      <c r="D175" t="inlineStr">
        <is>
          <t>Perch-likes</t>
        </is>
      </c>
      <c r="E175" s="5" t="inlineStr">
        <is>
          <t>Omnivores</t>
        </is>
      </c>
      <c r="F175" t="inlineStr"/>
      <c r="G175" t="inlineStr"/>
      <c r="H175" t="inlineStr">
        <is>
          <t>medium</t>
        </is>
      </c>
      <c r="I175" t="inlineStr">
        <is>
          <t>habitat_size_guild</t>
        </is>
      </c>
      <c r="J175" t="n">
        <v>42287.885</v>
      </c>
      <c r="K175" t="n">
        <v>0.015</v>
      </c>
      <c r="L175" s="6" t="inlineStr">
        <is>
          <t>Yellowback seabream is a sparid generalist on benthic invertebrates and small fish, following the sparid placement of Supplementary Table S1.</t>
        </is>
      </c>
    </row>
    <row r="176">
      <c r="A176" t="inlineStr">
        <is>
          <t>Scyllaridae</t>
        </is>
      </c>
      <c r="B176" t="inlineStr">
        <is>
          <t>Slipper lobsters</t>
        </is>
      </c>
      <c r="C176" t="inlineStr">
        <is>
          <t>Lobsters, crabs</t>
        </is>
      </c>
      <c r="D176" t="inlineStr">
        <is>
          <t>Crustaceans</t>
        </is>
      </c>
      <c r="E176" s="5" t="inlineStr">
        <is>
          <t>Crabs</t>
        </is>
      </c>
      <c r="F176" t="inlineStr"/>
      <c r="G176" t="inlineStr"/>
      <c r="H176" t="inlineStr">
        <is>
          <t>medium</t>
        </is>
      </c>
      <c r="I176" t="inlineStr">
        <is>
          <t>analogue</t>
        </is>
      </c>
      <c r="J176" t="n">
        <v>40680.528</v>
      </c>
      <c r="K176" t="n">
        <v>0.0144</v>
      </c>
      <c r="L176" s="6"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77">
      <c r="A177" t="inlineStr">
        <is>
          <t>Xiphias gladius</t>
        </is>
      </c>
      <c r="B177" t="inlineStr">
        <is>
          <t>Swordfish</t>
        </is>
      </c>
      <c r="C177" t="inlineStr">
        <is>
          <t>Large pelagics (&gt;=90 cm)</t>
        </is>
      </c>
      <c r="D177" t="inlineStr">
        <is>
          <t>Tuna &amp; billfishes</t>
        </is>
      </c>
      <c r="E177" s="8" t="inlineStr">
        <is>
          <t>Piscivores</t>
        </is>
      </c>
      <c r="F177" t="inlineStr"/>
      <c r="G177" t="inlineStr"/>
      <c r="H177" t="inlineStr">
        <is>
          <t>low</t>
        </is>
      </c>
      <c r="I177" t="inlineStr">
        <is>
          <t>analogue</t>
        </is>
      </c>
      <c r="J177" t="n">
        <v>35796.868</v>
      </c>
      <c r="K177" t="n">
        <v>0.0127</v>
      </c>
      <c r="L177" s="6" t="inlineStr">
        <is>
          <t>Swordfish is an oceanic piscivore. The model is a shelf-sea model but its Piscivores group does include oceanic predators (Coryphaena hippurus, Auxis thazard) Supplementary Table S1, so the record is placed there rather than discarded; the fit is by analogy only.</t>
        </is>
      </c>
    </row>
    <row r="178">
      <c r="A178" t="inlineStr">
        <is>
          <t>Epinephelus coioides</t>
        </is>
      </c>
      <c r="B178" t="inlineStr">
        <is>
          <t>Orange-spotted grouper</t>
        </is>
      </c>
      <c r="C178" t="inlineStr">
        <is>
          <t>Large reef assoc. fish (&gt;=90 cm)</t>
        </is>
      </c>
      <c r="D178" t="inlineStr">
        <is>
          <t>Perch-likes</t>
        </is>
      </c>
      <c r="E178" s="5" t="inlineStr">
        <is>
          <t>Piscivores</t>
        </is>
      </c>
      <c r="F178" t="inlineStr"/>
      <c r="G178" t="inlineStr"/>
      <c r="H178" t="inlineStr">
        <is>
          <t>medium</t>
        </is>
      </c>
      <c r="I178" t="inlineStr">
        <is>
          <t>habitat_size_guild</t>
        </is>
      </c>
      <c r="J178" t="n">
        <v>35633.301</v>
      </c>
      <c r="K178" t="n">
        <v>0.0126</v>
      </c>
      <c r="L178" s="6" t="inlineStr">
        <is>
          <t>Orange-spotted grouper is an ambush piscivore, matching the model's fish-eating guild.</t>
        </is>
      </c>
    </row>
    <row r="179">
      <c r="A179" t="inlineStr">
        <is>
          <t>Gobiidae</t>
        </is>
      </c>
      <c r="B179" t="inlineStr">
        <is>
          <t>Gobies</t>
        </is>
      </c>
      <c r="C179" t="inlineStr">
        <is>
          <t>Small reef assoc. fish (&lt;30 cm)</t>
        </is>
      </c>
      <c r="D179" t="inlineStr">
        <is>
          <t>Perch-likes</t>
        </is>
      </c>
      <c r="E179" s="5" t="inlineStr">
        <is>
          <t>Benthivores</t>
        </is>
      </c>
      <c r="F179" t="inlineStr"/>
      <c r="G179" t="inlineStr"/>
      <c r="H179" t="inlineStr">
        <is>
          <t>medium</t>
        </is>
      </c>
      <c r="I179" t="inlineStr">
        <is>
          <t>habitat_size_guild</t>
        </is>
      </c>
      <c r="J179" t="n">
        <v>33882.463</v>
      </c>
      <c r="K179" t="n">
        <v>0.012</v>
      </c>
      <c r="L179" s="6" t="inlineStr">
        <is>
          <t>Gobies are small demersal feeders on benthic invertebrates, matching the Benthivores roster of Supplementary Table S1.</t>
        </is>
      </c>
    </row>
    <row r="180">
      <c r="A180" t="inlineStr">
        <is>
          <t>Ariomma indica</t>
        </is>
      </c>
      <c r="B180" t="inlineStr">
        <is>
          <t>Indian driftfish</t>
        </is>
      </c>
      <c r="C180" t="inlineStr">
        <is>
          <t>Small benthopelagics (&lt;30 cm)</t>
        </is>
      </c>
      <c r="D180" t="inlineStr">
        <is>
          <t>Perch-likes</t>
        </is>
      </c>
      <c r="E180" s="5" t="inlineStr">
        <is>
          <t>Planktivores/piscivores</t>
        </is>
      </c>
      <c r="F180" t="inlineStr"/>
      <c r="G180" t="inlineStr"/>
      <c r="H180" t="inlineStr">
        <is>
          <t>medium</t>
        </is>
      </c>
      <c r="I180" t="inlineStr">
        <is>
          <t>habitat_size_guild</t>
        </is>
      </c>
      <c r="J180" t="n">
        <v>31521.954</v>
      </c>
      <c r="K180" t="n">
        <v>0.0111</v>
      </c>
      <c r="L180" s="6" t="inlineStr">
        <is>
          <t>Indian driftfish is a small benthopelagic stromateoid feeding on zooplankton and small nekton, the guild Supplementary Table S1 fills with Pampus and Psenopsis anomala.</t>
        </is>
      </c>
    </row>
    <row r="181">
      <c r="A181" t="inlineStr">
        <is>
          <t>Platycaranx talamparoides</t>
        </is>
      </c>
      <c r="B181" t="inlineStr">
        <is>
          <t>Imposter trevally</t>
        </is>
      </c>
      <c r="C181" t="inlineStr">
        <is>
          <t>Medium pelagics (30 - 89 cm)</t>
        </is>
      </c>
      <c r="D181" t="inlineStr">
        <is>
          <t>Perch-likes</t>
        </is>
      </c>
      <c r="E181" s="5" t="inlineStr">
        <is>
          <t>Planktivores/piscivores</t>
        </is>
      </c>
      <c r="F181" t="inlineStr"/>
      <c r="G181" t="inlineStr"/>
      <c r="H181" t="inlineStr">
        <is>
          <t>medium</t>
        </is>
      </c>
      <c r="I181" t="inlineStr">
        <is>
          <t>habitat_size_guild</t>
        </is>
      </c>
      <c r="J181" t="n">
        <v>29929.006</v>
      </c>
      <c r="K181" t="n">
        <v>0.0106</v>
      </c>
      <c r="L181" s="6" t="inlineStr">
        <is>
          <t>Carangid scad taking zooplankton and small fish; the guild Supplementary Table S1 gives Decapterus maruadsi and Trachurus japonicus.</t>
        </is>
      </c>
    </row>
    <row r="182">
      <c r="A182" t="inlineStr">
        <is>
          <t>Decapterus russelli</t>
        </is>
      </c>
      <c r="B182" t="inlineStr">
        <is>
          <t>Indian scad</t>
        </is>
      </c>
      <c r="C182" t="inlineStr">
        <is>
          <t>Medium pelagics (30 - 89 cm)</t>
        </is>
      </c>
      <c r="D182" t="inlineStr">
        <is>
          <t>Perch-likes</t>
        </is>
      </c>
      <c r="E182" s="7" t="inlineStr">
        <is>
          <t>Planktivores/piscivores</t>
        </is>
      </c>
      <c r="F182" t="inlineStr"/>
      <c r="G182" t="inlineStr"/>
      <c r="H182" t="inlineStr">
        <is>
          <t>high</t>
        </is>
      </c>
      <c r="I182" t="inlineStr">
        <is>
          <t>taxonomic_containment</t>
        </is>
      </c>
      <c r="J182" t="n">
        <v>29675.304</v>
      </c>
      <c r="K182" t="n">
        <v>0.0105</v>
      </c>
      <c r="L182" s="6" t="inlineStr">
        <is>
          <t>Supplementary Table S1 lists the congener Decapterus maruadsi in Planktivores/piscivores.</t>
        </is>
      </c>
    </row>
    <row r="183">
      <c r="A183" t="inlineStr">
        <is>
          <t>Panulirus</t>
        </is>
      </c>
      <c r="B183" t="inlineStr">
        <is>
          <t>Spiny lobsters</t>
        </is>
      </c>
      <c r="C183" t="inlineStr">
        <is>
          <t>Lobsters, crabs</t>
        </is>
      </c>
      <c r="D183" t="inlineStr">
        <is>
          <t>Crustaceans</t>
        </is>
      </c>
      <c r="E183" s="5" t="inlineStr">
        <is>
          <t>Crabs</t>
        </is>
      </c>
      <c r="F183" t="inlineStr"/>
      <c r="G183" t="inlineStr"/>
      <c r="H183" t="inlineStr">
        <is>
          <t>medium</t>
        </is>
      </c>
      <c r="I183" t="inlineStr">
        <is>
          <t>analogue</t>
        </is>
      </c>
      <c r="J183" t="n">
        <v>29277.507</v>
      </c>
      <c r="K183" t="n">
        <v>0.0104</v>
      </c>
      <c r="L183" s="6"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4">
      <c r="A184" t="inlineStr">
        <is>
          <t>Niphon spinosus</t>
        </is>
      </c>
      <c r="B184" t="inlineStr">
        <is>
          <t>Ara</t>
        </is>
      </c>
      <c r="C184" t="inlineStr">
        <is>
          <t>Medium demersals (30 - 89 cm)</t>
        </is>
      </c>
      <c r="D184" t="inlineStr">
        <is>
          <t>Perch-likes</t>
        </is>
      </c>
      <c r="E184" s="5" t="inlineStr">
        <is>
          <t>Piscivores</t>
        </is>
      </c>
      <c r="F184" t="inlineStr"/>
      <c r="G184" t="inlineStr"/>
      <c r="H184" t="inlineStr">
        <is>
          <t>medium</t>
        </is>
      </c>
      <c r="I184" t="inlineStr">
        <is>
          <t>habitat_size_guild</t>
        </is>
      </c>
      <c r="J184" t="n">
        <v>28912.863</v>
      </c>
      <c r="K184" t="n">
        <v>0.0102</v>
      </c>
      <c r="L184" s="6" t="inlineStr">
        <is>
          <t>Ara, a large demersal serranoid ambush predator on fish and squid, matching the model's fish-eating guild.</t>
        </is>
      </c>
    </row>
    <row r="185">
      <c r="A185" t="inlineStr">
        <is>
          <t>Chanos chanos</t>
        </is>
      </c>
      <c r="B185" t="inlineStr">
        <is>
          <t>Milkfish</t>
        </is>
      </c>
      <c r="C185" t="inlineStr">
        <is>
          <t>Large benthopelagics (&gt;=90 cm)</t>
        </is>
      </c>
      <c r="D185" t="inlineStr">
        <is>
          <t>Other fishes &amp; inverts</t>
        </is>
      </c>
      <c r="E185" s="8" t="inlineStr">
        <is>
          <t>Omnivores</t>
        </is>
      </c>
      <c r="F185" t="inlineStr"/>
      <c r="G185" t="inlineStr"/>
      <c r="H185" t="inlineStr">
        <is>
          <t>low</t>
        </is>
      </c>
      <c r="I185" t="inlineStr">
        <is>
          <t>analogue</t>
        </is>
      </c>
      <c r="J185" t="n">
        <v>28554.868</v>
      </c>
      <c r="K185" t="n">
        <v>0.0101</v>
      </c>
      <c r="L185" s="6"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row>
    <row r="186">
      <c r="A186" t="inlineStr">
        <is>
          <t>Istiompax indica</t>
        </is>
      </c>
      <c r="B186" t="inlineStr">
        <is>
          <t>Black marlin</t>
        </is>
      </c>
      <c r="C186" t="inlineStr">
        <is>
          <t>Large pelagics (&gt;=90 cm)</t>
        </is>
      </c>
      <c r="D186" t="inlineStr">
        <is>
          <t>Tuna &amp; billfishes</t>
        </is>
      </c>
      <c r="E186" s="8" t="inlineStr">
        <is>
          <t>Piscivores</t>
        </is>
      </c>
      <c r="F186" t="inlineStr"/>
      <c r="G186" t="inlineStr"/>
      <c r="H186" t="inlineStr">
        <is>
          <t>low</t>
        </is>
      </c>
      <c r="I186" t="inlineStr">
        <is>
          <t>analogue</t>
        </is>
      </c>
      <c r="J186" t="n">
        <v>28314.261</v>
      </c>
      <c r="K186" t="n">
        <v>0.01</v>
      </c>
      <c r="L186" s="6" t="inlineStr">
        <is>
          <t>Black marlin is an oceanic piscivore placed in the model's fish-eating guild by analogy; no billfish appears in Supplementary Table S1.</t>
        </is>
      </c>
    </row>
    <row r="187">
      <c r="A187" t="inlineStr">
        <is>
          <t>Panulirus longipes</t>
        </is>
      </c>
      <c r="B187" t="inlineStr">
        <is>
          <t>Longlegged spiny lobster</t>
        </is>
      </c>
      <c r="C187" t="inlineStr">
        <is>
          <t>Lobsters, crabs</t>
        </is>
      </c>
      <c r="D187" t="inlineStr">
        <is>
          <t>Crustaceans</t>
        </is>
      </c>
      <c r="E187" s="5" t="inlineStr">
        <is>
          <t>Crabs</t>
        </is>
      </c>
      <c r="F187" t="inlineStr"/>
      <c r="G187" t="inlineStr"/>
      <c r="H187" t="inlineStr">
        <is>
          <t>medium</t>
        </is>
      </c>
      <c r="I187" t="inlineStr">
        <is>
          <t>analogue</t>
        </is>
      </c>
      <c r="J187" t="n">
        <v>28084.837</v>
      </c>
      <c r="K187" t="n">
        <v>0.009900000000000001</v>
      </c>
      <c r="L187" s="6"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8">
      <c r="A188" t="inlineStr">
        <is>
          <t>Sillaginidae</t>
        </is>
      </c>
      <c r="B188" t="inlineStr">
        <is>
          <t>Smelt-whitings</t>
        </is>
      </c>
      <c r="C188" t="inlineStr">
        <is>
          <t>Medium demersals (30 - 89 cm)</t>
        </is>
      </c>
      <c r="D188" t="inlineStr">
        <is>
          <t>Perch-likes</t>
        </is>
      </c>
      <c r="E188" s="5" t="inlineStr">
        <is>
          <t>Benthivores</t>
        </is>
      </c>
      <c r="F188" t="inlineStr"/>
      <c r="G188" t="inlineStr"/>
      <c r="H188" t="inlineStr">
        <is>
          <t>medium</t>
        </is>
      </c>
      <c r="I188" t="inlineStr">
        <is>
          <t>habitat_size_guild</t>
        </is>
      </c>
      <c r="J188" t="n">
        <v>26807.788</v>
      </c>
      <c r="K188" t="n">
        <v>0.0095</v>
      </c>
      <c r="L188" s="6" t="inlineStr">
        <is>
          <t>Sillagos are sand-burrowing feeders on polychaetes and small crustaceans, the Benthivores type of Supplementary Table S1.</t>
        </is>
      </c>
    </row>
    <row r="189">
      <c r="A189" t="inlineStr">
        <is>
          <t>Lateolabracidae</t>
        </is>
      </c>
      <c r="B189" t="inlineStr">
        <is>
          <t>Asian seaperches</t>
        </is>
      </c>
      <c r="C189" t="inlineStr">
        <is>
          <t>Large demersals (&gt;=90 cm)</t>
        </is>
      </c>
      <c r="D189" t="inlineStr">
        <is>
          <t>Perch-likes</t>
        </is>
      </c>
      <c r="E189" s="5" t="inlineStr">
        <is>
          <t>Benthivores/piscivores</t>
        </is>
      </c>
      <c r="F189" t="inlineStr"/>
      <c r="G189" t="inlineStr"/>
      <c r="H189" t="inlineStr">
        <is>
          <t>medium</t>
        </is>
      </c>
      <c r="I189" t="inlineStr">
        <is>
          <t>habitat_size_guild</t>
        </is>
      </c>
      <c r="J189" t="n">
        <v>26535.807</v>
      </c>
      <c r="K189" t="n">
        <v>0.0094</v>
      </c>
      <c r="L189" s="6" t="inlineStr">
        <is>
          <t>Family record for Lateolabrax, a coastal predator on shrimps and fish, matching the mixed benthivore-piscivore guild.</t>
        </is>
      </c>
    </row>
    <row r="190">
      <c r="A190" t="inlineStr">
        <is>
          <t>Ammodytes</t>
        </is>
      </c>
      <c r="B190" t="inlineStr">
        <is>
          <t>Sand eels</t>
        </is>
      </c>
      <c r="C190" t="inlineStr">
        <is>
          <t>Large reef assoc. fish (&gt;=90 cm)</t>
        </is>
      </c>
      <c r="D190" t="inlineStr">
        <is>
          <t>Perch-likes</t>
        </is>
      </c>
      <c r="E190" s="5" t="inlineStr">
        <is>
          <t>Planktivores</t>
        </is>
      </c>
      <c r="F190" t="inlineStr"/>
      <c r="G190" t="inlineStr"/>
      <c r="H190" t="inlineStr">
        <is>
          <t>medium</t>
        </is>
      </c>
      <c r="I190" t="inlineStr">
        <is>
          <t>habitat_size_guild</t>
        </is>
      </c>
      <c r="J190" t="n">
        <v>24878.756</v>
      </c>
      <c r="K190" t="n">
        <v>0.008800000000000001</v>
      </c>
      <c r="L190" s="6" t="inlineStr">
        <is>
          <t>Sandlances are small copepod feeders matching the Planktivores guild; the Sea Around Us size class on this genus record is inconsistent with the genus, whose species are all under 30 cm.</t>
        </is>
      </c>
    </row>
    <row r="191">
      <c r="A191" t="inlineStr">
        <is>
          <t>Cypselurus</t>
        </is>
      </c>
      <c r="B191" t="inlineStr">
        <is>
          <t>Cypselurid flyingfishes</t>
        </is>
      </c>
      <c r="C191" t="inlineStr">
        <is>
          <t>Small pelagics (&lt;30 cm)</t>
        </is>
      </c>
      <c r="D191" t="inlineStr">
        <is>
          <t>Other fishes &amp; inverts</t>
        </is>
      </c>
      <c r="E191" s="5" t="inlineStr">
        <is>
          <t>Planktivores</t>
        </is>
      </c>
      <c r="F191" t="inlineStr"/>
      <c r="G191" t="inlineStr"/>
      <c r="H191" t="inlineStr">
        <is>
          <t>medium</t>
        </is>
      </c>
      <c r="I191" t="inlineStr">
        <is>
          <t>habitat_size_guild</t>
        </is>
      </c>
      <c r="J191" t="n">
        <v>24833.102</v>
      </c>
      <c r="K191" t="n">
        <v>0.008800000000000001</v>
      </c>
      <c r="L191" s="6" t="inlineStr">
        <is>
          <t>Flyingfish genus; epipelagic zooplanktivores matching the model's plankton-feeding guild.</t>
        </is>
      </c>
    </row>
    <row r="192">
      <c r="A192" t="inlineStr">
        <is>
          <t>Gymnocranius</t>
        </is>
      </c>
      <c r="B192" t="inlineStr">
        <is>
          <t>Largeeye breams</t>
        </is>
      </c>
      <c r="C192" t="inlineStr">
        <is>
          <t>Medium reef assoc. fish (30 - 89 cm)</t>
        </is>
      </c>
      <c r="D192" t="inlineStr">
        <is>
          <t>Perch-likes</t>
        </is>
      </c>
      <c r="E192" s="5" t="inlineStr">
        <is>
          <t>Benthivores/piscivores</t>
        </is>
      </c>
      <c r="F192" t="inlineStr"/>
      <c r="G192" t="inlineStr"/>
      <c r="H192" t="inlineStr">
        <is>
          <t>medium</t>
        </is>
      </c>
      <c r="I192" t="inlineStr">
        <is>
          <t>habitat_size_guild</t>
        </is>
      </c>
      <c r="J192" t="n">
        <v>23372.077</v>
      </c>
      <c r="K192" t="n">
        <v>0.0083</v>
      </c>
      <c r="L192" s="6" t="inlineStr">
        <is>
          <t>Large-eye breams take hard-shelled benthic invertebrates and small fish, matching the mixed benthivore-piscivore guild.</t>
        </is>
      </c>
    </row>
    <row r="193">
      <c r="A193" t="inlineStr">
        <is>
          <t>Muraenidae</t>
        </is>
      </c>
      <c r="B193" t="inlineStr">
        <is>
          <t>Moray eels</t>
        </is>
      </c>
      <c r="C193" t="inlineStr">
        <is>
          <t>Large reef assoc. fish (&gt;=90 cm)</t>
        </is>
      </c>
      <c r="D193" t="inlineStr">
        <is>
          <t>Other fishes &amp; inverts</t>
        </is>
      </c>
      <c r="E193" s="5" t="inlineStr">
        <is>
          <t>Piscivores</t>
        </is>
      </c>
      <c r="F193" t="inlineStr"/>
      <c r="G193" t="inlineStr"/>
      <c r="H193" t="inlineStr">
        <is>
          <t>medium</t>
        </is>
      </c>
      <c r="I193" t="inlineStr">
        <is>
          <t>habitat_size_guild</t>
        </is>
      </c>
      <c r="J193" t="n">
        <v>21849.888</v>
      </c>
      <c r="K193" t="n">
        <v>0.0077</v>
      </c>
      <c r="L193" s="6" t="inlineStr">
        <is>
          <t>Moray eels are crevice ambush predators on fish and cephalopods; Supplementary Table S1 places the comparable large eel Muraenesox cinereus in Piscivores.</t>
        </is>
      </c>
    </row>
    <row r="194">
      <c r="A194" t="inlineStr">
        <is>
          <t>Ibacus ciliatus</t>
        </is>
      </c>
      <c r="B194" t="inlineStr">
        <is>
          <t>Sand Crayfish</t>
        </is>
      </c>
      <c r="C194" t="inlineStr">
        <is>
          <t>Lobsters, crabs</t>
        </is>
      </c>
      <c r="D194" t="inlineStr">
        <is>
          <t>Crustaceans</t>
        </is>
      </c>
      <c r="E194" s="5" t="inlineStr">
        <is>
          <t>Crabs</t>
        </is>
      </c>
      <c r="F194" t="inlineStr"/>
      <c r="G194" t="inlineStr"/>
      <c r="H194" t="inlineStr">
        <is>
          <t>medium</t>
        </is>
      </c>
      <c r="I194" t="inlineStr">
        <is>
          <t>analogue</t>
        </is>
      </c>
      <c r="J194" t="n">
        <v>21361.447</v>
      </c>
      <c r="K194" t="n">
        <v>0.0076</v>
      </c>
      <c r="L194" s="6"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95">
      <c r="A195" t="inlineStr">
        <is>
          <t>Scylla serrata</t>
        </is>
      </c>
      <c r="B195" t="inlineStr">
        <is>
          <t>Indo-Pacific swamp crab</t>
        </is>
      </c>
      <c r="C195" t="inlineStr">
        <is>
          <t>Lobsters, crabs</t>
        </is>
      </c>
      <c r="D195" t="inlineStr">
        <is>
          <t>Crustaceans</t>
        </is>
      </c>
      <c r="E195" s="7" t="inlineStr">
        <is>
          <t>Crabs</t>
        </is>
      </c>
      <c r="F195" t="inlineStr"/>
      <c r="G195" t="inlineStr"/>
      <c r="H195" t="inlineStr">
        <is>
          <t>high</t>
        </is>
      </c>
      <c r="I195" t="inlineStr">
        <is>
          <t>taxonomic_containment</t>
        </is>
      </c>
      <c r="J195" t="n">
        <v>21010.441</v>
      </c>
      <c r="K195" t="n">
        <v>0.0074</v>
      </c>
      <c r="L195" s="6" t="inlineStr">
        <is>
          <t>Giant mud crab fall inside the model's Crabs group, which Supplementary Table S1 fills with six portunids (Portunus trituberculatus, Charybdis feriatus, C. bimaculata, P. sanguinolentus, C. acuta, P. argentatus).</t>
        </is>
      </c>
    </row>
    <row r="196">
      <c r="A196" t="inlineStr">
        <is>
          <t>Istiophoridae</t>
        </is>
      </c>
      <c r="B196" t="inlineStr">
        <is>
          <t>Billfishes</t>
        </is>
      </c>
      <c r="C196" t="inlineStr">
        <is>
          <t>Large pelagics (&gt;=90 cm)</t>
        </is>
      </c>
      <c r="D196" t="inlineStr">
        <is>
          <t>Tuna &amp; billfishes</t>
        </is>
      </c>
      <c r="E196" s="8" t="inlineStr">
        <is>
          <t>Piscivores</t>
        </is>
      </c>
      <c r="F196" t="inlineStr"/>
      <c r="G196" t="inlineStr"/>
      <c r="H196" t="inlineStr">
        <is>
          <t>low</t>
        </is>
      </c>
      <c r="I196" t="inlineStr">
        <is>
          <t>analogue</t>
        </is>
      </c>
      <c r="J196" t="n">
        <v>20760.564</v>
      </c>
      <c r="K196" t="n">
        <v>0.0073</v>
      </c>
      <c r="L196" s="6" t="inlineStr">
        <is>
          <t>Billfish family record placed in the model's fish-eating guild by analogy with the oceanic predators Supplementary Table S1 lists there; no billfish appears in the paper.</t>
        </is>
      </c>
    </row>
    <row r="197">
      <c r="A197" t="inlineStr">
        <is>
          <t>Megalaspis cordyla</t>
        </is>
      </c>
      <c r="B197" t="inlineStr">
        <is>
          <t>Torpedo scad</t>
        </is>
      </c>
      <c r="C197" t="inlineStr">
        <is>
          <t>Medium pelagics (30 - 89 cm)</t>
        </is>
      </c>
      <c r="D197" t="inlineStr">
        <is>
          <t>Perch-likes</t>
        </is>
      </c>
      <c r="E197" s="5" t="inlineStr">
        <is>
          <t>Planktivores/piscivores</t>
        </is>
      </c>
      <c r="F197" t="inlineStr"/>
      <c r="G197" t="inlineStr"/>
      <c r="H197" t="inlineStr">
        <is>
          <t>medium</t>
        </is>
      </c>
      <c r="I197" t="inlineStr">
        <is>
          <t>habitat_size_guild</t>
        </is>
      </c>
      <c r="J197" t="n">
        <v>20590.76</v>
      </c>
      <c r="K197" t="n">
        <v>0.0073</v>
      </c>
      <c r="L197" s="6" t="inlineStr">
        <is>
          <t>Torpedo scad is a carangid feeding on planktonic crustaceans and small fish, matching the Decapterus/Trachurus guild of Supplementary Table S1.</t>
        </is>
      </c>
    </row>
    <row r="198">
      <c r="A198" t="inlineStr">
        <is>
          <t>Hexagrammos otakii</t>
        </is>
      </c>
      <c r="B198" t="inlineStr">
        <is>
          <t>Fat grrenling</t>
        </is>
      </c>
      <c r="C198" t="inlineStr">
        <is>
          <t>Small pelagics (&lt;30 cm)</t>
        </is>
      </c>
      <c r="D198" t="inlineStr">
        <is>
          <t>Scorpionfishes</t>
        </is>
      </c>
      <c r="E198" s="5" t="inlineStr">
        <is>
          <t>Benthivores</t>
        </is>
      </c>
      <c r="F198" t="inlineStr"/>
      <c r="G198" t="inlineStr"/>
      <c r="H198" t="inlineStr">
        <is>
          <t>medium</t>
        </is>
      </c>
      <c r="I198" t="inlineStr">
        <is>
          <t>habitat_size_guild</t>
        </is>
      </c>
      <c r="J198" t="n">
        <v>16983.955</v>
      </c>
      <c r="K198" t="n">
        <v>0.006</v>
      </c>
      <c r="L198" s="6" t="inlineStr">
        <is>
          <t>Fat greenling is a demersal feeder on polychaetes, small crustaceans and molluscs, matching the Benthivores roster of Supplementary Table S1.</t>
        </is>
      </c>
    </row>
    <row r="199">
      <c r="A199" t="inlineStr">
        <is>
          <t>Mizuhopecten yessoensis</t>
        </is>
      </c>
      <c r="B199" t="inlineStr">
        <is>
          <t>Yesso scallop</t>
        </is>
      </c>
      <c r="C199" t="inlineStr">
        <is>
          <t>Other demersal invertebrates</t>
        </is>
      </c>
      <c r="D199" t="inlineStr">
        <is>
          <t>Molluscs</t>
        </is>
      </c>
      <c r="E199" s="7" t="inlineStr">
        <is>
          <t>Mollusks</t>
        </is>
      </c>
      <c r="F199" t="inlineStr"/>
      <c r="G199" t="inlineStr"/>
      <c r="H199" t="inlineStr">
        <is>
          <t>high</t>
        </is>
      </c>
      <c r="I199" t="inlineStr">
        <is>
          <t>explicit_member</t>
        </is>
      </c>
      <c r="J199" t="n">
        <v>16063.715</v>
      </c>
      <c r="K199" t="n">
        <v>0.0057</v>
      </c>
      <c r="L199" s="6" t="inlineStr">
        <is>
          <t>Supplementary Table S1 defines the model's Mollusks group as 'Bivalves'; this record is a bivalve.</t>
        </is>
      </c>
    </row>
    <row r="200">
      <c r="A200" t="inlineStr">
        <is>
          <t>Platycaranx malabaricus</t>
        </is>
      </c>
      <c r="B200" t="inlineStr">
        <is>
          <t>Malabar trevally</t>
        </is>
      </c>
      <c r="C200" t="inlineStr">
        <is>
          <t>Medium reef assoc. fish (30 - 89 cm)</t>
        </is>
      </c>
      <c r="D200" t="inlineStr">
        <is>
          <t>Perch-likes</t>
        </is>
      </c>
      <c r="E200" s="5" t="inlineStr">
        <is>
          <t>Planktivores/piscivores</t>
        </is>
      </c>
      <c r="F200" t="inlineStr"/>
      <c r="G200" t="inlineStr"/>
      <c r="H200" t="inlineStr">
        <is>
          <t>medium</t>
        </is>
      </c>
      <c r="I200" t="inlineStr">
        <is>
          <t>habitat_size_guild</t>
        </is>
      </c>
      <c r="J200" t="n">
        <v>15901.65</v>
      </c>
      <c r="K200" t="n">
        <v>0.0056</v>
      </c>
      <c r="L200" s="6" t="inlineStr">
        <is>
          <t>Carangid scad taking zooplankton and small fish; the guild Supplementary Table S1 gives Decapterus maruadsi and Trachurus japonicus.</t>
        </is>
      </c>
    </row>
    <row r="201">
      <c r="A201" t="inlineStr">
        <is>
          <t>Rachycentridae</t>
        </is>
      </c>
      <c r="B201" t="inlineStr">
        <is>
          <t>Cobias</t>
        </is>
      </c>
      <c r="C201" t="inlineStr">
        <is>
          <t>Large pelagics (&gt;=90 cm)</t>
        </is>
      </c>
      <c r="D201" t="inlineStr">
        <is>
          <t>Perch-likes</t>
        </is>
      </c>
      <c r="E201" s="5" t="inlineStr">
        <is>
          <t>Piscivores</t>
        </is>
      </c>
      <c r="F201" t="inlineStr"/>
      <c r="G201" t="inlineStr"/>
      <c r="H201" t="inlineStr">
        <is>
          <t>medium</t>
        </is>
      </c>
      <c r="I201" t="inlineStr">
        <is>
          <t>habitat_size_guild</t>
        </is>
      </c>
      <c r="J201" t="n">
        <v>15658.929</v>
      </c>
      <c r="K201" t="n">
        <v>0.0055</v>
      </c>
      <c r="L201" s="6" t="inlineStr">
        <is>
          <t>Cobia is a large coastal pelagic predator on fish, crabs and squid, matching the model's fish-eating guild.</t>
        </is>
      </c>
    </row>
    <row r="202">
      <c r="A202" t="inlineStr">
        <is>
          <t>Haliotis</t>
        </is>
      </c>
      <c r="B202" t="inlineStr">
        <is>
          <t>Abalones</t>
        </is>
      </c>
      <c r="C202" t="inlineStr">
        <is>
          <t>Other demersal invertebrates</t>
        </is>
      </c>
      <c r="D202" t="inlineStr">
        <is>
          <t>Molluscs</t>
        </is>
      </c>
      <c r="E202" s="5" t="inlineStr">
        <is>
          <t>Mollusks</t>
        </is>
      </c>
      <c r="F202" t="inlineStr"/>
      <c r="G202" t="inlineStr"/>
      <c r="H202" t="inlineStr">
        <is>
          <t>medium</t>
        </is>
      </c>
      <c r="I202" t="inlineStr">
        <is>
          <t>taxonomic_containment</t>
        </is>
      </c>
      <c r="J202" t="n">
        <v>15436.371</v>
      </c>
      <c r="K202" t="n">
        <v>0.0055</v>
      </c>
      <c r="L202" s="6" t="inlineStr">
        <is>
          <t>Abalones fall inside the model's Mollusks group by name, but Supplementary Table S1 states its composition as bivalves only, so a gastropod is included on the group's taxonomic name rather than on its listed membership.</t>
        </is>
      </c>
    </row>
    <row r="203">
      <c r="A203" t="inlineStr">
        <is>
          <t>Sillago</t>
        </is>
      </c>
      <c r="B203" t="inlineStr">
        <is>
          <t>Smelt-whitings</t>
        </is>
      </c>
      <c r="C203" t="inlineStr">
        <is>
          <t>Medium demersals (30 - 89 cm)</t>
        </is>
      </c>
      <c r="D203" t="inlineStr">
        <is>
          <t>Perch-likes</t>
        </is>
      </c>
      <c r="E203" s="5" t="inlineStr">
        <is>
          <t>Benthivores</t>
        </is>
      </c>
      <c r="F203" t="inlineStr"/>
      <c r="G203" t="inlineStr"/>
      <c r="H203" t="inlineStr">
        <is>
          <t>medium</t>
        </is>
      </c>
      <c r="I203" t="inlineStr">
        <is>
          <t>habitat_size_guild</t>
        </is>
      </c>
      <c r="J203" t="n">
        <v>15411.052</v>
      </c>
      <c r="K203" t="n">
        <v>0.0054</v>
      </c>
      <c r="L203" s="6" t="inlineStr">
        <is>
          <t>Sillago feed on polychaetes and small crustaceans dug from sand, matching Benthivores.</t>
        </is>
      </c>
    </row>
    <row r="204">
      <c r="A204" t="inlineStr">
        <is>
          <t>Hemiramphidae</t>
        </is>
      </c>
      <c r="B204" t="inlineStr">
        <is>
          <t>Halfbeaks, garfishes</t>
        </is>
      </c>
      <c r="C204" t="inlineStr">
        <is>
          <t>Medium pelagics (30 - 89 cm)</t>
        </is>
      </c>
      <c r="D204" t="inlineStr">
        <is>
          <t>Other fishes &amp; inverts</t>
        </is>
      </c>
      <c r="E204" s="5" t="inlineStr">
        <is>
          <t>Omnivores</t>
        </is>
      </c>
      <c r="F204" t="inlineStr"/>
      <c r="G204" t="inlineStr"/>
      <c r="H204" t="inlineStr">
        <is>
          <t>medium</t>
        </is>
      </c>
      <c r="I204" t="inlineStr">
        <is>
          <t>habitat_size_guild</t>
        </is>
      </c>
      <c r="J204" t="n">
        <v>15352.203</v>
      </c>
      <c r="K204" t="n">
        <v>0.0054</v>
      </c>
      <c r="L204" s="6" t="inlineStr">
        <is>
          <t>Halfbeaks take both drifting plant material and zooplankton, matching the model's omnivore guild.</t>
        </is>
      </c>
    </row>
    <row r="205">
      <c r="A205" t="inlineStr">
        <is>
          <t>Hypoptychus dybowskii</t>
        </is>
      </c>
      <c r="B205" t="inlineStr">
        <is>
          <t>Korean sandlance</t>
        </is>
      </c>
      <c r="C205" t="inlineStr">
        <is>
          <t>Small benthopelagics (&lt;30 cm)</t>
        </is>
      </c>
      <c r="D205" t="inlineStr">
        <is>
          <t>Other fishes &amp; inverts</t>
        </is>
      </c>
      <c r="E205" s="5" t="inlineStr">
        <is>
          <t>Planktivores</t>
        </is>
      </c>
      <c r="F205" t="inlineStr"/>
      <c r="G205" t="inlineStr"/>
      <c r="H205" t="inlineStr">
        <is>
          <t>medium</t>
        </is>
      </c>
      <c r="I205" t="inlineStr">
        <is>
          <t>habitat_size_guild</t>
        </is>
      </c>
      <c r="J205" t="n">
        <v>15309.497</v>
      </c>
      <c r="K205" t="n">
        <v>0.0054</v>
      </c>
      <c r="L205" s="6" t="inlineStr">
        <is>
          <t>The sand eel Hypoptychus dybowskii is an 8 cm schooling copepod feeder, matching the small zooplanktivore roster Supplementary Table S1 gives Planktivores.</t>
        </is>
      </c>
    </row>
    <row r="206">
      <c r="A206" t="inlineStr">
        <is>
          <t>Bramidae</t>
        </is>
      </c>
      <c r="B206" t="inlineStr">
        <is>
          <t>Pomfrets</t>
        </is>
      </c>
      <c r="C206" t="inlineStr">
        <is>
          <t>Medium pelagics (30 - 89 cm)</t>
        </is>
      </c>
      <c r="D206" t="inlineStr">
        <is>
          <t>Perch-likes</t>
        </is>
      </c>
      <c r="E206" s="5" t="inlineStr">
        <is>
          <t>Piscivores</t>
        </is>
      </c>
      <c r="F206" t="inlineStr"/>
      <c r="G206" t="inlineStr"/>
      <c r="H206" t="inlineStr">
        <is>
          <t>medium</t>
        </is>
      </c>
      <c r="I206" t="inlineStr">
        <is>
          <t>habitat_size_guild</t>
        </is>
      </c>
      <c r="J206" t="n">
        <v>15193.767</v>
      </c>
      <c r="K206" t="n">
        <v>0.0054</v>
      </c>
      <c r="L206" s="6" t="inlineStr">
        <is>
          <t>Pomfrets of the family Bramidae are oceanic predators on fish, squid and crustaceans, matching the model's fish-eating guild.</t>
        </is>
      </c>
    </row>
    <row r="207">
      <c r="A207" t="inlineStr">
        <is>
          <t>Penaeus monodon</t>
        </is>
      </c>
      <c r="B207" t="inlineStr">
        <is>
          <t>Giant tiger prawn</t>
        </is>
      </c>
      <c r="C207" t="inlineStr">
        <is>
          <t>Shrimps</t>
        </is>
      </c>
      <c r="D207" t="inlineStr">
        <is>
          <t>Crustaceans</t>
        </is>
      </c>
      <c r="E207" s="7" t="inlineStr">
        <is>
          <t>Shrimps</t>
        </is>
      </c>
      <c r="F207" t="inlineStr"/>
      <c r="G207" t="inlineStr"/>
      <c r="H207" t="inlineStr">
        <is>
          <t>high</t>
        </is>
      </c>
      <c r="I207" t="inlineStr">
        <is>
          <t>taxonomic_containment</t>
        </is>
      </c>
      <c r="J207" t="n">
        <v>15081.834</v>
      </c>
      <c r="K207" t="n">
        <v>0.0053</v>
      </c>
      <c r="L207" s="6" t="inlineStr">
        <is>
          <t>Giant tiger prawn fall inside the model's Shrimps group, which Supplementary Table S1 fills with thirteen penaeid, solenocerid, sergestid and caridean species including Metapenaeus joyneri, Parapenaeopsis hardwickii and Metapenaeopsis barbata.</t>
        </is>
      </c>
    </row>
    <row r="208">
      <c r="A208" t="inlineStr">
        <is>
          <t>Acanthocybium solandri</t>
        </is>
      </c>
      <c r="B208" t="inlineStr">
        <is>
          <t>Wahoo</t>
        </is>
      </c>
      <c r="C208" t="inlineStr">
        <is>
          <t>Large pelagics (&gt;=90 cm)</t>
        </is>
      </c>
      <c r="D208" t="inlineStr">
        <is>
          <t>Perch-likes</t>
        </is>
      </c>
      <c r="E208" s="5" t="inlineStr">
        <is>
          <t>Piscivores</t>
        </is>
      </c>
      <c r="F208" t="inlineStr"/>
      <c r="G208" t="inlineStr"/>
      <c r="H208" t="inlineStr">
        <is>
          <t>medium</t>
        </is>
      </c>
      <c r="I208" t="inlineStr">
        <is>
          <t>habitat_size_guild</t>
        </is>
      </c>
      <c r="J208" t="n">
        <v>14481.141</v>
      </c>
      <c r="K208" t="n">
        <v>0.0051</v>
      </c>
      <c r="L208" s="6" t="inlineStr">
        <is>
          <t>Wahoo is a scombrid piscivore, the guild Supplementary Table S1 fills with Scomberomorus niphonius and Auxis thazard.</t>
        </is>
      </c>
    </row>
    <row r="209">
      <c r="A209" t="inlineStr">
        <is>
          <t>Saurida undosquamis</t>
        </is>
      </c>
      <c r="B209" t="inlineStr">
        <is>
          <t>Brushtooth lizardfish</t>
        </is>
      </c>
      <c r="C209" t="inlineStr">
        <is>
          <t>Medium demersals (30 - 89 cm)</t>
        </is>
      </c>
      <c r="D209" t="inlineStr">
        <is>
          <t>Other fishes &amp; inverts</t>
        </is>
      </c>
      <c r="E209" s="7" t="inlineStr">
        <is>
          <t>Piscivores</t>
        </is>
      </c>
      <c r="F209" t="inlineStr"/>
      <c r="G209" t="inlineStr"/>
      <c r="H209" t="inlineStr">
        <is>
          <t>high</t>
        </is>
      </c>
      <c r="I209" t="inlineStr">
        <is>
          <t>taxonomic_containment</t>
        </is>
      </c>
      <c r="J209" t="n">
        <v>12814.471</v>
      </c>
      <c r="K209" t="n">
        <v>0.0045</v>
      </c>
      <c r="L209" s="6" t="inlineStr">
        <is>
          <t>Supplementary Table S1 lists the congener Saurida tumbil in Piscivores.</t>
        </is>
      </c>
    </row>
    <row r="210">
      <c r="A210" t="inlineStr">
        <is>
          <t>Beryx splendens</t>
        </is>
      </c>
      <c r="B210" t="inlineStr">
        <is>
          <t>Splendid alfonsino</t>
        </is>
      </c>
      <c r="C210" t="inlineStr">
        <is>
          <t>Medium benthopelagics (30 - 89 cm)</t>
        </is>
      </c>
      <c r="D210" t="inlineStr">
        <is>
          <t>Other fishes &amp; inverts</t>
        </is>
      </c>
      <c r="E210" s="5" t="inlineStr">
        <is>
          <t>Piscivores</t>
        </is>
      </c>
      <c r="F210" t="inlineStr"/>
      <c r="G210" t="inlineStr"/>
      <c r="H210" t="inlineStr">
        <is>
          <t>medium</t>
        </is>
      </c>
      <c r="I210" t="inlineStr">
        <is>
          <t>habitat_size_guild</t>
        </is>
      </c>
      <c r="J210" t="n">
        <v>12628.43</v>
      </c>
      <c r="K210" t="n">
        <v>0.0045</v>
      </c>
      <c r="L210" s="6" t="inlineStr">
        <is>
          <t>Splendid alfonsino is a deep-slope predator on fish, squid and large crustaceans.</t>
        </is>
      </c>
    </row>
    <row r="211">
      <c r="A211" t="inlineStr">
        <is>
          <t>Auxis rochei</t>
        </is>
      </c>
      <c r="B211" t="inlineStr">
        <is>
          <t>Bullet tuna</t>
        </is>
      </c>
      <c r="C211" t="inlineStr">
        <is>
          <t>Medium pelagics (30 - 89 cm)</t>
        </is>
      </c>
      <c r="D211" t="inlineStr">
        <is>
          <t>Tuna &amp; billfishes</t>
        </is>
      </c>
      <c r="E211" s="7" t="inlineStr">
        <is>
          <t>Piscivores</t>
        </is>
      </c>
      <c r="F211" t="inlineStr"/>
      <c r="G211" t="inlineStr"/>
      <c r="H211" t="inlineStr">
        <is>
          <t>high</t>
        </is>
      </c>
      <c r="I211" t="inlineStr">
        <is>
          <t>taxonomic_containment</t>
        </is>
      </c>
      <c r="J211" t="n">
        <v>12019.498</v>
      </c>
      <c r="K211" t="n">
        <v>0.0043</v>
      </c>
      <c r="L211" s="6" t="inlineStr">
        <is>
          <t>Supplementary Table S1 lists the congener Auxis thazard in Piscivores.</t>
        </is>
      </c>
    </row>
    <row r="212">
      <c r="A212" t="inlineStr">
        <is>
          <t>Scorpaeniformes</t>
        </is>
      </c>
      <c r="B212" t="inlineStr">
        <is>
          <t>Scorpionfishes, flatheads</t>
        </is>
      </c>
      <c r="C212" t="inlineStr">
        <is>
          <t>Medium demersals (30 - 89 cm)</t>
        </is>
      </c>
      <c r="D212" t="inlineStr">
        <is>
          <t>Scorpionfishes</t>
        </is>
      </c>
      <c r="E212" s="5" t="inlineStr">
        <is>
          <t>Benthivores | Benthivores/piscivores</t>
        </is>
      </c>
      <c r="F212" t="inlineStr">
        <is>
          <t>0.446 | 0.554</t>
        </is>
      </c>
      <c r="G212" t="inlineStr">
        <is>
          <t>catch_composition</t>
        </is>
      </c>
      <c r="H212" t="inlineStr">
        <is>
          <t>medium</t>
        </is>
      </c>
      <c r="I212" t="inlineStr">
        <is>
          <t>composite_split</t>
        </is>
      </c>
      <c r="J212" t="n">
        <v>11758.761</v>
      </c>
      <c r="K212" t="n">
        <v>0.0042</v>
      </c>
      <c r="L212"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row>
    <row r="213">
      <c r="A213" t="inlineStr">
        <is>
          <t>Epinephelus maculatus</t>
        </is>
      </c>
      <c r="B213" t="inlineStr">
        <is>
          <t>Highfin grouper</t>
        </is>
      </c>
      <c r="C213" t="inlineStr">
        <is>
          <t>Medium reef assoc. fish (30 - 89 cm)</t>
        </is>
      </c>
      <c r="D213" t="inlineStr">
        <is>
          <t>Perch-likes</t>
        </is>
      </c>
      <c r="E213" s="5" t="inlineStr">
        <is>
          <t>Piscivores</t>
        </is>
      </c>
      <c r="F213" t="inlineStr"/>
      <c r="G213" t="inlineStr"/>
      <c r="H213" t="inlineStr">
        <is>
          <t>medium</t>
        </is>
      </c>
      <c r="I213" t="inlineStr">
        <is>
          <t>habitat_size_guild</t>
        </is>
      </c>
      <c r="J213" t="n">
        <v>11557.627</v>
      </c>
      <c r="K213" t="n">
        <v>0.0041</v>
      </c>
      <c r="L213" s="6" t="inlineStr">
        <is>
          <t>Highfin grouper is an ambush piscivore, matching the model's fish-eating guild.</t>
        </is>
      </c>
    </row>
    <row r="214">
      <c r="A214" t="inlineStr">
        <is>
          <t>Isurus</t>
        </is>
      </c>
      <c r="B214" t="inlineStr">
        <is>
          <t>Mako sharks</t>
        </is>
      </c>
      <c r="C214" t="inlineStr">
        <is>
          <t>Large sharks (&gt;=90 cm)</t>
        </is>
      </c>
      <c r="D214" t="inlineStr">
        <is>
          <t>Sharks &amp; rays</t>
        </is>
      </c>
      <c r="E214" s="7" t="inlineStr">
        <is>
          <t>Sharks</t>
        </is>
      </c>
      <c r="F214" t="inlineStr"/>
      <c r="G214" t="inlineStr"/>
      <c r="H214" t="inlineStr">
        <is>
          <t>high</t>
        </is>
      </c>
      <c r="I214" t="inlineStr">
        <is>
          <t>taxonomic_containment</t>
        </is>
      </c>
      <c r="J214" t="n">
        <v>10807.733</v>
      </c>
      <c r="K214" t="n">
        <v>0.0038</v>
      </c>
      <c r="L214" s="6" t="inlineStr">
        <is>
          <t>Mako sharks fall inside the model's Sharks group, which Supplementary Table S1 represents by Scoliodon laticaudus and which is the model's only shark compartment.</t>
        </is>
      </c>
    </row>
    <row r="215">
      <c r="A215" t="inlineStr">
        <is>
          <t>Dussumieria elopsoides</t>
        </is>
      </c>
      <c r="B215" t="inlineStr">
        <is>
          <t>Slender rainbow sardine</t>
        </is>
      </c>
      <c r="C215" t="inlineStr">
        <is>
          <t>Small pelagics (&lt;30 cm)</t>
        </is>
      </c>
      <c r="D215" t="inlineStr">
        <is>
          <t>Herring-likes</t>
        </is>
      </c>
      <c r="E215" s="5" t="inlineStr">
        <is>
          <t>Planktivores</t>
        </is>
      </c>
      <c r="F215" t="inlineStr"/>
      <c r="G215" t="inlineStr"/>
      <c r="H215" t="inlineStr">
        <is>
          <t>medium</t>
        </is>
      </c>
      <c r="I215" t="inlineStr">
        <is>
          <t>habitat_size_guild</t>
        </is>
      </c>
      <c r="J215" t="n">
        <v>10192.962</v>
      </c>
      <c r="K215" t="n">
        <v>0.0036</v>
      </c>
      <c r="L215" s="6" t="inlineStr">
        <is>
          <t>Small dussumieriid zooplanktivore, functionally the same as Sardinella aurita, which Supplementary Table S1 lists in Planktivores.</t>
        </is>
      </c>
    </row>
    <row r="216">
      <c r="A216" t="inlineStr">
        <is>
          <t>Chirocentrus dorab</t>
        </is>
      </c>
      <c r="B216" t="inlineStr">
        <is>
          <t>Dorab wolf-herring</t>
        </is>
      </c>
      <c r="C216" t="inlineStr">
        <is>
          <t>Large benthopelagics (&gt;=90 cm)</t>
        </is>
      </c>
      <c r="D216" t="inlineStr">
        <is>
          <t>Herring-likes</t>
        </is>
      </c>
      <c r="E216" s="5" t="inlineStr">
        <is>
          <t>Piscivores</t>
        </is>
      </c>
      <c r="F216" t="inlineStr"/>
      <c r="G216" t="inlineStr"/>
      <c r="H216" t="inlineStr">
        <is>
          <t>medium</t>
        </is>
      </c>
      <c r="I216" t="inlineStr">
        <is>
          <t>habitat_size_guild</t>
        </is>
      </c>
      <c r="J216" t="n">
        <v>10071.892</v>
      </c>
      <c r="K216" t="n">
        <v>0.0036</v>
      </c>
      <c r="L216" s="6" t="inlineStr">
        <is>
          <t>Dorab wolf-herring is a fully piscivorous clupeiform with fang-like teeth, unlike the filter-feeding clupeids Supplementary Table S1 places in Planktivores.</t>
        </is>
      </c>
    </row>
    <row r="217">
      <c r="A217" t="inlineStr">
        <is>
          <t>Oratosquilla oratoria</t>
        </is>
      </c>
      <c r="B217" t="inlineStr">
        <is>
          <t>Japanese squillid mantis shrimp</t>
        </is>
      </c>
      <c r="C217" t="inlineStr">
        <is>
          <t>Shrimps</t>
        </is>
      </c>
      <c r="D217" t="inlineStr">
        <is>
          <t>Crustaceans</t>
        </is>
      </c>
      <c r="E217" s="5" t="inlineStr">
        <is>
          <t>Shrimps</t>
        </is>
      </c>
      <c r="F217" t="inlineStr"/>
      <c r="G217" t="inlineStr"/>
      <c r="H217" t="inlineStr">
        <is>
          <t>medium</t>
        </is>
      </c>
      <c r="I217" t="inlineStr">
        <is>
          <t>analogue</t>
        </is>
      </c>
      <c r="J217" t="n">
        <v>7655.831</v>
      </c>
      <c r="K217" t="n">
        <v>0.0027</v>
      </c>
      <c r="L217" s="6" t="inlineStr">
        <is>
          <t>The Japanese mantis shrimp is a stomatopod landed with the shrimp catch of the East China Sea trawl fishery; placed with the model's shrimp compartment for the same reason as the family record, since Benthic Crustaceans is defined as Gammaridea and Cumacea.</t>
        </is>
      </c>
    </row>
    <row r="218">
      <c r="A218" t="inlineStr">
        <is>
          <t>Saurida</t>
        </is>
      </c>
      <c r="B218" t="inlineStr">
        <is>
          <t>Lizardfishes</t>
        </is>
      </c>
      <c r="C218" t="inlineStr">
        <is>
          <t>Medium demersals (30 - 89 cm)</t>
        </is>
      </c>
      <c r="D218" t="inlineStr">
        <is>
          <t>Other fishes &amp; inverts</t>
        </is>
      </c>
      <c r="E218" s="7" t="inlineStr">
        <is>
          <t>Piscivores</t>
        </is>
      </c>
      <c r="F218" t="inlineStr"/>
      <c r="G218" t="inlineStr"/>
      <c r="H218" t="inlineStr">
        <is>
          <t>high</t>
        </is>
      </c>
      <c r="I218" t="inlineStr">
        <is>
          <t>taxonomic_containment</t>
        </is>
      </c>
      <c r="J218" t="n">
        <v>7506.669</v>
      </c>
      <c r="K218" t="n">
        <v>0.0027</v>
      </c>
      <c r="L218" s="6" t="inlineStr">
        <is>
          <t>Supplementary Table S1 lists Saurida tumbil in Piscivores; this genus-level record is that genus.</t>
        </is>
      </c>
    </row>
    <row r="219">
      <c r="A219" t="inlineStr">
        <is>
          <t>Stolephorus</t>
        </is>
      </c>
      <c r="B219" t="inlineStr">
        <is>
          <t>Garment anchovies</t>
        </is>
      </c>
      <c r="C219" t="inlineStr">
        <is>
          <t>Small pelagics (&lt;30 cm)</t>
        </is>
      </c>
      <c r="D219" t="inlineStr">
        <is>
          <t>Anchovies</t>
        </is>
      </c>
      <c r="E219" s="7" t="inlineStr">
        <is>
          <t>Planktivores</t>
        </is>
      </c>
      <c r="F219" t="inlineStr"/>
      <c r="G219" t="inlineStr"/>
      <c r="H219" t="inlineStr">
        <is>
          <t>high</t>
        </is>
      </c>
      <c r="I219" t="inlineStr">
        <is>
          <t>taxonomic_containment</t>
        </is>
      </c>
      <c r="J219" t="n">
        <v>6796.825</v>
      </c>
      <c r="K219" t="n">
        <v>0.0024</v>
      </c>
      <c r="L219" s="6" t="inlineStr">
        <is>
          <t>Supplementary Table S1 lists Stolephorus commersonnii in Planktivores; this genus-level record is that genus.</t>
        </is>
      </c>
    </row>
    <row r="220">
      <c r="A220" t="inlineStr">
        <is>
          <t>Sphyraena</t>
        </is>
      </c>
      <c r="B220" t="inlineStr">
        <is>
          <t>Barracudas, sennets</t>
        </is>
      </c>
      <c r="C220" t="inlineStr">
        <is>
          <t>Large pelagics (&gt;=90 cm)</t>
        </is>
      </c>
      <c r="D220" t="inlineStr">
        <is>
          <t>Perch-likes</t>
        </is>
      </c>
      <c r="E220" s="7" t="inlineStr">
        <is>
          <t>Piscivores</t>
        </is>
      </c>
      <c r="F220" t="inlineStr"/>
      <c r="G220" t="inlineStr"/>
      <c r="H220" t="inlineStr">
        <is>
          <t>high</t>
        </is>
      </c>
      <c r="I220" t="inlineStr">
        <is>
          <t>taxonomic_containment</t>
        </is>
      </c>
      <c r="J220" t="n">
        <v>4858.532</v>
      </c>
      <c r="K220" t="n">
        <v>0.0017</v>
      </c>
      <c r="L220" s="6" t="inlineStr">
        <is>
          <t>Supplementary Table S1 lists Sphyraena pinguis and Sphyraena japonica in Piscivores; this genus-level record is that genus.</t>
        </is>
      </c>
    </row>
    <row r="221">
      <c r="A221" t="inlineStr">
        <is>
          <t>Rapana</t>
        </is>
      </c>
      <c r="B221" t="inlineStr">
        <is>
          <t>Rapa whelks</t>
        </is>
      </c>
      <c r="C221" t="inlineStr">
        <is>
          <t>Other demersal invertebrates</t>
        </is>
      </c>
      <c r="D221" t="inlineStr">
        <is>
          <t>Molluscs</t>
        </is>
      </c>
      <c r="E221" s="5" t="inlineStr">
        <is>
          <t>Mollusks</t>
        </is>
      </c>
      <c r="F221" t="inlineStr"/>
      <c r="G221" t="inlineStr"/>
      <c r="H221" t="inlineStr">
        <is>
          <t>medium</t>
        </is>
      </c>
      <c r="I221" t="inlineStr">
        <is>
          <t>taxonomic_containment</t>
        </is>
      </c>
      <c r="J221" t="n">
        <v>4839.315</v>
      </c>
      <c r="K221" t="n">
        <v>0.0017</v>
      </c>
      <c r="L221" s="6" t="inlineStr">
        <is>
          <t>Rapa whelks fall inside the model's Mollusks group by name, but Supplementary Table S1 states its composition as bivalves only, so a gastropod is included on the group's taxonomic name rather than on its listed membership.</t>
        </is>
      </c>
    </row>
    <row r="222">
      <c r="A222" t="inlineStr">
        <is>
          <t>Sphyraenidae</t>
        </is>
      </c>
      <c r="B222" t="inlineStr">
        <is>
          <t>Barracudas</t>
        </is>
      </c>
      <c r="C222" t="inlineStr">
        <is>
          <t>Medium reef assoc. fish (30 - 89 cm)</t>
        </is>
      </c>
      <c r="D222" t="inlineStr">
        <is>
          <t>Perch-likes</t>
        </is>
      </c>
      <c r="E222" s="7" t="inlineStr">
        <is>
          <t>Piscivores</t>
        </is>
      </c>
      <c r="F222" t="inlineStr"/>
      <c r="G222" t="inlineStr"/>
      <c r="H222" t="inlineStr">
        <is>
          <t>high</t>
        </is>
      </c>
      <c r="I222" t="inlineStr">
        <is>
          <t>taxonomic_containment</t>
        </is>
      </c>
      <c r="J222" t="n">
        <v>4739.088</v>
      </c>
      <c r="K222" t="n">
        <v>0.0017</v>
      </c>
      <c r="L222" s="6" t="inlineStr">
        <is>
          <t>Supplementary Table S1 lists two Sphyraena species in Piscivores; Sphyraenidae is a monogeneric family, so the family record is that genus.</t>
        </is>
      </c>
    </row>
    <row r="223">
      <c r="A223" t="inlineStr">
        <is>
          <t>Pseudopleuronectes herzensteini</t>
        </is>
      </c>
      <c r="B223" t="inlineStr">
        <is>
          <t>Yellow striped flounder</t>
        </is>
      </c>
      <c r="C223" t="inlineStr">
        <is>
          <t>Small to medium flatfishes (&lt;90 cm)</t>
        </is>
      </c>
      <c r="D223" t="inlineStr">
        <is>
          <t>Flatfishes</t>
        </is>
      </c>
      <c r="E223" s="5" t="inlineStr">
        <is>
          <t>Benthivores</t>
        </is>
      </c>
      <c r="F223" t="inlineStr"/>
      <c r="G223" t="inlineStr"/>
      <c r="H223" t="inlineStr">
        <is>
          <t>medium</t>
        </is>
      </c>
      <c r="I223" t="inlineStr">
        <is>
          <t>habitat_size_guild</t>
        </is>
      </c>
      <c r="J223" t="n">
        <v>4449.596</v>
      </c>
      <c r="K223" t="n">
        <v>0.0016</v>
      </c>
      <c r="L223" s="6" t="inlineStr">
        <is>
          <t>Pleuronectid flounder feeding on polychaetes and small benthic crustaceans, the Benthivores type of Supplementary Table S1.</t>
        </is>
      </c>
    </row>
    <row r="224">
      <c r="A224" t="inlineStr">
        <is>
          <t>Hemitriakis japanica</t>
        </is>
      </c>
      <c r="B224" t="inlineStr">
        <is>
          <t>Japanese topeshark</t>
        </is>
      </c>
      <c r="C224" t="inlineStr">
        <is>
          <t>Large sharks (&gt;=90 cm)</t>
        </is>
      </c>
      <c r="D224" t="inlineStr">
        <is>
          <t>Sharks &amp; rays</t>
        </is>
      </c>
      <c r="E224" s="7" t="inlineStr">
        <is>
          <t>Sharks</t>
        </is>
      </c>
      <c r="F224" t="inlineStr"/>
      <c r="G224" t="inlineStr"/>
      <c r="H224" t="inlineStr">
        <is>
          <t>high</t>
        </is>
      </c>
      <c r="I224" t="inlineStr">
        <is>
          <t>taxonomic_containment</t>
        </is>
      </c>
      <c r="J224" t="n">
        <v>4446.223</v>
      </c>
      <c r="K224" t="n">
        <v>0.0016</v>
      </c>
      <c r="L224" s="6" t="inlineStr">
        <is>
          <t>Japanese topeshark fall inside the model's Sharks group, which Supplementary Table S1 represents by Scoliodon laticaudus and which is the model's only shark compartment.</t>
        </is>
      </c>
    </row>
    <row r="225">
      <c r="A225" t="inlineStr">
        <is>
          <t>Makaira mazara</t>
        </is>
      </c>
      <c r="B225" t="inlineStr">
        <is>
          <t>Indo-Pacific blue marlin</t>
        </is>
      </c>
      <c r="C225" t="inlineStr">
        <is>
          <t>Large pelagics (&gt;=90 cm)</t>
        </is>
      </c>
      <c r="D225" t="inlineStr">
        <is>
          <t>Tuna &amp; billfishes</t>
        </is>
      </c>
      <c r="E225" s="8" t="inlineStr">
        <is>
          <t>Piscivores</t>
        </is>
      </c>
      <c r="F225" t="inlineStr"/>
      <c r="G225" t="inlineStr"/>
      <c r="H225" t="inlineStr">
        <is>
          <t>low</t>
        </is>
      </c>
      <c r="I225" t="inlineStr">
        <is>
          <t>analogue</t>
        </is>
      </c>
      <c r="J225" t="n">
        <v>4319.18</v>
      </c>
      <c r="K225" t="n">
        <v>0.0015</v>
      </c>
      <c r="L225" s="6" t="inlineStr">
        <is>
          <t>Blue marlin is an oceanic piscivore placed in the model's fish-eating guild by analogy; no billfish appears in Supplementary Table S1.</t>
        </is>
      </c>
    </row>
    <row r="226">
      <c r="A226" t="inlineStr">
        <is>
          <t>Marine pelagic fishes not identified</t>
        </is>
      </c>
      <c r="B226" t="inlineStr">
        <is>
          <t>Pelagic fishes</t>
        </is>
      </c>
      <c r="C226" t="inlineStr">
        <is>
          <t>Medium pelagics (30 - 89 cm)</t>
        </is>
      </c>
      <c r="D226" t="inlineStr">
        <is>
          <t>Other fishes &amp; inverts</t>
        </is>
      </c>
      <c r="E226" s="5" t="inlineStr">
        <is>
          <t>Piscivores | Planktivores/Benthivores | Planktivores/piscivores</t>
        </is>
      </c>
      <c r="F226" t="inlineStr">
        <is>
          <t>0.342 | 0.457 | 0.201</t>
        </is>
      </c>
      <c r="G226" t="inlineStr">
        <is>
          <t>catch_composition</t>
        </is>
      </c>
      <c r="H226" t="inlineStr">
        <is>
          <t>medium</t>
        </is>
      </c>
      <c r="I226" t="inlineStr">
        <is>
          <t>composite_split</t>
        </is>
      </c>
      <c r="J226" t="n">
        <v>3605.253</v>
      </c>
      <c r="K226" t="n">
        <v>0.0013</v>
      </c>
      <c r="L226"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row>
    <row r="227">
      <c r="A227" t="inlineStr">
        <is>
          <t>Mierspenaeopsis hardwickii</t>
        </is>
      </c>
      <c r="B227" t="inlineStr">
        <is>
          <t>Spear shrimp</t>
        </is>
      </c>
      <c r="C227" t="inlineStr">
        <is>
          <t>Shrimps</t>
        </is>
      </c>
      <c r="D227" t="inlineStr">
        <is>
          <t>Crustaceans</t>
        </is>
      </c>
      <c r="E227" s="7" t="inlineStr">
        <is>
          <t>Shrimps</t>
        </is>
      </c>
      <c r="F227" t="inlineStr"/>
      <c r="G227" t="inlineStr"/>
      <c r="H227" t="inlineStr">
        <is>
          <t>high</t>
        </is>
      </c>
      <c r="I227" t="inlineStr">
        <is>
          <t>synonym</t>
        </is>
      </c>
      <c r="J227" t="n">
        <v>3465.975</v>
      </c>
      <c r="K227" t="n">
        <v>0.0012</v>
      </c>
      <c r="L227" s="6" t="inlineStr">
        <is>
          <t>Supplementary Table S1 lists 'Parapenaeopsis hardwickii' under Shrimps, the historical combination of this species.</t>
        </is>
      </c>
    </row>
    <row r="228">
      <c r="A228" t="inlineStr">
        <is>
          <t>Beryx</t>
        </is>
      </c>
      <c r="B228" t="inlineStr">
        <is>
          <t>Alfonsinos</t>
        </is>
      </c>
      <c r="C228" t="inlineStr">
        <is>
          <t>Medium benthopelagics (30 - 89 cm)</t>
        </is>
      </c>
      <c r="D228" t="inlineStr">
        <is>
          <t>Other fishes &amp; inverts</t>
        </is>
      </c>
      <c r="E228" s="5" t="inlineStr">
        <is>
          <t>Piscivores</t>
        </is>
      </c>
      <c r="F228" t="inlineStr"/>
      <c r="G228" t="inlineStr"/>
      <c r="H228" t="inlineStr">
        <is>
          <t>medium</t>
        </is>
      </c>
      <c r="I228" t="inlineStr">
        <is>
          <t>habitat_size_guild</t>
        </is>
      </c>
      <c r="J228" t="n">
        <v>2997.976</v>
      </c>
      <c r="K228" t="n">
        <v>0.0011</v>
      </c>
      <c r="L228" s="6" t="inlineStr">
        <is>
          <t>Alfonsinos are deep-slope predators on fish, squid and large crustaceans.</t>
        </is>
      </c>
    </row>
    <row r="229">
      <c r="A229" t="inlineStr">
        <is>
          <t>Auxis thazard</t>
        </is>
      </c>
      <c r="B229" t="inlineStr">
        <is>
          <t>Frigate tuna</t>
        </is>
      </c>
      <c r="C229" t="inlineStr">
        <is>
          <t>Medium pelagics (30 - 89 cm)</t>
        </is>
      </c>
      <c r="D229" t="inlineStr">
        <is>
          <t>Tuna &amp; billfishes</t>
        </is>
      </c>
      <c r="E229" s="7" t="inlineStr">
        <is>
          <t>Piscivores</t>
        </is>
      </c>
      <c r="F229" t="inlineStr"/>
      <c r="G229" t="inlineStr"/>
      <c r="H229" t="inlineStr">
        <is>
          <t>high</t>
        </is>
      </c>
      <c r="I229" t="inlineStr">
        <is>
          <t>explicit_member</t>
        </is>
      </c>
      <c r="J229" t="n">
        <v>2330.078</v>
      </c>
      <c r="K229" t="n">
        <v>0.0008</v>
      </c>
      <c r="L229" s="6" t="inlineStr">
        <is>
          <t>Supplementary Table S1 lists Auxis thazard under Piscivores.</t>
        </is>
      </c>
    </row>
    <row r="230">
      <c r="A230" t="inlineStr">
        <is>
          <t>Polydactylus sexfilis</t>
        </is>
      </c>
      <c r="B230" t="inlineStr">
        <is>
          <t>Sixfinger threadfin</t>
        </is>
      </c>
      <c r="C230" t="inlineStr">
        <is>
          <t>Medium demersals (30 - 89 cm)</t>
        </is>
      </c>
      <c r="D230" t="inlineStr">
        <is>
          <t>Perch-likes</t>
        </is>
      </c>
      <c r="E230" s="7" t="inlineStr">
        <is>
          <t>Benthivores</t>
        </is>
      </c>
      <c r="F230" t="inlineStr"/>
      <c r="G230" t="inlineStr"/>
      <c r="H230" t="inlineStr">
        <is>
          <t>high</t>
        </is>
      </c>
      <c r="I230" t="inlineStr">
        <is>
          <t>taxonomic_containment</t>
        </is>
      </c>
      <c r="J230" t="n">
        <v>2144.493</v>
      </c>
      <c r="K230" t="n">
        <v>0.0008</v>
      </c>
      <c r="L230" s="6" t="inlineStr">
        <is>
          <t>Supplementary Table S1 lists Polydactylus sextarius under Benthivores; this record is another species of that listed genus. It corrects an inherited assignment to Omnivores, which holds the other polynemid, Eleutheronema tetradactylum.</t>
        </is>
      </c>
    </row>
    <row r="231">
      <c r="A231" t="inlineStr">
        <is>
          <t>Seriola dumerili</t>
        </is>
      </c>
      <c r="B231" t="inlineStr">
        <is>
          <t>Greater amberjack</t>
        </is>
      </c>
      <c r="C231" t="inlineStr">
        <is>
          <t>Large reef assoc. fish (&gt;=90 cm)</t>
        </is>
      </c>
      <c r="D231" t="inlineStr">
        <is>
          <t>Perch-likes</t>
        </is>
      </c>
      <c r="E231" s="5" t="inlineStr">
        <is>
          <t>Piscivores</t>
        </is>
      </c>
      <c r="F231" t="inlineStr"/>
      <c r="G231" t="inlineStr"/>
      <c r="H231" t="inlineStr">
        <is>
          <t>medium</t>
        </is>
      </c>
      <c r="I231" t="inlineStr">
        <is>
          <t>habitat_size_guild</t>
        </is>
      </c>
      <c r="J231" t="n">
        <v>2118.212</v>
      </c>
      <c r="K231" t="n">
        <v>0.0007</v>
      </c>
      <c r="L231" s="6" t="inlineStr">
        <is>
          <t>Greater amberjack is a large carangid piscivore, matching the model's fish-eating guild.</t>
        </is>
      </c>
    </row>
    <row r="232">
      <c r="A232" t="inlineStr">
        <is>
          <t>Cheilopogon unicolor</t>
        </is>
      </c>
      <c r="B232" t="inlineStr">
        <is>
          <t>Limpidwing flyingfish</t>
        </is>
      </c>
      <c r="C232" t="inlineStr">
        <is>
          <t>Medium pelagics (30 - 89 cm)</t>
        </is>
      </c>
      <c r="D232" t="inlineStr">
        <is>
          <t>Other fishes &amp; inverts</t>
        </is>
      </c>
      <c r="E232" s="5" t="inlineStr">
        <is>
          <t>Planktivores</t>
        </is>
      </c>
      <c r="F232" t="inlineStr"/>
      <c r="G232" t="inlineStr"/>
      <c r="H232" t="inlineStr">
        <is>
          <t>medium</t>
        </is>
      </c>
      <c r="I232" t="inlineStr">
        <is>
          <t>habitat_size_guild</t>
        </is>
      </c>
      <c r="J232" t="n">
        <v>2088.956</v>
      </c>
      <c r="K232" t="n">
        <v>0.0007</v>
      </c>
      <c r="L232" s="6" t="inlineStr">
        <is>
          <t>Flyingfish; an epipelagic zooplanktivore matching the model's plankton-feeding guild.</t>
        </is>
      </c>
    </row>
    <row r="233">
      <c r="A233" t="inlineStr">
        <is>
          <t>Lates calcarifer</t>
        </is>
      </c>
      <c r="B233" t="inlineStr">
        <is>
          <t>Barramundi</t>
        </is>
      </c>
      <c r="C233" t="inlineStr">
        <is>
          <t>Large demersals (&gt;=90 cm)</t>
        </is>
      </c>
      <c r="D233" t="inlineStr">
        <is>
          <t>Perch-likes</t>
        </is>
      </c>
      <c r="E233" s="5" t="inlineStr">
        <is>
          <t>Piscivores</t>
        </is>
      </c>
      <c r="F233" t="inlineStr"/>
      <c r="G233" t="inlineStr"/>
      <c r="H233" t="inlineStr">
        <is>
          <t>medium</t>
        </is>
      </c>
      <c r="I233" t="inlineStr">
        <is>
          <t>habitat_size_guild</t>
        </is>
      </c>
      <c r="J233" t="n">
        <v>1967.069</v>
      </c>
      <c r="K233" t="n">
        <v>0.0007</v>
      </c>
      <c r="L233" s="6" t="inlineStr">
        <is>
          <t>Barramundi is a large estuarine and coastal ambush piscivore.</t>
        </is>
      </c>
    </row>
    <row r="234">
      <c r="A234" t="inlineStr">
        <is>
          <t>Hexagrammidae</t>
        </is>
      </c>
      <c r="B234" t="inlineStr">
        <is>
          <t>Greenlings</t>
        </is>
      </c>
      <c r="C234" t="inlineStr">
        <is>
          <t>Medium demersals (30 - 89 cm)</t>
        </is>
      </c>
      <c r="D234" t="inlineStr">
        <is>
          <t>Scorpionfishes</t>
        </is>
      </c>
      <c r="E234" s="5" t="inlineStr">
        <is>
          <t>Benthivores</t>
        </is>
      </c>
      <c r="F234" t="inlineStr"/>
      <c r="G234" t="inlineStr"/>
      <c r="H234" t="inlineStr">
        <is>
          <t>medium</t>
        </is>
      </c>
      <c r="I234" t="inlineStr">
        <is>
          <t>habitat_size_guild</t>
        </is>
      </c>
      <c r="J234" t="n">
        <v>1670.994</v>
      </c>
      <c r="K234" t="n">
        <v>0.0005999999999999999</v>
      </c>
      <c r="L234" s="6" t="inlineStr">
        <is>
          <t>Family record dominated in these landings by Hexagrammos, a demersal invertebrate feeder; the one pelagic-feeding hexagrammid, Pleurogrammus azonus, is reported separately by Sea Around Us.</t>
        </is>
      </c>
    </row>
    <row r="235">
      <c r="A235" t="inlineStr">
        <is>
          <t>Clupanodon thrissa</t>
        </is>
      </c>
      <c r="B235" t="inlineStr">
        <is>
          <t>Chinese gizzard shad</t>
        </is>
      </c>
      <c r="C235" t="inlineStr">
        <is>
          <t>Small pelagics (&lt;30 cm)</t>
        </is>
      </c>
      <c r="D235" t="inlineStr">
        <is>
          <t>Herring-likes</t>
        </is>
      </c>
      <c r="E235" s="5" t="inlineStr">
        <is>
          <t>Planktivores</t>
        </is>
      </c>
      <c r="F235" t="inlineStr"/>
      <c r="G235" t="inlineStr"/>
      <c r="H235" t="inlineStr">
        <is>
          <t>medium</t>
        </is>
      </c>
      <c r="I235" t="inlineStr">
        <is>
          <t>habitat_size_guild</t>
        </is>
      </c>
      <c r="J235" t="n">
        <v>1620.758</v>
      </c>
      <c r="K235" t="n">
        <v>0.0005999999999999999</v>
      </c>
      <c r="L235" s="6" t="inlineStr">
        <is>
          <t>Small clupeid filter feeder, the same functional type as Sardinella aurita, which Supplementary Table S1 lists in Planktivores.</t>
        </is>
      </c>
    </row>
    <row r="236">
      <c r="A236" t="inlineStr">
        <is>
          <t>Ommastrephes bartramii</t>
        </is>
      </c>
      <c r="B236" t="inlineStr">
        <is>
          <t>Neon flying squid</t>
        </is>
      </c>
      <c r="C236" t="inlineStr">
        <is>
          <t>Cephalopods</t>
        </is>
      </c>
      <c r="D236" t="inlineStr">
        <is>
          <t>Other fishes &amp; inverts</t>
        </is>
      </c>
      <c r="E236" s="7" t="inlineStr">
        <is>
          <t>Cephalopods</t>
        </is>
      </c>
      <c r="F236" t="inlineStr"/>
      <c r="G236" t="inlineStr"/>
      <c r="H236" t="inlineStr">
        <is>
          <t>high</t>
        </is>
      </c>
      <c r="I236" t="inlineStr">
        <is>
          <t>explicit_member</t>
        </is>
      </c>
      <c r="J236" t="n">
        <v>1514.036</v>
      </c>
      <c r="K236" t="n">
        <v>0.0005</v>
      </c>
      <c r="L236" s="6" t="inlineStr">
        <is>
          <t>Supplementary Table S1 lists Ommastrephes bartrami under Cephalopods; this record is that species under its accepted spelling.</t>
        </is>
      </c>
    </row>
    <row r="237">
      <c r="A237" t="inlineStr">
        <is>
          <t>Mola mola</t>
        </is>
      </c>
      <c r="B237" t="inlineStr">
        <is>
          <t>Ocean sunfish</t>
        </is>
      </c>
      <c r="C237" t="inlineStr">
        <is>
          <t>Large pelagics (&gt;=90 cm)</t>
        </is>
      </c>
      <c r="D237" t="inlineStr">
        <is>
          <t>Other fishes &amp; inverts</t>
        </is>
      </c>
      <c r="E237" s="9" t="inlineStr">
        <is>
          <t>Unresolved</t>
        </is>
      </c>
      <c r="F237" t="inlineStr"/>
      <c r="G237" t="inlineStr"/>
      <c r="H237" t="inlineStr">
        <is>
          <t>unresolved</t>
        </is>
      </c>
      <c r="I237" t="inlineStr">
        <is>
          <t>none</t>
        </is>
      </c>
      <c r="J237" t="n">
        <v>1457.208</v>
      </c>
      <c r="K237" t="n">
        <v>0.0005</v>
      </c>
      <c r="L237" s="6"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row>
    <row r="238">
      <c r="A238" t="inlineStr">
        <is>
          <t>Scaridae</t>
        </is>
      </c>
      <c r="B238" t="inlineStr">
        <is>
          <t>Parrotfishes</t>
        </is>
      </c>
      <c r="C238" t="inlineStr">
        <is>
          <t>Medium reef assoc. fish (30 - 89 cm)</t>
        </is>
      </c>
      <c r="D238" t="inlineStr">
        <is>
          <t>Perch-likes</t>
        </is>
      </c>
      <c r="E238" s="9" t="inlineStr">
        <is>
          <t>Unresolved</t>
        </is>
      </c>
      <c r="F238" t="inlineStr"/>
      <c r="G238" t="inlineStr"/>
      <c r="H238" t="inlineStr">
        <is>
          <t>unresolved</t>
        </is>
      </c>
      <c r="I238" t="inlineStr">
        <is>
          <t>none</t>
        </is>
      </c>
      <c r="J238" t="n">
        <v>1393.041</v>
      </c>
      <c r="K238" t="n">
        <v>0.0005</v>
      </c>
      <c r="L238" s="6" t="inlineStr">
        <is>
          <t>Parrotfishes are obligate reef herbivores grazing algae and coral. The model of the East China Sea shelf has no herbivorous fish group at all - the lowest fish guild, Planktivores, is a zooplankton feeder - so this record has no home in it.</t>
        </is>
      </c>
    </row>
    <row r="239">
      <c r="A239" t="inlineStr">
        <is>
          <t>Aluterus</t>
        </is>
      </c>
      <c r="B239" t="inlineStr">
        <is>
          <t>Aluterid filefishes</t>
        </is>
      </c>
      <c r="C239" t="inlineStr">
        <is>
          <t>Large reef assoc. fish (&gt;=90 cm)</t>
        </is>
      </c>
      <c r="D239" t="inlineStr">
        <is>
          <t>Other fishes &amp; inverts</t>
        </is>
      </c>
      <c r="E239" s="7" t="inlineStr">
        <is>
          <t>Planktivores/piscivores</t>
        </is>
      </c>
      <c r="F239" t="inlineStr"/>
      <c r="G239" t="inlineStr"/>
      <c r="H239" t="inlineStr">
        <is>
          <t>high</t>
        </is>
      </c>
      <c r="I239" t="inlineStr">
        <is>
          <t>taxonomic_containment</t>
        </is>
      </c>
      <c r="J239" t="n">
        <v>1323.441</v>
      </c>
      <c r="K239" t="n">
        <v>0.0005</v>
      </c>
      <c r="L239" s="6" t="inlineStr">
        <is>
          <t>Supplementary Table S1 lists Aluterus monoceros in Planktivores/piscivores; this genus-level record is that genus.</t>
        </is>
      </c>
    </row>
    <row r="240">
      <c r="A240" t="inlineStr">
        <is>
          <t>Chionoecetes</t>
        </is>
      </c>
      <c r="B240" t="inlineStr">
        <is>
          <t>Tanner, snow crabs</t>
        </is>
      </c>
      <c r="C240" t="inlineStr">
        <is>
          <t>Lobsters, crabs</t>
        </is>
      </c>
      <c r="D240" t="inlineStr">
        <is>
          <t>Crustaceans</t>
        </is>
      </c>
      <c r="E240" s="7" t="inlineStr">
        <is>
          <t>Crabs</t>
        </is>
      </c>
      <c r="F240" t="inlineStr"/>
      <c r="G240" t="inlineStr"/>
      <c r="H240" t="inlineStr">
        <is>
          <t>high</t>
        </is>
      </c>
      <c r="I240" t="inlineStr">
        <is>
          <t>taxonomic_containment</t>
        </is>
      </c>
      <c r="J240" t="n">
        <v>1217.482</v>
      </c>
      <c r="K240" t="n">
        <v>0.0004</v>
      </c>
      <c r="L240" s="6" t="inlineStr">
        <is>
          <t>Snow crabs fall inside the model's Crabs group, which Supplementary Table S1 fills with six portunids (Portunus trituberculatus, Charybdis feriatus, C. bimaculata, P. sanguinolentus, C. acuta, P. argentatus).</t>
        </is>
      </c>
    </row>
    <row r="241">
      <c r="A241" t="inlineStr">
        <is>
          <t>Prionace glauca</t>
        </is>
      </c>
      <c r="B241" t="inlineStr">
        <is>
          <t>Blue shark</t>
        </is>
      </c>
      <c r="C241" t="inlineStr">
        <is>
          <t>Large sharks (&gt;=90 cm)</t>
        </is>
      </c>
      <c r="D241" t="inlineStr">
        <is>
          <t>Sharks &amp; rays</t>
        </is>
      </c>
      <c r="E241" s="7" t="inlineStr">
        <is>
          <t>Sharks</t>
        </is>
      </c>
      <c r="F241" t="inlineStr"/>
      <c r="G241" t="inlineStr"/>
      <c r="H241" t="inlineStr">
        <is>
          <t>high</t>
        </is>
      </c>
      <c r="I241" t="inlineStr">
        <is>
          <t>taxonomic_containment</t>
        </is>
      </c>
      <c r="J241" t="n">
        <v>1202.528</v>
      </c>
      <c r="K241" t="n">
        <v>0.0004</v>
      </c>
      <c r="L241" s="6" t="inlineStr">
        <is>
          <t>Blue shark fall inside the model's Sharks group, which Supplementary Table S1 represents by Scoliodon laticaudus and which is the model's only shark compartment.</t>
        </is>
      </c>
    </row>
    <row r="242">
      <c r="A242" t="inlineStr">
        <is>
          <t>Scylla</t>
        </is>
      </c>
      <c r="B242" t="inlineStr">
        <is>
          <t>Mud crabs</t>
        </is>
      </c>
      <c r="C242" t="inlineStr">
        <is>
          <t>Lobsters, crabs</t>
        </is>
      </c>
      <c r="D242" t="inlineStr">
        <is>
          <t>Crustaceans</t>
        </is>
      </c>
      <c r="E242" s="7" t="inlineStr">
        <is>
          <t>Crabs</t>
        </is>
      </c>
      <c r="F242" t="inlineStr"/>
      <c r="G242" t="inlineStr"/>
      <c r="H242" t="inlineStr">
        <is>
          <t>high</t>
        </is>
      </c>
      <c r="I242" t="inlineStr">
        <is>
          <t>taxonomic_containment</t>
        </is>
      </c>
      <c r="J242" t="n">
        <v>1157.359</v>
      </c>
      <c r="K242" t="n">
        <v>0.0004</v>
      </c>
      <c r="L242" s="6" t="inlineStr">
        <is>
          <t>Mud crabs fall inside the model's Crabs group, which Supplementary Table S1 fills with six portunids (Portunus trituberculatus, Charybdis feriatus, C. bimaculata, P. sanguinolentus, C. acuta, P. argentatus).</t>
        </is>
      </c>
    </row>
    <row r="243">
      <c r="A243" t="inlineStr">
        <is>
          <t>Gadiformes</t>
        </is>
      </c>
      <c r="B243" t="inlineStr">
        <is>
          <t>Cods</t>
        </is>
      </c>
      <c r="C243" t="inlineStr">
        <is>
          <t>Medium benthopelagics (30 - 89 cm)</t>
        </is>
      </c>
      <c r="D243" t="inlineStr">
        <is>
          <t>Cod-likes</t>
        </is>
      </c>
      <c r="E243" s="5" t="inlineStr">
        <is>
          <t>Planktivores | Piscivores</t>
        </is>
      </c>
      <c r="F243" t="inlineStr">
        <is>
          <t>0.763 | 0.237</t>
        </is>
      </c>
      <c r="G243" t="inlineStr">
        <is>
          <t>catch_composition</t>
        </is>
      </c>
      <c r="H243" t="inlineStr">
        <is>
          <t>medium</t>
        </is>
      </c>
      <c r="I243" t="inlineStr">
        <is>
          <t>composite_split</t>
        </is>
      </c>
      <c r="J243" t="n">
        <v>1107.01</v>
      </c>
      <c r="K243" t="n">
        <v>0.0004</v>
      </c>
      <c r="L243" s="6" t="inlineStr">
        <is>
          <t>Order-level record. Supplementary Table S1 places the model's two gadiforms in different guilds: Bregmaceros macclellandii in Planktivores and Coelorinchus multispinulosus in Piscivores. Apportioned by catch composition.</t>
        </is>
      </c>
    </row>
    <row r="244">
      <c r="A244" t="inlineStr">
        <is>
          <t>Encrasicholina punctifer</t>
        </is>
      </c>
      <c r="B244" t="inlineStr">
        <is>
          <t>Buccaneer anchovy</t>
        </is>
      </c>
      <c r="C244" t="inlineStr">
        <is>
          <t>Small pelagics (&lt;30 cm)</t>
        </is>
      </c>
      <c r="D244" t="inlineStr">
        <is>
          <t>Anchovies</t>
        </is>
      </c>
      <c r="E244" s="5" t="inlineStr">
        <is>
          <t>Planktivores</t>
        </is>
      </c>
      <c r="F244" t="inlineStr"/>
      <c r="G244" t="inlineStr"/>
      <c r="H244" t="inlineStr">
        <is>
          <t>medium</t>
        </is>
      </c>
      <c r="I244" t="inlineStr">
        <is>
          <t>habitat_size_guild</t>
        </is>
      </c>
      <c r="J244" t="n">
        <v>1056.162</v>
      </c>
      <c r="K244" t="n">
        <v>0.0004</v>
      </c>
      <c r="L244" s="6" t="inlineStr">
        <is>
          <t>Small engraulid zooplanktivore; Supplementary Table S1 places the closely related Stolephorus commersonnii and three Thryssa species in Planktivores.</t>
        </is>
      </c>
    </row>
    <row r="245">
      <c r="A245" t="inlineStr">
        <is>
          <t>Nibea albiflora</t>
        </is>
      </c>
      <c r="B245" t="inlineStr">
        <is>
          <t>Yellow drum</t>
        </is>
      </c>
      <c r="C245" t="inlineStr">
        <is>
          <t>Medium benthopelagics (30 - 89 cm)</t>
        </is>
      </c>
      <c r="D245" t="inlineStr">
        <is>
          <t>Perch-likes</t>
        </is>
      </c>
      <c r="E245" s="7" t="inlineStr">
        <is>
          <t>Omnivores</t>
        </is>
      </c>
      <c r="F245" t="inlineStr"/>
      <c r="G245" t="inlineStr"/>
      <c r="H245" t="inlineStr">
        <is>
          <t>high</t>
        </is>
      </c>
      <c r="I245" t="inlineStr">
        <is>
          <t>explicit_member</t>
        </is>
      </c>
      <c r="J245" t="n">
        <v>1043.592</v>
      </c>
      <c r="K245" t="n">
        <v>0.0004</v>
      </c>
      <c r="L245" s="6" t="inlineStr">
        <is>
          <t>Supplementary Table S1 lists Nibea albiflora under Omnivores.</t>
        </is>
      </c>
    </row>
    <row r="246">
      <c r="A246" t="inlineStr">
        <is>
          <t>Carcharhinus falciformis</t>
        </is>
      </c>
      <c r="B246" t="inlineStr">
        <is>
          <t>Silky shark</t>
        </is>
      </c>
      <c r="C246" t="inlineStr">
        <is>
          <t>Large sharks (&gt;=90 cm)</t>
        </is>
      </c>
      <c r="D246" t="inlineStr">
        <is>
          <t>Sharks &amp; rays</t>
        </is>
      </c>
      <c r="E246" s="7" t="inlineStr">
        <is>
          <t>Sharks</t>
        </is>
      </c>
      <c r="F246" t="inlineStr"/>
      <c r="G246" t="inlineStr"/>
      <c r="H246" t="inlineStr">
        <is>
          <t>high</t>
        </is>
      </c>
      <c r="I246" t="inlineStr">
        <is>
          <t>taxonomic_containment</t>
        </is>
      </c>
      <c r="J246" t="n">
        <v>978.989</v>
      </c>
      <c r="K246" t="n">
        <v>0.0003</v>
      </c>
      <c r="L246" s="6" t="inlineStr">
        <is>
          <t>Silky shark fall inside the model's Sharks group, which Supplementary Table S1 represents by Scoliodon laticaudus and which is the model's only shark compartment.</t>
        </is>
      </c>
    </row>
    <row r="247">
      <c r="A247" t="inlineStr">
        <is>
          <t>Parupeneus barberinus</t>
        </is>
      </c>
      <c r="B247" t="inlineStr">
        <is>
          <t>Dash-and-dot goatfish</t>
        </is>
      </c>
      <c r="C247" t="inlineStr">
        <is>
          <t>Medium reef assoc. fish (30 - 89 cm)</t>
        </is>
      </c>
      <c r="D247" t="inlineStr">
        <is>
          <t>Perch-likes</t>
        </is>
      </c>
      <c r="E247" s="5" t="inlineStr">
        <is>
          <t>Benthivores</t>
        </is>
      </c>
      <c r="F247" t="inlineStr"/>
      <c r="G247" t="inlineStr"/>
      <c r="H247" t="inlineStr">
        <is>
          <t>medium</t>
        </is>
      </c>
      <c r="I247" t="inlineStr">
        <is>
          <t>habitat_size_guild</t>
        </is>
      </c>
      <c r="J247" t="n">
        <v>846.724</v>
      </c>
      <c r="K247" t="n">
        <v>0.0003</v>
      </c>
      <c r="L247" s="6" t="inlineStr">
        <is>
          <t>Goatfish feeding on benthic invertebrates dug from the sediment, matching Benthivores.</t>
        </is>
      </c>
    </row>
    <row r="248">
      <c r="A248" t="inlineStr">
        <is>
          <t>Epinephelus malabaricus</t>
        </is>
      </c>
      <c r="B248" t="inlineStr">
        <is>
          <t>Malabar grouper</t>
        </is>
      </c>
      <c r="C248" t="inlineStr">
        <is>
          <t>Large reef assoc. fish (&gt;=90 cm)</t>
        </is>
      </c>
      <c r="D248" t="inlineStr">
        <is>
          <t>Perch-likes</t>
        </is>
      </c>
      <c r="E248" s="5" t="inlineStr">
        <is>
          <t>Piscivores</t>
        </is>
      </c>
      <c r="F248" t="inlineStr"/>
      <c r="G248" t="inlineStr"/>
      <c r="H248" t="inlineStr">
        <is>
          <t>medium</t>
        </is>
      </c>
      <c r="I248" t="inlineStr">
        <is>
          <t>habitat_size_guild</t>
        </is>
      </c>
      <c r="J248" t="n">
        <v>777.019</v>
      </c>
      <c r="K248" t="n">
        <v>0.0003</v>
      </c>
      <c r="L248" s="6" t="inlineStr">
        <is>
          <t>Malabar grouper is an ambush piscivore, matching the model's fish-eating guild.</t>
        </is>
      </c>
    </row>
    <row r="249">
      <c r="A249" t="inlineStr">
        <is>
          <t>Ranina ranina</t>
        </is>
      </c>
      <c r="B249" t="inlineStr">
        <is>
          <t xml:space="preserve">Kona crab </t>
        </is>
      </c>
      <c r="C249" t="inlineStr">
        <is>
          <t>Lobsters, crabs</t>
        </is>
      </c>
      <c r="D249" t="inlineStr">
        <is>
          <t>Crustaceans</t>
        </is>
      </c>
      <c r="E249" s="7" t="inlineStr">
        <is>
          <t>Crabs</t>
        </is>
      </c>
      <c r="F249" t="inlineStr"/>
      <c r="G249" t="inlineStr"/>
      <c r="H249" t="inlineStr">
        <is>
          <t>high</t>
        </is>
      </c>
      <c r="I249" t="inlineStr">
        <is>
          <t>taxonomic_containment</t>
        </is>
      </c>
      <c r="J249" t="n">
        <v>757.647</v>
      </c>
      <c r="K249" t="n">
        <v>0.0003</v>
      </c>
      <c r="L249" s="6" t="inlineStr">
        <is>
          <t>The spanner crab fall inside the model's Crabs group, which Supplementary Table S1 fills with six portunids (Portunus trituberculatus, Charybdis feriatus, C. bimaculata, P. sanguinolentus, C. acuta, P. argentatus).</t>
        </is>
      </c>
    </row>
    <row r="250">
      <c r="A250" t="inlineStr">
        <is>
          <t>Metapenaeus ensis</t>
        </is>
      </c>
      <c r="B250" t="inlineStr">
        <is>
          <t>Greasyback shrimp</t>
        </is>
      </c>
      <c r="C250" t="inlineStr">
        <is>
          <t>Shrimps</t>
        </is>
      </c>
      <c r="D250" t="inlineStr">
        <is>
          <t>Crustaceans</t>
        </is>
      </c>
      <c r="E250" s="7" t="inlineStr">
        <is>
          <t>Shrimps</t>
        </is>
      </c>
      <c r="F250" t="inlineStr"/>
      <c r="G250" t="inlineStr"/>
      <c r="H250" t="inlineStr">
        <is>
          <t>high</t>
        </is>
      </c>
      <c r="I250" t="inlineStr">
        <is>
          <t>taxonomic_containment</t>
        </is>
      </c>
      <c r="J250" t="n">
        <v>740.301</v>
      </c>
      <c r="K250" t="n">
        <v>0.0003</v>
      </c>
      <c r="L250" s="6" t="inlineStr">
        <is>
          <t>Greasyback shrimp fall inside the model's Shrimps group, which Supplementary Table S1 fills with thirteen penaeid, solenocerid, sergestid and caridean species including Metapenaeus joyneri, Parapenaeopsis hardwickii and Metapenaeopsis barbata.</t>
        </is>
      </c>
    </row>
    <row r="251">
      <c r="A251" t="inlineStr">
        <is>
          <t>Rachycentron canadum</t>
        </is>
      </c>
      <c r="B251" t="inlineStr">
        <is>
          <t>Cobia</t>
        </is>
      </c>
      <c r="C251" t="inlineStr">
        <is>
          <t>Large pelagics (&gt;=90 cm)</t>
        </is>
      </c>
      <c r="D251" t="inlineStr">
        <is>
          <t>Perch-likes</t>
        </is>
      </c>
      <c r="E251" s="5" t="inlineStr">
        <is>
          <t>Piscivores</t>
        </is>
      </c>
      <c r="F251" t="inlineStr"/>
      <c r="G251" t="inlineStr"/>
      <c r="H251" t="inlineStr">
        <is>
          <t>medium</t>
        </is>
      </c>
      <c r="I251" t="inlineStr">
        <is>
          <t>habitat_size_guild</t>
        </is>
      </c>
      <c r="J251" t="n">
        <v>574.593</v>
      </c>
      <c r="K251" t="n">
        <v>0.0002</v>
      </c>
      <c r="L251" s="6" t="inlineStr">
        <is>
          <t>Cobia is a large coastal pelagic predator on fish, crabs and squid.</t>
        </is>
      </c>
    </row>
    <row r="252">
      <c r="A252" t="inlineStr">
        <is>
          <t>Sphyraena barracuda</t>
        </is>
      </c>
      <c r="B252" t="inlineStr">
        <is>
          <t>Great barracuda</t>
        </is>
      </c>
      <c r="C252" t="inlineStr">
        <is>
          <t>Large pelagics (&gt;=90 cm)</t>
        </is>
      </c>
      <c r="D252" t="inlineStr">
        <is>
          <t>Perch-likes</t>
        </is>
      </c>
      <c r="E252" s="7" t="inlineStr">
        <is>
          <t>Piscivores</t>
        </is>
      </c>
      <c r="F252" t="inlineStr"/>
      <c r="G252" t="inlineStr"/>
      <c r="H252" t="inlineStr">
        <is>
          <t>high</t>
        </is>
      </c>
      <c r="I252" t="inlineStr">
        <is>
          <t>taxonomic_containment</t>
        </is>
      </c>
      <c r="J252" t="n">
        <v>571.1319999999999</v>
      </c>
      <c r="K252" t="n">
        <v>0.0002</v>
      </c>
      <c r="L252" s="6" t="inlineStr">
        <is>
          <t>Supplementary Table S1 lists two congeners, Sphyraena pinguis and S. japonica, in Piscivores.</t>
        </is>
      </c>
    </row>
    <row r="253">
      <c r="A253" t="inlineStr">
        <is>
          <t>Berycidae</t>
        </is>
      </c>
      <c r="B253" t="inlineStr">
        <is>
          <t>Alfonsinos, redfishes</t>
        </is>
      </c>
      <c r="C253" t="inlineStr">
        <is>
          <t>Medium benthopelagics (30 - 89 cm)</t>
        </is>
      </c>
      <c r="D253" t="inlineStr">
        <is>
          <t>Other fishes &amp; inverts</t>
        </is>
      </c>
      <c r="E253" s="5" t="inlineStr">
        <is>
          <t>Piscivores</t>
        </is>
      </c>
      <c r="F253" t="inlineStr"/>
      <c r="G253" t="inlineStr"/>
      <c r="H253" t="inlineStr">
        <is>
          <t>medium</t>
        </is>
      </c>
      <c r="I253" t="inlineStr">
        <is>
          <t>habitat_size_guild</t>
        </is>
      </c>
      <c r="J253" t="n">
        <v>404.981</v>
      </c>
      <c r="K253" t="n">
        <v>0.0001</v>
      </c>
      <c r="L253" s="6" t="inlineStr">
        <is>
          <t>Alfonsinos are deep-slope predators on fish, squid and large crustaceans.</t>
        </is>
      </c>
    </row>
    <row r="254">
      <c r="A254" t="inlineStr">
        <is>
          <t>Psettodes erumei</t>
        </is>
      </c>
      <c r="B254" t="inlineStr">
        <is>
          <t>Indian halibut</t>
        </is>
      </c>
      <c r="C254" t="inlineStr">
        <is>
          <t>Small to medium flatfishes (&lt;90 cm)</t>
        </is>
      </c>
      <c r="D254" t="inlineStr">
        <is>
          <t>Flatfishes</t>
        </is>
      </c>
      <c r="E254" s="5" t="inlineStr">
        <is>
          <t>Piscivores</t>
        </is>
      </c>
      <c r="F254" t="inlineStr"/>
      <c r="G254" t="inlineStr"/>
      <c r="H254" t="inlineStr">
        <is>
          <t>medium</t>
        </is>
      </c>
      <c r="I254" t="inlineStr">
        <is>
          <t>habitat_size_guild</t>
        </is>
      </c>
      <c r="J254" t="n">
        <v>341.495</v>
      </c>
      <c r="K254" t="n">
        <v>0.0001</v>
      </c>
      <c r="L254" s="6" t="inlineStr">
        <is>
          <t>Indian spiny turbot is a large ambush piscivore among the flatfishes.</t>
        </is>
      </c>
    </row>
    <row r="255">
      <c r="A255" t="inlineStr">
        <is>
          <t>Paralithodes</t>
        </is>
      </c>
      <c r="B255" t="inlineStr">
        <is>
          <t>North Pacific king crabs</t>
        </is>
      </c>
      <c r="C255" t="inlineStr">
        <is>
          <t>Lobsters, crabs</t>
        </is>
      </c>
      <c r="D255" t="inlineStr">
        <is>
          <t>Crustaceans</t>
        </is>
      </c>
      <c r="E255" s="5" t="inlineStr">
        <is>
          <t>Crabs</t>
        </is>
      </c>
      <c r="F255" t="inlineStr"/>
      <c r="G255" t="inlineStr"/>
      <c r="H255" t="inlineStr">
        <is>
          <t>medium</t>
        </is>
      </c>
      <c r="I255" t="inlineStr">
        <is>
          <t>taxonomic_containment</t>
        </is>
      </c>
      <c r="J255" t="n">
        <v>303.146</v>
      </c>
      <c r="K255" t="n">
        <v>0.0001</v>
      </c>
      <c r="L255" s="6" t="inlineStr">
        <is>
          <t>King crabs are lithodid anomurans rather than brachyurans, but they are crabs in every practical sense and the model's Crabs group is its only large reptant decapod compartment.</t>
        </is>
      </c>
    </row>
    <row r="256">
      <c r="A256" t="inlineStr">
        <is>
          <t>Hemitrygon akajei</t>
        </is>
      </c>
      <c r="B256" t="inlineStr">
        <is>
          <t>Whip stingray</t>
        </is>
      </c>
      <c r="C256" t="inlineStr">
        <is>
          <t>Large rays (&gt;=90 cm)</t>
        </is>
      </c>
      <c r="D256" t="inlineStr">
        <is>
          <t>Sharks &amp; rays</t>
        </is>
      </c>
      <c r="E256" s="5" t="inlineStr">
        <is>
          <t>Benthivores</t>
        </is>
      </c>
      <c r="F256" t="inlineStr"/>
      <c r="G256" t="inlineStr"/>
      <c r="H256" t="inlineStr">
        <is>
          <t>medium</t>
        </is>
      </c>
      <c r="I256" t="inlineStr">
        <is>
          <t>habitat_size_guild</t>
        </is>
      </c>
      <c r="J256" t="n">
        <v>288.406</v>
      </c>
      <c r="K256" t="n">
        <v>0.0001</v>
      </c>
      <c r="L256" s="6" t="inlineStr">
        <is>
          <t>Red stingray, a benthic feeder on crustaceans and polychaetes; Supplementary Table S1 places the dasyatid Dasyatis zugei in Benthivores.</t>
        </is>
      </c>
    </row>
    <row r="257">
      <c r="A257" t="inlineStr">
        <is>
          <t>Chionoecetes opilio</t>
        </is>
      </c>
      <c r="B257" t="inlineStr">
        <is>
          <t>Snow crab</t>
        </is>
      </c>
      <c r="C257" t="inlineStr">
        <is>
          <t>Lobsters, crabs</t>
        </is>
      </c>
      <c r="D257" t="inlineStr">
        <is>
          <t>Crustaceans</t>
        </is>
      </c>
      <c r="E257" s="7" t="inlineStr">
        <is>
          <t>Crabs</t>
        </is>
      </c>
      <c r="F257" t="inlineStr"/>
      <c r="G257" t="inlineStr"/>
      <c r="H257" t="inlineStr">
        <is>
          <t>high</t>
        </is>
      </c>
      <c r="I257" t="inlineStr">
        <is>
          <t>taxonomic_containment</t>
        </is>
      </c>
      <c r="J257" t="n">
        <v>231.418</v>
      </c>
      <c r="K257" t="n">
        <v>0.0001</v>
      </c>
      <c r="L257" s="6" t="inlineStr">
        <is>
          <t>Snow crab fall inside the model's Crabs group, which Supplementary Table S1 fills with six portunids (Portunus trituberculatus, Charybdis feriatus, C. bimaculata, P. sanguinolentus, C. acuta, P. argentatus).</t>
        </is>
      </c>
    </row>
    <row r="258">
      <c r="A258" t="inlineStr">
        <is>
          <t>Sillago sihama</t>
        </is>
      </c>
      <c r="B258" t="inlineStr">
        <is>
          <t>Silver sillago</t>
        </is>
      </c>
      <c r="C258" t="inlineStr">
        <is>
          <t>Medium demersals (30 - 89 cm)</t>
        </is>
      </c>
      <c r="D258" t="inlineStr">
        <is>
          <t>Perch-likes</t>
        </is>
      </c>
      <c r="E258" s="5" t="inlineStr">
        <is>
          <t>Benthivores</t>
        </is>
      </c>
      <c r="F258" t="inlineStr"/>
      <c r="G258" t="inlineStr"/>
      <c r="H258" t="inlineStr">
        <is>
          <t>medium</t>
        </is>
      </c>
      <c r="I258" t="inlineStr">
        <is>
          <t>habitat_size_guild</t>
        </is>
      </c>
      <c r="J258" t="n">
        <v>216.945</v>
      </c>
      <c r="K258" t="n">
        <v>0.0001</v>
      </c>
      <c r="L258" s="6" t="inlineStr">
        <is>
          <t>Silver sillago feeds on polychaetes and small benthic crustaceans, matching Benthivores.</t>
        </is>
      </c>
    </row>
    <row r="259">
      <c r="A259" t="inlineStr">
        <is>
          <t>Lethrinus miniatus</t>
        </is>
      </c>
      <c r="B259" t="inlineStr">
        <is>
          <t>Trumpet emperor</t>
        </is>
      </c>
      <c r="C259" t="inlineStr">
        <is>
          <t>Medium reef assoc. fish (30 - 89 cm)</t>
        </is>
      </c>
      <c r="D259" t="inlineStr">
        <is>
          <t>Perch-likes</t>
        </is>
      </c>
      <c r="E259" s="5" t="inlineStr">
        <is>
          <t>Benthivores/piscivores</t>
        </is>
      </c>
      <c r="F259" t="inlineStr"/>
      <c r="G259" t="inlineStr"/>
      <c r="H259" t="inlineStr">
        <is>
          <t>medium</t>
        </is>
      </c>
      <c r="I259" t="inlineStr">
        <is>
          <t>habitat_size_guild</t>
        </is>
      </c>
      <c r="J259" t="n">
        <v>201.35</v>
      </c>
      <c r="K259" t="n">
        <v>0.0001</v>
      </c>
      <c r="L259" s="6" t="inlineStr">
        <is>
          <t>Trumpet emperor feeds on benthic crustaceans, echinoderms and fish, matching the mixed benthivore-piscivore guild; assigned consistently with the family record.</t>
        </is>
      </c>
    </row>
    <row r="260">
      <c r="A260" t="inlineStr">
        <is>
          <t>Istiophorus platypterus</t>
        </is>
      </c>
      <c r="B260" t="inlineStr">
        <is>
          <t>Indo-Pacific sailfish</t>
        </is>
      </c>
      <c r="C260" t="inlineStr">
        <is>
          <t>Large pelagics (&gt;=90 cm)</t>
        </is>
      </c>
      <c r="D260" t="inlineStr">
        <is>
          <t>Tuna &amp; billfishes</t>
        </is>
      </c>
      <c r="E260" s="8" t="inlineStr">
        <is>
          <t>Piscivores</t>
        </is>
      </c>
      <c r="F260" t="inlineStr"/>
      <c r="G260" t="inlineStr"/>
      <c r="H260" t="inlineStr">
        <is>
          <t>low</t>
        </is>
      </c>
      <c r="I260" t="inlineStr">
        <is>
          <t>analogue</t>
        </is>
      </c>
      <c r="J260" t="n">
        <v>138.777</v>
      </c>
      <c r="K260" t="n">
        <v>0</v>
      </c>
      <c r="L260" s="6" t="inlineStr">
        <is>
          <t>Sailfish is an oceanic piscivore placed in the model's fish-eating guild by analogy; no billfish appears in Supplementary Table S1.</t>
        </is>
      </c>
    </row>
    <row r="261">
      <c r="A261" t="inlineStr">
        <is>
          <t>Lutjanus bohar</t>
        </is>
      </c>
      <c r="B261" t="inlineStr">
        <is>
          <t>Two-spot red snapper</t>
        </is>
      </c>
      <c r="C261" t="inlineStr">
        <is>
          <t>Medium reef assoc. fish (30 - 89 cm)</t>
        </is>
      </c>
      <c r="D261" t="inlineStr">
        <is>
          <t>Perch-likes</t>
        </is>
      </c>
      <c r="E261" s="5" t="inlineStr">
        <is>
          <t>Piscivores</t>
        </is>
      </c>
      <c r="F261" t="inlineStr"/>
      <c r="G261" t="inlineStr"/>
      <c r="H261" t="inlineStr">
        <is>
          <t>medium</t>
        </is>
      </c>
      <c r="I261" t="inlineStr">
        <is>
          <t>habitat_size_guild</t>
        </is>
      </c>
      <c r="J261" t="n">
        <v>137.393</v>
      </c>
      <c r="K261" t="n">
        <v>0</v>
      </c>
      <c r="L261" s="6" t="inlineStr">
        <is>
          <t>Two-spot red snapper is a large piscivore, matching the model's fish-eating guild.</t>
        </is>
      </c>
    </row>
    <row r="262">
      <c r="A262" t="inlineStr">
        <is>
          <t>Rhincodon typus</t>
        </is>
      </c>
      <c r="B262" t="inlineStr">
        <is>
          <t>Whale shark</t>
        </is>
      </c>
      <c r="C262" t="inlineStr">
        <is>
          <t>Large sharks (&gt;=90 cm)</t>
        </is>
      </c>
      <c r="D262" t="inlineStr">
        <is>
          <t>Sharks &amp; rays</t>
        </is>
      </c>
      <c r="E262" s="8" t="inlineStr">
        <is>
          <t>Sharks</t>
        </is>
      </c>
      <c r="F262" t="inlineStr"/>
      <c r="G262" t="inlineStr"/>
      <c r="H262" t="inlineStr">
        <is>
          <t>low</t>
        </is>
      </c>
      <c r="I262" t="inlineStr">
        <is>
          <t>taxonomic_containment</t>
        </is>
      </c>
      <c r="J262" t="n">
        <v>134.421</v>
      </c>
      <c r="K262" t="n">
        <v>0</v>
      </c>
      <c r="L262" s="6"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row>
    <row r="263">
      <c r="A263" t="inlineStr">
        <is>
          <t>Sergestidae</t>
        </is>
      </c>
      <c r="B263" t="inlineStr">
        <is>
          <t>Sergestid shrimp</t>
        </is>
      </c>
      <c r="C263" t="inlineStr">
        <is>
          <t>Shrimps</t>
        </is>
      </c>
      <c r="D263" t="inlineStr">
        <is>
          <t>Crustaceans</t>
        </is>
      </c>
      <c r="E263" s="7" t="inlineStr">
        <is>
          <t>Shrimps</t>
        </is>
      </c>
      <c r="F263" t="inlineStr"/>
      <c r="G263" t="inlineStr"/>
      <c r="H263" t="inlineStr">
        <is>
          <t>high</t>
        </is>
      </c>
      <c r="I263" t="inlineStr">
        <is>
          <t>taxonomic_containment</t>
        </is>
      </c>
      <c r="J263" t="n">
        <v>129.129</v>
      </c>
      <c r="K263" t="n">
        <v>0</v>
      </c>
      <c r="L263" s="6" t="inlineStr">
        <is>
          <t>Supplementary Table S1 lists the sergestid Acetes chinensis under Shrimps; this family record is that family.</t>
        </is>
      </c>
    </row>
    <row r="264">
      <c r="A264" t="inlineStr">
        <is>
          <t>Lepidocybium flavobrunneum</t>
        </is>
      </c>
      <c r="B264" t="inlineStr">
        <is>
          <t>Escolar</t>
        </is>
      </c>
      <c r="C264" t="inlineStr">
        <is>
          <t>Large bathypelagics (&gt;=90 cm)</t>
        </is>
      </c>
      <c r="D264" t="inlineStr">
        <is>
          <t>Perch-likes</t>
        </is>
      </c>
      <c r="E264" s="5" t="inlineStr">
        <is>
          <t>Benthivores/piscivores</t>
        </is>
      </c>
      <c r="F264" t="inlineStr"/>
      <c r="G264" t="inlineStr"/>
      <c r="H264" t="inlineStr">
        <is>
          <t>medium</t>
        </is>
      </c>
      <c r="I264" t="inlineStr">
        <is>
          <t>habitat_size_guild</t>
        </is>
      </c>
      <c r="J264" t="n">
        <v>115.13</v>
      </c>
      <c r="K264" t="n">
        <v>0</v>
      </c>
      <c r="L264" s="6" t="inlineStr">
        <is>
          <t>Escolar is a deep-slope gempylid taking fish, squid and crustaceans; Supplementary Table S1 places the gempylid Rexea prometheoides in Benthivores/piscivores.</t>
        </is>
      </c>
    </row>
    <row r="265">
      <c r="A265" t="inlineStr">
        <is>
          <t>Acetes</t>
        </is>
      </c>
      <c r="B265" t="inlineStr">
        <is>
          <t>Acetes shrimps</t>
        </is>
      </c>
      <c r="C265" t="inlineStr">
        <is>
          <t>Shrimps</t>
        </is>
      </c>
      <c r="D265" t="inlineStr">
        <is>
          <t>Crustaceans</t>
        </is>
      </c>
      <c r="E265" s="7" t="inlineStr">
        <is>
          <t>Shrimps</t>
        </is>
      </c>
      <c r="F265" t="inlineStr"/>
      <c r="G265" t="inlineStr"/>
      <c r="H265" t="inlineStr">
        <is>
          <t>high</t>
        </is>
      </c>
      <c r="I265" t="inlineStr">
        <is>
          <t>taxonomic_containment</t>
        </is>
      </c>
      <c r="J265" t="n">
        <v>105.349</v>
      </c>
      <c r="K265" t="n">
        <v>0</v>
      </c>
      <c r="L265" s="6" t="inlineStr">
        <is>
          <t>Supplementary Table S1 lists Acetes chinensis under Shrimps; this genus-level record is that genus.</t>
        </is>
      </c>
    </row>
    <row r="266">
      <c r="A266" t="inlineStr">
        <is>
          <t>Zenopsis nebulosa</t>
        </is>
      </c>
      <c r="B266" t="inlineStr">
        <is>
          <t>Mirror dory</t>
        </is>
      </c>
      <c r="C266" t="inlineStr">
        <is>
          <t>Medium bathydemersals (30 - 89 cm)</t>
        </is>
      </c>
      <c r="D266" t="inlineStr">
        <is>
          <t>Other fishes &amp; inverts</t>
        </is>
      </c>
      <c r="E266" s="5" t="inlineStr">
        <is>
          <t>Piscivores</t>
        </is>
      </c>
      <c r="F266" t="inlineStr"/>
      <c r="G266" t="inlineStr"/>
      <c r="H266" t="inlineStr">
        <is>
          <t>medium</t>
        </is>
      </c>
      <c r="I266" t="inlineStr">
        <is>
          <t>habitat_size_guild</t>
        </is>
      </c>
      <c r="J266" t="n">
        <v>78.55</v>
      </c>
      <c r="K266" t="n">
        <v>0</v>
      </c>
      <c r="L266" s="6" t="inlineStr">
        <is>
          <t>Mirror dory is a demersal ambush piscivore of the shelf edge.</t>
        </is>
      </c>
    </row>
    <row r="267">
      <c r="A267" t="inlineStr">
        <is>
          <t>Carcharhinus longimanus</t>
        </is>
      </c>
      <c r="B267" t="inlineStr">
        <is>
          <t>Oceanic whitetip shark</t>
        </is>
      </c>
      <c r="C267" t="inlineStr">
        <is>
          <t>Large sharks (&gt;=90 cm)</t>
        </is>
      </c>
      <c r="D267" t="inlineStr">
        <is>
          <t>Sharks &amp; rays</t>
        </is>
      </c>
      <c r="E267" s="7" t="inlineStr">
        <is>
          <t>Sharks</t>
        </is>
      </c>
      <c r="F267" t="inlineStr"/>
      <c r="G267" t="inlineStr"/>
      <c r="H267" t="inlineStr">
        <is>
          <t>high</t>
        </is>
      </c>
      <c r="I267" t="inlineStr">
        <is>
          <t>taxonomic_containment</t>
        </is>
      </c>
      <c r="J267" t="n">
        <v>65.96299999999999</v>
      </c>
      <c r="K267" t="n">
        <v>0</v>
      </c>
      <c r="L267" s="6" t="inlineStr">
        <is>
          <t>Oceanic whitetip shark fall inside the model's Sharks group, which Supplementary Table S1 represents by Scoliodon laticaudus and which is the model's only shark compartment.</t>
        </is>
      </c>
    </row>
    <row r="268">
      <c r="A268" t="inlineStr">
        <is>
          <t>Lutjanus</t>
        </is>
      </c>
      <c r="B268" t="inlineStr">
        <is>
          <t>Snappers</t>
        </is>
      </c>
      <c r="C268" t="inlineStr">
        <is>
          <t>Medium reef assoc. fish (30 - 89 cm)</t>
        </is>
      </c>
      <c r="D268" t="inlineStr">
        <is>
          <t>Perch-likes</t>
        </is>
      </c>
      <c r="E268" s="5" t="inlineStr">
        <is>
          <t>Piscivores</t>
        </is>
      </c>
      <c r="F268" t="inlineStr"/>
      <c r="G268" t="inlineStr"/>
      <c r="H268" t="inlineStr">
        <is>
          <t>medium</t>
        </is>
      </c>
      <c r="I268" t="inlineStr">
        <is>
          <t>habitat_size_guild</t>
        </is>
      </c>
      <c r="J268" t="n">
        <v>30.772</v>
      </c>
      <c r="K268" t="n">
        <v>0</v>
      </c>
      <c r="L268" s="6" t="inlineStr">
        <is>
          <t>Snapper genus; nocturnal predators taking mainly fish, matching the model's fish-eating guild.</t>
        </is>
      </c>
    </row>
    <row r="269">
      <c r="A269" t="inlineStr">
        <is>
          <t>Alopias</t>
        </is>
      </c>
      <c r="B269" t="inlineStr">
        <is>
          <t>Thresher sharks</t>
        </is>
      </c>
      <c r="C269" t="inlineStr">
        <is>
          <t>Large sharks (&gt;=90 cm)</t>
        </is>
      </c>
      <c r="D269" t="inlineStr">
        <is>
          <t>Sharks &amp; rays</t>
        </is>
      </c>
      <c r="E269" s="7" t="inlineStr">
        <is>
          <t>Sharks</t>
        </is>
      </c>
      <c r="F269" t="inlineStr"/>
      <c r="G269" t="inlineStr"/>
      <c r="H269" t="inlineStr">
        <is>
          <t>high</t>
        </is>
      </c>
      <c r="I269" t="inlineStr">
        <is>
          <t>taxonomic_containment</t>
        </is>
      </c>
      <c r="J269" t="n">
        <v>17.368</v>
      </c>
      <c r="K269" t="n">
        <v>0</v>
      </c>
      <c r="L269" s="6" t="inlineStr">
        <is>
          <t>Thresher sharks fall inside the model's Sharks group, which Supplementary Table S1 represents by Scoliodon laticaudus and which is the model's only shark compartment.</t>
        </is>
      </c>
    </row>
    <row r="270">
      <c r="A270" t="inlineStr">
        <is>
          <t>Holothuriidae</t>
        </is>
      </c>
      <c r="B270" t="inlineStr">
        <is>
          <t>Fleshy sea cucumbers</t>
        </is>
      </c>
      <c r="C270" t="inlineStr">
        <is>
          <t>Other demersal invertebrates</t>
        </is>
      </c>
      <c r="D270" t="inlineStr">
        <is>
          <t>Other fishes &amp; inverts</t>
        </is>
      </c>
      <c r="E270" s="7" t="inlineStr">
        <is>
          <t>Echinoderms</t>
        </is>
      </c>
      <c r="F270" t="inlineStr"/>
      <c r="G270" t="inlineStr"/>
      <c r="H270" t="inlineStr">
        <is>
          <t>high</t>
        </is>
      </c>
      <c r="I270" t="inlineStr">
        <is>
          <t>taxonomic_containment</t>
        </is>
      </c>
      <c r="J270" t="n">
        <v>13.483</v>
      </c>
      <c r="K270" t="n">
        <v>0</v>
      </c>
      <c r="L270" s="6" t="inlineStr">
        <is>
          <t>Sea cucumbers fall inside the model's Echinoderms group, which Supplementary Table S1 represents by Ophiuroidea and which is the model's only echinoderm compartment.</t>
        </is>
      </c>
    </row>
    <row r="271">
      <c r="A271" t="inlineStr">
        <is>
          <t>Tripneustes gratilla</t>
        </is>
      </c>
      <c r="B271" t="inlineStr">
        <is>
          <t>Shortspine urchin</t>
        </is>
      </c>
      <c r="C271" t="inlineStr">
        <is>
          <t>Other demersal invertebrates</t>
        </is>
      </c>
      <c r="D271" t="inlineStr">
        <is>
          <t>Other fishes &amp; inverts</t>
        </is>
      </c>
      <c r="E271" s="7" t="inlineStr">
        <is>
          <t>Echinoderms</t>
        </is>
      </c>
      <c r="F271" t="inlineStr"/>
      <c r="G271" t="inlineStr"/>
      <c r="H271" t="inlineStr">
        <is>
          <t>high</t>
        </is>
      </c>
      <c r="I271" t="inlineStr">
        <is>
          <t>taxonomic_containment</t>
        </is>
      </c>
      <c r="J271" t="n">
        <v>11.656</v>
      </c>
      <c r="K271" t="n">
        <v>0</v>
      </c>
      <c r="L271" s="6" t="inlineStr">
        <is>
          <t>The collector urchin fall inside the model's Echinoderms group, which Supplementary Table S1 represents by Ophiuroidea and which is the model's only echinoderm compartment.</t>
        </is>
      </c>
    </row>
    <row r="272">
      <c r="A272" t="inlineStr">
        <is>
          <t>Chionoecetes japonicus</t>
        </is>
      </c>
      <c r="B272" t="inlineStr">
        <is>
          <t>Red snow crab</t>
        </is>
      </c>
      <c r="C272" t="inlineStr">
        <is>
          <t>Lobsters, crabs</t>
        </is>
      </c>
      <c r="D272" t="inlineStr">
        <is>
          <t>Crustaceans</t>
        </is>
      </c>
      <c r="E272" s="7" t="inlineStr">
        <is>
          <t>Crabs</t>
        </is>
      </c>
      <c r="F272" t="inlineStr"/>
      <c r="G272" t="inlineStr"/>
      <c r="H272" t="inlineStr">
        <is>
          <t>high</t>
        </is>
      </c>
      <c r="I272" t="inlineStr">
        <is>
          <t>taxonomic_containment</t>
        </is>
      </c>
      <c r="J272" t="n">
        <v>10.477</v>
      </c>
      <c r="K272" t="n">
        <v>0</v>
      </c>
      <c r="L272" s="6" t="inlineStr">
        <is>
          <t>Red snow crab fall inside the model's Crabs group, which Supplementary Table S1 fills with six portunids (Portunus trituberculatus, Charybdis feriatus, C. bimaculata, P. sanguinolentus, C. acuta, P. argentatus).</t>
        </is>
      </c>
    </row>
    <row r="273">
      <c r="A273" t="inlineStr">
        <is>
          <t>Upeneus</t>
        </is>
      </c>
      <c r="B273" t="inlineStr">
        <is>
          <t>Upeneid goatfishes</t>
        </is>
      </c>
      <c r="C273" t="inlineStr">
        <is>
          <t>Small reef assoc. fish (&lt;30 cm)</t>
        </is>
      </c>
      <c r="D273" t="inlineStr">
        <is>
          <t>Perch-likes</t>
        </is>
      </c>
      <c r="E273" s="5" t="inlineStr">
        <is>
          <t>Benthivores</t>
        </is>
      </c>
      <c r="F273" t="inlineStr"/>
      <c r="G273" t="inlineStr"/>
      <c r="H273" t="inlineStr">
        <is>
          <t>medium</t>
        </is>
      </c>
      <c r="I273" t="inlineStr">
        <is>
          <t>habitat_size_guild</t>
        </is>
      </c>
      <c r="J273" t="n">
        <v>6.831</v>
      </c>
      <c r="K273" t="n">
        <v>0</v>
      </c>
      <c r="L273" s="6" t="inlineStr">
        <is>
          <t>Goatfish genus; a sediment-sifting feeder on polychaetes and small crustaceans, matching Benthivores.</t>
        </is>
      </c>
    </row>
    <row r="274">
      <c r="A274" t="inlineStr">
        <is>
          <t>Echinozoa</t>
        </is>
      </c>
      <c r="B274" t="inlineStr">
        <is>
          <t>Sea urchins and sea cucumbers</t>
        </is>
      </c>
      <c r="C274" t="inlineStr">
        <is>
          <t>Other demersal invertebrates</t>
        </is>
      </c>
      <c r="D274" t="inlineStr">
        <is>
          <t>Other fishes &amp; inverts</t>
        </is>
      </c>
      <c r="E274" s="7" t="inlineStr">
        <is>
          <t>Echinoderms</t>
        </is>
      </c>
      <c r="F274" t="inlineStr"/>
      <c r="G274" t="inlineStr"/>
      <c r="H274" t="inlineStr">
        <is>
          <t>high</t>
        </is>
      </c>
      <c r="I274" t="inlineStr">
        <is>
          <t>taxonomic_containment</t>
        </is>
      </c>
      <c r="J274" t="n">
        <v>4.202</v>
      </c>
      <c r="K274" t="n">
        <v>0</v>
      </c>
      <c r="L274" s="6" t="inlineStr">
        <is>
          <t>Urchins and sea cucumbers fall inside the model's Echinoderms group, which Supplementary Table S1 represents by Ophiuroidea and which is the model's only echinoderm compartment.</t>
        </is>
      </c>
    </row>
    <row r="275">
      <c r="A275" t="inlineStr">
        <is>
          <t>Rhopilema hispidum</t>
        </is>
      </c>
      <c r="B275" t="inlineStr">
        <is>
          <t>Sand jellyfish</t>
        </is>
      </c>
      <c r="C275" t="inlineStr">
        <is>
          <t>Jellyfish</t>
        </is>
      </c>
      <c r="D275" t="inlineStr">
        <is>
          <t>Other fishes &amp; inverts</t>
        </is>
      </c>
      <c r="E275" s="7" t="inlineStr">
        <is>
          <t>Other invertebrates</t>
        </is>
      </c>
      <c r="F275" t="inlineStr"/>
      <c r="G275" t="inlineStr"/>
      <c r="H275" t="inlineStr">
        <is>
          <t>high</t>
        </is>
      </c>
      <c r="I275" t="inlineStr">
        <is>
          <t>explicit_member</t>
        </is>
      </c>
      <c r="J275" t="n">
        <v>1.631</v>
      </c>
      <c r="K275" t="n">
        <v>0</v>
      </c>
      <c r="L275" s="6" t="inlineStr">
        <is>
          <t>Supplementary Table S1 defines the model's Other invertebrates group as 'Cnidaria'. The sand jellyfish are scyphozoan cnidarians and this is the model's only compartment for them.</t>
        </is>
      </c>
    </row>
    <row r="276">
      <c r="A276" t="inlineStr">
        <is>
          <t>Sphyrna</t>
        </is>
      </c>
      <c r="B276" t="inlineStr">
        <is>
          <t>Hammerhead sharks</t>
        </is>
      </c>
      <c r="C276" t="inlineStr">
        <is>
          <t>Large sharks (&gt;=90 cm)</t>
        </is>
      </c>
      <c r="D276" t="inlineStr">
        <is>
          <t>Sharks &amp; rays</t>
        </is>
      </c>
      <c r="E276" s="7" t="inlineStr">
        <is>
          <t>Sharks</t>
        </is>
      </c>
      <c r="F276" t="inlineStr"/>
      <c r="G276" t="inlineStr"/>
      <c r="H276" t="inlineStr">
        <is>
          <t>high</t>
        </is>
      </c>
      <c r="I276" t="inlineStr">
        <is>
          <t>taxonomic_containment</t>
        </is>
      </c>
      <c r="J276" t="n">
        <v>1.181</v>
      </c>
      <c r="K276" t="n">
        <v>0</v>
      </c>
      <c r="L276" s="6" t="inlineStr">
        <is>
          <t>Hammerhead sharks fall inside the model's Sharks group, which Supplementary Table S1 represents by Scoliodon laticaudus and which is the model's only shark compartment.</t>
        </is>
      </c>
    </row>
    <row r="277">
      <c r="A277" t="inlineStr">
        <is>
          <t>Isurus oxyrinchus</t>
        </is>
      </c>
      <c r="B277" t="inlineStr">
        <is>
          <t>Shortfin mako</t>
        </is>
      </c>
      <c r="C277" t="inlineStr">
        <is>
          <t>Large sharks (&gt;=90 cm)</t>
        </is>
      </c>
      <c r="D277" t="inlineStr">
        <is>
          <t>Sharks &amp; rays</t>
        </is>
      </c>
      <c r="E277" s="7" t="inlineStr">
        <is>
          <t>Sharks</t>
        </is>
      </c>
      <c r="F277" t="inlineStr"/>
      <c r="G277" t="inlineStr"/>
      <c r="H277" t="inlineStr">
        <is>
          <t>high</t>
        </is>
      </c>
      <c r="I277" t="inlineStr">
        <is>
          <t>taxonomic_containment</t>
        </is>
      </c>
      <c r="J277" t="n">
        <v>1.139</v>
      </c>
      <c r="K277" t="n">
        <v>0</v>
      </c>
      <c r="L277" s="6" t="inlineStr">
        <is>
          <t>Shortfin mako fall inside the model's Sharks group, which Supplementary Table S1 represents by Scoliodon laticaudus and which is the model's only shark compartment.</t>
        </is>
      </c>
    </row>
    <row r="278">
      <c r="A278" t="inlineStr">
        <is>
          <t>Pinctada</t>
        </is>
      </c>
      <c r="B278" t="inlineStr">
        <is>
          <t>Mother of pearl oysters</t>
        </is>
      </c>
      <c r="C278" t="inlineStr">
        <is>
          <t>Other demersal invertebrates</t>
        </is>
      </c>
      <c r="D278" t="inlineStr">
        <is>
          <t>Molluscs</t>
        </is>
      </c>
      <c r="E278" s="7" t="inlineStr">
        <is>
          <t>Mollusks</t>
        </is>
      </c>
      <c r="F278" t="inlineStr"/>
      <c r="G278" t="inlineStr"/>
      <c r="H278" t="inlineStr">
        <is>
          <t>high</t>
        </is>
      </c>
      <c r="I278" t="inlineStr">
        <is>
          <t>explicit_member</t>
        </is>
      </c>
      <c r="J278" t="n">
        <v>0.081</v>
      </c>
      <c r="K278" t="n">
        <v>0</v>
      </c>
      <c r="L278" s="6" t="inlineStr">
        <is>
          <t>Supplementary Table S1 defines the model's Mollusks group as 'Bivalves'; this record is a bivalve.</t>
        </is>
      </c>
    </row>
    <row r="279">
      <c r="A279" t="inlineStr">
        <is>
          <t>Scombroidei</t>
        </is>
      </c>
      <c r="B279" t="inlineStr">
        <is>
          <t>Tunas, bonitos, billfishes</t>
        </is>
      </c>
      <c r="C279" t="inlineStr">
        <is>
          <t>Large pelagics (&gt;=90 cm)</t>
        </is>
      </c>
      <c r="D279" t="inlineStr">
        <is>
          <t>Tuna &amp; billfishes</t>
        </is>
      </c>
      <c r="E279" s="5" t="inlineStr">
        <is>
          <t>Piscivores | Planktivores/Benthivores</t>
        </is>
      </c>
      <c r="F279" t="inlineStr">
        <is>
          <t>0.428 | 0.572</t>
        </is>
      </c>
      <c r="G279" t="inlineStr">
        <is>
          <t>catch_composition</t>
        </is>
      </c>
      <c r="H279" t="inlineStr">
        <is>
          <t>medium</t>
        </is>
      </c>
      <c r="I279" t="inlineStr">
        <is>
          <t>composite_split</t>
        </is>
      </c>
      <c r="J279" t="n">
        <v>0.047</v>
      </c>
      <c r="K279" t="n">
        <v>0</v>
      </c>
      <c r="L279" s="6" t="inlineStr">
        <is>
          <t>Suborder record covering mackerels, tunas and billfishes; Supplementary Table S1 places the model's scombroids in Piscivores (Scomberomorus niphonius, S. guttatus, Auxis thazard) and Planktivores/Benthivores (Scomber japonicus). Apportioned by catch composition.</t>
        </is>
      </c>
    </row>
    <row r="280">
      <c r="A280" t="inlineStr">
        <is>
          <t>Caranx</t>
        </is>
      </c>
      <c r="B280" t="inlineStr">
        <is>
          <t>Jacks</t>
        </is>
      </c>
      <c r="C280" t="inlineStr">
        <is>
          <t>Medium reef assoc. fish (30 - 89 cm)</t>
        </is>
      </c>
      <c r="D280" t="inlineStr">
        <is>
          <t>Perch-likes</t>
        </is>
      </c>
      <c r="E280" s="7" t="inlineStr">
        <is>
          <t>Omnivores</t>
        </is>
      </c>
      <c r="F280" t="inlineStr"/>
      <c r="G280" t="inlineStr"/>
      <c r="H280" t="inlineStr">
        <is>
          <t>high</t>
        </is>
      </c>
      <c r="I280" t="inlineStr">
        <is>
          <t>taxonomic_containment</t>
        </is>
      </c>
      <c r="J280" t="n">
        <v>0.008</v>
      </c>
      <c r="K280" t="n">
        <v>0</v>
      </c>
      <c r="L280" s="6" t="inlineStr">
        <is>
          <t>Supplementary Table S1 lists Caranx sexfasciatus in Omnivores; this genus-level record is that genus.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1" t="inlineStr">
        <is>
          <t>Specific PPR per taxon — LME_047, model 47_1_East_China_Sea_(1997)</t>
        </is>
      </c>
    </row>
    <row r="2">
      <c r="A2" t="inlineStr">
        <is>
          <t>sppr_simple is the trophic-chain estimate (1/TE)^(TL-1) at TE=0.1, applied to the taxon's own trophic level and needing no model.</t>
        </is>
      </c>
    </row>
    <row r="3">
      <c r="A3" t="inlineStr">
        <is>
          <t>The remaining columns are this model's SPPR for the taxon's group, one per method. Blank means the method did not resolve, never zero.</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row>
    <row r="5">
      <c r="A5" t="inlineStr">
        <is>
          <t>Marine fishes not identified</t>
        </is>
      </c>
      <c r="B5" t="n">
        <v>3.28</v>
      </c>
      <c r="C5" t="n">
        <v>190.546072</v>
      </c>
      <c r="D5" t="inlineStr">
        <is>
          <t>Benthivores | Piscivores | Planktivores/piscivores | Benthivores/piscivores | Omnivores</t>
        </is>
      </c>
      <c r="E5" t="n">
        <v>0</v>
      </c>
      <c r="F5" t="n">
        <v>166.961545</v>
      </c>
      <c r="G5" t="n">
        <v>2.045106</v>
      </c>
      <c r="H5" t="n">
        <v>2.060755</v>
      </c>
      <c r="I5" t="n">
        <v>186.169499</v>
      </c>
      <c r="J5" t="n">
        <v>192.680384</v>
      </c>
      <c r="K5" t="n">
        <v>114.316945</v>
      </c>
      <c r="L5" t="n">
        <v>287.676992</v>
      </c>
      <c r="M5" t="n">
        <v>287.676992</v>
      </c>
      <c r="N5" t="n">
        <v>291.908148</v>
      </c>
      <c r="O5" t="n">
        <v>34.836971</v>
      </c>
      <c r="P5" t="n">
        <v>19.545313</v>
      </c>
      <c r="Q5" t="n">
        <v>291.908148</v>
      </c>
      <c r="R5" t="n">
        <v>287.676992</v>
      </c>
      <c r="S5" t="n">
        <v>34.836971</v>
      </c>
      <c r="T5" t="n">
        <v>34.836971</v>
      </c>
      <c r="U5" t="n">
        <v>19.545313</v>
      </c>
      <c r="V5" t="n">
        <v>19.545313</v>
      </c>
      <c r="W5" t="n">
        <v>35.81931</v>
      </c>
      <c r="X5" t="n">
        <v>216.24497</v>
      </c>
    </row>
    <row r="6">
      <c r="A6" t="inlineStr">
        <is>
          <t>Sardinops sagax</t>
        </is>
      </c>
      <c r="B6" t="n">
        <v>2.84</v>
      </c>
      <c r="C6" t="n">
        <v>69.183097</v>
      </c>
      <c r="D6" t="inlineStr">
        <is>
          <t>Planktivores</t>
        </is>
      </c>
      <c r="E6" t="n">
        <v>0</v>
      </c>
      <c r="F6" t="n">
        <v>100.997642</v>
      </c>
      <c r="G6" t="n">
        <v>1.93677</v>
      </c>
      <c r="H6" t="n">
        <v>1.93149</v>
      </c>
      <c r="I6" t="n">
        <v>53.479795</v>
      </c>
      <c r="J6" t="n">
        <v>53.479795</v>
      </c>
      <c r="K6" t="n">
        <v>53.372836</v>
      </c>
      <c r="L6" t="n">
        <v>51.741399</v>
      </c>
      <c r="M6" t="n">
        <v>51.741399</v>
      </c>
      <c r="N6" t="n">
        <v>52.283119</v>
      </c>
      <c r="O6" t="n">
        <v>17.749881</v>
      </c>
      <c r="P6" t="n">
        <v>11.404035</v>
      </c>
      <c r="Q6" t="n">
        <v>52.283119</v>
      </c>
      <c r="R6" t="n">
        <v>51.741399</v>
      </c>
      <c r="S6" t="n">
        <v>17.749881</v>
      </c>
      <c r="T6" t="n">
        <v>17.749881</v>
      </c>
      <c r="U6" t="n">
        <v>11.404035</v>
      </c>
      <c r="V6" t="n">
        <v>11.404035</v>
      </c>
      <c r="W6" t="n">
        <v>17.839302</v>
      </c>
      <c r="X6" t="n">
        <v>54.129601</v>
      </c>
    </row>
    <row r="7">
      <c r="A7" t="inlineStr">
        <is>
          <t>Trichiurus lepturus</t>
        </is>
      </c>
      <c r="B7" t="n">
        <v>4.42</v>
      </c>
      <c r="C7" t="n">
        <v>2630.267992</v>
      </c>
      <c r="D7" t="inlineStr">
        <is>
          <t>Hairtails</t>
        </is>
      </c>
      <c r="E7" t="n">
        <v>0</v>
      </c>
      <c r="F7" t="n">
        <v>137.300843</v>
      </c>
      <c r="G7" t="n">
        <v>2.023855</v>
      </c>
      <c r="H7" t="n">
        <v>1.935295</v>
      </c>
      <c r="I7" t="n">
        <v>245.6862</v>
      </c>
      <c r="J7" t="n">
        <v>262.948295</v>
      </c>
      <c r="K7" t="n">
        <v>262.422398</v>
      </c>
      <c r="L7" t="n">
        <v>395.11592</v>
      </c>
      <c r="M7" t="n">
        <v>395.11592</v>
      </c>
      <c r="N7" t="n">
        <v>400.567632</v>
      </c>
      <c r="O7" t="n">
        <v>71.211755</v>
      </c>
      <c r="P7" t="n">
        <v>35.749118</v>
      </c>
      <c r="Q7" t="n">
        <v>400.567632</v>
      </c>
      <c r="R7" t="n">
        <v>395.11592</v>
      </c>
      <c r="S7" t="n">
        <v>71.211755</v>
      </c>
      <c r="T7" t="n">
        <v>71.211755</v>
      </c>
      <c r="U7" t="n">
        <v>35.749118</v>
      </c>
      <c r="V7" t="n">
        <v>35.749118</v>
      </c>
      <c r="W7" t="n">
        <v>71.925944</v>
      </c>
      <c r="X7" t="n">
        <v>401.698177</v>
      </c>
    </row>
    <row r="8">
      <c r="A8" t="inlineStr">
        <is>
          <t>Engraulis japonicus</t>
        </is>
      </c>
      <c r="B8" t="n">
        <v>3.14</v>
      </c>
      <c r="C8" t="n">
        <v>138.038426</v>
      </c>
      <c r="D8" t="inlineStr">
        <is>
          <t>Planktivores</t>
        </is>
      </c>
      <c r="E8" t="n">
        <v>0</v>
      </c>
      <c r="F8" t="n">
        <v>100.997642</v>
      </c>
      <c r="G8" t="n">
        <v>1.93677</v>
      </c>
      <c r="H8" t="n">
        <v>1.93149</v>
      </c>
      <c r="I8" t="n">
        <v>53.479795</v>
      </c>
      <c r="J8" t="n">
        <v>53.479795</v>
      </c>
      <c r="K8" t="n">
        <v>53.372836</v>
      </c>
      <c r="L8" t="n">
        <v>51.741399</v>
      </c>
      <c r="M8" t="n">
        <v>51.741399</v>
      </c>
      <c r="N8" t="n">
        <v>52.283119</v>
      </c>
      <c r="O8" t="n">
        <v>17.749881</v>
      </c>
      <c r="P8" t="n">
        <v>11.404035</v>
      </c>
      <c r="Q8" t="n">
        <v>52.283119</v>
      </c>
      <c r="R8" t="n">
        <v>51.741399</v>
      </c>
      <c r="S8" t="n">
        <v>17.749881</v>
      </c>
      <c r="T8" t="n">
        <v>17.749881</v>
      </c>
      <c r="U8" t="n">
        <v>11.404035</v>
      </c>
      <c r="V8" t="n">
        <v>11.404035</v>
      </c>
      <c r="W8" t="n">
        <v>17.839302</v>
      </c>
      <c r="X8" t="n">
        <v>54.129601</v>
      </c>
    </row>
    <row r="9">
      <c r="A9" t="inlineStr">
        <is>
          <t>Scomber japonicus</t>
        </is>
      </c>
      <c r="B9" t="n">
        <v>3.38</v>
      </c>
      <c r="C9" t="n">
        <v>239.883292</v>
      </c>
      <c r="D9" t="inlineStr">
        <is>
          <t>Planktivores/Benthivores</t>
        </is>
      </c>
      <c r="E9" t="n">
        <v>0</v>
      </c>
      <c r="F9" t="n">
        <v>90.84783299999999</v>
      </c>
      <c r="G9" t="n">
        <v>1.907611</v>
      </c>
      <c r="H9" t="n">
        <v>1.91205</v>
      </c>
      <c r="I9" t="n">
        <v>124.271163</v>
      </c>
      <c r="J9" t="n">
        <v>124.271163</v>
      </c>
      <c r="K9" t="n">
        <v>113.832386</v>
      </c>
      <c r="L9" t="n">
        <v>118.840107</v>
      </c>
      <c r="M9" t="n">
        <v>118.840107</v>
      </c>
      <c r="N9" t="n">
        <v>120.054666</v>
      </c>
      <c r="O9" t="n">
        <v>37.420523</v>
      </c>
      <c r="P9" t="n">
        <v>24.182504</v>
      </c>
      <c r="Q9" t="n">
        <v>120.054666</v>
      </c>
      <c r="R9" t="n">
        <v>118.840107</v>
      </c>
      <c r="S9" t="n">
        <v>37.420523</v>
      </c>
      <c r="T9" t="n">
        <v>37.420523</v>
      </c>
      <c r="U9" t="n">
        <v>24.182504</v>
      </c>
      <c r="V9" t="n">
        <v>24.182504</v>
      </c>
      <c r="W9" t="n">
        <v>38.102317</v>
      </c>
      <c r="X9" t="n">
        <v>122.241888</v>
      </c>
    </row>
    <row r="10">
      <c r="A10" t="inlineStr">
        <is>
          <t>Scomber</t>
        </is>
      </c>
      <c r="B10" t="n">
        <v>3.65</v>
      </c>
      <c r="C10" t="n">
        <v>446.683592</v>
      </c>
      <c r="D10" t="inlineStr">
        <is>
          <t>Planktivores/Benthivores</t>
        </is>
      </c>
      <c r="E10" t="n">
        <v>0</v>
      </c>
      <c r="F10" t="n">
        <v>90.84783299999999</v>
      </c>
      <c r="G10" t="n">
        <v>1.907611</v>
      </c>
      <c r="H10" t="n">
        <v>1.91205</v>
      </c>
      <c r="I10" t="n">
        <v>124.271163</v>
      </c>
      <c r="J10" t="n">
        <v>124.271163</v>
      </c>
      <c r="K10" t="n">
        <v>113.832386</v>
      </c>
      <c r="L10" t="n">
        <v>118.840107</v>
      </c>
      <c r="M10" t="n">
        <v>118.840107</v>
      </c>
      <c r="N10" t="n">
        <v>120.054666</v>
      </c>
      <c r="O10" t="n">
        <v>37.420523</v>
      </c>
      <c r="P10" t="n">
        <v>24.182504</v>
      </c>
      <c r="Q10" t="n">
        <v>120.054666</v>
      </c>
      <c r="R10" t="n">
        <v>118.840107</v>
      </c>
      <c r="S10" t="n">
        <v>37.420523</v>
      </c>
      <c r="T10" t="n">
        <v>37.420523</v>
      </c>
      <c r="U10" t="n">
        <v>24.182504</v>
      </c>
      <c r="V10" t="n">
        <v>24.182504</v>
      </c>
      <c r="W10" t="n">
        <v>38.102317</v>
      </c>
      <c r="X10" t="n">
        <v>122.241888</v>
      </c>
    </row>
    <row r="11">
      <c r="A11" t="inlineStr">
        <is>
          <t>Cololabis saira</t>
        </is>
      </c>
      <c r="B11" t="n">
        <v>3.71</v>
      </c>
      <c r="C11" t="n">
        <v>512.861384</v>
      </c>
      <c r="D11" t="inlineStr">
        <is>
          <t>Planktivores</t>
        </is>
      </c>
      <c r="E11" t="n">
        <v>0</v>
      </c>
      <c r="F11" t="n">
        <v>100.997642</v>
      </c>
      <c r="G11" t="n">
        <v>1.93677</v>
      </c>
      <c r="H11" t="n">
        <v>1.93149</v>
      </c>
      <c r="I11" t="n">
        <v>53.479795</v>
      </c>
      <c r="J11" t="n">
        <v>53.479795</v>
      </c>
      <c r="K11" t="n">
        <v>53.372836</v>
      </c>
      <c r="L11" t="n">
        <v>51.741399</v>
      </c>
      <c r="M11" t="n">
        <v>51.741399</v>
      </c>
      <c r="N11" t="n">
        <v>52.283119</v>
      </c>
      <c r="O11" t="n">
        <v>17.749881</v>
      </c>
      <c r="P11" t="n">
        <v>11.404035</v>
      </c>
      <c r="Q11" t="n">
        <v>52.283119</v>
      </c>
      <c r="R11" t="n">
        <v>51.741399</v>
      </c>
      <c r="S11" t="n">
        <v>17.749881</v>
      </c>
      <c r="T11" t="n">
        <v>17.749881</v>
      </c>
      <c r="U11" t="n">
        <v>11.404035</v>
      </c>
      <c r="V11" t="n">
        <v>11.404035</v>
      </c>
      <c r="W11" t="n">
        <v>17.839302</v>
      </c>
      <c r="X11" t="n">
        <v>54.129601</v>
      </c>
    </row>
    <row r="12">
      <c r="A12" t="inlineStr">
        <is>
          <t>Mollusca</t>
        </is>
      </c>
      <c r="B12" t="n">
        <v>2.1</v>
      </c>
      <c r="C12" t="n">
        <v>12.589254</v>
      </c>
      <c r="D12" t="inlineStr">
        <is>
          <t>Mollusks</t>
        </is>
      </c>
      <c r="E12" t="n">
        <v>0</v>
      </c>
      <c r="F12" t="n">
        <v>14.497407</v>
      </c>
      <c r="G12" t="n">
        <v>1.466668</v>
      </c>
      <c r="H12" t="n">
        <v>1.466497</v>
      </c>
      <c r="I12" t="n">
        <v>17.850747</v>
      </c>
      <c r="J12" t="n">
        <v>17.850747</v>
      </c>
      <c r="K12" t="n">
        <v>5.355224</v>
      </c>
      <c r="L12" t="n">
        <v>17.186608</v>
      </c>
      <c r="M12" t="n">
        <v>17.186608</v>
      </c>
      <c r="N12" t="n">
        <v>17.598965</v>
      </c>
      <c r="O12" t="n">
        <v>3.995111</v>
      </c>
      <c r="P12" t="n">
        <v>2.967513</v>
      </c>
      <c r="Q12" t="n">
        <v>17.598965</v>
      </c>
      <c r="R12" t="n">
        <v>17.186608</v>
      </c>
      <c r="S12" t="n">
        <v>3.995111</v>
      </c>
      <c r="T12" t="n">
        <v>3.995111</v>
      </c>
      <c r="U12" t="n">
        <v>2.967513</v>
      </c>
      <c r="V12" t="n">
        <v>2.967513</v>
      </c>
      <c r="W12" t="n">
        <v>3.990277</v>
      </c>
      <c r="X12" t="n">
        <v>17.941416</v>
      </c>
    </row>
    <row r="13">
      <c r="A13" t="inlineStr">
        <is>
          <t>Miscellaneous marine crustaceans</t>
        </is>
      </c>
      <c r="B13" t="n">
        <v>2.7</v>
      </c>
      <c r="C13" t="n">
        <v>50.118723</v>
      </c>
      <c r="D13" t="inlineStr">
        <is>
          <t>Shrimps | Crabs</t>
        </is>
      </c>
      <c r="E13" t="n">
        <v>0</v>
      </c>
      <c r="F13" t="n">
        <v>20.706252</v>
      </c>
      <c r="G13" t="n">
        <v>1.54349</v>
      </c>
      <c r="H13" t="n">
        <v>1.562479</v>
      </c>
      <c r="I13" t="n">
        <v>14.308705</v>
      </c>
      <c r="J13" t="n">
        <v>14.308705</v>
      </c>
      <c r="K13" t="n">
        <v>14.042094</v>
      </c>
      <c r="L13" t="n">
        <v>13.196282</v>
      </c>
      <c r="M13" t="n">
        <v>13.196282</v>
      </c>
      <c r="N13" t="n">
        <v>13.444431</v>
      </c>
      <c r="O13" t="n">
        <v>7.849897</v>
      </c>
      <c r="P13" t="n">
        <v>5.562855</v>
      </c>
      <c r="Q13" t="n">
        <v>13.444431</v>
      </c>
      <c r="R13" t="n">
        <v>13.196282</v>
      </c>
      <c r="S13" t="n">
        <v>7.849897</v>
      </c>
      <c r="T13" t="n">
        <v>7.849897</v>
      </c>
      <c r="U13" t="n">
        <v>5.562855</v>
      </c>
      <c r="V13" t="n">
        <v>5.562855</v>
      </c>
      <c r="W13" t="n">
        <v>7.985273</v>
      </c>
      <c r="X13" t="n">
        <v>13.913077</v>
      </c>
    </row>
    <row r="14">
      <c r="A14" t="inlineStr">
        <is>
          <t>Larimichthys polyactis</t>
        </is>
      </c>
      <c r="B14" t="n">
        <v>3.64</v>
      </c>
      <c r="C14" t="n">
        <v>436.515832</v>
      </c>
      <c r="D14" t="inlineStr">
        <is>
          <t>Small yellow croakers</t>
        </is>
      </c>
      <c r="E14" t="n">
        <v>0</v>
      </c>
      <c r="F14" t="n">
        <v>133.416232</v>
      </c>
      <c r="G14" t="n">
        <v>2.015553</v>
      </c>
      <c r="H14" t="n">
        <v>2.043652</v>
      </c>
      <c r="I14" t="n">
        <v>272.245191</v>
      </c>
      <c r="J14" t="n">
        <v>278.64023</v>
      </c>
      <c r="K14" t="n">
        <v>62.972692</v>
      </c>
      <c r="L14" t="n">
        <v>308.698938</v>
      </c>
      <c r="M14" t="n">
        <v>308.698938</v>
      </c>
      <c r="N14" t="n">
        <v>312.828133</v>
      </c>
      <c r="O14" t="n">
        <v>15.479061</v>
      </c>
      <c r="P14" t="n">
        <v>8.820708</v>
      </c>
      <c r="Q14" t="n">
        <v>312.828133</v>
      </c>
      <c r="R14" t="n">
        <v>308.698938</v>
      </c>
      <c r="S14" t="n">
        <v>15.479061</v>
      </c>
      <c r="T14" t="n">
        <v>15.479061</v>
      </c>
      <c r="U14" t="n">
        <v>8.820708</v>
      </c>
      <c r="V14" t="n">
        <v>8.820708</v>
      </c>
      <c r="W14" t="n">
        <v>15.817561</v>
      </c>
      <c r="X14" t="n">
        <v>303.129451</v>
      </c>
    </row>
    <row r="15">
      <c r="A15" t="inlineStr">
        <is>
          <t>Acetes japonicus</t>
        </is>
      </c>
      <c r="B15" t="n">
        <v>2.54</v>
      </c>
      <c r="C15" t="n">
        <v>34.673685</v>
      </c>
      <c r="D15" t="inlineStr">
        <is>
          <t>Shrimps</t>
        </is>
      </c>
      <c r="E15" t="n">
        <v>0</v>
      </c>
      <c r="F15" t="n">
        <v>20.606299</v>
      </c>
      <c r="G15" t="n">
        <v>1.542427</v>
      </c>
      <c r="H15" t="n">
        <v>1.561295</v>
      </c>
      <c r="I15" t="n">
        <v>15.075177</v>
      </c>
      <c r="J15" t="n">
        <v>15.075177</v>
      </c>
      <c r="K15" t="n">
        <v>15.060102</v>
      </c>
      <c r="L15" t="n">
        <v>13.927162</v>
      </c>
      <c r="M15" t="n">
        <v>13.927162</v>
      </c>
      <c r="N15" t="n">
        <v>14.183251</v>
      </c>
      <c r="O15" t="n">
        <v>7.969433</v>
      </c>
      <c r="P15" t="n">
        <v>5.681336</v>
      </c>
      <c r="Q15" t="n">
        <v>14.183251</v>
      </c>
      <c r="R15" t="n">
        <v>13.927162</v>
      </c>
      <c r="S15" t="n">
        <v>7.969433</v>
      </c>
      <c r="T15" t="n">
        <v>7.969433</v>
      </c>
      <c r="U15" t="n">
        <v>5.681336</v>
      </c>
      <c r="V15" t="n">
        <v>5.681336</v>
      </c>
      <c r="W15" t="n">
        <v>8.136905</v>
      </c>
      <c r="X15" t="n">
        <v>14.885026</v>
      </c>
    </row>
    <row r="16">
      <c r="A16" t="inlineStr">
        <is>
          <t>Todarodes pacificus</t>
        </is>
      </c>
      <c r="B16" t="n">
        <v>4.28</v>
      </c>
      <c r="C16" t="n">
        <v>1905.460718</v>
      </c>
      <c r="D16" t="inlineStr">
        <is>
          <t>Cephalopods</t>
        </is>
      </c>
      <c r="E16" t="n">
        <v>0</v>
      </c>
      <c r="F16" t="n">
        <v>65.929169</v>
      </c>
      <c r="G16" t="n">
        <v>1.821994</v>
      </c>
      <c r="H16" t="n">
        <v>1.839433</v>
      </c>
      <c r="I16" t="n">
        <v>38.382342</v>
      </c>
      <c r="J16" t="n">
        <v>38.382342</v>
      </c>
      <c r="K16" t="n">
        <v>37.768225</v>
      </c>
      <c r="L16" t="n">
        <v>36.734327</v>
      </c>
      <c r="M16" t="n">
        <v>36.734327</v>
      </c>
      <c r="N16" t="n">
        <v>37.111337</v>
      </c>
      <c r="O16" t="n">
        <v>12.794003</v>
      </c>
      <c r="P16" t="n">
        <v>8.242232</v>
      </c>
      <c r="Q16" t="n">
        <v>37.111337</v>
      </c>
      <c r="R16" t="n">
        <v>36.734327</v>
      </c>
      <c r="S16" t="n">
        <v>12.794003</v>
      </c>
      <c r="T16" t="n">
        <v>12.794003</v>
      </c>
      <c r="U16" t="n">
        <v>8.242232</v>
      </c>
      <c r="V16" t="n">
        <v>8.242232</v>
      </c>
      <c r="W16" t="n">
        <v>12.757448</v>
      </c>
      <c r="X16" t="n">
        <v>38.53303</v>
      </c>
    </row>
    <row r="17">
      <c r="A17" t="inlineStr">
        <is>
          <t>Sciaenidae</t>
        </is>
      </c>
      <c r="B17" t="n">
        <v>3.76</v>
      </c>
      <c r="C17" t="n">
        <v>575.439937</v>
      </c>
      <c r="D17" t="inlineStr">
        <is>
          <t>Benthivores | Piscivores | Benthivores/piscivores | Omnivores | Large yellow croakers | Small yellow croakers</t>
        </is>
      </c>
      <c r="E17" t="n">
        <v>0</v>
      </c>
      <c r="F17" t="n">
        <v>173.538806</v>
      </c>
      <c r="G17" t="n">
        <v>2.056327</v>
      </c>
      <c r="H17" t="n">
        <v>2.078984</v>
      </c>
      <c r="I17" t="n">
        <v>126.848654</v>
      </c>
      <c r="J17" t="n">
        <v>128.748509</v>
      </c>
      <c r="K17" t="n">
        <v>90.18966500000001</v>
      </c>
      <c r="L17" t="n">
        <v>217.718498</v>
      </c>
      <c r="M17" t="n">
        <v>217.718498</v>
      </c>
      <c r="N17" t="n">
        <v>220.823291</v>
      </c>
      <c r="O17" t="n">
        <v>25.68197</v>
      </c>
      <c r="P17" t="n">
        <v>14.042971</v>
      </c>
      <c r="Q17" t="n">
        <v>220.823291</v>
      </c>
      <c r="R17" t="n">
        <v>217.718498</v>
      </c>
      <c r="S17" t="n">
        <v>25.68197</v>
      </c>
      <c r="T17" t="n">
        <v>25.68197</v>
      </c>
      <c r="U17" t="n">
        <v>14.042971</v>
      </c>
      <c r="V17" t="n">
        <v>14.042971</v>
      </c>
      <c r="W17" t="n">
        <v>26.350181</v>
      </c>
      <c r="X17" t="n">
        <v>139.946072</v>
      </c>
    </row>
    <row r="18">
      <c r="A18" t="inlineStr">
        <is>
          <t>Stephanolepis cirrhifer</t>
        </is>
      </c>
      <c r="B18" t="n">
        <v>2.84</v>
      </c>
      <c r="C18" t="n">
        <v>69.183097</v>
      </c>
      <c r="D18" t="inlineStr">
        <is>
          <t>Benthivores</t>
        </is>
      </c>
      <c r="E18" t="n">
        <v>0</v>
      </c>
      <c r="F18" t="n">
        <v>67.81478300000001</v>
      </c>
      <c r="G18" t="n">
        <v>1.829368</v>
      </c>
      <c r="H18" t="n">
        <v>1.84033</v>
      </c>
      <c r="I18" t="n">
        <v>33.988491</v>
      </c>
      <c r="J18" t="n">
        <v>35.780255</v>
      </c>
      <c r="K18" t="n">
        <v>35.601354</v>
      </c>
      <c r="L18" t="n">
        <v>385.228839</v>
      </c>
      <c r="M18" t="n">
        <v>385.228839</v>
      </c>
      <c r="N18" t="n">
        <v>391.588003</v>
      </c>
      <c r="O18" t="n">
        <v>16.66963</v>
      </c>
      <c r="P18" t="n">
        <v>9.973879999999999</v>
      </c>
      <c r="Q18" t="n">
        <v>391.588003</v>
      </c>
      <c r="R18" t="n">
        <v>385.228839</v>
      </c>
      <c r="S18" t="n">
        <v>16.66963</v>
      </c>
      <c r="T18" t="n">
        <v>16.66963</v>
      </c>
      <c r="U18" t="n">
        <v>9.973879999999999</v>
      </c>
      <c r="V18" t="n">
        <v>9.973879999999999</v>
      </c>
      <c r="W18" t="n">
        <v>17.246706</v>
      </c>
      <c r="X18" t="n">
        <v>42.474741</v>
      </c>
    </row>
    <row r="19">
      <c r="A19" t="inlineStr">
        <is>
          <t>Pectinidae</t>
        </is>
      </c>
      <c r="B19" t="n">
        <v>2</v>
      </c>
      <c r="C19" t="n">
        <v>10</v>
      </c>
      <c r="D19" t="inlineStr">
        <is>
          <t>Mollusks</t>
        </is>
      </c>
      <c r="E19" t="n">
        <v>0</v>
      </c>
      <c r="F19" t="n">
        <v>14.497407</v>
      </c>
      <c r="G19" t="n">
        <v>1.466668</v>
      </c>
      <c r="H19" t="n">
        <v>1.466497</v>
      </c>
      <c r="I19" t="n">
        <v>17.850747</v>
      </c>
      <c r="J19" t="n">
        <v>17.850747</v>
      </c>
      <c r="K19" t="n">
        <v>5.355224</v>
      </c>
      <c r="L19" t="n">
        <v>17.186608</v>
      </c>
      <c r="M19" t="n">
        <v>17.186608</v>
      </c>
      <c r="N19" t="n">
        <v>17.598965</v>
      </c>
      <c r="O19" t="n">
        <v>3.995111</v>
      </c>
      <c r="P19" t="n">
        <v>2.967513</v>
      </c>
      <c r="Q19" t="n">
        <v>17.598965</v>
      </c>
      <c r="R19" t="n">
        <v>17.186608</v>
      </c>
      <c r="S19" t="n">
        <v>3.995111</v>
      </c>
      <c r="T19" t="n">
        <v>3.995111</v>
      </c>
      <c r="U19" t="n">
        <v>2.967513</v>
      </c>
      <c r="V19" t="n">
        <v>2.967513</v>
      </c>
      <c r="W19" t="n">
        <v>3.990277</v>
      </c>
      <c r="X19" t="n">
        <v>17.941416</v>
      </c>
    </row>
    <row r="20">
      <c r="A20" t="inlineStr">
        <is>
          <t>Scyphozoa</t>
        </is>
      </c>
      <c r="B20" t="n">
        <v>3.46</v>
      </c>
      <c r="C20" t="n">
        <v>288.40315</v>
      </c>
      <c r="D20" t="inlineStr">
        <is>
          <t>Other invertebrates</t>
        </is>
      </c>
      <c r="E20" t="n">
        <v>0</v>
      </c>
      <c r="F20" t="n">
        <v>10</v>
      </c>
      <c r="G20" t="n">
        <v>1.39069</v>
      </c>
      <c r="H20" t="n">
        <v>1.39069</v>
      </c>
      <c r="I20" t="n">
        <v>14.61039</v>
      </c>
      <c r="J20" t="n">
        <v>14.61039</v>
      </c>
      <c r="K20" t="n">
        <v>9</v>
      </c>
      <c r="L20" t="n">
        <v>13.760094</v>
      </c>
      <c r="M20" t="n">
        <v>13.760094</v>
      </c>
      <c r="N20" t="n">
        <v>13.94977</v>
      </c>
      <c r="O20" t="n">
        <v>9.664044000000001</v>
      </c>
      <c r="P20" t="n">
        <v>7.828167</v>
      </c>
      <c r="Q20" t="n">
        <v>13.94977</v>
      </c>
      <c r="R20" t="n">
        <v>13.760094</v>
      </c>
      <c r="S20" t="n">
        <v>9.664044000000001</v>
      </c>
      <c r="T20" t="n">
        <v>9.664044000000001</v>
      </c>
      <c r="U20" t="n">
        <v>7.828167</v>
      </c>
      <c r="V20" t="n">
        <v>7.828167</v>
      </c>
      <c r="W20" t="n">
        <v>9.661211</v>
      </c>
      <c r="X20" t="n">
        <v>13.78907</v>
      </c>
    </row>
    <row r="21">
      <c r="A21" t="inlineStr">
        <is>
          <t>Pleuronectidae</t>
        </is>
      </c>
      <c r="B21" t="n">
        <v>3.49</v>
      </c>
      <c r="C21" t="n">
        <v>309.029543</v>
      </c>
      <c r="D21" t="inlineStr">
        <is>
          <t>Benthivores</t>
        </is>
      </c>
      <c r="E21" t="n">
        <v>0</v>
      </c>
      <c r="F21" t="n">
        <v>67.81478300000001</v>
      </c>
      <c r="G21" t="n">
        <v>1.829368</v>
      </c>
      <c r="H21" t="n">
        <v>1.84033</v>
      </c>
      <c r="I21" t="n">
        <v>33.988491</v>
      </c>
      <c r="J21" t="n">
        <v>35.780255</v>
      </c>
      <c r="K21" t="n">
        <v>35.601354</v>
      </c>
      <c r="L21" t="n">
        <v>385.228839</v>
      </c>
      <c r="M21" t="n">
        <v>385.228839</v>
      </c>
      <c r="N21" t="n">
        <v>391.588003</v>
      </c>
      <c r="O21" t="n">
        <v>16.66963</v>
      </c>
      <c r="P21" t="n">
        <v>9.973879999999999</v>
      </c>
      <c r="Q21" t="n">
        <v>391.588003</v>
      </c>
      <c r="R21" t="n">
        <v>385.228839</v>
      </c>
      <c r="S21" t="n">
        <v>16.66963</v>
      </c>
      <c r="T21" t="n">
        <v>16.66963</v>
      </c>
      <c r="U21" t="n">
        <v>9.973879999999999</v>
      </c>
      <c r="V21" t="n">
        <v>9.973879999999999</v>
      </c>
      <c r="W21" t="n">
        <v>17.246706</v>
      </c>
      <c r="X21" t="n">
        <v>42.474741</v>
      </c>
    </row>
    <row r="22">
      <c r="A22" t="inlineStr">
        <is>
          <t>Muraenesox cinereus</t>
        </is>
      </c>
      <c r="B22" t="n">
        <v>4.38</v>
      </c>
      <c r="C22" t="n">
        <v>2398.832919</v>
      </c>
      <c r="D22" t="inlineStr">
        <is>
          <t>Piscivores</t>
        </is>
      </c>
      <c r="E22" t="n">
        <v>0</v>
      </c>
      <c r="F22" t="n">
        <v>304.388999</v>
      </c>
      <c r="G22" t="n">
        <v>2.268309</v>
      </c>
      <c r="H22" t="n">
        <v>2.300314</v>
      </c>
      <c r="I22" t="n">
        <v>249.259877</v>
      </c>
      <c r="J22" t="n">
        <v>251.428736</v>
      </c>
      <c r="K22" t="n">
        <v>202.148704</v>
      </c>
      <c r="L22" t="n">
        <v>282.597002</v>
      </c>
      <c r="M22" t="n">
        <v>282.597002</v>
      </c>
      <c r="N22" t="n">
        <v>286.033173</v>
      </c>
      <c r="O22" t="n">
        <v>49.797649</v>
      </c>
      <c r="P22" t="n">
        <v>25.643377</v>
      </c>
      <c r="Q22" t="n">
        <v>286.033173</v>
      </c>
      <c r="R22" t="n">
        <v>282.597002</v>
      </c>
      <c r="S22" t="n">
        <v>49.797649</v>
      </c>
      <c r="T22" t="n">
        <v>49.797649</v>
      </c>
      <c r="U22" t="n">
        <v>25.643377</v>
      </c>
      <c r="V22" t="n">
        <v>25.643377</v>
      </c>
      <c r="W22" t="n">
        <v>51.082514</v>
      </c>
      <c r="X22" t="n">
        <v>274.518943</v>
      </c>
    </row>
    <row r="23">
      <c r="A23" t="inlineStr">
        <is>
          <t>Pennahia argentata</t>
        </is>
      </c>
      <c r="B23" t="n">
        <v>3.47</v>
      </c>
      <c r="C23" t="n">
        <v>295.120923</v>
      </c>
      <c r="D23" t="inlineStr">
        <is>
          <t>Benthivores/piscivores</t>
        </is>
      </c>
      <c r="E23" t="n">
        <v>0</v>
      </c>
      <c r="F23" t="n">
        <v>136.120059</v>
      </c>
      <c r="G23" t="n">
        <v>2.021353</v>
      </c>
      <c r="H23" t="n">
        <v>2.039787</v>
      </c>
      <c r="I23" t="n">
        <v>36.046055</v>
      </c>
      <c r="J23" t="n">
        <v>36.076344</v>
      </c>
      <c r="K23" t="n">
        <v>35.535199</v>
      </c>
      <c r="L23" t="n">
        <v>34.759886</v>
      </c>
      <c r="M23" t="n">
        <v>34.759886</v>
      </c>
      <c r="N23" t="n">
        <v>35.313702</v>
      </c>
      <c r="O23" t="n">
        <v>13.890783</v>
      </c>
      <c r="P23" t="n">
        <v>8.319739999999999</v>
      </c>
      <c r="Q23" t="n">
        <v>35.313702</v>
      </c>
      <c r="R23" t="n">
        <v>34.759886</v>
      </c>
      <c r="S23" t="n">
        <v>13.890783</v>
      </c>
      <c r="T23" t="n">
        <v>13.890783</v>
      </c>
      <c r="U23" t="n">
        <v>8.319739999999999</v>
      </c>
      <c r="V23" t="n">
        <v>8.319739999999999</v>
      </c>
      <c r="W23" t="n">
        <v>14.220855</v>
      </c>
      <c r="X23" t="n">
        <v>35.767132</v>
      </c>
    </row>
    <row r="24">
      <c r="A24" t="inlineStr">
        <is>
          <t>Gadus macrocephalus</t>
        </is>
      </c>
      <c r="B24" t="n">
        <v>4.16</v>
      </c>
      <c r="C24" t="n">
        <v>1445.439771</v>
      </c>
      <c r="D24" t="inlineStr">
        <is>
          <t>Benthivores/piscivores</t>
        </is>
      </c>
      <c r="E24" t="n">
        <v>0</v>
      </c>
      <c r="F24" t="n">
        <v>136.120059</v>
      </c>
      <c r="G24" t="n">
        <v>2.021353</v>
      </c>
      <c r="H24" t="n">
        <v>2.039787</v>
      </c>
      <c r="I24" t="n">
        <v>36.046055</v>
      </c>
      <c r="J24" t="n">
        <v>36.076344</v>
      </c>
      <c r="K24" t="n">
        <v>35.535199</v>
      </c>
      <c r="L24" t="n">
        <v>34.759886</v>
      </c>
      <c r="M24" t="n">
        <v>34.759886</v>
      </c>
      <c r="N24" t="n">
        <v>35.313702</v>
      </c>
      <c r="O24" t="n">
        <v>13.890783</v>
      </c>
      <c r="P24" t="n">
        <v>8.319739999999999</v>
      </c>
      <c r="Q24" t="n">
        <v>35.313702</v>
      </c>
      <c r="R24" t="n">
        <v>34.759886</v>
      </c>
      <c r="S24" t="n">
        <v>13.890783</v>
      </c>
      <c r="T24" t="n">
        <v>13.890783</v>
      </c>
      <c r="U24" t="n">
        <v>8.319739999999999</v>
      </c>
      <c r="V24" t="n">
        <v>8.319739999999999</v>
      </c>
      <c r="W24" t="n">
        <v>14.220855</v>
      </c>
      <c r="X24" t="n">
        <v>35.767132</v>
      </c>
    </row>
    <row r="25">
      <c r="A25" t="inlineStr">
        <is>
          <t>Monacanthidae</t>
        </is>
      </c>
      <c r="B25" t="n">
        <v>3</v>
      </c>
      <c r="C25" t="n">
        <v>100</v>
      </c>
      <c r="D25" t="inlineStr">
        <is>
          <t>Benthivores | Planktivores/piscivores</t>
        </is>
      </c>
      <c r="E25" t="n">
        <v>0</v>
      </c>
      <c r="F25" t="n">
        <v>92.061187</v>
      </c>
      <c r="G25" t="n">
        <v>1.900898</v>
      </c>
      <c r="H25" t="n">
        <v>1.900649</v>
      </c>
      <c r="I25" t="n">
        <v>264.905053</v>
      </c>
      <c r="J25" t="n">
        <v>279.938864</v>
      </c>
      <c r="K25" t="n">
        <v>111.710951</v>
      </c>
      <c r="L25" t="n">
        <v>505.856712</v>
      </c>
      <c r="M25" t="n">
        <v>505.856712</v>
      </c>
      <c r="N25" t="n">
        <v>513.812668</v>
      </c>
      <c r="O25" t="n">
        <v>41.321907</v>
      </c>
      <c r="P25" t="n">
        <v>24.49538</v>
      </c>
      <c r="Q25" t="n">
        <v>513.812668</v>
      </c>
      <c r="R25" t="n">
        <v>505.856712</v>
      </c>
      <c r="S25" t="n">
        <v>41.321907</v>
      </c>
      <c r="T25" t="n">
        <v>41.321907</v>
      </c>
      <c r="U25" t="n">
        <v>24.49538</v>
      </c>
      <c r="V25" t="n">
        <v>24.49538</v>
      </c>
      <c r="W25" t="n">
        <v>42.670715</v>
      </c>
      <c r="X25" t="n">
        <v>323.855245</v>
      </c>
    </row>
    <row r="26">
      <c r="A26" t="inlineStr">
        <is>
          <t>Pampus</t>
        </is>
      </c>
      <c r="B26" t="n">
        <v>3.41</v>
      </c>
      <c r="C26" t="n">
        <v>257.039578</v>
      </c>
      <c r="D26" t="inlineStr">
        <is>
          <t>Planktivores/piscivores</t>
        </is>
      </c>
      <c r="E26" t="n">
        <v>0</v>
      </c>
      <c r="F26" t="n">
        <v>123.077794</v>
      </c>
      <c r="G26" t="n">
        <v>1.992402</v>
      </c>
      <c r="H26" t="n">
        <v>1.97781</v>
      </c>
      <c r="I26" t="n">
        <v>560.299311</v>
      </c>
      <c r="J26" t="n">
        <v>592.272682</v>
      </c>
      <c r="K26" t="n">
        <v>209.072257</v>
      </c>
      <c r="L26" t="n">
        <v>660.166914</v>
      </c>
      <c r="M26" t="n">
        <v>660.166914</v>
      </c>
      <c r="N26" t="n">
        <v>670.165526</v>
      </c>
      <c r="O26" t="n">
        <v>72.857719</v>
      </c>
      <c r="P26" t="n">
        <v>43.071646</v>
      </c>
      <c r="Q26" t="n">
        <v>670.165526</v>
      </c>
      <c r="R26" t="n">
        <v>660.166914</v>
      </c>
      <c r="S26" t="n">
        <v>72.857719</v>
      </c>
      <c r="T26" t="n">
        <v>72.857719</v>
      </c>
      <c r="U26" t="n">
        <v>43.071646</v>
      </c>
      <c r="V26" t="n">
        <v>43.071646</v>
      </c>
      <c r="W26" t="n">
        <v>75.193746</v>
      </c>
      <c r="X26" t="n">
        <v>683.804243</v>
      </c>
    </row>
    <row r="27">
      <c r="A27" t="inlineStr">
        <is>
          <t>Bivalvia</t>
        </is>
      </c>
      <c r="B27" t="n">
        <v>2.23</v>
      </c>
      <c r="C27" t="n">
        <v>16.982437</v>
      </c>
      <c r="D27" t="inlineStr">
        <is>
          <t>Mollusks</t>
        </is>
      </c>
      <c r="E27" t="n">
        <v>0</v>
      </c>
      <c r="F27" t="n">
        <v>14.497407</v>
      </c>
      <c r="G27" t="n">
        <v>1.466668</v>
      </c>
      <c r="H27" t="n">
        <v>1.466497</v>
      </c>
      <c r="I27" t="n">
        <v>17.850747</v>
      </c>
      <c r="J27" t="n">
        <v>17.850747</v>
      </c>
      <c r="K27" t="n">
        <v>5.355224</v>
      </c>
      <c r="L27" t="n">
        <v>17.186608</v>
      </c>
      <c r="M27" t="n">
        <v>17.186608</v>
      </c>
      <c r="N27" t="n">
        <v>17.598965</v>
      </c>
      <c r="O27" t="n">
        <v>3.995111</v>
      </c>
      <c r="P27" t="n">
        <v>2.967513</v>
      </c>
      <c r="Q27" t="n">
        <v>17.598965</v>
      </c>
      <c r="R27" t="n">
        <v>17.186608</v>
      </c>
      <c r="S27" t="n">
        <v>3.995111</v>
      </c>
      <c r="T27" t="n">
        <v>3.995111</v>
      </c>
      <c r="U27" t="n">
        <v>2.967513</v>
      </c>
      <c r="V27" t="n">
        <v>2.967513</v>
      </c>
      <c r="W27" t="n">
        <v>3.990277</v>
      </c>
      <c r="X27" t="n">
        <v>17.941416</v>
      </c>
    </row>
    <row r="28">
      <c r="A28" t="inlineStr">
        <is>
          <t>Trachysalambria curvirostris</t>
        </is>
      </c>
      <c r="B28" t="n">
        <v>2.7</v>
      </c>
      <c r="C28" t="n">
        <v>50.118723</v>
      </c>
      <c r="D28" t="inlineStr">
        <is>
          <t>Shrimps</t>
        </is>
      </c>
      <c r="E28" t="n">
        <v>0</v>
      </c>
      <c r="F28" t="n">
        <v>20.606299</v>
      </c>
      <c r="G28" t="n">
        <v>1.542427</v>
      </c>
      <c r="H28" t="n">
        <v>1.561295</v>
      </c>
      <c r="I28" t="n">
        <v>15.075177</v>
      </c>
      <c r="J28" t="n">
        <v>15.075177</v>
      </c>
      <c r="K28" t="n">
        <v>15.060102</v>
      </c>
      <c r="L28" t="n">
        <v>13.927162</v>
      </c>
      <c r="M28" t="n">
        <v>13.927162</v>
      </c>
      <c r="N28" t="n">
        <v>14.183251</v>
      </c>
      <c r="O28" t="n">
        <v>7.969433</v>
      </c>
      <c r="P28" t="n">
        <v>5.681336</v>
      </c>
      <c r="Q28" t="n">
        <v>14.183251</v>
      </c>
      <c r="R28" t="n">
        <v>13.927162</v>
      </c>
      <c r="S28" t="n">
        <v>7.969433</v>
      </c>
      <c r="T28" t="n">
        <v>7.969433</v>
      </c>
      <c r="U28" t="n">
        <v>5.681336</v>
      </c>
      <c r="V28" t="n">
        <v>5.681336</v>
      </c>
      <c r="W28" t="n">
        <v>8.136905</v>
      </c>
      <c r="X28" t="n">
        <v>14.885026</v>
      </c>
    </row>
    <row r="29">
      <c r="A29" t="inlineStr">
        <is>
          <t>Nemipterus</t>
        </is>
      </c>
      <c r="B29" t="n">
        <v>3.72</v>
      </c>
      <c r="C29" t="n">
        <v>524.80746</v>
      </c>
      <c r="D29" t="inlineStr">
        <is>
          <t>Benthivores/piscivores</t>
        </is>
      </c>
      <c r="E29" t="n">
        <v>0</v>
      </c>
      <c r="F29" t="n">
        <v>136.120059</v>
      </c>
      <c r="G29" t="n">
        <v>2.021353</v>
      </c>
      <c r="H29" t="n">
        <v>2.039787</v>
      </c>
      <c r="I29" t="n">
        <v>36.046055</v>
      </c>
      <c r="J29" t="n">
        <v>36.076344</v>
      </c>
      <c r="K29" t="n">
        <v>35.535199</v>
      </c>
      <c r="L29" t="n">
        <v>34.759886</v>
      </c>
      <c r="M29" t="n">
        <v>34.759886</v>
      </c>
      <c r="N29" t="n">
        <v>35.313702</v>
      </c>
      <c r="O29" t="n">
        <v>13.890783</v>
      </c>
      <c r="P29" t="n">
        <v>8.319739999999999</v>
      </c>
      <c r="Q29" t="n">
        <v>35.313702</v>
      </c>
      <c r="R29" t="n">
        <v>34.759886</v>
      </c>
      <c r="S29" t="n">
        <v>13.890783</v>
      </c>
      <c r="T29" t="n">
        <v>13.890783</v>
      </c>
      <c r="U29" t="n">
        <v>8.319739999999999</v>
      </c>
      <c r="V29" t="n">
        <v>8.319739999999999</v>
      </c>
      <c r="W29" t="n">
        <v>14.220855</v>
      </c>
      <c r="X29" t="n">
        <v>35.767132</v>
      </c>
    </row>
    <row r="30">
      <c r="A30" t="inlineStr">
        <is>
          <t>Scomberomorus</t>
        </is>
      </c>
      <c r="B30" t="n">
        <v>4.35</v>
      </c>
      <c r="C30" t="n">
        <v>2238.721139</v>
      </c>
      <c r="D30" t="inlineStr">
        <is>
          <t>Piscivores</t>
        </is>
      </c>
      <c r="E30" t="n">
        <v>0</v>
      </c>
      <c r="F30" t="n">
        <v>304.388999</v>
      </c>
      <c r="G30" t="n">
        <v>2.268309</v>
      </c>
      <c r="H30" t="n">
        <v>2.300314</v>
      </c>
      <c r="I30" t="n">
        <v>249.259877</v>
      </c>
      <c r="J30" t="n">
        <v>251.428736</v>
      </c>
      <c r="K30" t="n">
        <v>202.148704</v>
      </c>
      <c r="L30" t="n">
        <v>282.597002</v>
      </c>
      <c r="M30" t="n">
        <v>282.597002</v>
      </c>
      <c r="N30" t="n">
        <v>286.033173</v>
      </c>
      <c r="O30" t="n">
        <v>49.797649</v>
      </c>
      <c r="P30" t="n">
        <v>25.643377</v>
      </c>
      <c r="Q30" t="n">
        <v>286.033173</v>
      </c>
      <c r="R30" t="n">
        <v>282.597002</v>
      </c>
      <c r="S30" t="n">
        <v>49.797649</v>
      </c>
      <c r="T30" t="n">
        <v>49.797649</v>
      </c>
      <c r="U30" t="n">
        <v>25.643377</v>
      </c>
      <c r="V30" t="n">
        <v>25.643377</v>
      </c>
      <c r="W30" t="n">
        <v>51.082514</v>
      </c>
      <c r="X30" t="n">
        <v>274.518943</v>
      </c>
    </row>
    <row r="31">
      <c r="A31" t="inlineStr">
        <is>
          <t>Portunus trituberculatus</t>
        </is>
      </c>
      <c r="B31" t="n">
        <v>3.73</v>
      </c>
      <c r="C31" t="n">
        <v>537.031796</v>
      </c>
      <c r="D31" t="inlineStr">
        <is>
          <t>Crabs</t>
        </is>
      </c>
      <c r="E31" t="n">
        <v>0</v>
      </c>
      <c r="F31" t="n">
        <v>21.002175</v>
      </c>
      <c r="G31" t="n">
        <v>1.546636</v>
      </c>
      <c r="H31" t="n">
        <v>1.565985</v>
      </c>
      <c r="I31" t="n">
        <v>12.039474</v>
      </c>
      <c r="J31" t="n">
        <v>12.039474</v>
      </c>
      <c r="K31" t="n">
        <v>11.028158</v>
      </c>
      <c r="L31" t="n">
        <v>11.032425</v>
      </c>
      <c r="M31" t="n">
        <v>11.032425</v>
      </c>
      <c r="N31" t="n">
        <v>11.257068</v>
      </c>
      <c r="O31" t="n">
        <v>7.495998</v>
      </c>
      <c r="P31" t="n">
        <v>5.212079</v>
      </c>
      <c r="Q31" t="n">
        <v>11.257068</v>
      </c>
      <c r="R31" t="n">
        <v>11.032425</v>
      </c>
      <c r="S31" t="n">
        <v>7.495998</v>
      </c>
      <c r="T31" t="n">
        <v>7.495998</v>
      </c>
      <c r="U31" t="n">
        <v>5.212079</v>
      </c>
      <c r="V31" t="n">
        <v>5.212079</v>
      </c>
      <c r="W31" t="n">
        <v>7.53635</v>
      </c>
      <c r="X31" t="n">
        <v>11.035506</v>
      </c>
    </row>
    <row r="32">
      <c r="A32" t="inlineStr">
        <is>
          <t>Octopoda</t>
        </is>
      </c>
      <c r="B32" t="n">
        <v>3.58</v>
      </c>
      <c r="C32" t="n">
        <v>380.189396</v>
      </c>
      <c r="D32" t="inlineStr">
        <is>
          <t>Cephalopods</t>
        </is>
      </c>
      <c r="E32" t="n">
        <v>0</v>
      </c>
      <c r="F32" t="n">
        <v>65.929169</v>
      </c>
      <c r="G32" t="n">
        <v>1.821994</v>
      </c>
      <c r="H32" t="n">
        <v>1.839433</v>
      </c>
      <c r="I32" t="n">
        <v>38.382342</v>
      </c>
      <c r="J32" t="n">
        <v>38.382342</v>
      </c>
      <c r="K32" t="n">
        <v>37.768225</v>
      </c>
      <c r="L32" t="n">
        <v>36.734327</v>
      </c>
      <c r="M32" t="n">
        <v>36.734327</v>
      </c>
      <c r="N32" t="n">
        <v>37.111337</v>
      </c>
      <c r="O32" t="n">
        <v>12.794003</v>
      </c>
      <c r="P32" t="n">
        <v>8.242232</v>
      </c>
      <c r="Q32" t="n">
        <v>37.111337</v>
      </c>
      <c r="R32" t="n">
        <v>36.734327</v>
      </c>
      <c r="S32" t="n">
        <v>12.794003</v>
      </c>
      <c r="T32" t="n">
        <v>12.794003</v>
      </c>
      <c r="U32" t="n">
        <v>8.242232</v>
      </c>
      <c r="V32" t="n">
        <v>8.242232</v>
      </c>
      <c r="W32" t="n">
        <v>12.757448</v>
      </c>
      <c r="X32" t="n">
        <v>38.53303</v>
      </c>
    </row>
    <row r="33">
      <c r="A33" t="inlineStr">
        <is>
          <t>Sepiida</t>
        </is>
      </c>
      <c r="B33" t="n">
        <v>3.7</v>
      </c>
      <c r="C33" t="n">
        <v>501.187234</v>
      </c>
      <c r="D33" t="inlineStr">
        <is>
          <t>Cephalopods</t>
        </is>
      </c>
      <c r="E33" t="n">
        <v>0</v>
      </c>
      <c r="F33" t="n">
        <v>65.929169</v>
      </c>
      <c r="G33" t="n">
        <v>1.821994</v>
      </c>
      <c r="H33" t="n">
        <v>1.839433</v>
      </c>
      <c r="I33" t="n">
        <v>38.382342</v>
      </c>
      <c r="J33" t="n">
        <v>38.382342</v>
      </c>
      <c r="K33" t="n">
        <v>37.768225</v>
      </c>
      <c r="L33" t="n">
        <v>36.734327</v>
      </c>
      <c r="M33" t="n">
        <v>36.734327</v>
      </c>
      <c r="N33" t="n">
        <v>37.111337</v>
      </c>
      <c r="O33" t="n">
        <v>12.794003</v>
      </c>
      <c r="P33" t="n">
        <v>8.242232</v>
      </c>
      <c r="Q33" t="n">
        <v>37.111337</v>
      </c>
      <c r="R33" t="n">
        <v>36.734327</v>
      </c>
      <c r="S33" t="n">
        <v>12.794003</v>
      </c>
      <c r="T33" t="n">
        <v>12.794003</v>
      </c>
      <c r="U33" t="n">
        <v>8.242232</v>
      </c>
      <c r="V33" t="n">
        <v>8.242232</v>
      </c>
      <c r="W33" t="n">
        <v>12.757448</v>
      </c>
      <c r="X33" t="n">
        <v>38.53303</v>
      </c>
    </row>
    <row r="34">
      <c r="A34" t="inlineStr">
        <is>
          <t>Larimichthys crocea</t>
        </is>
      </c>
      <c r="B34" t="n">
        <v>3.72</v>
      </c>
      <c r="C34" t="n">
        <v>524.80746</v>
      </c>
      <c r="D34" t="inlineStr">
        <is>
          <t>Large yellow croakers</t>
        </is>
      </c>
      <c r="E34" t="n">
        <v>0</v>
      </c>
      <c r="F34" t="n">
        <v>245.321683</v>
      </c>
      <c r="G34" t="n">
        <v>2.19929</v>
      </c>
      <c r="H34" t="n">
        <v>2.227316</v>
      </c>
      <c r="I34" t="n">
        <v>53.229062</v>
      </c>
      <c r="J34" t="n">
        <v>53.229062</v>
      </c>
      <c r="K34" t="n">
        <v>53.069375</v>
      </c>
      <c r="L34" t="n">
        <v>50.554211</v>
      </c>
      <c r="M34" t="n">
        <v>50.554211</v>
      </c>
      <c r="N34" t="n">
        <v>51.236033</v>
      </c>
      <c r="O34" t="n">
        <v>21.207838</v>
      </c>
      <c r="P34" t="n">
        <v>11.769056</v>
      </c>
      <c r="Q34" t="n">
        <v>51.236033</v>
      </c>
      <c r="R34" t="n">
        <v>50.554211</v>
      </c>
      <c r="S34" t="n">
        <v>21.207838</v>
      </c>
      <c r="T34" t="n">
        <v>21.207838</v>
      </c>
      <c r="U34" t="n">
        <v>11.769056</v>
      </c>
      <c r="V34" t="n">
        <v>11.769056</v>
      </c>
      <c r="W34" t="n">
        <v>21.896355</v>
      </c>
      <c r="X34" t="n">
        <v>53.886477</v>
      </c>
    </row>
    <row r="35">
      <c r="A35" t="inlineStr">
        <is>
          <t>Scomberomorus niphonius</t>
        </is>
      </c>
      <c r="B35" t="n">
        <v>4.5</v>
      </c>
      <c r="C35" t="n">
        <v>3162.27766</v>
      </c>
      <c r="D35" t="inlineStr">
        <is>
          <t>Piscivores</t>
        </is>
      </c>
      <c r="E35" t="n">
        <v>0</v>
      </c>
      <c r="F35" t="n">
        <v>304.388999</v>
      </c>
      <c r="G35" t="n">
        <v>2.268309</v>
      </c>
      <c r="H35" t="n">
        <v>2.300314</v>
      </c>
      <c r="I35" t="n">
        <v>249.259877</v>
      </c>
      <c r="J35" t="n">
        <v>251.428736</v>
      </c>
      <c r="K35" t="n">
        <v>202.148704</v>
      </c>
      <c r="L35" t="n">
        <v>282.597002</v>
      </c>
      <c r="M35" t="n">
        <v>282.597002</v>
      </c>
      <c r="N35" t="n">
        <v>286.033173</v>
      </c>
      <c r="O35" t="n">
        <v>49.797649</v>
      </c>
      <c r="P35" t="n">
        <v>25.643377</v>
      </c>
      <c r="Q35" t="n">
        <v>286.033173</v>
      </c>
      <c r="R35" t="n">
        <v>282.597002</v>
      </c>
      <c r="S35" t="n">
        <v>49.797649</v>
      </c>
      <c r="T35" t="n">
        <v>49.797649</v>
      </c>
      <c r="U35" t="n">
        <v>25.643377</v>
      </c>
      <c r="V35" t="n">
        <v>25.643377</v>
      </c>
      <c r="W35" t="n">
        <v>51.082514</v>
      </c>
      <c r="X35" t="n">
        <v>274.518943</v>
      </c>
    </row>
    <row r="36">
      <c r="A36" t="inlineStr">
        <is>
          <t>Planiliza haematocheilus</t>
        </is>
      </c>
      <c r="B36" t="n">
        <v>2.5</v>
      </c>
      <c r="C36" t="n">
        <v>31.622777</v>
      </c>
      <c r="D36" t="inlineStr">
        <is>
          <t>Benthivores</t>
        </is>
      </c>
      <c r="E36" t="n">
        <v>0</v>
      </c>
      <c r="F36" t="n">
        <v>67.81478300000001</v>
      </c>
      <c r="G36" t="n">
        <v>1.829368</v>
      </c>
      <c r="H36" t="n">
        <v>1.84033</v>
      </c>
      <c r="I36" t="n">
        <v>33.988491</v>
      </c>
      <c r="J36" t="n">
        <v>35.780255</v>
      </c>
      <c r="K36" t="n">
        <v>35.601354</v>
      </c>
      <c r="L36" t="n">
        <v>385.228839</v>
      </c>
      <c r="M36" t="n">
        <v>385.228839</v>
      </c>
      <c r="N36" t="n">
        <v>391.588003</v>
      </c>
      <c r="O36" t="n">
        <v>16.66963</v>
      </c>
      <c r="P36" t="n">
        <v>9.973879999999999</v>
      </c>
      <c r="Q36" t="n">
        <v>391.588003</v>
      </c>
      <c r="R36" t="n">
        <v>385.228839</v>
      </c>
      <c r="S36" t="n">
        <v>16.66963</v>
      </c>
      <c r="T36" t="n">
        <v>16.66963</v>
      </c>
      <c r="U36" t="n">
        <v>9.973879999999999</v>
      </c>
      <c r="V36" t="n">
        <v>9.973879999999999</v>
      </c>
      <c r="W36" t="n">
        <v>17.246706</v>
      </c>
      <c r="X36" t="n">
        <v>42.474741</v>
      </c>
    </row>
    <row r="37">
      <c r="A37" t="inlineStr">
        <is>
          <t>Teuthida</t>
        </is>
      </c>
      <c r="B37" t="n">
        <v>4.13</v>
      </c>
      <c r="C37" t="n">
        <v>1348.962883</v>
      </c>
      <c r="D37" t="inlineStr">
        <is>
          <t>Cephalopods</t>
        </is>
      </c>
      <c r="E37" t="n">
        <v>0</v>
      </c>
      <c r="F37" t="n">
        <v>65.929169</v>
      </c>
      <c r="G37" t="n">
        <v>1.821994</v>
      </c>
      <c r="H37" t="n">
        <v>1.839433</v>
      </c>
      <c r="I37" t="n">
        <v>38.382342</v>
      </c>
      <c r="J37" t="n">
        <v>38.382342</v>
      </c>
      <c r="K37" t="n">
        <v>37.768225</v>
      </c>
      <c r="L37" t="n">
        <v>36.734327</v>
      </c>
      <c r="M37" t="n">
        <v>36.734327</v>
      </c>
      <c r="N37" t="n">
        <v>37.111337</v>
      </c>
      <c r="O37" t="n">
        <v>12.794003</v>
      </c>
      <c r="P37" t="n">
        <v>8.242232</v>
      </c>
      <c r="Q37" t="n">
        <v>37.111337</v>
      </c>
      <c r="R37" t="n">
        <v>36.734327</v>
      </c>
      <c r="S37" t="n">
        <v>12.794003</v>
      </c>
      <c r="T37" t="n">
        <v>12.794003</v>
      </c>
      <c r="U37" t="n">
        <v>8.242232</v>
      </c>
      <c r="V37" t="n">
        <v>8.242232</v>
      </c>
      <c r="W37" t="n">
        <v>12.757448</v>
      </c>
      <c r="X37" t="n">
        <v>38.53303</v>
      </c>
    </row>
    <row r="38">
      <c r="A38" t="inlineStr">
        <is>
          <t>Penaeus chinensis</t>
        </is>
      </c>
      <c r="B38" t="n">
        <v>2</v>
      </c>
      <c r="C38" t="n">
        <v>10</v>
      </c>
      <c r="D38" t="inlineStr">
        <is>
          <t>Shrimps</t>
        </is>
      </c>
      <c r="E38" t="n">
        <v>0</v>
      </c>
      <c r="F38" t="n">
        <v>20.606299</v>
      </c>
      <c r="G38" t="n">
        <v>1.542427</v>
      </c>
      <c r="H38" t="n">
        <v>1.561295</v>
      </c>
      <c r="I38" t="n">
        <v>15.075177</v>
      </c>
      <c r="J38" t="n">
        <v>15.075177</v>
      </c>
      <c r="K38" t="n">
        <v>15.060102</v>
      </c>
      <c r="L38" t="n">
        <v>13.927162</v>
      </c>
      <c r="M38" t="n">
        <v>13.927162</v>
      </c>
      <c r="N38" t="n">
        <v>14.183251</v>
      </c>
      <c r="O38" t="n">
        <v>7.969433</v>
      </c>
      <c r="P38" t="n">
        <v>5.681336</v>
      </c>
      <c r="Q38" t="n">
        <v>14.183251</v>
      </c>
      <c r="R38" t="n">
        <v>13.927162</v>
      </c>
      <c r="S38" t="n">
        <v>7.969433</v>
      </c>
      <c r="T38" t="n">
        <v>7.969433</v>
      </c>
      <c r="U38" t="n">
        <v>5.681336</v>
      </c>
      <c r="V38" t="n">
        <v>5.681336</v>
      </c>
      <c r="W38" t="n">
        <v>8.136905</v>
      </c>
      <c r="X38" t="n">
        <v>14.885026</v>
      </c>
    </row>
    <row r="39">
      <c r="A39" t="inlineStr">
        <is>
          <t>Oncorhynchus</t>
        </is>
      </c>
      <c r="B39" t="n">
        <v>3.95</v>
      </c>
      <c r="C39" t="n">
        <v>891.250938</v>
      </c>
      <c r="D39" t="inlineStr">
        <is>
          <t>Planktivores/piscivores</t>
        </is>
      </c>
      <c r="E39" t="n">
        <v>0</v>
      </c>
      <c r="F39" t="n">
        <v>123.077794</v>
      </c>
      <c r="G39" t="n">
        <v>1.992402</v>
      </c>
      <c r="H39" t="n">
        <v>1.97781</v>
      </c>
      <c r="I39" t="n">
        <v>560.299311</v>
      </c>
      <c r="J39" t="n">
        <v>592.272682</v>
      </c>
      <c r="K39" t="n">
        <v>209.072257</v>
      </c>
      <c r="L39" t="n">
        <v>660.166914</v>
      </c>
      <c r="M39" t="n">
        <v>660.166914</v>
      </c>
      <c r="N39" t="n">
        <v>670.165526</v>
      </c>
      <c r="O39" t="n">
        <v>72.857719</v>
      </c>
      <c r="P39" t="n">
        <v>43.071646</v>
      </c>
      <c r="Q39" t="n">
        <v>670.165526</v>
      </c>
      <c r="R39" t="n">
        <v>660.166914</v>
      </c>
      <c r="S39" t="n">
        <v>72.857719</v>
      </c>
      <c r="T39" t="n">
        <v>72.857719</v>
      </c>
      <c r="U39" t="n">
        <v>43.071646</v>
      </c>
      <c r="V39" t="n">
        <v>43.071646</v>
      </c>
      <c r="W39" t="n">
        <v>75.193746</v>
      </c>
      <c r="X39" t="n">
        <v>683.804243</v>
      </c>
    </row>
    <row r="40">
      <c r="A40" t="inlineStr">
        <is>
          <t>Carangidae</t>
        </is>
      </c>
      <c r="B40" t="n">
        <v>4.05</v>
      </c>
      <c r="C40" t="n">
        <v>1122.018454</v>
      </c>
      <c r="D40" t="inlineStr">
        <is>
          <t>Planktivores/piscivores | Omnivores</t>
        </is>
      </c>
      <c r="E40" t="n">
        <v>0</v>
      </c>
      <c r="F40" t="n">
        <v>125.430939</v>
      </c>
      <c r="G40" t="n">
        <v>1.997709</v>
      </c>
      <c r="H40" t="n">
        <v>1.994663</v>
      </c>
      <c r="I40" t="n">
        <v>417.482414</v>
      </c>
      <c r="J40" t="n">
        <v>440.855967</v>
      </c>
      <c r="K40" t="n">
        <v>168.363076</v>
      </c>
      <c r="L40" t="n">
        <v>490.371269</v>
      </c>
      <c r="M40" t="n">
        <v>490.371269</v>
      </c>
      <c r="N40" t="n">
        <v>497.77774</v>
      </c>
      <c r="O40" t="n">
        <v>56.861895</v>
      </c>
      <c r="P40" t="n">
        <v>33.524871</v>
      </c>
      <c r="Q40" t="n">
        <v>497.77774</v>
      </c>
      <c r="R40" t="n">
        <v>490.371269</v>
      </c>
      <c r="S40" t="n">
        <v>56.861895</v>
      </c>
      <c r="T40" t="n">
        <v>56.861895</v>
      </c>
      <c r="U40" t="n">
        <v>33.524871</v>
      </c>
      <c r="V40" t="n">
        <v>33.524871</v>
      </c>
      <c r="W40" t="n">
        <v>58.582041</v>
      </c>
      <c r="X40" t="n">
        <v>507.267986</v>
      </c>
    </row>
    <row r="41">
      <c r="A41" t="inlineStr">
        <is>
          <t>Psenopsis anomala</t>
        </is>
      </c>
      <c r="B41" t="n">
        <v>4</v>
      </c>
      <c r="C41" t="n">
        <v>1000</v>
      </c>
      <c r="D41" t="inlineStr">
        <is>
          <t>Planktivores/Benthivores | Planktivores/piscivores</t>
        </is>
      </c>
      <c r="E41" t="n">
        <v>0</v>
      </c>
      <c r="F41" t="n">
        <v>106.962813</v>
      </c>
      <c r="G41" t="n">
        <v>1.950007</v>
      </c>
      <c r="H41" t="n">
        <v>1.94493</v>
      </c>
      <c r="I41" t="n">
        <v>342.285237</v>
      </c>
      <c r="J41" t="n">
        <v>358.271923</v>
      </c>
      <c r="K41" t="n">
        <v>161.452321</v>
      </c>
      <c r="L41" t="n">
        <v>389.503511</v>
      </c>
      <c r="M41" t="n">
        <v>389.503511</v>
      </c>
      <c r="N41" t="n">
        <v>395.110096</v>
      </c>
      <c r="O41" t="n">
        <v>55.139121</v>
      </c>
      <c r="P41" t="n">
        <v>33.627075</v>
      </c>
      <c r="Q41" t="n">
        <v>395.110096</v>
      </c>
      <c r="R41" t="n">
        <v>389.503511</v>
      </c>
      <c r="S41" t="n">
        <v>55.139121</v>
      </c>
      <c r="T41" t="n">
        <v>55.139121</v>
      </c>
      <c r="U41" t="n">
        <v>33.627075</v>
      </c>
      <c r="V41" t="n">
        <v>33.627075</v>
      </c>
      <c r="W41" t="n">
        <v>56.648032</v>
      </c>
      <c r="X41" t="n">
        <v>403.023066</v>
      </c>
    </row>
    <row r="42">
      <c r="A42" t="inlineStr">
        <is>
          <t>Squillidae</t>
        </is>
      </c>
      <c r="B42" t="n">
        <v>3.5</v>
      </c>
      <c r="C42" t="n">
        <v>316.227766</v>
      </c>
      <c r="D42" t="inlineStr">
        <is>
          <t>Shrimps</t>
        </is>
      </c>
      <c r="E42" t="n">
        <v>0</v>
      </c>
      <c r="F42" t="n">
        <v>20.606299</v>
      </c>
      <c r="G42" t="n">
        <v>1.542427</v>
      </c>
      <c r="H42" t="n">
        <v>1.561295</v>
      </c>
      <c r="I42" t="n">
        <v>15.075177</v>
      </c>
      <c r="J42" t="n">
        <v>15.075177</v>
      </c>
      <c r="K42" t="n">
        <v>15.060102</v>
      </c>
      <c r="L42" t="n">
        <v>13.927162</v>
      </c>
      <c r="M42" t="n">
        <v>13.927162</v>
      </c>
      <c r="N42" t="n">
        <v>14.183251</v>
      </c>
      <c r="O42" t="n">
        <v>7.969433</v>
      </c>
      <c r="P42" t="n">
        <v>5.681336</v>
      </c>
      <c r="Q42" t="n">
        <v>14.183251</v>
      </c>
      <c r="R42" t="n">
        <v>13.927162</v>
      </c>
      <c r="S42" t="n">
        <v>7.969433</v>
      </c>
      <c r="T42" t="n">
        <v>7.969433</v>
      </c>
      <c r="U42" t="n">
        <v>5.681336</v>
      </c>
      <c r="V42" t="n">
        <v>5.681336</v>
      </c>
      <c r="W42" t="n">
        <v>8.136905</v>
      </c>
      <c r="X42" t="n">
        <v>14.885026</v>
      </c>
    </row>
    <row r="43">
      <c r="A43" t="inlineStr">
        <is>
          <t>Sparidae</t>
        </is>
      </c>
      <c r="B43" t="n">
        <v>3.31</v>
      </c>
      <c r="C43" t="n">
        <v>204.173794</v>
      </c>
      <c r="D43" t="inlineStr">
        <is>
          <t>Omnivores</t>
        </is>
      </c>
      <c r="E43" t="n">
        <v>0</v>
      </c>
      <c r="F43" t="n">
        <v>131.221463</v>
      </c>
      <c r="G43" t="n">
        <v>2.01077</v>
      </c>
      <c r="H43" t="n">
        <v>2.036134</v>
      </c>
      <c r="I43" t="n">
        <v>66.04435700000001</v>
      </c>
      <c r="J43" t="n">
        <v>68.25582300000001</v>
      </c>
      <c r="K43" t="n">
        <v>68.187568</v>
      </c>
      <c r="L43" t="n">
        <v>72.544996</v>
      </c>
      <c r="M43" t="n">
        <v>72.544996</v>
      </c>
      <c r="N43" t="n">
        <v>73.57283200000001</v>
      </c>
      <c r="O43" t="n">
        <v>17.500018</v>
      </c>
      <c r="P43" t="n">
        <v>10.032554</v>
      </c>
      <c r="Q43" t="n">
        <v>73.57283200000001</v>
      </c>
      <c r="R43" t="n">
        <v>72.544996</v>
      </c>
      <c r="S43" t="n">
        <v>17.500018</v>
      </c>
      <c r="T43" t="n">
        <v>17.500018</v>
      </c>
      <c r="U43" t="n">
        <v>10.032554</v>
      </c>
      <c r="V43" t="n">
        <v>10.032554</v>
      </c>
      <c r="W43" t="n">
        <v>17.704629</v>
      </c>
      <c r="X43" t="n">
        <v>72.854687</v>
      </c>
    </row>
    <row r="44">
      <c r="A44" t="inlineStr">
        <is>
          <t>Alepes</t>
        </is>
      </c>
      <c r="B44" t="n">
        <v>3.32</v>
      </c>
      <c r="C44" t="n">
        <v>208.929613</v>
      </c>
      <c r="D44" t="inlineStr">
        <is>
          <t>Planktivores/piscivores</t>
        </is>
      </c>
      <c r="E44" t="n">
        <v>0</v>
      </c>
      <c r="F44" t="n">
        <v>123.077794</v>
      </c>
      <c r="G44" t="n">
        <v>1.992402</v>
      </c>
      <c r="H44" t="n">
        <v>1.97781</v>
      </c>
      <c r="I44" t="n">
        <v>560.299311</v>
      </c>
      <c r="J44" t="n">
        <v>592.272682</v>
      </c>
      <c r="K44" t="n">
        <v>209.072257</v>
      </c>
      <c r="L44" t="n">
        <v>660.166914</v>
      </c>
      <c r="M44" t="n">
        <v>660.166914</v>
      </c>
      <c r="N44" t="n">
        <v>670.165526</v>
      </c>
      <c r="O44" t="n">
        <v>72.857719</v>
      </c>
      <c r="P44" t="n">
        <v>43.071646</v>
      </c>
      <c r="Q44" t="n">
        <v>670.165526</v>
      </c>
      <c r="R44" t="n">
        <v>660.166914</v>
      </c>
      <c r="S44" t="n">
        <v>72.857719</v>
      </c>
      <c r="T44" t="n">
        <v>72.857719</v>
      </c>
      <c r="U44" t="n">
        <v>43.071646</v>
      </c>
      <c r="V44" t="n">
        <v>43.071646</v>
      </c>
      <c r="W44" t="n">
        <v>75.193746</v>
      </c>
      <c r="X44" t="n">
        <v>683.804243</v>
      </c>
    </row>
    <row r="45">
      <c r="A45" t="inlineStr">
        <is>
          <t>Sepiidae</t>
        </is>
      </c>
      <c r="B45" t="n">
        <v>3.6</v>
      </c>
      <c r="C45" t="n">
        <v>398.107171</v>
      </c>
      <c r="D45" t="inlineStr">
        <is>
          <t>Cephalopods</t>
        </is>
      </c>
      <c r="E45" t="n">
        <v>0</v>
      </c>
      <c r="F45" t="n">
        <v>65.929169</v>
      </c>
      <c r="G45" t="n">
        <v>1.821994</v>
      </c>
      <c r="H45" t="n">
        <v>1.839433</v>
      </c>
      <c r="I45" t="n">
        <v>38.382342</v>
      </c>
      <c r="J45" t="n">
        <v>38.382342</v>
      </c>
      <c r="K45" t="n">
        <v>37.768225</v>
      </c>
      <c r="L45" t="n">
        <v>36.734327</v>
      </c>
      <c r="M45" t="n">
        <v>36.734327</v>
      </c>
      <c r="N45" t="n">
        <v>37.111337</v>
      </c>
      <c r="O45" t="n">
        <v>12.794003</v>
      </c>
      <c r="P45" t="n">
        <v>8.242232</v>
      </c>
      <c r="Q45" t="n">
        <v>37.111337</v>
      </c>
      <c r="R45" t="n">
        <v>36.734327</v>
      </c>
      <c r="S45" t="n">
        <v>12.794003</v>
      </c>
      <c r="T45" t="n">
        <v>12.794003</v>
      </c>
      <c r="U45" t="n">
        <v>8.242232</v>
      </c>
      <c r="V45" t="n">
        <v>8.242232</v>
      </c>
      <c r="W45" t="n">
        <v>12.757448</v>
      </c>
      <c r="X45" t="n">
        <v>38.53303</v>
      </c>
    </row>
    <row r="46">
      <c r="A46" t="inlineStr">
        <is>
          <t>Harpadon nehereus</t>
        </is>
      </c>
      <c r="B46" t="n">
        <v>4.2</v>
      </c>
      <c r="C46" t="n">
        <v>1584.893192</v>
      </c>
      <c r="D46" t="inlineStr">
        <is>
          <t>Bombay duck</t>
        </is>
      </c>
      <c r="E46" t="n">
        <v>0</v>
      </c>
      <c r="F46" t="n">
        <v>475.616645</v>
      </c>
      <c r="G46" t="n">
        <v>2.418044</v>
      </c>
      <c r="H46" t="n">
        <v>2.223977</v>
      </c>
      <c r="I46" t="n">
        <v>163.550723</v>
      </c>
      <c r="J46" t="n">
        <v>171.388581</v>
      </c>
      <c r="K46" t="n">
        <v>163.847484</v>
      </c>
      <c r="L46" t="n">
        <v>276.894756</v>
      </c>
      <c r="M46" t="n">
        <v>276.894756</v>
      </c>
      <c r="N46" t="n">
        <v>279.916961</v>
      </c>
      <c r="O46" t="n">
        <v>82.586051</v>
      </c>
      <c r="P46" t="n">
        <v>39.003364</v>
      </c>
      <c r="Q46" t="n">
        <v>279.916961</v>
      </c>
      <c r="R46" t="n">
        <v>276.894756</v>
      </c>
      <c r="S46" t="n">
        <v>82.586051</v>
      </c>
      <c r="T46" t="n">
        <v>82.586051</v>
      </c>
      <c r="U46" t="n">
        <v>39.003364</v>
      </c>
      <c r="V46" t="n">
        <v>39.003364</v>
      </c>
      <c r="W46" t="n">
        <v>82.572946</v>
      </c>
      <c r="X46" t="n">
        <v>277.056741</v>
      </c>
    </row>
    <row r="47">
      <c r="A47" t="inlineStr">
        <is>
          <t>Katsuwonus pelamis</t>
        </is>
      </c>
      <c r="B47" t="n">
        <v>4.43</v>
      </c>
      <c r="C47" t="n">
        <v>2691.534804</v>
      </c>
      <c r="D47" t="inlineStr">
        <is>
          <t>Piscivores</t>
        </is>
      </c>
      <c r="E47" t="n">
        <v>0</v>
      </c>
      <c r="F47" t="n">
        <v>304.388999</v>
      </c>
      <c r="G47" t="n">
        <v>2.268309</v>
      </c>
      <c r="H47" t="n">
        <v>2.300314</v>
      </c>
      <c r="I47" t="n">
        <v>249.259877</v>
      </c>
      <c r="J47" t="n">
        <v>251.428736</v>
      </c>
      <c r="K47" t="n">
        <v>202.148704</v>
      </c>
      <c r="L47" t="n">
        <v>282.597002</v>
      </c>
      <c r="M47" t="n">
        <v>282.597002</v>
      </c>
      <c r="N47" t="n">
        <v>286.033173</v>
      </c>
      <c r="O47" t="n">
        <v>49.797649</v>
      </c>
      <c r="P47" t="n">
        <v>25.643377</v>
      </c>
      <c r="Q47" t="n">
        <v>286.033173</v>
      </c>
      <c r="R47" t="n">
        <v>282.597002</v>
      </c>
      <c r="S47" t="n">
        <v>49.797649</v>
      </c>
      <c r="T47" t="n">
        <v>49.797649</v>
      </c>
      <c r="U47" t="n">
        <v>25.643377</v>
      </c>
      <c r="V47" t="n">
        <v>25.643377</v>
      </c>
      <c r="W47" t="n">
        <v>51.082514</v>
      </c>
      <c r="X47" t="n">
        <v>274.518943</v>
      </c>
    </row>
    <row r="48">
      <c r="A48" t="inlineStr">
        <is>
          <t>Cephalopoda</t>
        </is>
      </c>
      <c r="B48" t="n">
        <v>3.81</v>
      </c>
      <c r="C48" t="n">
        <v>645.654229</v>
      </c>
      <c r="D48" t="inlineStr">
        <is>
          <t>Cephalopods</t>
        </is>
      </c>
      <c r="E48" t="n">
        <v>0</v>
      </c>
      <c r="F48" t="n">
        <v>65.929169</v>
      </c>
      <c r="G48" t="n">
        <v>1.821994</v>
      </c>
      <c r="H48" t="n">
        <v>1.839433</v>
      </c>
      <c r="I48" t="n">
        <v>38.382342</v>
      </c>
      <c r="J48" t="n">
        <v>38.382342</v>
      </c>
      <c r="K48" t="n">
        <v>37.768225</v>
      </c>
      <c r="L48" t="n">
        <v>36.734327</v>
      </c>
      <c r="M48" t="n">
        <v>36.734327</v>
      </c>
      <c r="N48" t="n">
        <v>37.111337</v>
      </c>
      <c r="O48" t="n">
        <v>12.794003</v>
      </c>
      <c r="P48" t="n">
        <v>8.242232</v>
      </c>
      <c r="Q48" t="n">
        <v>37.111337</v>
      </c>
      <c r="R48" t="n">
        <v>36.734327</v>
      </c>
      <c r="S48" t="n">
        <v>12.794003</v>
      </c>
      <c r="T48" t="n">
        <v>12.794003</v>
      </c>
      <c r="U48" t="n">
        <v>8.242232</v>
      </c>
      <c r="V48" t="n">
        <v>8.242232</v>
      </c>
      <c r="W48" t="n">
        <v>12.757448</v>
      </c>
      <c r="X48" t="n">
        <v>38.53303</v>
      </c>
    </row>
    <row r="49">
      <c r="A49" t="inlineStr">
        <is>
          <t>Nemipteridae</t>
        </is>
      </c>
      <c r="B49" t="n">
        <v>3.51</v>
      </c>
      <c r="C49" t="n">
        <v>323.593657</v>
      </c>
      <c r="D49" t="inlineStr">
        <is>
          <t>Benthivores/piscivores</t>
        </is>
      </c>
      <c r="E49" t="n">
        <v>0</v>
      </c>
      <c r="F49" t="n">
        <v>136.120059</v>
      </c>
      <c r="G49" t="n">
        <v>2.021353</v>
      </c>
      <c r="H49" t="n">
        <v>2.039787</v>
      </c>
      <c r="I49" t="n">
        <v>36.046055</v>
      </c>
      <c r="J49" t="n">
        <v>36.076344</v>
      </c>
      <c r="K49" t="n">
        <v>35.535199</v>
      </c>
      <c r="L49" t="n">
        <v>34.759886</v>
      </c>
      <c r="M49" t="n">
        <v>34.759886</v>
      </c>
      <c r="N49" t="n">
        <v>35.313702</v>
      </c>
      <c r="O49" t="n">
        <v>13.890783</v>
      </c>
      <c r="P49" t="n">
        <v>8.319739999999999</v>
      </c>
      <c r="Q49" t="n">
        <v>35.313702</v>
      </c>
      <c r="R49" t="n">
        <v>34.759886</v>
      </c>
      <c r="S49" t="n">
        <v>13.890783</v>
      </c>
      <c r="T49" t="n">
        <v>13.890783</v>
      </c>
      <c r="U49" t="n">
        <v>8.319739999999999</v>
      </c>
      <c r="V49" t="n">
        <v>8.319739999999999</v>
      </c>
      <c r="W49" t="n">
        <v>14.220855</v>
      </c>
      <c r="X49" t="n">
        <v>35.767132</v>
      </c>
    </row>
    <row r="50">
      <c r="A50" t="inlineStr">
        <is>
          <t>Thunnus albacares</t>
        </is>
      </c>
      <c r="B50" t="n">
        <v>4.41</v>
      </c>
      <c r="C50" t="n">
        <v>2570.395783</v>
      </c>
      <c r="D50" t="inlineStr">
        <is>
          <t>Piscivores</t>
        </is>
      </c>
      <c r="E50" t="n">
        <v>0</v>
      </c>
      <c r="F50" t="n">
        <v>304.388999</v>
      </c>
      <c r="G50" t="n">
        <v>2.268309</v>
      </c>
      <c r="H50" t="n">
        <v>2.300314</v>
      </c>
      <c r="I50" t="n">
        <v>249.259877</v>
      </c>
      <c r="J50" t="n">
        <v>251.428736</v>
      </c>
      <c r="K50" t="n">
        <v>202.148704</v>
      </c>
      <c r="L50" t="n">
        <v>282.597002</v>
      </c>
      <c r="M50" t="n">
        <v>282.597002</v>
      </c>
      <c r="N50" t="n">
        <v>286.033173</v>
      </c>
      <c r="O50" t="n">
        <v>49.797649</v>
      </c>
      <c r="P50" t="n">
        <v>25.643377</v>
      </c>
      <c r="Q50" t="n">
        <v>286.033173</v>
      </c>
      <c r="R50" t="n">
        <v>282.597002</v>
      </c>
      <c r="S50" t="n">
        <v>49.797649</v>
      </c>
      <c r="T50" t="n">
        <v>49.797649</v>
      </c>
      <c r="U50" t="n">
        <v>25.643377</v>
      </c>
      <c r="V50" t="n">
        <v>25.643377</v>
      </c>
      <c r="W50" t="n">
        <v>51.082514</v>
      </c>
      <c r="X50" t="n">
        <v>274.518943</v>
      </c>
    </row>
    <row r="51">
      <c r="A51" t="inlineStr">
        <is>
          <t>Trachurus japonicus</t>
        </is>
      </c>
      <c r="B51" t="n">
        <v>3.4</v>
      </c>
      <c r="C51" t="n">
        <v>251.188643</v>
      </c>
      <c r="D51" t="inlineStr">
        <is>
          <t>Planktivores/piscivores</t>
        </is>
      </c>
      <c r="E51" t="n">
        <v>0</v>
      </c>
      <c r="F51" t="n">
        <v>123.077794</v>
      </c>
      <c r="G51" t="n">
        <v>1.992402</v>
      </c>
      <c r="H51" t="n">
        <v>1.97781</v>
      </c>
      <c r="I51" t="n">
        <v>560.299311</v>
      </c>
      <c r="J51" t="n">
        <v>592.272682</v>
      </c>
      <c r="K51" t="n">
        <v>209.072257</v>
      </c>
      <c r="L51" t="n">
        <v>660.166914</v>
      </c>
      <c r="M51" t="n">
        <v>660.166914</v>
      </c>
      <c r="N51" t="n">
        <v>670.165526</v>
      </c>
      <c r="O51" t="n">
        <v>72.857719</v>
      </c>
      <c r="P51" t="n">
        <v>43.071646</v>
      </c>
      <c r="Q51" t="n">
        <v>670.165526</v>
      </c>
      <c r="R51" t="n">
        <v>660.166914</v>
      </c>
      <c r="S51" t="n">
        <v>72.857719</v>
      </c>
      <c r="T51" t="n">
        <v>72.857719</v>
      </c>
      <c r="U51" t="n">
        <v>43.071646</v>
      </c>
      <c r="V51" t="n">
        <v>43.071646</v>
      </c>
      <c r="W51" t="n">
        <v>75.193746</v>
      </c>
      <c r="X51" t="n">
        <v>683.804243</v>
      </c>
    </row>
    <row r="52">
      <c r="A52" t="inlineStr">
        <is>
          <t>Rhopilema esculentum</t>
        </is>
      </c>
      <c r="B52" t="n">
        <v>3.01</v>
      </c>
      <c r="C52" t="n">
        <v>102.329299</v>
      </c>
      <c r="D52" t="inlineStr">
        <is>
          <t>Other invertebrates</t>
        </is>
      </c>
      <c r="E52" t="n">
        <v>0</v>
      </c>
      <c r="F52" t="n">
        <v>10</v>
      </c>
      <c r="G52" t="n">
        <v>1.39069</v>
      </c>
      <c r="H52" t="n">
        <v>1.39069</v>
      </c>
      <c r="I52" t="n">
        <v>14.61039</v>
      </c>
      <c r="J52" t="n">
        <v>14.61039</v>
      </c>
      <c r="K52" t="n">
        <v>9</v>
      </c>
      <c r="L52" t="n">
        <v>13.760094</v>
      </c>
      <c r="M52" t="n">
        <v>13.760094</v>
      </c>
      <c r="N52" t="n">
        <v>13.94977</v>
      </c>
      <c r="O52" t="n">
        <v>9.664044000000001</v>
      </c>
      <c r="P52" t="n">
        <v>7.828167</v>
      </c>
      <c r="Q52" t="n">
        <v>13.94977</v>
      </c>
      <c r="R52" t="n">
        <v>13.760094</v>
      </c>
      <c r="S52" t="n">
        <v>9.664044000000001</v>
      </c>
      <c r="T52" t="n">
        <v>9.664044000000001</v>
      </c>
      <c r="U52" t="n">
        <v>7.828167</v>
      </c>
      <c r="V52" t="n">
        <v>7.828167</v>
      </c>
      <c r="W52" t="n">
        <v>9.661211</v>
      </c>
      <c r="X52" t="n">
        <v>13.78907</v>
      </c>
    </row>
    <row r="53">
      <c r="A53" t="inlineStr">
        <is>
          <t>Mugil cephalus</t>
        </is>
      </c>
      <c r="B53" t="n">
        <v>2.14</v>
      </c>
      <c r="C53" t="n">
        <v>13.803843</v>
      </c>
      <c r="D53" t="inlineStr">
        <is>
          <t>Benthivores</t>
        </is>
      </c>
      <c r="E53" t="n">
        <v>0</v>
      </c>
      <c r="F53" t="n">
        <v>67.81478300000001</v>
      </c>
      <c r="G53" t="n">
        <v>1.829368</v>
      </c>
      <c r="H53" t="n">
        <v>1.84033</v>
      </c>
      <c r="I53" t="n">
        <v>33.988491</v>
      </c>
      <c r="J53" t="n">
        <v>35.780255</v>
      </c>
      <c r="K53" t="n">
        <v>35.601354</v>
      </c>
      <c r="L53" t="n">
        <v>385.228839</v>
      </c>
      <c r="M53" t="n">
        <v>385.228839</v>
      </c>
      <c r="N53" t="n">
        <v>391.588003</v>
      </c>
      <c r="O53" t="n">
        <v>16.66963</v>
      </c>
      <c r="P53" t="n">
        <v>9.973879999999999</v>
      </c>
      <c r="Q53" t="n">
        <v>391.588003</v>
      </c>
      <c r="R53" t="n">
        <v>385.228839</v>
      </c>
      <c r="S53" t="n">
        <v>16.66963</v>
      </c>
      <c r="T53" t="n">
        <v>16.66963</v>
      </c>
      <c r="U53" t="n">
        <v>9.973879999999999</v>
      </c>
      <c r="V53" t="n">
        <v>9.973879999999999</v>
      </c>
      <c r="W53" t="n">
        <v>17.246706</v>
      </c>
      <c r="X53" t="n">
        <v>42.474741</v>
      </c>
    </row>
    <row r="54">
      <c r="A54" t="inlineStr">
        <is>
          <t>Dendrobranchiata</t>
        </is>
      </c>
      <c r="B54" t="n">
        <v>3.24</v>
      </c>
      <c r="C54" t="n">
        <v>173.780083</v>
      </c>
      <c r="D54" t="inlineStr">
        <is>
          <t>Shrimps</t>
        </is>
      </c>
      <c r="E54" t="n">
        <v>0</v>
      </c>
      <c r="F54" t="n">
        <v>20.606299</v>
      </c>
      <c r="G54" t="n">
        <v>1.542427</v>
      </c>
      <c r="H54" t="n">
        <v>1.561295</v>
      </c>
      <c r="I54" t="n">
        <v>15.075177</v>
      </c>
      <c r="J54" t="n">
        <v>15.075177</v>
      </c>
      <c r="K54" t="n">
        <v>15.060102</v>
      </c>
      <c r="L54" t="n">
        <v>13.927162</v>
      </c>
      <c r="M54" t="n">
        <v>13.927162</v>
      </c>
      <c r="N54" t="n">
        <v>14.183251</v>
      </c>
      <c r="O54" t="n">
        <v>7.969433</v>
      </c>
      <c r="P54" t="n">
        <v>5.681336</v>
      </c>
      <c r="Q54" t="n">
        <v>14.183251</v>
      </c>
      <c r="R54" t="n">
        <v>13.927162</v>
      </c>
      <c r="S54" t="n">
        <v>7.969433</v>
      </c>
      <c r="T54" t="n">
        <v>7.969433</v>
      </c>
      <c r="U54" t="n">
        <v>5.681336</v>
      </c>
      <c r="V54" t="n">
        <v>5.681336</v>
      </c>
      <c r="W54" t="n">
        <v>8.136905</v>
      </c>
      <c r="X54" t="n">
        <v>14.885026</v>
      </c>
    </row>
    <row r="55">
      <c r="A55" t="inlineStr">
        <is>
          <t>Pagrus major</t>
        </is>
      </c>
      <c r="B55" t="n">
        <v>3.7</v>
      </c>
      <c r="C55" t="n">
        <v>501.187234</v>
      </c>
      <c r="D55" t="inlineStr">
        <is>
          <t>Omnivores</t>
        </is>
      </c>
      <c r="E55" t="n">
        <v>0</v>
      </c>
      <c r="F55" t="n">
        <v>131.221463</v>
      </c>
      <c r="G55" t="n">
        <v>2.01077</v>
      </c>
      <c r="H55" t="n">
        <v>2.036134</v>
      </c>
      <c r="I55" t="n">
        <v>66.04435700000001</v>
      </c>
      <c r="J55" t="n">
        <v>68.25582300000001</v>
      </c>
      <c r="K55" t="n">
        <v>68.187568</v>
      </c>
      <c r="L55" t="n">
        <v>72.544996</v>
      </c>
      <c r="M55" t="n">
        <v>72.544996</v>
      </c>
      <c r="N55" t="n">
        <v>73.57283200000001</v>
      </c>
      <c r="O55" t="n">
        <v>17.500018</v>
      </c>
      <c r="P55" t="n">
        <v>10.032554</v>
      </c>
      <c r="Q55" t="n">
        <v>73.57283200000001</v>
      </c>
      <c r="R55" t="n">
        <v>72.544996</v>
      </c>
      <c r="S55" t="n">
        <v>17.500018</v>
      </c>
      <c r="T55" t="n">
        <v>17.500018</v>
      </c>
      <c r="U55" t="n">
        <v>10.032554</v>
      </c>
      <c r="V55" t="n">
        <v>10.032554</v>
      </c>
      <c r="W55" t="n">
        <v>17.704629</v>
      </c>
      <c r="X55" t="n">
        <v>72.854687</v>
      </c>
    </row>
    <row r="56">
      <c r="A56" t="inlineStr">
        <is>
          <t>Decapoda</t>
        </is>
      </c>
      <c r="B56" t="n">
        <v>3.43</v>
      </c>
      <c r="C56" t="n">
        <v>269.15348</v>
      </c>
      <c r="D56" t="inlineStr">
        <is>
          <t>Crabs | Shrimps</t>
        </is>
      </c>
      <c r="E56" t="n">
        <v>0</v>
      </c>
      <c r="F56" t="n">
        <v>20.706252</v>
      </c>
      <c r="G56" t="n">
        <v>1.54349</v>
      </c>
      <c r="H56" t="n">
        <v>1.562479</v>
      </c>
      <c r="I56" t="n">
        <v>14.308705</v>
      </c>
      <c r="J56" t="n">
        <v>14.308705</v>
      </c>
      <c r="K56" t="n">
        <v>14.042094</v>
      </c>
      <c r="L56" t="n">
        <v>13.196282</v>
      </c>
      <c r="M56" t="n">
        <v>13.196282</v>
      </c>
      <c r="N56" t="n">
        <v>13.444431</v>
      </c>
      <c r="O56" t="n">
        <v>7.849897</v>
      </c>
      <c r="P56" t="n">
        <v>5.562855</v>
      </c>
      <c r="Q56" t="n">
        <v>13.444431</v>
      </c>
      <c r="R56" t="n">
        <v>13.196282</v>
      </c>
      <c r="S56" t="n">
        <v>7.849897</v>
      </c>
      <c r="T56" t="n">
        <v>7.849897</v>
      </c>
      <c r="U56" t="n">
        <v>5.562855</v>
      </c>
      <c r="V56" t="n">
        <v>5.562855</v>
      </c>
      <c r="W56" t="n">
        <v>7.985273</v>
      </c>
      <c r="X56" t="n">
        <v>13.913077</v>
      </c>
    </row>
    <row r="57">
      <c r="A57" t="inlineStr">
        <is>
          <t>Turbo cornutus</t>
        </is>
      </c>
      <c r="B57" t="n">
        <v>2</v>
      </c>
      <c r="C57" t="n">
        <v>10</v>
      </c>
      <c r="D57" t="inlineStr">
        <is>
          <t>Mollusks</t>
        </is>
      </c>
      <c r="E57" t="n">
        <v>0</v>
      </c>
      <c r="F57" t="n">
        <v>14.497407</v>
      </c>
      <c r="G57" t="n">
        <v>1.466668</v>
      </c>
      <c r="H57" t="n">
        <v>1.466497</v>
      </c>
      <c r="I57" t="n">
        <v>17.850747</v>
      </c>
      <c r="J57" t="n">
        <v>17.850747</v>
      </c>
      <c r="K57" t="n">
        <v>5.355224</v>
      </c>
      <c r="L57" t="n">
        <v>17.186608</v>
      </c>
      <c r="M57" t="n">
        <v>17.186608</v>
      </c>
      <c r="N57" t="n">
        <v>17.598965</v>
      </c>
      <c r="O57" t="n">
        <v>3.995111</v>
      </c>
      <c r="P57" t="n">
        <v>2.967513</v>
      </c>
      <c r="Q57" t="n">
        <v>17.598965</v>
      </c>
      <c r="R57" t="n">
        <v>17.186608</v>
      </c>
      <c r="S57" t="n">
        <v>3.995111</v>
      </c>
      <c r="T57" t="n">
        <v>3.995111</v>
      </c>
      <c r="U57" t="n">
        <v>2.967513</v>
      </c>
      <c r="V57" t="n">
        <v>2.967513</v>
      </c>
      <c r="W57" t="n">
        <v>3.990277</v>
      </c>
      <c r="X57" t="n">
        <v>17.941416</v>
      </c>
    </row>
    <row r="58">
      <c r="A58" t="inlineStr">
        <is>
          <t>Conger myriaster</t>
        </is>
      </c>
      <c r="B58" t="n">
        <v>3.98</v>
      </c>
      <c r="C58" t="n">
        <v>954.992586</v>
      </c>
      <c r="D58" t="inlineStr">
        <is>
          <t>Benthivores/piscivores</t>
        </is>
      </c>
      <c r="E58" t="n">
        <v>0</v>
      </c>
      <c r="F58" t="n">
        <v>136.120059</v>
      </c>
      <c r="G58" t="n">
        <v>2.021353</v>
      </c>
      <c r="H58" t="n">
        <v>2.039787</v>
      </c>
      <c r="I58" t="n">
        <v>36.046055</v>
      </c>
      <c r="J58" t="n">
        <v>36.076344</v>
      </c>
      <c r="K58" t="n">
        <v>35.535199</v>
      </c>
      <c r="L58" t="n">
        <v>34.759886</v>
      </c>
      <c r="M58" t="n">
        <v>34.759886</v>
      </c>
      <c r="N58" t="n">
        <v>35.313702</v>
      </c>
      <c r="O58" t="n">
        <v>13.890783</v>
      </c>
      <c r="P58" t="n">
        <v>8.319739999999999</v>
      </c>
      <c r="Q58" t="n">
        <v>35.313702</v>
      </c>
      <c r="R58" t="n">
        <v>34.759886</v>
      </c>
      <c r="S58" t="n">
        <v>13.890783</v>
      </c>
      <c r="T58" t="n">
        <v>13.890783</v>
      </c>
      <c r="U58" t="n">
        <v>8.319739999999999</v>
      </c>
      <c r="V58" t="n">
        <v>8.319739999999999</v>
      </c>
      <c r="W58" t="n">
        <v>14.220855</v>
      </c>
      <c r="X58" t="n">
        <v>35.767132</v>
      </c>
    </row>
    <row r="59">
      <c r="A59" t="inlineStr">
        <is>
          <t>Congridae</t>
        </is>
      </c>
      <c r="B59" t="n">
        <v>4.18</v>
      </c>
      <c r="C59" t="n">
        <v>1513.561248</v>
      </c>
      <c r="D59" t="inlineStr">
        <is>
          <t>Benthivores | Benthivores/piscivores</t>
        </is>
      </c>
      <c r="E59" t="n">
        <v>0</v>
      </c>
      <c r="F59" t="n">
        <v>105.627174</v>
      </c>
      <c r="G59" t="n">
        <v>1.935647</v>
      </c>
      <c r="H59" t="n">
        <v>1.950745</v>
      </c>
      <c r="I59" t="n">
        <v>35.127516</v>
      </c>
      <c r="J59" t="n">
        <v>35.944164</v>
      </c>
      <c r="K59" t="n">
        <v>35.564732</v>
      </c>
      <c r="L59" t="n">
        <v>191.216462</v>
      </c>
      <c r="M59" t="n">
        <v>191.216462</v>
      </c>
      <c r="N59" t="n">
        <v>194.361905</v>
      </c>
      <c r="O59" t="n">
        <v>15.131318</v>
      </c>
      <c r="P59" t="n">
        <v>9.058182</v>
      </c>
      <c r="Q59" t="n">
        <v>194.361905</v>
      </c>
      <c r="R59" t="n">
        <v>191.216462</v>
      </c>
      <c r="S59" t="n">
        <v>15.131318</v>
      </c>
      <c r="T59" t="n">
        <v>15.131318</v>
      </c>
      <c r="U59" t="n">
        <v>9.058182</v>
      </c>
      <c r="V59" t="n">
        <v>9.058182</v>
      </c>
      <c r="W59" t="n">
        <v>15.571657</v>
      </c>
      <c r="X59" t="n">
        <v>38.761547</v>
      </c>
    </row>
    <row r="60">
      <c r="A60" t="inlineStr">
        <is>
          <t>Seriola</t>
        </is>
      </c>
      <c r="B60" t="n">
        <v>4.39</v>
      </c>
      <c r="C60" t="n">
        <v>2454.708916</v>
      </c>
      <c r="D60" t="inlineStr">
        <is>
          <t>Piscivores</t>
        </is>
      </c>
      <c r="E60" t="n">
        <v>0</v>
      </c>
      <c r="F60" t="n">
        <v>304.388999</v>
      </c>
      <c r="G60" t="n">
        <v>2.268309</v>
      </c>
      <c r="H60" t="n">
        <v>2.300314</v>
      </c>
      <c r="I60" t="n">
        <v>249.259877</v>
      </c>
      <c r="J60" t="n">
        <v>251.428736</v>
      </c>
      <c r="K60" t="n">
        <v>202.148704</v>
      </c>
      <c r="L60" t="n">
        <v>282.597002</v>
      </c>
      <c r="M60" t="n">
        <v>282.597002</v>
      </c>
      <c r="N60" t="n">
        <v>286.033173</v>
      </c>
      <c r="O60" t="n">
        <v>49.797649</v>
      </c>
      <c r="P60" t="n">
        <v>25.643377</v>
      </c>
      <c r="Q60" t="n">
        <v>286.033173</v>
      </c>
      <c r="R60" t="n">
        <v>282.597002</v>
      </c>
      <c r="S60" t="n">
        <v>49.797649</v>
      </c>
      <c r="T60" t="n">
        <v>49.797649</v>
      </c>
      <c r="U60" t="n">
        <v>25.643377</v>
      </c>
      <c r="V60" t="n">
        <v>25.643377</v>
      </c>
      <c r="W60" t="n">
        <v>51.082514</v>
      </c>
      <c r="X60" t="n">
        <v>274.518943</v>
      </c>
    </row>
    <row r="61">
      <c r="A61" t="inlineStr">
        <is>
          <t>Ilisha elongata</t>
        </is>
      </c>
      <c r="B61" t="n">
        <v>3.79</v>
      </c>
      <c r="C61" t="n">
        <v>616.595002</v>
      </c>
      <c r="D61" t="inlineStr">
        <is>
          <t>Omnivores</t>
        </is>
      </c>
      <c r="E61" t="n">
        <v>0</v>
      </c>
      <c r="F61" t="n">
        <v>131.221463</v>
      </c>
      <c r="G61" t="n">
        <v>2.01077</v>
      </c>
      <c r="H61" t="n">
        <v>2.036134</v>
      </c>
      <c r="I61" t="n">
        <v>66.04435700000001</v>
      </c>
      <c r="J61" t="n">
        <v>68.25582300000001</v>
      </c>
      <c r="K61" t="n">
        <v>68.187568</v>
      </c>
      <c r="L61" t="n">
        <v>72.544996</v>
      </c>
      <c r="M61" t="n">
        <v>72.544996</v>
      </c>
      <c r="N61" t="n">
        <v>73.57283200000001</v>
      </c>
      <c r="O61" t="n">
        <v>17.500018</v>
      </c>
      <c r="P61" t="n">
        <v>10.032554</v>
      </c>
      <c r="Q61" t="n">
        <v>73.57283200000001</v>
      </c>
      <c r="R61" t="n">
        <v>72.544996</v>
      </c>
      <c r="S61" t="n">
        <v>17.500018</v>
      </c>
      <c r="T61" t="n">
        <v>17.500018</v>
      </c>
      <c r="U61" t="n">
        <v>10.032554</v>
      </c>
      <c r="V61" t="n">
        <v>10.032554</v>
      </c>
      <c r="W61" t="n">
        <v>17.704629</v>
      </c>
      <c r="X61" t="n">
        <v>72.854687</v>
      </c>
    </row>
    <row r="62">
      <c r="A62" t="inlineStr">
        <is>
          <t>Sebastes</t>
        </is>
      </c>
      <c r="B62" t="n">
        <v>3.79</v>
      </c>
      <c r="C62" t="n">
        <v>616.595002</v>
      </c>
      <c r="D62" t="inlineStr">
        <is>
          <t>Benthivores/piscivores</t>
        </is>
      </c>
      <c r="E62" t="n">
        <v>0</v>
      </c>
      <c r="F62" t="n">
        <v>136.120059</v>
      </c>
      <c r="G62" t="n">
        <v>2.021353</v>
      </c>
      <c r="H62" t="n">
        <v>2.039787</v>
      </c>
      <c r="I62" t="n">
        <v>36.046055</v>
      </c>
      <c r="J62" t="n">
        <v>36.076344</v>
      </c>
      <c r="K62" t="n">
        <v>35.535199</v>
      </c>
      <c r="L62" t="n">
        <v>34.759886</v>
      </c>
      <c r="M62" t="n">
        <v>34.759886</v>
      </c>
      <c r="N62" t="n">
        <v>35.313702</v>
      </c>
      <c r="O62" t="n">
        <v>13.890783</v>
      </c>
      <c r="P62" t="n">
        <v>8.319739999999999</v>
      </c>
      <c r="Q62" t="n">
        <v>35.313702</v>
      </c>
      <c r="R62" t="n">
        <v>34.759886</v>
      </c>
      <c r="S62" t="n">
        <v>13.890783</v>
      </c>
      <c r="T62" t="n">
        <v>13.890783</v>
      </c>
      <c r="U62" t="n">
        <v>8.319739999999999</v>
      </c>
      <c r="V62" t="n">
        <v>8.319739999999999</v>
      </c>
      <c r="W62" t="n">
        <v>14.220855</v>
      </c>
      <c r="X62" t="n">
        <v>35.767132</v>
      </c>
    </row>
    <row r="63">
      <c r="A63" t="inlineStr">
        <is>
          <t>Epinephelus</t>
        </is>
      </c>
      <c r="B63" t="n">
        <v>3.84</v>
      </c>
      <c r="C63" t="n">
        <v>691.830971</v>
      </c>
      <c r="D63" t="inlineStr">
        <is>
          <t>Piscivores</t>
        </is>
      </c>
      <c r="E63" t="n">
        <v>0</v>
      </c>
      <c r="F63" t="n">
        <v>304.388999</v>
      </c>
      <c r="G63" t="n">
        <v>2.268309</v>
      </c>
      <c r="H63" t="n">
        <v>2.300314</v>
      </c>
      <c r="I63" t="n">
        <v>249.259877</v>
      </c>
      <c r="J63" t="n">
        <v>251.428736</v>
      </c>
      <c r="K63" t="n">
        <v>202.148704</v>
      </c>
      <c r="L63" t="n">
        <v>282.597002</v>
      </c>
      <c r="M63" t="n">
        <v>282.597002</v>
      </c>
      <c r="N63" t="n">
        <v>286.033173</v>
      </c>
      <c r="O63" t="n">
        <v>49.797649</v>
      </c>
      <c r="P63" t="n">
        <v>25.643377</v>
      </c>
      <c r="Q63" t="n">
        <v>286.033173</v>
      </c>
      <c r="R63" t="n">
        <v>282.597002</v>
      </c>
      <c r="S63" t="n">
        <v>49.797649</v>
      </c>
      <c r="T63" t="n">
        <v>49.797649</v>
      </c>
      <c r="U63" t="n">
        <v>25.643377</v>
      </c>
      <c r="V63" t="n">
        <v>25.643377</v>
      </c>
      <c r="W63" t="n">
        <v>51.082514</v>
      </c>
      <c r="X63" t="n">
        <v>274.518943</v>
      </c>
    </row>
    <row r="64">
      <c r="A64" t="inlineStr">
        <is>
          <t>Loliginidae</t>
        </is>
      </c>
      <c r="B64" t="n">
        <v>3.9</v>
      </c>
      <c r="C64" t="n">
        <v>794.3282349999999</v>
      </c>
      <c r="D64" t="inlineStr">
        <is>
          <t>Cephalopods</t>
        </is>
      </c>
      <c r="E64" t="n">
        <v>0</v>
      </c>
      <c r="F64" t="n">
        <v>65.929169</v>
      </c>
      <c r="G64" t="n">
        <v>1.821994</v>
      </c>
      <c r="H64" t="n">
        <v>1.839433</v>
      </c>
      <c r="I64" t="n">
        <v>38.382342</v>
      </c>
      <c r="J64" t="n">
        <v>38.382342</v>
      </c>
      <c r="K64" t="n">
        <v>37.768225</v>
      </c>
      <c r="L64" t="n">
        <v>36.734327</v>
      </c>
      <c r="M64" t="n">
        <v>36.734327</v>
      </c>
      <c r="N64" t="n">
        <v>37.111337</v>
      </c>
      <c r="O64" t="n">
        <v>12.794003</v>
      </c>
      <c r="P64" t="n">
        <v>8.242232</v>
      </c>
      <c r="Q64" t="n">
        <v>37.111337</v>
      </c>
      <c r="R64" t="n">
        <v>36.734327</v>
      </c>
      <c r="S64" t="n">
        <v>12.794003</v>
      </c>
      <c r="T64" t="n">
        <v>12.794003</v>
      </c>
      <c r="U64" t="n">
        <v>8.242232</v>
      </c>
      <c r="V64" t="n">
        <v>8.242232</v>
      </c>
      <c r="W64" t="n">
        <v>12.757448</v>
      </c>
      <c r="X64" t="n">
        <v>38.53303</v>
      </c>
    </row>
    <row r="65">
      <c r="A65" t="inlineStr">
        <is>
          <t>Stromateidae</t>
        </is>
      </c>
      <c r="B65" t="n">
        <v>3.62</v>
      </c>
      <c r="C65" t="n">
        <v>416.869383</v>
      </c>
      <c r="D65" t="inlineStr">
        <is>
          <t>Planktivores/piscivores</t>
        </is>
      </c>
      <c r="E65" t="n">
        <v>0</v>
      </c>
      <c r="F65" t="n">
        <v>123.077794</v>
      </c>
      <c r="G65" t="n">
        <v>1.992402</v>
      </c>
      <c r="H65" t="n">
        <v>1.97781</v>
      </c>
      <c r="I65" t="n">
        <v>560.299311</v>
      </c>
      <c r="J65" t="n">
        <v>592.272682</v>
      </c>
      <c r="K65" t="n">
        <v>209.072257</v>
      </c>
      <c r="L65" t="n">
        <v>660.166914</v>
      </c>
      <c r="M65" t="n">
        <v>660.166914</v>
      </c>
      <c r="N65" t="n">
        <v>670.165526</v>
      </c>
      <c r="O65" t="n">
        <v>72.857719</v>
      </c>
      <c r="P65" t="n">
        <v>43.071646</v>
      </c>
      <c r="Q65" t="n">
        <v>670.165526</v>
      </c>
      <c r="R65" t="n">
        <v>660.166914</v>
      </c>
      <c r="S65" t="n">
        <v>72.857719</v>
      </c>
      <c r="T65" t="n">
        <v>72.857719</v>
      </c>
      <c r="U65" t="n">
        <v>43.071646</v>
      </c>
      <c r="V65" t="n">
        <v>43.071646</v>
      </c>
      <c r="W65" t="n">
        <v>75.193746</v>
      </c>
      <c r="X65" t="n">
        <v>683.804243</v>
      </c>
    </row>
    <row r="66">
      <c r="A66" t="inlineStr">
        <is>
          <t>Brachyura</t>
        </is>
      </c>
      <c r="B66" t="n">
        <v>2.6</v>
      </c>
      <c r="C66" t="n">
        <v>39.810717</v>
      </c>
      <c r="D66" t="inlineStr">
        <is>
          <t>Crabs</t>
        </is>
      </c>
      <c r="E66" t="n">
        <v>0</v>
      </c>
      <c r="F66" t="n">
        <v>21.002175</v>
      </c>
      <c r="G66" t="n">
        <v>1.546636</v>
      </c>
      <c r="H66" t="n">
        <v>1.565985</v>
      </c>
      <c r="I66" t="n">
        <v>12.039474</v>
      </c>
      <c r="J66" t="n">
        <v>12.039474</v>
      </c>
      <c r="K66" t="n">
        <v>11.028158</v>
      </c>
      <c r="L66" t="n">
        <v>11.032425</v>
      </c>
      <c r="M66" t="n">
        <v>11.032425</v>
      </c>
      <c r="N66" t="n">
        <v>11.257068</v>
      </c>
      <c r="O66" t="n">
        <v>7.495998</v>
      </c>
      <c r="P66" t="n">
        <v>5.212079</v>
      </c>
      <c r="Q66" t="n">
        <v>11.257068</v>
      </c>
      <c r="R66" t="n">
        <v>11.032425</v>
      </c>
      <c r="S66" t="n">
        <v>7.495998</v>
      </c>
      <c r="T66" t="n">
        <v>7.495998</v>
      </c>
      <c r="U66" t="n">
        <v>5.212079</v>
      </c>
      <c r="V66" t="n">
        <v>5.212079</v>
      </c>
      <c r="W66" t="n">
        <v>7.53635</v>
      </c>
      <c r="X66" t="n">
        <v>11.035506</v>
      </c>
    </row>
    <row r="67">
      <c r="A67" t="inlineStr">
        <is>
          <t>Octopodidae</t>
        </is>
      </c>
      <c r="B67" t="n">
        <v>3.59</v>
      </c>
      <c r="C67" t="n">
        <v>389.045145</v>
      </c>
      <c r="D67" t="inlineStr">
        <is>
          <t>Cephalopods</t>
        </is>
      </c>
      <c r="E67" t="n">
        <v>0</v>
      </c>
      <c r="F67" t="n">
        <v>65.929169</v>
      </c>
      <c r="G67" t="n">
        <v>1.821994</v>
      </c>
      <c r="H67" t="n">
        <v>1.839433</v>
      </c>
      <c r="I67" t="n">
        <v>38.382342</v>
      </c>
      <c r="J67" t="n">
        <v>38.382342</v>
      </c>
      <c r="K67" t="n">
        <v>37.768225</v>
      </c>
      <c r="L67" t="n">
        <v>36.734327</v>
      </c>
      <c r="M67" t="n">
        <v>36.734327</v>
      </c>
      <c r="N67" t="n">
        <v>37.111337</v>
      </c>
      <c r="O67" t="n">
        <v>12.794003</v>
      </c>
      <c r="P67" t="n">
        <v>8.242232</v>
      </c>
      <c r="Q67" t="n">
        <v>37.111337</v>
      </c>
      <c r="R67" t="n">
        <v>36.734327</v>
      </c>
      <c r="S67" t="n">
        <v>12.794003</v>
      </c>
      <c r="T67" t="n">
        <v>12.794003</v>
      </c>
      <c r="U67" t="n">
        <v>8.242232</v>
      </c>
      <c r="V67" t="n">
        <v>8.242232</v>
      </c>
      <c r="W67" t="n">
        <v>12.757448</v>
      </c>
      <c r="X67" t="n">
        <v>38.53303</v>
      </c>
    </row>
    <row r="68">
      <c r="A68" t="inlineStr">
        <is>
          <t>Clupeidae</t>
        </is>
      </c>
      <c r="B68" t="n">
        <v>3.16</v>
      </c>
      <c r="C68" t="n">
        <v>144.543977</v>
      </c>
      <c r="D68" t="inlineStr">
        <is>
          <t>Planktivores</t>
        </is>
      </c>
      <c r="E68" t="n">
        <v>0</v>
      </c>
      <c r="F68" t="n">
        <v>100.997642</v>
      </c>
      <c r="G68" t="n">
        <v>1.93677</v>
      </c>
      <c r="H68" t="n">
        <v>1.93149</v>
      </c>
      <c r="I68" t="n">
        <v>53.479795</v>
      </c>
      <c r="J68" t="n">
        <v>53.479795</v>
      </c>
      <c r="K68" t="n">
        <v>53.372836</v>
      </c>
      <c r="L68" t="n">
        <v>51.741399</v>
      </c>
      <c r="M68" t="n">
        <v>51.741399</v>
      </c>
      <c r="N68" t="n">
        <v>52.283119</v>
      </c>
      <c r="O68" t="n">
        <v>17.749881</v>
      </c>
      <c r="P68" t="n">
        <v>11.404035</v>
      </c>
      <c r="Q68" t="n">
        <v>52.283119</v>
      </c>
      <c r="R68" t="n">
        <v>51.741399</v>
      </c>
      <c r="S68" t="n">
        <v>17.749881</v>
      </c>
      <c r="T68" t="n">
        <v>17.749881</v>
      </c>
      <c r="U68" t="n">
        <v>11.404035</v>
      </c>
      <c r="V68" t="n">
        <v>11.404035</v>
      </c>
      <c r="W68" t="n">
        <v>17.839302</v>
      </c>
      <c r="X68" t="n">
        <v>54.129601</v>
      </c>
    </row>
    <row r="69">
      <c r="A69" t="inlineStr">
        <is>
          <t>Ammodytes personatus</t>
        </is>
      </c>
      <c r="B69" t="n">
        <v>3</v>
      </c>
      <c r="C69" t="n">
        <v>100</v>
      </c>
      <c r="D69" t="inlineStr">
        <is>
          <t>Planktivores</t>
        </is>
      </c>
      <c r="E69" t="n">
        <v>0</v>
      </c>
      <c r="F69" t="n">
        <v>100.997642</v>
      </c>
      <c r="G69" t="n">
        <v>1.93677</v>
      </c>
      <c r="H69" t="n">
        <v>1.93149</v>
      </c>
      <c r="I69" t="n">
        <v>53.479795</v>
      </c>
      <c r="J69" t="n">
        <v>53.479795</v>
      </c>
      <c r="K69" t="n">
        <v>53.372836</v>
      </c>
      <c r="L69" t="n">
        <v>51.741399</v>
      </c>
      <c r="M69" t="n">
        <v>51.741399</v>
      </c>
      <c r="N69" t="n">
        <v>52.283119</v>
      </c>
      <c r="O69" t="n">
        <v>17.749881</v>
      </c>
      <c r="P69" t="n">
        <v>11.404035</v>
      </c>
      <c r="Q69" t="n">
        <v>52.283119</v>
      </c>
      <c r="R69" t="n">
        <v>51.741399</v>
      </c>
      <c r="S69" t="n">
        <v>17.749881</v>
      </c>
      <c r="T69" t="n">
        <v>17.749881</v>
      </c>
      <c r="U69" t="n">
        <v>11.404035</v>
      </c>
      <c r="V69" t="n">
        <v>11.404035</v>
      </c>
      <c r="W69" t="n">
        <v>17.839302</v>
      </c>
      <c r="X69" t="n">
        <v>54.129601</v>
      </c>
    </row>
    <row r="70">
      <c r="A70" t="inlineStr">
        <is>
          <t>Ruditapes philippinarum</t>
        </is>
      </c>
      <c r="B70" t="n">
        <v>2</v>
      </c>
      <c r="C70" t="n">
        <v>10</v>
      </c>
      <c r="D70" t="inlineStr">
        <is>
          <t>Mollusks</t>
        </is>
      </c>
      <c r="E70" t="n">
        <v>0</v>
      </c>
      <c r="F70" t="n">
        <v>14.497407</v>
      </c>
      <c r="G70" t="n">
        <v>1.466668</v>
      </c>
      <c r="H70" t="n">
        <v>1.466497</v>
      </c>
      <c r="I70" t="n">
        <v>17.850747</v>
      </c>
      <c r="J70" t="n">
        <v>17.850747</v>
      </c>
      <c r="K70" t="n">
        <v>5.355224</v>
      </c>
      <c r="L70" t="n">
        <v>17.186608</v>
      </c>
      <c r="M70" t="n">
        <v>17.186608</v>
      </c>
      <c r="N70" t="n">
        <v>17.598965</v>
      </c>
      <c r="O70" t="n">
        <v>3.995111</v>
      </c>
      <c r="P70" t="n">
        <v>2.967513</v>
      </c>
      <c r="Q70" t="n">
        <v>17.598965</v>
      </c>
      <c r="R70" t="n">
        <v>17.186608</v>
      </c>
      <c r="S70" t="n">
        <v>3.995111</v>
      </c>
      <c r="T70" t="n">
        <v>3.995111</v>
      </c>
      <c r="U70" t="n">
        <v>2.967513</v>
      </c>
      <c r="V70" t="n">
        <v>2.967513</v>
      </c>
      <c r="W70" t="n">
        <v>3.990277</v>
      </c>
      <c r="X70" t="n">
        <v>17.941416</v>
      </c>
    </row>
    <row r="71">
      <c r="A71" t="inlineStr">
        <is>
          <t>Dussumieria</t>
        </is>
      </c>
      <c r="B71" t="n">
        <v>3.4</v>
      </c>
      <c r="C71" t="n">
        <v>251.188643</v>
      </c>
      <c r="D71" t="inlineStr">
        <is>
          <t>Planktivores</t>
        </is>
      </c>
      <c r="E71" t="n">
        <v>0</v>
      </c>
      <c r="F71" t="n">
        <v>100.997642</v>
      </c>
      <c r="G71" t="n">
        <v>1.93677</v>
      </c>
      <c r="H71" t="n">
        <v>1.93149</v>
      </c>
      <c r="I71" t="n">
        <v>53.479795</v>
      </c>
      <c r="J71" t="n">
        <v>53.479795</v>
      </c>
      <c r="K71" t="n">
        <v>53.372836</v>
      </c>
      <c r="L71" t="n">
        <v>51.741399</v>
      </c>
      <c r="M71" t="n">
        <v>51.741399</v>
      </c>
      <c r="N71" t="n">
        <v>52.283119</v>
      </c>
      <c r="O71" t="n">
        <v>17.749881</v>
      </c>
      <c r="P71" t="n">
        <v>11.404035</v>
      </c>
      <c r="Q71" t="n">
        <v>52.283119</v>
      </c>
      <c r="R71" t="n">
        <v>51.741399</v>
      </c>
      <c r="S71" t="n">
        <v>17.749881</v>
      </c>
      <c r="T71" t="n">
        <v>17.749881</v>
      </c>
      <c r="U71" t="n">
        <v>11.404035</v>
      </c>
      <c r="V71" t="n">
        <v>11.404035</v>
      </c>
      <c r="W71" t="n">
        <v>17.839302</v>
      </c>
      <c r="X71" t="n">
        <v>54.129601</v>
      </c>
    </row>
    <row r="72">
      <c r="A72" t="inlineStr">
        <is>
          <t>Scombridae</t>
        </is>
      </c>
      <c r="B72" t="n">
        <v>4.26</v>
      </c>
      <c r="C72" t="n">
        <v>1819.700859</v>
      </c>
      <c r="D72" t="inlineStr">
        <is>
          <t>Piscivores | Planktivores/Benthivores</t>
        </is>
      </c>
      <c r="E72" t="n">
        <v>0</v>
      </c>
      <c r="F72" t="n">
        <v>182.29247</v>
      </c>
      <c r="G72" t="n">
        <v>2.062072</v>
      </c>
      <c r="H72" t="n">
        <v>2.078316</v>
      </c>
      <c r="I72" t="n">
        <v>177.795024</v>
      </c>
      <c r="J72" t="n">
        <v>178.723793</v>
      </c>
      <c r="K72" t="n">
        <v>151.652043</v>
      </c>
      <c r="L72" t="n">
        <v>188.965648</v>
      </c>
      <c r="M72" t="n">
        <v>188.965648</v>
      </c>
      <c r="N72" t="n">
        <v>191.131567</v>
      </c>
      <c r="O72" t="n">
        <v>42.720774</v>
      </c>
      <c r="P72" t="n">
        <v>24.808093</v>
      </c>
      <c r="Q72" t="n">
        <v>191.131567</v>
      </c>
      <c r="R72" t="n">
        <v>188.965648</v>
      </c>
      <c r="S72" t="n">
        <v>42.720774</v>
      </c>
      <c r="T72" t="n">
        <v>42.720774</v>
      </c>
      <c r="U72" t="n">
        <v>24.808093</v>
      </c>
      <c r="V72" t="n">
        <v>24.808093</v>
      </c>
      <c r="W72" t="n">
        <v>43.660821</v>
      </c>
      <c r="X72" t="n">
        <v>187.451422</v>
      </c>
    </row>
    <row r="73">
      <c r="A73" t="inlineStr">
        <is>
          <t>Paralichthyidae</t>
        </is>
      </c>
      <c r="B73" t="n">
        <v>4.06</v>
      </c>
      <c r="C73" t="n">
        <v>1148.153621</v>
      </c>
      <c r="D73" t="inlineStr">
        <is>
          <t>Piscivores</t>
        </is>
      </c>
      <c r="E73" t="n">
        <v>0</v>
      </c>
      <c r="F73" t="n">
        <v>304.388999</v>
      </c>
      <c r="G73" t="n">
        <v>2.268309</v>
      </c>
      <c r="H73" t="n">
        <v>2.300314</v>
      </c>
      <c r="I73" t="n">
        <v>249.259877</v>
      </c>
      <c r="J73" t="n">
        <v>251.428736</v>
      </c>
      <c r="K73" t="n">
        <v>202.148704</v>
      </c>
      <c r="L73" t="n">
        <v>282.597002</v>
      </c>
      <c r="M73" t="n">
        <v>282.597002</v>
      </c>
      <c r="N73" t="n">
        <v>286.033173</v>
      </c>
      <c r="O73" t="n">
        <v>49.797649</v>
      </c>
      <c r="P73" t="n">
        <v>25.643377</v>
      </c>
      <c r="Q73" t="n">
        <v>286.033173</v>
      </c>
      <c r="R73" t="n">
        <v>282.597002</v>
      </c>
      <c r="S73" t="n">
        <v>49.797649</v>
      </c>
      <c r="T73" t="n">
        <v>49.797649</v>
      </c>
      <c r="U73" t="n">
        <v>25.643377</v>
      </c>
      <c r="V73" t="n">
        <v>25.643377</v>
      </c>
      <c r="W73" t="n">
        <v>51.082514</v>
      </c>
      <c r="X73" t="n">
        <v>274.518943</v>
      </c>
    </row>
    <row r="74">
      <c r="A74" t="inlineStr">
        <is>
          <t>Elasmobranchii</t>
        </is>
      </c>
      <c r="B74" t="n">
        <v>4.05</v>
      </c>
      <c r="C74" t="n">
        <v>1122.018454</v>
      </c>
      <c r="D74" t="inlineStr">
        <is>
          <t>Sharks | Benthivores</t>
        </is>
      </c>
      <c r="E74" t="n">
        <v>0</v>
      </c>
      <c r="F74" t="n">
        <v>86.734781</v>
      </c>
      <c r="G74" t="n">
        <v>1.845317</v>
      </c>
      <c r="H74" t="n">
        <v>1.856032</v>
      </c>
      <c r="I74" t="n">
        <v>33.396859</v>
      </c>
      <c r="J74" t="n">
        <v>37.813436</v>
      </c>
      <c r="K74" t="n">
        <v>34.981647</v>
      </c>
      <c r="L74" t="n">
        <v>378.523224</v>
      </c>
      <c r="M74" t="n">
        <v>378.523224</v>
      </c>
      <c r="N74" t="n">
        <v>384.771695</v>
      </c>
      <c r="O74" t="n">
        <v>19.951341</v>
      </c>
      <c r="P74" t="n">
        <v>11.433576</v>
      </c>
      <c r="Q74" t="n">
        <v>384.771695</v>
      </c>
      <c r="R74" t="n">
        <v>378.523224</v>
      </c>
      <c r="S74" t="n">
        <v>19.951341</v>
      </c>
      <c r="T74" t="n">
        <v>19.951341</v>
      </c>
      <c r="U74" t="n">
        <v>11.433576</v>
      </c>
      <c r="V74" t="n">
        <v>11.433576</v>
      </c>
      <c r="W74" t="n">
        <v>20.527001</v>
      </c>
      <c r="X74" t="n">
        <v>41.735391</v>
      </c>
    </row>
    <row r="75">
      <c r="A75" t="inlineStr">
        <is>
          <t>Konosirus punctatus</t>
        </is>
      </c>
      <c r="B75" t="n">
        <v>2.87</v>
      </c>
      <c r="C75" t="n">
        <v>74.131024</v>
      </c>
      <c r="D75" t="inlineStr">
        <is>
          <t>Planktivores</t>
        </is>
      </c>
      <c r="E75" t="n">
        <v>0</v>
      </c>
      <c r="F75" t="n">
        <v>100.997642</v>
      </c>
      <c r="G75" t="n">
        <v>1.93677</v>
      </c>
      <c r="H75" t="n">
        <v>1.93149</v>
      </c>
      <c r="I75" t="n">
        <v>53.479795</v>
      </c>
      <c r="J75" t="n">
        <v>53.479795</v>
      </c>
      <c r="K75" t="n">
        <v>53.372836</v>
      </c>
      <c r="L75" t="n">
        <v>51.741399</v>
      </c>
      <c r="M75" t="n">
        <v>51.741399</v>
      </c>
      <c r="N75" t="n">
        <v>52.283119</v>
      </c>
      <c r="O75" t="n">
        <v>17.749881</v>
      </c>
      <c r="P75" t="n">
        <v>11.404035</v>
      </c>
      <c r="Q75" t="n">
        <v>52.283119</v>
      </c>
      <c r="R75" t="n">
        <v>51.741399</v>
      </c>
      <c r="S75" t="n">
        <v>17.749881</v>
      </c>
      <c r="T75" t="n">
        <v>17.749881</v>
      </c>
      <c r="U75" t="n">
        <v>11.404035</v>
      </c>
      <c r="V75" t="n">
        <v>11.404035</v>
      </c>
      <c r="W75" t="n">
        <v>17.839302</v>
      </c>
      <c r="X75" t="n">
        <v>54.129601</v>
      </c>
    </row>
    <row r="76">
      <c r="A76" t="inlineStr">
        <is>
          <t>Auxis</t>
        </is>
      </c>
      <c r="B76" t="n">
        <v>4.24</v>
      </c>
      <c r="C76" t="n">
        <v>1737.800829</v>
      </c>
      <c r="D76" t="inlineStr">
        <is>
          <t>Piscivores</t>
        </is>
      </c>
      <c r="E76" t="n">
        <v>0</v>
      </c>
      <c r="F76" t="n">
        <v>304.388999</v>
      </c>
      <c r="G76" t="n">
        <v>2.268309</v>
      </c>
      <c r="H76" t="n">
        <v>2.300314</v>
      </c>
      <c r="I76" t="n">
        <v>249.259877</v>
      </c>
      <c r="J76" t="n">
        <v>251.428736</v>
      </c>
      <c r="K76" t="n">
        <v>202.148704</v>
      </c>
      <c r="L76" t="n">
        <v>282.597002</v>
      </c>
      <c r="M76" t="n">
        <v>282.597002</v>
      </c>
      <c r="N76" t="n">
        <v>286.033173</v>
      </c>
      <c r="O76" t="n">
        <v>49.797649</v>
      </c>
      <c r="P76" t="n">
        <v>25.643377</v>
      </c>
      <c r="Q76" t="n">
        <v>286.033173</v>
      </c>
      <c r="R76" t="n">
        <v>282.597002</v>
      </c>
      <c r="S76" t="n">
        <v>49.797649</v>
      </c>
      <c r="T76" t="n">
        <v>49.797649</v>
      </c>
      <c r="U76" t="n">
        <v>25.643377</v>
      </c>
      <c r="V76" t="n">
        <v>25.643377</v>
      </c>
      <c r="W76" t="n">
        <v>51.082514</v>
      </c>
      <c r="X76" t="n">
        <v>274.518943</v>
      </c>
    </row>
    <row r="77">
      <c r="A77" t="inlineStr">
        <is>
          <t>Tetraodontidae</t>
        </is>
      </c>
      <c r="B77" t="n">
        <v>3.5</v>
      </c>
      <c r="C77" t="n">
        <v>316.227766</v>
      </c>
      <c r="D77" t="inlineStr">
        <is>
          <t>Benthivores/piscivores</t>
        </is>
      </c>
      <c r="E77" t="n">
        <v>0</v>
      </c>
      <c r="F77" t="n">
        <v>136.120059</v>
      </c>
      <c r="G77" t="n">
        <v>2.021353</v>
      </c>
      <c r="H77" t="n">
        <v>2.039787</v>
      </c>
      <c r="I77" t="n">
        <v>36.046055</v>
      </c>
      <c r="J77" t="n">
        <v>36.076344</v>
      </c>
      <c r="K77" t="n">
        <v>35.535199</v>
      </c>
      <c r="L77" t="n">
        <v>34.759886</v>
      </c>
      <c r="M77" t="n">
        <v>34.759886</v>
      </c>
      <c r="N77" t="n">
        <v>35.313702</v>
      </c>
      <c r="O77" t="n">
        <v>13.890783</v>
      </c>
      <c r="P77" t="n">
        <v>8.319739999999999</v>
      </c>
      <c r="Q77" t="n">
        <v>35.313702</v>
      </c>
      <c r="R77" t="n">
        <v>34.759886</v>
      </c>
      <c r="S77" t="n">
        <v>13.890783</v>
      </c>
      <c r="T77" t="n">
        <v>13.890783</v>
      </c>
      <c r="U77" t="n">
        <v>8.319739999999999</v>
      </c>
      <c r="V77" t="n">
        <v>8.319739999999999</v>
      </c>
      <c r="W77" t="n">
        <v>14.220855</v>
      </c>
      <c r="X77" t="n">
        <v>35.767132</v>
      </c>
    </row>
    <row r="78">
      <c r="A78" t="inlineStr">
        <is>
          <t>Pampus argenteus</t>
        </is>
      </c>
      <c r="B78" t="n">
        <v>3.3</v>
      </c>
      <c r="C78" t="n">
        <v>199.526231</v>
      </c>
      <c r="D78" t="inlineStr">
        <is>
          <t>Planktivores/piscivores</t>
        </is>
      </c>
      <c r="E78" t="n">
        <v>0</v>
      </c>
      <c r="F78" t="n">
        <v>123.077794</v>
      </c>
      <c r="G78" t="n">
        <v>1.992402</v>
      </c>
      <c r="H78" t="n">
        <v>1.97781</v>
      </c>
      <c r="I78" t="n">
        <v>560.299311</v>
      </c>
      <c r="J78" t="n">
        <v>592.272682</v>
      </c>
      <c r="K78" t="n">
        <v>209.072257</v>
      </c>
      <c r="L78" t="n">
        <v>660.166914</v>
      </c>
      <c r="M78" t="n">
        <v>660.166914</v>
      </c>
      <c r="N78" t="n">
        <v>670.165526</v>
      </c>
      <c r="O78" t="n">
        <v>72.857719</v>
      </c>
      <c r="P78" t="n">
        <v>43.071646</v>
      </c>
      <c r="Q78" t="n">
        <v>670.165526</v>
      </c>
      <c r="R78" t="n">
        <v>660.166914</v>
      </c>
      <c r="S78" t="n">
        <v>72.857719</v>
      </c>
      <c r="T78" t="n">
        <v>72.857719</v>
      </c>
      <c r="U78" t="n">
        <v>43.071646</v>
      </c>
      <c r="V78" t="n">
        <v>43.071646</v>
      </c>
      <c r="W78" t="n">
        <v>75.193746</v>
      </c>
      <c r="X78" t="n">
        <v>683.804243</v>
      </c>
    </row>
    <row r="79">
      <c r="A79" t="inlineStr">
        <is>
          <t>Priacanthus</t>
        </is>
      </c>
      <c r="B79" t="n">
        <v>3.81</v>
      </c>
      <c r="C79" t="n">
        <v>645.654229</v>
      </c>
      <c r="D79" t="inlineStr">
        <is>
          <t>Benthivores/piscivores</t>
        </is>
      </c>
      <c r="E79" t="n">
        <v>0</v>
      </c>
      <c r="F79" t="n">
        <v>136.120059</v>
      </c>
      <c r="G79" t="n">
        <v>2.021353</v>
      </c>
      <c r="H79" t="n">
        <v>2.039787</v>
      </c>
      <c r="I79" t="n">
        <v>36.046055</v>
      </c>
      <c r="J79" t="n">
        <v>36.076344</v>
      </c>
      <c r="K79" t="n">
        <v>35.535199</v>
      </c>
      <c r="L79" t="n">
        <v>34.759886</v>
      </c>
      <c r="M79" t="n">
        <v>34.759886</v>
      </c>
      <c r="N79" t="n">
        <v>35.313702</v>
      </c>
      <c r="O79" t="n">
        <v>13.890783</v>
      </c>
      <c r="P79" t="n">
        <v>8.319739999999999</v>
      </c>
      <c r="Q79" t="n">
        <v>35.313702</v>
      </c>
      <c r="R79" t="n">
        <v>34.759886</v>
      </c>
      <c r="S79" t="n">
        <v>13.890783</v>
      </c>
      <c r="T79" t="n">
        <v>13.890783</v>
      </c>
      <c r="U79" t="n">
        <v>8.319739999999999</v>
      </c>
      <c r="V79" t="n">
        <v>8.319739999999999</v>
      </c>
      <c r="W79" t="n">
        <v>14.220855</v>
      </c>
      <c r="X79" t="n">
        <v>35.767132</v>
      </c>
    </row>
    <row r="80">
      <c r="A80" t="inlineStr">
        <is>
          <t>Synodontidae</t>
        </is>
      </c>
      <c r="B80" t="n">
        <v>4.3</v>
      </c>
      <c r="C80" t="n">
        <v>1995.262315</v>
      </c>
      <c r="D80" t="inlineStr">
        <is>
          <t>Piscivores</t>
        </is>
      </c>
      <c r="E80" t="n">
        <v>0</v>
      </c>
      <c r="F80" t="n">
        <v>304.388999</v>
      </c>
      <c r="G80" t="n">
        <v>2.268309</v>
      </c>
      <c r="H80" t="n">
        <v>2.300314</v>
      </c>
      <c r="I80" t="n">
        <v>249.259877</v>
      </c>
      <c r="J80" t="n">
        <v>251.428736</v>
      </c>
      <c r="K80" t="n">
        <v>202.148704</v>
      </c>
      <c r="L80" t="n">
        <v>282.597002</v>
      </c>
      <c r="M80" t="n">
        <v>282.597002</v>
      </c>
      <c r="N80" t="n">
        <v>286.033173</v>
      </c>
      <c r="O80" t="n">
        <v>49.797649</v>
      </c>
      <c r="P80" t="n">
        <v>25.643377</v>
      </c>
      <c r="Q80" t="n">
        <v>286.033173</v>
      </c>
      <c r="R80" t="n">
        <v>282.597002</v>
      </c>
      <c r="S80" t="n">
        <v>49.797649</v>
      </c>
      <c r="T80" t="n">
        <v>49.797649</v>
      </c>
      <c r="U80" t="n">
        <v>25.643377</v>
      </c>
      <c r="V80" t="n">
        <v>25.643377</v>
      </c>
      <c r="W80" t="n">
        <v>51.082514</v>
      </c>
      <c r="X80" t="n">
        <v>274.518943</v>
      </c>
    </row>
    <row r="81">
      <c r="A81" t="inlineStr">
        <is>
          <t>Paralichthys olivaceus</t>
        </is>
      </c>
      <c r="B81" t="n">
        <v>4.25</v>
      </c>
      <c r="C81" t="n">
        <v>1778.27941</v>
      </c>
      <c r="D81" t="inlineStr">
        <is>
          <t>Piscivores</t>
        </is>
      </c>
      <c r="E81" t="n">
        <v>0</v>
      </c>
      <c r="F81" t="n">
        <v>304.388999</v>
      </c>
      <c r="G81" t="n">
        <v>2.268309</v>
      </c>
      <c r="H81" t="n">
        <v>2.300314</v>
      </c>
      <c r="I81" t="n">
        <v>249.259877</v>
      </c>
      <c r="J81" t="n">
        <v>251.428736</v>
      </c>
      <c r="K81" t="n">
        <v>202.148704</v>
      </c>
      <c r="L81" t="n">
        <v>282.597002</v>
      </c>
      <c r="M81" t="n">
        <v>282.597002</v>
      </c>
      <c r="N81" t="n">
        <v>286.033173</v>
      </c>
      <c r="O81" t="n">
        <v>49.797649</v>
      </c>
      <c r="P81" t="n">
        <v>25.643377</v>
      </c>
      <c r="Q81" t="n">
        <v>286.033173</v>
      </c>
      <c r="R81" t="n">
        <v>282.597002</v>
      </c>
      <c r="S81" t="n">
        <v>49.797649</v>
      </c>
      <c r="T81" t="n">
        <v>49.797649</v>
      </c>
      <c r="U81" t="n">
        <v>25.643377</v>
      </c>
      <c r="V81" t="n">
        <v>25.643377</v>
      </c>
      <c r="W81" t="n">
        <v>51.082514</v>
      </c>
      <c r="X81" t="n">
        <v>274.518943</v>
      </c>
    </row>
    <row r="82">
      <c r="A82" t="inlineStr">
        <is>
          <t>Coryphaena hippurus</t>
        </is>
      </c>
      <c r="B82" t="n">
        <v>4.37</v>
      </c>
      <c r="C82" t="n">
        <v>2344.228815</v>
      </c>
      <c r="D82" t="inlineStr">
        <is>
          <t>Piscivores</t>
        </is>
      </c>
      <c r="E82" t="n">
        <v>0</v>
      </c>
      <c r="F82" t="n">
        <v>304.388999</v>
      </c>
      <c r="G82" t="n">
        <v>2.268309</v>
      </c>
      <c r="H82" t="n">
        <v>2.300314</v>
      </c>
      <c r="I82" t="n">
        <v>249.259877</v>
      </c>
      <c r="J82" t="n">
        <v>251.428736</v>
      </c>
      <c r="K82" t="n">
        <v>202.148704</v>
      </c>
      <c r="L82" t="n">
        <v>282.597002</v>
      </c>
      <c r="M82" t="n">
        <v>282.597002</v>
      </c>
      <c r="N82" t="n">
        <v>286.033173</v>
      </c>
      <c r="O82" t="n">
        <v>49.797649</v>
      </c>
      <c r="P82" t="n">
        <v>25.643377</v>
      </c>
      <c r="Q82" t="n">
        <v>286.033173</v>
      </c>
      <c r="R82" t="n">
        <v>282.597002</v>
      </c>
      <c r="S82" t="n">
        <v>49.797649</v>
      </c>
      <c r="T82" t="n">
        <v>49.797649</v>
      </c>
      <c r="U82" t="n">
        <v>25.643377</v>
      </c>
      <c r="V82" t="n">
        <v>25.643377</v>
      </c>
      <c r="W82" t="n">
        <v>51.082514</v>
      </c>
      <c r="X82" t="n">
        <v>274.518943</v>
      </c>
    </row>
    <row r="83">
      <c r="A83" t="inlineStr">
        <is>
          <t>Nemipterus virgatus</t>
        </is>
      </c>
      <c r="B83" t="n">
        <v>3.99</v>
      </c>
      <c r="C83" t="n">
        <v>977.237221</v>
      </c>
      <c r="D83" t="inlineStr">
        <is>
          <t>Benthivores/piscivores</t>
        </is>
      </c>
      <c r="E83" t="n">
        <v>0</v>
      </c>
      <c r="F83" t="n">
        <v>136.120059</v>
      </c>
      <c r="G83" t="n">
        <v>2.021353</v>
      </c>
      <c r="H83" t="n">
        <v>2.039787</v>
      </c>
      <c r="I83" t="n">
        <v>36.046055</v>
      </c>
      <c r="J83" t="n">
        <v>36.076344</v>
      </c>
      <c r="K83" t="n">
        <v>35.535199</v>
      </c>
      <c r="L83" t="n">
        <v>34.759886</v>
      </c>
      <c r="M83" t="n">
        <v>34.759886</v>
      </c>
      <c r="N83" t="n">
        <v>35.313702</v>
      </c>
      <c r="O83" t="n">
        <v>13.890783</v>
      </c>
      <c r="P83" t="n">
        <v>8.319739999999999</v>
      </c>
      <c r="Q83" t="n">
        <v>35.313702</v>
      </c>
      <c r="R83" t="n">
        <v>34.759886</v>
      </c>
      <c r="S83" t="n">
        <v>13.890783</v>
      </c>
      <c r="T83" t="n">
        <v>13.890783</v>
      </c>
      <c r="U83" t="n">
        <v>8.319739999999999</v>
      </c>
      <c r="V83" t="n">
        <v>8.319739999999999</v>
      </c>
      <c r="W83" t="n">
        <v>14.220855</v>
      </c>
      <c r="X83" t="n">
        <v>35.767132</v>
      </c>
    </row>
    <row r="84">
      <c r="A84" t="inlineStr">
        <is>
          <t>Salmonidae</t>
        </is>
      </c>
      <c r="B84" t="n">
        <v>3.3</v>
      </c>
      <c r="C84" t="n">
        <v>199.526231</v>
      </c>
      <c r="D84" t="inlineStr">
        <is>
          <t>Planktivores/piscivores</t>
        </is>
      </c>
      <c r="E84" t="n">
        <v>0</v>
      </c>
      <c r="F84" t="n">
        <v>123.077794</v>
      </c>
      <c r="G84" t="n">
        <v>1.992402</v>
      </c>
      <c r="H84" t="n">
        <v>1.97781</v>
      </c>
      <c r="I84" t="n">
        <v>560.299311</v>
      </c>
      <c r="J84" t="n">
        <v>592.272682</v>
      </c>
      <c r="K84" t="n">
        <v>209.072257</v>
      </c>
      <c r="L84" t="n">
        <v>660.166914</v>
      </c>
      <c r="M84" t="n">
        <v>660.166914</v>
      </c>
      <c r="N84" t="n">
        <v>670.165526</v>
      </c>
      <c r="O84" t="n">
        <v>72.857719</v>
      </c>
      <c r="P84" t="n">
        <v>43.071646</v>
      </c>
      <c r="Q84" t="n">
        <v>670.165526</v>
      </c>
      <c r="R84" t="n">
        <v>660.166914</v>
      </c>
      <c r="S84" t="n">
        <v>72.857719</v>
      </c>
      <c r="T84" t="n">
        <v>72.857719</v>
      </c>
      <c r="U84" t="n">
        <v>43.071646</v>
      </c>
      <c r="V84" t="n">
        <v>43.071646</v>
      </c>
      <c r="W84" t="n">
        <v>75.193746</v>
      </c>
      <c r="X84" t="n">
        <v>683.804243</v>
      </c>
    </row>
    <row r="85">
      <c r="A85" t="inlineStr">
        <is>
          <t>Portunus pelagicus</t>
        </is>
      </c>
      <c r="B85" t="n">
        <v>2.48</v>
      </c>
      <c r="C85" t="n">
        <v>30.199517</v>
      </c>
      <c r="D85" t="inlineStr">
        <is>
          <t>Crabs</t>
        </is>
      </c>
      <c r="E85" t="n">
        <v>0</v>
      </c>
      <c r="F85" t="n">
        <v>21.002175</v>
      </c>
      <c r="G85" t="n">
        <v>1.546636</v>
      </c>
      <c r="H85" t="n">
        <v>1.565985</v>
      </c>
      <c r="I85" t="n">
        <v>12.039474</v>
      </c>
      <c r="J85" t="n">
        <v>12.039474</v>
      </c>
      <c r="K85" t="n">
        <v>11.028158</v>
      </c>
      <c r="L85" t="n">
        <v>11.032425</v>
      </c>
      <c r="M85" t="n">
        <v>11.032425</v>
      </c>
      <c r="N85" t="n">
        <v>11.257068</v>
      </c>
      <c r="O85" t="n">
        <v>7.495998</v>
      </c>
      <c r="P85" t="n">
        <v>5.212079</v>
      </c>
      <c r="Q85" t="n">
        <v>11.257068</v>
      </c>
      <c r="R85" t="n">
        <v>11.032425</v>
      </c>
      <c r="S85" t="n">
        <v>7.495998</v>
      </c>
      <c r="T85" t="n">
        <v>7.495998</v>
      </c>
      <c r="U85" t="n">
        <v>5.212079</v>
      </c>
      <c r="V85" t="n">
        <v>5.212079</v>
      </c>
      <c r="W85" t="n">
        <v>7.53635</v>
      </c>
      <c r="X85" t="n">
        <v>11.035506</v>
      </c>
    </row>
    <row r="86">
      <c r="A86" t="inlineStr">
        <is>
          <t>Sardinella zunasi</t>
        </is>
      </c>
      <c r="B86" t="n">
        <v>3.12</v>
      </c>
      <c r="C86" t="n">
        <v>131.825674</v>
      </c>
      <c r="D86" t="inlineStr">
        <is>
          <t>Planktivores</t>
        </is>
      </c>
      <c r="E86" t="n">
        <v>0</v>
      </c>
      <c r="F86" t="n">
        <v>100.997642</v>
      </c>
      <c r="G86" t="n">
        <v>1.93677</v>
      </c>
      <c r="H86" t="n">
        <v>1.93149</v>
      </c>
      <c r="I86" t="n">
        <v>53.479795</v>
      </c>
      <c r="J86" t="n">
        <v>53.479795</v>
      </c>
      <c r="K86" t="n">
        <v>53.372836</v>
      </c>
      <c r="L86" t="n">
        <v>51.741399</v>
      </c>
      <c r="M86" t="n">
        <v>51.741399</v>
      </c>
      <c r="N86" t="n">
        <v>52.283119</v>
      </c>
      <c r="O86" t="n">
        <v>17.749881</v>
      </c>
      <c r="P86" t="n">
        <v>11.404035</v>
      </c>
      <c r="Q86" t="n">
        <v>52.283119</v>
      </c>
      <c r="R86" t="n">
        <v>51.741399</v>
      </c>
      <c r="S86" t="n">
        <v>17.749881</v>
      </c>
      <c r="T86" t="n">
        <v>17.749881</v>
      </c>
      <c r="U86" t="n">
        <v>11.404035</v>
      </c>
      <c r="V86" t="n">
        <v>11.404035</v>
      </c>
      <c r="W86" t="n">
        <v>17.839302</v>
      </c>
      <c r="X86" t="n">
        <v>54.129601</v>
      </c>
    </row>
    <row r="87">
      <c r="A87" t="inlineStr">
        <is>
          <t>Charybdis</t>
        </is>
      </c>
      <c r="B87" t="n">
        <v>2.7</v>
      </c>
      <c r="C87" t="n">
        <v>50.118723</v>
      </c>
      <c r="D87" t="inlineStr">
        <is>
          <t>Crabs</t>
        </is>
      </c>
      <c r="E87" t="n">
        <v>0</v>
      </c>
      <c r="F87" t="n">
        <v>21.002175</v>
      </c>
      <c r="G87" t="n">
        <v>1.546636</v>
      </c>
      <c r="H87" t="n">
        <v>1.565985</v>
      </c>
      <c r="I87" t="n">
        <v>12.039474</v>
      </c>
      <c r="J87" t="n">
        <v>12.039474</v>
      </c>
      <c r="K87" t="n">
        <v>11.028158</v>
      </c>
      <c r="L87" t="n">
        <v>11.032425</v>
      </c>
      <c r="M87" t="n">
        <v>11.032425</v>
      </c>
      <c r="N87" t="n">
        <v>11.257068</v>
      </c>
      <c r="O87" t="n">
        <v>7.495998</v>
      </c>
      <c r="P87" t="n">
        <v>5.212079</v>
      </c>
      <c r="Q87" t="n">
        <v>11.257068</v>
      </c>
      <c r="R87" t="n">
        <v>11.032425</v>
      </c>
      <c r="S87" t="n">
        <v>7.495998</v>
      </c>
      <c r="T87" t="n">
        <v>7.495998</v>
      </c>
      <c r="U87" t="n">
        <v>5.212079</v>
      </c>
      <c r="V87" t="n">
        <v>5.212079</v>
      </c>
      <c r="W87" t="n">
        <v>7.53635</v>
      </c>
      <c r="X87" t="n">
        <v>11.035506</v>
      </c>
    </row>
    <row r="88">
      <c r="A88" t="inlineStr">
        <is>
          <t>Magallana gigas</t>
        </is>
      </c>
      <c r="B88" t="n">
        <v>2</v>
      </c>
      <c r="C88" t="n">
        <v>10</v>
      </c>
      <c r="D88" t="inlineStr">
        <is>
          <t>Mollusks</t>
        </is>
      </c>
      <c r="E88" t="n">
        <v>0</v>
      </c>
      <c r="F88" t="n">
        <v>14.497407</v>
      </c>
      <c r="G88" t="n">
        <v>1.466668</v>
      </c>
      <c r="H88" t="n">
        <v>1.466497</v>
      </c>
      <c r="I88" t="n">
        <v>17.850747</v>
      </c>
      <c r="J88" t="n">
        <v>17.850747</v>
      </c>
      <c r="K88" t="n">
        <v>5.355224</v>
      </c>
      <c r="L88" t="n">
        <v>17.186608</v>
      </c>
      <c r="M88" t="n">
        <v>17.186608</v>
      </c>
      <c r="N88" t="n">
        <v>17.598965</v>
      </c>
      <c r="O88" t="n">
        <v>3.995111</v>
      </c>
      <c r="P88" t="n">
        <v>2.967513</v>
      </c>
      <c r="Q88" t="n">
        <v>17.598965</v>
      </c>
      <c r="R88" t="n">
        <v>17.186608</v>
      </c>
      <c r="S88" t="n">
        <v>3.995111</v>
      </c>
      <c r="T88" t="n">
        <v>3.995111</v>
      </c>
      <c r="U88" t="n">
        <v>2.967513</v>
      </c>
      <c r="V88" t="n">
        <v>2.967513</v>
      </c>
      <c r="W88" t="n">
        <v>3.990277</v>
      </c>
      <c r="X88" t="n">
        <v>17.941416</v>
      </c>
    </row>
    <row r="89">
      <c r="A89" t="inlineStr">
        <is>
          <t>Anadara</t>
        </is>
      </c>
      <c r="B89" t="n">
        <v>2</v>
      </c>
      <c r="C89" t="n">
        <v>10</v>
      </c>
      <c r="D89" t="inlineStr">
        <is>
          <t>Mollusks</t>
        </is>
      </c>
      <c r="E89" t="n">
        <v>0</v>
      </c>
      <c r="F89" t="n">
        <v>14.497407</v>
      </c>
      <c r="G89" t="n">
        <v>1.466668</v>
      </c>
      <c r="H89" t="n">
        <v>1.466497</v>
      </c>
      <c r="I89" t="n">
        <v>17.850747</v>
      </c>
      <c r="J89" t="n">
        <v>17.850747</v>
      </c>
      <c r="K89" t="n">
        <v>5.355224</v>
      </c>
      <c r="L89" t="n">
        <v>17.186608</v>
      </c>
      <c r="M89" t="n">
        <v>17.186608</v>
      </c>
      <c r="N89" t="n">
        <v>17.598965</v>
      </c>
      <c r="O89" t="n">
        <v>3.995111</v>
      </c>
      <c r="P89" t="n">
        <v>2.967513</v>
      </c>
      <c r="Q89" t="n">
        <v>17.598965</v>
      </c>
      <c r="R89" t="n">
        <v>17.186608</v>
      </c>
      <c r="S89" t="n">
        <v>3.995111</v>
      </c>
      <c r="T89" t="n">
        <v>3.995111</v>
      </c>
      <c r="U89" t="n">
        <v>2.967513</v>
      </c>
      <c r="V89" t="n">
        <v>2.967513</v>
      </c>
      <c r="W89" t="n">
        <v>3.990277</v>
      </c>
      <c r="X89" t="n">
        <v>17.941416</v>
      </c>
    </row>
    <row r="90">
      <c r="A90" t="inlineStr">
        <is>
          <t>Echinoidea</t>
        </is>
      </c>
      <c r="B90" t="n">
        <v>2.51</v>
      </c>
      <c r="C90" t="n">
        <v>32.359366</v>
      </c>
      <c r="D90" t="inlineStr">
        <is>
          <t>Echinoderms</t>
        </is>
      </c>
      <c r="E90" t="n">
        <v>0</v>
      </c>
      <c r="F90" t="n">
        <v>14.362944</v>
      </c>
      <c r="G90" t="n">
        <v>1.464712</v>
      </c>
      <c r="H90" t="n">
        <v>1.389744</v>
      </c>
      <c r="I90" t="n">
        <v>47.528559</v>
      </c>
      <c r="J90" t="n">
        <v>47.528559</v>
      </c>
      <c r="K90" t="n">
        <v>8.650198</v>
      </c>
      <c r="L90" t="n">
        <v>98169.820373</v>
      </c>
      <c r="M90" t="n">
        <v>98169.820373</v>
      </c>
      <c r="N90" t="n">
        <v>99766.36788799999</v>
      </c>
      <c r="O90" t="n">
        <v>7.082345</v>
      </c>
      <c r="P90" t="n">
        <v>4.85352</v>
      </c>
      <c r="Q90" t="n">
        <v>99766.36788799999</v>
      </c>
      <c r="R90" t="n">
        <v>98169.820373</v>
      </c>
      <c r="S90" t="n">
        <v>7.082345</v>
      </c>
      <c r="T90" t="n">
        <v>7.082345</v>
      </c>
      <c r="U90" t="n">
        <v>4.85352</v>
      </c>
      <c r="V90" t="n">
        <v>4.85352</v>
      </c>
      <c r="W90" t="n">
        <v>7.237529</v>
      </c>
      <c r="X90" t="n">
        <v>1019.755013</v>
      </c>
    </row>
    <row r="91">
      <c r="A91" t="inlineStr">
        <is>
          <t>Decapterus maruadsi</t>
        </is>
      </c>
      <c r="B91" t="n">
        <v>3.4</v>
      </c>
      <c r="C91" t="n">
        <v>251.188643</v>
      </c>
      <c r="D91" t="inlineStr">
        <is>
          <t>Planktivores/piscivores</t>
        </is>
      </c>
      <c r="E91" t="n">
        <v>0</v>
      </c>
      <c r="F91" t="n">
        <v>123.077794</v>
      </c>
      <c r="G91" t="n">
        <v>1.992402</v>
      </c>
      <c r="H91" t="n">
        <v>1.97781</v>
      </c>
      <c r="I91" t="n">
        <v>560.299311</v>
      </c>
      <c r="J91" t="n">
        <v>592.272682</v>
      </c>
      <c r="K91" t="n">
        <v>209.072257</v>
      </c>
      <c r="L91" t="n">
        <v>660.166914</v>
      </c>
      <c r="M91" t="n">
        <v>660.166914</v>
      </c>
      <c r="N91" t="n">
        <v>670.165526</v>
      </c>
      <c r="O91" t="n">
        <v>72.857719</v>
      </c>
      <c r="P91" t="n">
        <v>43.071646</v>
      </c>
      <c r="Q91" t="n">
        <v>670.165526</v>
      </c>
      <c r="R91" t="n">
        <v>660.166914</v>
      </c>
      <c r="S91" t="n">
        <v>72.857719</v>
      </c>
      <c r="T91" t="n">
        <v>72.857719</v>
      </c>
      <c r="U91" t="n">
        <v>43.071646</v>
      </c>
      <c r="V91" t="n">
        <v>43.071646</v>
      </c>
      <c r="W91" t="n">
        <v>75.193746</v>
      </c>
      <c r="X91" t="n">
        <v>683.804243</v>
      </c>
    </row>
    <row r="92">
      <c r="A92" t="inlineStr">
        <is>
          <t>Lateolabrax japonicus</t>
        </is>
      </c>
      <c r="B92" t="n">
        <v>3.36</v>
      </c>
      <c r="C92" t="n">
        <v>229.086765</v>
      </c>
      <c r="D92" t="inlineStr">
        <is>
          <t>Benthivores/piscivores</t>
        </is>
      </c>
      <c r="E92" t="n">
        <v>0</v>
      </c>
      <c r="F92" t="n">
        <v>136.120059</v>
      </c>
      <c r="G92" t="n">
        <v>2.021353</v>
      </c>
      <c r="H92" t="n">
        <v>2.039787</v>
      </c>
      <c r="I92" t="n">
        <v>36.046055</v>
      </c>
      <c r="J92" t="n">
        <v>36.076344</v>
      </c>
      <c r="K92" t="n">
        <v>35.535199</v>
      </c>
      <c r="L92" t="n">
        <v>34.759886</v>
      </c>
      <c r="M92" t="n">
        <v>34.759886</v>
      </c>
      <c r="N92" t="n">
        <v>35.313702</v>
      </c>
      <c r="O92" t="n">
        <v>13.890783</v>
      </c>
      <c r="P92" t="n">
        <v>8.319739999999999</v>
      </c>
      <c r="Q92" t="n">
        <v>35.313702</v>
      </c>
      <c r="R92" t="n">
        <v>34.759886</v>
      </c>
      <c r="S92" t="n">
        <v>13.890783</v>
      </c>
      <c r="T92" t="n">
        <v>13.890783</v>
      </c>
      <c r="U92" t="n">
        <v>8.319739999999999</v>
      </c>
      <c r="V92" t="n">
        <v>8.319739999999999</v>
      </c>
      <c r="W92" t="n">
        <v>14.220855</v>
      </c>
      <c r="X92" t="n">
        <v>35.767132</v>
      </c>
    </row>
    <row r="93">
      <c r="A93" t="inlineStr">
        <is>
          <t>Priacanthus macracanthus</t>
        </is>
      </c>
      <c r="B93" t="n">
        <v>4.11</v>
      </c>
      <c r="C93" t="n">
        <v>1288.249552</v>
      </c>
      <c r="D93" t="inlineStr">
        <is>
          <t>Benthivores/piscivores</t>
        </is>
      </c>
      <c r="E93" t="n">
        <v>0</v>
      </c>
      <c r="F93" t="n">
        <v>136.120059</v>
      </c>
      <c r="G93" t="n">
        <v>2.021353</v>
      </c>
      <c r="H93" t="n">
        <v>2.039787</v>
      </c>
      <c r="I93" t="n">
        <v>36.046055</v>
      </c>
      <c r="J93" t="n">
        <v>36.076344</v>
      </c>
      <c r="K93" t="n">
        <v>35.535199</v>
      </c>
      <c r="L93" t="n">
        <v>34.759886</v>
      </c>
      <c r="M93" t="n">
        <v>34.759886</v>
      </c>
      <c r="N93" t="n">
        <v>35.313702</v>
      </c>
      <c r="O93" t="n">
        <v>13.890783</v>
      </c>
      <c r="P93" t="n">
        <v>8.319739999999999</v>
      </c>
      <c r="Q93" t="n">
        <v>35.313702</v>
      </c>
      <c r="R93" t="n">
        <v>34.759886</v>
      </c>
      <c r="S93" t="n">
        <v>13.890783</v>
      </c>
      <c r="T93" t="n">
        <v>13.890783</v>
      </c>
      <c r="U93" t="n">
        <v>8.319739999999999</v>
      </c>
      <c r="V93" t="n">
        <v>8.319739999999999</v>
      </c>
      <c r="W93" t="n">
        <v>14.220855</v>
      </c>
      <c r="X93" t="n">
        <v>35.767132</v>
      </c>
    </row>
    <row r="94">
      <c r="A94" t="inlineStr">
        <is>
          <t>Exocoetidae</t>
        </is>
      </c>
      <c r="B94" t="n">
        <v>3.57</v>
      </c>
      <c r="C94" t="n">
        <v>371.535229</v>
      </c>
      <c r="D94" t="inlineStr">
        <is>
          <t>Planktivores</t>
        </is>
      </c>
      <c r="E94" t="n">
        <v>0</v>
      </c>
      <c r="F94" t="n">
        <v>100.997642</v>
      </c>
      <c r="G94" t="n">
        <v>1.93677</v>
      </c>
      <c r="H94" t="n">
        <v>1.93149</v>
      </c>
      <c r="I94" t="n">
        <v>53.479795</v>
      </c>
      <c r="J94" t="n">
        <v>53.479795</v>
      </c>
      <c r="K94" t="n">
        <v>53.372836</v>
      </c>
      <c r="L94" t="n">
        <v>51.741399</v>
      </c>
      <c r="M94" t="n">
        <v>51.741399</v>
      </c>
      <c r="N94" t="n">
        <v>52.283119</v>
      </c>
      <c r="O94" t="n">
        <v>17.749881</v>
      </c>
      <c r="P94" t="n">
        <v>11.404035</v>
      </c>
      <c r="Q94" t="n">
        <v>52.283119</v>
      </c>
      <c r="R94" t="n">
        <v>51.741399</v>
      </c>
      <c r="S94" t="n">
        <v>17.749881</v>
      </c>
      <c r="T94" t="n">
        <v>17.749881</v>
      </c>
      <c r="U94" t="n">
        <v>11.404035</v>
      </c>
      <c r="V94" t="n">
        <v>11.404035</v>
      </c>
      <c r="W94" t="n">
        <v>17.839302</v>
      </c>
      <c r="X94" t="n">
        <v>54.129601</v>
      </c>
    </row>
    <row r="95">
      <c r="A95" t="inlineStr">
        <is>
          <t>Scomber australasicus</t>
        </is>
      </c>
      <c r="B95" t="n">
        <v>4.23</v>
      </c>
      <c r="C95" t="n">
        <v>1698.243652</v>
      </c>
      <c r="D95" t="inlineStr">
        <is>
          <t>Planktivores/Benthivores</t>
        </is>
      </c>
      <c r="E95" t="n">
        <v>0</v>
      </c>
      <c r="F95" t="n">
        <v>90.84783299999999</v>
      </c>
      <c r="G95" t="n">
        <v>1.907611</v>
      </c>
      <c r="H95" t="n">
        <v>1.91205</v>
      </c>
      <c r="I95" t="n">
        <v>124.271163</v>
      </c>
      <c r="J95" t="n">
        <v>124.271163</v>
      </c>
      <c r="K95" t="n">
        <v>113.832386</v>
      </c>
      <c r="L95" t="n">
        <v>118.840107</v>
      </c>
      <c r="M95" t="n">
        <v>118.840107</v>
      </c>
      <c r="N95" t="n">
        <v>120.054666</v>
      </c>
      <c r="O95" t="n">
        <v>37.420523</v>
      </c>
      <c r="P95" t="n">
        <v>24.182504</v>
      </c>
      <c r="Q95" t="n">
        <v>120.054666</v>
      </c>
      <c r="R95" t="n">
        <v>118.840107</v>
      </c>
      <c r="S95" t="n">
        <v>37.420523</v>
      </c>
      <c r="T95" t="n">
        <v>37.420523</v>
      </c>
      <c r="U95" t="n">
        <v>24.182504</v>
      </c>
      <c r="V95" t="n">
        <v>24.182504</v>
      </c>
      <c r="W95" t="n">
        <v>38.102317</v>
      </c>
      <c r="X95" t="n">
        <v>122.241888</v>
      </c>
    </row>
    <row r="96">
      <c r="A96" t="inlineStr">
        <is>
          <t>Mytilus coruscus</t>
        </is>
      </c>
      <c r="B96" t="n">
        <v>2</v>
      </c>
      <c r="C96" t="n">
        <v>10</v>
      </c>
      <c r="D96" t="inlineStr">
        <is>
          <t>Mollusks</t>
        </is>
      </c>
      <c r="E96" t="n">
        <v>0</v>
      </c>
      <c r="F96" t="n">
        <v>14.497407</v>
      </c>
      <c r="G96" t="n">
        <v>1.466668</v>
      </c>
      <c r="H96" t="n">
        <v>1.466497</v>
      </c>
      <c r="I96" t="n">
        <v>17.850747</v>
      </c>
      <c r="J96" t="n">
        <v>17.850747</v>
      </c>
      <c r="K96" t="n">
        <v>5.355224</v>
      </c>
      <c r="L96" t="n">
        <v>17.186608</v>
      </c>
      <c r="M96" t="n">
        <v>17.186608</v>
      </c>
      <c r="N96" t="n">
        <v>17.598965</v>
      </c>
      <c r="O96" t="n">
        <v>3.995111</v>
      </c>
      <c r="P96" t="n">
        <v>2.967513</v>
      </c>
      <c r="Q96" t="n">
        <v>17.598965</v>
      </c>
      <c r="R96" t="n">
        <v>17.186608</v>
      </c>
      <c r="S96" t="n">
        <v>3.995111</v>
      </c>
      <c r="T96" t="n">
        <v>3.995111</v>
      </c>
      <c r="U96" t="n">
        <v>2.967513</v>
      </c>
      <c r="V96" t="n">
        <v>2.967513</v>
      </c>
      <c r="W96" t="n">
        <v>3.990277</v>
      </c>
      <c r="X96" t="n">
        <v>17.941416</v>
      </c>
    </row>
    <row r="97">
      <c r="A97" t="inlineStr">
        <is>
          <t>Atrobucca nibe</t>
        </is>
      </c>
      <c r="B97" t="n">
        <v>3.03</v>
      </c>
      <c r="C97" t="n">
        <v>107.151931</v>
      </c>
      <c r="D97" t="inlineStr">
        <is>
          <t>Benthivores/piscivores</t>
        </is>
      </c>
      <c r="E97" t="n">
        <v>0</v>
      </c>
      <c r="F97" t="n">
        <v>136.120059</v>
      </c>
      <c r="G97" t="n">
        <v>2.021353</v>
      </c>
      <c r="H97" t="n">
        <v>2.039787</v>
      </c>
      <c r="I97" t="n">
        <v>36.046055</v>
      </c>
      <c r="J97" t="n">
        <v>36.076344</v>
      </c>
      <c r="K97" t="n">
        <v>35.535199</v>
      </c>
      <c r="L97" t="n">
        <v>34.759886</v>
      </c>
      <c r="M97" t="n">
        <v>34.759886</v>
      </c>
      <c r="N97" t="n">
        <v>35.313702</v>
      </c>
      <c r="O97" t="n">
        <v>13.890783</v>
      </c>
      <c r="P97" t="n">
        <v>8.319739999999999</v>
      </c>
      <c r="Q97" t="n">
        <v>35.313702</v>
      </c>
      <c r="R97" t="n">
        <v>34.759886</v>
      </c>
      <c r="S97" t="n">
        <v>13.890783</v>
      </c>
      <c r="T97" t="n">
        <v>13.890783</v>
      </c>
      <c r="U97" t="n">
        <v>8.319739999999999</v>
      </c>
      <c r="V97" t="n">
        <v>8.319739999999999</v>
      </c>
      <c r="W97" t="n">
        <v>14.220855</v>
      </c>
      <c r="X97" t="n">
        <v>35.767132</v>
      </c>
    </row>
    <row r="98">
      <c r="A98" t="inlineStr">
        <is>
          <t>Spratelloides gracilis</t>
        </is>
      </c>
      <c r="B98" t="n">
        <v>3.06</v>
      </c>
      <c r="C98" t="n">
        <v>114.815362</v>
      </c>
      <c r="D98" t="inlineStr">
        <is>
          <t>Planktivores</t>
        </is>
      </c>
      <c r="E98" t="n">
        <v>0</v>
      </c>
      <c r="F98" t="n">
        <v>100.997642</v>
      </c>
      <c r="G98" t="n">
        <v>1.93677</v>
      </c>
      <c r="H98" t="n">
        <v>1.93149</v>
      </c>
      <c r="I98" t="n">
        <v>53.479795</v>
      </c>
      <c r="J98" t="n">
        <v>53.479795</v>
      </c>
      <c r="K98" t="n">
        <v>53.372836</v>
      </c>
      <c r="L98" t="n">
        <v>51.741399</v>
      </c>
      <c r="M98" t="n">
        <v>51.741399</v>
      </c>
      <c r="N98" t="n">
        <v>52.283119</v>
      </c>
      <c r="O98" t="n">
        <v>17.749881</v>
      </c>
      <c r="P98" t="n">
        <v>11.404035</v>
      </c>
      <c r="Q98" t="n">
        <v>52.283119</v>
      </c>
      <c r="R98" t="n">
        <v>51.741399</v>
      </c>
      <c r="S98" t="n">
        <v>17.749881</v>
      </c>
      <c r="T98" t="n">
        <v>17.749881</v>
      </c>
      <c r="U98" t="n">
        <v>11.404035</v>
      </c>
      <c r="V98" t="n">
        <v>11.404035</v>
      </c>
      <c r="W98" t="n">
        <v>17.839302</v>
      </c>
      <c r="X98" t="n">
        <v>54.129601</v>
      </c>
    </row>
    <row r="99">
      <c r="A99" t="inlineStr">
        <is>
          <t>Ruvettus pretiosus</t>
        </is>
      </c>
      <c r="B99" t="n">
        <v>4.18</v>
      </c>
      <c r="C99" t="n">
        <v>1513.561248</v>
      </c>
      <c r="D99" t="inlineStr">
        <is>
          <t>Benthivores/piscivores</t>
        </is>
      </c>
      <c r="E99" t="n">
        <v>0</v>
      </c>
      <c r="F99" t="n">
        <v>136.120059</v>
      </c>
      <c r="G99" t="n">
        <v>2.021353</v>
      </c>
      <c r="H99" t="n">
        <v>2.039787</v>
      </c>
      <c r="I99" t="n">
        <v>36.046055</v>
      </c>
      <c r="J99" t="n">
        <v>36.076344</v>
      </c>
      <c r="K99" t="n">
        <v>35.535199</v>
      </c>
      <c r="L99" t="n">
        <v>34.759886</v>
      </c>
      <c r="M99" t="n">
        <v>34.759886</v>
      </c>
      <c r="N99" t="n">
        <v>35.313702</v>
      </c>
      <c r="O99" t="n">
        <v>13.890783</v>
      </c>
      <c r="P99" t="n">
        <v>8.319739999999999</v>
      </c>
      <c r="Q99" t="n">
        <v>35.313702</v>
      </c>
      <c r="R99" t="n">
        <v>34.759886</v>
      </c>
      <c r="S99" t="n">
        <v>13.890783</v>
      </c>
      <c r="T99" t="n">
        <v>13.890783</v>
      </c>
      <c r="U99" t="n">
        <v>8.319739999999999</v>
      </c>
      <c r="V99" t="n">
        <v>8.319739999999999</v>
      </c>
      <c r="W99" t="n">
        <v>14.220855</v>
      </c>
      <c r="X99" t="n">
        <v>35.767132</v>
      </c>
    </row>
    <row r="100">
      <c r="A100" t="inlineStr">
        <is>
          <t>Lutjanidae</t>
        </is>
      </c>
      <c r="B100" t="n">
        <v>4.02</v>
      </c>
      <c r="C100" t="n">
        <v>1047.128548</v>
      </c>
      <c r="D100" t="inlineStr">
        <is>
          <t>Piscivores</t>
        </is>
      </c>
      <c r="E100" t="n">
        <v>0</v>
      </c>
      <c r="F100" t="n">
        <v>304.388999</v>
      </c>
      <c r="G100" t="n">
        <v>2.268309</v>
      </c>
      <c r="H100" t="n">
        <v>2.300314</v>
      </c>
      <c r="I100" t="n">
        <v>249.259877</v>
      </c>
      <c r="J100" t="n">
        <v>251.428736</v>
      </c>
      <c r="K100" t="n">
        <v>202.148704</v>
      </c>
      <c r="L100" t="n">
        <v>282.597002</v>
      </c>
      <c r="M100" t="n">
        <v>282.597002</v>
      </c>
      <c r="N100" t="n">
        <v>286.033173</v>
      </c>
      <c r="O100" t="n">
        <v>49.797649</v>
      </c>
      <c r="P100" t="n">
        <v>25.643377</v>
      </c>
      <c r="Q100" t="n">
        <v>286.033173</v>
      </c>
      <c r="R100" t="n">
        <v>282.597002</v>
      </c>
      <c r="S100" t="n">
        <v>49.797649</v>
      </c>
      <c r="T100" t="n">
        <v>49.797649</v>
      </c>
      <c r="U100" t="n">
        <v>25.643377</v>
      </c>
      <c r="V100" t="n">
        <v>25.643377</v>
      </c>
      <c r="W100" t="n">
        <v>51.082514</v>
      </c>
      <c r="X100" t="n">
        <v>274.518943</v>
      </c>
    </row>
    <row r="101">
      <c r="A101" t="inlineStr">
        <is>
          <t>Sebastidae</t>
        </is>
      </c>
      <c r="B101" t="n">
        <v>3.74</v>
      </c>
      <c r="C101" t="n">
        <v>549.540874</v>
      </c>
      <c r="D101" t="inlineStr">
        <is>
          <t>Benthivores/piscivores</t>
        </is>
      </c>
      <c r="E101" t="n">
        <v>0</v>
      </c>
      <c r="F101" t="n">
        <v>136.120059</v>
      </c>
      <c r="G101" t="n">
        <v>2.021353</v>
      </c>
      <c r="H101" t="n">
        <v>2.039787</v>
      </c>
      <c r="I101" t="n">
        <v>36.046055</v>
      </c>
      <c r="J101" t="n">
        <v>36.076344</v>
      </c>
      <c r="K101" t="n">
        <v>35.535199</v>
      </c>
      <c r="L101" t="n">
        <v>34.759886</v>
      </c>
      <c r="M101" t="n">
        <v>34.759886</v>
      </c>
      <c r="N101" t="n">
        <v>35.313702</v>
      </c>
      <c r="O101" t="n">
        <v>13.890783</v>
      </c>
      <c r="P101" t="n">
        <v>8.319739999999999</v>
      </c>
      <c r="Q101" t="n">
        <v>35.313702</v>
      </c>
      <c r="R101" t="n">
        <v>34.759886</v>
      </c>
      <c r="S101" t="n">
        <v>13.890783</v>
      </c>
      <c r="T101" t="n">
        <v>13.890783</v>
      </c>
      <c r="U101" t="n">
        <v>8.319739999999999</v>
      </c>
      <c r="V101" t="n">
        <v>8.319739999999999</v>
      </c>
      <c r="W101" t="n">
        <v>14.220855</v>
      </c>
      <c r="X101" t="n">
        <v>35.767132</v>
      </c>
    </row>
    <row r="102">
      <c r="A102" t="inlineStr">
        <is>
          <t>Pleurogrammus azonus</t>
        </is>
      </c>
      <c r="B102" t="n">
        <v>3.6</v>
      </c>
      <c r="C102" t="n">
        <v>398.107171</v>
      </c>
      <c r="D102" t="inlineStr">
        <is>
          <t>Planktivores/Benthivores</t>
        </is>
      </c>
      <c r="E102" t="n">
        <v>0</v>
      </c>
      <c r="F102" t="n">
        <v>90.84783299999999</v>
      </c>
      <c r="G102" t="n">
        <v>1.907611</v>
      </c>
      <c r="H102" t="n">
        <v>1.91205</v>
      </c>
      <c r="I102" t="n">
        <v>124.271163</v>
      </c>
      <c r="J102" t="n">
        <v>124.271163</v>
      </c>
      <c r="K102" t="n">
        <v>113.832386</v>
      </c>
      <c r="L102" t="n">
        <v>118.840107</v>
      </c>
      <c r="M102" t="n">
        <v>118.840107</v>
      </c>
      <c r="N102" t="n">
        <v>120.054666</v>
      </c>
      <c r="O102" t="n">
        <v>37.420523</v>
      </c>
      <c r="P102" t="n">
        <v>24.182504</v>
      </c>
      <c r="Q102" t="n">
        <v>120.054666</v>
      </c>
      <c r="R102" t="n">
        <v>118.840107</v>
      </c>
      <c r="S102" t="n">
        <v>37.420523</v>
      </c>
      <c r="T102" t="n">
        <v>37.420523</v>
      </c>
      <c r="U102" t="n">
        <v>24.182504</v>
      </c>
      <c r="V102" t="n">
        <v>24.182504</v>
      </c>
      <c r="W102" t="n">
        <v>38.102317</v>
      </c>
      <c r="X102" t="n">
        <v>122.241888</v>
      </c>
    </row>
    <row r="103">
      <c r="A103" t="inlineStr">
        <is>
          <t>Bathylagidae</t>
        </is>
      </c>
      <c r="B103" t="n">
        <v>3.1</v>
      </c>
      <c r="C103" t="n">
        <v>125.892541</v>
      </c>
      <c r="D103" t="inlineStr">
        <is>
          <t>Planktivores</t>
        </is>
      </c>
      <c r="E103" t="n">
        <v>0</v>
      </c>
      <c r="F103" t="n">
        <v>100.997642</v>
      </c>
      <c r="G103" t="n">
        <v>1.93677</v>
      </c>
      <c r="H103" t="n">
        <v>1.93149</v>
      </c>
      <c r="I103" t="n">
        <v>53.479795</v>
      </c>
      <c r="J103" t="n">
        <v>53.479795</v>
      </c>
      <c r="K103" t="n">
        <v>53.372836</v>
      </c>
      <c r="L103" t="n">
        <v>51.741399</v>
      </c>
      <c r="M103" t="n">
        <v>51.741399</v>
      </c>
      <c r="N103" t="n">
        <v>52.283119</v>
      </c>
      <c r="O103" t="n">
        <v>17.749881</v>
      </c>
      <c r="P103" t="n">
        <v>11.404035</v>
      </c>
      <c r="Q103" t="n">
        <v>52.283119</v>
      </c>
      <c r="R103" t="n">
        <v>51.741399</v>
      </c>
      <c r="S103" t="n">
        <v>17.749881</v>
      </c>
      <c r="T103" t="n">
        <v>17.749881</v>
      </c>
      <c r="U103" t="n">
        <v>11.404035</v>
      </c>
      <c r="V103" t="n">
        <v>11.404035</v>
      </c>
      <c r="W103" t="n">
        <v>17.839302</v>
      </c>
      <c r="X103" t="n">
        <v>54.129601</v>
      </c>
    </row>
    <row r="104">
      <c r="A104" t="inlineStr">
        <is>
          <t>Clupeiformes</t>
        </is>
      </c>
      <c r="B104" t="n">
        <v>3.24</v>
      </c>
      <c r="C104" t="n">
        <v>173.780083</v>
      </c>
      <c r="D104" t="inlineStr">
        <is>
          <t>Planktivores | Planktivores/Benthivores | Omnivores</t>
        </is>
      </c>
      <c r="E104" t="n">
        <v>0</v>
      </c>
      <c r="F104" t="n">
        <v>99.675156</v>
      </c>
      <c r="G104" t="n">
        <v>1.932333</v>
      </c>
      <c r="H104" t="n">
        <v>1.931281</v>
      </c>
      <c r="I104" t="n">
        <v>73.80964899999999</v>
      </c>
      <c r="J104" t="n">
        <v>73.919605</v>
      </c>
      <c r="K104" t="n">
        <v>70.93865700000001</v>
      </c>
      <c r="L104" t="n">
        <v>71.45303699999999</v>
      </c>
      <c r="M104" t="n">
        <v>71.45303699999999</v>
      </c>
      <c r="N104" t="n">
        <v>72.206215</v>
      </c>
      <c r="O104" t="n">
        <v>23.212878</v>
      </c>
      <c r="P104" t="n">
        <v>14.892794</v>
      </c>
      <c r="Q104" t="n">
        <v>72.206215</v>
      </c>
      <c r="R104" t="n">
        <v>71.45303699999999</v>
      </c>
      <c r="S104" t="n">
        <v>23.212878</v>
      </c>
      <c r="T104" t="n">
        <v>23.212878</v>
      </c>
      <c r="U104" t="n">
        <v>14.892794</v>
      </c>
      <c r="V104" t="n">
        <v>14.892794</v>
      </c>
      <c r="W104" t="n">
        <v>23.472917</v>
      </c>
      <c r="X104" t="n">
        <v>74.020027</v>
      </c>
    </row>
    <row r="105">
      <c r="A105" t="inlineStr">
        <is>
          <t>Mullidae</t>
        </is>
      </c>
      <c r="B105" t="n">
        <v>3.46</v>
      </c>
      <c r="C105" t="n">
        <v>288.40315</v>
      </c>
      <c r="D105" t="inlineStr">
        <is>
          <t>Benthivores</t>
        </is>
      </c>
      <c r="E105" t="n">
        <v>0</v>
      </c>
      <c r="F105" t="n">
        <v>67.81478300000001</v>
      </c>
      <c r="G105" t="n">
        <v>1.829368</v>
      </c>
      <c r="H105" t="n">
        <v>1.84033</v>
      </c>
      <c r="I105" t="n">
        <v>33.988491</v>
      </c>
      <c r="J105" t="n">
        <v>35.780255</v>
      </c>
      <c r="K105" t="n">
        <v>35.601354</v>
      </c>
      <c r="L105" t="n">
        <v>385.228839</v>
      </c>
      <c r="M105" t="n">
        <v>385.228839</v>
      </c>
      <c r="N105" t="n">
        <v>391.588003</v>
      </c>
      <c r="O105" t="n">
        <v>16.66963</v>
      </c>
      <c r="P105" t="n">
        <v>9.973879999999999</v>
      </c>
      <c r="Q105" t="n">
        <v>391.588003</v>
      </c>
      <c r="R105" t="n">
        <v>385.228839</v>
      </c>
      <c r="S105" t="n">
        <v>16.66963</v>
      </c>
      <c r="T105" t="n">
        <v>16.66963</v>
      </c>
      <c r="U105" t="n">
        <v>9.973879999999999</v>
      </c>
      <c r="V105" t="n">
        <v>9.973879999999999</v>
      </c>
      <c r="W105" t="n">
        <v>17.246706</v>
      </c>
      <c r="X105" t="n">
        <v>42.474741</v>
      </c>
    </row>
    <row r="106">
      <c r="A106" t="inlineStr">
        <is>
          <t>Chelidonichthys kumu</t>
        </is>
      </c>
      <c r="B106" t="n">
        <v>3.68</v>
      </c>
      <c r="C106" t="n">
        <v>478.630092</v>
      </c>
      <c r="D106" t="inlineStr">
        <is>
          <t>Benthivores</t>
        </is>
      </c>
      <c r="E106" t="n">
        <v>0</v>
      </c>
      <c r="F106" t="n">
        <v>67.81478300000001</v>
      </c>
      <c r="G106" t="n">
        <v>1.829368</v>
      </c>
      <c r="H106" t="n">
        <v>1.84033</v>
      </c>
      <c r="I106" t="n">
        <v>33.988491</v>
      </c>
      <c r="J106" t="n">
        <v>35.780255</v>
      </c>
      <c r="K106" t="n">
        <v>35.601354</v>
      </c>
      <c r="L106" t="n">
        <v>385.228839</v>
      </c>
      <c r="M106" t="n">
        <v>385.228839</v>
      </c>
      <c r="N106" t="n">
        <v>391.588003</v>
      </c>
      <c r="O106" t="n">
        <v>16.66963</v>
      </c>
      <c r="P106" t="n">
        <v>9.973879999999999</v>
      </c>
      <c r="Q106" t="n">
        <v>391.588003</v>
      </c>
      <c r="R106" t="n">
        <v>385.228839</v>
      </c>
      <c r="S106" t="n">
        <v>16.66963</v>
      </c>
      <c r="T106" t="n">
        <v>16.66963</v>
      </c>
      <c r="U106" t="n">
        <v>9.973879999999999</v>
      </c>
      <c r="V106" t="n">
        <v>9.973879999999999</v>
      </c>
      <c r="W106" t="n">
        <v>17.246706</v>
      </c>
      <c r="X106" t="n">
        <v>42.474741</v>
      </c>
    </row>
    <row r="107">
      <c r="A107" t="inlineStr">
        <is>
          <t>Nibea mitsukurii</t>
        </is>
      </c>
      <c r="B107" t="n">
        <v>3.5</v>
      </c>
      <c r="C107" t="n">
        <v>316.227766</v>
      </c>
      <c r="D107" t="inlineStr">
        <is>
          <t>Omnivores</t>
        </is>
      </c>
      <c r="E107" t="n">
        <v>0</v>
      </c>
      <c r="F107" t="n">
        <v>131.221463</v>
      </c>
      <c r="G107" t="n">
        <v>2.01077</v>
      </c>
      <c r="H107" t="n">
        <v>2.036134</v>
      </c>
      <c r="I107" t="n">
        <v>66.04435700000001</v>
      </c>
      <c r="J107" t="n">
        <v>68.25582300000001</v>
      </c>
      <c r="K107" t="n">
        <v>68.187568</v>
      </c>
      <c r="L107" t="n">
        <v>72.544996</v>
      </c>
      <c r="M107" t="n">
        <v>72.544996</v>
      </c>
      <c r="N107" t="n">
        <v>73.57283200000001</v>
      </c>
      <c r="O107" t="n">
        <v>17.500018</v>
      </c>
      <c r="P107" t="n">
        <v>10.032554</v>
      </c>
      <c r="Q107" t="n">
        <v>73.57283200000001</v>
      </c>
      <c r="R107" t="n">
        <v>72.544996</v>
      </c>
      <c r="S107" t="n">
        <v>17.500018</v>
      </c>
      <c r="T107" t="n">
        <v>17.500018</v>
      </c>
      <c r="U107" t="n">
        <v>10.032554</v>
      </c>
      <c r="V107" t="n">
        <v>10.032554</v>
      </c>
      <c r="W107" t="n">
        <v>17.704629</v>
      </c>
      <c r="X107" t="n">
        <v>72.854687</v>
      </c>
    </row>
    <row r="108">
      <c r="A108" t="inlineStr">
        <is>
          <t>Saurida tumbil</t>
        </is>
      </c>
      <c r="B108" t="n">
        <v>4.4</v>
      </c>
      <c r="C108" t="n">
        <v>2511.886432</v>
      </c>
      <c r="D108" t="inlineStr">
        <is>
          <t>Piscivores</t>
        </is>
      </c>
      <c r="E108" t="n">
        <v>0</v>
      </c>
      <c r="F108" t="n">
        <v>304.388999</v>
      </c>
      <c r="G108" t="n">
        <v>2.268309</v>
      </c>
      <c r="H108" t="n">
        <v>2.300314</v>
      </c>
      <c r="I108" t="n">
        <v>249.259877</v>
      </c>
      <c r="J108" t="n">
        <v>251.428736</v>
      </c>
      <c r="K108" t="n">
        <v>202.148704</v>
      </c>
      <c r="L108" t="n">
        <v>282.597002</v>
      </c>
      <c r="M108" t="n">
        <v>282.597002</v>
      </c>
      <c r="N108" t="n">
        <v>286.033173</v>
      </c>
      <c r="O108" t="n">
        <v>49.797649</v>
      </c>
      <c r="P108" t="n">
        <v>25.643377</v>
      </c>
      <c r="Q108" t="n">
        <v>286.033173</v>
      </c>
      <c r="R108" t="n">
        <v>282.597002</v>
      </c>
      <c r="S108" t="n">
        <v>49.797649</v>
      </c>
      <c r="T108" t="n">
        <v>49.797649</v>
      </c>
      <c r="U108" t="n">
        <v>25.643377</v>
      </c>
      <c r="V108" t="n">
        <v>25.643377</v>
      </c>
      <c r="W108" t="n">
        <v>51.082514</v>
      </c>
      <c r="X108" t="n">
        <v>274.518943</v>
      </c>
    </row>
    <row r="109">
      <c r="A109" t="inlineStr">
        <is>
          <t>Mugilidae</t>
        </is>
      </c>
      <c r="B109" t="n">
        <v>2.53</v>
      </c>
      <c r="C109" t="n">
        <v>33.884416</v>
      </c>
      <c r="D109" t="inlineStr">
        <is>
          <t>Benthivores</t>
        </is>
      </c>
      <c r="E109" t="n">
        <v>0</v>
      </c>
      <c r="F109" t="n">
        <v>67.81478300000001</v>
      </c>
      <c r="G109" t="n">
        <v>1.829368</v>
      </c>
      <c r="H109" t="n">
        <v>1.84033</v>
      </c>
      <c r="I109" t="n">
        <v>33.988491</v>
      </c>
      <c r="J109" t="n">
        <v>35.780255</v>
      </c>
      <c r="K109" t="n">
        <v>35.601354</v>
      </c>
      <c r="L109" t="n">
        <v>385.228839</v>
      </c>
      <c r="M109" t="n">
        <v>385.228839</v>
      </c>
      <c r="N109" t="n">
        <v>391.588003</v>
      </c>
      <c r="O109" t="n">
        <v>16.66963</v>
      </c>
      <c r="P109" t="n">
        <v>9.973879999999999</v>
      </c>
      <c r="Q109" t="n">
        <v>391.588003</v>
      </c>
      <c r="R109" t="n">
        <v>385.228839</v>
      </c>
      <c r="S109" t="n">
        <v>16.66963</v>
      </c>
      <c r="T109" t="n">
        <v>16.66963</v>
      </c>
      <c r="U109" t="n">
        <v>9.973879999999999</v>
      </c>
      <c r="V109" t="n">
        <v>9.973879999999999</v>
      </c>
      <c r="W109" t="n">
        <v>17.246706</v>
      </c>
      <c r="X109" t="n">
        <v>42.474741</v>
      </c>
    </row>
    <row r="110">
      <c r="A110" t="inlineStr">
        <is>
          <t>Coryphaena</t>
        </is>
      </c>
      <c r="B110" t="n">
        <v>4.49</v>
      </c>
      <c r="C110" t="n">
        <v>3090.295433</v>
      </c>
      <c r="D110" t="inlineStr">
        <is>
          <t>Piscivores</t>
        </is>
      </c>
      <c r="E110" t="n">
        <v>0</v>
      </c>
      <c r="F110" t="n">
        <v>304.388999</v>
      </c>
      <c r="G110" t="n">
        <v>2.268309</v>
      </c>
      <c r="H110" t="n">
        <v>2.300314</v>
      </c>
      <c r="I110" t="n">
        <v>249.259877</v>
      </c>
      <c r="J110" t="n">
        <v>251.428736</v>
      </c>
      <c r="K110" t="n">
        <v>202.148704</v>
      </c>
      <c r="L110" t="n">
        <v>282.597002</v>
      </c>
      <c r="M110" t="n">
        <v>282.597002</v>
      </c>
      <c r="N110" t="n">
        <v>286.033173</v>
      </c>
      <c r="O110" t="n">
        <v>49.797649</v>
      </c>
      <c r="P110" t="n">
        <v>25.643377</v>
      </c>
      <c r="Q110" t="n">
        <v>286.033173</v>
      </c>
      <c r="R110" t="n">
        <v>282.597002</v>
      </c>
      <c r="S110" t="n">
        <v>49.797649</v>
      </c>
      <c r="T110" t="n">
        <v>49.797649</v>
      </c>
      <c r="U110" t="n">
        <v>25.643377</v>
      </c>
      <c r="V110" t="n">
        <v>25.643377</v>
      </c>
      <c r="W110" t="n">
        <v>51.082514</v>
      </c>
      <c r="X110" t="n">
        <v>274.518943</v>
      </c>
    </row>
    <row r="111">
      <c r="A111" t="inlineStr">
        <is>
          <t>Thunnus alalunga</t>
        </is>
      </c>
      <c r="B111" t="n">
        <v>4.3</v>
      </c>
      <c r="C111" t="n">
        <v>1995.262315</v>
      </c>
      <c r="D111" t="inlineStr">
        <is>
          <t>Piscivores</t>
        </is>
      </c>
      <c r="E111" t="n">
        <v>0</v>
      </c>
      <c r="F111" t="n">
        <v>304.388999</v>
      </c>
      <c r="G111" t="n">
        <v>2.268309</v>
      </c>
      <c r="H111" t="n">
        <v>2.300314</v>
      </c>
      <c r="I111" t="n">
        <v>249.259877</v>
      </c>
      <c r="J111" t="n">
        <v>251.428736</v>
      </c>
      <c r="K111" t="n">
        <v>202.148704</v>
      </c>
      <c r="L111" t="n">
        <v>282.597002</v>
      </c>
      <c r="M111" t="n">
        <v>282.597002</v>
      </c>
      <c r="N111" t="n">
        <v>286.033173</v>
      </c>
      <c r="O111" t="n">
        <v>49.797649</v>
      </c>
      <c r="P111" t="n">
        <v>25.643377</v>
      </c>
      <c r="Q111" t="n">
        <v>286.033173</v>
      </c>
      <c r="R111" t="n">
        <v>282.597002</v>
      </c>
      <c r="S111" t="n">
        <v>49.797649</v>
      </c>
      <c r="T111" t="n">
        <v>49.797649</v>
      </c>
      <c r="U111" t="n">
        <v>25.643377</v>
      </c>
      <c r="V111" t="n">
        <v>25.643377</v>
      </c>
      <c r="W111" t="n">
        <v>51.082514</v>
      </c>
      <c r="X111" t="n">
        <v>274.518943</v>
      </c>
    </row>
    <row r="112">
      <c r="A112" t="inlineStr">
        <is>
          <t>Platycephalus indicus</t>
        </is>
      </c>
      <c r="B112" t="n">
        <v>3.6</v>
      </c>
      <c r="C112" t="n">
        <v>398.107171</v>
      </c>
      <c r="D112" t="inlineStr">
        <is>
          <t>Piscivores</t>
        </is>
      </c>
      <c r="E112" t="n">
        <v>0</v>
      </c>
      <c r="F112" t="n">
        <v>304.388999</v>
      </c>
      <c r="G112" t="n">
        <v>2.268309</v>
      </c>
      <c r="H112" t="n">
        <v>2.300314</v>
      </c>
      <c r="I112" t="n">
        <v>249.259877</v>
      </c>
      <c r="J112" t="n">
        <v>251.428736</v>
      </c>
      <c r="K112" t="n">
        <v>202.148704</v>
      </c>
      <c r="L112" t="n">
        <v>282.597002</v>
      </c>
      <c r="M112" t="n">
        <v>282.597002</v>
      </c>
      <c r="N112" t="n">
        <v>286.033173</v>
      </c>
      <c r="O112" t="n">
        <v>49.797649</v>
      </c>
      <c r="P112" t="n">
        <v>25.643377</v>
      </c>
      <c r="Q112" t="n">
        <v>286.033173</v>
      </c>
      <c r="R112" t="n">
        <v>282.597002</v>
      </c>
      <c r="S112" t="n">
        <v>49.797649</v>
      </c>
      <c r="T112" t="n">
        <v>49.797649</v>
      </c>
      <c r="U112" t="n">
        <v>25.643377</v>
      </c>
      <c r="V112" t="n">
        <v>25.643377</v>
      </c>
      <c r="W112" t="n">
        <v>51.082514</v>
      </c>
      <c r="X112" t="n">
        <v>274.518943</v>
      </c>
    </row>
    <row r="113">
      <c r="A113" t="inlineStr">
        <is>
          <t>Mactridae</t>
        </is>
      </c>
      <c r="B113" t="n">
        <v>2</v>
      </c>
      <c r="C113" t="n">
        <v>10</v>
      </c>
      <c r="D113" t="inlineStr">
        <is>
          <t>Mollusks</t>
        </is>
      </c>
      <c r="E113" t="n">
        <v>0</v>
      </c>
      <c r="F113" t="n">
        <v>14.497407</v>
      </c>
      <c r="G113" t="n">
        <v>1.466668</v>
      </c>
      <c r="H113" t="n">
        <v>1.466497</v>
      </c>
      <c r="I113" t="n">
        <v>17.850747</v>
      </c>
      <c r="J113" t="n">
        <v>17.850747</v>
      </c>
      <c r="K113" t="n">
        <v>5.355224</v>
      </c>
      <c r="L113" t="n">
        <v>17.186608</v>
      </c>
      <c r="M113" t="n">
        <v>17.186608</v>
      </c>
      <c r="N113" t="n">
        <v>17.598965</v>
      </c>
      <c r="O113" t="n">
        <v>3.995111</v>
      </c>
      <c r="P113" t="n">
        <v>2.967513</v>
      </c>
      <c r="Q113" t="n">
        <v>17.598965</v>
      </c>
      <c r="R113" t="n">
        <v>17.186608</v>
      </c>
      <c r="S113" t="n">
        <v>3.995111</v>
      </c>
      <c r="T113" t="n">
        <v>3.995111</v>
      </c>
      <c r="U113" t="n">
        <v>2.967513</v>
      </c>
      <c r="V113" t="n">
        <v>2.967513</v>
      </c>
      <c r="W113" t="n">
        <v>3.990277</v>
      </c>
      <c r="X113" t="n">
        <v>17.941416</v>
      </c>
    </row>
    <row r="114">
      <c r="A114" t="inlineStr">
        <is>
          <t>Muraenesocidae</t>
        </is>
      </c>
      <c r="B114" t="n">
        <v>3.9</v>
      </c>
      <c r="C114" t="n">
        <v>794.3282349999999</v>
      </c>
      <c r="D114" t="inlineStr">
        <is>
          <t>Piscivores</t>
        </is>
      </c>
      <c r="E114" t="n">
        <v>0</v>
      </c>
      <c r="F114" t="n">
        <v>304.388999</v>
      </c>
      <c r="G114" t="n">
        <v>2.268309</v>
      </c>
      <c r="H114" t="n">
        <v>2.300314</v>
      </c>
      <c r="I114" t="n">
        <v>249.259877</v>
      </c>
      <c r="J114" t="n">
        <v>251.428736</v>
      </c>
      <c r="K114" t="n">
        <v>202.148704</v>
      </c>
      <c r="L114" t="n">
        <v>282.597002</v>
      </c>
      <c r="M114" t="n">
        <v>282.597002</v>
      </c>
      <c r="N114" t="n">
        <v>286.033173</v>
      </c>
      <c r="O114" t="n">
        <v>49.797649</v>
      </c>
      <c r="P114" t="n">
        <v>25.643377</v>
      </c>
      <c r="Q114" t="n">
        <v>286.033173</v>
      </c>
      <c r="R114" t="n">
        <v>282.597002</v>
      </c>
      <c r="S114" t="n">
        <v>49.797649</v>
      </c>
      <c r="T114" t="n">
        <v>49.797649</v>
      </c>
      <c r="U114" t="n">
        <v>25.643377</v>
      </c>
      <c r="V114" t="n">
        <v>25.643377</v>
      </c>
      <c r="W114" t="n">
        <v>51.082514</v>
      </c>
      <c r="X114" t="n">
        <v>274.518943</v>
      </c>
    </row>
    <row r="115">
      <c r="A115" t="inlineStr">
        <is>
          <t>Squalidae</t>
        </is>
      </c>
      <c r="D115" t="inlineStr">
        <is>
          <t>Sharks</t>
        </is>
      </c>
      <c r="E115" t="n">
        <v>0</v>
      </c>
      <c r="F115" t="n">
        <v>1154.744061</v>
      </c>
      <c r="G115" t="n">
        <v>2.745621</v>
      </c>
      <c r="H115" t="n">
        <v>2.742397</v>
      </c>
      <c r="I115" t="n">
        <v>0</v>
      </c>
      <c r="J115" t="n">
        <v>152.583853</v>
      </c>
      <c r="K115" t="n">
        <v>0</v>
      </c>
      <c r="L115" t="n">
        <v>0</v>
      </c>
      <c r="M115" t="n">
        <v>0</v>
      </c>
      <c r="N115" t="n">
        <v>0</v>
      </c>
      <c r="O115" t="n">
        <v>205.199674</v>
      </c>
      <c r="P115" t="n">
        <v>93.831501</v>
      </c>
      <c r="Q115" t="n">
        <v>0</v>
      </c>
      <c r="R115" t="n">
        <v>0</v>
      </c>
      <c r="S115" t="n">
        <v>205.199674</v>
      </c>
      <c r="T115" t="n">
        <v>205.199674</v>
      </c>
      <c r="U115" t="n">
        <v>93.831501</v>
      </c>
      <c r="V115" t="n">
        <v>93.831501</v>
      </c>
      <c r="W115" t="n">
        <v>205.695409</v>
      </c>
      <c r="X115" t="n">
        <v>0</v>
      </c>
    </row>
    <row r="116">
      <c r="A116" t="inlineStr">
        <is>
          <t>Seriola lalandi</t>
        </is>
      </c>
      <c r="D116" t="inlineStr">
        <is>
          <t>Piscivores</t>
        </is>
      </c>
      <c r="E116" t="n">
        <v>0</v>
      </c>
      <c r="F116" t="n">
        <v>304.388999</v>
      </c>
      <c r="G116" t="n">
        <v>2.268309</v>
      </c>
      <c r="H116" t="n">
        <v>2.300314</v>
      </c>
      <c r="I116" t="n">
        <v>249.259877</v>
      </c>
      <c r="J116" t="n">
        <v>251.428736</v>
      </c>
      <c r="K116" t="n">
        <v>202.148704</v>
      </c>
      <c r="L116" t="n">
        <v>282.597002</v>
      </c>
      <c r="M116" t="n">
        <v>282.597002</v>
      </c>
      <c r="N116" t="n">
        <v>286.033173</v>
      </c>
      <c r="O116" t="n">
        <v>49.797649</v>
      </c>
      <c r="P116" t="n">
        <v>25.643377</v>
      </c>
      <c r="Q116" t="n">
        <v>286.033173</v>
      </c>
      <c r="R116" t="n">
        <v>282.597002</v>
      </c>
      <c r="S116" t="n">
        <v>49.797649</v>
      </c>
      <c r="T116" t="n">
        <v>49.797649</v>
      </c>
      <c r="U116" t="n">
        <v>25.643377</v>
      </c>
      <c r="V116" t="n">
        <v>25.643377</v>
      </c>
      <c r="W116" t="n">
        <v>51.082514</v>
      </c>
      <c r="X116" t="n">
        <v>274.518943</v>
      </c>
    </row>
    <row r="117">
      <c r="A117" t="inlineStr">
        <is>
          <t>Portunidae</t>
        </is>
      </c>
      <c r="B117" t="n">
        <v>3.56</v>
      </c>
      <c r="C117" t="n">
        <v>363.078055</v>
      </c>
      <c r="D117" t="inlineStr">
        <is>
          <t>Crabs</t>
        </is>
      </c>
      <c r="E117" t="n">
        <v>0</v>
      </c>
      <c r="F117" t="n">
        <v>21.002175</v>
      </c>
      <c r="G117" t="n">
        <v>1.546636</v>
      </c>
      <c r="H117" t="n">
        <v>1.565985</v>
      </c>
      <c r="I117" t="n">
        <v>12.039474</v>
      </c>
      <c r="J117" t="n">
        <v>12.039474</v>
      </c>
      <c r="K117" t="n">
        <v>11.028158</v>
      </c>
      <c r="L117" t="n">
        <v>11.032425</v>
      </c>
      <c r="M117" t="n">
        <v>11.032425</v>
      </c>
      <c r="N117" t="n">
        <v>11.257068</v>
      </c>
      <c r="O117" t="n">
        <v>7.495998</v>
      </c>
      <c r="P117" t="n">
        <v>5.212079</v>
      </c>
      <c r="Q117" t="n">
        <v>11.257068</v>
      </c>
      <c r="R117" t="n">
        <v>11.032425</v>
      </c>
      <c r="S117" t="n">
        <v>7.495998</v>
      </c>
      <c r="T117" t="n">
        <v>7.495998</v>
      </c>
      <c r="U117" t="n">
        <v>5.212079</v>
      </c>
      <c r="V117" t="n">
        <v>5.212079</v>
      </c>
      <c r="W117" t="n">
        <v>7.53635</v>
      </c>
      <c r="X117" t="n">
        <v>11.035506</v>
      </c>
    </row>
    <row r="118">
      <c r="A118" t="inlineStr">
        <is>
          <t>Pagrus auratus</t>
        </is>
      </c>
      <c r="B118" t="n">
        <v>3.59</v>
      </c>
      <c r="C118" t="n">
        <v>389.045145</v>
      </c>
      <c r="D118" t="inlineStr">
        <is>
          <t>Omnivores</t>
        </is>
      </c>
      <c r="E118" t="n">
        <v>0</v>
      </c>
      <c r="F118" t="n">
        <v>131.221463</v>
      </c>
      <c r="G118" t="n">
        <v>2.01077</v>
      </c>
      <c r="H118" t="n">
        <v>2.036134</v>
      </c>
      <c r="I118" t="n">
        <v>66.04435700000001</v>
      </c>
      <c r="J118" t="n">
        <v>68.25582300000001</v>
      </c>
      <c r="K118" t="n">
        <v>68.187568</v>
      </c>
      <c r="L118" t="n">
        <v>72.544996</v>
      </c>
      <c r="M118" t="n">
        <v>72.544996</v>
      </c>
      <c r="N118" t="n">
        <v>73.57283200000001</v>
      </c>
      <c r="O118" t="n">
        <v>17.500018</v>
      </c>
      <c r="P118" t="n">
        <v>10.032554</v>
      </c>
      <c r="Q118" t="n">
        <v>73.57283200000001</v>
      </c>
      <c r="R118" t="n">
        <v>72.544996</v>
      </c>
      <c r="S118" t="n">
        <v>17.500018</v>
      </c>
      <c r="T118" t="n">
        <v>17.500018</v>
      </c>
      <c r="U118" t="n">
        <v>10.032554</v>
      </c>
      <c r="V118" t="n">
        <v>10.032554</v>
      </c>
      <c r="W118" t="n">
        <v>17.704629</v>
      </c>
      <c r="X118" t="n">
        <v>72.854687</v>
      </c>
    </row>
    <row r="119">
      <c r="A119" t="inlineStr">
        <is>
          <t>Thunnus obesus</t>
        </is>
      </c>
      <c r="B119" t="n">
        <v>4.49</v>
      </c>
      <c r="C119" t="n">
        <v>3090.295433</v>
      </c>
      <c r="D119" t="inlineStr">
        <is>
          <t>Piscivores</t>
        </is>
      </c>
      <c r="E119" t="n">
        <v>0</v>
      </c>
      <c r="F119" t="n">
        <v>304.388999</v>
      </c>
      <c r="G119" t="n">
        <v>2.268309</v>
      </c>
      <c r="H119" t="n">
        <v>2.300314</v>
      </c>
      <c r="I119" t="n">
        <v>249.259877</v>
      </c>
      <c r="J119" t="n">
        <v>251.428736</v>
      </c>
      <c r="K119" t="n">
        <v>202.148704</v>
      </c>
      <c r="L119" t="n">
        <v>282.597002</v>
      </c>
      <c r="M119" t="n">
        <v>282.597002</v>
      </c>
      <c r="N119" t="n">
        <v>286.033173</v>
      </c>
      <c r="O119" t="n">
        <v>49.797649</v>
      </c>
      <c r="P119" t="n">
        <v>25.643377</v>
      </c>
      <c r="Q119" t="n">
        <v>286.033173</v>
      </c>
      <c r="R119" t="n">
        <v>282.597002</v>
      </c>
      <c r="S119" t="n">
        <v>49.797649</v>
      </c>
      <c r="T119" t="n">
        <v>49.797649</v>
      </c>
      <c r="U119" t="n">
        <v>25.643377</v>
      </c>
      <c r="V119" t="n">
        <v>25.643377</v>
      </c>
      <c r="W119" t="n">
        <v>51.082514</v>
      </c>
      <c r="X119" t="n">
        <v>274.518943</v>
      </c>
    </row>
    <row r="120">
      <c r="A120" t="inlineStr">
        <is>
          <t>Haemulidae</t>
        </is>
      </c>
      <c r="B120" t="n">
        <v>3.36</v>
      </c>
      <c r="C120" t="n">
        <v>229.086765</v>
      </c>
      <c r="D120" t="inlineStr">
        <is>
          <t>Benthivores</t>
        </is>
      </c>
      <c r="E120" t="n">
        <v>0</v>
      </c>
      <c r="F120" t="n">
        <v>67.81478300000001</v>
      </c>
      <c r="G120" t="n">
        <v>1.829368</v>
      </c>
      <c r="H120" t="n">
        <v>1.84033</v>
      </c>
      <c r="I120" t="n">
        <v>33.988491</v>
      </c>
      <c r="J120" t="n">
        <v>35.780255</v>
      </c>
      <c r="K120" t="n">
        <v>35.601354</v>
      </c>
      <c r="L120" t="n">
        <v>385.228839</v>
      </c>
      <c r="M120" t="n">
        <v>385.228839</v>
      </c>
      <c r="N120" t="n">
        <v>391.588003</v>
      </c>
      <c r="O120" t="n">
        <v>16.66963</v>
      </c>
      <c r="P120" t="n">
        <v>9.973879999999999</v>
      </c>
      <c r="Q120" t="n">
        <v>391.588003</v>
      </c>
      <c r="R120" t="n">
        <v>385.228839</v>
      </c>
      <c r="S120" t="n">
        <v>16.66963</v>
      </c>
      <c r="T120" t="n">
        <v>16.66963</v>
      </c>
      <c r="U120" t="n">
        <v>9.973879999999999</v>
      </c>
      <c r="V120" t="n">
        <v>9.973879999999999</v>
      </c>
      <c r="W120" t="n">
        <v>17.246706</v>
      </c>
      <c r="X120" t="n">
        <v>42.474741</v>
      </c>
    </row>
    <row r="121">
      <c r="A121" t="inlineStr">
        <is>
          <t>Gastropoda</t>
        </is>
      </c>
      <c r="B121" t="n">
        <v>3.06</v>
      </c>
      <c r="C121" t="n">
        <v>114.815362</v>
      </c>
      <c r="D121" t="inlineStr">
        <is>
          <t>Mollusks</t>
        </is>
      </c>
      <c r="E121" t="n">
        <v>0</v>
      </c>
      <c r="F121" t="n">
        <v>14.497407</v>
      </c>
      <c r="G121" t="n">
        <v>1.466668</v>
      </c>
      <c r="H121" t="n">
        <v>1.466497</v>
      </c>
      <c r="I121" t="n">
        <v>17.850747</v>
      </c>
      <c r="J121" t="n">
        <v>17.850747</v>
      </c>
      <c r="K121" t="n">
        <v>5.355224</v>
      </c>
      <c r="L121" t="n">
        <v>17.186608</v>
      </c>
      <c r="M121" t="n">
        <v>17.186608</v>
      </c>
      <c r="N121" t="n">
        <v>17.598965</v>
      </c>
      <c r="O121" t="n">
        <v>3.995111</v>
      </c>
      <c r="P121" t="n">
        <v>2.967513</v>
      </c>
      <c r="Q121" t="n">
        <v>17.598965</v>
      </c>
      <c r="R121" t="n">
        <v>17.186608</v>
      </c>
      <c r="S121" t="n">
        <v>3.995111</v>
      </c>
      <c r="T121" t="n">
        <v>3.995111</v>
      </c>
      <c r="U121" t="n">
        <v>2.967513</v>
      </c>
      <c r="V121" t="n">
        <v>2.967513</v>
      </c>
      <c r="W121" t="n">
        <v>3.990277</v>
      </c>
      <c r="X121" t="n">
        <v>17.941416</v>
      </c>
    </row>
    <row r="122">
      <c r="A122" t="inlineStr">
        <is>
          <t>Holothuroidea</t>
        </is>
      </c>
      <c r="B122" t="n">
        <v>2</v>
      </c>
      <c r="C122" t="n">
        <v>10</v>
      </c>
      <c r="D122" t="inlineStr">
        <is>
          <t>Echinoderms</t>
        </is>
      </c>
      <c r="E122" t="n">
        <v>0</v>
      </c>
      <c r="F122" t="n">
        <v>14.362944</v>
      </c>
      <c r="G122" t="n">
        <v>1.464712</v>
      </c>
      <c r="H122" t="n">
        <v>1.389744</v>
      </c>
      <c r="I122" t="n">
        <v>47.528559</v>
      </c>
      <c r="J122" t="n">
        <v>47.528559</v>
      </c>
      <c r="K122" t="n">
        <v>8.650198</v>
      </c>
      <c r="L122" t="n">
        <v>98169.820373</v>
      </c>
      <c r="M122" t="n">
        <v>98169.820373</v>
      </c>
      <c r="N122" t="n">
        <v>99766.36788799999</v>
      </c>
      <c r="O122" t="n">
        <v>7.082345</v>
      </c>
      <c r="P122" t="n">
        <v>4.85352</v>
      </c>
      <c r="Q122" t="n">
        <v>99766.36788799999</v>
      </c>
      <c r="R122" t="n">
        <v>98169.820373</v>
      </c>
      <c r="S122" t="n">
        <v>7.082345</v>
      </c>
      <c r="T122" t="n">
        <v>7.082345</v>
      </c>
      <c r="U122" t="n">
        <v>4.85352</v>
      </c>
      <c r="V122" t="n">
        <v>4.85352</v>
      </c>
      <c r="W122" t="n">
        <v>7.237529</v>
      </c>
      <c r="X122" t="n">
        <v>1019.755013</v>
      </c>
    </row>
    <row r="123">
      <c r="A123" t="inlineStr">
        <is>
          <t>Penaeus japonicus</t>
        </is>
      </c>
      <c r="B123" t="n">
        <v>2.7</v>
      </c>
      <c r="C123" t="n">
        <v>50.118723</v>
      </c>
      <c r="D123" t="inlineStr">
        <is>
          <t>Shrimps</t>
        </is>
      </c>
      <c r="E123" t="n">
        <v>0</v>
      </c>
      <c r="F123" t="n">
        <v>20.606299</v>
      </c>
      <c r="G123" t="n">
        <v>1.542427</v>
      </c>
      <c r="H123" t="n">
        <v>1.561295</v>
      </c>
      <c r="I123" t="n">
        <v>15.075177</v>
      </c>
      <c r="J123" t="n">
        <v>15.075177</v>
      </c>
      <c r="K123" t="n">
        <v>15.060102</v>
      </c>
      <c r="L123" t="n">
        <v>13.927162</v>
      </c>
      <c r="M123" t="n">
        <v>13.927162</v>
      </c>
      <c r="N123" t="n">
        <v>14.183251</v>
      </c>
      <c r="O123" t="n">
        <v>7.969433</v>
      </c>
      <c r="P123" t="n">
        <v>5.681336</v>
      </c>
      <c r="Q123" t="n">
        <v>14.183251</v>
      </c>
      <c r="R123" t="n">
        <v>13.927162</v>
      </c>
      <c r="S123" t="n">
        <v>7.969433</v>
      </c>
      <c r="T123" t="n">
        <v>7.969433</v>
      </c>
      <c r="U123" t="n">
        <v>5.681336</v>
      </c>
      <c r="V123" t="n">
        <v>5.681336</v>
      </c>
      <c r="W123" t="n">
        <v>8.136905</v>
      </c>
      <c r="X123" t="n">
        <v>14.885026</v>
      </c>
    </row>
    <row r="124">
      <c r="A124" t="inlineStr">
        <is>
          <t>Mytilidae</t>
        </is>
      </c>
      <c r="B124" t="n">
        <v>2</v>
      </c>
      <c r="C124" t="n">
        <v>10</v>
      </c>
      <c r="D124" t="inlineStr">
        <is>
          <t>Mollusks</t>
        </is>
      </c>
      <c r="E124" t="n">
        <v>0</v>
      </c>
      <c r="F124" t="n">
        <v>14.497407</v>
      </c>
      <c r="G124" t="n">
        <v>1.466668</v>
      </c>
      <c r="H124" t="n">
        <v>1.466497</v>
      </c>
      <c r="I124" t="n">
        <v>17.850747</v>
      </c>
      <c r="J124" t="n">
        <v>17.850747</v>
      </c>
      <c r="K124" t="n">
        <v>5.355224</v>
      </c>
      <c r="L124" t="n">
        <v>17.186608</v>
      </c>
      <c r="M124" t="n">
        <v>17.186608</v>
      </c>
      <c r="N124" t="n">
        <v>17.598965</v>
      </c>
      <c r="O124" t="n">
        <v>3.995111</v>
      </c>
      <c r="P124" t="n">
        <v>2.967513</v>
      </c>
      <c r="Q124" t="n">
        <v>17.598965</v>
      </c>
      <c r="R124" t="n">
        <v>17.186608</v>
      </c>
      <c r="S124" t="n">
        <v>3.995111</v>
      </c>
      <c r="T124" t="n">
        <v>3.995111</v>
      </c>
      <c r="U124" t="n">
        <v>2.967513</v>
      </c>
      <c r="V124" t="n">
        <v>2.967513</v>
      </c>
      <c r="W124" t="n">
        <v>3.990277</v>
      </c>
      <c r="X124" t="n">
        <v>17.941416</v>
      </c>
    </row>
    <row r="125">
      <c r="A125" t="inlineStr">
        <is>
          <t>Penaeidae</t>
        </is>
      </c>
      <c r="B125" t="n">
        <v>3.31</v>
      </c>
      <c r="C125" t="n">
        <v>204.173794</v>
      </c>
      <c r="D125" t="inlineStr">
        <is>
          <t>Shrimps</t>
        </is>
      </c>
      <c r="E125" t="n">
        <v>0</v>
      </c>
      <c r="F125" t="n">
        <v>20.606299</v>
      </c>
      <c r="G125" t="n">
        <v>1.542427</v>
      </c>
      <c r="H125" t="n">
        <v>1.561295</v>
      </c>
      <c r="I125" t="n">
        <v>15.075177</v>
      </c>
      <c r="J125" t="n">
        <v>15.075177</v>
      </c>
      <c r="K125" t="n">
        <v>15.060102</v>
      </c>
      <c r="L125" t="n">
        <v>13.927162</v>
      </c>
      <c r="M125" t="n">
        <v>13.927162</v>
      </c>
      <c r="N125" t="n">
        <v>14.183251</v>
      </c>
      <c r="O125" t="n">
        <v>7.969433</v>
      </c>
      <c r="P125" t="n">
        <v>5.681336</v>
      </c>
      <c r="Q125" t="n">
        <v>14.183251</v>
      </c>
      <c r="R125" t="n">
        <v>13.927162</v>
      </c>
      <c r="S125" t="n">
        <v>7.969433</v>
      </c>
      <c r="T125" t="n">
        <v>7.969433</v>
      </c>
      <c r="U125" t="n">
        <v>5.681336</v>
      </c>
      <c r="V125" t="n">
        <v>5.681336</v>
      </c>
      <c r="W125" t="n">
        <v>8.136905</v>
      </c>
      <c r="X125" t="n">
        <v>14.885026</v>
      </c>
    </row>
    <row r="126">
      <c r="A126" t="inlineStr">
        <is>
          <t>Trichiuridae</t>
        </is>
      </c>
      <c r="B126" t="n">
        <v>4.15</v>
      </c>
      <c r="C126" t="n">
        <v>1412.537545</v>
      </c>
      <c r="D126" t="inlineStr">
        <is>
          <t>Hairtails</t>
        </is>
      </c>
      <c r="E126" t="n">
        <v>0</v>
      </c>
      <c r="F126" t="n">
        <v>137.300843</v>
      </c>
      <c r="G126" t="n">
        <v>2.023855</v>
      </c>
      <c r="H126" t="n">
        <v>1.935295</v>
      </c>
      <c r="I126" t="n">
        <v>245.6862</v>
      </c>
      <c r="J126" t="n">
        <v>262.948295</v>
      </c>
      <c r="K126" t="n">
        <v>262.422398</v>
      </c>
      <c r="L126" t="n">
        <v>395.11592</v>
      </c>
      <c r="M126" t="n">
        <v>395.11592</v>
      </c>
      <c r="N126" t="n">
        <v>400.567632</v>
      </c>
      <c r="O126" t="n">
        <v>71.211755</v>
      </c>
      <c r="P126" t="n">
        <v>35.749118</v>
      </c>
      <c r="Q126" t="n">
        <v>400.567632</v>
      </c>
      <c r="R126" t="n">
        <v>395.11592</v>
      </c>
      <c r="S126" t="n">
        <v>71.211755</v>
      </c>
      <c r="T126" t="n">
        <v>71.211755</v>
      </c>
      <c r="U126" t="n">
        <v>35.749118</v>
      </c>
      <c r="V126" t="n">
        <v>35.749118</v>
      </c>
      <c r="W126" t="n">
        <v>71.925944</v>
      </c>
      <c r="X126" t="n">
        <v>401.698177</v>
      </c>
    </row>
    <row r="127">
      <c r="A127" t="inlineStr">
        <is>
          <t>Parastromateus niger</t>
        </is>
      </c>
      <c r="B127" t="n">
        <v>2.93</v>
      </c>
      <c r="C127" t="n">
        <v>85.113804</v>
      </c>
      <c r="D127" t="inlineStr">
        <is>
          <t>Planktivores/piscivores</t>
        </is>
      </c>
      <c r="E127" t="n">
        <v>0</v>
      </c>
      <c r="F127" t="n">
        <v>123.077794</v>
      </c>
      <c r="G127" t="n">
        <v>1.992402</v>
      </c>
      <c r="H127" t="n">
        <v>1.97781</v>
      </c>
      <c r="I127" t="n">
        <v>560.299311</v>
      </c>
      <c r="J127" t="n">
        <v>592.272682</v>
      </c>
      <c r="K127" t="n">
        <v>209.072257</v>
      </c>
      <c r="L127" t="n">
        <v>660.166914</v>
      </c>
      <c r="M127" t="n">
        <v>660.166914</v>
      </c>
      <c r="N127" t="n">
        <v>670.165526</v>
      </c>
      <c r="O127" t="n">
        <v>72.857719</v>
      </c>
      <c r="P127" t="n">
        <v>43.071646</v>
      </c>
      <c r="Q127" t="n">
        <v>670.165526</v>
      </c>
      <c r="R127" t="n">
        <v>660.166914</v>
      </c>
      <c r="S127" t="n">
        <v>72.857719</v>
      </c>
      <c r="T127" t="n">
        <v>72.857719</v>
      </c>
      <c r="U127" t="n">
        <v>43.071646</v>
      </c>
      <c r="V127" t="n">
        <v>43.071646</v>
      </c>
      <c r="W127" t="n">
        <v>75.193746</v>
      </c>
      <c r="X127" t="n">
        <v>683.804243</v>
      </c>
    </row>
    <row r="128">
      <c r="A128" t="inlineStr">
        <is>
          <t>Miichthys miiuy</t>
        </is>
      </c>
      <c r="B128" t="n">
        <v>3.5</v>
      </c>
      <c r="C128" t="n">
        <v>316.227766</v>
      </c>
      <c r="D128" t="inlineStr">
        <is>
          <t>Benthivores/piscivores</t>
        </is>
      </c>
      <c r="E128" t="n">
        <v>0</v>
      </c>
      <c r="F128" t="n">
        <v>136.120059</v>
      </c>
      <c r="G128" t="n">
        <v>2.021353</v>
      </c>
      <c r="H128" t="n">
        <v>2.039787</v>
      </c>
      <c r="I128" t="n">
        <v>36.046055</v>
      </c>
      <c r="J128" t="n">
        <v>36.076344</v>
      </c>
      <c r="K128" t="n">
        <v>35.535199</v>
      </c>
      <c r="L128" t="n">
        <v>34.759886</v>
      </c>
      <c r="M128" t="n">
        <v>34.759886</v>
      </c>
      <c r="N128" t="n">
        <v>35.313702</v>
      </c>
      <c r="O128" t="n">
        <v>13.890783</v>
      </c>
      <c r="P128" t="n">
        <v>8.319739999999999</v>
      </c>
      <c r="Q128" t="n">
        <v>35.313702</v>
      </c>
      <c r="R128" t="n">
        <v>34.759886</v>
      </c>
      <c r="S128" t="n">
        <v>13.890783</v>
      </c>
      <c r="T128" t="n">
        <v>13.890783</v>
      </c>
      <c r="U128" t="n">
        <v>8.319739999999999</v>
      </c>
      <c r="V128" t="n">
        <v>8.319739999999999</v>
      </c>
      <c r="W128" t="n">
        <v>14.220855</v>
      </c>
      <c r="X128" t="n">
        <v>35.767132</v>
      </c>
    </row>
    <row r="129">
      <c r="A129" t="inlineStr">
        <is>
          <t>Nemopilema nomurai</t>
        </is>
      </c>
      <c r="B129" t="n">
        <v>3.57</v>
      </c>
      <c r="C129" t="n">
        <v>371.535229</v>
      </c>
      <c r="D129" t="inlineStr">
        <is>
          <t>Other invertebrates</t>
        </is>
      </c>
      <c r="E129" t="n">
        <v>0</v>
      </c>
      <c r="F129" t="n">
        <v>10</v>
      </c>
      <c r="G129" t="n">
        <v>1.39069</v>
      </c>
      <c r="H129" t="n">
        <v>1.39069</v>
      </c>
      <c r="I129" t="n">
        <v>14.61039</v>
      </c>
      <c r="J129" t="n">
        <v>14.61039</v>
      </c>
      <c r="K129" t="n">
        <v>9</v>
      </c>
      <c r="L129" t="n">
        <v>13.760094</v>
      </c>
      <c r="M129" t="n">
        <v>13.760094</v>
      </c>
      <c r="N129" t="n">
        <v>13.94977</v>
      </c>
      <c r="O129" t="n">
        <v>9.664044000000001</v>
      </c>
      <c r="P129" t="n">
        <v>7.828167</v>
      </c>
      <c r="Q129" t="n">
        <v>13.94977</v>
      </c>
      <c r="R129" t="n">
        <v>13.760094</v>
      </c>
      <c r="S129" t="n">
        <v>9.664044000000001</v>
      </c>
      <c r="T129" t="n">
        <v>9.664044000000001</v>
      </c>
      <c r="U129" t="n">
        <v>7.828167</v>
      </c>
      <c r="V129" t="n">
        <v>7.828167</v>
      </c>
      <c r="W129" t="n">
        <v>9.661211</v>
      </c>
      <c r="X129" t="n">
        <v>13.78907</v>
      </c>
    </row>
    <row r="130">
      <c r="A130" t="inlineStr">
        <is>
          <t>Decapterus</t>
        </is>
      </c>
      <c r="B130" t="n">
        <v>3.63</v>
      </c>
      <c r="C130" t="n">
        <v>426.579519</v>
      </c>
      <c r="D130" t="inlineStr">
        <is>
          <t>Planktivores/piscivores</t>
        </is>
      </c>
      <c r="E130" t="n">
        <v>0</v>
      </c>
      <c r="F130" t="n">
        <v>123.077794</v>
      </c>
      <c r="G130" t="n">
        <v>1.992402</v>
      </c>
      <c r="H130" t="n">
        <v>1.97781</v>
      </c>
      <c r="I130" t="n">
        <v>560.299311</v>
      </c>
      <c r="J130" t="n">
        <v>592.272682</v>
      </c>
      <c r="K130" t="n">
        <v>209.072257</v>
      </c>
      <c r="L130" t="n">
        <v>660.166914</v>
      </c>
      <c r="M130" t="n">
        <v>660.166914</v>
      </c>
      <c r="N130" t="n">
        <v>670.165526</v>
      </c>
      <c r="O130" t="n">
        <v>72.857719</v>
      </c>
      <c r="P130" t="n">
        <v>43.071646</v>
      </c>
      <c r="Q130" t="n">
        <v>670.165526</v>
      </c>
      <c r="R130" t="n">
        <v>660.166914</v>
      </c>
      <c r="S130" t="n">
        <v>72.857719</v>
      </c>
      <c r="T130" t="n">
        <v>72.857719</v>
      </c>
      <c r="U130" t="n">
        <v>43.071646</v>
      </c>
      <c r="V130" t="n">
        <v>43.071646</v>
      </c>
      <c r="W130" t="n">
        <v>75.193746</v>
      </c>
      <c r="X130" t="n">
        <v>683.804243</v>
      </c>
    </row>
    <row r="131">
      <c r="A131" t="inlineStr">
        <is>
          <t>Gadus chalcogrammus</t>
        </is>
      </c>
      <c r="B131" t="n">
        <v>3.57</v>
      </c>
      <c r="C131" t="n">
        <v>371.535229</v>
      </c>
      <c r="D131" t="inlineStr">
        <is>
          <t>Planktivores/piscivores</t>
        </is>
      </c>
      <c r="E131" t="n">
        <v>0</v>
      </c>
      <c r="F131" t="n">
        <v>123.077794</v>
      </c>
      <c r="G131" t="n">
        <v>1.992402</v>
      </c>
      <c r="H131" t="n">
        <v>1.97781</v>
      </c>
      <c r="I131" t="n">
        <v>560.299311</v>
      </c>
      <c r="J131" t="n">
        <v>592.272682</v>
      </c>
      <c r="K131" t="n">
        <v>209.072257</v>
      </c>
      <c r="L131" t="n">
        <v>660.166914</v>
      </c>
      <c r="M131" t="n">
        <v>660.166914</v>
      </c>
      <c r="N131" t="n">
        <v>670.165526</v>
      </c>
      <c r="O131" t="n">
        <v>72.857719</v>
      </c>
      <c r="P131" t="n">
        <v>43.071646</v>
      </c>
      <c r="Q131" t="n">
        <v>670.165526</v>
      </c>
      <c r="R131" t="n">
        <v>660.166914</v>
      </c>
      <c r="S131" t="n">
        <v>72.857719</v>
      </c>
      <c r="T131" t="n">
        <v>72.857719</v>
      </c>
      <c r="U131" t="n">
        <v>43.071646</v>
      </c>
      <c r="V131" t="n">
        <v>43.071646</v>
      </c>
      <c r="W131" t="n">
        <v>75.193746</v>
      </c>
      <c r="X131" t="n">
        <v>683.804243</v>
      </c>
    </row>
    <row r="132">
      <c r="A132" t="inlineStr">
        <is>
          <t>Branchiostegus japonicus</t>
        </is>
      </c>
      <c r="D132" t="inlineStr">
        <is>
          <t>Benthivores/piscivores</t>
        </is>
      </c>
      <c r="E132" t="n">
        <v>0</v>
      </c>
      <c r="F132" t="n">
        <v>136.120059</v>
      </c>
      <c r="G132" t="n">
        <v>2.021353</v>
      </c>
      <c r="H132" t="n">
        <v>2.039787</v>
      </c>
      <c r="I132" t="n">
        <v>36.046055</v>
      </c>
      <c r="J132" t="n">
        <v>36.076344</v>
      </c>
      <c r="K132" t="n">
        <v>35.535199</v>
      </c>
      <c r="L132" t="n">
        <v>34.759886</v>
      </c>
      <c r="M132" t="n">
        <v>34.759886</v>
      </c>
      <c r="N132" t="n">
        <v>35.313702</v>
      </c>
      <c r="O132" t="n">
        <v>13.890783</v>
      </c>
      <c r="P132" t="n">
        <v>8.319739999999999</v>
      </c>
      <c r="Q132" t="n">
        <v>35.313702</v>
      </c>
      <c r="R132" t="n">
        <v>34.759886</v>
      </c>
      <c r="S132" t="n">
        <v>13.890783</v>
      </c>
      <c r="T132" t="n">
        <v>13.890783</v>
      </c>
      <c r="U132" t="n">
        <v>8.319739999999999</v>
      </c>
      <c r="V132" t="n">
        <v>8.319739999999999</v>
      </c>
      <c r="W132" t="n">
        <v>14.220855</v>
      </c>
      <c r="X132" t="n">
        <v>35.767132</v>
      </c>
    </row>
    <row r="133">
      <c r="A133" t="inlineStr">
        <is>
          <t>Meretrix lusoria</t>
        </is>
      </c>
      <c r="B133" t="n">
        <v>2</v>
      </c>
      <c r="C133" t="n">
        <v>10</v>
      </c>
      <c r="D133" t="inlineStr">
        <is>
          <t>Mollusks</t>
        </is>
      </c>
      <c r="E133" t="n">
        <v>0</v>
      </c>
      <c r="F133" t="n">
        <v>14.497407</v>
      </c>
      <c r="G133" t="n">
        <v>1.466668</v>
      </c>
      <c r="H133" t="n">
        <v>1.466497</v>
      </c>
      <c r="I133" t="n">
        <v>17.850747</v>
      </c>
      <c r="J133" t="n">
        <v>17.850747</v>
      </c>
      <c r="K133" t="n">
        <v>5.355224</v>
      </c>
      <c r="L133" t="n">
        <v>17.186608</v>
      </c>
      <c r="M133" t="n">
        <v>17.186608</v>
      </c>
      <c r="N133" t="n">
        <v>17.598965</v>
      </c>
      <c r="O133" t="n">
        <v>3.995111</v>
      </c>
      <c r="P133" t="n">
        <v>2.967513</v>
      </c>
      <c r="Q133" t="n">
        <v>17.598965</v>
      </c>
      <c r="R133" t="n">
        <v>17.186608</v>
      </c>
      <c r="S133" t="n">
        <v>3.995111</v>
      </c>
      <c r="T133" t="n">
        <v>3.995111</v>
      </c>
      <c r="U133" t="n">
        <v>2.967513</v>
      </c>
      <c r="V133" t="n">
        <v>2.967513</v>
      </c>
      <c r="W133" t="n">
        <v>3.990277</v>
      </c>
      <c r="X133" t="n">
        <v>17.941416</v>
      </c>
    </row>
    <row r="134">
      <c r="A134" t="inlineStr">
        <is>
          <t>Gadidae</t>
        </is>
      </c>
      <c r="B134" t="n">
        <v>3.84</v>
      </c>
      <c r="C134" t="n">
        <v>691.830971</v>
      </c>
      <c r="D134" t="inlineStr">
        <is>
          <t>Benthivores/piscivores | Planktivores/piscivores</t>
        </is>
      </c>
      <c r="E134" t="n">
        <v>0</v>
      </c>
      <c r="F134" t="n">
        <v>131.077212</v>
      </c>
      <c r="G134" t="n">
        <v>2.010159</v>
      </c>
      <c r="H134" t="n">
        <v>2.015823</v>
      </c>
      <c r="I134" t="n">
        <v>238.750801</v>
      </c>
      <c r="J134" t="n">
        <v>251.132019</v>
      </c>
      <c r="K134" t="n">
        <v>102.634039</v>
      </c>
      <c r="L134" t="n">
        <v>276.576167</v>
      </c>
      <c r="M134" t="n">
        <v>276.576167</v>
      </c>
      <c r="N134" t="n">
        <v>280.781854</v>
      </c>
      <c r="O134" t="n">
        <v>36.690599</v>
      </c>
      <c r="P134" t="n">
        <v>21.756712</v>
      </c>
      <c r="Q134" t="n">
        <v>280.781854</v>
      </c>
      <c r="R134" t="n">
        <v>276.576167</v>
      </c>
      <c r="S134" t="n">
        <v>36.690599</v>
      </c>
      <c r="T134" t="n">
        <v>36.690599</v>
      </c>
      <c r="U134" t="n">
        <v>21.756712</v>
      </c>
      <c r="V134" t="n">
        <v>21.756712</v>
      </c>
      <c r="W134" t="n">
        <v>37.796282</v>
      </c>
      <c r="X134" t="n">
        <v>286.333431</v>
      </c>
    </row>
    <row r="135">
      <c r="A135" t="inlineStr">
        <is>
          <t>Scomberomorus guttatus</t>
        </is>
      </c>
      <c r="B135" t="n">
        <v>4.28</v>
      </c>
      <c r="C135" t="n">
        <v>1905.460718</v>
      </c>
      <c r="D135" t="inlineStr">
        <is>
          <t>Piscivores</t>
        </is>
      </c>
      <c r="E135" t="n">
        <v>0</v>
      </c>
      <c r="F135" t="n">
        <v>304.388999</v>
      </c>
      <c r="G135" t="n">
        <v>2.268309</v>
      </c>
      <c r="H135" t="n">
        <v>2.300314</v>
      </c>
      <c r="I135" t="n">
        <v>249.259877</v>
      </c>
      <c r="J135" t="n">
        <v>251.428736</v>
      </c>
      <c r="K135" t="n">
        <v>202.148704</v>
      </c>
      <c r="L135" t="n">
        <v>282.597002</v>
      </c>
      <c r="M135" t="n">
        <v>282.597002</v>
      </c>
      <c r="N135" t="n">
        <v>286.033173</v>
      </c>
      <c r="O135" t="n">
        <v>49.797649</v>
      </c>
      <c r="P135" t="n">
        <v>25.643377</v>
      </c>
      <c r="Q135" t="n">
        <v>286.033173</v>
      </c>
      <c r="R135" t="n">
        <v>282.597002</v>
      </c>
      <c r="S135" t="n">
        <v>49.797649</v>
      </c>
      <c r="T135" t="n">
        <v>49.797649</v>
      </c>
      <c r="U135" t="n">
        <v>25.643377</v>
      </c>
      <c r="V135" t="n">
        <v>25.643377</v>
      </c>
      <c r="W135" t="n">
        <v>51.082514</v>
      </c>
      <c r="X135" t="n">
        <v>274.518943</v>
      </c>
    </row>
    <row r="136">
      <c r="A136" t="inlineStr">
        <is>
          <t>Tegillarca granosa</t>
        </is>
      </c>
      <c r="B136" t="n">
        <v>2</v>
      </c>
      <c r="C136" t="n">
        <v>10</v>
      </c>
      <c r="D136" t="inlineStr">
        <is>
          <t>Mollusks</t>
        </is>
      </c>
      <c r="E136" t="n">
        <v>0</v>
      </c>
      <c r="F136" t="n">
        <v>14.497407</v>
      </c>
      <c r="G136" t="n">
        <v>1.466668</v>
      </c>
      <c r="H136" t="n">
        <v>1.466497</v>
      </c>
      <c r="I136" t="n">
        <v>17.850747</v>
      </c>
      <c r="J136" t="n">
        <v>17.850747</v>
      </c>
      <c r="K136" t="n">
        <v>5.355224</v>
      </c>
      <c r="L136" t="n">
        <v>17.186608</v>
      </c>
      <c r="M136" t="n">
        <v>17.186608</v>
      </c>
      <c r="N136" t="n">
        <v>17.598965</v>
      </c>
      <c r="O136" t="n">
        <v>3.995111</v>
      </c>
      <c r="P136" t="n">
        <v>2.967513</v>
      </c>
      <c r="Q136" t="n">
        <v>17.598965</v>
      </c>
      <c r="R136" t="n">
        <v>17.186608</v>
      </c>
      <c r="S136" t="n">
        <v>3.995111</v>
      </c>
      <c r="T136" t="n">
        <v>3.995111</v>
      </c>
      <c r="U136" t="n">
        <v>2.967513</v>
      </c>
      <c r="V136" t="n">
        <v>2.967513</v>
      </c>
      <c r="W136" t="n">
        <v>3.990277</v>
      </c>
      <c r="X136" t="n">
        <v>17.941416</v>
      </c>
    </row>
    <row r="137">
      <c r="A137" t="inlineStr">
        <is>
          <t>Menidae</t>
        </is>
      </c>
      <c r="B137" t="n">
        <v>3.45</v>
      </c>
      <c r="C137" t="n">
        <v>281.838293</v>
      </c>
      <c r="D137" t="inlineStr">
        <is>
          <t>Planktivores/piscivores</t>
        </is>
      </c>
      <c r="E137" t="n">
        <v>0</v>
      </c>
      <c r="F137" t="n">
        <v>123.077794</v>
      </c>
      <c r="G137" t="n">
        <v>1.992402</v>
      </c>
      <c r="H137" t="n">
        <v>1.97781</v>
      </c>
      <c r="I137" t="n">
        <v>560.299311</v>
      </c>
      <c r="J137" t="n">
        <v>592.272682</v>
      </c>
      <c r="K137" t="n">
        <v>209.072257</v>
      </c>
      <c r="L137" t="n">
        <v>660.166914</v>
      </c>
      <c r="M137" t="n">
        <v>660.166914</v>
      </c>
      <c r="N137" t="n">
        <v>670.165526</v>
      </c>
      <c r="O137" t="n">
        <v>72.857719</v>
      </c>
      <c r="P137" t="n">
        <v>43.071646</v>
      </c>
      <c r="Q137" t="n">
        <v>670.165526</v>
      </c>
      <c r="R137" t="n">
        <v>660.166914</v>
      </c>
      <c r="S137" t="n">
        <v>72.857719</v>
      </c>
      <c r="T137" t="n">
        <v>72.857719</v>
      </c>
      <c r="U137" t="n">
        <v>43.071646</v>
      </c>
      <c r="V137" t="n">
        <v>43.071646</v>
      </c>
      <c r="W137" t="n">
        <v>75.193746</v>
      </c>
      <c r="X137" t="n">
        <v>683.804243</v>
      </c>
    </row>
    <row r="138">
      <c r="A138" t="inlineStr">
        <is>
          <t>Scorpaenidae</t>
        </is>
      </c>
      <c r="B138" t="n">
        <v>3.92</v>
      </c>
      <c r="C138" t="n">
        <v>831.763771</v>
      </c>
      <c r="D138" t="inlineStr">
        <is>
          <t>Benthivores/piscivores</t>
        </is>
      </c>
      <c r="E138" t="n">
        <v>0</v>
      </c>
      <c r="F138" t="n">
        <v>136.120059</v>
      </c>
      <c r="G138" t="n">
        <v>2.021353</v>
      </c>
      <c r="H138" t="n">
        <v>2.039787</v>
      </c>
      <c r="I138" t="n">
        <v>36.046055</v>
      </c>
      <c r="J138" t="n">
        <v>36.076344</v>
      </c>
      <c r="K138" t="n">
        <v>35.535199</v>
      </c>
      <c r="L138" t="n">
        <v>34.759886</v>
      </c>
      <c r="M138" t="n">
        <v>34.759886</v>
      </c>
      <c r="N138" t="n">
        <v>35.313702</v>
      </c>
      <c r="O138" t="n">
        <v>13.890783</v>
      </c>
      <c r="P138" t="n">
        <v>8.319739999999999</v>
      </c>
      <c r="Q138" t="n">
        <v>35.313702</v>
      </c>
      <c r="R138" t="n">
        <v>34.759886</v>
      </c>
      <c r="S138" t="n">
        <v>13.890783</v>
      </c>
      <c r="T138" t="n">
        <v>13.890783</v>
      </c>
      <c r="U138" t="n">
        <v>8.319739999999999</v>
      </c>
      <c r="V138" t="n">
        <v>8.319739999999999</v>
      </c>
      <c r="W138" t="n">
        <v>14.220855</v>
      </c>
      <c r="X138" t="n">
        <v>35.767132</v>
      </c>
    </row>
    <row r="139">
      <c r="A139" t="inlineStr">
        <is>
          <t>Ommastrephidae</t>
        </is>
      </c>
      <c r="B139" t="n">
        <v>4.09</v>
      </c>
      <c r="C139" t="n">
        <v>1230.268771</v>
      </c>
      <c r="D139" t="inlineStr">
        <is>
          <t>Cephalopods</t>
        </is>
      </c>
      <c r="E139" t="n">
        <v>0</v>
      </c>
      <c r="F139" t="n">
        <v>65.929169</v>
      </c>
      <c r="G139" t="n">
        <v>1.821994</v>
      </c>
      <c r="H139" t="n">
        <v>1.839433</v>
      </c>
      <c r="I139" t="n">
        <v>38.382342</v>
      </c>
      <c r="J139" t="n">
        <v>38.382342</v>
      </c>
      <c r="K139" t="n">
        <v>37.768225</v>
      </c>
      <c r="L139" t="n">
        <v>36.734327</v>
      </c>
      <c r="M139" t="n">
        <v>36.734327</v>
      </c>
      <c r="N139" t="n">
        <v>37.111337</v>
      </c>
      <c r="O139" t="n">
        <v>12.794003</v>
      </c>
      <c r="P139" t="n">
        <v>8.242232</v>
      </c>
      <c r="Q139" t="n">
        <v>37.111337</v>
      </c>
      <c r="R139" t="n">
        <v>36.734327</v>
      </c>
      <c r="S139" t="n">
        <v>12.794003</v>
      </c>
      <c r="T139" t="n">
        <v>12.794003</v>
      </c>
      <c r="U139" t="n">
        <v>8.242232</v>
      </c>
      <c r="V139" t="n">
        <v>8.242232</v>
      </c>
      <c r="W139" t="n">
        <v>12.757448</v>
      </c>
      <c r="X139" t="n">
        <v>38.53303</v>
      </c>
    </row>
    <row r="140">
      <c r="A140" t="inlineStr">
        <is>
          <t>Veneridae</t>
        </is>
      </c>
      <c r="B140" t="n">
        <v>2</v>
      </c>
      <c r="C140" t="n">
        <v>10</v>
      </c>
      <c r="D140" t="inlineStr">
        <is>
          <t>Mollusks</t>
        </is>
      </c>
      <c r="E140" t="n">
        <v>0</v>
      </c>
      <c r="F140" t="n">
        <v>14.497407</v>
      </c>
      <c r="G140" t="n">
        <v>1.466668</v>
      </c>
      <c r="H140" t="n">
        <v>1.466497</v>
      </c>
      <c r="I140" t="n">
        <v>17.850747</v>
      </c>
      <c r="J140" t="n">
        <v>17.850747</v>
      </c>
      <c r="K140" t="n">
        <v>5.355224</v>
      </c>
      <c r="L140" t="n">
        <v>17.186608</v>
      </c>
      <c r="M140" t="n">
        <v>17.186608</v>
      </c>
      <c r="N140" t="n">
        <v>17.598965</v>
      </c>
      <c r="O140" t="n">
        <v>3.995111</v>
      </c>
      <c r="P140" t="n">
        <v>2.967513</v>
      </c>
      <c r="Q140" t="n">
        <v>17.598965</v>
      </c>
      <c r="R140" t="n">
        <v>17.186608</v>
      </c>
      <c r="S140" t="n">
        <v>3.995111</v>
      </c>
      <c r="T140" t="n">
        <v>3.995111</v>
      </c>
      <c r="U140" t="n">
        <v>2.967513</v>
      </c>
      <c r="V140" t="n">
        <v>2.967513</v>
      </c>
      <c r="W140" t="n">
        <v>3.990277</v>
      </c>
      <c r="X140" t="n">
        <v>17.941416</v>
      </c>
    </row>
    <row r="141">
      <c r="A141" t="inlineStr">
        <is>
          <t>Meretrix</t>
        </is>
      </c>
      <c r="D141" t="inlineStr">
        <is>
          <t>Mollusks</t>
        </is>
      </c>
      <c r="E141" t="n">
        <v>0</v>
      </c>
      <c r="F141" t="n">
        <v>14.497407</v>
      </c>
      <c r="G141" t="n">
        <v>1.466668</v>
      </c>
      <c r="H141" t="n">
        <v>1.466497</v>
      </c>
      <c r="I141" t="n">
        <v>17.850747</v>
      </c>
      <c r="J141" t="n">
        <v>17.850747</v>
      </c>
      <c r="K141" t="n">
        <v>5.355224</v>
      </c>
      <c r="L141" t="n">
        <v>17.186608</v>
      </c>
      <c r="M141" t="n">
        <v>17.186608</v>
      </c>
      <c r="N141" t="n">
        <v>17.598965</v>
      </c>
      <c r="O141" t="n">
        <v>3.995111</v>
      </c>
      <c r="P141" t="n">
        <v>2.967513</v>
      </c>
      <c r="Q141" t="n">
        <v>17.598965</v>
      </c>
      <c r="R141" t="n">
        <v>17.186608</v>
      </c>
      <c r="S141" t="n">
        <v>3.995111</v>
      </c>
      <c r="T141" t="n">
        <v>3.995111</v>
      </c>
      <c r="U141" t="n">
        <v>2.967513</v>
      </c>
      <c r="V141" t="n">
        <v>2.967513</v>
      </c>
      <c r="W141" t="n">
        <v>3.990277</v>
      </c>
      <c r="X141" t="n">
        <v>17.941416</v>
      </c>
    </row>
    <row r="142">
      <c r="A142" t="inlineStr">
        <is>
          <t>Miscellaneous aquatic invertebrates</t>
        </is>
      </c>
      <c r="B142" t="n">
        <v>2.43</v>
      </c>
      <c r="C142" t="n">
        <v>26.915348</v>
      </c>
      <c r="D142" t="inlineStr">
        <is>
          <t>Mollusks | Echinoderms | Other invertebrates</t>
        </is>
      </c>
      <c r="E142" t="n">
        <v>0</v>
      </c>
      <c r="F142" t="n">
        <v>13.498083</v>
      </c>
      <c r="G142" t="n">
        <v>1.449794</v>
      </c>
      <c r="H142" t="n">
        <v>1.447832</v>
      </c>
      <c r="I142" t="n">
        <v>17.858553</v>
      </c>
      <c r="J142" t="n">
        <v>17.858553</v>
      </c>
      <c r="K142" t="n">
        <v>6.242972</v>
      </c>
      <c r="L142" t="n">
        <v>2415.673967</v>
      </c>
      <c r="M142" t="n">
        <v>2415.673967</v>
      </c>
      <c r="N142" t="n">
        <v>2455.052988</v>
      </c>
      <c r="O142" t="n">
        <v>5.326069</v>
      </c>
      <c r="P142" t="n">
        <v>4.090099</v>
      </c>
      <c r="Q142" t="n">
        <v>2455.052988</v>
      </c>
      <c r="R142" t="n">
        <v>2415.673967</v>
      </c>
      <c r="S142" t="n">
        <v>5.326069</v>
      </c>
      <c r="T142" t="n">
        <v>5.326069</v>
      </c>
      <c r="U142" t="n">
        <v>4.090099</v>
      </c>
      <c r="V142" t="n">
        <v>4.090099</v>
      </c>
      <c r="W142" t="n">
        <v>5.32559</v>
      </c>
      <c r="X142" t="n">
        <v>41.510164</v>
      </c>
    </row>
    <row r="143">
      <c r="A143" t="inlineStr">
        <is>
          <t>Ariidae</t>
        </is>
      </c>
      <c r="B143" t="n">
        <v>3.48</v>
      </c>
      <c r="C143" t="n">
        <v>301.995172</v>
      </c>
      <c r="D143" t="inlineStr">
        <is>
          <t>Benthivores/piscivores</t>
        </is>
      </c>
      <c r="E143" t="n">
        <v>0</v>
      </c>
      <c r="F143" t="n">
        <v>136.120059</v>
      </c>
      <c r="G143" t="n">
        <v>2.021353</v>
      </c>
      <c r="H143" t="n">
        <v>2.039787</v>
      </c>
      <c r="I143" t="n">
        <v>36.046055</v>
      </c>
      <c r="J143" t="n">
        <v>36.076344</v>
      </c>
      <c r="K143" t="n">
        <v>35.535199</v>
      </c>
      <c r="L143" t="n">
        <v>34.759886</v>
      </c>
      <c r="M143" t="n">
        <v>34.759886</v>
      </c>
      <c r="N143" t="n">
        <v>35.313702</v>
      </c>
      <c r="O143" t="n">
        <v>13.890783</v>
      </c>
      <c r="P143" t="n">
        <v>8.319739999999999</v>
      </c>
      <c r="Q143" t="n">
        <v>35.313702</v>
      </c>
      <c r="R143" t="n">
        <v>34.759886</v>
      </c>
      <c r="S143" t="n">
        <v>13.890783</v>
      </c>
      <c r="T143" t="n">
        <v>13.890783</v>
      </c>
      <c r="U143" t="n">
        <v>8.319739999999999</v>
      </c>
      <c r="V143" t="n">
        <v>8.319739999999999</v>
      </c>
      <c r="W143" t="n">
        <v>14.220855</v>
      </c>
      <c r="X143" t="n">
        <v>35.767132</v>
      </c>
    </row>
    <row r="144">
      <c r="A144" t="inlineStr">
        <is>
          <t>Mene maculata</t>
        </is>
      </c>
      <c r="B144" t="n">
        <v>3.45</v>
      </c>
      <c r="C144" t="n">
        <v>281.838293</v>
      </c>
      <c r="D144" t="inlineStr">
        <is>
          <t>Planktivores/piscivores</t>
        </is>
      </c>
      <c r="E144" t="n">
        <v>0</v>
      </c>
      <c r="F144" t="n">
        <v>123.077794</v>
      </c>
      <c r="G144" t="n">
        <v>1.992402</v>
      </c>
      <c r="H144" t="n">
        <v>1.97781</v>
      </c>
      <c r="I144" t="n">
        <v>560.299311</v>
      </c>
      <c r="J144" t="n">
        <v>592.272682</v>
      </c>
      <c r="K144" t="n">
        <v>209.072257</v>
      </c>
      <c r="L144" t="n">
        <v>660.166914</v>
      </c>
      <c r="M144" t="n">
        <v>660.166914</v>
      </c>
      <c r="N144" t="n">
        <v>670.165526</v>
      </c>
      <c r="O144" t="n">
        <v>72.857719</v>
      </c>
      <c r="P144" t="n">
        <v>43.071646</v>
      </c>
      <c r="Q144" t="n">
        <v>670.165526</v>
      </c>
      <c r="R144" t="n">
        <v>660.166914</v>
      </c>
      <c r="S144" t="n">
        <v>72.857719</v>
      </c>
      <c r="T144" t="n">
        <v>72.857719</v>
      </c>
      <c r="U144" t="n">
        <v>43.071646</v>
      </c>
      <c r="V144" t="n">
        <v>43.071646</v>
      </c>
      <c r="W144" t="n">
        <v>75.193746</v>
      </c>
      <c r="X144" t="n">
        <v>683.804243</v>
      </c>
    </row>
    <row r="145">
      <c r="A145" t="inlineStr">
        <is>
          <t>Acanthopagrus schlegelii</t>
        </is>
      </c>
      <c r="B145" t="n">
        <v>3.24</v>
      </c>
      <c r="C145" t="n">
        <v>173.780083</v>
      </c>
      <c r="D145" t="inlineStr">
        <is>
          <t>Omnivores</t>
        </is>
      </c>
      <c r="E145" t="n">
        <v>0</v>
      </c>
      <c r="F145" t="n">
        <v>131.221463</v>
      </c>
      <c r="G145" t="n">
        <v>2.01077</v>
      </c>
      <c r="H145" t="n">
        <v>2.036134</v>
      </c>
      <c r="I145" t="n">
        <v>66.04435700000001</v>
      </c>
      <c r="J145" t="n">
        <v>68.25582300000001</v>
      </c>
      <c r="K145" t="n">
        <v>68.187568</v>
      </c>
      <c r="L145" t="n">
        <v>72.544996</v>
      </c>
      <c r="M145" t="n">
        <v>72.544996</v>
      </c>
      <c r="N145" t="n">
        <v>73.57283200000001</v>
      </c>
      <c r="O145" t="n">
        <v>17.500018</v>
      </c>
      <c r="P145" t="n">
        <v>10.032554</v>
      </c>
      <c r="Q145" t="n">
        <v>73.57283200000001</v>
      </c>
      <c r="R145" t="n">
        <v>72.544996</v>
      </c>
      <c r="S145" t="n">
        <v>17.500018</v>
      </c>
      <c r="T145" t="n">
        <v>17.500018</v>
      </c>
      <c r="U145" t="n">
        <v>10.032554</v>
      </c>
      <c r="V145" t="n">
        <v>10.032554</v>
      </c>
      <c r="W145" t="n">
        <v>17.704629</v>
      </c>
      <c r="X145" t="n">
        <v>72.854687</v>
      </c>
    </row>
    <row r="146">
      <c r="A146" t="inlineStr">
        <is>
          <t>Octopus</t>
        </is>
      </c>
      <c r="B146" t="n">
        <v>3.8</v>
      </c>
      <c r="C146" t="n">
        <v>630.957344</v>
      </c>
      <c r="D146" t="inlineStr">
        <is>
          <t>Cephalopods</t>
        </is>
      </c>
      <c r="E146" t="n">
        <v>0</v>
      </c>
      <c r="F146" t="n">
        <v>65.929169</v>
      </c>
      <c r="G146" t="n">
        <v>1.821994</v>
      </c>
      <c r="H146" t="n">
        <v>1.839433</v>
      </c>
      <c r="I146" t="n">
        <v>38.382342</v>
      </c>
      <c r="J146" t="n">
        <v>38.382342</v>
      </c>
      <c r="K146" t="n">
        <v>37.768225</v>
      </c>
      <c r="L146" t="n">
        <v>36.734327</v>
      </c>
      <c r="M146" t="n">
        <v>36.734327</v>
      </c>
      <c r="N146" t="n">
        <v>37.111337</v>
      </c>
      <c r="O146" t="n">
        <v>12.794003</v>
      </c>
      <c r="P146" t="n">
        <v>8.242232</v>
      </c>
      <c r="Q146" t="n">
        <v>37.111337</v>
      </c>
      <c r="R146" t="n">
        <v>36.734327</v>
      </c>
      <c r="S146" t="n">
        <v>12.794003</v>
      </c>
      <c r="T146" t="n">
        <v>12.794003</v>
      </c>
      <c r="U146" t="n">
        <v>8.242232</v>
      </c>
      <c r="V146" t="n">
        <v>8.242232</v>
      </c>
      <c r="W146" t="n">
        <v>12.757448</v>
      </c>
      <c r="X146" t="n">
        <v>38.53303</v>
      </c>
    </row>
    <row r="147">
      <c r="A147" t="inlineStr">
        <is>
          <t>Apostichopus japonicus</t>
        </is>
      </c>
      <c r="B147" t="n">
        <v>2.3</v>
      </c>
      <c r="C147" t="n">
        <v>19.952623</v>
      </c>
      <c r="D147" t="inlineStr">
        <is>
          <t>Echinoderms</t>
        </is>
      </c>
      <c r="E147" t="n">
        <v>0</v>
      </c>
      <c r="F147" t="n">
        <v>14.362944</v>
      </c>
      <c r="G147" t="n">
        <v>1.464712</v>
      </c>
      <c r="H147" t="n">
        <v>1.389744</v>
      </c>
      <c r="I147" t="n">
        <v>47.528559</v>
      </c>
      <c r="J147" t="n">
        <v>47.528559</v>
      </c>
      <c r="K147" t="n">
        <v>8.650198</v>
      </c>
      <c r="L147" t="n">
        <v>98169.820373</v>
      </c>
      <c r="M147" t="n">
        <v>98169.820373</v>
      </c>
      <c r="N147" t="n">
        <v>99766.36788799999</v>
      </c>
      <c r="O147" t="n">
        <v>7.082345</v>
      </c>
      <c r="P147" t="n">
        <v>4.85352</v>
      </c>
      <c r="Q147" t="n">
        <v>99766.36788799999</v>
      </c>
      <c r="R147" t="n">
        <v>98169.820373</v>
      </c>
      <c r="S147" t="n">
        <v>7.082345</v>
      </c>
      <c r="T147" t="n">
        <v>7.082345</v>
      </c>
      <c r="U147" t="n">
        <v>4.85352</v>
      </c>
      <c r="V147" t="n">
        <v>4.85352</v>
      </c>
      <c r="W147" t="n">
        <v>7.237529</v>
      </c>
      <c r="X147" t="n">
        <v>1019.755013</v>
      </c>
    </row>
    <row r="148">
      <c r="A148" t="inlineStr">
        <is>
          <t>Arctoscopus japonicus</t>
        </is>
      </c>
      <c r="B148" t="n">
        <v>3.51</v>
      </c>
      <c r="C148" t="n">
        <v>323.593657</v>
      </c>
      <c r="D148" t="inlineStr">
        <is>
          <t>Benthivores/piscivores</t>
        </is>
      </c>
      <c r="E148" t="n">
        <v>0</v>
      </c>
      <c r="F148" t="n">
        <v>136.120059</v>
      </c>
      <c r="G148" t="n">
        <v>2.021353</v>
      </c>
      <c r="H148" t="n">
        <v>2.039787</v>
      </c>
      <c r="I148" t="n">
        <v>36.046055</v>
      </c>
      <c r="J148" t="n">
        <v>36.076344</v>
      </c>
      <c r="K148" t="n">
        <v>35.535199</v>
      </c>
      <c r="L148" t="n">
        <v>34.759886</v>
      </c>
      <c r="M148" t="n">
        <v>34.759886</v>
      </c>
      <c r="N148" t="n">
        <v>35.313702</v>
      </c>
      <c r="O148" t="n">
        <v>13.890783</v>
      </c>
      <c r="P148" t="n">
        <v>8.319739999999999</v>
      </c>
      <c r="Q148" t="n">
        <v>35.313702</v>
      </c>
      <c r="R148" t="n">
        <v>34.759886</v>
      </c>
      <c r="S148" t="n">
        <v>13.890783</v>
      </c>
      <c r="T148" t="n">
        <v>13.890783</v>
      </c>
      <c r="U148" t="n">
        <v>8.319739999999999</v>
      </c>
      <c r="V148" t="n">
        <v>8.319739999999999</v>
      </c>
      <c r="W148" t="n">
        <v>14.220855</v>
      </c>
      <c r="X148" t="n">
        <v>35.767132</v>
      </c>
    </row>
    <row r="149">
      <c r="A149" t="inlineStr">
        <is>
          <t>Batoidea</t>
        </is>
      </c>
      <c r="B149" t="n">
        <v>3.72</v>
      </c>
      <c r="C149" t="n">
        <v>524.80746</v>
      </c>
      <c r="D149" t="inlineStr">
        <is>
          <t>Benthivores</t>
        </is>
      </c>
      <c r="E149" t="n">
        <v>0</v>
      </c>
      <c r="F149" t="n">
        <v>67.81478300000001</v>
      </c>
      <c r="G149" t="n">
        <v>1.829368</v>
      </c>
      <c r="H149" t="n">
        <v>1.84033</v>
      </c>
      <c r="I149" t="n">
        <v>33.988491</v>
      </c>
      <c r="J149" t="n">
        <v>35.780255</v>
      </c>
      <c r="K149" t="n">
        <v>35.601354</v>
      </c>
      <c r="L149" t="n">
        <v>385.228839</v>
      </c>
      <c r="M149" t="n">
        <v>385.228839</v>
      </c>
      <c r="N149" t="n">
        <v>391.588003</v>
      </c>
      <c r="O149" t="n">
        <v>16.66963</v>
      </c>
      <c r="P149" t="n">
        <v>9.973879999999999</v>
      </c>
      <c r="Q149" t="n">
        <v>391.588003</v>
      </c>
      <c r="R149" t="n">
        <v>385.228839</v>
      </c>
      <c r="S149" t="n">
        <v>16.66963</v>
      </c>
      <c r="T149" t="n">
        <v>16.66963</v>
      </c>
      <c r="U149" t="n">
        <v>9.973879999999999</v>
      </c>
      <c r="V149" t="n">
        <v>9.973879999999999</v>
      </c>
      <c r="W149" t="n">
        <v>17.246706</v>
      </c>
      <c r="X149" t="n">
        <v>42.474741</v>
      </c>
    </row>
    <row r="150">
      <c r="A150" t="inlineStr">
        <is>
          <t>Perciformes</t>
        </is>
      </c>
      <c r="B150" t="n">
        <v>3.53</v>
      </c>
      <c r="C150" t="n">
        <v>338.844156</v>
      </c>
      <c r="D150" t="inlineStr">
        <is>
          <t>Benthivores | Piscivores | Planktivores/piscivores | Benthivores/piscivores | Omnivores</t>
        </is>
      </c>
      <c r="E150" t="n">
        <v>0</v>
      </c>
      <c r="F150" t="n">
        <v>166.961545</v>
      </c>
      <c r="G150" t="n">
        <v>2.045106</v>
      </c>
      <c r="H150" t="n">
        <v>2.060755</v>
      </c>
      <c r="I150" t="n">
        <v>186.169499</v>
      </c>
      <c r="J150" t="n">
        <v>192.680384</v>
      </c>
      <c r="K150" t="n">
        <v>114.316945</v>
      </c>
      <c r="L150" t="n">
        <v>287.676992</v>
      </c>
      <c r="M150" t="n">
        <v>287.676992</v>
      </c>
      <c r="N150" t="n">
        <v>291.908148</v>
      </c>
      <c r="O150" t="n">
        <v>34.836971</v>
      </c>
      <c r="P150" t="n">
        <v>19.545313</v>
      </c>
      <c r="Q150" t="n">
        <v>291.908148</v>
      </c>
      <c r="R150" t="n">
        <v>287.676992</v>
      </c>
      <c r="S150" t="n">
        <v>34.836971</v>
      </c>
      <c r="T150" t="n">
        <v>34.836971</v>
      </c>
      <c r="U150" t="n">
        <v>19.545313</v>
      </c>
      <c r="V150" t="n">
        <v>19.545313</v>
      </c>
      <c r="W150" t="n">
        <v>35.81931</v>
      </c>
      <c r="X150" t="n">
        <v>216.24497</v>
      </c>
    </row>
    <row r="151">
      <c r="A151" t="inlineStr">
        <is>
          <t>Ostreidae</t>
        </is>
      </c>
      <c r="B151" t="n">
        <v>2</v>
      </c>
      <c r="C151" t="n">
        <v>10</v>
      </c>
      <c r="D151" t="inlineStr">
        <is>
          <t>Mollusks</t>
        </is>
      </c>
      <c r="E151" t="n">
        <v>0</v>
      </c>
      <c r="F151" t="n">
        <v>14.497407</v>
      </c>
      <c r="G151" t="n">
        <v>1.466668</v>
      </c>
      <c r="H151" t="n">
        <v>1.466497</v>
      </c>
      <c r="I151" t="n">
        <v>17.850747</v>
      </c>
      <c r="J151" t="n">
        <v>17.850747</v>
      </c>
      <c r="K151" t="n">
        <v>5.355224</v>
      </c>
      <c r="L151" t="n">
        <v>17.186608</v>
      </c>
      <c r="M151" t="n">
        <v>17.186608</v>
      </c>
      <c r="N151" t="n">
        <v>17.598965</v>
      </c>
      <c r="O151" t="n">
        <v>3.995111</v>
      </c>
      <c r="P151" t="n">
        <v>2.967513</v>
      </c>
      <c r="Q151" t="n">
        <v>17.598965</v>
      </c>
      <c r="R151" t="n">
        <v>17.186608</v>
      </c>
      <c r="S151" t="n">
        <v>3.995111</v>
      </c>
      <c r="T151" t="n">
        <v>3.995111</v>
      </c>
      <c r="U151" t="n">
        <v>2.967513</v>
      </c>
      <c r="V151" t="n">
        <v>2.967513</v>
      </c>
      <c r="W151" t="n">
        <v>3.990277</v>
      </c>
      <c r="X151" t="n">
        <v>17.941416</v>
      </c>
    </row>
    <row r="152">
      <c r="A152" t="inlineStr">
        <is>
          <t>Portunus</t>
        </is>
      </c>
      <c r="B152" t="n">
        <v>3.26</v>
      </c>
      <c r="C152" t="n">
        <v>181.970086</v>
      </c>
      <c r="D152" t="inlineStr">
        <is>
          <t>Crabs</t>
        </is>
      </c>
      <c r="E152" t="n">
        <v>0</v>
      </c>
      <c r="F152" t="n">
        <v>21.002175</v>
      </c>
      <c r="G152" t="n">
        <v>1.546636</v>
      </c>
      <c r="H152" t="n">
        <v>1.565985</v>
      </c>
      <c r="I152" t="n">
        <v>12.039474</v>
      </c>
      <c r="J152" t="n">
        <v>12.039474</v>
      </c>
      <c r="K152" t="n">
        <v>11.028158</v>
      </c>
      <c r="L152" t="n">
        <v>11.032425</v>
      </c>
      <c r="M152" t="n">
        <v>11.032425</v>
      </c>
      <c r="N152" t="n">
        <v>11.257068</v>
      </c>
      <c r="O152" t="n">
        <v>7.495998</v>
      </c>
      <c r="P152" t="n">
        <v>5.212079</v>
      </c>
      <c r="Q152" t="n">
        <v>11.257068</v>
      </c>
      <c r="R152" t="n">
        <v>11.032425</v>
      </c>
      <c r="S152" t="n">
        <v>7.495998</v>
      </c>
      <c r="T152" t="n">
        <v>7.495998</v>
      </c>
      <c r="U152" t="n">
        <v>5.212079</v>
      </c>
      <c r="V152" t="n">
        <v>5.212079</v>
      </c>
      <c r="W152" t="n">
        <v>7.53635</v>
      </c>
      <c r="X152" t="n">
        <v>11.035506</v>
      </c>
    </row>
    <row r="153">
      <c r="A153" t="inlineStr">
        <is>
          <t>Penaeus penicillatus</t>
        </is>
      </c>
      <c r="B153" t="n">
        <v>2.7</v>
      </c>
      <c r="C153" t="n">
        <v>50.118723</v>
      </c>
      <c r="D153" t="inlineStr">
        <is>
          <t>Shrimps</t>
        </is>
      </c>
      <c r="E153" t="n">
        <v>0</v>
      </c>
      <c r="F153" t="n">
        <v>20.606299</v>
      </c>
      <c r="G153" t="n">
        <v>1.542427</v>
      </c>
      <c r="H153" t="n">
        <v>1.561295</v>
      </c>
      <c r="I153" t="n">
        <v>15.075177</v>
      </c>
      <c r="J153" t="n">
        <v>15.075177</v>
      </c>
      <c r="K153" t="n">
        <v>15.060102</v>
      </c>
      <c r="L153" t="n">
        <v>13.927162</v>
      </c>
      <c r="M153" t="n">
        <v>13.927162</v>
      </c>
      <c r="N153" t="n">
        <v>14.183251</v>
      </c>
      <c r="O153" t="n">
        <v>7.969433</v>
      </c>
      <c r="P153" t="n">
        <v>5.681336</v>
      </c>
      <c r="Q153" t="n">
        <v>14.183251</v>
      </c>
      <c r="R153" t="n">
        <v>13.927162</v>
      </c>
      <c r="S153" t="n">
        <v>7.969433</v>
      </c>
      <c r="T153" t="n">
        <v>7.969433</v>
      </c>
      <c r="U153" t="n">
        <v>5.681336</v>
      </c>
      <c r="V153" t="n">
        <v>5.681336</v>
      </c>
      <c r="W153" t="n">
        <v>8.136905</v>
      </c>
      <c r="X153" t="n">
        <v>14.885026</v>
      </c>
    </row>
    <row r="154">
      <c r="A154" t="inlineStr">
        <is>
          <t>Thunnus orientalis</t>
        </is>
      </c>
      <c r="B154" t="n">
        <v>4.05</v>
      </c>
      <c r="C154" t="n">
        <v>1122.018454</v>
      </c>
      <c r="D154" t="inlineStr">
        <is>
          <t>Piscivores</t>
        </is>
      </c>
      <c r="E154" t="n">
        <v>0</v>
      </c>
      <c r="F154" t="n">
        <v>304.388999</v>
      </c>
      <c r="G154" t="n">
        <v>2.268309</v>
      </c>
      <c r="H154" t="n">
        <v>2.300314</v>
      </c>
      <c r="I154" t="n">
        <v>249.259877</v>
      </c>
      <c r="J154" t="n">
        <v>251.428736</v>
      </c>
      <c r="K154" t="n">
        <v>202.148704</v>
      </c>
      <c r="L154" t="n">
        <v>282.597002</v>
      </c>
      <c r="M154" t="n">
        <v>282.597002</v>
      </c>
      <c r="N154" t="n">
        <v>286.033173</v>
      </c>
      <c r="O154" t="n">
        <v>49.797649</v>
      </c>
      <c r="P154" t="n">
        <v>25.643377</v>
      </c>
      <c r="Q154" t="n">
        <v>286.033173</v>
      </c>
      <c r="R154" t="n">
        <v>282.597002</v>
      </c>
      <c r="S154" t="n">
        <v>49.797649</v>
      </c>
      <c r="T154" t="n">
        <v>49.797649</v>
      </c>
      <c r="U154" t="n">
        <v>25.643377</v>
      </c>
      <c r="V154" t="n">
        <v>25.643377</v>
      </c>
      <c r="W154" t="n">
        <v>51.082514</v>
      </c>
      <c r="X154" t="n">
        <v>274.518943</v>
      </c>
    </row>
    <row r="155">
      <c r="A155" t="inlineStr">
        <is>
          <t>Liparis tanakae</t>
        </is>
      </c>
      <c r="B155" t="n">
        <v>3.42</v>
      </c>
      <c r="C155" t="n">
        <v>263.026799</v>
      </c>
      <c r="D155" t="inlineStr">
        <is>
          <t>Benthivores/piscivores</t>
        </is>
      </c>
      <c r="E155" t="n">
        <v>0</v>
      </c>
      <c r="F155" t="n">
        <v>136.120059</v>
      </c>
      <c r="G155" t="n">
        <v>2.021353</v>
      </c>
      <c r="H155" t="n">
        <v>2.039787</v>
      </c>
      <c r="I155" t="n">
        <v>36.046055</v>
      </c>
      <c r="J155" t="n">
        <v>36.076344</v>
      </c>
      <c r="K155" t="n">
        <v>35.535199</v>
      </c>
      <c r="L155" t="n">
        <v>34.759886</v>
      </c>
      <c r="M155" t="n">
        <v>34.759886</v>
      </c>
      <c r="N155" t="n">
        <v>35.313702</v>
      </c>
      <c r="O155" t="n">
        <v>13.890783</v>
      </c>
      <c r="P155" t="n">
        <v>8.319739999999999</v>
      </c>
      <c r="Q155" t="n">
        <v>35.313702</v>
      </c>
      <c r="R155" t="n">
        <v>34.759886</v>
      </c>
      <c r="S155" t="n">
        <v>13.890783</v>
      </c>
      <c r="T155" t="n">
        <v>13.890783</v>
      </c>
      <c r="U155" t="n">
        <v>8.319739999999999</v>
      </c>
      <c r="V155" t="n">
        <v>8.319739999999999</v>
      </c>
      <c r="W155" t="n">
        <v>14.220855</v>
      </c>
      <c r="X155" t="n">
        <v>35.767132</v>
      </c>
    </row>
    <row r="156">
      <c r="A156" t="inlineStr">
        <is>
          <t>Trachurus</t>
        </is>
      </c>
      <c r="B156" t="n">
        <v>3.69</v>
      </c>
      <c r="C156" t="n">
        <v>489.778819</v>
      </c>
      <c r="D156" t="inlineStr">
        <is>
          <t>Planktivores/piscivores</t>
        </is>
      </c>
      <c r="E156" t="n">
        <v>0</v>
      </c>
      <c r="F156" t="n">
        <v>123.077794</v>
      </c>
      <c r="G156" t="n">
        <v>1.992402</v>
      </c>
      <c r="H156" t="n">
        <v>1.97781</v>
      </c>
      <c r="I156" t="n">
        <v>560.299311</v>
      </c>
      <c r="J156" t="n">
        <v>592.272682</v>
      </c>
      <c r="K156" t="n">
        <v>209.072257</v>
      </c>
      <c r="L156" t="n">
        <v>660.166914</v>
      </c>
      <c r="M156" t="n">
        <v>660.166914</v>
      </c>
      <c r="N156" t="n">
        <v>670.165526</v>
      </c>
      <c r="O156" t="n">
        <v>72.857719</v>
      </c>
      <c r="P156" t="n">
        <v>43.071646</v>
      </c>
      <c r="Q156" t="n">
        <v>670.165526</v>
      </c>
      <c r="R156" t="n">
        <v>660.166914</v>
      </c>
      <c r="S156" t="n">
        <v>72.857719</v>
      </c>
      <c r="T156" t="n">
        <v>72.857719</v>
      </c>
      <c r="U156" t="n">
        <v>43.071646</v>
      </c>
      <c r="V156" t="n">
        <v>43.071646</v>
      </c>
      <c r="W156" t="n">
        <v>75.193746</v>
      </c>
      <c r="X156" t="n">
        <v>683.804243</v>
      </c>
    </row>
    <row r="157">
      <c r="A157" t="inlineStr">
        <is>
          <t>Hyporhamphus sajori</t>
        </is>
      </c>
      <c r="B157" t="n">
        <v>3.4</v>
      </c>
      <c r="C157" t="n">
        <v>251.188643</v>
      </c>
      <c r="D157" t="inlineStr">
        <is>
          <t>Omnivores</t>
        </is>
      </c>
      <c r="E157" t="n">
        <v>0</v>
      </c>
      <c r="F157" t="n">
        <v>131.221463</v>
      </c>
      <c r="G157" t="n">
        <v>2.01077</v>
      </c>
      <c r="H157" t="n">
        <v>2.036134</v>
      </c>
      <c r="I157" t="n">
        <v>66.04435700000001</v>
      </c>
      <c r="J157" t="n">
        <v>68.25582300000001</v>
      </c>
      <c r="K157" t="n">
        <v>68.187568</v>
      </c>
      <c r="L157" t="n">
        <v>72.544996</v>
      </c>
      <c r="M157" t="n">
        <v>72.544996</v>
      </c>
      <c r="N157" t="n">
        <v>73.57283200000001</v>
      </c>
      <c r="O157" t="n">
        <v>17.500018</v>
      </c>
      <c r="P157" t="n">
        <v>10.032554</v>
      </c>
      <c r="Q157" t="n">
        <v>73.57283200000001</v>
      </c>
      <c r="R157" t="n">
        <v>72.544996</v>
      </c>
      <c r="S157" t="n">
        <v>17.500018</v>
      </c>
      <c r="T157" t="n">
        <v>17.500018</v>
      </c>
      <c r="U157" t="n">
        <v>10.032554</v>
      </c>
      <c r="V157" t="n">
        <v>10.032554</v>
      </c>
      <c r="W157" t="n">
        <v>17.704629</v>
      </c>
      <c r="X157" t="n">
        <v>72.854687</v>
      </c>
    </row>
    <row r="158">
      <c r="A158" t="inlineStr">
        <is>
          <t>Kajikia audax</t>
        </is>
      </c>
      <c r="B158" t="n">
        <v>4.58</v>
      </c>
      <c r="C158" t="n">
        <v>3801.893963</v>
      </c>
      <c r="D158" t="inlineStr">
        <is>
          <t>Piscivores</t>
        </is>
      </c>
      <c r="E158" t="n">
        <v>0</v>
      </c>
      <c r="F158" t="n">
        <v>304.388999</v>
      </c>
      <c r="G158" t="n">
        <v>2.268309</v>
      </c>
      <c r="H158" t="n">
        <v>2.300314</v>
      </c>
      <c r="I158" t="n">
        <v>249.259877</v>
      </c>
      <c r="J158" t="n">
        <v>251.428736</v>
      </c>
      <c r="K158" t="n">
        <v>202.148704</v>
      </c>
      <c r="L158" t="n">
        <v>282.597002</v>
      </c>
      <c r="M158" t="n">
        <v>282.597002</v>
      </c>
      <c r="N158" t="n">
        <v>286.033173</v>
      </c>
      <c r="O158" t="n">
        <v>49.797649</v>
      </c>
      <c r="P158" t="n">
        <v>25.643377</v>
      </c>
      <c r="Q158" t="n">
        <v>286.033173</v>
      </c>
      <c r="R158" t="n">
        <v>282.597002</v>
      </c>
      <c r="S158" t="n">
        <v>49.797649</v>
      </c>
      <c r="T158" t="n">
        <v>49.797649</v>
      </c>
      <c r="U158" t="n">
        <v>25.643377</v>
      </c>
      <c r="V158" t="n">
        <v>25.643377</v>
      </c>
      <c r="W158" t="n">
        <v>51.082514</v>
      </c>
      <c r="X158" t="n">
        <v>274.518943</v>
      </c>
    </row>
    <row r="159">
      <c r="A159" t="inlineStr">
        <is>
          <t>Clupea pallasii</t>
        </is>
      </c>
      <c r="B159" t="n">
        <v>3.16</v>
      </c>
      <c r="C159" t="n">
        <v>144.543977</v>
      </c>
      <c r="D159" t="inlineStr">
        <is>
          <t>Planktivores</t>
        </is>
      </c>
      <c r="E159" t="n">
        <v>0</v>
      </c>
      <c r="F159" t="n">
        <v>100.997642</v>
      </c>
      <c r="G159" t="n">
        <v>1.93677</v>
      </c>
      <c r="H159" t="n">
        <v>1.93149</v>
      </c>
      <c r="I159" t="n">
        <v>53.479795</v>
      </c>
      <c r="J159" t="n">
        <v>53.479795</v>
      </c>
      <c r="K159" t="n">
        <v>53.372836</v>
      </c>
      <c r="L159" t="n">
        <v>51.741399</v>
      </c>
      <c r="M159" t="n">
        <v>51.741399</v>
      </c>
      <c r="N159" t="n">
        <v>52.283119</v>
      </c>
      <c r="O159" t="n">
        <v>17.749881</v>
      </c>
      <c r="P159" t="n">
        <v>11.404035</v>
      </c>
      <c r="Q159" t="n">
        <v>52.283119</v>
      </c>
      <c r="R159" t="n">
        <v>51.741399</v>
      </c>
      <c r="S159" t="n">
        <v>17.749881</v>
      </c>
      <c r="T159" t="n">
        <v>17.749881</v>
      </c>
      <c r="U159" t="n">
        <v>11.404035</v>
      </c>
      <c r="V159" t="n">
        <v>11.404035</v>
      </c>
      <c r="W159" t="n">
        <v>17.839302</v>
      </c>
      <c r="X159" t="n">
        <v>54.129601</v>
      </c>
    </row>
    <row r="160">
      <c r="A160" t="inlineStr">
        <is>
          <t>Sepia</t>
        </is>
      </c>
      <c r="B160" t="n">
        <v>3.69</v>
      </c>
      <c r="C160" t="n">
        <v>489.778819</v>
      </c>
      <c r="D160" t="inlineStr">
        <is>
          <t>Cephalopods</t>
        </is>
      </c>
      <c r="E160" t="n">
        <v>0</v>
      </c>
      <c r="F160" t="n">
        <v>65.929169</v>
      </c>
      <c r="G160" t="n">
        <v>1.821994</v>
      </c>
      <c r="H160" t="n">
        <v>1.839433</v>
      </c>
      <c r="I160" t="n">
        <v>38.382342</v>
      </c>
      <c r="J160" t="n">
        <v>38.382342</v>
      </c>
      <c r="K160" t="n">
        <v>37.768225</v>
      </c>
      <c r="L160" t="n">
        <v>36.734327</v>
      </c>
      <c r="M160" t="n">
        <v>36.734327</v>
      </c>
      <c r="N160" t="n">
        <v>37.111337</v>
      </c>
      <c r="O160" t="n">
        <v>12.794003</v>
      </c>
      <c r="P160" t="n">
        <v>8.242232</v>
      </c>
      <c r="Q160" t="n">
        <v>37.111337</v>
      </c>
      <c r="R160" t="n">
        <v>36.734327</v>
      </c>
      <c r="S160" t="n">
        <v>12.794003</v>
      </c>
      <c r="T160" t="n">
        <v>12.794003</v>
      </c>
      <c r="U160" t="n">
        <v>8.242232</v>
      </c>
      <c r="V160" t="n">
        <v>8.242232</v>
      </c>
      <c r="W160" t="n">
        <v>12.757448</v>
      </c>
      <c r="X160" t="n">
        <v>38.53303</v>
      </c>
    </row>
    <row r="161">
      <c r="A161" t="inlineStr">
        <is>
          <t>Haliotidae</t>
        </is>
      </c>
      <c r="B161" t="n">
        <v>2</v>
      </c>
      <c r="C161" t="n">
        <v>10</v>
      </c>
      <c r="D161" t="inlineStr">
        <is>
          <t>Mollusks</t>
        </is>
      </c>
      <c r="E161" t="n">
        <v>0</v>
      </c>
      <c r="F161" t="n">
        <v>14.497407</v>
      </c>
      <c r="G161" t="n">
        <v>1.466668</v>
      </c>
      <c r="H161" t="n">
        <v>1.466497</v>
      </c>
      <c r="I161" t="n">
        <v>17.850747</v>
      </c>
      <c r="J161" t="n">
        <v>17.850747</v>
      </c>
      <c r="K161" t="n">
        <v>5.355224</v>
      </c>
      <c r="L161" t="n">
        <v>17.186608</v>
      </c>
      <c r="M161" t="n">
        <v>17.186608</v>
      </c>
      <c r="N161" t="n">
        <v>17.598965</v>
      </c>
      <c r="O161" t="n">
        <v>3.995111</v>
      </c>
      <c r="P161" t="n">
        <v>2.967513</v>
      </c>
      <c r="Q161" t="n">
        <v>17.598965</v>
      </c>
      <c r="R161" t="n">
        <v>17.186608</v>
      </c>
      <c r="S161" t="n">
        <v>3.995111</v>
      </c>
      <c r="T161" t="n">
        <v>3.995111</v>
      </c>
      <c r="U161" t="n">
        <v>2.967513</v>
      </c>
      <c r="V161" t="n">
        <v>2.967513</v>
      </c>
      <c r="W161" t="n">
        <v>3.990277</v>
      </c>
      <c r="X161" t="n">
        <v>17.941416</v>
      </c>
    </row>
    <row r="162">
      <c r="A162" t="inlineStr">
        <is>
          <t>Metapenaeus</t>
        </is>
      </c>
      <c r="B162" t="n">
        <v>2.7</v>
      </c>
      <c r="C162" t="n">
        <v>50.118723</v>
      </c>
      <c r="D162" t="inlineStr">
        <is>
          <t>Shrimps</t>
        </is>
      </c>
      <c r="E162" t="n">
        <v>0</v>
      </c>
      <c r="F162" t="n">
        <v>20.606299</v>
      </c>
      <c r="G162" t="n">
        <v>1.542427</v>
      </c>
      <c r="H162" t="n">
        <v>1.561295</v>
      </c>
      <c r="I162" t="n">
        <v>15.075177</v>
      </c>
      <c r="J162" t="n">
        <v>15.075177</v>
      </c>
      <c r="K162" t="n">
        <v>15.060102</v>
      </c>
      <c r="L162" t="n">
        <v>13.927162</v>
      </c>
      <c r="M162" t="n">
        <v>13.927162</v>
      </c>
      <c r="N162" t="n">
        <v>14.183251</v>
      </c>
      <c r="O162" t="n">
        <v>7.969433</v>
      </c>
      <c r="P162" t="n">
        <v>5.681336</v>
      </c>
      <c r="Q162" t="n">
        <v>14.183251</v>
      </c>
      <c r="R162" t="n">
        <v>13.927162</v>
      </c>
      <c r="S162" t="n">
        <v>7.969433</v>
      </c>
      <c r="T162" t="n">
        <v>7.969433</v>
      </c>
      <c r="U162" t="n">
        <v>5.681336</v>
      </c>
      <c r="V162" t="n">
        <v>5.681336</v>
      </c>
      <c r="W162" t="n">
        <v>8.136905</v>
      </c>
      <c r="X162" t="n">
        <v>14.885026</v>
      </c>
    </row>
    <row r="163">
      <c r="A163" t="inlineStr">
        <is>
          <t>Serranidae</t>
        </is>
      </c>
      <c r="B163" t="n">
        <v>3.98</v>
      </c>
      <c r="C163" t="n">
        <v>954.992586</v>
      </c>
      <c r="D163" t="inlineStr">
        <is>
          <t>Piscivores</t>
        </is>
      </c>
      <c r="E163" t="n">
        <v>0</v>
      </c>
      <c r="F163" t="n">
        <v>304.388999</v>
      </c>
      <c r="G163" t="n">
        <v>2.268309</v>
      </c>
      <c r="H163" t="n">
        <v>2.300314</v>
      </c>
      <c r="I163" t="n">
        <v>249.259877</v>
      </c>
      <c r="J163" t="n">
        <v>251.428736</v>
      </c>
      <c r="K163" t="n">
        <v>202.148704</v>
      </c>
      <c r="L163" t="n">
        <v>282.597002</v>
      </c>
      <c r="M163" t="n">
        <v>282.597002</v>
      </c>
      <c r="N163" t="n">
        <v>286.033173</v>
      </c>
      <c r="O163" t="n">
        <v>49.797649</v>
      </c>
      <c r="P163" t="n">
        <v>25.643377</v>
      </c>
      <c r="Q163" t="n">
        <v>286.033173</v>
      </c>
      <c r="R163" t="n">
        <v>282.597002</v>
      </c>
      <c r="S163" t="n">
        <v>49.797649</v>
      </c>
      <c r="T163" t="n">
        <v>49.797649</v>
      </c>
      <c r="U163" t="n">
        <v>25.643377</v>
      </c>
      <c r="V163" t="n">
        <v>25.643377</v>
      </c>
      <c r="W163" t="n">
        <v>51.082514</v>
      </c>
      <c r="X163" t="n">
        <v>274.518943</v>
      </c>
    </row>
    <row r="164">
      <c r="A164" t="inlineStr">
        <is>
          <t>Pleuronectiformes</t>
        </is>
      </c>
      <c r="B164" t="n">
        <v>3.57</v>
      </c>
      <c r="C164" t="n">
        <v>371.535229</v>
      </c>
      <c r="D164" t="inlineStr">
        <is>
          <t>Benthivores | Benthivores/piscivores</t>
        </is>
      </c>
      <c r="E164" t="n">
        <v>0</v>
      </c>
      <c r="F164" t="n">
        <v>105.627174</v>
      </c>
      <c r="G164" t="n">
        <v>1.935647</v>
      </c>
      <c r="H164" t="n">
        <v>1.950745</v>
      </c>
      <c r="I164" t="n">
        <v>35.127516</v>
      </c>
      <c r="J164" t="n">
        <v>35.944164</v>
      </c>
      <c r="K164" t="n">
        <v>35.564732</v>
      </c>
      <c r="L164" t="n">
        <v>191.216462</v>
      </c>
      <c r="M164" t="n">
        <v>191.216462</v>
      </c>
      <c r="N164" t="n">
        <v>194.361905</v>
      </c>
      <c r="O164" t="n">
        <v>15.131318</v>
      </c>
      <c r="P164" t="n">
        <v>9.058182</v>
      </c>
      <c r="Q164" t="n">
        <v>194.361905</v>
      </c>
      <c r="R164" t="n">
        <v>191.216462</v>
      </c>
      <c r="S164" t="n">
        <v>15.131318</v>
      </c>
      <c r="T164" t="n">
        <v>15.131318</v>
      </c>
      <c r="U164" t="n">
        <v>9.058182</v>
      </c>
      <c r="V164" t="n">
        <v>9.058182</v>
      </c>
      <c r="W164" t="n">
        <v>15.571657</v>
      </c>
      <c r="X164" t="n">
        <v>38.761547</v>
      </c>
    </row>
    <row r="165">
      <c r="A165" t="inlineStr">
        <is>
          <t>Scomberomorus commerson</t>
        </is>
      </c>
      <c r="B165" t="n">
        <v>4.5</v>
      </c>
      <c r="C165" t="n">
        <v>3162.27766</v>
      </c>
      <c r="D165" t="inlineStr">
        <is>
          <t>Piscivores</t>
        </is>
      </c>
      <c r="E165" t="n">
        <v>0</v>
      </c>
      <c r="F165" t="n">
        <v>304.388999</v>
      </c>
      <c r="G165" t="n">
        <v>2.268309</v>
      </c>
      <c r="H165" t="n">
        <v>2.300314</v>
      </c>
      <c r="I165" t="n">
        <v>249.259877</v>
      </c>
      <c r="J165" t="n">
        <v>251.428736</v>
      </c>
      <c r="K165" t="n">
        <v>202.148704</v>
      </c>
      <c r="L165" t="n">
        <v>282.597002</v>
      </c>
      <c r="M165" t="n">
        <v>282.597002</v>
      </c>
      <c r="N165" t="n">
        <v>286.033173</v>
      </c>
      <c r="O165" t="n">
        <v>49.797649</v>
      </c>
      <c r="P165" t="n">
        <v>25.643377</v>
      </c>
      <c r="Q165" t="n">
        <v>286.033173</v>
      </c>
      <c r="R165" t="n">
        <v>282.597002</v>
      </c>
      <c r="S165" t="n">
        <v>49.797649</v>
      </c>
      <c r="T165" t="n">
        <v>49.797649</v>
      </c>
      <c r="U165" t="n">
        <v>25.643377</v>
      </c>
      <c r="V165" t="n">
        <v>25.643377</v>
      </c>
      <c r="W165" t="n">
        <v>51.082514</v>
      </c>
      <c r="X165" t="n">
        <v>274.518943</v>
      </c>
    </row>
    <row r="166">
      <c r="A166" t="inlineStr">
        <is>
          <t>Engraulidae</t>
        </is>
      </c>
      <c r="B166" t="n">
        <v>3.2</v>
      </c>
      <c r="C166" t="n">
        <v>158.489319</v>
      </c>
      <c r="D166" t="inlineStr">
        <is>
          <t>Planktivores</t>
        </is>
      </c>
      <c r="E166" t="n">
        <v>0</v>
      </c>
      <c r="F166" t="n">
        <v>100.997642</v>
      </c>
      <c r="G166" t="n">
        <v>1.93677</v>
      </c>
      <c r="H166" t="n">
        <v>1.93149</v>
      </c>
      <c r="I166" t="n">
        <v>53.479795</v>
      </c>
      <c r="J166" t="n">
        <v>53.479795</v>
      </c>
      <c r="K166" t="n">
        <v>53.372836</v>
      </c>
      <c r="L166" t="n">
        <v>51.741399</v>
      </c>
      <c r="M166" t="n">
        <v>51.741399</v>
      </c>
      <c r="N166" t="n">
        <v>52.283119</v>
      </c>
      <c r="O166" t="n">
        <v>17.749881</v>
      </c>
      <c r="P166" t="n">
        <v>11.404035</v>
      </c>
      <c r="Q166" t="n">
        <v>52.283119</v>
      </c>
      <c r="R166" t="n">
        <v>51.741399</v>
      </c>
      <c r="S166" t="n">
        <v>17.749881</v>
      </c>
      <c r="T166" t="n">
        <v>17.749881</v>
      </c>
      <c r="U166" t="n">
        <v>11.404035</v>
      </c>
      <c r="V166" t="n">
        <v>11.404035</v>
      </c>
      <c r="W166" t="n">
        <v>17.839302</v>
      </c>
      <c r="X166" t="n">
        <v>54.129601</v>
      </c>
    </row>
    <row r="167">
      <c r="A167" t="inlineStr">
        <is>
          <t>Metapenaeus joyneri</t>
        </is>
      </c>
      <c r="B167" t="n">
        <v>3.2</v>
      </c>
      <c r="C167" t="n">
        <v>158.489319</v>
      </c>
      <c r="D167" t="inlineStr">
        <is>
          <t>Shrimps</t>
        </is>
      </c>
      <c r="E167" t="n">
        <v>0</v>
      </c>
      <c r="F167" t="n">
        <v>20.606299</v>
      </c>
      <c r="G167" t="n">
        <v>1.542427</v>
      </c>
      <c r="H167" t="n">
        <v>1.561295</v>
      </c>
      <c r="I167" t="n">
        <v>15.075177</v>
      </c>
      <c r="J167" t="n">
        <v>15.075177</v>
      </c>
      <c r="K167" t="n">
        <v>15.060102</v>
      </c>
      <c r="L167" t="n">
        <v>13.927162</v>
      </c>
      <c r="M167" t="n">
        <v>13.927162</v>
      </c>
      <c r="N167" t="n">
        <v>14.183251</v>
      </c>
      <c r="O167" t="n">
        <v>7.969433</v>
      </c>
      <c r="P167" t="n">
        <v>5.681336</v>
      </c>
      <c r="Q167" t="n">
        <v>14.183251</v>
      </c>
      <c r="R167" t="n">
        <v>13.927162</v>
      </c>
      <c r="S167" t="n">
        <v>7.969433</v>
      </c>
      <c r="T167" t="n">
        <v>7.969433</v>
      </c>
      <c r="U167" t="n">
        <v>5.681336</v>
      </c>
      <c r="V167" t="n">
        <v>5.681336</v>
      </c>
      <c r="W167" t="n">
        <v>8.136905</v>
      </c>
      <c r="X167" t="n">
        <v>14.885026</v>
      </c>
    </row>
    <row r="168">
      <c r="A168" t="inlineStr">
        <is>
          <t>Kyphosidae</t>
        </is>
      </c>
      <c r="B168" t="n">
        <v>2.19</v>
      </c>
      <c r="C168" t="n">
        <v>15.488166</v>
      </c>
      <c r="D168" t="inlineStr">
        <is>
          <t>Omnivores</t>
        </is>
      </c>
      <c r="E168" t="n">
        <v>0</v>
      </c>
      <c r="F168" t="n">
        <v>131.221463</v>
      </c>
      <c r="G168" t="n">
        <v>2.01077</v>
      </c>
      <c r="H168" t="n">
        <v>2.036134</v>
      </c>
      <c r="I168" t="n">
        <v>66.04435700000001</v>
      </c>
      <c r="J168" t="n">
        <v>68.25582300000001</v>
      </c>
      <c r="K168" t="n">
        <v>68.187568</v>
      </c>
      <c r="L168" t="n">
        <v>72.544996</v>
      </c>
      <c r="M168" t="n">
        <v>72.544996</v>
      </c>
      <c r="N168" t="n">
        <v>73.57283200000001</v>
      </c>
      <c r="O168" t="n">
        <v>17.500018</v>
      </c>
      <c r="P168" t="n">
        <v>10.032554</v>
      </c>
      <c r="Q168" t="n">
        <v>73.57283200000001</v>
      </c>
      <c r="R168" t="n">
        <v>72.544996</v>
      </c>
      <c r="S168" t="n">
        <v>17.500018</v>
      </c>
      <c r="T168" t="n">
        <v>17.500018</v>
      </c>
      <c r="U168" t="n">
        <v>10.032554</v>
      </c>
      <c r="V168" t="n">
        <v>10.032554</v>
      </c>
      <c r="W168" t="n">
        <v>17.704629</v>
      </c>
      <c r="X168" t="n">
        <v>72.854687</v>
      </c>
    </row>
    <row r="169">
      <c r="A169" t="inlineStr">
        <is>
          <t>Marine finfishes not identified</t>
        </is>
      </c>
      <c r="B169" t="n">
        <v>3.23</v>
      </c>
      <c r="C169" t="n">
        <v>169.824365</v>
      </c>
      <c r="D169" t="inlineStr">
        <is>
          <t>Benthivores | Piscivores | Planktivores/piscivores | Benthivores/piscivores | Omnivores</t>
        </is>
      </c>
      <c r="E169" t="n">
        <v>0</v>
      </c>
      <c r="F169" t="n">
        <v>166.961545</v>
      </c>
      <c r="G169" t="n">
        <v>2.045106</v>
      </c>
      <c r="H169" t="n">
        <v>2.060755</v>
      </c>
      <c r="I169" t="n">
        <v>186.169499</v>
      </c>
      <c r="J169" t="n">
        <v>192.680384</v>
      </c>
      <c r="K169" t="n">
        <v>114.316945</v>
      </c>
      <c r="L169" t="n">
        <v>287.676992</v>
      </c>
      <c r="M169" t="n">
        <v>287.676992</v>
      </c>
      <c r="N169" t="n">
        <v>291.908148</v>
      </c>
      <c r="O169" t="n">
        <v>34.836971</v>
      </c>
      <c r="P169" t="n">
        <v>19.545313</v>
      </c>
      <c r="Q169" t="n">
        <v>291.908148</v>
      </c>
      <c r="R169" t="n">
        <v>287.676992</v>
      </c>
      <c r="S169" t="n">
        <v>34.836971</v>
      </c>
      <c r="T169" t="n">
        <v>34.836971</v>
      </c>
      <c r="U169" t="n">
        <v>19.545313</v>
      </c>
      <c r="V169" t="n">
        <v>19.545313</v>
      </c>
      <c r="W169" t="n">
        <v>35.81931</v>
      </c>
      <c r="X169" t="n">
        <v>216.24497</v>
      </c>
    </row>
    <row r="170">
      <c r="A170" t="inlineStr">
        <is>
          <t>Oplegnathus fasciatus</t>
        </is>
      </c>
      <c r="B170" t="n">
        <v>3.55</v>
      </c>
      <c r="C170" t="n">
        <v>354.813389</v>
      </c>
      <c r="D170" t="inlineStr">
        <is>
          <t>Benthivores</t>
        </is>
      </c>
      <c r="E170" t="n">
        <v>0</v>
      </c>
      <c r="F170" t="n">
        <v>67.81478300000001</v>
      </c>
      <c r="G170" t="n">
        <v>1.829368</v>
      </c>
      <c r="H170" t="n">
        <v>1.84033</v>
      </c>
      <c r="I170" t="n">
        <v>33.988491</v>
      </c>
      <c r="J170" t="n">
        <v>35.780255</v>
      </c>
      <c r="K170" t="n">
        <v>35.601354</v>
      </c>
      <c r="L170" t="n">
        <v>385.228839</v>
      </c>
      <c r="M170" t="n">
        <v>385.228839</v>
      </c>
      <c r="N170" t="n">
        <v>391.588003</v>
      </c>
      <c r="O170" t="n">
        <v>16.66963</v>
      </c>
      <c r="P170" t="n">
        <v>9.973879999999999</v>
      </c>
      <c r="Q170" t="n">
        <v>391.588003</v>
      </c>
      <c r="R170" t="n">
        <v>385.228839</v>
      </c>
      <c r="S170" t="n">
        <v>16.66963</v>
      </c>
      <c r="T170" t="n">
        <v>16.66963</v>
      </c>
      <c r="U170" t="n">
        <v>9.973879999999999</v>
      </c>
      <c r="V170" t="n">
        <v>9.973879999999999</v>
      </c>
      <c r="W170" t="n">
        <v>17.246706</v>
      </c>
      <c r="X170" t="n">
        <v>42.474741</v>
      </c>
    </row>
    <row r="171">
      <c r="A171" t="inlineStr">
        <is>
          <t>Cardiidae</t>
        </is>
      </c>
      <c r="B171" t="n">
        <v>2</v>
      </c>
      <c r="C171" t="n">
        <v>10</v>
      </c>
      <c r="D171" t="inlineStr">
        <is>
          <t>Mollusks</t>
        </is>
      </c>
      <c r="E171" t="n">
        <v>0</v>
      </c>
      <c r="F171" t="n">
        <v>14.497407</v>
      </c>
      <c r="G171" t="n">
        <v>1.466668</v>
      </c>
      <c r="H171" t="n">
        <v>1.466497</v>
      </c>
      <c r="I171" t="n">
        <v>17.850747</v>
      </c>
      <c r="J171" t="n">
        <v>17.850747</v>
      </c>
      <c r="K171" t="n">
        <v>5.355224</v>
      </c>
      <c r="L171" t="n">
        <v>17.186608</v>
      </c>
      <c r="M171" t="n">
        <v>17.186608</v>
      </c>
      <c r="N171" t="n">
        <v>17.598965</v>
      </c>
      <c r="O171" t="n">
        <v>3.995111</v>
      </c>
      <c r="P171" t="n">
        <v>2.967513</v>
      </c>
      <c r="Q171" t="n">
        <v>17.598965</v>
      </c>
      <c r="R171" t="n">
        <v>17.186608</v>
      </c>
      <c r="S171" t="n">
        <v>3.995111</v>
      </c>
      <c r="T171" t="n">
        <v>3.995111</v>
      </c>
      <c r="U171" t="n">
        <v>2.967513</v>
      </c>
      <c r="V171" t="n">
        <v>2.967513</v>
      </c>
      <c r="W171" t="n">
        <v>3.990277</v>
      </c>
      <c r="X171" t="n">
        <v>17.941416</v>
      </c>
    </row>
    <row r="172">
      <c r="A172" t="inlineStr">
        <is>
          <t>Lethrinidae</t>
        </is>
      </c>
      <c r="B172" t="n">
        <v>3.59</v>
      </c>
      <c r="C172" t="n">
        <v>389.045145</v>
      </c>
      <c r="D172" t="inlineStr">
        <is>
          <t>Benthivores/piscivores</t>
        </is>
      </c>
      <c r="E172" t="n">
        <v>0</v>
      </c>
      <c r="F172" t="n">
        <v>136.120059</v>
      </c>
      <c r="G172" t="n">
        <v>2.021353</v>
      </c>
      <c r="H172" t="n">
        <v>2.039787</v>
      </c>
      <c r="I172" t="n">
        <v>36.046055</v>
      </c>
      <c r="J172" t="n">
        <v>36.076344</v>
      </c>
      <c r="K172" t="n">
        <v>35.535199</v>
      </c>
      <c r="L172" t="n">
        <v>34.759886</v>
      </c>
      <c r="M172" t="n">
        <v>34.759886</v>
      </c>
      <c r="N172" t="n">
        <v>35.313702</v>
      </c>
      <c r="O172" t="n">
        <v>13.890783</v>
      </c>
      <c r="P172" t="n">
        <v>8.319739999999999</v>
      </c>
      <c r="Q172" t="n">
        <v>35.313702</v>
      </c>
      <c r="R172" t="n">
        <v>34.759886</v>
      </c>
      <c r="S172" t="n">
        <v>13.890783</v>
      </c>
      <c r="T172" t="n">
        <v>13.890783</v>
      </c>
      <c r="U172" t="n">
        <v>8.319739999999999</v>
      </c>
      <c r="V172" t="n">
        <v>8.319739999999999</v>
      </c>
      <c r="W172" t="n">
        <v>14.220855</v>
      </c>
      <c r="X172" t="n">
        <v>35.767132</v>
      </c>
    </row>
    <row r="173">
      <c r="A173" t="inlineStr">
        <is>
          <t>Chondrichthyes</t>
        </is>
      </c>
      <c r="B173" t="n">
        <v>4</v>
      </c>
      <c r="C173" t="n">
        <v>1000</v>
      </c>
      <c r="D173" t="inlineStr">
        <is>
          <t>Sharks | Benthivores</t>
        </is>
      </c>
      <c r="E173" t="n">
        <v>0</v>
      </c>
      <c r="F173" t="n">
        <v>86.734781</v>
      </c>
      <c r="G173" t="n">
        <v>1.845317</v>
      </c>
      <c r="H173" t="n">
        <v>1.856032</v>
      </c>
      <c r="I173" t="n">
        <v>33.396859</v>
      </c>
      <c r="J173" t="n">
        <v>37.813436</v>
      </c>
      <c r="K173" t="n">
        <v>34.981647</v>
      </c>
      <c r="L173" t="n">
        <v>378.523224</v>
      </c>
      <c r="M173" t="n">
        <v>378.523224</v>
      </c>
      <c r="N173" t="n">
        <v>384.771695</v>
      </c>
      <c r="O173" t="n">
        <v>19.951341</v>
      </c>
      <c r="P173" t="n">
        <v>11.433576</v>
      </c>
      <c r="Q173" t="n">
        <v>384.771695</v>
      </c>
      <c r="R173" t="n">
        <v>378.523224</v>
      </c>
      <c r="S173" t="n">
        <v>19.951341</v>
      </c>
      <c r="T173" t="n">
        <v>19.951341</v>
      </c>
      <c r="U173" t="n">
        <v>11.433576</v>
      </c>
      <c r="V173" t="n">
        <v>11.433576</v>
      </c>
      <c r="W173" t="n">
        <v>20.527001</v>
      </c>
      <c r="X173" t="n">
        <v>41.735391</v>
      </c>
    </row>
    <row r="174">
      <c r="A174" t="inlineStr">
        <is>
          <t>Parapristipoma trilineatum</t>
        </is>
      </c>
      <c r="D174" t="inlineStr">
        <is>
          <t>Planktivores/Benthivores</t>
        </is>
      </c>
      <c r="E174" t="n">
        <v>0</v>
      </c>
      <c r="F174" t="n">
        <v>90.84783299999999</v>
      </c>
      <c r="G174" t="n">
        <v>1.907611</v>
      </c>
      <c r="H174" t="n">
        <v>1.91205</v>
      </c>
      <c r="I174" t="n">
        <v>124.271163</v>
      </c>
      <c r="J174" t="n">
        <v>124.271163</v>
      </c>
      <c r="K174" t="n">
        <v>113.832386</v>
      </c>
      <c r="L174" t="n">
        <v>118.840107</v>
      </c>
      <c r="M174" t="n">
        <v>118.840107</v>
      </c>
      <c r="N174" t="n">
        <v>120.054666</v>
      </c>
      <c r="O174" t="n">
        <v>37.420523</v>
      </c>
      <c r="P174" t="n">
        <v>24.182504</v>
      </c>
      <c r="Q174" t="n">
        <v>120.054666</v>
      </c>
      <c r="R174" t="n">
        <v>118.840107</v>
      </c>
      <c r="S174" t="n">
        <v>37.420523</v>
      </c>
      <c r="T174" t="n">
        <v>37.420523</v>
      </c>
      <c r="U174" t="n">
        <v>24.182504</v>
      </c>
      <c r="V174" t="n">
        <v>24.182504</v>
      </c>
      <c r="W174" t="n">
        <v>38.102317</v>
      </c>
      <c r="X174" t="n">
        <v>122.241888</v>
      </c>
    </row>
    <row r="175">
      <c r="A175" t="inlineStr">
        <is>
          <t>Evynnis tumifrons</t>
        </is>
      </c>
      <c r="B175" t="n">
        <v>3.97</v>
      </c>
      <c r="C175" t="n">
        <v>933.2543010000001</v>
      </c>
      <c r="D175" t="inlineStr">
        <is>
          <t>Omnivores</t>
        </is>
      </c>
      <c r="E175" t="n">
        <v>0</v>
      </c>
      <c r="F175" t="n">
        <v>131.221463</v>
      </c>
      <c r="G175" t="n">
        <v>2.01077</v>
      </c>
      <c r="H175" t="n">
        <v>2.036134</v>
      </c>
      <c r="I175" t="n">
        <v>66.04435700000001</v>
      </c>
      <c r="J175" t="n">
        <v>68.25582300000001</v>
      </c>
      <c r="K175" t="n">
        <v>68.187568</v>
      </c>
      <c r="L175" t="n">
        <v>72.544996</v>
      </c>
      <c r="M175" t="n">
        <v>72.544996</v>
      </c>
      <c r="N175" t="n">
        <v>73.57283200000001</v>
      </c>
      <c r="O175" t="n">
        <v>17.500018</v>
      </c>
      <c r="P175" t="n">
        <v>10.032554</v>
      </c>
      <c r="Q175" t="n">
        <v>73.57283200000001</v>
      </c>
      <c r="R175" t="n">
        <v>72.544996</v>
      </c>
      <c r="S175" t="n">
        <v>17.500018</v>
      </c>
      <c r="T175" t="n">
        <v>17.500018</v>
      </c>
      <c r="U175" t="n">
        <v>10.032554</v>
      </c>
      <c r="V175" t="n">
        <v>10.032554</v>
      </c>
      <c r="W175" t="n">
        <v>17.704629</v>
      </c>
      <c r="X175" t="n">
        <v>72.854687</v>
      </c>
    </row>
    <row r="176">
      <c r="A176" t="inlineStr">
        <is>
          <t>Scyllaridae</t>
        </is>
      </c>
      <c r="B176" t="n">
        <v>2.87</v>
      </c>
      <c r="C176" t="n">
        <v>74.131024</v>
      </c>
      <c r="D176" t="inlineStr">
        <is>
          <t>Crabs</t>
        </is>
      </c>
      <c r="E176" t="n">
        <v>0</v>
      </c>
      <c r="F176" t="n">
        <v>21.002175</v>
      </c>
      <c r="G176" t="n">
        <v>1.546636</v>
      </c>
      <c r="H176" t="n">
        <v>1.565985</v>
      </c>
      <c r="I176" t="n">
        <v>12.039474</v>
      </c>
      <c r="J176" t="n">
        <v>12.039474</v>
      </c>
      <c r="K176" t="n">
        <v>11.028158</v>
      </c>
      <c r="L176" t="n">
        <v>11.032425</v>
      </c>
      <c r="M176" t="n">
        <v>11.032425</v>
      </c>
      <c r="N176" t="n">
        <v>11.257068</v>
      </c>
      <c r="O176" t="n">
        <v>7.495998</v>
      </c>
      <c r="P176" t="n">
        <v>5.212079</v>
      </c>
      <c r="Q176" t="n">
        <v>11.257068</v>
      </c>
      <c r="R176" t="n">
        <v>11.032425</v>
      </c>
      <c r="S176" t="n">
        <v>7.495998</v>
      </c>
      <c r="T176" t="n">
        <v>7.495998</v>
      </c>
      <c r="U176" t="n">
        <v>5.212079</v>
      </c>
      <c r="V176" t="n">
        <v>5.212079</v>
      </c>
      <c r="W176" t="n">
        <v>7.53635</v>
      </c>
      <c r="X176" t="n">
        <v>11.035506</v>
      </c>
    </row>
    <row r="177">
      <c r="A177" t="inlineStr">
        <is>
          <t>Xiphias gladius</t>
        </is>
      </c>
      <c r="B177" t="n">
        <v>4.53</v>
      </c>
      <c r="C177" t="n">
        <v>3388.441561</v>
      </c>
      <c r="D177" t="inlineStr">
        <is>
          <t>Piscivores</t>
        </is>
      </c>
      <c r="E177" t="n">
        <v>0</v>
      </c>
      <c r="F177" t="n">
        <v>304.388999</v>
      </c>
      <c r="G177" t="n">
        <v>2.268309</v>
      </c>
      <c r="H177" t="n">
        <v>2.300314</v>
      </c>
      <c r="I177" t="n">
        <v>249.259877</v>
      </c>
      <c r="J177" t="n">
        <v>251.428736</v>
      </c>
      <c r="K177" t="n">
        <v>202.148704</v>
      </c>
      <c r="L177" t="n">
        <v>282.597002</v>
      </c>
      <c r="M177" t="n">
        <v>282.597002</v>
      </c>
      <c r="N177" t="n">
        <v>286.033173</v>
      </c>
      <c r="O177" t="n">
        <v>49.797649</v>
      </c>
      <c r="P177" t="n">
        <v>25.643377</v>
      </c>
      <c r="Q177" t="n">
        <v>286.033173</v>
      </c>
      <c r="R177" t="n">
        <v>282.597002</v>
      </c>
      <c r="S177" t="n">
        <v>49.797649</v>
      </c>
      <c r="T177" t="n">
        <v>49.797649</v>
      </c>
      <c r="U177" t="n">
        <v>25.643377</v>
      </c>
      <c r="V177" t="n">
        <v>25.643377</v>
      </c>
      <c r="W177" t="n">
        <v>51.082514</v>
      </c>
      <c r="X177" t="n">
        <v>274.518943</v>
      </c>
    </row>
    <row r="178">
      <c r="A178" t="inlineStr">
        <is>
          <t>Epinephelus coioides</t>
        </is>
      </c>
      <c r="B178" t="n">
        <v>4</v>
      </c>
      <c r="C178" t="n">
        <v>1000</v>
      </c>
      <c r="D178" t="inlineStr">
        <is>
          <t>Piscivores</t>
        </is>
      </c>
      <c r="E178" t="n">
        <v>0</v>
      </c>
      <c r="F178" t="n">
        <v>304.388999</v>
      </c>
      <c r="G178" t="n">
        <v>2.268309</v>
      </c>
      <c r="H178" t="n">
        <v>2.300314</v>
      </c>
      <c r="I178" t="n">
        <v>249.259877</v>
      </c>
      <c r="J178" t="n">
        <v>251.428736</v>
      </c>
      <c r="K178" t="n">
        <v>202.148704</v>
      </c>
      <c r="L178" t="n">
        <v>282.597002</v>
      </c>
      <c r="M178" t="n">
        <v>282.597002</v>
      </c>
      <c r="N178" t="n">
        <v>286.033173</v>
      </c>
      <c r="O178" t="n">
        <v>49.797649</v>
      </c>
      <c r="P178" t="n">
        <v>25.643377</v>
      </c>
      <c r="Q178" t="n">
        <v>286.033173</v>
      </c>
      <c r="R178" t="n">
        <v>282.597002</v>
      </c>
      <c r="S178" t="n">
        <v>49.797649</v>
      </c>
      <c r="T178" t="n">
        <v>49.797649</v>
      </c>
      <c r="U178" t="n">
        <v>25.643377</v>
      </c>
      <c r="V178" t="n">
        <v>25.643377</v>
      </c>
      <c r="W178" t="n">
        <v>51.082514</v>
      </c>
      <c r="X178" t="n">
        <v>274.518943</v>
      </c>
    </row>
    <row r="179">
      <c r="A179" t="inlineStr">
        <is>
          <t>Gobiidae</t>
        </is>
      </c>
      <c r="B179" t="n">
        <v>3.11</v>
      </c>
      <c r="C179" t="n">
        <v>128.824955</v>
      </c>
      <c r="D179" t="inlineStr">
        <is>
          <t>Benthivores</t>
        </is>
      </c>
      <c r="E179" t="n">
        <v>0</v>
      </c>
      <c r="F179" t="n">
        <v>67.81478300000001</v>
      </c>
      <c r="G179" t="n">
        <v>1.829368</v>
      </c>
      <c r="H179" t="n">
        <v>1.84033</v>
      </c>
      <c r="I179" t="n">
        <v>33.988491</v>
      </c>
      <c r="J179" t="n">
        <v>35.780255</v>
      </c>
      <c r="K179" t="n">
        <v>35.601354</v>
      </c>
      <c r="L179" t="n">
        <v>385.228839</v>
      </c>
      <c r="M179" t="n">
        <v>385.228839</v>
      </c>
      <c r="N179" t="n">
        <v>391.588003</v>
      </c>
      <c r="O179" t="n">
        <v>16.66963</v>
      </c>
      <c r="P179" t="n">
        <v>9.973879999999999</v>
      </c>
      <c r="Q179" t="n">
        <v>391.588003</v>
      </c>
      <c r="R179" t="n">
        <v>385.228839</v>
      </c>
      <c r="S179" t="n">
        <v>16.66963</v>
      </c>
      <c r="T179" t="n">
        <v>16.66963</v>
      </c>
      <c r="U179" t="n">
        <v>9.973879999999999</v>
      </c>
      <c r="V179" t="n">
        <v>9.973879999999999</v>
      </c>
      <c r="W179" t="n">
        <v>17.246706</v>
      </c>
      <c r="X179" t="n">
        <v>42.474741</v>
      </c>
    </row>
    <row r="180">
      <c r="A180" t="inlineStr">
        <is>
          <t>Ariomma indica</t>
        </is>
      </c>
      <c r="B180" t="n">
        <v>3.63</v>
      </c>
      <c r="C180" t="n">
        <v>426.579519</v>
      </c>
      <c r="D180" t="inlineStr">
        <is>
          <t>Planktivores/piscivores</t>
        </is>
      </c>
      <c r="E180" t="n">
        <v>0</v>
      </c>
      <c r="F180" t="n">
        <v>123.077794</v>
      </c>
      <c r="G180" t="n">
        <v>1.992402</v>
      </c>
      <c r="H180" t="n">
        <v>1.97781</v>
      </c>
      <c r="I180" t="n">
        <v>560.299311</v>
      </c>
      <c r="J180" t="n">
        <v>592.272682</v>
      </c>
      <c r="K180" t="n">
        <v>209.072257</v>
      </c>
      <c r="L180" t="n">
        <v>660.166914</v>
      </c>
      <c r="M180" t="n">
        <v>660.166914</v>
      </c>
      <c r="N180" t="n">
        <v>670.165526</v>
      </c>
      <c r="O180" t="n">
        <v>72.857719</v>
      </c>
      <c r="P180" t="n">
        <v>43.071646</v>
      </c>
      <c r="Q180" t="n">
        <v>670.165526</v>
      </c>
      <c r="R180" t="n">
        <v>660.166914</v>
      </c>
      <c r="S180" t="n">
        <v>72.857719</v>
      </c>
      <c r="T180" t="n">
        <v>72.857719</v>
      </c>
      <c r="U180" t="n">
        <v>43.071646</v>
      </c>
      <c r="V180" t="n">
        <v>43.071646</v>
      </c>
      <c r="W180" t="n">
        <v>75.193746</v>
      </c>
      <c r="X180" t="n">
        <v>683.804243</v>
      </c>
    </row>
    <row r="181">
      <c r="A181" t="inlineStr">
        <is>
          <t>Platycaranx talamparoides</t>
        </is>
      </c>
      <c r="B181" t="n">
        <v>4.4</v>
      </c>
      <c r="C181" t="n">
        <v>2511.886432</v>
      </c>
      <c r="D181" t="inlineStr">
        <is>
          <t>Planktivores/piscivores</t>
        </is>
      </c>
      <c r="E181" t="n">
        <v>0</v>
      </c>
      <c r="F181" t="n">
        <v>123.077794</v>
      </c>
      <c r="G181" t="n">
        <v>1.992402</v>
      </c>
      <c r="H181" t="n">
        <v>1.97781</v>
      </c>
      <c r="I181" t="n">
        <v>560.299311</v>
      </c>
      <c r="J181" t="n">
        <v>592.272682</v>
      </c>
      <c r="K181" t="n">
        <v>209.072257</v>
      </c>
      <c r="L181" t="n">
        <v>660.166914</v>
      </c>
      <c r="M181" t="n">
        <v>660.166914</v>
      </c>
      <c r="N181" t="n">
        <v>670.165526</v>
      </c>
      <c r="O181" t="n">
        <v>72.857719</v>
      </c>
      <c r="P181" t="n">
        <v>43.071646</v>
      </c>
      <c r="Q181" t="n">
        <v>670.165526</v>
      </c>
      <c r="R181" t="n">
        <v>660.166914</v>
      </c>
      <c r="S181" t="n">
        <v>72.857719</v>
      </c>
      <c r="T181" t="n">
        <v>72.857719</v>
      </c>
      <c r="U181" t="n">
        <v>43.071646</v>
      </c>
      <c r="V181" t="n">
        <v>43.071646</v>
      </c>
      <c r="W181" t="n">
        <v>75.193746</v>
      </c>
      <c r="X181" t="n">
        <v>683.804243</v>
      </c>
    </row>
    <row r="182">
      <c r="A182" t="inlineStr">
        <is>
          <t>Decapterus russelli</t>
        </is>
      </c>
      <c r="B182" t="n">
        <v>3.68</v>
      </c>
      <c r="C182" t="n">
        <v>478.630092</v>
      </c>
      <c r="D182" t="inlineStr">
        <is>
          <t>Planktivores/piscivores</t>
        </is>
      </c>
      <c r="E182" t="n">
        <v>0</v>
      </c>
      <c r="F182" t="n">
        <v>123.077794</v>
      </c>
      <c r="G182" t="n">
        <v>1.992402</v>
      </c>
      <c r="H182" t="n">
        <v>1.97781</v>
      </c>
      <c r="I182" t="n">
        <v>560.299311</v>
      </c>
      <c r="J182" t="n">
        <v>592.272682</v>
      </c>
      <c r="K182" t="n">
        <v>209.072257</v>
      </c>
      <c r="L182" t="n">
        <v>660.166914</v>
      </c>
      <c r="M182" t="n">
        <v>660.166914</v>
      </c>
      <c r="N182" t="n">
        <v>670.165526</v>
      </c>
      <c r="O182" t="n">
        <v>72.857719</v>
      </c>
      <c r="P182" t="n">
        <v>43.071646</v>
      </c>
      <c r="Q182" t="n">
        <v>670.165526</v>
      </c>
      <c r="R182" t="n">
        <v>660.166914</v>
      </c>
      <c r="S182" t="n">
        <v>72.857719</v>
      </c>
      <c r="T182" t="n">
        <v>72.857719</v>
      </c>
      <c r="U182" t="n">
        <v>43.071646</v>
      </c>
      <c r="V182" t="n">
        <v>43.071646</v>
      </c>
      <c r="W182" t="n">
        <v>75.193746</v>
      </c>
      <c r="X182" t="n">
        <v>683.804243</v>
      </c>
    </row>
    <row r="183">
      <c r="A183" t="inlineStr">
        <is>
          <t>Panulirus</t>
        </is>
      </c>
      <c r="D183" t="inlineStr">
        <is>
          <t>Crabs</t>
        </is>
      </c>
      <c r="E183" t="n">
        <v>0</v>
      </c>
      <c r="F183" t="n">
        <v>21.002175</v>
      </c>
      <c r="G183" t="n">
        <v>1.546636</v>
      </c>
      <c r="H183" t="n">
        <v>1.565985</v>
      </c>
      <c r="I183" t="n">
        <v>12.039474</v>
      </c>
      <c r="J183" t="n">
        <v>12.039474</v>
      </c>
      <c r="K183" t="n">
        <v>11.028158</v>
      </c>
      <c r="L183" t="n">
        <v>11.032425</v>
      </c>
      <c r="M183" t="n">
        <v>11.032425</v>
      </c>
      <c r="N183" t="n">
        <v>11.257068</v>
      </c>
      <c r="O183" t="n">
        <v>7.495998</v>
      </c>
      <c r="P183" t="n">
        <v>5.212079</v>
      </c>
      <c r="Q183" t="n">
        <v>11.257068</v>
      </c>
      <c r="R183" t="n">
        <v>11.032425</v>
      </c>
      <c r="S183" t="n">
        <v>7.495998</v>
      </c>
      <c r="T183" t="n">
        <v>7.495998</v>
      </c>
      <c r="U183" t="n">
        <v>5.212079</v>
      </c>
      <c r="V183" t="n">
        <v>5.212079</v>
      </c>
      <c r="W183" t="n">
        <v>7.53635</v>
      </c>
      <c r="X183" t="n">
        <v>11.035506</v>
      </c>
    </row>
    <row r="184">
      <c r="A184" t="inlineStr">
        <is>
          <t>Niphon spinosus</t>
        </is>
      </c>
      <c r="B184" t="n">
        <v>4.5</v>
      </c>
      <c r="C184" t="n">
        <v>3162.27766</v>
      </c>
      <c r="D184" t="inlineStr">
        <is>
          <t>Piscivores</t>
        </is>
      </c>
      <c r="E184" t="n">
        <v>0</v>
      </c>
      <c r="F184" t="n">
        <v>304.388999</v>
      </c>
      <c r="G184" t="n">
        <v>2.268309</v>
      </c>
      <c r="H184" t="n">
        <v>2.300314</v>
      </c>
      <c r="I184" t="n">
        <v>249.259877</v>
      </c>
      <c r="J184" t="n">
        <v>251.428736</v>
      </c>
      <c r="K184" t="n">
        <v>202.148704</v>
      </c>
      <c r="L184" t="n">
        <v>282.597002</v>
      </c>
      <c r="M184" t="n">
        <v>282.597002</v>
      </c>
      <c r="N184" t="n">
        <v>286.033173</v>
      </c>
      <c r="O184" t="n">
        <v>49.797649</v>
      </c>
      <c r="P184" t="n">
        <v>25.643377</v>
      </c>
      <c r="Q184" t="n">
        <v>286.033173</v>
      </c>
      <c r="R184" t="n">
        <v>282.597002</v>
      </c>
      <c r="S184" t="n">
        <v>49.797649</v>
      </c>
      <c r="T184" t="n">
        <v>49.797649</v>
      </c>
      <c r="U184" t="n">
        <v>25.643377</v>
      </c>
      <c r="V184" t="n">
        <v>25.643377</v>
      </c>
      <c r="W184" t="n">
        <v>51.082514</v>
      </c>
      <c r="X184" t="n">
        <v>274.518943</v>
      </c>
    </row>
    <row r="185">
      <c r="A185" t="inlineStr">
        <is>
          <t>Chanos chanos</t>
        </is>
      </c>
      <c r="B185" t="n">
        <v>2.03</v>
      </c>
      <c r="C185" t="n">
        <v>10.715193</v>
      </c>
      <c r="D185" t="inlineStr">
        <is>
          <t>Omnivores</t>
        </is>
      </c>
      <c r="E185" t="n">
        <v>0</v>
      </c>
      <c r="F185" t="n">
        <v>131.221463</v>
      </c>
      <c r="G185" t="n">
        <v>2.01077</v>
      </c>
      <c r="H185" t="n">
        <v>2.036134</v>
      </c>
      <c r="I185" t="n">
        <v>66.04435700000001</v>
      </c>
      <c r="J185" t="n">
        <v>68.25582300000001</v>
      </c>
      <c r="K185" t="n">
        <v>68.187568</v>
      </c>
      <c r="L185" t="n">
        <v>72.544996</v>
      </c>
      <c r="M185" t="n">
        <v>72.544996</v>
      </c>
      <c r="N185" t="n">
        <v>73.57283200000001</v>
      </c>
      <c r="O185" t="n">
        <v>17.500018</v>
      </c>
      <c r="P185" t="n">
        <v>10.032554</v>
      </c>
      <c r="Q185" t="n">
        <v>73.57283200000001</v>
      </c>
      <c r="R185" t="n">
        <v>72.544996</v>
      </c>
      <c r="S185" t="n">
        <v>17.500018</v>
      </c>
      <c r="T185" t="n">
        <v>17.500018</v>
      </c>
      <c r="U185" t="n">
        <v>10.032554</v>
      </c>
      <c r="V185" t="n">
        <v>10.032554</v>
      </c>
      <c r="W185" t="n">
        <v>17.704629</v>
      </c>
      <c r="X185" t="n">
        <v>72.854687</v>
      </c>
    </row>
    <row r="186">
      <c r="A186" t="inlineStr">
        <is>
          <t>Istiompax indica</t>
        </is>
      </c>
      <c r="B186" t="n">
        <v>4.5</v>
      </c>
      <c r="C186" t="n">
        <v>3162.27766</v>
      </c>
      <c r="D186" t="inlineStr">
        <is>
          <t>Piscivores</t>
        </is>
      </c>
      <c r="E186" t="n">
        <v>0</v>
      </c>
      <c r="F186" t="n">
        <v>304.388999</v>
      </c>
      <c r="G186" t="n">
        <v>2.268309</v>
      </c>
      <c r="H186" t="n">
        <v>2.300314</v>
      </c>
      <c r="I186" t="n">
        <v>249.259877</v>
      </c>
      <c r="J186" t="n">
        <v>251.428736</v>
      </c>
      <c r="K186" t="n">
        <v>202.148704</v>
      </c>
      <c r="L186" t="n">
        <v>282.597002</v>
      </c>
      <c r="M186" t="n">
        <v>282.597002</v>
      </c>
      <c r="N186" t="n">
        <v>286.033173</v>
      </c>
      <c r="O186" t="n">
        <v>49.797649</v>
      </c>
      <c r="P186" t="n">
        <v>25.643377</v>
      </c>
      <c r="Q186" t="n">
        <v>286.033173</v>
      </c>
      <c r="R186" t="n">
        <v>282.597002</v>
      </c>
      <c r="S186" t="n">
        <v>49.797649</v>
      </c>
      <c r="T186" t="n">
        <v>49.797649</v>
      </c>
      <c r="U186" t="n">
        <v>25.643377</v>
      </c>
      <c r="V186" t="n">
        <v>25.643377</v>
      </c>
      <c r="W186" t="n">
        <v>51.082514</v>
      </c>
      <c r="X186" t="n">
        <v>274.518943</v>
      </c>
    </row>
    <row r="187">
      <c r="A187" t="inlineStr">
        <is>
          <t>Panulirus longipes</t>
        </is>
      </c>
      <c r="B187" t="n">
        <v>2.6</v>
      </c>
      <c r="C187" t="n">
        <v>39.810717</v>
      </c>
      <c r="D187" t="inlineStr">
        <is>
          <t>Crabs</t>
        </is>
      </c>
      <c r="E187" t="n">
        <v>0</v>
      </c>
      <c r="F187" t="n">
        <v>21.002175</v>
      </c>
      <c r="G187" t="n">
        <v>1.546636</v>
      </c>
      <c r="H187" t="n">
        <v>1.565985</v>
      </c>
      <c r="I187" t="n">
        <v>12.039474</v>
      </c>
      <c r="J187" t="n">
        <v>12.039474</v>
      </c>
      <c r="K187" t="n">
        <v>11.028158</v>
      </c>
      <c r="L187" t="n">
        <v>11.032425</v>
      </c>
      <c r="M187" t="n">
        <v>11.032425</v>
      </c>
      <c r="N187" t="n">
        <v>11.257068</v>
      </c>
      <c r="O187" t="n">
        <v>7.495998</v>
      </c>
      <c r="P187" t="n">
        <v>5.212079</v>
      </c>
      <c r="Q187" t="n">
        <v>11.257068</v>
      </c>
      <c r="R187" t="n">
        <v>11.032425</v>
      </c>
      <c r="S187" t="n">
        <v>7.495998</v>
      </c>
      <c r="T187" t="n">
        <v>7.495998</v>
      </c>
      <c r="U187" t="n">
        <v>5.212079</v>
      </c>
      <c r="V187" t="n">
        <v>5.212079</v>
      </c>
      <c r="W187" t="n">
        <v>7.53635</v>
      </c>
      <c r="X187" t="n">
        <v>11.035506</v>
      </c>
    </row>
    <row r="188">
      <c r="A188" t="inlineStr">
        <is>
          <t>Sillaginidae</t>
        </is>
      </c>
      <c r="B188" t="n">
        <v>3.25</v>
      </c>
      <c r="C188" t="n">
        <v>177.827941</v>
      </c>
      <c r="D188" t="inlineStr">
        <is>
          <t>Benthivores</t>
        </is>
      </c>
      <c r="E188" t="n">
        <v>0</v>
      </c>
      <c r="F188" t="n">
        <v>67.81478300000001</v>
      </c>
      <c r="G188" t="n">
        <v>1.829368</v>
      </c>
      <c r="H188" t="n">
        <v>1.84033</v>
      </c>
      <c r="I188" t="n">
        <v>33.988491</v>
      </c>
      <c r="J188" t="n">
        <v>35.780255</v>
      </c>
      <c r="K188" t="n">
        <v>35.601354</v>
      </c>
      <c r="L188" t="n">
        <v>385.228839</v>
      </c>
      <c r="M188" t="n">
        <v>385.228839</v>
      </c>
      <c r="N188" t="n">
        <v>391.588003</v>
      </c>
      <c r="O188" t="n">
        <v>16.66963</v>
      </c>
      <c r="P188" t="n">
        <v>9.973879999999999</v>
      </c>
      <c r="Q188" t="n">
        <v>391.588003</v>
      </c>
      <c r="R188" t="n">
        <v>385.228839</v>
      </c>
      <c r="S188" t="n">
        <v>16.66963</v>
      </c>
      <c r="T188" t="n">
        <v>16.66963</v>
      </c>
      <c r="U188" t="n">
        <v>9.973879999999999</v>
      </c>
      <c r="V188" t="n">
        <v>9.973879999999999</v>
      </c>
      <c r="W188" t="n">
        <v>17.246706</v>
      </c>
      <c r="X188" t="n">
        <v>42.474741</v>
      </c>
    </row>
    <row r="189">
      <c r="A189" t="inlineStr">
        <is>
          <t>Lateolabracidae</t>
        </is>
      </c>
      <c r="B189" t="n">
        <v>3.78</v>
      </c>
      <c r="C189" t="n">
        <v>602.559586</v>
      </c>
      <c r="D189" t="inlineStr">
        <is>
          <t>Benthivores/piscivores</t>
        </is>
      </c>
      <c r="E189" t="n">
        <v>0</v>
      </c>
      <c r="F189" t="n">
        <v>136.120059</v>
      </c>
      <c r="G189" t="n">
        <v>2.021353</v>
      </c>
      <c r="H189" t="n">
        <v>2.039787</v>
      </c>
      <c r="I189" t="n">
        <v>36.046055</v>
      </c>
      <c r="J189" t="n">
        <v>36.076344</v>
      </c>
      <c r="K189" t="n">
        <v>35.535199</v>
      </c>
      <c r="L189" t="n">
        <v>34.759886</v>
      </c>
      <c r="M189" t="n">
        <v>34.759886</v>
      </c>
      <c r="N189" t="n">
        <v>35.313702</v>
      </c>
      <c r="O189" t="n">
        <v>13.890783</v>
      </c>
      <c r="P189" t="n">
        <v>8.319739999999999</v>
      </c>
      <c r="Q189" t="n">
        <v>35.313702</v>
      </c>
      <c r="R189" t="n">
        <v>34.759886</v>
      </c>
      <c r="S189" t="n">
        <v>13.890783</v>
      </c>
      <c r="T189" t="n">
        <v>13.890783</v>
      </c>
      <c r="U189" t="n">
        <v>8.319739999999999</v>
      </c>
      <c r="V189" t="n">
        <v>8.319739999999999</v>
      </c>
      <c r="W189" t="n">
        <v>14.220855</v>
      </c>
      <c r="X189" t="n">
        <v>35.767132</v>
      </c>
    </row>
    <row r="190">
      <c r="A190" t="inlineStr">
        <is>
          <t>Ammodytes</t>
        </is>
      </c>
      <c r="B190" t="n">
        <v>3.11</v>
      </c>
      <c r="C190" t="n">
        <v>128.824955</v>
      </c>
      <c r="D190" t="inlineStr">
        <is>
          <t>Planktivores</t>
        </is>
      </c>
      <c r="E190" t="n">
        <v>0</v>
      </c>
      <c r="F190" t="n">
        <v>100.997642</v>
      </c>
      <c r="G190" t="n">
        <v>1.93677</v>
      </c>
      <c r="H190" t="n">
        <v>1.93149</v>
      </c>
      <c r="I190" t="n">
        <v>53.479795</v>
      </c>
      <c r="J190" t="n">
        <v>53.479795</v>
      </c>
      <c r="K190" t="n">
        <v>53.372836</v>
      </c>
      <c r="L190" t="n">
        <v>51.741399</v>
      </c>
      <c r="M190" t="n">
        <v>51.741399</v>
      </c>
      <c r="N190" t="n">
        <v>52.283119</v>
      </c>
      <c r="O190" t="n">
        <v>17.749881</v>
      </c>
      <c r="P190" t="n">
        <v>11.404035</v>
      </c>
      <c r="Q190" t="n">
        <v>52.283119</v>
      </c>
      <c r="R190" t="n">
        <v>51.741399</v>
      </c>
      <c r="S190" t="n">
        <v>17.749881</v>
      </c>
      <c r="T190" t="n">
        <v>17.749881</v>
      </c>
      <c r="U190" t="n">
        <v>11.404035</v>
      </c>
      <c r="V190" t="n">
        <v>11.404035</v>
      </c>
      <c r="W190" t="n">
        <v>17.839302</v>
      </c>
      <c r="X190" t="n">
        <v>54.129601</v>
      </c>
    </row>
    <row r="191">
      <c r="A191" t="inlineStr">
        <is>
          <t>Cypselurus</t>
        </is>
      </c>
      <c r="B191" t="n">
        <v>3.4</v>
      </c>
      <c r="C191" t="n">
        <v>251.188643</v>
      </c>
      <c r="D191" t="inlineStr">
        <is>
          <t>Planktivores</t>
        </is>
      </c>
      <c r="E191" t="n">
        <v>0</v>
      </c>
      <c r="F191" t="n">
        <v>100.997642</v>
      </c>
      <c r="G191" t="n">
        <v>1.93677</v>
      </c>
      <c r="H191" t="n">
        <v>1.93149</v>
      </c>
      <c r="I191" t="n">
        <v>53.479795</v>
      </c>
      <c r="J191" t="n">
        <v>53.479795</v>
      </c>
      <c r="K191" t="n">
        <v>53.372836</v>
      </c>
      <c r="L191" t="n">
        <v>51.741399</v>
      </c>
      <c r="M191" t="n">
        <v>51.741399</v>
      </c>
      <c r="N191" t="n">
        <v>52.283119</v>
      </c>
      <c r="O191" t="n">
        <v>17.749881</v>
      </c>
      <c r="P191" t="n">
        <v>11.404035</v>
      </c>
      <c r="Q191" t="n">
        <v>52.283119</v>
      </c>
      <c r="R191" t="n">
        <v>51.741399</v>
      </c>
      <c r="S191" t="n">
        <v>17.749881</v>
      </c>
      <c r="T191" t="n">
        <v>17.749881</v>
      </c>
      <c r="U191" t="n">
        <v>11.404035</v>
      </c>
      <c r="V191" t="n">
        <v>11.404035</v>
      </c>
      <c r="W191" t="n">
        <v>17.839302</v>
      </c>
      <c r="X191" t="n">
        <v>54.129601</v>
      </c>
    </row>
    <row r="192">
      <c r="A192" t="inlineStr">
        <is>
          <t>Gymnocranius</t>
        </is>
      </c>
      <c r="B192" t="n">
        <v>3.4</v>
      </c>
      <c r="C192" t="n">
        <v>251.188643</v>
      </c>
      <c r="D192" t="inlineStr">
        <is>
          <t>Benthivores/piscivores</t>
        </is>
      </c>
      <c r="E192" t="n">
        <v>0</v>
      </c>
      <c r="F192" t="n">
        <v>136.120059</v>
      </c>
      <c r="G192" t="n">
        <v>2.021353</v>
      </c>
      <c r="H192" t="n">
        <v>2.039787</v>
      </c>
      <c r="I192" t="n">
        <v>36.046055</v>
      </c>
      <c r="J192" t="n">
        <v>36.076344</v>
      </c>
      <c r="K192" t="n">
        <v>35.535199</v>
      </c>
      <c r="L192" t="n">
        <v>34.759886</v>
      </c>
      <c r="M192" t="n">
        <v>34.759886</v>
      </c>
      <c r="N192" t="n">
        <v>35.313702</v>
      </c>
      <c r="O192" t="n">
        <v>13.890783</v>
      </c>
      <c r="P192" t="n">
        <v>8.319739999999999</v>
      </c>
      <c r="Q192" t="n">
        <v>35.313702</v>
      </c>
      <c r="R192" t="n">
        <v>34.759886</v>
      </c>
      <c r="S192" t="n">
        <v>13.890783</v>
      </c>
      <c r="T192" t="n">
        <v>13.890783</v>
      </c>
      <c r="U192" t="n">
        <v>8.319739999999999</v>
      </c>
      <c r="V192" t="n">
        <v>8.319739999999999</v>
      </c>
      <c r="W192" t="n">
        <v>14.220855</v>
      </c>
      <c r="X192" t="n">
        <v>35.767132</v>
      </c>
    </row>
    <row r="193">
      <c r="A193" t="inlineStr">
        <is>
          <t>Muraenidae</t>
        </is>
      </c>
      <c r="B193" t="n">
        <v>4.07</v>
      </c>
      <c r="C193" t="n">
        <v>1174.897555</v>
      </c>
      <c r="D193" t="inlineStr">
        <is>
          <t>Piscivores</t>
        </is>
      </c>
      <c r="E193" t="n">
        <v>0</v>
      </c>
      <c r="F193" t="n">
        <v>304.388999</v>
      </c>
      <c r="G193" t="n">
        <v>2.268309</v>
      </c>
      <c r="H193" t="n">
        <v>2.300314</v>
      </c>
      <c r="I193" t="n">
        <v>249.259877</v>
      </c>
      <c r="J193" t="n">
        <v>251.428736</v>
      </c>
      <c r="K193" t="n">
        <v>202.148704</v>
      </c>
      <c r="L193" t="n">
        <v>282.597002</v>
      </c>
      <c r="M193" t="n">
        <v>282.597002</v>
      </c>
      <c r="N193" t="n">
        <v>286.033173</v>
      </c>
      <c r="O193" t="n">
        <v>49.797649</v>
      </c>
      <c r="P193" t="n">
        <v>25.643377</v>
      </c>
      <c r="Q193" t="n">
        <v>286.033173</v>
      </c>
      <c r="R193" t="n">
        <v>282.597002</v>
      </c>
      <c r="S193" t="n">
        <v>49.797649</v>
      </c>
      <c r="T193" t="n">
        <v>49.797649</v>
      </c>
      <c r="U193" t="n">
        <v>25.643377</v>
      </c>
      <c r="V193" t="n">
        <v>25.643377</v>
      </c>
      <c r="W193" t="n">
        <v>51.082514</v>
      </c>
      <c r="X193" t="n">
        <v>274.518943</v>
      </c>
    </row>
    <row r="194">
      <c r="A194" t="inlineStr">
        <is>
          <t>Ibacus ciliatus</t>
        </is>
      </c>
      <c r="B194" t="n">
        <v>2.6</v>
      </c>
      <c r="C194" t="n">
        <v>39.810717</v>
      </c>
      <c r="D194" t="inlineStr">
        <is>
          <t>Crabs</t>
        </is>
      </c>
      <c r="E194" t="n">
        <v>0</v>
      </c>
      <c r="F194" t="n">
        <v>21.002175</v>
      </c>
      <c r="G194" t="n">
        <v>1.546636</v>
      </c>
      <c r="H194" t="n">
        <v>1.565985</v>
      </c>
      <c r="I194" t="n">
        <v>12.039474</v>
      </c>
      <c r="J194" t="n">
        <v>12.039474</v>
      </c>
      <c r="K194" t="n">
        <v>11.028158</v>
      </c>
      <c r="L194" t="n">
        <v>11.032425</v>
      </c>
      <c r="M194" t="n">
        <v>11.032425</v>
      </c>
      <c r="N194" t="n">
        <v>11.257068</v>
      </c>
      <c r="O194" t="n">
        <v>7.495998</v>
      </c>
      <c r="P194" t="n">
        <v>5.212079</v>
      </c>
      <c r="Q194" t="n">
        <v>11.257068</v>
      </c>
      <c r="R194" t="n">
        <v>11.032425</v>
      </c>
      <c r="S194" t="n">
        <v>7.495998</v>
      </c>
      <c r="T194" t="n">
        <v>7.495998</v>
      </c>
      <c r="U194" t="n">
        <v>5.212079</v>
      </c>
      <c r="V194" t="n">
        <v>5.212079</v>
      </c>
      <c r="W194" t="n">
        <v>7.53635</v>
      </c>
      <c r="X194" t="n">
        <v>11.035506</v>
      </c>
    </row>
    <row r="195">
      <c r="A195" t="inlineStr">
        <is>
          <t>Scylla serrata</t>
        </is>
      </c>
      <c r="B195" t="n">
        <v>3.17</v>
      </c>
      <c r="C195" t="n">
        <v>147.910839</v>
      </c>
      <c r="D195" t="inlineStr">
        <is>
          <t>Crabs</t>
        </is>
      </c>
      <c r="E195" t="n">
        <v>0</v>
      </c>
      <c r="F195" t="n">
        <v>21.002175</v>
      </c>
      <c r="G195" t="n">
        <v>1.546636</v>
      </c>
      <c r="H195" t="n">
        <v>1.565985</v>
      </c>
      <c r="I195" t="n">
        <v>12.039474</v>
      </c>
      <c r="J195" t="n">
        <v>12.039474</v>
      </c>
      <c r="K195" t="n">
        <v>11.028158</v>
      </c>
      <c r="L195" t="n">
        <v>11.032425</v>
      </c>
      <c r="M195" t="n">
        <v>11.032425</v>
      </c>
      <c r="N195" t="n">
        <v>11.257068</v>
      </c>
      <c r="O195" t="n">
        <v>7.495998</v>
      </c>
      <c r="P195" t="n">
        <v>5.212079</v>
      </c>
      <c r="Q195" t="n">
        <v>11.257068</v>
      </c>
      <c r="R195" t="n">
        <v>11.032425</v>
      </c>
      <c r="S195" t="n">
        <v>7.495998</v>
      </c>
      <c r="T195" t="n">
        <v>7.495998</v>
      </c>
      <c r="U195" t="n">
        <v>5.212079</v>
      </c>
      <c r="V195" t="n">
        <v>5.212079</v>
      </c>
      <c r="W195" t="n">
        <v>7.53635</v>
      </c>
      <c r="X195" t="n">
        <v>11.035506</v>
      </c>
    </row>
    <row r="196">
      <c r="A196" t="inlineStr">
        <is>
          <t>Istiophoridae</t>
        </is>
      </c>
      <c r="B196" t="n">
        <v>4.48</v>
      </c>
      <c r="C196" t="n">
        <v>3019.95172</v>
      </c>
      <c r="D196" t="inlineStr">
        <is>
          <t>Piscivores</t>
        </is>
      </c>
      <c r="E196" t="n">
        <v>0</v>
      </c>
      <c r="F196" t="n">
        <v>304.388999</v>
      </c>
      <c r="G196" t="n">
        <v>2.268309</v>
      </c>
      <c r="H196" t="n">
        <v>2.300314</v>
      </c>
      <c r="I196" t="n">
        <v>249.259877</v>
      </c>
      <c r="J196" t="n">
        <v>251.428736</v>
      </c>
      <c r="K196" t="n">
        <v>202.148704</v>
      </c>
      <c r="L196" t="n">
        <v>282.597002</v>
      </c>
      <c r="M196" t="n">
        <v>282.597002</v>
      </c>
      <c r="N196" t="n">
        <v>286.033173</v>
      </c>
      <c r="O196" t="n">
        <v>49.797649</v>
      </c>
      <c r="P196" t="n">
        <v>25.643377</v>
      </c>
      <c r="Q196" t="n">
        <v>286.033173</v>
      </c>
      <c r="R196" t="n">
        <v>282.597002</v>
      </c>
      <c r="S196" t="n">
        <v>49.797649</v>
      </c>
      <c r="T196" t="n">
        <v>49.797649</v>
      </c>
      <c r="U196" t="n">
        <v>25.643377</v>
      </c>
      <c r="V196" t="n">
        <v>25.643377</v>
      </c>
      <c r="W196" t="n">
        <v>51.082514</v>
      </c>
      <c r="X196" t="n">
        <v>274.518943</v>
      </c>
    </row>
    <row r="197">
      <c r="A197" t="inlineStr">
        <is>
          <t>Megalaspis cordyla</t>
        </is>
      </c>
      <c r="B197" t="n">
        <v>4.24</v>
      </c>
      <c r="C197" t="n">
        <v>1737.800829</v>
      </c>
      <c r="D197" t="inlineStr">
        <is>
          <t>Planktivores/piscivores</t>
        </is>
      </c>
      <c r="E197" t="n">
        <v>0</v>
      </c>
      <c r="F197" t="n">
        <v>123.077794</v>
      </c>
      <c r="G197" t="n">
        <v>1.992402</v>
      </c>
      <c r="H197" t="n">
        <v>1.97781</v>
      </c>
      <c r="I197" t="n">
        <v>560.299311</v>
      </c>
      <c r="J197" t="n">
        <v>592.272682</v>
      </c>
      <c r="K197" t="n">
        <v>209.072257</v>
      </c>
      <c r="L197" t="n">
        <v>660.166914</v>
      </c>
      <c r="M197" t="n">
        <v>660.166914</v>
      </c>
      <c r="N197" t="n">
        <v>670.165526</v>
      </c>
      <c r="O197" t="n">
        <v>72.857719</v>
      </c>
      <c r="P197" t="n">
        <v>43.071646</v>
      </c>
      <c r="Q197" t="n">
        <v>670.165526</v>
      </c>
      <c r="R197" t="n">
        <v>660.166914</v>
      </c>
      <c r="S197" t="n">
        <v>72.857719</v>
      </c>
      <c r="T197" t="n">
        <v>72.857719</v>
      </c>
      <c r="U197" t="n">
        <v>43.071646</v>
      </c>
      <c r="V197" t="n">
        <v>43.071646</v>
      </c>
      <c r="W197" t="n">
        <v>75.193746</v>
      </c>
      <c r="X197" t="n">
        <v>683.804243</v>
      </c>
    </row>
    <row r="198">
      <c r="A198" t="inlineStr">
        <is>
          <t>Hexagrammos otakii</t>
        </is>
      </c>
      <c r="D198" t="inlineStr">
        <is>
          <t>Benthivores</t>
        </is>
      </c>
      <c r="E198" t="n">
        <v>0</v>
      </c>
      <c r="F198" t="n">
        <v>67.81478300000001</v>
      </c>
      <c r="G198" t="n">
        <v>1.829368</v>
      </c>
      <c r="H198" t="n">
        <v>1.84033</v>
      </c>
      <c r="I198" t="n">
        <v>33.988491</v>
      </c>
      <c r="J198" t="n">
        <v>35.780255</v>
      </c>
      <c r="K198" t="n">
        <v>35.601354</v>
      </c>
      <c r="L198" t="n">
        <v>385.228839</v>
      </c>
      <c r="M198" t="n">
        <v>385.228839</v>
      </c>
      <c r="N198" t="n">
        <v>391.588003</v>
      </c>
      <c r="O198" t="n">
        <v>16.66963</v>
      </c>
      <c r="P198" t="n">
        <v>9.973879999999999</v>
      </c>
      <c r="Q198" t="n">
        <v>391.588003</v>
      </c>
      <c r="R198" t="n">
        <v>385.228839</v>
      </c>
      <c r="S198" t="n">
        <v>16.66963</v>
      </c>
      <c r="T198" t="n">
        <v>16.66963</v>
      </c>
      <c r="U198" t="n">
        <v>9.973879999999999</v>
      </c>
      <c r="V198" t="n">
        <v>9.973879999999999</v>
      </c>
      <c r="W198" t="n">
        <v>17.246706</v>
      </c>
      <c r="X198" t="n">
        <v>42.474741</v>
      </c>
    </row>
    <row r="199">
      <c r="A199" t="inlineStr">
        <is>
          <t>Mizuhopecten yessoensis</t>
        </is>
      </c>
      <c r="B199" t="n">
        <v>2.1</v>
      </c>
      <c r="C199" t="n">
        <v>12.589254</v>
      </c>
      <c r="D199" t="inlineStr">
        <is>
          <t>Mollusks</t>
        </is>
      </c>
      <c r="E199" t="n">
        <v>0</v>
      </c>
      <c r="F199" t="n">
        <v>14.497407</v>
      </c>
      <c r="G199" t="n">
        <v>1.466668</v>
      </c>
      <c r="H199" t="n">
        <v>1.466497</v>
      </c>
      <c r="I199" t="n">
        <v>17.850747</v>
      </c>
      <c r="J199" t="n">
        <v>17.850747</v>
      </c>
      <c r="K199" t="n">
        <v>5.355224</v>
      </c>
      <c r="L199" t="n">
        <v>17.186608</v>
      </c>
      <c r="M199" t="n">
        <v>17.186608</v>
      </c>
      <c r="N199" t="n">
        <v>17.598965</v>
      </c>
      <c r="O199" t="n">
        <v>3.995111</v>
      </c>
      <c r="P199" t="n">
        <v>2.967513</v>
      </c>
      <c r="Q199" t="n">
        <v>17.598965</v>
      </c>
      <c r="R199" t="n">
        <v>17.186608</v>
      </c>
      <c r="S199" t="n">
        <v>3.995111</v>
      </c>
      <c r="T199" t="n">
        <v>3.995111</v>
      </c>
      <c r="U199" t="n">
        <v>2.967513</v>
      </c>
      <c r="V199" t="n">
        <v>2.967513</v>
      </c>
      <c r="W199" t="n">
        <v>3.990277</v>
      </c>
      <c r="X199" t="n">
        <v>17.941416</v>
      </c>
    </row>
    <row r="200">
      <c r="A200" t="inlineStr">
        <is>
          <t>Platycaranx malabaricus</t>
        </is>
      </c>
      <c r="B200" t="n">
        <v>3.88</v>
      </c>
      <c r="C200" t="n">
        <v>758.577575</v>
      </c>
      <c r="D200" t="inlineStr">
        <is>
          <t>Planktivores/piscivores</t>
        </is>
      </c>
      <c r="E200" t="n">
        <v>0</v>
      </c>
      <c r="F200" t="n">
        <v>123.077794</v>
      </c>
      <c r="G200" t="n">
        <v>1.992402</v>
      </c>
      <c r="H200" t="n">
        <v>1.97781</v>
      </c>
      <c r="I200" t="n">
        <v>560.299311</v>
      </c>
      <c r="J200" t="n">
        <v>592.272682</v>
      </c>
      <c r="K200" t="n">
        <v>209.072257</v>
      </c>
      <c r="L200" t="n">
        <v>660.166914</v>
      </c>
      <c r="M200" t="n">
        <v>660.166914</v>
      </c>
      <c r="N200" t="n">
        <v>670.165526</v>
      </c>
      <c r="O200" t="n">
        <v>72.857719</v>
      </c>
      <c r="P200" t="n">
        <v>43.071646</v>
      </c>
      <c r="Q200" t="n">
        <v>670.165526</v>
      </c>
      <c r="R200" t="n">
        <v>660.166914</v>
      </c>
      <c r="S200" t="n">
        <v>72.857719</v>
      </c>
      <c r="T200" t="n">
        <v>72.857719</v>
      </c>
      <c r="U200" t="n">
        <v>43.071646</v>
      </c>
      <c r="V200" t="n">
        <v>43.071646</v>
      </c>
      <c r="W200" t="n">
        <v>75.193746</v>
      </c>
      <c r="X200" t="n">
        <v>683.804243</v>
      </c>
    </row>
    <row r="201">
      <c r="A201" t="inlineStr">
        <is>
          <t>Rachycentridae</t>
        </is>
      </c>
      <c r="B201" t="n">
        <v>3.96</v>
      </c>
      <c r="C201" t="n">
        <v>912.010839</v>
      </c>
      <c r="D201" t="inlineStr">
        <is>
          <t>Piscivores</t>
        </is>
      </c>
      <c r="E201" t="n">
        <v>0</v>
      </c>
      <c r="F201" t="n">
        <v>304.388999</v>
      </c>
      <c r="G201" t="n">
        <v>2.268309</v>
      </c>
      <c r="H201" t="n">
        <v>2.300314</v>
      </c>
      <c r="I201" t="n">
        <v>249.259877</v>
      </c>
      <c r="J201" t="n">
        <v>251.428736</v>
      </c>
      <c r="K201" t="n">
        <v>202.148704</v>
      </c>
      <c r="L201" t="n">
        <v>282.597002</v>
      </c>
      <c r="M201" t="n">
        <v>282.597002</v>
      </c>
      <c r="N201" t="n">
        <v>286.033173</v>
      </c>
      <c r="O201" t="n">
        <v>49.797649</v>
      </c>
      <c r="P201" t="n">
        <v>25.643377</v>
      </c>
      <c r="Q201" t="n">
        <v>286.033173</v>
      </c>
      <c r="R201" t="n">
        <v>282.597002</v>
      </c>
      <c r="S201" t="n">
        <v>49.797649</v>
      </c>
      <c r="T201" t="n">
        <v>49.797649</v>
      </c>
      <c r="U201" t="n">
        <v>25.643377</v>
      </c>
      <c r="V201" t="n">
        <v>25.643377</v>
      </c>
      <c r="W201" t="n">
        <v>51.082514</v>
      </c>
      <c r="X201" t="n">
        <v>274.518943</v>
      </c>
    </row>
    <row r="202">
      <c r="A202" t="inlineStr">
        <is>
          <t>Haliotis</t>
        </is>
      </c>
      <c r="B202" t="n">
        <v>2</v>
      </c>
      <c r="C202" t="n">
        <v>10</v>
      </c>
      <c r="D202" t="inlineStr">
        <is>
          <t>Mollusks</t>
        </is>
      </c>
      <c r="E202" t="n">
        <v>0</v>
      </c>
      <c r="F202" t="n">
        <v>14.497407</v>
      </c>
      <c r="G202" t="n">
        <v>1.466668</v>
      </c>
      <c r="H202" t="n">
        <v>1.466497</v>
      </c>
      <c r="I202" t="n">
        <v>17.850747</v>
      </c>
      <c r="J202" t="n">
        <v>17.850747</v>
      </c>
      <c r="K202" t="n">
        <v>5.355224</v>
      </c>
      <c r="L202" t="n">
        <v>17.186608</v>
      </c>
      <c r="M202" t="n">
        <v>17.186608</v>
      </c>
      <c r="N202" t="n">
        <v>17.598965</v>
      </c>
      <c r="O202" t="n">
        <v>3.995111</v>
      </c>
      <c r="P202" t="n">
        <v>2.967513</v>
      </c>
      <c r="Q202" t="n">
        <v>17.598965</v>
      </c>
      <c r="R202" t="n">
        <v>17.186608</v>
      </c>
      <c r="S202" t="n">
        <v>3.995111</v>
      </c>
      <c r="T202" t="n">
        <v>3.995111</v>
      </c>
      <c r="U202" t="n">
        <v>2.967513</v>
      </c>
      <c r="V202" t="n">
        <v>2.967513</v>
      </c>
      <c r="W202" t="n">
        <v>3.990277</v>
      </c>
      <c r="X202" t="n">
        <v>17.941416</v>
      </c>
    </row>
    <row r="203">
      <c r="A203" t="inlineStr">
        <is>
          <t>Sillago</t>
        </is>
      </c>
      <c r="B203" t="n">
        <v>3.33</v>
      </c>
      <c r="C203" t="n">
        <v>213.796209</v>
      </c>
      <c r="D203" t="inlineStr">
        <is>
          <t>Benthivores</t>
        </is>
      </c>
      <c r="E203" t="n">
        <v>0</v>
      </c>
      <c r="F203" t="n">
        <v>67.81478300000001</v>
      </c>
      <c r="G203" t="n">
        <v>1.829368</v>
      </c>
      <c r="H203" t="n">
        <v>1.84033</v>
      </c>
      <c r="I203" t="n">
        <v>33.988491</v>
      </c>
      <c r="J203" t="n">
        <v>35.780255</v>
      </c>
      <c r="K203" t="n">
        <v>35.601354</v>
      </c>
      <c r="L203" t="n">
        <v>385.228839</v>
      </c>
      <c r="M203" t="n">
        <v>385.228839</v>
      </c>
      <c r="N203" t="n">
        <v>391.588003</v>
      </c>
      <c r="O203" t="n">
        <v>16.66963</v>
      </c>
      <c r="P203" t="n">
        <v>9.973879999999999</v>
      </c>
      <c r="Q203" t="n">
        <v>391.588003</v>
      </c>
      <c r="R203" t="n">
        <v>385.228839</v>
      </c>
      <c r="S203" t="n">
        <v>16.66963</v>
      </c>
      <c r="T203" t="n">
        <v>16.66963</v>
      </c>
      <c r="U203" t="n">
        <v>9.973879999999999</v>
      </c>
      <c r="V203" t="n">
        <v>9.973879999999999</v>
      </c>
      <c r="W203" t="n">
        <v>17.246706</v>
      </c>
      <c r="X203" t="n">
        <v>42.474741</v>
      </c>
    </row>
    <row r="204">
      <c r="A204" t="inlineStr">
        <is>
          <t>Hemiramphidae</t>
        </is>
      </c>
      <c r="B204" t="n">
        <v>2.82</v>
      </c>
      <c r="C204" t="n">
        <v>66.069345</v>
      </c>
      <c r="D204" t="inlineStr">
        <is>
          <t>Omnivores</t>
        </is>
      </c>
      <c r="E204" t="n">
        <v>0</v>
      </c>
      <c r="F204" t="n">
        <v>131.221463</v>
      </c>
      <c r="G204" t="n">
        <v>2.01077</v>
      </c>
      <c r="H204" t="n">
        <v>2.036134</v>
      </c>
      <c r="I204" t="n">
        <v>66.04435700000001</v>
      </c>
      <c r="J204" t="n">
        <v>68.25582300000001</v>
      </c>
      <c r="K204" t="n">
        <v>68.187568</v>
      </c>
      <c r="L204" t="n">
        <v>72.544996</v>
      </c>
      <c r="M204" t="n">
        <v>72.544996</v>
      </c>
      <c r="N204" t="n">
        <v>73.57283200000001</v>
      </c>
      <c r="O204" t="n">
        <v>17.500018</v>
      </c>
      <c r="P204" t="n">
        <v>10.032554</v>
      </c>
      <c r="Q204" t="n">
        <v>73.57283200000001</v>
      </c>
      <c r="R204" t="n">
        <v>72.544996</v>
      </c>
      <c r="S204" t="n">
        <v>17.500018</v>
      </c>
      <c r="T204" t="n">
        <v>17.500018</v>
      </c>
      <c r="U204" t="n">
        <v>10.032554</v>
      </c>
      <c r="V204" t="n">
        <v>10.032554</v>
      </c>
      <c r="W204" t="n">
        <v>17.704629</v>
      </c>
      <c r="X204" t="n">
        <v>72.854687</v>
      </c>
    </row>
    <row r="205">
      <c r="A205" t="inlineStr">
        <is>
          <t>Hypoptychus dybowskii</t>
        </is>
      </c>
      <c r="D205" t="inlineStr">
        <is>
          <t>Planktivores</t>
        </is>
      </c>
      <c r="E205" t="n">
        <v>0</v>
      </c>
      <c r="F205" t="n">
        <v>100.997642</v>
      </c>
      <c r="G205" t="n">
        <v>1.93677</v>
      </c>
      <c r="H205" t="n">
        <v>1.93149</v>
      </c>
      <c r="I205" t="n">
        <v>53.479795</v>
      </c>
      <c r="J205" t="n">
        <v>53.479795</v>
      </c>
      <c r="K205" t="n">
        <v>53.372836</v>
      </c>
      <c r="L205" t="n">
        <v>51.741399</v>
      </c>
      <c r="M205" t="n">
        <v>51.741399</v>
      </c>
      <c r="N205" t="n">
        <v>52.283119</v>
      </c>
      <c r="O205" t="n">
        <v>17.749881</v>
      </c>
      <c r="P205" t="n">
        <v>11.404035</v>
      </c>
      <c r="Q205" t="n">
        <v>52.283119</v>
      </c>
      <c r="R205" t="n">
        <v>51.741399</v>
      </c>
      <c r="S205" t="n">
        <v>17.749881</v>
      </c>
      <c r="T205" t="n">
        <v>17.749881</v>
      </c>
      <c r="U205" t="n">
        <v>11.404035</v>
      </c>
      <c r="V205" t="n">
        <v>11.404035</v>
      </c>
      <c r="W205" t="n">
        <v>17.839302</v>
      </c>
      <c r="X205" t="n">
        <v>54.129601</v>
      </c>
    </row>
    <row r="206">
      <c r="A206" t="inlineStr">
        <is>
          <t>Bramidae</t>
        </is>
      </c>
      <c r="B206" t="n">
        <v>4.14</v>
      </c>
      <c r="C206" t="n">
        <v>1380.384265</v>
      </c>
      <c r="D206" t="inlineStr">
        <is>
          <t>Piscivores</t>
        </is>
      </c>
      <c r="E206" t="n">
        <v>0</v>
      </c>
      <c r="F206" t="n">
        <v>304.388999</v>
      </c>
      <c r="G206" t="n">
        <v>2.268309</v>
      </c>
      <c r="H206" t="n">
        <v>2.300314</v>
      </c>
      <c r="I206" t="n">
        <v>249.259877</v>
      </c>
      <c r="J206" t="n">
        <v>251.428736</v>
      </c>
      <c r="K206" t="n">
        <v>202.148704</v>
      </c>
      <c r="L206" t="n">
        <v>282.597002</v>
      </c>
      <c r="M206" t="n">
        <v>282.597002</v>
      </c>
      <c r="N206" t="n">
        <v>286.033173</v>
      </c>
      <c r="O206" t="n">
        <v>49.797649</v>
      </c>
      <c r="P206" t="n">
        <v>25.643377</v>
      </c>
      <c r="Q206" t="n">
        <v>286.033173</v>
      </c>
      <c r="R206" t="n">
        <v>282.597002</v>
      </c>
      <c r="S206" t="n">
        <v>49.797649</v>
      </c>
      <c r="T206" t="n">
        <v>49.797649</v>
      </c>
      <c r="U206" t="n">
        <v>25.643377</v>
      </c>
      <c r="V206" t="n">
        <v>25.643377</v>
      </c>
      <c r="W206" t="n">
        <v>51.082514</v>
      </c>
      <c r="X206" t="n">
        <v>274.518943</v>
      </c>
    </row>
    <row r="207">
      <c r="A207" t="inlineStr">
        <is>
          <t>Penaeus monodon</t>
        </is>
      </c>
      <c r="B207" t="n">
        <v>2.6</v>
      </c>
      <c r="C207" t="n">
        <v>39.810717</v>
      </c>
      <c r="D207" t="inlineStr">
        <is>
          <t>Shrimps</t>
        </is>
      </c>
      <c r="E207" t="n">
        <v>0</v>
      </c>
      <c r="F207" t="n">
        <v>20.606299</v>
      </c>
      <c r="G207" t="n">
        <v>1.542427</v>
      </c>
      <c r="H207" t="n">
        <v>1.561295</v>
      </c>
      <c r="I207" t="n">
        <v>15.075177</v>
      </c>
      <c r="J207" t="n">
        <v>15.075177</v>
      </c>
      <c r="K207" t="n">
        <v>15.060102</v>
      </c>
      <c r="L207" t="n">
        <v>13.927162</v>
      </c>
      <c r="M207" t="n">
        <v>13.927162</v>
      </c>
      <c r="N207" t="n">
        <v>14.183251</v>
      </c>
      <c r="O207" t="n">
        <v>7.969433</v>
      </c>
      <c r="P207" t="n">
        <v>5.681336</v>
      </c>
      <c r="Q207" t="n">
        <v>14.183251</v>
      </c>
      <c r="R207" t="n">
        <v>13.927162</v>
      </c>
      <c r="S207" t="n">
        <v>7.969433</v>
      </c>
      <c r="T207" t="n">
        <v>7.969433</v>
      </c>
      <c r="U207" t="n">
        <v>5.681336</v>
      </c>
      <c r="V207" t="n">
        <v>5.681336</v>
      </c>
      <c r="W207" t="n">
        <v>8.136905</v>
      </c>
      <c r="X207" t="n">
        <v>14.885026</v>
      </c>
    </row>
    <row r="208">
      <c r="A208" t="inlineStr">
        <is>
          <t>Acanthocybium solandri</t>
        </is>
      </c>
      <c r="B208" t="n">
        <v>4.26</v>
      </c>
      <c r="C208" t="n">
        <v>1819.700859</v>
      </c>
      <c r="D208" t="inlineStr">
        <is>
          <t>Piscivores</t>
        </is>
      </c>
      <c r="E208" t="n">
        <v>0</v>
      </c>
      <c r="F208" t="n">
        <v>304.388999</v>
      </c>
      <c r="G208" t="n">
        <v>2.268309</v>
      </c>
      <c r="H208" t="n">
        <v>2.300314</v>
      </c>
      <c r="I208" t="n">
        <v>249.259877</v>
      </c>
      <c r="J208" t="n">
        <v>251.428736</v>
      </c>
      <c r="K208" t="n">
        <v>202.148704</v>
      </c>
      <c r="L208" t="n">
        <v>282.597002</v>
      </c>
      <c r="M208" t="n">
        <v>282.597002</v>
      </c>
      <c r="N208" t="n">
        <v>286.033173</v>
      </c>
      <c r="O208" t="n">
        <v>49.797649</v>
      </c>
      <c r="P208" t="n">
        <v>25.643377</v>
      </c>
      <c r="Q208" t="n">
        <v>286.033173</v>
      </c>
      <c r="R208" t="n">
        <v>282.597002</v>
      </c>
      <c r="S208" t="n">
        <v>49.797649</v>
      </c>
      <c r="T208" t="n">
        <v>49.797649</v>
      </c>
      <c r="U208" t="n">
        <v>25.643377</v>
      </c>
      <c r="V208" t="n">
        <v>25.643377</v>
      </c>
      <c r="W208" t="n">
        <v>51.082514</v>
      </c>
      <c r="X208" t="n">
        <v>274.518943</v>
      </c>
    </row>
    <row r="209">
      <c r="A209" t="inlineStr">
        <is>
          <t>Saurida undosquamis</t>
        </is>
      </c>
      <c r="B209" t="n">
        <v>4.46</v>
      </c>
      <c r="C209" t="n">
        <v>2884.031503</v>
      </c>
      <c r="D209" t="inlineStr">
        <is>
          <t>Piscivores</t>
        </is>
      </c>
      <c r="E209" t="n">
        <v>0</v>
      </c>
      <c r="F209" t="n">
        <v>304.388999</v>
      </c>
      <c r="G209" t="n">
        <v>2.268309</v>
      </c>
      <c r="H209" t="n">
        <v>2.300314</v>
      </c>
      <c r="I209" t="n">
        <v>249.259877</v>
      </c>
      <c r="J209" t="n">
        <v>251.428736</v>
      </c>
      <c r="K209" t="n">
        <v>202.148704</v>
      </c>
      <c r="L209" t="n">
        <v>282.597002</v>
      </c>
      <c r="M209" t="n">
        <v>282.597002</v>
      </c>
      <c r="N209" t="n">
        <v>286.033173</v>
      </c>
      <c r="O209" t="n">
        <v>49.797649</v>
      </c>
      <c r="P209" t="n">
        <v>25.643377</v>
      </c>
      <c r="Q209" t="n">
        <v>286.033173</v>
      </c>
      <c r="R209" t="n">
        <v>282.597002</v>
      </c>
      <c r="S209" t="n">
        <v>49.797649</v>
      </c>
      <c r="T209" t="n">
        <v>49.797649</v>
      </c>
      <c r="U209" t="n">
        <v>25.643377</v>
      </c>
      <c r="V209" t="n">
        <v>25.643377</v>
      </c>
      <c r="W209" t="n">
        <v>51.082514</v>
      </c>
      <c r="X209" t="n">
        <v>274.518943</v>
      </c>
    </row>
    <row r="210">
      <c r="A210" t="inlineStr">
        <is>
          <t>Beryx splendens</t>
        </is>
      </c>
      <c r="B210" t="n">
        <v>4.27</v>
      </c>
      <c r="C210" t="n">
        <v>1862.087137</v>
      </c>
      <c r="D210" t="inlineStr">
        <is>
          <t>Piscivores</t>
        </is>
      </c>
      <c r="E210" t="n">
        <v>0</v>
      </c>
      <c r="F210" t="n">
        <v>304.388999</v>
      </c>
      <c r="G210" t="n">
        <v>2.268309</v>
      </c>
      <c r="H210" t="n">
        <v>2.300314</v>
      </c>
      <c r="I210" t="n">
        <v>249.259877</v>
      </c>
      <c r="J210" t="n">
        <v>251.428736</v>
      </c>
      <c r="K210" t="n">
        <v>202.148704</v>
      </c>
      <c r="L210" t="n">
        <v>282.597002</v>
      </c>
      <c r="M210" t="n">
        <v>282.597002</v>
      </c>
      <c r="N210" t="n">
        <v>286.033173</v>
      </c>
      <c r="O210" t="n">
        <v>49.797649</v>
      </c>
      <c r="P210" t="n">
        <v>25.643377</v>
      </c>
      <c r="Q210" t="n">
        <v>286.033173</v>
      </c>
      <c r="R210" t="n">
        <v>282.597002</v>
      </c>
      <c r="S210" t="n">
        <v>49.797649</v>
      </c>
      <c r="T210" t="n">
        <v>49.797649</v>
      </c>
      <c r="U210" t="n">
        <v>25.643377</v>
      </c>
      <c r="V210" t="n">
        <v>25.643377</v>
      </c>
      <c r="W210" t="n">
        <v>51.082514</v>
      </c>
      <c r="X210" t="n">
        <v>274.518943</v>
      </c>
    </row>
    <row r="211">
      <c r="A211" t="inlineStr">
        <is>
          <t>Auxis rochei</t>
        </is>
      </c>
      <c r="B211" t="n">
        <v>4.13</v>
      </c>
      <c r="C211" t="n">
        <v>1348.962883</v>
      </c>
      <c r="D211" t="inlineStr">
        <is>
          <t>Piscivores</t>
        </is>
      </c>
      <c r="E211" t="n">
        <v>0</v>
      </c>
      <c r="F211" t="n">
        <v>304.388999</v>
      </c>
      <c r="G211" t="n">
        <v>2.268309</v>
      </c>
      <c r="H211" t="n">
        <v>2.300314</v>
      </c>
      <c r="I211" t="n">
        <v>249.259877</v>
      </c>
      <c r="J211" t="n">
        <v>251.428736</v>
      </c>
      <c r="K211" t="n">
        <v>202.148704</v>
      </c>
      <c r="L211" t="n">
        <v>282.597002</v>
      </c>
      <c r="M211" t="n">
        <v>282.597002</v>
      </c>
      <c r="N211" t="n">
        <v>286.033173</v>
      </c>
      <c r="O211" t="n">
        <v>49.797649</v>
      </c>
      <c r="P211" t="n">
        <v>25.643377</v>
      </c>
      <c r="Q211" t="n">
        <v>286.033173</v>
      </c>
      <c r="R211" t="n">
        <v>282.597002</v>
      </c>
      <c r="S211" t="n">
        <v>49.797649</v>
      </c>
      <c r="T211" t="n">
        <v>49.797649</v>
      </c>
      <c r="U211" t="n">
        <v>25.643377</v>
      </c>
      <c r="V211" t="n">
        <v>25.643377</v>
      </c>
      <c r="W211" t="n">
        <v>51.082514</v>
      </c>
      <c r="X211" t="n">
        <v>274.518943</v>
      </c>
    </row>
    <row r="212">
      <c r="A212" t="inlineStr">
        <is>
          <t>Scorpaeniformes</t>
        </is>
      </c>
      <c r="B212" t="n">
        <v>3.78</v>
      </c>
      <c r="C212" t="n">
        <v>602.559586</v>
      </c>
      <c r="D212" t="inlineStr">
        <is>
          <t>Benthivores | Benthivores/piscivores</t>
        </is>
      </c>
      <c r="E212" t="n">
        <v>0</v>
      </c>
      <c r="F212" t="n">
        <v>105.627174</v>
      </c>
      <c r="G212" t="n">
        <v>1.935647</v>
      </c>
      <c r="H212" t="n">
        <v>1.950745</v>
      </c>
      <c r="I212" t="n">
        <v>35.127516</v>
      </c>
      <c r="J212" t="n">
        <v>35.944164</v>
      </c>
      <c r="K212" t="n">
        <v>35.564732</v>
      </c>
      <c r="L212" t="n">
        <v>191.216462</v>
      </c>
      <c r="M212" t="n">
        <v>191.216462</v>
      </c>
      <c r="N212" t="n">
        <v>194.361905</v>
      </c>
      <c r="O212" t="n">
        <v>15.131318</v>
      </c>
      <c r="P212" t="n">
        <v>9.058182</v>
      </c>
      <c r="Q212" t="n">
        <v>194.361905</v>
      </c>
      <c r="R212" t="n">
        <v>191.216462</v>
      </c>
      <c r="S212" t="n">
        <v>15.131318</v>
      </c>
      <c r="T212" t="n">
        <v>15.131318</v>
      </c>
      <c r="U212" t="n">
        <v>9.058182</v>
      </c>
      <c r="V212" t="n">
        <v>9.058182</v>
      </c>
      <c r="W212" t="n">
        <v>15.571657</v>
      </c>
      <c r="X212" t="n">
        <v>38.761547</v>
      </c>
    </row>
    <row r="213">
      <c r="A213" t="inlineStr">
        <is>
          <t>Epinephelus maculatus</t>
        </is>
      </c>
      <c r="B213" t="n">
        <v>3.98</v>
      </c>
      <c r="C213" t="n">
        <v>954.992586</v>
      </c>
      <c r="D213" t="inlineStr">
        <is>
          <t>Piscivores</t>
        </is>
      </c>
      <c r="E213" t="n">
        <v>0</v>
      </c>
      <c r="F213" t="n">
        <v>304.388999</v>
      </c>
      <c r="G213" t="n">
        <v>2.268309</v>
      </c>
      <c r="H213" t="n">
        <v>2.300314</v>
      </c>
      <c r="I213" t="n">
        <v>249.259877</v>
      </c>
      <c r="J213" t="n">
        <v>251.428736</v>
      </c>
      <c r="K213" t="n">
        <v>202.148704</v>
      </c>
      <c r="L213" t="n">
        <v>282.597002</v>
      </c>
      <c r="M213" t="n">
        <v>282.597002</v>
      </c>
      <c r="N213" t="n">
        <v>286.033173</v>
      </c>
      <c r="O213" t="n">
        <v>49.797649</v>
      </c>
      <c r="P213" t="n">
        <v>25.643377</v>
      </c>
      <c r="Q213" t="n">
        <v>286.033173</v>
      </c>
      <c r="R213" t="n">
        <v>282.597002</v>
      </c>
      <c r="S213" t="n">
        <v>49.797649</v>
      </c>
      <c r="T213" t="n">
        <v>49.797649</v>
      </c>
      <c r="U213" t="n">
        <v>25.643377</v>
      </c>
      <c r="V213" t="n">
        <v>25.643377</v>
      </c>
      <c r="W213" t="n">
        <v>51.082514</v>
      </c>
      <c r="X213" t="n">
        <v>274.518943</v>
      </c>
    </row>
    <row r="214">
      <c r="A214" t="inlineStr">
        <is>
          <t>Isurus</t>
        </is>
      </c>
      <c r="B214" t="n">
        <v>4.5</v>
      </c>
      <c r="C214" t="n">
        <v>3162.27766</v>
      </c>
      <c r="D214" t="inlineStr">
        <is>
          <t>Sharks</t>
        </is>
      </c>
      <c r="E214" t="n">
        <v>0</v>
      </c>
      <c r="F214" t="n">
        <v>1154.744061</v>
      </c>
      <c r="G214" t="n">
        <v>2.745621</v>
      </c>
      <c r="H214" t="n">
        <v>2.742397</v>
      </c>
      <c r="I214" t="n">
        <v>0</v>
      </c>
      <c r="J214" t="n">
        <v>152.583853</v>
      </c>
      <c r="K214" t="n">
        <v>0</v>
      </c>
      <c r="L214" t="n">
        <v>0</v>
      </c>
      <c r="M214" t="n">
        <v>0</v>
      </c>
      <c r="N214" t="n">
        <v>0</v>
      </c>
      <c r="O214" t="n">
        <v>205.199674</v>
      </c>
      <c r="P214" t="n">
        <v>93.831501</v>
      </c>
      <c r="Q214" t="n">
        <v>0</v>
      </c>
      <c r="R214" t="n">
        <v>0</v>
      </c>
      <c r="S214" t="n">
        <v>205.199674</v>
      </c>
      <c r="T214" t="n">
        <v>205.199674</v>
      </c>
      <c r="U214" t="n">
        <v>93.831501</v>
      </c>
      <c r="V214" t="n">
        <v>93.831501</v>
      </c>
      <c r="W214" t="n">
        <v>205.695409</v>
      </c>
      <c r="X214" t="n">
        <v>0</v>
      </c>
    </row>
    <row r="215">
      <c r="A215" t="inlineStr">
        <is>
          <t>Dussumieria elopsoides</t>
        </is>
      </c>
      <c r="B215" t="n">
        <v>3.4</v>
      </c>
      <c r="C215" t="n">
        <v>251.188643</v>
      </c>
      <c r="D215" t="inlineStr">
        <is>
          <t>Planktivores</t>
        </is>
      </c>
      <c r="E215" t="n">
        <v>0</v>
      </c>
      <c r="F215" t="n">
        <v>100.997642</v>
      </c>
      <c r="G215" t="n">
        <v>1.93677</v>
      </c>
      <c r="H215" t="n">
        <v>1.93149</v>
      </c>
      <c r="I215" t="n">
        <v>53.479795</v>
      </c>
      <c r="J215" t="n">
        <v>53.479795</v>
      </c>
      <c r="K215" t="n">
        <v>53.372836</v>
      </c>
      <c r="L215" t="n">
        <v>51.741399</v>
      </c>
      <c r="M215" t="n">
        <v>51.741399</v>
      </c>
      <c r="N215" t="n">
        <v>52.283119</v>
      </c>
      <c r="O215" t="n">
        <v>17.749881</v>
      </c>
      <c r="P215" t="n">
        <v>11.404035</v>
      </c>
      <c r="Q215" t="n">
        <v>52.283119</v>
      </c>
      <c r="R215" t="n">
        <v>51.741399</v>
      </c>
      <c r="S215" t="n">
        <v>17.749881</v>
      </c>
      <c r="T215" t="n">
        <v>17.749881</v>
      </c>
      <c r="U215" t="n">
        <v>11.404035</v>
      </c>
      <c r="V215" t="n">
        <v>11.404035</v>
      </c>
      <c r="W215" t="n">
        <v>17.839302</v>
      </c>
      <c r="X215" t="n">
        <v>54.129601</v>
      </c>
    </row>
    <row r="216">
      <c r="A216" t="inlineStr">
        <is>
          <t>Chirocentrus dorab</t>
        </is>
      </c>
      <c r="D216" t="inlineStr">
        <is>
          <t>Piscivores</t>
        </is>
      </c>
      <c r="E216" t="n">
        <v>0</v>
      </c>
      <c r="F216" t="n">
        <v>304.388999</v>
      </c>
      <c r="G216" t="n">
        <v>2.268309</v>
      </c>
      <c r="H216" t="n">
        <v>2.300314</v>
      </c>
      <c r="I216" t="n">
        <v>249.259877</v>
      </c>
      <c r="J216" t="n">
        <v>251.428736</v>
      </c>
      <c r="K216" t="n">
        <v>202.148704</v>
      </c>
      <c r="L216" t="n">
        <v>282.597002</v>
      </c>
      <c r="M216" t="n">
        <v>282.597002</v>
      </c>
      <c r="N216" t="n">
        <v>286.033173</v>
      </c>
      <c r="O216" t="n">
        <v>49.797649</v>
      </c>
      <c r="P216" t="n">
        <v>25.643377</v>
      </c>
      <c r="Q216" t="n">
        <v>286.033173</v>
      </c>
      <c r="R216" t="n">
        <v>282.597002</v>
      </c>
      <c r="S216" t="n">
        <v>49.797649</v>
      </c>
      <c r="T216" t="n">
        <v>49.797649</v>
      </c>
      <c r="U216" t="n">
        <v>25.643377</v>
      </c>
      <c r="V216" t="n">
        <v>25.643377</v>
      </c>
      <c r="W216" t="n">
        <v>51.082514</v>
      </c>
      <c r="X216" t="n">
        <v>274.518943</v>
      </c>
    </row>
    <row r="217">
      <c r="A217" t="inlineStr">
        <is>
          <t>Oratosquilla oratoria</t>
        </is>
      </c>
      <c r="B217" t="n">
        <v>3.27</v>
      </c>
      <c r="C217" t="n">
        <v>186.208714</v>
      </c>
      <c r="D217" t="inlineStr">
        <is>
          <t>Shrimps</t>
        </is>
      </c>
      <c r="E217" t="n">
        <v>0</v>
      </c>
      <c r="F217" t="n">
        <v>20.606299</v>
      </c>
      <c r="G217" t="n">
        <v>1.542427</v>
      </c>
      <c r="H217" t="n">
        <v>1.561295</v>
      </c>
      <c r="I217" t="n">
        <v>15.075177</v>
      </c>
      <c r="J217" t="n">
        <v>15.075177</v>
      </c>
      <c r="K217" t="n">
        <v>15.060102</v>
      </c>
      <c r="L217" t="n">
        <v>13.927162</v>
      </c>
      <c r="M217" t="n">
        <v>13.927162</v>
      </c>
      <c r="N217" t="n">
        <v>14.183251</v>
      </c>
      <c r="O217" t="n">
        <v>7.969433</v>
      </c>
      <c r="P217" t="n">
        <v>5.681336</v>
      </c>
      <c r="Q217" t="n">
        <v>14.183251</v>
      </c>
      <c r="R217" t="n">
        <v>13.927162</v>
      </c>
      <c r="S217" t="n">
        <v>7.969433</v>
      </c>
      <c r="T217" t="n">
        <v>7.969433</v>
      </c>
      <c r="U217" t="n">
        <v>5.681336</v>
      </c>
      <c r="V217" t="n">
        <v>5.681336</v>
      </c>
      <c r="W217" t="n">
        <v>8.136905</v>
      </c>
      <c r="X217" t="n">
        <v>14.885026</v>
      </c>
    </row>
    <row r="218">
      <c r="A218" t="inlineStr">
        <is>
          <t>Saurida</t>
        </is>
      </c>
      <c r="B218" t="n">
        <v>4.35</v>
      </c>
      <c r="C218" t="n">
        <v>2238.721139</v>
      </c>
      <c r="D218" t="inlineStr">
        <is>
          <t>Piscivores</t>
        </is>
      </c>
      <c r="E218" t="n">
        <v>0</v>
      </c>
      <c r="F218" t="n">
        <v>304.388999</v>
      </c>
      <c r="G218" t="n">
        <v>2.268309</v>
      </c>
      <c r="H218" t="n">
        <v>2.300314</v>
      </c>
      <c r="I218" t="n">
        <v>249.259877</v>
      </c>
      <c r="J218" t="n">
        <v>251.428736</v>
      </c>
      <c r="K218" t="n">
        <v>202.148704</v>
      </c>
      <c r="L218" t="n">
        <v>282.597002</v>
      </c>
      <c r="M218" t="n">
        <v>282.597002</v>
      </c>
      <c r="N218" t="n">
        <v>286.033173</v>
      </c>
      <c r="O218" t="n">
        <v>49.797649</v>
      </c>
      <c r="P218" t="n">
        <v>25.643377</v>
      </c>
      <c r="Q218" t="n">
        <v>286.033173</v>
      </c>
      <c r="R218" t="n">
        <v>282.597002</v>
      </c>
      <c r="S218" t="n">
        <v>49.797649</v>
      </c>
      <c r="T218" t="n">
        <v>49.797649</v>
      </c>
      <c r="U218" t="n">
        <v>25.643377</v>
      </c>
      <c r="V218" t="n">
        <v>25.643377</v>
      </c>
      <c r="W218" t="n">
        <v>51.082514</v>
      </c>
      <c r="X218" t="n">
        <v>274.518943</v>
      </c>
    </row>
    <row r="219">
      <c r="A219" t="inlineStr">
        <is>
          <t>Stolephorus</t>
        </is>
      </c>
      <c r="D219" t="inlineStr">
        <is>
          <t>Planktivores</t>
        </is>
      </c>
      <c r="E219" t="n">
        <v>0</v>
      </c>
      <c r="F219" t="n">
        <v>100.997642</v>
      </c>
      <c r="G219" t="n">
        <v>1.93677</v>
      </c>
      <c r="H219" t="n">
        <v>1.93149</v>
      </c>
      <c r="I219" t="n">
        <v>53.479795</v>
      </c>
      <c r="J219" t="n">
        <v>53.479795</v>
      </c>
      <c r="K219" t="n">
        <v>53.372836</v>
      </c>
      <c r="L219" t="n">
        <v>51.741399</v>
      </c>
      <c r="M219" t="n">
        <v>51.741399</v>
      </c>
      <c r="N219" t="n">
        <v>52.283119</v>
      </c>
      <c r="O219" t="n">
        <v>17.749881</v>
      </c>
      <c r="P219" t="n">
        <v>11.404035</v>
      </c>
      <c r="Q219" t="n">
        <v>52.283119</v>
      </c>
      <c r="R219" t="n">
        <v>51.741399</v>
      </c>
      <c r="S219" t="n">
        <v>17.749881</v>
      </c>
      <c r="T219" t="n">
        <v>17.749881</v>
      </c>
      <c r="U219" t="n">
        <v>11.404035</v>
      </c>
      <c r="V219" t="n">
        <v>11.404035</v>
      </c>
      <c r="W219" t="n">
        <v>17.839302</v>
      </c>
      <c r="X219" t="n">
        <v>54.129601</v>
      </c>
    </row>
    <row r="220">
      <c r="A220" t="inlineStr">
        <is>
          <t>Sphyraena</t>
        </is>
      </c>
      <c r="B220" t="n">
        <v>4.4</v>
      </c>
      <c r="C220" t="n">
        <v>2511.886432</v>
      </c>
      <c r="D220" t="inlineStr">
        <is>
          <t>Piscivores</t>
        </is>
      </c>
      <c r="E220" t="n">
        <v>0</v>
      </c>
      <c r="F220" t="n">
        <v>304.388999</v>
      </c>
      <c r="G220" t="n">
        <v>2.268309</v>
      </c>
      <c r="H220" t="n">
        <v>2.300314</v>
      </c>
      <c r="I220" t="n">
        <v>249.259877</v>
      </c>
      <c r="J220" t="n">
        <v>251.428736</v>
      </c>
      <c r="K220" t="n">
        <v>202.148704</v>
      </c>
      <c r="L220" t="n">
        <v>282.597002</v>
      </c>
      <c r="M220" t="n">
        <v>282.597002</v>
      </c>
      <c r="N220" t="n">
        <v>286.033173</v>
      </c>
      <c r="O220" t="n">
        <v>49.797649</v>
      </c>
      <c r="P220" t="n">
        <v>25.643377</v>
      </c>
      <c r="Q220" t="n">
        <v>286.033173</v>
      </c>
      <c r="R220" t="n">
        <v>282.597002</v>
      </c>
      <c r="S220" t="n">
        <v>49.797649</v>
      </c>
      <c r="T220" t="n">
        <v>49.797649</v>
      </c>
      <c r="U220" t="n">
        <v>25.643377</v>
      </c>
      <c r="V220" t="n">
        <v>25.643377</v>
      </c>
      <c r="W220" t="n">
        <v>51.082514</v>
      </c>
      <c r="X220" t="n">
        <v>274.518943</v>
      </c>
    </row>
    <row r="221">
      <c r="A221" t="inlineStr">
        <is>
          <t>Rapana</t>
        </is>
      </c>
      <c r="B221" t="n">
        <v>3</v>
      </c>
      <c r="C221" t="n">
        <v>100</v>
      </c>
      <c r="D221" t="inlineStr">
        <is>
          <t>Mollusks</t>
        </is>
      </c>
      <c r="E221" t="n">
        <v>0</v>
      </c>
      <c r="F221" t="n">
        <v>14.497407</v>
      </c>
      <c r="G221" t="n">
        <v>1.466668</v>
      </c>
      <c r="H221" t="n">
        <v>1.466497</v>
      </c>
      <c r="I221" t="n">
        <v>17.850747</v>
      </c>
      <c r="J221" t="n">
        <v>17.850747</v>
      </c>
      <c r="K221" t="n">
        <v>5.355224</v>
      </c>
      <c r="L221" t="n">
        <v>17.186608</v>
      </c>
      <c r="M221" t="n">
        <v>17.186608</v>
      </c>
      <c r="N221" t="n">
        <v>17.598965</v>
      </c>
      <c r="O221" t="n">
        <v>3.995111</v>
      </c>
      <c r="P221" t="n">
        <v>2.967513</v>
      </c>
      <c r="Q221" t="n">
        <v>17.598965</v>
      </c>
      <c r="R221" t="n">
        <v>17.186608</v>
      </c>
      <c r="S221" t="n">
        <v>3.995111</v>
      </c>
      <c r="T221" t="n">
        <v>3.995111</v>
      </c>
      <c r="U221" t="n">
        <v>2.967513</v>
      </c>
      <c r="V221" t="n">
        <v>2.967513</v>
      </c>
      <c r="W221" t="n">
        <v>3.990277</v>
      </c>
      <c r="X221" t="n">
        <v>17.941416</v>
      </c>
    </row>
    <row r="222">
      <c r="A222" t="inlineStr">
        <is>
          <t>Sphyraenidae</t>
        </is>
      </c>
      <c r="B222" t="n">
        <v>4.4</v>
      </c>
      <c r="C222" t="n">
        <v>2511.886432</v>
      </c>
      <c r="D222" t="inlineStr">
        <is>
          <t>Piscivores</t>
        </is>
      </c>
      <c r="E222" t="n">
        <v>0</v>
      </c>
      <c r="F222" t="n">
        <v>304.388999</v>
      </c>
      <c r="G222" t="n">
        <v>2.268309</v>
      </c>
      <c r="H222" t="n">
        <v>2.300314</v>
      </c>
      <c r="I222" t="n">
        <v>249.259877</v>
      </c>
      <c r="J222" t="n">
        <v>251.428736</v>
      </c>
      <c r="K222" t="n">
        <v>202.148704</v>
      </c>
      <c r="L222" t="n">
        <v>282.597002</v>
      </c>
      <c r="M222" t="n">
        <v>282.597002</v>
      </c>
      <c r="N222" t="n">
        <v>286.033173</v>
      </c>
      <c r="O222" t="n">
        <v>49.797649</v>
      </c>
      <c r="P222" t="n">
        <v>25.643377</v>
      </c>
      <c r="Q222" t="n">
        <v>286.033173</v>
      </c>
      <c r="R222" t="n">
        <v>282.597002</v>
      </c>
      <c r="S222" t="n">
        <v>49.797649</v>
      </c>
      <c r="T222" t="n">
        <v>49.797649</v>
      </c>
      <c r="U222" t="n">
        <v>25.643377</v>
      </c>
      <c r="V222" t="n">
        <v>25.643377</v>
      </c>
      <c r="W222" t="n">
        <v>51.082514</v>
      </c>
      <c r="X222" t="n">
        <v>274.518943</v>
      </c>
    </row>
    <row r="223">
      <c r="A223" t="inlineStr">
        <is>
          <t>Pseudopleuronectes herzensteini</t>
        </is>
      </c>
      <c r="B223" t="n">
        <v>3.15</v>
      </c>
      <c r="C223" t="n">
        <v>141.253754</v>
      </c>
      <c r="D223" t="inlineStr">
        <is>
          <t>Benthivores</t>
        </is>
      </c>
      <c r="E223" t="n">
        <v>0</v>
      </c>
      <c r="F223" t="n">
        <v>67.81478300000001</v>
      </c>
      <c r="G223" t="n">
        <v>1.829368</v>
      </c>
      <c r="H223" t="n">
        <v>1.84033</v>
      </c>
      <c r="I223" t="n">
        <v>33.988491</v>
      </c>
      <c r="J223" t="n">
        <v>35.780255</v>
      </c>
      <c r="K223" t="n">
        <v>35.601354</v>
      </c>
      <c r="L223" t="n">
        <v>385.228839</v>
      </c>
      <c r="M223" t="n">
        <v>385.228839</v>
      </c>
      <c r="N223" t="n">
        <v>391.588003</v>
      </c>
      <c r="O223" t="n">
        <v>16.66963</v>
      </c>
      <c r="P223" t="n">
        <v>9.973879999999999</v>
      </c>
      <c r="Q223" t="n">
        <v>391.588003</v>
      </c>
      <c r="R223" t="n">
        <v>385.228839</v>
      </c>
      <c r="S223" t="n">
        <v>16.66963</v>
      </c>
      <c r="T223" t="n">
        <v>16.66963</v>
      </c>
      <c r="U223" t="n">
        <v>9.973879999999999</v>
      </c>
      <c r="V223" t="n">
        <v>9.973879999999999</v>
      </c>
      <c r="W223" t="n">
        <v>17.246706</v>
      </c>
      <c r="X223" t="n">
        <v>42.474741</v>
      </c>
    </row>
    <row r="224">
      <c r="A224" t="inlineStr">
        <is>
          <t>Hemitriakis japanica</t>
        </is>
      </c>
      <c r="D224" t="inlineStr">
        <is>
          <t>Sharks</t>
        </is>
      </c>
      <c r="E224" t="n">
        <v>0</v>
      </c>
      <c r="F224" t="n">
        <v>1154.744061</v>
      </c>
      <c r="G224" t="n">
        <v>2.745621</v>
      </c>
      <c r="H224" t="n">
        <v>2.742397</v>
      </c>
      <c r="I224" t="n">
        <v>0</v>
      </c>
      <c r="J224" t="n">
        <v>152.583853</v>
      </c>
      <c r="K224" t="n">
        <v>0</v>
      </c>
      <c r="L224" t="n">
        <v>0</v>
      </c>
      <c r="M224" t="n">
        <v>0</v>
      </c>
      <c r="N224" t="n">
        <v>0</v>
      </c>
      <c r="O224" t="n">
        <v>205.199674</v>
      </c>
      <c r="P224" t="n">
        <v>93.831501</v>
      </c>
      <c r="Q224" t="n">
        <v>0</v>
      </c>
      <c r="R224" t="n">
        <v>0</v>
      </c>
      <c r="S224" t="n">
        <v>205.199674</v>
      </c>
      <c r="T224" t="n">
        <v>205.199674</v>
      </c>
      <c r="U224" t="n">
        <v>93.831501</v>
      </c>
      <c r="V224" t="n">
        <v>93.831501</v>
      </c>
      <c r="W224" t="n">
        <v>205.695409</v>
      </c>
      <c r="X224" t="n">
        <v>0</v>
      </c>
    </row>
    <row r="225">
      <c r="A225" t="inlineStr">
        <is>
          <t>Makaira mazara</t>
        </is>
      </c>
      <c r="B225" t="n">
        <v>4.46</v>
      </c>
      <c r="C225" t="n">
        <v>2884.031503</v>
      </c>
      <c r="D225" t="inlineStr">
        <is>
          <t>Piscivores</t>
        </is>
      </c>
      <c r="E225" t="n">
        <v>0</v>
      </c>
      <c r="F225" t="n">
        <v>304.388999</v>
      </c>
      <c r="G225" t="n">
        <v>2.268309</v>
      </c>
      <c r="H225" t="n">
        <v>2.300314</v>
      </c>
      <c r="I225" t="n">
        <v>249.259877</v>
      </c>
      <c r="J225" t="n">
        <v>251.428736</v>
      </c>
      <c r="K225" t="n">
        <v>202.148704</v>
      </c>
      <c r="L225" t="n">
        <v>282.597002</v>
      </c>
      <c r="M225" t="n">
        <v>282.597002</v>
      </c>
      <c r="N225" t="n">
        <v>286.033173</v>
      </c>
      <c r="O225" t="n">
        <v>49.797649</v>
      </c>
      <c r="P225" t="n">
        <v>25.643377</v>
      </c>
      <c r="Q225" t="n">
        <v>286.033173</v>
      </c>
      <c r="R225" t="n">
        <v>282.597002</v>
      </c>
      <c r="S225" t="n">
        <v>49.797649</v>
      </c>
      <c r="T225" t="n">
        <v>49.797649</v>
      </c>
      <c r="U225" t="n">
        <v>25.643377</v>
      </c>
      <c r="V225" t="n">
        <v>25.643377</v>
      </c>
      <c r="W225" t="n">
        <v>51.082514</v>
      </c>
      <c r="X225" t="n">
        <v>274.518943</v>
      </c>
    </row>
    <row r="226">
      <c r="A226" t="inlineStr">
        <is>
          <t>Marine pelagic fishes not identified</t>
        </is>
      </c>
      <c r="B226" t="n">
        <v>3.35</v>
      </c>
      <c r="C226" t="n">
        <v>223.872114</v>
      </c>
      <c r="D226" t="inlineStr">
        <is>
          <t>Piscivores | Planktivores/Benthivores | Planktivores/piscivores</t>
        </is>
      </c>
      <c r="E226" t="n">
        <v>0</v>
      </c>
      <c r="F226" t="n">
        <v>170.39943</v>
      </c>
      <c r="G226" t="n">
        <v>2.048079</v>
      </c>
      <c r="H226" t="n">
        <v>2.05813</v>
      </c>
      <c r="I226" t="n">
        <v>254.619538</v>
      </c>
      <c r="J226" t="n">
        <v>261.783496</v>
      </c>
      <c r="K226" t="n">
        <v>163.184672</v>
      </c>
      <c r="L226" t="n">
        <v>283.604609</v>
      </c>
      <c r="M226" t="n">
        <v>283.604609</v>
      </c>
      <c r="N226" t="n">
        <v>287.343694</v>
      </c>
      <c r="O226" t="n">
        <v>48.773663</v>
      </c>
      <c r="P226" t="n">
        <v>28.476258</v>
      </c>
      <c r="Q226" t="n">
        <v>287.343694</v>
      </c>
      <c r="R226" t="n">
        <v>283.604609</v>
      </c>
      <c r="S226" t="n">
        <v>48.773663</v>
      </c>
      <c r="T226" t="n">
        <v>48.773663</v>
      </c>
      <c r="U226" t="n">
        <v>28.476258</v>
      </c>
      <c r="V226" t="n">
        <v>28.476258</v>
      </c>
      <c r="W226" t="n">
        <v>49.994088</v>
      </c>
      <c r="X226" t="n">
        <v>287.141976</v>
      </c>
    </row>
    <row r="227">
      <c r="A227" t="inlineStr">
        <is>
          <t>Mierspenaeopsis hardwickii</t>
        </is>
      </c>
      <c r="B227" t="n">
        <v>2.71</v>
      </c>
      <c r="C227" t="n">
        <v>51.286138</v>
      </c>
      <c r="D227" t="inlineStr">
        <is>
          <t>Shrimps</t>
        </is>
      </c>
      <c r="E227" t="n">
        <v>0</v>
      </c>
      <c r="F227" t="n">
        <v>20.606299</v>
      </c>
      <c r="G227" t="n">
        <v>1.542427</v>
      </c>
      <c r="H227" t="n">
        <v>1.561295</v>
      </c>
      <c r="I227" t="n">
        <v>15.075177</v>
      </c>
      <c r="J227" t="n">
        <v>15.075177</v>
      </c>
      <c r="K227" t="n">
        <v>15.060102</v>
      </c>
      <c r="L227" t="n">
        <v>13.927162</v>
      </c>
      <c r="M227" t="n">
        <v>13.927162</v>
      </c>
      <c r="N227" t="n">
        <v>14.183251</v>
      </c>
      <c r="O227" t="n">
        <v>7.969433</v>
      </c>
      <c r="P227" t="n">
        <v>5.681336</v>
      </c>
      <c r="Q227" t="n">
        <v>14.183251</v>
      </c>
      <c r="R227" t="n">
        <v>13.927162</v>
      </c>
      <c r="S227" t="n">
        <v>7.969433</v>
      </c>
      <c r="T227" t="n">
        <v>7.969433</v>
      </c>
      <c r="U227" t="n">
        <v>5.681336</v>
      </c>
      <c r="V227" t="n">
        <v>5.681336</v>
      </c>
      <c r="W227" t="n">
        <v>8.136905</v>
      </c>
      <c r="X227" t="n">
        <v>14.885026</v>
      </c>
    </row>
    <row r="228">
      <c r="A228" t="inlineStr">
        <is>
          <t>Beryx</t>
        </is>
      </c>
      <c r="B228" t="n">
        <v>3.97</v>
      </c>
      <c r="C228" t="n">
        <v>933.2543010000001</v>
      </c>
      <c r="D228" t="inlineStr">
        <is>
          <t>Piscivores</t>
        </is>
      </c>
      <c r="E228" t="n">
        <v>0</v>
      </c>
      <c r="F228" t="n">
        <v>304.388999</v>
      </c>
      <c r="G228" t="n">
        <v>2.268309</v>
      </c>
      <c r="H228" t="n">
        <v>2.300314</v>
      </c>
      <c r="I228" t="n">
        <v>249.259877</v>
      </c>
      <c r="J228" t="n">
        <v>251.428736</v>
      </c>
      <c r="K228" t="n">
        <v>202.148704</v>
      </c>
      <c r="L228" t="n">
        <v>282.597002</v>
      </c>
      <c r="M228" t="n">
        <v>282.597002</v>
      </c>
      <c r="N228" t="n">
        <v>286.033173</v>
      </c>
      <c r="O228" t="n">
        <v>49.797649</v>
      </c>
      <c r="P228" t="n">
        <v>25.643377</v>
      </c>
      <c r="Q228" t="n">
        <v>286.033173</v>
      </c>
      <c r="R228" t="n">
        <v>282.597002</v>
      </c>
      <c r="S228" t="n">
        <v>49.797649</v>
      </c>
      <c r="T228" t="n">
        <v>49.797649</v>
      </c>
      <c r="U228" t="n">
        <v>25.643377</v>
      </c>
      <c r="V228" t="n">
        <v>25.643377</v>
      </c>
      <c r="W228" t="n">
        <v>51.082514</v>
      </c>
      <c r="X228" t="n">
        <v>274.518943</v>
      </c>
    </row>
    <row r="229">
      <c r="A229" t="inlineStr">
        <is>
          <t>Auxis thazard</t>
        </is>
      </c>
      <c r="B229" t="n">
        <v>4.37</v>
      </c>
      <c r="C229" t="n">
        <v>2344.228815</v>
      </c>
      <c r="D229" t="inlineStr">
        <is>
          <t>Piscivores</t>
        </is>
      </c>
      <c r="E229" t="n">
        <v>0</v>
      </c>
      <c r="F229" t="n">
        <v>304.388999</v>
      </c>
      <c r="G229" t="n">
        <v>2.268309</v>
      </c>
      <c r="H229" t="n">
        <v>2.300314</v>
      </c>
      <c r="I229" t="n">
        <v>249.259877</v>
      </c>
      <c r="J229" t="n">
        <v>251.428736</v>
      </c>
      <c r="K229" t="n">
        <v>202.148704</v>
      </c>
      <c r="L229" t="n">
        <v>282.597002</v>
      </c>
      <c r="M229" t="n">
        <v>282.597002</v>
      </c>
      <c r="N229" t="n">
        <v>286.033173</v>
      </c>
      <c r="O229" t="n">
        <v>49.797649</v>
      </c>
      <c r="P229" t="n">
        <v>25.643377</v>
      </c>
      <c r="Q229" t="n">
        <v>286.033173</v>
      </c>
      <c r="R229" t="n">
        <v>282.597002</v>
      </c>
      <c r="S229" t="n">
        <v>49.797649</v>
      </c>
      <c r="T229" t="n">
        <v>49.797649</v>
      </c>
      <c r="U229" t="n">
        <v>25.643377</v>
      </c>
      <c r="V229" t="n">
        <v>25.643377</v>
      </c>
      <c r="W229" t="n">
        <v>51.082514</v>
      </c>
      <c r="X229" t="n">
        <v>274.518943</v>
      </c>
    </row>
    <row r="230">
      <c r="A230" t="inlineStr">
        <is>
          <t>Polydactylus sexfilis</t>
        </is>
      </c>
      <c r="B230" t="n">
        <v>3.43</v>
      </c>
      <c r="C230" t="n">
        <v>269.15348</v>
      </c>
      <c r="D230" t="inlineStr">
        <is>
          <t>Benthivores</t>
        </is>
      </c>
      <c r="E230" t="n">
        <v>0</v>
      </c>
      <c r="F230" t="n">
        <v>67.81478300000001</v>
      </c>
      <c r="G230" t="n">
        <v>1.829368</v>
      </c>
      <c r="H230" t="n">
        <v>1.84033</v>
      </c>
      <c r="I230" t="n">
        <v>33.988491</v>
      </c>
      <c r="J230" t="n">
        <v>35.780255</v>
      </c>
      <c r="K230" t="n">
        <v>35.601354</v>
      </c>
      <c r="L230" t="n">
        <v>385.228839</v>
      </c>
      <c r="M230" t="n">
        <v>385.228839</v>
      </c>
      <c r="N230" t="n">
        <v>391.588003</v>
      </c>
      <c r="O230" t="n">
        <v>16.66963</v>
      </c>
      <c r="P230" t="n">
        <v>9.973879999999999</v>
      </c>
      <c r="Q230" t="n">
        <v>391.588003</v>
      </c>
      <c r="R230" t="n">
        <v>385.228839</v>
      </c>
      <c r="S230" t="n">
        <v>16.66963</v>
      </c>
      <c r="T230" t="n">
        <v>16.66963</v>
      </c>
      <c r="U230" t="n">
        <v>9.973879999999999</v>
      </c>
      <c r="V230" t="n">
        <v>9.973879999999999</v>
      </c>
      <c r="W230" t="n">
        <v>17.246706</v>
      </c>
      <c r="X230" t="n">
        <v>42.474741</v>
      </c>
    </row>
    <row r="231">
      <c r="A231" t="inlineStr">
        <is>
          <t>Seriola dumerili</t>
        </is>
      </c>
      <c r="B231" t="n">
        <v>4.5</v>
      </c>
      <c r="C231" t="n">
        <v>3162.27766</v>
      </c>
      <c r="D231" t="inlineStr">
        <is>
          <t>Piscivores</t>
        </is>
      </c>
      <c r="E231" t="n">
        <v>0</v>
      </c>
      <c r="F231" t="n">
        <v>304.388999</v>
      </c>
      <c r="G231" t="n">
        <v>2.268309</v>
      </c>
      <c r="H231" t="n">
        <v>2.300314</v>
      </c>
      <c r="I231" t="n">
        <v>249.259877</v>
      </c>
      <c r="J231" t="n">
        <v>251.428736</v>
      </c>
      <c r="K231" t="n">
        <v>202.148704</v>
      </c>
      <c r="L231" t="n">
        <v>282.597002</v>
      </c>
      <c r="M231" t="n">
        <v>282.597002</v>
      </c>
      <c r="N231" t="n">
        <v>286.033173</v>
      </c>
      <c r="O231" t="n">
        <v>49.797649</v>
      </c>
      <c r="P231" t="n">
        <v>25.643377</v>
      </c>
      <c r="Q231" t="n">
        <v>286.033173</v>
      </c>
      <c r="R231" t="n">
        <v>282.597002</v>
      </c>
      <c r="S231" t="n">
        <v>49.797649</v>
      </c>
      <c r="T231" t="n">
        <v>49.797649</v>
      </c>
      <c r="U231" t="n">
        <v>25.643377</v>
      </c>
      <c r="V231" t="n">
        <v>25.643377</v>
      </c>
      <c r="W231" t="n">
        <v>51.082514</v>
      </c>
      <c r="X231" t="n">
        <v>274.518943</v>
      </c>
    </row>
    <row r="232">
      <c r="A232" t="inlineStr">
        <is>
          <t>Cheilopogon unicolor</t>
        </is>
      </c>
      <c r="B232" t="n">
        <v>3.7</v>
      </c>
      <c r="C232" t="n">
        <v>501.187234</v>
      </c>
      <c r="D232" t="inlineStr">
        <is>
          <t>Planktivores</t>
        </is>
      </c>
      <c r="E232" t="n">
        <v>0</v>
      </c>
      <c r="F232" t="n">
        <v>100.997642</v>
      </c>
      <c r="G232" t="n">
        <v>1.93677</v>
      </c>
      <c r="H232" t="n">
        <v>1.93149</v>
      </c>
      <c r="I232" t="n">
        <v>53.479795</v>
      </c>
      <c r="J232" t="n">
        <v>53.479795</v>
      </c>
      <c r="K232" t="n">
        <v>53.372836</v>
      </c>
      <c r="L232" t="n">
        <v>51.741399</v>
      </c>
      <c r="M232" t="n">
        <v>51.741399</v>
      </c>
      <c r="N232" t="n">
        <v>52.283119</v>
      </c>
      <c r="O232" t="n">
        <v>17.749881</v>
      </c>
      <c r="P232" t="n">
        <v>11.404035</v>
      </c>
      <c r="Q232" t="n">
        <v>52.283119</v>
      </c>
      <c r="R232" t="n">
        <v>51.741399</v>
      </c>
      <c r="S232" t="n">
        <v>17.749881</v>
      </c>
      <c r="T232" t="n">
        <v>17.749881</v>
      </c>
      <c r="U232" t="n">
        <v>11.404035</v>
      </c>
      <c r="V232" t="n">
        <v>11.404035</v>
      </c>
      <c r="W232" t="n">
        <v>17.839302</v>
      </c>
      <c r="X232" t="n">
        <v>54.129601</v>
      </c>
    </row>
    <row r="233">
      <c r="A233" t="inlineStr">
        <is>
          <t>Lates calcarifer</t>
        </is>
      </c>
      <c r="B233" t="n">
        <v>4.35</v>
      </c>
      <c r="C233" t="n">
        <v>2238.721139</v>
      </c>
      <c r="D233" t="inlineStr">
        <is>
          <t>Piscivores</t>
        </is>
      </c>
      <c r="E233" t="n">
        <v>0</v>
      </c>
      <c r="F233" t="n">
        <v>304.388999</v>
      </c>
      <c r="G233" t="n">
        <v>2.268309</v>
      </c>
      <c r="H233" t="n">
        <v>2.300314</v>
      </c>
      <c r="I233" t="n">
        <v>249.259877</v>
      </c>
      <c r="J233" t="n">
        <v>251.428736</v>
      </c>
      <c r="K233" t="n">
        <v>202.148704</v>
      </c>
      <c r="L233" t="n">
        <v>282.597002</v>
      </c>
      <c r="M233" t="n">
        <v>282.597002</v>
      </c>
      <c r="N233" t="n">
        <v>286.033173</v>
      </c>
      <c r="O233" t="n">
        <v>49.797649</v>
      </c>
      <c r="P233" t="n">
        <v>25.643377</v>
      </c>
      <c r="Q233" t="n">
        <v>286.033173</v>
      </c>
      <c r="R233" t="n">
        <v>282.597002</v>
      </c>
      <c r="S233" t="n">
        <v>49.797649</v>
      </c>
      <c r="T233" t="n">
        <v>49.797649</v>
      </c>
      <c r="U233" t="n">
        <v>25.643377</v>
      </c>
      <c r="V233" t="n">
        <v>25.643377</v>
      </c>
      <c r="W233" t="n">
        <v>51.082514</v>
      </c>
      <c r="X233" t="n">
        <v>274.518943</v>
      </c>
    </row>
    <row r="234">
      <c r="A234" t="inlineStr">
        <is>
          <t>Hexagrammidae</t>
        </is>
      </c>
      <c r="B234" t="n">
        <v>3.72</v>
      </c>
      <c r="C234" t="n">
        <v>524.80746</v>
      </c>
      <c r="D234" t="inlineStr">
        <is>
          <t>Benthivores</t>
        </is>
      </c>
      <c r="E234" t="n">
        <v>0</v>
      </c>
      <c r="F234" t="n">
        <v>67.81478300000001</v>
      </c>
      <c r="G234" t="n">
        <v>1.829368</v>
      </c>
      <c r="H234" t="n">
        <v>1.84033</v>
      </c>
      <c r="I234" t="n">
        <v>33.988491</v>
      </c>
      <c r="J234" t="n">
        <v>35.780255</v>
      </c>
      <c r="K234" t="n">
        <v>35.601354</v>
      </c>
      <c r="L234" t="n">
        <v>385.228839</v>
      </c>
      <c r="M234" t="n">
        <v>385.228839</v>
      </c>
      <c r="N234" t="n">
        <v>391.588003</v>
      </c>
      <c r="O234" t="n">
        <v>16.66963</v>
      </c>
      <c r="P234" t="n">
        <v>9.973879999999999</v>
      </c>
      <c r="Q234" t="n">
        <v>391.588003</v>
      </c>
      <c r="R234" t="n">
        <v>385.228839</v>
      </c>
      <c r="S234" t="n">
        <v>16.66963</v>
      </c>
      <c r="T234" t="n">
        <v>16.66963</v>
      </c>
      <c r="U234" t="n">
        <v>9.973879999999999</v>
      </c>
      <c r="V234" t="n">
        <v>9.973879999999999</v>
      </c>
      <c r="W234" t="n">
        <v>17.246706</v>
      </c>
      <c r="X234" t="n">
        <v>42.474741</v>
      </c>
    </row>
    <row r="235">
      <c r="A235" t="inlineStr">
        <is>
          <t>Clupanodon thrissa</t>
        </is>
      </c>
      <c r="B235" t="n">
        <v>3.01</v>
      </c>
      <c r="C235" t="n">
        <v>102.329299</v>
      </c>
      <c r="D235" t="inlineStr">
        <is>
          <t>Planktivores</t>
        </is>
      </c>
      <c r="E235" t="n">
        <v>0</v>
      </c>
      <c r="F235" t="n">
        <v>100.997642</v>
      </c>
      <c r="G235" t="n">
        <v>1.93677</v>
      </c>
      <c r="H235" t="n">
        <v>1.93149</v>
      </c>
      <c r="I235" t="n">
        <v>53.479795</v>
      </c>
      <c r="J235" t="n">
        <v>53.479795</v>
      </c>
      <c r="K235" t="n">
        <v>53.372836</v>
      </c>
      <c r="L235" t="n">
        <v>51.741399</v>
      </c>
      <c r="M235" t="n">
        <v>51.741399</v>
      </c>
      <c r="N235" t="n">
        <v>52.283119</v>
      </c>
      <c r="O235" t="n">
        <v>17.749881</v>
      </c>
      <c r="P235" t="n">
        <v>11.404035</v>
      </c>
      <c r="Q235" t="n">
        <v>52.283119</v>
      </c>
      <c r="R235" t="n">
        <v>51.741399</v>
      </c>
      <c r="S235" t="n">
        <v>17.749881</v>
      </c>
      <c r="T235" t="n">
        <v>17.749881</v>
      </c>
      <c r="U235" t="n">
        <v>11.404035</v>
      </c>
      <c r="V235" t="n">
        <v>11.404035</v>
      </c>
      <c r="W235" t="n">
        <v>17.839302</v>
      </c>
      <c r="X235" t="n">
        <v>54.129601</v>
      </c>
    </row>
    <row r="236">
      <c r="A236" t="inlineStr">
        <is>
          <t>Ommastrephes bartramii</t>
        </is>
      </c>
      <c r="B236" t="n">
        <v>4.37</v>
      </c>
      <c r="C236" t="n">
        <v>2344.228815</v>
      </c>
      <c r="D236" t="inlineStr">
        <is>
          <t>Cephalopods</t>
        </is>
      </c>
      <c r="E236" t="n">
        <v>0</v>
      </c>
      <c r="F236" t="n">
        <v>65.929169</v>
      </c>
      <c r="G236" t="n">
        <v>1.821994</v>
      </c>
      <c r="H236" t="n">
        <v>1.839433</v>
      </c>
      <c r="I236" t="n">
        <v>38.382342</v>
      </c>
      <c r="J236" t="n">
        <v>38.382342</v>
      </c>
      <c r="K236" t="n">
        <v>37.768225</v>
      </c>
      <c r="L236" t="n">
        <v>36.734327</v>
      </c>
      <c r="M236" t="n">
        <v>36.734327</v>
      </c>
      <c r="N236" t="n">
        <v>37.111337</v>
      </c>
      <c r="O236" t="n">
        <v>12.794003</v>
      </c>
      <c r="P236" t="n">
        <v>8.242232</v>
      </c>
      <c r="Q236" t="n">
        <v>37.111337</v>
      </c>
      <c r="R236" t="n">
        <v>36.734327</v>
      </c>
      <c r="S236" t="n">
        <v>12.794003</v>
      </c>
      <c r="T236" t="n">
        <v>12.794003</v>
      </c>
      <c r="U236" t="n">
        <v>8.242232</v>
      </c>
      <c r="V236" t="n">
        <v>8.242232</v>
      </c>
      <c r="W236" t="n">
        <v>12.757448</v>
      </c>
      <c r="X236" t="n">
        <v>38.53303</v>
      </c>
    </row>
    <row r="237">
      <c r="A237" t="inlineStr">
        <is>
          <t>Mola mola</t>
        </is>
      </c>
      <c r="B237" t="n">
        <v>3.68</v>
      </c>
      <c r="C237" t="n">
        <v>478.630092</v>
      </c>
      <c r="D237" t="inlineStr">
        <is>
          <t>Unresolved</t>
        </is>
      </c>
    </row>
    <row r="238">
      <c r="A238" t="inlineStr">
        <is>
          <t>Scaridae</t>
        </is>
      </c>
      <c r="B238" t="n">
        <v>2</v>
      </c>
      <c r="C238" t="n">
        <v>10</v>
      </c>
      <c r="D238" t="inlineStr">
        <is>
          <t>Unresolved</t>
        </is>
      </c>
    </row>
    <row r="239">
      <c r="A239" t="inlineStr">
        <is>
          <t>Aluterus</t>
        </is>
      </c>
      <c r="B239" t="n">
        <v>2.81</v>
      </c>
      <c r="C239" t="n">
        <v>64.565423</v>
      </c>
      <c r="D239" t="inlineStr">
        <is>
          <t>Planktivores/piscivores</t>
        </is>
      </c>
      <c r="E239" t="n">
        <v>0</v>
      </c>
      <c r="F239" t="n">
        <v>123.077794</v>
      </c>
      <c r="G239" t="n">
        <v>1.992402</v>
      </c>
      <c r="H239" t="n">
        <v>1.97781</v>
      </c>
      <c r="I239" t="n">
        <v>560.299311</v>
      </c>
      <c r="J239" t="n">
        <v>592.272682</v>
      </c>
      <c r="K239" t="n">
        <v>209.072257</v>
      </c>
      <c r="L239" t="n">
        <v>660.166914</v>
      </c>
      <c r="M239" t="n">
        <v>660.166914</v>
      </c>
      <c r="N239" t="n">
        <v>670.165526</v>
      </c>
      <c r="O239" t="n">
        <v>72.857719</v>
      </c>
      <c r="P239" t="n">
        <v>43.071646</v>
      </c>
      <c r="Q239" t="n">
        <v>670.165526</v>
      </c>
      <c r="R239" t="n">
        <v>660.166914</v>
      </c>
      <c r="S239" t="n">
        <v>72.857719</v>
      </c>
      <c r="T239" t="n">
        <v>72.857719</v>
      </c>
      <c r="U239" t="n">
        <v>43.071646</v>
      </c>
      <c r="V239" t="n">
        <v>43.071646</v>
      </c>
      <c r="W239" t="n">
        <v>75.193746</v>
      </c>
      <c r="X239" t="n">
        <v>683.804243</v>
      </c>
    </row>
    <row r="240">
      <c r="A240" t="inlineStr">
        <is>
          <t>Chionoecetes</t>
        </is>
      </c>
      <c r="D240" t="inlineStr">
        <is>
          <t>Crabs</t>
        </is>
      </c>
      <c r="E240" t="n">
        <v>0</v>
      </c>
      <c r="F240" t="n">
        <v>21.002175</v>
      </c>
      <c r="G240" t="n">
        <v>1.546636</v>
      </c>
      <c r="H240" t="n">
        <v>1.565985</v>
      </c>
      <c r="I240" t="n">
        <v>12.039474</v>
      </c>
      <c r="J240" t="n">
        <v>12.039474</v>
      </c>
      <c r="K240" t="n">
        <v>11.028158</v>
      </c>
      <c r="L240" t="n">
        <v>11.032425</v>
      </c>
      <c r="M240" t="n">
        <v>11.032425</v>
      </c>
      <c r="N240" t="n">
        <v>11.257068</v>
      </c>
      <c r="O240" t="n">
        <v>7.495998</v>
      </c>
      <c r="P240" t="n">
        <v>5.212079</v>
      </c>
      <c r="Q240" t="n">
        <v>11.257068</v>
      </c>
      <c r="R240" t="n">
        <v>11.032425</v>
      </c>
      <c r="S240" t="n">
        <v>7.495998</v>
      </c>
      <c r="T240" t="n">
        <v>7.495998</v>
      </c>
      <c r="U240" t="n">
        <v>5.212079</v>
      </c>
      <c r="V240" t="n">
        <v>5.212079</v>
      </c>
      <c r="W240" t="n">
        <v>7.53635</v>
      </c>
      <c r="X240" t="n">
        <v>11.035506</v>
      </c>
    </row>
    <row r="241">
      <c r="A241" t="inlineStr">
        <is>
          <t>Prionace glauca</t>
        </is>
      </c>
      <c r="B241" t="n">
        <v>4.35</v>
      </c>
      <c r="C241" t="n">
        <v>2238.721139</v>
      </c>
      <c r="D241" t="inlineStr">
        <is>
          <t>Sharks</t>
        </is>
      </c>
      <c r="E241" t="n">
        <v>0</v>
      </c>
      <c r="F241" t="n">
        <v>1154.744061</v>
      </c>
      <c r="G241" t="n">
        <v>2.745621</v>
      </c>
      <c r="H241" t="n">
        <v>2.742397</v>
      </c>
      <c r="I241" t="n">
        <v>0</v>
      </c>
      <c r="J241" t="n">
        <v>152.583853</v>
      </c>
      <c r="K241" t="n">
        <v>0</v>
      </c>
      <c r="L241" t="n">
        <v>0</v>
      </c>
      <c r="M241" t="n">
        <v>0</v>
      </c>
      <c r="N241" t="n">
        <v>0</v>
      </c>
      <c r="O241" t="n">
        <v>205.199674</v>
      </c>
      <c r="P241" t="n">
        <v>93.831501</v>
      </c>
      <c r="Q241" t="n">
        <v>0</v>
      </c>
      <c r="R241" t="n">
        <v>0</v>
      </c>
      <c r="S241" t="n">
        <v>205.199674</v>
      </c>
      <c r="T241" t="n">
        <v>205.199674</v>
      </c>
      <c r="U241" t="n">
        <v>93.831501</v>
      </c>
      <c r="V241" t="n">
        <v>93.831501</v>
      </c>
      <c r="W241" t="n">
        <v>205.695409</v>
      </c>
      <c r="X241" t="n">
        <v>0</v>
      </c>
    </row>
    <row r="242">
      <c r="A242" t="inlineStr">
        <is>
          <t>Scylla</t>
        </is>
      </c>
      <c r="B242" t="n">
        <v>3.17</v>
      </c>
      <c r="C242" t="n">
        <v>147.910839</v>
      </c>
      <c r="D242" t="inlineStr">
        <is>
          <t>Crabs</t>
        </is>
      </c>
      <c r="E242" t="n">
        <v>0</v>
      </c>
      <c r="F242" t="n">
        <v>21.002175</v>
      </c>
      <c r="G242" t="n">
        <v>1.546636</v>
      </c>
      <c r="H242" t="n">
        <v>1.565985</v>
      </c>
      <c r="I242" t="n">
        <v>12.039474</v>
      </c>
      <c r="J242" t="n">
        <v>12.039474</v>
      </c>
      <c r="K242" t="n">
        <v>11.028158</v>
      </c>
      <c r="L242" t="n">
        <v>11.032425</v>
      </c>
      <c r="M242" t="n">
        <v>11.032425</v>
      </c>
      <c r="N242" t="n">
        <v>11.257068</v>
      </c>
      <c r="O242" t="n">
        <v>7.495998</v>
      </c>
      <c r="P242" t="n">
        <v>5.212079</v>
      </c>
      <c r="Q242" t="n">
        <v>11.257068</v>
      </c>
      <c r="R242" t="n">
        <v>11.032425</v>
      </c>
      <c r="S242" t="n">
        <v>7.495998</v>
      </c>
      <c r="T242" t="n">
        <v>7.495998</v>
      </c>
      <c r="U242" t="n">
        <v>5.212079</v>
      </c>
      <c r="V242" t="n">
        <v>5.212079</v>
      </c>
      <c r="W242" t="n">
        <v>7.53635</v>
      </c>
      <c r="X242" t="n">
        <v>11.035506</v>
      </c>
    </row>
    <row r="243">
      <c r="A243" t="inlineStr">
        <is>
          <t>Gadiformes</t>
        </is>
      </c>
      <c r="D243" t="inlineStr">
        <is>
          <t>Planktivores | Piscivores</t>
        </is>
      </c>
      <c r="E243" t="n">
        <v>0</v>
      </c>
      <c r="F243" t="n">
        <v>149.15991</v>
      </c>
      <c r="G243" t="n">
        <v>2.015277</v>
      </c>
      <c r="H243" t="n">
        <v>2.018826</v>
      </c>
      <c r="I243" t="n">
        <v>99.839743</v>
      </c>
      <c r="J243" t="n">
        <v>100.353321</v>
      </c>
      <c r="K243" t="n">
        <v>88.602372</v>
      </c>
      <c r="L243" t="n">
        <v>106.407092</v>
      </c>
      <c r="M243" t="n">
        <v>106.407092</v>
      </c>
      <c r="N243" t="n">
        <v>107.634206</v>
      </c>
      <c r="O243" t="n">
        <v>25.338665</v>
      </c>
      <c r="P243" t="n">
        <v>14.775855</v>
      </c>
      <c r="Q243" t="n">
        <v>107.634206</v>
      </c>
      <c r="R243" t="n">
        <v>106.407092</v>
      </c>
      <c r="S243" t="n">
        <v>25.338665</v>
      </c>
      <c r="T243" t="n">
        <v>25.338665</v>
      </c>
      <c r="U243" t="n">
        <v>14.775855</v>
      </c>
      <c r="V243" t="n">
        <v>14.775855</v>
      </c>
      <c r="W243" t="n">
        <v>25.711163</v>
      </c>
      <c r="X243" t="n">
        <v>106.316924</v>
      </c>
    </row>
    <row r="244">
      <c r="A244" t="inlineStr">
        <is>
          <t>Encrasicholina punctifer</t>
        </is>
      </c>
      <c r="B244" t="n">
        <v>3.25</v>
      </c>
      <c r="C244" t="n">
        <v>177.827941</v>
      </c>
      <c r="D244" t="inlineStr">
        <is>
          <t>Planktivores</t>
        </is>
      </c>
      <c r="E244" t="n">
        <v>0</v>
      </c>
      <c r="F244" t="n">
        <v>100.997642</v>
      </c>
      <c r="G244" t="n">
        <v>1.93677</v>
      </c>
      <c r="H244" t="n">
        <v>1.93149</v>
      </c>
      <c r="I244" t="n">
        <v>53.479795</v>
      </c>
      <c r="J244" t="n">
        <v>53.479795</v>
      </c>
      <c r="K244" t="n">
        <v>53.372836</v>
      </c>
      <c r="L244" t="n">
        <v>51.741399</v>
      </c>
      <c r="M244" t="n">
        <v>51.741399</v>
      </c>
      <c r="N244" t="n">
        <v>52.283119</v>
      </c>
      <c r="O244" t="n">
        <v>17.749881</v>
      </c>
      <c r="P244" t="n">
        <v>11.404035</v>
      </c>
      <c r="Q244" t="n">
        <v>52.283119</v>
      </c>
      <c r="R244" t="n">
        <v>51.741399</v>
      </c>
      <c r="S244" t="n">
        <v>17.749881</v>
      </c>
      <c r="T244" t="n">
        <v>17.749881</v>
      </c>
      <c r="U244" t="n">
        <v>11.404035</v>
      </c>
      <c r="V244" t="n">
        <v>11.404035</v>
      </c>
      <c r="W244" t="n">
        <v>17.839302</v>
      </c>
      <c r="X244" t="n">
        <v>54.129601</v>
      </c>
    </row>
    <row r="245">
      <c r="A245" t="inlineStr">
        <is>
          <t>Nibea albiflora</t>
        </is>
      </c>
      <c r="B245" t="n">
        <v>3.5</v>
      </c>
      <c r="C245" t="n">
        <v>316.227766</v>
      </c>
      <c r="D245" t="inlineStr">
        <is>
          <t>Omnivores</t>
        </is>
      </c>
      <c r="E245" t="n">
        <v>0</v>
      </c>
      <c r="F245" t="n">
        <v>131.221463</v>
      </c>
      <c r="G245" t="n">
        <v>2.01077</v>
      </c>
      <c r="H245" t="n">
        <v>2.036134</v>
      </c>
      <c r="I245" t="n">
        <v>66.04435700000001</v>
      </c>
      <c r="J245" t="n">
        <v>68.25582300000001</v>
      </c>
      <c r="K245" t="n">
        <v>68.187568</v>
      </c>
      <c r="L245" t="n">
        <v>72.544996</v>
      </c>
      <c r="M245" t="n">
        <v>72.544996</v>
      </c>
      <c r="N245" t="n">
        <v>73.57283200000001</v>
      </c>
      <c r="O245" t="n">
        <v>17.500018</v>
      </c>
      <c r="P245" t="n">
        <v>10.032554</v>
      </c>
      <c r="Q245" t="n">
        <v>73.57283200000001</v>
      </c>
      <c r="R245" t="n">
        <v>72.544996</v>
      </c>
      <c r="S245" t="n">
        <v>17.500018</v>
      </c>
      <c r="T245" t="n">
        <v>17.500018</v>
      </c>
      <c r="U245" t="n">
        <v>10.032554</v>
      </c>
      <c r="V245" t="n">
        <v>10.032554</v>
      </c>
      <c r="W245" t="n">
        <v>17.704629</v>
      </c>
      <c r="X245" t="n">
        <v>72.854687</v>
      </c>
    </row>
    <row r="246">
      <c r="A246" t="inlineStr">
        <is>
          <t>Carcharhinus falciformis</t>
        </is>
      </c>
      <c r="B246" t="n">
        <v>4.51</v>
      </c>
      <c r="C246" t="n">
        <v>3235.936569</v>
      </c>
      <c r="D246" t="inlineStr">
        <is>
          <t>Sharks</t>
        </is>
      </c>
      <c r="E246" t="n">
        <v>0</v>
      </c>
      <c r="F246" t="n">
        <v>1154.744061</v>
      </c>
      <c r="G246" t="n">
        <v>2.745621</v>
      </c>
      <c r="H246" t="n">
        <v>2.742397</v>
      </c>
      <c r="I246" t="n">
        <v>0</v>
      </c>
      <c r="J246" t="n">
        <v>152.583853</v>
      </c>
      <c r="K246" t="n">
        <v>0</v>
      </c>
      <c r="L246" t="n">
        <v>0</v>
      </c>
      <c r="M246" t="n">
        <v>0</v>
      </c>
      <c r="N246" t="n">
        <v>0</v>
      </c>
      <c r="O246" t="n">
        <v>205.199674</v>
      </c>
      <c r="P246" t="n">
        <v>93.831501</v>
      </c>
      <c r="Q246" t="n">
        <v>0</v>
      </c>
      <c r="R246" t="n">
        <v>0</v>
      </c>
      <c r="S246" t="n">
        <v>205.199674</v>
      </c>
      <c r="T246" t="n">
        <v>205.199674</v>
      </c>
      <c r="U246" t="n">
        <v>93.831501</v>
      </c>
      <c r="V246" t="n">
        <v>93.831501</v>
      </c>
      <c r="W246" t="n">
        <v>205.695409</v>
      </c>
      <c r="X246" t="n">
        <v>0</v>
      </c>
    </row>
    <row r="247">
      <c r="A247" t="inlineStr">
        <is>
          <t>Parupeneus barberinus</t>
        </is>
      </c>
      <c r="B247" t="n">
        <v>3.22</v>
      </c>
      <c r="C247" t="n">
        <v>165.958691</v>
      </c>
      <c r="D247" t="inlineStr">
        <is>
          <t>Benthivores</t>
        </is>
      </c>
      <c r="E247" t="n">
        <v>0</v>
      </c>
      <c r="F247" t="n">
        <v>67.81478300000001</v>
      </c>
      <c r="G247" t="n">
        <v>1.829368</v>
      </c>
      <c r="H247" t="n">
        <v>1.84033</v>
      </c>
      <c r="I247" t="n">
        <v>33.988491</v>
      </c>
      <c r="J247" t="n">
        <v>35.780255</v>
      </c>
      <c r="K247" t="n">
        <v>35.601354</v>
      </c>
      <c r="L247" t="n">
        <v>385.228839</v>
      </c>
      <c r="M247" t="n">
        <v>385.228839</v>
      </c>
      <c r="N247" t="n">
        <v>391.588003</v>
      </c>
      <c r="O247" t="n">
        <v>16.66963</v>
      </c>
      <c r="P247" t="n">
        <v>9.973879999999999</v>
      </c>
      <c r="Q247" t="n">
        <v>391.588003</v>
      </c>
      <c r="R247" t="n">
        <v>385.228839</v>
      </c>
      <c r="S247" t="n">
        <v>16.66963</v>
      </c>
      <c r="T247" t="n">
        <v>16.66963</v>
      </c>
      <c r="U247" t="n">
        <v>9.973879999999999</v>
      </c>
      <c r="V247" t="n">
        <v>9.973879999999999</v>
      </c>
      <c r="W247" t="n">
        <v>17.246706</v>
      </c>
      <c r="X247" t="n">
        <v>42.474741</v>
      </c>
    </row>
    <row r="248">
      <c r="A248" t="inlineStr">
        <is>
          <t>Epinephelus malabaricus</t>
        </is>
      </c>
      <c r="B248" t="n">
        <v>4.16</v>
      </c>
      <c r="C248" t="n">
        <v>1445.439771</v>
      </c>
      <c r="D248" t="inlineStr">
        <is>
          <t>Piscivores</t>
        </is>
      </c>
      <c r="E248" t="n">
        <v>0</v>
      </c>
      <c r="F248" t="n">
        <v>304.388999</v>
      </c>
      <c r="G248" t="n">
        <v>2.268309</v>
      </c>
      <c r="H248" t="n">
        <v>2.300314</v>
      </c>
      <c r="I248" t="n">
        <v>249.259877</v>
      </c>
      <c r="J248" t="n">
        <v>251.428736</v>
      </c>
      <c r="K248" t="n">
        <v>202.148704</v>
      </c>
      <c r="L248" t="n">
        <v>282.597002</v>
      </c>
      <c r="M248" t="n">
        <v>282.597002</v>
      </c>
      <c r="N248" t="n">
        <v>286.033173</v>
      </c>
      <c r="O248" t="n">
        <v>49.797649</v>
      </c>
      <c r="P248" t="n">
        <v>25.643377</v>
      </c>
      <c r="Q248" t="n">
        <v>286.033173</v>
      </c>
      <c r="R248" t="n">
        <v>282.597002</v>
      </c>
      <c r="S248" t="n">
        <v>49.797649</v>
      </c>
      <c r="T248" t="n">
        <v>49.797649</v>
      </c>
      <c r="U248" t="n">
        <v>25.643377</v>
      </c>
      <c r="V248" t="n">
        <v>25.643377</v>
      </c>
      <c r="W248" t="n">
        <v>51.082514</v>
      </c>
      <c r="X248" t="n">
        <v>274.518943</v>
      </c>
    </row>
    <row r="249">
      <c r="A249" t="inlineStr">
        <is>
          <t>Ranina ranina</t>
        </is>
      </c>
      <c r="D249" t="inlineStr">
        <is>
          <t>Crabs</t>
        </is>
      </c>
      <c r="E249" t="n">
        <v>0</v>
      </c>
      <c r="F249" t="n">
        <v>21.002175</v>
      </c>
      <c r="G249" t="n">
        <v>1.546636</v>
      </c>
      <c r="H249" t="n">
        <v>1.565985</v>
      </c>
      <c r="I249" t="n">
        <v>12.039474</v>
      </c>
      <c r="J249" t="n">
        <v>12.039474</v>
      </c>
      <c r="K249" t="n">
        <v>11.028158</v>
      </c>
      <c r="L249" t="n">
        <v>11.032425</v>
      </c>
      <c r="M249" t="n">
        <v>11.032425</v>
      </c>
      <c r="N249" t="n">
        <v>11.257068</v>
      </c>
      <c r="O249" t="n">
        <v>7.495998</v>
      </c>
      <c r="P249" t="n">
        <v>5.212079</v>
      </c>
      <c r="Q249" t="n">
        <v>11.257068</v>
      </c>
      <c r="R249" t="n">
        <v>11.032425</v>
      </c>
      <c r="S249" t="n">
        <v>7.495998</v>
      </c>
      <c r="T249" t="n">
        <v>7.495998</v>
      </c>
      <c r="U249" t="n">
        <v>5.212079</v>
      </c>
      <c r="V249" t="n">
        <v>5.212079</v>
      </c>
      <c r="W249" t="n">
        <v>7.53635</v>
      </c>
      <c r="X249" t="n">
        <v>11.035506</v>
      </c>
    </row>
    <row r="250">
      <c r="A250" t="inlineStr">
        <is>
          <t>Metapenaeus ensis</t>
        </is>
      </c>
      <c r="B250" t="n">
        <v>2.7</v>
      </c>
      <c r="C250" t="n">
        <v>50.118723</v>
      </c>
      <c r="D250" t="inlineStr">
        <is>
          <t>Shrimps</t>
        </is>
      </c>
      <c r="E250" t="n">
        <v>0</v>
      </c>
      <c r="F250" t="n">
        <v>20.606299</v>
      </c>
      <c r="G250" t="n">
        <v>1.542427</v>
      </c>
      <c r="H250" t="n">
        <v>1.561295</v>
      </c>
      <c r="I250" t="n">
        <v>15.075177</v>
      </c>
      <c r="J250" t="n">
        <v>15.075177</v>
      </c>
      <c r="K250" t="n">
        <v>15.060102</v>
      </c>
      <c r="L250" t="n">
        <v>13.927162</v>
      </c>
      <c r="M250" t="n">
        <v>13.927162</v>
      </c>
      <c r="N250" t="n">
        <v>14.183251</v>
      </c>
      <c r="O250" t="n">
        <v>7.969433</v>
      </c>
      <c r="P250" t="n">
        <v>5.681336</v>
      </c>
      <c r="Q250" t="n">
        <v>14.183251</v>
      </c>
      <c r="R250" t="n">
        <v>13.927162</v>
      </c>
      <c r="S250" t="n">
        <v>7.969433</v>
      </c>
      <c r="T250" t="n">
        <v>7.969433</v>
      </c>
      <c r="U250" t="n">
        <v>5.681336</v>
      </c>
      <c r="V250" t="n">
        <v>5.681336</v>
      </c>
      <c r="W250" t="n">
        <v>8.136905</v>
      </c>
      <c r="X250" t="n">
        <v>14.885026</v>
      </c>
    </row>
    <row r="251">
      <c r="A251" t="inlineStr">
        <is>
          <t>Rachycentron canadum</t>
        </is>
      </c>
      <c r="B251" t="n">
        <v>3.96</v>
      </c>
      <c r="C251" t="n">
        <v>912.010839</v>
      </c>
      <c r="D251" t="inlineStr">
        <is>
          <t>Piscivores</t>
        </is>
      </c>
      <c r="E251" t="n">
        <v>0</v>
      </c>
      <c r="F251" t="n">
        <v>304.388999</v>
      </c>
      <c r="G251" t="n">
        <v>2.268309</v>
      </c>
      <c r="H251" t="n">
        <v>2.300314</v>
      </c>
      <c r="I251" t="n">
        <v>249.259877</v>
      </c>
      <c r="J251" t="n">
        <v>251.428736</v>
      </c>
      <c r="K251" t="n">
        <v>202.148704</v>
      </c>
      <c r="L251" t="n">
        <v>282.597002</v>
      </c>
      <c r="M251" t="n">
        <v>282.597002</v>
      </c>
      <c r="N251" t="n">
        <v>286.033173</v>
      </c>
      <c r="O251" t="n">
        <v>49.797649</v>
      </c>
      <c r="P251" t="n">
        <v>25.643377</v>
      </c>
      <c r="Q251" t="n">
        <v>286.033173</v>
      </c>
      <c r="R251" t="n">
        <v>282.597002</v>
      </c>
      <c r="S251" t="n">
        <v>49.797649</v>
      </c>
      <c r="T251" t="n">
        <v>49.797649</v>
      </c>
      <c r="U251" t="n">
        <v>25.643377</v>
      </c>
      <c r="V251" t="n">
        <v>25.643377</v>
      </c>
      <c r="W251" t="n">
        <v>51.082514</v>
      </c>
      <c r="X251" t="n">
        <v>274.518943</v>
      </c>
    </row>
    <row r="252">
      <c r="A252" t="inlineStr">
        <is>
          <t>Sphyraena barracuda</t>
        </is>
      </c>
      <c r="B252" t="n">
        <v>4.49</v>
      </c>
      <c r="C252" t="n">
        <v>3090.295433</v>
      </c>
      <c r="D252" t="inlineStr">
        <is>
          <t>Piscivores</t>
        </is>
      </c>
      <c r="E252" t="n">
        <v>0</v>
      </c>
      <c r="F252" t="n">
        <v>304.388999</v>
      </c>
      <c r="G252" t="n">
        <v>2.268309</v>
      </c>
      <c r="H252" t="n">
        <v>2.300314</v>
      </c>
      <c r="I252" t="n">
        <v>249.259877</v>
      </c>
      <c r="J252" t="n">
        <v>251.428736</v>
      </c>
      <c r="K252" t="n">
        <v>202.148704</v>
      </c>
      <c r="L252" t="n">
        <v>282.597002</v>
      </c>
      <c r="M252" t="n">
        <v>282.597002</v>
      </c>
      <c r="N252" t="n">
        <v>286.033173</v>
      </c>
      <c r="O252" t="n">
        <v>49.797649</v>
      </c>
      <c r="P252" t="n">
        <v>25.643377</v>
      </c>
      <c r="Q252" t="n">
        <v>286.033173</v>
      </c>
      <c r="R252" t="n">
        <v>282.597002</v>
      </c>
      <c r="S252" t="n">
        <v>49.797649</v>
      </c>
      <c r="T252" t="n">
        <v>49.797649</v>
      </c>
      <c r="U252" t="n">
        <v>25.643377</v>
      </c>
      <c r="V252" t="n">
        <v>25.643377</v>
      </c>
      <c r="W252" t="n">
        <v>51.082514</v>
      </c>
      <c r="X252" t="n">
        <v>274.518943</v>
      </c>
    </row>
    <row r="253">
      <c r="A253" t="inlineStr">
        <is>
          <t>Berycidae</t>
        </is>
      </c>
      <c r="B253" t="n">
        <v>3.99</v>
      </c>
      <c r="C253" t="n">
        <v>977.237221</v>
      </c>
      <c r="D253" t="inlineStr">
        <is>
          <t>Piscivores</t>
        </is>
      </c>
      <c r="E253" t="n">
        <v>0</v>
      </c>
      <c r="F253" t="n">
        <v>304.388999</v>
      </c>
      <c r="G253" t="n">
        <v>2.268309</v>
      </c>
      <c r="H253" t="n">
        <v>2.300314</v>
      </c>
      <c r="I253" t="n">
        <v>249.259877</v>
      </c>
      <c r="J253" t="n">
        <v>251.428736</v>
      </c>
      <c r="K253" t="n">
        <v>202.148704</v>
      </c>
      <c r="L253" t="n">
        <v>282.597002</v>
      </c>
      <c r="M253" t="n">
        <v>282.597002</v>
      </c>
      <c r="N253" t="n">
        <v>286.033173</v>
      </c>
      <c r="O253" t="n">
        <v>49.797649</v>
      </c>
      <c r="P253" t="n">
        <v>25.643377</v>
      </c>
      <c r="Q253" t="n">
        <v>286.033173</v>
      </c>
      <c r="R253" t="n">
        <v>282.597002</v>
      </c>
      <c r="S253" t="n">
        <v>49.797649</v>
      </c>
      <c r="T253" t="n">
        <v>49.797649</v>
      </c>
      <c r="U253" t="n">
        <v>25.643377</v>
      </c>
      <c r="V253" t="n">
        <v>25.643377</v>
      </c>
      <c r="W253" t="n">
        <v>51.082514</v>
      </c>
      <c r="X253" t="n">
        <v>274.518943</v>
      </c>
    </row>
    <row r="254">
      <c r="A254" t="inlineStr">
        <is>
          <t>Psettodes erumei</t>
        </is>
      </c>
      <c r="B254" t="n">
        <v>4.39</v>
      </c>
      <c r="C254" t="n">
        <v>2454.708916</v>
      </c>
      <c r="D254" t="inlineStr">
        <is>
          <t>Piscivores</t>
        </is>
      </c>
      <c r="E254" t="n">
        <v>0</v>
      </c>
      <c r="F254" t="n">
        <v>304.388999</v>
      </c>
      <c r="G254" t="n">
        <v>2.268309</v>
      </c>
      <c r="H254" t="n">
        <v>2.300314</v>
      </c>
      <c r="I254" t="n">
        <v>249.259877</v>
      </c>
      <c r="J254" t="n">
        <v>251.428736</v>
      </c>
      <c r="K254" t="n">
        <v>202.148704</v>
      </c>
      <c r="L254" t="n">
        <v>282.597002</v>
      </c>
      <c r="M254" t="n">
        <v>282.597002</v>
      </c>
      <c r="N254" t="n">
        <v>286.033173</v>
      </c>
      <c r="O254" t="n">
        <v>49.797649</v>
      </c>
      <c r="P254" t="n">
        <v>25.643377</v>
      </c>
      <c r="Q254" t="n">
        <v>286.033173</v>
      </c>
      <c r="R254" t="n">
        <v>282.597002</v>
      </c>
      <c r="S254" t="n">
        <v>49.797649</v>
      </c>
      <c r="T254" t="n">
        <v>49.797649</v>
      </c>
      <c r="U254" t="n">
        <v>25.643377</v>
      </c>
      <c r="V254" t="n">
        <v>25.643377</v>
      </c>
      <c r="W254" t="n">
        <v>51.082514</v>
      </c>
      <c r="X254" t="n">
        <v>274.518943</v>
      </c>
    </row>
    <row r="255">
      <c r="A255" t="inlineStr">
        <is>
          <t>Paralithodes</t>
        </is>
      </c>
      <c r="D255" t="inlineStr">
        <is>
          <t>Crabs</t>
        </is>
      </c>
      <c r="E255" t="n">
        <v>0</v>
      </c>
      <c r="F255" t="n">
        <v>21.002175</v>
      </c>
      <c r="G255" t="n">
        <v>1.546636</v>
      </c>
      <c r="H255" t="n">
        <v>1.565985</v>
      </c>
      <c r="I255" t="n">
        <v>12.039474</v>
      </c>
      <c r="J255" t="n">
        <v>12.039474</v>
      </c>
      <c r="K255" t="n">
        <v>11.028158</v>
      </c>
      <c r="L255" t="n">
        <v>11.032425</v>
      </c>
      <c r="M255" t="n">
        <v>11.032425</v>
      </c>
      <c r="N255" t="n">
        <v>11.257068</v>
      </c>
      <c r="O255" t="n">
        <v>7.495998</v>
      </c>
      <c r="P255" t="n">
        <v>5.212079</v>
      </c>
      <c r="Q255" t="n">
        <v>11.257068</v>
      </c>
      <c r="R255" t="n">
        <v>11.032425</v>
      </c>
      <c r="S255" t="n">
        <v>7.495998</v>
      </c>
      <c r="T255" t="n">
        <v>7.495998</v>
      </c>
      <c r="U255" t="n">
        <v>5.212079</v>
      </c>
      <c r="V255" t="n">
        <v>5.212079</v>
      </c>
      <c r="W255" t="n">
        <v>7.53635</v>
      </c>
      <c r="X255" t="n">
        <v>11.035506</v>
      </c>
    </row>
    <row r="256">
      <c r="A256" t="inlineStr">
        <is>
          <t>Hemitrygon akajei</t>
        </is>
      </c>
      <c r="B256" t="n">
        <v>3.84</v>
      </c>
      <c r="C256" t="n">
        <v>691.830971</v>
      </c>
      <c r="D256" t="inlineStr">
        <is>
          <t>Benthivores</t>
        </is>
      </c>
      <c r="E256" t="n">
        <v>0</v>
      </c>
      <c r="F256" t="n">
        <v>67.81478300000001</v>
      </c>
      <c r="G256" t="n">
        <v>1.829368</v>
      </c>
      <c r="H256" t="n">
        <v>1.84033</v>
      </c>
      <c r="I256" t="n">
        <v>33.988491</v>
      </c>
      <c r="J256" t="n">
        <v>35.780255</v>
      </c>
      <c r="K256" t="n">
        <v>35.601354</v>
      </c>
      <c r="L256" t="n">
        <v>385.228839</v>
      </c>
      <c r="M256" t="n">
        <v>385.228839</v>
      </c>
      <c r="N256" t="n">
        <v>391.588003</v>
      </c>
      <c r="O256" t="n">
        <v>16.66963</v>
      </c>
      <c r="P256" t="n">
        <v>9.973879999999999</v>
      </c>
      <c r="Q256" t="n">
        <v>391.588003</v>
      </c>
      <c r="R256" t="n">
        <v>385.228839</v>
      </c>
      <c r="S256" t="n">
        <v>16.66963</v>
      </c>
      <c r="T256" t="n">
        <v>16.66963</v>
      </c>
      <c r="U256" t="n">
        <v>9.973879999999999</v>
      </c>
      <c r="V256" t="n">
        <v>9.973879999999999</v>
      </c>
      <c r="W256" t="n">
        <v>17.246706</v>
      </c>
      <c r="X256" t="n">
        <v>42.474741</v>
      </c>
    </row>
    <row r="257">
      <c r="A257" t="inlineStr">
        <is>
          <t>Chionoecetes opilio</t>
        </is>
      </c>
      <c r="B257" t="n">
        <v>3.54</v>
      </c>
      <c r="C257" t="n">
        <v>346.73685</v>
      </c>
      <c r="D257" t="inlineStr">
        <is>
          <t>Crabs</t>
        </is>
      </c>
      <c r="E257" t="n">
        <v>0</v>
      </c>
      <c r="F257" t="n">
        <v>21.002175</v>
      </c>
      <c r="G257" t="n">
        <v>1.546636</v>
      </c>
      <c r="H257" t="n">
        <v>1.565985</v>
      </c>
      <c r="I257" t="n">
        <v>12.039474</v>
      </c>
      <c r="J257" t="n">
        <v>12.039474</v>
      </c>
      <c r="K257" t="n">
        <v>11.028158</v>
      </c>
      <c r="L257" t="n">
        <v>11.032425</v>
      </c>
      <c r="M257" t="n">
        <v>11.032425</v>
      </c>
      <c r="N257" t="n">
        <v>11.257068</v>
      </c>
      <c r="O257" t="n">
        <v>7.495998</v>
      </c>
      <c r="P257" t="n">
        <v>5.212079</v>
      </c>
      <c r="Q257" t="n">
        <v>11.257068</v>
      </c>
      <c r="R257" t="n">
        <v>11.032425</v>
      </c>
      <c r="S257" t="n">
        <v>7.495998</v>
      </c>
      <c r="T257" t="n">
        <v>7.495998</v>
      </c>
      <c r="U257" t="n">
        <v>5.212079</v>
      </c>
      <c r="V257" t="n">
        <v>5.212079</v>
      </c>
      <c r="W257" t="n">
        <v>7.53635</v>
      </c>
      <c r="X257" t="n">
        <v>11.035506</v>
      </c>
    </row>
    <row r="258">
      <c r="A258" t="inlineStr">
        <is>
          <t>Sillago sihama</t>
        </is>
      </c>
      <c r="B258" t="n">
        <v>3.33</v>
      </c>
      <c r="C258" t="n">
        <v>213.796209</v>
      </c>
      <c r="D258" t="inlineStr">
        <is>
          <t>Benthivores</t>
        </is>
      </c>
      <c r="E258" t="n">
        <v>0</v>
      </c>
      <c r="F258" t="n">
        <v>67.81478300000001</v>
      </c>
      <c r="G258" t="n">
        <v>1.829368</v>
      </c>
      <c r="H258" t="n">
        <v>1.84033</v>
      </c>
      <c r="I258" t="n">
        <v>33.988491</v>
      </c>
      <c r="J258" t="n">
        <v>35.780255</v>
      </c>
      <c r="K258" t="n">
        <v>35.601354</v>
      </c>
      <c r="L258" t="n">
        <v>385.228839</v>
      </c>
      <c r="M258" t="n">
        <v>385.228839</v>
      </c>
      <c r="N258" t="n">
        <v>391.588003</v>
      </c>
      <c r="O258" t="n">
        <v>16.66963</v>
      </c>
      <c r="P258" t="n">
        <v>9.973879999999999</v>
      </c>
      <c r="Q258" t="n">
        <v>391.588003</v>
      </c>
      <c r="R258" t="n">
        <v>385.228839</v>
      </c>
      <c r="S258" t="n">
        <v>16.66963</v>
      </c>
      <c r="T258" t="n">
        <v>16.66963</v>
      </c>
      <c r="U258" t="n">
        <v>9.973879999999999</v>
      </c>
      <c r="V258" t="n">
        <v>9.973879999999999</v>
      </c>
      <c r="W258" t="n">
        <v>17.246706</v>
      </c>
      <c r="X258" t="n">
        <v>42.474741</v>
      </c>
    </row>
    <row r="259">
      <c r="A259" t="inlineStr">
        <is>
          <t>Lethrinus miniatus</t>
        </is>
      </c>
      <c r="B259" t="n">
        <v>4.19</v>
      </c>
      <c r="C259" t="n">
        <v>1548.816619</v>
      </c>
      <c r="D259" t="inlineStr">
        <is>
          <t>Benthivores/piscivores</t>
        </is>
      </c>
      <c r="E259" t="n">
        <v>0</v>
      </c>
      <c r="F259" t="n">
        <v>136.120059</v>
      </c>
      <c r="G259" t="n">
        <v>2.021353</v>
      </c>
      <c r="H259" t="n">
        <v>2.039787</v>
      </c>
      <c r="I259" t="n">
        <v>36.046055</v>
      </c>
      <c r="J259" t="n">
        <v>36.076344</v>
      </c>
      <c r="K259" t="n">
        <v>35.535199</v>
      </c>
      <c r="L259" t="n">
        <v>34.759886</v>
      </c>
      <c r="M259" t="n">
        <v>34.759886</v>
      </c>
      <c r="N259" t="n">
        <v>35.313702</v>
      </c>
      <c r="O259" t="n">
        <v>13.890783</v>
      </c>
      <c r="P259" t="n">
        <v>8.319739999999999</v>
      </c>
      <c r="Q259" t="n">
        <v>35.313702</v>
      </c>
      <c r="R259" t="n">
        <v>34.759886</v>
      </c>
      <c r="S259" t="n">
        <v>13.890783</v>
      </c>
      <c r="T259" t="n">
        <v>13.890783</v>
      </c>
      <c r="U259" t="n">
        <v>8.319739999999999</v>
      </c>
      <c r="V259" t="n">
        <v>8.319739999999999</v>
      </c>
      <c r="W259" t="n">
        <v>14.220855</v>
      </c>
      <c r="X259" t="n">
        <v>35.767132</v>
      </c>
    </row>
    <row r="260">
      <c r="A260" t="inlineStr">
        <is>
          <t>Istiophorus platypterus</t>
        </is>
      </c>
      <c r="B260" t="n">
        <v>4.5</v>
      </c>
      <c r="C260" t="n">
        <v>3162.27766</v>
      </c>
      <c r="D260" t="inlineStr">
        <is>
          <t>Piscivores</t>
        </is>
      </c>
      <c r="E260" t="n">
        <v>0</v>
      </c>
      <c r="F260" t="n">
        <v>304.388999</v>
      </c>
      <c r="G260" t="n">
        <v>2.268309</v>
      </c>
      <c r="H260" t="n">
        <v>2.300314</v>
      </c>
      <c r="I260" t="n">
        <v>249.259877</v>
      </c>
      <c r="J260" t="n">
        <v>251.428736</v>
      </c>
      <c r="K260" t="n">
        <v>202.148704</v>
      </c>
      <c r="L260" t="n">
        <v>282.597002</v>
      </c>
      <c r="M260" t="n">
        <v>282.597002</v>
      </c>
      <c r="N260" t="n">
        <v>286.033173</v>
      </c>
      <c r="O260" t="n">
        <v>49.797649</v>
      </c>
      <c r="P260" t="n">
        <v>25.643377</v>
      </c>
      <c r="Q260" t="n">
        <v>286.033173</v>
      </c>
      <c r="R260" t="n">
        <v>282.597002</v>
      </c>
      <c r="S260" t="n">
        <v>49.797649</v>
      </c>
      <c r="T260" t="n">
        <v>49.797649</v>
      </c>
      <c r="U260" t="n">
        <v>25.643377</v>
      </c>
      <c r="V260" t="n">
        <v>25.643377</v>
      </c>
      <c r="W260" t="n">
        <v>51.082514</v>
      </c>
      <c r="X260" t="n">
        <v>274.518943</v>
      </c>
    </row>
    <row r="261">
      <c r="A261" t="inlineStr">
        <is>
          <t>Lutjanus bohar</t>
        </is>
      </c>
      <c r="B261" t="n">
        <v>4.27</v>
      </c>
      <c r="C261" t="n">
        <v>1862.087137</v>
      </c>
      <c r="D261" t="inlineStr">
        <is>
          <t>Piscivores</t>
        </is>
      </c>
      <c r="E261" t="n">
        <v>0</v>
      </c>
      <c r="F261" t="n">
        <v>304.388999</v>
      </c>
      <c r="G261" t="n">
        <v>2.268309</v>
      </c>
      <c r="H261" t="n">
        <v>2.300314</v>
      </c>
      <c r="I261" t="n">
        <v>249.259877</v>
      </c>
      <c r="J261" t="n">
        <v>251.428736</v>
      </c>
      <c r="K261" t="n">
        <v>202.148704</v>
      </c>
      <c r="L261" t="n">
        <v>282.597002</v>
      </c>
      <c r="M261" t="n">
        <v>282.597002</v>
      </c>
      <c r="N261" t="n">
        <v>286.033173</v>
      </c>
      <c r="O261" t="n">
        <v>49.797649</v>
      </c>
      <c r="P261" t="n">
        <v>25.643377</v>
      </c>
      <c r="Q261" t="n">
        <v>286.033173</v>
      </c>
      <c r="R261" t="n">
        <v>282.597002</v>
      </c>
      <c r="S261" t="n">
        <v>49.797649</v>
      </c>
      <c r="T261" t="n">
        <v>49.797649</v>
      </c>
      <c r="U261" t="n">
        <v>25.643377</v>
      </c>
      <c r="V261" t="n">
        <v>25.643377</v>
      </c>
      <c r="W261" t="n">
        <v>51.082514</v>
      </c>
      <c r="X261" t="n">
        <v>274.518943</v>
      </c>
    </row>
    <row r="262">
      <c r="A262" t="inlineStr">
        <is>
          <t>Rhincodon typus</t>
        </is>
      </c>
      <c r="D262" t="inlineStr">
        <is>
          <t>Sharks</t>
        </is>
      </c>
      <c r="E262" t="n">
        <v>0</v>
      </c>
      <c r="F262" t="n">
        <v>1154.744061</v>
      </c>
      <c r="G262" t="n">
        <v>2.745621</v>
      </c>
      <c r="H262" t="n">
        <v>2.742397</v>
      </c>
      <c r="I262" t="n">
        <v>0</v>
      </c>
      <c r="J262" t="n">
        <v>152.583853</v>
      </c>
      <c r="K262" t="n">
        <v>0</v>
      </c>
      <c r="L262" t="n">
        <v>0</v>
      </c>
      <c r="M262" t="n">
        <v>0</v>
      </c>
      <c r="N262" t="n">
        <v>0</v>
      </c>
      <c r="O262" t="n">
        <v>205.199674</v>
      </c>
      <c r="P262" t="n">
        <v>93.831501</v>
      </c>
      <c r="Q262" t="n">
        <v>0</v>
      </c>
      <c r="R262" t="n">
        <v>0</v>
      </c>
      <c r="S262" t="n">
        <v>205.199674</v>
      </c>
      <c r="T262" t="n">
        <v>205.199674</v>
      </c>
      <c r="U262" t="n">
        <v>93.831501</v>
      </c>
      <c r="V262" t="n">
        <v>93.831501</v>
      </c>
      <c r="W262" t="n">
        <v>205.695409</v>
      </c>
      <c r="X262" t="n">
        <v>0</v>
      </c>
    </row>
    <row r="263">
      <c r="A263" t="inlineStr">
        <is>
          <t>Sergestidae</t>
        </is>
      </c>
      <c r="B263" t="n">
        <v>2.93</v>
      </c>
      <c r="C263" t="n">
        <v>85.113804</v>
      </c>
      <c r="D263" t="inlineStr">
        <is>
          <t>Shrimps</t>
        </is>
      </c>
      <c r="E263" t="n">
        <v>0</v>
      </c>
      <c r="F263" t="n">
        <v>20.606299</v>
      </c>
      <c r="G263" t="n">
        <v>1.542427</v>
      </c>
      <c r="H263" t="n">
        <v>1.561295</v>
      </c>
      <c r="I263" t="n">
        <v>15.075177</v>
      </c>
      <c r="J263" t="n">
        <v>15.075177</v>
      </c>
      <c r="K263" t="n">
        <v>15.060102</v>
      </c>
      <c r="L263" t="n">
        <v>13.927162</v>
      </c>
      <c r="M263" t="n">
        <v>13.927162</v>
      </c>
      <c r="N263" t="n">
        <v>14.183251</v>
      </c>
      <c r="O263" t="n">
        <v>7.969433</v>
      </c>
      <c r="P263" t="n">
        <v>5.681336</v>
      </c>
      <c r="Q263" t="n">
        <v>14.183251</v>
      </c>
      <c r="R263" t="n">
        <v>13.927162</v>
      </c>
      <c r="S263" t="n">
        <v>7.969433</v>
      </c>
      <c r="T263" t="n">
        <v>7.969433</v>
      </c>
      <c r="U263" t="n">
        <v>5.681336</v>
      </c>
      <c r="V263" t="n">
        <v>5.681336</v>
      </c>
      <c r="W263" t="n">
        <v>8.136905</v>
      </c>
      <c r="X263" t="n">
        <v>14.885026</v>
      </c>
    </row>
    <row r="264">
      <c r="A264" t="inlineStr">
        <is>
          <t>Lepidocybium flavobrunneum</t>
        </is>
      </c>
      <c r="D264" t="inlineStr">
        <is>
          <t>Benthivores/piscivores</t>
        </is>
      </c>
      <c r="E264" t="n">
        <v>0</v>
      </c>
      <c r="F264" t="n">
        <v>136.120059</v>
      </c>
      <c r="G264" t="n">
        <v>2.021353</v>
      </c>
      <c r="H264" t="n">
        <v>2.039787</v>
      </c>
      <c r="I264" t="n">
        <v>36.046055</v>
      </c>
      <c r="J264" t="n">
        <v>36.076344</v>
      </c>
      <c r="K264" t="n">
        <v>35.535199</v>
      </c>
      <c r="L264" t="n">
        <v>34.759886</v>
      </c>
      <c r="M264" t="n">
        <v>34.759886</v>
      </c>
      <c r="N264" t="n">
        <v>35.313702</v>
      </c>
      <c r="O264" t="n">
        <v>13.890783</v>
      </c>
      <c r="P264" t="n">
        <v>8.319739999999999</v>
      </c>
      <c r="Q264" t="n">
        <v>35.313702</v>
      </c>
      <c r="R264" t="n">
        <v>34.759886</v>
      </c>
      <c r="S264" t="n">
        <v>13.890783</v>
      </c>
      <c r="T264" t="n">
        <v>13.890783</v>
      </c>
      <c r="U264" t="n">
        <v>8.319739999999999</v>
      </c>
      <c r="V264" t="n">
        <v>8.319739999999999</v>
      </c>
      <c r="W264" t="n">
        <v>14.220855</v>
      </c>
      <c r="X264" t="n">
        <v>35.767132</v>
      </c>
    </row>
    <row r="265">
      <c r="A265" t="inlineStr">
        <is>
          <t>Acetes</t>
        </is>
      </c>
      <c r="B265" t="n">
        <v>2.7</v>
      </c>
      <c r="C265" t="n">
        <v>50.118723</v>
      </c>
      <c r="D265" t="inlineStr">
        <is>
          <t>Shrimps</t>
        </is>
      </c>
      <c r="E265" t="n">
        <v>0</v>
      </c>
      <c r="F265" t="n">
        <v>20.606299</v>
      </c>
      <c r="G265" t="n">
        <v>1.542427</v>
      </c>
      <c r="H265" t="n">
        <v>1.561295</v>
      </c>
      <c r="I265" t="n">
        <v>15.075177</v>
      </c>
      <c r="J265" t="n">
        <v>15.075177</v>
      </c>
      <c r="K265" t="n">
        <v>15.060102</v>
      </c>
      <c r="L265" t="n">
        <v>13.927162</v>
      </c>
      <c r="M265" t="n">
        <v>13.927162</v>
      </c>
      <c r="N265" t="n">
        <v>14.183251</v>
      </c>
      <c r="O265" t="n">
        <v>7.969433</v>
      </c>
      <c r="P265" t="n">
        <v>5.681336</v>
      </c>
      <c r="Q265" t="n">
        <v>14.183251</v>
      </c>
      <c r="R265" t="n">
        <v>13.927162</v>
      </c>
      <c r="S265" t="n">
        <v>7.969433</v>
      </c>
      <c r="T265" t="n">
        <v>7.969433</v>
      </c>
      <c r="U265" t="n">
        <v>5.681336</v>
      </c>
      <c r="V265" t="n">
        <v>5.681336</v>
      </c>
      <c r="W265" t="n">
        <v>8.136905</v>
      </c>
      <c r="X265" t="n">
        <v>14.885026</v>
      </c>
    </row>
    <row r="266">
      <c r="A266" t="inlineStr">
        <is>
          <t>Zenopsis nebulosa</t>
        </is>
      </c>
      <c r="B266" t="n">
        <v>3.98</v>
      </c>
      <c r="C266" t="n">
        <v>954.992586</v>
      </c>
      <c r="D266" t="inlineStr">
        <is>
          <t>Piscivores</t>
        </is>
      </c>
      <c r="E266" t="n">
        <v>0</v>
      </c>
      <c r="F266" t="n">
        <v>304.388999</v>
      </c>
      <c r="G266" t="n">
        <v>2.268309</v>
      </c>
      <c r="H266" t="n">
        <v>2.300314</v>
      </c>
      <c r="I266" t="n">
        <v>249.259877</v>
      </c>
      <c r="J266" t="n">
        <v>251.428736</v>
      </c>
      <c r="K266" t="n">
        <v>202.148704</v>
      </c>
      <c r="L266" t="n">
        <v>282.597002</v>
      </c>
      <c r="M266" t="n">
        <v>282.597002</v>
      </c>
      <c r="N266" t="n">
        <v>286.033173</v>
      </c>
      <c r="O266" t="n">
        <v>49.797649</v>
      </c>
      <c r="P266" t="n">
        <v>25.643377</v>
      </c>
      <c r="Q266" t="n">
        <v>286.033173</v>
      </c>
      <c r="R266" t="n">
        <v>282.597002</v>
      </c>
      <c r="S266" t="n">
        <v>49.797649</v>
      </c>
      <c r="T266" t="n">
        <v>49.797649</v>
      </c>
      <c r="U266" t="n">
        <v>25.643377</v>
      </c>
      <c r="V266" t="n">
        <v>25.643377</v>
      </c>
      <c r="W266" t="n">
        <v>51.082514</v>
      </c>
      <c r="X266" t="n">
        <v>274.518943</v>
      </c>
    </row>
    <row r="267">
      <c r="A267" t="inlineStr">
        <is>
          <t>Carcharhinus longimanus</t>
        </is>
      </c>
      <c r="B267" t="n">
        <v>4.16</v>
      </c>
      <c r="C267" t="n">
        <v>1445.439771</v>
      </c>
      <c r="D267" t="inlineStr">
        <is>
          <t>Sharks</t>
        </is>
      </c>
      <c r="E267" t="n">
        <v>0</v>
      </c>
      <c r="F267" t="n">
        <v>1154.744061</v>
      </c>
      <c r="G267" t="n">
        <v>2.745621</v>
      </c>
      <c r="H267" t="n">
        <v>2.742397</v>
      </c>
      <c r="I267" t="n">
        <v>0</v>
      </c>
      <c r="J267" t="n">
        <v>152.583853</v>
      </c>
      <c r="K267" t="n">
        <v>0</v>
      </c>
      <c r="L267" t="n">
        <v>0</v>
      </c>
      <c r="M267" t="n">
        <v>0</v>
      </c>
      <c r="N267" t="n">
        <v>0</v>
      </c>
      <c r="O267" t="n">
        <v>205.199674</v>
      </c>
      <c r="P267" t="n">
        <v>93.831501</v>
      </c>
      <c r="Q267" t="n">
        <v>0</v>
      </c>
      <c r="R267" t="n">
        <v>0</v>
      </c>
      <c r="S267" t="n">
        <v>205.199674</v>
      </c>
      <c r="T267" t="n">
        <v>205.199674</v>
      </c>
      <c r="U267" t="n">
        <v>93.831501</v>
      </c>
      <c r="V267" t="n">
        <v>93.831501</v>
      </c>
      <c r="W267" t="n">
        <v>205.695409</v>
      </c>
      <c r="X267" t="n">
        <v>0</v>
      </c>
    </row>
    <row r="268">
      <c r="A268" t="inlineStr">
        <is>
          <t>Lutjanus</t>
        </is>
      </c>
      <c r="B268" t="n">
        <v>4.02</v>
      </c>
      <c r="C268" t="n">
        <v>1047.128548</v>
      </c>
      <c r="D268" t="inlineStr">
        <is>
          <t>Piscivores</t>
        </is>
      </c>
      <c r="E268" t="n">
        <v>0</v>
      </c>
      <c r="F268" t="n">
        <v>304.388999</v>
      </c>
      <c r="G268" t="n">
        <v>2.268309</v>
      </c>
      <c r="H268" t="n">
        <v>2.300314</v>
      </c>
      <c r="I268" t="n">
        <v>249.259877</v>
      </c>
      <c r="J268" t="n">
        <v>251.428736</v>
      </c>
      <c r="K268" t="n">
        <v>202.148704</v>
      </c>
      <c r="L268" t="n">
        <v>282.597002</v>
      </c>
      <c r="M268" t="n">
        <v>282.597002</v>
      </c>
      <c r="N268" t="n">
        <v>286.033173</v>
      </c>
      <c r="O268" t="n">
        <v>49.797649</v>
      </c>
      <c r="P268" t="n">
        <v>25.643377</v>
      </c>
      <c r="Q268" t="n">
        <v>286.033173</v>
      </c>
      <c r="R268" t="n">
        <v>282.597002</v>
      </c>
      <c r="S268" t="n">
        <v>49.797649</v>
      </c>
      <c r="T268" t="n">
        <v>49.797649</v>
      </c>
      <c r="U268" t="n">
        <v>25.643377</v>
      </c>
      <c r="V268" t="n">
        <v>25.643377</v>
      </c>
      <c r="W268" t="n">
        <v>51.082514</v>
      </c>
      <c r="X268" t="n">
        <v>274.518943</v>
      </c>
    </row>
    <row r="269">
      <c r="A269" t="inlineStr">
        <is>
          <t>Alopias</t>
        </is>
      </c>
      <c r="B269" t="n">
        <v>4.5</v>
      </c>
      <c r="C269" t="n">
        <v>3162.27766</v>
      </c>
      <c r="D269" t="inlineStr">
        <is>
          <t>Sharks</t>
        </is>
      </c>
      <c r="E269" t="n">
        <v>0</v>
      </c>
      <c r="F269" t="n">
        <v>1154.744061</v>
      </c>
      <c r="G269" t="n">
        <v>2.745621</v>
      </c>
      <c r="H269" t="n">
        <v>2.742397</v>
      </c>
      <c r="I269" t="n">
        <v>0</v>
      </c>
      <c r="J269" t="n">
        <v>152.583853</v>
      </c>
      <c r="K269" t="n">
        <v>0</v>
      </c>
      <c r="L269" t="n">
        <v>0</v>
      </c>
      <c r="M269" t="n">
        <v>0</v>
      </c>
      <c r="N269" t="n">
        <v>0</v>
      </c>
      <c r="O269" t="n">
        <v>205.199674</v>
      </c>
      <c r="P269" t="n">
        <v>93.831501</v>
      </c>
      <c r="Q269" t="n">
        <v>0</v>
      </c>
      <c r="R269" t="n">
        <v>0</v>
      </c>
      <c r="S269" t="n">
        <v>205.199674</v>
      </c>
      <c r="T269" t="n">
        <v>205.199674</v>
      </c>
      <c r="U269" t="n">
        <v>93.831501</v>
      </c>
      <c r="V269" t="n">
        <v>93.831501</v>
      </c>
      <c r="W269" t="n">
        <v>205.695409</v>
      </c>
      <c r="X269" t="n">
        <v>0</v>
      </c>
    </row>
    <row r="270">
      <c r="A270" t="inlineStr">
        <is>
          <t>Holothuriidae</t>
        </is>
      </c>
      <c r="B270" t="n">
        <v>2</v>
      </c>
      <c r="C270" t="n">
        <v>10</v>
      </c>
      <c r="D270" t="inlineStr">
        <is>
          <t>Echinoderms</t>
        </is>
      </c>
      <c r="E270" t="n">
        <v>0</v>
      </c>
      <c r="F270" t="n">
        <v>14.362944</v>
      </c>
      <c r="G270" t="n">
        <v>1.464712</v>
      </c>
      <c r="H270" t="n">
        <v>1.389744</v>
      </c>
      <c r="I270" t="n">
        <v>47.528559</v>
      </c>
      <c r="J270" t="n">
        <v>47.528559</v>
      </c>
      <c r="K270" t="n">
        <v>8.650198</v>
      </c>
      <c r="L270" t="n">
        <v>98169.820373</v>
      </c>
      <c r="M270" t="n">
        <v>98169.820373</v>
      </c>
      <c r="N270" t="n">
        <v>99766.36788799999</v>
      </c>
      <c r="O270" t="n">
        <v>7.082345</v>
      </c>
      <c r="P270" t="n">
        <v>4.85352</v>
      </c>
      <c r="Q270" t="n">
        <v>99766.36788799999</v>
      </c>
      <c r="R270" t="n">
        <v>98169.820373</v>
      </c>
      <c r="S270" t="n">
        <v>7.082345</v>
      </c>
      <c r="T270" t="n">
        <v>7.082345</v>
      </c>
      <c r="U270" t="n">
        <v>4.85352</v>
      </c>
      <c r="V270" t="n">
        <v>4.85352</v>
      </c>
      <c r="W270" t="n">
        <v>7.237529</v>
      </c>
      <c r="X270" t="n">
        <v>1019.755013</v>
      </c>
    </row>
    <row r="271">
      <c r="A271" t="inlineStr">
        <is>
          <t>Tripneustes gratilla</t>
        </is>
      </c>
      <c r="B271" t="n">
        <v>2</v>
      </c>
      <c r="C271" t="n">
        <v>10</v>
      </c>
      <c r="D271" t="inlineStr">
        <is>
          <t>Echinoderms</t>
        </is>
      </c>
      <c r="E271" t="n">
        <v>0</v>
      </c>
      <c r="F271" t="n">
        <v>14.362944</v>
      </c>
      <c r="G271" t="n">
        <v>1.464712</v>
      </c>
      <c r="H271" t="n">
        <v>1.389744</v>
      </c>
      <c r="I271" t="n">
        <v>47.528559</v>
      </c>
      <c r="J271" t="n">
        <v>47.528559</v>
      </c>
      <c r="K271" t="n">
        <v>8.650198</v>
      </c>
      <c r="L271" t="n">
        <v>98169.820373</v>
      </c>
      <c r="M271" t="n">
        <v>98169.820373</v>
      </c>
      <c r="N271" t="n">
        <v>99766.36788799999</v>
      </c>
      <c r="O271" t="n">
        <v>7.082345</v>
      </c>
      <c r="P271" t="n">
        <v>4.85352</v>
      </c>
      <c r="Q271" t="n">
        <v>99766.36788799999</v>
      </c>
      <c r="R271" t="n">
        <v>98169.820373</v>
      </c>
      <c r="S271" t="n">
        <v>7.082345</v>
      </c>
      <c r="T271" t="n">
        <v>7.082345</v>
      </c>
      <c r="U271" t="n">
        <v>4.85352</v>
      </c>
      <c r="V271" t="n">
        <v>4.85352</v>
      </c>
      <c r="W271" t="n">
        <v>7.237529</v>
      </c>
      <c r="X271" t="n">
        <v>1019.755013</v>
      </c>
    </row>
    <row r="272">
      <c r="A272" t="inlineStr">
        <is>
          <t>Chionoecetes japonicus</t>
        </is>
      </c>
      <c r="B272" t="n">
        <v>3.74</v>
      </c>
      <c r="C272" t="n">
        <v>549.540874</v>
      </c>
      <c r="D272" t="inlineStr">
        <is>
          <t>Crabs</t>
        </is>
      </c>
      <c r="E272" t="n">
        <v>0</v>
      </c>
      <c r="F272" t="n">
        <v>21.002175</v>
      </c>
      <c r="G272" t="n">
        <v>1.546636</v>
      </c>
      <c r="H272" t="n">
        <v>1.565985</v>
      </c>
      <c r="I272" t="n">
        <v>12.039474</v>
      </c>
      <c r="J272" t="n">
        <v>12.039474</v>
      </c>
      <c r="K272" t="n">
        <v>11.028158</v>
      </c>
      <c r="L272" t="n">
        <v>11.032425</v>
      </c>
      <c r="M272" t="n">
        <v>11.032425</v>
      </c>
      <c r="N272" t="n">
        <v>11.257068</v>
      </c>
      <c r="O272" t="n">
        <v>7.495998</v>
      </c>
      <c r="P272" t="n">
        <v>5.212079</v>
      </c>
      <c r="Q272" t="n">
        <v>11.257068</v>
      </c>
      <c r="R272" t="n">
        <v>11.032425</v>
      </c>
      <c r="S272" t="n">
        <v>7.495998</v>
      </c>
      <c r="T272" t="n">
        <v>7.495998</v>
      </c>
      <c r="U272" t="n">
        <v>5.212079</v>
      </c>
      <c r="V272" t="n">
        <v>5.212079</v>
      </c>
      <c r="W272" t="n">
        <v>7.53635</v>
      </c>
      <c r="X272" t="n">
        <v>11.035506</v>
      </c>
    </row>
    <row r="273">
      <c r="A273" t="inlineStr">
        <is>
          <t>Upeneus</t>
        </is>
      </c>
      <c r="D273" t="inlineStr">
        <is>
          <t>Benthivores</t>
        </is>
      </c>
      <c r="E273" t="n">
        <v>0</v>
      </c>
      <c r="F273" t="n">
        <v>67.81478300000001</v>
      </c>
      <c r="G273" t="n">
        <v>1.829368</v>
      </c>
      <c r="H273" t="n">
        <v>1.84033</v>
      </c>
      <c r="I273" t="n">
        <v>33.988491</v>
      </c>
      <c r="J273" t="n">
        <v>35.780255</v>
      </c>
      <c r="K273" t="n">
        <v>35.601354</v>
      </c>
      <c r="L273" t="n">
        <v>385.228839</v>
      </c>
      <c r="M273" t="n">
        <v>385.228839</v>
      </c>
      <c r="N273" t="n">
        <v>391.588003</v>
      </c>
      <c r="O273" t="n">
        <v>16.66963</v>
      </c>
      <c r="P273" t="n">
        <v>9.973879999999999</v>
      </c>
      <c r="Q273" t="n">
        <v>391.588003</v>
      </c>
      <c r="R273" t="n">
        <v>385.228839</v>
      </c>
      <c r="S273" t="n">
        <v>16.66963</v>
      </c>
      <c r="T273" t="n">
        <v>16.66963</v>
      </c>
      <c r="U273" t="n">
        <v>9.973879999999999</v>
      </c>
      <c r="V273" t="n">
        <v>9.973879999999999</v>
      </c>
      <c r="W273" t="n">
        <v>17.246706</v>
      </c>
      <c r="X273" t="n">
        <v>42.474741</v>
      </c>
    </row>
    <row r="274">
      <c r="A274" t="inlineStr">
        <is>
          <t>Echinozoa</t>
        </is>
      </c>
      <c r="D274" t="inlineStr">
        <is>
          <t>Echinoderms</t>
        </is>
      </c>
      <c r="E274" t="n">
        <v>0</v>
      </c>
      <c r="F274" t="n">
        <v>14.362944</v>
      </c>
      <c r="G274" t="n">
        <v>1.464712</v>
      </c>
      <c r="H274" t="n">
        <v>1.389744</v>
      </c>
      <c r="I274" t="n">
        <v>47.528559</v>
      </c>
      <c r="J274" t="n">
        <v>47.528559</v>
      </c>
      <c r="K274" t="n">
        <v>8.650198</v>
      </c>
      <c r="L274" t="n">
        <v>98169.820373</v>
      </c>
      <c r="M274" t="n">
        <v>98169.820373</v>
      </c>
      <c r="N274" t="n">
        <v>99766.36788799999</v>
      </c>
      <c r="O274" t="n">
        <v>7.082345</v>
      </c>
      <c r="P274" t="n">
        <v>4.85352</v>
      </c>
      <c r="Q274" t="n">
        <v>99766.36788799999</v>
      </c>
      <c r="R274" t="n">
        <v>98169.820373</v>
      </c>
      <c r="S274" t="n">
        <v>7.082345</v>
      </c>
      <c r="T274" t="n">
        <v>7.082345</v>
      </c>
      <c r="U274" t="n">
        <v>4.85352</v>
      </c>
      <c r="V274" t="n">
        <v>4.85352</v>
      </c>
      <c r="W274" t="n">
        <v>7.237529</v>
      </c>
      <c r="X274" t="n">
        <v>1019.755013</v>
      </c>
    </row>
    <row r="275">
      <c r="A275" t="inlineStr">
        <is>
          <t>Rhopilema hispidum</t>
        </is>
      </c>
      <c r="B275" t="n">
        <v>3.46</v>
      </c>
      <c r="C275" t="n">
        <v>288.40315</v>
      </c>
      <c r="D275" t="inlineStr">
        <is>
          <t>Other invertebrates</t>
        </is>
      </c>
      <c r="E275" t="n">
        <v>0</v>
      </c>
      <c r="F275" t="n">
        <v>10</v>
      </c>
      <c r="G275" t="n">
        <v>1.39069</v>
      </c>
      <c r="H275" t="n">
        <v>1.39069</v>
      </c>
      <c r="I275" t="n">
        <v>14.61039</v>
      </c>
      <c r="J275" t="n">
        <v>14.61039</v>
      </c>
      <c r="K275" t="n">
        <v>9</v>
      </c>
      <c r="L275" t="n">
        <v>13.760094</v>
      </c>
      <c r="M275" t="n">
        <v>13.760094</v>
      </c>
      <c r="N275" t="n">
        <v>13.94977</v>
      </c>
      <c r="O275" t="n">
        <v>9.664044000000001</v>
      </c>
      <c r="P275" t="n">
        <v>7.828167</v>
      </c>
      <c r="Q275" t="n">
        <v>13.94977</v>
      </c>
      <c r="R275" t="n">
        <v>13.760094</v>
      </c>
      <c r="S275" t="n">
        <v>9.664044000000001</v>
      </c>
      <c r="T275" t="n">
        <v>9.664044000000001</v>
      </c>
      <c r="U275" t="n">
        <v>7.828167</v>
      </c>
      <c r="V275" t="n">
        <v>7.828167</v>
      </c>
      <c r="W275" t="n">
        <v>9.661211</v>
      </c>
      <c r="X275" t="n">
        <v>13.78907</v>
      </c>
    </row>
    <row r="276">
      <c r="A276" t="inlineStr">
        <is>
          <t>Sphyrna</t>
        </is>
      </c>
      <c r="B276" t="n">
        <v>4.2</v>
      </c>
      <c r="C276" t="n">
        <v>1584.893192</v>
      </c>
      <c r="D276" t="inlineStr">
        <is>
          <t>Sharks</t>
        </is>
      </c>
      <c r="E276" t="n">
        <v>0</v>
      </c>
      <c r="F276" t="n">
        <v>1154.744061</v>
      </c>
      <c r="G276" t="n">
        <v>2.745621</v>
      </c>
      <c r="H276" t="n">
        <v>2.742397</v>
      </c>
      <c r="I276" t="n">
        <v>0</v>
      </c>
      <c r="J276" t="n">
        <v>152.583853</v>
      </c>
      <c r="K276" t="n">
        <v>0</v>
      </c>
      <c r="L276" t="n">
        <v>0</v>
      </c>
      <c r="M276" t="n">
        <v>0</v>
      </c>
      <c r="N276" t="n">
        <v>0</v>
      </c>
      <c r="O276" t="n">
        <v>205.199674</v>
      </c>
      <c r="P276" t="n">
        <v>93.831501</v>
      </c>
      <c r="Q276" t="n">
        <v>0</v>
      </c>
      <c r="R276" t="n">
        <v>0</v>
      </c>
      <c r="S276" t="n">
        <v>205.199674</v>
      </c>
      <c r="T276" t="n">
        <v>205.199674</v>
      </c>
      <c r="U276" t="n">
        <v>93.831501</v>
      </c>
      <c r="V276" t="n">
        <v>93.831501</v>
      </c>
      <c r="W276" t="n">
        <v>205.695409</v>
      </c>
      <c r="X276" t="n">
        <v>0</v>
      </c>
    </row>
    <row r="277">
      <c r="A277" t="inlineStr">
        <is>
          <t>Isurus oxyrinchus</t>
        </is>
      </c>
      <c r="B277" t="n">
        <v>4.5</v>
      </c>
      <c r="C277" t="n">
        <v>3162.27766</v>
      </c>
      <c r="D277" t="inlineStr">
        <is>
          <t>Sharks</t>
        </is>
      </c>
      <c r="E277" t="n">
        <v>0</v>
      </c>
      <c r="F277" t="n">
        <v>1154.744061</v>
      </c>
      <c r="G277" t="n">
        <v>2.745621</v>
      </c>
      <c r="H277" t="n">
        <v>2.742397</v>
      </c>
      <c r="I277" t="n">
        <v>0</v>
      </c>
      <c r="J277" t="n">
        <v>152.583853</v>
      </c>
      <c r="K277" t="n">
        <v>0</v>
      </c>
      <c r="L277" t="n">
        <v>0</v>
      </c>
      <c r="M277" t="n">
        <v>0</v>
      </c>
      <c r="N277" t="n">
        <v>0</v>
      </c>
      <c r="O277" t="n">
        <v>205.199674</v>
      </c>
      <c r="P277" t="n">
        <v>93.831501</v>
      </c>
      <c r="Q277" t="n">
        <v>0</v>
      </c>
      <c r="R277" t="n">
        <v>0</v>
      </c>
      <c r="S277" t="n">
        <v>205.199674</v>
      </c>
      <c r="T277" t="n">
        <v>205.199674</v>
      </c>
      <c r="U277" t="n">
        <v>93.831501</v>
      </c>
      <c r="V277" t="n">
        <v>93.831501</v>
      </c>
      <c r="W277" t="n">
        <v>205.695409</v>
      </c>
      <c r="X277" t="n">
        <v>0</v>
      </c>
    </row>
    <row r="278">
      <c r="A278" t="inlineStr">
        <is>
          <t>Pinctada</t>
        </is>
      </c>
      <c r="D278" t="inlineStr">
        <is>
          <t>Mollusks</t>
        </is>
      </c>
      <c r="E278" t="n">
        <v>0</v>
      </c>
      <c r="F278" t="n">
        <v>14.497407</v>
      </c>
      <c r="G278" t="n">
        <v>1.466668</v>
      </c>
      <c r="H278" t="n">
        <v>1.466497</v>
      </c>
      <c r="I278" t="n">
        <v>17.850747</v>
      </c>
      <c r="J278" t="n">
        <v>17.850747</v>
      </c>
      <c r="K278" t="n">
        <v>5.355224</v>
      </c>
      <c r="L278" t="n">
        <v>17.186608</v>
      </c>
      <c r="M278" t="n">
        <v>17.186608</v>
      </c>
      <c r="N278" t="n">
        <v>17.598965</v>
      </c>
      <c r="O278" t="n">
        <v>3.995111</v>
      </c>
      <c r="P278" t="n">
        <v>2.967513</v>
      </c>
      <c r="Q278" t="n">
        <v>17.598965</v>
      </c>
      <c r="R278" t="n">
        <v>17.186608</v>
      </c>
      <c r="S278" t="n">
        <v>3.995111</v>
      </c>
      <c r="T278" t="n">
        <v>3.995111</v>
      </c>
      <c r="U278" t="n">
        <v>2.967513</v>
      </c>
      <c r="V278" t="n">
        <v>2.967513</v>
      </c>
      <c r="W278" t="n">
        <v>3.990277</v>
      </c>
      <c r="X278" t="n">
        <v>17.941416</v>
      </c>
    </row>
    <row r="279">
      <c r="A279" t="inlineStr">
        <is>
          <t>Scombroidei</t>
        </is>
      </c>
      <c r="D279" t="inlineStr">
        <is>
          <t>Piscivores | Planktivores/Benthivores</t>
        </is>
      </c>
      <c r="E279" t="n">
        <v>0</v>
      </c>
      <c r="F279" t="n">
        <v>182.29247</v>
      </c>
      <c r="G279" t="n">
        <v>2.062072</v>
      </c>
      <c r="H279" t="n">
        <v>2.078316</v>
      </c>
      <c r="I279" t="n">
        <v>177.795024</v>
      </c>
      <c r="J279" t="n">
        <v>178.723793</v>
      </c>
      <c r="K279" t="n">
        <v>151.652043</v>
      </c>
      <c r="L279" t="n">
        <v>188.965648</v>
      </c>
      <c r="M279" t="n">
        <v>188.965648</v>
      </c>
      <c r="N279" t="n">
        <v>191.131567</v>
      </c>
      <c r="O279" t="n">
        <v>42.720774</v>
      </c>
      <c r="P279" t="n">
        <v>24.808093</v>
      </c>
      <c r="Q279" t="n">
        <v>191.131567</v>
      </c>
      <c r="R279" t="n">
        <v>188.965648</v>
      </c>
      <c r="S279" t="n">
        <v>42.720774</v>
      </c>
      <c r="T279" t="n">
        <v>42.720774</v>
      </c>
      <c r="U279" t="n">
        <v>24.808093</v>
      </c>
      <c r="V279" t="n">
        <v>24.808093</v>
      </c>
      <c r="W279" t="n">
        <v>43.660821</v>
      </c>
      <c r="X279" t="n">
        <v>187.451422</v>
      </c>
    </row>
    <row r="280">
      <c r="A280" t="inlineStr">
        <is>
          <t>Caranx</t>
        </is>
      </c>
      <c r="D280" t="inlineStr">
        <is>
          <t>Omnivores</t>
        </is>
      </c>
      <c r="E280" t="n">
        <v>0</v>
      </c>
      <c r="F280" t="n">
        <v>131.221463</v>
      </c>
      <c r="G280" t="n">
        <v>2.01077</v>
      </c>
      <c r="H280" t="n">
        <v>2.036134</v>
      </c>
      <c r="I280" t="n">
        <v>66.04435700000001</v>
      </c>
      <c r="J280" t="n">
        <v>68.25582300000001</v>
      </c>
      <c r="K280" t="n">
        <v>68.187568</v>
      </c>
      <c r="L280" t="n">
        <v>72.544996</v>
      </c>
      <c r="M280" t="n">
        <v>72.544996</v>
      </c>
      <c r="N280" t="n">
        <v>73.57283200000001</v>
      </c>
      <c r="O280" t="n">
        <v>17.500018</v>
      </c>
      <c r="P280" t="n">
        <v>10.032554</v>
      </c>
      <c r="Q280" t="n">
        <v>73.57283200000001</v>
      </c>
      <c r="R280" t="n">
        <v>72.544996</v>
      </c>
      <c r="S280" t="n">
        <v>17.500018</v>
      </c>
      <c r="T280" t="n">
        <v>17.500018</v>
      </c>
      <c r="U280" t="n">
        <v>10.032554</v>
      </c>
      <c r="V280" t="n">
        <v>10.032554</v>
      </c>
      <c r="W280" t="n">
        <v>17.704629</v>
      </c>
      <c r="X280" t="n">
        <v>72.854687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Rows are methods. The first is the simple trophic-chain estimate, which needs no model and covers every taxon; the rest are this model's.</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0"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0"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1" t="inlineStr">
        <is>
          <t>SPPR_1986</t>
        </is>
      </c>
      <c r="B9" s="9" t="inlineStr">
        <is>
          <t>returned zero for every mapped group - check the method upstream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t="inlineStr">
        <is>
          <t>SPPR_1995_TE0.1</t>
        </is>
      </c>
      <c r="B10" t="inlineStr">
        <is>
          <t>ok</t>
        </is>
      </c>
      <c r="C10" t="n">
        <v>156894105.791</v>
      </c>
      <c r="D10" t="n">
        <v>168485284.046</v>
      </c>
      <c r="E10" t="n">
        <v>184419350.139</v>
      </c>
      <c r="F10" t="n">
        <v>183378180.352</v>
      </c>
      <c r="G10" t="n">
        <v>196736637.417</v>
      </c>
      <c r="H10" t="n">
        <v>207238977.395</v>
      </c>
      <c r="I10" t="n">
        <v>226186253.613</v>
      </c>
      <c r="J10" t="n">
        <v>232068512.647</v>
      </c>
      <c r="K10" t="n">
        <v>238204364.1</v>
      </c>
      <c r="L10" t="n">
        <v>233004075.8</v>
      </c>
      <c r="M10" t="n">
        <v>241843186.118</v>
      </c>
      <c r="N10" t="n">
        <v>238774615.846</v>
      </c>
      <c r="O10" t="n">
        <v>250601587.687</v>
      </c>
      <c r="P10" t="n">
        <v>239627915.596</v>
      </c>
      <c r="Q10" t="n">
        <v>232532258.088</v>
      </c>
      <c r="R10" t="n">
        <v>248769599.969</v>
      </c>
      <c r="S10" t="n">
        <v>257301911.246</v>
      </c>
      <c r="T10" t="n">
        <v>257899130.052</v>
      </c>
      <c r="U10" t="n">
        <v>266527231.954</v>
      </c>
      <c r="V10" t="n">
        <v>271020668.294</v>
      </c>
      <c r="W10" t="n">
        <v>289313758.498</v>
      </c>
      <c r="X10" t="n">
        <v>297457941.554</v>
      </c>
      <c r="Y10" t="n">
        <v>319168487.965</v>
      </c>
      <c r="Z10" t="n">
        <v>352758437.263</v>
      </c>
      <c r="AA10" t="n">
        <v>376869141.981</v>
      </c>
      <c r="AB10" t="n">
        <v>373177805.328</v>
      </c>
      <c r="AC10" t="n">
        <v>381834305.659</v>
      </c>
      <c r="AD10" t="n">
        <v>416923424.707</v>
      </c>
      <c r="AE10" t="n">
        <v>440638573.011</v>
      </c>
      <c r="AF10" t="n">
        <v>442555656.246</v>
      </c>
      <c r="AG10" t="n">
        <v>454704295.004</v>
      </c>
      <c r="AH10" t="n">
        <v>492741376.456</v>
      </c>
      <c r="AI10" t="n">
        <v>499525383.265</v>
      </c>
      <c r="AJ10" t="n">
        <v>512760761.758</v>
      </c>
      <c r="AK10" t="n">
        <v>559355415.841</v>
      </c>
      <c r="AL10" t="n">
        <v>545967838.774</v>
      </c>
      <c r="AM10" t="n">
        <v>591268775.275</v>
      </c>
      <c r="AN10" t="n">
        <v>589982021.239</v>
      </c>
      <c r="AO10" t="n">
        <v>618266643.836</v>
      </c>
      <c r="AP10" t="n">
        <v>610820063.5319999</v>
      </c>
      <c r="AQ10" t="n">
        <v>617564337.001</v>
      </c>
      <c r="AR10" t="n">
        <v>585111549.617</v>
      </c>
      <c r="AS10" t="n">
        <v>547985274.1799999</v>
      </c>
      <c r="AT10" t="n">
        <v>546418674.586</v>
      </c>
      <c r="AU10" t="n">
        <v>564308768.119</v>
      </c>
      <c r="AV10" t="n">
        <v>596013101.562</v>
      </c>
      <c r="AW10" t="n">
        <v>582060125.668</v>
      </c>
      <c r="AX10" t="n">
        <v>597241515.187</v>
      </c>
      <c r="AY10" t="n">
        <v>610122152.857</v>
      </c>
      <c r="AZ10" t="n">
        <v>571595113.224</v>
      </c>
      <c r="BA10" t="n">
        <v>564910572.178</v>
      </c>
      <c r="BB10" t="n">
        <v>573905990.9400001</v>
      </c>
      <c r="BC10" t="n">
        <v>563987259.923</v>
      </c>
      <c r="BD10" t="n">
        <v>591052513.716</v>
      </c>
      <c r="BE10" t="n">
        <v>614036003.6109999</v>
      </c>
      <c r="BF10" t="n">
        <v>601455490.266</v>
      </c>
      <c r="BG10" t="n">
        <v>614471093.034</v>
      </c>
      <c r="BH10" t="n">
        <v>609762882.846</v>
      </c>
      <c r="BI10" t="n">
        <v>635122718.023</v>
      </c>
      <c r="BJ10" t="n">
        <v>621337670.1950001</v>
      </c>
      <c r="BK10" t="n">
        <v>628108260.223</v>
      </c>
      <c r="BL10" t="n">
        <v>705018248.5829999</v>
      </c>
      <c r="BM10" t="n">
        <v>712302940.813</v>
      </c>
      <c r="BN10" t="n">
        <v>704261243.5190001</v>
      </c>
      <c r="BO10" t="n">
        <v>743111553.318</v>
      </c>
      <c r="BP10" t="n">
        <v>685878627.929</v>
      </c>
      <c r="BQ10" t="n">
        <v>665081802.29</v>
      </c>
      <c r="BR10" t="n">
        <v>640472181.9579999</v>
      </c>
      <c r="BS10" t="n">
        <v>629618995.245</v>
      </c>
      <c r="BT10" t="n">
        <v>651345591.489</v>
      </c>
    </row>
    <row r="11">
      <c r="A11" t="inlineStr">
        <is>
          <t>SPPR_1995_TEmean</t>
        </is>
      </c>
      <c r="B11" t="inlineStr">
        <is>
          <t>ok</t>
        </is>
      </c>
      <c r="C11" t="n">
        <v>2248755.37</v>
      </c>
      <c r="D11" t="n">
        <v>2437575.987</v>
      </c>
      <c r="E11" t="n">
        <v>2593143.587</v>
      </c>
      <c r="F11" t="n">
        <v>2643839.751</v>
      </c>
      <c r="G11" t="n">
        <v>2845065.634</v>
      </c>
      <c r="H11" t="n">
        <v>2997217.616</v>
      </c>
      <c r="I11" t="n">
        <v>3273985.211</v>
      </c>
      <c r="J11" t="n">
        <v>3477329.186</v>
      </c>
      <c r="K11" t="n">
        <v>3568141.607</v>
      </c>
      <c r="L11" t="n">
        <v>3546957.311</v>
      </c>
      <c r="M11" t="n">
        <v>3645076.195</v>
      </c>
      <c r="N11" t="n">
        <v>3783362.228</v>
      </c>
      <c r="O11" t="n">
        <v>3913911.289</v>
      </c>
      <c r="P11" t="n">
        <v>3753410.633</v>
      </c>
      <c r="Q11" t="n">
        <v>3720131.252</v>
      </c>
      <c r="R11" t="n">
        <v>3969951.023</v>
      </c>
      <c r="S11" t="n">
        <v>4094923.057</v>
      </c>
      <c r="T11" t="n">
        <v>4157725.497</v>
      </c>
      <c r="U11" t="n">
        <v>4388897.895</v>
      </c>
      <c r="V11" t="n">
        <v>4478790.822</v>
      </c>
      <c r="W11" t="n">
        <v>4731013.768</v>
      </c>
      <c r="X11" t="n">
        <v>4842478.988</v>
      </c>
      <c r="Y11" t="n">
        <v>5126586.965</v>
      </c>
      <c r="Z11" t="n">
        <v>5706365.728</v>
      </c>
      <c r="AA11" t="n">
        <v>6075781.622</v>
      </c>
      <c r="AB11" t="n">
        <v>6265172.789</v>
      </c>
      <c r="AC11" t="n">
        <v>6496680.64</v>
      </c>
      <c r="AD11" t="n">
        <v>7171009.502</v>
      </c>
      <c r="AE11" t="n">
        <v>7736593.343</v>
      </c>
      <c r="AF11" t="n">
        <v>7672048.031</v>
      </c>
      <c r="AG11" t="n">
        <v>7798203.712</v>
      </c>
      <c r="AH11" t="n">
        <v>8436150.445</v>
      </c>
      <c r="AI11" t="n">
        <v>8674523.893999999</v>
      </c>
      <c r="AJ11" t="n">
        <v>9121109.09</v>
      </c>
      <c r="AK11" t="n">
        <v>9904341.925000001</v>
      </c>
      <c r="AL11" t="n">
        <v>9727447.965</v>
      </c>
      <c r="AM11" t="n">
        <v>10661717.718</v>
      </c>
      <c r="AN11" t="n">
        <v>10531473.825</v>
      </c>
      <c r="AO11" t="n">
        <v>11129520.63</v>
      </c>
      <c r="AP11" t="n">
        <v>10827190.568</v>
      </c>
      <c r="AQ11" t="n">
        <v>10810077.448</v>
      </c>
      <c r="AR11" t="n">
        <v>9991253.118000001</v>
      </c>
      <c r="AS11" t="n">
        <v>9405158.304</v>
      </c>
      <c r="AT11" t="n">
        <v>9567972.300000001</v>
      </c>
      <c r="AU11" t="n">
        <v>9871834.617000001</v>
      </c>
      <c r="AV11" t="n">
        <v>10358779.649</v>
      </c>
      <c r="AW11" t="n">
        <v>9955905.835999999</v>
      </c>
      <c r="AX11" t="n">
        <v>10330180.952</v>
      </c>
      <c r="AY11" t="n">
        <v>10361009.174</v>
      </c>
      <c r="AZ11" t="n">
        <v>9852273.848999999</v>
      </c>
      <c r="BA11" t="n">
        <v>9597581.655999999</v>
      </c>
      <c r="BB11" t="n">
        <v>9749930.77</v>
      </c>
      <c r="BC11" t="n">
        <v>9517646.339</v>
      </c>
      <c r="BD11" t="n">
        <v>10023137.333</v>
      </c>
      <c r="BE11" t="n">
        <v>10298978.685</v>
      </c>
      <c r="BF11" t="n">
        <v>10180308.891</v>
      </c>
      <c r="BG11" t="n">
        <v>10211903.968</v>
      </c>
      <c r="BH11" t="n">
        <v>10036534.626</v>
      </c>
      <c r="BI11" t="n">
        <v>10453415.251</v>
      </c>
      <c r="BJ11" t="n">
        <v>10129129.148</v>
      </c>
      <c r="BK11" t="n">
        <v>10251328.029</v>
      </c>
      <c r="BL11" t="n">
        <v>11200545.549</v>
      </c>
      <c r="BM11" t="n">
        <v>11330664.191</v>
      </c>
      <c r="BN11" t="n">
        <v>11145152.084</v>
      </c>
      <c r="BO11" t="n">
        <v>11914975.779</v>
      </c>
      <c r="BP11" t="n">
        <v>11024394.838</v>
      </c>
      <c r="BQ11" t="n">
        <v>10634962.336</v>
      </c>
      <c r="BR11" t="n">
        <v>10346084.392</v>
      </c>
      <c r="BS11" t="n">
        <v>10213458.285</v>
      </c>
      <c r="BT11" t="n">
        <v>10737690.653</v>
      </c>
    </row>
    <row r="12">
      <c r="A12" t="inlineStr">
        <is>
          <t>Ulanowicz_globalTEmean</t>
        </is>
      </c>
      <c r="B12" t="inlineStr">
        <is>
          <t>ok</t>
        </is>
      </c>
      <c r="C12" t="n">
        <v>2254191.713</v>
      </c>
      <c r="D12" t="n">
        <v>2442427.196</v>
      </c>
      <c r="E12" t="n">
        <v>2597860.248</v>
      </c>
      <c r="F12" t="n">
        <v>2648550.95</v>
      </c>
      <c r="G12" t="n">
        <v>2849014.617</v>
      </c>
      <c r="H12" t="n">
        <v>3001199.619</v>
      </c>
      <c r="I12" t="n">
        <v>3277637.255</v>
      </c>
      <c r="J12" t="n">
        <v>3482232.076</v>
      </c>
      <c r="K12" t="n">
        <v>3572902.986</v>
      </c>
      <c r="L12" t="n">
        <v>3551702.069</v>
      </c>
      <c r="M12" t="n">
        <v>3651272.975</v>
      </c>
      <c r="N12" t="n">
        <v>3788994.049</v>
      </c>
      <c r="O12" t="n">
        <v>3919517.614</v>
      </c>
      <c r="P12" t="n">
        <v>3759715.062</v>
      </c>
      <c r="Q12" t="n">
        <v>3726439.305</v>
      </c>
      <c r="R12" t="n">
        <v>3975746.168</v>
      </c>
      <c r="S12" t="n">
        <v>4101634.2</v>
      </c>
      <c r="T12" t="n">
        <v>4162865.914</v>
      </c>
      <c r="U12" t="n">
        <v>4396467.696</v>
      </c>
      <c r="V12" t="n">
        <v>4484545.767</v>
      </c>
      <c r="W12" t="n">
        <v>4739206.083</v>
      </c>
      <c r="X12" t="n">
        <v>4849416.283</v>
      </c>
      <c r="Y12" t="n">
        <v>5130850.674</v>
      </c>
      <c r="Z12" t="n">
        <v>5711112.717</v>
      </c>
      <c r="AA12" t="n">
        <v>6080853.96</v>
      </c>
      <c r="AB12" t="n">
        <v>6273827.177</v>
      </c>
      <c r="AC12" t="n">
        <v>6506313.193</v>
      </c>
      <c r="AD12" t="n">
        <v>7180627.818</v>
      </c>
      <c r="AE12" t="n">
        <v>7748004.485</v>
      </c>
      <c r="AF12" t="n">
        <v>7681720.241</v>
      </c>
      <c r="AG12" t="n">
        <v>7806697.943</v>
      </c>
      <c r="AH12" t="n">
        <v>8438677.959000001</v>
      </c>
      <c r="AI12" t="n">
        <v>8678508.642999999</v>
      </c>
      <c r="AJ12" t="n">
        <v>9122804.518999999</v>
      </c>
      <c r="AK12" t="n">
        <v>9907618.124</v>
      </c>
      <c r="AL12" t="n">
        <v>9734176.892999999</v>
      </c>
      <c r="AM12" t="n">
        <v>10668661.219</v>
      </c>
      <c r="AN12" t="n">
        <v>10537989.301</v>
      </c>
      <c r="AO12" t="n">
        <v>11140072.203</v>
      </c>
      <c r="AP12" t="n">
        <v>10834093.839</v>
      </c>
      <c r="AQ12" t="n">
        <v>10818388.327</v>
      </c>
      <c r="AR12" t="n">
        <v>9994968.086999999</v>
      </c>
      <c r="AS12" t="n">
        <v>9409321.658</v>
      </c>
      <c r="AT12" t="n">
        <v>9575685.685000001</v>
      </c>
      <c r="AU12" t="n">
        <v>9875600.487</v>
      </c>
      <c r="AV12" t="n">
        <v>10359424.424</v>
      </c>
      <c r="AW12" t="n">
        <v>9955208.114</v>
      </c>
      <c r="AX12" t="n">
        <v>10337182.336</v>
      </c>
      <c r="AY12" t="n">
        <v>10364726.981</v>
      </c>
      <c r="AZ12" t="n">
        <v>9853866.903000001</v>
      </c>
      <c r="BA12" t="n">
        <v>9597778.111</v>
      </c>
      <c r="BB12" t="n">
        <v>9748866.764</v>
      </c>
      <c r="BC12" t="n">
        <v>9516613.9</v>
      </c>
      <c r="BD12" t="n">
        <v>10027843.417</v>
      </c>
      <c r="BE12" t="n">
        <v>10303463.897</v>
      </c>
      <c r="BF12" t="n">
        <v>10184772.354</v>
      </c>
      <c r="BG12" t="n">
        <v>10214188.763</v>
      </c>
      <c r="BH12" t="n">
        <v>10041964.337</v>
      </c>
      <c r="BI12" t="n">
        <v>10457842.663</v>
      </c>
      <c r="BJ12" t="n">
        <v>10137077.242</v>
      </c>
      <c r="BK12" t="n">
        <v>10260750.819</v>
      </c>
      <c r="BL12" t="n">
        <v>11213618.717</v>
      </c>
      <c r="BM12" t="n">
        <v>11345439.547</v>
      </c>
      <c r="BN12" t="n">
        <v>11159128.775</v>
      </c>
      <c r="BO12" t="n">
        <v>11928368.041</v>
      </c>
      <c r="BP12" t="n">
        <v>11039872.661</v>
      </c>
      <c r="BQ12" t="n">
        <v>10648744.958</v>
      </c>
      <c r="BR12" t="n">
        <v>10357059.209</v>
      </c>
      <c r="BS12" t="n">
        <v>10224826.293</v>
      </c>
      <c r="BT12" t="n">
        <v>10745873.986</v>
      </c>
    </row>
    <row r="13">
      <c r="A13" t="inlineStr">
        <is>
          <t>Ulanowicz_TE</t>
        </is>
      </c>
      <c r="B13" t="inlineStr">
        <is>
          <t>ok</t>
        </is>
      </c>
      <c r="C13" t="n">
        <v>146170693.553</v>
      </c>
      <c r="D13" t="n">
        <v>158417313.431</v>
      </c>
      <c r="E13" t="n">
        <v>169951833.913</v>
      </c>
      <c r="F13" t="n">
        <v>169485642.111</v>
      </c>
      <c r="G13" t="n">
        <v>188903334.745</v>
      </c>
      <c r="H13" t="n">
        <v>201874296.776</v>
      </c>
      <c r="I13" t="n">
        <v>217494660.585</v>
      </c>
      <c r="J13" t="n">
        <v>230765886.586</v>
      </c>
      <c r="K13" t="n">
        <v>243959937.999</v>
      </c>
      <c r="L13" t="n">
        <v>237156670.004</v>
      </c>
      <c r="M13" t="n">
        <v>245971957.185</v>
      </c>
      <c r="N13" t="n">
        <v>241103244.185</v>
      </c>
      <c r="O13" t="n">
        <v>246582899.209</v>
      </c>
      <c r="P13" t="n">
        <v>236487973.986</v>
      </c>
      <c r="Q13" t="n">
        <v>238809426.356</v>
      </c>
      <c r="R13" t="n">
        <v>259155324.019</v>
      </c>
      <c r="S13" t="n">
        <v>262345147.04</v>
      </c>
      <c r="T13" t="n">
        <v>270929769.04</v>
      </c>
      <c r="U13" t="n">
        <v>276903711.624</v>
      </c>
      <c r="V13" t="n">
        <v>287194305.166</v>
      </c>
      <c r="W13" t="n">
        <v>306401285.569</v>
      </c>
      <c r="X13" t="n">
        <v>315766416.274</v>
      </c>
      <c r="Y13" t="n">
        <v>335702704.098</v>
      </c>
      <c r="Z13" t="n">
        <v>370096781.858</v>
      </c>
      <c r="AA13" t="n">
        <v>393087931.475</v>
      </c>
      <c r="AB13" t="n">
        <v>388772053.471</v>
      </c>
      <c r="AC13" t="n">
        <v>386280469.128</v>
      </c>
      <c r="AD13" t="n">
        <v>424372551.63</v>
      </c>
      <c r="AE13" t="n">
        <v>450288017.048</v>
      </c>
      <c r="AF13" t="n">
        <v>447358989.607</v>
      </c>
      <c r="AG13" t="n">
        <v>459766703.006</v>
      </c>
      <c r="AH13" t="n">
        <v>489858275.551</v>
      </c>
      <c r="AI13" t="n">
        <v>490932674.194</v>
      </c>
      <c r="AJ13" t="n">
        <v>494949976.416</v>
      </c>
      <c r="AK13" t="n">
        <v>538609664.132</v>
      </c>
      <c r="AL13" t="n">
        <v>534285307.307</v>
      </c>
      <c r="AM13" t="n">
        <v>587106064.5930001</v>
      </c>
      <c r="AN13" t="n">
        <v>592082693.702</v>
      </c>
      <c r="AO13" t="n">
        <v>606619867.7029999</v>
      </c>
      <c r="AP13" t="n">
        <v>631892597.02</v>
      </c>
      <c r="AQ13" t="n">
        <v>628218174.008</v>
      </c>
      <c r="AR13" t="n">
        <v>619119181.915</v>
      </c>
      <c r="AS13" t="n">
        <v>579545326.018</v>
      </c>
      <c r="AT13" t="n">
        <v>586834293.753</v>
      </c>
      <c r="AU13" t="n">
        <v>644583906.449</v>
      </c>
      <c r="AV13" t="n">
        <v>700165533.558</v>
      </c>
      <c r="AW13" t="n">
        <v>730354685.186</v>
      </c>
      <c r="AX13" t="n">
        <v>701663105.035</v>
      </c>
      <c r="AY13" t="n">
        <v>715658783.002</v>
      </c>
      <c r="AZ13" t="n">
        <v>678175519.743</v>
      </c>
      <c r="BA13" t="n">
        <v>663652083.919</v>
      </c>
      <c r="BB13" t="n">
        <v>679367668.156</v>
      </c>
      <c r="BC13" t="n">
        <v>673807502.21</v>
      </c>
      <c r="BD13" t="n">
        <v>687325845.08</v>
      </c>
      <c r="BE13" t="n">
        <v>728247694.277</v>
      </c>
      <c r="BF13" t="n">
        <v>715978812.312</v>
      </c>
      <c r="BG13" t="n">
        <v>722121453.388</v>
      </c>
      <c r="BH13" t="n">
        <v>721796746.205</v>
      </c>
      <c r="BI13" t="n">
        <v>748139474.225</v>
      </c>
      <c r="BJ13" t="n">
        <v>720188685.176</v>
      </c>
      <c r="BK13" t="n">
        <v>717606255.52</v>
      </c>
      <c r="BL13" t="n">
        <v>789134941.052</v>
      </c>
      <c r="BM13" t="n">
        <v>791304347.193</v>
      </c>
      <c r="BN13" t="n">
        <v>767957077.252</v>
      </c>
      <c r="BO13" t="n">
        <v>807975271.873</v>
      </c>
      <c r="BP13" t="n">
        <v>743101054.579</v>
      </c>
      <c r="BQ13" t="n">
        <v>711842188.552</v>
      </c>
      <c r="BR13" t="n">
        <v>688066772.216</v>
      </c>
      <c r="BS13" t="n">
        <v>677328777.4400001</v>
      </c>
      <c r="BT13" t="n">
        <v>688700247.727</v>
      </c>
    </row>
    <row r="14">
      <c r="A14" t="inlineStr">
        <is>
          <t>EwE_TE_noEE</t>
        </is>
      </c>
      <c r="B14" t="inlineStr">
        <is>
          <t>ok</t>
        </is>
      </c>
      <c r="C14" t="n">
        <v>152702499.541</v>
      </c>
      <c r="D14" t="n">
        <v>165942539.837</v>
      </c>
      <c r="E14" t="n">
        <v>178624469.821</v>
      </c>
      <c r="F14" t="n">
        <v>177434793.841</v>
      </c>
      <c r="G14" t="n">
        <v>197372807.957</v>
      </c>
      <c r="H14" t="n">
        <v>211004955.476</v>
      </c>
      <c r="I14" t="n">
        <v>227613439.238</v>
      </c>
      <c r="J14" t="n">
        <v>240294745.955</v>
      </c>
      <c r="K14" t="n">
        <v>254506939.102</v>
      </c>
      <c r="L14" t="n">
        <v>246592685.682</v>
      </c>
      <c r="M14" t="n">
        <v>256005694.082</v>
      </c>
      <c r="N14" t="n">
        <v>250635497.385</v>
      </c>
      <c r="O14" t="n">
        <v>256356363.532</v>
      </c>
      <c r="P14" t="n">
        <v>245524457.196</v>
      </c>
      <c r="Q14" t="n">
        <v>247453520.491</v>
      </c>
      <c r="R14" t="n">
        <v>268535258.2</v>
      </c>
      <c r="S14" t="n">
        <v>271486111.039</v>
      </c>
      <c r="T14" t="n">
        <v>280117023.392</v>
      </c>
      <c r="U14" t="n">
        <v>285611320.953</v>
      </c>
      <c r="V14" t="n">
        <v>296427443.916</v>
      </c>
      <c r="W14" t="n">
        <v>315845883.182</v>
      </c>
      <c r="X14" t="n">
        <v>325977883.56</v>
      </c>
      <c r="Y14" t="n">
        <v>346605157.546</v>
      </c>
      <c r="Z14" t="n">
        <v>382188983.423</v>
      </c>
      <c r="AA14" t="n">
        <v>405984484.686</v>
      </c>
      <c r="AB14" t="n">
        <v>401399092.902</v>
      </c>
      <c r="AC14" t="n">
        <v>398387815.243</v>
      </c>
      <c r="AD14" t="n">
        <v>437159264.136</v>
      </c>
      <c r="AE14" t="n">
        <v>463547882.007</v>
      </c>
      <c r="AF14" t="n">
        <v>461076246.404</v>
      </c>
      <c r="AG14" t="n">
        <v>474039771.578</v>
      </c>
      <c r="AH14" t="n">
        <v>505238932.5</v>
      </c>
      <c r="AI14" t="n">
        <v>506174859.505</v>
      </c>
      <c r="AJ14" t="n">
        <v>509672536.367</v>
      </c>
      <c r="AK14" t="n">
        <v>554817128.9910001</v>
      </c>
      <c r="AL14" t="n">
        <v>550807819.8710001</v>
      </c>
      <c r="AM14" t="n">
        <v>605187259.631</v>
      </c>
      <c r="AN14" t="n">
        <v>610155647.874</v>
      </c>
      <c r="AO14" t="n">
        <v>624439784.575</v>
      </c>
      <c r="AP14" t="n">
        <v>651912208.421</v>
      </c>
      <c r="AQ14" t="n">
        <v>648402798.62</v>
      </c>
      <c r="AR14" t="n">
        <v>639329446.959</v>
      </c>
      <c r="AS14" t="n">
        <v>598511563.331</v>
      </c>
      <c r="AT14" t="n">
        <v>605213371.924</v>
      </c>
      <c r="AU14" t="n">
        <v>666109272.913</v>
      </c>
      <c r="AV14" t="n">
        <v>724668791.492</v>
      </c>
      <c r="AW14" t="n">
        <v>756545536.897</v>
      </c>
      <c r="AX14" t="n">
        <v>725634980.041</v>
      </c>
      <c r="AY14" t="n">
        <v>740476236.487</v>
      </c>
      <c r="AZ14" t="n">
        <v>701945994.068</v>
      </c>
      <c r="BA14" t="n">
        <v>687217581.857</v>
      </c>
      <c r="BB14" t="n">
        <v>703385144.604</v>
      </c>
      <c r="BC14" t="n">
        <v>697822755.624</v>
      </c>
      <c r="BD14" t="n">
        <v>711595859.671</v>
      </c>
      <c r="BE14" t="n">
        <v>754283701.967</v>
      </c>
      <c r="BF14" t="n">
        <v>741242574.365</v>
      </c>
      <c r="BG14" t="n">
        <v>747567209.096</v>
      </c>
      <c r="BH14" t="n">
        <v>747072212.173</v>
      </c>
      <c r="BI14" t="n">
        <v>773723804.601</v>
      </c>
      <c r="BJ14" t="n">
        <v>744772559.684</v>
      </c>
      <c r="BK14" t="n">
        <v>741519241.033</v>
      </c>
      <c r="BL14" t="n">
        <v>814608064.9579999</v>
      </c>
      <c r="BM14" t="n">
        <v>816702511.261</v>
      </c>
      <c r="BN14" t="n">
        <v>792447694.091</v>
      </c>
      <c r="BO14" t="n">
        <v>834152877.1</v>
      </c>
      <c r="BP14" t="n">
        <v>766395289.092</v>
      </c>
      <c r="BQ14" t="n">
        <v>734167430.698</v>
      </c>
      <c r="BR14" t="n">
        <v>709741984.437</v>
      </c>
      <c r="BS14" t="n">
        <v>698361981.9069999</v>
      </c>
      <c r="BT14" t="n">
        <v>709235328.314</v>
      </c>
    </row>
    <row r="15">
      <c r="A15" t="inlineStr">
        <is>
          <t>EwE_TE_EE</t>
        </is>
      </c>
      <c r="B15" t="inlineStr">
        <is>
          <t>ok</t>
        </is>
      </c>
      <c r="C15" t="n">
        <v>101114086.981</v>
      </c>
      <c r="D15" t="n">
        <v>110275612.828</v>
      </c>
      <c r="E15" t="n">
        <v>118954828.449</v>
      </c>
      <c r="F15" t="n">
        <v>120347634.238</v>
      </c>
      <c r="G15" t="n">
        <v>134512851.437</v>
      </c>
      <c r="H15" t="n">
        <v>142557131.987</v>
      </c>
      <c r="I15" t="n">
        <v>154671936.669</v>
      </c>
      <c r="J15" t="n">
        <v>162339711.494</v>
      </c>
      <c r="K15" t="n">
        <v>168138020.943</v>
      </c>
      <c r="L15" t="n">
        <v>167204094.851</v>
      </c>
      <c r="M15" t="n">
        <v>173540733.463</v>
      </c>
      <c r="N15" t="n">
        <v>171653471.529</v>
      </c>
      <c r="O15" t="n">
        <v>178419898.022</v>
      </c>
      <c r="P15" t="n">
        <v>171844983.46</v>
      </c>
      <c r="Q15" t="n">
        <v>171340690.449</v>
      </c>
      <c r="R15" t="n">
        <v>186135511.67</v>
      </c>
      <c r="S15" t="n">
        <v>190098670.732</v>
      </c>
      <c r="T15" t="n">
        <v>197462901.678</v>
      </c>
      <c r="U15" t="n">
        <v>203546880.403</v>
      </c>
      <c r="V15" t="n">
        <v>211770257.066</v>
      </c>
      <c r="W15" t="n">
        <v>226965803.394</v>
      </c>
      <c r="X15" t="n">
        <v>231386875.331</v>
      </c>
      <c r="Y15" t="n">
        <v>253434197.496</v>
      </c>
      <c r="Z15" t="n">
        <v>277027773.288</v>
      </c>
      <c r="AA15" t="n">
        <v>296598479.169</v>
      </c>
      <c r="AB15" t="n">
        <v>288557064.953</v>
      </c>
      <c r="AC15" t="n">
        <v>285195807.069</v>
      </c>
      <c r="AD15" t="n">
        <v>315723191.391</v>
      </c>
      <c r="AE15" t="n">
        <v>336822076.235</v>
      </c>
      <c r="AF15" t="n">
        <v>332943996.885</v>
      </c>
      <c r="AG15" t="n">
        <v>338695849.279</v>
      </c>
      <c r="AH15" t="n">
        <v>364199335.504</v>
      </c>
      <c r="AI15" t="n">
        <v>365103998.591</v>
      </c>
      <c r="AJ15" t="n">
        <v>375131890.797</v>
      </c>
      <c r="AK15" t="n">
        <v>404156541.481</v>
      </c>
      <c r="AL15" t="n">
        <v>393071875.89</v>
      </c>
      <c r="AM15" t="n">
        <v>429068238.994</v>
      </c>
      <c r="AN15" t="n">
        <v>427151140.821</v>
      </c>
      <c r="AO15" t="n">
        <v>443038399.727</v>
      </c>
      <c r="AP15" t="n">
        <v>452166655.699</v>
      </c>
      <c r="AQ15" t="n">
        <v>450871142.187</v>
      </c>
      <c r="AR15" t="n">
        <v>439267589.931</v>
      </c>
      <c r="AS15" t="n">
        <v>411422242.349</v>
      </c>
      <c r="AT15" t="n">
        <v>419701697.917</v>
      </c>
      <c r="AU15" t="n">
        <v>459467866.896</v>
      </c>
      <c r="AV15" t="n">
        <v>497287706.735</v>
      </c>
      <c r="AW15" t="n">
        <v>501396849.239</v>
      </c>
      <c r="AX15" t="n">
        <v>490829760.123</v>
      </c>
      <c r="AY15" t="n">
        <v>506740555.024</v>
      </c>
      <c r="AZ15" t="n">
        <v>479655198.579</v>
      </c>
      <c r="BA15" t="n">
        <v>471104498.909</v>
      </c>
      <c r="BB15" t="n">
        <v>482073637.504</v>
      </c>
      <c r="BC15" t="n">
        <v>472542879.745</v>
      </c>
      <c r="BD15" t="n">
        <v>478366127.127</v>
      </c>
      <c r="BE15" t="n">
        <v>510280231.256</v>
      </c>
      <c r="BF15" t="n">
        <v>497333046.092</v>
      </c>
      <c r="BG15" t="n">
        <v>508237968.842</v>
      </c>
      <c r="BH15" t="n">
        <v>499715200.174</v>
      </c>
      <c r="BI15" t="n">
        <v>523156481.391</v>
      </c>
      <c r="BJ15" t="n">
        <v>496779519.1</v>
      </c>
      <c r="BK15" t="n">
        <v>496605663.56</v>
      </c>
      <c r="BL15" t="n">
        <v>549018989.6849999</v>
      </c>
      <c r="BM15" t="n">
        <v>550683499.267</v>
      </c>
      <c r="BN15" t="n">
        <v>536778082.84</v>
      </c>
      <c r="BO15" t="n">
        <v>573886941.346</v>
      </c>
      <c r="BP15" t="n">
        <v>525247454.16</v>
      </c>
      <c r="BQ15" t="n">
        <v>507732793.903</v>
      </c>
      <c r="BR15" t="n">
        <v>492185521.27</v>
      </c>
      <c r="BS15" t="n">
        <v>483267067.265</v>
      </c>
      <c r="BT15" t="n">
        <v>497610972.382</v>
      </c>
    </row>
    <row r="16">
      <c r="A16" t="inlineStr">
        <is>
          <t>SPPR_2015</t>
        </is>
      </c>
      <c r="B16" t="inlineStr">
        <is>
          <t>ok</t>
        </is>
      </c>
      <c r="C16" t="n">
        <v>711640266.46</v>
      </c>
      <c r="D16" t="n">
        <v>739792347.421</v>
      </c>
      <c r="E16" t="n">
        <v>762331332.429</v>
      </c>
      <c r="F16" t="n">
        <v>846821750.852</v>
      </c>
      <c r="G16" t="n">
        <v>886861429.4349999</v>
      </c>
      <c r="H16" t="n">
        <v>951320523.194</v>
      </c>
      <c r="I16" t="n">
        <v>922223820.725</v>
      </c>
      <c r="J16" t="n">
        <v>873492457.066</v>
      </c>
      <c r="K16" t="n">
        <v>819786289.0140001</v>
      </c>
      <c r="L16" t="n">
        <v>942483424.401</v>
      </c>
      <c r="M16" t="n">
        <v>1048596615.446</v>
      </c>
      <c r="N16" t="n">
        <v>953574084.158</v>
      </c>
      <c r="O16" t="n">
        <v>947263102.5140001</v>
      </c>
      <c r="P16" t="n">
        <v>984235505.747</v>
      </c>
      <c r="Q16" t="n">
        <v>1103435875.928</v>
      </c>
      <c r="R16" t="n">
        <v>1118416326.838</v>
      </c>
      <c r="S16" t="n">
        <v>1271740170.802</v>
      </c>
      <c r="T16" t="n">
        <v>1461662071.306</v>
      </c>
      <c r="U16" t="n">
        <v>1594972465.771</v>
      </c>
      <c r="V16" t="n">
        <v>1634820749.172</v>
      </c>
      <c r="W16" t="n">
        <v>1680670709.911</v>
      </c>
      <c r="X16" t="n">
        <v>1737340157.9</v>
      </c>
      <c r="Y16" t="n">
        <v>1676970376.086</v>
      </c>
      <c r="Z16" t="n">
        <v>1741030968.891</v>
      </c>
      <c r="AA16" t="n">
        <v>1832194183.398</v>
      </c>
      <c r="AB16" t="n">
        <v>1685116314.734</v>
      </c>
      <c r="AC16" t="n">
        <v>1858248464.187</v>
      </c>
      <c r="AD16" t="n">
        <v>2027232181.373</v>
      </c>
      <c r="AE16" t="n">
        <v>1995715366.235</v>
      </c>
      <c r="AF16" t="n">
        <v>2012125600.673</v>
      </c>
      <c r="AG16" t="n">
        <v>1928662018.426</v>
      </c>
      <c r="AH16" t="n">
        <v>1975782508.572</v>
      </c>
      <c r="AI16" t="n">
        <v>2079884016.088</v>
      </c>
      <c r="AJ16" t="n">
        <v>2083403219.459</v>
      </c>
      <c r="AK16" t="n">
        <v>2054243312.971</v>
      </c>
      <c r="AL16" t="n">
        <v>2006668181.495</v>
      </c>
      <c r="AM16" t="n">
        <v>2138902859.905</v>
      </c>
      <c r="AN16" t="n">
        <v>2045825764.557</v>
      </c>
      <c r="AO16" t="n">
        <v>2050787736.743</v>
      </c>
      <c r="AP16" t="n">
        <v>1998191816.812</v>
      </c>
      <c r="AQ16" t="n">
        <v>1997069892.792</v>
      </c>
      <c r="AR16" t="n">
        <v>1769733188.387</v>
      </c>
      <c r="AS16" t="n">
        <v>1632412981.839</v>
      </c>
      <c r="AT16" t="n">
        <v>1673583624.445</v>
      </c>
      <c r="AU16" t="n">
        <v>1855456543.366</v>
      </c>
      <c r="AV16" t="n">
        <v>1878046231.765</v>
      </c>
      <c r="AW16" t="n">
        <v>1949036484.676</v>
      </c>
      <c r="AX16" t="n">
        <v>1941696907.454</v>
      </c>
      <c r="AY16" t="n">
        <v>1820981280.928</v>
      </c>
      <c r="AZ16" t="n">
        <v>1675578765.269</v>
      </c>
      <c r="BA16" t="n">
        <v>1655911752.407</v>
      </c>
      <c r="BB16" t="n">
        <v>1606612899.506</v>
      </c>
      <c r="BC16" t="n">
        <v>1620135243.827</v>
      </c>
      <c r="BD16" t="n">
        <v>1668540761.378</v>
      </c>
      <c r="BE16" t="n">
        <v>1742759244.811</v>
      </c>
      <c r="BF16" t="n">
        <v>1715453950.958</v>
      </c>
      <c r="BG16" t="n">
        <v>1762668881.661</v>
      </c>
      <c r="BH16" t="n">
        <v>1314594170.099</v>
      </c>
      <c r="BI16" t="n">
        <v>1319316912.934</v>
      </c>
      <c r="BJ16" t="n">
        <v>1593180323.723</v>
      </c>
      <c r="BK16" t="n">
        <v>1672316730.095</v>
      </c>
      <c r="BL16" t="n">
        <v>1583826441.877</v>
      </c>
      <c r="BM16" t="n">
        <v>1564591546.78</v>
      </c>
      <c r="BN16" t="n">
        <v>1578436924.102</v>
      </c>
      <c r="BO16" t="n">
        <v>1652226232.093</v>
      </c>
      <c r="BP16" t="n">
        <v>1527526693.858</v>
      </c>
      <c r="BQ16" t="n">
        <v>1514858775.065</v>
      </c>
      <c r="BR16" t="n">
        <v>1758703449.579</v>
      </c>
      <c r="BS16" t="n">
        <v>1454676429.547</v>
      </c>
      <c r="BT16" t="n">
        <v>1711539183.464</v>
      </c>
    </row>
    <row r="17">
      <c r="A17" t="inlineStr">
        <is>
          <t>new_TE_noEEfix</t>
        </is>
      </c>
      <c r="B17" t="inlineStr">
        <is>
          <t>ok</t>
        </is>
      </c>
      <c r="C17" t="n">
        <v>711640266.46</v>
      </c>
      <c r="D17" t="n">
        <v>739792347.421</v>
      </c>
      <c r="E17" t="n">
        <v>762331332.429</v>
      </c>
      <c r="F17" t="n">
        <v>846821750.852</v>
      </c>
      <c r="G17" t="n">
        <v>886861429.4349999</v>
      </c>
      <c r="H17" t="n">
        <v>951320523.194</v>
      </c>
      <c r="I17" t="n">
        <v>922223820.725</v>
      </c>
      <c r="J17" t="n">
        <v>873492457.066</v>
      </c>
      <c r="K17" t="n">
        <v>819786289.0140001</v>
      </c>
      <c r="L17" t="n">
        <v>942483424.401</v>
      </c>
      <c r="M17" t="n">
        <v>1048596615.446</v>
      </c>
      <c r="N17" t="n">
        <v>953574084.158</v>
      </c>
      <c r="O17" t="n">
        <v>947263102.5140001</v>
      </c>
      <c r="P17" t="n">
        <v>984235505.747</v>
      </c>
      <c r="Q17" t="n">
        <v>1103435875.928</v>
      </c>
      <c r="R17" t="n">
        <v>1118416326.838</v>
      </c>
      <c r="S17" t="n">
        <v>1271740170.802</v>
      </c>
      <c r="T17" t="n">
        <v>1461662071.306</v>
      </c>
      <c r="U17" t="n">
        <v>1594972465.771</v>
      </c>
      <c r="V17" t="n">
        <v>1634820749.172</v>
      </c>
      <c r="W17" t="n">
        <v>1680670709.911</v>
      </c>
      <c r="X17" t="n">
        <v>1737340157.9</v>
      </c>
      <c r="Y17" t="n">
        <v>1676970376.086</v>
      </c>
      <c r="Z17" t="n">
        <v>1741030968.891</v>
      </c>
      <c r="AA17" t="n">
        <v>1832194183.398</v>
      </c>
      <c r="AB17" t="n">
        <v>1685116314.734</v>
      </c>
      <c r="AC17" t="n">
        <v>1858248464.187</v>
      </c>
      <c r="AD17" t="n">
        <v>2027232181.373</v>
      </c>
      <c r="AE17" t="n">
        <v>1995715366.235</v>
      </c>
      <c r="AF17" t="n">
        <v>2012125600.673</v>
      </c>
      <c r="AG17" t="n">
        <v>1928662018.426</v>
      </c>
      <c r="AH17" t="n">
        <v>1975782508.572</v>
      </c>
      <c r="AI17" t="n">
        <v>2079884016.088</v>
      </c>
      <c r="AJ17" t="n">
        <v>2083403219.459</v>
      </c>
      <c r="AK17" t="n">
        <v>2054243312.971</v>
      </c>
      <c r="AL17" t="n">
        <v>2006668181.495</v>
      </c>
      <c r="AM17" t="n">
        <v>2138902859.905</v>
      </c>
      <c r="AN17" t="n">
        <v>2045825764.557</v>
      </c>
      <c r="AO17" t="n">
        <v>2050787736.743</v>
      </c>
      <c r="AP17" t="n">
        <v>1998191816.812</v>
      </c>
      <c r="AQ17" t="n">
        <v>1997069892.792</v>
      </c>
      <c r="AR17" t="n">
        <v>1769733188.387</v>
      </c>
      <c r="AS17" t="n">
        <v>1632412981.839</v>
      </c>
      <c r="AT17" t="n">
        <v>1673583624.445</v>
      </c>
      <c r="AU17" t="n">
        <v>1855456543.366</v>
      </c>
      <c r="AV17" t="n">
        <v>1878046231.765</v>
      </c>
      <c r="AW17" t="n">
        <v>1949036484.676</v>
      </c>
      <c r="AX17" t="n">
        <v>1941696907.454</v>
      </c>
      <c r="AY17" t="n">
        <v>1820981280.928</v>
      </c>
      <c r="AZ17" t="n">
        <v>1675578765.269</v>
      </c>
      <c r="BA17" t="n">
        <v>1655911752.407</v>
      </c>
      <c r="BB17" t="n">
        <v>1606612899.506</v>
      </c>
      <c r="BC17" t="n">
        <v>1620135243.827</v>
      </c>
      <c r="BD17" t="n">
        <v>1668540761.378</v>
      </c>
      <c r="BE17" t="n">
        <v>1742759244.811</v>
      </c>
      <c r="BF17" t="n">
        <v>1715453950.958</v>
      </c>
      <c r="BG17" t="n">
        <v>1762668881.661</v>
      </c>
      <c r="BH17" t="n">
        <v>1314594170.099</v>
      </c>
      <c r="BI17" t="n">
        <v>1319316912.934</v>
      </c>
      <c r="BJ17" t="n">
        <v>1593180323.723</v>
      </c>
      <c r="BK17" t="n">
        <v>1672316730.095</v>
      </c>
      <c r="BL17" t="n">
        <v>1583826441.877</v>
      </c>
      <c r="BM17" t="n">
        <v>1564591546.78</v>
      </c>
      <c r="BN17" t="n">
        <v>1578436924.102</v>
      </c>
      <c r="BO17" t="n">
        <v>1652226232.093</v>
      </c>
      <c r="BP17" t="n">
        <v>1527526693.858</v>
      </c>
      <c r="BQ17" t="n">
        <v>1514858775.065</v>
      </c>
      <c r="BR17" t="n">
        <v>1758703449.579</v>
      </c>
      <c r="BS17" t="n">
        <v>1454676429.547</v>
      </c>
      <c r="BT17" t="n">
        <v>1711539183.464</v>
      </c>
    </row>
    <row r="18">
      <c r="A18" t="inlineStr">
        <is>
          <t>new_TE_EEfix</t>
        </is>
      </c>
      <c r="B18" t="inlineStr">
        <is>
          <t>ok</t>
        </is>
      </c>
      <c r="C18" t="n">
        <v>722777176.729</v>
      </c>
      <c r="D18" t="n">
        <v>751353264.1339999</v>
      </c>
      <c r="E18" t="n">
        <v>774219165.841</v>
      </c>
      <c r="F18" t="n">
        <v>860075745.034</v>
      </c>
      <c r="G18" t="n">
        <v>900703581.135</v>
      </c>
      <c r="H18" t="n">
        <v>966180596.174</v>
      </c>
      <c r="I18" t="n">
        <v>936558860.686</v>
      </c>
      <c r="J18" t="n">
        <v>887000724.071</v>
      </c>
      <c r="K18" t="n">
        <v>832406000.358</v>
      </c>
      <c r="L18" t="n">
        <v>957099597.477</v>
      </c>
      <c r="M18" t="n">
        <v>1064931897.709</v>
      </c>
      <c r="N18" t="n">
        <v>968374058.08</v>
      </c>
      <c r="O18" t="n">
        <v>961929025.552</v>
      </c>
      <c r="P18" t="n">
        <v>999514105.457</v>
      </c>
      <c r="Q18" t="n">
        <v>1120663810.537</v>
      </c>
      <c r="R18" t="n">
        <v>1135817890.315</v>
      </c>
      <c r="S18" t="n">
        <v>1291621894.772</v>
      </c>
      <c r="T18" t="n">
        <v>1484610046.306</v>
      </c>
      <c r="U18" t="n">
        <v>1620041111.986</v>
      </c>
      <c r="V18" t="n">
        <v>1660508341.538</v>
      </c>
      <c r="W18" t="n">
        <v>1707014979.594</v>
      </c>
      <c r="X18" t="n">
        <v>1764610512.183</v>
      </c>
      <c r="Y18" t="n">
        <v>1703165887.156</v>
      </c>
      <c r="Z18" t="n">
        <v>1768178142.984</v>
      </c>
      <c r="AA18" t="n">
        <v>1860748428.206</v>
      </c>
      <c r="AB18" t="n">
        <v>1711339513.904</v>
      </c>
      <c r="AC18" t="n">
        <v>1887299790.268</v>
      </c>
      <c r="AD18" t="n">
        <v>2058879577.299</v>
      </c>
      <c r="AE18" t="n">
        <v>2026739129.398</v>
      </c>
      <c r="AF18" t="n">
        <v>2043447613.742</v>
      </c>
      <c r="AG18" t="n">
        <v>1958593357.054</v>
      </c>
      <c r="AH18" t="n">
        <v>2006359934.542</v>
      </c>
      <c r="AI18" t="n">
        <v>2112156962.855</v>
      </c>
      <c r="AJ18" t="n">
        <v>2115672667.606</v>
      </c>
      <c r="AK18" t="n">
        <v>2085921197.894</v>
      </c>
      <c r="AL18" t="n">
        <v>2037657456.692</v>
      </c>
      <c r="AM18" t="n">
        <v>2171896734.148</v>
      </c>
      <c r="AN18" t="n">
        <v>2077265105.794</v>
      </c>
      <c r="AO18" t="n">
        <v>2082245199.072</v>
      </c>
      <c r="AP18" t="n">
        <v>2028756263.845</v>
      </c>
      <c r="AQ18" t="n">
        <v>2027660425.612</v>
      </c>
      <c r="AR18" t="n">
        <v>1796599954.004</v>
      </c>
      <c r="AS18" t="n">
        <v>1657177955.68</v>
      </c>
      <c r="AT18" t="n">
        <v>1698948480.965</v>
      </c>
      <c r="AU18" t="n">
        <v>1883619612.997</v>
      </c>
      <c r="AV18" t="n">
        <v>1906439622.835</v>
      </c>
      <c r="AW18" t="n">
        <v>1978526144.359</v>
      </c>
      <c r="AX18" t="n">
        <v>1971163689.414</v>
      </c>
      <c r="AY18" t="n">
        <v>1848411743.121</v>
      </c>
      <c r="AZ18" t="n">
        <v>1700756881.716</v>
      </c>
      <c r="BA18" t="n">
        <v>1680811450.065</v>
      </c>
      <c r="BB18" t="n">
        <v>1630655111.078</v>
      </c>
      <c r="BC18" t="n">
        <v>1644432979.393</v>
      </c>
      <c r="BD18" t="n">
        <v>1693622944.832</v>
      </c>
      <c r="BE18" t="n">
        <v>1768904297.072</v>
      </c>
      <c r="BF18" t="n">
        <v>1741182495.877</v>
      </c>
      <c r="BG18" t="n">
        <v>1789109981.781</v>
      </c>
      <c r="BH18" t="n">
        <v>1333754815.037</v>
      </c>
      <c r="BI18" t="n">
        <v>1338419403.396</v>
      </c>
      <c r="BJ18" t="n">
        <v>1616866166.513</v>
      </c>
      <c r="BK18" t="n">
        <v>1697263732.775</v>
      </c>
      <c r="BL18" t="n">
        <v>1607055544.75</v>
      </c>
      <c r="BM18" t="n">
        <v>1587505020.622</v>
      </c>
      <c r="BN18" t="n">
        <v>1601650107.223</v>
      </c>
      <c r="BO18" t="n">
        <v>1676496578.928</v>
      </c>
      <c r="BP18" t="n">
        <v>1549930762.967</v>
      </c>
      <c r="BQ18" t="n">
        <v>1537161823.037</v>
      </c>
      <c r="BR18" t="n">
        <v>1785044459.705</v>
      </c>
      <c r="BS18" t="n">
        <v>1476102972.957</v>
      </c>
      <c r="BT18" t="n">
        <v>1737037783.131</v>
      </c>
    </row>
    <row r="19">
      <c r="A19" t="inlineStr">
        <is>
          <t>new_GE</t>
        </is>
      </c>
      <c r="B19" t="inlineStr">
        <is>
          <t>ok</t>
        </is>
      </c>
      <c r="C19" t="n">
        <v>34147590.955</v>
      </c>
      <c r="D19" t="n">
        <v>37643941.39</v>
      </c>
      <c r="E19" t="n">
        <v>41189041.926</v>
      </c>
      <c r="F19" t="n">
        <v>40903488.779</v>
      </c>
      <c r="G19" t="n">
        <v>44890406.701</v>
      </c>
      <c r="H19" t="n">
        <v>47498118.265</v>
      </c>
      <c r="I19" t="n">
        <v>51834324.892</v>
      </c>
      <c r="J19" t="n">
        <v>53117083.993</v>
      </c>
      <c r="K19" t="n">
        <v>55477034.874</v>
      </c>
      <c r="L19" t="n">
        <v>54092495.328</v>
      </c>
      <c r="M19" t="n">
        <v>56404457.191</v>
      </c>
      <c r="N19" t="n">
        <v>56137066.954</v>
      </c>
      <c r="O19" t="n">
        <v>58330333.348</v>
      </c>
      <c r="P19" t="n">
        <v>55747061.36</v>
      </c>
      <c r="Q19" t="n">
        <v>54838204.239</v>
      </c>
      <c r="R19" t="n">
        <v>59583913.053</v>
      </c>
      <c r="S19" t="n">
        <v>60424110.024</v>
      </c>
      <c r="T19" t="n">
        <v>62003925.315</v>
      </c>
      <c r="U19" t="n">
        <v>64341218.681</v>
      </c>
      <c r="V19" t="n">
        <v>66942070.11</v>
      </c>
      <c r="W19" t="n">
        <v>71850719.412</v>
      </c>
      <c r="X19" t="n">
        <v>73106353.124</v>
      </c>
      <c r="Y19" t="n">
        <v>79098715.16500001</v>
      </c>
      <c r="Z19" t="n">
        <v>86550428.404</v>
      </c>
      <c r="AA19" t="n">
        <v>92962409.12</v>
      </c>
      <c r="AB19" t="n">
        <v>92019461.462</v>
      </c>
      <c r="AC19" t="n">
        <v>91387263.964</v>
      </c>
      <c r="AD19" t="n">
        <v>101547068.884</v>
      </c>
      <c r="AE19" t="n">
        <v>109165734.921</v>
      </c>
      <c r="AF19" t="n">
        <v>107399110.345</v>
      </c>
      <c r="AG19" t="n">
        <v>108767377.698</v>
      </c>
      <c r="AH19" t="n">
        <v>116511175.017</v>
      </c>
      <c r="AI19" t="n">
        <v>117327384.393</v>
      </c>
      <c r="AJ19" t="n">
        <v>120992129.416</v>
      </c>
      <c r="AK19" t="n">
        <v>130755697.175</v>
      </c>
      <c r="AL19" t="n">
        <v>127828723.49</v>
      </c>
      <c r="AM19" t="n">
        <v>140551808.297</v>
      </c>
      <c r="AN19" t="n">
        <v>138999771.636</v>
      </c>
      <c r="AO19" t="n">
        <v>144792574.126</v>
      </c>
      <c r="AP19" t="n">
        <v>146924932.716</v>
      </c>
      <c r="AQ19" t="n">
        <v>145815759.5</v>
      </c>
      <c r="AR19" t="n">
        <v>140411887.8</v>
      </c>
      <c r="AS19" t="n">
        <v>131520306.093</v>
      </c>
      <c r="AT19" t="n">
        <v>133487633.601</v>
      </c>
      <c r="AU19" t="n">
        <v>144815437.001</v>
      </c>
      <c r="AV19" t="n">
        <v>155606275.64</v>
      </c>
      <c r="AW19" t="n">
        <v>156931315.913</v>
      </c>
      <c r="AX19" t="n">
        <v>154451652.732</v>
      </c>
      <c r="AY19" t="n">
        <v>157128741.494</v>
      </c>
      <c r="AZ19" t="n">
        <v>148624204.786</v>
      </c>
      <c r="BA19" t="n">
        <v>145318698.296</v>
      </c>
      <c r="BB19" t="n">
        <v>149010399.703</v>
      </c>
      <c r="BC19" t="n">
        <v>146073209.675</v>
      </c>
      <c r="BD19" t="n">
        <v>149458548.415</v>
      </c>
      <c r="BE19" t="n">
        <v>157954861.865</v>
      </c>
      <c r="BF19" t="n">
        <v>155200340.961</v>
      </c>
      <c r="BG19" t="n">
        <v>157210102.263</v>
      </c>
      <c r="BH19" t="n">
        <v>154067988.64</v>
      </c>
      <c r="BI19" t="n">
        <v>161728424.486</v>
      </c>
      <c r="BJ19" t="n">
        <v>153710785.352</v>
      </c>
      <c r="BK19" t="n">
        <v>153764290.295</v>
      </c>
      <c r="BL19" t="n">
        <v>169188272.133</v>
      </c>
      <c r="BM19" t="n">
        <v>169979336.309</v>
      </c>
      <c r="BN19" t="n">
        <v>166152857.265</v>
      </c>
      <c r="BO19" t="n">
        <v>178143233.246</v>
      </c>
      <c r="BP19" t="n">
        <v>163153576.927</v>
      </c>
      <c r="BQ19" t="n">
        <v>158121153.892</v>
      </c>
      <c r="BR19" t="n">
        <v>153502122.129</v>
      </c>
      <c r="BS19" t="n">
        <v>150981698.246</v>
      </c>
      <c r="BT19" t="n">
        <v>155995338.361</v>
      </c>
    </row>
    <row r="20">
      <c r="A20" t="inlineStr">
        <is>
          <t>new_WithEgestion</t>
        </is>
      </c>
      <c r="B20" t="inlineStr">
        <is>
          <t>ok</t>
        </is>
      </c>
      <c r="C20" t="n">
        <v>19397806.439</v>
      </c>
      <c r="D20" t="n">
        <v>21349446.433</v>
      </c>
      <c r="E20" t="n">
        <v>23218214.275</v>
      </c>
      <c r="F20" t="n">
        <v>23196290.436</v>
      </c>
      <c r="G20" t="n">
        <v>25481898.883</v>
      </c>
      <c r="H20" t="n">
        <v>26940584.215</v>
      </c>
      <c r="I20" t="n">
        <v>29319403.589</v>
      </c>
      <c r="J20" t="n">
        <v>30330901.102</v>
      </c>
      <c r="K20" t="n">
        <v>31674040.359</v>
      </c>
      <c r="L20" t="n">
        <v>30909866.787</v>
      </c>
      <c r="M20" t="n">
        <v>32098919.904</v>
      </c>
      <c r="N20" t="n">
        <v>32242258.431</v>
      </c>
      <c r="O20" t="n">
        <v>33420525.107</v>
      </c>
      <c r="P20" t="n">
        <v>31976143.396</v>
      </c>
      <c r="Q20" t="n">
        <v>31516605.483</v>
      </c>
      <c r="R20" t="n">
        <v>34341329.933</v>
      </c>
      <c r="S20" t="n">
        <v>34755664.373</v>
      </c>
      <c r="T20" t="n">
        <v>35670818.398</v>
      </c>
      <c r="U20" t="n">
        <v>37388230.387</v>
      </c>
      <c r="V20" t="n">
        <v>38876725.363</v>
      </c>
      <c r="W20" t="n">
        <v>41896547.929</v>
      </c>
      <c r="X20" t="n">
        <v>42407804.64</v>
      </c>
      <c r="Y20" t="n">
        <v>45574554.012</v>
      </c>
      <c r="Z20" t="n">
        <v>49883541.625</v>
      </c>
      <c r="AA20" t="n">
        <v>53627616.146</v>
      </c>
      <c r="AB20" t="n">
        <v>53512131.261</v>
      </c>
      <c r="AC20" t="n">
        <v>53373602.885</v>
      </c>
      <c r="AD20" t="n">
        <v>59705471.511</v>
      </c>
      <c r="AE20" t="n">
        <v>64629025.324</v>
      </c>
      <c r="AF20" t="n">
        <v>63178767.926</v>
      </c>
      <c r="AG20" t="n">
        <v>63850413.067</v>
      </c>
      <c r="AH20" t="n">
        <v>68380506.634</v>
      </c>
      <c r="AI20" t="n">
        <v>69088541.02599999</v>
      </c>
      <c r="AJ20" t="n">
        <v>71690472.486</v>
      </c>
      <c r="AK20" t="n">
        <v>77515455.434</v>
      </c>
      <c r="AL20" t="n">
        <v>75718040.559</v>
      </c>
      <c r="AM20" t="n">
        <v>83633461.76000001</v>
      </c>
      <c r="AN20" t="n">
        <v>82679793.796</v>
      </c>
      <c r="AO20" t="n">
        <v>86322351.859</v>
      </c>
      <c r="AP20" t="n">
        <v>87102233.949</v>
      </c>
      <c r="AQ20" t="n">
        <v>85887439.55500001</v>
      </c>
      <c r="AR20" t="n">
        <v>82228981.664</v>
      </c>
      <c r="AS20" t="n">
        <v>76857265.836</v>
      </c>
      <c r="AT20" t="n">
        <v>78406186.85600001</v>
      </c>
      <c r="AU20" t="n">
        <v>84278999.914</v>
      </c>
      <c r="AV20" t="n">
        <v>89860168.675</v>
      </c>
      <c r="AW20" t="n">
        <v>90696392.53200001</v>
      </c>
      <c r="AX20" t="n">
        <v>89664965.54799999</v>
      </c>
      <c r="AY20" t="n">
        <v>90364031.13</v>
      </c>
      <c r="AZ20" t="n">
        <v>85500456.861</v>
      </c>
      <c r="BA20" t="n">
        <v>83114082.94400001</v>
      </c>
      <c r="BB20" t="n">
        <v>85464526.508</v>
      </c>
      <c r="BC20" t="n">
        <v>83687903.223</v>
      </c>
      <c r="BD20" t="n">
        <v>86017165.184</v>
      </c>
      <c r="BE20" t="n">
        <v>90452575.977</v>
      </c>
      <c r="BF20" t="n">
        <v>89288226.704</v>
      </c>
      <c r="BG20" t="n">
        <v>89936339.39300001</v>
      </c>
      <c r="BH20" t="n">
        <v>87990998.594</v>
      </c>
      <c r="BI20" t="n">
        <v>92738205.369</v>
      </c>
      <c r="BJ20" t="n">
        <v>87893175.906</v>
      </c>
      <c r="BK20" t="n">
        <v>88034612.145</v>
      </c>
      <c r="BL20" t="n">
        <v>96787443.523</v>
      </c>
      <c r="BM20" t="n">
        <v>97324275.316</v>
      </c>
      <c r="BN20" t="n">
        <v>95091557.911</v>
      </c>
      <c r="BO20" t="n">
        <v>102065088.06</v>
      </c>
      <c r="BP20" t="n">
        <v>93719942.528</v>
      </c>
      <c r="BQ20" t="n">
        <v>90927800.719</v>
      </c>
      <c r="BR20" t="n">
        <v>88318506.846</v>
      </c>
      <c r="BS20" t="n">
        <v>87072392.436</v>
      </c>
      <c r="BT20" t="n">
        <v>90584312.479</v>
      </c>
    </row>
    <row r="21">
      <c r="A21" t="inlineStr">
        <is>
          <t>sym_TE_asPP</t>
        </is>
      </c>
      <c r="B21" t="inlineStr">
        <is>
          <t>ok</t>
        </is>
      </c>
      <c r="C21" t="n">
        <v>722777176.729</v>
      </c>
      <c r="D21" t="n">
        <v>751353264.1339999</v>
      </c>
      <c r="E21" t="n">
        <v>774219165.841</v>
      </c>
      <c r="F21" t="n">
        <v>860075745.034</v>
      </c>
      <c r="G21" t="n">
        <v>900703581.135</v>
      </c>
      <c r="H21" t="n">
        <v>966180596.174</v>
      </c>
      <c r="I21" t="n">
        <v>936558860.686</v>
      </c>
      <c r="J21" t="n">
        <v>887000724.071</v>
      </c>
      <c r="K21" t="n">
        <v>832406000.358</v>
      </c>
      <c r="L21" t="n">
        <v>957099597.477</v>
      </c>
      <c r="M21" t="n">
        <v>1064931897.709</v>
      </c>
      <c r="N21" t="n">
        <v>968374058.08</v>
      </c>
      <c r="O21" t="n">
        <v>961929025.552</v>
      </c>
      <c r="P21" t="n">
        <v>999514105.457</v>
      </c>
      <c r="Q21" t="n">
        <v>1120663810.537</v>
      </c>
      <c r="R21" t="n">
        <v>1135817890.315</v>
      </c>
      <c r="S21" t="n">
        <v>1291621894.772</v>
      </c>
      <c r="T21" t="n">
        <v>1484610046.306</v>
      </c>
      <c r="U21" t="n">
        <v>1620041111.986</v>
      </c>
      <c r="V21" t="n">
        <v>1660508341.538</v>
      </c>
      <c r="W21" t="n">
        <v>1707014979.594</v>
      </c>
      <c r="X21" t="n">
        <v>1764610512.183</v>
      </c>
      <c r="Y21" t="n">
        <v>1703165887.156</v>
      </c>
      <c r="Z21" t="n">
        <v>1768178142.984</v>
      </c>
      <c r="AA21" t="n">
        <v>1860748428.206</v>
      </c>
      <c r="AB21" t="n">
        <v>1711339513.904</v>
      </c>
      <c r="AC21" t="n">
        <v>1887299790.268</v>
      </c>
      <c r="AD21" t="n">
        <v>2058879577.299</v>
      </c>
      <c r="AE21" t="n">
        <v>2026739129.398</v>
      </c>
      <c r="AF21" t="n">
        <v>2043447613.742</v>
      </c>
      <c r="AG21" t="n">
        <v>1958593357.054</v>
      </c>
      <c r="AH21" t="n">
        <v>2006359934.542</v>
      </c>
      <c r="AI21" t="n">
        <v>2112156962.855</v>
      </c>
      <c r="AJ21" t="n">
        <v>2115672667.606</v>
      </c>
      <c r="AK21" t="n">
        <v>2085921197.894</v>
      </c>
      <c r="AL21" t="n">
        <v>2037657456.692</v>
      </c>
      <c r="AM21" t="n">
        <v>2171896734.148</v>
      </c>
      <c r="AN21" t="n">
        <v>2077265105.794</v>
      </c>
      <c r="AO21" t="n">
        <v>2082245199.072</v>
      </c>
      <c r="AP21" t="n">
        <v>2028756263.845</v>
      </c>
      <c r="AQ21" t="n">
        <v>2027660425.612</v>
      </c>
      <c r="AR21" t="n">
        <v>1796599954.004</v>
      </c>
      <c r="AS21" t="n">
        <v>1657177955.68</v>
      </c>
      <c r="AT21" t="n">
        <v>1698948480.965</v>
      </c>
      <c r="AU21" t="n">
        <v>1883619612.997</v>
      </c>
      <c r="AV21" t="n">
        <v>1906439622.835</v>
      </c>
      <c r="AW21" t="n">
        <v>1978526144.359</v>
      </c>
      <c r="AX21" t="n">
        <v>1971163689.414</v>
      </c>
      <c r="AY21" t="n">
        <v>1848411743.121</v>
      </c>
      <c r="AZ21" t="n">
        <v>1700756881.716</v>
      </c>
      <c r="BA21" t="n">
        <v>1680811450.065</v>
      </c>
      <c r="BB21" t="n">
        <v>1630655111.078</v>
      </c>
      <c r="BC21" t="n">
        <v>1644432979.393</v>
      </c>
      <c r="BD21" t="n">
        <v>1693622944.832</v>
      </c>
      <c r="BE21" t="n">
        <v>1768904297.072</v>
      </c>
      <c r="BF21" t="n">
        <v>1741182495.877</v>
      </c>
      <c r="BG21" t="n">
        <v>1789109981.781</v>
      </c>
      <c r="BH21" t="n">
        <v>1333754815.037</v>
      </c>
      <c r="BI21" t="n">
        <v>1338419403.396</v>
      </c>
      <c r="BJ21" t="n">
        <v>1616866166.513</v>
      </c>
      <c r="BK21" t="n">
        <v>1697263732.775</v>
      </c>
      <c r="BL21" t="n">
        <v>1607055544.75</v>
      </c>
      <c r="BM21" t="n">
        <v>1587505020.622</v>
      </c>
      <c r="BN21" t="n">
        <v>1601650107.223</v>
      </c>
      <c r="BO21" t="n">
        <v>1676496578.928</v>
      </c>
      <c r="BP21" t="n">
        <v>1549930762.967</v>
      </c>
      <c r="BQ21" t="n">
        <v>1537161823.037</v>
      </c>
      <c r="BR21" t="n">
        <v>1785044459.705</v>
      </c>
      <c r="BS21" t="n">
        <v>1476102972.957</v>
      </c>
      <c r="BT21" t="n">
        <v>1737037783.131</v>
      </c>
    </row>
    <row r="22">
      <c r="A22" t="inlineStr">
        <is>
          <t>sym_TE_asDC</t>
        </is>
      </c>
      <c r="B22" t="inlineStr">
        <is>
          <t>ok</t>
        </is>
      </c>
      <c r="C22" t="n">
        <v>711640266.46</v>
      </c>
      <c r="D22" t="n">
        <v>739792347.421</v>
      </c>
      <c r="E22" t="n">
        <v>762331332.429</v>
      </c>
      <c r="F22" t="n">
        <v>846821750.852</v>
      </c>
      <c r="G22" t="n">
        <v>886861429.4349999</v>
      </c>
      <c r="H22" t="n">
        <v>951320523.194</v>
      </c>
      <c r="I22" t="n">
        <v>922223820.725</v>
      </c>
      <c r="J22" t="n">
        <v>873492457.066</v>
      </c>
      <c r="K22" t="n">
        <v>819786289.0140001</v>
      </c>
      <c r="L22" t="n">
        <v>942483424.401</v>
      </c>
      <c r="M22" t="n">
        <v>1048596615.446</v>
      </c>
      <c r="N22" t="n">
        <v>953574084.158</v>
      </c>
      <c r="O22" t="n">
        <v>947263102.5140001</v>
      </c>
      <c r="P22" t="n">
        <v>984235505.747</v>
      </c>
      <c r="Q22" t="n">
        <v>1103435875.928</v>
      </c>
      <c r="R22" t="n">
        <v>1118416326.838</v>
      </c>
      <c r="S22" t="n">
        <v>1271740170.802</v>
      </c>
      <c r="T22" t="n">
        <v>1461662071.306</v>
      </c>
      <c r="U22" t="n">
        <v>1594972465.771</v>
      </c>
      <c r="V22" t="n">
        <v>1634820749.172</v>
      </c>
      <c r="W22" t="n">
        <v>1680670709.911</v>
      </c>
      <c r="X22" t="n">
        <v>1737340157.9</v>
      </c>
      <c r="Y22" t="n">
        <v>1676970376.086</v>
      </c>
      <c r="Z22" t="n">
        <v>1741030968.891</v>
      </c>
      <c r="AA22" t="n">
        <v>1832194183.398</v>
      </c>
      <c r="AB22" t="n">
        <v>1685116314.734</v>
      </c>
      <c r="AC22" t="n">
        <v>1858248464.187</v>
      </c>
      <c r="AD22" t="n">
        <v>2027232181.373</v>
      </c>
      <c r="AE22" t="n">
        <v>1995715366.235</v>
      </c>
      <c r="AF22" t="n">
        <v>2012125600.673</v>
      </c>
      <c r="AG22" t="n">
        <v>1928662018.426</v>
      </c>
      <c r="AH22" t="n">
        <v>1975782508.572</v>
      </c>
      <c r="AI22" t="n">
        <v>2079884016.088</v>
      </c>
      <c r="AJ22" t="n">
        <v>2083403219.459</v>
      </c>
      <c r="AK22" t="n">
        <v>2054243312.971</v>
      </c>
      <c r="AL22" t="n">
        <v>2006668181.495</v>
      </c>
      <c r="AM22" t="n">
        <v>2138902859.905</v>
      </c>
      <c r="AN22" t="n">
        <v>2045825764.557</v>
      </c>
      <c r="AO22" t="n">
        <v>2050787736.743</v>
      </c>
      <c r="AP22" t="n">
        <v>1998191816.812</v>
      </c>
      <c r="AQ22" t="n">
        <v>1997069892.792</v>
      </c>
      <c r="AR22" t="n">
        <v>1769733188.387</v>
      </c>
      <c r="AS22" t="n">
        <v>1632412981.839</v>
      </c>
      <c r="AT22" t="n">
        <v>1673583624.445</v>
      </c>
      <c r="AU22" t="n">
        <v>1855456543.366</v>
      </c>
      <c r="AV22" t="n">
        <v>1878046231.765</v>
      </c>
      <c r="AW22" t="n">
        <v>1949036484.676</v>
      </c>
      <c r="AX22" t="n">
        <v>1941696907.454</v>
      </c>
      <c r="AY22" t="n">
        <v>1820981280.928</v>
      </c>
      <c r="AZ22" t="n">
        <v>1675578765.269</v>
      </c>
      <c r="BA22" t="n">
        <v>1655911752.407</v>
      </c>
      <c r="BB22" t="n">
        <v>1606612899.506</v>
      </c>
      <c r="BC22" t="n">
        <v>1620135243.827</v>
      </c>
      <c r="BD22" t="n">
        <v>1668540761.378</v>
      </c>
      <c r="BE22" t="n">
        <v>1742759244.811</v>
      </c>
      <c r="BF22" t="n">
        <v>1715453950.958</v>
      </c>
      <c r="BG22" t="n">
        <v>1762668881.661</v>
      </c>
      <c r="BH22" t="n">
        <v>1314594170.099</v>
      </c>
      <c r="BI22" t="n">
        <v>1319316912.934</v>
      </c>
      <c r="BJ22" t="n">
        <v>1593180323.723</v>
      </c>
      <c r="BK22" t="n">
        <v>1672316730.095</v>
      </c>
      <c r="BL22" t="n">
        <v>1583826441.877</v>
      </c>
      <c r="BM22" t="n">
        <v>1564591546.78</v>
      </c>
      <c r="BN22" t="n">
        <v>1578436924.102</v>
      </c>
      <c r="BO22" t="n">
        <v>1652226232.093</v>
      </c>
      <c r="BP22" t="n">
        <v>1527526693.858</v>
      </c>
      <c r="BQ22" t="n">
        <v>1514858775.065</v>
      </c>
      <c r="BR22" t="n">
        <v>1758703449.579</v>
      </c>
      <c r="BS22" t="n">
        <v>1454676429.547</v>
      </c>
      <c r="BT22" t="n">
        <v>1711539183.464</v>
      </c>
    </row>
    <row r="23">
      <c r="A23" t="inlineStr">
        <is>
          <t>sym_GE_asPP</t>
        </is>
      </c>
      <c r="B23" t="inlineStr">
        <is>
          <t>ok</t>
        </is>
      </c>
      <c r="C23" t="n">
        <v>34147590.955</v>
      </c>
      <c r="D23" t="n">
        <v>37643941.39</v>
      </c>
      <c r="E23" t="n">
        <v>41189041.926</v>
      </c>
      <c r="F23" t="n">
        <v>40903488.779</v>
      </c>
      <c r="G23" t="n">
        <v>44890406.701</v>
      </c>
      <c r="H23" t="n">
        <v>47498118.265</v>
      </c>
      <c r="I23" t="n">
        <v>51834324.892</v>
      </c>
      <c r="J23" t="n">
        <v>53117083.993</v>
      </c>
      <c r="K23" t="n">
        <v>55477034.874</v>
      </c>
      <c r="L23" t="n">
        <v>54092495.328</v>
      </c>
      <c r="M23" t="n">
        <v>56404457.191</v>
      </c>
      <c r="N23" t="n">
        <v>56137066.954</v>
      </c>
      <c r="O23" t="n">
        <v>58330333.348</v>
      </c>
      <c r="P23" t="n">
        <v>55747061.36</v>
      </c>
      <c r="Q23" t="n">
        <v>54838204.239</v>
      </c>
      <c r="R23" t="n">
        <v>59583913.053</v>
      </c>
      <c r="S23" t="n">
        <v>60424110.024</v>
      </c>
      <c r="T23" t="n">
        <v>62003925.315</v>
      </c>
      <c r="U23" t="n">
        <v>64341218.681</v>
      </c>
      <c r="V23" t="n">
        <v>66942070.11</v>
      </c>
      <c r="W23" t="n">
        <v>71850719.412</v>
      </c>
      <c r="X23" t="n">
        <v>73106353.124</v>
      </c>
      <c r="Y23" t="n">
        <v>79098715.16500001</v>
      </c>
      <c r="Z23" t="n">
        <v>86550428.404</v>
      </c>
      <c r="AA23" t="n">
        <v>92962409.12</v>
      </c>
      <c r="AB23" t="n">
        <v>92019461.462</v>
      </c>
      <c r="AC23" t="n">
        <v>91387263.964</v>
      </c>
      <c r="AD23" t="n">
        <v>101547068.884</v>
      </c>
      <c r="AE23" t="n">
        <v>109165734.921</v>
      </c>
      <c r="AF23" t="n">
        <v>107399110.345</v>
      </c>
      <c r="AG23" t="n">
        <v>108767377.698</v>
      </c>
      <c r="AH23" t="n">
        <v>116511175.017</v>
      </c>
      <c r="AI23" t="n">
        <v>117327384.393</v>
      </c>
      <c r="AJ23" t="n">
        <v>120992129.416</v>
      </c>
      <c r="AK23" t="n">
        <v>130755697.175</v>
      </c>
      <c r="AL23" t="n">
        <v>127828723.49</v>
      </c>
      <c r="AM23" t="n">
        <v>140551808.297</v>
      </c>
      <c r="AN23" t="n">
        <v>138999771.636</v>
      </c>
      <c r="AO23" t="n">
        <v>144792574.126</v>
      </c>
      <c r="AP23" t="n">
        <v>146924932.716</v>
      </c>
      <c r="AQ23" t="n">
        <v>145815759.5</v>
      </c>
      <c r="AR23" t="n">
        <v>140411887.8</v>
      </c>
      <c r="AS23" t="n">
        <v>131520306.093</v>
      </c>
      <c r="AT23" t="n">
        <v>133487633.601</v>
      </c>
      <c r="AU23" t="n">
        <v>144815437.001</v>
      </c>
      <c r="AV23" t="n">
        <v>155606275.64</v>
      </c>
      <c r="AW23" t="n">
        <v>156931315.913</v>
      </c>
      <c r="AX23" t="n">
        <v>154451652.732</v>
      </c>
      <c r="AY23" t="n">
        <v>157128741.494</v>
      </c>
      <c r="AZ23" t="n">
        <v>148624204.786</v>
      </c>
      <c r="BA23" t="n">
        <v>145318698.296</v>
      </c>
      <c r="BB23" t="n">
        <v>149010399.703</v>
      </c>
      <c r="BC23" t="n">
        <v>146073209.675</v>
      </c>
      <c r="BD23" t="n">
        <v>149458548.415</v>
      </c>
      <c r="BE23" t="n">
        <v>157954861.865</v>
      </c>
      <c r="BF23" t="n">
        <v>155200340.961</v>
      </c>
      <c r="BG23" t="n">
        <v>157210102.263</v>
      </c>
      <c r="BH23" t="n">
        <v>154067988.64</v>
      </c>
      <c r="BI23" t="n">
        <v>161728424.486</v>
      </c>
      <c r="BJ23" t="n">
        <v>153710785.352</v>
      </c>
      <c r="BK23" t="n">
        <v>153764290.295</v>
      </c>
      <c r="BL23" t="n">
        <v>169188272.133</v>
      </c>
      <c r="BM23" t="n">
        <v>169979336.309</v>
      </c>
      <c r="BN23" t="n">
        <v>166152857.265</v>
      </c>
      <c r="BO23" t="n">
        <v>178143233.246</v>
      </c>
      <c r="BP23" t="n">
        <v>163153576.927</v>
      </c>
      <c r="BQ23" t="n">
        <v>158121153.892</v>
      </c>
      <c r="BR23" t="n">
        <v>153502122.129</v>
      </c>
      <c r="BS23" t="n">
        <v>150981698.246</v>
      </c>
      <c r="BT23" t="n">
        <v>155995338.361</v>
      </c>
    </row>
    <row r="24">
      <c r="A24" t="inlineStr">
        <is>
          <t>sym_GE_asDC</t>
        </is>
      </c>
      <c r="B24" t="inlineStr">
        <is>
          <t>ok</t>
        </is>
      </c>
      <c r="C24" t="n">
        <v>34147590.955</v>
      </c>
      <c r="D24" t="n">
        <v>37643941.39</v>
      </c>
      <c r="E24" t="n">
        <v>41189041.926</v>
      </c>
      <c r="F24" t="n">
        <v>40903488.779</v>
      </c>
      <c r="G24" t="n">
        <v>44890406.701</v>
      </c>
      <c r="H24" t="n">
        <v>47498118.265</v>
      </c>
      <c r="I24" t="n">
        <v>51834324.892</v>
      </c>
      <c r="J24" t="n">
        <v>53117083.993</v>
      </c>
      <c r="K24" t="n">
        <v>55477034.874</v>
      </c>
      <c r="L24" t="n">
        <v>54092495.328</v>
      </c>
      <c r="M24" t="n">
        <v>56404457.191</v>
      </c>
      <c r="N24" t="n">
        <v>56137066.954</v>
      </c>
      <c r="O24" t="n">
        <v>58330333.348</v>
      </c>
      <c r="P24" t="n">
        <v>55747061.36</v>
      </c>
      <c r="Q24" t="n">
        <v>54838204.239</v>
      </c>
      <c r="R24" t="n">
        <v>59583913.053</v>
      </c>
      <c r="S24" t="n">
        <v>60424110.024</v>
      </c>
      <c r="T24" t="n">
        <v>62003925.315</v>
      </c>
      <c r="U24" t="n">
        <v>64341218.681</v>
      </c>
      <c r="V24" t="n">
        <v>66942070.11</v>
      </c>
      <c r="W24" t="n">
        <v>71850719.412</v>
      </c>
      <c r="X24" t="n">
        <v>73106353.124</v>
      </c>
      <c r="Y24" t="n">
        <v>79098715.16500001</v>
      </c>
      <c r="Z24" t="n">
        <v>86550428.404</v>
      </c>
      <c r="AA24" t="n">
        <v>92962409.12</v>
      </c>
      <c r="AB24" t="n">
        <v>92019461.462</v>
      </c>
      <c r="AC24" t="n">
        <v>91387263.964</v>
      </c>
      <c r="AD24" t="n">
        <v>101547068.884</v>
      </c>
      <c r="AE24" t="n">
        <v>109165734.921</v>
      </c>
      <c r="AF24" t="n">
        <v>107399110.345</v>
      </c>
      <c r="AG24" t="n">
        <v>108767377.698</v>
      </c>
      <c r="AH24" t="n">
        <v>116511175.017</v>
      </c>
      <c r="AI24" t="n">
        <v>117327384.393</v>
      </c>
      <c r="AJ24" t="n">
        <v>120992129.416</v>
      </c>
      <c r="AK24" t="n">
        <v>130755697.175</v>
      </c>
      <c r="AL24" t="n">
        <v>127828723.49</v>
      </c>
      <c r="AM24" t="n">
        <v>140551808.297</v>
      </c>
      <c r="AN24" t="n">
        <v>138999771.636</v>
      </c>
      <c r="AO24" t="n">
        <v>144792574.126</v>
      </c>
      <c r="AP24" t="n">
        <v>146924932.716</v>
      </c>
      <c r="AQ24" t="n">
        <v>145815759.5</v>
      </c>
      <c r="AR24" t="n">
        <v>140411887.8</v>
      </c>
      <c r="AS24" t="n">
        <v>131520306.093</v>
      </c>
      <c r="AT24" t="n">
        <v>133487633.601</v>
      </c>
      <c r="AU24" t="n">
        <v>144815437.001</v>
      </c>
      <c r="AV24" t="n">
        <v>155606275.64</v>
      </c>
      <c r="AW24" t="n">
        <v>156931315.913</v>
      </c>
      <c r="AX24" t="n">
        <v>154451652.732</v>
      </c>
      <c r="AY24" t="n">
        <v>157128741.494</v>
      </c>
      <c r="AZ24" t="n">
        <v>148624204.786</v>
      </c>
      <c r="BA24" t="n">
        <v>145318698.296</v>
      </c>
      <c r="BB24" t="n">
        <v>149010399.703</v>
      </c>
      <c r="BC24" t="n">
        <v>146073209.675</v>
      </c>
      <c r="BD24" t="n">
        <v>149458548.415</v>
      </c>
      <c r="BE24" t="n">
        <v>157954861.865</v>
      </c>
      <c r="BF24" t="n">
        <v>155200340.961</v>
      </c>
      <c r="BG24" t="n">
        <v>157210102.263</v>
      </c>
      <c r="BH24" t="n">
        <v>154067988.64</v>
      </c>
      <c r="BI24" t="n">
        <v>161728424.486</v>
      </c>
      <c r="BJ24" t="n">
        <v>153710785.352</v>
      </c>
      <c r="BK24" t="n">
        <v>153764290.295</v>
      </c>
      <c r="BL24" t="n">
        <v>169188272.133</v>
      </c>
      <c r="BM24" t="n">
        <v>169979336.309</v>
      </c>
      <c r="BN24" t="n">
        <v>166152857.265</v>
      </c>
      <c r="BO24" t="n">
        <v>178143233.246</v>
      </c>
      <c r="BP24" t="n">
        <v>163153576.927</v>
      </c>
      <c r="BQ24" t="n">
        <v>158121153.892</v>
      </c>
      <c r="BR24" t="n">
        <v>153502122.129</v>
      </c>
      <c r="BS24" t="n">
        <v>150981698.246</v>
      </c>
      <c r="BT24" t="n">
        <v>155995338.361</v>
      </c>
    </row>
    <row r="25">
      <c r="A25" t="inlineStr">
        <is>
          <t>sym_WithEgestion_asPP</t>
        </is>
      </c>
      <c r="B25" t="inlineStr">
        <is>
          <t>ok</t>
        </is>
      </c>
      <c r="C25" t="n">
        <v>19397806.439</v>
      </c>
      <c r="D25" t="n">
        <v>21349446.433</v>
      </c>
      <c r="E25" t="n">
        <v>23218214.275</v>
      </c>
      <c r="F25" t="n">
        <v>23196290.436</v>
      </c>
      <c r="G25" t="n">
        <v>25481898.883</v>
      </c>
      <c r="H25" t="n">
        <v>26940584.215</v>
      </c>
      <c r="I25" t="n">
        <v>29319403.589</v>
      </c>
      <c r="J25" t="n">
        <v>30330901.102</v>
      </c>
      <c r="K25" t="n">
        <v>31674040.359</v>
      </c>
      <c r="L25" t="n">
        <v>30909866.787</v>
      </c>
      <c r="M25" t="n">
        <v>32098919.904</v>
      </c>
      <c r="N25" t="n">
        <v>32242258.431</v>
      </c>
      <c r="O25" t="n">
        <v>33420525.107</v>
      </c>
      <c r="P25" t="n">
        <v>31976143.396</v>
      </c>
      <c r="Q25" t="n">
        <v>31516605.483</v>
      </c>
      <c r="R25" t="n">
        <v>34341329.933</v>
      </c>
      <c r="S25" t="n">
        <v>34755664.373</v>
      </c>
      <c r="T25" t="n">
        <v>35670818.398</v>
      </c>
      <c r="U25" t="n">
        <v>37388230.387</v>
      </c>
      <c r="V25" t="n">
        <v>38876725.363</v>
      </c>
      <c r="W25" t="n">
        <v>41896547.929</v>
      </c>
      <c r="X25" t="n">
        <v>42407804.64</v>
      </c>
      <c r="Y25" t="n">
        <v>45574554.012</v>
      </c>
      <c r="Z25" t="n">
        <v>49883541.625</v>
      </c>
      <c r="AA25" t="n">
        <v>53627616.146</v>
      </c>
      <c r="AB25" t="n">
        <v>53512131.261</v>
      </c>
      <c r="AC25" t="n">
        <v>53373602.885</v>
      </c>
      <c r="AD25" t="n">
        <v>59705471.511</v>
      </c>
      <c r="AE25" t="n">
        <v>64629025.324</v>
      </c>
      <c r="AF25" t="n">
        <v>63178767.926</v>
      </c>
      <c r="AG25" t="n">
        <v>63850413.067</v>
      </c>
      <c r="AH25" t="n">
        <v>68380506.634</v>
      </c>
      <c r="AI25" t="n">
        <v>69088541.02599999</v>
      </c>
      <c r="AJ25" t="n">
        <v>71690472.486</v>
      </c>
      <c r="AK25" t="n">
        <v>77515455.434</v>
      </c>
      <c r="AL25" t="n">
        <v>75718040.559</v>
      </c>
      <c r="AM25" t="n">
        <v>83633461.76000001</v>
      </c>
      <c r="AN25" t="n">
        <v>82679793.796</v>
      </c>
      <c r="AO25" t="n">
        <v>86322351.859</v>
      </c>
      <c r="AP25" t="n">
        <v>87102233.949</v>
      </c>
      <c r="AQ25" t="n">
        <v>85887439.55500001</v>
      </c>
      <c r="AR25" t="n">
        <v>82228981.664</v>
      </c>
      <c r="AS25" t="n">
        <v>76857265.836</v>
      </c>
      <c r="AT25" t="n">
        <v>78406186.85600001</v>
      </c>
      <c r="AU25" t="n">
        <v>84278999.914</v>
      </c>
      <c r="AV25" t="n">
        <v>89860168.675</v>
      </c>
      <c r="AW25" t="n">
        <v>90696392.53200001</v>
      </c>
      <c r="AX25" t="n">
        <v>89664965.54799999</v>
      </c>
      <c r="AY25" t="n">
        <v>90364031.13</v>
      </c>
      <c r="AZ25" t="n">
        <v>85500456.861</v>
      </c>
      <c r="BA25" t="n">
        <v>83114082.94400001</v>
      </c>
      <c r="BB25" t="n">
        <v>85464526.508</v>
      </c>
      <c r="BC25" t="n">
        <v>83687903.223</v>
      </c>
      <c r="BD25" t="n">
        <v>86017165.184</v>
      </c>
      <c r="BE25" t="n">
        <v>90452575.977</v>
      </c>
      <c r="BF25" t="n">
        <v>89288226.704</v>
      </c>
      <c r="BG25" t="n">
        <v>89936339.39300001</v>
      </c>
      <c r="BH25" t="n">
        <v>87990998.594</v>
      </c>
      <c r="BI25" t="n">
        <v>92738205.369</v>
      </c>
      <c r="BJ25" t="n">
        <v>87893175.906</v>
      </c>
      <c r="BK25" t="n">
        <v>88034612.145</v>
      </c>
      <c r="BL25" t="n">
        <v>96787443.523</v>
      </c>
      <c r="BM25" t="n">
        <v>97324275.316</v>
      </c>
      <c r="BN25" t="n">
        <v>95091557.911</v>
      </c>
      <c r="BO25" t="n">
        <v>102065088.06</v>
      </c>
      <c r="BP25" t="n">
        <v>93719942.528</v>
      </c>
      <c r="BQ25" t="n">
        <v>90927800.719</v>
      </c>
      <c r="BR25" t="n">
        <v>88318506.846</v>
      </c>
      <c r="BS25" t="n">
        <v>87072392.436</v>
      </c>
      <c r="BT25" t="n">
        <v>90584312.479</v>
      </c>
    </row>
    <row r="26">
      <c r="A26" t="inlineStr">
        <is>
          <t>sym_WithEgestion_asDC</t>
        </is>
      </c>
      <c r="B26" t="inlineStr">
        <is>
          <t>ok</t>
        </is>
      </c>
      <c r="C26" t="n">
        <v>19397806.439</v>
      </c>
      <c r="D26" t="n">
        <v>21349446.433</v>
      </c>
      <c r="E26" t="n">
        <v>23218214.275</v>
      </c>
      <c r="F26" t="n">
        <v>23196290.436</v>
      </c>
      <c r="G26" t="n">
        <v>25481898.883</v>
      </c>
      <c r="H26" t="n">
        <v>26940584.215</v>
      </c>
      <c r="I26" t="n">
        <v>29319403.589</v>
      </c>
      <c r="J26" t="n">
        <v>30330901.102</v>
      </c>
      <c r="K26" t="n">
        <v>31674040.359</v>
      </c>
      <c r="L26" t="n">
        <v>30909866.787</v>
      </c>
      <c r="M26" t="n">
        <v>32098919.904</v>
      </c>
      <c r="N26" t="n">
        <v>32242258.431</v>
      </c>
      <c r="O26" t="n">
        <v>33420525.107</v>
      </c>
      <c r="P26" t="n">
        <v>31976143.396</v>
      </c>
      <c r="Q26" t="n">
        <v>31516605.483</v>
      </c>
      <c r="R26" t="n">
        <v>34341329.933</v>
      </c>
      <c r="S26" t="n">
        <v>34755664.373</v>
      </c>
      <c r="T26" t="n">
        <v>35670818.398</v>
      </c>
      <c r="U26" t="n">
        <v>37388230.387</v>
      </c>
      <c r="V26" t="n">
        <v>38876725.363</v>
      </c>
      <c r="W26" t="n">
        <v>41896547.929</v>
      </c>
      <c r="X26" t="n">
        <v>42407804.64</v>
      </c>
      <c r="Y26" t="n">
        <v>45574554.012</v>
      </c>
      <c r="Z26" t="n">
        <v>49883541.625</v>
      </c>
      <c r="AA26" t="n">
        <v>53627616.146</v>
      </c>
      <c r="AB26" t="n">
        <v>53512131.261</v>
      </c>
      <c r="AC26" t="n">
        <v>53373602.885</v>
      </c>
      <c r="AD26" t="n">
        <v>59705471.511</v>
      </c>
      <c r="AE26" t="n">
        <v>64629025.324</v>
      </c>
      <c r="AF26" t="n">
        <v>63178767.926</v>
      </c>
      <c r="AG26" t="n">
        <v>63850413.067</v>
      </c>
      <c r="AH26" t="n">
        <v>68380506.634</v>
      </c>
      <c r="AI26" t="n">
        <v>69088541.02599999</v>
      </c>
      <c r="AJ26" t="n">
        <v>71690472.486</v>
      </c>
      <c r="AK26" t="n">
        <v>77515455.434</v>
      </c>
      <c r="AL26" t="n">
        <v>75718040.559</v>
      </c>
      <c r="AM26" t="n">
        <v>83633461.76000001</v>
      </c>
      <c r="AN26" t="n">
        <v>82679793.796</v>
      </c>
      <c r="AO26" t="n">
        <v>86322351.859</v>
      </c>
      <c r="AP26" t="n">
        <v>87102233.949</v>
      </c>
      <c r="AQ26" t="n">
        <v>85887439.55500001</v>
      </c>
      <c r="AR26" t="n">
        <v>82228981.664</v>
      </c>
      <c r="AS26" t="n">
        <v>76857265.836</v>
      </c>
      <c r="AT26" t="n">
        <v>78406186.85600001</v>
      </c>
      <c r="AU26" t="n">
        <v>84278999.914</v>
      </c>
      <c r="AV26" t="n">
        <v>89860168.675</v>
      </c>
      <c r="AW26" t="n">
        <v>90696392.53200001</v>
      </c>
      <c r="AX26" t="n">
        <v>89664965.54799999</v>
      </c>
      <c r="AY26" t="n">
        <v>90364031.13</v>
      </c>
      <c r="AZ26" t="n">
        <v>85500456.861</v>
      </c>
      <c r="BA26" t="n">
        <v>83114082.94400001</v>
      </c>
      <c r="BB26" t="n">
        <v>85464526.508</v>
      </c>
      <c r="BC26" t="n">
        <v>83687903.223</v>
      </c>
      <c r="BD26" t="n">
        <v>86017165.184</v>
      </c>
      <c r="BE26" t="n">
        <v>90452575.977</v>
      </c>
      <c r="BF26" t="n">
        <v>89288226.704</v>
      </c>
      <c r="BG26" t="n">
        <v>89936339.39300001</v>
      </c>
      <c r="BH26" t="n">
        <v>87990998.594</v>
      </c>
      <c r="BI26" t="n">
        <v>92738205.369</v>
      </c>
      <c r="BJ26" t="n">
        <v>87893175.906</v>
      </c>
      <c r="BK26" t="n">
        <v>88034612.145</v>
      </c>
      <c r="BL26" t="n">
        <v>96787443.523</v>
      </c>
      <c r="BM26" t="n">
        <v>97324275.316</v>
      </c>
      <c r="BN26" t="n">
        <v>95091557.911</v>
      </c>
      <c r="BO26" t="n">
        <v>102065088.06</v>
      </c>
      <c r="BP26" t="n">
        <v>93719942.528</v>
      </c>
      <c r="BQ26" t="n">
        <v>90927800.719</v>
      </c>
      <c r="BR26" t="n">
        <v>88318506.846</v>
      </c>
      <c r="BS26" t="n">
        <v>87072392.436</v>
      </c>
      <c r="BT26" t="n">
        <v>90584312.479</v>
      </c>
    </row>
    <row r="27">
      <c r="A27" t="inlineStr">
        <is>
          <t>MC_new_GE</t>
        </is>
      </c>
      <c r="B27" t="inlineStr">
        <is>
          <t>ok</t>
        </is>
      </c>
      <c r="C27" t="n">
        <v>34806093.614</v>
      </c>
      <c r="D27" t="n">
        <v>38352748.754</v>
      </c>
      <c r="E27" t="n">
        <v>41948118.801</v>
      </c>
      <c r="F27" t="n">
        <v>41661954.958</v>
      </c>
      <c r="G27" t="n">
        <v>45735409.474</v>
      </c>
      <c r="H27" t="n">
        <v>48395159.525</v>
      </c>
      <c r="I27" t="n">
        <v>52793911.123</v>
      </c>
      <c r="J27" t="n">
        <v>54128609.895</v>
      </c>
      <c r="K27" t="n">
        <v>56546390.686</v>
      </c>
      <c r="L27" t="n">
        <v>55136950.672</v>
      </c>
      <c r="M27" t="n">
        <v>57534393.274</v>
      </c>
      <c r="N27" t="n">
        <v>57231137.122</v>
      </c>
      <c r="O27" t="n">
        <v>59452699.739</v>
      </c>
      <c r="P27" t="n">
        <v>56801937.138</v>
      </c>
      <c r="Q27" t="n">
        <v>55910848.067</v>
      </c>
      <c r="R27" t="n">
        <v>60749289.141</v>
      </c>
      <c r="S27" t="n">
        <v>61613012.097</v>
      </c>
      <c r="T27" t="n">
        <v>63236604.607</v>
      </c>
      <c r="U27" t="n">
        <v>65612017.382</v>
      </c>
      <c r="V27" t="n">
        <v>68267348.82799999</v>
      </c>
      <c r="W27" t="n">
        <v>73293302.706</v>
      </c>
      <c r="X27" t="n">
        <v>74577607.697</v>
      </c>
      <c r="Y27" t="n">
        <v>80656147.71799999</v>
      </c>
      <c r="Z27" t="n">
        <v>88257751.168</v>
      </c>
      <c r="AA27" t="n">
        <v>94806851.755</v>
      </c>
      <c r="AB27" t="n">
        <v>93883287.559</v>
      </c>
      <c r="AC27" t="n">
        <v>93214043.772</v>
      </c>
      <c r="AD27" t="n">
        <v>103569302.756</v>
      </c>
      <c r="AE27" t="n">
        <v>111329349.205</v>
      </c>
      <c r="AF27" t="n">
        <v>109501337.239</v>
      </c>
      <c r="AG27" t="n">
        <v>110880240.936</v>
      </c>
      <c r="AH27" t="n">
        <v>118666919.228</v>
      </c>
      <c r="AI27" t="n">
        <v>119476060.42</v>
      </c>
      <c r="AJ27" t="n">
        <v>123124239.869</v>
      </c>
      <c r="AK27" t="n">
        <v>133077415.696</v>
      </c>
      <c r="AL27" t="n">
        <v>130176274.459</v>
      </c>
      <c r="AM27" t="n">
        <v>143171830.706</v>
      </c>
      <c r="AN27" t="n">
        <v>141529375.541</v>
      </c>
      <c r="AO27" t="n">
        <v>147441448.705</v>
      </c>
      <c r="AP27" t="n">
        <v>149650343.329</v>
      </c>
      <c r="AQ27" t="n">
        <v>148557117.687</v>
      </c>
      <c r="AR27" t="n">
        <v>142994903.464</v>
      </c>
      <c r="AS27" t="n">
        <v>133924695.771</v>
      </c>
      <c r="AT27" t="n">
        <v>135912611.764</v>
      </c>
      <c r="AU27" t="n">
        <v>147472699.947</v>
      </c>
      <c r="AV27" t="n">
        <v>158473718.25</v>
      </c>
      <c r="AW27" t="n">
        <v>159954958.555</v>
      </c>
      <c r="AX27" t="n">
        <v>157433761.451</v>
      </c>
      <c r="AY27" t="n">
        <v>160115630.505</v>
      </c>
      <c r="AZ27" t="n">
        <v>151410044.153</v>
      </c>
      <c r="BA27" t="n">
        <v>148028924.785</v>
      </c>
      <c r="BB27" t="n">
        <v>151793760.666</v>
      </c>
      <c r="BC27" t="n">
        <v>148821122.631</v>
      </c>
      <c r="BD27" t="n">
        <v>152321821.895</v>
      </c>
      <c r="BE27" t="n">
        <v>161005100.22</v>
      </c>
      <c r="BF27" t="n">
        <v>158187643.337</v>
      </c>
      <c r="BG27" t="n">
        <v>160206867.018</v>
      </c>
      <c r="BH27" t="n">
        <v>157028408.881</v>
      </c>
      <c r="BI27" t="n">
        <v>164817883.571</v>
      </c>
      <c r="BJ27" t="n">
        <v>156682960.71</v>
      </c>
      <c r="BK27" t="n">
        <v>156713932.73</v>
      </c>
      <c r="BL27" t="n">
        <v>172456608.053</v>
      </c>
      <c r="BM27" t="n">
        <v>173267084.889</v>
      </c>
      <c r="BN27" t="n">
        <v>169361269.332</v>
      </c>
      <c r="BO27" t="n">
        <v>181544178.451</v>
      </c>
      <c r="BP27" t="n">
        <v>166250289.205</v>
      </c>
      <c r="BQ27" t="n">
        <v>161127949.538</v>
      </c>
      <c r="BR27" t="n">
        <v>156386638.573</v>
      </c>
      <c r="BS27" t="n">
        <v>153819595.991</v>
      </c>
      <c r="BT27" t="n">
        <v>158832801.155</v>
      </c>
    </row>
    <row r="28">
      <c r="A28" t="inlineStr">
        <is>
          <t>MC_new_TE_EEfix</t>
        </is>
      </c>
      <c r="B28" t="inlineStr">
        <is>
          <t>ok</t>
        </is>
      </c>
      <c r="C28" t="n">
        <v>176339015.161</v>
      </c>
      <c r="D28" t="n">
        <v>192270957.316</v>
      </c>
      <c r="E28" t="n">
        <v>206782864.634</v>
      </c>
      <c r="F28" t="n">
        <v>206428198.052</v>
      </c>
      <c r="G28" t="n">
        <v>230514124.142</v>
      </c>
      <c r="H28" t="n">
        <v>247062836.1</v>
      </c>
      <c r="I28" t="n">
        <v>266136048.585</v>
      </c>
      <c r="J28" t="n">
        <v>279991487.069</v>
      </c>
      <c r="K28" t="n">
        <v>295359135.311</v>
      </c>
      <c r="L28" t="n">
        <v>288937277.852</v>
      </c>
      <c r="M28" t="n">
        <v>301019252.598</v>
      </c>
      <c r="N28" t="n">
        <v>293603090.288</v>
      </c>
      <c r="O28" t="n">
        <v>300124947.839</v>
      </c>
      <c r="P28" t="n">
        <v>288088743.776</v>
      </c>
      <c r="Q28" t="n">
        <v>292514536.005</v>
      </c>
      <c r="R28" t="n">
        <v>316499143.499</v>
      </c>
      <c r="S28" t="n">
        <v>321489796.72</v>
      </c>
      <c r="T28" t="n">
        <v>335491078.42</v>
      </c>
      <c r="U28" t="n">
        <v>340000376.452</v>
      </c>
      <c r="V28" t="n">
        <v>353721695.669</v>
      </c>
      <c r="W28" t="n">
        <v>373319867.195</v>
      </c>
      <c r="X28" t="n">
        <v>387645077.669</v>
      </c>
      <c r="Y28" t="n">
        <v>414319580.664</v>
      </c>
      <c r="Z28" t="n">
        <v>456067199.467</v>
      </c>
      <c r="AA28" t="n">
        <v>484268627.256</v>
      </c>
      <c r="AB28" t="n">
        <v>472915720.757</v>
      </c>
      <c r="AC28" t="n">
        <v>468133580.74</v>
      </c>
      <c r="AD28" t="n">
        <v>510026752.703</v>
      </c>
      <c r="AE28" t="n">
        <v>536552145.019</v>
      </c>
      <c r="AF28" t="n">
        <v>537934063.24</v>
      </c>
      <c r="AG28" t="n">
        <v>552617552.2180001</v>
      </c>
      <c r="AH28" t="n">
        <v>590787045.622</v>
      </c>
      <c r="AI28" t="n">
        <v>590945014.765</v>
      </c>
      <c r="AJ28" t="n">
        <v>592959775.4220001</v>
      </c>
      <c r="AK28" t="n">
        <v>642189438.9809999</v>
      </c>
      <c r="AL28" t="n">
        <v>637146461.761</v>
      </c>
      <c r="AM28" t="n">
        <v>696272174.275</v>
      </c>
      <c r="AN28" t="n">
        <v>700760887.857</v>
      </c>
      <c r="AO28" t="n">
        <v>713622644.102</v>
      </c>
      <c r="AP28" t="n">
        <v>750162857.289</v>
      </c>
      <c r="AQ28" t="n">
        <v>749136957.056</v>
      </c>
      <c r="AR28" t="n">
        <v>741708632.168</v>
      </c>
      <c r="AS28" t="n">
        <v>696252530.6440001</v>
      </c>
      <c r="AT28" t="n">
        <v>700627797.391</v>
      </c>
      <c r="AU28" t="n">
        <v>781795452.585</v>
      </c>
      <c r="AV28" t="n">
        <v>857819007.822</v>
      </c>
      <c r="AW28" t="n">
        <v>893401640.029</v>
      </c>
      <c r="AX28" t="n">
        <v>850381947.533</v>
      </c>
      <c r="AY28" t="n">
        <v>874190251.576</v>
      </c>
      <c r="AZ28" t="n">
        <v>830650131.478</v>
      </c>
      <c r="BA28" t="n">
        <v>817544941.526</v>
      </c>
      <c r="BB28" t="n">
        <v>833776044.326</v>
      </c>
      <c r="BC28" t="n">
        <v>827275229.263</v>
      </c>
      <c r="BD28" t="n">
        <v>838965491.388</v>
      </c>
      <c r="BE28" t="n">
        <v>892839130.641</v>
      </c>
      <c r="BF28" t="n">
        <v>873882381.948</v>
      </c>
      <c r="BG28" t="n">
        <v>886031507.614</v>
      </c>
      <c r="BH28" t="n">
        <v>879278476.637</v>
      </c>
      <c r="BI28" t="n">
        <v>907672358.4910001</v>
      </c>
      <c r="BJ28" t="n">
        <v>875668275.4299999</v>
      </c>
      <c r="BK28" t="n">
        <v>870803265.466</v>
      </c>
      <c r="BL28" t="n">
        <v>949946477.619</v>
      </c>
      <c r="BM28" t="n">
        <v>950992838.291</v>
      </c>
      <c r="BN28" t="n">
        <v>922836135.7359999</v>
      </c>
      <c r="BO28" t="n">
        <v>975225397.931</v>
      </c>
      <c r="BP28" t="n">
        <v>892264926.673</v>
      </c>
      <c r="BQ28" t="n">
        <v>854447497.533</v>
      </c>
      <c r="BR28" t="n">
        <v>830579706.88</v>
      </c>
      <c r="BS28" t="n">
        <v>812230061.848</v>
      </c>
      <c r="BT28" t="n">
        <v>823327719.26</v>
      </c>
    </row>
    <row r="30">
      <c r="A30" t="inlineStr">
        <is>
          <t>Catch tonnage on a named group: 282,781,178 of 282,784,028 (100.0 %). Unresolved taxa contribute nothing to the model rows and everything to the simple row, so the two are not directly comparable until coverage is 100 %.</t>
        </is>
      </c>
    </row>
    <row r="31">
      <c r="A31" s="11" t="inlineStr">
        <is>
          <t>1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99.98999999999999</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99.98999999999999</v>
      </c>
      <c r="BP33" t="n">
        <v>99.98999999999999</v>
      </c>
      <c r="BQ33" t="n">
        <v>100</v>
      </c>
      <c r="BR33" t="n">
        <v>100</v>
      </c>
      <c r="BS33" t="n">
        <v>100</v>
      </c>
      <c r="BT33"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83"/>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12" t="n">
        <v>2019</v>
      </c>
      <c r="C4" s="10"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row>
    <row r="7">
      <c r="A7" s="2" t="inlineStr">
        <is>
          <t>ALL TAXA</t>
        </is>
      </c>
      <c r="C7" s="2">
        <f>SUM(C8:C283)</f>
        <v/>
      </c>
      <c r="D7" s="2">
        <f>SUM(D8:D283)</f>
        <v/>
      </c>
      <c r="E7" s="2">
        <f>SUM(E8:E283)</f>
        <v/>
      </c>
      <c r="F7" s="2">
        <f>SUM(F8:F283)</f>
        <v/>
      </c>
      <c r="G7" s="2">
        <f>SUM(G8:G283)</f>
        <v/>
      </c>
      <c r="H7" s="2">
        <f>SUM(H8:H283)</f>
        <v/>
      </c>
      <c r="I7" s="2">
        <f>SUM(I8:I283)</f>
        <v/>
      </c>
      <c r="J7" s="2">
        <f>SUM(J8:J283)</f>
        <v/>
      </c>
      <c r="K7" s="2">
        <f>SUM(K8:K283)</f>
        <v/>
      </c>
      <c r="L7" s="2">
        <f>SUM(L8:L283)</f>
        <v/>
      </c>
      <c r="M7" s="2">
        <f>SUM(M8:M283)</f>
        <v/>
      </c>
      <c r="N7" s="2">
        <f>SUM(N8:N283)</f>
        <v/>
      </c>
      <c r="O7" s="2">
        <f>SUM(O8:O283)</f>
        <v/>
      </c>
      <c r="P7" s="2">
        <f>SUM(P8:P283)</f>
        <v/>
      </c>
      <c r="Q7" s="2">
        <f>SUM(Q8:Q283)</f>
        <v/>
      </c>
      <c r="R7" s="2">
        <f>SUM(R8:R283)</f>
        <v/>
      </c>
      <c r="S7" s="2">
        <f>SUM(S8:S283)</f>
        <v/>
      </c>
      <c r="T7" s="2">
        <f>SUM(T8:T283)</f>
        <v/>
      </c>
      <c r="U7" s="2">
        <f>SUM(U8:U283)</f>
        <v/>
      </c>
      <c r="V7" s="2">
        <f>SUM(V8:V283)</f>
        <v/>
      </c>
      <c r="W7" s="2">
        <f>SUM(W8:W283)</f>
        <v/>
      </c>
    </row>
    <row r="8">
      <c r="A8" t="inlineStr">
        <is>
          <t>Marine fishes not identified</t>
        </is>
      </c>
      <c r="B8">
        <f>IFERROR(INDEX(SPPR!$D:$D,MATCH($A8,SPPR!$A:$A,0)),"")</f>
        <v/>
      </c>
      <c r="C8">
        <f>IFERROR(INDEX(Catch!$E:$BV,MATCH($A8,Catch!$A:$A,0),MATCH($B$4,Catch!$E$1:$BV$1,0)),0)</f>
        <v/>
      </c>
      <c r="D8">
        <f>IFERROR($C8*INDEX(SPPR!$E:$X,MATCH($A8,SPPR!$A:$A,0),1),"")</f>
        <v/>
      </c>
      <c r="E8">
        <f>IFERROR($C8*INDEX(SPPR!$E:$X,MATCH($A8,SPPR!$A:$A,0),2),"")</f>
        <v/>
      </c>
      <c r="F8">
        <f>IFERROR($C8*INDEX(SPPR!$E:$X,MATCH($A8,SPPR!$A:$A,0),3),"")</f>
        <v/>
      </c>
      <c r="G8">
        <f>IFERROR($C8*INDEX(SPPR!$E:$X,MATCH($A8,SPPR!$A:$A,0),4),"")</f>
        <v/>
      </c>
      <c r="H8">
        <f>IFERROR($C8*INDEX(SPPR!$E:$X,MATCH($A8,SPPR!$A:$A,0),5),"")</f>
        <v/>
      </c>
      <c r="I8">
        <f>IFERROR($C8*INDEX(SPPR!$E:$X,MATCH($A8,SPPR!$A:$A,0),6),"")</f>
        <v/>
      </c>
      <c r="J8">
        <f>IFERROR($C8*INDEX(SPPR!$E:$X,MATCH($A8,SPPR!$A:$A,0),7),"")</f>
        <v/>
      </c>
      <c r="K8">
        <f>IFERROR($C8*INDEX(SPPR!$E:$X,MATCH($A8,SPPR!$A:$A,0),8),"")</f>
        <v/>
      </c>
      <c r="L8">
        <f>IFERROR($C8*INDEX(SPPR!$E:$X,MATCH($A8,SPPR!$A:$A,0),9),"")</f>
        <v/>
      </c>
      <c r="M8">
        <f>IFERROR($C8*INDEX(SPPR!$E:$X,MATCH($A8,SPPR!$A:$A,0),10),"")</f>
        <v/>
      </c>
      <c r="N8">
        <f>IFERROR($C8*INDEX(SPPR!$E:$X,MATCH($A8,SPPR!$A:$A,0),11),"")</f>
        <v/>
      </c>
      <c r="O8">
        <f>IFERROR($C8*INDEX(SPPR!$E:$X,MATCH($A8,SPPR!$A:$A,0),12),"")</f>
        <v/>
      </c>
      <c r="P8">
        <f>IFERROR($C8*INDEX(SPPR!$E:$X,MATCH($A8,SPPR!$A:$A,0),13),"")</f>
        <v/>
      </c>
      <c r="Q8">
        <f>IFERROR($C8*INDEX(SPPR!$E:$X,MATCH($A8,SPPR!$A:$A,0),14),"")</f>
        <v/>
      </c>
      <c r="R8">
        <f>IFERROR($C8*INDEX(SPPR!$E:$X,MATCH($A8,SPPR!$A:$A,0),15),"")</f>
        <v/>
      </c>
      <c r="S8">
        <f>IFERROR($C8*INDEX(SPPR!$E:$X,MATCH($A8,SPPR!$A:$A,0),16),"")</f>
        <v/>
      </c>
      <c r="T8">
        <f>IFERROR($C8*INDEX(SPPR!$E:$X,MATCH($A8,SPPR!$A:$A,0),17),"")</f>
        <v/>
      </c>
      <c r="U8">
        <f>IFERROR($C8*INDEX(SPPR!$E:$X,MATCH($A8,SPPR!$A:$A,0),18),"")</f>
        <v/>
      </c>
      <c r="V8">
        <f>IFERROR($C8*INDEX(SPPR!$E:$X,MATCH($A8,SPPR!$A:$A,0),19),"")</f>
        <v/>
      </c>
      <c r="W8">
        <f>IFERROR($C8*INDEX(SPPR!$E:$X,MATCH($A8,SPPR!$A:$A,0),20),"")</f>
        <v/>
      </c>
    </row>
    <row r="9">
      <c r="A9" t="inlineStr">
        <is>
          <t>Sardinops sagax</t>
        </is>
      </c>
      <c r="B9">
        <f>IFERROR(INDEX(SPPR!$D:$D,MATCH($A9,SPPR!$A:$A,0)),"")</f>
        <v/>
      </c>
      <c r="C9">
        <f>IFERROR(INDEX(Catch!$E:$BV,MATCH($A9,Catch!$A:$A,0),MATCH($B$4,Catch!$E$1:$BV$1,0)),0)</f>
        <v/>
      </c>
      <c r="D9">
        <f>IFERROR($C9*INDEX(SPPR!$E:$X,MATCH($A9,SPPR!$A:$A,0),1),"")</f>
        <v/>
      </c>
      <c r="E9">
        <f>IFERROR($C9*INDEX(SPPR!$E:$X,MATCH($A9,SPPR!$A:$A,0),2),"")</f>
        <v/>
      </c>
      <c r="F9">
        <f>IFERROR($C9*INDEX(SPPR!$E:$X,MATCH($A9,SPPR!$A:$A,0),3),"")</f>
        <v/>
      </c>
      <c r="G9">
        <f>IFERROR($C9*INDEX(SPPR!$E:$X,MATCH($A9,SPPR!$A:$A,0),4),"")</f>
        <v/>
      </c>
      <c r="H9">
        <f>IFERROR($C9*INDEX(SPPR!$E:$X,MATCH($A9,SPPR!$A:$A,0),5),"")</f>
        <v/>
      </c>
      <c r="I9">
        <f>IFERROR($C9*INDEX(SPPR!$E:$X,MATCH($A9,SPPR!$A:$A,0),6),"")</f>
        <v/>
      </c>
      <c r="J9">
        <f>IFERROR($C9*INDEX(SPPR!$E:$X,MATCH($A9,SPPR!$A:$A,0),7),"")</f>
        <v/>
      </c>
      <c r="K9">
        <f>IFERROR($C9*INDEX(SPPR!$E:$X,MATCH($A9,SPPR!$A:$A,0),8),"")</f>
        <v/>
      </c>
      <c r="L9">
        <f>IFERROR($C9*INDEX(SPPR!$E:$X,MATCH($A9,SPPR!$A:$A,0),9),"")</f>
        <v/>
      </c>
      <c r="M9">
        <f>IFERROR($C9*INDEX(SPPR!$E:$X,MATCH($A9,SPPR!$A:$A,0),10),"")</f>
        <v/>
      </c>
      <c r="N9">
        <f>IFERROR($C9*INDEX(SPPR!$E:$X,MATCH($A9,SPPR!$A:$A,0),11),"")</f>
        <v/>
      </c>
      <c r="O9">
        <f>IFERROR($C9*INDEX(SPPR!$E:$X,MATCH($A9,SPPR!$A:$A,0),12),"")</f>
        <v/>
      </c>
      <c r="P9">
        <f>IFERROR($C9*INDEX(SPPR!$E:$X,MATCH($A9,SPPR!$A:$A,0),13),"")</f>
        <v/>
      </c>
      <c r="Q9">
        <f>IFERROR($C9*INDEX(SPPR!$E:$X,MATCH($A9,SPPR!$A:$A,0),14),"")</f>
        <v/>
      </c>
      <c r="R9">
        <f>IFERROR($C9*INDEX(SPPR!$E:$X,MATCH($A9,SPPR!$A:$A,0),15),"")</f>
        <v/>
      </c>
      <c r="S9">
        <f>IFERROR($C9*INDEX(SPPR!$E:$X,MATCH($A9,SPPR!$A:$A,0),16),"")</f>
        <v/>
      </c>
      <c r="T9">
        <f>IFERROR($C9*INDEX(SPPR!$E:$X,MATCH($A9,SPPR!$A:$A,0),17),"")</f>
        <v/>
      </c>
      <c r="U9">
        <f>IFERROR($C9*INDEX(SPPR!$E:$X,MATCH($A9,SPPR!$A:$A,0),18),"")</f>
        <v/>
      </c>
      <c r="V9">
        <f>IFERROR($C9*INDEX(SPPR!$E:$X,MATCH($A9,SPPR!$A:$A,0),19),"")</f>
        <v/>
      </c>
      <c r="W9">
        <f>IFERROR($C9*INDEX(SPPR!$E:$X,MATCH($A9,SPPR!$A:$A,0),20),"")</f>
        <v/>
      </c>
    </row>
    <row r="10">
      <c r="A10" t="inlineStr">
        <is>
          <t>Trichiurus lepturus</t>
        </is>
      </c>
      <c r="B10">
        <f>IFERROR(INDEX(SPPR!$D:$D,MATCH($A10,SPPR!$A:$A,0)),"")</f>
        <v/>
      </c>
      <c r="C10">
        <f>IFERROR(INDEX(Catch!$E:$BV,MATCH($A10,Catch!$A:$A,0),MATCH($B$4,Catch!$E$1:$BV$1,0)),0)</f>
        <v/>
      </c>
      <c r="D10">
        <f>IFERROR($C10*INDEX(SPPR!$E:$X,MATCH($A10,SPPR!$A:$A,0),1),"")</f>
        <v/>
      </c>
      <c r="E10">
        <f>IFERROR($C10*INDEX(SPPR!$E:$X,MATCH($A10,SPPR!$A:$A,0),2),"")</f>
        <v/>
      </c>
      <c r="F10">
        <f>IFERROR($C10*INDEX(SPPR!$E:$X,MATCH($A10,SPPR!$A:$A,0),3),"")</f>
        <v/>
      </c>
      <c r="G10">
        <f>IFERROR($C10*INDEX(SPPR!$E:$X,MATCH($A10,SPPR!$A:$A,0),4),"")</f>
        <v/>
      </c>
      <c r="H10">
        <f>IFERROR($C10*INDEX(SPPR!$E:$X,MATCH($A10,SPPR!$A:$A,0),5),"")</f>
        <v/>
      </c>
      <c r="I10">
        <f>IFERROR($C10*INDEX(SPPR!$E:$X,MATCH($A10,SPPR!$A:$A,0),6),"")</f>
        <v/>
      </c>
      <c r="J10">
        <f>IFERROR($C10*INDEX(SPPR!$E:$X,MATCH($A10,SPPR!$A:$A,0),7),"")</f>
        <v/>
      </c>
      <c r="K10">
        <f>IFERROR($C10*INDEX(SPPR!$E:$X,MATCH($A10,SPPR!$A:$A,0),8),"")</f>
        <v/>
      </c>
      <c r="L10">
        <f>IFERROR($C10*INDEX(SPPR!$E:$X,MATCH($A10,SPPR!$A:$A,0),9),"")</f>
        <v/>
      </c>
      <c r="M10">
        <f>IFERROR($C10*INDEX(SPPR!$E:$X,MATCH($A10,SPPR!$A:$A,0),10),"")</f>
        <v/>
      </c>
      <c r="N10">
        <f>IFERROR($C10*INDEX(SPPR!$E:$X,MATCH($A10,SPPR!$A:$A,0),11),"")</f>
        <v/>
      </c>
      <c r="O10">
        <f>IFERROR($C10*INDEX(SPPR!$E:$X,MATCH($A10,SPPR!$A:$A,0),12),"")</f>
        <v/>
      </c>
      <c r="P10">
        <f>IFERROR($C10*INDEX(SPPR!$E:$X,MATCH($A10,SPPR!$A:$A,0),13),"")</f>
        <v/>
      </c>
      <c r="Q10">
        <f>IFERROR($C10*INDEX(SPPR!$E:$X,MATCH($A10,SPPR!$A:$A,0),14),"")</f>
        <v/>
      </c>
      <c r="R10">
        <f>IFERROR($C10*INDEX(SPPR!$E:$X,MATCH($A10,SPPR!$A:$A,0),15),"")</f>
        <v/>
      </c>
      <c r="S10">
        <f>IFERROR($C10*INDEX(SPPR!$E:$X,MATCH($A10,SPPR!$A:$A,0),16),"")</f>
        <v/>
      </c>
      <c r="T10">
        <f>IFERROR($C10*INDEX(SPPR!$E:$X,MATCH($A10,SPPR!$A:$A,0),17),"")</f>
        <v/>
      </c>
      <c r="U10">
        <f>IFERROR($C10*INDEX(SPPR!$E:$X,MATCH($A10,SPPR!$A:$A,0),18),"")</f>
        <v/>
      </c>
      <c r="V10">
        <f>IFERROR($C10*INDEX(SPPR!$E:$X,MATCH($A10,SPPR!$A:$A,0),19),"")</f>
        <v/>
      </c>
      <c r="W10">
        <f>IFERROR($C10*INDEX(SPPR!$E:$X,MATCH($A10,SPPR!$A:$A,0),20),"")</f>
        <v/>
      </c>
    </row>
    <row r="11">
      <c r="A11" t="inlineStr">
        <is>
          <t>Engraulis japonicus</t>
        </is>
      </c>
      <c r="B11">
        <f>IFERROR(INDEX(SPPR!$D:$D,MATCH($A11,SPPR!$A:$A,0)),"")</f>
        <v/>
      </c>
      <c r="C11">
        <f>IFERROR(INDEX(Catch!$E:$BV,MATCH($A11,Catch!$A:$A,0),MATCH($B$4,Catch!$E$1:$BV$1,0)),0)</f>
        <v/>
      </c>
      <c r="D11">
        <f>IFERROR($C11*INDEX(SPPR!$E:$X,MATCH($A11,SPPR!$A:$A,0),1),"")</f>
        <v/>
      </c>
      <c r="E11">
        <f>IFERROR($C11*INDEX(SPPR!$E:$X,MATCH($A11,SPPR!$A:$A,0),2),"")</f>
        <v/>
      </c>
      <c r="F11">
        <f>IFERROR($C11*INDEX(SPPR!$E:$X,MATCH($A11,SPPR!$A:$A,0),3),"")</f>
        <v/>
      </c>
      <c r="G11">
        <f>IFERROR($C11*INDEX(SPPR!$E:$X,MATCH($A11,SPPR!$A:$A,0),4),"")</f>
        <v/>
      </c>
      <c r="H11">
        <f>IFERROR($C11*INDEX(SPPR!$E:$X,MATCH($A11,SPPR!$A:$A,0),5),"")</f>
        <v/>
      </c>
      <c r="I11">
        <f>IFERROR($C11*INDEX(SPPR!$E:$X,MATCH($A11,SPPR!$A:$A,0),6),"")</f>
        <v/>
      </c>
      <c r="J11">
        <f>IFERROR($C11*INDEX(SPPR!$E:$X,MATCH($A11,SPPR!$A:$A,0),7),"")</f>
        <v/>
      </c>
      <c r="K11">
        <f>IFERROR($C11*INDEX(SPPR!$E:$X,MATCH($A11,SPPR!$A:$A,0),8),"")</f>
        <v/>
      </c>
      <c r="L11">
        <f>IFERROR($C11*INDEX(SPPR!$E:$X,MATCH($A11,SPPR!$A:$A,0),9),"")</f>
        <v/>
      </c>
      <c r="M11">
        <f>IFERROR($C11*INDEX(SPPR!$E:$X,MATCH($A11,SPPR!$A:$A,0),10),"")</f>
        <v/>
      </c>
      <c r="N11">
        <f>IFERROR($C11*INDEX(SPPR!$E:$X,MATCH($A11,SPPR!$A:$A,0),11),"")</f>
        <v/>
      </c>
      <c r="O11">
        <f>IFERROR($C11*INDEX(SPPR!$E:$X,MATCH($A11,SPPR!$A:$A,0),12),"")</f>
        <v/>
      </c>
      <c r="P11">
        <f>IFERROR($C11*INDEX(SPPR!$E:$X,MATCH($A11,SPPR!$A:$A,0),13),"")</f>
        <v/>
      </c>
      <c r="Q11">
        <f>IFERROR($C11*INDEX(SPPR!$E:$X,MATCH($A11,SPPR!$A:$A,0),14),"")</f>
        <v/>
      </c>
      <c r="R11">
        <f>IFERROR($C11*INDEX(SPPR!$E:$X,MATCH($A11,SPPR!$A:$A,0),15),"")</f>
        <v/>
      </c>
      <c r="S11">
        <f>IFERROR($C11*INDEX(SPPR!$E:$X,MATCH($A11,SPPR!$A:$A,0),16),"")</f>
        <v/>
      </c>
      <c r="T11">
        <f>IFERROR($C11*INDEX(SPPR!$E:$X,MATCH($A11,SPPR!$A:$A,0),17),"")</f>
        <v/>
      </c>
      <c r="U11">
        <f>IFERROR($C11*INDEX(SPPR!$E:$X,MATCH($A11,SPPR!$A:$A,0),18),"")</f>
        <v/>
      </c>
      <c r="V11">
        <f>IFERROR($C11*INDEX(SPPR!$E:$X,MATCH($A11,SPPR!$A:$A,0),19),"")</f>
        <v/>
      </c>
      <c r="W11">
        <f>IFERROR($C11*INDEX(SPPR!$E:$X,MATCH($A11,SPPR!$A:$A,0),20),"")</f>
        <v/>
      </c>
    </row>
    <row r="12">
      <c r="A12" t="inlineStr">
        <is>
          <t>Scomber japonicus</t>
        </is>
      </c>
      <c r="B12">
        <f>IFERROR(INDEX(SPPR!$D:$D,MATCH($A12,SPPR!$A:$A,0)),"")</f>
        <v/>
      </c>
      <c r="C12">
        <f>IFERROR(INDEX(Catch!$E:$BV,MATCH($A12,Catch!$A:$A,0),MATCH($B$4,Catch!$E$1:$BV$1,0)),0)</f>
        <v/>
      </c>
      <c r="D12">
        <f>IFERROR($C12*INDEX(SPPR!$E:$X,MATCH($A12,SPPR!$A:$A,0),1),"")</f>
        <v/>
      </c>
      <c r="E12">
        <f>IFERROR($C12*INDEX(SPPR!$E:$X,MATCH($A12,SPPR!$A:$A,0),2),"")</f>
        <v/>
      </c>
      <c r="F12">
        <f>IFERROR($C12*INDEX(SPPR!$E:$X,MATCH($A12,SPPR!$A:$A,0),3),"")</f>
        <v/>
      </c>
      <c r="G12">
        <f>IFERROR($C12*INDEX(SPPR!$E:$X,MATCH($A12,SPPR!$A:$A,0),4),"")</f>
        <v/>
      </c>
      <c r="H12">
        <f>IFERROR($C12*INDEX(SPPR!$E:$X,MATCH($A12,SPPR!$A:$A,0),5),"")</f>
        <v/>
      </c>
      <c r="I12">
        <f>IFERROR($C12*INDEX(SPPR!$E:$X,MATCH($A12,SPPR!$A:$A,0),6),"")</f>
        <v/>
      </c>
      <c r="J12">
        <f>IFERROR($C12*INDEX(SPPR!$E:$X,MATCH($A12,SPPR!$A:$A,0),7),"")</f>
        <v/>
      </c>
      <c r="K12">
        <f>IFERROR($C12*INDEX(SPPR!$E:$X,MATCH($A12,SPPR!$A:$A,0),8),"")</f>
        <v/>
      </c>
      <c r="L12">
        <f>IFERROR($C12*INDEX(SPPR!$E:$X,MATCH($A12,SPPR!$A:$A,0),9),"")</f>
        <v/>
      </c>
      <c r="M12">
        <f>IFERROR($C12*INDEX(SPPR!$E:$X,MATCH($A12,SPPR!$A:$A,0),10),"")</f>
        <v/>
      </c>
      <c r="N12">
        <f>IFERROR($C12*INDEX(SPPR!$E:$X,MATCH($A12,SPPR!$A:$A,0),11),"")</f>
        <v/>
      </c>
      <c r="O12">
        <f>IFERROR($C12*INDEX(SPPR!$E:$X,MATCH($A12,SPPR!$A:$A,0),12),"")</f>
        <v/>
      </c>
      <c r="P12">
        <f>IFERROR($C12*INDEX(SPPR!$E:$X,MATCH($A12,SPPR!$A:$A,0),13),"")</f>
        <v/>
      </c>
      <c r="Q12">
        <f>IFERROR($C12*INDEX(SPPR!$E:$X,MATCH($A12,SPPR!$A:$A,0),14),"")</f>
        <v/>
      </c>
      <c r="R12">
        <f>IFERROR($C12*INDEX(SPPR!$E:$X,MATCH($A12,SPPR!$A:$A,0),15),"")</f>
        <v/>
      </c>
      <c r="S12">
        <f>IFERROR($C12*INDEX(SPPR!$E:$X,MATCH($A12,SPPR!$A:$A,0),16),"")</f>
        <v/>
      </c>
      <c r="T12">
        <f>IFERROR($C12*INDEX(SPPR!$E:$X,MATCH($A12,SPPR!$A:$A,0),17),"")</f>
        <v/>
      </c>
      <c r="U12">
        <f>IFERROR($C12*INDEX(SPPR!$E:$X,MATCH($A12,SPPR!$A:$A,0),18),"")</f>
        <v/>
      </c>
      <c r="V12">
        <f>IFERROR($C12*INDEX(SPPR!$E:$X,MATCH($A12,SPPR!$A:$A,0),19),"")</f>
        <v/>
      </c>
      <c r="W12">
        <f>IFERROR($C12*INDEX(SPPR!$E:$X,MATCH($A12,SPPR!$A:$A,0),20),"")</f>
        <v/>
      </c>
    </row>
    <row r="13">
      <c r="A13" t="inlineStr">
        <is>
          <t>Scomber</t>
        </is>
      </c>
      <c r="B13">
        <f>IFERROR(INDEX(SPPR!$D:$D,MATCH($A13,SPPR!$A:$A,0)),"")</f>
        <v/>
      </c>
      <c r="C13">
        <f>IFERROR(INDEX(Catch!$E:$BV,MATCH($A13,Catch!$A:$A,0),MATCH($B$4,Catch!$E$1:$BV$1,0)),0)</f>
        <v/>
      </c>
      <c r="D13">
        <f>IFERROR($C13*INDEX(SPPR!$E:$X,MATCH($A13,SPPR!$A:$A,0),1),"")</f>
        <v/>
      </c>
      <c r="E13">
        <f>IFERROR($C13*INDEX(SPPR!$E:$X,MATCH($A13,SPPR!$A:$A,0),2),"")</f>
        <v/>
      </c>
      <c r="F13">
        <f>IFERROR($C13*INDEX(SPPR!$E:$X,MATCH($A13,SPPR!$A:$A,0),3),"")</f>
        <v/>
      </c>
      <c r="G13">
        <f>IFERROR($C13*INDEX(SPPR!$E:$X,MATCH($A13,SPPR!$A:$A,0),4),"")</f>
        <v/>
      </c>
      <c r="H13">
        <f>IFERROR($C13*INDEX(SPPR!$E:$X,MATCH($A13,SPPR!$A:$A,0),5),"")</f>
        <v/>
      </c>
      <c r="I13">
        <f>IFERROR($C13*INDEX(SPPR!$E:$X,MATCH($A13,SPPR!$A:$A,0),6),"")</f>
        <v/>
      </c>
      <c r="J13">
        <f>IFERROR($C13*INDEX(SPPR!$E:$X,MATCH($A13,SPPR!$A:$A,0),7),"")</f>
        <v/>
      </c>
      <c r="K13">
        <f>IFERROR($C13*INDEX(SPPR!$E:$X,MATCH($A13,SPPR!$A:$A,0),8),"")</f>
        <v/>
      </c>
      <c r="L13">
        <f>IFERROR($C13*INDEX(SPPR!$E:$X,MATCH($A13,SPPR!$A:$A,0),9),"")</f>
        <v/>
      </c>
      <c r="M13">
        <f>IFERROR($C13*INDEX(SPPR!$E:$X,MATCH($A13,SPPR!$A:$A,0),10),"")</f>
        <v/>
      </c>
      <c r="N13">
        <f>IFERROR($C13*INDEX(SPPR!$E:$X,MATCH($A13,SPPR!$A:$A,0),11),"")</f>
        <v/>
      </c>
      <c r="O13">
        <f>IFERROR($C13*INDEX(SPPR!$E:$X,MATCH($A13,SPPR!$A:$A,0),12),"")</f>
        <v/>
      </c>
      <c r="P13">
        <f>IFERROR($C13*INDEX(SPPR!$E:$X,MATCH($A13,SPPR!$A:$A,0),13),"")</f>
        <v/>
      </c>
      <c r="Q13">
        <f>IFERROR($C13*INDEX(SPPR!$E:$X,MATCH($A13,SPPR!$A:$A,0),14),"")</f>
        <v/>
      </c>
      <c r="R13">
        <f>IFERROR($C13*INDEX(SPPR!$E:$X,MATCH($A13,SPPR!$A:$A,0),15),"")</f>
        <v/>
      </c>
      <c r="S13">
        <f>IFERROR($C13*INDEX(SPPR!$E:$X,MATCH($A13,SPPR!$A:$A,0),16),"")</f>
        <v/>
      </c>
      <c r="T13">
        <f>IFERROR($C13*INDEX(SPPR!$E:$X,MATCH($A13,SPPR!$A:$A,0),17),"")</f>
        <v/>
      </c>
      <c r="U13">
        <f>IFERROR($C13*INDEX(SPPR!$E:$X,MATCH($A13,SPPR!$A:$A,0),18),"")</f>
        <v/>
      </c>
      <c r="V13">
        <f>IFERROR($C13*INDEX(SPPR!$E:$X,MATCH($A13,SPPR!$A:$A,0),19),"")</f>
        <v/>
      </c>
      <c r="W13">
        <f>IFERROR($C13*INDEX(SPPR!$E:$X,MATCH($A13,SPPR!$A:$A,0),20),"")</f>
        <v/>
      </c>
    </row>
    <row r="14">
      <c r="A14" t="inlineStr">
        <is>
          <t>Cololabis saira</t>
        </is>
      </c>
      <c r="B14">
        <f>IFERROR(INDEX(SPPR!$D:$D,MATCH($A14,SPPR!$A:$A,0)),"")</f>
        <v/>
      </c>
      <c r="C14">
        <f>IFERROR(INDEX(Catch!$E:$BV,MATCH($A14,Catch!$A:$A,0),MATCH($B$4,Catch!$E$1:$BV$1,0)),0)</f>
        <v/>
      </c>
      <c r="D14">
        <f>IFERROR($C14*INDEX(SPPR!$E:$X,MATCH($A14,SPPR!$A:$A,0),1),"")</f>
        <v/>
      </c>
      <c r="E14">
        <f>IFERROR($C14*INDEX(SPPR!$E:$X,MATCH($A14,SPPR!$A:$A,0),2),"")</f>
        <v/>
      </c>
      <c r="F14">
        <f>IFERROR($C14*INDEX(SPPR!$E:$X,MATCH($A14,SPPR!$A:$A,0),3),"")</f>
        <v/>
      </c>
      <c r="G14">
        <f>IFERROR($C14*INDEX(SPPR!$E:$X,MATCH($A14,SPPR!$A:$A,0),4),"")</f>
        <v/>
      </c>
      <c r="H14">
        <f>IFERROR($C14*INDEX(SPPR!$E:$X,MATCH($A14,SPPR!$A:$A,0),5),"")</f>
        <v/>
      </c>
      <c r="I14">
        <f>IFERROR($C14*INDEX(SPPR!$E:$X,MATCH($A14,SPPR!$A:$A,0),6),"")</f>
        <v/>
      </c>
      <c r="J14">
        <f>IFERROR($C14*INDEX(SPPR!$E:$X,MATCH($A14,SPPR!$A:$A,0),7),"")</f>
        <v/>
      </c>
      <c r="K14">
        <f>IFERROR($C14*INDEX(SPPR!$E:$X,MATCH($A14,SPPR!$A:$A,0),8),"")</f>
        <v/>
      </c>
      <c r="L14">
        <f>IFERROR($C14*INDEX(SPPR!$E:$X,MATCH($A14,SPPR!$A:$A,0),9),"")</f>
        <v/>
      </c>
      <c r="M14">
        <f>IFERROR($C14*INDEX(SPPR!$E:$X,MATCH($A14,SPPR!$A:$A,0),10),"")</f>
        <v/>
      </c>
      <c r="N14">
        <f>IFERROR($C14*INDEX(SPPR!$E:$X,MATCH($A14,SPPR!$A:$A,0),11),"")</f>
        <v/>
      </c>
      <c r="O14">
        <f>IFERROR($C14*INDEX(SPPR!$E:$X,MATCH($A14,SPPR!$A:$A,0),12),"")</f>
        <v/>
      </c>
      <c r="P14">
        <f>IFERROR($C14*INDEX(SPPR!$E:$X,MATCH($A14,SPPR!$A:$A,0),13),"")</f>
        <v/>
      </c>
      <c r="Q14">
        <f>IFERROR($C14*INDEX(SPPR!$E:$X,MATCH($A14,SPPR!$A:$A,0),14),"")</f>
        <v/>
      </c>
      <c r="R14">
        <f>IFERROR($C14*INDEX(SPPR!$E:$X,MATCH($A14,SPPR!$A:$A,0),15),"")</f>
        <v/>
      </c>
      <c r="S14">
        <f>IFERROR($C14*INDEX(SPPR!$E:$X,MATCH($A14,SPPR!$A:$A,0),16),"")</f>
        <v/>
      </c>
      <c r="T14">
        <f>IFERROR($C14*INDEX(SPPR!$E:$X,MATCH($A14,SPPR!$A:$A,0),17),"")</f>
        <v/>
      </c>
      <c r="U14">
        <f>IFERROR($C14*INDEX(SPPR!$E:$X,MATCH($A14,SPPR!$A:$A,0),18),"")</f>
        <v/>
      </c>
      <c r="V14">
        <f>IFERROR($C14*INDEX(SPPR!$E:$X,MATCH($A14,SPPR!$A:$A,0),19),"")</f>
        <v/>
      </c>
      <c r="W14">
        <f>IFERROR($C14*INDEX(SPPR!$E:$X,MATCH($A14,SPPR!$A:$A,0),20),"")</f>
        <v/>
      </c>
    </row>
    <row r="15">
      <c r="A15" t="inlineStr">
        <is>
          <t>Mollusca</t>
        </is>
      </c>
      <c r="B15">
        <f>IFERROR(INDEX(SPPR!$D:$D,MATCH($A15,SPPR!$A:$A,0)),"")</f>
        <v/>
      </c>
      <c r="C15">
        <f>IFERROR(INDEX(Catch!$E:$BV,MATCH($A15,Catch!$A:$A,0),MATCH($B$4,Catch!$E$1:$BV$1,0)),0)</f>
        <v/>
      </c>
      <c r="D15">
        <f>IFERROR($C15*INDEX(SPPR!$E:$X,MATCH($A15,SPPR!$A:$A,0),1),"")</f>
        <v/>
      </c>
      <c r="E15">
        <f>IFERROR($C15*INDEX(SPPR!$E:$X,MATCH($A15,SPPR!$A:$A,0),2),"")</f>
        <v/>
      </c>
      <c r="F15">
        <f>IFERROR($C15*INDEX(SPPR!$E:$X,MATCH($A15,SPPR!$A:$A,0),3),"")</f>
        <v/>
      </c>
      <c r="G15">
        <f>IFERROR($C15*INDEX(SPPR!$E:$X,MATCH($A15,SPPR!$A:$A,0),4),"")</f>
        <v/>
      </c>
      <c r="H15">
        <f>IFERROR($C15*INDEX(SPPR!$E:$X,MATCH($A15,SPPR!$A:$A,0),5),"")</f>
        <v/>
      </c>
      <c r="I15">
        <f>IFERROR($C15*INDEX(SPPR!$E:$X,MATCH($A15,SPPR!$A:$A,0),6),"")</f>
        <v/>
      </c>
      <c r="J15">
        <f>IFERROR($C15*INDEX(SPPR!$E:$X,MATCH($A15,SPPR!$A:$A,0),7),"")</f>
        <v/>
      </c>
      <c r="K15">
        <f>IFERROR($C15*INDEX(SPPR!$E:$X,MATCH($A15,SPPR!$A:$A,0),8),"")</f>
        <v/>
      </c>
      <c r="L15">
        <f>IFERROR($C15*INDEX(SPPR!$E:$X,MATCH($A15,SPPR!$A:$A,0),9),"")</f>
        <v/>
      </c>
      <c r="M15">
        <f>IFERROR($C15*INDEX(SPPR!$E:$X,MATCH($A15,SPPR!$A:$A,0),10),"")</f>
        <v/>
      </c>
      <c r="N15">
        <f>IFERROR($C15*INDEX(SPPR!$E:$X,MATCH($A15,SPPR!$A:$A,0),11),"")</f>
        <v/>
      </c>
      <c r="O15">
        <f>IFERROR($C15*INDEX(SPPR!$E:$X,MATCH($A15,SPPR!$A:$A,0),12),"")</f>
        <v/>
      </c>
      <c r="P15">
        <f>IFERROR($C15*INDEX(SPPR!$E:$X,MATCH($A15,SPPR!$A:$A,0),13),"")</f>
        <v/>
      </c>
      <c r="Q15">
        <f>IFERROR($C15*INDEX(SPPR!$E:$X,MATCH($A15,SPPR!$A:$A,0),14),"")</f>
        <v/>
      </c>
      <c r="R15">
        <f>IFERROR($C15*INDEX(SPPR!$E:$X,MATCH($A15,SPPR!$A:$A,0),15),"")</f>
        <v/>
      </c>
      <c r="S15">
        <f>IFERROR($C15*INDEX(SPPR!$E:$X,MATCH($A15,SPPR!$A:$A,0),16),"")</f>
        <v/>
      </c>
      <c r="T15">
        <f>IFERROR($C15*INDEX(SPPR!$E:$X,MATCH($A15,SPPR!$A:$A,0),17),"")</f>
        <v/>
      </c>
      <c r="U15">
        <f>IFERROR($C15*INDEX(SPPR!$E:$X,MATCH($A15,SPPR!$A:$A,0),18),"")</f>
        <v/>
      </c>
      <c r="V15">
        <f>IFERROR($C15*INDEX(SPPR!$E:$X,MATCH($A15,SPPR!$A:$A,0),19),"")</f>
        <v/>
      </c>
      <c r="W15">
        <f>IFERROR($C15*INDEX(SPPR!$E:$X,MATCH($A15,SPPR!$A:$A,0),20),"")</f>
        <v/>
      </c>
    </row>
    <row r="16">
      <c r="A16" t="inlineStr">
        <is>
          <t>Miscellaneous marine crustaceans</t>
        </is>
      </c>
      <c r="B16">
        <f>IFERROR(INDEX(SPPR!$D:$D,MATCH($A16,SPPR!$A:$A,0)),"")</f>
        <v/>
      </c>
      <c r="C16">
        <f>IFERROR(INDEX(Catch!$E:$BV,MATCH($A16,Catch!$A:$A,0),MATCH($B$4,Catch!$E$1:$BV$1,0)),0)</f>
        <v/>
      </c>
      <c r="D16">
        <f>IFERROR($C16*INDEX(SPPR!$E:$X,MATCH($A16,SPPR!$A:$A,0),1),"")</f>
        <v/>
      </c>
      <c r="E16">
        <f>IFERROR($C16*INDEX(SPPR!$E:$X,MATCH($A16,SPPR!$A:$A,0),2),"")</f>
        <v/>
      </c>
      <c r="F16">
        <f>IFERROR($C16*INDEX(SPPR!$E:$X,MATCH($A16,SPPR!$A:$A,0),3),"")</f>
        <v/>
      </c>
      <c r="G16">
        <f>IFERROR($C16*INDEX(SPPR!$E:$X,MATCH($A16,SPPR!$A:$A,0),4),"")</f>
        <v/>
      </c>
      <c r="H16">
        <f>IFERROR($C16*INDEX(SPPR!$E:$X,MATCH($A16,SPPR!$A:$A,0),5),"")</f>
        <v/>
      </c>
      <c r="I16">
        <f>IFERROR($C16*INDEX(SPPR!$E:$X,MATCH($A16,SPPR!$A:$A,0),6),"")</f>
        <v/>
      </c>
      <c r="J16">
        <f>IFERROR($C16*INDEX(SPPR!$E:$X,MATCH($A16,SPPR!$A:$A,0),7),"")</f>
        <v/>
      </c>
      <c r="K16">
        <f>IFERROR($C16*INDEX(SPPR!$E:$X,MATCH($A16,SPPR!$A:$A,0),8),"")</f>
        <v/>
      </c>
      <c r="L16">
        <f>IFERROR($C16*INDEX(SPPR!$E:$X,MATCH($A16,SPPR!$A:$A,0),9),"")</f>
        <v/>
      </c>
      <c r="M16">
        <f>IFERROR($C16*INDEX(SPPR!$E:$X,MATCH($A16,SPPR!$A:$A,0),10),"")</f>
        <v/>
      </c>
      <c r="N16">
        <f>IFERROR($C16*INDEX(SPPR!$E:$X,MATCH($A16,SPPR!$A:$A,0),11),"")</f>
        <v/>
      </c>
      <c r="O16">
        <f>IFERROR($C16*INDEX(SPPR!$E:$X,MATCH($A16,SPPR!$A:$A,0),12),"")</f>
        <v/>
      </c>
      <c r="P16">
        <f>IFERROR($C16*INDEX(SPPR!$E:$X,MATCH($A16,SPPR!$A:$A,0),13),"")</f>
        <v/>
      </c>
      <c r="Q16">
        <f>IFERROR($C16*INDEX(SPPR!$E:$X,MATCH($A16,SPPR!$A:$A,0),14),"")</f>
        <v/>
      </c>
      <c r="R16">
        <f>IFERROR($C16*INDEX(SPPR!$E:$X,MATCH($A16,SPPR!$A:$A,0),15),"")</f>
        <v/>
      </c>
      <c r="S16">
        <f>IFERROR($C16*INDEX(SPPR!$E:$X,MATCH($A16,SPPR!$A:$A,0),16),"")</f>
        <v/>
      </c>
      <c r="T16">
        <f>IFERROR($C16*INDEX(SPPR!$E:$X,MATCH($A16,SPPR!$A:$A,0),17),"")</f>
        <v/>
      </c>
      <c r="U16">
        <f>IFERROR($C16*INDEX(SPPR!$E:$X,MATCH($A16,SPPR!$A:$A,0),18),"")</f>
        <v/>
      </c>
      <c r="V16">
        <f>IFERROR($C16*INDEX(SPPR!$E:$X,MATCH($A16,SPPR!$A:$A,0),19),"")</f>
        <v/>
      </c>
      <c r="W16">
        <f>IFERROR($C16*INDEX(SPPR!$E:$X,MATCH($A16,SPPR!$A:$A,0),20),"")</f>
        <v/>
      </c>
    </row>
    <row r="17">
      <c r="A17" t="inlineStr">
        <is>
          <t>Larimichthys polyactis</t>
        </is>
      </c>
      <c r="B17">
        <f>IFERROR(INDEX(SPPR!$D:$D,MATCH($A17,SPPR!$A:$A,0)),"")</f>
        <v/>
      </c>
      <c r="C17">
        <f>IFERROR(INDEX(Catch!$E:$BV,MATCH($A17,Catch!$A:$A,0),MATCH($B$4,Catch!$E$1:$BV$1,0)),0)</f>
        <v/>
      </c>
      <c r="D17">
        <f>IFERROR($C17*INDEX(SPPR!$E:$X,MATCH($A17,SPPR!$A:$A,0),1),"")</f>
        <v/>
      </c>
      <c r="E17">
        <f>IFERROR($C17*INDEX(SPPR!$E:$X,MATCH($A17,SPPR!$A:$A,0),2),"")</f>
        <v/>
      </c>
      <c r="F17">
        <f>IFERROR($C17*INDEX(SPPR!$E:$X,MATCH($A17,SPPR!$A:$A,0),3),"")</f>
        <v/>
      </c>
      <c r="G17">
        <f>IFERROR($C17*INDEX(SPPR!$E:$X,MATCH($A17,SPPR!$A:$A,0),4),"")</f>
        <v/>
      </c>
      <c r="H17">
        <f>IFERROR($C17*INDEX(SPPR!$E:$X,MATCH($A17,SPPR!$A:$A,0),5),"")</f>
        <v/>
      </c>
      <c r="I17">
        <f>IFERROR($C17*INDEX(SPPR!$E:$X,MATCH($A17,SPPR!$A:$A,0),6),"")</f>
        <v/>
      </c>
      <c r="J17">
        <f>IFERROR($C17*INDEX(SPPR!$E:$X,MATCH($A17,SPPR!$A:$A,0),7),"")</f>
        <v/>
      </c>
      <c r="K17">
        <f>IFERROR($C17*INDEX(SPPR!$E:$X,MATCH($A17,SPPR!$A:$A,0),8),"")</f>
        <v/>
      </c>
      <c r="L17">
        <f>IFERROR($C17*INDEX(SPPR!$E:$X,MATCH($A17,SPPR!$A:$A,0),9),"")</f>
        <v/>
      </c>
      <c r="M17">
        <f>IFERROR($C17*INDEX(SPPR!$E:$X,MATCH($A17,SPPR!$A:$A,0),10),"")</f>
        <v/>
      </c>
      <c r="N17">
        <f>IFERROR($C17*INDEX(SPPR!$E:$X,MATCH($A17,SPPR!$A:$A,0),11),"")</f>
        <v/>
      </c>
      <c r="O17">
        <f>IFERROR($C17*INDEX(SPPR!$E:$X,MATCH($A17,SPPR!$A:$A,0),12),"")</f>
        <v/>
      </c>
      <c r="P17">
        <f>IFERROR($C17*INDEX(SPPR!$E:$X,MATCH($A17,SPPR!$A:$A,0),13),"")</f>
        <v/>
      </c>
      <c r="Q17">
        <f>IFERROR($C17*INDEX(SPPR!$E:$X,MATCH($A17,SPPR!$A:$A,0),14),"")</f>
        <v/>
      </c>
      <c r="R17">
        <f>IFERROR($C17*INDEX(SPPR!$E:$X,MATCH($A17,SPPR!$A:$A,0),15),"")</f>
        <v/>
      </c>
      <c r="S17">
        <f>IFERROR($C17*INDEX(SPPR!$E:$X,MATCH($A17,SPPR!$A:$A,0),16),"")</f>
        <v/>
      </c>
      <c r="T17">
        <f>IFERROR($C17*INDEX(SPPR!$E:$X,MATCH($A17,SPPR!$A:$A,0),17),"")</f>
        <v/>
      </c>
      <c r="U17">
        <f>IFERROR($C17*INDEX(SPPR!$E:$X,MATCH($A17,SPPR!$A:$A,0),18),"")</f>
        <v/>
      </c>
      <c r="V17">
        <f>IFERROR($C17*INDEX(SPPR!$E:$X,MATCH($A17,SPPR!$A:$A,0),19),"")</f>
        <v/>
      </c>
      <c r="W17">
        <f>IFERROR($C17*INDEX(SPPR!$E:$X,MATCH($A17,SPPR!$A:$A,0),20),"")</f>
        <v/>
      </c>
    </row>
    <row r="18">
      <c r="A18" t="inlineStr">
        <is>
          <t>Acetes japonicus</t>
        </is>
      </c>
      <c r="B18">
        <f>IFERROR(INDEX(SPPR!$D:$D,MATCH($A18,SPPR!$A:$A,0)),"")</f>
        <v/>
      </c>
      <c r="C18">
        <f>IFERROR(INDEX(Catch!$E:$BV,MATCH($A18,Catch!$A:$A,0),MATCH($B$4,Catch!$E$1:$BV$1,0)),0)</f>
        <v/>
      </c>
      <c r="D18">
        <f>IFERROR($C18*INDEX(SPPR!$E:$X,MATCH($A18,SPPR!$A:$A,0),1),"")</f>
        <v/>
      </c>
      <c r="E18">
        <f>IFERROR($C18*INDEX(SPPR!$E:$X,MATCH($A18,SPPR!$A:$A,0),2),"")</f>
        <v/>
      </c>
      <c r="F18">
        <f>IFERROR($C18*INDEX(SPPR!$E:$X,MATCH($A18,SPPR!$A:$A,0),3),"")</f>
        <v/>
      </c>
      <c r="G18">
        <f>IFERROR($C18*INDEX(SPPR!$E:$X,MATCH($A18,SPPR!$A:$A,0),4),"")</f>
        <v/>
      </c>
      <c r="H18">
        <f>IFERROR($C18*INDEX(SPPR!$E:$X,MATCH($A18,SPPR!$A:$A,0),5),"")</f>
        <v/>
      </c>
      <c r="I18">
        <f>IFERROR($C18*INDEX(SPPR!$E:$X,MATCH($A18,SPPR!$A:$A,0),6),"")</f>
        <v/>
      </c>
      <c r="J18">
        <f>IFERROR($C18*INDEX(SPPR!$E:$X,MATCH($A18,SPPR!$A:$A,0),7),"")</f>
        <v/>
      </c>
      <c r="K18">
        <f>IFERROR($C18*INDEX(SPPR!$E:$X,MATCH($A18,SPPR!$A:$A,0),8),"")</f>
        <v/>
      </c>
      <c r="L18">
        <f>IFERROR($C18*INDEX(SPPR!$E:$X,MATCH($A18,SPPR!$A:$A,0),9),"")</f>
        <v/>
      </c>
      <c r="M18">
        <f>IFERROR($C18*INDEX(SPPR!$E:$X,MATCH($A18,SPPR!$A:$A,0),10),"")</f>
        <v/>
      </c>
      <c r="N18">
        <f>IFERROR($C18*INDEX(SPPR!$E:$X,MATCH($A18,SPPR!$A:$A,0),11),"")</f>
        <v/>
      </c>
      <c r="O18">
        <f>IFERROR($C18*INDEX(SPPR!$E:$X,MATCH($A18,SPPR!$A:$A,0),12),"")</f>
        <v/>
      </c>
      <c r="P18">
        <f>IFERROR($C18*INDEX(SPPR!$E:$X,MATCH($A18,SPPR!$A:$A,0),13),"")</f>
        <v/>
      </c>
      <c r="Q18">
        <f>IFERROR($C18*INDEX(SPPR!$E:$X,MATCH($A18,SPPR!$A:$A,0),14),"")</f>
        <v/>
      </c>
      <c r="R18">
        <f>IFERROR($C18*INDEX(SPPR!$E:$X,MATCH($A18,SPPR!$A:$A,0),15),"")</f>
        <v/>
      </c>
      <c r="S18">
        <f>IFERROR($C18*INDEX(SPPR!$E:$X,MATCH($A18,SPPR!$A:$A,0),16),"")</f>
        <v/>
      </c>
      <c r="T18">
        <f>IFERROR($C18*INDEX(SPPR!$E:$X,MATCH($A18,SPPR!$A:$A,0),17),"")</f>
        <v/>
      </c>
      <c r="U18">
        <f>IFERROR($C18*INDEX(SPPR!$E:$X,MATCH($A18,SPPR!$A:$A,0),18),"")</f>
        <v/>
      </c>
      <c r="V18">
        <f>IFERROR($C18*INDEX(SPPR!$E:$X,MATCH($A18,SPPR!$A:$A,0),19),"")</f>
        <v/>
      </c>
      <c r="W18">
        <f>IFERROR($C18*INDEX(SPPR!$E:$X,MATCH($A18,SPPR!$A:$A,0),20),"")</f>
        <v/>
      </c>
    </row>
    <row r="19">
      <c r="A19" t="inlineStr">
        <is>
          <t>Todarodes pacificus</t>
        </is>
      </c>
      <c r="B19">
        <f>IFERROR(INDEX(SPPR!$D:$D,MATCH($A19,SPPR!$A:$A,0)),"")</f>
        <v/>
      </c>
      <c r="C19">
        <f>IFERROR(INDEX(Catch!$E:$BV,MATCH($A19,Catch!$A:$A,0),MATCH($B$4,Catch!$E$1:$BV$1,0)),0)</f>
        <v/>
      </c>
      <c r="D19">
        <f>IFERROR($C19*INDEX(SPPR!$E:$X,MATCH($A19,SPPR!$A:$A,0),1),"")</f>
        <v/>
      </c>
      <c r="E19">
        <f>IFERROR($C19*INDEX(SPPR!$E:$X,MATCH($A19,SPPR!$A:$A,0),2),"")</f>
        <v/>
      </c>
      <c r="F19">
        <f>IFERROR($C19*INDEX(SPPR!$E:$X,MATCH($A19,SPPR!$A:$A,0),3),"")</f>
        <v/>
      </c>
      <c r="G19">
        <f>IFERROR($C19*INDEX(SPPR!$E:$X,MATCH($A19,SPPR!$A:$A,0),4),"")</f>
        <v/>
      </c>
      <c r="H19">
        <f>IFERROR($C19*INDEX(SPPR!$E:$X,MATCH($A19,SPPR!$A:$A,0),5),"")</f>
        <v/>
      </c>
      <c r="I19">
        <f>IFERROR($C19*INDEX(SPPR!$E:$X,MATCH($A19,SPPR!$A:$A,0),6),"")</f>
        <v/>
      </c>
      <c r="J19">
        <f>IFERROR($C19*INDEX(SPPR!$E:$X,MATCH($A19,SPPR!$A:$A,0),7),"")</f>
        <v/>
      </c>
      <c r="K19">
        <f>IFERROR($C19*INDEX(SPPR!$E:$X,MATCH($A19,SPPR!$A:$A,0),8),"")</f>
        <v/>
      </c>
      <c r="L19">
        <f>IFERROR($C19*INDEX(SPPR!$E:$X,MATCH($A19,SPPR!$A:$A,0),9),"")</f>
        <v/>
      </c>
      <c r="M19">
        <f>IFERROR($C19*INDEX(SPPR!$E:$X,MATCH($A19,SPPR!$A:$A,0),10),"")</f>
        <v/>
      </c>
      <c r="N19">
        <f>IFERROR($C19*INDEX(SPPR!$E:$X,MATCH($A19,SPPR!$A:$A,0),11),"")</f>
        <v/>
      </c>
      <c r="O19">
        <f>IFERROR($C19*INDEX(SPPR!$E:$X,MATCH($A19,SPPR!$A:$A,0),12),"")</f>
        <v/>
      </c>
      <c r="P19">
        <f>IFERROR($C19*INDEX(SPPR!$E:$X,MATCH($A19,SPPR!$A:$A,0),13),"")</f>
        <v/>
      </c>
      <c r="Q19">
        <f>IFERROR($C19*INDEX(SPPR!$E:$X,MATCH($A19,SPPR!$A:$A,0),14),"")</f>
        <v/>
      </c>
      <c r="R19">
        <f>IFERROR($C19*INDEX(SPPR!$E:$X,MATCH($A19,SPPR!$A:$A,0),15),"")</f>
        <v/>
      </c>
      <c r="S19">
        <f>IFERROR($C19*INDEX(SPPR!$E:$X,MATCH($A19,SPPR!$A:$A,0),16),"")</f>
        <v/>
      </c>
      <c r="T19">
        <f>IFERROR($C19*INDEX(SPPR!$E:$X,MATCH($A19,SPPR!$A:$A,0),17),"")</f>
        <v/>
      </c>
      <c r="U19">
        <f>IFERROR($C19*INDEX(SPPR!$E:$X,MATCH($A19,SPPR!$A:$A,0),18),"")</f>
        <v/>
      </c>
      <c r="V19">
        <f>IFERROR($C19*INDEX(SPPR!$E:$X,MATCH($A19,SPPR!$A:$A,0),19),"")</f>
        <v/>
      </c>
      <c r="W19">
        <f>IFERROR($C19*INDEX(SPPR!$E:$X,MATCH($A19,SPPR!$A:$A,0),20),"")</f>
        <v/>
      </c>
    </row>
    <row r="20">
      <c r="A20" t="inlineStr">
        <is>
          <t>Sciaenidae</t>
        </is>
      </c>
      <c r="B20">
        <f>IFERROR(INDEX(SPPR!$D:$D,MATCH($A20,SPPR!$A:$A,0)),"")</f>
        <v/>
      </c>
      <c r="C20">
        <f>IFERROR(INDEX(Catch!$E:$BV,MATCH($A20,Catch!$A:$A,0),MATCH($B$4,Catch!$E$1:$BV$1,0)),0)</f>
        <v/>
      </c>
      <c r="D20">
        <f>IFERROR($C20*INDEX(SPPR!$E:$X,MATCH($A20,SPPR!$A:$A,0),1),"")</f>
        <v/>
      </c>
      <c r="E20">
        <f>IFERROR($C20*INDEX(SPPR!$E:$X,MATCH($A20,SPPR!$A:$A,0),2),"")</f>
        <v/>
      </c>
      <c r="F20">
        <f>IFERROR($C20*INDEX(SPPR!$E:$X,MATCH($A20,SPPR!$A:$A,0),3),"")</f>
        <v/>
      </c>
      <c r="G20">
        <f>IFERROR($C20*INDEX(SPPR!$E:$X,MATCH($A20,SPPR!$A:$A,0),4),"")</f>
        <v/>
      </c>
      <c r="H20">
        <f>IFERROR($C20*INDEX(SPPR!$E:$X,MATCH($A20,SPPR!$A:$A,0),5),"")</f>
        <v/>
      </c>
      <c r="I20">
        <f>IFERROR($C20*INDEX(SPPR!$E:$X,MATCH($A20,SPPR!$A:$A,0),6),"")</f>
        <v/>
      </c>
      <c r="J20">
        <f>IFERROR($C20*INDEX(SPPR!$E:$X,MATCH($A20,SPPR!$A:$A,0),7),"")</f>
        <v/>
      </c>
      <c r="K20">
        <f>IFERROR($C20*INDEX(SPPR!$E:$X,MATCH($A20,SPPR!$A:$A,0),8),"")</f>
        <v/>
      </c>
      <c r="L20">
        <f>IFERROR($C20*INDEX(SPPR!$E:$X,MATCH($A20,SPPR!$A:$A,0),9),"")</f>
        <v/>
      </c>
      <c r="M20">
        <f>IFERROR($C20*INDEX(SPPR!$E:$X,MATCH($A20,SPPR!$A:$A,0),10),"")</f>
        <v/>
      </c>
      <c r="N20">
        <f>IFERROR($C20*INDEX(SPPR!$E:$X,MATCH($A20,SPPR!$A:$A,0),11),"")</f>
        <v/>
      </c>
      <c r="O20">
        <f>IFERROR($C20*INDEX(SPPR!$E:$X,MATCH($A20,SPPR!$A:$A,0),12),"")</f>
        <v/>
      </c>
      <c r="P20">
        <f>IFERROR($C20*INDEX(SPPR!$E:$X,MATCH($A20,SPPR!$A:$A,0),13),"")</f>
        <v/>
      </c>
      <c r="Q20">
        <f>IFERROR($C20*INDEX(SPPR!$E:$X,MATCH($A20,SPPR!$A:$A,0),14),"")</f>
        <v/>
      </c>
      <c r="R20">
        <f>IFERROR($C20*INDEX(SPPR!$E:$X,MATCH($A20,SPPR!$A:$A,0),15),"")</f>
        <v/>
      </c>
      <c r="S20">
        <f>IFERROR($C20*INDEX(SPPR!$E:$X,MATCH($A20,SPPR!$A:$A,0),16),"")</f>
        <v/>
      </c>
      <c r="T20">
        <f>IFERROR($C20*INDEX(SPPR!$E:$X,MATCH($A20,SPPR!$A:$A,0),17),"")</f>
        <v/>
      </c>
      <c r="U20">
        <f>IFERROR($C20*INDEX(SPPR!$E:$X,MATCH($A20,SPPR!$A:$A,0),18),"")</f>
        <v/>
      </c>
      <c r="V20">
        <f>IFERROR($C20*INDEX(SPPR!$E:$X,MATCH($A20,SPPR!$A:$A,0),19),"")</f>
        <v/>
      </c>
      <c r="W20">
        <f>IFERROR($C20*INDEX(SPPR!$E:$X,MATCH($A20,SPPR!$A:$A,0),20),"")</f>
        <v/>
      </c>
    </row>
    <row r="21">
      <c r="A21" t="inlineStr">
        <is>
          <t>Stephanolepis cirrhifer</t>
        </is>
      </c>
      <c r="B21">
        <f>IFERROR(INDEX(SPPR!$D:$D,MATCH($A21,SPPR!$A:$A,0)),"")</f>
        <v/>
      </c>
      <c r="C21">
        <f>IFERROR(INDEX(Catch!$E:$BV,MATCH($A21,Catch!$A:$A,0),MATCH($B$4,Catch!$E$1:$BV$1,0)),0)</f>
        <v/>
      </c>
      <c r="D21">
        <f>IFERROR($C21*INDEX(SPPR!$E:$X,MATCH($A21,SPPR!$A:$A,0),1),"")</f>
        <v/>
      </c>
      <c r="E21">
        <f>IFERROR($C21*INDEX(SPPR!$E:$X,MATCH($A21,SPPR!$A:$A,0),2),"")</f>
        <v/>
      </c>
      <c r="F21">
        <f>IFERROR($C21*INDEX(SPPR!$E:$X,MATCH($A21,SPPR!$A:$A,0),3),"")</f>
        <v/>
      </c>
      <c r="G21">
        <f>IFERROR($C21*INDEX(SPPR!$E:$X,MATCH($A21,SPPR!$A:$A,0),4),"")</f>
        <v/>
      </c>
      <c r="H21">
        <f>IFERROR($C21*INDEX(SPPR!$E:$X,MATCH($A21,SPPR!$A:$A,0),5),"")</f>
        <v/>
      </c>
      <c r="I21">
        <f>IFERROR($C21*INDEX(SPPR!$E:$X,MATCH($A21,SPPR!$A:$A,0),6),"")</f>
        <v/>
      </c>
      <c r="J21">
        <f>IFERROR($C21*INDEX(SPPR!$E:$X,MATCH($A21,SPPR!$A:$A,0),7),"")</f>
        <v/>
      </c>
      <c r="K21">
        <f>IFERROR($C21*INDEX(SPPR!$E:$X,MATCH($A21,SPPR!$A:$A,0),8),"")</f>
        <v/>
      </c>
      <c r="L21">
        <f>IFERROR($C21*INDEX(SPPR!$E:$X,MATCH($A21,SPPR!$A:$A,0),9),"")</f>
        <v/>
      </c>
      <c r="M21">
        <f>IFERROR($C21*INDEX(SPPR!$E:$X,MATCH($A21,SPPR!$A:$A,0),10),"")</f>
        <v/>
      </c>
      <c r="N21">
        <f>IFERROR($C21*INDEX(SPPR!$E:$X,MATCH($A21,SPPR!$A:$A,0),11),"")</f>
        <v/>
      </c>
      <c r="O21">
        <f>IFERROR($C21*INDEX(SPPR!$E:$X,MATCH($A21,SPPR!$A:$A,0),12),"")</f>
        <v/>
      </c>
      <c r="P21">
        <f>IFERROR($C21*INDEX(SPPR!$E:$X,MATCH($A21,SPPR!$A:$A,0),13),"")</f>
        <v/>
      </c>
      <c r="Q21">
        <f>IFERROR($C21*INDEX(SPPR!$E:$X,MATCH($A21,SPPR!$A:$A,0),14),"")</f>
        <v/>
      </c>
      <c r="R21">
        <f>IFERROR($C21*INDEX(SPPR!$E:$X,MATCH($A21,SPPR!$A:$A,0),15),"")</f>
        <v/>
      </c>
      <c r="S21">
        <f>IFERROR($C21*INDEX(SPPR!$E:$X,MATCH($A21,SPPR!$A:$A,0),16),"")</f>
        <v/>
      </c>
      <c r="T21">
        <f>IFERROR($C21*INDEX(SPPR!$E:$X,MATCH($A21,SPPR!$A:$A,0),17),"")</f>
        <v/>
      </c>
      <c r="U21">
        <f>IFERROR($C21*INDEX(SPPR!$E:$X,MATCH($A21,SPPR!$A:$A,0),18),"")</f>
        <v/>
      </c>
      <c r="V21">
        <f>IFERROR($C21*INDEX(SPPR!$E:$X,MATCH($A21,SPPR!$A:$A,0),19),"")</f>
        <v/>
      </c>
      <c r="W21">
        <f>IFERROR($C21*INDEX(SPPR!$E:$X,MATCH($A21,SPPR!$A:$A,0),20),"")</f>
        <v/>
      </c>
    </row>
    <row r="22">
      <c r="A22" t="inlineStr">
        <is>
          <t>Pectinidae</t>
        </is>
      </c>
      <c r="B22">
        <f>IFERROR(INDEX(SPPR!$D:$D,MATCH($A22,SPPR!$A:$A,0)),"")</f>
        <v/>
      </c>
      <c r="C22">
        <f>IFERROR(INDEX(Catch!$E:$BV,MATCH($A22,Catch!$A:$A,0),MATCH($B$4,Catch!$E$1:$BV$1,0)),0)</f>
        <v/>
      </c>
      <c r="D22">
        <f>IFERROR($C22*INDEX(SPPR!$E:$X,MATCH($A22,SPPR!$A:$A,0),1),"")</f>
        <v/>
      </c>
      <c r="E22">
        <f>IFERROR($C22*INDEX(SPPR!$E:$X,MATCH($A22,SPPR!$A:$A,0),2),"")</f>
        <v/>
      </c>
      <c r="F22">
        <f>IFERROR($C22*INDEX(SPPR!$E:$X,MATCH($A22,SPPR!$A:$A,0),3),"")</f>
        <v/>
      </c>
      <c r="G22">
        <f>IFERROR($C22*INDEX(SPPR!$E:$X,MATCH($A22,SPPR!$A:$A,0),4),"")</f>
        <v/>
      </c>
      <c r="H22">
        <f>IFERROR($C22*INDEX(SPPR!$E:$X,MATCH($A22,SPPR!$A:$A,0),5),"")</f>
        <v/>
      </c>
      <c r="I22">
        <f>IFERROR($C22*INDEX(SPPR!$E:$X,MATCH($A22,SPPR!$A:$A,0),6),"")</f>
        <v/>
      </c>
      <c r="J22">
        <f>IFERROR($C22*INDEX(SPPR!$E:$X,MATCH($A22,SPPR!$A:$A,0),7),"")</f>
        <v/>
      </c>
      <c r="K22">
        <f>IFERROR($C22*INDEX(SPPR!$E:$X,MATCH($A22,SPPR!$A:$A,0),8),"")</f>
        <v/>
      </c>
      <c r="L22">
        <f>IFERROR($C22*INDEX(SPPR!$E:$X,MATCH($A22,SPPR!$A:$A,0),9),"")</f>
        <v/>
      </c>
      <c r="M22">
        <f>IFERROR($C22*INDEX(SPPR!$E:$X,MATCH($A22,SPPR!$A:$A,0),10),"")</f>
        <v/>
      </c>
      <c r="N22">
        <f>IFERROR($C22*INDEX(SPPR!$E:$X,MATCH($A22,SPPR!$A:$A,0),11),"")</f>
        <v/>
      </c>
      <c r="O22">
        <f>IFERROR($C22*INDEX(SPPR!$E:$X,MATCH($A22,SPPR!$A:$A,0),12),"")</f>
        <v/>
      </c>
      <c r="P22">
        <f>IFERROR($C22*INDEX(SPPR!$E:$X,MATCH($A22,SPPR!$A:$A,0),13),"")</f>
        <v/>
      </c>
      <c r="Q22">
        <f>IFERROR($C22*INDEX(SPPR!$E:$X,MATCH($A22,SPPR!$A:$A,0),14),"")</f>
        <v/>
      </c>
      <c r="R22">
        <f>IFERROR($C22*INDEX(SPPR!$E:$X,MATCH($A22,SPPR!$A:$A,0),15),"")</f>
        <v/>
      </c>
      <c r="S22">
        <f>IFERROR($C22*INDEX(SPPR!$E:$X,MATCH($A22,SPPR!$A:$A,0),16),"")</f>
        <v/>
      </c>
      <c r="T22">
        <f>IFERROR($C22*INDEX(SPPR!$E:$X,MATCH($A22,SPPR!$A:$A,0),17),"")</f>
        <v/>
      </c>
      <c r="U22">
        <f>IFERROR($C22*INDEX(SPPR!$E:$X,MATCH($A22,SPPR!$A:$A,0),18),"")</f>
        <v/>
      </c>
      <c r="V22">
        <f>IFERROR($C22*INDEX(SPPR!$E:$X,MATCH($A22,SPPR!$A:$A,0),19),"")</f>
        <v/>
      </c>
      <c r="W22">
        <f>IFERROR($C22*INDEX(SPPR!$E:$X,MATCH($A22,SPPR!$A:$A,0),20),"")</f>
        <v/>
      </c>
    </row>
    <row r="23">
      <c r="A23" t="inlineStr">
        <is>
          <t>Scyphozoa</t>
        </is>
      </c>
      <c r="B23">
        <f>IFERROR(INDEX(SPPR!$D:$D,MATCH($A23,SPPR!$A:$A,0)),"")</f>
        <v/>
      </c>
      <c r="C23">
        <f>IFERROR(INDEX(Catch!$E:$BV,MATCH($A23,Catch!$A:$A,0),MATCH($B$4,Catch!$E$1:$BV$1,0)),0)</f>
        <v/>
      </c>
      <c r="D23">
        <f>IFERROR($C23*INDEX(SPPR!$E:$X,MATCH($A23,SPPR!$A:$A,0),1),"")</f>
        <v/>
      </c>
      <c r="E23">
        <f>IFERROR($C23*INDEX(SPPR!$E:$X,MATCH($A23,SPPR!$A:$A,0),2),"")</f>
        <v/>
      </c>
      <c r="F23">
        <f>IFERROR($C23*INDEX(SPPR!$E:$X,MATCH($A23,SPPR!$A:$A,0),3),"")</f>
        <v/>
      </c>
      <c r="G23">
        <f>IFERROR($C23*INDEX(SPPR!$E:$X,MATCH($A23,SPPR!$A:$A,0),4),"")</f>
        <v/>
      </c>
      <c r="H23">
        <f>IFERROR($C23*INDEX(SPPR!$E:$X,MATCH($A23,SPPR!$A:$A,0),5),"")</f>
        <v/>
      </c>
      <c r="I23">
        <f>IFERROR($C23*INDEX(SPPR!$E:$X,MATCH($A23,SPPR!$A:$A,0),6),"")</f>
        <v/>
      </c>
      <c r="J23">
        <f>IFERROR($C23*INDEX(SPPR!$E:$X,MATCH($A23,SPPR!$A:$A,0),7),"")</f>
        <v/>
      </c>
      <c r="K23">
        <f>IFERROR($C23*INDEX(SPPR!$E:$X,MATCH($A23,SPPR!$A:$A,0),8),"")</f>
        <v/>
      </c>
      <c r="L23">
        <f>IFERROR($C23*INDEX(SPPR!$E:$X,MATCH($A23,SPPR!$A:$A,0),9),"")</f>
        <v/>
      </c>
      <c r="M23">
        <f>IFERROR($C23*INDEX(SPPR!$E:$X,MATCH($A23,SPPR!$A:$A,0),10),"")</f>
        <v/>
      </c>
      <c r="N23">
        <f>IFERROR($C23*INDEX(SPPR!$E:$X,MATCH($A23,SPPR!$A:$A,0),11),"")</f>
        <v/>
      </c>
      <c r="O23">
        <f>IFERROR($C23*INDEX(SPPR!$E:$X,MATCH($A23,SPPR!$A:$A,0),12),"")</f>
        <v/>
      </c>
      <c r="P23">
        <f>IFERROR($C23*INDEX(SPPR!$E:$X,MATCH($A23,SPPR!$A:$A,0),13),"")</f>
        <v/>
      </c>
      <c r="Q23">
        <f>IFERROR($C23*INDEX(SPPR!$E:$X,MATCH($A23,SPPR!$A:$A,0),14),"")</f>
        <v/>
      </c>
      <c r="R23">
        <f>IFERROR($C23*INDEX(SPPR!$E:$X,MATCH($A23,SPPR!$A:$A,0),15),"")</f>
        <v/>
      </c>
      <c r="S23">
        <f>IFERROR($C23*INDEX(SPPR!$E:$X,MATCH($A23,SPPR!$A:$A,0),16),"")</f>
        <v/>
      </c>
      <c r="T23">
        <f>IFERROR($C23*INDEX(SPPR!$E:$X,MATCH($A23,SPPR!$A:$A,0),17),"")</f>
        <v/>
      </c>
      <c r="U23">
        <f>IFERROR($C23*INDEX(SPPR!$E:$X,MATCH($A23,SPPR!$A:$A,0),18),"")</f>
        <v/>
      </c>
      <c r="V23">
        <f>IFERROR($C23*INDEX(SPPR!$E:$X,MATCH($A23,SPPR!$A:$A,0),19),"")</f>
        <v/>
      </c>
      <c r="W23">
        <f>IFERROR($C23*INDEX(SPPR!$E:$X,MATCH($A23,SPPR!$A:$A,0),20),"")</f>
        <v/>
      </c>
    </row>
    <row r="24">
      <c r="A24" t="inlineStr">
        <is>
          <t>Pleuronectidae</t>
        </is>
      </c>
      <c r="B24">
        <f>IFERROR(INDEX(SPPR!$D:$D,MATCH($A24,SPPR!$A:$A,0)),"")</f>
        <v/>
      </c>
      <c r="C24">
        <f>IFERROR(INDEX(Catch!$E:$BV,MATCH($A24,Catch!$A:$A,0),MATCH($B$4,Catch!$E$1:$BV$1,0)),0)</f>
        <v/>
      </c>
      <c r="D24">
        <f>IFERROR($C24*INDEX(SPPR!$E:$X,MATCH($A24,SPPR!$A:$A,0),1),"")</f>
        <v/>
      </c>
      <c r="E24">
        <f>IFERROR($C24*INDEX(SPPR!$E:$X,MATCH($A24,SPPR!$A:$A,0),2),"")</f>
        <v/>
      </c>
      <c r="F24">
        <f>IFERROR($C24*INDEX(SPPR!$E:$X,MATCH($A24,SPPR!$A:$A,0),3),"")</f>
        <v/>
      </c>
      <c r="G24">
        <f>IFERROR($C24*INDEX(SPPR!$E:$X,MATCH($A24,SPPR!$A:$A,0),4),"")</f>
        <v/>
      </c>
      <c r="H24">
        <f>IFERROR($C24*INDEX(SPPR!$E:$X,MATCH($A24,SPPR!$A:$A,0),5),"")</f>
        <v/>
      </c>
      <c r="I24">
        <f>IFERROR($C24*INDEX(SPPR!$E:$X,MATCH($A24,SPPR!$A:$A,0),6),"")</f>
        <v/>
      </c>
      <c r="J24">
        <f>IFERROR($C24*INDEX(SPPR!$E:$X,MATCH($A24,SPPR!$A:$A,0),7),"")</f>
        <v/>
      </c>
      <c r="K24">
        <f>IFERROR($C24*INDEX(SPPR!$E:$X,MATCH($A24,SPPR!$A:$A,0),8),"")</f>
        <v/>
      </c>
      <c r="L24">
        <f>IFERROR($C24*INDEX(SPPR!$E:$X,MATCH($A24,SPPR!$A:$A,0),9),"")</f>
        <v/>
      </c>
      <c r="M24">
        <f>IFERROR($C24*INDEX(SPPR!$E:$X,MATCH($A24,SPPR!$A:$A,0),10),"")</f>
        <v/>
      </c>
      <c r="N24">
        <f>IFERROR($C24*INDEX(SPPR!$E:$X,MATCH($A24,SPPR!$A:$A,0),11),"")</f>
        <v/>
      </c>
      <c r="O24">
        <f>IFERROR($C24*INDEX(SPPR!$E:$X,MATCH($A24,SPPR!$A:$A,0),12),"")</f>
        <v/>
      </c>
      <c r="P24">
        <f>IFERROR($C24*INDEX(SPPR!$E:$X,MATCH($A24,SPPR!$A:$A,0),13),"")</f>
        <v/>
      </c>
      <c r="Q24">
        <f>IFERROR($C24*INDEX(SPPR!$E:$X,MATCH($A24,SPPR!$A:$A,0),14),"")</f>
        <v/>
      </c>
      <c r="R24">
        <f>IFERROR($C24*INDEX(SPPR!$E:$X,MATCH($A24,SPPR!$A:$A,0),15),"")</f>
        <v/>
      </c>
      <c r="S24">
        <f>IFERROR($C24*INDEX(SPPR!$E:$X,MATCH($A24,SPPR!$A:$A,0),16),"")</f>
        <v/>
      </c>
      <c r="T24">
        <f>IFERROR($C24*INDEX(SPPR!$E:$X,MATCH($A24,SPPR!$A:$A,0),17),"")</f>
        <v/>
      </c>
      <c r="U24">
        <f>IFERROR($C24*INDEX(SPPR!$E:$X,MATCH($A24,SPPR!$A:$A,0),18),"")</f>
        <v/>
      </c>
      <c r="V24">
        <f>IFERROR($C24*INDEX(SPPR!$E:$X,MATCH($A24,SPPR!$A:$A,0),19),"")</f>
        <v/>
      </c>
      <c r="W24">
        <f>IFERROR($C24*INDEX(SPPR!$E:$X,MATCH($A24,SPPR!$A:$A,0),20),"")</f>
        <v/>
      </c>
    </row>
    <row r="25">
      <c r="A25" t="inlineStr">
        <is>
          <t>Muraenesox cinereus</t>
        </is>
      </c>
      <c r="B25">
        <f>IFERROR(INDEX(SPPR!$D:$D,MATCH($A25,SPPR!$A:$A,0)),"")</f>
        <v/>
      </c>
      <c r="C25">
        <f>IFERROR(INDEX(Catch!$E:$BV,MATCH($A25,Catch!$A:$A,0),MATCH($B$4,Catch!$E$1:$BV$1,0)),0)</f>
        <v/>
      </c>
      <c r="D25">
        <f>IFERROR($C25*INDEX(SPPR!$E:$X,MATCH($A25,SPPR!$A:$A,0),1),"")</f>
        <v/>
      </c>
      <c r="E25">
        <f>IFERROR($C25*INDEX(SPPR!$E:$X,MATCH($A25,SPPR!$A:$A,0),2),"")</f>
        <v/>
      </c>
      <c r="F25">
        <f>IFERROR($C25*INDEX(SPPR!$E:$X,MATCH($A25,SPPR!$A:$A,0),3),"")</f>
        <v/>
      </c>
      <c r="G25">
        <f>IFERROR($C25*INDEX(SPPR!$E:$X,MATCH($A25,SPPR!$A:$A,0),4),"")</f>
        <v/>
      </c>
      <c r="H25">
        <f>IFERROR($C25*INDEX(SPPR!$E:$X,MATCH($A25,SPPR!$A:$A,0),5),"")</f>
        <v/>
      </c>
      <c r="I25">
        <f>IFERROR($C25*INDEX(SPPR!$E:$X,MATCH($A25,SPPR!$A:$A,0),6),"")</f>
        <v/>
      </c>
      <c r="J25">
        <f>IFERROR($C25*INDEX(SPPR!$E:$X,MATCH($A25,SPPR!$A:$A,0),7),"")</f>
        <v/>
      </c>
      <c r="K25">
        <f>IFERROR($C25*INDEX(SPPR!$E:$X,MATCH($A25,SPPR!$A:$A,0),8),"")</f>
        <v/>
      </c>
      <c r="L25">
        <f>IFERROR($C25*INDEX(SPPR!$E:$X,MATCH($A25,SPPR!$A:$A,0),9),"")</f>
        <v/>
      </c>
      <c r="M25">
        <f>IFERROR($C25*INDEX(SPPR!$E:$X,MATCH($A25,SPPR!$A:$A,0),10),"")</f>
        <v/>
      </c>
      <c r="N25">
        <f>IFERROR($C25*INDEX(SPPR!$E:$X,MATCH($A25,SPPR!$A:$A,0),11),"")</f>
        <v/>
      </c>
      <c r="O25">
        <f>IFERROR($C25*INDEX(SPPR!$E:$X,MATCH($A25,SPPR!$A:$A,0),12),"")</f>
        <v/>
      </c>
      <c r="P25">
        <f>IFERROR($C25*INDEX(SPPR!$E:$X,MATCH($A25,SPPR!$A:$A,0),13),"")</f>
        <v/>
      </c>
      <c r="Q25">
        <f>IFERROR($C25*INDEX(SPPR!$E:$X,MATCH($A25,SPPR!$A:$A,0),14),"")</f>
        <v/>
      </c>
      <c r="R25">
        <f>IFERROR($C25*INDEX(SPPR!$E:$X,MATCH($A25,SPPR!$A:$A,0),15),"")</f>
        <v/>
      </c>
      <c r="S25">
        <f>IFERROR($C25*INDEX(SPPR!$E:$X,MATCH($A25,SPPR!$A:$A,0),16),"")</f>
        <v/>
      </c>
      <c r="T25">
        <f>IFERROR($C25*INDEX(SPPR!$E:$X,MATCH($A25,SPPR!$A:$A,0),17),"")</f>
        <v/>
      </c>
      <c r="U25">
        <f>IFERROR($C25*INDEX(SPPR!$E:$X,MATCH($A25,SPPR!$A:$A,0),18),"")</f>
        <v/>
      </c>
      <c r="V25">
        <f>IFERROR($C25*INDEX(SPPR!$E:$X,MATCH($A25,SPPR!$A:$A,0),19),"")</f>
        <v/>
      </c>
      <c r="W25">
        <f>IFERROR($C25*INDEX(SPPR!$E:$X,MATCH($A25,SPPR!$A:$A,0),20),"")</f>
        <v/>
      </c>
    </row>
    <row r="26">
      <c r="A26" t="inlineStr">
        <is>
          <t>Pennahia argentata</t>
        </is>
      </c>
      <c r="B26">
        <f>IFERROR(INDEX(SPPR!$D:$D,MATCH($A26,SPPR!$A:$A,0)),"")</f>
        <v/>
      </c>
      <c r="C26">
        <f>IFERROR(INDEX(Catch!$E:$BV,MATCH($A26,Catch!$A:$A,0),MATCH($B$4,Catch!$E$1:$BV$1,0)),0)</f>
        <v/>
      </c>
      <c r="D26">
        <f>IFERROR($C26*INDEX(SPPR!$E:$X,MATCH($A26,SPPR!$A:$A,0),1),"")</f>
        <v/>
      </c>
      <c r="E26">
        <f>IFERROR($C26*INDEX(SPPR!$E:$X,MATCH($A26,SPPR!$A:$A,0),2),"")</f>
        <v/>
      </c>
      <c r="F26">
        <f>IFERROR($C26*INDEX(SPPR!$E:$X,MATCH($A26,SPPR!$A:$A,0),3),"")</f>
        <v/>
      </c>
      <c r="G26">
        <f>IFERROR($C26*INDEX(SPPR!$E:$X,MATCH($A26,SPPR!$A:$A,0),4),"")</f>
        <v/>
      </c>
      <c r="H26">
        <f>IFERROR($C26*INDEX(SPPR!$E:$X,MATCH($A26,SPPR!$A:$A,0),5),"")</f>
        <v/>
      </c>
      <c r="I26">
        <f>IFERROR($C26*INDEX(SPPR!$E:$X,MATCH($A26,SPPR!$A:$A,0),6),"")</f>
        <v/>
      </c>
      <c r="J26">
        <f>IFERROR($C26*INDEX(SPPR!$E:$X,MATCH($A26,SPPR!$A:$A,0),7),"")</f>
        <v/>
      </c>
      <c r="K26">
        <f>IFERROR($C26*INDEX(SPPR!$E:$X,MATCH($A26,SPPR!$A:$A,0),8),"")</f>
        <v/>
      </c>
      <c r="L26">
        <f>IFERROR($C26*INDEX(SPPR!$E:$X,MATCH($A26,SPPR!$A:$A,0),9),"")</f>
        <v/>
      </c>
      <c r="M26">
        <f>IFERROR($C26*INDEX(SPPR!$E:$X,MATCH($A26,SPPR!$A:$A,0),10),"")</f>
        <v/>
      </c>
      <c r="N26">
        <f>IFERROR($C26*INDEX(SPPR!$E:$X,MATCH($A26,SPPR!$A:$A,0),11),"")</f>
        <v/>
      </c>
      <c r="O26">
        <f>IFERROR($C26*INDEX(SPPR!$E:$X,MATCH($A26,SPPR!$A:$A,0),12),"")</f>
        <v/>
      </c>
      <c r="P26">
        <f>IFERROR($C26*INDEX(SPPR!$E:$X,MATCH($A26,SPPR!$A:$A,0),13),"")</f>
        <v/>
      </c>
      <c r="Q26">
        <f>IFERROR($C26*INDEX(SPPR!$E:$X,MATCH($A26,SPPR!$A:$A,0),14),"")</f>
        <v/>
      </c>
      <c r="R26">
        <f>IFERROR($C26*INDEX(SPPR!$E:$X,MATCH($A26,SPPR!$A:$A,0),15),"")</f>
        <v/>
      </c>
      <c r="S26">
        <f>IFERROR($C26*INDEX(SPPR!$E:$X,MATCH($A26,SPPR!$A:$A,0),16),"")</f>
        <v/>
      </c>
      <c r="T26">
        <f>IFERROR($C26*INDEX(SPPR!$E:$X,MATCH($A26,SPPR!$A:$A,0),17),"")</f>
        <v/>
      </c>
      <c r="U26">
        <f>IFERROR($C26*INDEX(SPPR!$E:$X,MATCH($A26,SPPR!$A:$A,0),18),"")</f>
        <v/>
      </c>
      <c r="V26">
        <f>IFERROR($C26*INDEX(SPPR!$E:$X,MATCH($A26,SPPR!$A:$A,0),19),"")</f>
        <v/>
      </c>
      <c r="W26">
        <f>IFERROR($C26*INDEX(SPPR!$E:$X,MATCH($A26,SPPR!$A:$A,0),20),"")</f>
        <v/>
      </c>
    </row>
    <row r="27">
      <c r="A27" t="inlineStr">
        <is>
          <t>Gadus macrocephalus</t>
        </is>
      </c>
      <c r="B27">
        <f>IFERROR(INDEX(SPPR!$D:$D,MATCH($A27,SPPR!$A:$A,0)),"")</f>
        <v/>
      </c>
      <c r="C27">
        <f>IFERROR(INDEX(Catch!$E:$BV,MATCH($A27,Catch!$A:$A,0),MATCH($B$4,Catch!$E$1:$BV$1,0)),0)</f>
        <v/>
      </c>
      <c r="D27">
        <f>IFERROR($C27*INDEX(SPPR!$E:$X,MATCH($A27,SPPR!$A:$A,0),1),"")</f>
        <v/>
      </c>
      <c r="E27">
        <f>IFERROR($C27*INDEX(SPPR!$E:$X,MATCH($A27,SPPR!$A:$A,0),2),"")</f>
        <v/>
      </c>
      <c r="F27">
        <f>IFERROR($C27*INDEX(SPPR!$E:$X,MATCH($A27,SPPR!$A:$A,0),3),"")</f>
        <v/>
      </c>
      <c r="G27">
        <f>IFERROR($C27*INDEX(SPPR!$E:$X,MATCH($A27,SPPR!$A:$A,0),4),"")</f>
        <v/>
      </c>
      <c r="H27">
        <f>IFERROR($C27*INDEX(SPPR!$E:$X,MATCH($A27,SPPR!$A:$A,0),5),"")</f>
        <v/>
      </c>
      <c r="I27">
        <f>IFERROR($C27*INDEX(SPPR!$E:$X,MATCH($A27,SPPR!$A:$A,0),6),"")</f>
        <v/>
      </c>
      <c r="J27">
        <f>IFERROR($C27*INDEX(SPPR!$E:$X,MATCH($A27,SPPR!$A:$A,0),7),"")</f>
        <v/>
      </c>
      <c r="K27">
        <f>IFERROR($C27*INDEX(SPPR!$E:$X,MATCH($A27,SPPR!$A:$A,0),8),"")</f>
        <v/>
      </c>
      <c r="L27">
        <f>IFERROR($C27*INDEX(SPPR!$E:$X,MATCH($A27,SPPR!$A:$A,0),9),"")</f>
        <v/>
      </c>
      <c r="M27">
        <f>IFERROR($C27*INDEX(SPPR!$E:$X,MATCH($A27,SPPR!$A:$A,0),10),"")</f>
        <v/>
      </c>
      <c r="N27">
        <f>IFERROR($C27*INDEX(SPPR!$E:$X,MATCH($A27,SPPR!$A:$A,0),11),"")</f>
        <v/>
      </c>
      <c r="O27">
        <f>IFERROR($C27*INDEX(SPPR!$E:$X,MATCH($A27,SPPR!$A:$A,0),12),"")</f>
        <v/>
      </c>
      <c r="P27">
        <f>IFERROR($C27*INDEX(SPPR!$E:$X,MATCH($A27,SPPR!$A:$A,0),13),"")</f>
        <v/>
      </c>
      <c r="Q27">
        <f>IFERROR($C27*INDEX(SPPR!$E:$X,MATCH($A27,SPPR!$A:$A,0),14),"")</f>
        <v/>
      </c>
      <c r="R27">
        <f>IFERROR($C27*INDEX(SPPR!$E:$X,MATCH($A27,SPPR!$A:$A,0),15),"")</f>
        <v/>
      </c>
      <c r="S27">
        <f>IFERROR($C27*INDEX(SPPR!$E:$X,MATCH($A27,SPPR!$A:$A,0),16),"")</f>
        <v/>
      </c>
      <c r="T27">
        <f>IFERROR($C27*INDEX(SPPR!$E:$X,MATCH($A27,SPPR!$A:$A,0),17),"")</f>
        <v/>
      </c>
      <c r="U27">
        <f>IFERROR($C27*INDEX(SPPR!$E:$X,MATCH($A27,SPPR!$A:$A,0),18),"")</f>
        <v/>
      </c>
      <c r="V27">
        <f>IFERROR($C27*INDEX(SPPR!$E:$X,MATCH($A27,SPPR!$A:$A,0),19),"")</f>
        <v/>
      </c>
      <c r="W27">
        <f>IFERROR($C27*INDEX(SPPR!$E:$X,MATCH($A27,SPPR!$A:$A,0),20),"")</f>
        <v/>
      </c>
    </row>
    <row r="28">
      <c r="A28" t="inlineStr">
        <is>
          <t>Monacanthidae</t>
        </is>
      </c>
      <c r="B28">
        <f>IFERROR(INDEX(SPPR!$D:$D,MATCH($A28,SPPR!$A:$A,0)),"")</f>
        <v/>
      </c>
      <c r="C28">
        <f>IFERROR(INDEX(Catch!$E:$BV,MATCH($A28,Catch!$A:$A,0),MATCH($B$4,Catch!$E$1:$BV$1,0)),0)</f>
        <v/>
      </c>
      <c r="D28">
        <f>IFERROR($C28*INDEX(SPPR!$E:$X,MATCH($A28,SPPR!$A:$A,0),1),"")</f>
        <v/>
      </c>
      <c r="E28">
        <f>IFERROR($C28*INDEX(SPPR!$E:$X,MATCH($A28,SPPR!$A:$A,0),2),"")</f>
        <v/>
      </c>
      <c r="F28">
        <f>IFERROR($C28*INDEX(SPPR!$E:$X,MATCH($A28,SPPR!$A:$A,0),3),"")</f>
        <v/>
      </c>
      <c r="G28">
        <f>IFERROR($C28*INDEX(SPPR!$E:$X,MATCH($A28,SPPR!$A:$A,0),4),"")</f>
        <v/>
      </c>
      <c r="H28">
        <f>IFERROR($C28*INDEX(SPPR!$E:$X,MATCH($A28,SPPR!$A:$A,0),5),"")</f>
        <v/>
      </c>
      <c r="I28">
        <f>IFERROR($C28*INDEX(SPPR!$E:$X,MATCH($A28,SPPR!$A:$A,0),6),"")</f>
        <v/>
      </c>
      <c r="J28">
        <f>IFERROR($C28*INDEX(SPPR!$E:$X,MATCH($A28,SPPR!$A:$A,0),7),"")</f>
        <v/>
      </c>
      <c r="K28">
        <f>IFERROR($C28*INDEX(SPPR!$E:$X,MATCH($A28,SPPR!$A:$A,0),8),"")</f>
        <v/>
      </c>
      <c r="L28">
        <f>IFERROR($C28*INDEX(SPPR!$E:$X,MATCH($A28,SPPR!$A:$A,0),9),"")</f>
        <v/>
      </c>
      <c r="M28">
        <f>IFERROR($C28*INDEX(SPPR!$E:$X,MATCH($A28,SPPR!$A:$A,0),10),"")</f>
        <v/>
      </c>
      <c r="N28">
        <f>IFERROR($C28*INDEX(SPPR!$E:$X,MATCH($A28,SPPR!$A:$A,0),11),"")</f>
        <v/>
      </c>
      <c r="O28">
        <f>IFERROR($C28*INDEX(SPPR!$E:$X,MATCH($A28,SPPR!$A:$A,0),12),"")</f>
        <v/>
      </c>
      <c r="P28">
        <f>IFERROR($C28*INDEX(SPPR!$E:$X,MATCH($A28,SPPR!$A:$A,0),13),"")</f>
        <v/>
      </c>
      <c r="Q28">
        <f>IFERROR($C28*INDEX(SPPR!$E:$X,MATCH($A28,SPPR!$A:$A,0),14),"")</f>
        <v/>
      </c>
      <c r="R28">
        <f>IFERROR($C28*INDEX(SPPR!$E:$X,MATCH($A28,SPPR!$A:$A,0),15),"")</f>
        <v/>
      </c>
      <c r="S28">
        <f>IFERROR($C28*INDEX(SPPR!$E:$X,MATCH($A28,SPPR!$A:$A,0),16),"")</f>
        <v/>
      </c>
      <c r="T28">
        <f>IFERROR($C28*INDEX(SPPR!$E:$X,MATCH($A28,SPPR!$A:$A,0),17),"")</f>
        <v/>
      </c>
      <c r="U28">
        <f>IFERROR($C28*INDEX(SPPR!$E:$X,MATCH($A28,SPPR!$A:$A,0),18),"")</f>
        <v/>
      </c>
      <c r="V28">
        <f>IFERROR($C28*INDEX(SPPR!$E:$X,MATCH($A28,SPPR!$A:$A,0),19),"")</f>
        <v/>
      </c>
      <c r="W28">
        <f>IFERROR($C28*INDEX(SPPR!$E:$X,MATCH($A28,SPPR!$A:$A,0),20),"")</f>
        <v/>
      </c>
    </row>
    <row r="29">
      <c r="A29" t="inlineStr">
        <is>
          <t>Pampus</t>
        </is>
      </c>
      <c r="B29">
        <f>IFERROR(INDEX(SPPR!$D:$D,MATCH($A29,SPPR!$A:$A,0)),"")</f>
        <v/>
      </c>
      <c r="C29">
        <f>IFERROR(INDEX(Catch!$E:$BV,MATCH($A29,Catch!$A:$A,0),MATCH($B$4,Catch!$E$1:$BV$1,0)),0)</f>
        <v/>
      </c>
      <c r="D29">
        <f>IFERROR($C29*INDEX(SPPR!$E:$X,MATCH($A29,SPPR!$A:$A,0),1),"")</f>
        <v/>
      </c>
      <c r="E29">
        <f>IFERROR($C29*INDEX(SPPR!$E:$X,MATCH($A29,SPPR!$A:$A,0),2),"")</f>
        <v/>
      </c>
      <c r="F29">
        <f>IFERROR($C29*INDEX(SPPR!$E:$X,MATCH($A29,SPPR!$A:$A,0),3),"")</f>
        <v/>
      </c>
      <c r="G29">
        <f>IFERROR($C29*INDEX(SPPR!$E:$X,MATCH($A29,SPPR!$A:$A,0),4),"")</f>
        <v/>
      </c>
      <c r="H29">
        <f>IFERROR($C29*INDEX(SPPR!$E:$X,MATCH($A29,SPPR!$A:$A,0),5),"")</f>
        <v/>
      </c>
      <c r="I29">
        <f>IFERROR($C29*INDEX(SPPR!$E:$X,MATCH($A29,SPPR!$A:$A,0),6),"")</f>
        <v/>
      </c>
      <c r="J29">
        <f>IFERROR($C29*INDEX(SPPR!$E:$X,MATCH($A29,SPPR!$A:$A,0),7),"")</f>
        <v/>
      </c>
      <c r="K29">
        <f>IFERROR($C29*INDEX(SPPR!$E:$X,MATCH($A29,SPPR!$A:$A,0),8),"")</f>
        <v/>
      </c>
      <c r="L29">
        <f>IFERROR($C29*INDEX(SPPR!$E:$X,MATCH($A29,SPPR!$A:$A,0),9),"")</f>
        <v/>
      </c>
      <c r="M29">
        <f>IFERROR($C29*INDEX(SPPR!$E:$X,MATCH($A29,SPPR!$A:$A,0),10),"")</f>
        <v/>
      </c>
      <c r="N29">
        <f>IFERROR($C29*INDEX(SPPR!$E:$X,MATCH($A29,SPPR!$A:$A,0),11),"")</f>
        <v/>
      </c>
      <c r="O29">
        <f>IFERROR($C29*INDEX(SPPR!$E:$X,MATCH($A29,SPPR!$A:$A,0),12),"")</f>
        <v/>
      </c>
      <c r="P29">
        <f>IFERROR($C29*INDEX(SPPR!$E:$X,MATCH($A29,SPPR!$A:$A,0),13),"")</f>
        <v/>
      </c>
      <c r="Q29">
        <f>IFERROR($C29*INDEX(SPPR!$E:$X,MATCH($A29,SPPR!$A:$A,0),14),"")</f>
        <v/>
      </c>
      <c r="R29">
        <f>IFERROR($C29*INDEX(SPPR!$E:$X,MATCH($A29,SPPR!$A:$A,0),15),"")</f>
        <v/>
      </c>
      <c r="S29">
        <f>IFERROR($C29*INDEX(SPPR!$E:$X,MATCH($A29,SPPR!$A:$A,0),16),"")</f>
        <v/>
      </c>
      <c r="T29">
        <f>IFERROR($C29*INDEX(SPPR!$E:$X,MATCH($A29,SPPR!$A:$A,0),17),"")</f>
        <v/>
      </c>
      <c r="U29">
        <f>IFERROR($C29*INDEX(SPPR!$E:$X,MATCH($A29,SPPR!$A:$A,0),18),"")</f>
        <v/>
      </c>
      <c r="V29">
        <f>IFERROR($C29*INDEX(SPPR!$E:$X,MATCH($A29,SPPR!$A:$A,0),19),"")</f>
        <v/>
      </c>
      <c r="W29">
        <f>IFERROR($C29*INDEX(SPPR!$E:$X,MATCH($A29,SPPR!$A:$A,0),20),"")</f>
        <v/>
      </c>
    </row>
    <row r="30">
      <c r="A30" t="inlineStr">
        <is>
          <t>Bivalvia</t>
        </is>
      </c>
      <c r="B30">
        <f>IFERROR(INDEX(SPPR!$D:$D,MATCH($A30,SPPR!$A:$A,0)),"")</f>
        <v/>
      </c>
      <c r="C30">
        <f>IFERROR(INDEX(Catch!$E:$BV,MATCH($A30,Catch!$A:$A,0),MATCH($B$4,Catch!$E$1:$BV$1,0)),0)</f>
        <v/>
      </c>
      <c r="D30">
        <f>IFERROR($C30*INDEX(SPPR!$E:$X,MATCH($A30,SPPR!$A:$A,0),1),"")</f>
        <v/>
      </c>
      <c r="E30">
        <f>IFERROR($C30*INDEX(SPPR!$E:$X,MATCH($A30,SPPR!$A:$A,0),2),"")</f>
        <v/>
      </c>
      <c r="F30">
        <f>IFERROR($C30*INDEX(SPPR!$E:$X,MATCH($A30,SPPR!$A:$A,0),3),"")</f>
        <v/>
      </c>
      <c r="G30">
        <f>IFERROR($C30*INDEX(SPPR!$E:$X,MATCH($A30,SPPR!$A:$A,0),4),"")</f>
        <v/>
      </c>
      <c r="H30">
        <f>IFERROR($C30*INDEX(SPPR!$E:$X,MATCH($A30,SPPR!$A:$A,0),5),"")</f>
        <v/>
      </c>
      <c r="I30">
        <f>IFERROR($C30*INDEX(SPPR!$E:$X,MATCH($A30,SPPR!$A:$A,0),6),"")</f>
        <v/>
      </c>
      <c r="J30">
        <f>IFERROR($C30*INDEX(SPPR!$E:$X,MATCH($A30,SPPR!$A:$A,0),7),"")</f>
        <v/>
      </c>
      <c r="K30">
        <f>IFERROR($C30*INDEX(SPPR!$E:$X,MATCH($A30,SPPR!$A:$A,0),8),"")</f>
        <v/>
      </c>
      <c r="L30">
        <f>IFERROR($C30*INDEX(SPPR!$E:$X,MATCH($A30,SPPR!$A:$A,0),9),"")</f>
        <v/>
      </c>
      <c r="M30">
        <f>IFERROR($C30*INDEX(SPPR!$E:$X,MATCH($A30,SPPR!$A:$A,0),10),"")</f>
        <v/>
      </c>
      <c r="N30">
        <f>IFERROR($C30*INDEX(SPPR!$E:$X,MATCH($A30,SPPR!$A:$A,0),11),"")</f>
        <v/>
      </c>
      <c r="O30">
        <f>IFERROR($C30*INDEX(SPPR!$E:$X,MATCH($A30,SPPR!$A:$A,0),12),"")</f>
        <v/>
      </c>
      <c r="P30">
        <f>IFERROR($C30*INDEX(SPPR!$E:$X,MATCH($A30,SPPR!$A:$A,0),13),"")</f>
        <v/>
      </c>
      <c r="Q30">
        <f>IFERROR($C30*INDEX(SPPR!$E:$X,MATCH($A30,SPPR!$A:$A,0),14),"")</f>
        <v/>
      </c>
      <c r="R30">
        <f>IFERROR($C30*INDEX(SPPR!$E:$X,MATCH($A30,SPPR!$A:$A,0),15),"")</f>
        <v/>
      </c>
      <c r="S30">
        <f>IFERROR($C30*INDEX(SPPR!$E:$X,MATCH($A30,SPPR!$A:$A,0),16),"")</f>
        <v/>
      </c>
      <c r="T30">
        <f>IFERROR($C30*INDEX(SPPR!$E:$X,MATCH($A30,SPPR!$A:$A,0),17),"")</f>
        <v/>
      </c>
      <c r="U30">
        <f>IFERROR($C30*INDEX(SPPR!$E:$X,MATCH($A30,SPPR!$A:$A,0),18),"")</f>
        <v/>
      </c>
      <c r="V30">
        <f>IFERROR($C30*INDEX(SPPR!$E:$X,MATCH($A30,SPPR!$A:$A,0),19),"")</f>
        <v/>
      </c>
      <c r="W30">
        <f>IFERROR($C30*INDEX(SPPR!$E:$X,MATCH($A30,SPPR!$A:$A,0),20),"")</f>
        <v/>
      </c>
    </row>
    <row r="31">
      <c r="A31" t="inlineStr">
        <is>
          <t>Trachysalambria curvirostris</t>
        </is>
      </c>
      <c r="B31">
        <f>IFERROR(INDEX(SPPR!$D:$D,MATCH($A31,SPPR!$A:$A,0)),"")</f>
        <v/>
      </c>
      <c r="C31">
        <f>IFERROR(INDEX(Catch!$E:$BV,MATCH($A31,Catch!$A:$A,0),MATCH($B$4,Catch!$E$1:$BV$1,0)),0)</f>
        <v/>
      </c>
      <c r="D31">
        <f>IFERROR($C31*INDEX(SPPR!$E:$X,MATCH($A31,SPPR!$A:$A,0),1),"")</f>
        <v/>
      </c>
      <c r="E31">
        <f>IFERROR($C31*INDEX(SPPR!$E:$X,MATCH($A31,SPPR!$A:$A,0),2),"")</f>
        <v/>
      </c>
      <c r="F31">
        <f>IFERROR($C31*INDEX(SPPR!$E:$X,MATCH($A31,SPPR!$A:$A,0),3),"")</f>
        <v/>
      </c>
      <c r="G31">
        <f>IFERROR($C31*INDEX(SPPR!$E:$X,MATCH($A31,SPPR!$A:$A,0),4),"")</f>
        <v/>
      </c>
      <c r="H31">
        <f>IFERROR($C31*INDEX(SPPR!$E:$X,MATCH($A31,SPPR!$A:$A,0),5),"")</f>
        <v/>
      </c>
      <c r="I31">
        <f>IFERROR($C31*INDEX(SPPR!$E:$X,MATCH($A31,SPPR!$A:$A,0),6),"")</f>
        <v/>
      </c>
      <c r="J31">
        <f>IFERROR($C31*INDEX(SPPR!$E:$X,MATCH($A31,SPPR!$A:$A,0),7),"")</f>
        <v/>
      </c>
      <c r="K31">
        <f>IFERROR($C31*INDEX(SPPR!$E:$X,MATCH($A31,SPPR!$A:$A,0),8),"")</f>
        <v/>
      </c>
      <c r="L31">
        <f>IFERROR($C31*INDEX(SPPR!$E:$X,MATCH($A31,SPPR!$A:$A,0),9),"")</f>
        <v/>
      </c>
      <c r="M31">
        <f>IFERROR($C31*INDEX(SPPR!$E:$X,MATCH($A31,SPPR!$A:$A,0),10),"")</f>
        <v/>
      </c>
      <c r="N31">
        <f>IFERROR($C31*INDEX(SPPR!$E:$X,MATCH($A31,SPPR!$A:$A,0),11),"")</f>
        <v/>
      </c>
      <c r="O31">
        <f>IFERROR($C31*INDEX(SPPR!$E:$X,MATCH($A31,SPPR!$A:$A,0),12),"")</f>
        <v/>
      </c>
      <c r="P31">
        <f>IFERROR($C31*INDEX(SPPR!$E:$X,MATCH($A31,SPPR!$A:$A,0),13),"")</f>
        <v/>
      </c>
      <c r="Q31">
        <f>IFERROR($C31*INDEX(SPPR!$E:$X,MATCH($A31,SPPR!$A:$A,0),14),"")</f>
        <v/>
      </c>
      <c r="R31">
        <f>IFERROR($C31*INDEX(SPPR!$E:$X,MATCH($A31,SPPR!$A:$A,0),15),"")</f>
        <v/>
      </c>
      <c r="S31">
        <f>IFERROR($C31*INDEX(SPPR!$E:$X,MATCH($A31,SPPR!$A:$A,0),16),"")</f>
        <v/>
      </c>
      <c r="T31">
        <f>IFERROR($C31*INDEX(SPPR!$E:$X,MATCH($A31,SPPR!$A:$A,0),17),"")</f>
        <v/>
      </c>
      <c r="U31">
        <f>IFERROR($C31*INDEX(SPPR!$E:$X,MATCH($A31,SPPR!$A:$A,0),18),"")</f>
        <v/>
      </c>
      <c r="V31">
        <f>IFERROR($C31*INDEX(SPPR!$E:$X,MATCH($A31,SPPR!$A:$A,0),19),"")</f>
        <v/>
      </c>
      <c r="W31">
        <f>IFERROR($C31*INDEX(SPPR!$E:$X,MATCH($A31,SPPR!$A:$A,0),20),"")</f>
        <v/>
      </c>
    </row>
    <row r="32">
      <c r="A32" t="inlineStr">
        <is>
          <t>Nemipterus</t>
        </is>
      </c>
      <c r="B32">
        <f>IFERROR(INDEX(SPPR!$D:$D,MATCH($A32,SPPR!$A:$A,0)),"")</f>
        <v/>
      </c>
      <c r="C32">
        <f>IFERROR(INDEX(Catch!$E:$BV,MATCH($A32,Catch!$A:$A,0),MATCH($B$4,Catch!$E$1:$BV$1,0)),0)</f>
        <v/>
      </c>
      <c r="D32">
        <f>IFERROR($C32*INDEX(SPPR!$E:$X,MATCH($A32,SPPR!$A:$A,0),1),"")</f>
        <v/>
      </c>
      <c r="E32">
        <f>IFERROR($C32*INDEX(SPPR!$E:$X,MATCH($A32,SPPR!$A:$A,0),2),"")</f>
        <v/>
      </c>
      <c r="F32">
        <f>IFERROR($C32*INDEX(SPPR!$E:$X,MATCH($A32,SPPR!$A:$A,0),3),"")</f>
        <v/>
      </c>
      <c r="G32">
        <f>IFERROR($C32*INDEX(SPPR!$E:$X,MATCH($A32,SPPR!$A:$A,0),4),"")</f>
        <v/>
      </c>
      <c r="H32">
        <f>IFERROR($C32*INDEX(SPPR!$E:$X,MATCH($A32,SPPR!$A:$A,0),5),"")</f>
        <v/>
      </c>
      <c r="I32">
        <f>IFERROR($C32*INDEX(SPPR!$E:$X,MATCH($A32,SPPR!$A:$A,0),6),"")</f>
        <v/>
      </c>
      <c r="J32">
        <f>IFERROR($C32*INDEX(SPPR!$E:$X,MATCH($A32,SPPR!$A:$A,0),7),"")</f>
        <v/>
      </c>
      <c r="K32">
        <f>IFERROR($C32*INDEX(SPPR!$E:$X,MATCH($A32,SPPR!$A:$A,0),8),"")</f>
        <v/>
      </c>
      <c r="L32">
        <f>IFERROR($C32*INDEX(SPPR!$E:$X,MATCH($A32,SPPR!$A:$A,0),9),"")</f>
        <v/>
      </c>
      <c r="M32">
        <f>IFERROR($C32*INDEX(SPPR!$E:$X,MATCH($A32,SPPR!$A:$A,0),10),"")</f>
        <v/>
      </c>
      <c r="N32">
        <f>IFERROR($C32*INDEX(SPPR!$E:$X,MATCH($A32,SPPR!$A:$A,0),11),"")</f>
        <v/>
      </c>
      <c r="O32">
        <f>IFERROR($C32*INDEX(SPPR!$E:$X,MATCH($A32,SPPR!$A:$A,0),12),"")</f>
        <v/>
      </c>
      <c r="P32">
        <f>IFERROR($C32*INDEX(SPPR!$E:$X,MATCH($A32,SPPR!$A:$A,0),13),"")</f>
        <v/>
      </c>
      <c r="Q32">
        <f>IFERROR($C32*INDEX(SPPR!$E:$X,MATCH($A32,SPPR!$A:$A,0),14),"")</f>
        <v/>
      </c>
      <c r="R32">
        <f>IFERROR($C32*INDEX(SPPR!$E:$X,MATCH($A32,SPPR!$A:$A,0),15),"")</f>
        <v/>
      </c>
      <c r="S32">
        <f>IFERROR($C32*INDEX(SPPR!$E:$X,MATCH($A32,SPPR!$A:$A,0),16),"")</f>
        <v/>
      </c>
      <c r="T32">
        <f>IFERROR($C32*INDEX(SPPR!$E:$X,MATCH($A32,SPPR!$A:$A,0),17),"")</f>
        <v/>
      </c>
      <c r="U32">
        <f>IFERROR($C32*INDEX(SPPR!$E:$X,MATCH($A32,SPPR!$A:$A,0),18),"")</f>
        <v/>
      </c>
      <c r="V32">
        <f>IFERROR($C32*INDEX(SPPR!$E:$X,MATCH($A32,SPPR!$A:$A,0),19),"")</f>
        <v/>
      </c>
      <c r="W32">
        <f>IFERROR($C32*INDEX(SPPR!$E:$X,MATCH($A32,SPPR!$A:$A,0),20),"")</f>
        <v/>
      </c>
    </row>
    <row r="33">
      <c r="A33" t="inlineStr">
        <is>
          <t>Scomberomorus</t>
        </is>
      </c>
      <c r="B33">
        <f>IFERROR(INDEX(SPPR!$D:$D,MATCH($A33,SPPR!$A:$A,0)),"")</f>
        <v/>
      </c>
      <c r="C33">
        <f>IFERROR(INDEX(Catch!$E:$BV,MATCH($A33,Catch!$A:$A,0),MATCH($B$4,Catch!$E$1:$BV$1,0)),0)</f>
        <v/>
      </c>
      <c r="D33">
        <f>IFERROR($C33*INDEX(SPPR!$E:$X,MATCH($A33,SPPR!$A:$A,0),1),"")</f>
        <v/>
      </c>
      <c r="E33">
        <f>IFERROR($C33*INDEX(SPPR!$E:$X,MATCH($A33,SPPR!$A:$A,0),2),"")</f>
        <v/>
      </c>
      <c r="F33">
        <f>IFERROR($C33*INDEX(SPPR!$E:$X,MATCH($A33,SPPR!$A:$A,0),3),"")</f>
        <v/>
      </c>
      <c r="G33">
        <f>IFERROR($C33*INDEX(SPPR!$E:$X,MATCH($A33,SPPR!$A:$A,0),4),"")</f>
        <v/>
      </c>
      <c r="H33">
        <f>IFERROR($C33*INDEX(SPPR!$E:$X,MATCH($A33,SPPR!$A:$A,0),5),"")</f>
        <v/>
      </c>
      <c r="I33">
        <f>IFERROR($C33*INDEX(SPPR!$E:$X,MATCH($A33,SPPR!$A:$A,0),6),"")</f>
        <v/>
      </c>
      <c r="J33">
        <f>IFERROR($C33*INDEX(SPPR!$E:$X,MATCH($A33,SPPR!$A:$A,0),7),"")</f>
        <v/>
      </c>
      <c r="K33">
        <f>IFERROR($C33*INDEX(SPPR!$E:$X,MATCH($A33,SPPR!$A:$A,0),8),"")</f>
        <v/>
      </c>
      <c r="L33">
        <f>IFERROR($C33*INDEX(SPPR!$E:$X,MATCH($A33,SPPR!$A:$A,0),9),"")</f>
        <v/>
      </c>
      <c r="M33">
        <f>IFERROR($C33*INDEX(SPPR!$E:$X,MATCH($A33,SPPR!$A:$A,0),10),"")</f>
        <v/>
      </c>
      <c r="N33">
        <f>IFERROR($C33*INDEX(SPPR!$E:$X,MATCH($A33,SPPR!$A:$A,0),11),"")</f>
        <v/>
      </c>
      <c r="O33">
        <f>IFERROR($C33*INDEX(SPPR!$E:$X,MATCH($A33,SPPR!$A:$A,0),12),"")</f>
        <v/>
      </c>
      <c r="P33">
        <f>IFERROR($C33*INDEX(SPPR!$E:$X,MATCH($A33,SPPR!$A:$A,0),13),"")</f>
        <v/>
      </c>
      <c r="Q33">
        <f>IFERROR($C33*INDEX(SPPR!$E:$X,MATCH($A33,SPPR!$A:$A,0),14),"")</f>
        <v/>
      </c>
      <c r="R33">
        <f>IFERROR($C33*INDEX(SPPR!$E:$X,MATCH($A33,SPPR!$A:$A,0),15),"")</f>
        <v/>
      </c>
      <c r="S33">
        <f>IFERROR($C33*INDEX(SPPR!$E:$X,MATCH($A33,SPPR!$A:$A,0),16),"")</f>
        <v/>
      </c>
      <c r="T33">
        <f>IFERROR($C33*INDEX(SPPR!$E:$X,MATCH($A33,SPPR!$A:$A,0),17),"")</f>
        <v/>
      </c>
      <c r="U33">
        <f>IFERROR($C33*INDEX(SPPR!$E:$X,MATCH($A33,SPPR!$A:$A,0),18),"")</f>
        <v/>
      </c>
      <c r="V33">
        <f>IFERROR($C33*INDEX(SPPR!$E:$X,MATCH($A33,SPPR!$A:$A,0),19),"")</f>
        <v/>
      </c>
      <c r="W33">
        <f>IFERROR($C33*INDEX(SPPR!$E:$X,MATCH($A33,SPPR!$A:$A,0),20),"")</f>
        <v/>
      </c>
    </row>
    <row r="34">
      <c r="A34" t="inlineStr">
        <is>
          <t>Portunus trituberculatus</t>
        </is>
      </c>
      <c r="B34">
        <f>IFERROR(INDEX(SPPR!$D:$D,MATCH($A34,SPPR!$A:$A,0)),"")</f>
        <v/>
      </c>
      <c r="C34">
        <f>IFERROR(INDEX(Catch!$E:$BV,MATCH($A34,Catch!$A:$A,0),MATCH($B$4,Catch!$E$1:$BV$1,0)),0)</f>
        <v/>
      </c>
      <c r="D34">
        <f>IFERROR($C34*INDEX(SPPR!$E:$X,MATCH($A34,SPPR!$A:$A,0),1),"")</f>
        <v/>
      </c>
      <c r="E34">
        <f>IFERROR($C34*INDEX(SPPR!$E:$X,MATCH($A34,SPPR!$A:$A,0),2),"")</f>
        <v/>
      </c>
      <c r="F34">
        <f>IFERROR($C34*INDEX(SPPR!$E:$X,MATCH($A34,SPPR!$A:$A,0),3),"")</f>
        <v/>
      </c>
      <c r="G34">
        <f>IFERROR($C34*INDEX(SPPR!$E:$X,MATCH($A34,SPPR!$A:$A,0),4),"")</f>
        <v/>
      </c>
      <c r="H34">
        <f>IFERROR($C34*INDEX(SPPR!$E:$X,MATCH($A34,SPPR!$A:$A,0),5),"")</f>
        <v/>
      </c>
      <c r="I34">
        <f>IFERROR($C34*INDEX(SPPR!$E:$X,MATCH($A34,SPPR!$A:$A,0),6),"")</f>
        <v/>
      </c>
      <c r="J34">
        <f>IFERROR($C34*INDEX(SPPR!$E:$X,MATCH($A34,SPPR!$A:$A,0),7),"")</f>
        <v/>
      </c>
      <c r="K34">
        <f>IFERROR($C34*INDEX(SPPR!$E:$X,MATCH($A34,SPPR!$A:$A,0),8),"")</f>
        <v/>
      </c>
      <c r="L34">
        <f>IFERROR($C34*INDEX(SPPR!$E:$X,MATCH($A34,SPPR!$A:$A,0),9),"")</f>
        <v/>
      </c>
      <c r="M34">
        <f>IFERROR($C34*INDEX(SPPR!$E:$X,MATCH($A34,SPPR!$A:$A,0),10),"")</f>
        <v/>
      </c>
      <c r="N34">
        <f>IFERROR($C34*INDEX(SPPR!$E:$X,MATCH($A34,SPPR!$A:$A,0),11),"")</f>
        <v/>
      </c>
      <c r="O34">
        <f>IFERROR($C34*INDEX(SPPR!$E:$X,MATCH($A34,SPPR!$A:$A,0),12),"")</f>
        <v/>
      </c>
      <c r="P34">
        <f>IFERROR($C34*INDEX(SPPR!$E:$X,MATCH($A34,SPPR!$A:$A,0),13),"")</f>
        <v/>
      </c>
      <c r="Q34">
        <f>IFERROR($C34*INDEX(SPPR!$E:$X,MATCH($A34,SPPR!$A:$A,0),14),"")</f>
        <v/>
      </c>
      <c r="R34">
        <f>IFERROR($C34*INDEX(SPPR!$E:$X,MATCH($A34,SPPR!$A:$A,0),15),"")</f>
        <v/>
      </c>
      <c r="S34">
        <f>IFERROR($C34*INDEX(SPPR!$E:$X,MATCH($A34,SPPR!$A:$A,0),16),"")</f>
        <v/>
      </c>
      <c r="T34">
        <f>IFERROR($C34*INDEX(SPPR!$E:$X,MATCH($A34,SPPR!$A:$A,0),17),"")</f>
        <v/>
      </c>
      <c r="U34">
        <f>IFERROR($C34*INDEX(SPPR!$E:$X,MATCH($A34,SPPR!$A:$A,0),18),"")</f>
        <v/>
      </c>
      <c r="V34">
        <f>IFERROR($C34*INDEX(SPPR!$E:$X,MATCH($A34,SPPR!$A:$A,0),19),"")</f>
        <v/>
      </c>
      <c r="W34">
        <f>IFERROR($C34*INDEX(SPPR!$E:$X,MATCH($A34,SPPR!$A:$A,0),20),"")</f>
        <v/>
      </c>
    </row>
    <row r="35">
      <c r="A35" t="inlineStr">
        <is>
          <t>Octopoda</t>
        </is>
      </c>
      <c r="B35">
        <f>IFERROR(INDEX(SPPR!$D:$D,MATCH($A35,SPPR!$A:$A,0)),"")</f>
        <v/>
      </c>
      <c r="C35">
        <f>IFERROR(INDEX(Catch!$E:$BV,MATCH($A35,Catch!$A:$A,0),MATCH($B$4,Catch!$E$1:$BV$1,0)),0)</f>
        <v/>
      </c>
      <c r="D35">
        <f>IFERROR($C35*INDEX(SPPR!$E:$X,MATCH($A35,SPPR!$A:$A,0),1),"")</f>
        <v/>
      </c>
      <c r="E35">
        <f>IFERROR($C35*INDEX(SPPR!$E:$X,MATCH($A35,SPPR!$A:$A,0),2),"")</f>
        <v/>
      </c>
      <c r="F35">
        <f>IFERROR($C35*INDEX(SPPR!$E:$X,MATCH($A35,SPPR!$A:$A,0),3),"")</f>
        <v/>
      </c>
      <c r="G35">
        <f>IFERROR($C35*INDEX(SPPR!$E:$X,MATCH($A35,SPPR!$A:$A,0),4),"")</f>
        <v/>
      </c>
      <c r="H35">
        <f>IFERROR($C35*INDEX(SPPR!$E:$X,MATCH($A35,SPPR!$A:$A,0),5),"")</f>
        <v/>
      </c>
      <c r="I35">
        <f>IFERROR($C35*INDEX(SPPR!$E:$X,MATCH($A35,SPPR!$A:$A,0),6),"")</f>
        <v/>
      </c>
      <c r="J35">
        <f>IFERROR($C35*INDEX(SPPR!$E:$X,MATCH($A35,SPPR!$A:$A,0),7),"")</f>
        <v/>
      </c>
      <c r="K35">
        <f>IFERROR($C35*INDEX(SPPR!$E:$X,MATCH($A35,SPPR!$A:$A,0),8),"")</f>
        <v/>
      </c>
      <c r="L35">
        <f>IFERROR($C35*INDEX(SPPR!$E:$X,MATCH($A35,SPPR!$A:$A,0),9),"")</f>
        <v/>
      </c>
      <c r="M35">
        <f>IFERROR($C35*INDEX(SPPR!$E:$X,MATCH($A35,SPPR!$A:$A,0),10),"")</f>
        <v/>
      </c>
      <c r="N35">
        <f>IFERROR($C35*INDEX(SPPR!$E:$X,MATCH($A35,SPPR!$A:$A,0),11),"")</f>
        <v/>
      </c>
      <c r="O35">
        <f>IFERROR($C35*INDEX(SPPR!$E:$X,MATCH($A35,SPPR!$A:$A,0),12),"")</f>
        <v/>
      </c>
      <c r="P35">
        <f>IFERROR($C35*INDEX(SPPR!$E:$X,MATCH($A35,SPPR!$A:$A,0),13),"")</f>
        <v/>
      </c>
      <c r="Q35">
        <f>IFERROR($C35*INDEX(SPPR!$E:$X,MATCH($A35,SPPR!$A:$A,0),14),"")</f>
        <v/>
      </c>
      <c r="R35">
        <f>IFERROR($C35*INDEX(SPPR!$E:$X,MATCH($A35,SPPR!$A:$A,0),15),"")</f>
        <v/>
      </c>
      <c r="S35">
        <f>IFERROR($C35*INDEX(SPPR!$E:$X,MATCH($A35,SPPR!$A:$A,0),16),"")</f>
        <v/>
      </c>
      <c r="T35">
        <f>IFERROR($C35*INDEX(SPPR!$E:$X,MATCH($A35,SPPR!$A:$A,0),17),"")</f>
        <v/>
      </c>
      <c r="U35">
        <f>IFERROR($C35*INDEX(SPPR!$E:$X,MATCH($A35,SPPR!$A:$A,0),18),"")</f>
        <v/>
      </c>
      <c r="V35">
        <f>IFERROR($C35*INDEX(SPPR!$E:$X,MATCH($A35,SPPR!$A:$A,0),19),"")</f>
        <v/>
      </c>
      <c r="W35">
        <f>IFERROR($C35*INDEX(SPPR!$E:$X,MATCH($A35,SPPR!$A:$A,0),20),"")</f>
        <v/>
      </c>
    </row>
    <row r="36">
      <c r="A36" t="inlineStr">
        <is>
          <t>Sepiida</t>
        </is>
      </c>
      <c r="B36">
        <f>IFERROR(INDEX(SPPR!$D:$D,MATCH($A36,SPPR!$A:$A,0)),"")</f>
        <v/>
      </c>
      <c r="C36">
        <f>IFERROR(INDEX(Catch!$E:$BV,MATCH($A36,Catch!$A:$A,0),MATCH($B$4,Catch!$E$1:$BV$1,0)),0)</f>
        <v/>
      </c>
      <c r="D36">
        <f>IFERROR($C36*INDEX(SPPR!$E:$X,MATCH($A36,SPPR!$A:$A,0),1),"")</f>
        <v/>
      </c>
      <c r="E36">
        <f>IFERROR($C36*INDEX(SPPR!$E:$X,MATCH($A36,SPPR!$A:$A,0),2),"")</f>
        <v/>
      </c>
      <c r="F36">
        <f>IFERROR($C36*INDEX(SPPR!$E:$X,MATCH($A36,SPPR!$A:$A,0),3),"")</f>
        <v/>
      </c>
      <c r="G36">
        <f>IFERROR($C36*INDEX(SPPR!$E:$X,MATCH($A36,SPPR!$A:$A,0),4),"")</f>
        <v/>
      </c>
      <c r="H36">
        <f>IFERROR($C36*INDEX(SPPR!$E:$X,MATCH($A36,SPPR!$A:$A,0),5),"")</f>
        <v/>
      </c>
      <c r="I36">
        <f>IFERROR($C36*INDEX(SPPR!$E:$X,MATCH($A36,SPPR!$A:$A,0),6),"")</f>
        <v/>
      </c>
      <c r="J36">
        <f>IFERROR($C36*INDEX(SPPR!$E:$X,MATCH($A36,SPPR!$A:$A,0),7),"")</f>
        <v/>
      </c>
      <c r="K36">
        <f>IFERROR($C36*INDEX(SPPR!$E:$X,MATCH($A36,SPPR!$A:$A,0),8),"")</f>
        <v/>
      </c>
      <c r="L36">
        <f>IFERROR($C36*INDEX(SPPR!$E:$X,MATCH($A36,SPPR!$A:$A,0),9),"")</f>
        <v/>
      </c>
      <c r="M36">
        <f>IFERROR($C36*INDEX(SPPR!$E:$X,MATCH($A36,SPPR!$A:$A,0),10),"")</f>
        <v/>
      </c>
      <c r="N36">
        <f>IFERROR($C36*INDEX(SPPR!$E:$X,MATCH($A36,SPPR!$A:$A,0),11),"")</f>
        <v/>
      </c>
      <c r="O36">
        <f>IFERROR($C36*INDEX(SPPR!$E:$X,MATCH($A36,SPPR!$A:$A,0),12),"")</f>
        <v/>
      </c>
      <c r="P36">
        <f>IFERROR($C36*INDEX(SPPR!$E:$X,MATCH($A36,SPPR!$A:$A,0),13),"")</f>
        <v/>
      </c>
      <c r="Q36">
        <f>IFERROR($C36*INDEX(SPPR!$E:$X,MATCH($A36,SPPR!$A:$A,0),14),"")</f>
        <v/>
      </c>
      <c r="R36">
        <f>IFERROR($C36*INDEX(SPPR!$E:$X,MATCH($A36,SPPR!$A:$A,0),15),"")</f>
        <v/>
      </c>
      <c r="S36">
        <f>IFERROR($C36*INDEX(SPPR!$E:$X,MATCH($A36,SPPR!$A:$A,0),16),"")</f>
        <v/>
      </c>
      <c r="T36">
        <f>IFERROR($C36*INDEX(SPPR!$E:$X,MATCH($A36,SPPR!$A:$A,0),17),"")</f>
        <v/>
      </c>
      <c r="U36">
        <f>IFERROR($C36*INDEX(SPPR!$E:$X,MATCH($A36,SPPR!$A:$A,0),18),"")</f>
        <v/>
      </c>
      <c r="V36">
        <f>IFERROR($C36*INDEX(SPPR!$E:$X,MATCH($A36,SPPR!$A:$A,0),19),"")</f>
        <v/>
      </c>
      <c r="W36">
        <f>IFERROR($C36*INDEX(SPPR!$E:$X,MATCH($A36,SPPR!$A:$A,0),20),"")</f>
        <v/>
      </c>
    </row>
    <row r="37">
      <c r="A37" t="inlineStr">
        <is>
          <t>Larimichthys crocea</t>
        </is>
      </c>
      <c r="B37">
        <f>IFERROR(INDEX(SPPR!$D:$D,MATCH($A37,SPPR!$A:$A,0)),"")</f>
        <v/>
      </c>
      <c r="C37">
        <f>IFERROR(INDEX(Catch!$E:$BV,MATCH($A37,Catch!$A:$A,0),MATCH($B$4,Catch!$E$1:$BV$1,0)),0)</f>
        <v/>
      </c>
      <c r="D37">
        <f>IFERROR($C37*INDEX(SPPR!$E:$X,MATCH($A37,SPPR!$A:$A,0),1),"")</f>
        <v/>
      </c>
      <c r="E37">
        <f>IFERROR($C37*INDEX(SPPR!$E:$X,MATCH($A37,SPPR!$A:$A,0),2),"")</f>
        <v/>
      </c>
      <c r="F37">
        <f>IFERROR($C37*INDEX(SPPR!$E:$X,MATCH($A37,SPPR!$A:$A,0),3),"")</f>
        <v/>
      </c>
      <c r="G37">
        <f>IFERROR($C37*INDEX(SPPR!$E:$X,MATCH($A37,SPPR!$A:$A,0),4),"")</f>
        <v/>
      </c>
      <c r="H37">
        <f>IFERROR($C37*INDEX(SPPR!$E:$X,MATCH($A37,SPPR!$A:$A,0),5),"")</f>
        <v/>
      </c>
      <c r="I37">
        <f>IFERROR($C37*INDEX(SPPR!$E:$X,MATCH($A37,SPPR!$A:$A,0),6),"")</f>
        <v/>
      </c>
      <c r="J37">
        <f>IFERROR($C37*INDEX(SPPR!$E:$X,MATCH($A37,SPPR!$A:$A,0),7),"")</f>
        <v/>
      </c>
      <c r="K37">
        <f>IFERROR($C37*INDEX(SPPR!$E:$X,MATCH($A37,SPPR!$A:$A,0),8),"")</f>
        <v/>
      </c>
      <c r="L37">
        <f>IFERROR($C37*INDEX(SPPR!$E:$X,MATCH($A37,SPPR!$A:$A,0),9),"")</f>
        <v/>
      </c>
      <c r="M37">
        <f>IFERROR($C37*INDEX(SPPR!$E:$X,MATCH($A37,SPPR!$A:$A,0),10),"")</f>
        <v/>
      </c>
      <c r="N37">
        <f>IFERROR($C37*INDEX(SPPR!$E:$X,MATCH($A37,SPPR!$A:$A,0),11),"")</f>
        <v/>
      </c>
      <c r="O37">
        <f>IFERROR($C37*INDEX(SPPR!$E:$X,MATCH($A37,SPPR!$A:$A,0),12),"")</f>
        <v/>
      </c>
      <c r="P37">
        <f>IFERROR($C37*INDEX(SPPR!$E:$X,MATCH($A37,SPPR!$A:$A,0),13),"")</f>
        <v/>
      </c>
      <c r="Q37">
        <f>IFERROR($C37*INDEX(SPPR!$E:$X,MATCH($A37,SPPR!$A:$A,0),14),"")</f>
        <v/>
      </c>
      <c r="R37">
        <f>IFERROR($C37*INDEX(SPPR!$E:$X,MATCH($A37,SPPR!$A:$A,0),15),"")</f>
        <v/>
      </c>
      <c r="S37">
        <f>IFERROR($C37*INDEX(SPPR!$E:$X,MATCH($A37,SPPR!$A:$A,0),16),"")</f>
        <v/>
      </c>
      <c r="T37">
        <f>IFERROR($C37*INDEX(SPPR!$E:$X,MATCH($A37,SPPR!$A:$A,0),17),"")</f>
        <v/>
      </c>
      <c r="U37">
        <f>IFERROR($C37*INDEX(SPPR!$E:$X,MATCH($A37,SPPR!$A:$A,0),18),"")</f>
        <v/>
      </c>
      <c r="V37">
        <f>IFERROR($C37*INDEX(SPPR!$E:$X,MATCH($A37,SPPR!$A:$A,0),19),"")</f>
        <v/>
      </c>
      <c r="W37">
        <f>IFERROR($C37*INDEX(SPPR!$E:$X,MATCH($A37,SPPR!$A:$A,0),20),"")</f>
        <v/>
      </c>
    </row>
    <row r="38">
      <c r="A38" t="inlineStr">
        <is>
          <t>Scomberomorus niphonius</t>
        </is>
      </c>
      <c r="B38">
        <f>IFERROR(INDEX(SPPR!$D:$D,MATCH($A38,SPPR!$A:$A,0)),"")</f>
        <v/>
      </c>
      <c r="C38">
        <f>IFERROR(INDEX(Catch!$E:$BV,MATCH($A38,Catch!$A:$A,0),MATCH($B$4,Catch!$E$1:$BV$1,0)),0)</f>
        <v/>
      </c>
      <c r="D38">
        <f>IFERROR($C38*INDEX(SPPR!$E:$X,MATCH($A38,SPPR!$A:$A,0),1),"")</f>
        <v/>
      </c>
      <c r="E38">
        <f>IFERROR($C38*INDEX(SPPR!$E:$X,MATCH($A38,SPPR!$A:$A,0),2),"")</f>
        <v/>
      </c>
      <c r="F38">
        <f>IFERROR($C38*INDEX(SPPR!$E:$X,MATCH($A38,SPPR!$A:$A,0),3),"")</f>
        <v/>
      </c>
      <c r="G38">
        <f>IFERROR($C38*INDEX(SPPR!$E:$X,MATCH($A38,SPPR!$A:$A,0),4),"")</f>
        <v/>
      </c>
      <c r="H38">
        <f>IFERROR($C38*INDEX(SPPR!$E:$X,MATCH($A38,SPPR!$A:$A,0),5),"")</f>
        <v/>
      </c>
      <c r="I38">
        <f>IFERROR($C38*INDEX(SPPR!$E:$X,MATCH($A38,SPPR!$A:$A,0),6),"")</f>
        <v/>
      </c>
      <c r="J38">
        <f>IFERROR($C38*INDEX(SPPR!$E:$X,MATCH($A38,SPPR!$A:$A,0),7),"")</f>
        <v/>
      </c>
      <c r="K38">
        <f>IFERROR($C38*INDEX(SPPR!$E:$X,MATCH($A38,SPPR!$A:$A,0),8),"")</f>
        <v/>
      </c>
      <c r="L38">
        <f>IFERROR($C38*INDEX(SPPR!$E:$X,MATCH($A38,SPPR!$A:$A,0),9),"")</f>
        <v/>
      </c>
      <c r="M38">
        <f>IFERROR($C38*INDEX(SPPR!$E:$X,MATCH($A38,SPPR!$A:$A,0),10),"")</f>
        <v/>
      </c>
      <c r="N38">
        <f>IFERROR($C38*INDEX(SPPR!$E:$X,MATCH($A38,SPPR!$A:$A,0),11),"")</f>
        <v/>
      </c>
      <c r="O38">
        <f>IFERROR($C38*INDEX(SPPR!$E:$X,MATCH($A38,SPPR!$A:$A,0),12),"")</f>
        <v/>
      </c>
      <c r="P38">
        <f>IFERROR($C38*INDEX(SPPR!$E:$X,MATCH($A38,SPPR!$A:$A,0),13),"")</f>
        <v/>
      </c>
      <c r="Q38">
        <f>IFERROR($C38*INDEX(SPPR!$E:$X,MATCH($A38,SPPR!$A:$A,0),14),"")</f>
        <v/>
      </c>
      <c r="R38">
        <f>IFERROR($C38*INDEX(SPPR!$E:$X,MATCH($A38,SPPR!$A:$A,0),15),"")</f>
        <v/>
      </c>
      <c r="S38">
        <f>IFERROR($C38*INDEX(SPPR!$E:$X,MATCH($A38,SPPR!$A:$A,0),16),"")</f>
        <v/>
      </c>
      <c r="T38">
        <f>IFERROR($C38*INDEX(SPPR!$E:$X,MATCH($A38,SPPR!$A:$A,0),17),"")</f>
        <v/>
      </c>
      <c r="U38">
        <f>IFERROR($C38*INDEX(SPPR!$E:$X,MATCH($A38,SPPR!$A:$A,0),18),"")</f>
        <v/>
      </c>
      <c r="V38">
        <f>IFERROR($C38*INDEX(SPPR!$E:$X,MATCH($A38,SPPR!$A:$A,0),19),"")</f>
        <v/>
      </c>
      <c r="W38">
        <f>IFERROR($C38*INDEX(SPPR!$E:$X,MATCH($A38,SPPR!$A:$A,0),20),"")</f>
        <v/>
      </c>
    </row>
    <row r="39">
      <c r="A39" t="inlineStr">
        <is>
          <t>Planiliza haematocheilus</t>
        </is>
      </c>
      <c r="B39">
        <f>IFERROR(INDEX(SPPR!$D:$D,MATCH($A39,SPPR!$A:$A,0)),"")</f>
        <v/>
      </c>
      <c r="C39">
        <f>IFERROR(INDEX(Catch!$E:$BV,MATCH($A39,Catch!$A:$A,0),MATCH($B$4,Catch!$E$1:$BV$1,0)),0)</f>
        <v/>
      </c>
      <c r="D39">
        <f>IFERROR($C39*INDEX(SPPR!$E:$X,MATCH($A39,SPPR!$A:$A,0),1),"")</f>
        <v/>
      </c>
      <c r="E39">
        <f>IFERROR($C39*INDEX(SPPR!$E:$X,MATCH($A39,SPPR!$A:$A,0),2),"")</f>
        <v/>
      </c>
      <c r="F39">
        <f>IFERROR($C39*INDEX(SPPR!$E:$X,MATCH($A39,SPPR!$A:$A,0),3),"")</f>
        <v/>
      </c>
      <c r="G39">
        <f>IFERROR($C39*INDEX(SPPR!$E:$X,MATCH($A39,SPPR!$A:$A,0),4),"")</f>
        <v/>
      </c>
      <c r="H39">
        <f>IFERROR($C39*INDEX(SPPR!$E:$X,MATCH($A39,SPPR!$A:$A,0),5),"")</f>
        <v/>
      </c>
      <c r="I39">
        <f>IFERROR($C39*INDEX(SPPR!$E:$X,MATCH($A39,SPPR!$A:$A,0),6),"")</f>
        <v/>
      </c>
      <c r="J39">
        <f>IFERROR($C39*INDEX(SPPR!$E:$X,MATCH($A39,SPPR!$A:$A,0),7),"")</f>
        <v/>
      </c>
      <c r="K39">
        <f>IFERROR($C39*INDEX(SPPR!$E:$X,MATCH($A39,SPPR!$A:$A,0),8),"")</f>
        <v/>
      </c>
      <c r="L39">
        <f>IFERROR($C39*INDEX(SPPR!$E:$X,MATCH($A39,SPPR!$A:$A,0),9),"")</f>
        <v/>
      </c>
      <c r="M39">
        <f>IFERROR($C39*INDEX(SPPR!$E:$X,MATCH($A39,SPPR!$A:$A,0),10),"")</f>
        <v/>
      </c>
      <c r="N39">
        <f>IFERROR($C39*INDEX(SPPR!$E:$X,MATCH($A39,SPPR!$A:$A,0),11),"")</f>
        <v/>
      </c>
      <c r="O39">
        <f>IFERROR($C39*INDEX(SPPR!$E:$X,MATCH($A39,SPPR!$A:$A,0),12),"")</f>
        <v/>
      </c>
      <c r="P39">
        <f>IFERROR($C39*INDEX(SPPR!$E:$X,MATCH($A39,SPPR!$A:$A,0),13),"")</f>
        <v/>
      </c>
      <c r="Q39">
        <f>IFERROR($C39*INDEX(SPPR!$E:$X,MATCH($A39,SPPR!$A:$A,0),14),"")</f>
        <v/>
      </c>
      <c r="R39">
        <f>IFERROR($C39*INDEX(SPPR!$E:$X,MATCH($A39,SPPR!$A:$A,0),15),"")</f>
        <v/>
      </c>
      <c r="S39">
        <f>IFERROR($C39*INDEX(SPPR!$E:$X,MATCH($A39,SPPR!$A:$A,0),16),"")</f>
        <v/>
      </c>
      <c r="T39">
        <f>IFERROR($C39*INDEX(SPPR!$E:$X,MATCH($A39,SPPR!$A:$A,0),17),"")</f>
        <v/>
      </c>
      <c r="U39">
        <f>IFERROR($C39*INDEX(SPPR!$E:$X,MATCH($A39,SPPR!$A:$A,0),18),"")</f>
        <v/>
      </c>
      <c r="V39">
        <f>IFERROR($C39*INDEX(SPPR!$E:$X,MATCH($A39,SPPR!$A:$A,0),19),"")</f>
        <v/>
      </c>
      <c r="W39">
        <f>IFERROR($C39*INDEX(SPPR!$E:$X,MATCH($A39,SPPR!$A:$A,0),20),"")</f>
        <v/>
      </c>
    </row>
    <row r="40">
      <c r="A40" t="inlineStr">
        <is>
          <t>Teuthida</t>
        </is>
      </c>
      <c r="B40">
        <f>IFERROR(INDEX(SPPR!$D:$D,MATCH($A40,SPPR!$A:$A,0)),"")</f>
        <v/>
      </c>
      <c r="C40">
        <f>IFERROR(INDEX(Catch!$E:$BV,MATCH($A40,Catch!$A:$A,0),MATCH($B$4,Catch!$E$1:$BV$1,0)),0)</f>
        <v/>
      </c>
      <c r="D40">
        <f>IFERROR($C40*INDEX(SPPR!$E:$X,MATCH($A40,SPPR!$A:$A,0),1),"")</f>
        <v/>
      </c>
      <c r="E40">
        <f>IFERROR($C40*INDEX(SPPR!$E:$X,MATCH($A40,SPPR!$A:$A,0),2),"")</f>
        <v/>
      </c>
      <c r="F40">
        <f>IFERROR($C40*INDEX(SPPR!$E:$X,MATCH($A40,SPPR!$A:$A,0),3),"")</f>
        <v/>
      </c>
      <c r="G40">
        <f>IFERROR($C40*INDEX(SPPR!$E:$X,MATCH($A40,SPPR!$A:$A,0),4),"")</f>
        <v/>
      </c>
      <c r="H40">
        <f>IFERROR($C40*INDEX(SPPR!$E:$X,MATCH($A40,SPPR!$A:$A,0),5),"")</f>
        <v/>
      </c>
      <c r="I40">
        <f>IFERROR($C40*INDEX(SPPR!$E:$X,MATCH($A40,SPPR!$A:$A,0),6),"")</f>
        <v/>
      </c>
      <c r="J40">
        <f>IFERROR($C40*INDEX(SPPR!$E:$X,MATCH($A40,SPPR!$A:$A,0),7),"")</f>
        <v/>
      </c>
      <c r="K40">
        <f>IFERROR($C40*INDEX(SPPR!$E:$X,MATCH($A40,SPPR!$A:$A,0),8),"")</f>
        <v/>
      </c>
      <c r="L40">
        <f>IFERROR($C40*INDEX(SPPR!$E:$X,MATCH($A40,SPPR!$A:$A,0),9),"")</f>
        <v/>
      </c>
      <c r="M40">
        <f>IFERROR($C40*INDEX(SPPR!$E:$X,MATCH($A40,SPPR!$A:$A,0),10),"")</f>
        <v/>
      </c>
      <c r="N40">
        <f>IFERROR($C40*INDEX(SPPR!$E:$X,MATCH($A40,SPPR!$A:$A,0),11),"")</f>
        <v/>
      </c>
      <c r="O40">
        <f>IFERROR($C40*INDEX(SPPR!$E:$X,MATCH($A40,SPPR!$A:$A,0),12),"")</f>
        <v/>
      </c>
      <c r="P40">
        <f>IFERROR($C40*INDEX(SPPR!$E:$X,MATCH($A40,SPPR!$A:$A,0),13),"")</f>
        <v/>
      </c>
      <c r="Q40">
        <f>IFERROR($C40*INDEX(SPPR!$E:$X,MATCH($A40,SPPR!$A:$A,0),14),"")</f>
        <v/>
      </c>
      <c r="R40">
        <f>IFERROR($C40*INDEX(SPPR!$E:$X,MATCH($A40,SPPR!$A:$A,0),15),"")</f>
        <v/>
      </c>
      <c r="S40">
        <f>IFERROR($C40*INDEX(SPPR!$E:$X,MATCH($A40,SPPR!$A:$A,0),16),"")</f>
        <v/>
      </c>
      <c r="T40">
        <f>IFERROR($C40*INDEX(SPPR!$E:$X,MATCH($A40,SPPR!$A:$A,0),17),"")</f>
        <v/>
      </c>
      <c r="U40">
        <f>IFERROR($C40*INDEX(SPPR!$E:$X,MATCH($A40,SPPR!$A:$A,0),18),"")</f>
        <v/>
      </c>
      <c r="V40">
        <f>IFERROR($C40*INDEX(SPPR!$E:$X,MATCH($A40,SPPR!$A:$A,0),19),"")</f>
        <v/>
      </c>
      <c r="W40">
        <f>IFERROR($C40*INDEX(SPPR!$E:$X,MATCH($A40,SPPR!$A:$A,0),20),"")</f>
        <v/>
      </c>
    </row>
    <row r="41">
      <c r="A41" t="inlineStr">
        <is>
          <t>Penaeus chinensis</t>
        </is>
      </c>
      <c r="B41">
        <f>IFERROR(INDEX(SPPR!$D:$D,MATCH($A41,SPPR!$A:$A,0)),"")</f>
        <v/>
      </c>
      <c r="C41">
        <f>IFERROR(INDEX(Catch!$E:$BV,MATCH($A41,Catch!$A:$A,0),MATCH($B$4,Catch!$E$1:$BV$1,0)),0)</f>
        <v/>
      </c>
      <c r="D41">
        <f>IFERROR($C41*INDEX(SPPR!$E:$X,MATCH($A41,SPPR!$A:$A,0),1),"")</f>
        <v/>
      </c>
      <c r="E41">
        <f>IFERROR($C41*INDEX(SPPR!$E:$X,MATCH($A41,SPPR!$A:$A,0),2),"")</f>
        <v/>
      </c>
      <c r="F41">
        <f>IFERROR($C41*INDEX(SPPR!$E:$X,MATCH($A41,SPPR!$A:$A,0),3),"")</f>
        <v/>
      </c>
      <c r="G41">
        <f>IFERROR($C41*INDEX(SPPR!$E:$X,MATCH($A41,SPPR!$A:$A,0),4),"")</f>
        <v/>
      </c>
      <c r="H41">
        <f>IFERROR($C41*INDEX(SPPR!$E:$X,MATCH($A41,SPPR!$A:$A,0),5),"")</f>
        <v/>
      </c>
      <c r="I41">
        <f>IFERROR($C41*INDEX(SPPR!$E:$X,MATCH($A41,SPPR!$A:$A,0),6),"")</f>
        <v/>
      </c>
      <c r="J41">
        <f>IFERROR($C41*INDEX(SPPR!$E:$X,MATCH($A41,SPPR!$A:$A,0),7),"")</f>
        <v/>
      </c>
      <c r="K41">
        <f>IFERROR($C41*INDEX(SPPR!$E:$X,MATCH($A41,SPPR!$A:$A,0),8),"")</f>
        <v/>
      </c>
      <c r="L41">
        <f>IFERROR($C41*INDEX(SPPR!$E:$X,MATCH($A41,SPPR!$A:$A,0),9),"")</f>
        <v/>
      </c>
      <c r="M41">
        <f>IFERROR($C41*INDEX(SPPR!$E:$X,MATCH($A41,SPPR!$A:$A,0),10),"")</f>
        <v/>
      </c>
      <c r="N41">
        <f>IFERROR($C41*INDEX(SPPR!$E:$X,MATCH($A41,SPPR!$A:$A,0),11),"")</f>
        <v/>
      </c>
      <c r="O41">
        <f>IFERROR($C41*INDEX(SPPR!$E:$X,MATCH($A41,SPPR!$A:$A,0),12),"")</f>
        <v/>
      </c>
      <c r="P41">
        <f>IFERROR($C41*INDEX(SPPR!$E:$X,MATCH($A41,SPPR!$A:$A,0),13),"")</f>
        <v/>
      </c>
      <c r="Q41">
        <f>IFERROR($C41*INDEX(SPPR!$E:$X,MATCH($A41,SPPR!$A:$A,0),14),"")</f>
        <v/>
      </c>
      <c r="R41">
        <f>IFERROR($C41*INDEX(SPPR!$E:$X,MATCH($A41,SPPR!$A:$A,0),15),"")</f>
        <v/>
      </c>
      <c r="S41">
        <f>IFERROR($C41*INDEX(SPPR!$E:$X,MATCH($A41,SPPR!$A:$A,0),16),"")</f>
        <v/>
      </c>
      <c r="T41">
        <f>IFERROR($C41*INDEX(SPPR!$E:$X,MATCH($A41,SPPR!$A:$A,0),17),"")</f>
        <v/>
      </c>
      <c r="U41">
        <f>IFERROR($C41*INDEX(SPPR!$E:$X,MATCH($A41,SPPR!$A:$A,0),18),"")</f>
        <v/>
      </c>
      <c r="V41">
        <f>IFERROR($C41*INDEX(SPPR!$E:$X,MATCH($A41,SPPR!$A:$A,0),19),"")</f>
        <v/>
      </c>
      <c r="W41">
        <f>IFERROR($C41*INDEX(SPPR!$E:$X,MATCH($A41,SPPR!$A:$A,0),20),"")</f>
        <v/>
      </c>
    </row>
    <row r="42">
      <c r="A42" t="inlineStr">
        <is>
          <t>Oncorhynchus</t>
        </is>
      </c>
      <c r="B42">
        <f>IFERROR(INDEX(SPPR!$D:$D,MATCH($A42,SPPR!$A:$A,0)),"")</f>
        <v/>
      </c>
      <c r="C42">
        <f>IFERROR(INDEX(Catch!$E:$BV,MATCH($A42,Catch!$A:$A,0),MATCH($B$4,Catch!$E$1:$BV$1,0)),0)</f>
        <v/>
      </c>
      <c r="D42">
        <f>IFERROR($C42*INDEX(SPPR!$E:$X,MATCH($A42,SPPR!$A:$A,0),1),"")</f>
        <v/>
      </c>
      <c r="E42">
        <f>IFERROR($C42*INDEX(SPPR!$E:$X,MATCH($A42,SPPR!$A:$A,0),2),"")</f>
        <v/>
      </c>
      <c r="F42">
        <f>IFERROR($C42*INDEX(SPPR!$E:$X,MATCH($A42,SPPR!$A:$A,0),3),"")</f>
        <v/>
      </c>
      <c r="G42">
        <f>IFERROR($C42*INDEX(SPPR!$E:$X,MATCH($A42,SPPR!$A:$A,0),4),"")</f>
        <v/>
      </c>
      <c r="H42">
        <f>IFERROR($C42*INDEX(SPPR!$E:$X,MATCH($A42,SPPR!$A:$A,0),5),"")</f>
        <v/>
      </c>
      <c r="I42">
        <f>IFERROR($C42*INDEX(SPPR!$E:$X,MATCH($A42,SPPR!$A:$A,0),6),"")</f>
        <v/>
      </c>
      <c r="J42">
        <f>IFERROR($C42*INDEX(SPPR!$E:$X,MATCH($A42,SPPR!$A:$A,0),7),"")</f>
        <v/>
      </c>
      <c r="K42">
        <f>IFERROR($C42*INDEX(SPPR!$E:$X,MATCH($A42,SPPR!$A:$A,0),8),"")</f>
        <v/>
      </c>
      <c r="L42">
        <f>IFERROR($C42*INDEX(SPPR!$E:$X,MATCH($A42,SPPR!$A:$A,0),9),"")</f>
        <v/>
      </c>
      <c r="M42">
        <f>IFERROR($C42*INDEX(SPPR!$E:$X,MATCH($A42,SPPR!$A:$A,0),10),"")</f>
        <v/>
      </c>
      <c r="N42">
        <f>IFERROR($C42*INDEX(SPPR!$E:$X,MATCH($A42,SPPR!$A:$A,0),11),"")</f>
        <v/>
      </c>
      <c r="O42">
        <f>IFERROR($C42*INDEX(SPPR!$E:$X,MATCH($A42,SPPR!$A:$A,0),12),"")</f>
        <v/>
      </c>
      <c r="P42">
        <f>IFERROR($C42*INDEX(SPPR!$E:$X,MATCH($A42,SPPR!$A:$A,0),13),"")</f>
        <v/>
      </c>
      <c r="Q42">
        <f>IFERROR($C42*INDEX(SPPR!$E:$X,MATCH($A42,SPPR!$A:$A,0),14),"")</f>
        <v/>
      </c>
      <c r="R42">
        <f>IFERROR($C42*INDEX(SPPR!$E:$X,MATCH($A42,SPPR!$A:$A,0),15),"")</f>
        <v/>
      </c>
      <c r="S42">
        <f>IFERROR($C42*INDEX(SPPR!$E:$X,MATCH($A42,SPPR!$A:$A,0),16),"")</f>
        <v/>
      </c>
      <c r="T42">
        <f>IFERROR($C42*INDEX(SPPR!$E:$X,MATCH($A42,SPPR!$A:$A,0),17),"")</f>
        <v/>
      </c>
      <c r="U42">
        <f>IFERROR($C42*INDEX(SPPR!$E:$X,MATCH($A42,SPPR!$A:$A,0),18),"")</f>
        <v/>
      </c>
      <c r="V42">
        <f>IFERROR($C42*INDEX(SPPR!$E:$X,MATCH($A42,SPPR!$A:$A,0),19),"")</f>
        <v/>
      </c>
      <c r="W42">
        <f>IFERROR($C42*INDEX(SPPR!$E:$X,MATCH($A42,SPPR!$A:$A,0),20),"")</f>
        <v/>
      </c>
    </row>
    <row r="43">
      <c r="A43" t="inlineStr">
        <is>
          <t>Carangidae</t>
        </is>
      </c>
      <c r="B43">
        <f>IFERROR(INDEX(SPPR!$D:$D,MATCH($A43,SPPR!$A:$A,0)),"")</f>
        <v/>
      </c>
      <c r="C43">
        <f>IFERROR(INDEX(Catch!$E:$BV,MATCH($A43,Catch!$A:$A,0),MATCH($B$4,Catch!$E$1:$BV$1,0)),0)</f>
        <v/>
      </c>
      <c r="D43">
        <f>IFERROR($C43*INDEX(SPPR!$E:$X,MATCH($A43,SPPR!$A:$A,0),1),"")</f>
        <v/>
      </c>
      <c r="E43">
        <f>IFERROR($C43*INDEX(SPPR!$E:$X,MATCH($A43,SPPR!$A:$A,0),2),"")</f>
        <v/>
      </c>
      <c r="F43">
        <f>IFERROR($C43*INDEX(SPPR!$E:$X,MATCH($A43,SPPR!$A:$A,0),3),"")</f>
        <v/>
      </c>
      <c r="G43">
        <f>IFERROR($C43*INDEX(SPPR!$E:$X,MATCH($A43,SPPR!$A:$A,0),4),"")</f>
        <v/>
      </c>
      <c r="H43">
        <f>IFERROR($C43*INDEX(SPPR!$E:$X,MATCH($A43,SPPR!$A:$A,0),5),"")</f>
        <v/>
      </c>
      <c r="I43">
        <f>IFERROR($C43*INDEX(SPPR!$E:$X,MATCH($A43,SPPR!$A:$A,0),6),"")</f>
        <v/>
      </c>
      <c r="J43">
        <f>IFERROR($C43*INDEX(SPPR!$E:$X,MATCH($A43,SPPR!$A:$A,0),7),"")</f>
        <v/>
      </c>
      <c r="K43">
        <f>IFERROR($C43*INDEX(SPPR!$E:$X,MATCH($A43,SPPR!$A:$A,0),8),"")</f>
        <v/>
      </c>
      <c r="L43">
        <f>IFERROR($C43*INDEX(SPPR!$E:$X,MATCH($A43,SPPR!$A:$A,0),9),"")</f>
        <v/>
      </c>
      <c r="M43">
        <f>IFERROR($C43*INDEX(SPPR!$E:$X,MATCH($A43,SPPR!$A:$A,0),10),"")</f>
        <v/>
      </c>
      <c r="N43">
        <f>IFERROR($C43*INDEX(SPPR!$E:$X,MATCH($A43,SPPR!$A:$A,0),11),"")</f>
        <v/>
      </c>
      <c r="O43">
        <f>IFERROR($C43*INDEX(SPPR!$E:$X,MATCH($A43,SPPR!$A:$A,0),12),"")</f>
        <v/>
      </c>
      <c r="P43">
        <f>IFERROR($C43*INDEX(SPPR!$E:$X,MATCH($A43,SPPR!$A:$A,0),13),"")</f>
        <v/>
      </c>
      <c r="Q43">
        <f>IFERROR($C43*INDEX(SPPR!$E:$X,MATCH($A43,SPPR!$A:$A,0),14),"")</f>
        <v/>
      </c>
      <c r="R43">
        <f>IFERROR($C43*INDEX(SPPR!$E:$X,MATCH($A43,SPPR!$A:$A,0),15),"")</f>
        <v/>
      </c>
      <c r="S43">
        <f>IFERROR($C43*INDEX(SPPR!$E:$X,MATCH($A43,SPPR!$A:$A,0),16),"")</f>
        <v/>
      </c>
      <c r="T43">
        <f>IFERROR($C43*INDEX(SPPR!$E:$X,MATCH($A43,SPPR!$A:$A,0),17),"")</f>
        <v/>
      </c>
      <c r="U43">
        <f>IFERROR($C43*INDEX(SPPR!$E:$X,MATCH($A43,SPPR!$A:$A,0),18),"")</f>
        <v/>
      </c>
      <c r="V43">
        <f>IFERROR($C43*INDEX(SPPR!$E:$X,MATCH($A43,SPPR!$A:$A,0),19),"")</f>
        <v/>
      </c>
      <c r="W43">
        <f>IFERROR($C43*INDEX(SPPR!$E:$X,MATCH($A43,SPPR!$A:$A,0),20),"")</f>
        <v/>
      </c>
    </row>
    <row r="44">
      <c r="A44" t="inlineStr">
        <is>
          <t>Psenopsis anomala</t>
        </is>
      </c>
      <c r="B44">
        <f>IFERROR(INDEX(SPPR!$D:$D,MATCH($A44,SPPR!$A:$A,0)),"")</f>
        <v/>
      </c>
      <c r="C44">
        <f>IFERROR(INDEX(Catch!$E:$BV,MATCH($A44,Catch!$A:$A,0),MATCH($B$4,Catch!$E$1:$BV$1,0)),0)</f>
        <v/>
      </c>
      <c r="D44">
        <f>IFERROR($C44*INDEX(SPPR!$E:$X,MATCH($A44,SPPR!$A:$A,0),1),"")</f>
        <v/>
      </c>
      <c r="E44">
        <f>IFERROR($C44*INDEX(SPPR!$E:$X,MATCH($A44,SPPR!$A:$A,0),2),"")</f>
        <v/>
      </c>
      <c r="F44">
        <f>IFERROR($C44*INDEX(SPPR!$E:$X,MATCH($A44,SPPR!$A:$A,0),3),"")</f>
        <v/>
      </c>
      <c r="G44">
        <f>IFERROR($C44*INDEX(SPPR!$E:$X,MATCH($A44,SPPR!$A:$A,0),4),"")</f>
        <v/>
      </c>
      <c r="H44">
        <f>IFERROR($C44*INDEX(SPPR!$E:$X,MATCH($A44,SPPR!$A:$A,0),5),"")</f>
        <v/>
      </c>
      <c r="I44">
        <f>IFERROR($C44*INDEX(SPPR!$E:$X,MATCH($A44,SPPR!$A:$A,0),6),"")</f>
        <v/>
      </c>
      <c r="J44">
        <f>IFERROR($C44*INDEX(SPPR!$E:$X,MATCH($A44,SPPR!$A:$A,0),7),"")</f>
        <v/>
      </c>
      <c r="K44">
        <f>IFERROR($C44*INDEX(SPPR!$E:$X,MATCH($A44,SPPR!$A:$A,0),8),"")</f>
        <v/>
      </c>
      <c r="L44">
        <f>IFERROR($C44*INDEX(SPPR!$E:$X,MATCH($A44,SPPR!$A:$A,0),9),"")</f>
        <v/>
      </c>
      <c r="M44">
        <f>IFERROR($C44*INDEX(SPPR!$E:$X,MATCH($A44,SPPR!$A:$A,0),10),"")</f>
        <v/>
      </c>
      <c r="N44">
        <f>IFERROR($C44*INDEX(SPPR!$E:$X,MATCH($A44,SPPR!$A:$A,0),11),"")</f>
        <v/>
      </c>
      <c r="O44">
        <f>IFERROR($C44*INDEX(SPPR!$E:$X,MATCH($A44,SPPR!$A:$A,0),12),"")</f>
        <v/>
      </c>
      <c r="P44">
        <f>IFERROR($C44*INDEX(SPPR!$E:$X,MATCH($A44,SPPR!$A:$A,0),13),"")</f>
        <v/>
      </c>
      <c r="Q44">
        <f>IFERROR($C44*INDEX(SPPR!$E:$X,MATCH($A44,SPPR!$A:$A,0),14),"")</f>
        <v/>
      </c>
      <c r="R44">
        <f>IFERROR($C44*INDEX(SPPR!$E:$X,MATCH($A44,SPPR!$A:$A,0),15),"")</f>
        <v/>
      </c>
      <c r="S44">
        <f>IFERROR($C44*INDEX(SPPR!$E:$X,MATCH($A44,SPPR!$A:$A,0),16),"")</f>
        <v/>
      </c>
      <c r="T44">
        <f>IFERROR($C44*INDEX(SPPR!$E:$X,MATCH($A44,SPPR!$A:$A,0),17),"")</f>
        <v/>
      </c>
      <c r="U44">
        <f>IFERROR($C44*INDEX(SPPR!$E:$X,MATCH($A44,SPPR!$A:$A,0),18),"")</f>
        <v/>
      </c>
      <c r="V44">
        <f>IFERROR($C44*INDEX(SPPR!$E:$X,MATCH($A44,SPPR!$A:$A,0),19),"")</f>
        <v/>
      </c>
      <c r="W44">
        <f>IFERROR($C44*INDEX(SPPR!$E:$X,MATCH($A44,SPPR!$A:$A,0),20),"")</f>
        <v/>
      </c>
    </row>
    <row r="45">
      <c r="A45" t="inlineStr">
        <is>
          <t>Squillidae</t>
        </is>
      </c>
      <c r="B45">
        <f>IFERROR(INDEX(SPPR!$D:$D,MATCH($A45,SPPR!$A:$A,0)),"")</f>
        <v/>
      </c>
      <c r="C45">
        <f>IFERROR(INDEX(Catch!$E:$BV,MATCH($A45,Catch!$A:$A,0),MATCH($B$4,Catch!$E$1:$BV$1,0)),0)</f>
        <v/>
      </c>
      <c r="D45">
        <f>IFERROR($C45*INDEX(SPPR!$E:$X,MATCH($A45,SPPR!$A:$A,0),1),"")</f>
        <v/>
      </c>
      <c r="E45">
        <f>IFERROR($C45*INDEX(SPPR!$E:$X,MATCH($A45,SPPR!$A:$A,0),2),"")</f>
        <v/>
      </c>
      <c r="F45">
        <f>IFERROR($C45*INDEX(SPPR!$E:$X,MATCH($A45,SPPR!$A:$A,0),3),"")</f>
        <v/>
      </c>
      <c r="G45">
        <f>IFERROR($C45*INDEX(SPPR!$E:$X,MATCH($A45,SPPR!$A:$A,0),4),"")</f>
        <v/>
      </c>
      <c r="H45">
        <f>IFERROR($C45*INDEX(SPPR!$E:$X,MATCH($A45,SPPR!$A:$A,0),5),"")</f>
        <v/>
      </c>
      <c r="I45">
        <f>IFERROR($C45*INDEX(SPPR!$E:$X,MATCH($A45,SPPR!$A:$A,0),6),"")</f>
        <v/>
      </c>
      <c r="J45">
        <f>IFERROR($C45*INDEX(SPPR!$E:$X,MATCH($A45,SPPR!$A:$A,0),7),"")</f>
        <v/>
      </c>
      <c r="K45">
        <f>IFERROR($C45*INDEX(SPPR!$E:$X,MATCH($A45,SPPR!$A:$A,0),8),"")</f>
        <v/>
      </c>
      <c r="L45">
        <f>IFERROR($C45*INDEX(SPPR!$E:$X,MATCH($A45,SPPR!$A:$A,0),9),"")</f>
        <v/>
      </c>
      <c r="M45">
        <f>IFERROR($C45*INDEX(SPPR!$E:$X,MATCH($A45,SPPR!$A:$A,0),10),"")</f>
        <v/>
      </c>
      <c r="N45">
        <f>IFERROR($C45*INDEX(SPPR!$E:$X,MATCH($A45,SPPR!$A:$A,0),11),"")</f>
        <v/>
      </c>
      <c r="O45">
        <f>IFERROR($C45*INDEX(SPPR!$E:$X,MATCH($A45,SPPR!$A:$A,0),12),"")</f>
        <v/>
      </c>
      <c r="P45">
        <f>IFERROR($C45*INDEX(SPPR!$E:$X,MATCH($A45,SPPR!$A:$A,0),13),"")</f>
        <v/>
      </c>
      <c r="Q45">
        <f>IFERROR($C45*INDEX(SPPR!$E:$X,MATCH($A45,SPPR!$A:$A,0),14),"")</f>
        <v/>
      </c>
      <c r="R45">
        <f>IFERROR($C45*INDEX(SPPR!$E:$X,MATCH($A45,SPPR!$A:$A,0),15),"")</f>
        <v/>
      </c>
      <c r="S45">
        <f>IFERROR($C45*INDEX(SPPR!$E:$X,MATCH($A45,SPPR!$A:$A,0),16),"")</f>
        <v/>
      </c>
      <c r="T45">
        <f>IFERROR($C45*INDEX(SPPR!$E:$X,MATCH($A45,SPPR!$A:$A,0),17),"")</f>
        <v/>
      </c>
      <c r="U45">
        <f>IFERROR($C45*INDEX(SPPR!$E:$X,MATCH($A45,SPPR!$A:$A,0),18),"")</f>
        <v/>
      </c>
      <c r="V45">
        <f>IFERROR($C45*INDEX(SPPR!$E:$X,MATCH($A45,SPPR!$A:$A,0),19),"")</f>
        <v/>
      </c>
      <c r="W45">
        <f>IFERROR($C45*INDEX(SPPR!$E:$X,MATCH($A45,SPPR!$A:$A,0),20),"")</f>
        <v/>
      </c>
    </row>
    <row r="46">
      <c r="A46" t="inlineStr">
        <is>
          <t>Sparidae</t>
        </is>
      </c>
      <c r="B46">
        <f>IFERROR(INDEX(SPPR!$D:$D,MATCH($A46,SPPR!$A:$A,0)),"")</f>
        <v/>
      </c>
      <c r="C46">
        <f>IFERROR(INDEX(Catch!$E:$BV,MATCH($A46,Catch!$A:$A,0),MATCH($B$4,Catch!$E$1:$BV$1,0)),0)</f>
        <v/>
      </c>
      <c r="D46">
        <f>IFERROR($C46*INDEX(SPPR!$E:$X,MATCH($A46,SPPR!$A:$A,0),1),"")</f>
        <v/>
      </c>
      <c r="E46">
        <f>IFERROR($C46*INDEX(SPPR!$E:$X,MATCH($A46,SPPR!$A:$A,0),2),"")</f>
        <v/>
      </c>
      <c r="F46">
        <f>IFERROR($C46*INDEX(SPPR!$E:$X,MATCH($A46,SPPR!$A:$A,0),3),"")</f>
        <v/>
      </c>
      <c r="G46">
        <f>IFERROR($C46*INDEX(SPPR!$E:$X,MATCH($A46,SPPR!$A:$A,0),4),"")</f>
        <v/>
      </c>
      <c r="H46">
        <f>IFERROR($C46*INDEX(SPPR!$E:$X,MATCH($A46,SPPR!$A:$A,0),5),"")</f>
        <v/>
      </c>
      <c r="I46">
        <f>IFERROR($C46*INDEX(SPPR!$E:$X,MATCH($A46,SPPR!$A:$A,0),6),"")</f>
        <v/>
      </c>
      <c r="J46">
        <f>IFERROR($C46*INDEX(SPPR!$E:$X,MATCH($A46,SPPR!$A:$A,0),7),"")</f>
        <v/>
      </c>
      <c r="K46">
        <f>IFERROR($C46*INDEX(SPPR!$E:$X,MATCH($A46,SPPR!$A:$A,0),8),"")</f>
        <v/>
      </c>
      <c r="L46">
        <f>IFERROR($C46*INDEX(SPPR!$E:$X,MATCH($A46,SPPR!$A:$A,0),9),"")</f>
        <v/>
      </c>
      <c r="M46">
        <f>IFERROR($C46*INDEX(SPPR!$E:$X,MATCH($A46,SPPR!$A:$A,0),10),"")</f>
        <v/>
      </c>
      <c r="N46">
        <f>IFERROR($C46*INDEX(SPPR!$E:$X,MATCH($A46,SPPR!$A:$A,0),11),"")</f>
        <v/>
      </c>
      <c r="O46">
        <f>IFERROR($C46*INDEX(SPPR!$E:$X,MATCH($A46,SPPR!$A:$A,0),12),"")</f>
        <v/>
      </c>
      <c r="P46">
        <f>IFERROR($C46*INDEX(SPPR!$E:$X,MATCH($A46,SPPR!$A:$A,0),13),"")</f>
        <v/>
      </c>
      <c r="Q46">
        <f>IFERROR($C46*INDEX(SPPR!$E:$X,MATCH($A46,SPPR!$A:$A,0),14),"")</f>
        <v/>
      </c>
      <c r="R46">
        <f>IFERROR($C46*INDEX(SPPR!$E:$X,MATCH($A46,SPPR!$A:$A,0),15),"")</f>
        <v/>
      </c>
      <c r="S46">
        <f>IFERROR($C46*INDEX(SPPR!$E:$X,MATCH($A46,SPPR!$A:$A,0),16),"")</f>
        <v/>
      </c>
      <c r="T46">
        <f>IFERROR($C46*INDEX(SPPR!$E:$X,MATCH($A46,SPPR!$A:$A,0),17),"")</f>
        <v/>
      </c>
      <c r="U46">
        <f>IFERROR($C46*INDEX(SPPR!$E:$X,MATCH($A46,SPPR!$A:$A,0),18),"")</f>
        <v/>
      </c>
      <c r="V46">
        <f>IFERROR($C46*INDEX(SPPR!$E:$X,MATCH($A46,SPPR!$A:$A,0),19),"")</f>
        <v/>
      </c>
      <c r="W46">
        <f>IFERROR($C46*INDEX(SPPR!$E:$X,MATCH($A46,SPPR!$A:$A,0),20),"")</f>
        <v/>
      </c>
    </row>
    <row r="47">
      <c r="A47" t="inlineStr">
        <is>
          <t>Alepes</t>
        </is>
      </c>
      <c r="B47">
        <f>IFERROR(INDEX(SPPR!$D:$D,MATCH($A47,SPPR!$A:$A,0)),"")</f>
        <v/>
      </c>
      <c r="C47">
        <f>IFERROR(INDEX(Catch!$E:$BV,MATCH($A47,Catch!$A:$A,0),MATCH($B$4,Catch!$E$1:$BV$1,0)),0)</f>
        <v/>
      </c>
      <c r="D47">
        <f>IFERROR($C47*INDEX(SPPR!$E:$X,MATCH($A47,SPPR!$A:$A,0),1),"")</f>
        <v/>
      </c>
      <c r="E47">
        <f>IFERROR($C47*INDEX(SPPR!$E:$X,MATCH($A47,SPPR!$A:$A,0),2),"")</f>
        <v/>
      </c>
      <c r="F47">
        <f>IFERROR($C47*INDEX(SPPR!$E:$X,MATCH($A47,SPPR!$A:$A,0),3),"")</f>
        <v/>
      </c>
      <c r="G47">
        <f>IFERROR($C47*INDEX(SPPR!$E:$X,MATCH($A47,SPPR!$A:$A,0),4),"")</f>
        <v/>
      </c>
      <c r="H47">
        <f>IFERROR($C47*INDEX(SPPR!$E:$X,MATCH($A47,SPPR!$A:$A,0),5),"")</f>
        <v/>
      </c>
      <c r="I47">
        <f>IFERROR($C47*INDEX(SPPR!$E:$X,MATCH($A47,SPPR!$A:$A,0),6),"")</f>
        <v/>
      </c>
      <c r="J47">
        <f>IFERROR($C47*INDEX(SPPR!$E:$X,MATCH($A47,SPPR!$A:$A,0),7),"")</f>
        <v/>
      </c>
      <c r="K47">
        <f>IFERROR($C47*INDEX(SPPR!$E:$X,MATCH($A47,SPPR!$A:$A,0),8),"")</f>
        <v/>
      </c>
      <c r="L47">
        <f>IFERROR($C47*INDEX(SPPR!$E:$X,MATCH($A47,SPPR!$A:$A,0),9),"")</f>
        <v/>
      </c>
      <c r="M47">
        <f>IFERROR($C47*INDEX(SPPR!$E:$X,MATCH($A47,SPPR!$A:$A,0),10),"")</f>
        <v/>
      </c>
      <c r="N47">
        <f>IFERROR($C47*INDEX(SPPR!$E:$X,MATCH($A47,SPPR!$A:$A,0),11),"")</f>
        <v/>
      </c>
      <c r="O47">
        <f>IFERROR($C47*INDEX(SPPR!$E:$X,MATCH($A47,SPPR!$A:$A,0),12),"")</f>
        <v/>
      </c>
      <c r="P47">
        <f>IFERROR($C47*INDEX(SPPR!$E:$X,MATCH($A47,SPPR!$A:$A,0),13),"")</f>
        <v/>
      </c>
      <c r="Q47">
        <f>IFERROR($C47*INDEX(SPPR!$E:$X,MATCH($A47,SPPR!$A:$A,0),14),"")</f>
        <v/>
      </c>
      <c r="R47">
        <f>IFERROR($C47*INDEX(SPPR!$E:$X,MATCH($A47,SPPR!$A:$A,0),15),"")</f>
        <v/>
      </c>
      <c r="S47">
        <f>IFERROR($C47*INDEX(SPPR!$E:$X,MATCH($A47,SPPR!$A:$A,0),16),"")</f>
        <v/>
      </c>
      <c r="T47">
        <f>IFERROR($C47*INDEX(SPPR!$E:$X,MATCH($A47,SPPR!$A:$A,0),17),"")</f>
        <v/>
      </c>
      <c r="U47">
        <f>IFERROR($C47*INDEX(SPPR!$E:$X,MATCH($A47,SPPR!$A:$A,0),18),"")</f>
        <v/>
      </c>
      <c r="V47">
        <f>IFERROR($C47*INDEX(SPPR!$E:$X,MATCH($A47,SPPR!$A:$A,0),19),"")</f>
        <v/>
      </c>
      <c r="W47">
        <f>IFERROR($C47*INDEX(SPPR!$E:$X,MATCH($A47,SPPR!$A:$A,0),20),"")</f>
        <v/>
      </c>
    </row>
    <row r="48">
      <c r="A48" t="inlineStr">
        <is>
          <t>Sepiidae</t>
        </is>
      </c>
      <c r="B48">
        <f>IFERROR(INDEX(SPPR!$D:$D,MATCH($A48,SPPR!$A:$A,0)),"")</f>
        <v/>
      </c>
      <c r="C48">
        <f>IFERROR(INDEX(Catch!$E:$BV,MATCH($A48,Catch!$A:$A,0),MATCH($B$4,Catch!$E$1:$BV$1,0)),0)</f>
        <v/>
      </c>
      <c r="D48">
        <f>IFERROR($C48*INDEX(SPPR!$E:$X,MATCH($A48,SPPR!$A:$A,0),1),"")</f>
        <v/>
      </c>
      <c r="E48">
        <f>IFERROR($C48*INDEX(SPPR!$E:$X,MATCH($A48,SPPR!$A:$A,0),2),"")</f>
        <v/>
      </c>
      <c r="F48">
        <f>IFERROR($C48*INDEX(SPPR!$E:$X,MATCH($A48,SPPR!$A:$A,0),3),"")</f>
        <v/>
      </c>
      <c r="G48">
        <f>IFERROR($C48*INDEX(SPPR!$E:$X,MATCH($A48,SPPR!$A:$A,0),4),"")</f>
        <v/>
      </c>
      <c r="H48">
        <f>IFERROR($C48*INDEX(SPPR!$E:$X,MATCH($A48,SPPR!$A:$A,0),5),"")</f>
        <v/>
      </c>
      <c r="I48">
        <f>IFERROR($C48*INDEX(SPPR!$E:$X,MATCH($A48,SPPR!$A:$A,0),6),"")</f>
        <v/>
      </c>
      <c r="J48">
        <f>IFERROR($C48*INDEX(SPPR!$E:$X,MATCH($A48,SPPR!$A:$A,0),7),"")</f>
        <v/>
      </c>
      <c r="K48">
        <f>IFERROR($C48*INDEX(SPPR!$E:$X,MATCH($A48,SPPR!$A:$A,0),8),"")</f>
        <v/>
      </c>
      <c r="L48">
        <f>IFERROR($C48*INDEX(SPPR!$E:$X,MATCH($A48,SPPR!$A:$A,0),9),"")</f>
        <v/>
      </c>
      <c r="M48">
        <f>IFERROR($C48*INDEX(SPPR!$E:$X,MATCH($A48,SPPR!$A:$A,0),10),"")</f>
        <v/>
      </c>
      <c r="N48">
        <f>IFERROR($C48*INDEX(SPPR!$E:$X,MATCH($A48,SPPR!$A:$A,0),11),"")</f>
        <v/>
      </c>
      <c r="O48">
        <f>IFERROR($C48*INDEX(SPPR!$E:$X,MATCH($A48,SPPR!$A:$A,0),12),"")</f>
        <v/>
      </c>
      <c r="P48">
        <f>IFERROR($C48*INDEX(SPPR!$E:$X,MATCH($A48,SPPR!$A:$A,0),13),"")</f>
        <v/>
      </c>
      <c r="Q48">
        <f>IFERROR($C48*INDEX(SPPR!$E:$X,MATCH($A48,SPPR!$A:$A,0),14),"")</f>
        <v/>
      </c>
      <c r="R48">
        <f>IFERROR($C48*INDEX(SPPR!$E:$X,MATCH($A48,SPPR!$A:$A,0),15),"")</f>
        <v/>
      </c>
      <c r="S48">
        <f>IFERROR($C48*INDEX(SPPR!$E:$X,MATCH($A48,SPPR!$A:$A,0),16),"")</f>
        <v/>
      </c>
      <c r="T48">
        <f>IFERROR($C48*INDEX(SPPR!$E:$X,MATCH($A48,SPPR!$A:$A,0),17),"")</f>
        <v/>
      </c>
      <c r="U48">
        <f>IFERROR($C48*INDEX(SPPR!$E:$X,MATCH($A48,SPPR!$A:$A,0),18),"")</f>
        <v/>
      </c>
      <c r="V48">
        <f>IFERROR($C48*INDEX(SPPR!$E:$X,MATCH($A48,SPPR!$A:$A,0),19),"")</f>
        <v/>
      </c>
      <c r="W48">
        <f>IFERROR($C48*INDEX(SPPR!$E:$X,MATCH($A48,SPPR!$A:$A,0),20),"")</f>
        <v/>
      </c>
    </row>
    <row r="49">
      <c r="A49" t="inlineStr">
        <is>
          <t>Harpadon nehereus</t>
        </is>
      </c>
      <c r="B49">
        <f>IFERROR(INDEX(SPPR!$D:$D,MATCH($A49,SPPR!$A:$A,0)),"")</f>
        <v/>
      </c>
      <c r="C49">
        <f>IFERROR(INDEX(Catch!$E:$BV,MATCH($A49,Catch!$A:$A,0),MATCH($B$4,Catch!$E$1:$BV$1,0)),0)</f>
        <v/>
      </c>
      <c r="D49">
        <f>IFERROR($C49*INDEX(SPPR!$E:$X,MATCH($A49,SPPR!$A:$A,0),1),"")</f>
        <v/>
      </c>
      <c r="E49">
        <f>IFERROR($C49*INDEX(SPPR!$E:$X,MATCH($A49,SPPR!$A:$A,0),2),"")</f>
        <v/>
      </c>
      <c r="F49">
        <f>IFERROR($C49*INDEX(SPPR!$E:$X,MATCH($A49,SPPR!$A:$A,0),3),"")</f>
        <v/>
      </c>
      <c r="G49">
        <f>IFERROR($C49*INDEX(SPPR!$E:$X,MATCH($A49,SPPR!$A:$A,0),4),"")</f>
        <v/>
      </c>
      <c r="H49">
        <f>IFERROR($C49*INDEX(SPPR!$E:$X,MATCH($A49,SPPR!$A:$A,0),5),"")</f>
        <v/>
      </c>
      <c r="I49">
        <f>IFERROR($C49*INDEX(SPPR!$E:$X,MATCH($A49,SPPR!$A:$A,0),6),"")</f>
        <v/>
      </c>
      <c r="J49">
        <f>IFERROR($C49*INDEX(SPPR!$E:$X,MATCH($A49,SPPR!$A:$A,0),7),"")</f>
        <v/>
      </c>
      <c r="K49">
        <f>IFERROR($C49*INDEX(SPPR!$E:$X,MATCH($A49,SPPR!$A:$A,0),8),"")</f>
        <v/>
      </c>
      <c r="L49">
        <f>IFERROR($C49*INDEX(SPPR!$E:$X,MATCH($A49,SPPR!$A:$A,0),9),"")</f>
        <v/>
      </c>
      <c r="M49">
        <f>IFERROR($C49*INDEX(SPPR!$E:$X,MATCH($A49,SPPR!$A:$A,0),10),"")</f>
        <v/>
      </c>
      <c r="N49">
        <f>IFERROR($C49*INDEX(SPPR!$E:$X,MATCH($A49,SPPR!$A:$A,0),11),"")</f>
        <v/>
      </c>
      <c r="O49">
        <f>IFERROR($C49*INDEX(SPPR!$E:$X,MATCH($A49,SPPR!$A:$A,0),12),"")</f>
        <v/>
      </c>
      <c r="P49">
        <f>IFERROR($C49*INDEX(SPPR!$E:$X,MATCH($A49,SPPR!$A:$A,0),13),"")</f>
        <v/>
      </c>
      <c r="Q49">
        <f>IFERROR($C49*INDEX(SPPR!$E:$X,MATCH($A49,SPPR!$A:$A,0),14),"")</f>
        <v/>
      </c>
      <c r="R49">
        <f>IFERROR($C49*INDEX(SPPR!$E:$X,MATCH($A49,SPPR!$A:$A,0),15),"")</f>
        <v/>
      </c>
      <c r="S49">
        <f>IFERROR($C49*INDEX(SPPR!$E:$X,MATCH($A49,SPPR!$A:$A,0),16),"")</f>
        <v/>
      </c>
      <c r="T49">
        <f>IFERROR($C49*INDEX(SPPR!$E:$X,MATCH($A49,SPPR!$A:$A,0),17),"")</f>
        <v/>
      </c>
      <c r="U49">
        <f>IFERROR($C49*INDEX(SPPR!$E:$X,MATCH($A49,SPPR!$A:$A,0),18),"")</f>
        <v/>
      </c>
      <c r="V49">
        <f>IFERROR($C49*INDEX(SPPR!$E:$X,MATCH($A49,SPPR!$A:$A,0),19),"")</f>
        <v/>
      </c>
      <c r="W49">
        <f>IFERROR($C49*INDEX(SPPR!$E:$X,MATCH($A49,SPPR!$A:$A,0),20),"")</f>
        <v/>
      </c>
    </row>
    <row r="50">
      <c r="A50" t="inlineStr">
        <is>
          <t>Katsuwonus pelamis</t>
        </is>
      </c>
      <c r="B50">
        <f>IFERROR(INDEX(SPPR!$D:$D,MATCH($A50,SPPR!$A:$A,0)),"")</f>
        <v/>
      </c>
      <c r="C50">
        <f>IFERROR(INDEX(Catch!$E:$BV,MATCH($A50,Catch!$A:$A,0),MATCH($B$4,Catch!$E$1:$BV$1,0)),0)</f>
        <v/>
      </c>
      <c r="D50">
        <f>IFERROR($C50*INDEX(SPPR!$E:$X,MATCH($A50,SPPR!$A:$A,0),1),"")</f>
        <v/>
      </c>
      <c r="E50">
        <f>IFERROR($C50*INDEX(SPPR!$E:$X,MATCH($A50,SPPR!$A:$A,0),2),"")</f>
        <v/>
      </c>
      <c r="F50">
        <f>IFERROR($C50*INDEX(SPPR!$E:$X,MATCH($A50,SPPR!$A:$A,0),3),"")</f>
        <v/>
      </c>
      <c r="G50">
        <f>IFERROR($C50*INDEX(SPPR!$E:$X,MATCH($A50,SPPR!$A:$A,0),4),"")</f>
        <v/>
      </c>
      <c r="H50">
        <f>IFERROR($C50*INDEX(SPPR!$E:$X,MATCH($A50,SPPR!$A:$A,0),5),"")</f>
        <v/>
      </c>
      <c r="I50">
        <f>IFERROR($C50*INDEX(SPPR!$E:$X,MATCH($A50,SPPR!$A:$A,0),6),"")</f>
        <v/>
      </c>
      <c r="J50">
        <f>IFERROR($C50*INDEX(SPPR!$E:$X,MATCH($A50,SPPR!$A:$A,0),7),"")</f>
        <v/>
      </c>
      <c r="K50">
        <f>IFERROR($C50*INDEX(SPPR!$E:$X,MATCH($A50,SPPR!$A:$A,0),8),"")</f>
        <v/>
      </c>
      <c r="L50">
        <f>IFERROR($C50*INDEX(SPPR!$E:$X,MATCH($A50,SPPR!$A:$A,0),9),"")</f>
        <v/>
      </c>
      <c r="M50">
        <f>IFERROR($C50*INDEX(SPPR!$E:$X,MATCH($A50,SPPR!$A:$A,0),10),"")</f>
        <v/>
      </c>
      <c r="N50">
        <f>IFERROR($C50*INDEX(SPPR!$E:$X,MATCH($A50,SPPR!$A:$A,0),11),"")</f>
        <v/>
      </c>
      <c r="O50">
        <f>IFERROR($C50*INDEX(SPPR!$E:$X,MATCH($A50,SPPR!$A:$A,0),12),"")</f>
        <v/>
      </c>
      <c r="P50">
        <f>IFERROR($C50*INDEX(SPPR!$E:$X,MATCH($A50,SPPR!$A:$A,0),13),"")</f>
        <v/>
      </c>
      <c r="Q50">
        <f>IFERROR($C50*INDEX(SPPR!$E:$X,MATCH($A50,SPPR!$A:$A,0),14),"")</f>
        <v/>
      </c>
      <c r="R50">
        <f>IFERROR($C50*INDEX(SPPR!$E:$X,MATCH($A50,SPPR!$A:$A,0),15),"")</f>
        <v/>
      </c>
      <c r="S50">
        <f>IFERROR($C50*INDEX(SPPR!$E:$X,MATCH($A50,SPPR!$A:$A,0),16),"")</f>
        <v/>
      </c>
      <c r="T50">
        <f>IFERROR($C50*INDEX(SPPR!$E:$X,MATCH($A50,SPPR!$A:$A,0),17),"")</f>
        <v/>
      </c>
      <c r="U50">
        <f>IFERROR($C50*INDEX(SPPR!$E:$X,MATCH($A50,SPPR!$A:$A,0),18),"")</f>
        <v/>
      </c>
      <c r="V50">
        <f>IFERROR($C50*INDEX(SPPR!$E:$X,MATCH($A50,SPPR!$A:$A,0),19),"")</f>
        <v/>
      </c>
      <c r="W50">
        <f>IFERROR($C50*INDEX(SPPR!$E:$X,MATCH($A50,SPPR!$A:$A,0),20),"")</f>
        <v/>
      </c>
    </row>
    <row r="51">
      <c r="A51" t="inlineStr">
        <is>
          <t>Cephalopoda</t>
        </is>
      </c>
      <c r="B51">
        <f>IFERROR(INDEX(SPPR!$D:$D,MATCH($A51,SPPR!$A:$A,0)),"")</f>
        <v/>
      </c>
      <c r="C51">
        <f>IFERROR(INDEX(Catch!$E:$BV,MATCH($A51,Catch!$A:$A,0),MATCH($B$4,Catch!$E$1:$BV$1,0)),0)</f>
        <v/>
      </c>
      <c r="D51">
        <f>IFERROR($C51*INDEX(SPPR!$E:$X,MATCH($A51,SPPR!$A:$A,0),1),"")</f>
        <v/>
      </c>
      <c r="E51">
        <f>IFERROR($C51*INDEX(SPPR!$E:$X,MATCH($A51,SPPR!$A:$A,0),2),"")</f>
        <v/>
      </c>
      <c r="F51">
        <f>IFERROR($C51*INDEX(SPPR!$E:$X,MATCH($A51,SPPR!$A:$A,0),3),"")</f>
        <v/>
      </c>
      <c r="G51">
        <f>IFERROR($C51*INDEX(SPPR!$E:$X,MATCH($A51,SPPR!$A:$A,0),4),"")</f>
        <v/>
      </c>
      <c r="H51">
        <f>IFERROR($C51*INDEX(SPPR!$E:$X,MATCH($A51,SPPR!$A:$A,0),5),"")</f>
        <v/>
      </c>
      <c r="I51">
        <f>IFERROR($C51*INDEX(SPPR!$E:$X,MATCH($A51,SPPR!$A:$A,0),6),"")</f>
        <v/>
      </c>
      <c r="J51">
        <f>IFERROR($C51*INDEX(SPPR!$E:$X,MATCH($A51,SPPR!$A:$A,0),7),"")</f>
        <v/>
      </c>
      <c r="K51">
        <f>IFERROR($C51*INDEX(SPPR!$E:$X,MATCH($A51,SPPR!$A:$A,0),8),"")</f>
        <v/>
      </c>
      <c r="L51">
        <f>IFERROR($C51*INDEX(SPPR!$E:$X,MATCH($A51,SPPR!$A:$A,0),9),"")</f>
        <v/>
      </c>
      <c r="M51">
        <f>IFERROR($C51*INDEX(SPPR!$E:$X,MATCH($A51,SPPR!$A:$A,0),10),"")</f>
        <v/>
      </c>
      <c r="N51">
        <f>IFERROR($C51*INDEX(SPPR!$E:$X,MATCH($A51,SPPR!$A:$A,0),11),"")</f>
        <v/>
      </c>
      <c r="O51">
        <f>IFERROR($C51*INDEX(SPPR!$E:$X,MATCH($A51,SPPR!$A:$A,0),12),"")</f>
        <v/>
      </c>
      <c r="P51">
        <f>IFERROR($C51*INDEX(SPPR!$E:$X,MATCH($A51,SPPR!$A:$A,0),13),"")</f>
        <v/>
      </c>
      <c r="Q51">
        <f>IFERROR($C51*INDEX(SPPR!$E:$X,MATCH($A51,SPPR!$A:$A,0),14),"")</f>
        <v/>
      </c>
      <c r="R51">
        <f>IFERROR($C51*INDEX(SPPR!$E:$X,MATCH($A51,SPPR!$A:$A,0),15),"")</f>
        <v/>
      </c>
      <c r="S51">
        <f>IFERROR($C51*INDEX(SPPR!$E:$X,MATCH($A51,SPPR!$A:$A,0),16),"")</f>
        <v/>
      </c>
      <c r="T51">
        <f>IFERROR($C51*INDEX(SPPR!$E:$X,MATCH($A51,SPPR!$A:$A,0),17),"")</f>
        <v/>
      </c>
      <c r="U51">
        <f>IFERROR($C51*INDEX(SPPR!$E:$X,MATCH($A51,SPPR!$A:$A,0),18),"")</f>
        <v/>
      </c>
      <c r="V51">
        <f>IFERROR($C51*INDEX(SPPR!$E:$X,MATCH($A51,SPPR!$A:$A,0),19),"")</f>
        <v/>
      </c>
      <c r="W51">
        <f>IFERROR($C51*INDEX(SPPR!$E:$X,MATCH($A51,SPPR!$A:$A,0),20),"")</f>
        <v/>
      </c>
    </row>
    <row r="52">
      <c r="A52" t="inlineStr">
        <is>
          <t>Nemipteridae</t>
        </is>
      </c>
      <c r="B52">
        <f>IFERROR(INDEX(SPPR!$D:$D,MATCH($A52,SPPR!$A:$A,0)),"")</f>
        <v/>
      </c>
      <c r="C52">
        <f>IFERROR(INDEX(Catch!$E:$BV,MATCH($A52,Catch!$A:$A,0),MATCH($B$4,Catch!$E$1:$BV$1,0)),0)</f>
        <v/>
      </c>
      <c r="D52">
        <f>IFERROR($C52*INDEX(SPPR!$E:$X,MATCH($A52,SPPR!$A:$A,0),1),"")</f>
        <v/>
      </c>
      <c r="E52">
        <f>IFERROR($C52*INDEX(SPPR!$E:$X,MATCH($A52,SPPR!$A:$A,0),2),"")</f>
        <v/>
      </c>
      <c r="F52">
        <f>IFERROR($C52*INDEX(SPPR!$E:$X,MATCH($A52,SPPR!$A:$A,0),3),"")</f>
        <v/>
      </c>
      <c r="G52">
        <f>IFERROR($C52*INDEX(SPPR!$E:$X,MATCH($A52,SPPR!$A:$A,0),4),"")</f>
        <v/>
      </c>
      <c r="H52">
        <f>IFERROR($C52*INDEX(SPPR!$E:$X,MATCH($A52,SPPR!$A:$A,0),5),"")</f>
        <v/>
      </c>
      <c r="I52">
        <f>IFERROR($C52*INDEX(SPPR!$E:$X,MATCH($A52,SPPR!$A:$A,0),6),"")</f>
        <v/>
      </c>
      <c r="J52">
        <f>IFERROR($C52*INDEX(SPPR!$E:$X,MATCH($A52,SPPR!$A:$A,0),7),"")</f>
        <v/>
      </c>
      <c r="K52">
        <f>IFERROR($C52*INDEX(SPPR!$E:$X,MATCH($A52,SPPR!$A:$A,0),8),"")</f>
        <v/>
      </c>
      <c r="L52">
        <f>IFERROR($C52*INDEX(SPPR!$E:$X,MATCH($A52,SPPR!$A:$A,0),9),"")</f>
        <v/>
      </c>
      <c r="M52">
        <f>IFERROR($C52*INDEX(SPPR!$E:$X,MATCH($A52,SPPR!$A:$A,0),10),"")</f>
        <v/>
      </c>
      <c r="N52">
        <f>IFERROR($C52*INDEX(SPPR!$E:$X,MATCH($A52,SPPR!$A:$A,0),11),"")</f>
        <v/>
      </c>
      <c r="O52">
        <f>IFERROR($C52*INDEX(SPPR!$E:$X,MATCH($A52,SPPR!$A:$A,0),12),"")</f>
        <v/>
      </c>
      <c r="P52">
        <f>IFERROR($C52*INDEX(SPPR!$E:$X,MATCH($A52,SPPR!$A:$A,0),13),"")</f>
        <v/>
      </c>
      <c r="Q52">
        <f>IFERROR($C52*INDEX(SPPR!$E:$X,MATCH($A52,SPPR!$A:$A,0),14),"")</f>
        <v/>
      </c>
      <c r="R52">
        <f>IFERROR($C52*INDEX(SPPR!$E:$X,MATCH($A52,SPPR!$A:$A,0),15),"")</f>
        <v/>
      </c>
      <c r="S52">
        <f>IFERROR($C52*INDEX(SPPR!$E:$X,MATCH($A52,SPPR!$A:$A,0),16),"")</f>
        <v/>
      </c>
      <c r="T52">
        <f>IFERROR($C52*INDEX(SPPR!$E:$X,MATCH($A52,SPPR!$A:$A,0),17),"")</f>
        <v/>
      </c>
      <c r="U52">
        <f>IFERROR($C52*INDEX(SPPR!$E:$X,MATCH($A52,SPPR!$A:$A,0),18),"")</f>
        <v/>
      </c>
      <c r="V52">
        <f>IFERROR($C52*INDEX(SPPR!$E:$X,MATCH($A52,SPPR!$A:$A,0),19),"")</f>
        <v/>
      </c>
      <c r="W52">
        <f>IFERROR($C52*INDEX(SPPR!$E:$X,MATCH($A52,SPPR!$A:$A,0),20),"")</f>
        <v/>
      </c>
    </row>
    <row r="53">
      <c r="A53" t="inlineStr">
        <is>
          <t>Thunnus albacares</t>
        </is>
      </c>
      <c r="B53">
        <f>IFERROR(INDEX(SPPR!$D:$D,MATCH($A53,SPPR!$A:$A,0)),"")</f>
        <v/>
      </c>
      <c r="C53">
        <f>IFERROR(INDEX(Catch!$E:$BV,MATCH($A53,Catch!$A:$A,0),MATCH($B$4,Catch!$E$1:$BV$1,0)),0)</f>
        <v/>
      </c>
      <c r="D53">
        <f>IFERROR($C53*INDEX(SPPR!$E:$X,MATCH($A53,SPPR!$A:$A,0),1),"")</f>
        <v/>
      </c>
      <c r="E53">
        <f>IFERROR($C53*INDEX(SPPR!$E:$X,MATCH($A53,SPPR!$A:$A,0),2),"")</f>
        <v/>
      </c>
      <c r="F53">
        <f>IFERROR($C53*INDEX(SPPR!$E:$X,MATCH($A53,SPPR!$A:$A,0),3),"")</f>
        <v/>
      </c>
      <c r="G53">
        <f>IFERROR($C53*INDEX(SPPR!$E:$X,MATCH($A53,SPPR!$A:$A,0),4),"")</f>
        <v/>
      </c>
      <c r="H53">
        <f>IFERROR($C53*INDEX(SPPR!$E:$X,MATCH($A53,SPPR!$A:$A,0),5),"")</f>
        <v/>
      </c>
      <c r="I53">
        <f>IFERROR($C53*INDEX(SPPR!$E:$X,MATCH($A53,SPPR!$A:$A,0),6),"")</f>
        <v/>
      </c>
      <c r="J53">
        <f>IFERROR($C53*INDEX(SPPR!$E:$X,MATCH($A53,SPPR!$A:$A,0),7),"")</f>
        <v/>
      </c>
      <c r="K53">
        <f>IFERROR($C53*INDEX(SPPR!$E:$X,MATCH($A53,SPPR!$A:$A,0),8),"")</f>
        <v/>
      </c>
      <c r="L53">
        <f>IFERROR($C53*INDEX(SPPR!$E:$X,MATCH($A53,SPPR!$A:$A,0),9),"")</f>
        <v/>
      </c>
      <c r="M53">
        <f>IFERROR($C53*INDEX(SPPR!$E:$X,MATCH($A53,SPPR!$A:$A,0),10),"")</f>
        <v/>
      </c>
      <c r="N53">
        <f>IFERROR($C53*INDEX(SPPR!$E:$X,MATCH($A53,SPPR!$A:$A,0),11),"")</f>
        <v/>
      </c>
      <c r="O53">
        <f>IFERROR($C53*INDEX(SPPR!$E:$X,MATCH($A53,SPPR!$A:$A,0),12),"")</f>
        <v/>
      </c>
      <c r="P53">
        <f>IFERROR($C53*INDEX(SPPR!$E:$X,MATCH($A53,SPPR!$A:$A,0),13),"")</f>
        <v/>
      </c>
      <c r="Q53">
        <f>IFERROR($C53*INDEX(SPPR!$E:$X,MATCH($A53,SPPR!$A:$A,0),14),"")</f>
        <v/>
      </c>
      <c r="R53">
        <f>IFERROR($C53*INDEX(SPPR!$E:$X,MATCH($A53,SPPR!$A:$A,0),15),"")</f>
        <v/>
      </c>
      <c r="S53">
        <f>IFERROR($C53*INDEX(SPPR!$E:$X,MATCH($A53,SPPR!$A:$A,0),16),"")</f>
        <v/>
      </c>
      <c r="T53">
        <f>IFERROR($C53*INDEX(SPPR!$E:$X,MATCH($A53,SPPR!$A:$A,0),17),"")</f>
        <v/>
      </c>
      <c r="U53">
        <f>IFERROR($C53*INDEX(SPPR!$E:$X,MATCH($A53,SPPR!$A:$A,0),18),"")</f>
        <v/>
      </c>
      <c r="V53">
        <f>IFERROR($C53*INDEX(SPPR!$E:$X,MATCH($A53,SPPR!$A:$A,0),19),"")</f>
        <v/>
      </c>
      <c r="W53">
        <f>IFERROR($C53*INDEX(SPPR!$E:$X,MATCH($A53,SPPR!$A:$A,0),20),"")</f>
        <v/>
      </c>
    </row>
    <row r="54">
      <c r="A54" t="inlineStr">
        <is>
          <t>Trachurus japonicus</t>
        </is>
      </c>
      <c r="B54">
        <f>IFERROR(INDEX(SPPR!$D:$D,MATCH($A54,SPPR!$A:$A,0)),"")</f>
        <v/>
      </c>
      <c r="C54">
        <f>IFERROR(INDEX(Catch!$E:$BV,MATCH($A54,Catch!$A:$A,0),MATCH($B$4,Catch!$E$1:$BV$1,0)),0)</f>
        <v/>
      </c>
      <c r="D54">
        <f>IFERROR($C54*INDEX(SPPR!$E:$X,MATCH($A54,SPPR!$A:$A,0),1),"")</f>
        <v/>
      </c>
      <c r="E54">
        <f>IFERROR($C54*INDEX(SPPR!$E:$X,MATCH($A54,SPPR!$A:$A,0),2),"")</f>
        <v/>
      </c>
      <c r="F54">
        <f>IFERROR($C54*INDEX(SPPR!$E:$X,MATCH($A54,SPPR!$A:$A,0),3),"")</f>
        <v/>
      </c>
      <c r="G54">
        <f>IFERROR($C54*INDEX(SPPR!$E:$X,MATCH($A54,SPPR!$A:$A,0),4),"")</f>
        <v/>
      </c>
      <c r="H54">
        <f>IFERROR($C54*INDEX(SPPR!$E:$X,MATCH($A54,SPPR!$A:$A,0),5),"")</f>
        <v/>
      </c>
      <c r="I54">
        <f>IFERROR($C54*INDEX(SPPR!$E:$X,MATCH($A54,SPPR!$A:$A,0),6),"")</f>
        <v/>
      </c>
      <c r="J54">
        <f>IFERROR($C54*INDEX(SPPR!$E:$X,MATCH($A54,SPPR!$A:$A,0),7),"")</f>
        <v/>
      </c>
      <c r="K54">
        <f>IFERROR($C54*INDEX(SPPR!$E:$X,MATCH($A54,SPPR!$A:$A,0),8),"")</f>
        <v/>
      </c>
      <c r="L54">
        <f>IFERROR($C54*INDEX(SPPR!$E:$X,MATCH($A54,SPPR!$A:$A,0),9),"")</f>
        <v/>
      </c>
      <c r="M54">
        <f>IFERROR($C54*INDEX(SPPR!$E:$X,MATCH($A54,SPPR!$A:$A,0),10),"")</f>
        <v/>
      </c>
      <c r="N54">
        <f>IFERROR($C54*INDEX(SPPR!$E:$X,MATCH($A54,SPPR!$A:$A,0),11),"")</f>
        <v/>
      </c>
      <c r="O54">
        <f>IFERROR($C54*INDEX(SPPR!$E:$X,MATCH($A54,SPPR!$A:$A,0),12),"")</f>
        <v/>
      </c>
      <c r="P54">
        <f>IFERROR($C54*INDEX(SPPR!$E:$X,MATCH($A54,SPPR!$A:$A,0),13),"")</f>
        <v/>
      </c>
      <c r="Q54">
        <f>IFERROR($C54*INDEX(SPPR!$E:$X,MATCH($A54,SPPR!$A:$A,0),14),"")</f>
        <v/>
      </c>
      <c r="R54">
        <f>IFERROR($C54*INDEX(SPPR!$E:$X,MATCH($A54,SPPR!$A:$A,0),15),"")</f>
        <v/>
      </c>
      <c r="S54">
        <f>IFERROR($C54*INDEX(SPPR!$E:$X,MATCH($A54,SPPR!$A:$A,0),16),"")</f>
        <v/>
      </c>
      <c r="T54">
        <f>IFERROR($C54*INDEX(SPPR!$E:$X,MATCH($A54,SPPR!$A:$A,0),17),"")</f>
        <v/>
      </c>
      <c r="U54">
        <f>IFERROR($C54*INDEX(SPPR!$E:$X,MATCH($A54,SPPR!$A:$A,0),18),"")</f>
        <v/>
      </c>
      <c r="V54">
        <f>IFERROR($C54*INDEX(SPPR!$E:$X,MATCH($A54,SPPR!$A:$A,0),19),"")</f>
        <v/>
      </c>
      <c r="W54">
        <f>IFERROR($C54*INDEX(SPPR!$E:$X,MATCH($A54,SPPR!$A:$A,0),20),"")</f>
        <v/>
      </c>
    </row>
    <row r="55">
      <c r="A55" t="inlineStr">
        <is>
          <t>Rhopilema esculentum</t>
        </is>
      </c>
      <c r="B55">
        <f>IFERROR(INDEX(SPPR!$D:$D,MATCH($A55,SPPR!$A:$A,0)),"")</f>
        <v/>
      </c>
      <c r="C55">
        <f>IFERROR(INDEX(Catch!$E:$BV,MATCH($A55,Catch!$A:$A,0),MATCH($B$4,Catch!$E$1:$BV$1,0)),0)</f>
        <v/>
      </c>
      <c r="D55">
        <f>IFERROR($C55*INDEX(SPPR!$E:$X,MATCH($A55,SPPR!$A:$A,0),1),"")</f>
        <v/>
      </c>
      <c r="E55">
        <f>IFERROR($C55*INDEX(SPPR!$E:$X,MATCH($A55,SPPR!$A:$A,0),2),"")</f>
        <v/>
      </c>
      <c r="F55">
        <f>IFERROR($C55*INDEX(SPPR!$E:$X,MATCH($A55,SPPR!$A:$A,0),3),"")</f>
        <v/>
      </c>
      <c r="G55">
        <f>IFERROR($C55*INDEX(SPPR!$E:$X,MATCH($A55,SPPR!$A:$A,0),4),"")</f>
        <v/>
      </c>
      <c r="H55">
        <f>IFERROR($C55*INDEX(SPPR!$E:$X,MATCH($A55,SPPR!$A:$A,0),5),"")</f>
        <v/>
      </c>
      <c r="I55">
        <f>IFERROR($C55*INDEX(SPPR!$E:$X,MATCH($A55,SPPR!$A:$A,0),6),"")</f>
        <v/>
      </c>
      <c r="J55">
        <f>IFERROR($C55*INDEX(SPPR!$E:$X,MATCH($A55,SPPR!$A:$A,0),7),"")</f>
        <v/>
      </c>
      <c r="K55">
        <f>IFERROR($C55*INDEX(SPPR!$E:$X,MATCH($A55,SPPR!$A:$A,0),8),"")</f>
        <v/>
      </c>
      <c r="L55">
        <f>IFERROR($C55*INDEX(SPPR!$E:$X,MATCH($A55,SPPR!$A:$A,0),9),"")</f>
        <v/>
      </c>
      <c r="M55">
        <f>IFERROR($C55*INDEX(SPPR!$E:$X,MATCH($A55,SPPR!$A:$A,0),10),"")</f>
        <v/>
      </c>
      <c r="N55">
        <f>IFERROR($C55*INDEX(SPPR!$E:$X,MATCH($A55,SPPR!$A:$A,0),11),"")</f>
        <v/>
      </c>
      <c r="O55">
        <f>IFERROR($C55*INDEX(SPPR!$E:$X,MATCH($A55,SPPR!$A:$A,0),12),"")</f>
        <v/>
      </c>
      <c r="P55">
        <f>IFERROR($C55*INDEX(SPPR!$E:$X,MATCH($A55,SPPR!$A:$A,0),13),"")</f>
        <v/>
      </c>
      <c r="Q55">
        <f>IFERROR($C55*INDEX(SPPR!$E:$X,MATCH($A55,SPPR!$A:$A,0),14),"")</f>
        <v/>
      </c>
      <c r="R55">
        <f>IFERROR($C55*INDEX(SPPR!$E:$X,MATCH($A55,SPPR!$A:$A,0),15),"")</f>
        <v/>
      </c>
      <c r="S55">
        <f>IFERROR($C55*INDEX(SPPR!$E:$X,MATCH($A55,SPPR!$A:$A,0),16),"")</f>
        <v/>
      </c>
      <c r="T55">
        <f>IFERROR($C55*INDEX(SPPR!$E:$X,MATCH($A55,SPPR!$A:$A,0),17),"")</f>
        <v/>
      </c>
      <c r="U55">
        <f>IFERROR($C55*INDEX(SPPR!$E:$X,MATCH($A55,SPPR!$A:$A,0),18),"")</f>
        <v/>
      </c>
      <c r="V55">
        <f>IFERROR($C55*INDEX(SPPR!$E:$X,MATCH($A55,SPPR!$A:$A,0),19),"")</f>
        <v/>
      </c>
      <c r="W55">
        <f>IFERROR($C55*INDEX(SPPR!$E:$X,MATCH($A55,SPPR!$A:$A,0),20),"")</f>
        <v/>
      </c>
    </row>
    <row r="56">
      <c r="A56" t="inlineStr">
        <is>
          <t>Mugil cephalus</t>
        </is>
      </c>
      <c r="B56">
        <f>IFERROR(INDEX(SPPR!$D:$D,MATCH($A56,SPPR!$A:$A,0)),"")</f>
        <v/>
      </c>
      <c r="C56">
        <f>IFERROR(INDEX(Catch!$E:$BV,MATCH($A56,Catch!$A:$A,0),MATCH($B$4,Catch!$E$1:$BV$1,0)),0)</f>
        <v/>
      </c>
      <c r="D56">
        <f>IFERROR($C56*INDEX(SPPR!$E:$X,MATCH($A56,SPPR!$A:$A,0),1),"")</f>
        <v/>
      </c>
      <c r="E56">
        <f>IFERROR($C56*INDEX(SPPR!$E:$X,MATCH($A56,SPPR!$A:$A,0),2),"")</f>
        <v/>
      </c>
      <c r="F56">
        <f>IFERROR($C56*INDEX(SPPR!$E:$X,MATCH($A56,SPPR!$A:$A,0),3),"")</f>
        <v/>
      </c>
      <c r="G56">
        <f>IFERROR($C56*INDEX(SPPR!$E:$X,MATCH($A56,SPPR!$A:$A,0),4),"")</f>
        <v/>
      </c>
      <c r="H56">
        <f>IFERROR($C56*INDEX(SPPR!$E:$X,MATCH($A56,SPPR!$A:$A,0),5),"")</f>
        <v/>
      </c>
      <c r="I56">
        <f>IFERROR($C56*INDEX(SPPR!$E:$X,MATCH($A56,SPPR!$A:$A,0),6),"")</f>
        <v/>
      </c>
      <c r="J56">
        <f>IFERROR($C56*INDEX(SPPR!$E:$X,MATCH($A56,SPPR!$A:$A,0),7),"")</f>
        <v/>
      </c>
      <c r="K56">
        <f>IFERROR($C56*INDEX(SPPR!$E:$X,MATCH($A56,SPPR!$A:$A,0),8),"")</f>
        <v/>
      </c>
      <c r="L56">
        <f>IFERROR($C56*INDEX(SPPR!$E:$X,MATCH($A56,SPPR!$A:$A,0),9),"")</f>
        <v/>
      </c>
      <c r="M56">
        <f>IFERROR($C56*INDEX(SPPR!$E:$X,MATCH($A56,SPPR!$A:$A,0),10),"")</f>
        <v/>
      </c>
      <c r="N56">
        <f>IFERROR($C56*INDEX(SPPR!$E:$X,MATCH($A56,SPPR!$A:$A,0),11),"")</f>
        <v/>
      </c>
      <c r="O56">
        <f>IFERROR($C56*INDEX(SPPR!$E:$X,MATCH($A56,SPPR!$A:$A,0),12),"")</f>
        <v/>
      </c>
      <c r="P56">
        <f>IFERROR($C56*INDEX(SPPR!$E:$X,MATCH($A56,SPPR!$A:$A,0),13),"")</f>
        <v/>
      </c>
      <c r="Q56">
        <f>IFERROR($C56*INDEX(SPPR!$E:$X,MATCH($A56,SPPR!$A:$A,0),14),"")</f>
        <v/>
      </c>
      <c r="R56">
        <f>IFERROR($C56*INDEX(SPPR!$E:$X,MATCH($A56,SPPR!$A:$A,0),15),"")</f>
        <v/>
      </c>
      <c r="S56">
        <f>IFERROR($C56*INDEX(SPPR!$E:$X,MATCH($A56,SPPR!$A:$A,0),16),"")</f>
        <v/>
      </c>
      <c r="T56">
        <f>IFERROR($C56*INDEX(SPPR!$E:$X,MATCH($A56,SPPR!$A:$A,0),17),"")</f>
        <v/>
      </c>
      <c r="U56">
        <f>IFERROR($C56*INDEX(SPPR!$E:$X,MATCH($A56,SPPR!$A:$A,0),18),"")</f>
        <v/>
      </c>
      <c r="V56">
        <f>IFERROR($C56*INDEX(SPPR!$E:$X,MATCH($A56,SPPR!$A:$A,0),19),"")</f>
        <v/>
      </c>
      <c r="W56">
        <f>IFERROR($C56*INDEX(SPPR!$E:$X,MATCH($A56,SPPR!$A:$A,0),20),"")</f>
        <v/>
      </c>
    </row>
    <row r="57">
      <c r="A57" t="inlineStr">
        <is>
          <t>Dendrobranchiata</t>
        </is>
      </c>
      <c r="B57">
        <f>IFERROR(INDEX(SPPR!$D:$D,MATCH($A57,SPPR!$A:$A,0)),"")</f>
        <v/>
      </c>
      <c r="C57">
        <f>IFERROR(INDEX(Catch!$E:$BV,MATCH($A57,Catch!$A:$A,0),MATCH($B$4,Catch!$E$1:$BV$1,0)),0)</f>
        <v/>
      </c>
      <c r="D57">
        <f>IFERROR($C57*INDEX(SPPR!$E:$X,MATCH($A57,SPPR!$A:$A,0),1),"")</f>
        <v/>
      </c>
      <c r="E57">
        <f>IFERROR($C57*INDEX(SPPR!$E:$X,MATCH($A57,SPPR!$A:$A,0),2),"")</f>
        <v/>
      </c>
      <c r="F57">
        <f>IFERROR($C57*INDEX(SPPR!$E:$X,MATCH($A57,SPPR!$A:$A,0),3),"")</f>
        <v/>
      </c>
      <c r="G57">
        <f>IFERROR($C57*INDEX(SPPR!$E:$X,MATCH($A57,SPPR!$A:$A,0),4),"")</f>
        <v/>
      </c>
      <c r="H57">
        <f>IFERROR($C57*INDEX(SPPR!$E:$X,MATCH($A57,SPPR!$A:$A,0),5),"")</f>
        <v/>
      </c>
      <c r="I57">
        <f>IFERROR($C57*INDEX(SPPR!$E:$X,MATCH($A57,SPPR!$A:$A,0),6),"")</f>
        <v/>
      </c>
      <c r="J57">
        <f>IFERROR($C57*INDEX(SPPR!$E:$X,MATCH($A57,SPPR!$A:$A,0),7),"")</f>
        <v/>
      </c>
      <c r="K57">
        <f>IFERROR($C57*INDEX(SPPR!$E:$X,MATCH($A57,SPPR!$A:$A,0),8),"")</f>
        <v/>
      </c>
      <c r="L57">
        <f>IFERROR($C57*INDEX(SPPR!$E:$X,MATCH($A57,SPPR!$A:$A,0),9),"")</f>
        <v/>
      </c>
      <c r="M57">
        <f>IFERROR($C57*INDEX(SPPR!$E:$X,MATCH($A57,SPPR!$A:$A,0),10),"")</f>
        <v/>
      </c>
      <c r="N57">
        <f>IFERROR($C57*INDEX(SPPR!$E:$X,MATCH($A57,SPPR!$A:$A,0),11),"")</f>
        <v/>
      </c>
      <c r="O57">
        <f>IFERROR($C57*INDEX(SPPR!$E:$X,MATCH($A57,SPPR!$A:$A,0),12),"")</f>
        <v/>
      </c>
      <c r="P57">
        <f>IFERROR($C57*INDEX(SPPR!$E:$X,MATCH($A57,SPPR!$A:$A,0),13),"")</f>
        <v/>
      </c>
      <c r="Q57">
        <f>IFERROR($C57*INDEX(SPPR!$E:$X,MATCH($A57,SPPR!$A:$A,0),14),"")</f>
        <v/>
      </c>
      <c r="R57">
        <f>IFERROR($C57*INDEX(SPPR!$E:$X,MATCH($A57,SPPR!$A:$A,0),15),"")</f>
        <v/>
      </c>
      <c r="S57">
        <f>IFERROR($C57*INDEX(SPPR!$E:$X,MATCH($A57,SPPR!$A:$A,0),16),"")</f>
        <v/>
      </c>
      <c r="T57">
        <f>IFERROR($C57*INDEX(SPPR!$E:$X,MATCH($A57,SPPR!$A:$A,0),17),"")</f>
        <v/>
      </c>
      <c r="U57">
        <f>IFERROR($C57*INDEX(SPPR!$E:$X,MATCH($A57,SPPR!$A:$A,0),18),"")</f>
        <v/>
      </c>
      <c r="V57">
        <f>IFERROR($C57*INDEX(SPPR!$E:$X,MATCH($A57,SPPR!$A:$A,0),19),"")</f>
        <v/>
      </c>
      <c r="W57">
        <f>IFERROR($C57*INDEX(SPPR!$E:$X,MATCH($A57,SPPR!$A:$A,0),20),"")</f>
        <v/>
      </c>
    </row>
    <row r="58">
      <c r="A58" t="inlineStr">
        <is>
          <t>Pagrus major</t>
        </is>
      </c>
      <c r="B58">
        <f>IFERROR(INDEX(SPPR!$D:$D,MATCH($A58,SPPR!$A:$A,0)),"")</f>
        <v/>
      </c>
      <c r="C58">
        <f>IFERROR(INDEX(Catch!$E:$BV,MATCH($A58,Catch!$A:$A,0),MATCH($B$4,Catch!$E$1:$BV$1,0)),0)</f>
        <v/>
      </c>
      <c r="D58">
        <f>IFERROR($C58*INDEX(SPPR!$E:$X,MATCH($A58,SPPR!$A:$A,0),1),"")</f>
        <v/>
      </c>
      <c r="E58">
        <f>IFERROR($C58*INDEX(SPPR!$E:$X,MATCH($A58,SPPR!$A:$A,0),2),"")</f>
        <v/>
      </c>
      <c r="F58">
        <f>IFERROR($C58*INDEX(SPPR!$E:$X,MATCH($A58,SPPR!$A:$A,0),3),"")</f>
        <v/>
      </c>
      <c r="G58">
        <f>IFERROR($C58*INDEX(SPPR!$E:$X,MATCH($A58,SPPR!$A:$A,0),4),"")</f>
        <v/>
      </c>
      <c r="H58">
        <f>IFERROR($C58*INDEX(SPPR!$E:$X,MATCH($A58,SPPR!$A:$A,0),5),"")</f>
        <v/>
      </c>
      <c r="I58">
        <f>IFERROR($C58*INDEX(SPPR!$E:$X,MATCH($A58,SPPR!$A:$A,0),6),"")</f>
        <v/>
      </c>
      <c r="J58">
        <f>IFERROR($C58*INDEX(SPPR!$E:$X,MATCH($A58,SPPR!$A:$A,0),7),"")</f>
        <v/>
      </c>
      <c r="K58">
        <f>IFERROR($C58*INDEX(SPPR!$E:$X,MATCH($A58,SPPR!$A:$A,0),8),"")</f>
        <v/>
      </c>
      <c r="L58">
        <f>IFERROR($C58*INDEX(SPPR!$E:$X,MATCH($A58,SPPR!$A:$A,0),9),"")</f>
        <v/>
      </c>
      <c r="M58">
        <f>IFERROR($C58*INDEX(SPPR!$E:$X,MATCH($A58,SPPR!$A:$A,0),10),"")</f>
        <v/>
      </c>
      <c r="N58">
        <f>IFERROR($C58*INDEX(SPPR!$E:$X,MATCH($A58,SPPR!$A:$A,0),11),"")</f>
        <v/>
      </c>
      <c r="O58">
        <f>IFERROR($C58*INDEX(SPPR!$E:$X,MATCH($A58,SPPR!$A:$A,0),12),"")</f>
        <v/>
      </c>
      <c r="P58">
        <f>IFERROR($C58*INDEX(SPPR!$E:$X,MATCH($A58,SPPR!$A:$A,0),13),"")</f>
        <v/>
      </c>
      <c r="Q58">
        <f>IFERROR($C58*INDEX(SPPR!$E:$X,MATCH($A58,SPPR!$A:$A,0),14),"")</f>
        <v/>
      </c>
      <c r="R58">
        <f>IFERROR($C58*INDEX(SPPR!$E:$X,MATCH($A58,SPPR!$A:$A,0),15),"")</f>
        <v/>
      </c>
      <c r="S58">
        <f>IFERROR($C58*INDEX(SPPR!$E:$X,MATCH($A58,SPPR!$A:$A,0),16),"")</f>
        <v/>
      </c>
      <c r="T58">
        <f>IFERROR($C58*INDEX(SPPR!$E:$X,MATCH($A58,SPPR!$A:$A,0),17),"")</f>
        <v/>
      </c>
      <c r="U58">
        <f>IFERROR($C58*INDEX(SPPR!$E:$X,MATCH($A58,SPPR!$A:$A,0),18),"")</f>
        <v/>
      </c>
      <c r="V58">
        <f>IFERROR($C58*INDEX(SPPR!$E:$X,MATCH($A58,SPPR!$A:$A,0),19),"")</f>
        <v/>
      </c>
      <c r="W58">
        <f>IFERROR($C58*INDEX(SPPR!$E:$X,MATCH($A58,SPPR!$A:$A,0),20),"")</f>
        <v/>
      </c>
    </row>
    <row r="59">
      <c r="A59" t="inlineStr">
        <is>
          <t>Decapoda</t>
        </is>
      </c>
      <c r="B59">
        <f>IFERROR(INDEX(SPPR!$D:$D,MATCH($A59,SPPR!$A:$A,0)),"")</f>
        <v/>
      </c>
      <c r="C59">
        <f>IFERROR(INDEX(Catch!$E:$BV,MATCH($A59,Catch!$A:$A,0),MATCH($B$4,Catch!$E$1:$BV$1,0)),0)</f>
        <v/>
      </c>
      <c r="D59">
        <f>IFERROR($C59*INDEX(SPPR!$E:$X,MATCH($A59,SPPR!$A:$A,0),1),"")</f>
        <v/>
      </c>
      <c r="E59">
        <f>IFERROR($C59*INDEX(SPPR!$E:$X,MATCH($A59,SPPR!$A:$A,0),2),"")</f>
        <v/>
      </c>
      <c r="F59">
        <f>IFERROR($C59*INDEX(SPPR!$E:$X,MATCH($A59,SPPR!$A:$A,0),3),"")</f>
        <v/>
      </c>
      <c r="G59">
        <f>IFERROR($C59*INDEX(SPPR!$E:$X,MATCH($A59,SPPR!$A:$A,0),4),"")</f>
        <v/>
      </c>
      <c r="H59">
        <f>IFERROR($C59*INDEX(SPPR!$E:$X,MATCH($A59,SPPR!$A:$A,0),5),"")</f>
        <v/>
      </c>
      <c r="I59">
        <f>IFERROR($C59*INDEX(SPPR!$E:$X,MATCH($A59,SPPR!$A:$A,0),6),"")</f>
        <v/>
      </c>
      <c r="J59">
        <f>IFERROR($C59*INDEX(SPPR!$E:$X,MATCH($A59,SPPR!$A:$A,0),7),"")</f>
        <v/>
      </c>
      <c r="K59">
        <f>IFERROR($C59*INDEX(SPPR!$E:$X,MATCH($A59,SPPR!$A:$A,0),8),"")</f>
        <v/>
      </c>
      <c r="L59">
        <f>IFERROR($C59*INDEX(SPPR!$E:$X,MATCH($A59,SPPR!$A:$A,0),9),"")</f>
        <v/>
      </c>
      <c r="M59">
        <f>IFERROR($C59*INDEX(SPPR!$E:$X,MATCH($A59,SPPR!$A:$A,0),10),"")</f>
        <v/>
      </c>
      <c r="N59">
        <f>IFERROR($C59*INDEX(SPPR!$E:$X,MATCH($A59,SPPR!$A:$A,0),11),"")</f>
        <v/>
      </c>
      <c r="O59">
        <f>IFERROR($C59*INDEX(SPPR!$E:$X,MATCH($A59,SPPR!$A:$A,0),12),"")</f>
        <v/>
      </c>
      <c r="P59">
        <f>IFERROR($C59*INDEX(SPPR!$E:$X,MATCH($A59,SPPR!$A:$A,0),13),"")</f>
        <v/>
      </c>
      <c r="Q59">
        <f>IFERROR($C59*INDEX(SPPR!$E:$X,MATCH($A59,SPPR!$A:$A,0),14),"")</f>
        <v/>
      </c>
      <c r="R59">
        <f>IFERROR($C59*INDEX(SPPR!$E:$X,MATCH($A59,SPPR!$A:$A,0),15),"")</f>
        <v/>
      </c>
      <c r="S59">
        <f>IFERROR($C59*INDEX(SPPR!$E:$X,MATCH($A59,SPPR!$A:$A,0),16),"")</f>
        <v/>
      </c>
      <c r="T59">
        <f>IFERROR($C59*INDEX(SPPR!$E:$X,MATCH($A59,SPPR!$A:$A,0),17),"")</f>
        <v/>
      </c>
      <c r="U59">
        <f>IFERROR($C59*INDEX(SPPR!$E:$X,MATCH($A59,SPPR!$A:$A,0),18),"")</f>
        <v/>
      </c>
      <c r="V59">
        <f>IFERROR($C59*INDEX(SPPR!$E:$X,MATCH($A59,SPPR!$A:$A,0),19),"")</f>
        <v/>
      </c>
      <c r="W59">
        <f>IFERROR($C59*INDEX(SPPR!$E:$X,MATCH($A59,SPPR!$A:$A,0),20),"")</f>
        <v/>
      </c>
    </row>
    <row r="60">
      <c r="A60" t="inlineStr">
        <is>
          <t>Turbo cornutus</t>
        </is>
      </c>
      <c r="B60">
        <f>IFERROR(INDEX(SPPR!$D:$D,MATCH($A60,SPPR!$A:$A,0)),"")</f>
        <v/>
      </c>
      <c r="C60">
        <f>IFERROR(INDEX(Catch!$E:$BV,MATCH($A60,Catch!$A:$A,0),MATCH($B$4,Catch!$E$1:$BV$1,0)),0)</f>
        <v/>
      </c>
      <c r="D60">
        <f>IFERROR($C60*INDEX(SPPR!$E:$X,MATCH($A60,SPPR!$A:$A,0),1),"")</f>
        <v/>
      </c>
      <c r="E60">
        <f>IFERROR($C60*INDEX(SPPR!$E:$X,MATCH($A60,SPPR!$A:$A,0),2),"")</f>
        <v/>
      </c>
      <c r="F60">
        <f>IFERROR($C60*INDEX(SPPR!$E:$X,MATCH($A60,SPPR!$A:$A,0),3),"")</f>
        <v/>
      </c>
      <c r="G60">
        <f>IFERROR($C60*INDEX(SPPR!$E:$X,MATCH($A60,SPPR!$A:$A,0),4),"")</f>
        <v/>
      </c>
      <c r="H60">
        <f>IFERROR($C60*INDEX(SPPR!$E:$X,MATCH($A60,SPPR!$A:$A,0),5),"")</f>
        <v/>
      </c>
      <c r="I60">
        <f>IFERROR($C60*INDEX(SPPR!$E:$X,MATCH($A60,SPPR!$A:$A,0),6),"")</f>
        <v/>
      </c>
      <c r="J60">
        <f>IFERROR($C60*INDEX(SPPR!$E:$X,MATCH($A60,SPPR!$A:$A,0),7),"")</f>
        <v/>
      </c>
      <c r="K60">
        <f>IFERROR($C60*INDEX(SPPR!$E:$X,MATCH($A60,SPPR!$A:$A,0),8),"")</f>
        <v/>
      </c>
      <c r="L60">
        <f>IFERROR($C60*INDEX(SPPR!$E:$X,MATCH($A60,SPPR!$A:$A,0),9),"")</f>
        <v/>
      </c>
      <c r="M60">
        <f>IFERROR($C60*INDEX(SPPR!$E:$X,MATCH($A60,SPPR!$A:$A,0),10),"")</f>
        <v/>
      </c>
      <c r="N60">
        <f>IFERROR($C60*INDEX(SPPR!$E:$X,MATCH($A60,SPPR!$A:$A,0),11),"")</f>
        <v/>
      </c>
      <c r="O60">
        <f>IFERROR($C60*INDEX(SPPR!$E:$X,MATCH($A60,SPPR!$A:$A,0),12),"")</f>
        <v/>
      </c>
      <c r="P60">
        <f>IFERROR($C60*INDEX(SPPR!$E:$X,MATCH($A60,SPPR!$A:$A,0),13),"")</f>
        <v/>
      </c>
      <c r="Q60">
        <f>IFERROR($C60*INDEX(SPPR!$E:$X,MATCH($A60,SPPR!$A:$A,0),14),"")</f>
        <v/>
      </c>
      <c r="R60">
        <f>IFERROR($C60*INDEX(SPPR!$E:$X,MATCH($A60,SPPR!$A:$A,0),15),"")</f>
        <v/>
      </c>
      <c r="S60">
        <f>IFERROR($C60*INDEX(SPPR!$E:$X,MATCH($A60,SPPR!$A:$A,0),16),"")</f>
        <v/>
      </c>
      <c r="T60">
        <f>IFERROR($C60*INDEX(SPPR!$E:$X,MATCH($A60,SPPR!$A:$A,0),17),"")</f>
        <v/>
      </c>
      <c r="U60">
        <f>IFERROR($C60*INDEX(SPPR!$E:$X,MATCH($A60,SPPR!$A:$A,0),18),"")</f>
        <v/>
      </c>
      <c r="V60">
        <f>IFERROR($C60*INDEX(SPPR!$E:$X,MATCH($A60,SPPR!$A:$A,0),19),"")</f>
        <v/>
      </c>
      <c r="W60">
        <f>IFERROR($C60*INDEX(SPPR!$E:$X,MATCH($A60,SPPR!$A:$A,0),20),"")</f>
        <v/>
      </c>
    </row>
    <row r="61">
      <c r="A61" t="inlineStr">
        <is>
          <t>Conger myriaster</t>
        </is>
      </c>
      <c r="B61">
        <f>IFERROR(INDEX(SPPR!$D:$D,MATCH($A61,SPPR!$A:$A,0)),"")</f>
        <v/>
      </c>
      <c r="C61">
        <f>IFERROR(INDEX(Catch!$E:$BV,MATCH($A61,Catch!$A:$A,0),MATCH($B$4,Catch!$E$1:$BV$1,0)),0)</f>
        <v/>
      </c>
      <c r="D61">
        <f>IFERROR($C61*INDEX(SPPR!$E:$X,MATCH($A61,SPPR!$A:$A,0),1),"")</f>
        <v/>
      </c>
      <c r="E61">
        <f>IFERROR($C61*INDEX(SPPR!$E:$X,MATCH($A61,SPPR!$A:$A,0),2),"")</f>
        <v/>
      </c>
      <c r="F61">
        <f>IFERROR($C61*INDEX(SPPR!$E:$X,MATCH($A61,SPPR!$A:$A,0),3),"")</f>
        <v/>
      </c>
      <c r="G61">
        <f>IFERROR($C61*INDEX(SPPR!$E:$X,MATCH($A61,SPPR!$A:$A,0),4),"")</f>
        <v/>
      </c>
      <c r="H61">
        <f>IFERROR($C61*INDEX(SPPR!$E:$X,MATCH($A61,SPPR!$A:$A,0),5),"")</f>
        <v/>
      </c>
      <c r="I61">
        <f>IFERROR($C61*INDEX(SPPR!$E:$X,MATCH($A61,SPPR!$A:$A,0),6),"")</f>
        <v/>
      </c>
      <c r="J61">
        <f>IFERROR($C61*INDEX(SPPR!$E:$X,MATCH($A61,SPPR!$A:$A,0),7),"")</f>
        <v/>
      </c>
      <c r="K61">
        <f>IFERROR($C61*INDEX(SPPR!$E:$X,MATCH($A61,SPPR!$A:$A,0),8),"")</f>
        <v/>
      </c>
      <c r="L61">
        <f>IFERROR($C61*INDEX(SPPR!$E:$X,MATCH($A61,SPPR!$A:$A,0),9),"")</f>
        <v/>
      </c>
      <c r="M61">
        <f>IFERROR($C61*INDEX(SPPR!$E:$X,MATCH($A61,SPPR!$A:$A,0),10),"")</f>
        <v/>
      </c>
      <c r="N61">
        <f>IFERROR($C61*INDEX(SPPR!$E:$X,MATCH($A61,SPPR!$A:$A,0),11),"")</f>
        <v/>
      </c>
      <c r="O61">
        <f>IFERROR($C61*INDEX(SPPR!$E:$X,MATCH($A61,SPPR!$A:$A,0),12),"")</f>
        <v/>
      </c>
      <c r="P61">
        <f>IFERROR($C61*INDEX(SPPR!$E:$X,MATCH($A61,SPPR!$A:$A,0),13),"")</f>
        <v/>
      </c>
      <c r="Q61">
        <f>IFERROR($C61*INDEX(SPPR!$E:$X,MATCH($A61,SPPR!$A:$A,0),14),"")</f>
        <v/>
      </c>
      <c r="R61">
        <f>IFERROR($C61*INDEX(SPPR!$E:$X,MATCH($A61,SPPR!$A:$A,0),15),"")</f>
        <v/>
      </c>
      <c r="S61">
        <f>IFERROR($C61*INDEX(SPPR!$E:$X,MATCH($A61,SPPR!$A:$A,0),16),"")</f>
        <v/>
      </c>
      <c r="T61">
        <f>IFERROR($C61*INDEX(SPPR!$E:$X,MATCH($A61,SPPR!$A:$A,0),17),"")</f>
        <v/>
      </c>
      <c r="U61">
        <f>IFERROR($C61*INDEX(SPPR!$E:$X,MATCH($A61,SPPR!$A:$A,0),18),"")</f>
        <v/>
      </c>
      <c r="V61">
        <f>IFERROR($C61*INDEX(SPPR!$E:$X,MATCH($A61,SPPR!$A:$A,0),19),"")</f>
        <v/>
      </c>
      <c r="W61">
        <f>IFERROR($C61*INDEX(SPPR!$E:$X,MATCH($A61,SPPR!$A:$A,0),20),"")</f>
        <v/>
      </c>
    </row>
    <row r="62">
      <c r="A62" t="inlineStr">
        <is>
          <t>Congridae</t>
        </is>
      </c>
      <c r="B62">
        <f>IFERROR(INDEX(SPPR!$D:$D,MATCH($A62,SPPR!$A:$A,0)),"")</f>
        <v/>
      </c>
      <c r="C62">
        <f>IFERROR(INDEX(Catch!$E:$BV,MATCH($A62,Catch!$A:$A,0),MATCH($B$4,Catch!$E$1:$BV$1,0)),0)</f>
        <v/>
      </c>
      <c r="D62">
        <f>IFERROR($C62*INDEX(SPPR!$E:$X,MATCH($A62,SPPR!$A:$A,0),1),"")</f>
        <v/>
      </c>
      <c r="E62">
        <f>IFERROR($C62*INDEX(SPPR!$E:$X,MATCH($A62,SPPR!$A:$A,0),2),"")</f>
        <v/>
      </c>
      <c r="F62">
        <f>IFERROR($C62*INDEX(SPPR!$E:$X,MATCH($A62,SPPR!$A:$A,0),3),"")</f>
        <v/>
      </c>
      <c r="G62">
        <f>IFERROR($C62*INDEX(SPPR!$E:$X,MATCH($A62,SPPR!$A:$A,0),4),"")</f>
        <v/>
      </c>
      <c r="H62">
        <f>IFERROR($C62*INDEX(SPPR!$E:$X,MATCH($A62,SPPR!$A:$A,0),5),"")</f>
        <v/>
      </c>
      <c r="I62">
        <f>IFERROR($C62*INDEX(SPPR!$E:$X,MATCH($A62,SPPR!$A:$A,0),6),"")</f>
        <v/>
      </c>
      <c r="J62">
        <f>IFERROR($C62*INDEX(SPPR!$E:$X,MATCH($A62,SPPR!$A:$A,0),7),"")</f>
        <v/>
      </c>
      <c r="K62">
        <f>IFERROR($C62*INDEX(SPPR!$E:$X,MATCH($A62,SPPR!$A:$A,0),8),"")</f>
        <v/>
      </c>
      <c r="L62">
        <f>IFERROR($C62*INDEX(SPPR!$E:$X,MATCH($A62,SPPR!$A:$A,0),9),"")</f>
        <v/>
      </c>
      <c r="M62">
        <f>IFERROR($C62*INDEX(SPPR!$E:$X,MATCH($A62,SPPR!$A:$A,0),10),"")</f>
        <v/>
      </c>
      <c r="N62">
        <f>IFERROR($C62*INDEX(SPPR!$E:$X,MATCH($A62,SPPR!$A:$A,0),11),"")</f>
        <v/>
      </c>
      <c r="O62">
        <f>IFERROR($C62*INDEX(SPPR!$E:$X,MATCH($A62,SPPR!$A:$A,0),12),"")</f>
        <v/>
      </c>
      <c r="P62">
        <f>IFERROR($C62*INDEX(SPPR!$E:$X,MATCH($A62,SPPR!$A:$A,0),13),"")</f>
        <v/>
      </c>
      <c r="Q62">
        <f>IFERROR($C62*INDEX(SPPR!$E:$X,MATCH($A62,SPPR!$A:$A,0),14),"")</f>
        <v/>
      </c>
      <c r="R62">
        <f>IFERROR($C62*INDEX(SPPR!$E:$X,MATCH($A62,SPPR!$A:$A,0),15),"")</f>
        <v/>
      </c>
      <c r="S62">
        <f>IFERROR($C62*INDEX(SPPR!$E:$X,MATCH($A62,SPPR!$A:$A,0),16),"")</f>
        <v/>
      </c>
      <c r="T62">
        <f>IFERROR($C62*INDEX(SPPR!$E:$X,MATCH($A62,SPPR!$A:$A,0),17),"")</f>
        <v/>
      </c>
      <c r="U62">
        <f>IFERROR($C62*INDEX(SPPR!$E:$X,MATCH($A62,SPPR!$A:$A,0),18),"")</f>
        <v/>
      </c>
      <c r="V62">
        <f>IFERROR($C62*INDEX(SPPR!$E:$X,MATCH($A62,SPPR!$A:$A,0),19),"")</f>
        <v/>
      </c>
      <c r="W62">
        <f>IFERROR($C62*INDEX(SPPR!$E:$X,MATCH($A62,SPPR!$A:$A,0),20),"")</f>
        <v/>
      </c>
    </row>
    <row r="63">
      <c r="A63" t="inlineStr">
        <is>
          <t>Seriola</t>
        </is>
      </c>
      <c r="B63">
        <f>IFERROR(INDEX(SPPR!$D:$D,MATCH($A63,SPPR!$A:$A,0)),"")</f>
        <v/>
      </c>
      <c r="C63">
        <f>IFERROR(INDEX(Catch!$E:$BV,MATCH($A63,Catch!$A:$A,0),MATCH($B$4,Catch!$E$1:$BV$1,0)),0)</f>
        <v/>
      </c>
      <c r="D63">
        <f>IFERROR($C63*INDEX(SPPR!$E:$X,MATCH($A63,SPPR!$A:$A,0),1),"")</f>
        <v/>
      </c>
      <c r="E63">
        <f>IFERROR($C63*INDEX(SPPR!$E:$X,MATCH($A63,SPPR!$A:$A,0),2),"")</f>
        <v/>
      </c>
      <c r="F63">
        <f>IFERROR($C63*INDEX(SPPR!$E:$X,MATCH($A63,SPPR!$A:$A,0),3),"")</f>
        <v/>
      </c>
      <c r="G63">
        <f>IFERROR($C63*INDEX(SPPR!$E:$X,MATCH($A63,SPPR!$A:$A,0),4),"")</f>
        <v/>
      </c>
      <c r="H63">
        <f>IFERROR($C63*INDEX(SPPR!$E:$X,MATCH($A63,SPPR!$A:$A,0),5),"")</f>
        <v/>
      </c>
      <c r="I63">
        <f>IFERROR($C63*INDEX(SPPR!$E:$X,MATCH($A63,SPPR!$A:$A,0),6),"")</f>
        <v/>
      </c>
      <c r="J63">
        <f>IFERROR($C63*INDEX(SPPR!$E:$X,MATCH($A63,SPPR!$A:$A,0),7),"")</f>
        <v/>
      </c>
      <c r="K63">
        <f>IFERROR($C63*INDEX(SPPR!$E:$X,MATCH($A63,SPPR!$A:$A,0),8),"")</f>
        <v/>
      </c>
      <c r="L63">
        <f>IFERROR($C63*INDEX(SPPR!$E:$X,MATCH($A63,SPPR!$A:$A,0),9),"")</f>
        <v/>
      </c>
      <c r="M63">
        <f>IFERROR($C63*INDEX(SPPR!$E:$X,MATCH($A63,SPPR!$A:$A,0),10),"")</f>
        <v/>
      </c>
      <c r="N63">
        <f>IFERROR($C63*INDEX(SPPR!$E:$X,MATCH($A63,SPPR!$A:$A,0),11),"")</f>
        <v/>
      </c>
      <c r="O63">
        <f>IFERROR($C63*INDEX(SPPR!$E:$X,MATCH($A63,SPPR!$A:$A,0),12),"")</f>
        <v/>
      </c>
      <c r="P63">
        <f>IFERROR($C63*INDEX(SPPR!$E:$X,MATCH($A63,SPPR!$A:$A,0),13),"")</f>
        <v/>
      </c>
      <c r="Q63">
        <f>IFERROR($C63*INDEX(SPPR!$E:$X,MATCH($A63,SPPR!$A:$A,0),14),"")</f>
        <v/>
      </c>
      <c r="R63">
        <f>IFERROR($C63*INDEX(SPPR!$E:$X,MATCH($A63,SPPR!$A:$A,0),15),"")</f>
        <v/>
      </c>
      <c r="S63">
        <f>IFERROR($C63*INDEX(SPPR!$E:$X,MATCH($A63,SPPR!$A:$A,0),16),"")</f>
        <v/>
      </c>
      <c r="T63">
        <f>IFERROR($C63*INDEX(SPPR!$E:$X,MATCH($A63,SPPR!$A:$A,0),17),"")</f>
        <v/>
      </c>
      <c r="U63">
        <f>IFERROR($C63*INDEX(SPPR!$E:$X,MATCH($A63,SPPR!$A:$A,0),18),"")</f>
        <v/>
      </c>
      <c r="V63">
        <f>IFERROR($C63*INDEX(SPPR!$E:$X,MATCH($A63,SPPR!$A:$A,0),19),"")</f>
        <v/>
      </c>
      <c r="W63">
        <f>IFERROR($C63*INDEX(SPPR!$E:$X,MATCH($A63,SPPR!$A:$A,0),20),"")</f>
        <v/>
      </c>
    </row>
    <row r="64">
      <c r="A64" t="inlineStr">
        <is>
          <t>Ilisha elongata</t>
        </is>
      </c>
      <c r="B64">
        <f>IFERROR(INDEX(SPPR!$D:$D,MATCH($A64,SPPR!$A:$A,0)),"")</f>
        <v/>
      </c>
      <c r="C64">
        <f>IFERROR(INDEX(Catch!$E:$BV,MATCH($A64,Catch!$A:$A,0),MATCH($B$4,Catch!$E$1:$BV$1,0)),0)</f>
        <v/>
      </c>
      <c r="D64">
        <f>IFERROR($C64*INDEX(SPPR!$E:$X,MATCH($A64,SPPR!$A:$A,0),1),"")</f>
        <v/>
      </c>
      <c r="E64">
        <f>IFERROR($C64*INDEX(SPPR!$E:$X,MATCH($A64,SPPR!$A:$A,0),2),"")</f>
        <v/>
      </c>
      <c r="F64">
        <f>IFERROR($C64*INDEX(SPPR!$E:$X,MATCH($A64,SPPR!$A:$A,0),3),"")</f>
        <v/>
      </c>
      <c r="G64">
        <f>IFERROR($C64*INDEX(SPPR!$E:$X,MATCH($A64,SPPR!$A:$A,0),4),"")</f>
        <v/>
      </c>
      <c r="H64">
        <f>IFERROR($C64*INDEX(SPPR!$E:$X,MATCH($A64,SPPR!$A:$A,0),5),"")</f>
        <v/>
      </c>
      <c r="I64">
        <f>IFERROR($C64*INDEX(SPPR!$E:$X,MATCH($A64,SPPR!$A:$A,0),6),"")</f>
        <v/>
      </c>
      <c r="J64">
        <f>IFERROR($C64*INDEX(SPPR!$E:$X,MATCH($A64,SPPR!$A:$A,0),7),"")</f>
        <v/>
      </c>
      <c r="K64">
        <f>IFERROR($C64*INDEX(SPPR!$E:$X,MATCH($A64,SPPR!$A:$A,0),8),"")</f>
        <v/>
      </c>
      <c r="L64">
        <f>IFERROR($C64*INDEX(SPPR!$E:$X,MATCH($A64,SPPR!$A:$A,0),9),"")</f>
        <v/>
      </c>
      <c r="M64">
        <f>IFERROR($C64*INDEX(SPPR!$E:$X,MATCH($A64,SPPR!$A:$A,0),10),"")</f>
        <v/>
      </c>
      <c r="N64">
        <f>IFERROR($C64*INDEX(SPPR!$E:$X,MATCH($A64,SPPR!$A:$A,0),11),"")</f>
        <v/>
      </c>
      <c r="O64">
        <f>IFERROR($C64*INDEX(SPPR!$E:$X,MATCH($A64,SPPR!$A:$A,0),12),"")</f>
        <v/>
      </c>
      <c r="P64">
        <f>IFERROR($C64*INDEX(SPPR!$E:$X,MATCH($A64,SPPR!$A:$A,0),13),"")</f>
        <v/>
      </c>
      <c r="Q64">
        <f>IFERROR($C64*INDEX(SPPR!$E:$X,MATCH($A64,SPPR!$A:$A,0),14),"")</f>
        <v/>
      </c>
      <c r="R64">
        <f>IFERROR($C64*INDEX(SPPR!$E:$X,MATCH($A64,SPPR!$A:$A,0),15),"")</f>
        <v/>
      </c>
      <c r="S64">
        <f>IFERROR($C64*INDEX(SPPR!$E:$X,MATCH($A64,SPPR!$A:$A,0),16),"")</f>
        <v/>
      </c>
      <c r="T64">
        <f>IFERROR($C64*INDEX(SPPR!$E:$X,MATCH($A64,SPPR!$A:$A,0),17),"")</f>
        <v/>
      </c>
      <c r="U64">
        <f>IFERROR($C64*INDEX(SPPR!$E:$X,MATCH($A64,SPPR!$A:$A,0),18),"")</f>
        <v/>
      </c>
      <c r="V64">
        <f>IFERROR($C64*INDEX(SPPR!$E:$X,MATCH($A64,SPPR!$A:$A,0),19),"")</f>
        <v/>
      </c>
      <c r="W64">
        <f>IFERROR($C64*INDEX(SPPR!$E:$X,MATCH($A64,SPPR!$A:$A,0),20),"")</f>
        <v/>
      </c>
    </row>
    <row r="65">
      <c r="A65" t="inlineStr">
        <is>
          <t>Sebastes</t>
        </is>
      </c>
      <c r="B65">
        <f>IFERROR(INDEX(SPPR!$D:$D,MATCH($A65,SPPR!$A:$A,0)),"")</f>
        <v/>
      </c>
      <c r="C65">
        <f>IFERROR(INDEX(Catch!$E:$BV,MATCH($A65,Catch!$A:$A,0),MATCH($B$4,Catch!$E$1:$BV$1,0)),0)</f>
        <v/>
      </c>
      <c r="D65">
        <f>IFERROR($C65*INDEX(SPPR!$E:$X,MATCH($A65,SPPR!$A:$A,0),1),"")</f>
        <v/>
      </c>
      <c r="E65">
        <f>IFERROR($C65*INDEX(SPPR!$E:$X,MATCH($A65,SPPR!$A:$A,0),2),"")</f>
        <v/>
      </c>
      <c r="F65">
        <f>IFERROR($C65*INDEX(SPPR!$E:$X,MATCH($A65,SPPR!$A:$A,0),3),"")</f>
        <v/>
      </c>
      <c r="G65">
        <f>IFERROR($C65*INDEX(SPPR!$E:$X,MATCH($A65,SPPR!$A:$A,0),4),"")</f>
        <v/>
      </c>
      <c r="H65">
        <f>IFERROR($C65*INDEX(SPPR!$E:$X,MATCH($A65,SPPR!$A:$A,0),5),"")</f>
        <v/>
      </c>
      <c r="I65">
        <f>IFERROR($C65*INDEX(SPPR!$E:$X,MATCH($A65,SPPR!$A:$A,0),6),"")</f>
        <v/>
      </c>
      <c r="J65">
        <f>IFERROR($C65*INDEX(SPPR!$E:$X,MATCH($A65,SPPR!$A:$A,0),7),"")</f>
        <v/>
      </c>
      <c r="K65">
        <f>IFERROR($C65*INDEX(SPPR!$E:$X,MATCH($A65,SPPR!$A:$A,0),8),"")</f>
        <v/>
      </c>
      <c r="L65">
        <f>IFERROR($C65*INDEX(SPPR!$E:$X,MATCH($A65,SPPR!$A:$A,0),9),"")</f>
        <v/>
      </c>
      <c r="M65">
        <f>IFERROR($C65*INDEX(SPPR!$E:$X,MATCH($A65,SPPR!$A:$A,0),10),"")</f>
        <v/>
      </c>
      <c r="N65">
        <f>IFERROR($C65*INDEX(SPPR!$E:$X,MATCH($A65,SPPR!$A:$A,0),11),"")</f>
        <v/>
      </c>
      <c r="O65">
        <f>IFERROR($C65*INDEX(SPPR!$E:$X,MATCH($A65,SPPR!$A:$A,0),12),"")</f>
        <v/>
      </c>
      <c r="P65">
        <f>IFERROR($C65*INDEX(SPPR!$E:$X,MATCH($A65,SPPR!$A:$A,0),13),"")</f>
        <v/>
      </c>
      <c r="Q65">
        <f>IFERROR($C65*INDEX(SPPR!$E:$X,MATCH($A65,SPPR!$A:$A,0),14),"")</f>
        <v/>
      </c>
      <c r="R65">
        <f>IFERROR($C65*INDEX(SPPR!$E:$X,MATCH($A65,SPPR!$A:$A,0),15),"")</f>
        <v/>
      </c>
      <c r="S65">
        <f>IFERROR($C65*INDEX(SPPR!$E:$X,MATCH($A65,SPPR!$A:$A,0),16),"")</f>
        <v/>
      </c>
      <c r="T65">
        <f>IFERROR($C65*INDEX(SPPR!$E:$X,MATCH($A65,SPPR!$A:$A,0),17),"")</f>
        <v/>
      </c>
      <c r="U65">
        <f>IFERROR($C65*INDEX(SPPR!$E:$X,MATCH($A65,SPPR!$A:$A,0),18),"")</f>
        <v/>
      </c>
      <c r="V65">
        <f>IFERROR($C65*INDEX(SPPR!$E:$X,MATCH($A65,SPPR!$A:$A,0),19),"")</f>
        <v/>
      </c>
      <c r="W65">
        <f>IFERROR($C65*INDEX(SPPR!$E:$X,MATCH($A65,SPPR!$A:$A,0),20),"")</f>
        <v/>
      </c>
    </row>
    <row r="66">
      <c r="A66" t="inlineStr">
        <is>
          <t>Epinephelus</t>
        </is>
      </c>
      <c r="B66">
        <f>IFERROR(INDEX(SPPR!$D:$D,MATCH($A66,SPPR!$A:$A,0)),"")</f>
        <v/>
      </c>
      <c r="C66">
        <f>IFERROR(INDEX(Catch!$E:$BV,MATCH($A66,Catch!$A:$A,0),MATCH($B$4,Catch!$E$1:$BV$1,0)),0)</f>
        <v/>
      </c>
      <c r="D66">
        <f>IFERROR($C66*INDEX(SPPR!$E:$X,MATCH($A66,SPPR!$A:$A,0),1),"")</f>
        <v/>
      </c>
      <c r="E66">
        <f>IFERROR($C66*INDEX(SPPR!$E:$X,MATCH($A66,SPPR!$A:$A,0),2),"")</f>
        <v/>
      </c>
      <c r="F66">
        <f>IFERROR($C66*INDEX(SPPR!$E:$X,MATCH($A66,SPPR!$A:$A,0),3),"")</f>
        <v/>
      </c>
      <c r="G66">
        <f>IFERROR($C66*INDEX(SPPR!$E:$X,MATCH($A66,SPPR!$A:$A,0),4),"")</f>
        <v/>
      </c>
      <c r="H66">
        <f>IFERROR($C66*INDEX(SPPR!$E:$X,MATCH($A66,SPPR!$A:$A,0),5),"")</f>
        <v/>
      </c>
      <c r="I66">
        <f>IFERROR($C66*INDEX(SPPR!$E:$X,MATCH($A66,SPPR!$A:$A,0),6),"")</f>
        <v/>
      </c>
      <c r="J66">
        <f>IFERROR($C66*INDEX(SPPR!$E:$X,MATCH($A66,SPPR!$A:$A,0),7),"")</f>
        <v/>
      </c>
      <c r="K66">
        <f>IFERROR($C66*INDEX(SPPR!$E:$X,MATCH($A66,SPPR!$A:$A,0),8),"")</f>
        <v/>
      </c>
      <c r="L66">
        <f>IFERROR($C66*INDEX(SPPR!$E:$X,MATCH($A66,SPPR!$A:$A,0),9),"")</f>
        <v/>
      </c>
      <c r="M66">
        <f>IFERROR($C66*INDEX(SPPR!$E:$X,MATCH($A66,SPPR!$A:$A,0),10),"")</f>
        <v/>
      </c>
      <c r="N66">
        <f>IFERROR($C66*INDEX(SPPR!$E:$X,MATCH($A66,SPPR!$A:$A,0),11),"")</f>
        <v/>
      </c>
      <c r="O66">
        <f>IFERROR($C66*INDEX(SPPR!$E:$X,MATCH($A66,SPPR!$A:$A,0),12),"")</f>
        <v/>
      </c>
      <c r="P66">
        <f>IFERROR($C66*INDEX(SPPR!$E:$X,MATCH($A66,SPPR!$A:$A,0),13),"")</f>
        <v/>
      </c>
      <c r="Q66">
        <f>IFERROR($C66*INDEX(SPPR!$E:$X,MATCH($A66,SPPR!$A:$A,0),14),"")</f>
        <v/>
      </c>
      <c r="R66">
        <f>IFERROR($C66*INDEX(SPPR!$E:$X,MATCH($A66,SPPR!$A:$A,0),15),"")</f>
        <v/>
      </c>
      <c r="S66">
        <f>IFERROR($C66*INDEX(SPPR!$E:$X,MATCH($A66,SPPR!$A:$A,0),16),"")</f>
        <v/>
      </c>
      <c r="T66">
        <f>IFERROR($C66*INDEX(SPPR!$E:$X,MATCH($A66,SPPR!$A:$A,0),17),"")</f>
        <v/>
      </c>
      <c r="U66">
        <f>IFERROR($C66*INDEX(SPPR!$E:$X,MATCH($A66,SPPR!$A:$A,0),18),"")</f>
        <v/>
      </c>
      <c r="V66">
        <f>IFERROR($C66*INDEX(SPPR!$E:$X,MATCH($A66,SPPR!$A:$A,0),19),"")</f>
        <v/>
      </c>
      <c r="W66">
        <f>IFERROR($C66*INDEX(SPPR!$E:$X,MATCH($A66,SPPR!$A:$A,0),20),"")</f>
        <v/>
      </c>
    </row>
    <row r="67">
      <c r="A67" t="inlineStr">
        <is>
          <t>Loliginidae</t>
        </is>
      </c>
      <c r="B67">
        <f>IFERROR(INDEX(SPPR!$D:$D,MATCH($A67,SPPR!$A:$A,0)),"")</f>
        <v/>
      </c>
      <c r="C67">
        <f>IFERROR(INDEX(Catch!$E:$BV,MATCH($A67,Catch!$A:$A,0),MATCH($B$4,Catch!$E$1:$BV$1,0)),0)</f>
        <v/>
      </c>
      <c r="D67">
        <f>IFERROR($C67*INDEX(SPPR!$E:$X,MATCH($A67,SPPR!$A:$A,0),1),"")</f>
        <v/>
      </c>
      <c r="E67">
        <f>IFERROR($C67*INDEX(SPPR!$E:$X,MATCH($A67,SPPR!$A:$A,0),2),"")</f>
        <v/>
      </c>
      <c r="F67">
        <f>IFERROR($C67*INDEX(SPPR!$E:$X,MATCH($A67,SPPR!$A:$A,0),3),"")</f>
        <v/>
      </c>
      <c r="G67">
        <f>IFERROR($C67*INDEX(SPPR!$E:$X,MATCH($A67,SPPR!$A:$A,0),4),"")</f>
        <v/>
      </c>
      <c r="H67">
        <f>IFERROR($C67*INDEX(SPPR!$E:$X,MATCH($A67,SPPR!$A:$A,0),5),"")</f>
        <v/>
      </c>
      <c r="I67">
        <f>IFERROR($C67*INDEX(SPPR!$E:$X,MATCH($A67,SPPR!$A:$A,0),6),"")</f>
        <v/>
      </c>
      <c r="J67">
        <f>IFERROR($C67*INDEX(SPPR!$E:$X,MATCH($A67,SPPR!$A:$A,0),7),"")</f>
        <v/>
      </c>
      <c r="K67">
        <f>IFERROR($C67*INDEX(SPPR!$E:$X,MATCH($A67,SPPR!$A:$A,0),8),"")</f>
        <v/>
      </c>
      <c r="L67">
        <f>IFERROR($C67*INDEX(SPPR!$E:$X,MATCH($A67,SPPR!$A:$A,0),9),"")</f>
        <v/>
      </c>
      <c r="M67">
        <f>IFERROR($C67*INDEX(SPPR!$E:$X,MATCH($A67,SPPR!$A:$A,0),10),"")</f>
        <v/>
      </c>
      <c r="N67">
        <f>IFERROR($C67*INDEX(SPPR!$E:$X,MATCH($A67,SPPR!$A:$A,0),11),"")</f>
        <v/>
      </c>
      <c r="O67">
        <f>IFERROR($C67*INDEX(SPPR!$E:$X,MATCH($A67,SPPR!$A:$A,0),12),"")</f>
        <v/>
      </c>
      <c r="P67">
        <f>IFERROR($C67*INDEX(SPPR!$E:$X,MATCH($A67,SPPR!$A:$A,0),13),"")</f>
        <v/>
      </c>
      <c r="Q67">
        <f>IFERROR($C67*INDEX(SPPR!$E:$X,MATCH($A67,SPPR!$A:$A,0),14),"")</f>
        <v/>
      </c>
      <c r="R67">
        <f>IFERROR($C67*INDEX(SPPR!$E:$X,MATCH($A67,SPPR!$A:$A,0),15),"")</f>
        <v/>
      </c>
      <c r="S67">
        <f>IFERROR($C67*INDEX(SPPR!$E:$X,MATCH($A67,SPPR!$A:$A,0),16),"")</f>
        <v/>
      </c>
      <c r="T67">
        <f>IFERROR($C67*INDEX(SPPR!$E:$X,MATCH($A67,SPPR!$A:$A,0),17),"")</f>
        <v/>
      </c>
      <c r="U67">
        <f>IFERROR($C67*INDEX(SPPR!$E:$X,MATCH($A67,SPPR!$A:$A,0),18),"")</f>
        <v/>
      </c>
      <c r="V67">
        <f>IFERROR($C67*INDEX(SPPR!$E:$X,MATCH($A67,SPPR!$A:$A,0),19),"")</f>
        <v/>
      </c>
      <c r="W67">
        <f>IFERROR($C67*INDEX(SPPR!$E:$X,MATCH($A67,SPPR!$A:$A,0),20),"")</f>
        <v/>
      </c>
    </row>
    <row r="68">
      <c r="A68" t="inlineStr">
        <is>
          <t>Stromateidae</t>
        </is>
      </c>
      <c r="B68">
        <f>IFERROR(INDEX(SPPR!$D:$D,MATCH($A68,SPPR!$A:$A,0)),"")</f>
        <v/>
      </c>
      <c r="C68">
        <f>IFERROR(INDEX(Catch!$E:$BV,MATCH($A68,Catch!$A:$A,0),MATCH($B$4,Catch!$E$1:$BV$1,0)),0)</f>
        <v/>
      </c>
      <c r="D68">
        <f>IFERROR($C68*INDEX(SPPR!$E:$X,MATCH($A68,SPPR!$A:$A,0),1),"")</f>
        <v/>
      </c>
      <c r="E68">
        <f>IFERROR($C68*INDEX(SPPR!$E:$X,MATCH($A68,SPPR!$A:$A,0),2),"")</f>
        <v/>
      </c>
      <c r="F68">
        <f>IFERROR($C68*INDEX(SPPR!$E:$X,MATCH($A68,SPPR!$A:$A,0),3),"")</f>
        <v/>
      </c>
      <c r="G68">
        <f>IFERROR($C68*INDEX(SPPR!$E:$X,MATCH($A68,SPPR!$A:$A,0),4),"")</f>
        <v/>
      </c>
      <c r="H68">
        <f>IFERROR($C68*INDEX(SPPR!$E:$X,MATCH($A68,SPPR!$A:$A,0),5),"")</f>
        <v/>
      </c>
      <c r="I68">
        <f>IFERROR($C68*INDEX(SPPR!$E:$X,MATCH($A68,SPPR!$A:$A,0),6),"")</f>
        <v/>
      </c>
      <c r="J68">
        <f>IFERROR($C68*INDEX(SPPR!$E:$X,MATCH($A68,SPPR!$A:$A,0),7),"")</f>
        <v/>
      </c>
      <c r="K68">
        <f>IFERROR($C68*INDEX(SPPR!$E:$X,MATCH($A68,SPPR!$A:$A,0),8),"")</f>
        <v/>
      </c>
      <c r="L68">
        <f>IFERROR($C68*INDEX(SPPR!$E:$X,MATCH($A68,SPPR!$A:$A,0),9),"")</f>
        <v/>
      </c>
      <c r="M68">
        <f>IFERROR($C68*INDEX(SPPR!$E:$X,MATCH($A68,SPPR!$A:$A,0),10),"")</f>
        <v/>
      </c>
      <c r="N68">
        <f>IFERROR($C68*INDEX(SPPR!$E:$X,MATCH($A68,SPPR!$A:$A,0),11),"")</f>
        <v/>
      </c>
      <c r="O68">
        <f>IFERROR($C68*INDEX(SPPR!$E:$X,MATCH($A68,SPPR!$A:$A,0),12),"")</f>
        <v/>
      </c>
      <c r="P68">
        <f>IFERROR($C68*INDEX(SPPR!$E:$X,MATCH($A68,SPPR!$A:$A,0),13),"")</f>
        <v/>
      </c>
      <c r="Q68">
        <f>IFERROR($C68*INDEX(SPPR!$E:$X,MATCH($A68,SPPR!$A:$A,0),14),"")</f>
        <v/>
      </c>
      <c r="R68">
        <f>IFERROR($C68*INDEX(SPPR!$E:$X,MATCH($A68,SPPR!$A:$A,0),15),"")</f>
        <v/>
      </c>
      <c r="S68">
        <f>IFERROR($C68*INDEX(SPPR!$E:$X,MATCH($A68,SPPR!$A:$A,0),16),"")</f>
        <v/>
      </c>
      <c r="T68">
        <f>IFERROR($C68*INDEX(SPPR!$E:$X,MATCH($A68,SPPR!$A:$A,0),17),"")</f>
        <v/>
      </c>
      <c r="U68">
        <f>IFERROR($C68*INDEX(SPPR!$E:$X,MATCH($A68,SPPR!$A:$A,0),18),"")</f>
        <v/>
      </c>
      <c r="V68">
        <f>IFERROR($C68*INDEX(SPPR!$E:$X,MATCH($A68,SPPR!$A:$A,0),19),"")</f>
        <v/>
      </c>
      <c r="W68">
        <f>IFERROR($C68*INDEX(SPPR!$E:$X,MATCH($A68,SPPR!$A:$A,0),20),"")</f>
        <v/>
      </c>
    </row>
    <row r="69">
      <c r="A69" t="inlineStr">
        <is>
          <t>Brachyura</t>
        </is>
      </c>
      <c r="B69">
        <f>IFERROR(INDEX(SPPR!$D:$D,MATCH($A69,SPPR!$A:$A,0)),"")</f>
        <v/>
      </c>
      <c r="C69">
        <f>IFERROR(INDEX(Catch!$E:$BV,MATCH($A69,Catch!$A:$A,0),MATCH($B$4,Catch!$E$1:$BV$1,0)),0)</f>
        <v/>
      </c>
      <c r="D69">
        <f>IFERROR($C69*INDEX(SPPR!$E:$X,MATCH($A69,SPPR!$A:$A,0),1),"")</f>
        <v/>
      </c>
      <c r="E69">
        <f>IFERROR($C69*INDEX(SPPR!$E:$X,MATCH($A69,SPPR!$A:$A,0),2),"")</f>
        <v/>
      </c>
      <c r="F69">
        <f>IFERROR($C69*INDEX(SPPR!$E:$X,MATCH($A69,SPPR!$A:$A,0),3),"")</f>
        <v/>
      </c>
      <c r="G69">
        <f>IFERROR($C69*INDEX(SPPR!$E:$X,MATCH($A69,SPPR!$A:$A,0),4),"")</f>
        <v/>
      </c>
      <c r="H69">
        <f>IFERROR($C69*INDEX(SPPR!$E:$X,MATCH($A69,SPPR!$A:$A,0),5),"")</f>
        <v/>
      </c>
      <c r="I69">
        <f>IFERROR($C69*INDEX(SPPR!$E:$X,MATCH($A69,SPPR!$A:$A,0),6),"")</f>
        <v/>
      </c>
      <c r="J69">
        <f>IFERROR($C69*INDEX(SPPR!$E:$X,MATCH($A69,SPPR!$A:$A,0),7),"")</f>
        <v/>
      </c>
      <c r="K69">
        <f>IFERROR($C69*INDEX(SPPR!$E:$X,MATCH($A69,SPPR!$A:$A,0),8),"")</f>
        <v/>
      </c>
      <c r="L69">
        <f>IFERROR($C69*INDEX(SPPR!$E:$X,MATCH($A69,SPPR!$A:$A,0),9),"")</f>
        <v/>
      </c>
      <c r="M69">
        <f>IFERROR($C69*INDEX(SPPR!$E:$X,MATCH($A69,SPPR!$A:$A,0),10),"")</f>
        <v/>
      </c>
      <c r="N69">
        <f>IFERROR($C69*INDEX(SPPR!$E:$X,MATCH($A69,SPPR!$A:$A,0),11),"")</f>
        <v/>
      </c>
      <c r="O69">
        <f>IFERROR($C69*INDEX(SPPR!$E:$X,MATCH($A69,SPPR!$A:$A,0),12),"")</f>
        <v/>
      </c>
      <c r="P69">
        <f>IFERROR($C69*INDEX(SPPR!$E:$X,MATCH($A69,SPPR!$A:$A,0),13),"")</f>
        <v/>
      </c>
      <c r="Q69">
        <f>IFERROR($C69*INDEX(SPPR!$E:$X,MATCH($A69,SPPR!$A:$A,0),14),"")</f>
        <v/>
      </c>
      <c r="R69">
        <f>IFERROR($C69*INDEX(SPPR!$E:$X,MATCH($A69,SPPR!$A:$A,0),15),"")</f>
        <v/>
      </c>
      <c r="S69">
        <f>IFERROR($C69*INDEX(SPPR!$E:$X,MATCH($A69,SPPR!$A:$A,0),16),"")</f>
        <v/>
      </c>
      <c r="T69">
        <f>IFERROR($C69*INDEX(SPPR!$E:$X,MATCH($A69,SPPR!$A:$A,0),17),"")</f>
        <v/>
      </c>
      <c r="U69">
        <f>IFERROR($C69*INDEX(SPPR!$E:$X,MATCH($A69,SPPR!$A:$A,0),18),"")</f>
        <v/>
      </c>
      <c r="V69">
        <f>IFERROR($C69*INDEX(SPPR!$E:$X,MATCH($A69,SPPR!$A:$A,0),19),"")</f>
        <v/>
      </c>
      <c r="W69">
        <f>IFERROR($C69*INDEX(SPPR!$E:$X,MATCH($A69,SPPR!$A:$A,0),20),"")</f>
        <v/>
      </c>
    </row>
    <row r="70">
      <c r="A70" t="inlineStr">
        <is>
          <t>Octopodidae</t>
        </is>
      </c>
      <c r="B70">
        <f>IFERROR(INDEX(SPPR!$D:$D,MATCH($A70,SPPR!$A:$A,0)),"")</f>
        <v/>
      </c>
      <c r="C70">
        <f>IFERROR(INDEX(Catch!$E:$BV,MATCH($A70,Catch!$A:$A,0),MATCH($B$4,Catch!$E$1:$BV$1,0)),0)</f>
        <v/>
      </c>
      <c r="D70">
        <f>IFERROR($C70*INDEX(SPPR!$E:$X,MATCH($A70,SPPR!$A:$A,0),1),"")</f>
        <v/>
      </c>
      <c r="E70">
        <f>IFERROR($C70*INDEX(SPPR!$E:$X,MATCH($A70,SPPR!$A:$A,0),2),"")</f>
        <v/>
      </c>
      <c r="F70">
        <f>IFERROR($C70*INDEX(SPPR!$E:$X,MATCH($A70,SPPR!$A:$A,0),3),"")</f>
        <v/>
      </c>
      <c r="G70">
        <f>IFERROR($C70*INDEX(SPPR!$E:$X,MATCH($A70,SPPR!$A:$A,0),4),"")</f>
        <v/>
      </c>
      <c r="H70">
        <f>IFERROR($C70*INDEX(SPPR!$E:$X,MATCH($A70,SPPR!$A:$A,0),5),"")</f>
        <v/>
      </c>
      <c r="I70">
        <f>IFERROR($C70*INDEX(SPPR!$E:$X,MATCH($A70,SPPR!$A:$A,0),6),"")</f>
        <v/>
      </c>
      <c r="J70">
        <f>IFERROR($C70*INDEX(SPPR!$E:$X,MATCH($A70,SPPR!$A:$A,0),7),"")</f>
        <v/>
      </c>
      <c r="K70">
        <f>IFERROR($C70*INDEX(SPPR!$E:$X,MATCH($A70,SPPR!$A:$A,0),8),"")</f>
        <v/>
      </c>
      <c r="L70">
        <f>IFERROR($C70*INDEX(SPPR!$E:$X,MATCH($A70,SPPR!$A:$A,0),9),"")</f>
        <v/>
      </c>
      <c r="M70">
        <f>IFERROR($C70*INDEX(SPPR!$E:$X,MATCH($A70,SPPR!$A:$A,0),10),"")</f>
        <v/>
      </c>
      <c r="N70">
        <f>IFERROR($C70*INDEX(SPPR!$E:$X,MATCH($A70,SPPR!$A:$A,0),11),"")</f>
        <v/>
      </c>
      <c r="O70">
        <f>IFERROR($C70*INDEX(SPPR!$E:$X,MATCH($A70,SPPR!$A:$A,0),12),"")</f>
        <v/>
      </c>
      <c r="P70">
        <f>IFERROR($C70*INDEX(SPPR!$E:$X,MATCH($A70,SPPR!$A:$A,0),13),"")</f>
        <v/>
      </c>
      <c r="Q70">
        <f>IFERROR($C70*INDEX(SPPR!$E:$X,MATCH($A70,SPPR!$A:$A,0),14),"")</f>
        <v/>
      </c>
      <c r="R70">
        <f>IFERROR($C70*INDEX(SPPR!$E:$X,MATCH($A70,SPPR!$A:$A,0),15),"")</f>
        <v/>
      </c>
      <c r="S70">
        <f>IFERROR($C70*INDEX(SPPR!$E:$X,MATCH($A70,SPPR!$A:$A,0),16),"")</f>
        <v/>
      </c>
      <c r="T70">
        <f>IFERROR($C70*INDEX(SPPR!$E:$X,MATCH($A70,SPPR!$A:$A,0),17),"")</f>
        <v/>
      </c>
      <c r="U70">
        <f>IFERROR($C70*INDEX(SPPR!$E:$X,MATCH($A70,SPPR!$A:$A,0),18),"")</f>
        <v/>
      </c>
      <c r="V70">
        <f>IFERROR($C70*INDEX(SPPR!$E:$X,MATCH($A70,SPPR!$A:$A,0),19),"")</f>
        <v/>
      </c>
      <c r="W70">
        <f>IFERROR($C70*INDEX(SPPR!$E:$X,MATCH($A70,SPPR!$A:$A,0),20),"")</f>
        <v/>
      </c>
    </row>
    <row r="71">
      <c r="A71" t="inlineStr">
        <is>
          <t>Clupeidae</t>
        </is>
      </c>
      <c r="B71">
        <f>IFERROR(INDEX(SPPR!$D:$D,MATCH($A71,SPPR!$A:$A,0)),"")</f>
        <v/>
      </c>
      <c r="C71">
        <f>IFERROR(INDEX(Catch!$E:$BV,MATCH($A71,Catch!$A:$A,0),MATCH($B$4,Catch!$E$1:$BV$1,0)),0)</f>
        <v/>
      </c>
      <c r="D71">
        <f>IFERROR($C71*INDEX(SPPR!$E:$X,MATCH($A71,SPPR!$A:$A,0),1),"")</f>
        <v/>
      </c>
      <c r="E71">
        <f>IFERROR($C71*INDEX(SPPR!$E:$X,MATCH($A71,SPPR!$A:$A,0),2),"")</f>
        <v/>
      </c>
      <c r="F71">
        <f>IFERROR($C71*INDEX(SPPR!$E:$X,MATCH($A71,SPPR!$A:$A,0),3),"")</f>
        <v/>
      </c>
      <c r="G71">
        <f>IFERROR($C71*INDEX(SPPR!$E:$X,MATCH($A71,SPPR!$A:$A,0),4),"")</f>
        <v/>
      </c>
      <c r="H71">
        <f>IFERROR($C71*INDEX(SPPR!$E:$X,MATCH($A71,SPPR!$A:$A,0),5),"")</f>
        <v/>
      </c>
      <c r="I71">
        <f>IFERROR($C71*INDEX(SPPR!$E:$X,MATCH($A71,SPPR!$A:$A,0),6),"")</f>
        <v/>
      </c>
      <c r="J71">
        <f>IFERROR($C71*INDEX(SPPR!$E:$X,MATCH($A71,SPPR!$A:$A,0),7),"")</f>
        <v/>
      </c>
      <c r="K71">
        <f>IFERROR($C71*INDEX(SPPR!$E:$X,MATCH($A71,SPPR!$A:$A,0),8),"")</f>
        <v/>
      </c>
      <c r="L71">
        <f>IFERROR($C71*INDEX(SPPR!$E:$X,MATCH($A71,SPPR!$A:$A,0),9),"")</f>
        <v/>
      </c>
      <c r="M71">
        <f>IFERROR($C71*INDEX(SPPR!$E:$X,MATCH($A71,SPPR!$A:$A,0),10),"")</f>
        <v/>
      </c>
      <c r="N71">
        <f>IFERROR($C71*INDEX(SPPR!$E:$X,MATCH($A71,SPPR!$A:$A,0),11),"")</f>
        <v/>
      </c>
      <c r="O71">
        <f>IFERROR($C71*INDEX(SPPR!$E:$X,MATCH($A71,SPPR!$A:$A,0),12),"")</f>
        <v/>
      </c>
      <c r="P71">
        <f>IFERROR($C71*INDEX(SPPR!$E:$X,MATCH($A71,SPPR!$A:$A,0),13),"")</f>
        <v/>
      </c>
      <c r="Q71">
        <f>IFERROR($C71*INDEX(SPPR!$E:$X,MATCH($A71,SPPR!$A:$A,0),14),"")</f>
        <v/>
      </c>
      <c r="R71">
        <f>IFERROR($C71*INDEX(SPPR!$E:$X,MATCH($A71,SPPR!$A:$A,0),15),"")</f>
        <v/>
      </c>
      <c r="S71">
        <f>IFERROR($C71*INDEX(SPPR!$E:$X,MATCH($A71,SPPR!$A:$A,0),16),"")</f>
        <v/>
      </c>
      <c r="T71">
        <f>IFERROR($C71*INDEX(SPPR!$E:$X,MATCH($A71,SPPR!$A:$A,0),17),"")</f>
        <v/>
      </c>
      <c r="U71">
        <f>IFERROR($C71*INDEX(SPPR!$E:$X,MATCH($A71,SPPR!$A:$A,0),18),"")</f>
        <v/>
      </c>
      <c r="V71">
        <f>IFERROR($C71*INDEX(SPPR!$E:$X,MATCH($A71,SPPR!$A:$A,0),19),"")</f>
        <v/>
      </c>
      <c r="W71">
        <f>IFERROR($C71*INDEX(SPPR!$E:$X,MATCH($A71,SPPR!$A:$A,0),20),"")</f>
        <v/>
      </c>
    </row>
    <row r="72">
      <c r="A72" t="inlineStr">
        <is>
          <t>Ammodytes personatus</t>
        </is>
      </c>
      <c r="B72">
        <f>IFERROR(INDEX(SPPR!$D:$D,MATCH($A72,SPPR!$A:$A,0)),"")</f>
        <v/>
      </c>
      <c r="C72">
        <f>IFERROR(INDEX(Catch!$E:$BV,MATCH($A72,Catch!$A:$A,0),MATCH($B$4,Catch!$E$1:$BV$1,0)),0)</f>
        <v/>
      </c>
      <c r="D72">
        <f>IFERROR($C72*INDEX(SPPR!$E:$X,MATCH($A72,SPPR!$A:$A,0),1),"")</f>
        <v/>
      </c>
      <c r="E72">
        <f>IFERROR($C72*INDEX(SPPR!$E:$X,MATCH($A72,SPPR!$A:$A,0),2),"")</f>
        <v/>
      </c>
      <c r="F72">
        <f>IFERROR($C72*INDEX(SPPR!$E:$X,MATCH($A72,SPPR!$A:$A,0),3),"")</f>
        <v/>
      </c>
      <c r="G72">
        <f>IFERROR($C72*INDEX(SPPR!$E:$X,MATCH($A72,SPPR!$A:$A,0),4),"")</f>
        <v/>
      </c>
      <c r="H72">
        <f>IFERROR($C72*INDEX(SPPR!$E:$X,MATCH($A72,SPPR!$A:$A,0),5),"")</f>
        <v/>
      </c>
      <c r="I72">
        <f>IFERROR($C72*INDEX(SPPR!$E:$X,MATCH($A72,SPPR!$A:$A,0),6),"")</f>
        <v/>
      </c>
      <c r="J72">
        <f>IFERROR($C72*INDEX(SPPR!$E:$X,MATCH($A72,SPPR!$A:$A,0),7),"")</f>
        <v/>
      </c>
      <c r="K72">
        <f>IFERROR($C72*INDEX(SPPR!$E:$X,MATCH($A72,SPPR!$A:$A,0),8),"")</f>
        <v/>
      </c>
      <c r="L72">
        <f>IFERROR($C72*INDEX(SPPR!$E:$X,MATCH($A72,SPPR!$A:$A,0),9),"")</f>
        <v/>
      </c>
      <c r="M72">
        <f>IFERROR($C72*INDEX(SPPR!$E:$X,MATCH($A72,SPPR!$A:$A,0),10),"")</f>
        <v/>
      </c>
      <c r="N72">
        <f>IFERROR($C72*INDEX(SPPR!$E:$X,MATCH($A72,SPPR!$A:$A,0),11),"")</f>
        <v/>
      </c>
      <c r="O72">
        <f>IFERROR($C72*INDEX(SPPR!$E:$X,MATCH($A72,SPPR!$A:$A,0),12),"")</f>
        <v/>
      </c>
      <c r="P72">
        <f>IFERROR($C72*INDEX(SPPR!$E:$X,MATCH($A72,SPPR!$A:$A,0),13),"")</f>
        <v/>
      </c>
      <c r="Q72">
        <f>IFERROR($C72*INDEX(SPPR!$E:$X,MATCH($A72,SPPR!$A:$A,0),14),"")</f>
        <v/>
      </c>
      <c r="R72">
        <f>IFERROR($C72*INDEX(SPPR!$E:$X,MATCH($A72,SPPR!$A:$A,0),15),"")</f>
        <v/>
      </c>
      <c r="S72">
        <f>IFERROR($C72*INDEX(SPPR!$E:$X,MATCH($A72,SPPR!$A:$A,0),16),"")</f>
        <v/>
      </c>
      <c r="T72">
        <f>IFERROR($C72*INDEX(SPPR!$E:$X,MATCH($A72,SPPR!$A:$A,0),17),"")</f>
        <v/>
      </c>
      <c r="U72">
        <f>IFERROR($C72*INDEX(SPPR!$E:$X,MATCH($A72,SPPR!$A:$A,0),18),"")</f>
        <v/>
      </c>
      <c r="V72">
        <f>IFERROR($C72*INDEX(SPPR!$E:$X,MATCH($A72,SPPR!$A:$A,0),19),"")</f>
        <v/>
      </c>
      <c r="W72">
        <f>IFERROR($C72*INDEX(SPPR!$E:$X,MATCH($A72,SPPR!$A:$A,0),20),"")</f>
        <v/>
      </c>
    </row>
    <row r="73">
      <c r="A73" t="inlineStr">
        <is>
          <t>Ruditapes philippinarum</t>
        </is>
      </c>
      <c r="B73">
        <f>IFERROR(INDEX(SPPR!$D:$D,MATCH($A73,SPPR!$A:$A,0)),"")</f>
        <v/>
      </c>
      <c r="C73">
        <f>IFERROR(INDEX(Catch!$E:$BV,MATCH($A73,Catch!$A:$A,0),MATCH($B$4,Catch!$E$1:$BV$1,0)),0)</f>
        <v/>
      </c>
      <c r="D73">
        <f>IFERROR($C73*INDEX(SPPR!$E:$X,MATCH($A73,SPPR!$A:$A,0),1),"")</f>
        <v/>
      </c>
      <c r="E73">
        <f>IFERROR($C73*INDEX(SPPR!$E:$X,MATCH($A73,SPPR!$A:$A,0),2),"")</f>
        <v/>
      </c>
      <c r="F73">
        <f>IFERROR($C73*INDEX(SPPR!$E:$X,MATCH($A73,SPPR!$A:$A,0),3),"")</f>
        <v/>
      </c>
      <c r="G73">
        <f>IFERROR($C73*INDEX(SPPR!$E:$X,MATCH($A73,SPPR!$A:$A,0),4),"")</f>
        <v/>
      </c>
      <c r="H73">
        <f>IFERROR($C73*INDEX(SPPR!$E:$X,MATCH($A73,SPPR!$A:$A,0),5),"")</f>
        <v/>
      </c>
      <c r="I73">
        <f>IFERROR($C73*INDEX(SPPR!$E:$X,MATCH($A73,SPPR!$A:$A,0),6),"")</f>
        <v/>
      </c>
      <c r="J73">
        <f>IFERROR($C73*INDEX(SPPR!$E:$X,MATCH($A73,SPPR!$A:$A,0),7),"")</f>
        <v/>
      </c>
      <c r="K73">
        <f>IFERROR($C73*INDEX(SPPR!$E:$X,MATCH($A73,SPPR!$A:$A,0),8),"")</f>
        <v/>
      </c>
      <c r="L73">
        <f>IFERROR($C73*INDEX(SPPR!$E:$X,MATCH($A73,SPPR!$A:$A,0),9),"")</f>
        <v/>
      </c>
      <c r="M73">
        <f>IFERROR($C73*INDEX(SPPR!$E:$X,MATCH($A73,SPPR!$A:$A,0),10),"")</f>
        <v/>
      </c>
      <c r="N73">
        <f>IFERROR($C73*INDEX(SPPR!$E:$X,MATCH($A73,SPPR!$A:$A,0),11),"")</f>
        <v/>
      </c>
      <c r="O73">
        <f>IFERROR($C73*INDEX(SPPR!$E:$X,MATCH($A73,SPPR!$A:$A,0),12),"")</f>
        <v/>
      </c>
      <c r="P73">
        <f>IFERROR($C73*INDEX(SPPR!$E:$X,MATCH($A73,SPPR!$A:$A,0),13),"")</f>
        <v/>
      </c>
      <c r="Q73">
        <f>IFERROR($C73*INDEX(SPPR!$E:$X,MATCH($A73,SPPR!$A:$A,0),14),"")</f>
        <v/>
      </c>
      <c r="R73">
        <f>IFERROR($C73*INDEX(SPPR!$E:$X,MATCH($A73,SPPR!$A:$A,0),15),"")</f>
        <v/>
      </c>
      <c r="S73">
        <f>IFERROR($C73*INDEX(SPPR!$E:$X,MATCH($A73,SPPR!$A:$A,0),16),"")</f>
        <v/>
      </c>
      <c r="T73">
        <f>IFERROR($C73*INDEX(SPPR!$E:$X,MATCH($A73,SPPR!$A:$A,0),17),"")</f>
        <v/>
      </c>
      <c r="U73">
        <f>IFERROR($C73*INDEX(SPPR!$E:$X,MATCH($A73,SPPR!$A:$A,0),18),"")</f>
        <v/>
      </c>
      <c r="V73">
        <f>IFERROR($C73*INDEX(SPPR!$E:$X,MATCH($A73,SPPR!$A:$A,0),19),"")</f>
        <v/>
      </c>
      <c r="W73">
        <f>IFERROR($C73*INDEX(SPPR!$E:$X,MATCH($A73,SPPR!$A:$A,0),20),"")</f>
        <v/>
      </c>
    </row>
    <row r="74">
      <c r="A74" t="inlineStr">
        <is>
          <t>Dussumieria</t>
        </is>
      </c>
      <c r="B74">
        <f>IFERROR(INDEX(SPPR!$D:$D,MATCH($A74,SPPR!$A:$A,0)),"")</f>
        <v/>
      </c>
      <c r="C74">
        <f>IFERROR(INDEX(Catch!$E:$BV,MATCH($A74,Catch!$A:$A,0),MATCH($B$4,Catch!$E$1:$BV$1,0)),0)</f>
        <v/>
      </c>
      <c r="D74">
        <f>IFERROR($C74*INDEX(SPPR!$E:$X,MATCH($A74,SPPR!$A:$A,0),1),"")</f>
        <v/>
      </c>
      <c r="E74">
        <f>IFERROR($C74*INDEX(SPPR!$E:$X,MATCH($A74,SPPR!$A:$A,0),2),"")</f>
        <v/>
      </c>
      <c r="F74">
        <f>IFERROR($C74*INDEX(SPPR!$E:$X,MATCH($A74,SPPR!$A:$A,0),3),"")</f>
        <v/>
      </c>
      <c r="G74">
        <f>IFERROR($C74*INDEX(SPPR!$E:$X,MATCH($A74,SPPR!$A:$A,0),4),"")</f>
        <v/>
      </c>
      <c r="H74">
        <f>IFERROR($C74*INDEX(SPPR!$E:$X,MATCH($A74,SPPR!$A:$A,0),5),"")</f>
        <v/>
      </c>
      <c r="I74">
        <f>IFERROR($C74*INDEX(SPPR!$E:$X,MATCH($A74,SPPR!$A:$A,0),6),"")</f>
        <v/>
      </c>
      <c r="J74">
        <f>IFERROR($C74*INDEX(SPPR!$E:$X,MATCH($A74,SPPR!$A:$A,0),7),"")</f>
        <v/>
      </c>
      <c r="K74">
        <f>IFERROR($C74*INDEX(SPPR!$E:$X,MATCH($A74,SPPR!$A:$A,0),8),"")</f>
        <v/>
      </c>
      <c r="L74">
        <f>IFERROR($C74*INDEX(SPPR!$E:$X,MATCH($A74,SPPR!$A:$A,0),9),"")</f>
        <v/>
      </c>
      <c r="M74">
        <f>IFERROR($C74*INDEX(SPPR!$E:$X,MATCH($A74,SPPR!$A:$A,0),10),"")</f>
        <v/>
      </c>
      <c r="N74">
        <f>IFERROR($C74*INDEX(SPPR!$E:$X,MATCH($A74,SPPR!$A:$A,0),11),"")</f>
        <v/>
      </c>
      <c r="O74">
        <f>IFERROR($C74*INDEX(SPPR!$E:$X,MATCH($A74,SPPR!$A:$A,0),12),"")</f>
        <v/>
      </c>
      <c r="P74">
        <f>IFERROR($C74*INDEX(SPPR!$E:$X,MATCH($A74,SPPR!$A:$A,0),13),"")</f>
        <v/>
      </c>
      <c r="Q74">
        <f>IFERROR($C74*INDEX(SPPR!$E:$X,MATCH($A74,SPPR!$A:$A,0),14),"")</f>
        <v/>
      </c>
      <c r="R74">
        <f>IFERROR($C74*INDEX(SPPR!$E:$X,MATCH($A74,SPPR!$A:$A,0),15),"")</f>
        <v/>
      </c>
      <c r="S74">
        <f>IFERROR($C74*INDEX(SPPR!$E:$X,MATCH($A74,SPPR!$A:$A,0),16),"")</f>
        <v/>
      </c>
      <c r="T74">
        <f>IFERROR($C74*INDEX(SPPR!$E:$X,MATCH($A74,SPPR!$A:$A,0),17),"")</f>
        <v/>
      </c>
      <c r="U74">
        <f>IFERROR($C74*INDEX(SPPR!$E:$X,MATCH($A74,SPPR!$A:$A,0),18),"")</f>
        <v/>
      </c>
      <c r="V74">
        <f>IFERROR($C74*INDEX(SPPR!$E:$X,MATCH($A74,SPPR!$A:$A,0),19),"")</f>
        <v/>
      </c>
      <c r="W74">
        <f>IFERROR($C74*INDEX(SPPR!$E:$X,MATCH($A74,SPPR!$A:$A,0),20),"")</f>
        <v/>
      </c>
    </row>
    <row r="75">
      <c r="A75" t="inlineStr">
        <is>
          <t>Scombridae</t>
        </is>
      </c>
      <c r="B75">
        <f>IFERROR(INDEX(SPPR!$D:$D,MATCH($A75,SPPR!$A:$A,0)),"")</f>
        <v/>
      </c>
      <c r="C75">
        <f>IFERROR(INDEX(Catch!$E:$BV,MATCH($A75,Catch!$A:$A,0),MATCH($B$4,Catch!$E$1:$BV$1,0)),0)</f>
        <v/>
      </c>
      <c r="D75">
        <f>IFERROR($C75*INDEX(SPPR!$E:$X,MATCH($A75,SPPR!$A:$A,0),1),"")</f>
        <v/>
      </c>
      <c r="E75">
        <f>IFERROR($C75*INDEX(SPPR!$E:$X,MATCH($A75,SPPR!$A:$A,0),2),"")</f>
        <v/>
      </c>
      <c r="F75">
        <f>IFERROR($C75*INDEX(SPPR!$E:$X,MATCH($A75,SPPR!$A:$A,0),3),"")</f>
        <v/>
      </c>
      <c r="G75">
        <f>IFERROR($C75*INDEX(SPPR!$E:$X,MATCH($A75,SPPR!$A:$A,0),4),"")</f>
        <v/>
      </c>
      <c r="H75">
        <f>IFERROR($C75*INDEX(SPPR!$E:$X,MATCH($A75,SPPR!$A:$A,0),5),"")</f>
        <v/>
      </c>
      <c r="I75">
        <f>IFERROR($C75*INDEX(SPPR!$E:$X,MATCH($A75,SPPR!$A:$A,0),6),"")</f>
        <v/>
      </c>
      <c r="J75">
        <f>IFERROR($C75*INDEX(SPPR!$E:$X,MATCH($A75,SPPR!$A:$A,0),7),"")</f>
        <v/>
      </c>
      <c r="K75">
        <f>IFERROR($C75*INDEX(SPPR!$E:$X,MATCH($A75,SPPR!$A:$A,0),8),"")</f>
        <v/>
      </c>
      <c r="L75">
        <f>IFERROR($C75*INDEX(SPPR!$E:$X,MATCH($A75,SPPR!$A:$A,0),9),"")</f>
        <v/>
      </c>
      <c r="M75">
        <f>IFERROR($C75*INDEX(SPPR!$E:$X,MATCH($A75,SPPR!$A:$A,0),10),"")</f>
        <v/>
      </c>
      <c r="N75">
        <f>IFERROR($C75*INDEX(SPPR!$E:$X,MATCH($A75,SPPR!$A:$A,0),11),"")</f>
        <v/>
      </c>
      <c r="O75">
        <f>IFERROR($C75*INDEX(SPPR!$E:$X,MATCH($A75,SPPR!$A:$A,0),12),"")</f>
        <v/>
      </c>
      <c r="P75">
        <f>IFERROR($C75*INDEX(SPPR!$E:$X,MATCH($A75,SPPR!$A:$A,0),13),"")</f>
        <v/>
      </c>
      <c r="Q75">
        <f>IFERROR($C75*INDEX(SPPR!$E:$X,MATCH($A75,SPPR!$A:$A,0),14),"")</f>
        <v/>
      </c>
      <c r="R75">
        <f>IFERROR($C75*INDEX(SPPR!$E:$X,MATCH($A75,SPPR!$A:$A,0),15),"")</f>
        <v/>
      </c>
      <c r="S75">
        <f>IFERROR($C75*INDEX(SPPR!$E:$X,MATCH($A75,SPPR!$A:$A,0),16),"")</f>
        <v/>
      </c>
      <c r="T75">
        <f>IFERROR($C75*INDEX(SPPR!$E:$X,MATCH($A75,SPPR!$A:$A,0),17),"")</f>
        <v/>
      </c>
      <c r="U75">
        <f>IFERROR($C75*INDEX(SPPR!$E:$X,MATCH($A75,SPPR!$A:$A,0),18),"")</f>
        <v/>
      </c>
      <c r="V75">
        <f>IFERROR($C75*INDEX(SPPR!$E:$X,MATCH($A75,SPPR!$A:$A,0),19),"")</f>
        <v/>
      </c>
      <c r="W75">
        <f>IFERROR($C75*INDEX(SPPR!$E:$X,MATCH($A75,SPPR!$A:$A,0),20),"")</f>
        <v/>
      </c>
    </row>
    <row r="76">
      <c r="A76" t="inlineStr">
        <is>
          <t>Paralichthyidae</t>
        </is>
      </c>
      <c r="B76">
        <f>IFERROR(INDEX(SPPR!$D:$D,MATCH($A76,SPPR!$A:$A,0)),"")</f>
        <v/>
      </c>
      <c r="C76">
        <f>IFERROR(INDEX(Catch!$E:$BV,MATCH($A76,Catch!$A:$A,0),MATCH($B$4,Catch!$E$1:$BV$1,0)),0)</f>
        <v/>
      </c>
      <c r="D76">
        <f>IFERROR($C76*INDEX(SPPR!$E:$X,MATCH($A76,SPPR!$A:$A,0),1),"")</f>
        <v/>
      </c>
      <c r="E76">
        <f>IFERROR($C76*INDEX(SPPR!$E:$X,MATCH($A76,SPPR!$A:$A,0),2),"")</f>
        <v/>
      </c>
      <c r="F76">
        <f>IFERROR($C76*INDEX(SPPR!$E:$X,MATCH($A76,SPPR!$A:$A,0),3),"")</f>
        <v/>
      </c>
      <c r="G76">
        <f>IFERROR($C76*INDEX(SPPR!$E:$X,MATCH($A76,SPPR!$A:$A,0),4),"")</f>
        <v/>
      </c>
      <c r="H76">
        <f>IFERROR($C76*INDEX(SPPR!$E:$X,MATCH($A76,SPPR!$A:$A,0),5),"")</f>
        <v/>
      </c>
      <c r="I76">
        <f>IFERROR($C76*INDEX(SPPR!$E:$X,MATCH($A76,SPPR!$A:$A,0),6),"")</f>
        <v/>
      </c>
      <c r="J76">
        <f>IFERROR($C76*INDEX(SPPR!$E:$X,MATCH($A76,SPPR!$A:$A,0),7),"")</f>
        <v/>
      </c>
      <c r="K76">
        <f>IFERROR($C76*INDEX(SPPR!$E:$X,MATCH($A76,SPPR!$A:$A,0),8),"")</f>
        <v/>
      </c>
      <c r="L76">
        <f>IFERROR($C76*INDEX(SPPR!$E:$X,MATCH($A76,SPPR!$A:$A,0),9),"")</f>
        <v/>
      </c>
      <c r="M76">
        <f>IFERROR($C76*INDEX(SPPR!$E:$X,MATCH($A76,SPPR!$A:$A,0),10),"")</f>
        <v/>
      </c>
      <c r="N76">
        <f>IFERROR($C76*INDEX(SPPR!$E:$X,MATCH($A76,SPPR!$A:$A,0),11),"")</f>
        <v/>
      </c>
      <c r="O76">
        <f>IFERROR($C76*INDEX(SPPR!$E:$X,MATCH($A76,SPPR!$A:$A,0),12),"")</f>
        <v/>
      </c>
      <c r="P76">
        <f>IFERROR($C76*INDEX(SPPR!$E:$X,MATCH($A76,SPPR!$A:$A,0),13),"")</f>
        <v/>
      </c>
      <c r="Q76">
        <f>IFERROR($C76*INDEX(SPPR!$E:$X,MATCH($A76,SPPR!$A:$A,0),14),"")</f>
        <v/>
      </c>
      <c r="R76">
        <f>IFERROR($C76*INDEX(SPPR!$E:$X,MATCH($A76,SPPR!$A:$A,0),15),"")</f>
        <v/>
      </c>
      <c r="S76">
        <f>IFERROR($C76*INDEX(SPPR!$E:$X,MATCH($A76,SPPR!$A:$A,0),16),"")</f>
        <v/>
      </c>
      <c r="T76">
        <f>IFERROR($C76*INDEX(SPPR!$E:$X,MATCH($A76,SPPR!$A:$A,0),17),"")</f>
        <v/>
      </c>
      <c r="U76">
        <f>IFERROR($C76*INDEX(SPPR!$E:$X,MATCH($A76,SPPR!$A:$A,0),18),"")</f>
        <v/>
      </c>
      <c r="V76">
        <f>IFERROR($C76*INDEX(SPPR!$E:$X,MATCH($A76,SPPR!$A:$A,0),19),"")</f>
        <v/>
      </c>
      <c r="W76">
        <f>IFERROR($C76*INDEX(SPPR!$E:$X,MATCH($A76,SPPR!$A:$A,0),20),"")</f>
        <v/>
      </c>
    </row>
    <row r="77">
      <c r="A77" t="inlineStr">
        <is>
          <t>Elasmobranchii</t>
        </is>
      </c>
      <c r="B77">
        <f>IFERROR(INDEX(SPPR!$D:$D,MATCH($A77,SPPR!$A:$A,0)),"")</f>
        <v/>
      </c>
      <c r="C77">
        <f>IFERROR(INDEX(Catch!$E:$BV,MATCH($A77,Catch!$A:$A,0),MATCH($B$4,Catch!$E$1:$BV$1,0)),0)</f>
        <v/>
      </c>
      <c r="D77">
        <f>IFERROR($C77*INDEX(SPPR!$E:$X,MATCH($A77,SPPR!$A:$A,0),1),"")</f>
        <v/>
      </c>
      <c r="E77">
        <f>IFERROR($C77*INDEX(SPPR!$E:$X,MATCH($A77,SPPR!$A:$A,0),2),"")</f>
        <v/>
      </c>
      <c r="F77">
        <f>IFERROR($C77*INDEX(SPPR!$E:$X,MATCH($A77,SPPR!$A:$A,0),3),"")</f>
        <v/>
      </c>
      <c r="G77">
        <f>IFERROR($C77*INDEX(SPPR!$E:$X,MATCH($A77,SPPR!$A:$A,0),4),"")</f>
        <v/>
      </c>
      <c r="H77">
        <f>IFERROR($C77*INDEX(SPPR!$E:$X,MATCH($A77,SPPR!$A:$A,0),5),"")</f>
        <v/>
      </c>
      <c r="I77">
        <f>IFERROR($C77*INDEX(SPPR!$E:$X,MATCH($A77,SPPR!$A:$A,0),6),"")</f>
        <v/>
      </c>
      <c r="J77">
        <f>IFERROR($C77*INDEX(SPPR!$E:$X,MATCH($A77,SPPR!$A:$A,0),7),"")</f>
        <v/>
      </c>
      <c r="K77">
        <f>IFERROR($C77*INDEX(SPPR!$E:$X,MATCH($A77,SPPR!$A:$A,0),8),"")</f>
        <v/>
      </c>
      <c r="L77">
        <f>IFERROR($C77*INDEX(SPPR!$E:$X,MATCH($A77,SPPR!$A:$A,0),9),"")</f>
        <v/>
      </c>
      <c r="M77">
        <f>IFERROR($C77*INDEX(SPPR!$E:$X,MATCH($A77,SPPR!$A:$A,0),10),"")</f>
        <v/>
      </c>
      <c r="N77">
        <f>IFERROR($C77*INDEX(SPPR!$E:$X,MATCH($A77,SPPR!$A:$A,0),11),"")</f>
        <v/>
      </c>
      <c r="O77">
        <f>IFERROR($C77*INDEX(SPPR!$E:$X,MATCH($A77,SPPR!$A:$A,0),12),"")</f>
        <v/>
      </c>
      <c r="P77">
        <f>IFERROR($C77*INDEX(SPPR!$E:$X,MATCH($A77,SPPR!$A:$A,0),13),"")</f>
        <v/>
      </c>
      <c r="Q77">
        <f>IFERROR($C77*INDEX(SPPR!$E:$X,MATCH($A77,SPPR!$A:$A,0),14),"")</f>
        <v/>
      </c>
      <c r="R77">
        <f>IFERROR($C77*INDEX(SPPR!$E:$X,MATCH($A77,SPPR!$A:$A,0),15),"")</f>
        <v/>
      </c>
      <c r="S77">
        <f>IFERROR($C77*INDEX(SPPR!$E:$X,MATCH($A77,SPPR!$A:$A,0),16),"")</f>
        <v/>
      </c>
      <c r="T77">
        <f>IFERROR($C77*INDEX(SPPR!$E:$X,MATCH($A77,SPPR!$A:$A,0),17),"")</f>
        <v/>
      </c>
      <c r="U77">
        <f>IFERROR($C77*INDEX(SPPR!$E:$X,MATCH($A77,SPPR!$A:$A,0),18),"")</f>
        <v/>
      </c>
      <c r="V77">
        <f>IFERROR($C77*INDEX(SPPR!$E:$X,MATCH($A77,SPPR!$A:$A,0),19),"")</f>
        <v/>
      </c>
      <c r="W77">
        <f>IFERROR($C77*INDEX(SPPR!$E:$X,MATCH($A77,SPPR!$A:$A,0),20),"")</f>
        <v/>
      </c>
    </row>
    <row r="78">
      <c r="A78" t="inlineStr">
        <is>
          <t>Konosirus punctatus</t>
        </is>
      </c>
      <c r="B78">
        <f>IFERROR(INDEX(SPPR!$D:$D,MATCH($A78,SPPR!$A:$A,0)),"")</f>
        <v/>
      </c>
      <c r="C78">
        <f>IFERROR(INDEX(Catch!$E:$BV,MATCH($A78,Catch!$A:$A,0),MATCH($B$4,Catch!$E$1:$BV$1,0)),0)</f>
        <v/>
      </c>
      <c r="D78">
        <f>IFERROR($C78*INDEX(SPPR!$E:$X,MATCH($A78,SPPR!$A:$A,0),1),"")</f>
        <v/>
      </c>
      <c r="E78">
        <f>IFERROR($C78*INDEX(SPPR!$E:$X,MATCH($A78,SPPR!$A:$A,0),2),"")</f>
        <v/>
      </c>
      <c r="F78">
        <f>IFERROR($C78*INDEX(SPPR!$E:$X,MATCH($A78,SPPR!$A:$A,0),3),"")</f>
        <v/>
      </c>
      <c r="G78">
        <f>IFERROR($C78*INDEX(SPPR!$E:$X,MATCH($A78,SPPR!$A:$A,0),4),"")</f>
        <v/>
      </c>
      <c r="H78">
        <f>IFERROR($C78*INDEX(SPPR!$E:$X,MATCH($A78,SPPR!$A:$A,0),5),"")</f>
        <v/>
      </c>
      <c r="I78">
        <f>IFERROR($C78*INDEX(SPPR!$E:$X,MATCH($A78,SPPR!$A:$A,0),6),"")</f>
        <v/>
      </c>
      <c r="J78">
        <f>IFERROR($C78*INDEX(SPPR!$E:$X,MATCH($A78,SPPR!$A:$A,0),7),"")</f>
        <v/>
      </c>
      <c r="K78">
        <f>IFERROR($C78*INDEX(SPPR!$E:$X,MATCH($A78,SPPR!$A:$A,0),8),"")</f>
        <v/>
      </c>
      <c r="L78">
        <f>IFERROR($C78*INDEX(SPPR!$E:$X,MATCH($A78,SPPR!$A:$A,0),9),"")</f>
        <v/>
      </c>
      <c r="M78">
        <f>IFERROR($C78*INDEX(SPPR!$E:$X,MATCH($A78,SPPR!$A:$A,0),10),"")</f>
        <v/>
      </c>
      <c r="N78">
        <f>IFERROR($C78*INDEX(SPPR!$E:$X,MATCH($A78,SPPR!$A:$A,0),11),"")</f>
        <v/>
      </c>
      <c r="O78">
        <f>IFERROR($C78*INDEX(SPPR!$E:$X,MATCH($A78,SPPR!$A:$A,0),12),"")</f>
        <v/>
      </c>
      <c r="P78">
        <f>IFERROR($C78*INDEX(SPPR!$E:$X,MATCH($A78,SPPR!$A:$A,0),13),"")</f>
        <v/>
      </c>
      <c r="Q78">
        <f>IFERROR($C78*INDEX(SPPR!$E:$X,MATCH($A78,SPPR!$A:$A,0),14),"")</f>
        <v/>
      </c>
      <c r="R78">
        <f>IFERROR($C78*INDEX(SPPR!$E:$X,MATCH($A78,SPPR!$A:$A,0),15),"")</f>
        <v/>
      </c>
      <c r="S78">
        <f>IFERROR($C78*INDEX(SPPR!$E:$X,MATCH($A78,SPPR!$A:$A,0),16),"")</f>
        <v/>
      </c>
      <c r="T78">
        <f>IFERROR($C78*INDEX(SPPR!$E:$X,MATCH($A78,SPPR!$A:$A,0),17),"")</f>
        <v/>
      </c>
      <c r="U78">
        <f>IFERROR($C78*INDEX(SPPR!$E:$X,MATCH($A78,SPPR!$A:$A,0),18),"")</f>
        <v/>
      </c>
      <c r="V78">
        <f>IFERROR($C78*INDEX(SPPR!$E:$X,MATCH($A78,SPPR!$A:$A,0),19),"")</f>
        <v/>
      </c>
      <c r="W78">
        <f>IFERROR($C78*INDEX(SPPR!$E:$X,MATCH($A78,SPPR!$A:$A,0),20),"")</f>
        <v/>
      </c>
    </row>
    <row r="79">
      <c r="A79" t="inlineStr">
        <is>
          <t>Auxis</t>
        </is>
      </c>
      <c r="B79">
        <f>IFERROR(INDEX(SPPR!$D:$D,MATCH($A79,SPPR!$A:$A,0)),"")</f>
        <v/>
      </c>
      <c r="C79">
        <f>IFERROR(INDEX(Catch!$E:$BV,MATCH($A79,Catch!$A:$A,0),MATCH($B$4,Catch!$E$1:$BV$1,0)),0)</f>
        <v/>
      </c>
      <c r="D79">
        <f>IFERROR($C79*INDEX(SPPR!$E:$X,MATCH($A79,SPPR!$A:$A,0),1),"")</f>
        <v/>
      </c>
      <c r="E79">
        <f>IFERROR($C79*INDEX(SPPR!$E:$X,MATCH($A79,SPPR!$A:$A,0),2),"")</f>
        <v/>
      </c>
      <c r="F79">
        <f>IFERROR($C79*INDEX(SPPR!$E:$X,MATCH($A79,SPPR!$A:$A,0),3),"")</f>
        <v/>
      </c>
      <c r="G79">
        <f>IFERROR($C79*INDEX(SPPR!$E:$X,MATCH($A79,SPPR!$A:$A,0),4),"")</f>
        <v/>
      </c>
      <c r="H79">
        <f>IFERROR($C79*INDEX(SPPR!$E:$X,MATCH($A79,SPPR!$A:$A,0),5),"")</f>
        <v/>
      </c>
      <c r="I79">
        <f>IFERROR($C79*INDEX(SPPR!$E:$X,MATCH($A79,SPPR!$A:$A,0),6),"")</f>
        <v/>
      </c>
      <c r="J79">
        <f>IFERROR($C79*INDEX(SPPR!$E:$X,MATCH($A79,SPPR!$A:$A,0),7),"")</f>
        <v/>
      </c>
      <c r="K79">
        <f>IFERROR($C79*INDEX(SPPR!$E:$X,MATCH($A79,SPPR!$A:$A,0),8),"")</f>
        <v/>
      </c>
      <c r="L79">
        <f>IFERROR($C79*INDEX(SPPR!$E:$X,MATCH($A79,SPPR!$A:$A,0),9),"")</f>
        <v/>
      </c>
      <c r="M79">
        <f>IFERROR($C79*INDEX(SPPR!$E:$X,MATCH($A79,SPPR!$A:$A,0),10),"")</f>
        <v/>
      </c>
      <c r="N79">
        <f>IFERROR($C79*INDEX(SPPR!$E:$X,MATCH($A79,SPPR!$A:$A,0),11),"")</f>
        <v/>
      </c>
      <c r="O79">
        <f>IFERROR($C79*INDEX(SPPR!$E:$X,MATCH($A79,SPPR!$A:$A,0),12),"")</f>
        <v/>
      </c>
      <c r="P79">
        <f>IFERROR($C79*INDEX(SPPR!$E:$X,MATCH($A79,SPPR!$A:$A,0),13),"")</f>
        <v/>
      </c>
      <c r="Q79">
        <f>IFERROR($C79*INDEX(SPPR!$E:$X,MATCH($A79,SPPR!$A:$A,0),14),"")</f>
        <v/>
      </c>
      <c r="R79">
        <f>IFERROR($C79*INDEX(SPPR!$E:$X,MATCH($A79,SPPR!$A:$A,0),15),"")</f>
        <v/>
      </c>
      <c r="S79">
        <f>IFERROR($C79*INDEX(SPPR!$E:$X,MATCH($A79,SPPR!$A:$A,0),16),"")</f>
        <v/>
      </c>
      <c r="T79">
        <f>IFERROR($C79*INDEX(SPPR!$E:$X,MATCH($A79,SPPR!$A:$A,0),17),"")</f>
        <v/>
      </c>
      <c r="U79">
        <f>IFERROR($C79*INDEX(SPPR!$E:$X,MATCH($A79,SPPR!$A:$A,0),18),"")</f>
        <v/>
      </c>
      <c r="V79">
        <f>IFERROR($C79*INDEX(SPPR!$E:$X,MATCH($A79,SPPR!$A:$A,0),19),"")</f>
        <v/>
      </c>
      <c r="W79">
        <f>IFERROR($C79*INDEX(SPPR!$E:$X,MATCH($A79,SPPR!$A:$A,0),20),"")</f>
        <v/>
      </c>
    </row>
    <row r="80">
      <c r="A80" t="inlineStr">
        <is>
          <t>Tetraodontidae</t>
        </is>
      </c>
      <c r="B80">
        <f>IFERROR(INDEX(SPPR!$D:$D,MATCH($A80,SPPR!$A:$A,0)),"")</f>
        <v/>
      </c>
      <c r="C80">
        <f>IFERROR(INDEX(Catch!$E:$BV,MATCH($A80,Catch!$A:$A,0),MATCH($B$4,Catch!$E$1:$BV$1,0)),0)</f>
        <v/>
      </c>
      <c r="D80">
        <f>IFERROR($C80*INDEX(SPPR!$E:$X,MATCH($A80,SPPR!$A:$A,0),1),"")</f>
        <v/>
      </c>
      <c r="E80">
        <f>IFERROR($C80*INDEX(SPPR!$E:$X,MATCH($A80,SPPR!$A:$A,0),2),"")</f>
        <v/>
      </c>
      <c r="F80">
        <f>IFERROR($C80*INDEX(SPPR!$E:$X,MATCH($A80,SPPR!$A:$A,0),3),"")</f>
        <v/>
      </c>
      <c r="G80">
        <f>IFERROR($C80*INDEX(SPPR!$E:$X,MATCH($A80,SPPR!$A:$A,0),4),"")</f>
        <v/>
      </c>
      <c r="H80">
        <f>IFERROR($C80*INDEX(SPPR!$E:$X,MATCH($A80,SPPR!$A:$A,0),5),"")</f>
        <v/>
      </c>
      <c r="I80">
        <f>IFERROR($C80*INDEX(SPPR!$E:$X,MATCH($A80,SPPR!$A:$A,0),6),"")</f>
        <v/>
      </c>
      <c r="J80">
        <f>IFERROR($C80*INDEX(SPPR!$E:$X,MATCH($A80,SPPR!$A:$A,0),7),"")</f>
        <v/>
      </c>
      <c r="K80">
        <f>IFERROR($C80*INDEX(SPPR!$E:$X,MATCH($A80,SPPR!$A:$A,0),8),"")</f>
        <v/>
      </c>
      <c r="L80">
        <f>IFERROR($C80*INDEX(SPPR!$E:$X,MATCH($A80,SPPR!$A:$A,0),9),"")</f>
        <v/>
      </c>
      <c r="M80">
        <f>IFERROR($C80*INDEX(SPPR!$E:$X,MATCH($A80,SPPR!$A:$A,0),10),"")</f>
        <v/>
      </c>
      <c r="N80">
        <f>IFERROR($C80*INDEX(SPPR!$E:$X,MATCH($A80,SPPR!$A:$A,0),11),"")</f>
        <v/>
      </c>
      <c r="O80">
        <f>IFERROR($C80*INDEX(SPPR!$E:$X,MATCH($A80,SPPR!$A:$A,0),12),"")</f>
        <v/>
      </c>
      <c r="P80">
        <f>IFERROR($C80*INDEX(SPPR!$E:$X,MATCH($A80,SPPR!$A:$A,0),13),"")</f>
        <v/>
      </c>
      <c r="Q80">
        <f>IFERROR($C80*INDEX(SPPR!$E:$X,MATCH($A80,SPPR!$A:$A,0),14),"")</f>
        <v/>
      </c>
      <c r="R80">
        <f>IFERROR($C80*INDEX(SPPR!$E:$X,MATCH($A80,SPPR!$A:$A,0),15),"")</f>
        <v/>
      </c>
      <c r="S80">
        <f>IFERROR($C80*INDEX(SPPR!$E:$X,MATCH($A80,SPPR!$A:$A,0),16),"")</f>
        <v/>
      </c>
      <c r="T80">
        <f>IFERROR($C80*INDEX(SPPR!$E:$X,MATCH($A80,SPPR!$A:$A,0),17),"")</f>
        <v/>
      </c>
      <c r="U80">
        <f>IFERROR($C80*INDEX(SPPR!$E:$X,MATCH($A80,SPPR!$A:$A,0),18),"")</f>
        <v/>
      </c>
      <c r="V80">
        <f>IFERROR($C80*INDEX(SPPR!$E:$X,MATCH($A80,SPPR!$A:$A,0),19),"")</f>
        <v/>
      </c>
      <c r="W80">
        <f>IFERROR($C80*INDEX(SPPR!$E:$X,MATCH($A80,SPPR!$A:$A,0),20),"")</f>
        <v/>
      </c>
    </row>
    <row r="81">
      <c r="A81" t="inlineStr">
        <is>
          <t>Pampus argenteus</t>
        </is>
      </c>
      <c r="B81">
        <f>IFERROR(INDEX(SPPR!$D:$D,MATCH($A81,SPPR!$A:$A,0)),"")</f>
        <v/>
      </c>
      <c r="C81">
        <f>IFERROR(INDEX(Catch!$E:$BV,MATCH($A81,Catch!$A:$A,0),MATCH($B$4,Catch!$E$1:$BV$1,0)),0)</f>
        <v/>
      </c>
      <c r="D81">
        <f>IFERROR($C81*INDEX(SPPR!$E:$X,MATCH($A81,SPPR!$A:$A,0),1),"")</f>
        <v/>
      </c>
      <c r="E81">
        <f>IFERROR($C81*INDEX(SPPR!$E:$X,MATCH($A81,SPPR!$A:$A,0),2),"")</f>
        <v/>
      </c>
      <c r="F81">
        <f>IFERROR($C81*INDEX(SPPR!$E:$X,MATCH($A81,SPPR!$A:$A,0),3),"")</f>
        <v/>
      </c>
      <c r="G81">
        <f>IFERROR($C81*INDEX(SPPR!$E:$X,MATCH($A81,SPPR!$A:$A,0),4),"")</f>
        <v/>
      </c>
      <c r="H81">
        <f>IFERROR($C81*INDEX(SPPR!$E:$X,MATCH($A81,SPPR!$A:$A,0),5),"")</f>
        <v/>
      </c>
      <c r="I81">
        <f>IFERROR($C81*INDEX(SPPR!$E:$X,MATCH($A81,SPPR!$A:$A,0),6),"")</f>
        <v/>
      </c>
      <c r="J81">
        <f>IFERROR($C81*INDEX(SPPR!$E:$X,MATCH($A81,SPPR!$A:$A,0),7),"")</f>
        <v/>
      </c>
      <c r="K81">
        <f>IFERROR($C81*INDEX(SPPR!$E:$X,MATCH($A81,SPPR!$A:$A,0),8),"")</f>
        <v/>
      </c>
      <c r="L81">
        <f>IFERROR($C81*INDEX(SPPR!$E:$X,MATCH($A81,SPPR!$A:$A,0),9),"")</f>
        <v/>
      </c>
      <c r="M81">
        <f>IFERROR($C81*INDEX(SPPR!$E:$X,MATCH($A81,SPPR!$A:$A,0),10),"")</f>
        <v/>
      </c>
      <c r="N81">
        <f>IFERROR($C81*INDEX(SPPR!$E:$X,MATCH($A81,SPPR!$A:$A,0),11),"")</f>
        <v/>
      </c>
      <c r="O81">
        <f>IFERROR($C81*INDEX(SPPR!$E:$X,MATCH($A81,SPPR!$A:$A,0),12),"")</f>
        <v/>
      </c>
      <c r="P81">
        <f>IFERROR($C81*INDEX(SPPR!$E:$X,MATCH($A81,SPPR!$A:$A,0),13),"")</f>
        <v/>
      </c>
      <c r="Q81">
        <f>IFERROR($C81*INDEX(SPPR!$E:$X,MATCH($A81,SPPR!$A:$A,0),14),"")</f>
        <v/>
      </c>
      <c r="R81">
        <f>IFERROR($C81*INDEX(SPPR!$E:$X,MATCH($A81,SPPR!$A:$A,0),15),"")</f>
        <v/>
      </c>
      <c r="S81">
        <f>IFERROR($C81*INDEX(SPPR!$E:$X,MATCH($A81,SPPR!$A:$A,0),16),"")</f>
        <v/>
      </c>
      <c r="T81">
        <f>IFERROR($C81*INDEX(SPPR!$E:$X,MATCH($A81,SPPR!$A:$A,0),17),"")</f>
        <v/>
      </c>
      <c r="U81">
        <f>IFERROR($C81*INDEX(SPPR!$E:$X,MATCH($A81,SPPR!$A:$A,0),18),"")</f>
        <v/>
      </c>
      <c r="V81">
        <f>IFERROR($C81*INDEX(SPPR!$E:$X,MATCH($A81,SPPR!$A:$A,0),19),"")</f>
        <v/>
      </c>
      <c r="W81">
        <f>IFERROR($C81*INDEX(SPPR!$E:$X,MATCH($A81,SPPR!$A:$A,0),20),"")</f>
        <v/>
      </c>
    </row>
    <row r="82">
      <c r="A82" t="inlineStr">
        <is>
          <t>Priacanthus</t>
        </is>
      </c>
      <c r="B82">
        <f>IFERROR(INDEX(SPPR!$D:$D,MATCH($A82,SPPR!$A:$A,0)),"")</f>
        <v/>
      </c>
      <c r="C82">
        <f>IFERROR(INDEX(Catch!$E:$BV,MATCH($A82,Catch!$A:$A,0),MATCH($B$4,Catch!$E$1:$BV$1,0)),0)</f>
        <v/>
      </c>
      <c r="D82">
        <f>IFERROR($C82*INDEX(SPPR!$E:$X,MATCH($A82,SPPR!$A:$A,0),1),"")</f>
        <v/>
      </c>
      <c r="E82">
        <f>IFERROR($C82*INDEX(SPPR!$E:$X,MATCH($A82,SPPR!$A:$A,0),2),"")</f>
        <v/>
      </c>
      <c r="F82">
        <f>IFERROR($C82*INDEX(SPPR!$E:$X,MATCH($A82,SPPR!$A:$A,0),3),"")</f>
        <v/>
      </c>
      <c r="G82">
        <f>IFERROR($C82*INDEX(SPPR!$E:$X,MATCH($A82,SPPR!$A:$A,0),4),"")</f>
        <v/>
      </c>
      <c r="H82">
        <f>IFERROR($C82*INDEX(SPPR!$E:$X,MATCH($A82,SPPR!$A:$A,0),5),"")</f>
        <v/>
      </c>
      <c r="I82">
        <f>IFERROR($C82*INDEX(SPPR!$E:$X,MATCH($A82,SPPR!$A:$A,0),6),"")</f>
        <v/>
      </c>
      <c r="J82">
        <f>IFERROR($C82*INDEX(SPPR!$E:$X,MATCH($A82,SPPR!$A:$A,0),7),"")</f>
        <v/>
      </c>
      <c r="K82">
        <f>IFERROR($C82*INDEX(SPPR!$E:$X,MATCH($A82,SPPR!$A:$A,0),8),"")</f>
        <v/>
      </c>
      <c r="L82">
        <f>IFERROR($C82*INDEX(SPPR!$E:$X,MATCH($A82,SPPR!$A:$A,0),9),"")</f>
        <v/>
      </c>
      <c r="M82">
        <f>IFERROR($C82*INDEX(SPPR!$E:$X,MATCH($A82,SPPR!$A:$A,0),10),"")</f>
        <v/>
      </c>
      <c r="N82">
        <f>IFERROR($C82*INDEX(SPPR!$E:$X,MATCH($A82,SPPR!$A:$A,0),11),"")</f>
        <v/>
      </c>
      <c r="O82">
        <f>IFERROR($C82*INDEX(SPPR!$E:$X,MATCH($A82,SPPR!$A:$A,0),12),"")</f>
        <v/>
      </c>
      <c r="P82">
        <f>IFERROR($C82*INDEX(SPPR!$E:$X,MATCH($A82,SPPR!$A:$A,0),13),"")</f>
        <v/>
      </c>
      <c r="Q82">
        <f>IFERROR($C82*INDEX(SPPR!$E:$X,MATCH($A82,SPPR!$A:$A,0),14),"")</f>
        <v/>
      </c>
      <c r="R82">
        <f>IFERROR($C82*INDEX(SPPR!$E:$X,MATCH($A82,SPPR!$A:$A,0),15),"")</f>
        <v/>
      </c>
      <c r="S82">
        <f>IFERROR($C82*INDEX(SPPR!$E:$X,MATCH($A82,SPPR!$A:$A,0),16),"")</f>
        <v/>
      </c>
      <c r="T82">
        <f>IFERROR($C82*INDEX(SPPR!$E:$X,MATCH($A82,SPPR!$A:$A,0),17),"")</f>
        <v/>
      </c>
      <c r="U82">
        <f>IFERROR($C82*INDEX(SPPR!$E:$X,MATCH($A82,SPPR!$A:$A,0),18),"")</f>
        <v/>
      </c>
      <c r="V82">
        <f>IFERROR($C82*INDEX(SPPR!$E:$X,MATCH($A82,SPPR!$A:$A,0),19),"")</f>
        <v/>
      </c>
      <c r="W82">
        <f>IFERROR($C82*INDEX(SPPR!$E:$X,MATCH($A82,SPPR!$A:$A,0),20),"")</f>
        <v/>
      </c>
    </row>
    <row r="83">
      <c r="A83" t="inlineStr">
        <is>
          <t>Synodontidae</t>
        </is>
      </c>
      <c r="B83">
        <f>IFERROR(INDEX(SPPR!$D:$D,MATCH($A83,SPPR!$A:$A,0)),"")</f>
        <v/>
      </c>
      <c r="C83">
        <f>IFERROR(INDEX(Catch!$E:$BV,MATCH($A83,Catch!$A:$A,0),MATCH($B$4,Catch!$E$1:$BV$1,0)),0)</f>
        <v/>
      </c>
      <c r="D83">
        <f>IFERROR($C83*INDEX(SPPR!$E:$X,MATCH($A83,SPPR!$A:$A,0),1),"")</f>
        <v/>
      </c>
      <c r="E83">
        <f>IFERROR($C83*INDEX(SPPR!$E:$X,MATCH($A83,SPPR!$A:$A,0),2),"")</f>
        <v/>
      </c>
      <c r="F83">
        <f>IFERROR($C83*INDEX(SPPR!$E:$X,MATCH($A83,SPPR!$A:$A,0),3),"")</f>
        <v/>
      </c>
      <c r="G83">
        <f>IFERROR($C83*INDEX(SPPR!$E:$X,MATCH($A83,SPPR!$A:$A,0),4),"")</f>
        <v/>
      </c>
      <c r="H83">
        <f>IFERROR($C83*INDEX(SPPR!$E:$X,MATCH($A83,SPPR!$A:$A,0),5),"")</f>
        <v/>
      </c>
      <c r="I83">
        <f>IFERROR($C83*INDEX(SPPR!$E:$X,MATCH($A83,SPPR!$A:$A,0),6),"")</f>
        <v/>
      </c>
      <c r="J83">
        <f>IFERROR($C83*INDEX(SPPR!$E:$X,MATCH($A83,SPPR!$A:$A,0),7),"")</f>
        <v/>
      </c>
      <c r="K83">
        <f>IFERROR($C83*INDEX(SPPR!$E:$X,MATCH($A83,SPPR!$A:$A,0),8),"")</f>
        <v/>
      </c>
      <c r="L83">
        <f>IFERROR($C83*INDEX(SPPR!$E:$X,MATCH($A83,SPPR!$A:$A,0),9),"")</f>
        <v/>
      </c>
      <c r="M83">
        <f>IFERROR($C83*INDEX(SPPR!$E:$X,MATCH($A83,SPPR!$A:$A,0),10),"")</f>
        <v/>
      </c>
      <c r="N83">
        <f>IFERROR($C83*INDEX(SPPR!$E:$X,MATCH($A83,SPPR!$A:$A,0),11),"")</f>
        <v/>
      </c>
      <c r="O83">
        <f>IFERROR($C83*INDEX(SPPR!$E:$X,MATCH($A83,SPPR!$A:$A,0),12),"")</f>
        <v/>
      </c>
      <c r="P83">
        <f>IFERROR($C83*INDEX(SPPR!$E:$X,MATCH($A83,SPPR!$A:$A,0),13),"")</f>
        <v/>
      </c>
      <c r="Q83">
        <f>IFERROR($C83*INDEX(SPPR!$E:$X,MATCH($A83,SPPR!$A:$A,0),14),"")</f>
        <v/>
      </c>
      <c r="R83">
        <f>IFERROR($C83*INDEX(SPPR!$E:$X,MATCH($A83,SPPR!$A:$A,0),15),"")</f>
        <v/>
      </c>
      <c r="S83">
        <f>IFERROR($C83*INDEX(SPPR!$E:$X,MATCH($A83,SPPR!$A:$A,0),16),"")</f>
        <v/>
      </c>
      <c r="T83">
        <f>IFERROR($C83*INDEX(SPPR!$E:$X,MATCH($A83,SPPR!$A:$A,0),17),"")</f>
        <v/>
      </c>
      <c r="U83">
        <f>IFERROR($C83*INDEX(SPPR!$E:$X,MATCH($A83,SPPR!$A:$A,0),18),"")</f>
        <v/>
      </c>
      <c r="V83">
        <f>IFERROR($C83*INDEX(SPPR!$E:$X,MATCH($A83,SPPR!$A:$A,0),19),"")</f>
        <v/>
      </c>
      <c r="W83">
        <f>IFERROR($C83*INDEX(SPPR!$E:$X,MATCH($A83,SPPR!$A:$A,0),20),"")</f>
        <v/>
      </c>
    </row>
    <row r="84">
      <c r="A84" t="inlineStr">
        <is>
          <t>Paralichthys olivaceus</t>
        </is>
      </c>
      <c r="B84">
        <f>IFERROR(INDEX(SPPR!$D:$D,MATCH($A84,SPPR!$A:$A,0)),"")</f>
        <v/>
      </c>
      <c r="C84">
        <f>IFERROR(INDEX(Catch!$E:$BV,MATCH($A84,Catch!$A:$A,0),MATCH($B$4,Catch!$E$1:$BV$1,0)),0)</f>
        <v/>
      </c>
      <c r="D84">
        <f>IFERROR($C84*INDEX(SPPR!$E:$X,MATCH($A84,SPPR!$A:$A,0),1),"")</f>
        <v/>
      </c>
      <c r="E84">
        <f>IFERROR($C84*INDEX(SPPR!$E:$X,MATCH($A84,SPPR!$A:$A,0),2),"")</f>
        <v/>
      </c>
      <c r="F84">
        <f>IFERROR($C84*INDEX(SPPR!$E:$X,MATCH($A84,SPPR!$A:$A,0),3),"")</f>
        <v/>
      </c>
      <c r="G84">
        <f>IFERROR($C84*INDEX(SPPR!$E:$X,MATCH($A84,SPPR!$A:$A,0),4),"")</f>
        <v/>
      </c>
      <c r="H84">
        <f>IFERROR($C84*INDEX(SPPR!$E:$X,MATCH($A84,SPPR!$A:$A,0),5),"")</f>
        <v/>
      </c>
      <c r="I84">
        <f>IFERROR($C84*INDEX(SPPR!$E:$X,MATCH($A84,SPPR!$A:$A,0),6),"")</f>
        <v/>
      </c>
      <c r="J84">
        <f>IFERROR($C84*INDEX(SPPR!$E:$X,MATCH($A84,SPPR!$A:$A,0),7),"")</f>
        <v/>
      </c>
      <c r="K84">
        <f>IFERROR($C84*INDEX(SPPR!$E:$X,MATCH($A84,SPPR!$A:$A,0),8),"")</f>
        <v/>
      </c>
      <c r="L84">
        <f>IFERROR($C84*INDEX(SPPR!$E:$X,MATCH($A84,SPPR!$A:$A,0),9),"")</f>
        <v/>
      </c>
      <c r="M84">
        <f>IFERROR($C84*INDEX(SPPR!$E:$X,MATCH($A84,SPPR!$A:$A,0),10),"")</f>
        <v/>
      </c>
      <c r="N84">
        <f>IFERROR($C84*INDEX(SPPR!$E:$X,MATCH($A84,SPPR!$A:$A,0),11),"")</f>
        <v/>
      </c>
      <c r="O84">
        <f>IFERROR($C84*INDEX(SPPR!$E:$X,MATCH($A84,SPPR!$A:$A,0),12),"")</f>
        <v/>
      </c>
      <c r="P84">
        <f>IFERROR($C84*INDEX(SPPR!$E:$X,MATCH($A84,SPPR!$A:$A,0),13),"")</f>
        <v/>
      </c>
      <c r="Q84">
        <f>IFERROR($C84*INDEX(SPPR!$E:$X,MATCH($A84,SPPR!$A:$A,0),14),"")</f>
        <v/>
      </c>
      <c r="R84">
        <f>IFERROR($C84*INDEX(SPPR!$E:$X,MATCH($A84,SPPR!$A:$A,0),15),"")</f>
        <v/>
      </c>
      <c r="S84">
        <f>IFERROR($C84*INDEX(SPPR!$E:$X,MATCH($A84,SPPR!$A:$A,0),16),"")</f>
        <v/>
      </c>
      <c r="T84">
        <f>IFERROR($C84*INDEX(SPPR!$E:$X,MATCH($A84,SPPR!$A:$A,0),17),"")</f>
        <v/>
      </c>
      <c r="U84">
        <f>IFERROR($C84*INDEX(SPPR!$E:$X,MATCH($A84,SPPR!$A:$A,0),18),"")</f>
        <v/>
      </c>
      <c r="V84">
        <f>IFERROR($C84*INDEX(SPPR!$E:$X,MATCH($A84,SPPR!$A:$A,0),19),"")</f>
        <v/>
      </c>
      <c r="W84">
        <f>IFERROR($C84*INDEX(SPPR!$E:$X,MATCH($A84,SPPR!$A:$A,0),20),"")</f>
        <v/>
      </c>
    </row>
    <row r="85">
      <c r="A85" t="inlineStr">
        <is>
          <t>Coryphaena hippurus</t>
        </is>
      </c>
      <c r="B85">
        <f>IFERROR(INDEX(SPPR!$D:$D,MATCH($A85,SPPR!$A:$A,0)),"")</f>
        <v/>
      </c>
      <c r="C85">
        <f>IFERROR(INDEX(Catch!$E:$BV,MATCH($A85,Catch!$A:$A,0),MATCH($B$4,Catch!$E$1:$BV$1,0)),0)</f>
        <v/>
      </c>
      <c r="D85">
        <f>IFERROR($C85*INDEX(SPPR!$E:$X,MATCH($A85,SPPR!$A:$A,0),1),"")</f>
        <v/>
      </c>
      <c r="E85">
        <f>IFERROR($C85*INDEX(SPPR!$E:$X,MATCH($A85,SPPR!$A:$A,0),2),"")</f>
        <v/>
      </c>
      <c r="F85">
        <f>IFERROR($C85*INDEX(SPPR!$E:$X,MATCH($A85,SPPR!$A:$A,0),3),"")</f>
        <v/>
      </c>
      <c r="G85">
        <f>IFERROR($C85*INDEX(SPPR!$E:$X,MATCH($A85,SPPR!$A:$A,0),4),"")</f>
        <v/>
      </c>
      <c r="H85">
        <f>IFERROR($C85*INDEX(SPPR!$E:$X,MATCH($A85,SPPR!$A:$A,0),5),"")</f>
        <v/>
      </c>
      <c r="I85">
        <f>IFERROR($C85*INDEX(SPPR!$E:$X,MATCH($A85,SPPR!$A:$A,0),6),"")</f>
        <v/>
      </c>
      <c r="J85">
        <f>IFERROR($C85*INDEX(SPPR!$E:$X,MATCH($A85,SPPR!$A:$A,0),7),"")</f>
        <v/>
      </c>
      <c r="K85">
        <f>IFERROR($C85*INDEX(SPPR!$E:$X,MATCH($A85,SPPR!$A:$A,0),8),"")</f>
        <v/>
      </c>
      <c r="L85">
        <f>IFERROR($C85*INDEX(SPPR!$E:$X,MATCH($A85,SPPR!$A:$A,0),9),"")</f>
        <v/>
      </c>
      <c r="M85">
        <f>IFERROR($C85*INDEX(SPPR!$E:$X,MATCH($A85,SPPR!$A:$A,0),10),"")</f>
        <v/>
      </c>
      <c r="N85">
        <f>IFERROR($C85*INDEX(SPPR!$E:$X,MATCH($A85,SPPR!$A:$A,0),11),"")</f>
        <v/>
      </c>
      <c r="O85">
        <f>IFERROR($C85*INDEX(SPPR!$E:$X,MATCH($A85,SPPR!$A:$A,0),12),"")</f>
        <v/>
      </c>
      <c r="P85">
        <f>IFERROR($C85*INDEX(SPPR!$E:$X,MATCH($A85,SPPR!$A:$A,0),13),"")</f>
        <v/>
      </c>
      <c r="Q85">
        <f>IFERROR($C85*INDEX(SPPR!$E:$X,MATCH($A85,SPPR!$A:$A,0),14),"")</f>
        <v/>
      </c>
      <c r="R85">
        <f>IFERROR($C85*INDEX(SPPR!$E:$X,MATCH($A85,SPPR!$A:$A,0),15),"")</f>
        <v/>
      </c>
      <c r="S85">
        <f>IFERROR($C85*INDEX(SPPR!$E:$X,MATCH($A85,SPPR!$A:$A,0),16),"")</f>
        <v/>
      </c>
      <c r="T85">
        <f>IFERROR($C85*INDEX(SPPR!$E:$X,MATCH($A85,SPPR!$A:$A,0),17),"")</f>
        <v/>
      </c>
      <c r="U85">
        <f>IFERROR($C85*INDEX(SPPR!$E:$X,MATCH($A85,SPPR!$A:$A,0),18),"")</f>
        <v/>
      </c>
      <c r="V85">
        <f>IFERROR($C85*INDEX(SPPR!$E:$X,MATCH($A85,SPPR!$A:$A,0),19),"")</f>
        <v/>
      </c>
      <c r="W85">
        <f>IFERROR($C85*INDEX(SPPR!$E:$X,MATCH($A85,SPPR!$A:$A,0),20),"")</f>
        <v/>
      </c>
    </row>
    <row r="86">
      <c r="A86" t="inlineStr">
        <is>
          <t>Nemipterus virgatus</t>
        </is>
      </c>
      <c r="B86">
        <f>IFERROR(INDEX(SPPR!$D:$D,MATCH($A86,SPPR!$A:$A,0)),"")</f>
        <v/>
      </c>
      <c r="C86">
        <f>IFERROR(INDEX(Catch!$E:$BV,MATCH($A86,Catch!$A:$A,0),MATCH($B$4,Catch!$E$1:$BV$1,0)),0)</f>
        <v/>
      </c>
      <c r="D86">
        <f>IFERROR($C86*INDEX(SPPR!$E:$X,MATCH($A86,SPPR!$A:$A,0),1),"")</f>
        <v/>
      </c>
      <c r="E86">
        <f>IFERROR($C86*INDEX(SPPR!$E:$X,MATCH($A86,SPPR!$A:$A,0),2),"")</f>
        <v/>
      </c>
      <c r="F86">
        <f>IFERROR($C86*INDEX(SPPR!$E:$X,MATCH($A86,SPPR!$A:$A,0),3),"")</f>
        <v/>
      </c>
      <c r="G86">
        <f>IFERROR($C86*INDEX(SPPR!$E:$X,MATCH($A86,SPPR!$A:$A,0),4),"")</f>
        <v/>
      </c>
      <c r="H86">
        <f>IFERROR($C86*INDEX(SPPR!$E:$X,MATCH($A86,SPPR!$A:$A,0),5),"")</f>
        <v/>
      </c>
      <c r="I86">
        <f>IFERROR($C86*INDEX(SPPR!$E:$X,MATCH($A86,SPPR!$A:$A,0),6),"")</f>
        <v/>
      </c>
      <c r="J86">
        <f>IFERROR($C86*INDEX(SPPR!$E:$X,MATCH($A86,SPPR!$A:$A,0),7),"")</f>
        <v/>
      </c>
      <c r="K86">
        <f>IFERROR($C86*INDEX(SPPR!$E:$X,MATCH($A86,SPPR!$A:$A,0),8),"")</f>
        <v/>
      </c>
      <c r="L86">
        <f>IFERROR($C86*INDEX(SPPR!$E:$X,MATCH($A86,SPPR!$A:$A,0),9),"")</f>
        <v/>
      </c>
      <c r="M86">
        <f>IFERROR($C86*INDEX(SPPR!$E:$X,MATCH($A86,SPPR!$A:$A,0),10),"")</f>
        <v/>
      </c>
      <c r="N86">
        <f>IFERROR($C86*INDEX(SPPR!$E:$X,MATCH($A86,SPPR!$A:$A,0),11),"")</f>
        <v/>
      </c>
      <c r="O86">
        <f>IFERROR($C86*INDEX(SPPR!$E:$X,MATCH($A86,SPPR!$A:$A,0),12),"")</f>
        <v/>
      </c>
      <c r="P86">
        <f>IFERROR($C86*INDEX(SPPR!$E:$X,MATCH($A86,SPPR!$A:$A,0),13),"")</f>
        <v/>
      </c>
      <c r="Q86">
        <f>IFERROR($C86*INDEX(SPPR!$E:$X,MATCH($A86,SPPR!$A:$A,0),14),"")</f>
        <v/>
      </c>
      <c r="R86">
        <f>IFERROR($C86*INDEX(SPPR!$E:$X,MATCH($A86,SPPR!$A:$A,0),15),"")</f>
        <v/>
      </c>
      <c r="S86">
        <f>IFERROR($C86*INDEX(SPPR!$E:$X,MATCH($A86,SPPR!$A:$A,0),16),"")</f>
        <v/>
      </c>
      <c r="T86">
        <f>IFERROR($C86*INDEX(SPPR!$E:$X,MATCH($A86,SPPR!$A:$A,0),17),"")</f>
        <v/>
      </c>
      <c r="U86">
        <f>IFERROR($C86*INDEX(SPPR!$E:$X,MATCH($A86,SPPR!$A:$A,0),18),"")</f>
        <v/>
      </c>
      <c r="V86">
        <f>IFERROR($C86*INDEX(SPPR!$E:$X,MATCH($A86,SPPR!$A:$A,0),19),"")</f>
        <v/>
      </c>
      <c r="W86">
        <f>IFERROR($C86*INDEX(SPPR!$E:$X,MATCH($A86,SPPR!$A:$A,0),20),"")</f>
        <v/>
      </c>
    </row>
    <row r="87">
      <c r="A87" t="inlineStr">
        <is>
          <t>Salmonidae</t>
        </is>
      </c>
      <c r="B87">
        <f>IFERROR(INDEX(SPPR!$D:$D,MATCH($A87,SPPR!$A:$A,0)),"")</f>
        <v/>
      </c>
      <c r="C87">
        <f>IFERROR(INDEX(Catch!$E:$BV,MATCH($A87,Catch!$A:$A,0),MATCH($B$4,Catch!$E$1:$BV$1,0)),0)</f>
        <v/>
      </c>
      <c r="D87">
        <f>IFERROR($C87*INDEX(SPPR!$E:$X,MATCH($A87,SPPR!$A:$A,0),1),"")</f>
        <v/>
      </c>
      <c r="E87">
        <f>IFERROR($C87*INDEX(SPPR!$E:$X,MATCH($A87,SPPR!$A:$A,0),2),"")</f>
        <v/>
      </c>
      <c r="F87">
        <f>IFERROR($C87*INDEX(SPPR!$E:$X,MATCH($A87,SPPR!$A:$A,0),3),"")</f>
        <v/>
      </c>
      <c r="G87">
        <f>IFERROR($C87*INDEX(SPPR!$E:$X,MATCH($A87,SPPR!$A:$A,0),4),"")</f>
        <v/>
      </c>
      <c r="H87">
        <f>IFERROR($C87*INDEX(SPPR!$E:$X,MATCH($A87,SPPR!$A:$A,0),5),"")</f>
        <v/>
      </c>
      <c r="I87">
        <f>IFERROR($C87*INDEX(SPPR!$E:$X,MATCH($A87,SPPR!$A:$A,0),6),"")</f>
        <v/>
      </c>
      <c r="J87">
        <f>IFERROR($C87*INDEX(SPPR!$E:$X,MATCH($A87,SPPR!$A:$A,0),7),"")</f>
        <v/>
      </c>
      <c r="K87">
        <f>IFERROR($C87*INDEX(SPPR!$E:$X,MATCH($A87,SPPR!$A:$A,0),8),"")</f>
        <v/>
      </c>
      <c r="L87">
        <f>IFERROR($C87*INDEX(SPPR!$E:$X,MATCH($A87,SPPR!$A:$A,0),9),"")</f>
        <v/>
      </c>
      <c r="M87">
        <f>IFERROR($C87*INDEX(SPPR!$E:$X,MATCH($A87,SPPR!$A:$A,0),10),"")</f>
        <v/>
      </c>
      <c r="N87">
        <f>IFERROR($C87*INDEX(SPPR!$E:$X,MATCH($A87,SPPR!$A:$A,0),11),"")</f>
        <v/>
      </c>
      <c r="O87">
        <f>IFERROR($C87*INDEX(SPPR!$E:$X,MATCH($A87,SPPR!$A:$A,0),12),"")</f>
        <v/>
      </c>
      <c r="P87">
        <f>IFERROR($C87*INDEX(SPPR!$E:$X,MATCH($A87,SPPR!$A:$A,0),13),"")</f>
        <v/>
      </c>
      <c r="Q87">
        <f>IFERROR($C87*INDEX(SPPR!$E:$X,MATCH($A87,SPPR!$A:$A,0),14),"")</f>
        <v/>
      </c>
      <c r="R87">
        <f>IFERROR($C87*INDEX(SPPR!$E:$X,MATCH($A87,SPPR!$A:$A,0),15),"")</f>
        <v/>
      </c>
      <c r="S87">
        <f>IFERROR($C87*INDEX(SPPR!$E:$X,MATCH($A87,SPPR!$A:$A,0),16),"")</f>
        <v/>
      </c>
      <c r="T87">
        <f>IFERROR($C87*INDEX(SPPR!$E:$X,MATCH($A87,SPPR!$A:$A,0),17),"")</f>
        <v/>
      </c>
      <c r="U87">
        <f>IFERROR($C87*INDEX(SPPR!$E:$X,MATCH($A87,SPPR!$A:$A,0),18),"")</f>
        <v/>
      </c>
      <c r="V87">
        <f>IFERROR($C87*INDEX(SPPR!$E:$X,MATCH($A87,SPPR!$A:$A,0),19),"")</f>
        <v/>
      </c>
      <c r="W87">
        <f>IFERROR($C87*INDEX(SPPR!$E:$X,MATCH($A87,SPPR!$A:$A,0),20),"")</f>
        <v/>
      </c>
    </row>
    <row r="88">
      <c r="A88" t="inlineStr">
        <is>
          <t>Portunus pelagicus</t>
        </is>
      </c>
      <c r="B88">
        <f>IFERROR(INDEX(SPPR!$D:$D,MATCH($A88,SPPR!$A:$A,0)),"")</f>
        <v/>
      </c>
      <c r="C88">
        <f>IFERROR(INDEX(Catch!$E:$BV,MATCH($A88,Catch!$A:$A,0),MATCH($B$4,Catch!$E$1:$BV$1,0)),0)</f>
        <v/>
      </c>
      <c r="D88">
        <f>IFERROR($C88*INDEX(SPPR!$E:$X,MATCH($A88,SPPR!$A:$A,0),1),"")</f>
        <v/>
      </c>
      <c r="E88">
        <f>IFERROR($C88*INDEX(SPPR!$E:$X,MATCH($A88,SPPR!$A:$A,0),2),"")</f>
        <v/>
      </c>
      <c r="F88">
        <f>IFERROR($C88*INDEX(SPPR!$E:$X,MATCH($A88,SPPR!$A:$A,0),3),"")</f>
        <v/>
      </c>
      <c r="G88">
        <f>IFERROR($C88*INDEX(SPPR!$E:$X,MATCH($A88,SPPR!$A:$A,0),4),"")</f>
        <v/>
      </c>
      <c r="H88">
        <f>IFERROR($C88*INDEX(SPPR!$E:$X,MATCH($A88,SPPR!$A:$A,0),5),"")</f>
        <v/>
      </c>
      <c r="I88">
        <f>IFERROR($C88*INDEX(SPPR!$E:$X,MATCH($A88,SPPR!$A:$A,0),6),"")</f>
        <v/>
      </c>
      <c r="J88">
        <f>IFERROR($C88*INDEX(SPPR!$E:$X,MATCH($A88,SPPR!$A:$A,0),7),"")</f>
        <v/>
      </c>
      <c r="K88">
        <f>IFERROR($C88*INDEX(SPPR!$E:$X,MATCH($A88,SPPR!$A:$A,0),8),"")</f>
        <v/>
      </c>
      <c r="L88">
        <f>IFERROR($C88*INDEX(SPPR!$E:$X,MATCH($A88,SPPR!$A:$A,0),9),"")</f>
        <v/>
      </c>
      <c r="M88">
        <f>IFERROR($C88*INDEX(SPPR!$E:$X,MATCH($A88,SPPR!$A:$A,0),10),"")</f>
        <v/>
      </c>
      <c r="N88">
        <f>IFERROR($C88*INDEX(SPPR!$E:$X,MATCH($A88,SPPR!$A:$A,0),11),"")</f>
        <v/>
      </c>
      <c r="O88">
        <f>IFERROR($C88*INDEX(SPPR!$E:$X,MATCH($A88,SPPR!$A:$A,0),12),"")</f>
        <v/>
      </c>
      <c r="P88">
        <f>IFERROR($C88*INDEX(SPPR!$E:$X,MATCH($A88,SPPR!$A:$A,0),13),"")</f>
        <v/>
      </c>
      <c r="Q88">
        <f>IFERROR($C88*INDEX(SPPR!$E:$X,MATCH($A88,SPPR!$A:$A,0),14),"")</f>
        <v/>
      </c>
      <c r="R88">
        <f>IFERROR($C88*INDEX(SPPR!$E:$X,MATCH($A88,SPPR!$A:$A,0),15),"")</f>
        <v/>
      </c>
      <c r="S88">
        <f>IFERROR($C88*INDEX(SPPR!$E:$X,MATCH($A88,SPPR!$A:$A,0),16),"")</f>
        <v/>
      </c>
      <c r="T88">
        <f>IFERROR($C88*INDEX(SPPR!$E:$X,MATCH($A88,SPPR!$A:$A,0),17),"")</f>
        <v/>
      </c>
      <c r="U88">
        <f>IFERROR($C88*INDEX(SPPR!$E:$X,MATCH($A88,SPPR!$A:$A,0),18),"")</f>
        <v/>
      </c>
      <c r="V88">
        <f>IFERROR($C88*INDEX(SPPR!$E:$X,MATCH($A88,SPPR!$A:$A,0),19),"")</f>
        <v/>
      </c>
      <c r="W88">
        <f>IFERROR($C88*INDEX(SPPR!$E:$X,MATCH($A88,SPPR!$A:$A,0),20),"")</f>
        <v/>
      </c>
    </row>
    <row r="89">
      <c r="A89" t="inlineStr">
        <is>
          <t>Sardinella zunasi</t>
        </is>
      </c>
      <c r="B89">
        <f>IFERROR(INDEX(SPPR!$D:$D,MATCH($A89,SPPR!$A:$A,0)),"")</f>
        <v/>
      </c>
      <c r="C89">
        <f>IFERROR(INDEX(Catch!$E:$BV,MATCH($A89,Catch!$A:$A,0),MATCH($B$4,Catch!$E$1:$BV$1,0)),0)</f>
        <v/>
      </c>
      <c r="D89">
        <f>IFERROR($C89*INDEX(SPPR!$E:$X,MATCH($A89,SPPR!$A:$A,0),1),"")</f>
        <v/>
      </c>
      <c r="E89">
        <f>IFERROR($C89*INDEX(SPPR!$E:$X,MATCH($A89,SPPR!$A:$A,0),2),"")</f>
        <v/>
      </c>
      <c r="F89">
        <f>IFERROR($C89*INDEX(SPPR!$E:$X,MATCH($A89,SPPR!$A:$A,0),3),"")</f>
        <v/>
      </c>
      <c r="G89">
        <f>IFERROR($C89*INDEX(SPPR!$E:$X,MATCH($A89,SPPR!$A:$A,0),4),"")</f>
        <v/>
      </c>
      <c r="H89">
        <f>IFERROR($C89*INDEX(SPPR!$E:$X,MATCH($A89,SPPR!$A:$A,0),5),"")</f>
        <v/>
      </c>
      <c r="I89">
        <f>IFERROR($C89*INDEX(SPPR!$E:$X,MATCH($A89,SPPR!$A:$A,0),6),"")</f>
        <v/>
      </c>
      <c r="J89">
        <f>IFERROR($C89*INDEX(SPPR!$E:$X,MATCH($A89,SPPR!$A:$A,0),7),"")</f>
        <v/>
      </c>
      <c r="K89">
        <f>IFERROR($C89*INDEX(SPPR!$E:$X,MATCH($A89,SPPR!$A:$A,0),8),"")</f>
        <v/>
      </c>
      <c r="L89">
        <f>IFERROR($C89*INDEX(SPPR!$E:$X,MATCH($A89,SPPR!$A:$A,0),9),"")</f>
        <v/>
      </c>
      <c r="M89">
        <f>IFERROR($C89*INDEX(SPPR!$E:$X,MATCH($A89,SPPR!$A:$A,0),10),"")</f>
        <v/>
      </c>
      <c r="N89">
        <f>IFERROR($C89*INDEX(SPPR!$E:$X,MATCH($A89,SPPR!$A:$A,0),11),"")</f>
        <v/>
      </c>
      <c r="O89">
        <f>IFERROR($C89*INDEX(SPPR!$E:$X,MATCH($A89,SPPR!$A:$A,0),12),"")</f>
        <v/>
      </c>
      <c r="P89">
        <f>IFERROR($C89*INDEX(SPPR!$E:$X,MATCH($A89,SPPR!$A:$A,0),13),"")</f>
        <v/>
      </c>
      <c r="Q89">
        <f>IFERROR($C89*INDEX(SPPR!$E:$X,MATCH($A89,SPPR!$A:$A,0),14),"")</f>
        <v/>
      </c>
      <c r="R89">
        <f>IFERROR($C89*INDEX(SPPR!$E:$X,MATCH($A89,SPPR!$A:$A,0),15),"")</f>
        <v/>
      </c>
      <c r="S89">
        <f>IFERROR($C89*INDEX(SPPR!$E:$X,MATCH($A89,SPPR!$A:$A,0),16),"")</f>
        <v/>
      </c>
      <c r="T89">
        <f>IFERROR($C89*INDEX(SPPR!$E:$X,MATCH($A89,SPPR!$A:$A,0),17),"")</f>
        <v/>
      </c>
      <c r="U89">
        <f>IFERROR($C89*INDEX(SPPR!$E:$X,MATCH($A89,SPPR!$A:$A,0),18),"")</f>
        <v/>
      </c>
      <c r="V89">
        <f>IFERROR($C89*INDEX(SPPR!$E:$X,MATCH($A89,SPPR!$A:$A,0),19),"")</f>
        <v/>
      </c>
      <c r="W89">
        <f>IFERROR($C89*INDEX(SPPR!$E:$X,MATCH($A89,SPPR!$A:$A,0),20),"")</f>
        <v/>
      </c>
    </row>
    <row r="90">
      <c r="A90" t="inlineStr">
        <is>
          <t>Charybdis</t>
        </is>
      </c>
      <c r="B90">
        <f>IFERROR(INDEX(SPPR!$D:$D,MATCH($A90,SPPR!$A:$A,0)),"")</f>
        <v/>
      </c>
      <c r="C90">
        <f>IFERROR(INDEX(Catch!$E:$BV,MATCH($A90,Catch!$A:$A,0),MATCH($B$4,Catch!$E$1:$BV$1,0)),0)</f>
        <v/>
      </c>
      <c r="D90">
        <f>IFERROR($C90*INDEX(SPPR!$E:$X,MATCH($A90,SPPR!$A:$A,0),1),"")</f>
        <v/>
      </c>
      <c r="E90">
        <f>IFERROR($C90*INDEX(SPPR!$E:$X,MATCH($A90,SPPR!$A:$A,0),2),"")</f>
        <v/>
      </c>
      <c r="F90">
        <f>IFERROR($C90*INDEX(SPPR!$E:$X,MATCH($A90,SPPR!$A:$A,0),3),"")</f>
        <v/>
      </c>
      <c r="G90">
        <f>IFERROR($C90*INDEX(SPPR!$E:$X,MATCH($A90,SPPR!$A:$A,0),4),"")</f>
        <v/>
      </c>
      <c r="H90">
        <f>IFERROR($C90*INDEX(SPPR!$E:$X,MATCH($A90,SPPR!$A:$A,0),5),"")</f>
        <v/>
      </c>
      <c r="I90">
        <f>IFERROR($C90*INDEX(SPPR!$E:$X,MATCH($A90,SPPR!$A:$A,0),6),"")</f>
        <v/>
      </c>
      <c r="J90">
        <f>IFERROR($C90*INDEX(SPPR!$E:$X,MATCH($A90,SPPR!$A:$A,0),7),"")</f>
        <v/>
      </c>
      <c r="K90">
        <f>IFERROR($C90*INDEX(SPPR!$E:$X,MATCH($A90,SPPR!$A:$A,0),8),"")</f>
        <v/>
      </c>
      <c r="L90">
        <f>IFERROR($C90*INDEX(SPPR!$E:$X,MATCH($A90,SPPR!$A:$A,0),9),"")</f>
        <v/>
      </c>
      <c r="M90">
        <f>IFERROR($C90*INDEX(SPPR!$E:$X,MATCH($A90,SPPR!$A:$A,0),10),"")</f>
        <v/>
      </c>
      <c r="N90">
        <f>IFERROR($C90*INDEX(SPPR!$E:$X,MATCH($A90,SPPR!$A:$A,0),11),"")</f>
        <v/>
      </c>
      <c r="O90">
        <f>IFERROR($C90*INDEX(SPPR!$E:$X,MATCH($A90,SPPR!$A:$A,0),12),"")</f>
        <v/>
      </c>
      <c r="P90">
        <f>IFERROR($C90*INDEX(SPPR!$E:$X,MATCH($A90,SPPR!$A:$A,0),13),"")</f>
        <v/>
      </c>
      <c r="Q90">
        <f>IFERROR($C90*INDEX(SPPR!$E:$X,MATCH($A90,SPPR!$A:$A,0),14),"")</f>
        <v/>
      </c>
      <c r="R90">
        <f>IFERROR($C90*INDEX(SPPR!$E:$X,MATCH($A90,SPPR!$A:$A,0),15),"")</f>
        <v/>
      </c>
      <c r="S90">
        <f>IFERROR($C90*INDEX(SPPR!$E:$X,MATCH($A90,SPPR!$A:$A,0),16),"")</f>
        <v/>
      </c>
      <c r="T90">
        <f>IFERROR($C90*INDEX(SPPR!$E:$X,MATCH($A90,SPPR!$A:$A,0),17),"")</f>
        <v/>
      </c>
      <c r="U90">
        <f>IFERROR($C90*INDEX(SPPR!$E:$X,MATCH($A90,SPPR!$A:$A,0),18),"")</f>
        <v/>
      </c>
      <c r="V90">
        <f>IFERROR($C90*INDEX(SPPR!$E:$X,MATCH($A90,SPPR!$A:$A,0),19),"")</f>
        <v/>
      </c>
      <c r="W90">
        <f>IFERROR($C90*INDEX(SPPR!$E:$X,MATCH($A90,SPPR!$A:$A,0),20),"")</f>
        <v/>
      </c>
    </row>
    <row r="91">
      <c r="A91" t="inlineStr">
        <is>
          <t>Magallana gigas</t>
        </is>
      </c>
      <c r="B91">
        <f>IFERROR(INDEX(SPPR!$D:$D,MATCH($A91,SPPR!$A:$A,0)),"")</f>
        <v/>
      </c>
      <c r="C91">
        <f>IFERROR(INDEX(Catch!$E:$BV,MATCH($A91,Catch!$A:$A,0),MATCH($B$4,Catch!$E$1:$BV$1,0)),0)</f>
        <v/>
      </c>
      <c r="D91">
        <f>IFERROR($C91*INDEX(SPPR!$E:$X,MATCH($A91,SPPR!$A:$A,0),1),"")</f>
        <v/>
      </c>
      <c r="E91">
        <f>IFERROR($C91*INDEX(SPPR!$E:$X,MATCH($A91,SPPR!$A:$A,0),2),"")</f>
        <v/>
      </c>
      <c r="F91">
        <f>IFERROR($C91*INDEX(SPPR!$E:$X,MATCH($A91,SPPR!$A:$A,0),3),"")</f>
        <v/>
      </c>
      <c r="G91">
        <f>IFERROR($C91*INDEX(SPPR!$E:$X,MATCH($A91,SPPR!$A:$A,0),4),"")</f>
        <v/>
      </c>
      <c r="H91">
        <f>IFERROR($C91*INDEX(SPPR!$E:$X,MATCH($A91,SPPR!$A:$A,0),5),"")</f>
        <v/>
      </c>
      <c r="I91">
        <f>IFERROR($C91*INDEX(SPPR!$E:$X,MATCH($A91,SPPR!$A:$A,0),6),"")</f>
        <v/>
      </c>
      <c r="J91">
        <f>IFERROR($C91*INDEX(SPPR!$E:$X,MATCH($A91,SPPR!$A:$A,0),7),"")</f>
        <v/>
      </c>
      <c r="K91">
        <f>IFERROR($C91*INDEX(SPPR!$E:$X,MATCH($A91,SPPR!$A:$A,0),8),"")</f>
        <v/>
      </c>
      <c r="L91">
        <f>IFERROR($C91*INDEX(SPPR!$E:$X,MATCH($A91,SPPR!$A:$A,0),9),"")</f>
        <v/>
      </c>
      <c r="M91">
        <f>IFERROR($C91*INDEX(SPPR!$E:$X,MATCH($A91,SPPR!$A:$A,0),10),"")</f>
        <v/>
      </c>
      <c r="N91">
        <f>IFERROR($C91*INDEX(SPPR!$E:$X,MATCH($A91,SPPR!$A:$A,0),11),"")</f>
        <v/>
      </c>
      <c r="O91">
        <f>IFERROR($C91*INDEX(SPPR!$E:$X,MATCH($A91,SPPR!$A:$A,0),12),"")</f>
        <v/>
      </c>
      <c r="P91">
        <f>IFERROR($C91*INDEX(SPPR!$E:$X,MATCH($A91,SPPR!$A:$A,0),13),"")</f>
        <v/>
      </c>
      <c r="Q91">
        <f>IFERROR($C91*INDEX(SPPR!$E:$X,MATCH($A91,SPPR!$A:$A,0),14),"")</f>
        <v/>
      </c>
      <c r="R91">
        <f>IFERROR($C91*INDEX(SPPR!$E:$X,MATCH($A91,SPPR!$A:$A,0),15),"")</f>
        <v/>
      </c>
      <c r="S91">
        <f>IFERROR($C91*INDEX(SPPR!$E:$X,MATCH($A91,SPPR!$A:$A,0),16),"")</f>
        <v/>
      </c>
      <c r="T91">
        <f>IFERROR($C91*INDEX(SPPR!$E:$X,MATCH($A91,SPPR!$A:$A,0),17),"")</f>
        <v/>
      </c>
      <c r="U91">
        <f>IFERROR($C91*INDEX(SPPR!$E:$X,MATCH($A91,SPPR!$A:$A,0),18),"")</f>
        <v/>
      </c>
      <c r="V91">
        <f>IFERROR($C91*INDEX(SPPR!$E:$X,MATCH($A91,SPPR!$A:$A,0),19),"")</f>
        <v/>
      </c>
      <c r="W91">
        <f>IFERROR($C91*INDEX(SPPR!$E:$X,MATCH($A91,SPPR!$A:$A,0),20),"")</f>
        <v/>
      </c>
    </row>
    <row r="92">
      <c r="A92" t="inlineStr">
        <is>
          <t>Anadara</t>
        </is>
      </c>
      <c r="B92">
        <f>IFERROR(INDEX(SPPR!$D:$D,MATCH($A92,SPPR!$A:$A,0)),"")</f>
        <v/>
      </c>
      <c r="C92">
        <f>IFERROR(INDEX(Catch!$E:$BV,MATCH($A92,Catch!$A:$A,0),MATCH($B$4,Catch!$E$1:$BV$1,0)),0)</f>
        <v/>
      </c>
      <c r="D92">
        <f>IFERROR($C92*INDEX(SPPR!$E:$X,MATCH($A92,SPPR!$A:$A,0),1),"")</f>
        <v/>
      </c>
      <c r="E92">
        <f>IFERROR($C92*INDEX(SPPR!$E:$X,MATCH($A92,SPPR!$A:$A,0),2),"")</f>
        <v/>
      </c>
      <c r="F92">
        <f>IFERROR($C92*INDEX(SPPR!$E:$X,MATCH($A92,SPPR!$A:$A,0),3),"")</f>
        <v/>
      </c>
      <c r="G92">
        <f>IFERROR($C92*INDEX(SPPR!$E:$X,MATCH($A92,SPPR!$A:$A,0),4),"")</f>
        <v/>
      </c>
      <c r="H92">
        <f>IFERROR($C92*INDEX(SPPR!$E:$X,MATCH($A92,SPPR!$A:$A,0),5),"")</f>
        <v/>
      </c>
      <c r="I92">
        <f>IFERROR($C92*INDEX(SPPR!$E:$X,MATCH($A92,SPPR!$A:$A,0),6),"")</f>
        <v/>
      </c>
      <c r="J92">
        <f>IFERROR($C92*INDEX(SPPR!$E:$X,MATCH($A92,SPPR!$A:$A,0),7),"")</f>
        <v/>
      </c>
      <c r="K92">
        <f>IFERROR($C92*INDEX(SPPR!$E:$X,MATCH($A92,SPPR!$A:$A,0),8),"")</f>
        <v/>
      </c>
      <c r="L92">
        <f>IFERROR($C92*INDEX(SPPR!$E:$X,MATCH($A92,SPPR!$A:$A,0),9),"")</f>
        <v/>
      </c>
      <c r="M92">
        <f>IFERROR($C92*INDEX(SPPR!$E:$X,MATCH($A92,SPPR!$A:$A,0),10),"")</f>
        <v/>
      </c>
      <c r="N92">
        <f>IFERROR($C92*INDEX(SPPR!$E:$X,MATCH($A92,SPPR!$A:$A,0),11),"")</f>
        <v/>
      </c>
      <c r="O92">
        <f>IFERROR($C92*INDEX(SPPR!$E:$X,MATCH($A92,SPPR!$A:$A,0),12),"")</f>
        <v/>
      </c>
      <c r="P92">
        <f>IFERROR($C92*INDEX(SPPR!$E:$X,MATCH($A92,SPPR!$A:$A,0),13),"")</f>
        <v/>
      </c>
      <c r="Q92">
        <f>IFERROR($C92*INDEX(SPPR!$E:$X,MATCH($A92,SPPR!$A:$A,0),14),"")</f>
        <v/>
      </c>
      <c r="R92">
        <f>IFERROR($C92*INDEX(SPPR!$E:$X,MATCH($A92,SPPR!$A:$A,0),15),"")</f>
        <v/>
      </c>
      <c r="S92">
        <f>IFERROR($C92*INDEX(SPPR!$E:$X,MATCH($A92,SPPR!$A:$A,0),16),"")</f>
        <v/>
      </c>
      <c r="T92">
        <f>IFERROR($C92*INDEX(SPPR!$E:$X,MATCH($A92,SPPR!$A:$A,0),17),"")</f>
        <v/>
      </c>
      <c r="U92">
        <f>IFERROR($C92*INDEX(SPPR!$E:$X,MATCH($A92,SPPR!$A:$A,0),18),"")</f>
        <v/>
      </c>
      <c r="V92">
        <f>IFERROR($C92*INDEX(SPPR!$E:$X,MATCH($A92,SPPR!$A:$A,0),19),"")</f>
        <v/>
      </c>
      <c r="W92">
        <f>IFERROR($C92*INDEX(SPPR!$E:$X,MATCH($A92,SPPR!$A:$A,0),20),"")</f>
        <v/>
      </c>
    </row>
    <row r="93">
      <c r="A93" t="inlineStr">
        <is>
          <t>Echinoidea</t>
        </is>
      </c>
      <c r="B93">
        <f>IFERROR(INDEX(SPPR!$D:$D,MATCH($A93,SPPR!$A:$A,0)),"")</f>
        <v/>
      </c>
      <c r="C93">
        <f>IFERROR(INDEX(Catch!$E:$BV,MATCH($A93,Catch!$A:$A,0),MATCH($B$4,Catch!$E$1:$BV$1,0)),0)</f>
        <v/>
      </c>
      <c r="D93">
        <f>IFERROR($C93*INDEX(SPPR!$E:$X,MATCH($A93,SPPR!$A:$A,0),1),"")</f>
        <v/>
      </c>
      <c r="E93">
        <f>IFERROR($C93*INDEX(SPPR!$E:$X,MATCH($A93,SPPR!$A:$A,0),2),"")</f>
        <v/>
      </c>
      <c r="F93">
        <f>IFERROR($C93*INDEX(SPPR!$E:$X,MATCH($A93,SPPR!$A:$A,0),3),"")</f>
        <v/>
      </c>
      <c r="G93">
        <f>IFERROR($C93*INDEX(SPPR!$E:$X,MATCH($A93,SPPR!$A:$A,0),4),"")</f>
        <v/>
      </c>
      <c r="H93">
        <f>IFERROR($C93*INDEX(SPPR!$E:$X,MATCH($A93,SPPR!$A:$A,0),5),"")</f>
        <v/>
      </c>
      <c r="I93">
        <f>IFERROR($C93*INDEX(SPPR!$E:$X,MATCH($A93,SPPR!$A:$A,0),6),"")</f>
        <v/>
      </c>
      <c r="J93">
        <f>IFERROR($C93*INDEX(SPPR!$E:$X,MATCH($A93,SPPR!$A:$A,0),7),"")</f>
        <v/>
      </c>
      <c r="K93">
        <f>IFERROR($C93*INDEX(SPPR!$E:$X,MATCH($A93,SPPR!$A:$A,0),8),"")</f>
        <v/>
      </c>
      <c r="L93">
        <f>IFERROR($C93*INDEX(SPPR!$E:$X,MATCH($A93,SPPR!$A:$A,0),9),"")</f>
        <v/>
      </c>
      <c r="M93">
        <f>IFERROR($C93*INDEX(SPPR!$E:$X,MATCH($A93,SPPR!$A:$A,0),10),"")</f>
        <v/>
      </c>
      <c r="N93">
        <f>IFERROR($C93*INDEX(SPPR!$E:$X,MATCH($A93,SPPR!$A:$A,0),11),"")</f>
        <v/>
      </c>
      <c r="O93">
        <f>IFERROR($C93*INDEX(SPPR!$E:$X,MATCH($A93,SPPR!$A:$A,0),12),"")</f>
        <v/>
      </c>
      <c r="P93">
        <f>IFERROR($C93*INDEX(SPPR!$E:$X,MATCH($A93,SPPR!$A:$A,0),13),"")</f>
        <v/>
      </c>
      <c r="Q93">
        <f>IFERROR($C93*INDEX(SPPR!$E:$X,MATCH($A93,SPPR!$A:$A,0),14),"")</f>
        <v/>
      </c>
      <c r="R93">
        <f>IFERROR($C93*INDEX(SPPR!$E:$X,MATCH($A93,SPPR!$A:$A,0),15),"")</f>
        <v/>
      </c>
      <c r="S93">
        <f>IFERROR($C93*INDEX(SPPR!$E:$X,MATCH($A93,SPPR!$A:$A,0),16),"")</f>
        <v/>
      </c>
      <c r="T93">
        <f>IFERROR($C93*INDEX(SPPR!$E:$X,MATCH($A93,SPPR!$A:$A,0),17),"")</f>
        <v/>
      </c>
      <c r="U93">
        <f>IFERROR($C93*INDEX(SPPR!$E:$X,MATCH($A93,SPPR!$A:$A,0),18),"")</f>
        <v/>
      </c>
      <c r="V93">
        <f>IFERROR($C93*INDEX(SPPR!$E:$X,MATCH($A93,SPPR!$A:$A,0),19),"")</f>
        <v/>
      </c>
      <c r="W93">
        <f>IFERROR($C93*INDEX(SPPR!$E:$X,MATCH($A93,SPPR!$A:$A,0),20),"")</f>
        <v/>
      </c>
    </row>
    <row r="94">
      <c r="A94" t="inlineStr">
        <is>
          <t>Decapterus maruadsi</t>
        </is>
      </c>
      <c r="B94">
        <f>IFERROR(INDEX(SPPR!$D:$D,MATCH($A94,SPPR!$A:$A,0)),"")</f>
        <v/>
      </c>
      <c r="C94">
        <f>IFERROR(INDEX(Catch!$E:$BV,MATCH($A94,Catch!$A:$A,0),MATCH($B$4,Catch!$E$1:$BV$1,0)),0)</f>
        <v/>
      </c>
      <c r="D94">
        <f>IFERROR($C94*INDEX(SPPR!$E:$X,MATCH($A94,SPPR!$A:$A,0),1),"")</f>
        <v/>
      </c>
      <c r="E94">
        <f>IFERROR($C94*INDEX(SPPR!$E:$X,MATCH($A94,SPPR!$A:$A,0),2),"")</f>
        <v/>
      </c>
      <c r="F94">
        <f>IFERROR($C94*INDEX(SPPR!$E:$X,MATCH($A94,SPPR!$A:$A,0),3),"")</f>
        <v/>
      </c>
      <c r="G94">
        <f>IFERROR($C94*INDEX(SPPR!$E:$X,MATCH($A94,SPPR!$A:$A,0),4),"")</f>
        <v/>
      </c>
      <c r="H94">
        <f>IFERROR($C94*INDEX(SPPR!$E:$X,MATCH($A94,SPPR!$A:$A,0),5),"")</f>
        <v/>
      </c>
      <c r="I94">
        <f>IFERROR($C94*INDEX(SPPR!$E:$X,MATCH($A94,SPPR!$A:$A,0),6),"")</f>
        <v/>
      </c>
      <c r="J94">
        <f>IFERROR($C94*INDEX(SPPR!$E:$X,MATCH($A94,SPPR!$A:$A,0),7),"")</f>
        <v/>
      </c>
      <c r="K94">
        <f>IFERROR($C94*INDEX(SPPR!$E:$X,MATCH($A94,SPPR!$A:$A,0),8),"")</f>
        <v/>
      </c>
      <c r="L94">
        <f>IFERROR($C94*INDEX(SPPR!$E:$X,MATCH($A94,SPPR!$A:$A,0),9),"")</f>
        <v/>
      </c>
      <c r="M94">
        <f>IFERROR($C94*INDEX(SPPR!$E:$X,MATCH($A94,SPPR!$A:$A,0),10),"")</f>
        <v/>
      </c>
      <c r="N94">
        <f>IFERROR($C94*INDEX(SPPR!$E:$X,MATCH($A94,SPPR!$A:$A,0),11),"")</f>
        <v/>
      </c>
      <c r="O94">
        <f>IFERROR($C94*INDEX(SPPR!$E:$X,MATCH($A94,SPPR!$A:$A,0),12),"")</f>
        <v/>
      </c>
      <c r="P94">
        <f>IFERROR($C94*INDEX(SPPR!$E:$X,MATCH($A94,SPPR!$A:$A,0),13),"")</f>
        <v/>
      </c>
      <c r="Q94">
        <f>IFERROR($C94*INDEX(SPPR!$E:$X,MATCH($A94,SPPR!$A:$A,0),14),"")</f>
        <v/>
      </c>
      <c r="R94">
        <f>IFERROR($C94*INDEX(SPPR!$E:$X,MATCH($A94,SPPR!$A:$A,0),15),"")</f>
        <v/>
      </c>
      <c r="S94">
        <f>IFERROR($C94*INDEX(SPPR!$E:$X,MATCH($A94,SPPR!$A:$A,0),16),"")</f>
        <v/>
      </c>
      <c r="T94">
        <f>IFERROR($C94*INDEX(SPPR!$E:$X,MATCH($A94,SPPR!$A:$A,0),17),"")</f>
        <v/>
      </c>
      <c r="U94">
        <f>IFERROR($C94*INDEX(SPPR!$E:$X,MATCH($A94,SPPR!$A:$A,0),18),"")</f>
        <v/>
      </c>
      <c r="V94">
        <f>IFERROR($C94*INDEX(SPPR!$E:$X,MATCH($A94,SPPR!$A:$A,0),19),"")</f>
        <v/>
      </c>
      <c r="W94">
        <f>IFERROR($C94*INDEX(SPPR!$E:$X,MATCH($A94,SPPR!$A:$A,0),20),"")</f>
        <v/>
      </c>
    </row>
    <row r="95">
      <c r="A95" t="inlineStr">
        <is>
          <t>Lateolabrax japonicus</t>
        </is>
      </c>
      <c r="B95">
        <f>IFERROR(INDEX(SPPR!$D:$D,MATCH($A95,SPPR!$A:$A,0)),"")</f>
        <v/>
      </c>
      <c r="C95">
        <f>IFERROR(INDEX(Catch!$E:$BV,MATCH($A95,Catch!$A:$A,0),MATCH($B$4,Catch!$E$1:$BV$1,0)),0)</f>
        <v/>
      </c>
      <c r="D95">
        <f>IFERROR($C95*INDEX(SPPR!$E:$X,MATCH($A95,SPPR!$A:$A,0),1),"")</f>
        <v/>
      </c>
      <c r="E95">
        <f>IFERROR($C95*INDEX(SPPR!$E:$X,MATCH($A95,SPPR!$A:$A,0),2),"")</f>
        <v/>
      </c>
      <c r="F95">
        <f>IFERROR($C95*INDEX(SPPR!$E:$X,MATCH($A95,SPPR!$A:$A,0),3),"")</f>
        <v/>
      </c>
      <c r="G95">
        <f>IFERROR($C95*INDEX(SPPR!$E:$X,MATCH($A95,SPPR!$A:$A,0),4),"")</f>
        <v/>
      </c>
      <c r="H95">
        <f>IFERROR($C95*INDEX(SPPR!$E:$X,MATCH($A95,SPPR!$A:$A,0),5),"")</f>
        <v/>
      </c>
      <c r="I95">
        <f>IFERROR($C95*INDEX(SPPR!$E:$X,MATCH($A95,SPPR!$A:$A,0),6),"")</f>
        <v/>
      </c>
      <c r="J95">
        <f>IFERROR($C95*INDEX(SPPR!$E:$X,MATCH($A95,SPPR!$A:$A,0),7),"")</f>
        <v/>
      </c>
      <c r="K95">
        <f>IFERROR($C95*INDEX(SPPR!$E:$X,MATCH($A95,SPPR!$A:$A,0),8),"")</f>
        <v/>
      </c>
      <c r="L95">
        <f>IFERROR($C95*INDEX(SPPR!$E:$X,MATCH($A95,SPPR!$A:$A,0),9),"")</f>
        <v/>
      </c>
      <c r="M95">
        <f>IFERROR($C95*INDEX(SPPR!$E:$X,MATCH($A95,SPPR!$A:$A,0),10),"")</f>
        <v/>
      </c>
      <c r="N95">
        <f>IFERROR($C95*INDEX(SPPR!$E:$X,MATCH($A95,SPPR!$A:$A,0),11),"")</f>
        <v/>
      </c>
      <c r="O95">
        <f>IFERROR($C95*INDEX(SPPR!$E:$X,MATCH($A95,SPPR!$A:$A,0),12),"")</f>
        <v/>
      </c>
      <c r="P95">
        <f>IFERROR($C95*INDEX(SPPR!$E:$X,MATCH($A95,SPPR!$A:$A,0),13),"")</f>
        <v/>
      </c>
      <c r="Q95">
        <f>IFERROR($C95*INDEX(SPPR!$E:$X,MATCH($A95,SPPR!$A:$A,0),14),"")</f>
        <v/>
      </c>
      <c r="R95">
        <f>IFERROR($C95*INDEX(SPPR!$E:$X,MATCH($A95,SPPR!$A:$A,0),15),"")</f>
        <v/>
      </c>
      <c r="S95">
        <f>IFERROR($C95*INDEX(SPPR!$E:$X,MATCH($A95,SPPR!$A:$A,0),16),"")</f>
        <v/>
      </c>
      <c r="T95">
        <f>IFERROR($C95*INDEX(SPPR!$E:$X,MATCH($A95,SPPR!$A:$A,0),17),"")</f>
        <v/>
      </c>
      <c r="U95">
        <f>IFERROR($C95*INDEX(SPPR!$E:$X,MATCH($A95,SPPR!$A:$A,0),18),"")</f>
        <v/>
      </c>
      <c r="V95">
        <f>IFERROR($C95*INDEX(SPPR!$E:$X,MATCH($A95,SPPR!$A:$A,0),19),"")</f>
        <v/>
      </c>
      <c r="W95">
        <f>IFERROR($C95*INDEX(SPPR!$E:$X,MATCH($A95,SPPR!$A:$A,0),20),"")</f>
        <v/>
      </c>
    </row>
    <row r="96">
      <c r="A96" t="inlineStr">
        <is>
          <t>Priacanthus macracanthus</t>
        </is>
      </c>
      <c r="B96">
        <f>IFERROR(INDEX(SPPR!$D:$D,MATCH($A96,SPPR!$A:$A,0)),"")</f>
        <v/>
      </c>
      <c r="C96">
        <f>IFERROR(INDEX(Catch!$E:$BV,MATCH($A96,Catch!$A:$A,0),MATCH($B$4,Catch!$E$1:$BV$1,0)),0)</f>
        <v/>
      </c>
      <c r="D96">
        <f>IFERROR($C96*INDEX(SPPR!$E:$X,MATCH($A96,SPPR!$A:$A,0),1),"")</f>
        <v/>
      </c>
      <c r="E96">
        <f>IFERROR($C96*INDEX(SPPR!$E:$X,MATCH($A96,SPPR!$A:$A,0),2),"")</f>
        <v/>
      </c>
      <c r="F96">
        <f>IFERROR($C96*INDEX(SPPR!$E:$X,MATCH($A96,SPPR!$A:$A,0),3),"")</f>
        <v/>
      </c>
      <c r="G96">
        <f>IFERROR($C96*INDEX(SPPR!$E:$X,MATCH($A96,SPPR!$A:$A,0),4),"")</f>
        <v/>
      </c>
      <c r="H96">
        <f>IFERROR($C96*INDEX(SPPR!$E:$X,MATCH($A96,SPPR!$A:$A,0),5),"")</f>
        <v/>
      </c>
      <c r="I96">
        <f>IFERROR($C96*INDEX(SPPR!$E:$X,MATCH($A96,SPPR!$A:$A,0),6),"")</f>
        <v/>
      </c>
      <c r="J96">
        <f>IFERROR($C96*INDEX(SPPR!$E:$X,MATCH($A96,SPPR!$A:$A,0),7),"")</f>
        <v/>
      </c>
      <c r="K96">
        <f>IFERROR($C96*INDEX(SPPR!$E:$X,MATCH($A96,SPPR!$A:$A,0),8),"")</f>
        <v/>
      </c>
      <c r="L96">
        <f>IFERROR($C96*INDEX(SPPR!$E:$X,MATCH($A96,SPPR!$A:$A,0),9),"")</f>
        <v/>
      </c>
      <c r="M96">
        <f>IFERROR($C96*INDEX(SPPR!$E:$X,MATCH($A96,SPPR!$A:$A,0),10),"")</f>
        <v/>
      </c>
      <c r="N96">
        <f>IFERROR($C96*INDEX(SPPR!$E:$X,MATCH($A96,SPPR!$A:$A,0),11),"")</f>
        <v/>
      </c>
      <c r="O96">
        <f>IFERROR($C96*INDEX(SPPR!$E:$X,MATCH($A96,SPPR!$A:$A,0),12),"")</f>
        <v/>
      </c>
      <c r="P96">
        <f>IFERROR($C96*INDEX(SPPR!$E:$X,MATCH($A96,SPPR!$A:$A,0),13),"")</f>
        <v/>
      </c>
      <c r="Q96">
        <f>IFERROR($C96*INDEX(SPPR!$E:$X,MATCH($A96,SPPR!$A:$A,0),14),"")</f>
        <v/>
      </c>
      <c r="R96">
        <f>IFERROR($C96*INDEX(SPPR!$E:$X,MATCH($A96,SPPR!$A:$A,0),15),"")</f>
        <v/>
      </c>
      <c r="S96">
        <f>IFERROR($C96*INDEX(SPPR!$E:$X,MATCH($A96,SPPR!$A:$A,0),16),"")</f>
        <v/>
      </c>
      <c r="T96">
        <f>IFERROR($C96*INDEX(SPPR!$E:$X,MATCH($A96,SPPR!$A:$A,0),17),"")</f>
        <v/>
      </c>
      <c r="U96">
        <f>IFERROR($C96*INDEX(SPPR!$E:$X,MATCH($A96,SPPR!$A:$A,0),18),"")</f>
        <v/>
      </c>
      <c r="V96">
        <f>IFERROR($C96*INDEX(SPPR!$E:$X,MATCH($A96,SPPR!$A:$A,0),19),"")</f>
        <v/>
      </c>
      <c r="W96">
        <f>IFERROR($C96*INDEX(SPPR!$E:$X,MATCH($A96,SPPR!$A:$A,0),20),"")</f>
        <v/>
      </c>
    </row>
    <row r="97">
      <c r="A97" t="inlineStr">
        <is>
          <t>Exocoetidae</t>
        </is>
      </c>
      <c r="B97">
        <f>IFERROR(INDEX(SPPR!$D:$D,MATCH($A97,SPPR!$A:$A,0)),"")</f>
        <v/>
      </c>
      <c r="C97">
        <f>IFERROR(INDEX(Catch!$E:$BV,MATCH($A97,Catch!$A:$A,0),MATCH($B$4,Catch!$E$1:$BV$1,0)),0)</f>
        <v/>
      </c>
      <c r="D97">
        <f>IFERROR($C97*INDEX(SPPR!$E:$X,MATCH($A97,SPPR!$A:$A,0),1),"")</f>
        <v/>
      </c>
      <c r="E97">
        <f>IFERROR($C97*INDEX(SPPR!$E:$X,MATCH($A97,SPPR!$A:$A,0),2),"")</f>
        <v/>
      </c>
      <c r="F97">
        <f>IFERROR($C97*INDEX(SPPR!$E:$X,MATCH($A97,SPPR!$A:$A,0),3),"")</f>
        <v/>
      </c>
      <c r="G97">
        <f>IFERROR($C97*INDEX(SPPR!$E:$X,MATCH($A97,SPPR!$A:$A,0),4),"")</f>
        <v/>
      </c>
      <c r="H97">
        <f>IFERROR($C97*INDEX(SPPR!$E:$X,MATCH($A97,SPPR!$A:$A,0),5),"")</f>
        <v/>
      </c>
      <c r="I97">
        <f>IFERROR($C97*INDEX(SPPR!$E:$X,MATCH($A97,SPPR!$A:$A,0),6),"")</f>
        <v/>
      </c>
      <c r="J97">
        <f>IFERROR($C97*INDEX(SPPR!$E:$X,MATCH($A97,SPPR!$A:$A,0),7),"")</f>
        <v/>
      </c>
      <c r="K97">
        <f>IFERROR($C97*INDEX(SPPR!$E:$X,MATCH($A97,SPPR!$A:$A,0),8),"")</f>
        <v/>
      </c>
      <c r="L97">
        <f>IFERROR($C97*INDEX(SPPR!$E:$X,MATCH($A97,SPPR!$A:$A,0),9),"")</f>
        <v/>
      </c>
      <c r="M97">
        <f>IFERROR($C97*INDEX(SPPR!$E:$X,MATCH($A97,SPPR!$A:$A,0),10),"")</f>
        <v/>
      </c>
      <c r="N97">
        <f>IFERROR($C97*INDEX(SPPR!$E:$X,MATCH($A97,SPPR!$A:$A,0),11),"")</f>
        <v/>
      </c>
      <c r="O97">
        <f>IFERROR($C97*INDEX(SPPR!$E:$X,MATCH($A97,SPPR!$A:$A,0),12),"")</f>
        <v/>
      </c>
      <c r="P97">
        <f>IFERROR($C97*INDEX(SPPR!$E:$X,MATCH($A97,SPPR!$A:$A,0),13),"")</f>
        <v/>
      </c>
      <c r="Q97">
        <f>IFERROR($C97*INDEX(SPPR!$E:$X,MATCH($A97,SPPR!$A:$A,0),14),"")</f>
        <v/>
      </c>
      <c r="R97">
        <f>IFERROR($C97*INDEX(SPPR!$E:$X,MATCH($A97,SPPR!$A:$A,0),15),"")</f>
        <v/>
      </c>
      <c r="S97">
        <f>IFERROR($C97*INDEX(SPPR!$E:$X,MATCH($A97,SPPR!$A:$A,0),16),"")</f>
        <v/>
      </c>
      <c r="T97">
        <f>IFERROR($C97*INDEX(SPPR!$E:$X,MATCH($A97,SPPR!$A:$A,0),17),"")</f>
        <v/>
      </c>
      <c r="U97">
        <f>IFERROR($C97*INDEX(SPPR!$E:$X,MATCH($A97,SPPR!$A:$A,0),18),"")</f>
        <v/>
      </c>
      <c r="V97">
        <f>IFERROR($C97*INDEX(SPPR!$E:$X,MATCH($A97,SPPR!$A:$A,0),19),"")</f>
        <v/>
      </c>
      <c r="W97">
        <f>IFERROR($C97*INDEX(SPPR!$E:$X,MATCH($A97,SPPR!$A:$A,0),20),"")</f>
        <v/>
      </c>
    </row>
    <row r="98">
      <c r="A98" t="inlineStr">
        <is>
          <t>Scomber australasicus</t>
        </is>
      </c>
      <c r="B98">
        <f>IFERROR(INDEX(SPPR!$D:$D,MATCH($A98,SPPR!$A:$A,0)),"")</f>
        <v/>
      </c>
      <c r="C98">
        <f>IFERROR(INDEX(Catch!$E:$BV,MATCH($A98,Catch!$A:$A,0),MATCH($B$4,Catch!$E$1:$BV$1,0)),0)</f>
        <v/>
      </c>
      <c r="D98">
        <f>IFERROR($C98*INDEX(SPPR!$E:$X,MATCH($A98,SPPR!$A:$A,0),1),"")</f>
        <v/>
      </c>
      <c r="E98">
        <f>IFERROR($C98*INDEX(SPPR!$E:$X,MATCH($A98,SPPR!$A:$A,0),2),"")</f>
        <v/>
      </c>
      <c r="F98">
        <f>IFERROR($C98*INDEX(SPPR!$E:$X,MATCH($A98,SPPR!$A:$A,0),3),"")</f>
        <v/>
      </c>
      <c r="G98">
        <f>IFERROR($C98*INDEX(SPPR!$E:$X,MATCH($A98,SPPR!$A:$A,0),4),"")</f>
        <v/>
      </c>
      <c r="H98">
        <f>IFERROR($C98*INDEX(SPPR!$E:$X,MATCH($A98,SPPR!$A:$A,0),5),"")</f>
        <v/>
      </c>
      <c r="I98">
        <f>IFERROR($C98*INDEX(SPPR!$E:$X,MATCH($A98,SPPR!$A:$A,0),6),"")</f>
        <v/>
      </c>
      <c r="J98">
        <f>IFERROR($C98*INDEX(SPPR!$E:$X,MATCH($A98,SPPR!$A:$A,0),7),"")</f>
        <v/>
      </c>
      <c r="K98">
        <f>IFERROR($C98*INDEX(SPPR!$E:$X,MATCH($A98,SPPR!$A:$A,0),8),"")</f>
        <v/>
      </c>
      <c r="L98">
        <f>IFERROR($C98*INDEX(SPPR!$E:$X,MATCH($A98,SPPR!$A:$A,0),9),"")</f>
        <v/>
      </c>
      <c r="M98">
        <f>IFERROR($C98*INDEX(SPPR!$E:$X,MATCH($A98,SPPR!$A:$A,0),10),"")</f>
        <v/>
      </c>
      <c r="N98">
        <f>IFERROR($C98*INDEX(SPPR!$E:$X,MATCH($A98,SPPR!$A:$A,0),11),"")</f>
        <v/>
      </c>
      <c r="O98">
        <f>IFERROR($C98*INDEX(SPPR!$E:$X,MATCH($A98,SPPR!$A:$A,0),12),"")</f>
        <v/>
      </c>
      <c r="P98">
        <f>IFERROR($C98*INDEX(SPPR!$E:$X,MATCH($A98,SPPR!$A:$A,0),13),"")</f>
        <v/>
      </c>
      <c r="Q98">
        <f>IFERROR($C98*INDEX(SPPR!$E:$X,MATCH($A98,SPPR!$A:$A,0),14),"")</f>
        <v/>
      </c>
      <c r="R98">
        <f>IFERROR($C98*INDEX(SPPR!$E:$X,MATCH($A98,SPPR!$A:$A,0),15),"")</f>
        <v/>
      </c>
      <c r="S98">
        <f>IFERROR($C98*INDEX(SPPR!$E:$X,MATCH($A98,SPPR!$A:$A,0),16),"")</f>
        <v/>
      </c>
      <c r="T98">
        <f>IFERROR($C98*INDEX(SPPR!$E:$X,MATCH($A98,SPPR!$A:$A,0),17),"")</f>
        <v/>
      </c>
      <c r="U98">
        <f>IFERROR($C98*INDEX(SPPR!$E:$X,MATCH($A98,SPPR!$A:$A,0),18),"")</f>
        <v/>
      </c>
      <c r="V98">
        <f>IFERROR($C98*INDEX(SPPR!$E:$X,MATCH($A98,SPPR!$A:$A,0),19),"")</f>
        <v/>
      </c>
      <c r="W98">
        <f>IFERROR($C98*INDEX(SPPR!$E:$X,MATCH($A98,SPPR!$A:$A,0),20),"")</f>
        <v/>
      </c>
    </row>
    <row r="99">
      <c r="A99" t="inlineStr">
        <is>
          <t>Mytilus coruscus</t>
        </is>
      </c>
      <c r="B99">
        <f>IFERROR(INDEX(SPPR!$D:$D,MATCH($A99,SPPR!$A:$A,0)),"")</f>
        <v/>
      </c>
      <c r="C99">
        <f>IFERROR(INDEX(Catch!$E:$BV,MATCH($A99,Catch!$A:$A,0),MATCH($B$4,Catch!$E$1:$BV$1,0)),0)</f>
        <v/>
      </c>
      <c r="D99">
        <f>IFERROR($C99*INDEX(SPPR!$E:$X,MATCH($A99,SPPR!$A:$A,0),1),"")</f>
        <v/>
      </c>
      <c r="E99">
        <f>IFERROR($C99*INDEX(SPPR!$E:$X,MATCH($A99,SPPR!$A:$A,0),2),"")</f>
        <v/>
      </c>
      <c r="F99">
        <f>IFERROR($C99*INDEX(SPPR!$E:$X,MATCH($A99,SPPR!$A:$A,0),3),"")</f>
        <v/>
      </c>
      <c r="G99">
        <f>IFERROR($C99*INDEX(SPPR!$E:$X,MATCH($A99,SPPR!$A:$A,0),4),"")</f>
        <v/>
      </c>
      <c r="H99">
        <f>IFERROR($C99*INDEX(SPPR!$E:$X,MATCH($A99,SPPR!$A:$A,0),5),"")</f>
        <v/>
      </c>
      <c r="I99">
        <f>IFERROR($C99*INDEX(SPPR!$E:$X,MATCH($A99,SPPR!$A:$A,0),6),"")</f>
        <v/>
      </c>
      <c r="J99">
        <f>IFERROR($C99*INDEX(SPPR!$E:$X,MATCH($A99,SPPR!$A:$A,0),7),"")</f>
        <v/>
      </c>
      <c r="K99">
        <f>IFERROR($C99*INDEX(SPPR!$E:$X,MATCH($A99,SPPR!$A:$A,0),8),"")</f>
        <v/>
      </c>
      <c r="L99">
        <f>IFERROR($C99*INDEX(SPPR!$E:$X,MATCH($A99,SPPR!$A:$A,0),9),"")</f>
        <v/>
      </c>
      <c r="M99">
        <f>IFERROR($C99*INDEX(SPPR!$E:$X,MATCH($A99,SPPR!$A:$A,0),10),"")</f>
        <v/>
      </c>
      <c r="N99">
        <f>IFERROR($C99*INDEX(SPPR!$E:$X,MATCH($A99,SPPR!$A:$A,0),11),"")</f>
        <v/>
      </c>
      <c r="O99">
        <f>IFERROR($C99*INDEX(SPPR!$E:$X,MATCH($A99,SPPR!$A:$A,0),12),"")</f>
        <v/>
      </c>
      <c r="P99">
        <f>IFERROR($C99*INDEX(SPPR!$E:$X,MATCH($A99,SPPR!$A:$A,0),13),"")</f>
        <v/>
      </c>
      <c r="Q99">
        <f>IFERROR($C99*INDEX(SPPR!$E:$X,MATCH($A99,SPPR!$A:$A,0),14),"")</f>
        <v/>
      </c>
      <c r="R99">
        <f>IFERROR($C99*INDEX(SPPR!$E:$X,MATCH($A99,SPPR!$A:$A,0),15),"")</f>
        <v/>
      </c>
      <c r="S99">
        <f>IFERROR($C99*INDEX(SPPR!$E:$X,MATCH($A99,SPPR!$A:$A,0),16),"")</f>
        <v/>
      </c>
      <c r="T99">
        <f>IFERROR($C99*INDEX(SPPR!$E:$X,MATCH($A99,SPPR!$A:$A,0),17),"")</f>
        <v/>
      </c>
      <c r="U99">
        <f>IFERROR($C99*INDEX(SPPR!$E:$X,MATCH($A99,SPPR!$A:$A,0),18),"")</f>
        <v/>
      </c>
      <c r="V99">
        <f>IFERROR($C99*INDEX(SPPR!$E:$X,MATCH($A99,SPPR!$A:$A,0),19),"")</f>
        <v/>
      </c>
      <c r="W99">
        <f>IFERROR($C99*INDEX(SPPR!$E:$X,MATCH($A99,SPPR!$A:$A,0),20),"")</f>
        <v/>
      </c>
    </row>
    <row r="100">
      <c r="A100" t="inlineStr">
        <is>
          <t>Atrobucca nibe</t>
        </is>
      </c>
      <c r="B100">
        <f>IFERROR(INDEX(SPPR!$D:$D,MATCH($A100,SPPR!$A:$A,0)),"")</f>
        <v/>
      </c>
      <c r="C100">
        <f>IFERROR(INDEX(Catch!$E:$BV,MATCH($A100,Catch!$A:$A,0),MATCH($B$4,Catch!$E$1:$BV$1,0)),0)</f>
        <v/>
      </c>
      <c r="D100">
        <f>IFERROR($C100*INDEX(SPPR!$E:$X,MATCH($A100,SPPR!$A:$A,0),1),"")</f>
        <v/>
      </c>
      <c r="E100">
        <f>IFERROR($C100*INDEX(SPPR!$E:$X,MATCH($A100,SPPR!$A:$A,0),2),"")</f>
        <v/>
      </c>
      <c r="F100">
        <f>IFERROR($C100*INDEX(SPPR!$E:$X,MATCH($A100,SPPR!$A:$A,0),3),"")</f>
        <v/>
      </c>
      <c r="G100">
        <f>IFERROR($C100*INDEX(SPPR!$E:$X,MATCH($A100,SPPR!$A:$A,0),4),"")</f>
        <v/>
      </c>
      <c r="H100">
        <f>IFERROR($C100*INDEX(SPPR!$E:$X,MATCH($A100,SPPR!$A:$A,0),5),"")</f>
        <v/>
      </c>
      <c r="I100">
        <f>IFERROR($C100*INDEX(SPPR!$E:$X,MATCH($A100,SPPR!$A:$A,0),6),"")</f>
        <v/>
      </c>
      <c r="J100">
        <f>IFERROR($C100*INDEX(SPPR!$E:$X,MATCH($A100,SPPR!$A:$A,0),7),"")</f>
        <v/>
      </c>
      <c r="K100">
        <f>IFERROR($C100*INDEX(SPPR!$E:$X,MATCH($A100,SPPR!$A:$A,0),8),"")</f>
        <v/>
      </c>
      <c r="L100">
        <f>IFERROR($C100*INDEX(SPPR!$E:$X,MATCH($A100,SPPR!$A:$A,0),9),"")</f>
        <v/>
      </c>
      <c r="M100">
        <f>IFERROR($C100*INDEX(SPPR!$E:$X,MATCH($A100,SPPR!$A:$A,0),10),"")</f>
        <v/>
      </c>
      <c r="N100">
        <f>IFERROR($C100*INDEX(SPPR!$E:$X,MATCH($A100,SPPR!$A:$A,0),11),"")</f>
        <v/>
      </c>
      <c r="O100">
        <f>IFERROR($C100*INDEX(SPPR!$E:$X,MATCH($A100,SPPR!$A:$A,0),12),"")</f>
        <v/>
      </c>
      <c r="P100">
        <f>IFERROR($C100*INDEX(SPPR!$E:$X,MATCH($A100,SPPR!$A:$A,0),13),"")</f>
        <v/>
      </c>
      <c r="Q100">
        <f>IFERROR($C100*INDEX(SPPR!$E:$X,MATCH($A100,SPPR!$A:$A,0),14),"")</f>
        <v/>
      </c>
      <c r="R100">
        <f>IFERROR($C100*INDEX(SPPR!$E:$X,MATCH($A100,SPPR!$A:$A,0),15),"")</f>
        <v/>
      </c>
      <c r="S100">
        <f>IFERROR($C100*INDEX(SPPR!$E:$X,MATCH($A100,SPPR!$A:$A,0),16),"")</f>
        <v/>
      </c>
      <c r="T100">
        <f>IFERROR($C100*INDEX(SPPR!$E:$X,MATCH($A100,SPPR!$A:$A,0),17),"")</f>
        <v/>
      </c>
      <c r="U100">
        <f>IFERROR($C100*INDEX(SPPR!$E:$X,MATCH($A100,SPPR!$A:$A,0),18),"")</f>
        <v/>
      </c>
      <c r="V100">
        <f>IFERROR($C100*INDEX(SPPR!$E:$X,MATCH($A100,SPPR!$A:$A,0),19),"")</f>
        <v/>
      </c>
      <c r="W100">
        <f>IFERROR($C100*INDEX(SPPR!$E:$X,MATCH($A100,SPPR!$A:$A,0),20),"")</f>
        <v/>
      </c>
    </row>
    <row r="101">
      <c r="A101" t="inlineStr">
        <is>
          <t>Spratelloides gracilis</t>
        </is>
      </c>
      <c r="B101">
        <f>IFERROR(INDEX(SPPR!$D:$D,MATCH($A101,SPPR!$A:$A,0)),"")</f>
        <v/>
      </c>
      <c r="C101">
        <f>IFERROR(INDEX(Catch!$E:$BV,MATCH($A101,Catch!$A:$A,0),MATCH($B$4,Catch!$E$1:$BV$1,0)),0)</f>
        <v/>
      </c>
      <c r="D101">
        <f>IFERROR($C101*INDEX(SPPR!$E:$X,MATCH($A101,SPPR!$A:$A,0),1),"")</f>
        <v/>
      </c>
      <c r="E101">
        <f>IFERROR($C101*INDEX(SPPR!$E:$X,MATCH($A101,SPPR!$A:$A,0),2),"")</f>
        <v/>
      </c>
      <c r="F101">
        <f>IFERROR($C101*INDEX(SPPR!$E:$X,MATCH($A101,SPPR!$A:$A,0),3),"")</f>
        <v/>
      </c>
      <c r="G101">
        <f>IFERROR($C101*INDEX(SPPR!$E:$X,MATCH($A101,SPPR!$A:$A,0),4),"")</f>
        <v/>
      </c>
      <c r="H101">
        <f>IFERROR($C101*INDEX(SPPR!$E:$X,MATCH($A101,SPPR!$A:$A,0),5),"")</f>
        <v/>
      </c>
      <c r="I101">
        <f>IFERROR($C101*INDEX(SPPR!$E:$X,MATCH($A101,SPPR!$A:$A,0),6),"")</f>
        <v/>
      </c>
      <c r="J101">
        <f>IFERROR($C101*INDEX(SPPR!$E:$X,MATCH($A101,SPPR!$A:$A,0),7),"")</f>
        <v/>
      </c>
      <c r="K101">
        <f>IFERROR($C101*INDEX(SPPR!$E:$X,MATCH($A101,SPPR!$A:$A,0),8),"")</f>
        <v/>
      </c>
      <c r="L101">
        <f>IFERROR($C101*INDEX(SPPR!$E:$X,MATCH($A101,SPPR!$A:$A,0),9),"")</f>
        <v/>
      </c>
      <c r="M101">
        <f>IFERROR($C101*INDEX(SPPR!$E:$X,MATCH($A101,SPPR!$A:$A,0),10),"")</f>
        <v/>
      </c>
      <c r="N101">
        <f>IFERROR($C101*INDEX(SPPR!$E:$X,MATCH($A101,SPPR!$A:$A,0),11),"")</f>
        <v/>
      </c>
      <c r="O101">
        <f>IFERROR($C101*INDEX(SPPR!$E:$X,MATCH($A101,SPPR!$A:$A,0),12),"")</f>
        <v/>
      </c>
      <c r="P101">
        <f>IFERROR($C101*INDEX(SPPR!$E:$X,MATCH($A101,SPPR!$A:$A,0),13),"")</f>
        <v/>
      </c>
      <c r="Q101">
        <f>IFERROR($C101*INDEX(SPPR!$E:$X,MATCH($A101,SPPR!$A:$A,0),14),"")</f>
        <v/>
      </c>
      <c r="R101">
        <f>IFERROR($C101*INDEX(SPPR!$E:$X,MATCH($A101,SPPR!$A:$A,0),15),"")</f>
        <v/>
      </c>
      <c r="S101">
        <f>IFERROR($C101*INDEX(SPPR!$E:$X,MATCH($A101,SPPR!$A:$A,0),16),"")</f>
        <v/>
      </c>
      <c r="T101">
        <f>IFERROR($C101*INDEX(SPPR!$E:$X,MATCH($A101,SPPR!$A:$A,0),17),"")</f>
        <v/>
      </c>
      <c r="U101">
        <f>IFERROR($C101*INDEX(SPPR!$E:$X,MATCH($A101,SPPR!$A:$A,0),18),"")</f>
        <v/>
      </c>
      <c r="V101">
        <f>IFERROR($C101*INDEX(SPPR!$E:$X,MATCH($A101,SPPR!$A:$A,0),19),"")</f>
        <v/>
      </c>
      <c r="W101">
        <f>IFERROR($C101*INDEX(SPPR!$E:$X,MATCH($A101,SPPR!$A:$A,0),20),"")</f>
        <v/>
      </c>
    </row>
    <row r="102">
      <c r="A102" t="inlineStr">
        <is>
          <t>Ruvettus pretiosus</t>
        </is>
      </c>
      <c r="B102">
        <f>IFERROR(INDEX(SPPR!$D:$D,MATCH($A102,SPPR!$A:$A,0)),"")</f>
        <v/>
      </c>
      <c r="C102">
        <f>IFERROR(INDEX(Catch!$E:$BV,MATCH($A102,Catch!$A:$A,0),MATCH($B$4,Catch!$E$1:$BV$1,0)),0)</f>
        <v/>
      </c>
      <c r="D102">
        <f>IFERROR($C102*INDEX(SPPR!$E:$X,MATCH($A102,SPPR!$A:$A,0),1),"")</f>
        <v/>
      </c>
      <c r="E102">
        <f>IFERROR($C102*INDEX(SPPR!$E:$X,MATCH($A102,SPPR!$A:$A,0),2),"")</f>
        <v/>
      </c>
      <c r="F102">
        <f>IFERROR($C102*INDEX(SPPR!$E:$X,MATCH($A102,SPPR!$A:$A,0),3),"")</f>
        <v/>
      </c>
      <c r="G102">
        <f>IFERROR($C102*INDEX(SPPR!$E:$X,MATCH($A102,SPPR!$A:$A,0),4),"")</f>
        <v/>
      </c>
      <c r="H102">
        <f>IFERROR($C102*INDEX(SPPR!$E:$X,MATCH($A102,SPPR!$A:$A,0),5),"")</f>
        <v/>
      </c>
      <c r="I102">
        <f>IFERROR($C102*INDEX(SPPR!$E:$X,MATCH($A102,SPPR!$A:$A,0),6),"")</f>
        <v/>
      </c>
      <c r="J102">
        <f>IFERROR($C102*INDEX(SPPR!$E:$X,MATCH($A102,SPPR!$A:$A,0),7),"")</f>
        <v/>
      </c>
      <c r="K102">
        <f>IFERROR($C102*INDEX(SPPR!$E:$X,MATCH($A102,SPPR!$A:$A,0),8),"")</f>
        <v/>
      </c>
      <c r="L102">
        <f>IFERROR($C102*INDEX(SPPR!$E:$X,MATCH($A102,SPPR!$A:$A,0),9),"")</f>
        <v/>
      </c>
      <c r="M102">
        <f>IFERROR($C102*INDEX(SPPR!$E:$X,MATCH($A102,SPPR!$A:$A,0),10),"")</f>
        <v/>
      </c>
      <c r="N102">
        <f>IFERROR($C102*INDEX(SPPR!$E:$X,MATCH($A102,SPPR!$A:$A,0),11),"")</f>
        <v/>
      </c>
      <c r="O102">
        <f>IFERROR($C102*INDEX(SPPR!$E:$X,MATCH($A102,SPPR!$A:$A,0),12),"")</f>
        <v/>
      </c>
      <c r="P102">
        <f>IFERROR($C102*INDEX(SPPR!$E:$X,MATCH($A102,SPPR!$A:$A,0),13),"")</f>
        <v/>
      </c>
      <c r="Q102">
        <f>IFERROR($C102*INDEX(SPPR!$E:$X,MATCH($A102,SPPR!$A:$A,0),14),"")</f>
        <v/>
      </c>
      <c r="R102">
        <f>IFERROR($C102*INDEX(SPPR!$E:$X,MATCH($A102,SPPR!$A:$A,0),15),"")</f>
        <v/>
      </c>
      <c r="S102">
        <f>IFERROR($C102*INDEX(SPPR!$E:$X,MATCH($A102,SPPR!$A:$A,0),16),"")</f>
        <v/>
      </c>
      <c r="T102">
        <f>IFERROR($C102*INDEX(SPPR!$E:$X,MATCH($A102,SPPR!$A:$A,0),17),"")</f>
        <v/>
      </c>
      <c r="U102">
        <f>IFERROR($C102*INDEX(SPPR!$E:$X,MATCH($A102,SPPR!$A:$A,0),18),"")</f>
        <v/>
      </c>
      <c r="V102">
        <f>IFERROR($C102*INDEX(SPPR!$E:$X,MATCH($A102,SPPR!$A:$A,0),19),"")</f>
        <v/>
      </c>
      <c r="W102">
        <f>IFERROR($C102*INDEX(SPPR!$E:$X,MATCH($A102,SPPR!$A:$A,0),20),"")</f>
        <v/>
      </c>
    </row>
    <row r="103">
      <c r="A103" t="inlineStr">
        <is>
          <t>Lutjanidae</t>
        </is>
      </c>
      <c r="B103">
        <f>IFERROR(INDEX(SPPR!$D:$D,MATCH($A103,SPPR!$A:$A,0)),"")</f>
        <v/>
      </c>
      <c r="C103">
        <f>IFERROR(INDEX(Catch!$E:$BV,MATCH($A103,Catch!$A:$A,0),MATCH($B$4,Catch!$E$1:$BV$1,0)),0)</f>
        <v/>
      </c>
      <c r="D103">
        <f>IFERROR($C103*INDEX(SPPR!$E:$X,MATCH($A103,SPPR!$A:$A,0),1),"")</f>
        <v/>
      </c>
      <c r="E103">
        <f>IFERROR($C103*INDEX(SPPR!$E:$X,MATCH($A103,SPPR!$A:$A,0),2),"")</f>
        <v/>
      </c>
      <c r="F103">
        <f>IFERROR($C103*INDEX(SPPR!$E:$X,MATCH($A103,SPPR!$A:$A,0),3),"")</f>
        <v/>
      </c>
      <c r="G103">
        <f>IFERROR($C103*INDEX(SPPR!$E:$X,MATCH($A103,SPPR!$A:$A,0),4),"")</f>
        <v/>
      </c>
      <c r="H103">
        <f>IFERROR($C103*INDEX(SPPR!$E:$X,MATCH($A103,SPPR!$A:$A,0),5),"")</f>
        <v/>
      </c>
      <c r="I103">
        <f>IFERROR($C103*INDEX(SPPR!$E:$X,MATCH($A103,SPPR!$A:$A,0),6),"")</f>
        <v/>
      </c>
      <c r="J103">
        <f>IFERROR($C103*INDEX(SPPR!$E:$X,MATCH($A103,SPPR!$A:$A,0),7),"")</f>
        <v/>
      </c>
      <c r="K103">
        <f>IFERROR($C103*INDEX(SPPR!$E:$X,MATCH($A103,SPPR!$A:$A,0),8),"")</f>
        <v/>
      </c>
      <c r="L103">
        <f>IFERROR($C103*INDEX(SPPR!$E:$X,MATCH($A103,SPPR!$A:$A,0),9),"")</f>
        <v/>
      </c>
      <c r="M103">
        <f>IFERROR($C103*INDEX(SPPR!$E:$X,MATCH($A103,SPPR!$A:$A,0),10),"")</f>
        <v/>
      </c>
      <c r="N103">
        <f>IFERROR($C103*INDEX(SPPR!$E:$X,MATCH($A103,SPPR!$A:$A,0),11),"")</f>
        <v/>
      </c>
      <c r="O103">
        <f>IFERROR($C103*INDEX(SPPR!$E:$X,MATCH($A103,SPPR!$A:$A,0),12),"")</f>
        <v/>
      </c>
      <c r="P103">
        <f>IFERROR($C103*INDEX(SPPR!$E:$X,MATCH($A103,SPPR!$A:$A,0),13),"")</f>
        <v/>
      </c>
      <c r="Q103">
        <f>IFERROR($C103*INDEX(SPPR!$E:$X,MATCH($A103,SPPR!$A:$A,0),14),"")</f>
        <v/>
      </c>
      <c r="R103">
        <f>IFERROR($C103*INDEX(SPPR!$E:$X,MATCH($A103,SPPR!$A:$A,0),15),"")</f>
        <v/>
      </c>
      <c r="S103">
        <f>IFERROR($C103*INDEX(SPPR!$E:$X,MATCH($A103,SPPR!$A:$A,0),16),"")</f>
        <v/>
      </c>
      <c r="T103">
        <f>IFERROR($C103*INDEX(SPPR!$E:$X,MATCH($A103,SPPR!$A:$A,0),17),"")</f>
        <v/>
      </c>
      <c r="U103">
        <f>IFERROR($C103*INDEX(SPPR!$E:$X,MATCH($A103,SPPR!$A:$A,0),18),"")</f>
        <v/>
      </c>
      <c r="V103">
        <f>IFERROR($C103*INDEX(SPPR!$E:$X,MATCH($A103,SPPR!$A:$A,0),19),"")</f>
        <v/>
      </c>
      <c r="W103">
        <f>IFERROR($C103*INDEX(SPPR!$E:$X,MATCH($A103,SPPR!$A:$A,0),20),"")</f>
        <v/>
      </c>
    </row>
    <row r="104">
      <c r="A104" t="inlineStr">
        <is>
          <t>Sebastidae</t>
        </is>
      </c>
      <c r="B104">
        <f>IFERROR(INDEX(SPPR!$D:$D,MATCH($A104,SPPR!$A:$A,0)),"")</f>
        <v/>
      </c>
      <c r="C104">
        <f>IFERROR(INDEX(Catch!$E:$BV,MATCH($A104,Catch!$A:$A,0),MATCH($B$4,Catch!$E$1:$BV$1,0)),0)</f>
        <v/>
      </c>
      <c r="D104">
        <f>IFERROR($C104*INDEX(SPPR!$E:$X,MATCH($A104,SPPR!$A:$A,0),1),"")</f>
        <v/>
      </c>
      <c r="E104">
        <f>IFERROR($C104*INDEX(SPPR!$E:$X,MATCH($A104,SPPR!$A:$A,0),2),"")</f>
        <v/>
      </c>
      <c r="F104">
        <f>IFERROR($C104*INDEX(SPPR!$E:$X,MATCH($A104,SPPR!$A:$A,0),3),"")</f>
        <v/>
      </c>
      <c r="G104">
        <f>IFERROR($C104*INDEX(SPPR!$E:$X,MATCH($A104,SPPR!$A:$A,0),4),"")</f>
        <v/>
      </c>
      <c r="H104">
        <f>IFERROR($C104*INDEX(SPPR!$E:$X,MATCH($A104,SPPR!$A:$A,0),5),"")</f>
        <v/>
      </c>
      <c r="I104">
        <f>IFERROR($C104*INDEX(SPPR!$E:$X,MATCH($A104,SPPR!$A:$A,0),6),"")</f>
        <v/>
      </c>
      <c r="J104">
        <f>IFERROR($C104*INDEX(SPPR!$E:$X,MATCH($A104,SPPR!$A:$A,0),7),"")</f>
        <v/>
      </c>
      <c r="K104">
        <f>IFERROR($C104*INDEX(SPPR!$E:$X,MATCH($A104,SPPR!$A:$A,0),8),"")</f>
        <v/>
      </c>
      <c r="L104">
        <f>IFERROR($C104*INDEX(SPPR!$E:$X,MATCH($A104,SPPR!$A:$A,0),9),"")</f>
        <v/>
      </c>
      <c r="M104">
        <f>IFERROR($C104*INDEX(SPPR!$E:$X,MATCH($A104,SPPR!$A:$A,0),10),"")</f>
        <v/>
      </c>
      <c r="N104">
        <f>IFERROR($C104*INDEX(SPPR!$E:$X,MATCH($A104,SPPR!$A:$A,0),11),"")</f>
        <v/>
      </c>
      <c r="O104">
        <f>IFERROR($C104*INDEX(SPPR!$E:$X,MATCH($A104,SPPR!$A:$A,0),12),"")</f>
        <v/>
      </c>
      <c r="P104">
        <f>IFERROR($C104*INDEX(SPPR!$E:$X,MATCH($A104,SPPR!$A:$A,0),13),"")</f>
        <v/>
      </c>
      <c r="Q104">
        <f>IFERROR($C104*INDEX(SPPR!$E:$X,MATCH($A104,SPPR!$A:$A,0),14),"")</f>
        <v/>
      </c>
      <c r="R104">
        <f>IFERROR($C104*INDEX(SPPR!$E:$X,MATCH($A104,SPPR!$A:$A,0),15),"")</f>
        <v/>
      </c>
      <c r="S104">
        <f>IFERROR($C104*INDEX(SPPR!$E:$X,MATCH($A104,SPPR!$A:$A,0),16),"")</f>
        <v/>
      </c>
      <c r="T104">
        <f>IFERROR($C104*INDEX(SPPR!$E:$X,MATCH($A104,SPPR!$A:$A,0),17),"")</f>
        <v/>
      </c>
      <c r="U104">
        <f>IFERROR($C104*INDEX(SPPR!$E:$X,MATCH($A104,SPPR!$A:$A,0),18),"")</f>
        <v/>
      </c>
      <c r="V104">
        <f>IFERROR($C104*INDEX(SPPR!$E:$X,MATCH($A104,SPPR!$A:$A,0),19),"")</f>
        <v/>
      </c>
      <c r="W104">
        <f>IFERROR($C104*INDEX(SPPR!$E:$X,MATCH($A104,SPPR!$A:$A,0),20),"")</f>
        <v/>
      </c>
    </row>
    <row r="105">
      <c r="A105" t="inlineStr">
        <is>
          <t>Pleurogrammus azonus</t>
        </is>
      </c>
      <c r="B105">
        <f>IFERROR(INDEX(SPPR!$D:$D,MATCH($A105,SPPR!$A:$A,0)),"")</f>
        <v/>
      </c>
      <c r="C105">
        <f>IFERROR(INDEX(Catch!$E:$BV,MATCH($A105,Catch!$A:$A,0),MATCH($B$4,Catch!$E$1:$BV$1,0)),0)</f>
        <v/>
      </c>
      <c r="D105">
        <f>IFERROR($C105*INDEX(SPPR!$E:$X,MATCH($A105,SPPR!$A:$A,0),1),"")</f>
        <v/>
      </c>
      <c r="E105">
        <f>IFERROR($C105*INDEX(SPPR!$E:$X,MATCH($A105,SPPR!$A:$A,0),2),"")</f>
        <v/>
      </c>
      <c r="F105">
        <f>IFERROR($C105*INDEX(SPPR!$E:$X,MATCH($A105,SPPR!$A:$A,0),3),"")</f>
        <v/>
      </c>
      <c r="G105">
        <f>IFERROR($C105*INDEX(SPPR!$E:$X,MATCH($A105,SPPR!$A:$A,0),4),"")</f>
        <v/>
      </c>
      <c r="H105">
        <f>IFERROR($C105*INDEX(SPPR!$E:$X,MATCH($A105,SPPR!$A:$A,0),5),"")</f>
        <v/>
      </c>
      <c r="I105">
        <f>IFERROR($C105*INDEX(SPPR!$E:$X,MATCH($A105,SPPR!$A:$A,0),6),"")</f>
        <v/>
      </c>
      <c r="J105">
        <f>IFERROR($C105*INDEX(SPPR!$E:$X,MATCH($A105,SPPR!$A:$A,0),7),"")</f>
        <v/>
      </c>
      <c r="K105">
        <f>IFERROR($C105*INDEX(SPPR!$E:$X,MATCH($A105,SPPR!$A:$A,0),8),"")</f>
        <v/>
      </c>
      <c r="L105">
        <f>IFERROR($C105*INDEX(SPPR!$E:$X,MATCH($A105,SPPR!$A:$A,0),9),"")</f>
        <v/>
      </c>
      <c r="M105">
        <f>IFERROR($C105*INDEX(SPPR!$E:$X,MATCH($A105,SPPR!$A:$A,0),10),"")</f>
        <v/>
      </c>
      <c r="N105">
        <f>IFERROR($C105*INDEX(SPPR!$E:$X,MATCH($A105,SPPR!$A:$A,0),11),"")</f>
        <v/>
      </c>
      <c r="O105">
        <f>IFERROR($C105*INDEX(SPPR!$E:$X,MATCH($A105,SPPR!$A:$A,0),12),"")</f>
        <v/>
      </c>
      <c r="P105">
        <f>IFERROR($C105*INDEX(SPPR!$E:$X,MATCH($A105,SPPR!$A:$A,0),13),"")</f>
        <v/>
      </c>
      <c r="Q105">
        <f>IFERROR($C105*INDEX(SPPR!$E:$X,MATCH($A105,SPPR!$A:$A,0),14),"")</f>
        <v/>
      </c>
      <c r="R105">
        <f>IFERROR($C105*INDEX(SPPR!$E:$X,MATCH($A105,SPPR!$A:$A,0),15),"")</f>
        <v/>
      </c>
      <c r="S105">
        <f>IFERROR($C105*INDEX(SPPR!$E:$X,MATCH($A105,SPPR!$A:$A,0),16),"")</f>
        <v/>
      </c>
      <c r="T105">
        <f>IFERROR($C105*INDEX(SPPR!$E:$X,MATCH($A105,SPPR!$A:$A,0),17),"")</f>
        <v/>
      </c>
      <c r="U105">
        <f>IFERROR($C105*INDEX(SPPR!$E:$X,MATCH($A105,SPPR!$A:$A,0),18),"")</f>
        <v/>
      </c>
      <c r="V105">
        <f>IFERROR($C105*INDEX(SPPR!$E:$X,MATCH($A105,SPPR!$A:$A,0),19),"")</f>
        <v/>
      </c>
      <c r="W105">
        <f>IFERROR($C105*INDEX(SPPR!$E:$X,MATCH($A105,SPPR!$A:$A,0),20),"")</f>
        <v/>
      </c>
    </row>
    <row r="106">
      <c r="A106" t="inlineStr">
        <is>
          <t>Bathylagidae</t>
        </is>
      </c>
      <c r="B106">
        <f>IFERROR(INDEX(SPPR!$D:$D,MATCH($A106,SPPR!$A:$A,0)),"")</f>
        <v/>
      </c>
      <c r="C106">
        <f>IFERROR(INDEX(Catch!$E:$BV,MATCH($A106,Catch!$A:$A,0),MATCH($B$4,Catch!$E$1:$BV$1,0)),0)</f>
        <v/>
      </c>
      <c r="D106">
        <f>IFERROR($C106*INDEX(SPPR!$E:$X,MATCH($A106,SPPR!$A:$A,0),1),"")</f>
        <v/>
      </c>
      <c r="E106">
        <f>IFERROR($C106*INDEX(SPPR!$E:$X,MATCH($A106,SPPR!$A:$A,0),2),"")</f>
        <v/>
      </c>
      <c r="F106">
        <f>IFERROR($C106*INDEX(SPPR!$E:$X,MATCH($A106,SPPR!$A:$A,0),3),"")</f>
        <v/>
      </c>
      <c r="G106">
        <f>IFERROR($C106*INDEX(SPPR!$E:$X,MATCH($A106,SPPR!$A:$A,0),4),"")</f>
        <v/>
      </c>
      <c r="H106">
        <f>IFERROR($C106*INDEX(SPPR!$E:$X,MATCH($A106,SPPR!$A:$A,0),5),"")</f>
        <v/>
      </c>
      <c r="I106">
        <f>IFERROR($C106*INDEX(SPPR!$E:$X,MATCH($A106,SPPR!$A:$A,0),6),"")</f>
        <v/>
      </c>
      <c r="J106">
        <f>IFERROR($C106*INDEX(SPPR!$E:$X,MATCH($A106,SPPR!$A:$A,0),7),"")</f>
        <v/>
      </c>
      <c r="K106">
        <f>IFERROR($C106*INDEX(SPPR!$E:$X,MATCH($A106,SPPR!$A:$A,0),8),"")</f>
        <v/>
      </c>
      <c r="L106">
        <f>IFERROR($C106*INDEX(SPPR!$E:$X,MATCH($A106,SPPR!$A:$A,0),9),"")</f>
        <v/>
      </c>
      <c r="M106">
        <f>IFERROR($C106*INDEX(SPPR!$E:$X,MATCH($A106,SPPR!$A:$A,0),10),"")</f>
        <v/>
      </c>
      <c r="N106">
        <f>IFERROR($C106*INDEX(SPPR!$E:$X,MATCH($A106,SPPR!$A:$A,0),11),"")</f>
        <v/>
      </c>
      <c r="O106">
        <f>IFERROR($C106*INDEX(SPPR!$E:$X,MATCH($A106,SPPR!$A:$A,0),12),"")</f>
        <v/>
      </c>
      <c r="P106">
        <f>IFERROR($C106*INDEX(SPPR!$E:$X,MATCH($A106,SPPR!$A:$A,0),13),"")</f>
        <v/>
      </c>
      <c r="Q106">
        <f>IFERROR($C106*INDEX(SPPR!$E:$X,MATCH($A106,SPPR!$A:$A,0),14),"")</f>
        <v/>
      </c>
      <c r="R106">
        <f>IFERROR($C106*INDEX(SPPR!$E:$X,MATCH($A106,SPPR!$A:$A,0),15),"")</f>
        <v/>
      </c>
      <c r="S106">
        <f>IFERROR($C106*INDEX(SPPR!$E:$X,MATCH($A106,SPPR!$A:$A,0),16),"")</f>
        <v/>
      </c>
      <c r="T106">
        <f>IFERROR($C106*INDEX(SPPR!$E:$X,MATCH($A106,SPPR!$A:$A,0),17),"")</f>
        <v/>
      </c>
      <c r="U106">
        <f>IFERROR($C106*INDEX(SPPR!$E:$X,MATCH($A106,SPPR!$A:$A,0),18),"")</f>
        <v/>
      </c>
      <c r="V106">
        <f>IFERROR($C106*INDEX(SPPR!$E:$X,MATCH($A106,SPPR!$A:$A,0),19),"")</f>
        <v/>
      </c>
      <c r="W106">
        <f>IFERROR($C106*INDEX(SPPR!$E:$X,MATCH($A106,SPPR!$A:$A,0),20),"")</f>
        <v/>
      </c>
    </row>
    <row r="107">
      <c r="A107" t="inlineStr">
        <is>
          <t>Clupeiformes</t>
        </is>
      </c>
      <c r="B107">
        <f>IFERROR(INDEX(SPPR!$D:$D,MATCH($A107,SPPR!$A:$A,0)),"")</f>
        <v/>
      </c>
      <c r="C107">
        <f>IFERROR(INDEX(Catch!$E:$BV,MATCH($A107,Catch!$A:$A,0),MATCH($B$4,Catch!$E$1:$BV$1,0)),0)</f>
        <v/>
      </c>
      <c r="D107">
        <f>IFERROR($C107*INDEX(SPPR!$E:$X,MATCH($A107,SPPR!$A:$A,0),1),"")</f>
        <v/>
      </c>
      <c r="E107">
        <f>IFERROR($C107*INDEX(SPPR!$E:$X,MATCH($A107,SPPR!$A:$A,0),2),"")</f>
        <v/>
      </c>
      <c r="F107">
        <f>IFERROR($C107*INDEX(SPPR!$E:$X,MATCH($A107,SPPR!$A:$A,0),3),"")</f>
        <v/>
      </c>
      <c r="G107">
        <f>IFERROR($C107*INDEX(SPPR!$E:$X,MATCH($A107,SPPR!$A:$A,0),4),"")</f>
        <v/>
      </c>
      <c r="H107">
        <f>IFERROR($C107*INDEX(SPPR!$E:$X,MATCH($A107,SPPR!$A:$A,0),5),"")</f>
        <v/>
      </c>
      <c r="I107">
        <f>IFERROR($C107*INDEX(SPPR!$E:$X,MATCH($A107,SPPR!$A:$A,0),6),"")</f>
        <v/>
      </c>
      <c r="J107">
        <f>IFERROR($C107*INDEX(SPPR!$E:$X,MATCH($A107,SPPR!$A:$A,0),7),"")</f>
        <v/>
      </c>
      <c r="K107">
        <f>IFERROR($C107*INDEX(SPPR!$E:$X,MATCH($A107,SPPR!$A:$A,0),8),"")</f>
        <v/>
      </c>
      <c r="L107">
        <f>IFERROR($C107*INDEX(SPPR!$E:$X,MATCH($A107,SPPR!$A:$A,0),9),"")</f>
        <v/>
      </c>
      <c r="M107">
        <f>IFERROR($C107*INDEX(SPPR!$E:$X,MATCH($A107,SPPR!$A:$A,0),10),"")</f>
        <v/>
      </c>
      <c r="N107">
        <f>IFERROR($C107*INDEX(SPPR!$E:$X,MATCH($A107,SPPR!$A:$A,0),11),"")</f>
        <v/>
      </c>
      <c r="O107">
        <f>IFERROR($C107*INDEX(SPPR!$E:$X,MATCH($A107,SPPR!$A:$A,0),12),"")</f>
        <v/>
      </c>
      <c r="P107">
        <f>IFERROR($C107*INDEX(SPPR!$E:$X,MATCH($A107,SPPR!$A:$A,0),13),"")</f>
        <v/>
      </c>
      <c r="Q107">
        <f>IFERROR($C107*INDEX(SPPR!$E:$X,MATCH($A107,SPPR!$A:$A,0),14),"")</f>
        <v/>
      </c>
      <c r="R107">
        <f>IFERROR($C107*INDEX(SPPR!$E:$X,MATCH($A107,SPPR!$A:$A,0),15),"")</f>
        <v/>
      </c>
      <c r="S107">
        <f>IFERROR($C107*INDEX(SPPR!$E:$X,MATCH($A107,SPPR!$A:$A,0),16),"")</f>
        <v/>
      </c>
      <c r="T107">
        <f>IFERROR($C107*INDEX(SPPR!$E:$X,MATCH($A107,SPPR!$A:$A,0),17),"")</f>
        <v/>
      </c>
      <c r="U107">
        <f>IFERROR($C107*INDEX(SPPR!$E:$X,MATCH($A107,SPPR!$A:$A,0),18),"")</f>
        <v/>
      </c>
      <c r="V107">
        <f>IFERROR($C107*INDEX(SPPR!$E:$X,MATCH($A107,SPPR!$A:$A,0),19),"")</f>
        <v/>
      </c>
      <c r="W107">
        <f>IFERROR($C107*INDEX(SPPR!$E:$X,MATCH($A107,SPPR!$A:$A,0),20),"")</f>
        <v/>
      </c>
    </row>
    <row r="108">
      <c r="A108" t="inlineStr">
        <is>
          <t>Mullidae</t>
        </is>
      </c>
      <c r="B108">
        <f>IFERROR(INDEX(SPPR!$D:$D,MATCH($A108,SPPR!$A:$A,0)),"")</f>
        <v/>
      </c>
      <c r="C108">
        <f>IFERROR(INDEX(Catch!$E:$BV,MATCH($A108,Catch!$A:$A,0),MATCH($B$4,Catch!$E$1:$BV$1,0)),0)</f>
        <v/>
      </c>
      <c r="D108">
        <f>IFERROR($C108*INDEX(SPPR!$E:$X,MATCH($A108,SPPR!$A:$A,0),1),"")</f>
        <v/>
      </c>
      <c r="E108">
        <f>IFERROR($C108*INDEX(SPPR!$E:$X,MATCH($A108,SPPR!$A:$A,0),2),"")</f>
        <v/>
      </c>
      <c r="F108">
        <f>IFERROR($C108*INDEX(SPPR!$E:$X,MATCH($A108,SPPR!$A:$A,0),3),"")</f>
        <v/>
      </c>
      <c r="G108">
        <f>IFERROR($C108*INDEX(SPPR!$E:$X,MATCH($A108,SPPR!$A:$A,0),4),"")</f>
        <v/>
      </c>
      <c r="H108">
        <f>IFERROR($C108*INDEX(SPPR!$E:$X,MATCH($A108,SPPR!$A:$A,0),5),"")</f>
        <v/>
      </c>
      <c r="I108">
        <f>IFERROR($C108*INDEX(SPPR!$E:$X,MATCH($A108,SPPR!$A:$A,0),6),"")</f>
        <v/>
      </c>
      <c r="J108">
        <f>IFERROR($C108*INDEX(SPPR!$E:$X,MATCH($A108,SPPR!$A:$A,0),7),"")</f>
        <v/>
      </c>
      <c r="K108">
        <f>IFERROR($C108*INDEX(SPPR!$E:$X,MATCH($A108,SPPR!$A:$A,0),8),"")</f>
        <v/>
      </c>
      <c r="L108">
        <f>IFERROR($C108*INDEX(SPPR!$E:$X,MATCH($A108,SPPR!$A:$A,0),9),"")</f>
        <v/>
      </c>
      <c r="M108">
        <f>IFERROR($C108*INDEX(SPPR!$E:$X,MATCH($A108,SPPR!$A:$A,0),10),"")</f>
        <v/>
      </c>
      <c r="N108">
        <f>IFERROR($C108*INDEX(SPPR!$E:$X,MATCH($A108,SPPR!$A:$A,0),11),"")</f>
        <v/>
      </c>
      <c r="O108">
        <f>IFERROR($C108*INDEX(SPPR!$E:$X,MATCH($A108,SPPR!$A:$A,0),12),"")</f>
        <v/>
      </c>
      <c r="P108">
        <f>IFERROR($C108*INDEX(SPPR!$E:$X,MATCH($A108,SPPR!$A:$A,0),13),"")</f>
        <v/>
      </c>
      <c r="Q108">
        <f>IFERROR($C108*INDEX(SPPR!$E:$X,MATCH($A108,SPPR!$A:$A,0),14),"")</f>
        <v/>
      </c>
      <c r="R108">
        <f>IFERROR($C108*INDEX(SPPR!$E:$X,MATCH($A108,SPPR!$A:$A,0),15),"")</f>
        <v/>
      </c>
      <c r="S108">
        <f>IFERROR($C108*INDEX(SPPR!$E:$X,MATCH($A108,SPPR!$A:$A,0),16),"")</f>
        <v/>
      </c>
      <c r="T108">
        <f>IFERROR($C108*INDEX(SPPR!$E:$X,MATCH($A108,SPPR!$A:$A,0),17),"")</f>
        <v/>
      </c>
      <c r="U108">
        <f>IFERROR($C108*INDEX(SPPR!$E:$X,MATCH($A108,SPPR!$A:$A,0),18),"")</f>
        <v/>
      </c>
      <c r="V108">
        <f>IFERROR($C108*INDEX(SPPR!$E:$X,MATCH($A108,SPPR!$A:$A,0),19),"")</f>
        <v/>
      </c>
      <c r="W108">
        <f>IFERROR($C108*INDEX(SPPR!$E:$X,MATCH($A108,SPPR!$A:$A,0),20),"")</f>
        <v/>
      </c>
    </row>
    <row r="109">
      <c r="A109" t="inlineStr">
        <is>
          <t>Chelidonichthys kumu</t>
        </is>
      </c>
      <c r="B109">
        <f>IFERROR(INDEX(SPPR!$D:$D,MATCH($A109,SPPR!$A:$A,0)),"")</f>
        <v/>
      </c>
      <c r="C109">
        <f>IFERROR(INDEX(Catch!$E:$BV,MATCH($A109,Catch!$A:$A,0),MATCH($B$4,Catch!$E$1:$BV$1,0)),0)</f>
        <v/>
      </c>
      <c r="D109">
        <f>IFERROR($C109*INDEX(SPPR!$E:$X,MATCH($A109,SPPR!$A:$A,0),1),"")</f>
        <v/>
      </c>
      <c r="E109">
        <f>IFERROR($C109*INDEX(SPPR!$E:$X,MATCH($A109,SPPR!$A:$A,0),2),"")</f>
        <v/>
      </c>
      <c r="F109">
        <f>IFERROR($C109*INDEX(SPPR!$E:$X,MATCH($A109,SPPR!$A:$A,0),3),"")</f>
        <v/>
      </c>
      <c r="G109">
        <f>IFERROR($C109*INDEX(SPPR!$E:$X,MATCH($A109,SPPR!$A:$A,0),4),"")</f>
        <v/>
      </c>
      <c r="H109">
        <f>IFERROR($C109*INDEX(SPPR!$E:$X,MATCH($A109,SPPR!$A:$A,0),5),"")</f>
        <v/>
      </c>
      <c r="I109">
        <f>IFERROR($C109*INDEX(SPPR!$E:$X,MATCH($A109,SPPR!$A:$A,0),6),"")</f>
        <v/>
      </c>
      <c r="J109">
        <f>IFERROR($C109*INDEX(SPPR!$E:$X,MATCH($A109,SPPR!$A:$A,0),7),"")</f>
        <v/>
      </c>
      <c r="K109">
        <f>IFERROR($C109*INDEX(SPPR!$E:$X,MATCH($A109,SPPR!$A:$A,0),8),"")</f>
        <v/>
      </c>
      <c r="L109">
        <f>IFERROR($C109*INDEX(SPPR!$E:$X,MATCH($A109,SPPR!$A:$A,0),9),"")</f>
        <v/>
      </c>
      <c r="M109">
        <f>IFERROR($C109*INDEX(SPPR!$E:$X,MATCH($A109,SPPR!$A:$A,0),10),"")</f>
        <v/>
      </c>
      <c r="N109">
        <f>IFERROR($C109*INDEX(SPPR!$E:$X,MATCH($A109,SPPR!$A:$A,0),11),"")</f>
        <v/>
      </c>
      <c r="O109">
        <f>IFERROR($C109*INDEX(SPPR!$E:$X,MATCH($A109,SPPR!$A:$A,0),12),"")</f>
        <v/>
      </c>
      <c r="P109">
        <f>IFERROR($C109*INDEX(SPPR!$E:$X,MATCH($A109,SPPR!$A:$A,0),13),"")</f>
        <v/>
      </c>
      <c r="Q109">
        <f>IFERROR($C109*INDEX(SPPR!$E:$X,MATCH($A109,SPPR!$A:$A,0),14),"")</f>
        <v/>
      </c>
      <c r="R109">
        <f>IFERROR($C109*INDEX(SPPR!$E:$X,MATCH($A109,SPPR!$A:$A,0),15),"")</f>
        <v/>
      </c>
      <c r="S109">
        <f>IFERROR($C109*INDEX(SPPR!$E:$X,MATCH($A109,SPPR!$A:$A,0),16),"")</f>
        <v/>
      </c>
      <c r="T109">
        <f>IFERROR($C109*INDEX(SPPR!$E:$X,MATCH($A109,SPPR!$A:$A,0),17),"")</f>
        <v/>
      </c>
      <c r="U109">
        <f>IFERROR($C109*INDEX(SPPR!$E:$X,MATCH($A109,SPPR!$A:$A,0),18),"")</f>
        <v/>
      </c>
      <c r="V109">
        <f>IFERROR($C109*INDEX(SPPR!$E:$X,MATCH($A109,SPPR!$A:$A,0),19),"")</f>
        <v/>
      </c>
      <c r="W109">
        <f>IFERROR($C109*INDEX(SPPR!$E:$X,MATCH($A109,SPPR!$A:$A,0),20),"")</f>
        <v/>
      </c>
    </row>
    <row r="110">
      <c r="A110" t="inlineStr">
        <is>
          <t>Nibea mitsukurii</t>
        </is>
      </c>
      <c r="B110">
        <f>IFERROR(INDEX(SPPR!$D:$D,MATCH($A110,SPPR!$A:$A,0)),"")</f>
        <v/>
      </c>
      <c r="C110">
        <f>IFERROR(INDEX(Catch!$E:$BV,MATCH($A110,Catch!$A:$A,0),MATCH($B$4,Catch!$E$1:$BV$1,0)),0)</f>
        <v/>
      </c>
      <c r="D110">
        <f>IFERROR($C110*INDEX(SPPR!$E:$X,MATCH($A110,SPPR!$A:$A,0),1),"")</f>
        <v/>
      </c>
      <c r="E110">
        <f>IFERROR($C110*INDEX(SPPR!$E:$X,MATCH($A110,SPPR!$A:$A,0),2),"")</f>
        <v/>
      </c>
      <c r="F110">
        <f>IFERROR($C110*INDEX(SPPR!$E:$X,MATCH($A110,SPPR!$A:$A,0),3),"")</f>
        <v/>
      </c>
      <c r="G110">
        <f>IFERROR($C110*INDEX(SPPR!$E:$X,MATCH($A110,SPPR!$A:$A,0),4),"")</f>
        <v/>
      </c>
      <c r="H110">
        <f>IFERROR($C110*INDEX(SPPR!$E:$X,MATCH($A110,SPPR!$A:$A,0),5),"")</f>
        <v/>
      </c>
      <c r="I110">
        <f>IFERROR($C110*INDEX(SPPR!$E:$X,MATCH($A110,SPPR!$A:$A,0),6),"")</f>
        <v/>
      </c>
      <c r="J110">
        <f>IFERROR($C110*INDEX(SPPR!$E:$X,MATCH($A110,SPPR!$A:$A,0),7),"")</f>
        <v/>
      </c>
      <c r="K110">
        <f>IFERROR($C110*INDEX(SPPR!$E:$X,MATCH($A110,SPPR!$A:$A,0),8),"")</f>
        <v/>
      </c>
      <c r="L110">
        <f>IFERROR($C110*INDEX(SPPR!$E:$X,MATCH($A110,SPPR!$A:$A,0),9),"")</f>
        <v/>
      </c>
      <c r="M110">
        <f>IFERROR($C110*INDEX(SPPR!$E:$X,MATCH($A110,SPPR!$A:$A,0),10),"")</f>
        <v/>
      </c>
      <c r="N110">
        <f>IFERROR($C110*INDEX(SPPR!$E:$X,MATCH($A110,SPPR!$A:$A,0),11),"")</f>
        <v/>
      </c>
      <c r="O110">
        <f>IFERROR($C110*INDEX(SPPR!$E:$X,MATCH($A110,SPPR!$A:$A,0),12),"")</f>
        <v/>
      </c>
      <c r="P110">
        <f>IFERROR($C110*INDEX(SPPR!$E:$X,MATCH($A110,SPPR!$A:$A,0),13),"")</f>
        <v/>
      </c>
      <c r="Q110">
        <f>IFERROR($C110*INDEX(SPPR!$E:$X,MATCH($A110,SPPR!$A:$A,0),14),"")</f>
        <v/>
      </c>
      <c r="R110">
        <f>IFERROR($C110*INDEX(SPPR!$E:$X,MATCH($A110,SPPR!$A:$A,0),15),"")</f>
        <v/>
      </c>
      <c r="S110">
        <f>IFERROR($C110*INDEX(SPPR!$E:$X,MATCH($A110,SPPR!$A:$A,0),16),"")</f>
        <v/>
      </c>
      <c r="T110">
        <f>IFERROR($C110*INDEX(SPPR!$E:$X,MATCH($A110,SPPR!$A:$A,0),17),"")</f>
        <v/>
      </c>
      <c r="U110">
        <f>IFERROR($C110*INDEX(SPPR!$E:$X,MATCH($A110,SPPR!$A:$A,0),18),"")</f>
        <v/>
      </c>
      <c r="V110">
        <f>IFERROR($C110*INDEX(SPPR!$E:$X,MATCH($A110,SPPR!$A:$A,0),19),"")</f>
        <v/>
      </c>
      <c r="W110">
        <f>IFERROR($C110*INDEX(SPPR!$E:$X,MATCH($A110,SPPR!$A:$A,0),20),"")</f>
        <v/>
      </c>
    </row>
    <row r="111">
      <c r="A111" t="inlineStr">
        <is>
          <t>Saurida tumbil</t>
        </is>
      </c>
      <c r="B111">
        <f>IFERROR(INDEX(SPPR!$D:$D,MATCH($A111,SPPR!$A:$A,0)),"")</f>
        <v/>
      </c>
      <c r="C111">
        <f>IFERROR(INDEX(Catch!$E:$BV,MATCH($A111,Catch!$A:$A,0),MATCH($B$4,Catch!$E$1:$BV$1,0)),0)</f>
        <v/>
      </c>
      <c r="D111">
        <f>IFERROR($C111*INDEX(SPPR!$E:$X,MATCH($A111,SPPR!$A:$A,0),1),"")</f>
        <v/>
      </c>
      <c r="E111">
        <f>IFERROR($C111*INDEX(SPPR!$E:$X,MATCH($A111,SPPR!$A:$A,0),2),"")</f>
        <v/>
      </c>
      <c r="F111">
        <f>IFERROR($C111*INDEX(SPPR!$E:$X,MATCH($A111,SPPR!$A:$A,0),3),"")</f>
        <v/>
      </c>
      <c r="G111">
        <f>IFERROR($C111*INDEX(SPPR!$E:$X,MATCH($A111,SPPR!$A:$A,0),4),"")</f>
        <v/>
      </c>
      <c r="H111">
        <f>IFERROR($C111*INDEX(SPPR!$E:$X,MATCH($A111,SPPR!$A:$A,0),5),"")</f>
        <v/>
      </c>
      <c r="I111">
        <f>IFERROR($C111*INDEX(SPPR!$E:$X,MATCH($A111,SPPR!$A:$A,0),6),"")</f>
        <v/>
      </c>
      <c r="J111">
        <f>IFERROR($C111*INDEX(SPPR!$E:$X,MATCH($A111,SPPR!$A:$A,0),7),"")</f>
        <v/>
      </c>
      <c r="K111">
        <f>IFERROR($C111*INDEX(SPPR!$E:$X,MATCH($A111,SPPR!$A:$A,0),8),"")</f>
        <v/>
      </c>
      <c r="L111">
        <f>IFERROR($C111*INDEX(SPPR!$E:$X,MATCH($A111,SPPR!$A:$A,0),9),"")</f>
        <v/>
      </c>
      <c r="M111">
        <f>IFERROR($C111*INDEX(SPPR!$E:$X,MATCH($A111,SPPR!$A:$A,0),10),"")</f>
        <v/>
      </c>
      <c r="N111">
        <f>IFERROR($C111*INDEX(SPPR!$E:$X,MATCH($A111,SPPR!$A:$A,0),11),"")</f>
        <v/>
      </c>
      <c r="O111">
        <f>IFERROR($C111*INDEX(SPPR!$E:$X,MATCH($A111,SPPR!$A:$A,0),12),"")</f>
        <v/>
      </c>
      <c r="P111">
        <f>IFERROR($C111*INDEX(SPPR!$E:$X,MATCH($A111,SPPR!$A:$A,0),13),"")</f>
        <v/>
      </c>
      <c r="Q111">
        <f>IFERROR($C111*INDEX(SPPR!$E:$X,MATCH($A111,SPPR!$A:$A,0),14),"")</f>
        <v/>
      </c>
      <c r="R111">
        <f>IFERROR($C111*INDEX(SPPR!$E:$X,MATCH($A111,SPPR!$A:$A,0),15),"")</f>
        <v/>
      </c>
      <c r="S111">
        <f>IFERROR($C111*INDEX(SPPR!$E:$X,MATCH($A111,SPPR!$A:$A,0),16),"")</f>
        <v/>
      </c>
      <c r="T111">
        <f>IFERROR($C111*INDEX(SPPR!$E:$X,MATCH($A111,SPPR!$A:$A,0),17),"")</f>
        <v/>
      </c>
      <c r="U111">
        <f>IFERROR($C111*INDEX(SPPR!$E:$X,MATCH($A111,SPPR!$A:$A,0),18),"")</f>
        <v/>
      </c>
      <c r="V111">
        <f>IFERROR($C111*INDEX(SPPR!$E:$X,MATCH($A111,SPPR!$A:$A,0),19),"")</f>
        <v/>
      </c>
      <c r="W111">
        <f>IFERROR($C111*INDEX(SPPR!$E:$X,MATCH($A111,SPPR!$A:$A,0),20),"")</f>
        <v/>
      </c>
    </row>
    <row r="112">
      <c r="A112" t="inlineStr">
        <is>
          <t>Mugilidae</t>
        </is>
      </c>
      <c r="B112">
        <f>IFERROR(INDEX(SPPR!$D:$D,MATCH($A112,SPPR!$A:$A,0)),"")</f>
        <v/>
      </c>
      <c r="C112">
        <f>IFERROR(INDEX(Catch!$E:$BV,MATCH($A112,Catch!$A:$A,0),MATCH($B$4,Catch!$E$1:$BV$1,0)),0)</f>
        <v/>
      </c>
      <c r="D112">
        <f>IFERROR($C112*INDEX(SPPR!$E:$X,MATCH($A112,SPPR!$A:$A,0),1),"")</f>
        <v/>
      </c>
      <c r="E112">
        <f>IFERROR($C112*INDEX(SPPR!$E:$X,MATCH($A112,SPPR!$A:$A,0),2),"")</f>
        <v/>
      </c>
      <c r="F112">
        <f>IFERROR($C112*INDEX(SPPR!$E:$X,MATCH($A112,SPPR!$A:$A,0),3),"")</f>
        <v/>
      </c>
      <c r="G112">
        <f>IFERROR($C112*INDEX(SPPR!$E:$X,MATCH($A112,SPPR!$A:$A,0),4),"")</f>
        <v/>
      </c>
      <c r="H112">
        <f>IFERROR($C112*INDEX(SPPR!$E:$X,MATCH($A112,SPPR!$A:$A,0),5),"")</f>
        <v/>
      </c>
      <c r="I112">
        <f>IFERROR($C112*INDEX(SPPR!$E:$X,MATCH($A112,SPPR!$A:$A,0),6),"")</f>
        <v/>
      </c>
      <c r="J112">
        <f>IFERROR($C112*INDEX(SPPR!$E:$X,MATCH($A112,SPPR!$A:$A,0),7),"")</f>
        <v/>
      </c>
      <c r="K112">
        <f>IFERROR($C112*INDEX(SPPR!$E:$X,MATCH($A112,SPPR!$A:$A,0),8),"")</f>
        <v/>
      </c>
      <c r="L112">
        <f>IFERROR($C112*INDEX(SPPR!$E:$X,MATCH($A112,SPPR!$A:$A,0),9),"")</f>
        <v/>
      </c>
      <c r="M112">
        <f>IFERROR($C112*INDEX(SPPR!$E:$X,MATCH($A112,SPPR!$A:$A,0),10),"")</f>
        <v/>
      </c>
      <c r="N112">
        <f>IFERROR($C112*INDEX(SPPR!$E:$X,MATCH($A112,SPPR!$A:$A,0),11),"")</f>
        <v/>
      </c>
      <c r="O112">
        <f>IFERROR($C112*INDEX(SPPR!$E:$X,MATCH($A112,SPPR!$A:$A,0),12),"")</f>
        <v/>
      </c>
      <c r="P112">
        <f>IFERROR($C112*INDEX(SPPR!$E:$X,MATCH($A112,SPPR!$A:$A,0),13),"")</f>
        <v/>
      </c>
      <c r="Q112">
        <f>IFERROR($C112*INDEX(SPPR!$E:$X,MATCH($A112,SPPR!$A:$A,0),14),"")</f>
        <v/>
      </c>
      <c r="R112">
        <f>IFERROR($C112*INDEX(SPPR!$E:$X,MATCH($A112,SPPR!$A:$A,0),15),"")</f>
        <v/>
      </c>
      <c r="S112">
        <f>IFERROR($C112*INDEX(SPPR!$E:$X,MATCH($A112,SPPR!$A:$A,0),16),"")</f>
        <v/>
      </c>
      <c r="T112">
        <f>IFERROR($C112*INDEX(SPPR!$E:$X,MATCH($A112,SPPR!$A:$A,0),17),"")</f>
        <v/>
      </c>
      <c r="U112">
        <f>IFERROR($C112*INDEX(SPPR!$E:$X,MATCH($A112,SPPR!$A:$A,0),18),"")</f>
        <v/>
      </c>
      <c r="V112">
        <f>IFERROR($C112*INDEX(SPPR!$E:$X,MATCH($A112,SPPR!$A:$A,0),19),"")</f>
        <v/>
      </c>
      <c r="W112">
        <f>IFERROR($C112*INDEX(SPPR!$E:$X,MATCH($A112,SPPR!$A:$A,0),20),"")</f>
        <v/>
      </c>
    </row>
    <row r="113">
      <c r="A113" t="inlineStr">
        <is>
          <t>Coryphaena</t>
        </is>
      </c>
      <c r="B113">
        <f>IFERROR(INDEX(SPPR!$D:$D,MATCH($A113,SPPR!$A:$A,0)),"")</f>
        <v/>
      </c>
      <c r="C113">
        <f>IFERROR(INDEX(Catch!$E:$BV,MATCH($A113,Catch!$A:$A,0),MATCH($B$4,Catch!$E$1:$BV$1,0)),0)</f>
        <v/>
      </c>
      <c r="D113">
        <f>IFERROR($C113*INDEX(SPPR!$E:$X,MATCH($A113,SPPR!$A:$A,0),1),"")</f>
        <v/>
      </c>
      <c r="E113">
        <f>IFERROR($C113*INDEX(SPPR!$E:$X,MATCH($A113,SPPR!$A:$A,0),2),"")</f>
        <v/>
      </c>
      <c r="F113">
        <f>IFERROR($C113*INDEX(SPPR!$E:$X,MATCH($A113,SPPR!$A:$A,0),3),"")</f>
        <v/>
      </c>
      <c r="G113">
        <f>IFERROR($C113*INDEX(SPPR!$E:$X,MATCH($A113,SPPR!$A:$A,0),4),"")</f>
        <v/>
      </c>
      <c r="H113">
        <f>IFERROR($C113*INDEX(SPPR!$E:$X,MATCH($A113,SPPR!$A:$A,0),5),"")</f>
        <v/>
      </c>
      <c r="I113">
        <f>IFERROR($C113*INDEX(SPPR!$E:$X,MATCH($A113,SPPR!$A:$A,0),6),"")</f>
        <v/>
      </c>
      <c r="J113">
        <f>IFERROR($C113*INDEX(SPPR!$E:$X,MATCH($A113,SPPR!$A:$A,0),7),"")</f>
        <v/>
      </c>
      <c r="K113">
        <f>IFERROR($C113*INDEX(SPPR!$E:$X,MATCH($A113,SPPR!$A:$A,0),8),"")</f>
        <v/>
      </c>
      <c r="L113">
        <f>IFERROR($C113*INDEX(SPPR!$E:$X,MATCH($A113,SPPR!$A:$A,0),9),"")</f>
        <v/>
      </c>
      <c r="M113">
        <f>IFERROR($C113*INDEX(SPPR!$E:$X,MATCH($A113,SPPR!$A:$A,0),10),"")</f>
        <v/>
      </c>
      <c r="N113">
        <f>IFERROR($C113*INDEX(SPPR!$E:$X,MATCH($A113,SPPR!$A:$A,0),11),"")</f>
        <v/>
      </c>
      <c r="O113">
        <f>IFERROR($C113*INDEX(SPPR!$E:$X,MATCH($A113,SPPR!$A:$A,0),12),"")</f>
        <v/>
      </c>
      <c r="P113">
        <f>IFERROR($C113*INDEX(SPPR!$E:$X,MATCH($A113,SPPR!$A:$A,0),13),"")</f>
        <v/>
      </c>
      <c r="Q113">
        <f>IFERROR($C113*INDEX(SPPR!$E:$X,MATCH($A113,SPPR!$A:$A,0),14),"")</f>
        <v/>
      </c>
      <c r="R113">
        <f>IFERROR($C113*INDEX(SPPR!$E:$X,MATCH($A113,SPPR!$A:$A,0),15),"")</f>
        <v/>
      </c>
      <c r="S113">
        <f>IFERROR($C113*INDEX(SPPR!$E:$X,MATCH($A113,SPPR!$A:$A,0),16),"")</f>
        <v/>
      </c>
      <c r="T113">
        <f>IFERROR($C113*INDEX(SPPR!$E:$X,MATCH($A113,SPPR!$A:$A,0),17),"")</f>
        <v/>
      </c>
      <c r="U113">
        <f>IFERROR($C113*INDEX(SPPR!$E:$X,MATCH($A113,SPPR!$A:$A,0),18),"")</f>
        <v/>
      </c>
      <c r="V113">
        <f>IFERROR($C113*INDEX(SPPR!$E:$X,MATCH($A113,SPPR!$A:$A,0),19),"")</f>
        <v/>
      </c>
      <c r="W113">
        <f>IFERROR($C113*INDEX(SPPR!$E:$X,MATCH($A113,SPPR!$A:$A,0),20),"")</f>
        <v/>
      </c>
    </row>
    <row r="114">
      <c r="A114" t="inlineStr">
        <is>
          <t>Thunnus alalunga</t>
        </is>
      </c>
      <c r="B114">
        <f>IFERROR(INDEX(SPPR!$D:$D,MATCH($A114,SPPR!$A:$A,0)),"")</f>
        <v/>
      </c>
      <c r="C114">
        <f>IFERROR(INDEX(Catch!$E:$BV,MATCH($A114,Catch!$A:$A,0),MATCH($B$4,Catch!$E$1:$BV$1,0)),0)</f>
        <v/>
      </c>
      <c r="D114">
        <f>IFERROR($C114*INDEX(SPPR!$E:$X,MATCH($A114,SPPR!$A:$A,0),1),"")</f>
        <v/>
      </c>
      <c r="E114">
        <f>IFERROR($C114*INDEX(SPPR!$E:$X,MATCH($A114,SPPR!$A:$A,0),2),"")</f>
        <v/>
      </c>
      <c r="F114">
        <f>IFERROR($C114*INDEX(SPPR!$E:$X,MATCH($A114,SPPR!$A:$A,0),3),"")</f>
        <v/>
      </c>
      <c r="G114">
        <f>IFERROR($C114*INDEX(SPPR!$E:$X,MATCH($A114,SPPR!$A:$A,0),4),"")</f>
        <v/>
      </c>
      <c r="H114">
        <f>IFERROR($C114*INDEX(SPPR!$E:$X,MATCH($A114,SPPR!$A:$A,0),5),"")</f>
        <v/>
      </c>
      <c r="I114">
        <f>IFERROR($C114*INDEX(SPPR!$E:$X,MATCH($A114,SPPR!$A:$A,0),6),"")</f>
        <v/>
      </c>
      <c r="J114">
        <f>IFERROR($C114*INDEX(SPPR!$E:$X,MATCH($A114,SPPR!$A:$A,0),7),"")</f>
        <v/>
      </c>
      <c r="K114">
        <f>IFERROR($C114*INDEX(SPPR!$E:$X,MATCH($A114,SPPR!$A:$A,0),8),"")</f>
        <v/>
      </c>
      <c r="L114">
        <f>IFERROR($C114*INDEX(SPPR!$E:$X,MATCH($A114,SPPR!$A:$A,0),9),"")</f>
        <v/>
      </c>
      <c r="M114">
        <f>IFERROR($C114*INDEX(SPPR!$E:$X,MATCH($A114,SPPR!$A:$A,0),10),"")</f>
        <v/>
      </c>
      <c r="N114">
        <f>IFERROR($C114*INDEX(SPPR!$E:$X,MATCH($A114,SPPR!$A:$A,0),11),"")</f>
        <v/>
      </c>
      <c r="O114">
        <f>IFERROR($C114*INDEX(SPPR!$E:$X,MATCH($A114,SPPR!$A:$A,0),12),"")</f>
        <v/>
      </c>
      <c r="P114">
        <f>IFERROR($C114*INDEX(SPPR!$E:$X,MATCH($A114,SPPR!$A:$A,0),13),"")</f>
        <v/>
      </c>
      <c r="Q114">
        <f>IFERROR($C114*INDEX(SPPR!$E:$X,MATCH($A114,SPPR!$A:$A,0),14),"")</f>
        <v/>
      </c>
      <c r="R114">
        <f>IFERROR($C114*INDEX(SPPR!$E:$X,MATCH($A114,SPPR!$A:$A,0),15),"")</f>
        <v/>
      </c>
      <c r="S114">
        <f>IFERROR($C114*INDEX(SPPR!$E:$X,MATCH($A114,SPPR!$A:$A,0),16),"")</f>
        <v/>
      </c>
      <c r="T114">
        <f>IFERROR($C114*INDEX(SPPR!$E:$X,MATCH($A114,SPPR!$A:$A,0),17),"")</f>
        <v/>
      </c>
      <c r="U114">
        <f>IFERROR($C114*INDEX(SPPR!$E:$X,MATCH($A114,SPPR!$A:$A,0),18),"")</f>
        <v/>
      </c>
      <c r="V114">
        <f>IFERROR($C114*INDEX(SPPR!$E:$X,MATCH($A114,SPPR!$A:$A,0),19),"")</f>
        <v/>
      </c>
      <c r="W114">
        <f>IFERROR($C114*INDEX(SPPR!$E:$X,MATCH($A114,SPPR!$A:$A,0),20),"")</f>
        <v/>
      </c>
    </row>
    <row r="115">
      <c r="A115" t="inlineStr">
        <is>
          <t>Platycephalus indicus</t>
        </is>
      </c>
      <c r="B115">
        <f>IFERROR(INDEX(SPPR!$D:$D,MATCH($A115,SPPR!$A:$A,0)),"")</f>
        <v/>
      </c>
      <c r="C115">
        <f>IFERROR(INDEX(Catch!$E:$BV,MATCH($A115,Catch!$A:$A,0),MATCH($B$4,Catch!$E$1:$BV$1,0)),0)</f>
        <v/>
      </c>
      <c r="D115">
        <f>IFERROR($C115*INDEX(SPPR!$E:$X,MATCH($A115,SPPR!$A:$A,0),1),"")</f>
        <v/>
      </c>
      <c r="E115">
        <f>IFERROR($C115*INDEX(SPPR!$E:$X,MATCH($A115,SPPR!$A:$A,0),2),"")</f>
        <v/>
      </c>
      <c r="F115">
        <f>IFERROR($C115*INDEX(SPPR!$E:$X,MATCH($A115,SPPR!$A:$A,0),3),"")</f>
        <v/>
      </c>
      <c r="G115">
        <f>IFERROR($C115*INDEX(SPPR!$E:$X,MATCH($A115,SPPR!$A:$A,0),4),"")</f>
        <v/>
      </c>
      <c r="H115">
        <f>IFERROR($C115*INDEX(SPPR!$E:$X,MATCH($A115,SPPR!$A:$A,0),5),"")</f>
        <v/>
      </c>
      <c r="I115">
        <f>IFERROR($C115*INDEX(SPPR!$E:$X,MATCH($A115,SPPR!$A:$A,0),6),"")</f>
        <v/>
      </c>
      <c r="J115">
        <f>IFERROR($C115*INDEX(SPPR!$E:$X,MATCH($A115,SPPR!$A:$A,0),7),"")</f>
        <v/>
      </c>
      <c r="K115">
        <f>IFERROR($C115*INDEX(SPPR!$E:$X,MATCH($A115,SPPR!$A:$A,0),8),"")</f>
        <v/>
      </c>
      <c r="L115">
        <f>IFERROR($C115*INDEX(SPPR!$E:$X,MATCH($A115,SPPR!$A:$A,0),9),"")</f>
        <v/>
      </c>
      <c r="M115">
        <f>IFERROR($C115*INDEX(SPPR!$E:$X,MATCH($A115,SPPR!$A:$A,0),10),"")</f>
        <v/>
      </c>
      <c r="N115">
        <f>IFERROR($C115*INDEX(SPPR!$E:$X,MATCH($A115,SPPR!$A:$A,0),11),"")</f>
        <v/>
      </c>
      <c r="O115">
        <f>IFERROR($C115*INDEX(SPPR!$E:$X,MATCH($A115,SPPR!$A:$A,0),12),"")</f>
        <v/>
      </c>
      <c r="P115">
        <f>IFERROR($C115*INDEX(SPPR!$E:$X,MATCH($A115,SPPR!$A:$A,0),13),"")</f>
        <v/>
      </c>
      <c r="Q115">
        <f>IFERROR($C115*INDEX(SPPR!$E:$X,MATCH($A115,SPPR!$A:$A,0),14),"")</f>
        <v/>
      </c>
      <c r="R115">
        <f>IFERROR($C115*INDEX(SPPR!$E:$X,MATCH($A115,SPPR!$A:$A,0),15),"")</f>
        <v/>
      </c>
      <c r="S115">
        <f>IFERROR($C115*INDEX(SPPR!$E:$X,MATCH($A115,SPPR!$A:$A,0),16),"")</f>
        <v/>
      </c>
      <c r="T115">
        <f>IFERROR($C115*INDEX(SPPR!$E:$X,MATCH($A115,SPPR!$A:$A,0),17),"")</f>
        <v/>
      </c>
      <c r="U115">
        <f>IFERROR($C115*INDEX(SPPR!$E:$X,MATCH($A115,SPPR!$A:$A,0),18),"")</f>
        <v/>
      </c>
      <c r="V115">
        <f>IFERROR($C115*INDEX(SPPR!$E:$X,MATCH($A115,SPPR!$A:$A,0),19),"")</f>
        <v/>
      </c>
      <c r="W115">
        <f>IFERROR($C115*INDEX(SPPR!$E:$X,MATCH($A115,SPPR!$A:$A,0),20),"")</f>
        <v/>
      </c>
    </row>
    <row r="116">
      <c r="A116" t="inlineStr">
        <is>
          <t>Mactridae</t>
        </is>
      </c>
      <c r="B116">
        <f>IFERROR(INDEX(SPPR!$D:$D,MATCH($A116,SPPR!$A:$A,0)),"")</f>
        <v/>
      </c>
      <c r="C116">
        <f>IFERROR(INDEX(Catch!$E:$BV,MATCH($A116,Catch!$A:$A,0),MATCH($B$4,Catch!$E$1:$BV$1,0)),0)</f>
        <v/>
      </c>
      <c r="D116">
        <f>IFERROR($C116*INDEX(SPPR!$E:$X,MATCH($A116,SPPR!$A:$A,0),1),"")</f>
        <v/>
      </c>
      <c r="E116">
        <f>IFERROR($C116*INDEX(SPPR!$E:$X,MATCH($A116,SPPR!$A:$A,0),2),"")</f>
        <v/>
      </c>
      <c r="F116">
        <f>IFERROR($C116*INDEX(SPPR!$E:$X,MATCH($A116,SPPR!$A:$A,0),3),"")</f>
        <v/>
      </c>
      <c r="G116">
        <f>IFERROR($C116*INDEX(SPPR!$E:$X,MATCH($A116,SPPR!$A:$A,0),4),"")</f>
        <v/>
      </c>
      <c r="H116">
        <f>IFERROR($C116*INDEX(SPPR!$E:$X,MATCH($A116,SPPR!$A:$A,0),5),"")</f>
        <v/>
      </c>
      <c r="I116">
        <f>IFERROR($C116*INDEX(SPPR!$E:$X,MATCH($A116,SPPR!$A:$A,0),6),"")</f>
        <v/>
      </c>
      <c r="J116">
        <f>IFERROR($C116*INDEX(SPPR!$E:$X,MATCH($A116,SPPR!$A:$A,0),7),"")</f>
        <v/>
      </c>
      <c r="K116">
        <f>IFERROR($C116*INDEX(SPPR!$E:$X,MATCH($A116,SPPR!$A:$A,0),8),"")</f>
        <v/>
      </c>
      <c r="L116">
        <f>IFERROR($C116*INDEX(SPPR!$E:$X,MATCH($A116,SPPR!$A:$A,0),9),"")</f>
        <v/>
      </c>
      <c r="M116">
        <f>IFERROR($C116*INDEX(SPPR!$E:$X,MATCH($A116,SPPR!$A:$A,0),10),"")</f>
        <v/>
      </c>
      <c r="N116">
        <f>IFERROR($C116*INDEX(SPPR!$E:$X,MATCH($A116,SPPR!$A:$A,0),11),"")</f>
        <v/>
      </c>
      <c r="O116">
        <f>IFERROR($C116*INDEX(SPPR!$E:$X,MATCH($A116,SPPR!$A:$A,0),12),"")</f>
        <v/>
      </c>
      <c r="P116">
        <f>IFERROR($C116*INDEX(SPPR!$E:$X,MATCH($A116,SPPR!$A:$A,0),13),"")</f>
        <v/>
      </c>
      <c r="Q116">
        <f>IFERROR($C116*INDEX(SPPR!$E:$X,MATCH($A116,SPPR!$A:$A,0),14),"")</f>
        <v/>
      </c>
      <c r="R116">
        <f>IFERROR($C116*INDEX(SPPR!$E:$X,MATCH($A116,SPPR!$A:$A,0),15),"")</f>
        <v/>
      </c>
      <c r="S116">
        <f>IFERROR($C116*INDEX(SPPR!$E:$X,MATCH($A116,SPPR!$A:$A,0),16),"")</f>
        <v/>
      </c>
      <c r="T116">
        <f>IFERROR($C116*INDEX(SPPR!$E:$X,MATCH($A116,SPPR!$A:$A,0),17),"")</f>
        <v/>
      </c>
      <c r="U116">
        <f>IFERROR($C116*INDEX(SPPR!$E:$X,MATCH($A116,SPPR!$A:$A,0),18),"")</f>
        <v/>
      </c>
      <c r="V116">
        <f>IFERROR($C116*INDEX(SPPR!$E:$X,MATCH($A116,SPPR!$A:$A,0),19),"")</f>
        <v/>
      </c>
      <c r="W116">
        <f>IFERROR($C116*INDEX(SPPR!$E:$X,MATCH($A116,SPPR!$A:$A,0),20),"")</f>
        <v/>
      </c>
    </row>
    <row r="117">
      <c r="A117" t="inlineStr">
        <is>
          <t>Muraenesocidae</t>
        </is>
      </c>
      <c r="B117">
        <f>IFERROR(INDEX(SPPR!$D:$D,MATCH($A117,SPPR!$A:$A,0)),"")</f>
        <v/>
      </c>
      <c r="C117">
        <f>IFERROR(INDEX(Catch!$E:$BV,MATCH($A117,Catch!$A:$A,0),MATCH($B$4,Catch!$E$1:$BV$1,0)),0)</f>
        <v/>
      </c>
      <c r="D117">
        <f>IFERROR($C117*INDEX(SPPR!$E:$X,MATCH($A117,SPPR!$A:$A,0),1),"")</f>
        <v/>
      </c>
      <c r="E117">
        <f>IFERROR($C117*INDEX(SPPR!$E:$X,MATCH($A117,SPPR!$A:$A,0),2),"")</f>
        <v/>
      </c>
      <c r="F117">
        <f>IFERROR($C117*INDEX(SPPR!$E:$X,MATCH($A117,SPPR!$A:$A,0),3),"")</f>
        <v/>
      </c>
      <c r="G117">
        <f>IFERROR($C117*INDEX(SPPR!$E:$X,MATCH($A117,SPPR!$A:$A,0),4),"")</f>
        <v/>
      </c>
      <c r="H117">
        <f>IFERROR($C117*INDEX(SPPR!$E:$X,MATCH($A117,SPPR!$A:$A,0),5),"")</f>
        <v/>
      </c>
      <c r="I117">
        <f>IFERROR($C117*INDEX(SPPR!$E:$X,MATCH($A117,SPPR!$A:$A,0),6),"")</f>
        <v/>
      </c>
      <c r="J117">
        <f>IFERROR($C117*INDEX(SPPR!$E:$X,MATCH($A117,SPPR!$A:$A,0),7),"")</f>
        <v/>
      </c>
      <c r="K117">
        <f>IFERROR($C117*INDEX(SPPR!$E:$X,MATCH($A117,SPPR!$A:$A,0),8),"")</f>
        <v/>
      </c>
      <c r="L117">
        <f>IFERROR($C117*INDEX(SPPR!$E:$X,MATCH($A117,SPPR!$A:$A,0),9),"")</f>
        <v/>
      </c>
      <c r="M117">
        <f>IFERROR($C117*INDEX(SPPR!$E:$X,MATCH($A117,SPPR!$A:$A,0),10),"")</f>
        <v/>
      </c>
      <c r="N117">
        <f>IFERROR($C117*INDEX(SPPR!$E:$X,MATCH($A117,SPPR!$A:$A,0),11),"")</f>
        <v/>
      </c>
      <c r="O117">
        <f>IFERROR($C117*INDEX(SPPR!$E:$X,MATCH($A117,SPPR!$A:$A,0),12),"")</f>
        <v/>
      </c>
      <c r="P117">
        <f>IFERROR($C117*INDEX(SPPR!$E:$X,MATCH($A117,SPPR!$A:$A,0),13),"")</f>
        <v/>
      </c>
      <c r="Q117">
        <f>IFERROR($C117*INDEX(SPPR!$E:$X,MATCH($A117,SPPR!$A:$A,0),14),"")</f>
        <v/>
      </c>
      <c r="R117">
        <f>IFERROR($C117*INDEX(SPPR!$E:$X,MATCH($A117,SPPR!$A:$A,0),15),"")</f>
        <v/>
      </c>
      <c r="S117">
        <f>IFERROR($C117*INDEX(SPPR!$E:$X,MATCH($A117,SPPR!$A:$A,0),16),"")</f>
        <v/>
      </c>
      <c r="T117">
        <f>IFERROR($C117*INDEX(SPPR!$E:$X,MATCH($A117,SPPR!$A:$A,0),17),"")</f>
        <v/>
      </c>
      <c r="U117">
        <f>IFERROR($C117*INDEX(SPPR!$E:$X,MATCH($A117,SPPR!$A:$A,0),18),"")</f>
        <v/>
      </c>
      <c r="V117">
        <f>IFERROR($C117*INDEX(SPPR!$E:$X,MATCH($A117,SPPR!$A:$A,0),19),"")</f>
        <v/>
      </c>
      <c r="W117">
        <f>IFERROR($C117*INDEX(SPPR!$E:$X,MATCH($A117,SPPR!$A:$A,0),20),"")</f>
        <v/>
      </c>
    </row>
    <row r="118">
      <c r="A118" t="inlineStr">
        <is>
          <t>Squalidae</t>
        </is>
      </c>
      <c r="B118">
        <f>IFERROR(INDEX(SPPR!$D:$D,MATCH($A118,SPPR!$A:$A,0)),"")</f>
        <v/>
      </c>
      <c r="C118">
        <f>IFERROR(INDEX(Catch!$E:$BV,MATCH($A118,Catch!$A:$A,0),MATCH($B$4,Catch!$E$1:$BV$1,0)),0)</f>
        <v/>
      </c>
      <c r="D118">
        <f>IFERROR($C118*INDEX(SPPR!$E:$X,MATCH($A118,SPPR!$A:$A,0),1),"")</f>
        <v/>
      </c>
      <c r="E118">
        <f>IFERROR($C118*INDEX(SPPR!$E:$X,MATCH($A118,SPPR!$A:$A,0),2),"")</f>
        <v/>
      </c>
      <c r="F118">
        <f>IFERROR($C118*INDEX(SPPR!$E:$X,MATCH($A118,SPPR!$A:$A,0),3),"")</f>
        <v/>
      </c>
      <c r="G118">
        <f>IFERROR($C118*INDEX(SPPR!$E:$X,MATCH($A118,SPPR!$A:$A,0),4),"")</f>
        <v/>
      </c>
      <c r="H118">
        <f>IFERROR($C118*INDEX(SPPR!$E:$X,MATCH($A118,SPPR!$A:$A,0),5),"")</f>
        <v/>
      </c>
      <c r="I118">
        <f>IFERROR($C118*INDEX(SPPR!$E:$X,MATCH($A118,SPPR!$A:$A,0),6),"")</f>
        <v/>
      </c>
      <c r="J118">
        <f>IFERROR($C118*INDEX(SPPR!$E:$X,MATCH($A118,SPPR!$A:$A,0),7),"")</f>
        <v/>
      </c>
      <c r="K118">
        <f>IFERROR($C118*INDEX(SPPR!$E:$X,MATCH($A118,SPPR!$A:$A,0),8),"")</f>
        <v/>
      </c>
      <c r="L118">
        <f>IFERROR($C118*INDEX(SPPR!$E:$X,MATCH($A118,SPPR!$A:$A,0),9),"")</f>
        <v/>
      </c>
      <c r="M118">
        <f>IFERROR($C118*INDEX(SPPR!$E:$X,MATCH($A118,SPPR!$A:$A,0),10),"")</f>
        <v/>
      </c>
      <c r="N118">
        <f>IFERROR($C118*INDEX(SPPR!$E:$X,MATCH($A118,SPPR!$A:$A,0),11),"")</f>
        <v/>
      </c>
      <c r="O118">
        <f>IFERROR($C118*INDEX(SPPR!$E:$X,MATCH($A118,SPPR!$A:$A,0),12),"")</f>
        <v/>
      </c>
      <c r="P118">
        <f>IFERROR($C118*INDEX(SPPR!$E:$X,MATCH($A118,SPPR!$A:$A,0),13),"")</f>
        <v/>
      </c>
      <c r="Q118">
        <f>IFERROR($C118*INDEX(SPPR!$E:$X,MATCH($A118,SPPR!$A:$A,0),14),"")</f>
        <v/>
      </c>
      <c r="R118">
        <f>IFERROR($C118*INDEX(SPPR!$E:$X,MATCH($A118,SPPR!$A:$A,0),15),"")</f>
        <v/>
      </c>
      <c r="S118">
        <f>IFERROR($C118*INDEX(SPPR!$E:$X,MATCH($A118,SPPR!$A:$A,0),16),"")</f>
        <v/>
      </c>
      <c r="T118">
        <f>IFERROR($C118*INDEX(SPPR!$E:$X,MATCH($A118,SPPR!$A:$A,0),17),"")</f>
        <v/>
      </c>
      <c r="U118">
        <f>IFERROR($C118*INDEX(SPPR!$E:$X,MATCH($A118,SPPR!$A:$A,0),18),"")</f>
        <v/>
      </c>
      <c r="V118">
        <f>IFERROR($C118*INDEX(SPPR!$E:$X,MATCH($A118,SPPR!$A:$A,0),19),"")</f>
        <v/>
      </c>
      <c r="W118">
        <f>IFERROR($C118*INDEX(SPPR!$E:$X,MATCH($A118,SPPR!$A:$A,0),20),"")</f>
        <v/>
      </c>
    </row>
    <row r="119">
      <c r="A119" t="inlineStr">
        <is>
          <t>Seriola lalandi</t>
        </is>
      </c>
      <c r="B119">
        <f>IFERROR(INDEX(SPPR!$D:$D,MATCH($A119,SPPR!$A:$A,0)),"")</f>
        <v/>
      </c>
      <c r="C119">
        <f>IFERROR(INDEX(Catch!$E:$BV,MATCH($A119,Catch!$A:$A,0),MATCH($B$4,Catch!$E$1:$BV$1,0)),0)</f>
        <v/>
      </c>
      <c r="D119">
        <f>IFERROR($C119*INDEX(SPPR!$E:$X,MATCH($A119,SPPR!$A:$A,0),1),"")</f>
        <v/>
      </c>
      <c r="E119">
        <f>IFERROR($C119*INDEX(SPPR!$E:$X,MATCH($A119,SPPR!$A:$A,0),2),"")</f>
        <v/>
      </c>
      <c r="F119">
        <f>IFERROR($C119*INDEX(SPPR!$E:$X,MATCH($A119,SPPR!$A:$A,0),3),"")</f>
        <v/>
      </c>
      <c r="G119">
        <f>IFERROR($C119*INDEX(SPPR!$E:$X,MATCH($A119,SPPR!$A:$A,0),4),"")</f>
        <v/>
      </c>
      <c r="H119">
        <f>IFERROR($C119*INDEX(SPPR!$E:$X,MATCH($A119,SPPR!$A:$A,0),5),"")</f>
        <v/>
      </c>
      <c r="I119">
        <f>IFERROR($C119*INDEX(SPPR!$E:$X,MATCH($A119,SPPR!$A:$A,0),6),"")</f>
        <v/>
      </c>
      <c r="J119">
        <f>IFERROR($C119*INDEX(SPPR!$E:$X,MATCH($A119,SPPR!$A:$A,0),7),"")</f>
        <v/>
      </c>
      <c r="K119">
        <f>IFERROR($C119*INDEX(SPPR!$E:$X,MATCH($A119,SPPR!$A:$A,0),8),"")</f>
        <v/>
      </c>
      <c r="L119">
        <f>IFERROR($C119*INDEX(SPPR!$E:$X,MATCH($A119,SPPR!$A:$A,0),9),"")</f>
        <v/>
      </c>
      <c r="M119">
        <f>IFERROR($C119*INDEX(SPPR!$E:$X,MATCH($A119,SPPR!$A:$A,0),10),"")</f>
        <v/>
      </c>
      <c r="N119">
        <f>IFERROR($C119*INDEX(SPPR!$E:$X,MATCH($A119,SPPR!$A:$A,0),11),"")</f>
        <v/>
      </c>
      <c r="O119">
        <f>IFERROR($C119*INDEX(SPPR!$E:$X,MATCH($A119,SPPR!$A:$A,0),12),"")</f>
        <v/>
      </c>
      <c r="P119">
        <f>IFERROR($C119*INDEX(SPPR!$E:$X,MATCH($A119,SPPR!$A:$A,0),13),"")</f>
        <v/>
      </c>
      <c r="Q119">
        <f>IFERROR($C119*INDEX(SPPR!$E:$X,MATCH($A119,SPPR!$A:$A,0),14),"")</f>
        <v/>
      </c>
      <c r="R119">
        <f>IFERROR($C119*INDEX(SPPR!$E:$X,MATCH($A119,SPPR!$A:$A,0),15),"")</f>
        <v/>
      </c>
      <c r="S119">
        <f>IFERROR($C119*INDEX(SPPR!$E:$X,MATCH($A119,SPPR!$A:$A,0),16),"")</f>
        <v/>
      </c>
      <c r="T119">
        <f>IFERROR($C119*INDEX(SPPR!$E:$X,MATCH($A119,SPPR!$A:$A,0),17),"")</f>
        <v/>
      </c>
      <c r="U119">
        <f>IFERROR($C119*INDEX(SPPR!$E:$X,MATCH($A119,SPPR!$A:$A,0),18),"")</f>
        <v/>
      </c>
      <c r="V119">
        <f>IFERROR($C119*INDEX(SPPR!$E:$X,MATCH($A119,SPPR!$A:$A,0),19),"")</f>
        <v/>
      </c>
      <c r="W119">
        <f>IFERROR($C119*INDEX(SPPR!$E:$X,MATCH($A119,SPPR!$A:$A,0),20),"")</f>
        <v/>
      </c>
    </row>
    <row r="120">
      <c r="A120" t="inlineStr">
        <is>
          <t>Portunidae</t>
        </is>
      </c>
      <c r="B120">
        <f>IFERROR(INDEX(SPPR!$D:$D,MATCH($A120,SPPR!$A:$A,0)),"")</f>
        <v/>
      </c>
      <c r="C120">
        <f>IFERROR(INDEX(Catch!$E:$BV,MATCH($A120,Catch!$A:$A,0),MATCH($B$4,Catch!$E$1:$BV$1,0)),0)</f>
        <v/>
      </c>
      <c r="D120">
        <f>IFERROR($C120*INDEX(SPPR!$E:$X,MATCH($A120,SPPR!$A:$A,0),1),"")</f>
        <v/>
      </c>
      <c r="E120">
        <f>IFERROR($C120*INDEX(SPPR!$E:$X,MATCH($A120,SPPR!$A:$A,0),2),"")</f>
        <v/>
      </c>
      <c r="F120">
        <f>IFERROR($C120*INDEX(SPPR!$E:$X,MATCH($A120,SPPR!$A:$A,0),3),"")</f>
        <v/>
      </c>
      <c r="G120">
        <f>IFERROR($C120*INDEX(SPPR!$E:$X,MATCH($A120,SPPR!$A:$A,0),4),"")</f>
        <v/>
      </c>
      <c r="H120">
        <f>IFERROR($C120*INDEX(SPPR!$E:$X,MATCH($A120,SPPR!$A:$A,0),5),"")</f>
        <v/>
      </c>
      <c r="I120">
        <f>IFERROR($C120*INDEX(SPPR!$E:$X,MATCH($A120,SPPR!$A:$A,0),6),"")</f>
        <v/>
      </c>
      <c r="J120">
        <f>IFERROR($C120*INDEX(SPPR!$E:$X,MATCH($A120,SPPR!$A:$A,0),7),"")</f>
        <v/>
      </c>
      <c r="K120">
        <f>IFERROR($C120*INDEX(SPPR!$E:$X,MATCH($A120,SPPR!$A:$A,0),8),"")</f>
        <v/>
      </c>
      <c r="L120">
        <f>IFERROR($C120*INDEX(SPPR!$E:$X,MATCH($A120,SPPR!$A:$A,0),9),"")</f>
        <v/>
      </c>
      <c r="M120">
        <f>IFERROR($C120*INDEX(SPPR!$E:$X,MATCH($A120,SPPR!$A:$A,0),10),"")</f>
        <v/>
      </c>
      <c r="N120">
        <f>IFERROR($C120*INDEX(SPPR!$E:$X,MATCH($A120,SPPR!$A:$A,0),11),"")</f>
        <v/>
      </c>
      <c r="O120">
        <f>IFERROR($C120*INDEX(SPPR!$E:$X,MATCH($A120,SPPR!$A:$A,0),12),"")</f>
        <v/>
      </c>
      <c r="P120">
        <f>IFERROR($C120*INDEX(SPPR!$E:$X,MATCH($A120,SPPR!$A:$A,0),13),"")</f>
        <v/>
      </c>
      <c r="Q120">
        <f>IFERROR($C120*INDEX(SPPR!$E:$X,MATCH($A120,SPPR!$A:$A,0),14),"")</f>
        <v/>
      </c>
      <c r="R120">
        <f>IFERROR($C120*INDEX(SPPR!$E:$X,MATCH($A120,SPPR!$A:$A,0),15),"")</f>
        <v/>
      </c>
      <c r="S120">
        <f>IFERROR($C120*INDEX(SPPR!$E:$X,MATCH($A120,SPPR!$A:$A,0),16),"")</f>
        <v/>
      </c>
      <c r="T120">
        <f>IFERROR($C120*INDEX(SPPR!$E:$X,MATCH($A120,SPPR!$A:$A,0),17),"")</f>
        <v/>
      </c>
      <c r="U120">
        <f>IFERROR($C120*INDEX(SPPR!$E:$X,MATCH($A120,SPPR!$A:$A,0),18),"")</f>
        <v/>
      </c>
      <c r="V120">
        <f>IFERROR($C120*INDEX(SPPR!$E:$X,MATCH($A120,SPPR!$A:$A,0),19),"")</f>
        <v/>
      </c>
      <c r="W120">
        <f>IFERROR($C120*INDEX(SPPR!$E:$X,MATCH($A120,SPPR!$A:$A,0),20),"")</f>
        <v/>
      </c>
    </row>
    <row r="121">
      <c r="A121" t="inlineStr">
        <is>
          <t>Pagrus auratus</t>
        </is>
      </c>
      <c r="B121">
        <f>IFERROR(INDEX(SPPR!$D:$D,MATCH($A121,SPPR!$A:$A,0)),"")</f>
        <v/>
      </c>
      <c r="C121">
        <f>IFERROR(INDEX(Catch!$E:$BV,MATCH($A121,Catch!$A:$A,0),MATCH($B$4,Catch!$E$1:$BV$1,0)),0)</f>
        <v/>
      </c>
      <c r="D121">
        <f>IFERROR($C121*INDEX(SPPR!$E:$X,MATCH($A121,SPPR!$A:$A,0),1),"")</f>
        <v/>
      </c>
      <c r="E121">
        <f>IFERROR($C121*INDEX(SPPR!$E:$X,MATCH($A121,SPPR!$A:$A,0),2),"")</f>
        <v/>
      </c>
      <c r="F121">
        <f>IFERROR($C121*INDEX(SPPR!$E:$X,MATCH($A121,SPPR!$A:$A,0),3),"")</f>
        <v/>
      </c>
      <c r="G121">
        <f>IFERROR($C121*INDEX(SPPR!$E:$X,MATCH($A121,SPPR!$A:$A,0),4),"")</f>
        <v/>
      </c>
      <c r="H121">
        <f>IFERROR($C121*INDEX(SPPR!$E:$X,MATCH($A121,SPPR!$A:$A,0),5),"")</f>
        <v/>
      </c>
      <c r="I121">
        <f>IFERROR($C121*INDEX(SPPR!$E:$X,MATCH($A121,SPPR!$A:$A,0),6),"")</f>
        <v/>
      </c>
      <c r="J121">
        <f>IFERROR($C121*INDEX(SPPR!$E:$X,MATCH($A121,SPPR!$A:$A,0),7),"")</f>
        <v/>
      </c>
      <c r="K121">
        <f>IFERROR($C121*INDEX(SPPR!$E:$X,MATCH($A121,SPPR!$A:$A,0),8),"")</f>
        <v/>
      </c>
      <c r="L121">
        <f>IFERROR($C121*INDEX(SPPR!$E:$X,MATCH($A121,SPPR!$A:$A,0),9),"")</f>
        <v/>
      </c>
      <c r="M121">
        <f>IFERROR($C121*INDEX(SPPR!$E:$X,MATCH($A121,SPPR!$A:$A,0),10),"")</f>
        <v/>
      </c>
      <c r="N121">
        <f>IFERROR($C121*INDEX(SPPR!$E:$X,MATCH($A121,SPPR!$A:$A,0),11),"")</f>
        <v/>
      </c>
      <c r="O121">
        <f>IFERROR($C121*INDEX(SPPR!$E:$X,MATCH($A121,SPPR!$A:$A,0),12),"")</f>
        <v/>
      </c>
      <c r="P121">
        <f>IFERROR($C121*INDEX(SPPR!$E:$X,MATCH($A121,SPPR!$A:$A,0),13),"")</f>
        <v/>
      </c>
      <c r="Q121">
        <f>IFERROR($C121*INDEX(SPPR!$E:$X,MATCH($A121,SPPR!$A:$A,0),14),"")</f>
        <v/>
      </c>
      <c r="R121">
        <f>IFERROR($C121*INDEX(SPPR!$E:$X,MATCH($A121,SPPR!$A:$A,0),15),"")</f>
        <v/>
      </c>
      <c r="S121">
        <f>IFERROR($C121*INDEX(SPPR!$E:$X,MATCH($A121,SPPR!$A:$A,0),16),"")</f>
        <v/>
      </c>
      <c r="T121">
        <f>IFERROR($C121*INDEX(SPPR!$E:$X,MATCH($A121,SPPR!$A:$A,0),17),"")</f>
        <v/>
      </c>
      <c r="U121">
        <f>IFERROR($C121*INDEX(SPPR!$E:$X,MATCH($A121,SPPR!$A:$A,0),18),"")</f>
        <v/>
      </c>
      <c r="V121">
        <f>IFERROR($C121*INDEX(SPPR!$E:$X,MATCH($A121,SPPR!$A:$A,0),19),"")</f>
        <v/>
      </c>
      <c r="W121">
        <f>IFERROR($C121*INDEX(SPPR!$E:$X,MATCH($A121,SPPR!$A:$A,0),20),"")</f>
        <v/>
      </c>
    </row>
    <row r="122">
      <c r="A122" t="inlineStr">
        <is>
          <t>Thunnus obesus</t>
        </is>
      </c>
      <c r="B122">
        <f>IFERROR(INDEX(SPPR!$D:$D,MATCH($A122,SPPR!$A:$A,0)),"")</f>
        <v/>
      </c>
      <c r="C122">
        <f>IFERROR(INDEX(Catch!$E:$BV,MATCH($A122,Catch!$A:$A,0),MATCH($B$4,Catch!$E$1:$BV$1,0)),0)</f>
        <v/>
      </c>
      <c r="D122">
        <f>IFERROR($C122*INDEX(SPPR!$E:$X,MATCH($A122,SPPR!$A:$A,0),1),"")</f>
        <v/>
      </c>
      <c r="E122">
        <f>IFERROR($C122*INDEX(SPPR!$E:$X,MATCH($A122,SPPR!$A:$A,0),2),"")</f>
        <v/>
      </c>
      <c r="F122">
        <f>IFERROR($C122*INDEX(SPPR!$E:$X,MATCH($A122,SPPR!$A:$A,0),3),"")</f>
        <v/>
      </c>
      <c r="G122">
        <f>IFERROR($C122*INDEX(SPPR!$E:$X,MATCH($A122,SPPR!$A:$A,0),4),"")</f>
        <v/>
      </c>
      <c r="H122">
        <f>IFERROR($C122*INDEX(SPPR!$E:$X,MATCH($A122,SPPR!$A:$A,0),5),"")</f>
        <v/>
      </c>
      <c r="I122">
        <f>IFERROR($C122*INDEX(SPPR!$E:$X,MATCH($A122,SPPR!$A:$A,0),6),"")</f>
        <v/>
      </c>
      <c r="J122">
        <f>IFERROR($C122*INDEX(SPPR!$E:$X,MATCH($A122,SPPR!$A:$A,0),7),"")</f>
        <v/>
      </c>
      <c r="K122">
        <f>IFERROR($C122*INDEX(SPPR!$E:$X,MATCH($A122,SPPR!$A:$A,0),8),"")</f>
        <v/>
      </c>
      <c r="L122">
        <f>IFERROR($C122*INDEX(SPPR!$E:$X,MATCH($A122,SPPR!$A:$A,0),9),"")</f>
        <v/>
      </c>
      <c r="M122">
        <f>IFERROR($C122*INDEX(SPPR!$E:$X,MATCH($A122,SPPR!$A:$A,0),10),"")</f>
        <v/>
      </c>
      <c r="N122">
        <f>IFERROR($C122*INDEX(SPPR!$E:$X,MATCH($A122,SPPR!$A:$A,0),11),"")</f>
        <v/>
      </c>
      <c r="O122">
        <f>IFERROR($C122*INDEX(SPPR!$E:$X,MATCH($A122,SPPR!$A:$A,0),12),"")</f>
        <v/>
      </c>
      <c r="P122">
        <f>IFERROR($C122*INDEX(SPPR!$E:$X,MATCH($A122,SPPR!$A:$A,0),13),"")</f>
        <v/>
      </c>
      <c r="Q122">
        <f>IFERROR($C122*INDEX(SPPR!$E:$X,MATCH($A122,SPPR!$A:$A,0),14),"")</f>
        <v/>
      </c>
      <c r="R122">
        <f>IFERROR($C122*INDEX(SPPR!$E:$X,MATCH($A122,SPPR!$A:$A,0),15),"")</f>
        <v/>
      </c>
      <c r="S122">
        <f>IFERROR($C122*INDEX(SPPR!$E:$X,MATCH($A122,SPPR!$A:$A,0),16),"")</f>
        <v/>
      </c>
      <c r="T122">
        <f>IFERROR($C122*INDEX(SPPR!$E:$X,MATCH($A122,SPPR!$A:$A,0),17),"")</f>
        <v/>
      </c>
      <c r="U122">
        <f>IFERROR($C122*INDEX(SPPR!$E:$X,MATCH($A122,SPPR!$A:$A,0),18),"")</f>
        <v/>
      </c>
      <c r="V122">
        <f>IFERROR($C122*INDEX(SPPR!$E:$X,MATCH($A122,SPPR!$A:$A,0),19),"")</f>
        <v/>
      </c>
      <c r="W122">
        <f>IFERROR($C122*INDEX(SPPR!$E:$X,MATCH($A122,SPPR!$A:$A,0),20),"")</f>
        <v/>
      </c>
    </row>
    <row r="123">
      <c r="A123" t="inlineStr">
        <is>
          <t>Haemulidae</t>
        </is>
      </c>
      <c r="B123">
        <f>IFERROR(INDEX(SPPR!$D:$D,MATCH($A123,SPPR!$A:$A,0)),"")</f>
        <v/>
      </c>
      <c r="C123">
        <f>IFERROR(INDEX(Catch!$E:$BV,MATCH($A123,Catch!$A:$A,0),MATCH($B$4,Catch!$E$1:$BV$1,0)),0)</f>
        <v/>
      </c>
      <c r="D123">
        <f>IFERROR($C123*INDEX(SPPR!$E:$X,MATCH($A123,SPPR!$A:$A,0),1),"")</f>
        <v/>
      </c>
      <c r="E123">
        <f>IFERROR($C123*INDEX(SPPR!$E:$X,MATCH($A123,SPPR!$A:$A,0),2),"")</f>
        <v/>
      </c>
      <c r="F123">
        <f>IFERROR($C123*INDEX(SPPR!$E:$X,MATCH($A123,SPPR!$A:$A,0),3),"")</f>
        <v/>
      </c>
      <c r="G123">
        <f>IFERROR($C123*INDEX(SPPR!$E:$X,MATCH($A123,SPPR!$A:$A,0),4),"")</f>
        <v/>
      </c>
      <c r="H123">
        <f>IFERROR($C123*INDEX(SPPR!$E:$X,MATCH($A123,SPPR!$A:$A,0),5),"")</f>
        <v/>
      </c>
      <c r="I123">
        <f>IFERROR($C123*INDEX(SPPR!$E:$X,MATCH($A123,SPPR!$A:$A,0),6),"")</f>
        <v/>
      </c>
      <c r="J123">
        <f>IFERROR($C123*INDEX(SPPR!$E:$X,MATCH($A123,SPPR!$A:$A,0),7),"")</f>
        <v/>
      </c>
      <c r="K123">
        <f>IFERROR($C123*INDEX(SPPR!$E:$X,MATCH($A123,SPPR!$A:$A,0),8),"")</f>
        <v/>
      </c>
      <c r="L123">
        <f>IFERROR($C123*INDEX(SPPR!$E:$X,MATCH($A123,SPPR!$A:$A,0),9),"")</f>
        <v/>
      </c>
      <c r="M123">
        <f>IFERROR($C123*INDEX(SPPR!$E:$X,MATCH($A123,SPPR!$A:$A,0),10),"")</f>
        <v/>
      </c>
      <c r="N123">
        <f>IFERROR($C123*INDEX(SPPR!$E:$X,MATCH($A123,SPPR!$A:$A,0),11),"")</f>
        <v/>
      </c>
      <c r="O123">
        <f>IFERROR($C123*INDEX(SPPR!$E:$X,MATCH($A123,SPPR!$A:$A,0),12),"")</f>
        <v/>
      </c>
      <c r="P123">
        <f>IFERROR($C123*INDEX(SPPR!$E:$X,MATCH($A123,SPPR!$A:$A,0),13),"")</f>
        <v/>
      </c>
      <c r="Q123">
        <f>IFERROR($C123*INDEX(SPPR!$E:$X,MATCH($A123,SPPR!$A:$A,0),14),"")</f>
        <v/>
      </c>
      <c r="R123">
        <f>IFERROR($C123*INDEX(SPPR!$E:$X,MATCH($A123,SPPR!$A:$A,0),15),"")</f>
        <v/>
      </c>
      <c r="S123">
        <f>IFERROR($C123*INDEX(SPPR!$E:$X,MATCH($A123,SPPR!$A:$A,0),16),"")</f>
        <v/>
      </c>
      <c r="T123">
        <f>IFERROR($C123*INDEX(SPPR!$E:$X,MATCH($A123,SPPR!$A:$A,0),17),"")</f>
        <v/>
      </c>
      <c r="U123">
        <f>IFERROR($C123*INDEX(SPPR!$E:$X,MATCH($A123,SPPR!$A:$A,0),18),"")</f>
        <v/>
      </c>
      <c r="V123">
        <f>IFERROR($C123*INDEX(SPPR!$E:$X,MATCH($A123,SPPR!$A:$A,0),19),"")</f>
        <v/>
      </c>
      <c r="W123">
        <f>IFERROR($C123*INDEX(SPPR!$E:$X,MATCH($A123,SPPR!$A:$A,0),20),"")</f>
        <v/>
      </c>
    </row>
    <row r="124">
      <c r="A124" t="inlineStr">
        <is>
          <t>Gastropoda</t>
        </is>
      </c>
      <c r="B124">
        <f>IFERROR(INDEX(SPPR!$D:$D,MATCH($A124,SPPR!$A:$A,0)),"")</f>
        <v/>
      </c>
      <c r="C124">
        <f>IFERROR(INDEX(Catch!$E:$BV,MATCH($A124,Catch!$A:$A,0),MATCH($B$4,Catch!$E$1:$BV$1,0)),0)</f>
        <v/>
      </c>
      <c r="D124">
        <f>IFERROR($C124*INDEX(SPPR!$E:$X,MATCH($A124,SPPR!$A:$A,0),1),"")</f>
        <v/>
      </c>
      <c r="E124">
        <f>IFERROR($C124*INDEX(SPPR!$E:$X,MATCH($A124,SPPR!$A:$A,0),2),"")</f>
        <v/>
      </c>
      <c r="F124">
        <f>IFERROR($C124*INDEX(SPPR!$E:$X,MATCH($A124,SPPR!$A:$A,0),3),"")</f>
        <v/>
      </c>
      <c r="G124">
        <f>IFERROR($C124*INDEX(SPPR!$E:$X,MATCH($A124,SPPR!$A:$A,0),4),"")</f>
        <v/>
      </c>
      <c r="H124">
        <f>IFERROR($C124*INDEX(SPPR!$E:$X,MATCH($A124,SPPR!$A:$A,0),5),"")</f>
        <v/>
      </c>
      <c r="I124">
        <f>IFERROR($C124*INDEX(SPPR!$E:$X,MATCH($A124,SPPR!$A:$A,0),6),"")</f>
        <v/>
      </c>
      <c r="J124">
        <f>IFERROR($C124*INDEX(SPPR!$E:$X,MATCH($A124,SPPR!$A:$A,0),7),"")</f>
        <v/>
      </c>
      <c r="K124">
        <f>IFERROR($C124*INDEX(SPPR!$E:$X,MATCH($A124,SPPR!$A:$A,0),8),"")</f>
        <v/>
      </c>
      <c r="L124">
        <f>IFERROR($C124*INDEX(SPPR!$E:$X,MATCH($A124,SPPR!$A:$A,0),9),"")</f>
        <v/>
      </c>
      <c r="M124">
        <f>IFERROR($C124*INDEX(SPPR!$E:$X,MATCH($A124,SPPR!$A:$A,0),10),"")</f>
        <v/>
      </c>
      <c r="N124">
        <f>IFERROR($C124*INDEX(SPPR!$E:$X,MATCH($A124,SPPR!$A:$A,0),11),"")</f>
        <v/>
      </c>
      <c r="O124">
        <f>IFERROR($C124*INDEX(SPPR!$E:$X,MATCH($A124,SPPR!$A:$A,0),12),"")</f>
        <v/>
      </c>
      <c r="P124">
        <f>IFERROR($C124*INDEX(SPPR!$E:$X,MATCH($A124,SPPR!$A:$A,0),13),"")</f>
        <v/>
      </c>
      <c r="Q124">
        <f>IFERROR($C124*INDEX(SPPR!$E:$X,MATCH($A124,SPPR!$A:$A,0),14),"")</f>
        <v/>
      </c>
      <c r="R124">
        <f>IFERROR($C124*INDEX(SPPR!$E:$X,MATCH($A124,SPPR!$A:$A,0),15),"")</f>
        <v/>
      </c>
      <c r="S124">
        <f>IFERROR($C124*INDEX(SPPR!$E:$X,MATCH($A124,SPPR!$A:$A,0),16),"")</f>
        <v/>
      </c>
      <c r="T124">
        <f>IFERROR($C124*INDEX(SPPR!$E:$X,MATCH($A124,SPPR!$A:$A,0),17),"")</f>
        <v/>
      </c>
      <c r="U124">
        <f>IFERROR($C124*INDEX(SPPR!$E:$X,MATCH($A124,SPPR!$A:$A,0),18),"")</f>
        <v/>
      </c>
      <c r="V124">
        <f>IFERROR($C124*INDEX(SPPR!$E:$X,MATCH($A124,SPPR!$A:$A,0),19),"")</f>
        <v/>
      </c>
      <c r="W124">
        <f>IFERROR($C124*INDEX(SPPR!$E:$X,MATCH($A124,SPPR!$A:$A,0),20),"")</f>
        <v/>
      </c>
    </row>
    <row r="125">
      <c r="A125" t="inlineStr">
        <is>
          <t>Holothuroidea</t>
        </is>
      </c>
      <c r="B125">
        <f>IFERROR(INDEX(SPPR!$D:$D,MATCH($A125,SPPR!$A:$A,0)),"")</f>
        <v/>
      </c>
      <c r="C125">
        <f>IFERROR(INDEX(Catch!$E:$BV,MATCH($A125,Catch!$A:$A,0),MATCH($B$4,Catch!$E$1:$BV$1,0)),0)</f>
        <v/>
      </c>
      <c r="D125">
        <f>IFERROR($C125*INDEX(SPPR!$E:$X,MATCH($A125,SPPR!$A:$A,0),1),"")</f>
        <v/>
      </c>
      <c r="E125">
        <f>IFERROR($C125*INDEX(SPPR!$E:$X,MATCH($A125,SPPR!$A:$A,0),2),"")</f>
        <v/>
      </c>
      <c r="F125">
        <f>IFERROR($C125*INDEX(SPPR!$E:$X,MATCH($A125,SPPR!$A:$A,0),3),"")</f>
        <v/>
      </c>
      <c r="G125">
        <f>IFERROR($C125*INDEX(SPPR!$E:$X,MATCH($A125,SPPR!$A:$A,0),4),"")</f>
        <v/>
      </c>
      <c r="H125">
        <f>IFERROR($C125*INDEX(SPPR!$E:$X,MATCH($A125,SPPR!$A:$A,0),5),"")</f>
        <v/>
      </c>
      <c r="I125">
        <f>IFERROR($C125*INDEX(SPPR!$E:$X,MATCH($A125,SPPR!$A:$A,0),6),"")</f>
        <v/>
      </c>
      <c r="J125">
        <f>IFERROR($C125*INDEX(SPPR!$E:$X,MATCH($A125,SPPR!$A:$A,0),7),"")</f>
        <v/>
      </c>
      <c r="K125">
        <f>IFERROR($C125*INDEX(SPPR!$E:$X,MATCH($A125,SPPR!$A:$A,0),8),"")</f>
        <v/>
      </c>
      <c r="L125">
        <f>IFERROR($C125*INDEX(SPPR!$E:$X,MATCH($A125,SPPR!$A:$A,0),9),"")</f>
        <v/>
      </c>
      <c r="M125">
        <f>IFERROR($C125*INDEX(SPPR!$E:$X,MATCH($A125,SPPR!$A:$A,0),10),"")</f>
        <v/>
      </c>
      <c r="N125">
        <f>IFERROR($C125*INDEX(SPPR!$E:$X,MATCH($A125,SPPR!$A:$A,0),11),"")</f>
        <v/>
      </c>
      <c r="O125">
        <f>IFERROR($C125*INDEX(SPPR!$E:$X,MATCH($A125,SPPR!$A:$A,0),12),"")</f>
        <v/>
      </c>
      <c r="P125">
        <f>IFERROR($C125*INDEX(SPPR!$E:$X,MATCH($A125,SPPR!$A:$A,0),13),"")</f>
        <v/>
      </c>
      <c r="Q125">
        <f>IFERROR($C125*INDEX(SPPR!$E:$X,MATCH($A125,SPPR!$A:$A,0),14),"")</f>
        <v/>
      </c>
      <c r="R125">
        <f>IFERROR($C125*INDEX(SPPR!$E:$X,MATCH($A125,SPPR!$A:$A,0),15),"")</f>
        <v/>
      </c>
      <c r="S125">
        <f>IFERROR($C125*INDEX(SPPR!$E:$X,MATCH($A125,SPPR!$A:$A,0),16),"")</f>
        <v/>
      </c>
      <c r="T125">
        <f>IFERROR($C125*INDEX(SPPR!$E:$X,MATCH($A125,SPPR!$A:$A,0),17),"")</f>
        <v/>
      </c>
      <c r="U125">
        <f>IFERROR($C125*INDEX(SPPR!$E:$X,MATCH($A125,SPPR!$A:$A,0),18),"")</f>
        <v/>
      </c>
      <c r="V125">
        <f>IFERROR($C125*INDEX(SPPR!$E:$X,MATCH($A125,SPPR!$A:$A,0),19),"")</f>
        <v/>
      </c>
      <c r="W125">
        <f>IFERROR($C125*INDEX(SPPR!$E:$X,MATCH($A125,SPPR!$A:$A,0),20),"")</f>
        <v/>
      </c>
    </row>
    <row r="126">
      <c r="A126" t="inlineStr">
        <is>
          <t>Penaeus japonicus</t>
        </is>
      </c>
      <c r="B126">
        <f>IFERROR(INDEX(SPPR!$D:$D,MATCH($A126,SPPR!$A:$A,0)),"")</f>
        <v/>
      </c>
      <c r="C126">
        <f>IFERROR(INDEX(Catch!$E:$BV,MATCH($A126,Catch!$A:$A,0),MATCH($B$4,Catch!$E$1:$BV$1,0)),0)</f>
        <v/>
      </c>
      <c r="D126">
        <f>IFERROR($C126*INDEX(SPPR!$E:$X,MATCH($A126,SPPR!$A:$A,0),1),"")</f>
        <v/>
      </c>
      <c r="E126">
        <f>IFERROR($C126*INDEX(SPPR!$E:$X,MATCH($A126,SPPR!$A:$A,0),2),"")</f>
        <v/>
      </c>
      <c r="F126">
        <f>IFERROR($C126*INDEX(SPPR!$E:$X,MATCH($A126,SPPR!$A:$A,0),3),"")</f>
        <v/>
      </c>
      <c r="G126">
        <f>IFERROR($C126*INDEX(SPPR!$E:$X,MATCH($A126,SPPR!$A:$A,0),4),"")</f>
        <v/>
      </c>
      <c r="H126">
        <f>IFERROR($C126*INDEX(SPPR!$E:$X,MATCH($A126,SPPR!$A:$A,0),5),"")</f>
        <v/>
      </c>
      <c r="I126">
        <f>IFERROR($C126*INDEX(SPPR!$E:$X,MATCH($A126,SPPR!$A:$A,0),6),"")</f>
        <v/>
      </c>
      <c r="J126">
        <f>IFERROR($C126*INDEX(SPPR!$E:$X,MATCH($A126,SPPR!$A:$A,0),7),"")</f>
        <v/>
      </c>
      <c r="K126">
        <f>IFERROR($C126*INDEX(SPPR!$E:$X,MATCH($A126,SPPR!$A:$A,0),8),"")</f>
        <v/>
      </c>
      <c r="L126">
        <f>IFERROR($C126*INDEX(SPPR!$E:$X,MATCH($A126,SPPR!$A:$A,0),9),"")</f>
        <v/>
      </c>
      <c r="M126">
        <f>IFERROR($C126*INDEX(SPPR!$E:$X,MATCH($A126,SPPR!$A:$A,0),10),"")</f>
        <v/>
      </c>
      <c r="N126">
        <f>IFERROR($C126*INDEX(SPPR!$E:$X,MATCH($A126,SPPR!$A:$A,0),11),"")</f>
        <v/>
      </c>
      <c r="O126">
        <f>IFERROR($C126*INDEX(SPPR!$E:$X,MATCH($A126,SPPR!$A:$A,0),12),"")</f>
        <v/>
      </c>
      <c r="P126">
        <f>IFERROR($C126*INDEX(SPPR!$E:$X,MATCH($A126,SPPR!$A:$A,0),13),"")</f>
        <v/>
      </c>
      <c r="Q126">
        <f>IFERROR($C126*INDEX(SPPR!$E:$X,MATCH($A126,SPPR!$A:$A,0),14),"")</f>
        <v/>
      </c>
      <c r="R126">
        <f>IFERROR($C126*INDEX(SPPR!$E:$X,MATCH($A126,SPPR!$A:$A,0),15),"")</f>
        <v/>
      </c>
      <c r="S126">
        <f>IFERROR($C126*INDEX(SPPR!$E:$X,MATCH($A126,SPPR!$A:$A,0),16),"")</f>
        <v/>
      </c>
      <c r="T126">
        <f>IFERROR($C126*INDEX(SPPR!$E:$X,MATCH($A126,SPPR!$A:$A,0),17),"")</f>
        <v/>
      </c>
      <c r="U126">
        <f>IFERROR($C126*INDEX(SPPR!$E:$X,MATCH($A126,SPPR!$A:$A,0),18),"")</f>
        <v/>
      </c>
      <c r="V126">
        <f>IFERROR($C126*INDEX(SPPR!$E:$X,MATCH($A126,SPPR!$A:$A,0),19),"")</f>
        <v/>
      </c>
      <c r="W126">
        <f>IFERROR($C126*INDEX(SPPR!$E:$X,MATCH($A126,SPPR!$A:$A,0),20),"")</f>
        <v/>
      </c>
    </row>
    <row r="127">
      <c r="A127" t="inlineStr">
        <is>
          <t>Mytilidae</t>
        </is>
      </c>
      <c r="B127">
        <f>IFERROR(INDEX(SPPR!$D:$D,MATCH($A127,SPPR!$A:$A,0)),"")</f>
        <v/>
      </c>
      <c r="C127">
        <f>IFERROR(INDEX(Catch!$E:$BV,MATCH($A127,Catch!$A:$A,0),MATCH($B$4,Catch!$E$1:$BV$1,0)),0)</f>
        <v/>
      </c>
      <c r="D127">
        <f>IFERROR($C127*INDEX(SPPR!$E:$X,MATCH($A127,SPPR!$A:$A,0),1),"")</f>
        <v/>
      </c>
      <c r="E127">
        <f>IFERROR($C127*INDEX(SPPR!$E:$X,MATCH($A127,SPPR!$A:$A,0),2),"")</f>
        <v/>
      </c>
      <c r="F127">
        <f>IFERROR($C127*INDEX(SPPR!$E:$X,MATCH($A127,SPPR!$A:$A,0),3),"")</f>
        <v/>
      </c>
      <c r="G127">
        <f>IFERROR($C127*INDEX(SPPR!$E:$X,MATCH($A127,SPPR!$A:$A,0),4),"")</f>
        <v/>
      </c>
      <c r="H127">
        <f>IFERROR($C127*INDEX(SPPR!$E:$X,MATCH($A127,SPPR!$A:$A,0),5),"")</f>
        <v/>
      </c>
      <c r="I127">
        <f>IFERROR($C127*INDEX(SPPR!$E:$X,MATCH($A127,SPPR!$A:$A,0),6),"")</f>
        <v/>
      </c>
      <c r="J127">
        <f>IFERROR($C127*INDEX(SPPR!$E:$X,MATCH($A127,SPPR!$A:$A,0),7),"")</f>
        <v/>
      </c>
      <c r="K127">
        <f>IFERROR($C127*INDEX(SPPR!$E:$X,MATCH($A127,SPPR!$A:$A,0),8),"")</f>
        <v/>
      </c>
      <c r="L127">
        <f>IFERROR($C127*INDEX(SPPR!$E:$X,MATCH($A127,SPPR!$A:$A,0),9),"")</f>
        <v/>
      </c>
      <c r="M127">
        <f>IFERROR($C127*INDEX(SPPR!$E:$X,MATCH($A127,SPPR!$A:$A,0),10),"")</f>
        <v/>
      </c>
      <c r="N127">
        <f>IFERROR($C127*INDEX(SPPR!$E:$X,MATCH($A127,SPPR!$A:$A,0),11),"")</f>
        <v/>
      </c>
      <c r="O127">
        <f>IFERROR($C127*INDEX(SPPR!$E:$X,MATCH($A127,SPPR!$A:$A,0),12),"")</f>
        <v/>
      </c>
      <c r="P127">
        <f>IFERROR($C127*INDEX(SPPR!$E:$X,MATCH($A127,SPPR!$A:$A,0),13),"")</f>
        <v/>
      </c>
      <c r="Q127">
        <f>IFERROR($C127*INDEX(SPPR!$E:$X,MATCH($A127,SPPR!$A:$A,0),14),"")</f>
        <v/>
      </c>
      <c r="R127">
        <f>IFERROR($C127*INDEX(SPPR!$E:$X,MATCH($A127,SPPR!$A:$A,0),15),"")</f>
        <v/>
      </c>
      <c r="S127">
        <f>IFERROR($C127*INDEX(SPPR!$E:$X,MATCH($A127,SPPR!$A:$A,0),16),"")</f>
        <v/>
      </c>
      <c r="T127">
        <f>IFERROR($C127*INDEX(SPPR!$E:$X,MATCH($A127,SPPR!$A:$A,0),17),"")</f>
        <v/>
      </c>
      <c r="U127">
        <f>IFERROR($C127*INDEX(SPPR!$E:$X,MATCH($A127,SPPR!$A:$A,0),18),"")</f>
        <v/>
      </c>
      <c r="V127">
        <f>IFERROR($C127*INDEX(SPPR!$E:$X,MATCH($A127,SPPR!$A:$A,0),19),"")</f>
        <v/>
      </c>
      <c r="W127">
        <f>IFERROR($C127*INDEX(SPPR!$E:$X,MATCH($A127,SPPR!$A:$A,0),20),"")</f>
        <v/>
      </c>
    </row>
    <row r="128">
      <c r="A128" t="inlineStr">
        <is>
          <t>Penaeidae</t>
        </is>
      </c>
      <c r="B128">
        <f>IFERROR(INDEX(SPPR!$D:$D,MATCH($A128,SPPR!$A:$A,0)),"")</f>
        <v/>
      </c>
      <c r="C128">
        <f>IFERROR(INDEX(Catch!$E:$BV,MATCH($A128,Catch!$A:$A,0),MATCH($B$4,Catch!$E$1:$BV$1,0)),0)</f>
        <v/>
      </c>
      <c r="D128">
        <f>IFERROR($C128*INDEX(SPPR!$E:$X,MATCH($A128,SPPR!$A:$A,0),1),"")</f>
        <v/>
      </c>
      <c r="E128">
        <f>IFERROR($C128*INDEX(SPPR!$E:$X,MATCH($A128,SPPR!$A:$A,0),2),"")</f>
        <v/>
      </c>
      <c r="F128">
        <f>IFERROR($C128*INDEX(SPPR!$E:$X,MATCH($A128,SPPR!$A:$A,0),3),"")</f>
        <v/>
      </c>
      <c r="G128">
        <f>IFERROR($C128*INDEX(SPPR!$E:$X,MATCH($A128,SPPR!$A:$A,0),4),"")</f>
        <v/>
      </c>
      <c r="H128">
        <f>IFERROR($C128*INDEX(SPPR!$E:$X,MATCH($A128,SPPR!$A:$A,0),5),"")</f>
        <v/>
      </c>
      <c r="I128">
        <f>IFERROR($C128*INDEX(SPPR!$E:$X,MATCH($A128,SPPR!$A:$A,0),6),"")</f>
        <v/>
      </c>
      <c r="J128">
        <f>IFERROR($C128*INDEX(SPPR!$E:$X,MATCH($A128,SPPR!$A:$A,0),7),"")</f>
        <v/>
      </c>
      <c r="K128">
        <f>IFERROR($C128*INDEX(SPPR!$E:$X,MATCH($A128,SPPR!$A:$A,0),8),"")</f>
        <v/>
      </c>
      <c r="L128">
        <f>IFERROR($C128*INDEX(SPPR!$E:$X,MATCH($A128,SPPR!$A:$A,0),9),"")</f>
        <v/>
      </c>
      <c r="M128">
        <f>IFERROR($C128*INDEX(SPPR!$E:$X,MATCH($A128,SPPR!$A:$A,0),10),"")</f>
        <v/>
      </c>
      <c r="N128">
        <f>IFERROR($C128*INDEX(SPPR!$E:$X,MATCH($A128,SPPR!$A:$A,0),11),"")</f>
        <v/>
      </c>
      <c r="O128">
        <f>IFERROR($C128*INDEX(SPPR!$E:$X,MATCH($A128,SPPR!$A:$A,0),12),"")</f>
        <v/>
      </c>
      <c r="P128">
        <f>IFERROR($C128*INDEX(SPPR!$E:$X,MATCH($A128,SPPR!$A:$A,0),13),"")</f>
        <v/>
      </c>
      <c r="Q128">
        <f>IFERROR($C128*INDEX(SPPR!$E:$X,MATCH($A128,SPPR!$A:$A,0),14),"")</f>
        <v/>
      </c>
      <c r="R128">
        <f>IFERROR($C128*INDEX(SPPR!$E:$X,MATCH($A128,SPPR!$A:$A,0),15),"")</f>
        <v/>
      </c>
      <c r="S128">
        <f>IFERROR($C128*INDEX(SPPR!$E:$X,MATCH($A128,SPPR!$A:$A,0),16),"")</f>
        <v/>
      </c>
      <c r="T128">
        <f>IFERROR($C128*INDEX(SPPR!$E:$X,MATCH($A128,SPPR!$A:$A,0),17),"")</f>
        <v/>
      </c>
      <c r="U128">
        <f>IFERROR($C128*INDEX(SPPR!$E:$X,MATCH($A128,SPPR!$A:$A,0),18),"")</f>
        <v/>
      </c>
      <c r="V128">
        <f>IFERROR($C128*INDEX(SPPR!$E:$X,MATCH($A128,SPPR!$A:$A,0),19),"")</f>
        <v/>
      </c>
      <c r="W128">
        <f>IFERROR($C128*INDEX(SPPR!$E:$X,MATCH($A128,SPPR!$A:$A,0),20),"")</f>
        <v/>
      </c>
    </row>
    <row r="129">
      <c r="A129" t="inlineStr">
        <is>
          <t>Trichiuridae</t>
        </is>
      </c>
      <c r="B129">
        <f>IFERROR(INDEX(SPPR!$D:$D,MATCH($A129,SPPR!$A:$A,0)),"")</f>
        <v/>
      </c>
      <c r="C129">
        <f>IFERROR(INDEX(Catch!$E:$BV,MATCH($A129,Catch!$A:$A,0),MATCH($B$4,Catch!$E$1:$BV$1,0)),0)</f>
        <v/>
      </c>
      <c r="D129">
        <f>IFERROR($C129*INDEX(SPPR!$E:$X,MATCH($A129,SPPR!$A:$A,0),1),"")</f>
        <v/>
      </c>
      <c r="E129">
        <f>IFERROR($C129*INDEX(SPPR!$E:$X,MATCH($A129,SPPR!$A:$A,0),2),"")</f>
        <v/>
      </c>
      <c r="F129">
        <f>IFERROR($C129*INDEX(SPPR!$E:$X,MATCH($A129,SPPR!$A:$A,0),3),"")</f>
        <v/>
      </c>
      <c r="G129">
        <f>IFERROR($C129*INDEX(SPPR!$E:$X,MATCH($A129,SPPR!$A:$A,0),4),"")</f>
        <v/>
      </c>
      <c r="H129">
        <f>IFERROR($C129*INDEX(SPPR!$E:$X,MATCH($A129,SPPR!$A:$A,0),5),"")</f>
        <v/>
      </c>
      <c r="I129">
        <f>IFERROR($C129*INDEX(SPPR!$E:$X,MATCH($A129,SPPR!$A:$A,0),6),"")</f>
        <v/>
      </c>
      <c r="J129">
        <f>IFERROR($C129*INDEX(SPPR!$E:$X,MATCH($A129,SPPR!$A:$A,0),7),"")</f>
        <v/>
      </c>
      <c r="K129">
        <f>IFERROR($C129*INDEX(SPPR!$E:$X,MATCH($A129,SPPR!$A:$A,0),8),"")</f>
        <v/>
      </c>
      <c r="L129">
        <f>IFERROR($C129*INDEX(SPPR!$E:$X,MATCH($A129,SPPR!$A:$A,0),9),"")</f>
        <v/>
      </c>
      <c r="M129">
        <f>IFERROR($C129*INDEX(SPPR!$E:$X,MATCH($A129,SPPR!$A:$A,0),10),"")</f>
        <v/>
      </c>
      <c r="N129">
        <f>IFERROR($C129*INDEX(SPPR!$E:$X,MATCH($A129,SPPR!$A:$A,0),11),"")</f>
        <v/>
      </c>
      <c r="O129">
        <f>IFERROR($C129*INDEX(SPPR!$E:$X,MATCH($A129,SPPR!$A:$A,0),12),"")</f>
        <v/>
      </c>
      <c r="P129">
        <f>IFERROR($C129*INDEX(SPPR!$E:$X,MATCH($A129,SPPR!$A:$A,0),13),"")</f>
        <v/>
      </c>
      <c r="Q129">
        <f>IFERROR($C129*INDEX(SPPR!$E:$X,MATCH($A129,SPPR!$A:$A,0),14),"")</f>
        <v/>
      </c>
      <c r="R129">
        <f>IFERROR($C129*INDEX(SPPR!$E:$X,MATCH($A129,SPPR!$A:$A,0),15),"")</f>
        <v/>
      </c>
      <c r="S129">
        <f>IFERROR($C129*INDEX(SPPR!$E:$X,MATCH($A129,SPPR!$A:$A,0),16),"")</f>
        <v/>
      </c>
      <c r="T129">
        <f>IFERROR($C129*INDEX(SPPR!$E:$X,MATCH($A129,SPPR!$A:$A,0),17),"")</f>
        <v/>
      </c>
      <c r="U129">
        <f>IFERROR($C129*INDEX(SPPR!$E:$X,MATCH($A129,SPPR!$A:$A,0),18),"")</f>
        <v/>
      </c>
      <c r="V129">
        <f>IFERROR($C129*INDEX(SPPR!$E:$X,MATCH($A129,SPPR!$A:$A,0),19),"")</f>
        <v/>
      </c>
      <c r="W129">
        <f>IFERROR($C129*INDEX(SPPR!$E:$X,MATCH($A129,SPPR!$A:$A,0),20),"")</f>
        <v/>
      </c>
    </row>
    <row r="130">
      <c r="A130" t="inlineStr">
        <is>
          <t>Parastromateus niger</t>
        </is>
      </c>
      <c r="B130">
        <f>IFERROR(INDEX(SPPR!$D:$D,MATCH($A130,SPPR!$A:$A,0)),"")</f>
        <v/>
      </c>
      <c r="C130">
        <f>IFERROR(INDEX(Catch!$E:$BV,MATCH($A130,Catch!$A:$A,0),MATCH($B$4,Catch!$E$1:$BV$1,0)),0)</f>
        <v/>
      </c>
      <c r="D130">
        <f>IFERROR($C130*INDEX(SPPR!$E:$X,MATCH($A130,SPPR!$A:$A,0),1),"")</f>
        <v/>
      </c>
      <c r="E130">
        <f>IFERROR($C130*INDEX(SPPR!$E:$X,MATCH($A130,SPPR!$A:$A,0),2),"")</f>
        <v/>
      </c>
      <c r="F130">
        <f>IFERROR($C130*INDEX(SPPR!$E:$X,MATCH($A130,SPPR!$A:$A,0),3),"")</f>
        <v/>
      </c>
      <c r="G130">
        <f>IFERROR($C130*INDEX(SPPR!$E:$X,MATCH($A130,SPPR!$A:$A,0),4),"")</f>
        <v/>
      </c>
      <c r="H130">
        <f>IFERROR($C130*INDEX(SPPR!$E:$X,MATCH($A130,SPPR!$A:$A,0),5),"")</f>
        <v/>
      </c>
      <c r="I130">
        <f>IFERROR($C130*INDEX(SPPR!$E:$X,MATCH($A130,SPPR!$A:$A,0),6),"")</f>
        <v/>
      </c>
      <c r="J130">
        <f>IFERROR($C130*INDEX(SPPR!$E:$X,MATCH($A130,SPPR!$A:$A,0),7),"")</f>
        <v/>
      </c>
      <c r="K130">
        <f>IFERROR($C130*INDEX(SPPR!$E:$X,MATCH($A130,SPPR!$A:$A,0),8),"")</f>
        <v/>
      </c>
      <c r="L130">
        <f>IFERROR($C130*INDEX(SPPR!$E:$X,MATCH($A130,SPPR!$A:$A,0),9),"")</f>
        <v/>
      </c>
      <c r="M130">
        <f>IFERROR($C130*INDEX(SPPR!$E:$X,MATCH($A130,SPPR!$A:$A,0),10),"")</f>
        <v/>
      </c>
      <c r="N130">
        <f>IFERROR($C130*INDEX(SPPR!$E:$X,MATCH($A130,SPPR!$A:$A,0),11),"")</f>
        <v/>
      </c>
      <c r="O130">
        <f>IFERROR($C130*INDEX(SPPR!$E:$X,MATCH($A130,SPPR!$A:$A,0),12),"")</f>
        <v/>
      </c>
      <c r="P130">
        <f>IFERROR($C130*INDEX(SPPR!$E:$X,MATCH($A130,SPPR!$A:$A,0),13),"")</f>
        <v/>
      </c>
      <c r="Q130">
        <f>IFERROR($C130*INDEX(SPPR!$E:$X,MATCH($A130,SPPR!$A:$A,0),14),"")</f>
        <v/>
      </c>
      <c r="R130">
        <f>IFERROR($C130*INDEX(SPPR!$E:$X,MATCH($A130,SPPR!$A:$A,0),15),"")</f>
        <v/>
      </c>
      <c r="S130">
        <f>IFERROR($C130*INDEX(SPPR!$E:$X,MATCH($A130,SPPR!$A:$A,0),16),"")</f>
        <v/>
      </c>
      <c r="T130">
        <f>IFERROR($C130*INDEX(SPPR!$E:$X,MATCH($A130,SPPR!$A:$A,0),17),"")</f>
        <v/>
      </c>
      <c r="U130">
        <f>IFERROR($C130*INDEX(SPPR!$E:$X,MATCH($A130,SPPR!$A:$A,0),18),"")</f>
        <v/>
      </c>
      <c r="V130">
        <f>IFERROR($C130*INDEX(SPPR!$E:$X,MATCH($A130,SPPR!$A:$A,0),19),"")</f>
        <v/>
      </c>
      <c r="W130">
        <f>IFERROR($C130*INDEX(SPPR!$E:$X,MATCH($A130,SPPR!$A:$A,0),20),"")</f>
        <v/>
      </c>
    </row>
    <row r="131">
      <c r="A131" t="inlineStr">
        <is>
          <t>Miichthys miiuy</t>
        </is>
      </c>
      <c r="B131">
        <f>IFERROR(INDEX(SPPR!$D:$D,MATCH($A131,SPPR!$A:$A,0)),"")</f>
        <v/>
      </c>
      <c r="C131">
        <f>IFERROR(INDEX(Catch!$E:$BV,MATCH($A131,Catch!$A:$A,0),MATCH($B$4,Catch!$E$1:$BV$1,0)),0)</f>
        <v/>
      </c>
      <c r="D131">
        <f>IFERROR($C131*INDEX(SPPR!$E:$X,MATCH($A131,SPPR!$A:$A,0),1),"")</f>
        <v/>
      </c>
      <c r="E131">
        <f>IFERROR($C131*INDEX(SPPR!$E:$X,MATCH($A131,SPPR!$A:$A,0),2),"")</f>
        <v/>
      </c>
      <c r="F131">
        <f>IFERROR($C131*INDEX(SPPR!$E:$X,MATCH($A131,SPPR!$A:$A,0),3),"")</f>
        <v/>
      </c>
      <c r="G131">
        <f>IFERROR($C131*INDEX(SPPR!$E:$X,MATCH($A131,SPPR!$A:$A,0),4),"")</f>
        <v/>
      </c>
      <c r="H131">
        <f>IFERROR($C131*INDEX(SPPR!$E:$X,MATCH($A131,SPPR!$A:$A,0),5),"")</f>
        <v/>
      </c>
      <c r="I131">
        <f>IFERROR($C131*INDEX(SPPR!$E:$X,MATCH($A131,SPPR!$A:$A,0),6),"")</f>
        <v/>
      </c>
      <c r="J131">
        <f>IFERROR($C131*INDEX(SPPR!$E:$X,MATCH($A131,SPPR!$A:$A,0),7),"")</f>
        <v/>
      </c>
      <c r="K131">
        <f>IFERROR($C131*INDEX(SPPR!$E:$X,MATCH($A131,SPPR!$A:$A,0),8),"")</f>
        <v/>
      </c>
      <c r="L131">
        <f>IFERROR($C131*INDEX(SPPR!$E:$X,MATCH($A131,SPPR!$A:$A,0),9),"")</f>
        <v/>
      </c>
      <c r="M131">
        <f>IFERROR($C131*INDEX(SPPR!$E:$X,MATCH($A131,SPPR!$A:$A,0),10),"")</f>
        <v/>
      </c>
      <c r="N131">
        <f>IFERROR($C131*INDEX(SPPR!$E:$X,MATCH($A131,SPPR!$A:$A,0),11),"")</f>
        <v/>
      </c>
      <c r="O131">
        <f>IFERROR($C131*INDEX(SPPR!$E:$X,MATCH($A131,SPPR!$A:$A,0),12),"")</f>
        <v/>
      </c>
      <c r="P131">
        <f>IFERROR($C131*INDEX(SPPR!$E:$X,MATCH($A131,SPPR!$A:$A,0),13),"")</f>
        <v/>
      </c>
      <c r="Q131">
        <f>IFERROR($C131*INDEX(SPPR!$E:$X,MATCH($A131,SPPR!$A:$A,0),14),"")</f>
        <v/>
      </c>
      <c r="R131">
        <f>IFERROR($C131*INDEX(SPPR!$E:$X,MATCH($A131,SPPR!$A:$A,0),15),"")</f>
        <v/>
      </c>
      <c r="S131">
        <f>IFERROR($C131*INDEX(SPPR!$E:$X,MATCH($A131,SPPR!$A:$A,0),16),"")</f>
        <v/>
      </c>
      <c r="T131">
        <f>IFERROR($C131*INDEX(SPPR!$E:$X,MATCH($A131,SPPR!$A:$A,0),17),"")</f>
        <v/>
      </c>
      <c r="U131">
        <f>IFERROR($C131*INDEX(SPPR!$E:$X,MATCH($A131,SPPR!$A:$A,0),18),"")</f>
        <v/>
      </c>
      <c r="V131">
        <f>IFERROR($C131*INDEX(SPPR!$E:$X,MATCH($A131,SPPR!$A:$A,0),19),"")</f>
        <v/>
      </c>
      <c r="W131">
        <f>IFERROR($C131*INDEX(SPPR!$E:$X,MATCH($A131,SPPR!$A:$A,0),20),"")</f>
        <v/>
      </c>
    </row>
    <row r="132">
      <c r="A132" t="inlineStr">
        <is>
          <t>Nemopilema nomurai</t>
        </is>
      </c>
      <c r="B132">
        <f>IFERROR(INDEX(SPPR!$D:$D,MATCH($A132,SPPR!$A:$A,0)),"")</f>
        <v/>
      </c>
      <c r="C132">
        <f>IFERROR(INDEX(Catch!$E:$BV,MATCH($A132,Catch!$A:$A,0),MATCH($B$4,Catch!$E$1:$BV$1,0)),0)</f>
        <v/>
      </c>
      <c r="D132">
        <f>IFERROR($C132*INDEX(SPPR!$E:$X,MATCH($A132,SPPR!$A:$A,0),1),"")</f>
        <v/>
      </c>
      <c r="E132">
        <f>IFERROR($C132*INDEX(SPPR!$E:$X,MATCH($A132,SPPR!$A:$A,0),2),"")</f>
        <v/>
      </c>
      <c r="F132">
        <f>IFERROR($C132*INDEX(SPPR!$E:$X,MATCH($A132,SPPR!$A:$A,0),3),"")</f>
        <v/>
      </c>
      <c r="G132">
        <f>IFERROR($C132*INDEX(SPPR!$E:$X,MATCH($A132,SPPR!$A:$A,0),4),"")</f>
        <v/>
      </c>
      <c r="H132">
        <f>IFERROR($C132*INDEX(SPPR!$E:$X,MATCH($A132,SPPR!$A:$A,0),5),"")</f>
        <v/>
      </c>
      <c r="I132">
        <f>IFERROR($C132*INDEX(SPPR!$E:$X,MATCH($A132,SPPR!$A:$A,0),6),"")</f>
        <v/>
      </c>
      <c r="J132">
        <f>IFERROR($C132*INDEX(SPPR!$E:$X,MATCH($A132,SPPR!$A:$A,0),7),"")</f>
        <v/>
      </c>
      <c r="K132">
        <f>IFERROR($C132*INDEX(SPPR!$E:$X,MATCH($A132,SPPR!$A:$A,0),8),"")</f>
        <v/>
      </c>
      <c r="L132">
        <f>IFERROR($C132*INDEX(SPPR!$E:$X,MATCH($A132,SPPR!$A:$A,0),9),"")</f>
        <v/>
      </c>
      <c r="M132">
        <f>IFERROR($C132*INDEX(SPPR!$E:$X,MATCH($A132,SPPR!$A:$A,0),10),"")</f>
        <v/>
      </c>
      <c r="N132">
        <f>IFERROR($C132*INDEX(SPPR!$E:$X,MATCH($A132,SPPR!$A:$A,0),11),"")</f>
        <v/>
      </c>
      <c r="O132">
        <f>IFERROR($C132*INDEX(SPPR!$E:$X,MATCH($A132,SPPR!$A:$A,0),12),"")</f>
        <v/>
      </c>
      <c r="P132">
        <f>IFERROR($C132*INDEX(SPPR!$E:$X,MATCH($A132,SPPR!$A:$A,0),13),"")</f>
        <v/>
      </c>
      <c r="Q132">
        <f>IFERROR($C132*INDEX(SPPR!$E:$X,MATCH($A132,SPPR!$A:$A,0),14),"")</f>
        <v/>
      </c>
      <c r="R132">
        <f>IFERROR($C132*INDEX(SPPR!$E:$X,MATCH($A132,SPPR!$A:$A,0),15),"")</f>
        <v/>
      </c>
      <c r="S132">
        <f>IFERROR($C132*INDEX(SPPR!$E:$X,MATCH($A132,SPPR!$A:$A,0),16),"")</f>
        <v/>
      </c>
      <c r="T132">
        <f>IFERROR($C132*INDEX(SPPR!$E:$X,MATCH($A132,SPPR!$A:$A,0),17),"")</f>
        <v/>
      </c>
      <c r="U132">
        <f>IFERROR($C132*INDEX(SPPR!$E:$X,MATCH($A132,SPPR!$A:$A,0),18),"")</f>
        <v/>
      </c>
      <c r="V132">
        <f>IFERROR($C132*INDEX(SPPR!$E:$X,MATCH($A132,SPPR!$A:$A,0),19),"")</f>
        <v/>
      </c>
      <c r="W132">
        <f>IFERROR($C132*INDEX(SPPR!$E:$X,MATCH($A132,SPPR!$A:$A,0),20),"")</f>
        <v/>
      </c>
    </row>
    <row r="133">
      <c r="A133" t="inlineStr">
        <is>
          <t>Decapterus</t>
        </is>
      </c>
      <c r="B133">
        <f>IFERROR(INDEX(SPPR!$D:$D,MATCH($A133,SPPR!$A:$A,0)),"")</f>
        <v/>
      </c>
      <c r="C133">
        <f>IFERROR(INDEX(Catch!$E:$BV,MATCH($A133,Catch!$A:$A,0),MATCH($B$4,Catch!$E$1:$BV$1,0)),0)</f>
        <v/>
      </c>
      <c r="D133">
        <f>IFERROR($C133*INDEX(SPPR!$E:$X,MATCH($A133,SPPR!$A:$A,0),1),"")</f>
        <v/>
      </c>
      <c r="E133">
        <f>IFERROR($C133*INDEX(SPPR!$E:$X,MATCH($A133,SPPR!$A:$A,0),2),"")</f>
        <v/>
      </c>
      <c r="F133">
        <f>IFERROR($C133*INDEX(SPPR!$E:$X,MATCH($A133,SPPR!$A:$A,0),3),"")</f>
        <v/>
      </c>
      <c r="G133">
        <f>IFERROR($C133*INDEX(SPPR!$E:$X,MATCH($A133,SPPR!$A:$A,0),4),"")</f>
        <v/>
      </c>
      <c r="H133">
        <f>IFERROR($C133*INDEX(SPPR!$E:$X,MATCH($A133,SPPR!$A:$A,0),5),"")</f>
        <v/>
      </c>
      <c r="I133">
        <f>IFERROR($C133*INDEX(SPPR!$E:$X,MATCH($A133,SPPR!$A:$A,0),6),"")</f>
        <v/>
      </c>
      <c r="J133">
        <f>IFERROR($C133*INDEX(SPPR!$E:$X,MATCH($A133,SPPR!$A:$A,0),7),"")</f>
        <v/>
      </c>
      <c r="K133">
        <f>IFERROR($C133*INDEX(SPPR!$E:$X,MATCH($A133,SPPR!$A:$A,0),8),"")</f>
        <v/>
      </c>
      <c r="L133">
        <f>IFERROR($C133*INDEX(SPPR!$E:$X,MATCH($A133,SPPR!$A:$A,0),9),"")</f>
        <v/>
      </c>
      <c r="M133">
        <f>IFERROR($C133*INDEX(SPPR!$E:$X,MATCH($A133,SPPR!$A:$A,0),10),"")</f>
        <v/>
      </c>
      <c r="N133">
        <f>IFERROR($C133*INDEX(SPPR!$E:$X,MATCH($A133,SPPR!$A:$A,0),11),"")</f>
        <v/>
      </c>
      <c r="O133">
        <f>IFERROR($C133*INDEX(SPPR!$E:$X,MATCH($A133,SPPR!$A:$A,0),12),"")</f>
        <v/>
      </c>
      <c r="P133">
        <f>IFERROR($C133*INDEX(SPPR!$E:$X,MATCH($A133,SPPR!$A:$A,0),13),"")</f>
        <v/>
      </c>
      <c r="Q133">
        <f>IFERROR($C133*INDEX(SPPR!$E:$X,MATCH($A133,SPPR!$A:$A,0),14),"")</f>
        <v/>
      </c>
      <c r="R133">
        <f>IFERROR($C133*INDEX(SPPR!$E:$X,MATCH($A133,SPPR!$A:$A,0),15),"")</f>
        <v/>
      </c>
      <c r="S133">
        <f>IFERROR($C133*INDEX(SPPR!$E:$X,MATCH($A133,SPPR!$A:$A,0),16),"")</f>
        <v/>
      </c>
      <c r="T133">
        <f>IFERROR($C133*INDEX(SPPR!$E:$X,MATCH($A133,SPPR!$A:$A,0),17),"")</f>
        <v/>
      </c>
      <c r="U133">
        <f>IFERROR($C133*INDEX(SPPR!$E:$X,MATCH($A133,SPPR!$A:$A,0),18),"")</f>
        <v/>
      </c>
      <c r="V133">
        <f>IFERROR($C133*INDEX(SPPR!$E:$X,MATCH($A133,SPPR!$A:$A,0),19),"")</f>
        <v/>
      </c>
      <c r="W133">
        <f>IFERROR($C133*INDEX(SPPR!$E:$X,MATCH($A133,SPPR!$A:$A,0),20),"")</f>
        <v/>
      </c>
    </row>
    <row r="134">
      <c r="A134" t="inlineStr">
        <is>
          <t>Gadus chalcogrammus</t>
        </is>
      </c>
      <c r="B134">
        <f>IFERROR(INDEX(SPPR!$D:$D,MATCH($A134,SPPR!$A:$A,0)),"")</f>
        <v/>
      </c>
      <c r="C134">
        <f>IFERROR(INDEX(Catch!$E:$BV,MATCH($A134,Catch!$A:$A,0),MATCH($B$4,Catch!$E$1:$BV$1,0)),0)</f>
        <v/>
      </c>
      <c r="D134">
        <f>IFERROR($C134*INDEX(SPPR!$E:$X,MATCH($A134,SPPR!$A:$A,0),1),"")</f>
        <v/>
      </c>
      <c r="E134">
        <f>IFERROR($C134*INDEX(SPPR!$E:$X,MATCH($A134,SPPR!$A:$A,0),2),"")</f>
        <v/>
      </c>
      <c r="F134">
        <f>IFERROR($C134*INDEX(SPPR!$E:$X,MATCH($A134,SPPR!$A:$A,0),3),"")</f>
        <v/>
      </c>
      <c r="G134">
        <f>IFERROR($C134*INDEX(SPPR!$E:$X,MATCH($A134,SPPR!$A:$A,0),4),"")</f>
        <v/>
      </c>
      <c r="H134">
        <f>IFERROR($C134*INDEX(SPPR!$E:$X,MATCH($A134,SPPR!$A:$A,0),5),"")</f>
        <v/>
      </c>
      <c r="I134">
        <f>IFERROR($C134*INDEX(SPPR!$E:$X,MATCH($A134,SPPR!$A:$A,0),6),"")</f>
        <v/>
      </c>
      <c r="J134">
        <f>IFERROR($C134*INDEX(SPPR!$E:$X,MATCH($A134,SPPR!$A:$A,0),7),"")</f>
        <v/>
      </c>
      <c r="K134">
        <f>IFERROR($C134*INDEX(SPPR!$E:$X,MATCH($A134,SPPR!$A:$A,0),8),"")</f>
        <v/>
      </c>
      <c r="L134">
        <f>IFERROR($C134*INDEX(SPPR!$E:$X,MATCH($A134,SPPR!$A:$A,0),9),"")</f>
        <v/>
      </c>
      <c r="M134">
        <f>IFERROR($C134*INDEX(SPPR!$E:$X,MATCH($A134,SPPR!$A:$A,0),10),"")</f>
        <v/>
      </c>
      <c r="N134">
        <f>IFERROR($C134*INDEX(SPPR!$E:$X,MATCH($A134,SPPR!$A:$A,0),11),"")</f>
        <v/>
      </c>
      <c r="O134">
        <f>IFERROR($C134*INDEX(SPPR!$E:$X,MATCH($A134,SPPR!$A:$A,0),12),"")</f>
        <v/>
      </c>
      <c r="P134">
        <f>IFERROR($C134*INDEX(SPPR!$E:$X,MATCH($A134,SPPR!$A:$A,0),13),"")</f>
        <v/>
      </c>
      <c r="Q134">
        <f>IFERROR($C134*INDEX(SPPR!$E:$X,MATCH($A134,SPPR!$A:$A,0),14),"")</f>
        <v/>
      </c>
      <c r="R134">
        <f>IFERROR($C134*INDEX(SPPR!$E:$X,MATCH($A134,SPPR!$A:$A,0),15),"")</f>
        <v/>
      </c>
      <c r="S134">
        <f>IFERROR($C134*INDEX(SPPR!$E:$X,MATCH($A134,SPPR!$A:$A,0),16),"")</f>
        <v/>
      </c>
      <c r="T134">
        <f>IFERROR($C134*INDEX(SPPR!$E:$X,MATCH($A134,SPPR!$A:$A,0),17),"")</f>
        <v/>
      </c>
      <c r="U134">
        <f>IFERROR($C134*INDEX(SPPR!$E:$X,MATCH($A134,SPPR!$A:$A,0),18),"")</f>
        <v/>
      </c>
      <c r="V134">
        <f>IFERROR($C134*INDEX(SPPR!$E:$X,MATCH($A134,SPPR!$A:$A,0),19),"")</f>
        <v/>
      </c>
      <c r="W134">
        <f>IFERROR($C134*INDEX(SPPR!$E:$X,MATCH($A134,SPPR!$A:$A,0),20),"")</f>
        <v/>
      </c>
    </row>
    <row r="135">
      <c r="A135" t="inlineStr">
        <is>
          <t>Branchiostegus japonicus</t>
        </is>
      </c>
      <c r="B135">
        <f>IFERROR(INDEX(SPPR!$D:$D,MATCH($A135,SPPR!$A:$A,0)),"")</f>
        <v/>
      </c>
      <c r="C135">
        <f>IFERROR(INDEX(Catch!$E:$BV,MATCH($A135,Catch!$A:$A,0),MATCH($B$4,Catch!$E$1:$BV$1,0)),0)</f>
        <v/>
      </c>
      <c r="D135">
        <f>IFERROR($C135*INDEX(SPPR!$E:$X,MATCH($A135,SPPR!$A:$A,0),1),"")</f>
        <v/>
      </c>
      <c r="E135">
        <f>IFERROR($C135*INDEX(SPPR!$E:$X,MATCH($A135,SPPR!$A:$A,0),2),"")</f>
        <v/>
      </c>
      <c r="F135">
        <f>IFERROR($C135*INDEX(SPPR!$E:$X,MATCH($A135,SPPR!$A:$A,0),3),"")</f>
        <v/>
      </c>
      <c r="G135">
        <f>IFERROR($C135*INDEX(SPPR!$E:$X,MATCH($A135,SPPR!$A:$A,0),4),"")</f>
        <v/>
      </c>
      <c r="H135">
        <f>IFERROR($C135*INDEX(SPPR!$E:$X,MATCH($A135,SPPR!$A:$A,0),5),"")</f>
        <v/>
      </c>
      <c r="I135">
        <f>IFERROR($C135*INDEX(SPPR!$E:$X,MATCH($A135,SPPR!$A:$A,0),6),"")</f>
        <v/>
      </c>
      <c r="J135">
        <f>IFERROR($C135*INDEX(SPPR!$E:$X,MATCH($A135,SPPR!$A:$A,0),7),"")</f>
        <v/>
      </c>
      <c r="K135">
        <f>IFERROR($C135*INDEX(SPPR!$E:$X,MATCH($A135,SPPR!$A:$A,0),8),"")</f>
        <v/>
      </c>
      <c r="L135">
        <f>IFERROR($C135*INDEX(SPPR!$E:$X,MATCH($A135,SPPR!$A:$A,0),9),"")</f>
        <v/>
      </c>
      <c r="M135">
        <f>IFERROR($C135*INDEX(SPPR!$E:$X,MATCH($A135,SPPR!$A:$A,0),10),"")</f>
        <v/>
      </c>
      <c r="N135">
        <f>IFERROR($C135*INDEX(SPPR!$E:$X,MATCH($A135,SPPR!$A:$A,0),11),"")</f>
        <v/>
      </c>
      <c r="O135">
        <f>IFERROR($C135*INDEX(SPPR!$E:$X,MATCH($A135,SPPR!$A:$A,0),12),"")</f>
        <v/>
      </c>
      <c r="P135">
        <f>IFERROR($C135*INDEX(SPPR!$E:$X,MATCH($A135,SPPR!$A:$A,0),13),"")</f>
        <v/>
      </c>
      <c r="Q135">
        <f>IFERROR($C135*INDEX(SPPR!$E:$X,MATCH($A135,SPPR!$A:$A,0),14),"")</f>
        <v/>
      </c>
      <c r="R135">
        <f>IFERROR($C135*INDEX(SPPR!$E:$X,MATCH($A135,SPPR!$A:$A,0),15),"")</f>
        <v/>
      </c>
      <c r="S135">
        <f>IFERROR($C135*INDEX(SPPR!$E:$X,MATCH($A135,SPPR!$A:$A,0),16),"")</f>
        <v/>
      </c>
      <c r="T135">
        <f>IFERROR($C135*INDEX(SPPR!$E:$X,MATCH($A135,SPPR!$A:$A,0),17),"")</f>
        <v/>
      </c>
      <c r="U135">
        <f>IFERROR($C135*INDEX(SPPR!$E:$X,MATCH($A135,SPPR!$A:$A,0),18),"")</f>
        <v/>
      </c>
      <c r="V135">
        <f>IFERROR($C135*INDEX(SPPR!$E:$X,MATCH($A135,SPPR!$A:$A,0),19),"")</f>
        <v/>
      </c>
      <c r="W135">
        <f>IFERROR($C135*INDEX(SPPR!$E:$X,MATCH($A135,SPPR!$A:$A,0),20),"")</f>
        <v/>
      </c>
    </row>
    <row r="136">
      <c r="A136" t="inlineStr">
        <is>
          <t>Meretrix lusoria</t>
        </is>
      </c>
      <c r="B136">
        <f>IFERROR(INDEX(SPPR!$D:$D,MATCH($A136,SPPR!$A:$A,0)),"")</f>
        <v/>
      </c>
      <c r="C136">
        <f>IFERROR(INDEX(Catch!$E:$BV,MATCH($A136,Catch!$A:$A,0),MATCH($B$4,Catch!$E$1:$BV$1,0)),0)</f>
        <v/>
      </c>
      <c r="D136">
        <f>IFERROR($C136*INDEX(SPPR!$E:$X,MATCH($A136,SPPR!$A:$A,0),1),"")</f>
        <v/>
      </c>
      <c r="E136">
        <f>IFERROR($C136*INDEX(SPPR!$E:$X,MATCH($A136,SPPR!$A:$A,0),2),"")</f>
        <v/>
      </c>
      <c r="F136">
        <f>IFERROR($C136*INDEX(SPPR!$E:$X,MATCH($A136,SPPR!$A:$A,0),3),"")</f>
        <v/>
      </c>
      <c r="G136">
        <f>IFERROR($C136*INDEX(SPPR!$E:$X,MATCH($A136,SPPR!$A:$A,0),4),"")</f>
        <v/>
      </c>
      <c r="H136">
        <f>IFERROR($C136*INDEX(SPPR!$E:$X,MATCH($A136,SPPR!$A:$A,0),5),"")</f>
        <v/>
      </c>
      <c r="I136">
        <f>IFERROR($C136*INDEX(SPPR!$E:$X,MATCH($A136,SPPR!$A:$A,0),6),"")</f>
        <v/>
      </c>
      <c r="J136">
        <f>IFERROR($C136*INDEX(SPPR!$E:$X,MATCH($A136,SPPR!$A:$A,0),7),"")</f>
        <v/>
      </c>
      <c r="K136">
        <f>IFERROR($C136*INDEX(SPPR!$E:$X,MATCH($A136,SPPR!$A:$A,0),8),"")</f>
        <v/>
      </c>
      <c r="L136">
        <f>IFERROR($C136*INDEX(SPPR!$E:$X,MATCH($A136,SPPR!$A:$A,0),9),"")</f>
        <v/>
      </c>
      <c r="M136">
        <f>IFERROR($C136*INDEX(SPPR!$E:$X,MATCH($A136,SPPR!$A:$A,0),10),"")</f>
        <v/>
      </c>
      <c r="N136">
        <f>IFERROR($C136*INDEX(SPPR!$E:$X,MATCH($A136,SPPR!$A:$A,0),11),"")</f>
        <v/>
      </c>
      <c r="O136">
        <f>IFERROR($C136*INDEX(SPPR!$E:$X,MATCH($A136,SPPR!$A:$A,0),12),"")</f>
        <v/>
      </c>
      <c r="P136">
        <f>IFERROR($C136*INDEX(SPPR!$E:$X,MATCH($A136,SPPR!$A:$A,0),13),"")</f>
        <v/>
      </c>
      <c r="Q136">
        <f>IFERROR($C136*INDEX(SPPR!$E:$X,MATCH($A136,SPPR!$A:$A,0),14),"")</f>
        <v/>
      </c>
      <c r="R136">
        <f>IFERROR($C136*INDEX(SPPR!$E:$X,MATCH($A136,SPPR!$A:$A,0),15),"")</f>
        <v/>
      </c>
      <c r="S136">
        <f>IFERROR($C136*INDEX(SPPR!$E:$X,MATCH($A136,SPPR!$A:$A,0),16),"")</f>
        <v/>
      </c>
      <c r="T136">
        <f>IFERROR($C136*INDEX(SPPR!$E:$X,MATCH($A136,SPPR!$A:$A,0),17),"")</f>
        <v/>
      </c>
      <c r="U136">
        <f>IFERROR($C136*INDEX(SPPR!$E:$X,MATCH($A136,SPPR!$A:$A,0),18),"")</f>
        <v/>
      </c>
      <c r="V136">
        <f>IFERROR($C136*INDEX(SPPR!$E:$X,MATCH($A136,SPPR!$A:$A,0),19),"")</f>
        <v/>
      </c>
      <c r="W136">
        <f>IFERROR($C136*INDEX(SPPR!$E:$X,MATCH($A136,SPPR!$A:$A,0),20),"")</f>
        <v/>
      </c>
    </row>
    <row r="137">
      <c r="A137" t="inlineStr">
        <is>
          <t>Gadidae</t>
        </is>
      </c>
      <c r="B137">
        <f>IFERROR(INDEX(SPPR!$D:$D,MATCH($A137,SPPR!$A:$A,0)),"")</f>
        <v/>
      </c>
      <c r="C137">
        <f>IFERROR(INDEX(Catch!$E:$BV,MATCH($A137,Catch!$A:$A,0),MATCH($B$4,Catch!$E$1:$BV$1,0)),0)</f>
        <v/>
      </c>
      <c r="D137">
        <f>IFERROR($C137*INDEX(SPPR!$E:$X,MATCH($A137,SPPR!$A:$A,0),1),"")</f>
        <v/>
      </c>
      <c r="E137">
        <f>IFERROR($C137*INDEX(SPPR!$E:$X,MATCH($A137,SPPR!$A:$A,0),2),"")</f>
        <v/>
      </c>
      <c r="F137">
        <f>IFERROR($C137*INDEX(SPPR!$E:$X,MATCH($A137,SPPR!$A:$A,0),3),"")</f>
        <v/>
      </c>
      <c r="G137">
        <f>IFERROR($C137*INDEX(SPPR!$E:$X,MATCH($A137,SPPR!$A:$A,0),4),"")</f>
        <v/>
      </c>
      <c r="H137">
        <f>IFERROR($C137*INDEX(SPPR!$E:$X,MATCH($A137,SPPR!$A:$A,0),5),"")</f>
        <v/>
      </c>
      <c r="I137">
        <f>IFERROR($C137*INDEX(SPPR!$E:$X,MATCH($A137,SPPR!$A:$A,0),6),"")</f>
        <v/>
      </c>
      <c r="J137">
        <f>IFERROR($C137*INDEX(SPPR!$E:$X,MATCH($A137,SPPR!$A:$A,0),7),"")</f>
        <v/>
      </c>
      <c r="K137">
        <f>IFERROR($C137*INDEX(SPPR!$E:$X,MATCH($A137,SPPR!$A:$A,0),8),"")</f>
        <v/>
      </c>
      <c r="L137">
        <f>IFERROR($C137*INDEX(SPPR!$E:$X,MATCH($A137,SPPR!$A:$A,0),9),"")</f>
        <v/>
      </c>
      <c r="M137">
        <f>IFERROR($C137*INDEX(SPPR!$E:$X,MATCH($A137,SPPR!$A:$A,0),10),"")</f>
        <v/>
      </c>
      <c r="N137">
        <f>IFERROR($C137*INDEX(SPPR!$E:$X,MATCH($A137,SPPR!$A:$A,0),11),"")</f>
        <v/>
      </c>
      <c r="O137">
        <f>IFERROR($C137*INDEX(SPPR!$E:$X,MATCH($A137,SPPR!$A:$A,0),12),"")</f>
        <v/>
      </c>
      <c r="P137">
        <f>IFERROR($C137*INDEX(SPPR!$E:$X,MATCH($A137,SPPR!$A:$A,0),13),"")</f>
        <v/>
      </c>
      <c r="Q137">
        <f>IFERROR($C137*INDEX(SPPR!$E:$X,MATCH($A137,SPPR!$A:$A,0),14),"")</f>
        <v/>
      </c>
      <c r="R137">
        <f>IFERROR($C137*INDEX(SPPR!$E:$X,MATCH($A137,SPPR!$A:$A,0),15),"")</f>
        <v/>
      </c>
      <c r="S137">
        <f>IFERROR($C137*INDEX(SPPR!$E:$X,MATCH($A137,SPPR!$A:$A,0),16),"")</f>
        <v/>
      </c>
      <c r="T137">
        <f>IFERROR($C137*INDEX(SPPR!$E:$X,MATCH($A137,SPPR!$A:$A,0),17),"")</f>
        <v/>
      </c>
      <c r="U137">
        <f>IFERROR($C137*INDEX(SPPR!$E:$X,MATCH($A137,SPPR!$A:$A,0),18),"")</f>
        <v/>
      </c>
      <c r="V137">
        <f>IFERROR($C137*INDEX(SPPR!$E:$X,MATCH($A137,SPPR!$A:$A,0),19),"")</f>
        <v/>
      </c>
      <c r="W137">
        <f>IFERROR($C137*INDEX(SPPR!$E:$X,MATCH($A137,SPPR!$A:$A,0),20),"")</f>
        <v/>
      </c>
    </row>
    <row r="138">
      <c r="A138" t="inlineStr">
        <is>
          <t>Scomberomorus guttatus</t>
        </is>
      </c>
      <c r="B138">
        <f>IFERROR(INDEX(SPPR!$D:$D,MATCH($A138,SPPR!$A:$A,0)),"")</f>
        <v/>
      </c>
      <c r="C138">
        <f>IFERROR(INDEX(Catch!$E:$BV,MATCH($A138,Catch!$A:$A,0),MATCH($B$4,Catch!$E$1:$BV$1,0)),0)</f>
        <v/>
      </c>
      <c r="D138">
        <f>IFERROR($C138*INDEX(SPPR!$E:$X,MATCH($A138,SPPR!$A:$A,0),1),"")</f>
        <v/>
      </c>
      <c r="E138">
        <f>IFERROR($C138*INDEX(SPPR!$E:$X,MATCH($A138,SPPR!$A:$A,0),2),"")</f>
        <v/>
      </c>
      <c r="F138">
        <f>IFERROR($C138*INDEX(SPPR!$E:$X,MATCH($A138,SPPR!$A:$A,0),3),"")</f>
        <v/>
      </c>
      <c r="G138">
        <f>IFERROR($C138*INDEX(SPPR!$E:$X,MATCH($A138,SPPR!$A:$A,0),4),"")</f>
        <v/>
      </c>
      <c r="H138">
        <f>IFERROR($C138*INDEX(SPPR!$E:$X,MATCH($A138,SPPR!$A:$A,0),5),"")</f>
        <v/>
      </c>
      <c r="I138">
        <f>IFERROR($C138*INDEX(SPPR!$E:$X,MATCH($A138,SPPR!$A:$A,0),6),"")</f>
        <v/>
      </c>
      <c r="J138">
        <f>IFERROR($C138*INDEX(SPPR!$E:$X,MATCH($A138,SPPR!$A:$A,0),7),"")</f>
        <v/>
      </c>
      <c r="K138">
        <f>IFERROR($C138*INDEX(SPPR!$E:$X,MATCH($A138,SPPR!$A:$A,0),8),"")</f>
        <v/>
      </c>
      <c r="L138">
        <f>IFERROR($C138*INDEX(SPPR!$E:$X,MATCH($A138,SPPR!$A:$A,0),9),"")</f>
        <v/>
      </c>
      <c r="M138">
        <f>IFERROR($C138*INDEX(SPPR!$E:$X,MATCH($A138,SPPR!$A:$A,0),10),"")</f>
        <v/>
      </c>
      <c r="N138">
        <f>IFERROR($C138*INDEX(SPPR!$E:$X,MATCH($A138,SPPR!$A:$A,0),11),"")</f>
        <v/>
      </c>
      <c r="O138">
        <f>IFERROR($C138*INDEX(SPPR!$E:$X,MATCH($A138,SPPR!$A:$A,0),12),"")</f>
        <v/>
      </c>
      <c r="P138">
        <f>IFERROR($C138*INDEX(SPPR!$E:$X,MATCH($A138,SPPR!$A:$A,0),13),"")</f>
        <v/>
      </c>
      <c r="Q138">
        <f>IFERROR($C138*INDEX(SPPR!$E:$X,MATCH($A138,SPPR!$A:$A,0),14),"")</f>
        <v/>
      </c>
      <c r="R138">
        <f>IFERROR($C138*INDEX(SPPR!$E:$X,MATCH($A138,SPPR!$A:$A,0),15),"")</f>
        <v/>
      </c>
      <c r="S138">
        <f>IFERROR($C138*INDEX(SPPR!$E:$X,MATCH($A138,SPPR!$A:$A,0),16),"")</f>
        <v/>
      </c>
      <c r="T138">
        <f>IFERROR($C138*INDEX(SPPR!$E:$X,MATCH($A138,SPPR!$A:$A,0),17),"")</f>
        <v/>
      </c>
      <c r="U138">
        <f>IFERROR($C138*INDEX(SPPR!$E:$X,MATCH($A138,SPPR!$A:$A,0),18),"")</f>
        <v/>
      </c>
      <c r="V138">
        <f>IFERROR($C138*INDEX(SPPR!$E:$X,MATCH($A138,SPPR!$A:$A,0),19),"")</f>
        <v/>
      </c>
      <c r="W138">
        <f>IFERROR($C138*INDEX(SPPR!$E:$X,MATCH($A138,SPPR!$A:$A,0),20),"")</f>
        <v/>
      </c>
    </row>
    <row r="139">
      <c r="A139" t="inlineStr">
        <is>
          <t>Tegillarca granosa</t>
        </is>
      </c>
      <c r="B139">
        <f>IFERROR(INDEX(SPPR!$D:$D,MATCH($A139,SPPR!$A:$A,0)),"")</f>
        <v/>
      </c>
      <c r="C139">
        <f>IFERROR(INDEX(Catch!$E:$BV,MATCH($A139,Catch!$A:$A,0),MATCH($B$4,Catch!$E$1:$BV$1,0)),0)</f>
        <v/>
      </c>
      <c r="D139">
        <f>IFERROR($C139*INDEX(SPPR!$E:$X,MATCH($A139,SPPR!$A:$A,0),1),"")</f>
        <v/>
      </c>
      <c r="E139">
        <f>IFERROR($C139*INDEX(SPPR!$E:$X,MATCH($A139,SPPR!$A:$A,0),2),"")</f>
        <v/>
      </c>
      <c r="F139">
        <f>IFERROR($C139*INDEX(SPPR!$E:$X,MATCH($A139,SPPR!$A:$A,0),3),"")</f>
        <v/>
      </c>
      <c r="G139">
        <f>IFERROR($C139*INDEX(SPPR!$E:$X,MATCH($A139,SPPR!$A:$A,0),4),"")</f>
        <v/>
      </c>
      <c r="H139">
        <f>IFERROR($C139*INDEX(SPPR!$E:$X,MATCH($A139,SPPR!$A:$A,0),5),"")</f>
        <v/>
      </c>
      <c r="I139">
        <f>IFERROR($C139*INDEX(SPPR!$E:$X,MATCH($A139,SPPR!$A:$A,0),6),"")</f>
        <v/>
      </c>
      <c r="J139">
        <f>IFERROR($C139*INDEX(SPPR!$E:$X,MATCH($A139,SPPR!$A:$A,0),7),"")</f>
        <v/>
      </c>
      <c r="K139">
        <f>IFERROR($C139*INDEX(SPPR!$E:$X,MATCH($A139,SPPR!$A:$A,0),8),"")</f>
        <v/>
      </c>
      <c r="L139">
        <f>IFERROR($C139*INDEX(SPPR!$E:$X,MATCH($A139,SPPR!$A:$A,0),9),"")</f>
        <v/>
      </c>
      <c r="M139">
        <f>IFERROR($C139*INDEX(SPPR!$E:$X,MATCH($A139,SPPR!$A:$A,0),10),"")</f>
        <v/>
      </c>
      <c r="N139">
        <f>IFERROR($C139*INDEX(SPPR!$E:$X,MATCH($A139,SPPR!$A:$A,0),11),"")</f>
        <v/>
      </c>
      <c r="O139">
        <f>IFERROR($C139*INDEX(SPPR!$E:$X,MATCH($A139,SPPR!$A:$A,0),12),"")</f>
        <v/>
      </c>
      <c r="P139">
        <f>IFERROR($C139*INDEX(SPPR!$E:$X,MATCH($A139,SPPR!$A:$A,0),13),"")</f>
        <v/>
      </c>
      <c r="Q139">
        <f>IFERROR($C139*INDEX(SPPR!$E:$X,MATCH($A139,SPPR!$A:$A,0),14),"")</f>
        <v/>
      </c>
      <c r="R139">
        <f>IFERROR($C139*INDEX(SPPR!$E:$X,MATCH($A139,SPPR!$A:$A,0),15),"")</f>
        <v/>
      </c>
      <c r="S139">
        <f>IFERROR($C139*INDEX(SPPR!$E:$X,MATCH($A139,SPPR!$A:$A,0),16),"")</f>
        <v/>
      </c>
      <c r="T139">
        <f>IFERROR($C139*INDEX(SPPR!$E:$X,MATCH($A139,SPPR!$A:$A,0),17),"")</f>
        <v/>
      </c>
      <c r="U139">
        <f>IFERROR($C139*INDEX(SPPR!$E:$X,MATCH($A139,SPPR!$A:$A,0),18),"")</f>
        <v/>
      </c>
      <c r="V139">
        <f>IFERROR($C139*INDEX(SPPR!$E:$X,MATCH($A139,SPPR!$A:$A,0),19),"")</f>
        <v/>
      </c>
      <c r="W139">
        <f>IFERROR($C139*INDEX(SPPR!$E:$X,MATCH($A139,SPPR!$A:$A,0),20),"")</f>
        <v/>
      </c>
    </row>
    <row r="140">
      <c r="A140" t="inlineStr">
        <is>
          <t>Menidae</t>
        </is>
      </c>
      <c r="B140">
        <f>IFERROR(INDEX(SPPR!$D:$D,MATCH($A140,SPPR!$A:$A,0)),"")</f>
        <v/>
      </c>
      <c r="C140">
        <f>IFERROR(INDEX(Catch!$E:$BV,MATCH($A140,Catch!$A:$A,0),MATCH($B$4,Catch!$E$1:$BV$1,0)),0)</f>
        <v/>
      </c>
      <c r="D140">
        <f>IFERROR($C140*INDEX(SPPR!$E:$X,MATCH($A140,SPPR!$A:$A,0),1),"")</f>
        <v/>
      </c>
      <c r="E140">
        <f>IFERROR($C140*INDEX(SPPR!$E:$X,MATCH($A140,SPPR!$A:$A,0),2),"")</f>
        <v/>
      </c>
      <c r="F140">
        <f>IFERROR($C140*INDEX(SPPR!$E:$X,MATCH($A140,SPPR!$A:$A,0),3),"")</f>
        <v/>
      </c>
      <c r="G140">
        <f>IFERROR($C140*INDEX(SPPR!$E:$X,MATCH($A140,SPPR!$A:$A,0),4),"")</f>
        <v/>
      </c>
      <c r="H140">
        <f>IFERROR($C140*INDEX(SPPR!$E:$X,MATCH($A140,SPPR!$A:$A,0),5),"")</f>
        <v/>
      </c>
      <c r="I140">
        <f>IFERROR($C140*INDEX(SPPR!$E:$X,MATCH($A140,SPPR!$A:$A,0),6),"")</f>
        <v/>
      </c>
      <c r="J140">
        <f>IFERROR($C140*INDEX(SPPR!$E:$X,MATCH($A140,SPPR!$A:$A,0),7),"")</f>
        <v/>
      </c>
      <c r="K140">
        <f>IFERROR($C140*INDEX(SPPR!$E:$X,MATCH($A140,SPPR!$A:$A,0),8),"")</f>
        <v/>
      </c>
      <c r="L140">
        <f>IFERROR($C140*INDEX(SPPR!$E:$X,MATCH($A140,SPPR!$A:$A,0),9),"")</f>
        <v/>
      </c>
      <c r="M140">
        <f>IFERROR($C140*INDEX(SPPR!$E:$X,MATCH($A140,SPPR!$A:$A,0),10),"")</f>
        <v/>
      </c>
      <c r="N140">
        <f>IFERROR($C140*INDEX(SPPR!$E:$X,MATCH($A140,SPPR!$A:$A,0),11),"")</f>
        <v/>
      </c>
      <c r="O140">
        <f>IFERROR($C140*INDEX(SPPR!$E:$X,MATCH($A140,SPPR!$A:$A,0),12),"")</f>
        <v/>
      </c>
      <c r="P140">
        <f>IFERROR($C140*INDEX(SPPR!$E:$X,MATCH($A140,SPPR!$A:$A,0),13),"")</f>
        <v/>
      </c>
      <c r="Q140">
        <f>IFERROR($C140*INDEX(SPPR!$E:$X,MATCH($A140,SPPR!$A:$A,0),14),"")</f>
        <v/>
      </c>
      <c r="R140">
        <f>IFERROR($C140*INDEX(SPPR!$E:$X,MATCH($A140,SPPR!$A:$A,0),15),"")</f>
        <v/>
      </c>
      <c r="S140">
        <f>IFERROR($C140*INDEX(SPPR!$E:$X,MATCH($A140,SPPR!$A:$A,0),16),"")</f>
        <v/>
      </c>
      <c r="T140">
        <f>IFERROR($C140*INDEX(SPPR!$E:$X,MATCH($A140,SPPR!$A:$A,0),17),"")</f>
        <v/>
      </c>
      <c r="U140">
        <f>IFERROR($C140*INDEX(SPPR!$E:$X,MATCH($A140,SPPR!$A:$A,0),18),"")</f>
        <v/>
      </c>
      <c r="V140">
        <f>IFERROR($C140*INDEX(SPPR!$E:$X,MATCH($A140,SPPR!$A:$A,0),19),"")</f>
        <v/>
      </c>
      <c r="W140">
        <f>IFERROR($C140*INDEX(SPPR!$E:$X,MATCH($A140,SPPR!$A:$A,0),20),"")</f>
        <v/>
      </c>
    </row>
    <row r="141">
      <c r="A141" t="inlineStr">
        <is>
          <t>Scorpaenidae</t>
        </is>
      </c>
      <c r="B141">
        <f>IFERROR(INDEX(SPPR!$D:$D,MATCH($A141,SPPR!$A:$A,0)),"")</f>
        <v/>
      </c>
      <c r="C141">
        <f>IFERROR(INDEX(Catch!$E:$BV,MATCH($A141,Catch!$A:$A,0),MATCH($B$4,Catch!$E$1:$BV$1,0)),0)</f>
        <v/>
      </c>
      <c r="D141">
        <f>IFERROR($C141*INDEX(SPPR!$E:$X,MATCH($A141,SPPR!$A:$A,0),1),"")</f>
        <v/>
      </c>
      <c r="E141">
        <f>IFERROR($C141*INDEX(SPPR!$E:$X,MATCH($A141,SPPR!$A:$A,0),2),"")</f>
        <v/>
      </c>
      <c r="F141">
        <f>IFERROR($C141*INDEX(SPPR!$E:$X,MATCH($A141,SPPR!$A:$A,0),3),"")</f>
        <v/>
      </c>
      <c r="G141">
        <f>IFERROR($C141*INDEX(SPPR!$E:$X,MATCH($A141,SPPR!$A:$A,0),4),"")</f>
        <v/>
      </c>
      <c r="H141">
        <f>IFERROR($C141*INDEX(SPPR!$E:$X,MATCH($A141,SPPR!$A:$A,0),5),"")</f>
        <v/>
      </c>
      <c r="I141">
        <f>IFERROR($C141*INDEX(SPPR!$E:$X,MATCH($A141,SPPR!$A:$A,0),6),"")</f>
        <v/>
      </c>
      <c r="J141">
        <f>IFERROR($C141*INDEX(SPPR!$E:$X,MATCH($A141,SPPR!$A:$A,0),7),"")</f>
        <v/>
      </c>
      <c r="K141">
        <f>IFERROR($C141*INDEX(SPPR!$E:$X,MATCH($A141,SPPR!$A:$A,0),8),"")</f>
        <v/>
      </c>
      <c r="L141">
        <f>IFERROR($C141*INDEX(SPPR!$E:$X,MATCH($A141,SPPR!$A:$A,0),9),"")</f>
        <v/>
      </c>
      <c r="M141">
        <f>IFERROR($C141*INDEX(SPPR!$E:$X,MATCH($A141,SPPR!$A:$A,0),10),"")</f>
        <v/>
      </c>
      <c r="N141">
        <f>IFERROR($C141*INDEX(SPPR!$E:$X,MATCH($A141,SPPR!$A:$A,0),11),"")</f>
        <v/>
      </c>
      <c r="O141">
        <f>IFERROR($C141*INDEX(SPPR!$E:$X,MATCH($A141,SPPR!$A:$A,0),12),"")</f>
        <v/>
      </c>
      <c r="P141">
        <f>IFERROR($C141*INDEX(SPPR!$E:$X,MATCH($A141,SPPR!$A:$A,0),13),"")</f>
        <v/>
      </c>
      <c r="Q141">
        <f>IFERROR($C141*INDEX(SPPR!$E:$X,MATCH($A141,SPPR!$A:$A,0),14),"")</f>
        <v/>
      </c>
      <c r="R141">
        <f>IFERROR($C141*INDEX(SPPR!$E:$X,MATCH($A141,SPPR!$A:$A,0),15),"")</f>
        <v/>
      </c>
      <c r="S141">
        <f>IFERROR($C141*INDEX(SPPR!$E:$X,MATCH($A141,SPPR!$A:$A,0),16),"")</f>
        <v/>
      </c>
      <c r="T141">
        <f>IFERROR($C141*INDEX(SPPR!$E:$X,MATCH($A141,SPPR!$A:$A,0),17),"")</f>
        <v/>
      </c>
      <c r="U141">
        <f>IFERROR($C141*INDEX(SPPR!$E:$X,MATCH($A141,SPPR!$A:$A,0),18),"")</f>
        <v/>
      </c>
      <c r="V141">
        <f>IFERROR($C141*INDEX(SPPR!$E:$X,MATCH($A141,SPPR!$A:$A,0),19),"")</f>
        <v/>
      </c>
      <c r="W141">
        <f>IFERROR($C141*INDEX(SPPR!$E:$X,MATCH($A141,SPPR!$A:$A,0),20),"")</f>
        <v/>
      </c>
    </row>
    <row r="142">
      <c r="A142" t="inlineStr">
        <is>
          <t>Ommastrephidae</t>
        </is>
      </c>
      <c r="B142">
        <f>IFERROR(INDEX(SPPR!$D:$D,MATCH($A142,SPPR!$A:$A,0)),"")</f>
        <v/>
      </c>
      <c r="C142">
        <f>IFERROR(INDEX(Catch!$E:$BV,MATCH($A142,Catch!$A:$A,0),MATCH($B$4,Catch!$E$1:$BV$1,0)),0)</f>
        <v/>
      </c>
      <c r="D142">
        <f>IFERROR($C142*INDEX(SPPR!$E:$X,MATCH($A142,SPPR!$A:$A,0),1),"")</f>
        <v/>
      </c>
      <c r="E142">
        <f>IFERROR($C142*INDEX(SPPR!$E:$X,MATCH($A142,SPPR!$A:$A,0),2),"")</f>
        <v/>
      </c>
      <c r="F142">
        <f>IFERROR($C142*INDEX(SPPR!$E:$X,MATCH($A142,SPPR!$A:$A,0),3),"")</f>
        <v/>
      </c>
      <c r="G142">
        <f>IFERROR($C142*INDEX(SPPR!$E:$X,MATCH($A142,SPPR!$A:$A,0),4),"")</f>
        <v/>
      </c>
      <c r="H142">
        <f>IFERROR($C142*INDEX(SPPR!$E:$X,MATCH($A142,SPPR!$A:$A,0),5),"")</f>
        <v/>
      </c>
      <c r="I142">
        <f>IFERROR($C142*INDEX(SPPR!$E:$X,MATCH($A142,SPPR!$A:$A,0),6),"")</f>
        <v/>
      </c>
      <c r="J142">
        <f>IFERROR($C142*INDEX(SPPR!$E:$X,MATCH($A142,SPPR!$A:$A,0),7),"")</f>
        <v/>
      </c>
      <c r="K142">
        <f>IFERROR($C142*INDEX(SPPR!$E:$X,MATCH($A142,SPPR!$A:$A,0),8),"")</f>
        <v/>
      </c>
      <c r="L142">
        <f>IFERROR($C142*INDEX(SPPR!$E:$X,MATCH($A142,SPPR!$A:$A,0),9),"")</f>
        <v/>
      </c>
      <c r="M142">
        <f>IFERROR($C142*INDEX(SPPR!$E:$X,MATCH($A142,SPPR!$A:$A,0),10),"")</f>
        <v/>
      </c>
      <c r="N142">
        <f>IFERROR($C142*INDEX(SPPR!$E:$X,MATCH($A142,SPPR!$A:$A,0),11),"")</f>
        <v/>
      </c>
      <c r="O142">
        <f>IFERROR($C142*INDEX(SPPR!$E:$X,MATCH($A142,SPPR!$A:$A,0),12),"")</f>
        <v/>
      </c>
      <c r="P142">
        <f>IFERROR($C142*INDEX(SPPR!$E:$X,MATCH($A142,SPPR!$A:$A,0),13),"")</f>
        <v/>
      </c>
      <c r="Q142">
        <f>IFERROR($C142*INDEX(SPPR!$E:$X,MATCH($A142,SPPR!$A:$A,0),14),"")</f>
        <v/>
      </c>
      <c r="R142">
        <f>IFERROR($C142*INDEX(SPPR!$E:$X,MATCH($A142,SPPR!$A:$A,0),15),"")</f>
        <v/>
      </c>
      <c r="S142">
        <f>IFERROR($C142*INDEX(SPPR!$E:$X,MATCH($A142,SPPR!$A:$A,0),16),"")</f>
        <v/>
      </c>
      <c r="T142">
        <f>IFERROR($C142*INDEX(SPPR!$E:$X,MATCH($A142,SPPR!$A:$A,0),17),"")</f>
        <v/>
      </c>
      <c r="U142">
        <f>IFERROR($C142*INDEX(SPPR!$E:$X,MATCH($A142,SPPR!$A:$A,0),18),"")</f>
        <v/>
      </c>
      <c r="V142">
        <f>IFERROR($C142*INDEX(SPPR!$E:$X,MATCH($A142,SPPR!$A:$A,0),19),"")</f>
        <v/>
      </c>
      <c r="W142">
        <f>IFERROR($C142*INDEX(SPPR!$E:$X,MATCH($A142,SPPR!$A:$A,0),20),"")</f>
        <v/>
      </c>
    </row>
    <row r="143">
      <c r="A143" t="inlineStr">
        <is>
          <t>Veneridae</t>
        </is>
      </c>
      <c r="B143">
        <f>IFERROR(INDEX(SPPR!$D:$D,MATCH($A143,SPPR!$A:$A,0)),"")</f>
        <v/>
      </c>
      <c r="C143">
        <f>IFERROR(INDEX(Catch!$E:$BV,MATCH($A143,Catch!$A:$A,0),MATCH($B$4,Catch!$E$1:$BV$1,0)),0)</f>
        <v/>
      </c>
      <c r="D143">
        <f>IFERROR($C143*INDEX(SPPR!$E:$X,MATCH($A143,SPPR!$A:$A,0),1),"")</f>
        <v/>
      </c>
      <c r="E143">
        <f>IFERROR($C143*INDEX(SPPR!$E:$X,MATCH($A143,SPPR!$A:$A,0),2),"")</f>
        <v/>
      </c>
      <c r="F143">
        <f>IFERROR($C143*INDEX(SPPR!$E:$X,MATCH($A143,SPPR!$A:$A,0),3),"")</f>
        <v/>
      </c>
      <c r="G143">
        <f>IFERROR($C143*INDEX(SPPR!$E:$X,MATCH($A143,SPPR!$A:$A,0),4),"")</f>
        <v/>
      </c>
      <c r="H143">
        <f>IFERROR($C143*INDEX(SPPR!$E:$X,MATCH($A143,SPPR!$A:$A,0),5),"")</f>
        <v/>
      </c>
      <c r="I143">
        <f>IFERROR($C143*INDEX(SPPR!$E:$X,MATCH($A143,SPPR!$A:$A,0),6),"")</f>
        <v/>
      </c>
      <c r="J143">
        <f>IFERROR($C143*INDEX(SPPR!$E:$X,MATCH($A143,SPPR!$A:$A,0),7),"")</f>
        <v/>
      </c>
      <c r="K143">
        <f>IFERROR($C143*INDEX(SPPR!$E:$X,MATCH($A143,SPPR!$A:$A,0),8),"")</f>
        <v/>
      </c>
      <c r="L143">
        <f>IFERROR($C143*INDEX(SPPR!$E:$X,MATCH($A143,SPPR!$A:$A,0),9),"")</f>
        <v/>
      </c>
      <c r="M143">
        <f>IFERROR($C143*INDEX(SPPR!$E:$X,MATCH($A143,SPPR!$A:$A,0),10),"")</f>
        <v/>
      </c>
      <c r="N143">
        <f>IFERROR($C143*INDEX(SPPR!$E:$X,MATCH($A143,SPPR!$A:$A,0),11),"")</f>
        <v/>
      </c>
      <c r="O143">
        <f>IFERROR($C143*INDEX(SPPR!$E:$X,MATCH($A143,SPPR!$A:$A,0),12),"")</f>
        <v/>
      </c>
      <c r="P143">
        <f>IFERROR($C143*INDEX(SPPR!$E:$X,MATCH($A143,SPPR!$A:$A,0),13),"")</f>
        <v/>
      </c>
      <c r="Q143">
        <f>IFERROR($C143*INDEX(SPPR!$E:$X,MATCH($A143,SPPR!$A:$A,0),14),"")</f>
        <v/>
      </c>
      <c r="R143">
        <f>IFERROR($C143*INDEX(SPPR!$E:$X,MATCH($A143,SPPR!$A:$A,0),15),"")</f>
        <v/>
      </c>
      <c r="S143">
        <f>IFERROR($C143*INDEX(SPPR!$E:$X,MATCH($A143,SPPR!$A:$A,0),16),"")</f>
        <v/>
      </c>
      <c r="T143">
        <f>IFERROR($C143*INDEX(SPPR!$E:$X,MATCH($A143,SPPR!$A:$A,0),17),"")</f>
        <v/>
      </c>
      <c r="U143">
        <f>IFERROR($C143*INDEX(SPPR!$E:$X,MATCH($A143,SPPR!$A:$A,0),18),"")</f>
        <v/>
      </c>
      <c r="V143">
        <f>IFERROR($C143*INDEX(SPPR!$E:$X,MATCH($A143,SPPR!$A:$A,0),19),"")</f>
        <v/>
      </c>
      <c r="W143">
        <f>IFERROR($C143*INDEX(SPPR!$E:$X,MATCH($A143,SPPR!$A:$A,0),20),"")</f>
        <v/>
      </c>
    </row>
    <row r="144">
      <c r="A144" t="inlineStr">
        <is>
          <t>Meretrix</t>
        </is>
      </c>
      <c r="B144">
        <f>IFERROR(INDEX(SPPR!$D:$D,MATCH($A144,SPPR!$A:$A,0)),"")</f>
        <v/>
      </c>
      <c r="C144">
        <f>IFERROR(INDEX(Catch!$E:$BV,MATCH($A144,Catch!$A:$A,0),MATCH($B$4,Catch!$E$1:$BV$1,0)),0)</f>
        <v/>
      </c>
      <c r="D144">
        <f>IFERROR($C144*INDEX(SPPR!$E:$X,MATCH($A144,SPPR!$A:$A,0),1),"")</f>
        <v/>
      </c>
      <c r="E144">
        <f>IFERROR($C144*INDEX(SPPR!$E:$X,MATCH($A144,SPPR!$A:$A,0),2),"")</f>
        <v/>
      </c>
      <c r="F144">
        <f>IFERROR($C144*INDEX(SPPR!$E:$X,MATCH($A144,SPPR!$A:$A,0),3),"")</f>
        <v/>
      </c>
      <c r="G144">
        <f>IFERROR($C144*INDEX(SPPR!$E:$X,MATCH($A144,SPPR!$A:$A,0),4),"")</f>
        <v/>
      </c>
      <c r="H144">
        <f>IFERROR($C144*INDEX(SPPR!$E:$X,MATCH($A144,SPPR!$A:$A,0),5),"")</f>
        <v/>
      </c>
      <c r="I144">
        <f>IFERROR($C144*INDEX(SPPR!$E:$X,MATCH($A144,SPPR!$A:$A,0),6),"")</f>
        <v/>
      </c>
      <c r="J144">
        <f>IFERROR($C144*INDEX(SPPR!$E:$X,MATCH($A144,SPPR!$A:$A,0),7),"")</f>
        <v/>
      </c>
      <c r="K144">
        <f>IFERROR($C144*INDEX(SPPR!$E:$X,MATCH($A144,SPPR!$A:$A,0),8),"")</f>
        <v/>
      </c>
      <c r="L144">
        <f>IFERROR($C144*INDEX(SPPR!$E:$X,MATCH($A144,SPPR!$A:$A,0),9),"")</f>
        <v/>
      </c>
      <c r="M144">
        <f>IFERROR($C144*INDEX(SPPR!$E:$X,MATCH($A144,SPPR!$A:$A,0),10),"")</f>
        <v/>
      </c>
      <c r="N144">
        <f>IFERROR($C144*INDEX(SPPR!$E:$X,MATCH($A144,SPPR!$A:$A,0),11),"")</f>
        <v/>
      </c>
      <c r="O144">
        <f>IFERROR($C144*INDEX(SPPR!$E:$X,MATCH($A144,SPPR!$A:$A,0),12),"")</f>
        <v/>
      </c>
      <c r="P144">
        <f>IFERROR($C144*INDEX(SPPR!$E:$X,MATCH($A144,SPPR!$A:$A,0),13),"")</f>
        <v/>
      </c>
      <c r="Q144">
        <f>IFERROR($C144*INDEX(SPPR!$E:$X,MATCH($A144,SPPR!$A:$A,0),14),"")</f>
        <v/>
      </c>
      <c r="R144">
        <f>IFERROR($C144*INDEX(SPPR!$E:$X,MATCH($A144,SPPR!$A:$A,0),15),"")</f>
        <v/>
      </c>
      <c r="S144">
        <f>IFERROR($C144*INDEX(SPPR!$E:$X,MATCH($A144,SPPR!$A:$A,0),16),"")</f>
        <v/>
      </c>
      <c r="T144">
        <f>IFERROR($C144*INDEX(SPPR!$E:$X,MATCH($A144,SPPR!$A:$A,0),17),"")</f>
        <v/>
      </c>
      <c r="U144">
        <f>IFERROR($C144*INDEX(SPPR!$E:$X,MATCH($A144,SPPR!$A:$A,0),18),"")</f>
        <v/>
      </c>
      <c r="V144">
        <f>IFERROR($C144*INDEX(SPPR!$E:$X,MATCH($A144,SPPR!$A:$A,0),19),"")</f>
        <v/>
      </c>
      <c r="W144">
        <f>IFERROR($C144*INDEX(SPPR!$E:$X,MATCH($A144,SPPR!$A:$A,0),20),"")</f>
        <v/>
      </c>
    </row>
    <row r="145">
      <c r="A145" t="inlineStr">
        <is>
          <t>Miscellaneous aquatic invertebrates</t>
        </is>
      </c>
      <c r="B145">
        <f>IFERROR(INDEX(SPPR!$D:$D,MATCH($A145,SPPR!$A:$A,0)),"")</f>
        <v/>
      </c>
      <c r="C145">
        <f>IFERROR(INDEX(Catch!$E:$BV,MATCH($A145,Catch!$A:$A,0),MATCH($B$4,Catch!$E$1:$BV$1,0)),0)</f>
        <v/>
      </c>
      <c r="D145">
        <f>IFERROR($C145*INDEX(SPPR!$E:$X,MATCH($A145,SPPR!$A:$A,0),1),"")</f>
        <v/>
      </c>
      <c r="E145">
        <f>IFERROR($C145*INDEX(SPPR!$E:$X,MATCH($A145,SPPR!$A:$A,0),2),"")</f>
        <v/>
      </c>
      <c r="F145">
        <f>IFERROR($C145*INDEX(SPPR!$E:$X,MATCH($A145,SPPR!$A:$A,0),3),"")</f>
        <v/>
      </c>
      <c r="G145">
        <f>IFERROR($C145*INDEX(SPPR!$E:$X,MATCH($A145,SPPR!$A:$A,0),4),"")</f>
        <v/>
      </c>
      <c r="H145">
        <f>IFERROR($C145*INDEX(SPPR!$E:$X,MATCH($A145,SPPR!$A:$A,0),5),"")</f>
        <v/>
      </c>
      <c r="I145">
        <f>IFERROR($C145*INDEX(SPPR!$E:$X,MATCH($A145,SPPR!$A:$A,0),6),"")</f>
        <v/>
      </c>
      <c r="J145">
        <f>IFERROR($C145*INDEX(SPPR!$E:$X,MATCH($A145,SPPR!$A:$A,0),7),"")</f>
        <v/>
      </c>
      <c r="K145">
        <f>IFERROR($C145*INDEX(SPPR!$E:$X,MATCH($A145,SPPR!$A:$A,0),8),"")</f>
        <v/>
      </c>
      <c r="L145">
        <f>IFERROR($C145*INDEX(SPPR!$E:$X,MATCH($A145,SPPR!$A:$A,0),9),"")</f>
        <v/>
      </c>
      <c r="M145">
        <f>IFERROR($C145*INDEX(SPPR!$E:$X,MATCH($A145,SPPR!$A:$A,0),10),"")</f>
        <v/>
      </c>
      <c r="N145">
        <f>IFERROR($C145*INDEX(SPPR!$E:$X,MATCH($A145,SPPR!$A:$A,0),11),"")</f>
        <v/>
      </c>
      <c r="O145">
        <f>IFERROR($C145*INDEX(SPPR!$E:$X,MATCH($A145,SPPR!$A:$A,0),12),"")</f>
        <v/>
      </c>
      <c r="P145">
        <f>IFERROR($C145*INDEX(SPPR!$E:$X,MATCH($A145,SPPR!$A:$A,0),13),"")</f>
        <v/>
      </c>
      <c r="Q145">
        <f>IFERROR($C145*INDEX(SPPR!$E:$X,MATCH($A145,SPPR!$A:$A,0),14),"")</f>
        <v/>
      </c>
      <c r="R145">
        <f>IFERROR($C145*INDEX(SPPR!$E:$X,MATCH($A145,SPPR!$A:$A,0),15),"")</f>
        <v/>
      </c>
      <c r="S145">
        <f>IFERROR($C145*INDEX(SPPR!$E:$X,MATCH($A145,SPPR!$A:$A,0),16),"")</f>
        <v/>
      </c>
      <c r="T145">
        <f>IFERROR($C145*INDEX(SPPR!$E:$X,MATCH($A145,SPPR!$A:$A,0),17),"")</f>
        <v/>
      </c>
      <c r="U145">
        <f>IFERROR($C145*INDEX(SPPR!$E:$X,MATCH($A145,SPPR!$A:$A,0),18),"")</f>
        <v/>
      </c>
      <c r="V145">
        <f>IFERROR($C145*INDEX(SPPR!$E:$X,MATCH($A145,SPPR!$A:$A,0),19),"")</f>
        <v/>
      </c>
      <c r="W145">
        <f>IFERROR($C145*INDEX(SPPR!$E:$X,MATCH($A145,SPPR!$A:$A,0),20),"")</f>
        <v/>
      </c>
    </row>
    <row r="146">
      <c r="A146" t="inlineStr">
        <is>
          <t>Ariidae</t>
        </is>
      </c>
      <c r="B146">
        <f>IFERROR(INDEX(SPPR!$D:$D,MATCH($A146,SPPR!$A:$A,0)),"")</f>
        <v/>
      </c>
      <c r="C146">
        <f>IFERROR(INDEX(Catch!$E:$BV,MATCH($A146,Catch!$A:$A,0),MATCH($B$4,Catch!$E$1:$BV$1,0)),0)</f>
        <v/>
      </c>
      <c r="D146">
        <f>IFERROR($C146*INDEX(SPPR!$E:$X,MATCH($A146,SPPR!$A:$A,0),1),"")</f>
        <v/>
      </c>
      <c r="E146">
        <f>IFERROR($C146*INDEX(SPPR!$E:$X,MATCH($A146,SPPR!$A:$A,0),2),"")</f>
        <v/>
      </c>
      <c r="F146">
        <f>IFERROR($C146*INDEX(SPPR!$E:$X,MATCH($A146,SPPR!$A:$A,0),3),"")</f>
        <v/>
      </c>
      <c r="G146">
        <f>IFERROR($C146*INDEX(SPPR!$E:$X,MATCH($A146,SPPR!$A:$A,0),4),"")</f>
        <v/>
      </c>
      <c r="H146">
        <f>IFERROR($C146*INDEX(SPPR!$E:$X,MATCH($A146,SPPR!$A:$A,0),5),"")</f>
        <v/>
      </c>
      <c r="I146">
        <f>IFERROR($C146*INDEX(SPPR!$E:$X,MATCH($A146,SPPR!$A:$A,0),6),"")</f>
        <v/>
      </c>
      <c r="J146">
        <f>IFERROR($C146*INDEX(SPPR!$E:$X,MATCH($A146,SPPR!$A:$A,0),7),"")</f>
        <v/>
      </c>
      <c r="K146">
        <f>IFERROR($C146*INDEX(SPPR!$E:$X,MATCH($A146,SPPR!$A:$A,0),8),"")</f>
        <v/>
      </c>
      <c r="L146">
        <f>IFERROR($C146*INDEX(SPPR!$E:$X,MATCH($A146,SPPR!$A:$A,0),9),"")</f>
        <v/>
      </c>
      <c r="M146">
        <f>IFERROR($C146*INDEX(SPPR!$E:$X,MATCH($A146,SPPR!$A:$A,0),10),"")</f>
        <v/>
      </c>
      <c r="N146">
        <f>IFERROR($C146*INDEX(SPPR!$E:$X,MATCH($A146,SPPR!$A:$A,0),11),"")</f>
        <v/>
      </c>
      <c r="O146">
        <f>IFERROR($C146*INDEX(SPPR!$E:$X,MATCH($A146,SPPR!$A:$A,0),12),"")</f>
        <v/>
      </c>
      <c r="P146">
        <f>IFERROR($C146*INDEX(SPPR!$E:$X,MATCH($A146,SPPR!$A:$A,0),13),"")</f>
        <v/>
      </c>
      <c r="Q146">
        <f>IFERROR($C146*INDEX(SPPR!$E:$X,MATCH($A146,SPPR!$A:$A,0),14),"")</f>
        <v/>
      </c>
      <c r="R146">
        <f>IFERROR($C146*INDEX(SPPR!$E:$X,MATCH($A146,SPPR!$A:$A,0),15),"")</f>
        <v/>
      </c>
      <c r="S146">
        <f>IFERROR($C146*INDEX(SPPR!$E:$X,MATCH($A146,SPPR!$A:$A,0),16),"")</f>
        <v/>
      </c>
      <c r="T146">
        <f>IFERROR($C146*INDEX(SPPR!$E:$X,MATCH($A146,SPPR!$A:$A,0),17),"")</f>
        <v/>
      </c>
      <c r="U146">
        <f>IFERROR($C146*INDEX(SPPR!$E:$X,MATCH($A146,SPPR!$A:$A,0),18),"")</f>
        <v/>
      </c>
      <c r="V146">
        <f>IFERROR($C146*INDEX(SPPR!$E:$X,MATCH($A146,SPPR!$A:$A,0),19),"")</f>
        <v/>
      </c>
      <c r="W146">
        <f>IFERROR($C146*INDEX(SPPR!$E:$X,MATCH($A146,SPPR!$A:$A,0),20),"")</f>
        <v/>
      </c>
    </row>
    <row r="147">
      <c r="A147" t="inlineStr">
        <is>
          <t>Mene maculata</t>
        </is>
      </c>
      <c r="B147">
        <f>IFERROR(INDEX(SPPR!$D:$D,MATCH($A147,SPPR!$A:$A,0)),"")</f>
        <v/>
      </c>
      <c r="C147">
        <f>IFERROR(INDEX(Catch!$E:$BV,MATCH($A147,Catch!$A:$A,0),MATCH($B$4,Catch!$E$1:$BV$1,0)),0)</f>
        <v/>
      </c>
      <c r="D147">
        <f>IFERROR($C147*INDEX(SPPR!$E:$X,MATCH($A147,SPPR!$A:$A,0),1),"")</f>
        <v/>
      </c>
      <c r="E147">
        <f>IFERROR($C147*INDEX(SPPR!$E:$X,MATCH($A147,SPPR!$A:$A,0),2),"")</f>
        <v/>
      </c>
      <c r="F147">
        <f>IFERROR($C147*INDEX(SPPR!$E:$X,MATCH($A147,SPPR!$A:$A,0),3),"")</f>
        <v/>
      </c>
      <c r="G147">
        <f>IFERROR($C147*INDEX(SPPR!$E:$X,MATCH($A147,SPPR!$A:$A,0),4),"")</f>
        <v/>
      </c>
      <c r="H147">
        <f>IFERROR($C147*INDEX(SPPR!$E:$X,MATCH($A147,SPPR!$A:$A,0),5),"")</f>
        <v/>
      </c>
      <c r="I147">
        <f>IFERROR($C147*INDEX(SPPR!$E:$X,MATCH($A147,SPPR!$A:$A,0),6),"")</f>
        <v/>
      </c>
      <c r="J147">
        <f>IFERROR($C147*INDEX(SPPR!$E:$X,MATCH($A147,SPPR!$A:$A,0),7),"")</f>
        <v/>
      </c>
      <c r="K147">
        <f>IFERROR($C147*INDEX(SPPR!$E:$X,MATCH($A147,SPPR!$A:$A,0),8),"")</f>
        <v/>
      </c>
      <c r="L147">
        <f>IFERROR($C147*INDEX(SPPR!$E:$X,MATCH($A147,SPPR!$A:$A,0),9),"")</f>
        <v/>
      </c>
      <c r="M147">
        <f>IFERROR($C147*INDEX(SPPR!$E:$X,MATCH($A147,SPPR!$A:$A,0),10),"")</f>
        <v/>
      </c>
      <c r="N147">
        <f>IFERROR($C147*INDEX(SPPR!$E:$X,MATCH($A147,SPPR!$A:$A,0),11),"")</f>
        <v/>
      </c>
      <c r="O147">
        <f>IFERROR($C147*INDEX(SPPR!$E:$X,MATCH($A147,SPPR!$A:$A,0),12),"")</f>
        <v/>
      </c>
      <c r="P147">
        <f>IFERROR($C147*INDEX(SPPR!$E:$X,MATCH($A147,SPPR!$A:$A,0),13),"")</f>
        <v/>
      </c>
      <c r="Q147">
        <f>IFERROR($C147*INDEX(SPPR!$E:$X,MATCH($A147,SPPR!$A:$A,0),14),"")</f>
        <v/>
      </c>
      <c r="R147">
        <f>IFERROR($C147*INDEX(SPPR!$E:$X,MATCH($A147,SPPR!$A:$A,0),15),"")</f>
        <v/>
      </c>
      <c r="S147">
        <f>IFERROR($C147*INDEX(SPPR!$E:$X,MATCH($A147,SPPR!$A:$A,0),16),"")</f>
        <v/>
      </c>
      <c r="T147">
        <f>IFERROR($C147*INDEX(SPPR!$E:$X,MATCH($A147,SPPR!$A:$A,0),17),"")</f>
        <v/>
      </c>
      <c r="U147">
        <f>IFERROR($C147*INDEX(SPPR!$E:$X,MATCH($A147,SPPR!$A:$A,0),18),"")</f>
        <v/>
      </c>
      <c r="V147">
        <f>IFERROR($C147*INDEX(SPPR!$E:$X,MATCH($A147,SPPR!$A:$A,0),19),"")</f>
        <v/>
      </c>
      <c r="W147">
        <f>IFERROR($C147*INDEX(SPPR!$E:$X,MATCH($A147,SPPR!$A:$A,0),20),"")</f>
        <v/>
      </c>
    </row>
    <row r="148">
      <c r="A148" t="inlineStr">
        <is>
          <t>Acanthopagrus schlegelii</t>
        </is>
      </c>
      <c r="B148">
        <f>IFERROR(INDEX(SPPR!$D:$D,MATCH($A148,SPPR!$A:$A,0)),"")</f>
        <v/>
      </c>
      <c r="C148">
        <f>IFERROR(INDEX(Catch!$E:$BV,MATCH($A148,Catch!$A:$A,0),MATCH($B$4,Catch!$E$1:$BV$1,0)),0)</f>
        <v/>
      </c>
      <c r="D148">
        <f>IFERROR($C148*INDEX(SPPR!$E:$X,MATCH($A148,SPPR!$A:$A,0),1),"")</f>
        <v/>
      </c>
      <c r="E148">
        <f>IFERROR($C148*INDEX(SPPR!$E:$X,MATCH($A148,SPPR!$A:$A,0),2),"")</f>
        <v/>
      </c>
      <c r="F148">
        <f>IFERROR($C148*INDEX(SPPR!$E:$X,MATCH($A148,SPPR!$A:$A,0),3),"")</f>
        <v/>
      </c>
      <c r="G148">
        <f>IFERROR($C148*INDEX(SPPR!$E:$X,MATCH($A148,SPPR!$A:$A,0),4),"")</f>
        <v/>
      </c>
      <c r="H148">
        <f>IFERROR($C148*INDEX(SPPR!$E:$X,MATCH($A148,SPPR!$A:$A,0),5),"")</f>
        <v/>
      </c>
      <c r="I148">
        <f>IFERROR($C148*INDEX(SPPR!$E:$X,MATCH($A148,SPPR!$A:$A,0),6),"")</f>
        <v/>
      </c>
      <c r="J148">
        <f>IFERROR($C148*INDEX(SPPR!$E:$X,MATCH($A148,SPPR!$A:$A,0),7),"")</f>
        <v/>
      </c>
      <c r="K148">
        <f>IFERROR($C148*INDEX(SPPR!$E:$X,MATCH($A148,SPPR!$A:$A,0),8),"")</f>
        <v/>
      </c>
      <c r="L148">
        <f>IFERROR($C148*INDEX(SPPR!$E:$X,MATCH($A148,SPPR!$A:$A,0),9),"")</f>
        <v/>
      </c>
      <c r="M148">
        <f>IFERROR($C148*INDEX(SPPR!$E:$X,MATCH($A148,SPPR!$A:$A,0),10),"")</f>
        <v/>
      </c>
      <c r="N148">
        <f>IFERROR($C148*INDEX(SPPR!$E:$X,MATCH($A148,SPPR!$A:$A,0),11),"")</f>
        <v/>
      </c>
      <c r="O148">
        <f>IFERROR($C148*INDEX(SPPR!$E:$X,MATCH($A148,SPPR!$A:$A,0),12),"")</f>
        <v/>
      </c>
      <c r="P148">
        <f>IFERROR($C148*INDEX(SPPR!$E:$X,MATCH($A148,SPPR!$A:$A,0),13),"")</f>
        <v/>
      </c>
      <c r="Q148">
        <f>IFERROR($C148*INDEX(SPPR!$E:$X,MATCH($A148,SPPR!$A:$A,0),14),"")</f>
        <v/>
      </c>
      <c r="R148">
        <f>IFERROR($C148*INDEX(SPPR!$E:$X,MATCH($A148,SPPR!$A:$A,0),15),"")</f>
        <v/>
      </c>
      <c r="S148">
        <f>IFERROR($C148*INDEX(SPPR!$E:$X,MATCH($A148,SPPR!$A:$A,0),16),"")</f>
        <v/>
      </c>
      <c r="T148">
        <f>IFERROR($C148*INDEX(SPPR!$E:$X,MATCH($A148,SPPR!$A:$A,0),17),"")</f>
        <v/>
      </c>
      <c r="U148">
        <f>IFERROR($C148*INDEX(SPPR!$E:$X,MATCH($A148,SPPR!$A:$A,0),18),"")</f>
        <v/>
      </c>
      <c r="V148">
        <f>IFERROR($C148*INDEX(SPPR!$E:$X,MATCH($A148,SPPR!$A:$A,0),19),"")</f>
        <v/>
      </c>
      <c r="W148">
        <f>IFERROR($C148*INDEX(SPPR!$E:$X,MATCH($A148,SPPR!$A:$A,0),20),"")</f>
        <v/>
      </c>
    </row>
    <row r="149">
      <c r="A149" t="inlineStr">
        <is>
          <t>Octopus</t>
        </is>
      </c>
      <c r="B149">
        <f>IFERROR(INDEX(SPPR!$D:$D,MATCH($A149,SPPR!$A:$A,0)),"")</f>
        <v/>
      </c>
      <c r="C149">
        <f>IFERROR(INDEX(Catch!$E:$BV,MATCH($A149,Catch!$A:$A,0),MATCH($B$4,Catch!$E$1:$BV$1,0)),0)</f>
        <v/>
      </c>
      <c r="D149">
        <f>IFERROR($C149*INDEX(SPPR!$E:$X,MATCH($A149,SPPR!$A:$A,0),1),"")</f>
        <v/>
      </c>
      <c r="E149">
        <f>IFERROR($C149*INDEX(SPPR!$E:$X,MATCH($A149,SPPR!$A:$A,0),2),"")</f>
        <v/>
      </c>
      <c r="F149">
        <f>IFERROR($C149*INDEX(SPPR!$E:$X,MATCH($A149,SPPR!$A:$A,0),3),"")</f>
        <v/>
      </c>
      <c r="G149">
        <f>IFERROR($C149*INDEX(SPPR!$E:$X,MATCH($A149,SPPR!$A:$A,0),4),"")</f>
        <v/>
      </c>
      <c r="H149">
        <f>IFERROR($C149*INDEX(SPPR!$E:$X,MATCH($A149,SPPR!$A:$A,0),5),"")</f>
        <v/>
      </c>
      <c r="I149">
        <f>IFERROR($C149*INDEX(SPPR!$E:$X,MATCH($A149,SPPR!$A:$A,0),6),"")</f>
        <v/>
      </c>
      <c r="J149">
        <f>IFERROR($C149*INDEX(SPPR!$E:$X,MATCH($A149,SPPR!$A:$A,0),7),"")</f>
        <v/>
      </c>
      <c r="K149">
        <f>IFERROR($C149*INDEX(SPPR!$E:$X,MATCH($A149,SPPR!$A:$A,0),8),"")</f>
        <v/>
      </c>
      <c r="L149">
        <f>IFERROR($C149*INDEX(SPPR!$E:$X,MATCH($A149,SPPR!$A:$A,0),9),"")</f>
        <v/>
      </c>
      <c r="M149">
        <f>IFERROR($C149*INDEX(SPPR!$E:$X,MATCH($A149,SPPR!$A:$A,0),10),"")</f>
        <v/>
      </c>
      <c r="N149">
        <f>IFERROR($C149*INDEX(SPPR!$E:$X,MATCH($A149,SPPR!$A:$A,0),11),"")</f>
        <v/>
      </c>
      <c r="O149">
        <f>IFERROR($C149*INDEX(SPPR!$E:$X,MATCH($A149,SPPR!$A:$A,0),12),"")</f>
        <v/>
      </c>
      <c r="P149">
        <f>IFERROR($C149*INDEX(SPPR!$E:$X,MATCH($A149,SPPR!$A:$A,0),13),"")</f>
        <v/>
      </c>
      <c r="Q149">
        <f>IFERROR($C149*INDEX(SPPR!$E:$X,MATCH($A149,SPPR!$A:$A,0),14),"")</f>
        <v/>
      </c>
      <c r="R149">
        <f>IFERROR($C149*INDEX(SPPR!$E:$X,MATCH($A149,SPPR!$A:$A,0),15),"")</f>
        <v/>
      </c>
      <c r="S149">
        <f>IFERROR($C149*INDEX(SPPR!$E:$X,MATCH($A149,SPPR!$A:$A,0),16),"")</f>
        <v/>
      </c>
      <c r="T149">
        <f>IFERROR($C149*INDEX(SPPR!$E:$X,MATCH($A149,SPPR!$A:$A,0),17),"")</f>
        <v/>
      </c>
      <c r="U149">
        <f>IFERROR($C149*INDEX(SPPR!$E:$X,MATCH($A149,SPPR!$A:$A,0),18),"")</f>
        <v/>
      </c>
      <c r="V149">
        <f>IFERROR($C149*INDEX(SPPR!$E:$X,MATCH($A149,SPPR!$A:$A,0),19),"")</f>
        <v/>
      </c>
      <c r="W149">
        <f>IFERROR($C149*INDEX(SPPR!$E:$X,MATCH($A149,SPPR!$A:$A,0),20),"")</f>
        <v/>
      </c>
    </row>
    <row r="150">
      <c r="A150" t="inlineStr">
        <is>
          <t>Apostichopus japonicus</t>
        </is>
      </c>
      <c r="B150">
        <f>IFERROR(INDEX(SPPR!$D:$D,MATCH($A150,SPPR!$A:$A,0)),"")</f>
        <v/>
      </c>
      <c r="C150">
        <f>IFERROR(INDEX(Catch!$E:$BV,MATCH($A150,Catch!$A:$A,0),MATCH($B$4,Catch!$E$1:$BV$1,0)),0)</f>
        <v/>
      </c>
      <c r="D150">
        <f>IFERROR($C150*INDEX(SPPR!$E:$X,MATCH($A150,SPPR!$A:$A,0),1),"")</f>
        <v/>
      </c>
      <c r="E150">
        <f>IFERROR($C150*INDEX(SPPR!$E:$X,MATCH($A150,SPPR!$A:$A,0),2),"")</f>
        <v/>
      </c>
      <c r="F150">
        <f>IFERROR($C150*INDEX(SPPR!$E:$X,MATCH($A150,SPPR!$A:$A,0),3),"")</f>
        <v/>
      </c>
      <c r="G150">
        <f>IFERROR($C150*INDEX(SPPR!$E:$X,MATCH($A150,SPPR!$A:$A,0),4),"")</f>
        <v/>
      </c>
      <c r="H150">
        <f>IFERROR($C150*INDEX(SPPR!$E:$X,MATCH($A150,SPPR!$A:$A,0),5),"")</f>
        <v/>
      </c>
      <c r="I150">
        <f>IFERROR($C150*INDEX(SPPR!$E:$X,MATCH($A150,SPPR!$A:$A,0),6),"")</f>
        <v/>
      </c>
      <c r="J150">
        <f>IFERROR($C150*INDEX(SPPR!$E:$X,MATCH($A150,SPPR!$A:$A,0),7),"")</f>
        <v/>
      </c>
      <c r="K150">
        <f>IFERROR($C150*INDEX(SPPR!$E:$X,MATCH($A150,SPPR!$A:$A,0),8),"")</f>
        <v/>
      </c>
      <c r="L150">
        <f>IFERROR($C150*INDEX(SPPR!$E:$X,MATCH($A150,SPPR!$A:$A,0),9),"")</f>
        <v/>
      </c>
      <c r="M150">
        <f>IFERROR($C150*INDEX(SPPR!$E:$X,MATCH($A150,SPPR!$A:$A,0),10),"")</f>
        <v/>
      </c>
      <c r="N150">
        <f>IFERROR($C150*INDEX(SPPR!$E:$X,MATCH($A150,SPPR!$A:$A,0),11),"")</f>
        <v/>
      </c>
      <c r="O150">
        <f>IFERROR($C150*INDEX(SPPR!$E:$X,MATCH($A150,SPPR!$A:$A,0),12),"")</f>
        <v/>
      </c>
      <c r="P150">
        <f>IFERROR($C150*INDEX(SPPR!$E:$X,MATCH($A150,SPPR!$A:$A,0),13),"")</f>
        <v/>
      </c>
      <c r="Q150">
        <f>IFERROR($C150*INDEX(SPPR!$E:$X,MATCH($A150,SPPR!$A:$A,0),14),"")</f>
        <v/>
      </c>
      <c r="R150">
        <f>IFERROR($C150*INDEX(SPPR!$E:$X,MATCH($A150,SPPR!$A:$A,0),15),"")</f>
        <v/>
      </c>
      <c r="S150">
        <f>IFERROR($C150*INDEX(SPPR!$E:$X,MATCH($A150,SPPR!$A:$A,0),16),"")</f>
        <v/>
      </c>
      <c r="T150">
        <f>IFERROR($C150*INDEX(SPPR!$E:$X,MATCH($A150,SPPR!$A:$A,0),17),"")</f>
        <v/>
      </c>
      <c r="U150">
        <f>IFERROR($C150*INDEX(SPPR!$E:$X,MATCH($A150,SPPR!$A:$A,0),18),"")</f>
        <v/>
      </c>
      <c r="V150">
        <f>IFERROR($C150*INDEX(SPPR!$E:$X,MATCH($A150,SPPR!$A:$A,0),19),"")</f>
        <v/>
      </c>
      <c r="W150">
        <f>IFERROR($C150*INDEX(SPPR!$E:$X,MATCH($A150,SPPR!$A:$A,0),20),"")</f>
        <v/>
      </c>
    </row>
    <row r="151">
      <c r="A151" t="inlineStr">
        <is>
          <t>Arctoscopus japonicus</t>
        </is>
      </c>
      <c r="B151">
        <f>IFERROR(INDEX(SPPR!$D:$D,MATCH($A151,SPPR!$A:$A,0)),"")</f>
        <v/>
      </c>
      <c r="C151">
        <f>IFERROR(INDEX(Catch!$E:$BV,MATCH($A151,Catch!$A:$A,0),MATCH($B$4,Catch!$E$1:$BV$1,0)),0)</f>
        <v/>
      </c>
      <c r="D151">
        <f>IFERROR($C151*INDEX(SPPR!$E:$X,MATCH($A151,SPPR!$A:$A,0),1),"")</f>
        <v/>
      </c>
      <c r="E151">
        <f>IFERROR($C151*INDEX(SPPR!$E:$X,MATCH($A151,SPPR!$A:$A,0),2),"")</f>
        <v/>
      </c>
      <c r="F151">
        <f>IFERROR($C151*INDEX(SPPR!$E:$X,MATCH($A151,SPPR!$A:$A,0),3),"")</f>
        <v/>
      </c>
      <c r="G151">
        <f>IFERROR($C151*INDEX(SPPR!$E:$X,MATCH($A151,SPPR!$A:$A,0),4),"")</f>
        <v/>
      </c>
      <c r="H151">
        <f>IFERROR($C151*INDEX(SPPR!$E:$X,MATCH($A151,SPPR!$A:$A,0),5),"")</f>
        <v/>
      </c>
      <c r="I151">
        <f>IFERROR($C151*INDEX(SPPR!$E:$X,MATCH($A151,SPPR!$A:$A,0),6),"")</f>
        <v/>
      </c>
      <c r="J151">
        <f>IFERROR($C151*INDEX(SPPR!$E:$X,MATCH($A151,SPPR!$A:$A,0),7),"")</f>
        <v/>
      </c>
      <c r="K151">
        <f>IFERROR($C151*INDEX(SPPR!$E:$X,MATCH($A151,SPPR!$A:$A,0),8),"")</f>
        <v/>
      </c>
      <c r="L151">
        <f>IFERROR($C151*INDEX(SPPR!$E:$X,MATCH($A151,SPPR!$A:$A,0),9),"")</f>
        <v/>
      </c>
      <c r="M151">
        <f>IFERROR($C151*INDEX(SPPR!$E:$X,MATCH($A151,SPPR!$A:$A,0),10),"")</f>
        <v/>
      </c>
      <c r="N151">
        <f>IFERROR($C151*INDEX(SPPR!$E:$X,MATCH($A151,SPPR!$A:$A,0),11),"")</f>
        <v/>
      </c>
      <c r="O151">
        <f>IFERROR($C151*INDEX(SPPR!$E:$X,MATCH($A151,SPPR!$A:$A,0),12),"")</f>
        <v/>
      </c>
      <c r="P151">
        <f>IFERROR($C151*INDEX(SPPR!$E:$X,MATCH($A151,SPPR!$A:$A,0),13),"")</f>
        <v/>
      </c>
      <c r="Q151">
        <f>IFERROR($C151*INDEX(SPPR!$E:$X,MATCH($A151,SPPR!$A:$A,0),14),"")</f>
        <v/>
      </c>
      <c r="R151">
        <f>IFERROR($C151*INDEX(SPPR!$E:$X,MATCH($A151,SPPR!$A:$A,0),15),"")</f>
        <v/>
      </c>
      <c r="S151">
        <f>IFERROR($C151*INDEX(SPPR!$E:$X,MATCH($A151,SPPR!$A:$A,0),16),"")</f>
        <v/>
      </c>
      <c r="T151">
        <f>IFERROR($C151*INDEX(SPPR!$E:$X,MATCH($A151,SPPR!$A:$A,0),17),"")</f>
        <v/>
      </c>
      <c r="U151">
        <f>IFERROR($C151*INDEX(SPPR!$E:$X,MATCH($A151,SPPR!$A:$A,0),18),"")</f>
        <v/>
      </c>
      <c r="V151">
        <f>IFERROR($C151*INDEX(SPPR!$E:$X,MATCH($A151,SPPR!$A:$A,0),19),"")</f>
        <v/>
      </c>
      <c r="W151">
        <f>IFERROR($C151*INDEX(SPPR!$E:$X,MATCH($A151,SPPR!$A:$A,0),20),"")</f>
        <v/>
      </c>
    </row>
    <row r="152">
      <c r="A152" t="inlineStr">
        <is>
          <t>Batoidea</t>
        </is>
      </c>
      <c r="B152">
        <f>IFERROR(INDEX(SPPR!$D:$D,MATCH($A152,SPPR!$A:$A,0)),"")</f>
        <v/>
      </c>
      <c r="C152">
        <f>IFERROR(INDEX(Catch!$E:$BV,MATCH($A152,Catch!$A:$A,0),MATCH($B$4,Catch!$E$1:$BV$1,0)),0)</f>
        <v/>
      </c>
      <c r="D152">
        <f>IFERROR($C152*INDEX(SPPR!$E:$X,MATCH($A152,SPPR!$A:$A,0),1),"")</f>
        <v/>
      </c>
      <c r="E152">
        <f>IFERROR($C152*INDEX(SPPR!$E:$X,MATCH($A152,SPPR!$A:$A,0),2),"")</f>
        <v/>
      </c>
      <c r="F152">
        <f>IFERROR($C152*INDEX(SPPR!$E:$X,MATCH($A152,SPPR!$A:$A,0),3),"")</f>
        <v/>
      </c>
      <c r="G152">
        <f>IFERROR($C152*INDEX(SPPR!$E:$X,MATCH($A152,SPPR!$A:$A,0),4),"")</f>
        <v/>
      </c>
      <c r="H152">
        <f>IFERROR($C152*INDEX(SPPR!$E:$X,MATCH($A152,SPPR!$A:$A,0),5),"")</f>
        <v/>
      </c>
      <c r="I152">
        <f>IFERROR($C152*INDEX(SPPR!$E:$X,MATCH($A152,SPPR!$A:$A,0),6),"")</f>
        <v/>
      </c>
      <c r="J152">
        <f>IFERROR($C152*INDEX(SPPR!$E:$X,MATCH($A152,SPPR!$A:$A,0),7),"")</f>
        <v/>
      </c>
      <c r="K152">
        <f>IFERROR($C152*INDEX(SPPR!$E:$X,MATCH($A152,SPPR!$A:$A,0),8),"")</f>
        <v/>
      </c>
      <c r="L152">
        <f>IFERROR($C152*INDEX(SPPR!$E:$X,MATCH($A152,SPPR!$A:$A,0),9),"")</f>
        <v/>
      </c>
      <c r="M152">
        <f>IFERROR($C152*INDEX(SPPR!$E:$X,MATCH($A152,SPPR!$A:$A,0),10),"")</f>
        <v/>
      </c>
      <c r="N152">
        <f>IFERROR($C152*INDEX(SPPR!$E:$X,MATCH($A152,SPPR!$A:$A,0),11),"")</f>
        <v/>
      </c>
      <c r="O152">
        <f>IFERROR($C152*INDEX(SPPR!$E:$X,MATCH($A152,SPPR!$A:$A,0),12),"")</f>
        <v/>
      </c>
      <c r="P152">
        <f>IFERROR($C152*INDEX(SPPR!$E:$X,MATCH($A152,SPPR!$A:$A,0),13),"")</f>
        <v/>
      </c>
      <c r="Q152">
        <f>IFERROR($C152*INDEX(SPPR!$E:$X,MATCH($A152,SPPR!$A:$A,0),14),"")</f>
        <v/>
      </c>
      <c r="R152">
        <f>IFERROR($C152*INDEX(SPPR!$E:$X,MATCH($A152,SPPR!$A:$A,0),15),"")</f>
        <v/>
      </c>
      <c r="S152">
        <f>IFERROR($C152*INDEX(SPPR!$E:$X,MATCH($A152,SPPR!$A:$A,0),16),"")</f>
        <v/>
      </c>
      <c r="T152">
        <f>IFERROR($C152*INDEX(SPPR!$E:$X,MATCH($A152,SPPR!$A:$A,0),17),"")</f>
        <v/>
      </c>
      <c r="U152">
        <f>IFERROR($C152*INDEX(SPPR!$E:$X,MATCH($A152,SPPR!$A:$A,0),18),"")</f>
        <v/>
      </c>
      <c r="V152">
        <f>IFERROR($C152*INDEX(SPPR!$E:$X,MATCH($A152,SPPR!$A:$A,0),19),"")</f>
        <v/>
      </c>
      <c r="W152">
        <f>IFERROR($C152*INDEX(SPPR!$E:$X,MATCH($A152,SPPR!$A:$A,0),20),"")</f>
        <v/>
      </c>
    </row>
    <row r="153">
      <c r="A153" t="inlineStr">
        <is>
          <t>Perciformes</t>
        </is>
      </c>
      <c r="B153">
        <f>IFERROR(INDEX(SPPR!$D:$D,MATCH($A153,SPPR!$A:$A,0)),"")</f>
        <v/>
      </c>
      <c r="C153">
        <f>IFERROR(INDEX(Catch!$E:$BV,MATCH($A153,Catch!$A:$A,0),MATCH($B$4,Catch!$E$1:$BV$1,0)),0)</f>
        <v/>
      </c>
      <c r="D153">
        <f>IFERROR($C153*INDEX(SPPR!$E:$X,MATCH($A153,SPPR!$A:$A,0),1),"")</f>
        <v/>
      </c>
      <c r="E153">
        <f>IFERROR($C153*INDEX(SPPR!$E:$X,MATCH($A153,SPPR!$A:$A,0),2),"")</f>
        <v/>
      </c>
      <c r="F153">
        <f>IFERROR($C153*INDEX(SPPR!$E:$X,MATCH($A153,SPPR!$A:$A,0),3),"")</f>
        <v/>
      </c>
      <c r="G153">
        <f>IFERROR($C153*INDEX(SPPR!$E:$X,MATCH($A153,SPPR!$A:$A,0),4),"")</f>
        <v/>
      </c>
      <c r="H153">
        <f>IFERROR($C153*INDEX(SPPR!$E:$X,MATCH($A153,SPPR!$A:$A,0),5),"")</f>
        <v/>
      </c>
      <c r="I153">
        <f>IFERROR($C153*INDEX(SPPR!$E:$X,MATCH($A153,SPPR!$A:$A,0),6),"")</f>
        <v/>
      </c>
      <c r="J153">
        <f>IFERROR($C153*INDEX(SPPR!$E:$X,MATCH($A153,SPPR!$A:$A,0),7),"")</f>
        <v/>
      </c>
      <c r="K153">
        <f>IFERROR($C153*INDEX(SPPR!$E:$X,MATCH($A153,SPPR!$A:$A,0),8),"")</f>
        <v/>
      </c>
      <c r="L153">
        <f>IFERROR($C153*INDEX(SPPR!$E:$X,MATCH($A153,SPPR!$A:$A,0),9),"")</f>
        <v/>
      </c>
      <c r="M153">
        <f>IFERROR($C153*INDEX(SPPR!$E:$X,MATCH($A153,SPPR!$A:$A,0),10),"")</f>
        <v/>
      </c>
      <c r="N153">
        <f>IFERROR($C153*INDEX(SPPR!$E:$X,MATCH($A153,SPPR!$A:$A,0),11),"")</f>
        <v/>
      </c>
      <c r="O153">
        <f>IFERROR($C153*INDEX(SPPR!$E:$X,MATCH($A153,SPPR!$A:$A,0),12),"")</f>
        <v/>
      </c>
      <c r="P153">
        <f>IFERROR($C153*INDEX(SPPR!$E:$X,MATCH($A153,SPPR!$A:$A,0),13),"")</f>
        <v/>
      </c>
      <c r="Q153">
        <f>IFERROR($C153*INDEX(SPPR!$E:$X,MATCH($A153,SPPR!$A:$A,0),14),"")</f>
        <v/>
      </c>
      <c r="R153">
        <f>IFERROR($C153*INDEX(SPPR!$E:$X,MATCH($A153,SPPR!$A:$A,0),15),"")</f>
        <v/>
      </c>
      <c r="S153">
        <f>IFERROR($C153*INDEX(SPPR!$E:$X,MATCH($A153,SPPR!$A:$A,0),16),"")</f>
        <v/>
      </c>
      <c r="T153">
        <f>IFERROR($C153*INDEX(SPPR!$E:$X,MATCH($A153,SPPR!$A:$A,0),17),"")</f>
        <v/>
      </c>
      <c r="U153">
        <f>IFERROR($C153*INDEX(SPPR!$E:$X,MATCH($A153,SPPR!$A:$A,0),18),"")</f>
        <v/>
      </c>
      <c r="V153">
        <f>IFERROR($C153*INDEX(SPPR!$E:$X,MATCH($A153,SPPR!$A:$A,0),19),"")</f>
        <v/>
      </c>
      <c r="W153">
        <f>IFERROR($C153*INDEX(SPPR!$E:$X,MATCH($A153,SPPR!$A:$A,0),20),"")</f>
        <v/>
      </c>
    </row>
    <row r="154">
      <c r="A154" t="inlineStr">
        <is>
          <t>Ostreidae</t>
        </is>
      </c>
      <c r="B154">
        <f>IFERROR(INDEX(SPPR!$D:$D,MATCH($A154,SPPR!$A:$A,0)),"")</f>
        <v/>
      </c>
      <c r="C154">
        <f>IFERROR(INDEX(Catch!$E:$BV,MATCH($A154,Catch!$A:$A,0),MATCH($B$4,Catch!$E$1:$BV$1,0)),0)</f>
        <v/>
      </c>
      <c r="D154">
        <f>IFERROR($C154*INDEX(SPPR!$E:$X,MATCH($A154,SPPR!$A:$A,0),1),"")</f>
        <v/>
      </c>
      <c r="E154">
        <f>IFERROR($C154*INDEX(SPPR!$E:$X,MATCH($A154,SPPR!$A:$A,0),2),"")</f>
        <v/>
      </c>
      <c r="F154">
        <f>IFERROR($C154*INDEX(SPPR!$E:$X,MATCH($A154,SPPR!$A:$A,0),3),"")</f>
        <v/>
      </c>
      <c r="G154">
        <f>IFERROR($C154*INDEX(SPPR!$E:$X,MATCH($A154,SPPR!$A:$A,0),4),"")</f>
        <v/>
      </c>
      <c r="H154">
        <f>IFERROR($C154*INDEX(SPPR!$E:$X,MATCH($A154,SPPR!$A:$A,0),5),"")</f>
        <v/>
      </c>
      <c r="I154">
        <f>IFERROR($C154*INDEX(SPPR!$E:$X,MATCH($A154,SPPR!$A:$A,0),6),"")</f>
        <v/>
      </c>
      <c r="J154">
        <f>IFERROR($C154*INDEX(SPPR!$E:$X,MATCH($A154,SPPR!$A:$A,0),7),"")</f>
        <v/>
      </c>
      <c r="K154">
        <f>IFERROR($C154*INDEX(SPPR!$E:$X,MATCH($A154,SPPR!$A:$A,0),8),"")</f>
        <v/>
      </c>
      <c r="L154">
        <f>IFERROR($C154*INDEX(SPPR!$E:$X,MATCH($A154,SPPR!$A:$A,0),9),"")</f>
        <v/>
      </c>
      <c r="M154">
        <f>IFERROR($C154*INDEX(SPPR!$E:$X,MATCH($A154,SPPR!$A:$A,0),10),"")</f>
        <v/>
      </c>
      <c r="N154">
        <f>IFERROR($C154*INDEX(SPPR!$E:$X,MATCH($A154,SPPR!$A:$A,0),11),"")</f>
        <v/>
      </c>
      <c r="O154">
        <f>IFERROR($C154*INDEX(SPPR!$E:$X,MATCH($A154,SPPR!$A:$A,0),12),"")</f>
        <v/>
      </c>
      <c r="P154">
        <f>IFERROR($C154*INDEX(SPPR!$E:$X,MATCH($A154,SPPR!$A:$A,0),13),"")</f>
        <v/>
      </c>
      <c r="Q154">
        <f>IFERROR($C154*INDEX(SPPR!$E:$X,MATCH($A154,SPPR!$A:$A,0),14),"")</f>
        <v/>
      </c>
      <c r="R154">
        <f>IFERROR($C154*INDEX(SPPR!$E:$X,MATCH($A154,SPPR!$A:$A,0),15),"")</f>
        <v/>
      </c>
      <c r="S154">
        <f>IFERROR($C154*INDEX(SPPR!$E:$X,MATCH($A154,SPPR!$A:$A,0),16),"")</f>
        <v/>
      </c>
      <c r="T154">
        <f>IFERROR($C154*INDEX(SPPR!$E:$X,MATCH($A154,SPPR!$A:$A,0),17),"")</f>
        <v/>
      </c>
      <c r="U154">
        <f>IFERROR($C154*INDEX(SPPR!$E:$X,MATCH($A154,SPPR!$A:$A,0),18),"")</f>
        <v/>
      </c>
      <c r="V154">
        <f>IFERROR($C154*INDEX(SPPR!$E:$X,MATCH($A154,SPPR!$A:$A,0),19),"")</f>
        <v/>
      </c>
      <c r="W154">
        <f>IFERROR($C154*INDEX(SPPR!$E:$X,MATCH($A154,SPPR!$A:$A,0),20),"")</f>
        <v/>
      </c>
    </row>
    <row r="155">
      <c r="A155" t="inlineStr">
        <is>
          <t>Portunus</t>
        </is>
      </c>
      <c r="B155">
        <f>IFERROR(INDEX(SPPR!$D:$D,MATCH($A155,SPPR!$A:$A,0)),"")</f>
        <v/>
      </c>
      <c r="C155">
        <f>IFERROR(INDEX(Catch!$E:$BV,MATCH($A155,Catch!$A:$A,0),MATCH($B$4,Catch!$E$1:$BV$1,0)),0)</f>
        <v/>
      </c>
      <c r="D155">
        <f>IFERROR($C155*INDEX(SPPR!$E:$X,MATCH($A155,SPPR!$A:$A,0),1),"")</f>
        <v/>
      </c>
      <c r="E155">
        <f>IFERROR($C155*INDEX(SPPR!$E:$X,MATCH($A155,SPPR!$A:$A,0),2),"")</f>
        <v/>
      </c>
      <c r="F155">
        <f>IFERROR($C155*INDEX(SPPR!$E:$X,MATCH($A155,SPPR!$A:$A,0),3),"")</f>
        <v/>
      </c>
      <c r="G155">
        <f>IFERROR($C155*INDEX(SPPR!$E:$X,MATCH($A155,SPPR!$A:$A,0),4),"")</f>
        <v/>
      </c>
      <c r="H155">
        <f>IFERROR($C155*INDEX(SPPR!$E:$X,MATCH($A155,SPPR!$A:$A,0),5),"")</f>
        <v/>
      </c>
      <c r="I155">
        <f>IFERROR($C155*INDEX(SPPR!$E:$X,MATCH($A155,SPPR!$A:$A,0),6),"")</f>
        <v/>
      </c>
      <c r="J155">
        <f>IFERROR($C155*INDEX(SPPR!$E:$X,MATCH($A155,SPPR!$A:$A,0),7),"")</f>
        <v/>
      </c>
      <c r="K155">
        <f>IFERROR($C155*INDEX(SPPR!$E:$X,MATCH($A155,SPPR!$A:$A,0),8),"")</f>
        <v/>
      </c>
      <c r="L155">
        <f>IFERROR($C155*INDEX(SPPR!$E:$X,MATCH($A155,SPPR!$A:$A,0),9),"")</f>
        <v/>
      </c>
      <c r="M155">
        <f>IFERROR($C155*INDEX(SPPR!$E:$X,MATCH($A155,SPPR!$A:$A,0),10),"")</f>
        <v/>
      </c>
      <c r="N155">
        <f>IFERROR($C155*INDEX(SPPR!$E:$X,MATCH($A155,SPPR!$A:$A,0),11),"")</f>
        <v/>
      </c>
      <c r="O155">
        <f>IFERROR($C155*INDEX(SPPR!$E:$X,MATCH($A155,SPPR!$A:$A,0),12),"")</f>
        <v/>
      </c>
      <c r="P155">
        <f>IFERROR($C155*INDEX(SPPR!$E:$X,MATCH($A155,SPPR!$A:$A,0),13),"")</f>
        <v/>
      </c>
      <c r="Q155">
        <f>IFERROR($C155*INDEX(SPPR!$E:$X,MATCH($A155,SPPR!$A:$A,0),14),"")</f>
        <v/>
      </c>
      <c r="R155">
        <f>IFERROR($C155*INDEX(SPPR!$E:$X,MATCH($A155,SPPR!$A:$A,0),15),"")</f>
        <v/>
      </c>
      <c r="S155">
        <f>IFERROR($C155*INDEX(SPPR!$E:$X,MATCH($A155,SPPR!$A:$A,0),16),"")</f>
        <v/>
      </c>
      <c r="T155">
        <f>IFERROR($C155*INDEX(SPPR!$E:$X,MATCH($A155,SPPR!$A:$A,0),17),"")</f>
        <v/>
      </c>
      <c r="U155">
        <f>IFERROR($C155*INDEX(SPPR!$E:$X,MATCH($A155,SPPR!$A:$A,0),18),"")</f>
        <v/>
      </c>
      <c r="V155">
        <f>IFERROR($C155*INDEX(SPPR!$E:$X,MATCH($A155,SPPR!$A:$A,0),19),"")</f>
        <v/>
      </c>
      <c r="W155">
        <f>IFERROR($C155*INDEX(SPPR!$E:$X,MATCH($A155,SPPR!$A:$A,0),20),"")</f>
        <v/>
      </c>
    </row>
    <row r="156">
      <c r="A156" t="inlineStr">
        <is>
          <t>Penaeus penicillatus</t>
        </is>
      </c>
      <c r="B156">
        <f>IFERROR(INDEX(SPPR!$D:$D,MATCH($A156,SPPR!$A:$A,0)),"")</f>
        <v/>
      </c>
      <c r="C156">
        <f>IFERROR(INDEX(Catch!$E:$BV,MATCH($A156,Catch!$A:$A,0),MATCH($B$4,Catch!$E$1:$BV$1,0)),0)</f>
        <v/>
      </c>
      <c r="D156">
        <f>IFERROR($C156*INDEX(SPPR!$E:$X,MATCH($A156,SPPR!$A:$A,0),1),"")</f>
        <v/>
      </c>
      <c r="E156">
        <f>IFERROR($C156*INDEX(SPPR!$E:$X,MATCH($A156,SPPR!$A:$A,0),2),"")</f>
        <v/>
      </c>
      <c r="F156">
        <f>IFERROR($C156*INDEX(SPPR!$E:$X,MATCH($A156,SPPR!$A:$A,0),3),"")</f>
        <v/>
      </c>
      <c r="G156">
        <f>IFERROR($C156*INDEX(SPPR!$E:$X,MATCH($A156,SPPR!$A:$A,0),4),"")</f>
        <v/>
      </c>
      <c r="H156">
        <f>IFERROR($C156*INDEX(SPPR!$E:$X,MATCH($A156,SPPR!$A:$A,0),5),"")</f>
        <v/>
      </c>
      <c r="I156">
        <f>IFERROR($C156*INDEX(SPPR!$E:$X,MATCH($A156,SPPR!$A:$A,0),6),"")</f>
        <v/>
      </c>
      <c r="J156">
        <f>IFERROR($C156*INDEX(SPPR!$E:$X,MATCH($A156,SPPR!$A:$A,0),7),"")</f>
        <v/>
      </c>
      <c r="K156">
        <f>IFERROR($C156*INDEX(SPPR!$E:$X,MATCH($A156,SPPR!$A:$A,0),8),"")</f>
        <v/>
      </c>
      <c r="L156">
        <f>IFERROR($C156*INDEX(SPPR!$E:$X,MATCH($A156,SPPR!$A:$A,0),9),"")</f>
        <v/>
      </c>
      <c r="M156">
        <f>IFERROR($C156*INDEX(SPPR!$E:$X,MATCH($A156,SPPR!$A:$A,0),10),"")</f>
        <v/>
      </c>
      <c r="N156">
        <f>IFERROR($C156*INDEX(SPPR!$E:$X,MATCH($A156,SPPR!$A:$A,0),11),"")</f>
        <v/>
      </c>
      <c r="O156">
        <f>IFERROR($C156*INDEX(SPPR!$E:$X,MATCH($A156,SPPR!$A:$A,0),12),"")</f>
        <v/>
      </c>
      <c r="P156">
        <f>IFERROR($C156*INDEX(SPPR!$E:$X,MATCH($A156,SPPR!$A:$A,0),13),"")</f>
        <v/>
      </c>
      <c r="Q156">
        <f>IFERROR($C156*INDEX(SPPR!$E:$X,MATCH($A156,SPPR!$A:$A,0),14),"")</f>
        <v/>
      </c>
      <c r="R156">
        <f>IFERROR($C156*INDEX(SPPR!$E:$X,MATCH($A156,SPPR!$A:$A,0),15),"")</f>
        <v/>
      </c>
      <c r="S156">
        <f>IFERROR($C156*INDEX(SPPR!$E:$X,MATCH($A156,SPPR!$A:$A,0),16),"")</f>
        <v/>
      </c>
      <c r="T156">
        <f>IFERROR($C156*INDEX(SPPR!$E:$X,MATCH($A156,SPPR!$A:$A,0),17),"")</f>
        <v/>
      </c>
      <c r="U156">
        <f>IFERROR($C156*INDEX(SPPR!$E:$X,MATCH($A156,SPPR!$A:$A,0),18),"")</f>
        <v/>
      </c>
      <c r="V156">
        <f>IFERROR($C156*INDEX(SPPR!$E:$X,MATCH($A156,SPPR!$A:$A,0),19),"")</f>
        <v/>
      </c>
      <c r="W156">
        <f>IFERROR($C156*INDEX(SPPR!$E:$X,MATCH($A156,SPPR!$A:$A,0),20),"")</f>
        <v/>
      </c>
    </row>
    <row r="157">
      <c r="A157" t="inlineStr">
        <is>
          <t>Thunnus orientalis</t>
        </is>
      </c>
      <c r="B157">
        <f>IFERROR(INDEX(SPPR!$D:$D,MATCH($A157,SPPR!$A:$A,0)),"")</f>
        <v/>
      </c>
      <c r="C157">
        <f>IFERROR(INDEX(Catch!$E:$BV,MATCH($A157,Catch!$A:$A,0),MATCH($B$4,Catch!$E$1:$BV$1,0)),0)</f>
        <v/>
      </c>
      <c r="D157">
        <f>IFERROR($C157*INDEX(SPPR!$E:$X,MATCH($A157,SPPR!$A:$A,0),1),"")</f>
        <v/>
      </c>
      <c r="E157">
        <f>IFERROR($C157*INDEX(SPPR!$E:$X,MATCH($A157,SPPR!$A:$A,0),2),"")</f>
        <v/>
      </c>
      <c r="F157">
        <f>IFERROR($C157*INDEX(SPPR!$E:$X,MATCH($A157,SPPR!$A:$A,0),3),"")</f>
        <v/>
      </c>
      <c r="G157">
        <f>IFERROR($C157*INDEX(SPPR!$E:$X,MATCH($A157,SPPR!$A:$A,0),4),"")</f>
        <v/>
      </c>
      <c r="H157">
        <f>IFERROR($C157*INDEX(SPPR!$E:$X,MATCH($A157,SPPR!$A:$A,0),5),"")</f>
        <v/>
      </c>
      <c r="I157">
        <f>IFERROR($C157*INDEX(SPPR!$E:$X,MATCH($A157,SPPR!$A:$A,0),6),"")</f>
        <v/>
      </c>
      <c r="J157">
        <f>IFERROR($C157*INDEX(SPPR!$E:$X,MATCH($A157,SPPR!$A:$A,0),7),"")</f>
        <v/>
      </c>
      <c r="K157">
        <f>IFERROR($C157*INDEX(SPPR!$E:$X,MATCH($A157,SPPR!$A:$A,0),8),"")</f>
        <v/>
      </c>
      <c r="L157">
        <f>IFERROR($C157*INDEX(SPPR!$E:$X,MATCH($A157,SPPR!$A:$A,0),9),"")</f>
        <v/>
      </c>
      <c r="M157">
        <f>IFERROR($C157*INDEX(SPPR!$E:$X,MATCH($A157,SPPR!$A:$A,0),10),"")</f>
        <v/>
      </c>
      <c r="N157">
        <f>IFERROR($C157*INDEX(SPPR!$E:$X,MATCH($A157,SPPR!$A:$A,0),11),"")</f>
        <v/>
      </c>
      <c r="O157">
        <f>IFERROR($C157*INDEX(SPPR!$E:$X,MATCH($A157,SPPR!$A:$A,0),12),"")</f>
        <v/>
      </c>
      <c r="P157">
        <f>IFERROR($C157*INDEX(SPPR!$E:$X,MATCH($A157,SPPR!$A:$A,0),13),"")</f>
        <v/>
      </c>
      <c r="Q157">
        <f>IFERROR($C157*INDEX(SPPR!$E:$X,MATCH($A157,SPPR!$A:$A,0),14),"")</f>
        <v/>
      </c>
      <c r="R157">
        <f>IFERROR($C157*INDEX(SPPR!$E:$X,MATCH($A157,SPPR!$A:$A,0),15),"")</f>
        <v/>
      </c>
      <c r="S157">
        <f>IFERROR($C157*INDEX(SPPR!$E:$X,MATCH($A157,SPPR!$A:$A,0),16),"")</f>
        <v/>
      </c>
      <c r="T157">
        <f>IFERROR($C157*INDEX(SPPR!$E:$X,MATCH($A157,SPPR!$A:$A,0),17),"")</f>
        <v/>
      </c>
      <c r="U157">
        <f>IFERROR($C157*INDEX(SPPR!$E:$X,MATCH($A157,SPPR!$A:$A,0),18),"")</f>
        <v/>
      </c>
      <c r="V157">
        <f>IFERROR($C157*INDEX(SPPR!$E:$X,MATCH($A157,SPPR!$A:$A,0),19),"")</f>
        <v/>
      </c>
      <c r="W157">
        <f>IFERROR($C157*INDEX(SPPR!$E:$X,MATCH($A157,SPPR!$A:$A,0),20),"")</f>
        <v/>
      </c>
    </row>
    <row r="158">
      <c r="A158" t="inlineStr">
        <is>
          <t>Liparis tanakae</t>
        </is>
      </c>
      <c r="B158">
        <f>IFERROR(INDEX(SPPR!$D:$D,MATCH($A158,SPPR!$A:$A,0)),"")</f>
        <v/>
      </c>
      <c r="C158">
        <f>IFERROR(INDEX(Catch!$E:$BV,MATCH($A158,Catch!$A:$A,0),MATCH($B$4,Catch!$E$1:$BV$1,0)),0)</f>
        <v/>
      </c>
      <c r="D158">
        <f>IFERROR($C158*INDEX(SPPR!$E:$X,MATCH($A158,SPPR!$A:$A,0),1),"")</f>
        <v/>
      </c>
      <c r="E158">
        <f>IFERROR($C158*INDEX(SPPR!$E:$X,MATCH($A158,SPPR!$A:$A,0),2),"")</f>
        <v/>
      </c>
      <c r="F158">
        <f>IFERROR($C158*INDEX(SPPR!$E:$X,MATCH($A158,SPPR!$A:$A,0),3),"")</f>
        <v/>
      </c>
      <c r="G158">
        <f>IFERROR($C158*INDEX(SPPR!$E:$X,MATCH($A158,SPPR!$A:$A,0),4),"")</f>
        <v/>
      </c>
      <c r="H158">
        <f>IFERROR($C158*INDEX(SPPR!$E:$X,MATCH($A158,SPPR!$A:$A,0),5),"")</f>
        <v/>
      </c>
      <c r="I158">
        <f>IFERROR($C158*INDEX(SPPR!$E:$X,MATCH($A158,SPPR!$A:$A,0),6),"")</f>
        <v/>
      </c>
      <c r="J158">
        <f>IFERROR($C158*INDEX(SPPR!$E:$X,MATCH($A158,SPPR!$A:$A,0),7),"")</f>
        <v/>
      </c>
      <c r="K158">
        <f>IFERROR($C158*INDEX(SPPR!$E:$X,MATCH($A158,SPPR!$A:$A,0),8),"")</f>
        <v/>
      </c>
      <c r="L158">
        <f>IFERROR($C158*INDEX(SPPR!$E:$X,MATCH($A158,SPPR!$A:$A,0),9),"")</f>
        <v/>
      </c>
      <c r="M158">
        <f>IFERROR($C158*INDEX(SPPR!$E:$X,MATCH($A158,SPPR!$A:$A,0),10),"")</f>
        <v/>
      </c>
      <c r="N158">
        <f>IFERROR($C158*INDEX(SPPR!$E:$X,MATCH($A158,SPPR!$A:$A,0),11),"")</f>
        <v/>
      </c>
      <c r="O158">
        <f>IFERROR($C158*INDEX(SPPR!$E:$X,MATCH($A158,SPPR!$A:$A,0),12),"")</f>
        <v/>
      </c>
      <c r="P158">
        <f>IFERROR($C158*INDEX(SPPR!$E:$X,MATCH($A158,SPPR!$A:$A,0),13),"")</f>
        <v/>
      </c>
      <c r="Q158">
        <f>IFERROR($C158*INDEX(SPPR!$E:$X,MATCH($A158,SPPR!$A:$A,0),14),"")</f>
        <v/>
      </c>
      <c r="R158">
        <f>IFERROR($C158*INDEX(SPPR!$E:$X,MATCH($A158,SPPR!$A:$A,0),15),"")</f>
        <v/>
      </c>
      <c r="S158">
        <f>IFERROR($C158*INDEX(SPPR!$E:$X,MATCH($A158,SPPR!$A:$A,0),16),"")</f>
        <v/>
      </c>
      <c r="T158">
        <f>IFERROR($C158*INDEX(SPPR!$E:$X,MATCH($A158,SPPR!$A:$A,0),17),"")</f>
        <v/>
      </c>
      <c r="U158">
        <f>IFERROR($C158*INDEX(SPPR!$E:$X,MATCH($A158,SPPR!$A:$A,0),18),"")</f>
        <v/>
      </c>
      <c r="V158">
        <f>IFERROR($C158*INDEX(SPPR!$E:$X,MATCH($A158,SPPR!$A:$A,0),19),"")</f>
        <v/>
      </c>
      <c r="W158">
        <f>IFERROR($C158*INDEX(SPPR!$E:$X,MATCH($A158,SPPR!$A:$A,0),20),"")</f>
        <v/>
      </c>
    </row>
    <row r="159">
      <c r="A159" t="inlineStr">
        <is>
          <t>Trachurus</t>
        </is>
      </c>
      <c r="B159">
        <f>IFERROR(INDEX(SPPR!$D:$D,MATCH($A159,SPPR!$A:$A,0)),"")</f>
        <v/>
      </c>
      <c r="C159">
        <f>IFERROR(INDEX(Catch!$E:$BV,MATCH($A159,Catch!$A:$A,0),MATCH($B$4,Catch!$E$1:$BV$1,0)),0)</f>
        <v/>
      </c>
      <c r="D159">
        <f>IFERROR($C159*INDEX(SPPR!$E:$X,MATCH($A159,SPPR!$A:$A,0),1),"")</f>
        <v/>
      </c>
      <c r="E159">
        <f>IFERROR($C159*INDEX(SPPR!$E:$X,MATCH($A159,SPPR!$A:$A,0),2),"")</f>
        <v/>
      </c>
      <c r="F159">
        <f>IFERROR($C159*INDEX(SPPR!$E:$X,MATCH($A159,SPPR!$A:$A,0),3),"")</f>
        <v/>
      </c>
      <c r="G159">
        <f>IFERROR($C159*INDEX(SPPR!$E:$X,MATCH($A159,SPPR!$A:$A,0),4),"")</f>
        <v/>
      </c>
      <c r="H159">
        <f>IFERROR($C159*INDEX(SPPR!$E:$X,MATCH($A159,SPPR!$A:$A,0),5),"")</f>
        <v/>
      </c>
      <c r="I159">
        <f>IFERROR($C159*INDEX(SPPR!$E:$X,MATCH($A159,SPPR!$A:$A,0),6),"")</f>
        <v/>
      </c>
      <c r="J159">
        <f>IFERROR($C159*INDEX(SPPR!$E:$X,MATCH($A159,SPPR!$A:$A,0),7),"")</f>
        <v/>
      </c>
      <c r="K159">
        <f>IFERROR($C159*INDEX(SPPR!$E:$X,MATCH($A159,SPPR!$A:$A,0),8),"")</f>
        <v/>
      </c>
      <c r="L159">
        <f>IFERROR($C159*INDEX(SPPR!$E:$X,MATCH($A159,SPPR!$A:$A,0),9),"")</f>
        <v/>
      </c>
      <c r="M159">
        <f>IFERROR($C159*INDEX(SPPR!$E:$X,MATCH($A159,SPPR!$A:$A,0),10),"")</f>
        <v/>
      </c>
      <c r="N159">
        <f>IFERROR($C159*INDEX(SPPR!$E:$X,MATCH($A159,SPPR!$A:$A,0),11),"")</f>
        <v/>
      </c>
      <c r="O159">
        <f>IFERROR($C159*INDEX(SPPR!$E:$X,MATCH($A159,SPPR!$A:$A,0),12),"")</f>
        <v/>
      </c>
      <c r="P159">
        <f>IFERROR($C159*INDEX(SPPR!$E:$X,MATCH($A159,SPPR!$A:$A,0),13),"")</f>
        <v/>
      </c>
      <c r="Q159">
        <f>IFERROR($C159*INDEX(SPPR!$E:$X,MATCH($A159,SPPR!$A:$A,0),14),"")</f>
        <v/>
      </c>
      <c r="R159">
        <f>IFERROR($C159*INDEX(SPPR!$E:$X,MATCH($A159,SPPR!$A:$A,0),15),"")</f>
        <v/>
      </c>
      <c r="S159">
        <f>IFERROR($C159*INDEX(SPPR!$E:$X,MATCH($A159,SPPR!$A:$A,0),16),"")</f>
        <v/>
      </c>
      <c r="T159">
        <f>IFERROR($C159*INDEX(SPPR!$E:$X,MATCH($A159,SPPR!$A:$A,0),17),"")</f>
        <v/>
      </c>
      <c r="U159">
        <f>IFERROR($C159*INDEX(SPPR!$E:$X,MATCH($A159,SPPR!$A:$A,0),18),"")</f>
        <v/>
      </c>
      <c r="V159">
        <f>IFERROR($C159*INDEX(SPPR!$E:$X,MATCH($A159,SPPR!$A:$A,0),19),"")</f>
        <v/>
      </c>
      <c r="W159">
        <f>IFERROR($C159*INDEX(SPPR!$E:$X,MATCH($A159,SPPR!$A:$A,0),20),"")</f>
        <v/>
      </c>
    </row>
    <row r="160">
      <c r="A160" t="inlineStr">
        <is>
          <t>Hyporhamphus sajori</t>
        </is>
      </c>
      <c r="B160">
        <f>IFERROR(INDEX(SPPR!$D:$D,MATCH($A160,SPPR!$A:$A,0)),"")</f>
        <v/>
      </c>
      <c r="C160">
        <f>IFERROR(INDEX(Catch!$E:$BV,MATCH($A160,Catch!$A:$A,0),MATCH($B$4,Catch!$E$1:$BV$1,0)),0)</f>
        <v/>
      </c>
      <c r="D160">
        <f>IFERROR($C160*INDEX(SPPR!$E:$X,MATCH($A160,SPPR!$A:$A,0),1),"")</f>
        <v/>
      </c>
      <c r="E160">
        <f>IFERROR($C160*INDEX(SPPR!$E:$X,MATCH($A160,SPPR!$A:$A,0),2),"")</f>
        <v/>
      </c>
      <c r="F160">
        <f>IFERROR($C160*INDEX(SPPR!$E:$X,MATCH($A160,SPPR!$A:$A,0),3),"")</f>
        <v/>
      </c>
      <c r="G160">
        <f>IFERROR($C160*INDEX(SPPR!$E:$X,MATCH($A160,SPPR!$A:$A,0),4),"")</f>
        <v/>
      </c>
      <c r="H160">
        <f>IFERROR($C160*INDEX(SPPR!$E:$X,MATCH($A160,SPPR!$A:$A,0),5),"")</f>
        <v/>
      </c>
      <c r="I160">
        <f>IFERROR($C160*INDEX(SPPR!$E:$X,MATCH($A160,SPPR!$A:$A,0),6),"")</f>
        <v/>
      </c>
      <c r="J160">
        <f>IFERROR($C160*INDEX(SPPR!$E:$X,MATCH($A160,SPPR!$A:$A,0),7),"")</f>
        <v/>
      </c>
      <c r="K160">
        <f>IFERROR($C160*INDEX(SPPR!$E:$X,MATCH($A160,SPPR!$A:$A,0),8),"")</f>
        <v/>
      </c>
      <c r="L160">
        <f>IFERROR($C160*INDEX(SPPR!$E:$X,MATCH($A160,SPPR!$A:$A,0),9),"")</f>
        <v/>
      </c>
      <c r="M160">
        <f>IFERROR($C160*INDEX(SPPR!$E:$X,MATCH($A160,SPPR!$A:$A,0),10),"")</f>
        <v/>
      </c>
      <c r="N160">
        <f>IFERROR($C160*INDEX(SPPR!$E:$X,MATCH($A160,SPPR!$A:$A,0),11),"")</f>
        <v/>
      </c>
      <c r="O160">
        <f>IFERROR($C160*INDEX(SPPR!$E:$X,MATCH($A160,SPPR!$A:$A,0),12),"")</f>
        <v/>
      </c>
      <c r="P160">
        <f>IFERROR($C160*INDEX(SPPR!$E:$X,MATCH($A160,SPPR!$A:$A,0),13),"")</f>
        <v/>
      </c>
      <c r="Q160">
        <f>IFERROR($C160*INDEX(SPPR!$E:$X,MATCH($A160,SPPR!$A:$A,0),14),"")</f>
        <v/>
      </c>
      <c r="R160">
        <f>IFERROR($C160*INDEX(SPPR!$E:$X,MATCH($A160,SPPR!$A:$A,0),15),"")</f>
        <v/>
      </c>
      <c r="S160">
        <f>IFERROR($C160*INDEX(SPPR!$E:$X,MATCH($A160,SPPR!$A:$A,0),16),"")</f>
        <v/>
      </c>
      <c r="T160">
        <f>IFERROR($C160*INDEX(SPPR!$E:$X,MATCH($A160,SPPR!$A:$A,0),17),"")</f>
        <v/>
      </c>
      <c r="U160">
        <f>IFERROR($C160*INDEX(SPPR!$E:$X,MATCH($A160,SPPR!$A:$A,0),18),"")</f>
        <v/>
      </c>
      <c r="V160">
        <f>IFERROR($C160*INDEX(SPPR!$E:$X,MATCH($A160,SPPR!$A:$A,0),19),"")</f>
        <v/>
      </c>
      <c r="W160">
        <f>IFERROR($C160*INDEX(SPPR!$E:$X,MATCH($A160,SPPR!$A:$A,0),20),"")</f>
        <v/>
      </c>
    </row>
    <row r="161">
      <c r="A161" t="inlineStr">
        <is>
          <t>Kajikia audax</t>
        </is>
      </c>
      <c r="B161">
        <f>IFERROR(INDEX(SPPR!$D:$D,MATCH($A161,SPPR!$A:$A,0)),"")</f>
        <v/>
      </c>
      <c r="C161">
        <f>IFERROR(INDEX(Catch!$E:$BV,MATCH($A161,Catch!$A:$A,0),MATCH($B$4,Catch!$E$1:$BV$1,0)),0)</f>
        <v/>
      </c>
      <c r="D161">
        <f>IFERROR($C161*INDEX(SPPR!$E:$X,MATCH($A161,SPPR!$A:$A,0),1),"")</f>
        <v/>
      </c>
      <c r="E161">
        <f>IFERROR($C161*INDEX(SPPR!$E:$X,MATCH($A161,SPPR!$A:$A,0),2),"")</f>
        <v/>
      </c>
      <c r="F161">
        <f>IFERROR($C161*INDEX(SPPR!$E:$X,MATCH($A161,SPPR!$A:$A,0),3),"")</f>
        <v/>
      </c>
      <c r="G161">
        <f>IFERROR($C161*INDEX(SPPR!$E:$X,MATCH($A161,SPPR!$A:$A,0),4),"")</f>
        <v/>
      </c>
      <c r="H161">
        <f>IFERROR($C161*INDEX(SPPR!$E:$X,MATCH($A161,SPPR!$A:$A,0),5),"")</f>
        <v/>
      </c>
      <c r="I161">
        <f>IFERROR($C161*INDEX(SPPR!$E:$X,MATCH($A161,SPPR!$A:$A,0),6),"")</f>
        <v/>
      </c>
      <c r="J161">
        <f>IFERROR($C161*INDEX(SPPR!$E:$X,MATCH($A161,SPPR!$A:$A,0),7),"")</f>
        <v/>
      </c>
      <c r="K161">
        <f>IFERROR($C161*INDEX(SPPR!$E:$X,MATCH($A161,SPPR!$A:$A,0),8),"")</f>
        <v/>
      </c>
      <c r="L161">
        <f>IFERROR($C161*INDEX(SPPR!$E:$X,MATCH($A161,SPPR!$A:$A,0),9),"")</f>
        <v/>
      </c>
      <c r="M161">
        <f>IFERROR($C161*INDEX(SPPR!$E:$X,MATCH($A161,SPPR!$A:$A,0),10),"")</f>
        <v/>
      </c>
      <c r="N161">
        <f>IFERROR($C161*INDEX(SPPR!$E:$X,MATCH($A161,SPPR!$A:$A,0),11),"")</f>
        <v/>
      </c>
      <c r="O161">
        <f>IFERROR($C161*INDEX(SPPR!$E:$X,MATCH($A161,SPPR!$A:$A,0),12),"")</f>
        <v/>
      </c>
      <c r="P161">
        <f>IFERROR($C161*INDEX(SPPR!$E:$X,MATCH($A161,SPPR!$A:$A,0),13),"")</f>
        <v/>
      </c>
      <c r="Q161">
        <f>IFERROR($C161*INDEX(SPPR!$E:$X,MATCH($A161,SPPR!$A:$A,0),14),"")</f>
        <v/>
      </c>
      <c r="R161">
        <f>IFERROR($C161*INDEX(SPPR!$E:$X,MATCH($A161,SPPR!$A:$A,0),15),"")</f>
        <v/>
      </c>
      <c r="S161">
        <f>IFERROR($C161*INDEX(SPPR!$E:$X,MATCH($A161,SPPR!$A:$A,0),16),"")</f>
        <v/>
      </c>
      <c r="T161">
        <f>IFERROR($C161*INDEX(SPPR!$E:$X,MATCH($A161,SPPR!$A:$A,0),17),"")</f>
        <v/>
      </c>
      <c r="U161">
        <f>IFERROR($C161*INDEX(SPPR!$E:$X,MATCH($A161,SPPR!$A:$A,0),18),"")</f>
        <v/>
      </c>
      <c r="V161">
        <f>IFERROR($C161*INDEX(SPPR!$E:$X,MATCH($A161,SPPR!$A:$A,0),19),"")</f>
        <v/>
      </c>
      <c r="W161">
        <f>IFERROR($C161*INDEX(SPPR!$E:$X,MATCH($A161,SPPR!$A:$A,0),20),"")</f>
        <v/>
      </c>
    </row>
    <row r="162">
      <c r="A162" t="inlineStr">
        <is>
          <t>Clupea pallasii</t>
        </is>
      </c>
      <c r="B162">
        <f>IFERROR(INDEX(SPPR!$D:$D,MATCH($A162,SPPR!$A:$A,0)),"")</f>
        <v/>
      </c>
      <c r="C162">
        <f>IFERROR(INDEX(Catch!$E:$BV,MATCH($A162,Catch!$A:$A,0),MATCH($B$4,Catch!$E$1:$BV$1,0)),0)</f>
        <v/>
      </c>
      <c r="D162">
        <f>IFERROR($C162*INDEX(SPPR!$E:$X,MATCH($A162,SPPR!$A:$A,0),1),"")</f>
        <v/>
      </c>
      <c r="E162">
        <f>IFERROR($C162*INDEX(SPPR!$E:$X,MATCH($A162,SPPR!$A:$A,0),2),"")</f>
        <v/>
      </c>
      <c r="F162">
        <f>IFERROR($C162*INDEX(SPPR!$E:$X,MATCH($A162,SPPR!$A:$A,0),3),"")</f>
        <v/>
      </c>
      <c r="G162">
        <f>IFERROR($C162*INDEX(SPPR!$E:$X,MATCH($A162,SPPR!$A:$A,0),4),"")</f>
        <v/>
      </c>
      <c r="H162">
        <f>IFERROR($C162*INDEX(SPPR!$E:$X,MATCH($A162,SPPR!$A:$A,0),5),"")</f>
        <v/>
      </c>
      <c r="I162">
        <f>IFERROR($C162*INDEX(SPPR!$E:$X,MATCH($A162,SPPR!$A:$A,0),6),"")</f>
        <v/>
      </c>
      <c r="J162">
        <f>IFERROR($C162*INDEX(SPPR!$E:$X,MATCH($A162,SPPR!$A:$A,0),7),"")</f>
        <v/>
      </c>
      <c r="K162">
        <f>IFERROR($C162*INDEX(SPPR!$E:$X,MATCH($A162,SPPR!$A:$A,0),8),"")</f>
        <v/>
      </c>
      <c r="L162">
        <f>IFERROR($C162*INDEX(SPPR!$E:$X,MATCH($A162,SPPR!$A:$A,0),9),"")</f>
        <v/>
      </c>
      <c r="M162">
        <f>IFERROR($C162*INDEX(SPPR!$E:$X,MATCH($A162,SPPR!$A:$A,0),10),"")</f>
        <v/>
      </c>
      <c r="N162">
        <f>IFERROR($C162*INDEX(SPPR!$E:$X,MATCH($A162,SPPR!$A:$A,0),11),"")</f>
        <v/>
      </c>
      <c r="O162">
        <f>IFERROR($C162*INDEX(SPPR!$E:$X,MATCH($A162,SPPR!$A:$A,0),12),"")</f>
        <v/>
      </c>
      <c r="P162">
        <f>IFERROR($C162*INDEX(SPPR!$E:$X,MATCH($A162,SPPR!$A:$A,0),13),"")</f>
        <v/>
      </c>
      <c r="Q162">
        <f>IFERROR($C162*INDEX(SPPR!$E:$X,MATCH($A162,SPPR!$A:$A,0),14),"")</f>
        <v/>
      </c>
      <c r="R162">
        <f>IFERROR($C162*INDEX(SPPR!$E:$X,MATCH($A162,SPPR!$A:$A,0),15),"")</f>
        <v/>
      </c>
      <c r="S162">
        <f>IFERROR($C162*INDEX(SPPR!$E:$X,MATCH($A162,SPPR!$A:$A,0),16),"")</f>
        <v/>
      </c>
      <c r="T162">
        <f>IFERROR($C162*INDEX(SPPR!$E:$X,MATCH($A162,SPPR!$A:$A,0),17),"")</f>
        <v/>
      </c>
      <c r="U162">
        <f>IFERROR($C162*INDEX(SPPR!$E:$X,MATCH($A162,SPPR!$A:$A,0),18),"")</f>
        <v/>
      </c>
      <c r="V162">
        <f>IFERROR($C162*INDEX(SPPR!$E:$X,MATCH($A162,SPPR!$A:$A,0),19),"")</f>
        <v/>
      </c>
      <c r="W162">
        <f>IFERROR($C162*INDEX(SPPR!$E:$X,MATCH($A162,SPPR!$A:$A,0),20),"")</f>
        <v/>
      </c>
    </row>
    <row r="163">
      <c r="A163" t="inlineStr">
        <is>
          <t>Sepia</t>
        </is>
      </c>
      <c r="B163">
        <f>IFERROR(INDEX(SPPR!$D:$D,MATCH($A163,SPPR!$A:$A,0)),"")</f>
        <v/>
      </c>
      <c r="C163">
        <f>IFERROR(INDEX(Catch!$E:$BV,MATCH($A163,Catch!$A:$A,0),MATCH($B$4,Catch!$E$1:$BV$1,0)),0)</f>
        <v/>
      </c>
      <c r="D163">
        <f>IFERROR($C163*INDEX(SPPR!$E:$X,MATCH($A163,SPPR!$A:$A,0),1),"")</f>
        <v/>
      </c>
      <c r="E163">
        <f>IFERROR($C163*INDEX(SPPR!$E:$X,MATCH($A163,SPPR!$A:$A,0),2),"")</f>
        <v/>
      </c>
      <c r="F163">
        <f>IFERROR($C163*INDEX(SPPR!$E:$X,MATCH($A163,SPPR!$A:$A,0),3),"")</f>
        <v/>
      </c>
      <c r="G163">
        <f>IFERROR($C163*INDEX(SPPR!$E:$X,MATCH($A163,SPPR!$A:$A,0),4),"")</f>
        <v/>
      </c>
      <c r="H163">
        <f>IFERROR($C163*INDEX(SPPR!$E:$X,MATCH($A163,SPPR!$A:$A,0),5),"")</f>
        <v/>
      </c>
      <c r="I163">
        <f>IFERROR($C163*INDEX(SPPR!$E:$X,MATCH($A163,SPPR!$A:$A,0),6),"")</f>
        <v/>
      </c>
      <c r="J163">
        <f>IFERROR($C163*INDEX(SPPR!$E:$X,MATCH($A163,SPPR!$A:$A,0),7),"")</f>
        <v/>
      </c>
      <c r="K163">
        <f>IFERROR($C163*INDEX(SPPR!$E:$X,MATCH($A163,SPPR!$A:$A,0),8),"")</f>
        <v/>
      </c>
      <c r="L163">
        <f>IFERROR($C163*INDEX(SPPR!$E:$X,MATCH($A163,SPPR!$A:$A,0),9),"")</f>
        <v/>
      </c>
      <c r="M163">
        <f>IFERROR($C163*INDEX(SPPR!$E:$X,MATCH($A163,SPPR!$A:$A,0),10),"")</f>
        <v/>
      </c>
      <c r="N163">
        <f>IFERROR($C163*INDEX(SPPR!$E:$X,MATCH($A163,SPPR!$A:$A,0),11),"")</f>
        <v/>
      </c>
      <c r="O163">
        <f>IFERROR($C163*INDEX(SPPR!$E:$X,MATCH($A163,SPPR!$A:$A,0),12),"")</f>
        <v/>
      </c>
      <c r="P163">
        <f>IFERROR($C163*INDEX(SPPR!$E:$X,MATCH($A163,SPPR!$A:$A,0),13),"")</f>
        <v/>
      </c>
      <c r="Q163">
        <f>IFERROR($C163*INDEX(SPPR!$E:$X,MATCH($A163,SPPR!$A:$A,0),14),"")</f>
        <v/>
      </c>
      <c r="R163">
        <f>IFERROR($C163*INDEX(SPPR!$E:$X,MATCH($A163,SPPR!$A:$A,0),15),"")</f>
        <v/>
      </c>
      <c r="S163">
        <f>IFERROR($C163*INDEX(SPPR!$E:$X,MATCH($A163,SPPR!$A:$A,0),16),"")</f>
        <v/>
      </c>
      <c r="T163">
        <f>IFERROR($C163*INDEX(SPPR!$E:$X,MATCH($A163,SPPR!$A:$A,0),17),"")</f>
        <v/>
      </c>
      <c r="U163">
        <f>IFERROR($C163*INDEX(SPPR!$E:$X,MATCH($A163,SPPR!$A:$A,0),18),"")</f>
        <v/>
      </c>
      <c r="V163">
        <f>IFERROR($C163*INDEX(SPPR!$E:$X,MATCH($A163,SPPR!$A:$A,0),19),"")</f>
        <v/>
      </c>
      <c r="W163">
        <f>IFERROR($C163*INDEX(SPPR!$E:$X,MATCH($A163,SPPR!$A:$A,0),20),"")</f>
        <v/>
      </c>
    </row>
    <row r="164">
      <c r="A164" t="inlineStr">
        <is>
          <t>Haliotidae</t>
        </is>
      </c>
      <c r="B164">
        <f>IFERROR(INDEX(SPPR!$D:$D,MATCH($A164,SPPR!$A:$A,0)),"")</f>
        <v/>
      </c>
      <c r="C164">
        <f>IFERROR(INDEX(Catch!$E:$BV,MATCH($A164,Catch!$A:$A,0),MATCH($B$4,Catch!$E$1:$BV$1,0)),0)</f>
        <v/>
      </c>
      <c r="D164">
        <f>IFERROR($C164*INDEX(SPPR!$E:$X,MATCH($A164,SPPR!$A:$A,0),1),"")</f>
        <v/>
      </c>
      <c r="E164">
        <f>IFERROR($C164*INDEX(SPPR!$E:$X,MATCH($A164,SPPR!$A:$A,0),2),"")</f>
        <v/>
      </c>
      <c r="F164">
        <f>IFERROR($C164*INDEX(SPPR!$E:$X,MATCH($A164,SPPR!$A:$A,0),3),"")</f>
        <v/>
      </c>
      <c r="G164">
        <f>IFERROR($C164*INDEX(SPPR!$E:$X,MATCH($A164,SPPR!$A:$A,0),4),"")</f>
        <v/>
      </c>
      <c r="H164">
        <f>IFERROR($C164*INDEX(SPPR!$E:$X,MATCH($A164,SPPR!$A:$A,0),5),"")</f>
        <v/>
      </c>
      <c r="I164">
        <f>IFERROR($C164*INDEX(SPPR!$E:$X,MATCH($A164,SPPR!$A:$A,0),6),"")</f>
        <v/>
      </c>
      <c r="J164">
        <f>IFERROR($C164*INDEX(SPPR!$E:$X,MATCH($A164,SPPR!$A:$A,0),7),"")</f>
        <v/>
      </c>
      <c r="K164">
        <f>IFERROR($C164*INDEX(SPPR!$E:$X,MATCH($A164,SPPR!$A:$A,0),8),"")</f>
        <v/>
      </c>
      <c r="L164">
        <f>IFERROR($C164*INDEX(SPPR!$E:$X,MATCH($A164,SPPR!$A:$A,0),9),"")</f>
        <v/>
      </c>
      <c r="M164">
        <f>IFERROR($C164*INDEX(SPPR!$E:$X,MATCH($A164,SPPR!$A:$A,0),10),"")</f>
        <v/>
      </c>
      <c r="N164">
        <f>IFERROR($C164*INDEX(SPPR!$E:$X,MATCH($A164,SPPR!$A:$A,0),11),"")</f>
        <v/>
      </c>
      <c r="O164">
        <f>IFERROR($C164*INDEX(SPPR!$E:$X,MATCH($A164,SPPR!$A:$A,0),12),"")</f>
        <v/>
      </c>
      <c r="P164">
        <f>IFERROR($C164*INDEX(SPPR!$E:$X,MATCH($A164,SPPR!$A:$A,0),13),"")</f>
        <v/>
      </c>
      <c r="Q164">
        <f>IFERROR($C164*INDEX(SPPR!$E:$X,MATCH($A164,SPPR!$A:$A,0),14),"")</f>
        <v/>
      </c>
      <c r="R164">
        <f>IFERROR($C164*INDEX(SPPR!$E:$X,MATCH($A164,SPPR!$A:$A,0),15),"")</f>
        <v/>
      </c>
      <c r="S164">
        <f>IFERROR($C164*INDEX(SPPR!$E:$X,MATCH($A164,SPPR!$A:$A,0),16),"")</f>
        <v/>
      </c>
      <c r="T164">
        <f>IFERROR($C164*INDEX(SPPR!$E:$X,MATCH($A164,SPPR!$A:$A,0),17),"")</f>
        <v/>
      </c>
      <c r="U164">
        <f>IFERROR($C164*INDEX(SPPR!$E:$X,MATCH($A164,SPPR!$A:$A,0),18),"")</f>
        <v/>
      </c>
      <c r="V164">
        <f>IFERROR($C164*INDEX(SPPR!$E:$X,MATCH($A164,SPPR!$A:$A,0),19),"")</f>
        <v/>
      </c>
      <c r="W164">
        <f>IFERROR($C164*INDEX(SPPR!$E:$X,MATCH($A164,SPPR!$A:$A,0),20),"")</f>
        <v/>
      </c>
    </row>
    <row r="165">
      <c r="A165" t="inlineStr">
        <is>
          <t>Metapenaeus</t>
        </is>
      </c>
      <c r="B165">
        <f>IFERROR(INDEX(SPPR!$D:$D,MATCH($A165,SPPR!$A:$A,0)),"")</f>
        <v/>
      </c>
      <c r="C165">
        <f>IFERROR(INDEX(Catch!$E:$BV,MATCH($A165,Catch!$A:$A,0),MATCH($B$4,Catch!$E$1:$BV$1,0)),0)</f>
        <v/>
      </c>
      <c r="D165">
        <f>IFERROR($C165*INDEX(SPPR!$E:$X,MATCH($A165,SPPR!$A:$A,0),1),"")</f>
        <v/>
      </c>
      <c r="E165">
        <f>IFERROR($C165*INDEX(SPPR!$E:$X,MATCH($A165,SPPR!$A:$A,0),2),"")</f>
        <v/>
      </c>
      <c r="F165">
        <f>IFERROR($C165*INDEX(SPPR!$E:$X,MATCH($A165,SPPR!$A:$A,0),3),"")</f>
        <v/>
      </c>
      <c r="G165">
        <f>IFERROR($C165*INDEX(SPPR!$E:$X,MATCH($A165,SPPR!$A:$A,0),4),"")</f>
        <v/>
      </c>
      <c r="H165">
        <f>IFERROR($C165*INDEX(SPPR!$E:$X,MATCH($A165,SPPR!$A:$A,0),5),"")</f>
        <v/>
      </c>
      <c r="I165">
        <f>IFERROR($C165*INDEX(SPPR!$E:$X,MATCH($A165,SPPR!$A:$A,0),6),"")</f>
        <v/>
      </c>
      <c r="J165">
        <f>IFERROR($C165*INDEX(SPPR!$E:$X,MATCH($A165,SPPR!$A:$A,0),7),"")</f>
        <v/>
      </c>
      <c r="K165">
        <f>IFERROR($C165*INDEX(SPPR!$E:$X,MATCH($A165,SPPR!$A:$A,0),8),"")</f>
        <v/>
      </c>
      <c r="L165">
        <f>IFERROR($C165*INDEX(SPPR!$E:$X,MATCH($A165,SPPR!$A:$A,0),9),"")</f>
        <v/>
      </c>
      <c r="M165">
        <f>IFERROR($C165*INDEX(SPPR!$E:$X,MATCH($A165,SPPR!$A:$A,0),10),"")</f>
        <v/>
      </c>
      <c r="N165">
        <f>IFERROR($C165*INDEX(SPPR!$E:$X,MATCH($A165,SPPR!$A:$A,0),11),"")</f>
        <v/>
      </c>
      <c r="O165">
        <f>IFERROR($C165*INDEX(SPPR!$E:$X,MATCH($A165,SPPR!$A:$A,0),12),"")</f>
        <v/>
      </c>
      <c r="P165">
        <f>IFERROR($C165*INDEX(SPPR!$E:$X,MATCH($A165,SPPR!$A:$A,0),13),"")</f>
        <v/>
      </c>
      <c r="Q165">
        <f>IFERROR($C165*INDEX(SPPR!$E:$X,MATCH($A165,SPPR!$A:$A,0),14),"")</f>
        <v/>
      </c>
      <c r="R165">
        <f>IFERROR($C165*INDEX(SPPR!$E:$X,MATCH($A165,SPPR!$A:$A,0),15),"")</f>
        <v/>
      </c>
      <c r="S165">
        <f>IFERROR($C165*INDEX(SPPR!$E:$X,MATCH($A165,SPPR!$A:$A,0),16),"")</f>
        <v/>
      </c>
      <c r="T165">
        <f>IFERROR($C165*INDEX(SPPR!$E:$X,MATCH($A165,SPPR!$A:$A,0),17),"")</f>
        <v/>
      </c>
      <c r="U165">
        <f>IFERROR($C165*INDEX(SPPR!$E:$X,MATCH($A165,SPPR!$A:$A,0),18),"")</f>
        <v/>
      </c>
      <c r="V165">
        <f>IFERROR($C165*INDEX(SPPR!$E:$X,MATCH($A165,SPPR!$A:$A,0),19),"")</f>
        <v/>
      </c>
      <c r="W165">
        <f>IFERROR($C165*INDEX(SPPR!$E:$X,MATCH($A165,SPPR!$A:$A,0),20),"")</f>
        <v/>
      </c>
    </row>
    <row r="166">
      <c r="A166" t="inlineStr">
        <is>
          <t>Serranidae</t>
        </is>
      </c>
      <c r="B166">
        <f>IFERROR(INDEX(SPPR!$D:$D,MATCH($A166,SPPR!$A:$A,0)),"")</f>
        <v/>
      </c>
      <c r="C166">
        <f>IFERROR(INDEX(Catch!$E:$BV,MATCH($A166,Catch!$A:$A,0),MATCH($B$4,Catch!$E$1:$BV$1,0)),0)</f>
        <v/>
      </c>
      <c r="D166">
        <f>IFERROR($C166*INDEX(SPPR!$E:$X,MATCH($A166,SPPR!$A:$A,0),1),"")</f>
        <v/>
      </c>
      <c r="E166">
        <f>IFERROR($C166*INDEX(SPPR!$E:$X,MATCH($A166,SPPR!$A:$A,0),2),"")</f>
        <v/>
      </c>
      <c r="F166">
        <f>IFERROR($C166*INDEX(SPPR!$E:$X,MATCH($A166,SPPR!$A:$A,0),3),"")</f>
        <v/>
      </c>
      <c r="G166">
        <f>IFERROR($C166*INDEX(SPPR!$E:$X,MATCH($A166,SPPR!$A:$A,0),4),"")</f>
        <v/>
      </c>
      <c r="H166">
        <f>IFERROR($C166*INDEX(SPPR!$E:$X,MATCH($A166,SPPR!$A:$A,0),5),"")</f>
        <v/>
      </c>
      <c r="I166">
        <f>IFERROR($C166*INDEX(SPPR!$E:$X,MATCH($A166,SPPR!$A:$A,0),6),"")</f>
        <v/>
      </c>
      <c r="J166">
        <f>IFERROR($C166*INDEX(SPPR!$E:$X,MATCH($A166,SPPR!$A:$A,0),7),"")</f>
        <v/>
      </c>
      <c r="K166">
        <f>IFERROR($C166*INDEX(SPPR!$E:$X,MATCH($A166,SPPR!$A:$A,0),8),"")</f>
        <v/>
      </c>
      <c r="L166">
        <f>IFERROR($C166*INDEX(SPPR!$E:$X,MATCH($A166,SPPR!$A:$A,0),9),"")</f>
        <v/>
      </c>
      <c r="M166">
        <f>IFERROR($C166*INDEX(SPPR!$E:$X,MATCH($A166,SPPR!$A:$A,0),10),"")</f>
        <v/>
      </c>
      <c r="N166">
        <f>IFERROR($C166*INDEX(SPPR!$E:$X,MATCH($A166,SPPR!$A:$A,0),11),"")</f>
        <v/>
      </c>
      <c r="O166">
        <f>IFERROR($C166*INDEX(SPPR!$E:$X,MATCH($A166,SPPR!$A:$A,0),12),"")</f>
        <v/>
      </c>
      <c r="P166">
        <f>IFERROR($C166*INDEX(SPPR!$E:$X,MATCH($A166,SPPR!$A:$A,0),13),"")</f>
        <v/>
      </c>
      <c r="Q166">
        <f>IFERROR($C166*INDEX(SPPR!$E:$X,MATCH($A166,SPPR!$A:$A,0),14),"")</f>
        <v/>
      </c>
      <c r="R166">
        <f>IFERROR($C166*INDEX(SPPR!$E:$X,MATCH($A166,SPPR!$A:$A,0),15),"")</f>
        <v/>
      </c>
      <c r="S166">
        <f>IFERROR($C166*INDEX(SPPR!$E:$X,MATCH($A166,SPPR!$A:$A,0),16),"")</f>
        <v/>
      </c>
      <c r="T166">
        <f>IFERROR($C166*INDEX(SPPR!$E:$X,MATCH($A166,SPPR!$A:$A,0),17),"")</f>
        <v/>
      </c>
      <c r="U166">
        <f>IFERROR($C166*INDEX(SPPR!$E:$X,MATCH($A166,SPPR!$A:$A,0),18),"")</f>
        <v/>
      </c>
      <c r="V166">
        <f>IFERROR($C166*INDEX(SPPR!$E:$X,MATCH($A166,SPPR!$A:$A,0),19),"")</f>
        <v/>
      </c>
      <c r="W166">
        <f>IFERROR($C166*INDEX(SPPR!$E:$X,MATCH($A166,SPPR!$A:$A,0),20),"")</f>
        <v/>
      </c>
    </row>
    <row r="167">
      <c r="A167" t="inlineStr">
        <is>
          <t>Pleuronectiformes</t>
        </is>
      </c>
      <c r="B167">
        <f>IFERROR(INDEX(SPPR!$D:$D,MATCH($A167,SPPR!$A:$A,0)),"")</f>
        <v/>
      </c>
      <c r="C167">
        <f>IFERROR(INDEX(Catch!$E:$BV,MATCH($A167,Catch!$A:$A,0),MATCH($B$4,Catch!$E$1:$BV$1,0)),0)</f>
        <v/>
      </c>
      <c r="D167">
        <f>IFERROR($C167*INDEX(SPPR!$E:$X,MATCH($A167,SPPR!$A:$A,0),1),"")</f>
        <v/>
      </c>
      <c r="E167">
        <f>IFERROR($C167*INDEX(SPPR!$E:$X,MATCH($A167,SPPR!$A:$A,0),2),"")</f>
        <v/>
      </c>
      <c r="F167">
        <f>IFERROR($C167*INDEX(SPPR!$E:$X,MATCH($A167,SPPR!$A:$A,0),3),"")</f>
        <v/>
      </c>
      <c r="G167">
        <f>IFERROR($C167*INDEX(SPPR!$E:$X,MATCH($A167,SPPR!$A:$A,0),4),"")</f>
        <v/>
      </c>
      <c r="H167">
        <f>IFERROR($C167*INDEX(SPPR!$E:$X,MATCH($A167,SPPR!$A:$A,0),5),"")</f>
        <v/>
      </c>
      <c r="I167">
        <f>IFERROR($C167*INDEX(SPPR!$E:$X,MATCH($A167,SPPR!$A:$A,0),6),"")</f>
        <v/>
      </c>
      <c r="J167">
        <f>IFERROR($C167*INDEX(SPPR!$E:$X,MATCH($A167,SPPR!$A:$A,0),7),"")</f>
        <v/>
      </c>
      <c r="K167">
        <f>IFERROR($C167*INDEX(SPPR!$E:$X,MATCH($A167,SPPR!$A:$A,0),8),"")</f>
        <v/>
      </c>
      <c r="L167">
        <f>IFERROR($C167*INDEX(SPPR!$E:$X,MATCH($A167,SPPR!$A:$A,0),9),"")</f>
        <v/>
      </c>
      <c r="M167">
        <f>IFERROR($C167*INDEX(SPPR!$E:$X,MATCH($A167,SPPR!$A:$A,0),10),"")</f>
        <v/>
      </c>
      <c r="N167">
        <f>IFERROR($C167*INDEX(SPPR!$E:$X,MATCH($A167,SPPR!$A:$A,0),11),"")</f>
        <v/>
      </c>
      <c r="O167">
        <f>IFERROR($C167*INDEX(SPPR!$E:$X,MATCH($A167,SPPR!$A:$A,0),12),"")</f>
        <v/>
      </c>
      <c r="P167">
        <f>IFERROR($C167*INDEX(SPPR!$E:$X,MATCH($A167,SPPR!$A:$A,0),13),"")</f>
        <v/>
      </c>
      <c r="Q167">
        <f>IFERROR($C167*INDEX(SPPR!$E:$X,MATCH($A167,SPPR!$A:$A,0),14),"")</f>
        <v/>
      </c>
      <c r="R167">
        <f>IFERROR($C167*INDEX(SPPR!$E:$X,MATCH($A167,SPPR!$A:$A,0),15),"")</f>
        <v/>
      </c>
      <c r="S167">
        <f>IFERROR($C167*INDEX(SPPR!$E:$X,MATCH($A167,SPPR!$A:$A,0),16),"")</f>
        <v/>
      </c>
      <c r="T167">
        <f>IFERROR($C167*INDEX(SPPR!$E:$X,MATCH($A167,SPPR!$A:$A,0),17),"")</f>
        <v/>
      </c>
      <c r="U167">
        <f>IFERROR($C167*INDEX(SPPR!$E:$X,MATCH($A167,SPPR!$A:$A,0),18),"")</f>
        <v/>
      </c>
      <c r="V167">
        <f>IFERROR($C167*INDEX(SPPR!$E:$X,MATCH($A167,SPPR!$A:$A,0),19),"")</f>
        <v/>
      </c>
      <c r="W167">
        <f>IFERROR($C167*INDEX(SPPR!$E:$X,MATCH($A167,SPPR!$A:$A,0),20),"")</f>
        <v/>
      </c>
    </row>
    <row r="168">
      <c r="A168" t="inlineStr">
        <is>
          <t>Scomberomorus commerson</t>
        </is>
      </c>
      <c r="B168">
        <f>IFERROR(INDEX(SPPR!$D:$D,MATCH($A168,SPPR!$A:$A,0)),"")</f>
        <v/>
      </c>
      <c r="C168">
        <f>IFERROR(INDEX(Catch!$E:$BV,MATCH($A168,Catch!$A:$A,0),MATCH($B$4,Catch!$E$1:$BV$1,0)),0)</f>
        <v/>
      </c>
      <c r="D168">
        <f>IFERROR($C168*INDEX(SPPR!$E:$X,MATCH($A168,SPPR!$A:$A,0),1),"")</f>
        <v/>
      </c>
      <c r="E168">
        <f>IFERROR($C168*INDEX(SPPR!$E:$X,MATCH($A168,SPPR!$A:$A,0),2),"")</f>
        <v/>
      </c>
      <c r="F168">
        <f>IFERROR($C168*INDEX(SPPR!$E:$X,MATCH($A168,SPPR!$A:$A,0),3),"")</f>
        <v/>
      </c>
      <c r="G168">
        <f>IFERROR($C168*INDEX(SPPR!$E:$X,MATCH($A168,SPPR!$A:$A,0),4),"")</f>
        <v/>
      </c>
      <c r="H168">
        <f>IFERROR($C168*INDEX(SPPR!$E:$X,MATCH($A168,SPPR!$A:$A,0),5),"")</f>
        <v/>
      </c>
      <c r="I168">
        <f>IFERROR($C168*INDEX(SPPR!$E:$X,MATCH($A168,SPPR!$A:$A,0),6),"")</f>
        <v/>
      </c>
      <c r="J168">
        <f>IFERROR($C168*INDEX(SPPR!$E:$X,MATCH($A168,SPPR!$A:$A,0),7),"")</f>
        <v/>
      </c>
      <c r="K168">
        <f>IFERROR($C168*INDEX(SPPR!$E:$X,MATCH($A168,SPPR!$A:$A,0),8),"")</f>
        <v/>
      </c>
      <c r="L168">
        <f>IFERROR($C168*INDEX(SPPR!$E:$X,MATCH($A168,SPPR!$A:$A,0),9),"")</f>
        <v/>
      </c>
      <c r="M168">
        <f>IFERROR($C168*INDEX(SPPR!$E:$X,MATCH($A168,SPPR!$A:$A,0),10),"")</f>
        <v/>
      </c>
      <c r="N168">
        <f>IFERROR($C168*INDEX(SPPR!$E:$X,MATCH($A168,SPPR!$A:$A,0),11),"")</f>
        <v/>
      </c>
      <c r="O168">
        <f>IFERROR($C168*INDEX(SPPR!$E:$X,MATCH($A168,SPPR!$A:$A,0),12),"")</f>
        <v/>
      </c>
      <c r="P168">
        <f>IFERROR($C168*INDEX(SPPR!$E:$X,MATCH($A168,SPPR!$A:$A,0),13),"")</f>
        <v/>
      </c>
      <c r="Q168">
        <f>IFERROR($C168*INDEX(SPPR!$E:$X,MATCH($A168,SPPR!$A:$A,0),14),"")</f>
        <v/>
      </c>
      <c r="R168">
        <f>IFERROR($C168*INDEX(SPPR!$E:$X,MATCH($A168,SPPR!$A:$A,0),15),"")</f>
        <v/>
      </c>
      <c r="S168">
        <f>IFERROR($C168*INDEX(SPPR!$E:$X,MATCH($A168,SPPR!$A:$A,0),16),"")</f>
        <v/>
      </c>
      <c r="T168">
        <f>IFERROR($C168*INDEX(SPPR!$E:$X,MATCH($A168,SPPR!$A:$A,0),17),"")</f>
        <v/>
      </c>
      <c r="U168">
        <f>IFERROR($C168*INDEX(SPPR!$E:$X,MATCH($A168,SPPR!$A:$A,0),18),"")</f>
        <v/>
      </c>
      <c r="V168">
        <f>IFERROR($C168*INDEX(SPPR!$E:$X,MATCH($A168,SPPR!$A:$A,0),19),"")</f>
        <v/>
      </c>
      <c r="W168">
        <f>IFERROR($C168*INDEX(SPPR!$E:$X,MATCH($A168,SPPR!$A:$A,0),20),"")</f>
        <v/>
      </c>
    </row>
    <row r="169">
      <c r="A169" t="inlineStr">
        <is>
          <t>Engraulidae</t>
        </is>
      </c>
      <c r="B169">
        <f>IFERROR(INDEX(SPPR!$D:$D,MATCH($A169,SPPR!$A:$A,0)),"")</f>
        <v/>
      </c>
      <c r="C169">
        <f>IFERROR(INDEX(Catch!$E:$BV,MATCH($A169,Catch!$A:$A,0),MATCH($B$4,Catch!$E$1:$BV$1,0)),0)</f>
        <v/>
      </c>
      <c r="D169">
        <f>IFERROR($C169*INDEX(SPPR!$E:$X,MATCH($A169,SPPR!$A:$A,0),1),"")</f>
        <v/>
      </c>
      <c r="E169">
        <f>IFERROR($C169*INDEX(SPPR!$E:$X,MATCH($A169,SPPR!$A:$A,0),2),"")</f>
        <v/>
      </c>
      <c r="F169">
        <f>IFERROR($C169*INDEX(SPPR!$E:$X,MATCH($A169,SPPR!$A:$A,0),3),"")</f>
        <v/>
      </c>
      <c r="G169">
        <f>IFERROR($C169*INDEX(SPPR!$E:$X,MATCH($A169,SPPR!$A:$A,0),4),"")</f>
        <v/>
      </c>
      <c r="H169">
        <f>IFERROR($C169*INDEX(SPPR!$E:$X,MATCH($A169,SPPR!$A:$A,0),5),"")</f>
        <v/>
      </c>
      <c r="I169">
        <f>IFERROR($C169*INDEX(SPPR!$E:$X,MATCH($A169,SPPR!$A:$A,0),6),"")</f>
        <v/>
      </c>
      <c r="J169">
        <f>IFERROR($C169*INDEX(SPPR!$E:$X,MATCH($A169,SPPR!$A:$A,0),7),"")</f>
        <v/>
      </c>
      <c r="K169">
        <f>IFERROR($C169*INDEX(SPPR!$E:$X,MATCH($A169,SPPR!$A:$A,0),8),"")</f>
        <v/>
      </c>
      <c r="L169">
        <f>IFERROR($C169*INDEX(SPPR!$E:$X,MATCH($A169,SPPR!$A:$A,0),9),"")</f>
        <v/>
      </c>
      <c r="M169">
        <f>IFERROR($C169*INDEX(SPPR!$E:$X,MATCH($A169,SPPR!$A:$A,0),10),"")</f>
        <v/>
      </c>
      <c r="N169">
        <f>IFERROR($C169*INDEX(SPPR!$E:$X,MATCH($A169,SPPR!$A:$A,0),11),"")</f>
        <v/>
      </c>
      <c r="O169">
        <f>IFERROR($C169*INDEX(SPPR!$E:$X,MATCH($A169,SPPR!$A:$A,0),12),"")</f>
        <v/>
      </c>
      <c r="P169">
        <f>IFERROR($C169*INDEX(SPPR!$E:$X,MATCH($A169,SPPR!$A:$A,0),13),"")</f>
        <v/>
      </c>
      <c r="Q169">
        <f>IFERROR($C169*INDEX(SPPR!$E:$X,MATCH($A169,SPPR!$A:$A,0),14),"")</f>
        <v/>
      </c>
      <c r="R169">
        <f>IFERROR($C169*INDEX(SPPR!$E:$X,MATCH($A169,SPPR!$A:$A,0),15),"")</f>
        <v/>
      </c>
      <c r="S169">
        <f>IFERROR($C169*INDEX(SPPR!$E:$X,MATCH($A169,SPPR!$A:$A,0),16),"")</f>
        <v/>
      </c>
      <c r="T169">
        <f>IFERROR($C169*INDEX(SPPR!$E:$X,MATCH($A169,SPPR!$A:$A,0),17),"")</f>
        <v/>
      </c>
      <c r="U169">
        <f>IFERROR($C169*INDEX(SPPR!$E:$X,MATCH($A169,SPPR!$A:$A,0),18),"")</f>
        <v/>
      </c>
      <c r="V169">
        <f>IFERROR($C169*INDEX(SPPR!$E:$X,MATCH($A169,SPPR!$A:$A,0),19),"")</f>
        <v/>
      </c>
      <c r="W169">
        <f>IFERROR($C169*INDEX(SPPR!$E:$X,MATCH($A169,SPPR!$A:$A,0),20),"")</f>
        <v/>
      </c>
    </row>
    <row r="170">
      <c r="A170" t="inlineStr">
        <is>
          <t>Metapenaeus joyneri</t>
        </is>
      </c>
      <c r="B170">
        <f>IFERROR(INDEX(SPPR!$D:$D,MATCH($A170,SPPR!$A:$A,0)),"")</f>
        <v/>
      </c>
      <c r="C170">
        <f>IFERROR(INDEX(Catch!$E:$BV,MATCH($A170,Catch!$A:$A,0),MATCH($B$4,Catch!$E$1:$BV$1,0)),0)</f>
        <v/>
      </c>
      <c r="D170">
        <f>IFERROR($C170*INDEX(SPPR!$E:$X,MATCH($A170,SPPR!$A:$A,0),1),"")</f>
        <v/>
      </c>
      <c r="E170">
        <f>IFERROR($C170*INDEX(SPPR!$E:$X,MATCH($A170,SPPR!$A:$A,0),2),"")</f>
        <v/>
      </c>
      <c r="F170">
        <f>IFERROR($C170*INDEX(SPPR!$E:$X,MATCH($A170,SPPR!$A:$A,0),3),"")</f>
        <v/>
      </c>
      <c r="G170">
        <f>IFERROR($C170*INDEX(SPPR!$E:$X,MATCH($A170,SPPR!$A:$A,0),4),"")</f>
        <v/>
      </c>
      <c r="H170">
        <f>IFERROR($C170*INDEX(SPPR!$E:$X,MATCH($A170,SPPR!$A:$A,0),5),"")</f>
        <v/>
      </c>
      <c r="I170">
        <f>IFERROR($C170*INDEX(SPPR!$E:$X,MATCH($A170,SPPR!$A:$A,0),6),"")</f>
        <v/>
      </c>
      <c r="J170">
        <f>IFERROR($C170*INDEX(SPPR!$E:$X,MATCH($A170,SPPR!$A:$A,0),7),"")</f>
        <v/>
      </c>
      <c r="K170">
        <f>IFERROR($C170*INDEX(SPPR!$E:$X,MATCH($A170,SPPR!$A:$A,0),8),"")</f>
        <v/>
      </c>
      <c r="L170">
        <f>IFERROR($C170*INDEX(SPPR!$E:$X,MATCH($A170,SPPR!$A:$A,0),9),"")</f>
        <v/>
      </c>
      <c r="M170">
        <f>IFERROR($C170*INDEX(SPPR!$E:$X,MATCH($A170,SPPR!$A:$A,0),10),"")</f>
        <v/>
      </c>
      <c r="N170">
        <f>IFERROR($C170*INDEX(SPPR!$E:$X,MATCH($A170,SPPR!$A:$A,0),11),"")</f>
        <v/>
      </c>
      <c r="O170">
        <f>IFERROR($C170*INDEX(SPPR!$E:$X,MATCH($A170,SPPR!$A:$A,0),12),"")</f>
        <v/>
      </c>
      <c r="P170">
        <f>IFERROR($C170*INDEX(SPPR!$E:$X,MATCH($A170,SPPR!$A:$A,0),13),"")</f>
        <v/>
      </c>
      <c r="Q170">
        <f>IFERROR($C170*INDEX(SPPR!$E:$X,MATCH($A170,SPPR!$A:$A,0),14),"")</f>
        <v/>
      </c>
      <c r="R170">
        <f>IFERROR($C170*INDEX(SPPR!$E:$X,MATCH($A170,SPPR!$A:$A,0),15),"")</f>
        <v/>
      </c>
      <c r="S170">
        <f>IFERROR($C170*INDEX(SPPR!$E:$X,MATCH($A170,SPPR!$A:$A,0),16),"")</f>
        <v/>
      </c>
      <c r="T170">
        <f>IFERROR($C170*INDEX(SPPR!$E:$X,MATCH($A170,SPPR!$A:$A,0),17),"")</f>
        <v/>
      </c>
      <c r="U170">
        <f>IFERROR($C170*INDEX(SPPR!$E:$X,MATCH($A170,SPPR!$A:$A,0),18),"")</f>
        <v/>
      </c>
      <c r="V170">
        <f>IFERROR($C170*INDEX(SPPR!$E:$X,MATCH($A170,SPPR!$A:$A,0),19),"")</f>
        <v/>
      </c>
      <c r="W170">
        <f>IFERROR($C170*INDEX(SPPR!$E:$X,MATCH($A170,SPPR!$A:$A,0),20),"")</f>
        <v/>
      </c>
    </row>
    <row r="171">
      <c r="A171" t="inlineStr">
        <is>
          <t>Kyphosidae</t>
        </is>
      </c>
      <c r="B171">
        <f>IFERROR(INDEX(SPPR!$D:$D,MATCH($A171,SPPR!$A:$A,0)),"")</f>
        <v/>
      </c>
      <c r="C171">
        <f>IFERROR(INDEX(Catch!$E:$BV,MATCH($A171,Catch!$A:$A,0),MATCH($B$4,Catch!$E$1:$BV$1,0)),0)</f>
        <v/>
      </c>
      <c r="D171">
        <f>IFERROR($C171*INDEX(SPPR!$E:$X,MATCH($A171,SPPR!$A:$A,0),1),"")</f>
        <v/>
      </c>
      <c r="E171">
        <f>IFERROR($C171*INDEX(SPPR!$E:$X,MATCH($A171,SPPR!$A:$A,0),2),"")</f>
        <v/>
      </c>
      <c r="F171">
        <f>IFERROR($C171*INDEX(SPPR!$E:$X,MATCH($A171,SPPR!$A:$A,0),3),"")</f>
        <v/>
      </c>
      <c r="G171">
        <f>IFERROR($C171*INDEX(SPPR!$E:$X,MATCH($A171,SPPR!$A:$A,0),4),"")</f>
        <v/>
      </c>
      <c r="H171">
        <f>IFERROR($C171*INDEX(SPPR!$E:$X,MATCH($A171,SPPR!$A:$A,0),5),"")</f>
        <v/>
      </c>
      <c r="I171">
        <f>IFERROR($C171*INDEX(SPPR!$E:$X,MATCH($A171,SPPR!$A:$A,0),6),"")</f>
        <v/>
      </c>
      <c r="J171">
        <f>IFERROR($C171*INDEX(SPPR!$E:$X,MATCH($A171,SPPR!$A:$A,0),7),"")</f>
        <v/>
      </c>
      <c r="K171">
        <f>IFERROR($C171*INDEX(SPPR!$E:$X,MATCH($A171,SPPR!$A:$A,0),8),"")</f>
        <v/>
      </c>
      <c r="L171">
        <f>IFERROR($C171*INDEX(SPPR!$E:$X,MATCH($A171,SPPR!$A:$A,0),9),"")</f>
        <v/>
      </c>
      <c r="M171">
        <f>IFERROR($C171*INDEX(SPPR!$E:$X,MATCH($A171,SPPR!$A:$A,0),10),"")</f>
        <v/>
      </c>
      <c r="N171">
        <f>IFERROR($C171*INDEX(SPPR!$E:$X,MATCH($A171,SPPR!$A:$A,0),11),"")</f>
        <v/>
      </c>
      <c r="O171">
        <f>IFERROR($C171*INDEX(SPPR!$E:$X,MATCH($A171,SPPR!$A:$A,0),12),"")</f>
        <v/>
      </c>
      <c r="P171">
        <f>IFERROR($C171*INDEX(SPPR!$E:$X,MATCH($A171,SPPR!$A:$A,0),13),"")</f>
        <v/>
      </c>
      <c r="Q171">
        <f>IFERROR($C171*INDEX(SPPR!$E:$X,MATCH($A171,SPPR!$A:$A,0),14),"")</f>
        <v/>
      </c>
      <c r="R171">
        <f>IFERROR($C171*INDEX(SPPR!$E:$X,MATCH($A171,SPPR!$A:$A,0),15),"")</f>
        <v/>
      </c>
      <c r="S171">
        <f>IFERROR($C171*INDEX(SPPR!$E:$X,MATCH($A171,SPPR!$A:$A,0),16),"")</f>
        <v/>
      </c>
      <c r="T171">
        <f>IFERROR($C171*INDEX(SPPR!$E:$X,MATCH($A171,SPPR!$A:$A,0),17),"")</f>
        <v/>
      </c>
      <c r="U171">
        <f>IFERROR($C171*INDEX(SPPR!$E:$X,MATCH($A171,SPPR!$A:$A,0),18),"")</f>
        <v/>
      </c>
      <c r="V171">
        <f>IFERROR($C171*INDEX(SPPR!$E:$X,MATCH($A171,SPPR!$A:$A,0),19),"")</f>
        <v/>
      </c>
      <c r="W171">
        <f>IFERROR($C171*INDEX(SPPR!$E:$X,MATCH($A171,SPPR!$A:$A,0),20),"")</f>
        <v/>
      </c>
    </row>
    <row r="172">
      <c r="A172" t="inlineStr">
        <is>
          <t>Marine finfishes not identified</t>
        </is>
      </c>
      <c r="B172">
        <f>IFERROR(INDEX(SPPR!$D:$D,MATCH($A172,SPPR!$A:$A,0)),"")</f>
        <v/>
      </c>
      <c r="C172">
        <f>IFERROR(INDEX(Catch!$E:$BV,MATCH($A172,Catch!$A:$A,0),MATCH($B$4,Catch!$E$1:$BV$1,0)),0)</f>
        <v/>
      </c>
      <c r="D172">
        <f>IFERROR($C172*INDEX(SPPR!$E:$X,MATCH($A172,SPPR!$A:$A,0),1),"")</f>
        <v/>
      </c>
      <c r="E172">
        <f>IFERROR($C172*INDEX(SPPR!$E:$X,MATCH($A172,SPPR!$A:$A,0),2),"")</f>
        <v/>
      </c>
      <c r="F172">
        <f>IFERROR($C172*INDEX(SPPR!$E:$X,MATCH($A172,SPPR!$A:$A,0),3),"")</f>
        <v/>
      </c>
      <c r="G172">
        <f>IFERROR($C172*INDEX(SPPR!$E:$X,MATCH($A172,SPPR!$A:$A,0),4),"")</f>
        <v/>
      </c>
      <c r="H172">
        <f>IFERROR($C172*INDEX(SPPR!$E:$X,MATCH($A172,SPPR!$A:$A,0),5),"")</f>
        <v/>
      </c>
      <c r="I172">
        <f>IFERROR($C172*INDEX(SPPR!$E:$X,MATCH($A172,SPPR!$A:$A,0),6),"")</f>
        <v/>
      </c>
      <c r="J172">
        <f>IFERROR($C172*INDEX(SPPR!$E:$X,MATCH($A172,SPPR!$A:$A,0),7),"")</f>
        <v/>
      </c>
      <c r="K172">
        <f>IFERROR($C172*INDEX(SPPR!$E:$X,MATCH($A172,SPPR!$A:$A,0),8),"")</f>
        <v/>
      </c>
      <c r="L172">
        <f>IFERROR($C172*INDEX(SPPR!$E:$X,MATCH($A172,SPPR!$A:$A,0),9),"")</f>
        <v/>
      </c>
      <c r="M172">
        <f>IFERROR($C172*INDEX(SPPR!$E:$X,MATCH($A172,SPPR!$A:$A,0),10),"")</f>
        <v/>
      </c>
      <c r="N172">
        <f>IFERROR($C172*INDEX(SPPR!$E:$X,MATCH($A172,SPPR!$A:$A,0),11),"")</f>
        <v/>
      </c>
      <c r="O172">
        <f>IFERROR($C172*INDEX(SPPR!$E:$X,MATCH($A172,SPPR!$A:$A,0),12),"")</f>
        <v/>
      </c>
      <c r="P172">
        <f>IFERROR($C172*INDEX(SPPR!$E:$X,MATCH($A172,SPPR!$A:$A,0),13),"")</f>
        <v/>
      </c>
      <c r="Q172">
        <f>IFERROR($C172*INDEX(SPPR!$E:$X,MATCH($A172,SPPR!$A:$A,0),14),"")</f>
        <v/>
      </c>
      <c r="R172">
        <f>IFERROR($C172*INDEX(SPPR!$E:$X,MATCH($A172,SPPR!$A:$A,0),15),"")</f>
        <v/>
      </c>
      <c r="S172">
        <f>IFERROR($C172*INDEX(SPPR!$E:$X,MATCH($A172,SPPR!$A:$A,0),16),"")</f>
        <v/>
      </c>
      <c r="T172">
        <f>IFERROR($C172*INDEX(SPPR!$E:$X,MATCH($A172,SPPR!$A:$A,0),17),"")</f>
        <v/>
      </c>
      <c r="U172">
        <f>IFERROR($C172*INDEX(SPPR!$E:$X,MATCH($A172,SPPR!$A:$A,0),18),"")</f>
        <v/>
      </c>
      <c r="V172">
        <f>IFERROR($C172*INDEX(SPPR!$E:$X,MATCH($A172,SPPR!$A:$A,0),19),"")</f>
        <v/>
      </c>
      <c r="W172">
        <f>IFERROR($C172*INDEX(SPPR!$E:$X,MATCH($A172,SPPR!$A:$A,0),20),"")</f>
        <v/>
      </c>
    </row>
    <row r="173">
      <c r="A173" t="inlineStr">
        <is>
          <t>Oplegnathus fasciatus</t>
        </is>
      </c>
      <c r="B173">
        <f>IFERROR(INDEX(SPPR!$D:$D,MATCH($A173,SPPR!$A:$A,0)),"")</f>
        <v/>
      </c>
      <c r="C173">
        <f>IFERROR(INDEX(Catch!$E:$BV,MATCH($A173,Catch!$A:$A,0),MATCH($B$4,Catch!$E$1:$BV$1,0)),0)</f>
        <v/>
      </c>
      <c r="D173">
        <f>IFERROR($C173*INDEX(SPPR!$E:$X,MATCH($A173,SPPR!$A:$A,0),1),"")</f>
        <v/>
      </c>
      <c r="E173">
        <f>IFERROR($C173*INDEX(SPPR!$E:$X,MATCH($A173,SPPR!$A:$A,0),2),"")</f>
        <v/>
      </c>
      <c r="F173">
        <f>IFERROR($C173*INDEX(SPPR!$E:$X,MATCH($A173,SPPR!$A:$A,0),3),"")</f>
        <v/>
      </c>
      <c r="G173">
        <f>IFERROR($C173*INDEX(SPPR!$E:$X,MATCH($A173,SPPR!$A:$A,0),4),"")</f>
        <v/>
      </c>
      <c r="H173">
        <f>IFERROR($C173*INDEX(SPPR!$E:$X,MATCH($A173,SPPR!$A:$A,0),5),"")</f>
        <v/>
      </c>
      <c r="I173">
        <f>IFERROR($C173*INDEX(SPPR!$E:$X,MATCH($A173,SPPR!$A:$A,0),6),"")</f>
        <v/>
      </c>
      <c r="J173">
        <f>IFERROR($C173*INDEX(SPPR!$E:$X,MATCH($A173,SPPR!$A:$A,0),7),"")</f>
        <v/>
      </c>
      <c r="K173">
        <f>IFERROR($C173*INDEX(SPPR!$E:$X,MATCH($A173,SPPR!$A:$A,0),8),"")</f>
        <v/>
      </c>
      <c r="L173">
        <f>IFERROR($C173*INDEX(SPPR!$E:$X,MATCH($A173,SPPR!$A:$A,0),9),"")</f>
        <v/>
      </c>
      <c r="M173">
        <f>IFERROR($C173*INDEX(SPPR!$E:$X,MATCH($A173,SPPR!$A:$A,0),10),"")</f>
        <v/>
      </c>
      <c r="N173">
        <f>IFERROR($C173*INDEX(SPPR!$E:$X,MATCH($A173,SPPR!$A:$A,0),11),"")</f>
        <v/>
      </c>
      <c r="O173">
        <f>IFERROR($C173*INDEX(SPPR!$E:$X,MATCH($A173,SPPR!$A:$A,0),12),"")</f>
        <v/>
      </c>
      <c r="P173">
        <f>IFERROR($C173*INDEX(SPPR!$E:$X,MATCH($A173,SPPR!$A:$A,0),13),"")</f>
        <v/>
      </c>
      <c r="Q173">
        <f>IFERROR($C173*INDEX(SPPR!$E:$X,MATCH($A173,SPPR!$A:$A,0),14),"")</f>
        <v/>
      </c>
      <c r="R173">
        <f>IFERROR($C173*INDEX(SPPR!$E:$X,MATCH($A173,SPPR!$A:$A,0),15),"")</f>
        <v/>
      </c>
      <c r="S173">
        <f>IFERROR($C173*INDEX(SPPR!$E:$X,MATCH($A173,SPPR!$A:$A,0),16),"")</f>
        <v/>
      </c>
      <c r="T173">
        <f>IFERROR($C173*INDEX(SPPR!$E:$X,MATCH($A173,SPPR!$A:$A,0),17),"")</f>
        <v/>
      </c>
      <c r="U173">
        <f>IFERROR($C173*INDEX(SPPR!$E:$X,MATCH($A173,SPPR!$A:$A,0),18),"")</f>
        <v/>
      </c>
      <c r="V173">
        <f>IFERROR($C173*INDEX(SPPR!$E:$X,MATCH($A173,SPPR!$A:$A,0),19),"")</f>
        <v/>
      </c>
      <c r="W173">
        <f>IFERROR($C173*INDEX(SPPR!$E:$X,MATCH($A173,SPPR!$A:$A,0),20),"")</f>
        <v/>
      </c>
    </row>
    <row r="174">
      <c r="A174" t="inlineStr">
        <is>
          <t>Cardiidae</t>
        </is>
      </c>
      <c r="B174">
        <f>IFERROR(INDEX(SPPR!$D:$D,MATCH($A174,SPPR!$A:$A,0)),"")</f>
        <v/>
      </c>
      <c r="C174">
        <f>IFERROR(INDEX(Catch!$E:$BV,MATCH($A174,Catch!$A:$A,0),MATCH($B$4,Catch!$E$1:$BV$1,0)),0)</f>
        <v/>
      </c>
      <c r="D174">
        <f>IFERROR($C174*INDEX(SPPR!$E:$X,MATCH($A174,SPPR!$A:$A,0),1),"")</f>
        <v/>
      </c>
      <c r="E174">
        <f>IFERROR($C174*INDEX(SPPR!$E:$X,MATCH($A174,SPPR!$A:$A,0),2),"")</f>
        <v/>
      </c>
      <c r="F174">
        <f>IFERROR($C174*INDEX(SPPR!$E:$X,MATCH($A174,SPPR!$A:$A,0),3),"")</f>
        <v/>
      </c>
      <c r="G174">
        <f>IFERROR($C174*INDEX(SPPR!$E:$X,MATCH($A174,SPPR!$A:$A,0),4),"")</f>
        <v/>
      </c>
      <c r="H174">
        <f>IFERROR($C174*INDEX(SPPR!$E:$X,MATCH($A174,SPPR!$A:$A,0),5),"")</f>
        <v/>
      </c>
      <c r="I174">
        <f>IFERROR($C174*INDEX(SPPR!$E:$X,MATCH($A174,SPPR!$A:$A,0),6),"")</f>
        <v/>
      </c>
      <c r="J174">
        <f>IFERROR($C174*INDEX(SPPR!$E:$X,MATCH($A174,SPPR!$A:$A,0),7),"")</f>
        <v/>
      </c>
      <c r="K174">
        <f>IFERROR($C174*INDEX(SPPR!$E:$X,MATCH($A174,SPPR!$A:$A,0),8),"")</f>
        <v/>
      </c>
      <c r="L174">
        <f>IFERROR($C174*INDEX(SPPR!$E:$X,MATCH($A174,SPPR!$A:$A,0),9),"")</f>
        <v/>
      </c>
      <c r="M174">
        <f>IFERROR($C174*INDEX(SPPR!$E:$X,MATCH($A174,SPPR!$A:$A,0),10),"")</f>
        <v/>
      </c>
      <c r="N174">
        <f>IFERROR($C174*INDEX(SPPR!$E:$X,MATCH($A174,SPPR!$A:$A,0),11),"")</f>
        <v/>
      </c>
      <c r="O174">
        <f>IFERROR($C174*INDEX(SPPR!$E:$X,MATCH($A174,SPPR!$A:$A,0),12),"")</f>
        <v/>
      </c>
      <c r="P174">
        <f>IFERROR($C174*INDEX(SPPR!$E:$X,MATCH($A174,SPPR!$A:$A,0),13),"")</f>
        <v/>
      </c>
      <c r="Q174">
        <f>IFERROR($C174*INDEX(SPPR!$E:$X,MATCH($A174,SPPR!$A:$A,0),14),"")</f>
        <v/>
      </c>
      <c r="R174">
        <f>IFERROR($C174*INDEX(SPPR!$E:$X,MATCH($A174,SPPR!$A:$A,0),15),"")</f>
        <v/>
      </c>
      <c r="S174">
        <f>IFERROR($C174*INDEX(SPPR!$E:$X,MATCH($A174,SPPR!$A:$A,0),16),"")</f>
        <v/>
      </c>
      <c r="T174">
        <f>IFERROR($C174*INDEX(SPPR!$E:$X,MATCH($A174,SPPR!$A:$A,0),17),"")</f>
        <v/>
      </c>
      <c r="U174">
        <f>IFERROR($C174*INDEX(SPPR!$E:$X,MATCH($A174,SPPR!$A:$A,0),18),"")</f>
        <v/>
      </c>
      <c r="V174">
        <f>IFERROR($C174*INDEX(SPPR!$E:$X,MATCH($A174,SPPR!$A:$A,0),19),"")</f>
        <v/>
      </c>
      <c r="W174">
        <f>IFERROR($C174*INDEX(SPPR!$E:$X,MATCH($A174,SPPR!$A:$A,0),20),"")</f>
        <v/>
      </c>
    </row>
    <row r="175">
      <c r="A175" t="inlineStr">
        <is>
          <t>Lethrinidae</t>
        </is>
      </c>
      <c r="B175">
        <f>IFERROR(INDEX(SPPR!$D:$D,MATCH($A175,SPPR!$A:$A,0)),"")</f>
        <v/>
      </c>
      <c r="C175">
        <f>IFERROR(INDEX(Catch!$E:$BV,MATCH($A175,Catch!$A:$A,0),MATCH($B$4,Catch!$E$1:$BV$1,0)),0)</f>
        <v/>
      </c>
      <c r="D175">
        <f>IFERROR($C175*INDEX(SPPR!$E:$X,MATCH($A175,SPPR!$A:$A,0),1),"")</f>
        <v/>
      </c>
      <c r="E175">
        <f>IFERROR($C175*INDEX(SPPR!$E:$X,MATCH($A175,SPPR!$A:$A,0),2),"")</f>
        <v/>
      </c>
      <c r="F175">
        <f>IFERROR($C175*INDEX(SPPR!$E:$X,MATCH($A175,SPPR!$A:$A,0),3),"")</f>
        <v/>
      </c>
      <c r="G175">
        <f>IFERROR($C175*INDEX(SPPR!$E:$X,MATCH($A175,SPPR!$A:$A,0),4),"")</f>
        <v/>
      </c>
      <c r="H175">
        <f>IFERROR($C175*INDEX(SPPR!$E:$X,MATCH($A175,SPPR!$A:$A,0),5),"")</f>
        <v/>
      </c>
      <c r="I175">
        <f>IFERROR($C175*INDEX(SPPR!$E:$X,MATCH($A175,SPPR!$A:$A,0),6),"")</f>
        <v/>
      </c>
      <c r="J175">
        <f>IFERROR($C175*INDEX(SPPR!$E:$X,MATCH($A175,SPPR!$A:$A,0),7),"")</f>
        <v/>
      </c>
      <c r="K175">
        <f>IFERROR($C175*INDEX(SPPR!$E:$X,MATCH($A175,SPPR!$A:$A,0),8),"")</f>
        <v/>
      </c>
      <c r="L175">
        <f>IFERROR($C175*INDEX(SPPR!$E:$X,MATCH($A175,SPPR!$A:$A,0),9),"")</f>
        <v/>
      </c>
      <c r="M175">
        <f>IFERROR($C175*INDEX(SPPR!$E:$X,MATCH($A175,SPPR!$A:$A,0),10),"")</f>
        <v/>
      </c>
      <c r="N175">
        <f>IFERROR($C175*INDEX(SPPR!$E:$X,MATCH($A175,SPPR!$A:$A,0),11),"")</f>
        <v/>
      </c>
      <c r="O175">
        <f>IFERROR($C175*INDEX(SPPR!$E:$X,MATCH($A175,SPPR!$A:$A,0),12),"")</f>
        <v/>
      </c>
      <c r="P175">
        <f>IFERROR($C175*INDEX(SPPR!$E:$X,MATCH($A175,SPPR!$A:$A,0),13),"")</f>
        <v/>
      </c>
      <c r="Q175">
        <f>IFERROR($C175*INDEX(SPPR!$E:$X,MATCH($A175,SPPR!$A:$A,0),14),"")</f>
        <v/>
      </c>
      <c r="R175">
        <f>IFERROR($C175*INDEX(SPPR!$E:$X,MATCH($A175,SPPR!$A:$A,0),15),"")</f>
        <v/>
      </c>
      <c r="S175">
        <f>IFERROR($C175*INDEX(SPPR!$E:$X,MATCH($A175,SPPR!$A:$A,0),16),"")</f>
        <v/>
      </c>
      <c r="T175">
        <f>IFERROR($C175*INDEX(SPPR!$E:$X,MATCH($A175,SPPR!$A:$A,0),17),"")</f>
        <v/>
      </c>
      <c r="U175">
        <f>IFERROR($C175*INDEX(SPPR!$E:$X,MATCH($A175,SPPR!$A:$A,0),18),"")</f>
        <v/>
      </c>
      <c r="V175">
        <f>IFERROR($C175*INDEX(SPPR!$E:$X,MATCH($A175,SPPR!$A:$A,0),19),"")</f>
        <v/>
      </c>
      <c r="W175">
        <f>IFERROR($C175*INDEX(SPPR!$E:$X,MATCH($A175,SPPR!$A:$A,0),20),"")</f>
        <v/>
      </c>
    </row>
    <row r="176">
      <c r="A176" t="inlineStr">
        <is>
          <t>Chondrichthyes</t>
        </is>
      </c>
      <c r="B176">
        <f>IFERROR(INDEX(SPPR!$D:$D,MATCH($A176,SPPR!$A:$A,0)),"")</f>
        <v/>
      </c>
      <c r="C176">
        <f>IFERROR(INDEX(Catch!$E:$BV,MATCH($A176,Catch!$A:$A,0),MATCH($B$4,Catch!$E$1:$BV$1,0)),0)</f>
        <v/>
      </c>
      <c r="D176">
        <f>IFERROR($C176*INDEX(SPPR!$E:$X,MATCH($A176,SPPR!$A:$A,0),1),"")</f>
        <v/>
      </c>
      <c r="E176">
        <f>IFERROR($C176*INDEX(SPPR!$E:$X,MATCH($A176,SPPR!$A:$A,0),2),"")</f>
        <v/>
      </c>
      <c r="F176">
        <f>IFERROR($C176*INDEX(SPPR!$E:$X,MATCH($A176,SPPR!$A:$A,0),3),"")</f>
        <v/>
      </c>
      <c r="G176">
        <f>IFERROR($C176*INDEX(SPPR!$E:$X,MATCH($A176,SPPR!$A:$A,0),4),"")</f>
        <v/>
      </c>
      <c r="H176">
        <f>IFERROR($C176*INDEX(SPPR!$E:$X,MATCH($A176,SPPR!$A:$A,0),5),"")</f>
        <v/>
      </c>
      <c r="I176">
        <f>IFERROR($C176*INDEX(SPPR!$E:$X,MATCH($A176,SPPR!$A:$A,0),6),"")</f>
        <v/>
      </c>
      <c r="J176">
        <f>IFERROR($C176*INDEX(SPPR!$E:$X,MATCH($A176,SPPR!$A:$A,0),7),"")</f>
        <v/>
      </c>
      <c r="K176">
        <f>IFERROR($C176*INDEX(SPPR!$E:$X,MATCH($A176,SPPR!$A:$A,0),8),"")</f>
        <v/>
      </c>
      <c r="L176">
        <f>IFERROR($C176*INDEX(SPPR!$E:$X,MATCH($A176,SPPR!$A:$A,0),9),"")</f>
        <v/>
      </c>
      <c r="M176">
        <f>IFERROR($C176*INDEX(SPPR!$E:$X,MATCH($A176,SPPR!$A:$A,0),10),"")</f>
        <v/>
      </c>
      <c r="N176">
        <f>IFERROR($C176*INDEX(SPPR!$E:$X,MATCH($A176,SPPR!$A:$A,0),11),"")</f>
        <v/>
      </c>
      <c r="O176">
        <f>IFERROR($C176*INDEX(SPPR!$E:$X,MATCH($A176,SPPR!$A:$A,0),12),"")</f>
        <v/>
      </c>
      <c r="P176">
        <f>IFERROR($C176*INDEX(SPPR!$E:$X,MATCH($A176,SPPR!$A:$A,0),13),"")</f>
        <v/>
      </c>
      <c r="Q176">
        <f>IFERROR($C176*INDEX(SPPR!$E:$X,MATCH($A176,SPPR!$A:$A,0),14),"")</f>
        <v/>
      </c>
      <c r="R176">
        <f>IFERROR($C176*INDEX(SPPR!$E:$X,MATCH($A176,SPPR!$A:$A,0),15),"")</f>
        <v/>
      </c>
      <c r="S176">
        <f>IFERROR($C176*INDEX(SPPR!$E:$X,MATCH($A176,SPPR!$A:$A,0),16),"")</f>
        <v/>
      </c>
      <c r="T176">
        <f>IFERROR($C176*INDEX(SPPR!$E:$X,MATCH($A176,SPPR!$A:$A,0),17),"")</f>
        <v/>
      </c>
      <c r="U176">
        <f>IFERROR($C176*INDEX(SPPR!$E:$X,MATCH($A176,SPPR!$A:$A,0),18),"")</f>
        <v/>
      </c>
      <c r="V176">
        <f>IFERROR($C176*INDEX(SPPR!$E:$X,MATCH($A176,SPPR!$A:$A,0),19),"")</f>
        <v/>
      </c>
      <c r="W176">
        <f>IFERROR($C176*INDEX(SPPR!$E:$X,MATCH($A176,SPPR!$A:$A,0),20),"")</f>
        <v/>
      </c>
    </row>
    <row r="177">
      <c r="A177" t="inlineStr">
        <is>
          <t>Parapristipoma trilineatum</t>
        </is>
      </c>
      <c r="B177">
        <f>IFERROR(INDEX(SPPR!$D:$D,MATCH($A177,SPPR!$A:$A,0)),"")</f>
        <v/>
      </c>
      <c r="C177">
        <f>IFERROR(INDEX(Catch!$E:$BV,MATCH($A177,Catch!$A:$A,0),MATCH($B$4,Catch!$E$1:$BV$1,0)),0)</f>
        <v/>
      </c>
      <c r="D177">
        <f>IFERROR($C177*INDEX(SPPR!$E:$X,MATCH($A177,SPPR!$A:$A,0),1),"")</f>
        <v/>
      </c>
      <c r="E177">
        <f>IFERROR($C177*INDEX(SPPR!$E:$X,MATCH($A177,SPPR!$A:$A,0),2),"")</f>
        <v/>
      </c>
      <c r="F177">
        <f>IFERROR($C177*INDEX(SPPR!$E:$X,MATCH($A177,SPPR!$A:$A,0),3),"")</f>
        <v/>
      </c>
      <c r="G177">
        <f>IFERROR($C177*INDEX(SPPR!$E:$X,MATCH($A177,SPPR!$A:$A,0),4),"")</f>
        <v/>
      </c>
      <c r="H177">
        <f>IFERROR($C177*INDEX(SPPR!$E:$X,MATCH($A177,SPPR!$A:$A,0),5),"")</f>
        <v/>
      </c>
      <c r="I177">
        <f>IFERROR($C177*INDEX(SPPR!$E:$X,MATCH($A177,SPPR!$A:$A,0),6),"")</f>
        <v/>
      </c>
      <c r="J177">
        <f>IFERROR($C177*INDEX(SPPR!$E:$X,MATCH($A177,SPPR!$A:$A,0),7),"")</f>
        <v/>
      </c>
      <c r="K177">
        <f>IFERROR($C177*INDEX(SPPR!$E:$X,MATCH($A177,SPPR!$A:$A,0),8),"")</f>
        <v/>
      </c>
      <c r="L177">
        <f>IFERROR($C177*INDEX(SPPR!$E:$X,MATCH($A177,SPPR!$A:$A,0),9),"")</f>
        <v/>
      </c>
      <c r="M177">
        <f>IFERROR($C177*INDEX(SPPR!$E:$X,MATCH($A177,SPPR!$A:$A,0),10),"")</f>
        <v/>
      </c>
      <c r="N177">
        <f>IFERROR($C177*INDEX(SPPR!$E:$X,MATCH($A177,SPPR!$A:$A,0),11),"")</f>
        <v/>
      </c>
      <c r="O177">
        <f>IFERROR($C177*INDEX(SPPR!$E:$X,MATCH($A177,SPPR!$A:$A,0),12),"")</f>
        <v/>
      </c>
      <c r="P177">
        <f>IFERROR($C177*INDEX(SPPR!$E:$X,MATCH($A177,SPPR!$A:$A,0),13),"")</f>
        <v/>
      </c>
      <c r="Q177">
        <f>IFERROR($C177*INDEX(SPPR!$E:$X,MATCH($A177,SPPR!$A:$A,0),14),"")</f>
        <v/>
      </c>
      <c r="R177">
        <f>IFERROR($C177*INDEX(SPPR!$E:$X,MATCH($A177,SPPR!$A:$A,0),15),"")</f>
        <v/>
      </c>
      <c r="S177">
        <f>IFERROR($C177*INDEX(SPPR!$E:$X,MATCH($A177,SPPR!$A:$A,0),16),"")</f>
        <v/>
      </c>
      <c r="T177">
        <f>IFERROR($C177*INDEX(SPPR!$E:$X,MATCH($A177,SPPR!$A:$A,0),17),"")</f>
        <v/>
      </c>
      <c r="U177">
        <f>IFERROR($C177*INDEX(SPPR!$E:$X,MATCH($A177,SPPR!$A:$A,0),18),"")</f>
        <v/>
      </c>
      <c r="V177">
        <f>IFERROR($C177*INDEX(SPPR!$E:$X,MATCH($A177,SPPR!$A:$A,0),19),"")</f>
        <v/>
      </c>
      <c r="W177">
        <f>IFERROR($C177*INDEX(SPPR!$E:$X,MATCH($A177,SPPR!$A:$A,0),20),"")</f>
        <v/>
      </c>
    </row>
    <row r="178">
      <c r="A178" t="inlineStr">
        <is>
          <t>Evynnis tumifrons</t>
        </is>
      </c>
      <c r="B178">
        <f>IFERROR(INDEX(SPPR!$D:$D,MATCH($A178,SPPR!$A:$A,0)),"")</f>
        <v/>
      </c>
      <c r="C178">
        <f>IFERROR(INDEX(Catch!$E:$BV,MATCH($A178,Catch!$A:$A,0),MATCH($B$4,Catch!$E$1:$BV$1,0)),0)</f>
        <v/>
      </c>
      <c r="D178">
        <f>IFERROR($C178*INDEX(SPPR!$E:$X,MATCH($A178,SPPR!$A:$A,0),1),"")</f>
        <v/>
      </c>
      <c r="E178">
        <f>IFERROR($C178*INDEX(SPPR!$E:$X,MATCH($A178,SPPR!$A:$A,0),2),"")</f>
        <v/>
      </c>
      <c r="F178">
        <f>IFERROR($C178*INDEX(SPPR!$E:$X,MATCH($A178,SPPR!$A:$A,0),3),"")</f>
        <v/>
      </c>
      <c r="G178">
        <f>IFERROR($C178*INDEX(SPPR!$E:$X,MATCH($A178,SPPR!$A:$A,0),4),"")</f>
        <v/>
      </c>
      <c r="H178">
        <f>IFERROR($C178*INDEX(SPPR!$E:$X,MATCH($A178,SPPR!$A:$A,0),5),"")</f>
        <v/>
      </c>
      <c r="I178">
        <f>IFERROR($C178*INDEX(SPPR!$E:$X,MATCH($A178,SPPR!$A:$A,0),6),"")</f>
        <v/>
      </c>
      <c r="J178">
        <f>IFERROR($C178*INDEX(SPPR!$E:$X,MATCH($A178,SPPR!$A:$A,0),7),"")</f>
        <v/>
      </c>
      <c r="K178">
        <f>IFERROR($C178*INDEX(SPPR!$E:$X,MATCH($A178,SPPR!$A:$A,0),8),"")</f>
        <v/>
      </c>
      <c r="L178">
        <f>IFERROR($C178*INDEX(SPPR!$E:$X,MATCH($A178,SPPR!$A:$A,0),9),"")</f>
        <v/>
      </c>
      <c r="M178">
        <f>IFERROR($C178*INDEX(SPPR!$E:$X,MATCH($A178,SPPR!$A:$A,0),10),"")</f>
        <v/>
      </c>
      <c r="N178">
        <f>IFERROR($C178*INDEX(SPPR!$E:$X,MATCH($A178,SPPR!$A:$A,0),11),"")</f>
        <v/>
      </c>
      <c r="O178">
        <f>IFERROR($C178*INDEX(SPPR!$E:$X,MATCH($A178,SPPR!$A:$A,0),12),"")</f>
        <v/>
      </c>
      <c r="P178">
        <f>IFERROR($C178*INDEX(SPPR!$E:$X,MATCH($A178,SPPR!$A:$A,0),13),"")</f>
        <v/>
      </c>
      <c r="Q178">
        <f>IFERROR($C178*INDEX(SPPR!$E:$X,MATCH($A178,SPPR!$A:$A,0),14),"")</f>
        <v/>
      </c>
      <c r="R178">
        <f>IFERROR($C178*INDEX(SPPR!$E:$X,MATCH($A178,SPPR!$A:$A,0),15),"")</f>
        <v/>
      </c>
      <c r="S178">
        <f>IFERROR($C178*INDEX(SPPR!$E:$X,MATCH($A178,SPPR!$A:$A,0),16),"")</f>
        <v/>
      </c>
      <c r="T178">
        <f>IFERROR($C178*INDEX(SPPR!$E:$X,MATCH($A178,SPPR!$A:$A,0),17),"")</f>
        <v/>
      </c>
      <c r="U178">
        <f>IFERROR($C178*INDEX(SPPR!$E:$X,MATCH($A178,SPPR!$A:$A,0),18),"")</f>
        <v/>
      </c>
      <c r="V178">
        <f>IFERROR($C178*INDEX(SPPR!$E:$X,MATCH($A178,SPPR!$A:$A,0),19),"")</f>
        <v/>
      </c>
      <c r="W178">
        <f>IFERROR($C178*INDEX(SPPR!$E:$X,MATCH($A178,SPPR!$A:$A,0),20),"")</f>
        <v/>
      </c>
    </row>
    <row r="179">
      <c r="A179" t="inlineStr">
        <is>
          <t>Scyllaridae</t>
        </is>
      </c>
      <c r="B179">
        <f>IFERROR(INDEX(SPPR!$D:$D,MATCH($A179,SPPR!$A:$A,0)),"")</f>
        <v/>
      </c>
      <c r="C179">
        <f>IFERROR(INDEX(Catch!$E:$BV,MATCH($A179,Catch!$A:$A,0),MATCH($B$4,Catch!$E$1:$BV$1,0)),0)</f>
        <v/>
      </c>
      <c r="D179">
        <f>IFERROR($C179*INDEX(SPPR!$E:$X,MATCH($A179,SPPR!$A:$A,0),1),"")</f>
        <v/>
      </c>
      <c r="E179">
        <f>IFERROR($C179*INDEX(SPPR!$E:$X,MATCH($A179,SPPR!$A:$A,0),2),"")</f>
        <v/>
      </c>
      <c r="F179">
        <f>IFERROR($C179*INDEX(SPPR!$E:$X,MATCH($A179,SPPR!$A:$A,0),3),"")</f>
        <v/>
      </c>
      <c r="G179">
        <f>IFERROR($C179*INDEX(SPPR!$E:$X,MATCH($A179,SPPR!$A:$A,0),4),"")</f>
        <v/>
      </c>
      <c r="H179">
        <f>IFERROR($C179*INDEX(SPPR!$E:$X,MATCH($A179,SPPR!$A:$A,0),5),"")</f>
        <v/>
      </c>
      <c r="I179">
        <f>IFERROR($C179*INDEX(SPPR!$E:$X,MATCH($A179,SPPR!$A:$A,0),6),"")</f>
        <v/>
      </c>
      <c r="J179">
        <f>IFERROR($C179*INDEX(SPPR!$E:$X,MATCH($A179,SPPR!$A:$A,0),7),"")</f>
        <v/>
      </c>
      <c r="K179">
        <f>IFERROR($C179*INDEX(SPPR!$E:$X,MATCH($A179,SPPR!$A:$A,0),8),"")</f>
        <v/>
      </c>
      <c r="L179">
        <f>IFERROR($C179*INDEX(SPPR!$E:$X,MATCH($A179,SPPR!$A:$A,0),9),"")</f>
        <v/>
      </c>
      <c r="M179">
        <f>IFERROR($C179*INDEX(SPPR!$E:$X,MATCH($A179,SPPR!$A:$A,0),10),"")</f>
        <v/>
      </c>
      <c r="N179">
        <f>IFERROR($C179*INDEX(SPPR!$E:$X,MATCH($A179,SPPR!$A:$A,0),11),"")</f>
        <v/>
      </c>
      <c r="O179">
        <f>IFERROR($C179*INDEX(SPPR!$E:$X,MATCH($A179,SPPR!$A:$A,0),12),"")</f>
        <v/>
      </c>
      <c r="P179">
        <f>IFERROR($C179*INDEX(SPPR!$E:$X,MATCH($A179,SPPR!$A:$A,0),13),"")</f>
        <v/>
      </c>
      <c r="Q179">
        <f>IFERROR($C179*INDEX(SPPR!$E:$X,MATCH($A179,SPPR!$A:$A,0),14),"")</f>
        <v/>
      </c>
      <c r="R179">
        <f>IFERROR($C179*INDEX(SPPR!$E:$X,MATCH($A179,SPPR!$A:$A,0),15),"")</f>
        <v/>
      </c>
      <c r="S179">
        <f>IFERROR($C179*INDEX(SPPR!$E:$X,MATCH($A179,SPPR!$A:$A,0),16),"")</f>
        <v/>
      </c>
      <c r="T179">
        <f>IFERROR($C179*INDEX(SPPR!$E:$X,MATCH($A179,SPPR!$A:$A,0),17),"")</f>
        <v/>
      </c>
      <c r="U179">
        <f>IFERROR($C179*INDEX(SPPR!$E:$X,MATCH($A179,SPPR!$A:$A,0),18),"")</f>
        <v/>
      </c>
      <c r="V179">
        <f>IFERROR($C179*INDEX(SPPR!$E:$X,MATCH($A179,SPPR!$A:$A,0),19),"")</f>
        <v/>
      </c>
      <c r="W179">
        <f>IFERROR($C179*INDEX(SPPR!$E:$X,MATCH($A179,SPPR!$A:$A,0),20),"")</f>
        <v/>
      </c>
    </row>
    <row r="180">
      <c r="A180" t="inlineStr">
        <is>
          <t>Xiphias gladius</t>
        </is>
      </c>
      <c r="B180">
        <f>IFERROR(INDEX(SPPR!$D:$D,MATCH($A180,SPPR!$A:$A,0)),"")</f>
        <v/>
      </c>
      <c r="C180">
        <f>IFERROR(INDEX(Catch!$E:$BV,MATCH($A180,Catch!$A:$A,0),MATCH($B$4,Catch!$E$1:$BV$1,0)),0)</f>
        <v/>
      </c>
      <c r="D180">
        <f>IFERROR($C180*INDEX(SPPR!$E:$X,MATCH($A180,SPPR!$A:$A,0),1),"")</f>
        <v/>
      </c>
      <c r="E180">
        <f>IFERROR($C180*INDEX(SPPR!$E:$X,MATCH($A180,SPPR!$A:$A,0),2),"")</f>
        <v/>
      </c>
      <c r="F180">
        <f>IFERROR($C180*INDEX(SPPR!$E:$X,MATCH($A180,SPPR!$A:$A,0),3),"")</f>
        <v/>
      </c>
      <c r="G180">
        <f>IFERROR($C180*INDEX(SPPR!$E:$X,MATCH($A180,SPPR!$A:$A,0),4),"")</f>
        <v/>
      </c>
      <c r="H180">
        <f>IFERROR($C180*INDEX(SPPR!$E:$X,MATCH($A180,SPPR!$A:$A,0),5),"")</f>
        <v/>
      </c>
      <c r="I180">
        <f>IFERROR($C180*INDEX(SPPR!$E:$X,MATCH($A180,SPPR!$A:$A,0),6),"")</f>
        <v/>
      </c>
      <c r="J180">
        <f>IFERROR($C180*INDEX(SPPR!$E:$X,MATCH($A180,SPPR!$A:$A,0),7),"")</f>
        <v/>
      </c>
      <c r="K180">
        <f>IFERROR($C180*INDEX(SPPR!$E:$X,MATCH($A180,SPPR!$A:$A,0),8),"")</f>
        <v/>
      </c>
      <c r="L180">
        <f>IFERROR($C180*INDEX(SPPR!$E:$X,MATCH($A180,SPPR!$A:$A,0),9),"")</f>
        <v/>
      </c>
      <c r="M180">
        <f>IFERROR($C180*INDEX(SPPR!$E:$X,MATCH($A180,SPPR!$A:$A,0),10),"")</f>
        <v/>
      </c>
      <c r="N180">
        <f>IFERROR($C180*INDEX(SPPR!$E:$X,MATCH($A180,SPPR!$A:$A,0),11),"")</f>
        <v/>
      </c>
      <c r="O180">
        <f>IFERROR($C180*INDEX(SPPR!$E:$X,MATCH($A180,SPPR!$A:$A,0),12),"")</f>
        <v/>
      </c>
      <c r="P180">
        <f>IFERROR($C180*INDEX(SPPR!$E:$X,MATCH($A180,SPPR!$A:$A,0),13),"")</f>
        <v/>
      </c>
      <c r="Q180">
        <f>IFERROR($C180*INDEX(SPPR!$E:$X,MATCH($A180,SPPR!$A:$A,0),14),"")</f>
        <v/>
      </c>
      <c r="R180">
        <f>IFERROR($C180*INDEX(SPPR!$E:$X,MATCH($A180,SPPR!$A:$A,0),15),"")</f>
        <v/>
      </c>
      <c r="S180">
        <f>IFERROR($C180*INDEX(SPPR!$E:$X,MATCH($A180,SPPR!$A:$A,0),16),"")</f>
        <v/>
      </c>
      <c r="T180">
        <f>IFERROR($C180*INDEX(SPPR!$E:$X,MATCH($A180,SPPR!$A:$A,0),17),"")</f>
        <v/>
      </c>
      <c r="U180">
        <f>IFERROR($C180*INDEX(SPPR!$E:$X,MATCH($A180,SPPR!$A:$A,0),18),"")</f>
        <v/>
      </c>
      <c r="V180">
        <f>IFERROR($C180*INDEX(SPPR!$E:$X,MATCH($A180,SPPR!$A:$A,0),19),"")</f>
        <v/>
      </c>
      <c r="W180">
        <f>IFERROR($C180*INDEX(SPPR!$E:$X,MATCH($A180,SPPR!$A:$A,0),20),"")</f>
        <v/>
      </c>
    </row>
    <row r="181">
      <c r="A181" t="inlineStr">
        <is>
          <t>Epinephelus coioides</t>
        </is>
      </c>
      <c r="B181">
        <f>IFERROR(INDEX(SPPR!$D:$D,MATCH($A181,SPPR!$A:$A,0)),"")</f>
        <v/>
      </c>
      <c r="C181">
        <f>IFERROR(INDEX(Catch!$E:$BV,MATCH($A181,Catch!$A:$A,0),MATCH($B$4,Catch!$E$1:$BV$1,0)),0)</f>
        <v/>
      </c>
      <c r="D181">
        <f>IFERROR($C181*INDEX(SPPR!$E:$X,MATCH($A181,SPPR!$A:$A,0),1),"")</f>
        <v/>
      </c>
      <c r="E181">
        <f>IFERROR($C181*INDEX(SPPR!$E:$X,MATCH($A181,SPPR!$A:$A,0),2),"")</f>
        <v/>
      </c>
      <c r="F181">
        <f>IFERROR($C181*INDEX(SPPR!$E:$X,MATCH($A181,SPPR!$A:$A,0),3),"")</f>
        <v/>
      </c>
      <c r="G181">
        <f>IFERROR($C181*INDEX(SPPR!$E:$X,MATCH($A181,SPPR!$A:$A,0),4),"")</f>
        <v/>
      </c>
      <c r="H181">
        <f>IFERROR($C181*INDEX(SPPR!$E:$X,MATCH($A181,SPPR!$A:$A,0),5),"")</f>
        <v/>
      </c>
      <c r="I181">
        <f>IFERROR($C181*INDEX(SPPR!$E:$X,MATCH($A181,SPPR!$A:$A,0),6),"")</f>
        <v/>
      </c>
      <c r="J181">
        <f>IFERROR($C181*INDEX(SPPR!$E:$X,MATCH($A181,SPPR!$A:$A,0),7),"")</f>
        <v/>
      </c>
      <c r="K181">
        <f>IFERROR($C181*INDEX(SPPR!$E:$X,MATCH($A181,SPPR!$A:$A,0),8),"")</f>
        <v/>
      </c>
      <c r="L181">
        <f>IFERROR($C181*INDEX(SPPR!$E:$X,MATCH($A181,SPPR!$A:$A,0),9),"")</f>
        <v/>
      </c>
      <c r="M181">
        <f>IFERROR($C181*INDEX(SPPR!$E:$X,MATCH($A181,SPPR!$A:$A,0),10),"")</f>
        <v/>
      </c>
      <c r="N181">
        <f>IFERROR($C181*INDEX(SPPR!$E:$X,MATCH($A181,SPPR!$A:$A,0),11),"")</f>
        <v/>
      </c>
      <c r="O181">
        <f>IFERROR($C181*INDEX(SPPR!$E:$X,MATCH($A181,SPPR!$A:$A,0),12),"")</f>
        <v/>
      </c>
      <c r="P181">
        <f>IFERROR($C181*INDEX(SPPR!$E:$X,MATCH($A181,SPPR!$A:$A,0),13),"")</f>
        <v/>
      </c>
      <c r="Q181">
        <f>IFERROR($C181*INDEX(SPPR!$E:$X,MATCH($A181,SPPR!$A:$A,0),14),"")</f>
        <v/>
      </c>
      <c r="R181">
        <f>IFERROR($C181*INDEX(SPPR!$E:$X,MATCH($A181,SPPR!$A:$A,0),15),"")</f>
        <v/>
      </c>
      <c r="S181">
        <f>IFERROR($C181*INDEX(SPPR!$E:$X,MATCH($A181,SPPR!$A:$A,0),16),"")</f>
        <v/>
      </c>
      <c r="T181">
        <f>IFERROR($C181*INDEX(SPPR!$E:$X,MATCH($A181,SPPR!$A:$A,0),17),"")</f>
        <v/>
      </c>
      <c r="U181">
        <f>IFERROR($C181*INDEX(SPPR!$E:$X,MATCH($A181,SPPR!$A:$A,0),18),"")</f>
        <v/>
      </c>
      <c r="V181">
        <f>IFERROR($C181*INDEX(SPPR!$E:$X,MATCH($A181,SPPR!$A:$A,0),19),"")</f>
        <v/>
      </c>
      <c r="W181">
        <f>IFERROR($C181*INDEX(SPPR!$E:$X,MATCH($A181,SPPR!$A:$A,0),20),"")</f>
        <v/>
      </c>
    </row>
    <row r="182">
      <c r="A182" t="inlineStr">
        <is>
          <t>Gobiidae</t>
        </is>
      </c>
      <c r="B182">
        <f>IFERROR(INDEX(SPPR!$D:$D,MATCH($A182,SPPR!$A:$A,0)),"")</f>
        <v/>
      </c>
      <c r="C182">
        <f>IFERROR(INDEX(Catch!$E:$BV,MATCH($A182,Catch!$A:$A,0),MATCH($B$4,Catch!$E$1:$BV$1,0)),0)</f>
        <v/>
      </c>
      <c r="D182">
        <f>IFERROR($C182*INDEX(SPPR!$E:$X,MATCH($A182,SPPR!$A:$A,0),1),"")</f>
        <v/>
      </c>
      <c r="E182">
        <f>IFERROR($C182*INDEX(SPPR!$E:$X,MATCH($A182,SPPR!$A:$A,0),2),"")</f>
        <v/>
      </c>
      <c r="F182">
        <f>IFERROR($C182*INDEX(SPPR!$E:$X,MATCH($A182,SPPR!$A:$A,0),3),"")</f>
        <v/>
      </c>
      <c r="G182">
        <f>IFERROR($C182*INDEX(SPPR!$E:$X,MATCH($A182,SPPR!$A:$A,0),4),"")</f>
        <v/>
      </c>
      <c r="H182">
        <f>IFERROR($C182*INDEX(SPPR!$E:$X,MATCH($A182,SPPR!$A:$A,0),5),"")</f>
        <v/>
      </c>
      <c r="I182">
        <f>IFERROR($C182*INDEX(SPPR!$E:$X,MATCH($A182,SPPR!$A:$A,0),6),"")</f>
        <v/>
      </c>
      <c r="J182">
        <f>IFERROR($C182*INDEX(SPPR!$E:$X,MATCH($A182,SPPR!$A:$A,0),7),"")</f>
        <v/>
      </c>
      <c r="K182">
        <f>IFERROR($C182*INDEX(SPPR!$E:$X,MATCH($A182,SPPR!$A:$A,0),8),"")</f>
        <v/>
      </c>
      <c r="L182">
        <f>IFERROR($C182*INDEX(SPPR!$E:$X,MATCH($A182,SPPR!$A:$A,0),9),"")</f>
        <v/>
      </c>
      <c r="M182">
        <f>IFERROR($C182*INDEX(SPPR!$E:$X,MATCH($A182,SPPR!$A:$A,0),10),"")</f>
        <v/>
      </c>
      <c r="N182">
        <f>IFERROR($C182*INDEX(SPPR!$E:$X,MATCH($A182,SPPR!$A:$A,0),11),"")</f>
        <v/>
      </c>
      <c r="O182">
        <f>IFERROR($C182*INDEX(SPPR!$E:$X,MATCH($A182,SPPR!$A:$A,0),12),"")</f>
        <v/>
      </c>
      <c r="P182">
        <f>IFERROR($C182*INDEX(SPPR!$E:$X,MATCH($A182,SPPR!$A:$A,0),13),"")</f>
        <v/>
      </c>
      <c r="Q182">
        <f>IFERROR($C182*INDEX(SPPR!$E:$X,MATCH($A182,SPPR!$A:$A,0),14),"")</f>
        <v/>
      </c>
      <c r="R182">
        <f>IFERROR($C182*INDEX(SPPR!$E:$X,MATCH($A182,SPPR!$A:$A,0),15),"")</f>
        <v/>
      </c>
      <c r="S182">
        <f>IFERROR($C182*INDEX(SPPR!$E:$X,MATCH($A182,SPPR!$A:$A,0),16),"")</f>
        <v/>
      </c>
      <c r="T182">
        <f>IFERROR($C182*INDEX(SPPR!$E:$X,MATCH($A182,SPPR!$A:$A,0),17),"")</f>
        <v/>
      </c>
      <c r="U182">
        <f>IFERROR($C182*INDEX(SPPR!$E:$X,MATCH($A182,SPPR!$A:$A,0),18),"")</f>
        <v/>
      </c>
      <c r="V182">
        <f>IFERROR($C182*INDEX(SPPR!$E:$X,MATCH($A182,SPPR!$A:$A,0),19),"")</f>
        <v/>
      </c>
      <c r="W182">
        <f>IFERROR($C182*INDEX(SPPR!$E:$X,MATCH($A182,SPPR!$A:$A,0),20),"")</f>
        <v/>
      </c>
    </row>
    <row r="183">
      <c r="A183" t="inlineStr">
        <is>
          <t>Ariomma indica</t>
        </is>
      </c>
      <c r="B183">
        <f>IFERROR(INDEX(SPPR!$D:$D,MATCH($A183,SPPR!$A:$A,0)),"")</f>
        <v/>
      </c>
      <c r="C183">
        <f>IFERROR(INDEX(Catch!$E:$BV,MATCH($A183,Catch!$A:$A,0),MATCH($B$4,Catch!$E$1:$BV$1,0)),0)</f>
        <v/>
      </c>
      <c r="D183">
        <f>IFERROR($C183*INDEX(SPPR!$E:$X,MATCH($A183,SPPR!$A:$A,0),1),"")</f>
        <v/>
      </c>
      <c r="E183">
        <f>IFERROR($C183*INDEX(SPPR!$E:$X,MATCH($A183,SPPR!$A:$A,0),2),"")</f>
        <v/>
      </c>
      <c r="F183">
        <f>IFERROR($C183*INDEX(SPPR!$E:$X,MATCH($A183,SPPR!$A:$A,0),3),"")</f>
        <v/>
      </c>
      <c r="G183">
        <f>IFERROR($C183*INDEX(SPPR!$E:$X,MATCH($A183,SPPR!$A:$A,0),4),"")</f>
        <v/>
      </c>
      <c r="H183">
        <f>IFERROR($C183*INDEX(SPPR!$E:$X,MATCH($A183,SPPR!$A:$A,0),5),"")</f>
        <v/>
      </c>
      <c r="I183">
        <f>IFERROR($C183*INDEX(SPPR!$E:$X,MATCH($A183,SPPR!$A:$A,0),6),"")</f>
        <v/>
      </c>
      <c r="J183">
        <f>IFERROR($C183*INDEX(SPPR!$E:$X,MATCH($A183,SPPR!$A:$A,0),7),"")</f>
        <v/>
      </c>
      <c r="K183">
        <f>IFERROR($C183*INDEX(SPPR!$E:$X,MATCH($A183,SPPR!$A:$A,0),8),"")</f>
        <v/>
      </c>
      <c r="L183">
        <f>IFERROR($C183*INDEX(SPPR!$E:$X,MATCH($A183,SPPR!$A:$A,0),9),"")</f>
        <v/>
      </c>
      <c r="M183">
        <f>IFERROR($C183*INDEX(SPPR!$E:$X,MATCH($A183,SPPR!$A:$A,0),10),"")</f>
        <v/>
      </c>
      <c r="N183">
        <f>IFERROR($C183*INDEX(SPPR!$E:$X,MATCH($A183,SPPR!$A:$A,0),11),"")</f>
        <v/>
      </c>
      <c r="O183">
        <f>IFERROR($C183*INDEX(SPPR!$E:$X,MATCH($A183,SPPR!$A:$A,0),12),"")</f>
        <v/>
      </c>
      <c r="P183">
        <f>IFERROR($C183*INDEX(SPPR!$E:$X,MATCH($A183,SPPR!$A:$A,0),13),"")</f>
        <v/>
      </c>
      <c r="Q183">
        <f>IFERROR($C183*INDEX(SPPR!$E:$X,MATCH($A183,SPPR!$A:$A,0),14),"")</f>
        <v/>
      </c>
      <c r="R183">
        <f>IFERROR($C183*INDEX(SPPR!$E:$X,MATCH($A183,SPPR!$A:$A,0),15),"")</f>
        <v/>
      </c>
      <c r="S183">
        <f>IFERROR($C183*INDEX(SPPR!$E:$X,MATCH($A183,SPPR!$A:$A,0),16),"")</f>
        <v/>
      </c>
      <c r="T183">
        <f>IFERROR($C183*INDEX(SPPR!$E:$X,MATCH($A183,SPPR!$A:$A,0),17),"")</f>
        <v/>
      </c>
      <c r="U183">
        <f>IFERROR($C183*INDEX(SPPR!$E:$X,MATCH($A183,SPPR!$A:$A,0),18),"")</f>
        <v/>
      </c>
      <c r="V183">
        <f>IFERROR($C183*INDEX(SPPR!$E:$X,MATCH($A183,SPPR!$A:$A,0),19),"")</f>
        <v/>
      </c>
      <c r="W183">
        <f>IFERROR($C183*INDEX(SPPR!$E:$X,MATCH($A183,SPPR!$A:$A,0),20),"")</f>
        <v/>
      </c>
    </row>
    <row r="184">
      <c r="A184" t="inlineStr">
        <is>
          <t>Platycaranx talamparoides</t>
        </is>
      </c>
      <c r="B184">
        <f>IFERROR(INDEX(SPPR!$D:$D,MATCH($A184,SPPR!$A:$A,0)),"")</f>
        <v/>
      </c>
      <c r="C184">
        <f>IFERROR(INDEX(Catch!$E:$BV,MATCH($A184,Catch!$A:$A,0),MATCH($B$4,Catch!$E$1:$BV$1,0)),0)</f>
        <v/>
      </c>
      <c r="D184">
        <f>IFERROR($C184*INDEX(SPPR!$E:$X,MATCH($A184,SPPR!$A:$A,0),1),"")</f>
        <v/>
      </c>
      <c r="E184">
        <f>IFERROR($C184*INDEX(SPPR!$E:$X,MATCH($A184,SPPR!$A:$A,0),2),"")</f>
        <v/>
      </c>
      <c r="F184">
        <f>IFERROR($C184*INDEX(SPPR!$E:$X,MATCH($A184,SPPR!$A:$A,0),3),"")</f>
        <v/>
      </c>
      <c r="G184">
        <f>IFERROR($C184*INDEX(SPPR!$E:$X,MATCH($A184,SPPR!$A:$A,0),4),"")</f>
        <v/>
      </c>
      <c r="H184">
        <f>IFERROR($C184*INDEX(SPPR!$E:$X,MATCH($A184,SPPR!$A:$A,0),5),"")</f>
        <v/>
      </c>
      <c r="I184">
        <f>IFERROR($C184*INDEX(SPPR!$E:$X,MATCH($A184,SPPR!$A:$A,0),6),"")</f>
        <v/>
      </c>
      <c r="J184">
        <f>IFERROR($C184*INDEX(SPPR!$E:$X,MATCH($A184,SPPR!$A:$A,0),7),"")</f>
        <v/>
      </c>
      <c r="K184">
        <f>IFERROR($C184*INDEX(SPPR!$E:$X,MATCH($A184,SPPR!$A:$A,0),8),"")</f>
        <v/>
      </c>
      <c r="L184">
        <f>IFERROR($C184*INDEX(SPPR!$E:$X,MATCH($A184,SPPR!$A:$A,0),9),"")</f>
        <v/>
      </c>
      <c r="M184">
        <f>IFERROR($C184*INDEX(SPPR!$E:$X,MATCH($A184,SPPR!$A:$A,0),10),"")</f>
        <v/>
      </c>
      <c r="N184">
        <f>IFERROR($C184*INDEX(SPPR!$E:$X,MATCH($A184,SPPR!$A:$A,0),11),"")</f>
        <v/>
      </c>
      <c r="O184">
        <f>IFERROR($C184*INDEX(SPPR!$E:$X,MATCH($A184,SPPR!$A:$A,0),12),"")</f>
        <v/>
      </c>
      <c r="P184">
        <f>IFERROR($C184*INDEX(SPPR!$E:$X,MATCH($A184,SPPR!$A:$A,0),13),"")</f>
        <v/>
      </c>
      <c r="Q184">
        <f>IFERROR($C184*INDEX(SPPR!$E:$X,MATCH($A184,SPPR!$A:$A,0),14),"")</f>
        <v/>
      </c>
      <c r="R184">
        <f>IFERROR($C184*INDEX(SPPR!$E:$X,MATCH($A184,SPPR!$A:$A,0),15),"")</f>
        <v/>
      </c>
      <c r="S184">
        <f>IFERROR($C184*INDEX(SPPR!$E:$X,MATCH($A184,SPPR!$A:$A,0),16),"")</f>
        <v/>
      </c>
      <c r="T184">
        <f>IFERROR($C184*INDEX(SPPR!$E:$X,MATCH($A184,SPPR!$A:$A,0),17),"")</f>
        <v/>
      </c>
      <c r="U184">
        <f>IFERROR($C184*INDEX(SPPR!$E:$X,MATCH($A184,SPPR!$A:$A,0),18),"")</f>
        <v/>
      </c>
      <c r="V184">
        <f>IFERROR($C184*INDEX(SPPR!$E:$X,MATCH($A184,SPPR!$A:$A,0),19),"")</f>
        <v/>
      </c>
      <c r="W184">
        <f>IFERROR($C184*INDEX(SPPR!$E:$X,MATCH($A184,SPPR!$A:$A,0),20),"")</f>
        <v/>
      </c>
    </row>
    <row r="185">
      <c r="A185" t="inlineStr">
        <is>
          <t>Decapterus russelli</t>
        </is>
      </c>
      <c r="B185">
        <f>IFERROR(INDEX(SPPR!$D:$D,MATCH($A185,SPPR!$A:$A,0)),"")</f>
        <v/>
      </c>
      <c r="C185">
        <f>IFERROR(INDEX(Catch!$E:$BV,MATCH($A185,Catch!$A:$A,0),MATCH($B$4,Catch!$E$1:$BV$1,0)),0)</f>
        <v/>
      </c>
      <c r="D185">
        <f>IFERROR($C185*INDEX(SPPR!$E:$X,MATCH($A185,SPPR!$A:$A,0),1),"")</f>
        <v/>
      </c>
      <c r="E185">
        <f>IFERROR($C185*INDEX(SPPR!$E:$X,MATCH($A185,SPPR!$A:$A,0),2),"")</f>
        <v/>
      </c>
      <c r="F185">
        <f>IFERROR($C185*INDEX(SPPR!$E:$X,MATCH($A185,SPPR!$A:$A,0),3),"")</f>
        <v/>
      </c>
      <c r="G185">
        <f>IFERROR($C185*INDEX(SPPR!$E:$X,MATCH($A185,SPPR!$A:$A,0),4),"")</f>
        <v/>
      </c>
      <c r="H185">
        <f>IFERROR($C185*INDEX(SPPR!$E:$X,MATCH($A185,SPPR!$A:$A,0),5),"")</f>
        <v/>
      </c>
      <c r="I185">
        <f>IFERROR($C185*INDEX(SPPR!$E:$X,MATCH($A185,SPPR!$A:$A,0),6),"")</f>
        <v/>
      </c>
      <c r="J185">
        <f>IFERROR($C185*INDEX(SPPR!$E:$X,MATCH($A185,SPPR!$A:$A,0),7),"")</f>
        <v/>
      </c>
      <c r="K185">
        <f>IFERROR($C185*INDEX(SPPR!$E:$X,MATCH($A185,SPPR!$A:$A,0),8),"")</f>
        <v/>
      </c>
      <c r="L185">
        <f>IFERROR($C185*INDEX(SPPR!$E:$X,MATCH($A185,SPPR!$A:$A,0),9),"")</f>
        <v/>
      </c>
      <c r="M185">
        <f>IFERROR($C185*INDEX(SPPR!$E:$X,MATCH($A185,SPPR!$A:$A,0),10),"")</f>
        <v/>
      </c>
      <c r="N185">
        <f>IFERROR($C185*INDEX(SPPR!$E:$X,MATCH($A185,SPPR!$A:$A,0),11),"")</f>
        <v/>
      </c>
      <c r="O185">
        <f>IFERROR($C185*INDEX(SPPR!$E:$X,MATCH($A185,SPPR!$A:$A,0),12),"")</f>
        <v/>
      </c>
      <c r="P185">
        <f>IFERROR($C185*INDEX(SPPR!$E:$X,MATCH($A185,SPPR!$A:$A,0),13),"")</f>
        <v/>
      </c>
      <c r="Q185">
        <f>IFERROR($C185*INDEX(SPPR!$E:$X,MATCH($A185,SPPR!$A:$A,0),14),"")</f>
        <v/>
      </c>
      <c r="R185">
        <f>IFERROR($C185*INDEX(SPPR!$E:$X,MATCH($A185,SPPR!$A:$A,0),15),"")</f>
        <v/>
      </c>
      <c r="S185">
        <f>IFERROR($C185*INDEX(SPPR!$E:$X,MATCH($A185,SPPR!$A:$A,0),16),"")</f>
        <v/>
      </c>
      <c r="T185">
        <f>IFERROR($C185*INDEX(SPPR!$E:$X,MATCH($A185,SPPR!$A:$A,0),17),"")</f>
        <v/>
      </c>
      <c r="U185">
        <f>IFERROR($C185*INDEX(SPPR!$E:$X,MATCH($A185,SPPR!$A:$A,0),18),"")</f>
        <v/>
      </c>
      <c r="V185">
        <f>IFERROR($C185*INDEX(SPPR!$E:$X,MATCH($A185,SPPR!$A:$A,0),19),"")</f>
        <v/>
      </c>
      <c r="W185">
        <f>IFERROR($C185*INDEX(SPPR!$E:$X,MATCH($A185,SPPR!$A:$A,0),20),"")</f>
        <v/>
      </c>
    </row>
    <row r="186">
      <c r="A186" t="inlineStr">
        <is>
          <t>Panulirus</t>
        </is>
      </c>
      <c r="B186">
        <f>IFERROR(INDEX(SPPR!$D:$D,MATCH($A186,SPPR!$A:$A,0)),"")</f>
        <v/>
      </c>
      <c r="C186">
        <f>IFERROR(INDEX(Catch!$E:$BV,MATCH($A186,Catch!$A:$A,0),MATCH($B$4,Catch!$E$1:$BV$1,0)),0)</f>
        <v/>
      </c>
      <c r="D186">
        <f>IFERROR($C186*INDEX(SPPR!$E:$X,MATCH($A186,SPPR!$A:$A,0),1),"")</f>
        <v/>
      </c>
      <c r="E186">
        <f>IFERROR($C186*INDEX(SPPR!$E:$X,MATCH($A186,SPPR!$A:$A,0),2),"")</f>
        <v/>
      </c>
      <c r="F186">
        <f>IFERROR($C186*INDEX(SPPR!$E:$X,MATCH($A186,SPPR!$A:$A,0),3),"")</f>
        <v/>
      </c>
      <c r="G186">
        <f>IFERROR($C186*INDEX(SPPR!$E:$X,MATCH($A186,SPPR!$A:$A,0),4),"")</f>
        <v/>
      </c>
      <c r="H186">
        <f>IFERROR($C186*INDEX(SPPR!$E:$X,MATCH($A186,SPPR!$A:$A,0),5),"")</f>
        <v/>
      </c>
      <c r="I186">
        <f>IFERROR($C186*INDEX(SPPR!$E:$X,MATCH($A186,SPPR!$A:$A,0),6),"")</f>
        <v/>
      </c>
      <c r="J186">
        <f>IFERROR($C186*INDEX(SPPR!$E:$X,MATCH($A186,SPPR!$A:$A,0),7),"")</f>
        <v/>
      </c>
      <c r="K186">
        <f>IFERROR($C186*INDEX(SPPR!$E:$X,MATCH($A186,SPPR!$A:$A,0),8),"")</f>
        <v/>
      </c>
      <c r="L186">
        <f>IFERROR($C186*INDEX(SPPR!$E:$X,MATCH($A186,SPPR!$A:$A,0),9),"")</f>
        <v/>
      </c>
      <c r="M186">
        <f>IFERROR($C186*INDEX(SPPR!$E:$X,MATCH($A186,SPPR!$A:$A,0),10),"")</f>
        <v/>
      </c>
      <c r="N186">
        <f>IFERROR($C186*INDEX(SPPR!$E:$X,MATCH($A186,SPPR!$A:$A,0),11),"")</f>
        <v/>
      </c>
      <c r="O186">
        <f>IFERROR($C186*INDEX(SPPR!$E:$X,MATCH($A186,SPPR!$A:$A,0),12),"")</f>
        <v/>
      </c>
      <c r="P186">
        <f>IFERROR($C186*INDEX(SPPR!$E:$X,MATCH($A186,SPPR!$A:$A,0),13),"")</f>
        <v/>
      </c>
      <c r="Q186">
        <f>IFERROR($C186*INDEX(SPPR!$E:$X,MATCH($A186,SPPR!$A:$A,0),14),"")</f>
        <v/>
      </c>
      <c r="R186">
        <f>IFERROR($C186*INDEX(SPPR!$E:$X,MATCH($A186,SPPR!$A:$A,0),15),"")</f>
        <v/>
      </c>
      <c r="S186">
        <f>IFERROR($C186*INDEX(SPPR!$E:$X,MATCH($A186,SPPR!$A:$A,0),16),"")</f>
        <v/>
      </c>
      <c r="T186">
        <f>IFERROR($C186*INDEX(SPPR!$E:$X,MATCH($A186,SPPR!$A:$A,0),17),"")</f>
        <v/>
      </c>
      <c r="U186">
        <f>IFERROR($C186*INDEX(SPPR!$E:$X,MATCH($A186,SPPR!$A:$A,0),18),"")</f>
        <v/>
      </c>
      <c r="V186">
        <f>IFERROR($C186*INDEX(SPPR!$E:$X,MATCH($A186,SPPR!$A:$A,0),19),"")</f>
        <v/>
      </c>
      <c r="W186">
        <f>IFERROR($C186*INDEX(SPPR!$E:$X,MATCH($A186,SPPR!$A:$A,0),20),"")</f>
        <v/>
      </c>
    </row>
    <row r="187">
      <c r="A187" t="inlineStr">
        <is>
          <t>Niphon spinosus</t>
        </is>
      </c>
      <c r="B187">
        <f>IFERROR(INDEX(SPPR!$D:$D,MATCH($A187,SPPR!$A:$A,0)),"")</f>
        <v/>
      </c>
      <c r="C187">
        <f>IFERROR(INDEX(Catch!$E:$BV,MATCH($A187,Catch!$A:$A,0),MATCH($B$4,Catch!$E$1:$BV$1,0)),0)</f>
        <v/>
      </c>
      <c r="D187">
        <f>IFERROR($C187*INDEX(SPPR!$E:$X,MATCH($A187,SPPR!$A:$A,0),1),"")</f>
        <v/>
      </c>
      <c r="E187">
        <f>IFERROR($C187*INDEX(SPPR!$E:$X,MATCH($A187,SPPR!$A:$A,0),2),"")</f>
        <v/>
      </c>
      <c r="F187">
        <f>IFERROR($C187*INDEX(SPPR!$E:$X,MATCH($A187,SPPR!$A:$A,0),3),"")</f>
        <v/>
      </c>
      <c r="G187">
        <f>IFERROR($C187*INDEX(SPPR!$E:$X,MATCH($A187,SPPR!$A:$A,0),4),"")</f>
        <v/>
      </c>
      <c r="H187">
        <f>IFERROR($C187*INDEX(SPPR!$E:$X,MATCH($A187,SPPR!$A:$A,0),5),"")</f>
        <v/>
      </c>
      <c r="I187">
        <f>IFERROR($C187*INDEX(SPPR!$E:$X,MATCH($A187,SPPR!$A:$A,0),6),"")</f>
        <v/>
      </c>
      <c r="J187">
        <f>IFERROR($C187*INDEX(SPPR!$E:$X,MATCH($A187,SPPR!$A:$A,0),7),"")</f>
        <v/>
      </c>
      <c r="K187">
        <f>IFERROR($C187*INDEX(SPPR!$E:$X,MATCH($A187,SPPR!$A:$A,0),8),"")</f>
        <v/>
      </c>
      <c r="L187">
        <f>IFERROR($C187*INDEX(SPPR!$E:$X,MATCH($A187,SPPR!$A:$A,0),9),"")</f>
        <v/>
      </c>
      <c r="M187">
        <f>IFERROR($C187*INDEX(SPPR!$E:$X,MATCH($A187,SPPR!$A:$A,0),10),"")</f>
        <v/>
      </c>
      <c r="N187">
        <f>IFERROR($C187*INDEX(SPPR!$E:$X,MATCH($A187,SPPR!$A:$A,0),11),"")</f>
        <v/>
      </c>
      <c r="O187">
        <f>IFERROR($C187*INDEX(SPPR!$E:$X,MATCH($A187,SPPR!$A:$A,0),12),"")</f>
        <v/>
      </c>
      <c r="P187">
        <f>IFERROR($C187*INDEX(SPPR!$E:$X,MATCH($A187,SPPR!$A:$A,0),13),"")</f>
        <v/>
      </c>
      <c r="Q187">
        <f>IFERROR($C187*INDEX(SPPR!$E:$X,MATCH($A187,SPPR!$A:$A,0),14),"")</f>
        <v/>
      </c>
      <c r="R187">
        <f>IFERROR($C187*INDEX(SPPR!$E:$X,MATCH($A187,SPPR!$A:$A,0),15),"")</f>
        <v/>
      </c>
      <c r="S187">
        <f>IFERROR($C187*INDEX(SPPR!$E:$X,MATCH($A187,SPPR!$A:$A,0),16),"")</f>
        <v/>
      </c>
      <c r="T187">
        <f>IFERROR($C187*INDEX(SPPR!$E:$X,MATCH($A187,SPPR!$A:$A,0),17),"")</f>
        <v/>
      </c>
      <c r="U187">
        <f>IFERROR($C187*INDEX(SPPR!$E:$X,MATCH($A187,SPPR!$A:$A,0),18),"")</f>
        <v/>
      </c>
      <c r="V187">
        <f>IFERROR($C187*INDEX(SPPR!$E:$X,MATCH($A187,SPPR!$A:$A,0),19),"")</f>
        <v/>
      </c>
      <c r="W187">
        <f>IFERROR($C187*INDEX(SPPR!$E:$X,MATCH($A187,SPPR!$A:$A,0),20),"")</f>
        <v/>
      </c>
    </row>
    <row r="188">
      <c r="A188" t="inlineStr">
        <is>
          <t>Chanos chanos</t>
        </is>
      </c>
      <c r="B188">
        <f>IFERROR(INDEX(SPPR!$D:$D,MATCH($A188,SPPR!$A:$A,0)),"")</f>
        <v/>
      </c>
      <c r="C188">
        <f>IFERROR(INDEX(Catch!$E:$BV,MATCH($A188,Catch!$A:$A,0),MATCH($B$4,Catch!$E$1:$BV$1,0)),0)</f>
        <v/>
      </c>
      <c r="D188">
        <f>IFERROR($C188*INDEX(SPPR!$E:$X,MATCH($A188,SPPR!$A:$A,0),1),"")</f>
        <v/>
      </c>
      <c r="E188">
        <f>IFERROR($C188*INDEX(SPPR!$E:$X,MATCH($A188,SPPR!$A:$A,0),2),"")</f>
        <v/>
      </c>
      <c r="F188">
        <f>IFERROR($C188*INDEX(SPPR!$E:$X,MATCH($A188,SPPR!$A:$A,0),3),"")</f>
        <v/>
      </c>
      <c r="G188">
        <f>IFERROR($C188*INDEX(SPPR!$E:$X,MATCH($A188,SPPR!$A:$A,0),4),"")</f>
        <v/>
      </c>
      <c r="H188">
        <f>IFERROR($C188*INDEX(SPPR!$E:$X,MATCH($A188,SPPR!$A:$A,0),5),"")</f>
        <v/>
      </c>
      <c r="I188">
        <f>IFERROR($C188*INDEX(SPPR!$E:$X,MATCH($A188,SPPR!$A:$A,0),6),"")</f>
        <v/>
      </c>
      <c r="J188">
        <f>IFERROR($C188*INDEX(SPPR!$E:$X,MATCH($A188,SPPR!$A:$A,0),7),"")</f>
        <v/>
      </c>
      <c r="K188">
        <f>IFERROR($C188*INDEX(SPPR!$E:$X,MATCH($A188,SPPR!$A:$A,0),8),"")</f>
        <v/>
      </c>
      <c r="L188">
        <f>IFERROR($C188*INDEX(SPPR!$E:$X,MATCH($A188,SPPR!$A:$A,0),9),"")</f>
        <v/>
      </c>
      <c r="M188">
        <f>IFERROR($C188*INDEX(SPPR!$E:$X,MATCH($A188,SPPR!$A:$A,0),10),"")</f>
        <v/>
      </c>
      <c r="N188">
        <f>IFERROR($C188*INDEX(SPPR!$E:$X,MATCH($A188,SPPR!$A:$A,0),11),"")</f>
        <v/>
      </c>
      <c r="O188">
        <f>IFERROR($C188*INDEX(SPPR!$E:$X,MATCH($A188,SPPR!$A:$A,0),12),"")</f>
        <v/>
      </c>
      <c r="P188">
        <f>IFERROR($C188*INDEX(SPPR!$E:$X,MATCH($A188,SPPR!$A:$A,0),13),"")</f>
        <v/>
      </c>
      <c r="Q188">
        <f>IFERROR($C188*INDEX(SPPR!$E:$X,MATCH($A188,SPPR!$A:$A,0),14),"")</f>
        <v/>
      </c>
      <c r="R188">
        <f>IFERROR($C188*INDEX(SPPR!$E:$X,MATCH($A188,SPPR!$A:$A,0),15),"")</f>
        <v/>
      </c>
      <c r="S188">
        <f>IFERROR($C188*INDEX(SPPR!$E:$X,MATCH($A188,SPPR!$A:$A,0),16),"")</f>
        <v/>
      </c>
      <c r="T188">
        <f>IFERROR($C188*INDEX(SPPR!$E:$X,MATCH($A188,SPPR!$A:$A,0),17),"")</f>
        <v/>
      </c>
      <c r="U188">
        <f>IFERROR($C188*INDEX(SPPR!$E:$X,MATCH($A188,SPPR!$A:$A,0),18),"")</f>
        <v/>
      </c>
      <c r="V188">
        <f>IFERROR($C188*INDEX(SPPR!$E:$X,MATCH($A188,SPPR!$A:$A,0),19),"")</f>
        <v/>
      </c>
      <c r="W188">
        <f>IFERROR($C188*INDEX(SPPR!$E:$X,MATCH($A188,SPPR!$A:$A,0),20),"")</f>
        <v/>
      </c>
    </row>
    <row r="189">
      <c r="A189" t="inlineStr">
        <is>
          <t>Istiompax indica</t>
        </is>
      </c>
      <c r="B189">
        <f>IFERROR(INDEX(SPPR!$D:$D,MATCH($A189,SPPR!$A:$A,0)),"")</f>
        <v/>
      </c>
      <c r="C189">
        <f>IFERROR(INDEX(Catch!$E:$BV,MATCH($A189,Catch!$A:$A,0),MATCH($B$4,Catch!$E$1:$BV$1,0)),0)</f>
        <v/>
      </c>
      <c r="D189">
        <f>IFERROR($C189*INDEX(SPPR!$E:$X,MATCH($A189,SPPR!$A:$A,0),1),"")</f>
        <v/>
      </c>
      <c r="E189">
        <f>IFERROR($C189*INDEX(SPPR!$E:$X,MATCH($A189,SPPR!$A:$A,0),2),"")</f>
        <v/>
      </c>
      <c r="F189">
        <f>IFERROR($C189*INDEX(SPPR!$E:$X,MATCH($A189,SPPR!$A:$A,0),3),"")</f>
        <v/>
      </c>
      <c r="G189">
        <f>IFERROR($C189*INDEX(SPPR!$E:$X,MATCH($A189,SPPR!$A:$A,0),4),"")</f>
        <v/>
      </c>
      <c r="H189">
        <f>IFERROR($C189*INDEX(SPPR!$E:$X,MATCH($A189,SPPR!$A:$A,0),5),"")</f>
        <v/>
      </c>
      <c r="I189">
        <f>IFERROR($C189*INDEX(SPPR!$E:$X,MATCH($A189,SPPR!$A:$A,0),6),"")</f>
        <v/>
      </c>
      <c r="J189">
        <f>IFERROR($C189*INDEX(SPPR!$E:$X,MATCH($A189,SPPR!$A:$A,0),7),"")</f>
        <v/>
      </c>
      <c r="K189">
        <f>IFERROR($C189*INDEX(SPPR!$E:$X,MATCH($A189,SPPR!$A:$A,0),8),"")</f>
        <v/>
      </c>
      <c r="L189">
        <f>IFERROR($C189*INDEX(SPPR!$E:$X,MATCH($A189,SPPR!$A:$A,0),9),"")</f>
        <v/>
      </c>
      <c r="M189">
        <f>IFERROR($C189*INDEX(SPPR!$E:$X,MATCH($A189,SPPR!$A:$A,0),10),"")</f>
        <v/>
      </c>
      <c r="N189">
        <f>IFERROR($C189*INDEX(SPPR!$E:$X,MATCH($A189,SPPR!$A:$A,0),11),"")</f>
        <v/>
      </c>
      <c r="O189">
        <f>IFERROR($C189*INDEX(SPPR!$E:$X,MATCH($A189,SPPR!$A:$A,0),12),"")</f>
        <v/>
      </c>
      <c r="P189">
        <f>IFERROR($C189*INDEX(SPPR!$E:$X,MATCH($A189,SPPR!$A:$A,0),13),"")</f>
        <v/>
      </c>
      <c r="Q189">
        <f>IFERROR($C189*INDEX(SPPR!$E:$X,MATCH($A189,SPPR!$A:$A,0),14),"")</f>
        <v/>
      </c>
      <c r="R189">
        <f>IFERROR($C189*INDEX(SPPR!$E:$X,MATCH($A189,SPPR!$A:$A,0),15),"")</f>
        <v/>
      </c>
      <c r="S189">
        <f>IFERROR($C189*INDEX(SPPR!$E:$X,MATCH($A189,SPPR!$A:$A,0),16),"")</f>
        <v/>
      </c>
      <c r="T189">
        <f>IFERROR($C189*INDEX(SPPR!$E:$X,MATCH($A189,SPPR!$A:$A,0),17),"")</f>
        <v/>
      </c>
      <c r="U189">
        <f>IFERROR($C189*INDEX(SPPR!$E:$X,MATCH($A189,SPPR!$A:$A,0),18),"")</f>
        <v/>
      </c>
      <c r="V189">
        <f>IFERROR($C189*INDEX(SPPR!$E:$X,MATCH($A189,SPPR!$A:$A,0),19),"")</f>
        <v/>
      </c>
      <c r="W189">
        <f>IFERROR($C189*INDEX(SPPR!$E:$X,MATCH($A189,SPPR!$A:$A,0),20),"")</f>
        <v/>
      </c>
    </row>
    <row r="190">
      <c r="A190" t="inlineStr">
        <is>
          <t>Panulirus longipes</t>
        </is>
      </c>
      <c r="B190">
        <f>IFERROR(INDEX(SPPR!$D:$D,MATCH($A190,SPPR!$A:$A,0)),"")</f>
        <v/>
      </c>
      <c r="C190">
        <f>IFERROR(INDEX(Catch!$E:$BV,MATCH($A190,Catch!$A:$A,0),MATCH($B$4,Catch!$E$1:$BV$1,0)),0)</f>
        <v/>
      </c>
      <c r="D190">
        <f>IFERROR($C190*INDEX(SPPR!$E:$X,MATCH($A190,SPPR!$A:$A,0),1),"")</f>
        <v/>
      </c>
      <c r="E190">
        <f>IFERROR($C190*INDEX(SPPR!$E:$X,MATCH($A190,SPPR!$A:$A,0),2),"")</f>
        <v/>
      </c>
      <c r="F190">
        <f>IFERROR($C190*INDEX(SPPR!$E:$X,MATCH($A190,SPPR!$A:$A,0),3),"")</f>
        <v/>
      </c>
      <c r="G190">
        <f>IFERROR($C190*INDEX(SPPR!$E:$X,MATCH($A190,SPPR!$A:$A,0),4),"")</f>
        <v/>
      </c>
      <c r="H190">
        <f>IFERROR($C190*INDEX(SPPR!$E:$X,MATCH($A190,SPPR!$A:$A,0),5),"")</f>
        <v/>
      </c>
      <c r="I190">
        <f>IFERROR($C190*INDEX(SPPR!$E:$X,MATCH($A190,SPPR!$A:$A,0),6),"")</f>
        <v/>
      </c>
      <c r="J190">
        <f>IFERROR($C190*INDEX(SPPR!$E:$X,MATCH($A190,SPPR!$A:$A,0),7),"")</f>
        <v/>
      </c>
      <c r="K190">
        <f>IFERROR($C190*INDEX(SPPR!$E:$X,MATCH($A190,SPPR!$A:$A,0),8),"")</f>
        <v/>
      </c>
      <c r="L190">
        <f>IFERROR($C190*INDEX(SPPR!$E:$X,MATCH($A190,SPPR!$A:$A,0),9),"")</f>
        <v/>
      </c>
      <c r="M190">
        <f>IFERROR($C190*INDEX(SPPR!$E:$X,MATCH($A190,SPPR!$A:$A,0),10),"")</f>
        <v/>
      </c>
      <c r="N190">
        <f>IFERROR($C190*INDEX(SPPR!$E:$X,MATCH($A190,SPPR!$A:$A,0),11),"")</f>
        <v/>
      </c>
      <c r="O190">
        <f>IFERROR($C190*INDEX(SPPR!$E:$X,MATCH($A190,SPPR!$A:$A,0),12),"")</f>
        <v/>
      </c>
      <c r="P190">
        <f>IFERROR($C190*INDEX(SPPR!$E:$X,MATCH($A190,SPPR!$A:$A,0),13),"")</f>
        <v/>
      </c>
      <c r="Q190">
        <f>IFERROR($C190*INDEX(SPPR!$E:$X,MATCH($A190,SPPR!$A:$A,0),14),"")</f>
        <v/>
      </c>
      <c r="R190">
        <f>IFERROR($C190*INDEX(SPPR!$E:$X,MATCH($A190,SPPR!$A:$A,0),15),"")</f>
        <v/>
      </c>
      <c r="S190">
        <f>IFERROR($C190*INDEX(SPPR!$E:$X,MATCH($A190,SPPR!$A:$A,0),16),"")</f>
        <v/>
      </c>
      <c r="T190">
        <f>IFERROR($C190*INDEX(SPPR!$E:$X,MATCH($A190,SPPR!$A:$A,0),17),"")</f>
        <v/>
      </c>
      <c r="U190">
        <f>IFERROR($C190*INDEX(SPPR!$E:$X,MATCH($A190,SPPR!$A:$A,0),18),"")</f>
        <v/>
      </c>
      <c r="V190">
        <f>IFERROR($C190*INDEX(SPPR!$E:$X,MATCH($A190,SPPR!$A:$A,0),19),"")</f>
        <v/>
      </c>
      <c r="W190">
        <f>IFERROR($C190*INDEX(SPPR!$E:$X,MATCH($A190,SPPR!$A:$A,0),20),"")</f>
        <v/>
      </c>
    </row>
    <row r="191">
      <c r="A191" t="inlineStr">
        <is>
          <t>Sillaginidae</t>
        </is>
      </c>
      <c r="B191">
        <f>IFERROR(INDEX(SPPR!$D:$D,MATCH($A191,SPPR!$A:$A,0)),"")</f>
        <v/>
      </c>
      <c r="C191">
        <f>IFERROR(INDEX(Catch!$E:$BV,MATCH($A191,Catch!$A:$A,0),MATCH($B$4,Catch!$E$1:$BV$1,0)),0)</f>
        <v/>
      </c>
      <c r="D191">
        <f>IFERROR($C191*INDEX(SPPR!$E:$X,MATCH($A191,SPPR!$A:$A,0),1),"")</f>
        <v/>
      </c>
      <c r="E191">
        <f>IFERROR($C191*INDEX(SPPR!$E:$X,MATCH($A191,SPPR!$A:$A,0),2),"")</f>
        <v/>
      </c>
      <c r="F191">
        <f>IFERROR($C191*INDEX(SPPR!$E:$X,MATCH($A191,SPPR!$A:$A,0),3),"")</f>
        <v/>
      </c>
      <c r="G191">
        <f>IFERROR($C191*INDEX(SPPR!$E:$X,MATCH($A191,SPPR!$A:$A,0),4),"")</f>
        <v/>
      </c>
      <c r="H191">
        <f>IFERROR($C191*INDEX(SPPR!$E:$X,MATCH($A191,SPPR!$A:$A,0),5),"")</f>
        <v/>
      </c>
      <c r="I191">
        <f>IFERROR($C191*INDEX(SPPR!$E:$X,MATCH($A191,SPPR!$A:$A,0),6),"")</f>
        <v/>
      </c>
      <c r="J191">
        <f>IFERROR($C191*INDEX(SPPR!$E:$X,MATCH($A191,SPPR!$A:$A,0),7),"")</f>
        <v/>
      </c>
      <c r="K191">
        <f>IFERROR($C191*INDEX(SPPR!$E:$X,MATCH($A191,SPPR!$A:$A,0),8),"")</f>
        <v/>
      </c>
      <c r="L191">
        <f>IFERROR($C191*INDEX(SPPR!$E:$X,MATCH($A191,SPPR!$A:$A,0),9),"")</f>
        <v/>
      </c>
      <c r="M191">
        <f>IFERROR($C191*INDEX(SPPR!$E:$X,MATCH($A191,SPPR!$A:$A,0),10),"")</f>
        <v/>
      </c>
      <c r="N191">
        <f>IFERROR($C191*INDEX(SPPR!$E:$X,MATCH($A191,SPPR!$A:$A,0),11),"")</f>
        <v/>
      </c>
      <c r="O191">
        <f>IFERROR($C191*INDEX(SPPR!$E:$X,MATCH($A191,SPPR!$A:$A,0),12),"")</f>
        <v/>
      </c>
      <c r="P191">
        <f>IFERROR($C191*INDEX(SPPR!$E:$X,MATCH($A191,SPPR!$A:$A,0),13),"")</f>
        <v/>
      </c>
      <c r="Q191">
        <f>IFERROR($C191*INDEX(SPPR!$E:$X,MATCH($A191,SPPR!$A:$A,0),14),"")</f>
        <v/>
      </c>
      <c r="R191">
        <f>IFERROR($C191*INDEX(SPPR!$E:$X,MATCH($A191,SPPR!$A:$A,0),15),"")</f>
        <v/>
      </c>
      <c r="S191">
        <f>IFERROR($C191*INDEX(SPPR!$E:$X,MATCH($A191,SPPR!$A:$A,0),16),"")</f>
        <v/>
      </c>
      <c r="T191">
        <f>IFERROR($C191*INDEX(SPPR!$E:$X,MATCH($A191,SPPR!$A:$A,0),17),"")</f>
        <v/>
      </c>
      <c r="U191">
        <f>IFERROR($C191*INDEX(SPPR!$E:$X,MATCH($A191,SPPR!$A:$A,0),18),"")</f>
        <v/>
      </c>
      <c r="V191">
        <f>IFERROR($C191*INDEX(SPPR!$E:$X,MATCH($A191,SPPR!$A:$A,0),19),"")</f>
        <v/>
      </c>
      <c r="W191">
        <f>IFERROR($C191*INDEX(SPPR!$E:$X,MATCH($A191,SPPR!$A:$A,0),20),"")</f>
        <v/>
      </c>
    </row>
    <row r="192">
      <c r="A192" t="inlineStr">
        <is>
          <t>Lateolabracidae</t>
        </is>
      </c>
      <c r="B192">
        <f>IFERROR(INDEX(SPPR!$D:$D,MATCH($A192,SPPR!$A:$A,0)),"")</f>
        <v/>
      </c>
      <c r="C192">
        <f>IFERROR(INDEX(Catch!$E:$BV,MATCH($A192,Catch!$A:$A,0),MATCH($B$4,Catch!$E$1:$BV$1,0)),0)</f>
        <v/>
      </c>
      <c r="D192">
        <f>IFERROR($C192*INDEX(SPPR!$E:$X,MATCH($A192,SPPR!$A:$A,0),1),"")</f>
        <v/>
      </c>
      <c r="E192">
        <f>IFERROR($C192*INDEX(SPPR!$E:$X,MATCH($A192,SPPR!$A:$A,0),2),"")</f>
        <v/>
      </c>
      <c r="F192">
        <f>IFERROR($C192*INDEX(SPPR!$E:$X,MATCH($A192,SPPR!$A:$A,0),3),"")</f>
        <v/>
      </c>
      <c r="G192">
        <f>IFERROR($C192*INDEX(SPPR!$E:$X,MATCH($A192,SPPR!$A:$A,0),4),"")</f>
        <v/>
      </c>
      <c r="H192">
        <f>IFERROR($C192*INDEX(SPPR!$E:$X,MATCH($A192,SPPR!$A:$A,0),5),"")</f>
        <v/>
      </c>
      <c r="I192">
        <f>IFERROR($C192*INDEX(SPPR!$E:$X,MATCH($A192,SPPR!$A:$A,0),6),"")</f>
        <v/>
      </c>
      <c r="J192">
        <f>IFERROR($C192*INDEX(SPPR!$E:$X,MATCH($A192,SPPR!$A:$A,0),7),"")</f>
        <v/>
      </c>
      <c r="K192">
        <f>IFERROR($C192*INDEX(SPPR!$E:$X,MATCH($A192,SPPR!$A:$A,0),8),"")</f>
        <v/>
      </c>
      <c r="L192">
        <f>IFERROR($C192*INDEX(SPPR!$E:$X,MATCH($A192,SPPR!$A:$A,0),9),"")</f>
        <v/>
      </c>
      <c r="M192">
        <f>IFERROR($C192*INDEX(SPPR!$E:$X,MATCH($A192,SPPR!$A:$A,0),10),"")</f>
        <v/>
      </c>
      <c r="N192">
        <f>IFERROR($C192*INDEX(SPPR!$E:$X,MATCH($A192,SPPR!$A:$A,0),11),"")</f>
        <v/>
      </c>
      <c r="O192">
        <f>IFERROR($C192*INDEX(SPPR!$E:$X,MATCH($A192,SPPR!$A:$A,0),12),"")</f>
        <v/>
      </c>
      <c r="P192">
        <f>IFERROR($C192*INDEX(SPPR!$E:$X,MATCH($A192,SPPR!$A:$A,0),13),"")</f>
        <v/>
      </c>
      <c r="Q192">
        <f>IFERROR($C192*INDEX(SPPR!$E:$X,MATCH($A192,SPPR!$A:$A,0),14),"")</f>
        <v/>
      </c>
      <c r="R192">
        <f>IFERROR($C192*INDEX(SPPR!$E:$X,MATCH($A192,SPPR!$A:$A,0),15),"")</f>
        <v/>
      </c>
      <c r="S192">
        <f>IFERROR($C192*INDEX(SPPR!$E:$X,MATCH($A192,SPPR!$A:$A,0),16),"")</f>
        <v/>
      </c>
      <c r="T192">
        <f>IFERROR($C192*INDEX(SPPR!$E:$X,MATCH($A192,SPPR!$A:$A,0),17),"")</f>
        <v/>
      </c>
      <c r="U192">
        <f>IFERROR($C192*INDEX(SPPR!$E:$X,MATCH($A192,SPPR!$A:$A,0),18),"")</f>
        <v/>
      </c>
      <c r="V192">
        <f>IFERROR($C192*INDEX(SPPR!$E:$X,MATCH($A192,SPPR!$A:$A,0),19),"")</f>
        <v/>
      </c>
      <c r="W192">
        <f>IFERROR($C192*INDEX(SPPR!$E:$X,MATCH($A192,SPPR!$A:$A,0),20),"")</f>
        <v/>
      </c>
    </row>
    <row r="193">
      <c r="A193" t="inlineStr">
        <is>
          <t>Ammodytes</t>
        </is>
      </c>
      <c r="B193">
        <f>IFERROR(INDEX(SPPR!$D:$D,MATCH($A193,SPPR!$A:$A,0)),"")</f>
        <v/>
      </c>
      <c r="C193">
        <f>IFERROR(INDEX(Catch!$E:$BV,MATCH($A193,Catch!$A:$A,0),MATCH($B$4,Catch!$E$1:$BV$1,0)),0)</f>
        <v/>
      </c>
      <c r="D193">
        <f>IFERROR($C193*INDEX(SPPR!$E:$X,MATCH($A193,SPPR!$A:$A,0),1),"")</f>
        <v/>
      </c>
      <c r="E193">
        <f>IFERROR($C193*INDEX(SPPR!$E:$X,MATCH($A193,SPPR!$A:$A,0),2),"")</f>
        <v/>
      </c>
      <c r="F193">
        <f>IFERROR($C193*INDEX(SPPR!$E:$X,MATCH($A193,SPPR!$A:$A,0),3),"")</f>
        <v/>
      </c>
      <c r="G193">
        <f>IFERROR($C193*INDEX(SPPR!$E:$X,MATCH($A193,SPPR!$A:$A,0),4),"")</f>
        <v/>
      </c>
      <c r="H193">
        <f>IFERROR($C193*INDEX(SPPR!$E:$X,MATCH($A193,SPPR!$A:$A,0),5),"")</f>
        <v/>
      </c>
      <c r="I193">
        <f>IFERROR($C193*INDEX(SPPR!$E:$X,MATCH($A193,SPPR!$A:$A,0),6),"")</f>
        <v/>
      </c>
      <c r="J193">
        <f>IFERROR($C193*INDEX(SPPR!$E:$X,MATCH($A193,SPPR!$A:$A,0),7),"")</f>
        <v/>
      </c>
      <c r="K193">
        <f>IFERROR($C193*INDEX(SPPR!$E:$X,MATCH($A193,SPPR!$A:$A,0),8),"")</f>
        <v/>
      </c>
      <c r="L193">
        <f>IFERROR($C193*INDEX(SPPR!$E:$X,MATCH($A193,SPPR!$A:$A,0),9),"")</f>
        <v/>
      </c>
      <c r="M193">
        <f>IFERROR($C193*INDEX(SPPR!$E:$X,MATCH($A193,SPPR!$A:$A,0),10),"")</f>
        <v/>
      </c>
      <c r="N193">
        <f>IFERROR($C193*INDEX(SPPR!$E:$X,MATCH($A193,SPPR!$A:$A,0),11),"")</f>
        <v/>
      </c>
      <c r="O193">
        <f>IFERROR($C193*INDEX(SPPR!$E:$X,MATCH($A193,SPPR!$A:$A,0),12),"")</f>
        <v/>
      </c>
      <c r="P193">
        <f>IFERROR($C193*INDEX(SPPR!$E:$X,MATCH($A193,SPPR!$A:$A,0),13),"")</f>
        <v/>
      </c>
      <c r="Q193">
        <f>IFERROR($C193*INDEX(SPPR!$E:$X,MATCH($A193,SPPR!$A:$A,0),14),"")</f>
        <v/>
      </c>
      <c r="R193">
        <f>IFERROR($C193*INDEX(SPPR!$E:$X,MATCH($A193,SPPR!$A:$A,0),15),"")</f>
        <v/>
      </c>
      <c r="S193">
        <f>IFERROR($C193*INDEX(SPPR!$E:$X,MATCH($A193,SPPR!$A:$A,0),16),"")</f>
        <v/>
      </c>
      <c r="T193">
        <f>IFERROR($C193*INDEX(SPPR!$E:$X,MATCH($A193,SPPR!$A:$A,0),17),"")</f>
        <v/>
      </c>
      <c r="U193">
        <f>IFERROR($C193*INDEX(SPPR!$E:$X,MATCH($A193,SPPR!$A:$A,0),18),"")</f>
        <v/>
      </c>
      <c r="V193">
        <f>IFERROR($C193*INDEX(SPPR!$E:$X,MATCH($A193,SPPR!$A:$A,0),19),"")</f>
        <v/>
      </c>
      <c r="W193">
        <f>IFERROR($C193*INDEX(SPPR!$E:$X,MATCH($A193,SPPR!$A:$A,0),20),"")</f>
        <v/>
      </c>
    </row>
    <row r="194">
      <c r="A194" t="inlineStr">
        <is>
          <t>Cypselurus</t>
        </is>
      </c>
      <c r="B194">
        <f>IFERROR(INDEX(SPPR!$D:$D,MATCH($A194,SPPR!$A:$A,0)),"")</f>
        <v/>
      </c>
      <c r="C194">
        <f>IFERROR(INDEX(Catch!$E:$BV,MATCH($A194,Catch!$A:$A,0),MATCH($B$4,Catch!$E$1:$BV$1,0)),0)</f>
        <v/>
      </c>
      <c r="D194">
        <f>IFERROR($C194*INDEX(SPPR!$E:$X,MATCH($A194,SPPR!$A:$A,0),1),"")</f>
        <v/>
      </c>
      <c r="E194">
        <f>IFERROR($C194*INDEX(SPPR!$E:$X,MATCH($A194,SPPR!$A:$A,0),2),"")</f>
        <v/>
      </c>
      <c r="F194">
        <f>IFERROR($C194*INDEX(SPPR!$E:$X,MATCH($A194,SPPR!$A:$A,0),3),"")</f>
        <v/>
      </c>
      <c r="G194">
        <f>IFERROR($C194*INDEX(SPPR!$E:$X,MATCH($A194,SPPR!$A:$A,0),4),"")</f>
        <v/>
      </c>
      <c r="H194">
        <f>IFERROR($C194*INDEX(SPPR!$E:$X,MATCH($A194,SPPR!$A:$A,0),5),"")</f>
        <v/>
      </c>
      <c r="I194">
        <f>IFERROR($C194*INDEX(SPPR!$E:$X,MATCH($A194,SPPR!$A:$A,0),6),"")</f>
        <v/>
      </c>
      <c r="J194">
        <f>IFERROR($C194*INDEX(SPPR!$E:$X,MATCH($A194,SPPR!$A:$A,0),7),"")</f>
        <v/>
      </c>
      <c r="K194">
        <f>IFERROR($C194*INDEX(SPPR!$E:$X,MATCH($A194,SPPR!$A:$A,0),8),"")</f>
        <v/>
      </c>
      <c r="L194">
        <f>IFERROR($C194*INDEX(SPPR!$E:$X,MATCH($A194,SPPR!$A:$A,0),9),"")</f>
        <v/>
      </c>
      <c r="M194">
        <f>IFERROR($C194*INDEX(SPPR!$E:$X,MATCH($A194,SPPR!$A:$A,0),10),"")</f>
        <v/>
      </c>
      <c r="N194">
        <f>IFERROR($C194*INDEX(SPPR!$E:$X,MATCH($A194,SPPR!$A:$A,0),11),"")</f>
        <v/>
      </c>
      <c r="O194">
        <f>IFERROR($C194*INDEX(SPPR!$E:$X,MATCH($A194,SPPR!$A:$A,0),12),"")</f>
        <v/>
      </c>
      <c r="P194">
        <f>IFERROR($C194*INDEX(SPPR!$E:$X,MATCH($A194,SPPR!$A:$A,0),13),"")</f>
        <v/>
      </c>
      <c r="Q194">
        <f>IFERROR($C194*INDEX(SPPR!$E:$X,MATCH($A194,SPPR!$A:$A,0),14),"")</f>
        <v/>
      </c>
      <c r="R194">
        <f>IFERROR($C194*INDEX(SPPR!$E:$X,MATCH($A194,SPPR!$A:$A,0),15),"")</f>
        <v/>
      </c>
      <c r="S194">
        <f>IFERROR($C194*INDEX(SPPR!$E:$X,MATCH($A194,SPPR!$A:$A,0),16),"")</f>
        <v/>
      </c>
      <c r="T194">
        <f>IFERROR($C194*INDEX(SPPR!$E:$X,MATCH($A194,SPPR!$A:$A,0),17),"")</f>
        <v/>
      </c>
      <c r="U194">
        <f>IFERROR($C194*INDEX(SPPR!$E:$X,MATCH($A194,SPPR!$A:$A,0),18),"")</f>
        <v/>
      </c>
      <c r="V194">
        <f>IFERROR($C194*INDEX(SPPR!$E:$X,MATCH($A194,SPPR!$A:$A,0),19),"")</f>
        <v/>
      </c>
      <c r="W194">
        <f>IFERROR($C194*INDEX(SPPR!$E:$X,MATCH($A194,SPPR!$A:$A,0),20),"")</f>
        <v/>
      </c>
    </row>
    <row r="195">
      <c r="A195" t="inlineStr">
        <is>
          <t>Gymnocranius</t>
        </is>
      </c>
      <c r="B195">
        <f>IFERROR(INDEX(SPPR!$D:$D,MATCH($A195,SPPR!$A:$A,0)),"")</f>
        <v/>
      </c>
      <c r="C195">
        <f>IFERROR(INDEX(Catch!$E:$BV,MATCH($A195,Catch!$A:$A,0),MATCH($B$4,Catch!$E$1:$BV$1,0)),0)</f>
        <v/>
      </c>
      <c r="D195">
        <f>IFERROR($C195*INDEX(SPPR!$E:$X,MATCH($A195,SPPR!$A:$A,0),1),"")</f>
        <v/>
      </c>
      <c r="E195">
        <f>IFERROR($C195*INDEX(SPPR!$E:$X,MATCH($A195,SPPR!$A:$A,0),2),"")</f>
        <v/>
      </c>
      <c r="F195">
        <f>IFERROR($C195*INDEX(SPPR!$E:$X,MATCH($A195,SPPR!$A:$A,0),3),"")</f>
        <v/>
      </c>
      <c r="G195">
        <f>IFERROR($C195*INDEX(SPPR!$E:$X,MATCH($A195,SPPR!$A:$A,0),4),"")</f>
        <v/>
      </c>
      <c r="H195">
        <f>IFERROR($C195*INDEX(SPPR!$E:$X,MATCH($A195,SPPR!$A:$A,0),5),"")</f>
        <v/>
      </c>
      <c r="I195">
        <f>IFERROR($C195*INDEX(SPPR!$E:$X,MATCH($A195,SPPR!$A:$A,0),6),"")</f>
        <v/>
      </c>
      <c r="J195">
        <f>IFERROR($C195*INDEX(SPPR!$E:$X,MATCH($A195,SPPR!$A:$A,0),7),"")</f>
        <v/>
      </c>
      <c r="K195">
        <f>IFERROR($C195*INDEX(SPPR!$E:$X,MATCH($A195,SPPR!$A:$A,0),8),"")</f>
        <v/>
      </c>
      <c r="L195">
        <f>IFERROR($C195*INDEX(SPPR!$E:$X,MATCH($A195,SPPR!$A:$A,0),9),"")</f>
        <v/>
      </c>
      <c r="M195">
        <f>IFERROR($C195*INDEX(SPPR!$E:$X,MATCH($A195,SPPR!$A:$A,0),10),"")</f>
        <v/>
      </c>
      <c r="N195">
        <f>IFERROR($C195*INDEX(SPPR!$E:$X,MATCH($A195,SPPR!$A:$A,0),11),"")</f>
        <v/>
      </c>
      <c r="O195">
        <f>IFERROR($C195*INDEX(SPPR!$E:$X,MATCH($A195,SPPR!$A:$A,0),12),"")</f>
        <v/>
      </c>
      <c r="P195">
        <f>IFERROR($C195*INDEX(SPPR!$E:$X,MATCH($A195,SPPR!$A:$A,0),13),"")</f>
        <v/>
      </c>
      <c r="Q195">
        <f>IFERROR($C195*INDEX(SPPR!$E:$X,MATCH($A195,SPPR!$A:$A,0),14),"")</f>
        <v/>
      </c>
      <c r="R195">
        <f>IFERROR($C195*INDEX(SPPR!$E:$X,MATCH($A195,SPPR!$A:$A,0),15),"")</f>
        <v/>
      </c>
      <c r="S195">
        <f>IFERROR($C195*INDEX(SPPR!$E:$X,MATCH($A195,SPPR!$A:$A,0),16),"")</f>
        <v/>
      </c>
      <c r="T195">
        <f>IFERROR($C195*INDEX(SPPR!$E:$X,MATCH($A195,SPPR!$A:$A,0),17),"")</f>
        <v/>
      </c>
      <c r="U195">
        <f>IFERROR($C195*INDEX(SPPR!$E:$X,MATCH($A195,SPPR!$A:$A,0),18),"")</f>
        <v/>
      </c>
      <c r="V195">
        <f>IFERROR($C195*INDEX(SPPR!$E:$X,MATCH($A195,SPPR!$A:$A,0),19),"")</f>
        <v/>
      </c>
      <c r="W195">
        <f>IFERROR($C195*INDEX(SPPR!$E:$X,MATCH($A195,SPPR!$A:$A,0),20),"")</f>
        <v/>
      </c>
    </row>
    <row r="196">
      <c r="A196" t="inlineStr">
        <is>
          <t>Muraenidae</t>
        </is>
      </c>
      <c r="B196">
        <f>IFERROR(INDEX(SPPR!$D:$D,MATCH($A196,SPPR!$A:$A,0)),"")</f>
        <v/>
      </c>
      <c r="C196">
        <f>IFERROR(INDEX(Catch!$E:$BV,MATCH($A196,Catch!$A:$A,0),MATCH($B$4,Catch!$E$1:$BV$1,0)),0)</f>
        <v/>
      </c>
      <c r="D196">
        <f>IFERROR($C196*INDEX(SPPR!$E:$X,MATCH($A196,SPPR!$A:$A,0),1),"")</f>
        <v/>
      </c>
      <c r="E196">
        <f>IFERROR($C196*INDEX(SPPR!$E:$X,MATCH($A196,SPPR!$A:$A,0),2),"")</f>
        <v/>
      </c>
      <c r="F196">
        <f>IFERROR($C196*INDEX(SPPR!$E:$X,MATCH($A196,SPPR!$A:$A,0),3),"")</f>
        <v/>
      </c>
      <c r="G196">
        <f>IFERROR($C196*INDEX(SPPR!$E:$X,MATCH($A196,SPPR!$A:$A,0),4),"")</f>
        <v/>
      </c>
      <c r="H196">
        <f>IFERROR($C196*INDEX(SPPR!$E:$X,MATCH($A196,SPPR!$A:$A,0),5),"")</f>
        <v/>
      </c>
      <c r="I196">
        <f>IFERROR($C196*INDEX(SPPR!$E:$X,MATCH($A196,SPPR!$A:$A,0),6),"")</f>
        <v/>
      </c>
      <c r="J196">
        <f>IFERROR($C196*INDEX(SPPR!$E:$X,MATCH($A196,SPPR!$A:$A,0),7),"")</f>
        <v/>
      </c>
      <c r="K196">
        <f>IFERROR($C196*INDEX(SPPR!$E:$X,MATCH($A196,SPPR!$A:$A,0),8),"")</f>
        <v/>
      </c>
      <c r="L196">
        <f>IFERROR($C196*INDEX(SPPR!$E:$X,MATCH($A196,SPPR!$A:$A,0),9),"")</f>
        <v/>
      </c>
      <c r="M196">
        <f>IFERROR($C196*INDEX(SPPR!$E:$X,MATCH($A196,SPPR!$A:$A,0),10),"")</f>
        <v/>
      </c>
      <c r="N196">
        <f>IFERROR($C196*INDEX(SPPR!$E:$X,MATCH($A196,SPPR!$A:$A,0),11),"")</f>
        <v/>
      </c>
      <c r="O196">
        <f>IFERROR($C196*INDEX(SPPR!$E:$X,MATCH($A196,SPPR!$A:$A,0),12),"")</f>
        <v/>
      </c>
      <c r="P196">
        <f>IFERROR($C196*INDEX(SPPR!$E:$X,MATCH($A196,SPPR!$A:$A,0),13),"")</f>
        <v/>
      </c>
      <c r="Q196">
        <f>IFERROR($C196*INDEX(SPPR!$E:$X,MATCH($A196,SPPR!$A:$A,0),14),"")</f>
        <v/>
      </c>
      <c r="R196">
        <f>IFERROR($C196*INDEX(SPPR!$E:$X,MATCH($A196,SPPR!$A:$A,0),15),"")</f>
        <v/>
      </c>
      <c r="S196">
        <f>IFERROR($C196*INDEX(SPPR!$E:$X,MATCH($A196,SPPR!$A:$A,0),16),"")</f>
        <v/>
      </c>
      <c r="T196">
        <f>IFERROR($C196*INDEX(SPPR!$E:$X,MATCH($A196,SPPR!$A:$A,0),17),"")</f>
        <v/>
      </c>
      <c r="U196">
        <f>IFERROR($C196*INDEX(SPPR!$E:$X,MATCH($A196,SPPR!$A:$A,0),18),"")</f>
        <v/>
      </c>
      <c r="V196">
        <f>IFERROR($C196*INDEX(SPPR!$E:$X,MATCH($A196,SPPR!$A:$A,0),19),"")</f>
        <v/>
      </c>
      <c r="W196">
        <f>IFERROR($C196*INDEX(SPPR!$E:$X,MATCH($A196,SPPR!$A:$A,0),20),"")</f>
        <v/>
      </c>
    </row>
    <row r="197">
      <c r="A197" t="inlineStr">
        <is>
          <t>Ibacus ciliatus</t>
        </is>
      </c>
      <c r="B197">
        <f>IFERROR(INDEX(SPPR!$D:$D,MATCH($A197,SPPR!$A:$A,0)),"")</f>
        <v/>
      </c>
      <c r="C197">
        <f>IFERROR(INDEX(Catch!$E:$BV,MATCH($A197,Catch!$A:$A,0),MATCH($B$4,Catch!$E$1:$BV$1,0)),0)</f>
        <v/>
      </c>
      <c r="D197">
        <f>IFERROR($C197*INDEX(SPPR!$E:$X,MATCH($A197,SPPR!$A:$A,0),1),"")</f>
        <v/>
      </c>
      <c r="E197">
        <f>IFERROR($C197*INDEX(SPPR!$E:$X,MATCH($A197,SPPR!$A:$A,0),2),"")</f>
        <v/>
      </c>
      <c r="F197">
        <f>IFERROR($C197*INDEX(SPPR!$E:$X,MATCH($A197,SPPR!$A:$A,0),3),"")</f>
        <v/>
      </c>
      <c r="G197">
        <f>IFERROR($C197*INDEX(SPPR!$E:$X,MATCH($A197,SPPR!$A:$A,0),4),"")</f>
        <v/>
      </c>
      <c r="H197">
        <f>IFERROR($C197*INDEX(SPPR!$E:$X,MATCH($A197,SPPR!$A:$A,0),5),"")</f>
        <v/>
      </c>
      <c r="I197">
        <f>IFERROR($C197*INDEX(SPPR!$E:$X,MATCH($A197,SPPR!$A:$A,0),6),"")</f>
        <v/>
      </c>
      <c r="J197">
        <f>IFERROR($C197*INDEX(SPPR!$E:$X,MATCH($A197,SPPR!$A:$A,0),7),"")</f>
        <v/>
      </c>
      <c r="K197">
        <f>IFERROR($C197*INDEX(SPPR!$E:$X,MATCH($A197,SPPR!$A:$A,0),8),"")</f>
        <v/>
      </c>
      <c r="L197">
        <f>IFERROR($C197*INDEX(SPPR!$E:$X,MATCH($A197,SPPR!$A:$A,0),9),"")</f>
        <v/>
      </c>
      <c r="M197">
        <f>IFERROR($C197*INDEX(SPPR!$E:$X,MATCH($A197,SPPR!$A:$A,0),10),"")</f>
        <v/>
      </c>
      <c r="N197">
        <f>IFERROR($C197*INDEX(SPPR!$E:$X,MATCH($A197,SPPR!$A:$A,0),11),"")</f>
        <v/>
      </c>
      <c r="O197">
        <f>IFERROR($C197*INDEX(SPPR!$E:$X,MATCH($A197,SPPR!$A:$A,0),12),"")</f>
        <v/>
      </c>
      <c r="P197">
        <f>IFERROR($C197*INDEX(SPPR!$E:$X,MATCH($A197,SPPR!$A:$A,0),13),"")</f>
        <v/>
      </c>
      <c r="Q197">
        <f>IFERROR($C197*INDEX(SPPR!$E:$X,MATCH($A197,SPPR!$A:$A,0),14),"")</f>
        <v/>
      </c>
      <c r="R197">
        <f>IFERROR($C197*INDEX(SPPR!$E:$X,MATCH($A197,SPPR!$A:$A,0),15),"")</f>
        <v/>
      </c>
      <c r="S197">
        <f>IFERROR($C197*INDEX(SPPR!$E:$X,MATCH($A197,SPPR!$A:$A,0),16),"")</f>
        <v/>
      </c>
      <c r="T197">
        <f>IFERROR($C197*INDEX(SPPR!$E:$X,MATCH($A197,SPPR!$A:$A,0),17),"")</f>
        <v/>
      </c>
      <c r="U197">
        <f>IFERROR($C197*INDEX(SPPR!$E:$X,MATCH($A197,SPPR!$A:$A,0),18),"")</f>
        <v/>
      </c>
      <c r="V197">
        <f>IFERROR($C197*INDEX(SPPR!$E:$X,MATCH($A197,SPPR!$A:$A,0),19),"")</f>
        <v/>
      </c>
      <c r="W197">
        <f>IFERROR($C197*INDEX(SPPR!$E:$X,MATCH($A197,SPPR!$A:$A,0),20),"")</f>
        <v/>
      </c>
    </row>
    <row r="198">
      <c r="A198" t="inlineStr">
        <is>
          <t>Scylla serrata</t>
        </is>
      </c>
      <c r="B198">
        <f>IFERROR(INDEX(SPPR!$D:$D,MATCH($A198,SPPR!$A:$A,0)),"")</f>
        <v/>
      </c>
      <c r="C198">
        <f>IFERROR(INDEX(Catch!$E:$BV,MATCH($A198,Catch!$A:$A,0),MATCH($B$4,Catch!$E$1:$BV$1,0)),0)</f>
        <v/>
      </c>
      <c r="D198">
        <f>IFERROR($C198*INDEX(SPPR!$E:$X,MATCH($A198,SPPR!$A:$A,0),1),"")</f>
        <v/>
      </c>
      <c r="E198">
        <f>IFERROR($C198*INDEX(SPPR!$E:$X,MATCH($A198,SPPR!$A:$A,0),2),"")</f>
        <v/>
      </c>
      <c r="F198">
        <f>IFERROR($C198*INDEX(SPPR!$E:$X,MATCH($A198,SPPR!$A:$A,0),3),"")</f>
        <v/>
      </c>
      <c r="G198">
        <f>IFERROR($C198*INDEX(SPPR!$E:$X,MATCH($A198,SPPR!$A:$A,0),4),"")</f>
        <v/>
      </c>
      <c r="H198">
        <f>IFERROR($C198*INDEX(SPPR!$E:$X,MATCH($A198,SPPR!$A:$A,0),5),"")</f>
        <v/>
      </c>
      <c r="I198">
        <f>IFERROR($C198*INDEX(SPPR!$E:$X,MATCH($A198,SPPR!$A:$A,0),6),"")</f>
        <v/>
      </c>
      <c r="J198">
        <f>IFERROR($C198*INDEX(SPPR!$E:$X,MATCH($A198,SPPR!$A:$A,0),7),"")</f>
        <v/>
      </c>
      <c r="K198">
        <f>IFERROR($C198*INDEX(SPPR!$E:$X,MATCH($A198,SPPR!$A:$A,0),8),"")</f>
        <v/>
      </c>
      <c r="L198">
        <f>IFERROR($C198*INDEX(SPPR!$E:$X,MATCH($A198,SPPR!$A:$A,0),9),"")</f>
        <v/>
      </c>
      <c r="M198">
        <f>IFERROR($C198*INDEX(SPPR!$E:$X,MATCH($A198,SPPR!$A:$A,0),10),"")</f>
        <v/>
      </c>
      <c r="N198">
        <f>IFERROR($C198*INDEX(SPPR!$E:$X,MATCH($A198,SPPR!$A:$A,0),11),"")</f>
        <v/>
      </c>
      <c r="O198">
        <f>IFERROR($C198*INDEX(SPPR!$E:$X,MATCH($A198,SPPR!$A:$A,0),12),"")</f>
        <v/>
      </c>
      <c r="P198">
        <f>IFERROR($C198*INDEX(SPPR!$E:$X,MATCH($A198,SPPR!$A:$A,0),13),"")</f>
        <v/>
      </c>
      <c r="Q198">
        <f>IFERROR($C198*INDEX(SPPR!$E:$X,MATCH($A198,SPPR!$A:$A,0),14),"")</f>
        <v/>
      </c>
      <c r="R198">
        <f>IFERROR($C198*INDEX(SPPR!$E:$X,MATCH($A198,SPPR!$A:$A,0),15),"")</f>
        <v/>
      </c>
      <c r="S198">
        <f>IFERROR($C198*INDEX(SPPR!$E:$X,MATCH($A198,SPPR!$A:$A,0),16),"")</f>
        <v/>
      </c>
      <c r="T198">
        <f>IFERROR($C198*INDEX(SPPR!$E:$X,MATCH($A198,SPPR!$A:$A,0),17),"")</f>
        <v/>
      </c>
      <c r="U198">
        <f>IFERROR($C198*INDEX(SPPR!$E:$X,MATCH($A198,SPPR!$A:$A,0),18),"")</f>
        <v/>
      </c>
      <c r="V198">
        <f>IFERROR($C198*INDEX(SPPR!$E:$X,MATCH($A198,SPPR!$A:$A,0),19),"")</f>
        <v/>
      </c>
      <c r="W198">
        <f>IFERROR($C198*INDEX(SPPR!$E:$X,MATCH($A198,SPPR!$A:$A,0),20),"")</f>
        <v/>
      </c>
    </row>
    <row r="199">
      <c r="A199" t="inlineStr">
        <is>
          <t>Istiophoridae</t>
        </is>
      </c>
      <c r="B199">
        <f>IFERROR(INDEX(SPPR!$D:$D,MATCH($A199,SPPR!$A:$A,0)),"")</f>
        <v/>
      </c>
      <c r="C199">
        <f>IFERROR(INDEX(Catch!$E:$BV,MATCH($A199,Catch!$A:$A,0),MATCH($B$4,Catch!$E$1:$BV$1,0)),0)</f>
        <v/>
      </c>
      <c r="D199">
        <f>IFERROR($C199*INDEX(SPPR!$E:$X,MATCH($A199,SPPR!$A:$A,0),1),"")</f>
        <v/>
      </c>
      <c r="E199">
        <f>IFERROR($C199*INDEX(SPPR!$E:$X,MATCH($A199,SPPR!$A:$A,0),2),"")</f>
        <v/>
      </c>
      <c r="F199">
        <f>IFERROR($C199*INDEX(SPPR!$E:$X,MATCH($A199,SPPR!$A:$A,0),3),"")</f>
        <v/>
      </c>
      <c r="G199">
        <f>IFERROR($C199*INDEX(SPPR!$E:$X,MATCH($A199,SPPR!$A:$A,0),4),"")</f>
        <v/>
      </c>
      <c r="H199">
        <f>IFERROR($C199*INDEX(SPPR!$E:$X,MATCH($A199,SPPR!$A:$A,0),5),"")</f>
        <v/>
      </c>
      <c r="I199">
        <f>IFERROR($C199*INDEX(SPPR!$E:$X,MATCH($A199,SPPR!$A:$A,0),6),"")</f>
        <v/>
      </c>
      <c r="J199">
        <f>IFERROR($C199*INDEX(SPPR!$E:$X,MATCH($A199,SPPR!$A:$A,0),7),"")</f>
        <v/>
      </c>
      <c r="K199">
        <f>IFERROR($C199*INDEX(SPPR!$E:$X,MATCH($A199,SPPR!$A:$A,0),8),"")</f>
        <v/>
      </c>
      <c r="L199">
        <f>IFERROR($C199*INDEX(SPPR!$E:$X,MATCH($A199,SPPR!$A:$A,0),9),"")</f>
        <v/>
      </c>
      <c r="M199">
        <f>IFERROR($C199*INDEX(SPPR!$E:$X,MATCH($A199,SPPR!$A:$A,0),10),"")</f>
        <v/>
      </c>
      <c r="N199">
        <f>IFERROR($C199*INDEX(SPPR!$E:$X,MATCH($A199,SPPR!$A:$A,0),11),"")</f>
        <v/>
      </c>
      <c r="O199">
        <f>IFERROR($C199*INDEX(SPPR!$E:$X,MATCH($A199,SPPR!$A:$A,0),12),"")</f>
        <v/>
      </c>
      <c r="P199">
        <f>IFERROR($C199*INDEX(SPPR!$E:$X,MATCH($A199,SPPR!$A:$A,0),13),"")</f>
        <v/>
      </c>
      <c r="Q199">
        <f>IFERROR($C199*INDEX(SPPR!$E:$X,MATCH($A199,SPPR!$A:$A,0),14),"")</f>
        <v/>
      </c>
      <c r="R199">
        <f>IFERROR($C199*INDEX(SPPR!$E:$X,MATCH($A199,SPPR!$A:$A,0),15),"")</f>
        <v/>
      </c>
      <c r="S199">
        <f>IFERROR($C199*INDEX(SPPR!$E:$X,MATCH($A199,SPPR!$A:$A,0),16),"")</f>
        <v/>
      </c>
      <c r="T199">
        <f>IFERROR($C199*INDEX(SPPR!$E:$X,MATCH($A199,SPPR!$A:$A,0),17),"")</f>
        <v/>
      </c>
      <c r="U199">
        <f>IFERROR($C199*INDEX(SPPR!$E:$X,MATCH($A199,SPPR!$A:$A,0),18),"")</f>
        <v/>
      </c>
      <c r="V199">
        <f>IFERROR($C199*INDEX(SPPR!$E:$X,MATCH($A199,SPPR!$A:$A,0),19),"")</f>
        <v/>
      </c>
      <c r="W199">
        <f>IFERROR($C199*INDEX(SPPR!$E:$X,MATCH($A199,SPPR!$A:$A,0),20),"")</f>
        <v/>
      </c>
    </row>
    <row r="200">
      <c r="A200" t="inlineStr">
        <is>
          <t>Megalaspis cordyla</t>
        </is>
      </c>
      <c r="B200">
        <f>IFERROR(INDEX(SPPR!$D:$D,MATCH($A200,SPPR!$A:$A,0)),"")</f>
        <v/>
      </c>
      <c r="C200">
        <f>IFERROR(INDEX(Catch!$E:$BV,MATCH($A200,Catch!$A:$A,0),MATCH($B$4,Catch!$E$1:$BV$1,0)),0)</f>
        <v/>
      </c>
      <c r="D200">
        <f>IFERROR($C200*INDEX(SPPR!$E:$X,MATCH($A200,SPPR!$A:$A,0),1),"")</f>
        <v/>
      </c>
      <c r="E200">
        <f>IFERROR($C200*INDEX(SPPR!$E:$X,MATCH($A200,SPPR!$A:$A,0),2),"")</f>
        <v/>
      </c>
      <c r="F200">
        <f>IFERROR($C200*INDEX(SPPR!$E:$X,MATCH($A200,SPPR!$A:$A,0),3),"")</f>
        <v/>
      </c>
      <c r="G200">
        <f>IFERROR($C200*INDEX(SPPR!$E:$X,MATCH($A200,SPPR!$A:$A,0),4),"")</f>
        <v/>
      </c>
      <c r="H200">
        <f>IFERROR($C200*INDEX(SPPR!$E:$X,MATCH($A200,SPPR!$A:$A,0),5),"")</f>
        <v/>
      </c>
      <c r="I200">
        <f>IFERROR($C200*INDEX(SPPR!$E:$X,MATCH($A200,SPPR!$A:$A,0),6),"")</f>
        <v/>
      </c>
      <c r="J200">
        <f>IFERROR($C200*INDEX(SPPR!$E:$X,MATCH($A200,SPPR!$A:$A,0),7),"")</f>
        <v/>
      </c>
      <c r="K200">
        <f>IFERROR($C200*INDEX(SPPR!$E:$X,MATCH($A200,SPPR!$A:$A,0),8),"")</f>
        <v/>
      </c>
      <c r="L200">
        <f>IFERROR($C200*INDEX(SPPR!$E:$X,MATCH($A200,SPPR!$A:$A,0),9),"")</f>
        <v/>
      </c>
      <c r="M200">
        <f>IFERROR($C200*INDEX(SPPR!$E:$X,MATCH($A200,SPPR!$A:$A,0),10),"")</f>
        <v/>
      </c>
      <c r="N200">
        <f>IFERROR($C200*INDEX(SPPR!$E:$X,MATCH($A200,SPPR!$A:$A,0),11),"")</f>
        <v/>
      </c>
      <c r="O200">
        <f>IFERROR($C200*INDEX(SPPR!$E:$X,MATCH($A200,SPPR!$A:$A,0),12),"")</f>
        <v/>
      </c>
      <c r="P200">
        <f>IFERROR($C200*INDEX(SPPR!$E:$X,MATCH($A200,SPPR!$A:$A,0),13),"")</f>
        <v/>
      </c>
      <c r="Q200">
        <f>IFERROR($C200*INDEX(SPPR!$E:$X,MATCH($A200,SPPR!$A:$A,0),14),"")</f>
        <v/>
      </c>
      <c r="R200">
        <f>IFERROR($C200*INDEX(SPPR!$E:$X,MATCH($A200,SPPR!$A:$A,0),15),"")</f>
        <v/>
      </c>
      <c r="S200">
        <f>IFERROR($C200*INDEX(SPPR!$E:$X,MATCH($A200,SPPR!$A:$A,0),16),"")</f>
        <v/>
      </c>
      <c r="T200">
        <f>IFERROR($C200*INDEX(SPPR!$E:$X,MATCH($A200,SPPR!$A:$A,0),17),"")</f>
        <v/>
      </c>
      <c r="U200">
        <f>IFERROR($C200*INDEX(SPPR!$E:$X,MATCH($A200,SPPR!$A:$A,0),18),"")</f>
        <v/>
      </c>
      <c r="V200">
        <f>IFERROR($C200*INDEX(SPPR!$E:$X,MATCH($A200,SPPR!$A:$A,0),19),"")</f>
        <v/>
      </c>
      <c r="W200">
        <f>IFERROR($C200*INDEX(SPPR!$E:$X,MATCH($A200,SPPR!$A:$A,0),20),"")</f>
        <v/>
      </c>
    </row>
    <row r="201">
      <c r="A201" t="inlineStr">
        <is>
          <t>Hexagrammos otakii</t>
        </is>
      </c>
      <c r="B201">
        <f>IFERROR(INDEX(SPPR!$D:$D,MATCH($A201,SPPR!$A:$A,0)),"")</f>
        <v/>
      </c>
      <c r="C201">
        <f>IFERROR(INDEX(Catch!$E:$BV,MATCH($A201,Catch!$A:$A,0),MATCH($B$4,Catch!$E$1:$BV$1,0)),0)</f>
        <v/>
      </c>
      <c r="D201">
        <f>IFERROR($C201*INDEX(SPPR!$E:$X,MATCH($A201,SPPR!$A:$A,0),1),"")</f>
        <v/>
      </c>
      <c r="E201">
        <f>IFERROR($C201*INDEX(SPPR!$E:$X,MATCH($A201,SPPR!$A:$A,0),2),"")</f>
        <v/>
      </c>
      <c r="F201">
        <f>IFERROR($C201*INDEX(SPPR!$E:$X,MATCH($A201,SPPR!$A:$A,0),3),"")</f>
        <v/>
      </c>
      <c r="G201">
        <f>IFERROR($C201*INDEX(SPPR!$E:$X,MATCH($A201,SPPR!$A:$A,0),4),"")</f>
        <v/>
      </c>
      <c r="H201">
        <f>IFERROR($C201*INDEX(SPPR!$E:$X,MATCH($A201,SPPR!$A:$A,0),5),"")</f>
        <v/>
      </c>
      <c r="I201">
        <f>IFERROR($C201*INDEX(SPPR!$E:$X,MATCH($A201,SPPR!$A:$A,0),6),"")</f>
        <v/>
      </c>
      <c r="J201">
        <f>IFERROR($C201*INDEX(SPPR!$E:$X,MATCH($A201,SPPR!$A:$A,0),7),"")</f>
        <v/>
      </c>
      <c r="K201">
        <f>IFERROR($C201*INDEX(SPPR!$E:$X,MATCH($A201,SPPR!$A:$A,0),8),"")</f>
        <v/>
      </c>
      <c r="L201">
        <f>IFERROR($C201*INDEX(SPPR!$E:$X,MATCH($A201,SPPR!$A:$A,0),9),"")</f>
        <v/>
      </c>
      <c r="M201">
        <f>IFERROR($C201*INDEX(SPPR!$E:$X,MATCH($A201,SPPR!$A:$A,0),10),"")</f>
        <v/>
      </c>
      <c r="N201">
        <f>IFERROR($C201*INDEX(SPPR!$E:$X,MATCH($A201,SPPR!$A:$A,0),11),"")</f>
        <v/>
      </c>
      <c r="O201">
        <f>IFERROR($C201*INDEX(SPPR!$E:$X,MATCH($A201,SPPR!$A:$A,0),12),"")</f>
        <v/>
      </c>
      <c r="P201">
        <f>IFERROR($C201*INDEX(SPPR!$E:$X,MATCH($A201,SPPR!$A:$A,0),13),"")</f>
        <v/>
      </c>
      <c r="Q201">
        <f>IFERROR($C201*INDEX(SPPR!$E:$X,MATCH($A201,SPPR!$A:$A,0),14),"")</f>
        <v/>
      </c>
      <c r="R201">
        <f>IFERROR($C201*INDEX(SPPR!$E:$X,MATCH($A201,SPPR!$A:$A,0),15),"")</f>
        <v/>
      </c>
      <c r="S201">
        <f>IFERROR($C201*INDEX(SPPR!$E:$X,MATCH($A201,SPPR!$A:$A,0),16),"")</f>
        <v/>
      </c>
      <c r="T201">
        <f>IFERROR($C201*INDEX(SPPR!$E:$X,MATCH($A201,SPPR!$A:$A,0),17),"")</f>
        <v/>
      </c>
      <c r="U201">
        <f>IFERROR($C201*INDEX(SPPR!$E:$X,MATCH($A201,SPPR!$A:$A,0),18),"")</f>
        <v/>
      </c>
      <c r="V201">
        <f>IFERROR($C201*INDEX(SPPR!$E:$X,MATCH($A201,SPPR!$A:$A,0),19),"")</f>
        <v/>
      </c>
      <c r="W201">
        <f>IFERROR($C201*INDEX(SPPR!$E:$X,MATCH($A201,SPPR!$A:$A,0),20),"")</f>
        <v/>
      </c>
    </row>
    <row r="202">
      <c r="A202" t="inlineStr">
        <is>
          <t>Mizuhopecten yessoensis</t>
        </is>
      </c>
      <c r="B202">
        <f>IFERROR(INDEX(SPPR!$D:$D,MATCH($A202,SPPR!$A:$A,0)),"")</f>
        <v/>
      </c>
      <c r="C202">
        <f>IFERROR(INDEX(Catch!$E:$BV,MATCH($A202,Catch!$A:$A,0),MATCH($B$4,Catch!$E$1:$BV$1,0)),0)</f>
        <v/>
      </c>
      <c r="D202">
        <f>IFERROR($C202*INDEX(SPPR!$E:$X,MATCH($A202,SPPR!$A:$A,0),1),"")</f>
        <v/>
      </c>
      <c r="E202">
        <f>IFERROR($C202*INDEX(SPPR!$E:$X,MATCH($A202,SPPR!$A:$A,0),2),"")</f>
        <v/>
      </c>
      <c r="F202">
        <f>IFERROR($C202*INDEX(SPPR!$E:$X,MATCH($A202,SPPR!$A:$A,0),3),"")</f>
        <v/>
      </c>
      <c r="G202">
        <f>IFERROR($C202*INDEX(SPPR!$E:$X,MATCH($A202,SPPR!$A:$A,0),4),"")</f>
        <v/>
      </c>
      <c r="H202">
        <f>IFERROR($C202*INDEX(SPPR!$E:$X,MATCH($A202,SPPR!$A:$A,0),5),"")</f>
        <v/>
      </c>
      <c r="I202">
        <f>IFERROR($C202*INDEX(SPPR!$E:$X,MATCH($A202,SPPR!$A:$A,0),6),"")</f>
        <v/>
      </c>
      <c r="J202">
        <f>IFERROR($C202*INDEX(SPPR!$E:$X,MATCH($A202,SPPR!$A:$A,0),7),"")</f>
        <v/>
      </c>
      <c r="K202">
        <f>IFERROR($C202*INDEX(SPPR!$E:$X,MATCH($A202,SPPR!$A:$A,0),8),"")</f>
        <v/>
      </c>
      <c r="L202">
        <f>IFERROR($C202*INDEX(SPPR!$E:$X,MATCH($A202,SPPR!$A:$A,0),9),"")</f>
        <v/>
      </c>
      <c r="M202">
        <f>IFERROR($C202*INDEX(SPPR!$E:$X,MATCH($A202,SPPR!$A:$A,0),10),"")</f>
        <v/>
      </c>
      <c r="N202">
        <f>IFERROR($C202*INDEX(SPPR!$E:$X,MATCH($A202,SPPR!$A:$A,0),11),"")</f>
        <v/>
      </c>
      <c r="O202">
        <f>IFERROR($C202*INDEX(SPPR!$E:$X,MATCH($A202,SPPR!$A:$A,0),12),"")</f>
        <v/>
      </c>
      <c r="P202">
        <f>IFERROR($C202*INDEX(SPPR!$E:$X,MATCH($A202,SPPR!$A:$A,0),13),"")</f>
        <v/>
      </c>
      <c r="Q202">
        <f>IFERROR($C202*INDEX(SPPR!$E:$X,MATCH($A202,SPPR!$A:$A,0),14),"")</f>
        <v/>
      </c>
      <c r="R202">
        <f>IFERROR($C202*INDEX(SPPR!$E:$X,MATCH($A202,SPPR!$A:$A,0),15),"")</f>
        <v/>
      </c>
      <c r="S202">
        <f>IFERROR($C202*INDEX(SPPR!$E:$X,MATCH($A202,SPPR!$A:$A,0),16),"")</f>
        <v/>
      </c>
      <c r="T202">
        <f>IFERROR($C202*INDEX(SPPR!$E:$X,MATCH($A202,SPPR!$A:$A,0),17),"")</f>
        <v/>
      </c>
      <c r="U202">
        <f>IFERROR($C202*INDEX(SPPR!$E:$X,MATCH($A202,SPPR!$A:$A,0),18),"")</f>
        <v/>
      </c>
      <c r="V202">
        <f>IFERROR($C202*INDEX(SPPR!$E:$X,MATCH($A202,SPPR!$A:$A,0),19),"")</f>
        <v/>
      </c>
      <c r="W202">
        <f>IFERROR($C202*INDEX(SPPR!$E:$X,MATCH($A202,SPPR!$A:$A,0),20),"")</f>
        <v/>
      </c>
    </row>
    <row r="203">
      <c r="A203" t="inlineStr">
        <is>
          <t>Platycaranx malabaricus</t>
        </is>
      </c>
      <c r="B203">
        <f>IFERROR(INDEX(SPPR!$D:$D,MATCH($A203,SPPR!$A:$A,0)),"")</f>
        <v/>
      </c>
      <c r="C203">
        <f>IFERROR(INDEX(Catch!$E:$BV,MATCH($A203,Catch!$A:$A,0),MATCH($B$4,Catch!$E$1:$BV$1,0)),0)</f>
        <v/>
      </c>
      <c r="D203">
        <f>IFERROR($C203*INDEX(SPPR!$E:$X,MATCH($A203,SPPR!$A:$A,0),1),"")</f>
        <v/>
      </c>
      <c r="E203">
        <f>IFERROR($C203*INDEX(SPPR!$E:$X,MATCH($A203,SPPR!$A:$A,0),2),"")</f>
        <v/>
      </c>
      <c r="F203">
        <f>IFERROR($C203*INDEX(SPPR!$E:$X,MATCH($A203,SPPR!$A:$A,0),3),"")</f>
        <v/>
      </c>
      <c r="G203">
        <f>IFERROR($C203*INDEX(SPPR!$E:$X,MATCH($A203,SPPR!$A:$A,0),4),"")</f>
        <v/>
      </c>
      <c r="H203">
        <f>IFERROR($C203*INDEX(SPPR!$E:$X,MATCH($A203,SPPR!$A:$A,0),5),"")</f>
        <v/>
      </c>
      <c r="I203">
        <f>IFERROR($C203*INDEX(SPPR!$E:$X,MATCH($A203,SPPR!$A:$A,0),6),"")</f>
        <v/>
      </c>
      <c r="J203">
        <f>IFERROR($C203*INDEX(SPPR!$E:$X,MATCH($A203,SPPR!$A:$A,0),7),"")</f>
        <v/>
      </c>
      <c r="K203">
        <f>IFERROR($C203*INDEX(SPPR!$E:$X,MATCH($A203,SPPR!$A:$A,0),8),"")</f>
        <v/>
      </c>
      <c r="L203">
        <f>IFERROR($C203*INDEX(SPPR!$E:$X,MATCH($A203,SPPR!$A:$A,0),9),"")</f>
        <v/>
      </c>
      <c r="M203">
        <f>IFERROR($C203*INDEX(SPPR!$E:$X,MATCH($A203,SPPR!$A:$A,0),10),"")</f>
        <v/>
      </c>
      <c r="N203">
        <f>IFERROR($C203*INDEX(SPPR!$E:$X,MATCH($A203,SPPR!$A:$A,0),11),"")</f>
        <v/>
      </c>
      <c r="O203">
        <f>IFERROR($C203*INDEX(SPPR!$E:$X,MATCH($A203,SPPR!$A:$A,0),12),"")</f>
        <v/>
      </c>
      <c r="P203">
        <f>IFERROR($C203*INDEX(SPPR!$E:$X,MATCH($A203,SPPR!$A:$A,0),13),"")</f>
        <v/>
      </c>
      <c r="Q203">
        <f>IFERROR($C203*INDEX(SPPR!$E:$X,MATCH($A203,SPPR!$A:$A,0),14),"")</f>
        <v/>
      </c>
      <c r="R203">
        <f>IFERROR($C203*INDEX(SPPR!$E:$X,MATCH($A203,SPPR!$A:$A,0),15),"")</f>
        <v/>
      </c>
      <c r="S203">
        <f>IFERROR($C203*INDEX(SPPR!$E:$X,MATCH($A203,SPPR!$A:$A,0),16),"")</f>
        <v/>
      </c>
      <c r="T203">
        <f>IFERROR($C203*INDEX(SPPR!$E:$X,MATCH($A203,SPPR!$A:$A,0),17),"")</f>
        <v/>
      </c>
      <c r="U203">
        <f>IFERROR($C203*INDEX(SPPR!$E:$X,MATCH($A203,SPPR!$A:$A,0),18),"")</f>
        <v/>
      </c>
      <c r="V203">
        <f>IFERROR($C203*INDEX(SPPR!$E:$X,MATCH($A203,SPPR!$A:$A,0),19),"")</f>
        <v/>
      </c>
      <c r="W203">
        <f>IFERROR($C203*INDEX(SPPR!$E:$X,MATCH($A203,SPPR!$A:$A,0),20),"")</f>
        <v/>
      </c>
    </row>
    <row r="204">
      <c r="A204" t="inlineStr">
        <is>
          <t>Rachycentridae</t>
        </is>
      </c>
      <c r="B204">
        <f>IFERROR(INDEX(SPPR!$D:$D,MATCH($A204,SPPR!$A:$A,0)),"")</f>
        <v/>
      </c>
      <c r="C204">
        <f>IFERROR(INDEX(Catch!$E:$BV,MATCH($A204,Catch!$A:$A,0),MATCH($B$4,Catch!$E$1:$BV$1,0)),0)</f>
        <v/>
      </c>
      <c r="D204">
        <f>IFERROR($C204*INDEX(SPPR!$E:$X,MATCH($A204,SPPR!$A:$A,0),1),"")</f>
        <v/>
      </c>
      <c r="E204">
        <f>IFERROR($C204*INDEX(SPPR!$E:$X,MATCH($A204,SPPR!$A:$A,0),2),"")</f>
        <v/>
      </c>
      <c r="F204">
        <f>IFERROR($C204*INDEX(SPPR!$E:$X,MATCH($A204,SPPR!$A:$A,0),3),"")</f>
        <v/>
      </c>
      <c r="G204">
        <f>IFERROR($C204*INDEX(SPPR!$E:$X,MATCH($A204,SPPR!$A:$A,0),4),"")</f>
        <v/>
      </c>
      <c r="H204">
        <f>IFERROR($C204*INDEX(SPPR!$E:$X,MATCH($A204,SPPR!$A:$A,0),5),"")</f>
        <v/>
      </c>
      <c r="I204">
        <f>IFERROR($C204*INDEX(SPPR!$E:$X,MATCH($A204,SPPR!$A:$A,0),6),"")</f>
        <v/>
      </c>
      <c r="J204">
        <f>IFERROR($C204*INDEX(SPPR!$E:$X,MATCH($A204,SPPR!$A:$A,0),7),"")</f>
        <v/>
      </c>
      <c r="K204">
        <f>IFERROR($C204*INDEX(SPPR!$E:$X,MATCH($A204,SPPR!$A:$A,0),8),"")</f>
        <v/>
      </c>
      <c r="L204">
        <f>IFERROR($C204*INDEX(SPPR!$E:$X,MATCH($A204,SPPR!$A:$A,0),9),"")</f>
        <v/>
      </c>
      <c r="M204">
        <f>IFERROR($C204*INDEX(SPPR!$E:$X,MATCH($A204,SPPR!$A:$A,0),10),"")</f>
        <v/>
      </c>
      <c r="N204">
        <f>IFERROR($C204*INDEX(SPPR!$E:$X,MATCH($A204,SPPR!$A:$A,0),11),"")</f>
        <v/>
      </c>
      <c r="O204">
        <f>IFERROR($C204*INDEX(SPPR!$E:$X,MATCH($A204,SPPR!$A:$A,0),12),"")</f>
        <v/>
      </c>
      <c r="P204">
        <f>IFERROR($C204*INDEX(SPPR!$E:$X,MATCH($A204,SPPR!$A:$A,0),13),"")</f>
        <v/>
      </c>
      <c r="Q204">
        <f>IFERROR($C204*INDEX(SPPR!$E:$X,MATCH($A204,SPPR!$A:$A,0),14),"")</f>
        <v/>
      </c>
      <c r="R204">
        <f>IFERROR($C204*INDEX(SPPR!$E:$X,MATCH($A204,SPPR!$A:$A,0),15),"")</f>
        <v/>
      </c>
      <c r="S204">
        <f>IFERROR($C204*INDEX(SPPR!$E:$X,MATCH($A204,SPPR!$A:$A,0),16),"")</f>
        <v/>
      </c>
      <c r="T204">
        <f>IFERROR($C204*INDEX(SPPR!$E:$X,MATCH($A204,SPPR!$A:$A,0),17),"")</f>
        <v/>
      </c>
      <c r="U204">
        <f>IFERROR($C204*INDEX(SPPR!$E:$X,MATCH($A204,SPPR!$A:$A,0),18),"")</f>
        <v/>
      </c>
      <c r="V204">
        <f>IFERROR($C204*INDEX(SPPR!$E:$X,MATCH($A204,SPPR!$A:$A,0),19),"")</f>
        <v/>
      </c>
      <c r="W204">
        <f>IFERROR($C204*INDEX(SPPR!$E:$X,MATCH($A204,SPPR!$A:$A,0),20),"")</f>
        <v/>
      </c>
    </row>
    <row r="205">
      <c r="A205" t="inlineStr">
        <is>
          <t>Haliotis</t>
        </is>
      </c>
      <c r="B205">
        <f>IFERROR(INDEX(SPPR!$D:$D,MATCH($A205,SPPR!$A:$A,0)),"")</f>
        <v/>
      </c>
      <c r="C205">
        <f>IFERROR(INDEX(Catch!$E:$BV,MATCH($A205,Catch!$A:$A,0),MATCH($B$4,Catch!$E$1:$BV$1,0)),0)</f>
        <v/>
      </c>
      <c r="D205">
        <f>IFERROR($C205*INDEX(SPPR!$E:$X,MATCH($A205,SPPR!$A:$A,0),1),"")</f>
        <v/>
      </c>
      <c r="E205">
        <f>IFERROR($C205*INDEX(SPPR!$E:$X,MATCH($A205,SPPR!$A:$A,0),2),"")</f>
        <v/>
      </c>
      <c r="F205">
        <f>IFERROR($C205*INDEX(SPPR!$E:$X,MATCH($A205,SPPR!$A:$A,0),3),"")</f>
        <v/>
      </c>
      <c r="G205">
        <f>IFERROR($C205*INDEX(SPPR!$E:$X,MATCH($A205,SPPR!$A:$A,0),4),"")</f>
        <v/>
      </c>
      <c r="H205">
        <f>IFERROR($C205*INDEX(SPPR!$E:$X,MATCH($A205,SPPR!$A:$A,0),5),"")</f>
        <v/>
      </c>
      <c r="I205">
        <f>IFERROR($C205*INDEX(SPPR!$E:$X,MATCH($A205,SPPR!$A:$A,0),6),"")</f>
        <v/>
      </c>
      <c r="J205">
        <f>IFERROR($C205*INDEX(SPPR!$E:$X,MATCH($A205,SPPR!$A:$A,0),7),"")</f>
        <v/>
      </c>
      <c r="K205">
        <f>IFERROR($C205*INDEX(SPPR!$E:$X,MATCH($A205,SPPR!$A:$A,0),8),"")</f>
        <v/>
      </c>
      <c r="L205">
        <f>IFERROR($C205*INDEX(SPPR!$E:$X,MATCH($A205,SPPR!$A:$A,0),9),"")</f>
        <v/>
      </c>
      <c r="M205">
        <f>IFERROR($C205*INDEX(SPPR!$E:$X,MATCH($A205,SPPR!$A:$A,0),10),"")</f>
        <v/>
      </c>
      <c r="N205">
        <f>IFERROR($C205*INDEX(SPPR!$E:$X,MATCH($A205,SPPR!$A:$A,0),11),"")</f>
        <v/>
      </c>
      <c r="O205">
        <f>IFERROR($C205*INDEX(SPPR!$E:$X,MATCH($A205,SPPR!$A:$A,0),12),"")</f>
        <v/>
      </c>
      <c r="P205">
        <f>IFERROR($C205*INDEX(SPPR!$E:$X,MATCH($A205,SPPR!$A:$A,0),13),"")</f>
        <v/>
      </c>
      <c r="Q205">
        <f>IFERROR($C205*INDEX(SPPR!$E:$X,MATCH($A205,SPPR!$A:$A,0),14),"")</f>
        <v/>
      </c>
      <c r="R205">
        <f>IFERROR($C205*INDEX(SPPR!$E:$X,MATCH($A205,SPPR!$A:$A,0),15),"")</f>
        <v/>
      </c>
      <c r="S205">
        <f>IFERROR($C205*INDEX(SPPR!$E:$X,MATCH($A205,SPPR!$A:$A,0),16),"")</f>
        <v/>
      </c>
      <c r="T205">
        <f>IFERROR($C205*INDEX(SPPR!$E:$X,MATCH($A205,SPPR!$A:$A,0),17),"")</f>
        <v/>
      </c>
      <c r="U205">
        <f>IFERROR($C205*INDEX(SPPR!$E:$X,MATCH($A205,SPPR!$A:$A,0),18),"")</f>
        <v/>
      </c>
      <c r="V205">
        <f>IFERROR($C205*INDEX(SPPR!$E:$X,MATCH($A205,SPPR!$A:$A,0),19),"")</f>
        <v/>
      </c>
      <c r="W205">
        <f>IFERROR($C205*INDEX(SPPR!$E:$X,MATCH($A205,SPPR!$A:$A,0),20),"")</f>
        <v/>
      </c>
    </row>
    <row r="206">
      <c r="A206" t="inlineStr">
        <is>
          <t>Sillago</t>
        </is>
      </c>
      <c r="B206">
        <f>IFERROR(INDEX(SPPR!$D:$D,MATCH($A206,SPPR!$A:$A,0)),"")</f>
        <v/>
      </c>
      <c r="C206">
        <f>IFERROR(INDEX(Catch!$E:$BV,MATCH($A206,Catch!$A:$A,0),MATCH($B$4,Catch!$E$1:$BV$1,0)),0)</f>
        <v/>
      </c>
      <c r="D206">
        <f>IFERROR($C206*INDEX(SPPR!$E:$X,MATCH($A206,SPPR!$A:$A,0),1),"")</f>
        <v/>
      </c>
      <c r="E206">
        <f>IFERROR($C206*INDEX(SPPR!$E:$X,MATCH($A206,SPPR!$A:$A,0),2),"")</f>
        <v/>
      </c>
      <c r="F206">
        <f>IFERROR($C206*INDEX(SPPR!$E:$X,MATCH($A206,SPPR!$A:$A,0),3),"")</f>
        <v/>
      </c>
      <c r="G206">
        <f>IFERROR($C206*INDEX(SPPR!$E:$X,MATCH($A206,SPPR!$A:$A,0),4),"")</f>
        <v/>
      </c>
      <c r="H206">
        <f>IFERROR($C206*INDEX(SPPR!$E:$X,MATCH($A206,SPPR!$A:$A,0),5),"")</f>
        <v/>
      </c>
      <c r="I206">
        <f>IFERROR($C206*INDEX(SPPR!$E:$X,MATCH($A206,SPPR!$A:$A,0),6),"")</f>
        <v/>
      </c>
      <c r="J206">
        <f>IFERROR($C206*INDEX(SPPR!$E:$X,MATCH($A206,SPPR!$A:$A,0),7),"")</f>
        <v/>
      </c>
      <c r="K206">
        <f>IFERROR($C206*INDEX(SPPR!$E:$X,MATCH($A206,SPPR!$A:$A,0),8),"")</f>
        <v/>
      </c>
      <c r="L206">
        <f>IFERROR($C206*INDEX(SPPR!$E:$X,MATCH($A206,SPPR!$A:$A,0),9),"")</f>
        <v/>
      </c>
      <c r="M206">
        <f>IFERROR($C206*INDEX(SPPR!$E:$X,MATCH($A206,SPPR!$A:$A,0),10),"")</f>
        <v/>
      </c>
      <c r="N206">
        <f>IFERROR($C206*INDEX(SPPR!$E:$X,MATCH($A206,SPPR!$A:$A,0),11),"")</f>
        <v/>
      </c>
      <c r="O206">
        <f>IFERROR($C206*INDEX(SPPR!$E:$X,MATCH($A206,SPPR!$A:$A,0),12),"")</f>
        <v/>
      </c>
      <c r="P206">
        <f>IFERROR($C206*INDEX(SPPR!$E:$X,MATCH($A206,SPPR!$A:$A,0),13),"")</f>
        <v/>
      </c>
      <c r="Q206">
        <f>IFERROR($C206*INDEX(SPPR!$E:$X,MATCH($A206,SPPR!$A:$A,0),14),"")</f>
        <v/>
      </c>
      <c r="R206">
        <f>IFERROR($C206*INDEX(SPPR!$E:$X,MATCH($A206,SPPR!$A:$A,0),15),"")</f>
        <v/>
      </c>
      <c r="S206">
        <f>IFERROR($C206*INDEX(SPPR!$E:$X,MATCH($A206,SPPR!$A:$A,0),16),"")</f>
        <v/>
      </c>
      <c r="T206">
        <f>IFERROR($C206*INDEX(SPPR!$E:$X,MATCH($A206,SPPR!$A:$A,0),17),"")</f>
        <v/>
      </c>
      <c r="U206">
        <f>IFERROR($C206*INDEX(SPPR!$E:$X,MATCH($A206,SPPR!$A:$A,0),18),"")</f>
        <v/>
      </c>
      <c r="V206">
        <f>IFERROR($C206*INDEX(SPPR!$E:$X,MATCH($A206,SPPR!$A:$A,0),19),"")</f>
        <v/>
      </c>
      <c r="W206">
        <f>IFERROR($C206*INDEX(SPPR!$E:$X,MATCH($A206,SPPR!$A:$A,0),20),"")</f>
        <v/>
      </c>
    </row>
    <row r="207">
      <c r="A207" t="inlineStr">
        <is>
          <t>Hemiramphidae</t>
        </is>
      </c>
      <c r="B207">
        <f>IFERROR(INDEX(SPPR!$D:$D,MATCH($A207,SPPR!$A:$A,0)),"")</f>
        <v/>
      </c>
      <c r="C207">
        <f>IFERROR(INDEX(Catch!$E:$BV,MATCH($A207,Catch!$A:$A,0),MATCH($B$4,Catch!$E$1:$BV$1,0)),0)</f>
        <v/>
      </c>
      <c r="D207">
        <f>IFERROR($C207*INDEX(SPPR!$E:$X,MATCH($A207,SPPR!$A:$A,0),1),"")</f>
        <v/>
      </c>
      <c r="E207">
        <f>IFERROR($C207*INDEX(SPPR!$E:$X,MATCH($A207,SPPR!$A:$A,0),2),"")</f>
        <v/>
      </c>
      <c r="F207">
        <f>IFERROR($C207*INDEX(SPPR!$E:$X,MATCH($A207,SPPR!$A:$A,0),3),"")</f>
        <v/>
      </c>
      <c r="G207">
        <f>IFERROR($C207*INDEX(SPPR!$E:$X,MATCH($A207,SPPR!$A:$A,0),4),"")</f>
        <v/>
      </c>
      <c r="H207">
        <f>IFERROR($C207*INDEX(SPPR!$E:$X,MATCH($A207,SPPR!$A:$A,0),5),"")</f>
        <v/>
      </c>
      <c r="I207">
        <f>IFERROR($C207*INDEX(SPPR!$E:$X,MATCH($A207,SPPR!$A:$A,0),6),"")</f>
        <v/>
      </c>
      <c r="J207">
        <f>IFERROR($C207*INDEX(SPPR!$E:$X,MATCH($A207,SPPR!$A:$A,0),7),"")</f>
        <v/>
      </c>
      <c r="K207">
        <f>IFERROR($C207*INDEX(SPPR!$E:$X,MATCH($A207,SPPR!$A:$A,0),8),"")</f>
        <v/>
      </c>
      <c r="L207">
        <f>IFERROR($C207*INDEX(SPPR!$E:$X,MATCH($A207,SPPR!$A:$A,0),9),"")</f>
        <v/>
      </c>
      <c r="M207">
        <f>IFERROR($C207*INDEX(SPPR!$E:$X,MATCH($A207,SPPR!$A:$A,0),10),"")</f>
        <v/>
      </c>
      <c r="N207">
        <f>IFERROR($C207*INDEX(SPPR!$E:$X,MATCH($A207,SPPR!$A:$A,0),11),"")</f>
        <v/>
      </c>
      <c r="O207">
        <f>IFERROR($C207*INDEX(SPPR!$E:$X,MATCH($A207,SPPR!$A:$A,0),12),"")</f>
        <v/>
      </c>
      <c r="P207">
        <f>IFERROR($C207*INDEX(SPPR!$E:$X,MATCH($A207,SPPR!$A:$A,0),13),"")</f>
        <v/>
      </c>
      <c r="Q207">
        <f>IFERROR($C207*INDEX(SPPR!$E:$X,MATCH($A207,SPPR!$A:$A,0),14),"")</f>
        <v/>
      </c>
      <c r="R207">
        <f>IFERROR($C207*INDEX(SPPR!$E:$X,MATCH($A207,SPPR!$A:$A,0),15),"")</f>
        <v/>
      </c>
      <c r="S207">
        <f>IFERROR($C207*INDEX(SPPR!$E:$X,MATCH($A207,SPPR!$A:$A,0),16),"")</f>
        <v/>
      </c>
      <c r="T207">
        <f>IFERROR($C207*INDEX(SPPR!$E:$X,MATCH($A207,SPPR!$A:$A,0),17),"")</f>
        <v/>
      </c>
      <c r="U207">
        <f>IFERROR($C207*INDEX(SPPR!$E:$X,MATCH($A207,SPPR!$A:$A,0),18),"")</f>
        <v/>
      </c>
      <c r="V207">
        <f>IFERROR($C207*INDEX(SPPR!$E:$X,MATCH($A207,SPPR!$A:$A,0),19),"")</f>
        <v/>
      </c>
      <c r="W207">
        <f>IFERROR($C207*INDEX(SPPR!$E:$X,MATCH($A207,SPPR!$A:$A,0),20),"")</f>
        <v/>
      </c>
    </row>
    <row r="208">
      <c r="A208" t="inlineStr">
        <is>
          <t>Hypoptychus dybowskii</t>
        </is>
      </c>
      <c r="B208">
        <f>IFERROR(INDEX(SPPR!$D:$D,MATCH($A208,SPPR!$A:$A,0)),"")</f>
        <v/>
      </c>
      <c r="C208">
        <f>IFERROR(INDEX(Catch!$E:$BV,MATCH($A208,Catch!$A:$A,0),MATCH($B$4,Catch!$E$1:$BV$1,0)),0)</f>
        <v/>
      </c>
      <c r="D208">
        <f>IFERROR($C208*INDEX(SPPR!$E:$X,MATCH($A208,SPPR!$A:$A,0),1),"")</f>
        <v/>
      </c>
      <c r="E208">
        <f>IFERROR($C208*INDEX(SPPR!$E:$X,MATCH($A208,SPPR!$A:$A,0),2),"")</f>
        <v/>
      </c>
      <c r="F208">
        <f>IFERROR($C208*INDEX(SPPR!$E:$X,MATCH($A208,SPPR!$A:$A,0),3),"")</f>
        <v/>
      </c>
      <c r="G208">
        <f>IFERROR($C208*INDEX(SPPR!$E:$X,MATCH($A208,SPPR!$A:$A,0),4),"")</f>
        <v/>
      </c>
      <c r="H208">
        <f>IFERROR($C208*INDEX(SPPR!$E:$X,MATCH($A208,SPPR!$A:$A,0),5),"")</f>
        <v/>
      </c>
      <c r="I208">
        <f>IFERROR($C208*INDEX(SPPR!$E:$X,MATCH($A208,SPPR!$A:$A,0),6),"")</f>
        <v/>
      </c>
      <c r="J208">
        <f>IFERROR($C208*INDEX(SPPR!$E:$X,MATCH($A208,SPPR!$A:$A,0),7),"")</f>
        <v/>
      </c>
      <c r="K208">
        <f>IFERROR($C208*INDEX(SPPR!$E:$X,MATCH($A208,SPPR!$A:$A,0),8),"")</f>
        <v/>
      </c>
      <c r="L208">
        <f>IFERROR($C208*INDEX(SPPR!$E:$X,MATCH($A208,SPPR!$A:$A,0),9),"")</f>
        <v/>
      </c>
      <c r="M208">
        <f>IFERROR($C208*INDEX(SPPR!$E:$X,MATCH($A208,SPPR!$A:$A,0),10),"")</f>
        <v/>
      </c>
      <c r="N208">
        <f>IFERROR($C208*INDEX(SPPR!$E:$X,MATCH($A208,SPPR!$A:$A,0),11),"")</f>
        <v/>
      </c>
      <c r="O208">
        <f>IFERROR($C208*INDEX(SPPR!$E:$X,MATCH($A208,SPPR!$A:$A,0),12),"")</f>
        <v/>
      </c>
      <c r="P208">
        <f>IFERROR($C208*INDEX(SPPR!$E:$X,MATCH($A208,SPPR!$A:$A,0),13),"")</f>
        <v/>
      </c>
      <c r="Q208">
        <f>IFERROR($C208*INDEX(SPPR!$E:$X,MATCH($A208,SPPR!$A:$A,0),14),"")</f>
        <v/>
      </c>
      <c r="R208">
        <f>IFERROR($C208*INDEX(SPPR!$E:$X,MATCH($A208,SPPR!$A:$A,0),15),"")</f>
        <v/>
      </c>
      <c r="S208">
        <f>IFERROR($C208*INDEX(SPPR!$E:$X,MATCH($A208,SPPR!$A:$A,0),16),"")</f>
        <v/>
      </c>
      <c r="T208">
        <f>IFERROR($C208*INDEX(SPPR!$E:$X,MATCH($A208,SPPR!$A:$A,0),17),"")</f>
        <v/>
      </c>
      <c r="U208">
        <f>IFERROR($C208*INDEX(SPPR!$E:$X,MATCH($A208,SPPR!$A:$A,0),18),"")</f>
        <v/>
      </c>
      <c r="V208">
        <f>IFERROR($C208*INDEX(SPPR!$E:$X,MATCH($A208,SPPR!$A:$A,0),19),"")</f>
        <v/>
      </c>
      <c r="W208">
        <f>IFERROR($C208*INDEX(SPPR!$E:$X,MATCH($A208,SPPR!$A:$A,0),20),"")</f>
        <v/>
      </c>
    </row>
    <row r="209">
      <c r="A209" t="inlineStr">
        <is>
          <t>Bramidae</t>
        </is>
      </c>
      <c r="B209">
        <f>IFERROR(INDEX(SPPR!$D:$D,MATCH($A209,SPPR!$A:$A,0)),"")</f>
        <v/>
      </c>
      <c r="C209">
        <f>IFERROR(INDEX(Catch!$E:$BV,MATCH($A209,Catch!$A:$A,0),MATCH($B$4,Catch!$E$1:$BV$1,0)),0)</f>
        <v/>
      </c>
      <c r="D209">
        <f>IFERROR($C209*INDEX(SPPR!$E:$X,MATCH($A209,SPPR!$A:$A,0),1),"")</f>
        <v/>
      </c>
      <c r="E209">
        <f>IFERROR($C209*INDEX(SPPR!$E:$X,MATCH($A209,SPPR!$A:$A,0),2),"")</f>
        <v/>
      </c>
      <c r="F209">
        <f>IFERROR($C209*INDEX(SPPR!$E:$X,MATCH($A209,SPPR!$A:$A,0),3),"")</f>
        <v/>
      </c>
      <c r="G209">
        <f>IFERROR($C209*INDEX(SPPR!$E:$X,MATCH($A209,SPPR!$A:$A,0),4),"")</f>
        <v/>
      </c>
      <c r="H209">
        <f>IFERROR($C209*INDEX(SPPR!$E:$X,MATCH($A209,SPPR!$A:$A,0),5),"")</f>
        <v/>
      </c>
      <c r="I209">
        <f>IFERROR($C209*INDEX(SPPR!$E:$X,MATCH($A209,SPPR!$A:$A,0),6),"")</f>
        <v/>
      </c>
      <c r="J209">
        <f>IFERROR($C209*INDEX(SPPR!$E:$X,MATCH($A209,SPPR!$A:$A,0),7),"")</f>
        <v/>
      </c>
      <c r="K209">
        <f>IFERROR($C209*INDEX(SPPR!$E:$X,MATCH($A209,SPPR!$A:$A,0),8),"")</f>
        <v/>
      </c>
      <c r="L209">
        <f>IFERROR($C209*INDEX(SPPR!$E:$X,MATCH($A209,SPPR!$A:$A,0),9),"")</f>
        <v/>
      </c>
      <c r="M209">
        <f>IFERROR($C209*INDEX(SPPR!$E:$X,MATCH($A209,SPPR!$A:$A,0),10),"")</f>
        <v/>
      </c>
      <c r="N209">
        <f>IFERROR($C209*INDEX(SPPR!$E:$X,MATCH($A209,SPPR!$A:$A,0),11),"")</f>
        <v/>
      </c>
      <c r="O209">
        <f>IFERROR($C209*INDEX(SPPR!$E:$X,MATCH($A209,SPPR!$A:$A,0),12),"")</f>
        <v/>
      </c>
      <c r="P209">
        <f>IFERROR($C209*INDEX(SPPR!$E:$X,MATCH($A209,SPPR!$A:$A,0),13),"")</f>
        <v/>
      </c>
      <c r="Q209">
        <f>IFERROR($C209*INDEX(SPPR!$E:$X,MATCH($A209,SPPR!$A:$A,0),14),"")</f>
        <v/>
      </c>
      <c r="R209">
        <f>IFERROR($C209*INDEX(SPPR!$E:$X,MATCH($A209,SPPR!$A:$A,0),15),"")</f>
        <v/>
      </c>
      <c r="S209">
        <f>IFERROR($C209*INDEX(SPPR!$E:$X,MATCH($A209,SPPR!$A:$A,0),16),"")</f>
        <v/>
      </c>
      <c r="T209">
        <f>IFERROR($C209*INDEX(SPPR!$E:$X,MATCH($A209,SPPR!$A:$A,0),17),"")</f>
        <v/>
      </c>
      <c r="U209">
        <f>IFERROR($C209*INDEX(SPPR!$E:$X,MATCH($A209,SPPR!$A:$A,0),18),"")</f>
        <v/>
      </c>
      <c r="V209">
        <f>IFERROR($C209*INDEX(SPPR!$E:$X,MATCH($A209,SPPR!$A:$A,0),19),"")</f>
        <v/>
      </c>
      <c r="W209">
        <f>IFERROR($C209*INDEX(SPPR!$E:$X,MATCH($A209,SPPR!$A:$A,0),20),"")</f>
        <v/>
      </c>
    </row>
    <row r="210">
      <c r="A210" t="inlineStr">
        <is>
          <t>Penaeus monodon</t>
        </is>
      </c>
      <c r="B210">
        <f>IFERROR(INDEX(SPPR!$D:$D,MATCH($A210,SPPR!$A:$A,0)),"")</f>
        <v/>
      </c>
      <c r="C210">
        <f>IFERROR(INDEX(Catch!$E:$BV,MATCH($A210,Catch!$A:$A,0),MATCH($B$4,Catch!$E$1:$BV$1,0)),0)</f>
        <v/>
      </c>
      <c r="D210">
        <f>IFERROR($C210*INDEX(SPPR!$E:$X,MATCH($A210,SPPR!$A:$A,0),1),"")</f>
        <v/>
      </c>
      <c r="E210">
        <f>IFERROR($C210*INDEX(SPPR!$E:$X,MATCH($A210,SPPR!$A:$A,0),2),"")</f>
        <v/>
      </c>
      <c r="F210">
        <f>IFERROR($C210*INDEX(SPPR!$E:$X,MATCH($A210,SPPR!$A:$A,0),3),"")</f>
        <v/>
      </c>
      <c r="G210">
        <f>IFERROR($C210*INDEX(SPPR!$E:$X,MATCH($A210,SPPR!$A:$A,0),4),"")</f>
        <v/>
      </c>
      <c r="H210">
        <f>IFERROR($C210*INDEX(SPPR!$E:$X,MATCH($A210,SPPR!$A:$A,0),5),"")</f>
        <v/>
      </c>
      <c r="I210">
        <f>IFERROR($C210*INDEX(SPPR!$E:$X,MATCH($A210,SPPR!$A:$A,0),6),"")</f>
        <v/>
      </c>
      <c r="J210">
        <f>IFERROR($C210*INDEX(SPPR!$E:$X,MATCH($A210,SPPR!$A:$A,0),7),"")</f>
        <v/>
      </c>
      <c r="K210">
        <f>IFERROR($C210*INDEX(SPPR!$E:$X,MATCH($A210,SPPR!$A:$A,0),8),"")</f>
        <v/>
      </c>
      <c r="L210">
        <f>IFERROR($C210*INDEX(SPPR!$E:$X,MATCH($A210,SPPR!$A:$A,0),9),"")</f>
        <v/>
      </c>
      <c r="M210">
        <f>IFERROR($C210*INDEX(SPPR!$E:$X,MATCH($A210,SPPR!$A:$A,0),10),"")</f>
        <v/>
      </c>
      <c r="N210">
        <f>IFERROR($C210*INDEX(SPPR!$E:$X,MATCH($A210,SPPR!$A:$A,0),11),"")</f>
        <v/>
      </c>
      <c r="O210">
        <f>IFERROR($C210*INDEX(SPPR!$E:$X,MATCH($A210,SPPR!$A:$A,0),12),"")</f>
        <v/>
      </c>
      <c r="P210">
        <f>IFERROR($C210*INDEX(SPPR!$E:$X,MATCH($A210,SPPR!$A:$A,0),13),"")</f>
        <v/>
      </c>
      <c r="Q210">
        <f>IFERROR($C210*INDEX(SPPR!$E:$X,MATCH($A210,SPPR!$A:$A,0),14),"")</f>
        <v/>
      </c>
      <c r="R210">
        <f>IFERROR($C210*INDEX(SPPR!$E:$X,MATCH($A210,SPPR!$A:$A,0),15),"")</f>
        <v/>
      </c>
      <c r="S210">
        <f>IFERROR($C210*INDEX(SPPR!$E:$X,MATCH($A210,SPPR!$A:$A,0),16),"")</f>
        <v/>
      </c>
      <c r="T210">
        <f>IFERROR($C210*INDEX(SPPR!$E:$X,MATCH($A210,SPPR!$A:$A,0),17),"")</f>
        <v/>
      </c>
      <c r="U210">
        <f>IFERROR($C210*INDEX(SPPR!$E:$X,MATCH($A210,SPPR!$A:$A,0),18),"")</f>
        <v/>
      </c>
      <c r="V210">
        <f>IFERROR($C210*INDEX(SPPR!$E:$X,MATCH($A210,SPPR!$A:$A,0),19),"")</f>
        <v/>
      </c>
      <c r="W210">
        <f>IFERROR($C210*INDEX(SPPR!$E:$X,MATCH($A210,SPPR!$A:$A,0),20),"")</f>
        <v/>
      </c>
    </row>
    <row r="211">
      <c r="A211" t="inlineStr">
        <is>
          <t>Acanthocybium solandri</t>
        </is>
      </c>
      <c r="B211">
        <f>IFERROR(INDEX(SPPR!$D:$D,MATCH($A211,SPPR!$A:$A,0)),"")</f>
        <v/>
      </c>
      <c r="C211">
        <f>IFERROR(INDEX(Catch!$E:$BV,MATCH($A211,Catch!$A:$A,0),MATCH($B$4,Catch!$E$1:$BV$1,0)),0)</f>
        <v/>
      </c>
      <c r="D211">
        <f>IFERROR($C211*INDEX(SPPR!$E:$X,MATCH($A211,SPPR!$A:$A,0),1),"")</f>
        <v/>
      </c>
      <c r="E211">
        <f>IFERROR($C211*INDEX(SPPR!$E:$X,MATCH($A211,SPPR!$A:$A,0),2),"")</f>
        <v/>
      </c>
      <c r="F211">
        <f>IFERROR($C211*INDEX(SPPR!$E:$X,MATCH($A211,SPPR!$A:$A,0),3),"")</f>
        <v/>
      </c>
      <c r="G211">
        <f>IFERROR($C211*INDEX(SPPR!$E:$X,MATCH($A211,SPPR!$A:$A,0),4),"")</f>
        <v/>
      </c>
      <c r="H211">
        <f>IFERROR($C211*INDEX(SPPR!$E:$X,MATCH($A211,SPPR!$A:$A,0),5),"")</f>
        <v/>
      </c>
      <c r="I211">
        <f>IFERROR($C211*INDEX(SPPR!$E:$X,MATCH($A211,SPPR!$A:$A,0),6),"")</f>
        <v/>
      </c>
      <c r="J211">
        <f>IFERROR($C211*INDEX(SPPR!$E:$X,MATCH($A211,SPPR!$A:$A,0),7),"")</f>
        <v/>
      </c>
      <c r="K211">
        <f>IFERROR($C211*INDEX(SPPR!$E:$X,MATCH($A211,SPPR!$A:$A,0),8),"")</f>
        <v/>
      </c>
      <c r="L211">
        <f>IFERROR($C211*INDEX(SPPR!$E:$X,MATCH($A211,SPPR!$A:$A,0),9),"")</f>
        <v/>
      </c>
      <c r="M211">
        <f>IFERROR($C211*INDEX(SPPR!$E:$X,MATCH($A211,SPPR!$A:$A,0),10),"")</f>
        <v/>
      </c>
      <c r="N211">
        <f>IFERROR($C211*INDEX(SPPR!$E:$X,MATCH($A211,SPPR!$A:$A,0),11),"")</f>
        <v/>
      </c>
      <c r="O211">
        <f>IFERROR($C211*INDEX(SPPR!$E:$X,MATCH($A211,SPPR!$A:$A,0),12),"")</f>
        <v/>
      </c>
      <c r="P211">
        <f>IFERROR($C211*INDEX(SPPR!$E:$X,MATCH($A211,SPPR!$A:$A,0),13),"")</f>
        <v/>
      </c>
      <c r="Q211">
        <f>IFERROR($C211*INDEX(SPPR!$E:$X,MATCH($A211,SPPR!$A:$A,0),14),"")</f>
        <v/>
      </c>
      <c r="R211">
        <f>IFERROR($C211*INDEX(SPPR!$E:$X,MATCH($A211,SPPR!$A:$A,0),15),"")</f>
        <v/>
      </c>
      <c r="S211">
        <f>IFERROR($C211*INDEX(SPPR!$E:$X,MATCH($A211,SPPR!$A:$A,0),16),"")</f>
        <v/>
      </c>
      <c r="T211">
        <f>IFERROR($C211*INDEX(SPPR!$E:$X,MATCH($A211,SPPR!$A:$A,0),17),"")</f>
        <v/>
      </c>
      <c r="U211">
        <f>IFERROR($C211*INDEX(SPPR!$E:$X,MATCH($A211,SPPR!$A:$A,0),18),"")</f>
        <v/>
      </c>
      <c r="V211">
        <f>IFERROR($C211*INDEX(SPPR!$E:$X,MATCH($A211,SPPR!$A:$A,0),19),"")</f>
        <v/>
      </c>
      <c r="W211">
        <f>IFERROR($C211*INDEX(SPPR!$E:$X,MATCH($A211,SPPR!$A:$A,0),20),"")</f>
        <v/>
      </c>
    </row>
    <row r="212">
      <c r="A212" t="inlineStr">
        <is>
          <t>Saurida undosquamis</t>
        </is>
      </c>
      <c r="B212">
        <f>IFERROR(INDEX(SPPR!$D:$D,MATCH($A212,SPPR!$A:$A,0)),"")</f>
        <v/>
      </c>
      <c r="C212">
        <f>IFERROR(INDEX(Catch!$E:$BV,MATCH($A212,Catch!$A:$A,0),MATCH($B$4,Catch!$E$1:$BV$1,0)),0)</f>
        <v/>
      </c>
      <c r="D212">
        <f>IFERROR($C212*INDEX(SPPR!$E:$X,MATCH($A212,SPPR!$A:$A,0),1),"")</f>
        <v/>
      </c>
      <c r="E212">
        <f>IFERROR($C212*INDEX(SPPR!$E:$X,MATCH($A212,SPPR!$A:$A,0),2),"")</f>
        <v/>
      </c>
      <c r="F212">
        <f>IFERROR($C212*INDEX(SPPR!$E:$X,MATCH($A212,SPPR!$A:$A,0),3),"")</f>
        <v/>
      </c>
      <c r="G212">
        <f>IFERROR($C212*INDEX(SPPR!$E:$X,MATCH($A212,SPPR!$A:$A,0),4),"")</f>
        <v/>
      </c>
      <c r="H212">
        <f>IFERROR($C212*INDEX(SPPR!$E:$X,MATCH($A212,SPPR!$A:$A,0),5),"")</f>
        <v/>
      </c>
      <c r="I212">
        <f>IFERROR($C212*INDEX(SPPR!$E:$X,MATCH($A212,SPPR!$A:$A,0),6),"")</f>
        <v/>
      </c>
      <c r="J212">
        <f>IFERROR($C212*INDEX(SPPR!$E:$X,MATCH($A212,SPPR!$A:$A,0),7),"")</f>
        <v/>
      </c>
      <c r="K212">
        <f>IFERROR($C212*INDEX(SPPR!$E:$X,MATCH($A212,SPPR!$A:$A,0),8),"")</f>
        <v/>
      </c>
      <c r="L212">
        <f>IFERROR($C212*INDEX(SPPR!$E:$X,MATCH($A212,SPPR!$A:$A,0),9),"")</f>
        <v/>
      </c>
      <c r="M212">
        <f>IFERROR($C212*INDEX(SPPR!$E:$X,MATCH($A212,SPPR!$A:$A,0),10),"")</f>
        <v/>
      </c>
      <c r="N212">
        <f>IFERROR($C212*INDEX(SPPR!$E:$X,MATCH($A212,SPPR!$A:$A,0),11),"")</f>
        <v/>
      </c>
      <c r="O212">
        <f>IFERROR($C212*INDEX(SPPR!$E:$X,MATCH($A212,SPPR!$A:$A,0),12),"")</f>
        <v/>
      </c>
      <c r="P212">
        <f>IFERROR($C212*INDEX(SPPR!$E:$X,MATCH($A212,SPPR!$A:$A,0),13),"")</f>
        <v/>
      </c>
      <c r="Q212">
        <f>IFERROR($C212*INDEX(SPPR!$E:$X,MATCH($A212,SPPR!$A:$A,0),14),"")</f>
        <v/>
      </c>
      <c r="R212">
        <f>IFERROR($C212*INDEX(SPPR!$E:$X,MATCH($A212,SPPR!$A:$A,0),15),"")</f>
        <v/>
      </c>
      <c r="S212">
        <f>IFERROR($C212*INDEX(SPPR!$E:$X,MATCH($A212,SPPR!$A:$A,0),16),"")</f>
        <v/>
      </c>
      <c r="T212">
        <f>IFERROR($C212*INDEX(SPPR!$E:$X,MATCH($A212,SPPR!$A:$A,0),17),"")</f>
        <v/>
      </c>
      <c r="U212">
        <f>IFERROR($C212*INDEX(SPPR!$E:$X,MATCH($A212,SPPR!$A:$A,0),18),"")</f>
        <v/>
      </c>
      <c r="V212">
        <f>IFERROR($C212*INDEX(SPPR!$E:$X,MATCH($A212,SPPR!$A:$A,0),19),"")</f>
        <v/>
      </c>
      <c r="W212">
        <f>IFERROR($C212*INDEX(SPPR!$E:$X,MATCH($A212,SPPR!$A:$A,0),20),"")</f>
        <v/>
      </c>
    </row>
    <row r="213">
      <c r="A213" t="inlineStr">
        <is>
          <t>Beryx splendens</t>
        </is>
      </c>
      <c r="B213">
        <f>IFERROR(INDEX(SPPR!$D:$D,MATCH($A213,SPPR!$A:$A,0)),"")</f>
        <v/>
      </c>
      <c r="C213">
        <f>IFERROR(INDEX(Catch!$E:$BV,MATCH($A213,Catch!$A:$A,0),MATCH($B$4,Catch!$E$1:$BV$1,0)),0)</f>
        <v/>
      </c>
      <c r="D213">
        <f>IFERROR($C213*INDEX(SPPR!$E:$X,MATCH($A213,SPPR!$A:$A,0),1),"")</f>
        <v/>
      </c>
      <c r="E213">
        <f>IFERROR($C213*INDEX(SPPR!$E:$X,MATCH($A213,SPPR!$A:$A,0),2),"")</f>
        <v/>
      </c>
      <c r="F213">
        <f>IFERROR($C213*INDEX(SPPR!$E:$X,MATCH($A213,SPPR!$A:$A,0),3),"")</f>
        <v/>
      </c>
      <c r="G213">
        <f>IFERROR($C213*INDEX(SPPR!$E:$X,MATCH($A213,SPPR!$A:$A,0),4),"")</f>
        <v/>
      </c>
      <c r="H213">
        <f>IFERROR($C213*INDEX(SPPR!$E:$X,MATCH($A213,SPPR!$A:$A,0),5),"")</f>
        <v/>
      </c>
      <c r="I213">
        <f>IFERROR($C213*INDEX(SPPR!$E:$X,MATCH($A213,SPPR!$A:$A,0),6),"")</f>
        <v/>
      </c>
      <c r="J213">
        <f>IFERROR($C213*INDEX(SPPR!$E:$X,MATCH($A213,SPPR!$A:$A,0),7),"")</f>
        <v/>
      </c>
      <c r="K213">
        <f>IFERROR($C213*INDEX(SPPR!$E:$X,MATCH($A213,SPPR!$A:$A,0),8),"")</f>
        <v/>
      </c>
      <c r="L213">
        <f>IFERROR($C213*INDEX(SPPR!$E:$X,MATCH($A213,SPPR!$A:$A,0),9),"")</f>
        <v/>
      </c>
      <c r="M213">
        <f>IFERROR($C213*INDEX(SPPR!$E:$X,MATCH($A213,SPPR!$A:$A,0),10),"")</f>
        <v/>
      </c>
      <c r="N213">
        <f>IFERROR($C213*INDEX(SPPR!$E:$X,MATCH($A213,SPPR!$A:$A,0),11),"")</f>
        <v/>
      </c>
      <c r="O213">
        <f>IFERROR($C213*INDEX(SPPR!$E:$X,MATCH($A213,SPPR!$A:$A,0),12),"")</f>
        <v/>
      </c>
      <c r="P213">
        <f>IFERROR($C213*INDEX(SPPR!$E:$X,MATCH($A213,SPPR!$A:$A,0),13),"")</f>
        <v/>
      </c>
      <c r="Q213">
        <f>IFERROR($C213*INDEX(SPPR!$E:$X,MATCH($A213,SPPR!$A:$A,0),14),"")</f>
        <v/>
      </c>
      <c r="R213">
        <f>IFERROR($C213*INDEX(SPPR!$E:$X,MATCH($A213,SPPR!$A:$A,0),15),"")</f>
        <v/>
      </c>
      <c r="S213">
        <f>IFERROR($C213*INDEX(SPPR!$E:$X,MATCH($A213,SPPR!$A:$A,0),16),"")</f>
        <v/>
      </c>
      <c r="T213">
        <f>IFERROR($C213*INDEX(SPPR!$E:$X,MATCH($A213,SPPR!$A:$A,0),17),"")</f>
        <v/>
      </c>
      <c r="U213">
        <f>IFERROR($C213*INDEX(SPPR!$E:$X,MATCH($A213,SPPR!$A:$A,0),18),"")</f>
        <v/>
      </c>
      <c r="V213">
        <f>IFERROR($C213*INDEX(SPPR!$E:$X,MATCH($A213,SPPR!$A:$A,0),19),"")</f>
        <v/>
      </c>
      <c r="W213">
        <f>IFERROR($C213*INDEX(SPPR!$E:$X,MATCH($A213,SPPR!$A:$A,0),20),"")</f>
        <v/>
      </c>
    </row>
    <row r="214">
      <c r="A214" t="inlineStr">
        <is>
          <t>Auxis rochei</t>
        </is>
      </c>
      <c r="B214">
        <f>IFERROR(INDEX(SPPR!$D:$D,MATCH($A214,SPPR!$A:$A,0)),"")</f>
        <v/>
      </c>
      <c r="C214">
        <f>IFERROR(INDEX(Catch!$E:$BV,MATCH($A214,Catch!$A:$A,0),MATCH($B$4,Catch!$E$1:$BV$1,0)),0)</f>
        <v/>
      </c>
      <c r="D214">
        <f>IFERROR($C214*INDEX(SPPR!$E:$X,MATCH($A214,SPPR!$A:$A,0),1),"")</f>
        <v/>
      </c>
      <c r="E214">
        <f>IFERROR($C214*INDEX(SPPR!$E:$X,MATCH($A214,SPPR!$A:$A,0),2),"")</f>
        <v/>
      </c>
      <c r="F214">
        <f>IFERROR($C214*INDEX(SPPR!$E:$X,MATCH($A214,SPPR!$A:$A,0),3),"")</f>
        <v/>
      </c>
      <c r="G214">
        <f>IFERROR($C214*INDEX(SPPR!$E:$X,MATCH($A214,SPPR!$A:$A,0),4),"")</f>
        <v/>
      </c>
      <c r="H214">
        <f>IFERROR($C214*INDEX(SPPR!$E:$X,MATCH($A214,SPPR!$A:$A,0),5),"")</f>
        <v/>
      </c>
      <c r="I214">
        <f>IFERROR($C214*INDEX(SPPR!$E:$X,MATCH($A214,SPPR!$A:$A,0),6),"")</f>
        <v/>
      </c>
      <c r="J214">
        <f>IFERROR($C214*INDEX(SPPR!$E:$X,MATCH($A214,SPPR!$A:$A,0),7),"")</f>
        <v/>
      </c>
      <c r="K214">
        <f>IFERROR($C214*INDEX(SPPR!$E:$X,MATCH($A214,SPPR!$A:$A,0),8),"")</f>
        <v/>
      </c>
      <c r="L214">
        <f>IFERROR($C214*INDEX(SPPR!$E:$X,MATCH($A214,SPPR!$A:$A,0),9),"")</f>
        <v/>
      </c>
      <c r="M214">
        <f>IFERROR($C214*INDEX(SPPR!$E:$X,MATCH($A214,SPPR!$A:$A,0),10),"")</f>
        <v/>
      </c>
      <c r="N214">
        <f>IFERROR($C214*INDEX(SPPR!$E:$X,MATCH($A214,SPPR!$A:$A,0),11),"")</f>
        <v/>
      </c>
      <c r="O214">
        <f>IFERROR($C214*INDEX(SPPR!$E:$X,MATCH($A214,SPPR!$A:$A,0),12),"")</f>
        <v/>
      </c>
      <c r="P214">
        <f>IFERROR($C214*INDEX(SPPR!$E:$X,MATCH($A214,SPPR!$A:$A,0),13),"")</f>
        <v/>
      </c>
      <c r="Q214">
        <f>IFERROR($C214*INDEX(SPPR!$E:$X,MATCH($A214,SPPR!$A:$A,0),14),"")</f>
        <v/>
      </c>
      <c r="R214">
        <f>IFERROR($C214*INDEX(SPPR!$E:$X,MATCH($A214,SPPR!$A:$A,0),15),"")</f>
        <v/>
      </c>
      <c r="S214">
        <f>IFERROR($C214*INDEX(SPPR!$E:$X,MATCH($A214,SPPR!$A:$A,0),16),"")</f>
        <v/>
      </c>
      <c r="T214">
        <f>IFERROR($C214*INDEX(SPPR!$E:$X,MATCH($A214,SPPR!$A:$A,0),17),"")</f>
        <v/>
      </c>
      <c r="U214">
        <f>IFERROR($C214*INDEX(SPPR!$E:$X,MATCH($A214,SPPR!$A:$A,0),18),"")</f>
        <v/>
      </c>
      <c r="V214">
        <f>IFERROR($C214*INDEX(SPPR!$E:$X,MATCH($A214,SPPR!$A:$A,0),19),"")</f>
        <v/>
      </c>
      <c r="W214">
        <f>IFERROR($C214*INDEX(SPPR!$E:$X,MATCH($A214,SPPR!$A:$A,0),20),"")</f>
        <v/>
      </c>
    </row>
    <row r="215">
      <c r="A215" t="inlineStr">
        <is>
          <t>Scorpaeniformes</t>
        </is>
      </c>
      <c r="B215">
        <f>IFERROR(INDEX(SPPR!$D:$D,MATCH($A215,SPPR!$A:$A,0)),"")</f>
        <v/>
      </c>
      <c r="C215">
        <f>IFERROR(INDEX(Catch!$E:$BV,MATCH($A215,Catch!$A:$A,0),MATCH($B$4,Catch!$E$1:$BV$1,0)),0)</f>
        <v/>
      </c>
      <c r="D215">
        <f>IFERROR($C215*INDEX(SPPR!$E:$X,MATCH($A215,SPPR!$A:$A,0),1),"")</f>
        <v/>
      </c>
      <c r="E215">
        <f>IFERROR($C215*INDEX(SPPR!$E:$X,MATCH($A215,SPPR!$A:$A,0),2),"")</f>
        <v/>
      </c>
      <c r="F215">
        <f>IFERROR($C215*INDEX(SPPR!$E:$X,MATCH($A215,SPPR!$A:$A,0),3),"")</f>
        <v/>
      </c>
      <c r="G215">
        <f>IFERROR($C215*INDEX(SPPR!$E:$X,MATCH($A215,SPPR!$A:$A,0),4),"")</f>
        <v/>
      </c>
      <c r="H215">
        <f>IFERROR($C215*INDEX(SPPR!$E:$X,MATCH($A215,SPPR!$A:$A,0),5),"")</f>
        <v/>
      </c>
      <c r="I215">
        <f>IFERROR($C215*INDEX(SPPR!$E:$X,MATCH($A215,SPPR!$A:$A,0),6),"")</f>
        <v/>
      </c>
      <c r="J215">
        <f>IFERROR($C215*INDEX(SPPR!$E:$X,MATCH($A215,SPPR!$A:$A,0),7),"")</f>
        <v/>
      </c>
      <c r="K215">
        <f>IFERROR($C215*INDEX(SPPR!$E:$X,MATCH($A215,SPPR!$A:$A,0),8),"")</f>
        <v/>
      </c>
      <c r="L215">
        <f>IFERROR($C215*INDEX(SPPR!$E:$X,MATCH($A215,SPPR!$A:$A,0),9),"")</f>
        <v/>
      </c>
      <c r="M215">
        <f>IFERROR($C215*INDEX(SPPR!$E:$X,MATCH($A215,SPPR!$A:$A,0),10),"")</f>
        <v/>
      </c>
      <c r="N215">
        <f>IFERROR($C215*INDEX(SPPR!$E:$X,MATCH($A215,SPPR!$A:$A,0),11),"")</f>
        <v/>
      </c>
      <c r="O215">
        <f>IFERROR($C215*INDEX(SPPR!$E:$X,MATCH($A215,SPPR!$A:$A,0),12),"")</f>
        <v/>
      </c>
      <c r="P215">
        <f>IFERROR($C215*INDEX(SPPR!$E:$X,MATCH($A215,SPPR!$A:$A,0),13),"")</f>
        <v/>
      </c>
      <c r="Q215">
        <f>IFERROR($C215*INDEX(SPPR!$E:$X,MATCH($A215,SPPR!$A:$A,0),14),"")</f>
        <v/>
      </c>
      <c r="R215">
        <f>IFERROR($C215*INDEX(SPPR!$E:$X,MATCH($A215,SPPR!$A:$A,0),15),"")</f>
        <v/>
      </c>
      <c r="S215">
        <f>IFERROR($C215*INDEX(SPPR!$E:$X,MATCH($A215,SPPR!$A:$A,0),16),"")</f>
        <v/>
      </c>
      <c r="T215">
        <f>IFERROR($C215*INDEX(SPPR!$E:$X,MATCH($A215,SPPR!$A:$A,0),17),"")</f>
        <v/>
      </c>
      <c r="U215">
        <f>IFERROR($C215*INDEX(SPPR!$E:$X,MATCH($A215,SPPR!$A:$A,0),18),"")</f>
        <v/>
      </c>
      <c r="V215">
        <f>IFERROR($C215*INDEX(SPPR!$E:$X,MATCH($A215,SPPR!$A:$A,0),19),"")</f>
        <v/>
      </c>
      <c r="W215">
        <f>IFERROR($C215*INDEX(SPPR!$E:$X,MATCH($A215,SPPR!$A:$A,0),20),"")</f>
        <v/>
      </c>
    </row>
    <row r="216">
      <c r="A216" t="inlineStr">
        <is>
          <t>Epinephelus maculatus</t>
        </is>
      </c>
      <c r="B216">
        <f>IFERROR(INDEX(SPPR!$D:$D,MATCH($A216,SPPR!$A:$A,0)),"")</f>
        <v/>
      </c>
      <c r="C216">
        <f>IFERROR(INDEX(Catch!$E:$BV,MATCH($A216,Catch!$A:$A,0),MATCH($B$4,Catch!$E$1:$BV$1,0)),0)</f>
        <v/>
      </c>
      <c r="D216">
        <f>IFERROR($C216*INDEX(SPPR!$E:$X,MATCH($A216,SPPR!$A:$A,0),1),"")</f>
        <v/>
      </c>
      <c r="E216">
        <f>IFERROR($C216*INDEX(SPPR!$E:$X,MATCH($A216,SPPR!$A:$A,0),2),"")</f>
        <v/>
      </c>
      <c r="F216">
        <f>IFERROR($C216*INDEX(SPPR!$E:$X,MATCH($A216,SPPR!$A:$A,0),3),"")</f>
        <v/>
      </c>
      <c r="G216">
        <f>IFERROR($C216*INDEX(SPPR!$E:$X,MATCH($A216,SPPR!$A:$A,0),4),"")</f>
        <v/>
      </c>
      <c r="H216">
        <f>IFERROR($C216*INDEX(SPPR!$E:$X,MATCH($A216,SPPR!$A:$A,0),5),"")</f>
        <v/>
      </c>
      <c r="I216">
        <f>IFERROR($C216*INDEX(SPPR!$E:$X,MATCH($A216,SPPR!$A:$A,0),6),"")</f>
        <v/>
      </c>
      <c r="J216">
        <f>IFERROR($C216*INDEX(SPPR!$E:$X,MATCH($A216,SPPR!$A:$A,0),7),"")</f>
        <v/>
      </c>
      <c r="K216">
        <f>IFERROR($C216*INDEX(SPPR!$E:$X,MATCH($A216,SPPR!$A:$A,0),8),"")</f>
        <v/>
      </c>
      <c r="L216">
        <f>IFERROR($C216*INDEX(SPPR!$E:$X,MATCH($A216,SPPR!$A:$A,0),9),"")</f>
        <v/>
      </c>
      <c r="M216">
        <f>IFERROR($C216*INDEX(SPPR!$E:$X,MATCH($A216,SPPR!$A:$A,0),10),"")</f>
        <v/>
      </c>
      <c r="N216">
        <f>IFERROR($C216*INDEX(SPPR!$E:$X,MATCH($A216,SPPR!$A:$A,0),11),"")</f>
        <v/>
      </c>
      <c r="O216">
        <f>IFERROR($C216*INDEX(SPPR!$E:$X,MATCH($A216,SPPR!$A:$A,0),12),"")</f>
        <v/>
      </c>
      <c r="P216">
        <f>IFERROR($C216*INDEX(SPPR!$E:$X,MATCH($A216,SPPR!$A:$A,0),13),"")</f>
        <v/>
      </c>
      <c r="Q216">
        <f>IFERROR($C216*INDEX(SPPR!$E:$X,MATCH($A216,SPPR!$A:$A,0),14),"")</f>
        <v/>
      </c>
      <c r="R216">
        <f>IFERROR($C216*INDEX(SPPR!$E:$X,MATCH($A216,SPPR!$A:$A,0),15),"")</f>
        <v/>
      </c>
      <c r="S216">
        <f>IFERROR($C216*INDEX(SPPR!$E:$X,MATCH($A216,SPPR!$A:$A,0),16),"")</f>
        <v/>
      </c>
      <c r="T216">
        <f>IFERROR($C216*INDEX(SPPR!$E:$X,MATCH($A216,SPPR!$A:$A,0),17),"")</f>
        <v/>
      </c>
      <c r="U216">
        <f>IFERROR($C216*INDEX(SPPR!$E:$X,MATCH($A216,SPPR!$A:$A,0),18),"")</f>
        <v/>
      </c>
      <c r="V216">
        <f>IFERROR($C216*INDEX(SPPR!$E:$X,MATCH($A216,SPPR!$A:$A,0),19),"")</f>
        <v/>
      </c>
      <c r="W216">
        <f>IFERROR($C216*INDEX(SPPR!$E:$X,MATCH($A216,SPPR!$A:$A,0),20),"")</f>
        <v/>
      </c>
    </row>
    <row r="217">
      <c r="A217" t="inlineStr">
        <is>
          <t>Isurus</t>
        </is>
      </c>
      <c r="B217">
        <f>IFERROR(INDEX(SPPR!$D:$D,MATCH($A217,SPPR!$A:$A,0)),"")</f>
        <v/>
      </c>
      <c r="C217">
        <f>IFERROR(INDEX(Catch!$E:$BV,MATCH($A217,Catch!$A:$A,0),MATCH($B$4,Catch!$E$1:$BV$1,0)),0)</f>
        <v/>
      </c>
      <c r="D217">
        <f>IFERROR($C217*INDEX(SPPR!$E:$X,MATCH($A217,SPPR!$A:$A,0),1),"")</f>
        <v/>
      </c>
      <c r="E217">
        <f>IFERROR($C217*INDEX(SPPR!$E:$X,MATCH($A217,SPPR!$A:$A,0),2),"")</f>
        <v/>
      </c>
      <c r="F217">
        <f>IFERROR($C217*INDEX(SPPR!$E:$X,MATCH($A217,SPPR!$A:$A,0),3),"")</f>
        <v/>
      </c>
      <c r="G217">
        <f>IFERROR($C217*INDEX(SPPR!$E:$X,MATCH($A217,SPPR!$A:$A,0),4),"")</f>
        <v/>
      </c>
      <c r="H217">
        <f>IFERROR($C217*INDEX(SPPR!$E:$X,MATCH($A217,SPPR!$A:$A,0),5),"")</f>
        <v/>
      </c>
      <c r="I217">
        <f>IFERROR($C217*INDEX(SPPR!$E:$X,MATCH($A217,SPPR!$A:$A,0),6),"")</f>
        <v/>
      </c>
      <c r="J217">
        <f>IFERROR($C217*INDEX(SPPR!$E:$X,MATCH($A217,SPPR!$A:$A,0),7),"")</f>
        <v/>
      </c>
      <c r="K217">
        <f>IFERROR($C217*INDEX(SPPR!$E:$X,MATCH($A217,SPPR!$A:$A,0),8),"")</f>
        <v/>
      </c>
      <c r="L217">
        <f>IFERROR($C217*INDEX(SPPR!$E:$X,MATCH($A217,SPPR!$A:$A,0),9),"")</f>
        <v/>
      </c>
      <c r="M217">
        <f>IFERROR($C217*INDEX(SPPR!$E:$X,MATCH($A217,SPPR!$A:$A,0),10),"")</f>
        <v/>
      </c>
      <c r="N217">
        <f>IFERROR($C217*INDEX(SPPR!$E:$X,MATCH($A217,SPPR!$A:$A,0),11),"")</f>
        <v/>
      </c>
      <c r="O217">
        <f>IFERROR($C217*INDEX(SPPR!$E:$X,MATCH($A217,SPPR!$A:$A,0),12),"")</f>
        <v/>
      </c>
      <c r="P217">
        <f>IFERROR($C217*INDEX(SPPR!$E:$X,MATCH($A217,SPPR!$A:$A,0),13),"")</f>
        <v/>
      </c>
      <c r="Q217">
        <f>IFERROR($C217*INDEX(SPPR!$E:$X,MATCH($A217,SPPR!$A:$A,0),14),"")</f>
        <v/>
      </c>
      <c r="R217">
        <f>IFERROR($C217*INDEX(SPPR!$E:$X,MATCH($A217,SPPR!$A:$A,0),15),"")</f>
        <v/>
      </c>
      <c r="S217">
        <f>IFERROR($C217*INDEX(SPPR!$E:$X,MATCH($A217,SPPR!$A:$A,0),16),"")</f>
        <v/>
      </c>
      <c r="T217">
        <f>IFERROR($C217*INDEX(SPPR!$E:$X,MATCH($A217,SPPR!$A:$A,0),17),"")</f>
        <v/>
      </c>
      <c r="U217">
        <f>IFERROR($C217*INDEX(SPPR!$E:$X,MATCH($A217,SPPR!$A:$A,0),18),"")</f>
        <v/>
      </c>
      <c r="V217">
        <f>IFERROR($C217*INDEX(SPPR!$E:$X,MATCH($A217,SPPR!$A:$A,0),19),"")</f>
        <v/>
      </c>
      <c r="W217">
        <f>IFERROR($C217*INDEX(SPPR!$E:$X,MATCH($A217,SPPR!$A:$A,0),20),"")</f>
        <v/>
      </c>
    </row>
    <row r="218">
      <c r="A218" t="inlineStr">
        <is>
          <t>Dussumieria elopsoides</t>
        </is>
      </c>
      <c r="B218">
        <f>IFERROR(INDEX(SPPR!$D:$D,MATCH($A218,SPPR!$A:$A,0)),"")</f>
        <v/>
      </c>
      <c r="C218">
        <f>IFERROR(INDEX(Catch!$E:$BV,MATCH($A218,Catch!$A:$A,0),MATCH($B$4,Catch!$E$1:$BV$1,0)),0)</f>
        <v/>
      </c>
      <c r="D218">
        <f>IFERROR($C218*INDEX(SPPR!$E:$X,MATCH($A218,SPPR!$A:$A,0),1),"")</f>
        <v/>
      </c>
      <c r="E218">
        <f>IFERROR($C218*INDEX(SPPR!$E:$X,MATCH($A218,SPPR!$A:$A,0),2),"")</f>
        <v/>
      </c>
      <c r="F218">
        <f>IFERROR($C218*INDEX(SPPR!$E:$X,MATCH($A218,SPPR!$A:$A,0),3),"")</f>
        <v/>
      </c>
      <c r="G218">
        <f>IFERROR($C218*INDEX(SPPR!$E:$X,MATCH($A218,SPPR!$A:$A,0),4),"")</f>
        <v/>
      </c>
      <c r="H218">
        <f>IFERROR($C218*INDEX(SPPR!$E:$X,MATCH($A218,SPPR!$A:$A,0),5),"")</f>
        <v/>
      </c>
      <c r="I218">
        <f>IFERROR($C218*INDEX(SPPR!$E:$X,MATCH($A218,SPPR!$A:$A,0),6),"")</f>
        <v/>
      </c>
      <c r="J218">
        <f>IFERROR($C218*INDEX(SPPR!$E:$X,MATCH($A218,SPPR!$A:$A,0),7),"")</f>
        <v/>
      </c>
      <c r="K218">
        <f>IFERROR($C218*INDEX(SPPR!$E:$X,MATCH($A218,SPPR!$A:$A,0),8),"")</f>
        <v/>
      </c>
      <c r="L218">
        <f>IFERROR($C218*INDEX(SPPR!$E:$X,MATCH($A218,SPPR!$A:$A,0),9),"")</f>
        <v/>
      </c>
      <c r="M218">
        <f>IFERROR($C218*INDEX(SPPR!$E:$X,MATCH($A218,SPPR!$A:$A,0),10),"")</f>
        <v/>
      </c>
      <c r="N218">
        <f>IFERROR($C218*INDEX(SPPR!$E:$X,MATCH($A218,SPPR!$A:$A,0),11),"")</f>
        <v/>
      </c>
      <c r="O218">
        <f>IFERROR($C218*INDEX(SPPR!$E:$X,MATCH($A218,SPPR!$A:$A,0),12),"")</f>
        <v/>
      </c>
      <c r="P218">
        <f>IFERROR($C218*INDEX(SPPR!$E:$X,MATCH($A218,SPPR!$A:$A,0),13),"")</f>
        <v/>
      </c>
      <c r="Q218">
        <f>IFERROR($C218*INDEX(SPPR!$E:$X,MATCH($A218,SPPR!$A:$A,0),14),"")</f>
        <v/>
      </c>
      <c r="R218">
        <f>IFERROR($C218*INDEX(SPPR!$E:$X,MATCH($A218,SPPR!$A:$A,0),15),"")</f>
        <v/>
      </c>
      <c r="S218">
        <f>IFERROR($C218*INDEX(SPPR!$E:$X,MATCH($A218,SPPR!$A:$A,0),16),"")</f>
        <v/>
      </c>
      <c r="T218">
        <f>IFERROR($C218*INDEX(SPPR!$E:$X,MATCH($A218,SPPR!$A:$A,0),17),"")</f>
        <v/>
      </c>
      <c r="U218">
        <f>IFERROR($C218*INDEX(SPPR!$E:$X,MATCH($A218,SPPR!$A:$A,0),18),"")</f>
        <v/>
      </c>
      <c r="V218">
        <f>IFERROR($C218*INDEX(SPPR!$E:$X,MATCH($A218,SPPR!$A:$A,0),19),"")</f>
        <v/>
      </c>
      <c r="W218">
        <f>IFERROR($C218*INDEX(SPPR!$E:$X,MATCH($A218,SPPR!$A:$A,0),20),"")</f>
        <v/>
      </c>
    </row>
    <row r="219">
      <c r="A219" t="inlineStr">
        <is>
          <t>Chirocentrus dorab</t>
        </is>
      </c>
      <c r="B219">
        <f>IFERROR(INDEX(SPPR!$D:$D,MATCH($A219,SPPR!$A:$A,0)),"")</f>
        <v/>
      </c>
      <c r="C219">
        <f>IFERROR(INDEX(Catch!$E:$BV,MATCH($A219,Catch!$A:$A,0),MATCH($B$4,Catch!$E$1:$BV$1,0)),0)</f>
        <v/>
      </c>
      <c r="D219">
        <f>IFERROR($C219*INDEX(SPPR!$E:$X,MATCH($A219,SPPR!$A:$A,0),1),"")</f>
        <v/>
      </c>
      <c r="E219">
        <f>IFERROR($C219*INDEX(SPPR!$E:$X,MATCH($A219,SPPR!$A:$A,0),2),"")</f>
        <v/>
      </c>
      <c r="F219">
        <f>IFERROR($C219*INDEX(SPPR!$E:$X,MATCH($A219,SPPR!$A:$A,0),3),"")</f>
        <v/>
      </c>
      <c r="G219">
        <f>IFERROR($C219*INDEX(SPPR!$E:$X,MATCH($A219,SPPR!$A:$A,0),4),"")</f>
        <v/>
      </c>
      <c r="H219">
        <f>IFERROR($C219*INDEX(SPPR!$E:$X,MATCH($A219,SPPR!$A:$A,0),5),"")</f>
        <v/>
      </c>
      <c r="I219">
        <f>IFERROR($C219*INDEX(SPPR!$E:$X,MATCH($A219,SPPR!$A:$A,0),6),"")</f>
        <v/>
      </c>
      <c r="J219">
        <f>IFERROR($C219*INDEX(SPPR!$E:$X,MATCH($A219,SPPR!$A:$A,0),7),"")</f>
        <v/>
      </c>
      <c r="K219">
        <f>IFERROR($C219*INDEX(SPPR!$E:$X,MATCH($A219,SPPR!$A:$A,0),8),"")</f>
        <v/>
      </c>
      <c r="L219">
        <f>IFERROR($C219*INDEX(SPPR!$E:$X,MATCH($A219,SPPR!$A:$A,0),9),"")</f>
        <v/>
      </c>
      <c r="M219">
        <f>IFERROR($C219*INDEX(SPPR!$E:$X,MATCH($A219,SPPR!$A:$A,0),10),"")</f>
        <v/>
      </c>
      <c r="N219">
        <f>IFERROR($C219*INDEX(SPPR!$E:$X,MATCH($A219,SPPR!$A:$A,0),11),"")</f>
        <v/>
      </c>
      <c r="O219">
        <f>IFERROR($C219*INDEX(SPPR!$E:$X,MATCH($A219,SPPR!$A:$A,0),12),"")</f>
        <v/>
      </c>
      <c r="P219">
        <f>IFERROR($C219*INDEX(SPPR!$E:$X,MATCH($A219,SPPR!$A:$A,0),13),"")</f>
        <v/>
      </c>
      <c r="Q219">
        <f>IFERROR($C219*INDEX(SPPR!$E:$X,MATCH($A219,SPPR!$A:$A,0),14),"")</f>
        <v/>
      </c>
      <c r="R219">
        <f>IFERROR($C219*INDEX(SPPR!$E:$X,MATCH($A219,SPPR!$A:$A,0),15),"")</f>
        <v/>
      </c>
      <c r="S219">
        <f>IFERROR($C219*INDEX(SPPR!$E:$X,MATCH($A219,SPPR!$A:$A,0),16),"")</f>
        <v/>
      </c>
      <c r="T219">
        <f>IFERROR($C219*INDEX(SPPR!$E:$X,MATCH($A219,SPPR!$A:$A,0),17),"")</f>
        <v/>
      </c>
      <c r="U219">
        <f>IFERROR($C219*INDEX(SPPR!$E:$X,MATCH($A219,SPPR!$A:$A,0),18),"")</f>
        <v/>
      </c>
      <c r="V219">
        <f>IFERROR($C219*INDEX(SPPR!$E:$X,MATCH($A219,SPPR!$A:$A,0),19),"")</f>
        <v/>
      </c>
      <c r="W219">
        <f>IFERROR($C219*INDEX(SPPR!$E:$X,MATCH($A219,SPPR!$A:$A,0),20),"")</f>
        <v/>
      </c>
    </row>
    <row r="220">
      <c r="A220" t="inlineStr">
        <is>
          <t>Oratosquilla oratoria</t>
        </is>
      </c>
      <c r="B220">
        <f>IFERROR(INDEX(SPPR!$D:$D,MATCH($A220,SPPR!$A:$A,0)),"")</f>
        <v/>
      </c>
      <c r="C220">
        <f>IFERROR(INDEX(Catch!$E:$BV,MATCH($A220,Catch!$A:$A,0),MATCH($B$4,Catch!$E$1:$BV$1,0)),0)</f>
        <v/>
      </c>
      <c r="D220">
        <f>IFERROR($C220*INDEX(SPPR!$E:$X,MATCH($A220,SPPR!$A:$A,0),1),"")</f>
        <v/>
      </c>
      <c r="E220">
        <f>IFERROR($C220*INDEX(SPPR!$E:$X,MATCH($A220,SPPR!$A:$A,0),2),"")</f>
        <v/>
      </c>
      <c r="F220">
        <f>IFERROR($C220*INDEX(SPPR!$E:$X,MATCH($A220,SPPR!$A:$A,0),3),"")</f>
        <v/>
      </c>
      <c r="G220">
        <f>IFERROR($C220*INDEX(SPPR!$E:$X,MATCH($A220,SPPR!$A:$A,0),4),"")</f>
        <v/>
      </c>
      <c r="H220">
        <f>IFERROR($C220*INDEX(SPPR!$E:$X,MATCH($A220,SPPR!$A:$A,0),5),"")</f>
        <v/>
      </c>
      <c r="I220">
        <f>IFERROR($C220*INDEX(SPPR!$E:$X,MATCH($A220,SPPR!$A:$A,0),6),"")</f>
        <v/>
      </c>
      <c r="J220">
        <f>IFERROR($C220*INDEX(SPPR!$E:$X,MATCH($A220,SPPR!$A:$A,0),7),"")</f>
        <v/>
      </c>
      <c r="K220">
        <f>IFERROR($C220*INDEX(SPPR!$E:$X,MATCH($A220,SPPR!$A:$A,0),8),"")</f>
        <v/>
      </c>
      <c r="L220">
        <f>IFERROR($C220*INDEX(SPPR!$E:$X,MATCH($A220,SPPR!$A:$A,0),9),"")</f>
        <v/>
      </c>
      <c r="M220">
        <f>IFERROR($C220*INDEX(SPPR!$E:$X,MATCH($A220,SPPR!$A:$A,0),10),"")</f>
        <v/>
      </c>
      <c r="N220">
        <f>IFERROR($C220*INDEX(SPPR!$E:$X,MATCH($A220,SPPR!$A:$A,0),11),"")</f>
        <v/>
      </c>
      <c r="O220">
        <f>IFERROR($C220*INDEX(SPPR!$E:$X,MATCH($A220,SPPR!$A:$A,0),12),"")</f>
        <v/>
      </c>
      <c r="P220">
        <f>IFERROR($C220*INDEX(SPPR!$E:$X,MATCH($A220,SPPR!$A:$A,0),13),"")</f>
        <v/>
      </c>
      <c r="Q220">
        <f>IFERROR($C220*INDEX(SPPR!$E:$X,MATCH($A220,SPPR!$A:$A,0),14),"")</f>
        <v/>
      </c>
      <c r="R220">
        <f>IFERROR($C220*INDEX(SPPR!$E:$X,MATCH($A220,SPPR!$A:$A,0),15),"")</f>
        <v/>
      </c>
      <c r="S220">
        <f>IFERROR($C220*INDEX(SPPR!$E:$X,MATCH($A220,SPPR!$A:$A,0),16),"")</f>
        <v/>
      </c>
      <c r="T220">
        <f>IFERROR($C220*INDEX(SPPR!$E:$X,MATCH($A220,SPPR!$A:$A,0),17),"")</f>
        <v/>
      </c>
      <c r="U220">
        <f>IFERROR($C220*INDEX(SPPR!$E:$X,MATCH($A220,SPPR!$A:$A,0),18),"")</f>
        <v/>
      </c>
      <c r="V220">
        <f>IFERROR($C220*INDEX(SPPR!$E:$X,MATCH($A220,SPPR!$A:$A,0),19),"")</f>
        <v/>
      </c>
      <c r="W220">
        <f>IFERROR($C220*INDEX(SPPR!$E:$X,MATCH($A220,SPPR!$A:$A,0),20),"")</f>
        <v/>
      </c>
    </row>
    <row r="221">
      <c r="A221" t="inlineStr">
        <is>
          <t>Saurida</t>
        </is>
      </c>
      <c r="B221">
        <f>IFERROR(INDEX(SPPR!$D:$D,MATCH($A221,SPPR!$A:$A,0)),"")</f>
        <v/>
      </c>
      <c r="C221">
        <f>IFERROR(INDEX(Catch!$E:$BV,MATCH($A221,Catch!$A:$A,0),MATCH($B$4,Catch!$E$1:$BV$1,0)),0)</f>
        <v/>
      </c>
      <c r="D221">
        <f>IFERROR($C221*INDEX(SPPR!$E:$X,MATCH($A221,SPPR!$A:$A,0),1),"")</f>
        <v/>
      </c>
      <c r="E221">
        <f>IFERROR($C221*INDEX(SPPR!$E:$X,MATCH($A221,SPPR!$A:$A,0),2),"")</f>
        <v/>
      </c>
      <c r="F221">
        <f>IFERROR($C221*INDEX(SPPR!$E:$X,MATCH($A221,SPPR!$A:$A,0),3),"")</f>
        <v/>
      </c>
      <c r="G221">
        <f>IFERROR($C221*INDEX(SPPR!$E:$X,MATCH($A221,SPPR!$A:$A,0),4),"")</f>
        <v/>
      </c>
      <c r="H221">
        <f>IFERROR($C221*INDEX(SPPR!$E:$X,MATCH($A221,SPPR!$A:$A,0),5),"")</f>
        <v/>
      </c>
      <c r="I221">
        <f>IFERROR($C221*INDEX(SPPR!$E:$X,MATCH($A221,SPPR!$A:$A,0),6),"")</f>
        <v/>
      </c>
      <c r="J221">
        <f>IFERROR($C221*INDEX(SPPR!$E:$X,MATCH($A221,SPPR!$A:$A,0),7),"")</f>
        <v/>
      </c>
      <c r="K221">
        <f>IFERROR($C221*INDEX(SPPR!$E:$X,MATCH($A221,SPPR!$A:$A,0),8),"")</f>
        <v/>
      </c>
      <c r="L221">
        <f>IFERROR($C221*INDEX(SPPR!$E:$X,MATCH($A221,SPPR!$A:$A,0),9),"")</f>
        <v/>
      </c>
      <c r="M221">
        <f>IFERROR($C221*INDEX(SPPR!$E:$X,MATCH($A221,SPPR!$A:$A,0),10),"")</f>
        <v/>
      </c>
      <c r="N221">
        <f>IFERROR($C221*INDEX(SPPR!$E:$X,MATCH($A221,SPPR!$A:$A,0),11),"")</f>
        <v/>
      </c>
      <c r="O221">
        <f>IFERROR($C221*INDEX(SPPR!$E:$X,MATCH($A221,SPPR!$A:$A,0),12),"")</f>
        <v/>
      </c>
      <c r="P221">
        <f>IFERROR($C221*INDEX(SPPR!$E:$X,MATCH($A221,SPPR!$A:$A,0),13),"")</f>
        <v/>
      </c>
      <c r="Q221">
        <f>IFERROR($C221*INDEX(SPPR!$E:$X,MATCH($A221,SPPR!$A:$A,0),14),"")</f>
        <v/>
      </c>
      <c r="R221">
        <f>IFERROR($C221*INDEX(SPPR!$E:$X,MATCH($A221,SPPR!$A:$A,0),15),"")</f>
        <v/>
      </c>
      <c r="S221">
        <f>IFERROR($C221*INDEX(SPPR!$E:$X,MATCH($A221,SPPR!$A:$A,0),16),"")</f>
        <v/>
      </c>
      <c r="T221">
        <f>IFERROR($C221*INDEX(SPPR!$E:$X,MATCH($A221,SPPR!$A:$A,0),17),"")</f>
        <v/>
      </c>
      <c r="U221">
        <f>IFERROR($C221*INDEX(SPPR!$E:$X,MATCH($A221,SPPR!$A:$A,0),18),"")</f>
        <v/>
      </c>
      <c r="V221">
        <f>IFERROR($C221*INDEX(SPPR!$E:$X,MATCH($A221,SPPR!$A:$A,0),19),"")</f>
        <v/>
      </c>
      <c r="W221">
        <f>IFERROR($C221*INDEX(SPPR!$E:$X,MATCH($A221,SPPR!$A:$A,0),20),"")</f>
        <v/>
      </c>
    </row>
    <row r="222">
      <c r="A222" t="inlineStr">
        <is>
          <t>Stolephorus</t>
        </is>
      </c>
      <c r="B222">
        <f>IFERROR(INDEX(SPPR!$D:$D,MATCH($A222,SPPR!$A:$A,0)),"")</f>
        <v/>
      </c>
      <c r="C222">
        <f>IFERROR(INDEX(Catch!$E:$BV,MATCH($A222,Catch!$A:$A,0),MATCH($B$4,Catch!$E$1:$BV$1,0)),0)</f>
        <v/>
      </c>
      <c r="D222">
        <f>IFERROR($C222*INDEX(SPPR!$E:$X,MATCH($A222,SPPR!$A:$A,0),1),"")</f>
        <v/>
      </c>
      <c r="E222">
        <f>IFERROR($C222*INDEX(SPPR!$E:$X,MATCH($A222,SPPR!$A:$A,0),2),"")</f>
        <v/>
      </c>
      <c r="F222">
        <f>IFERROR($C222*INDEX(SPPR!$E:$X,MATCH($A222,SPPR!$A:$A,0),3),"")</f>
        <v/>
      </c>
      <c r="G222">
        <f>IFERROR($C222*INDEX(SPPR!$E:$X,MATCH($A222,SPPR!$A:$A,0),4),"")</f>
        <v/>
      </c>
      <c r="H222">
        <f>IFERROR($C222*INDEX(SPPR!$E:$X,MATCH($A222,SPPR!$A:$A,0),5),"")</f>
        <v/>
      </c>
      <c r="I222">
        <f>IFERROR($C222*INDEX(SPPR!$E:$X,MATCH($A222,SPPR!$A:$A,0),6),"")</f>
        <v/>
      </c>
      <c r="J222">
        <f>IFERROR($C222*INDEX(SPPR!$E:$X,MATCH($A222,SPPR!$A:$A,0),7),"")</f>
        <v/>
      </c>
      <c r="K222">
        <f>IFERROR($C222*INDEX(SPPR!$E:$X,MATCH($A222,SPPR!$A:$A,0),8),"")</f>
        <v/>
      </c>
      <c r="L222">
        <f>IFERROR($C222*INDEX(SPPR!$E:$X,MATCH($A222,SPPR!$A:$A,0),9),"")</f>
        <v/>
      </c>
      <c r="M222">
        <f>IFERROR($C222*INDEX(SPPR!$E:$X,MATCH($A222,SPPR!$A:$A,0),10),"")</f>
        <v/>
      </c>
      <c r="N222">
        <f>IFERROR($C222*INDEX(SPPR!$E:$X,MATCH($A222,SPPR!$A:$A,0),11),"")</f>
        <v/>
      </c>
      <c r="O222">
        <f>IFERROR($C222*INDEX(SPPR!$E:$X,MATCH($A222,SPPR!$A:$A,0),12),"")</f>
        <v/>
      </c>
      <c r="P222">
        <f>IFERROR($C222*INDEX(SPPR!$E:$X,MATCH($A222,SPPR!$A:$A,0),13),"")</f>
        <v/>
      </c>
      <c r="Q222">
        <f>IFERROR($C222*INDEX(SPPR!$E:$X,MATCH($A222,SPPR!$A:$A,0),14),"")</f>
        <v/>
      </c>
      <c r="R222">
        <f>IFERROR($C222*INDEX(SPPR!$E:$X,MATCH($A222,SPPR!$A:$A,0),15),"")</f>
        <v/>
      </c>
      <c r="S222">
        <f>IFERROR($C222*INDEX(SPPR!$E:$X,MATCH($A222,SPPR!$A:$A,0),16),"")</f>
        <v/>
      </c>
      <c r="T222">
        <f>IFERROR($C222*INDEX(SPPR!$E:$X,MATCH($A222,SPPR!$A:$A,0),17),"")</f>
        <v/>
      </c>
      <c r="U222">
        <f>IFERROR($C222*INDEX(SPPR!$E:$X,MATCH($A222,SPPR!$A:$A,0),18),"")</f>
        <v/>
      </c>
      <c r="V222">
        <f>IFERROR($C222*INDEX(SPPR!$E:$X,MATCH($A222,SPPR!$A:$A,0),19),"")</f>
        <v/>
      </c>
      <c r="W222">
        <f>IFERROR($C222*INDEX(SPPR!$E:$X,MATCH($A222,SPPR!$A:$A,0),20),"")</f>
        <v/>
      </c>
    </row>
    <row r="223">
      <c r="A223" t="inlineStr">
        <is>
          <t>Sphyraena</t>
        </is>
      </c>
      <c r="B223">
        <f>IFERROR(INDEX(SPPR!$D:$D,MATCH($A223,SPPR!$A:$A,0)),"")</f>
        <v/>
      </c>
      <c r="C223">
        <f>IFERROR(INDEX(Catch!$E:$BV,MATCH($A223,Catch!$A:$A,0),MATCH($B$4,Catch!$E$1:$BV$1,0)),0)</f>
        <v/>
      </c>
      <c r="D223">
        <f>IFERROR($C223*INDEX(SPPR!$E:$X,MATCH($A223,SPPR!$A:$A,0),1),"")</f>
        <v/>
      </c>
      <c r="E223">
        <f>IFERROR($C223*INDEX(SPPR!$E:$X,MATCH($A223,SPPR!$A:$A,0),2),"")</f>
        <v/>
      </c>
      <c r="F223">
        <f>IFERROR($C223*INDEX(SPPR!$E:$X,MATCH($A223,SPPR!$A:$A,0),3),"")</f>
        <v/>
      </c>
      <c r="G223">
        <f>IFERROR($C223*INDEX(SPPR!$E:$X,MATCH($A223,SPPR!$A:$A,0),4),"")</f>
        <v/>
      </c>
      <c r="H223">
        <f>IFERROR($C223*INDEX(SPPR!$E:$X,MATCH($A223,SPPR!$A:$A,0),5),"")</f>
        <v/>
      </c>
      <c r="I223">
        <f>IFERROR($C223*INDEX(SPPR!$E:$X,MATCH($A223,SPPR!$A:$A,0),6),"")</f>
        <v/>
      </c>
      <c r="J223">
        <f>IFERROR($C223*INDEX(SPPR!$E:$X,MATCH($A223,SPPR!$A:$A,0),7),"")</f>
        <v/>
      </c>
      <c r="K223">
        <f>IFERROR($C223*INDEX(SPPR!$E:$X,MATCH($A223,SPPR!$A:$A,0),8),"")</f>
        <v/>
      </c>
      <c r="L223">
        <f>IFERROR($C223*INDEX(SPPR!$E:$X,MATCH($A223,SPPR!$A:$A,0),9),"")</f>
        <v/>
      </c>
      <c r="M223">
        <f>IFERROR($C223*INDEX(SPPR!$E:$X,MATCH($A223,SPPR!$A:$A,0),10),"")</f>
        <v/>
      </c>
      <c r="N223">
        <f>IFERROR($C223*INDEX(SPPR!$E:$X,MATCH($A223,SPPR!$A:$A,0),11),"")</f>
        <v/>
      </c>
      <c r="O223">
        <f>IFERROR($C223*INDEX(SPPR!$E:$X,MATCH($A223,SPPR!$A:$A,0),12),"")</f>
        <v/>
      </c>
      <c r="P223">
        <f>IFERROR($C223*INDEX(SPPR!$E:$X,MATCH($A223,SPPR!$A:$A,0),13),"")</f>
        <v/>
      </c>
      <c r="Q223">
        <f>IFERROR($C223*INDEX(SPPR!$E:$X,MATCH($A223,SPPR!$A:$A,0),14),"")</f>
        <v/>
      </c>
      <c r="R223">
        <f>IFERROR($C223*INDEX(SPPR!$E:$X,MATCH($A223,SPPR!$A:$A,0),15),"")</f>
        <v/>
      </c>
      <c r="S223">
        <f>IFERROR($C223*INDEX(SPPR!$E:$X,MATCH($A223,SPPR!$A:$A,0),16),"")</f>
        <v/>
      </c>
      <c r="T223">
        <f>IFERROR($C223*INDEX(SPPR!$E:$X,MATCH($A223,SPPR!$A:$A,0),17),"")</f>
        <v/>
      </c>
      <c r="U223">
        <f>IFERROR($C223*INDEX(SPPR!$E:$X,MATCH($A223,SPPR!$A:$A,0),18),"")</f>
        <v/>
      </c>
      <c r="V223">
        <f>IFERROR($C223*INDEX(SPPR!$E:$X,MATCH($A223,SPPR!$A:$A,0),19),"")</f>
        <v/>
      </c>
      <c r="W223">
        <f>IFERROR($C223*INDEX(SPPR!$E:$X,MATCH($A223,SPPR!$A:$A,0),20),"")</f>
        <v/>
      </c>
    </row>
    <row r="224">
      <c r="A224" t="inlineStr">
        <is>
          <t>Rapana</t>
        </is>
      </c>
      <c r="B224">
        <f>IFERROR(INDEX(SPPR!$D:$D,MATCH($A224,SPPR!$A:$A,0)),"")</f>
        <v/>
      </c>
      <c r="C224">
        <f>IFERROR(INDEX(Catch!$E:$BV,MATCH($A224,Catch!$A:$A,0),MATCH($B$4,Catch!$E$1:$BV$1,0)),0)</f>
        <v/>
      </c>
      <c r="D224">
        <f>IFERROR($C224*INDEX(SPPR!$E:$X,MATCH($A224,SPPR!$A:$A,0),1),"")</f>
        <v/>
      </c>
      <c r="E224">
        <f>IFERROR($C224*INDEX(SPPR!$E:$X,MATCH($A224,SPPR!$A:$A,0),2),"")</f>
        <v/>
      </c>
      <c r="F224">
        <f>IFERROR($C224*INDEX(SPPR!$E:$X,MATCH($A224,SPPR!$A:$A,0),3),"")</f>
        <v/>
      </c>
      <c r="G224">
        <f>IFERROR($C224*INDEX(SPPR!$E:$X,MATCH($A224,SPPR!$A:$A,0),4),"")</f>
        <v/>
      </c>
      <c r="H224">
        <f>IFERROR($C224*INDEX(SPPR!$E:$X,MATCH($A224,SPPR!$A:$A,0),5),"")</f>
        <v/>
      </c>
      <c r="I224">
        <f>IFERROR($C224*INDEX(SPPR!$E:$X,MATCH($A224,SPPR!$A:$A,0),6),"")</f>
        <v/>
      </c>
      <c r="J224">
        <f>IFERROR($C224*INDEX(SPPR!$E:$X,MATCH($A224,SPPR!$A:$A,0),7),"")</f>
        <v/>
      </c>
      <c r="K224">
        <f>IFERROR($C224*INDEX(SPPR!$E:$X,MATCH($A224,SPPR!$A:$A,0),8),"")</f>
        <v/>
      </c>
      <c r="L224">
        <f>IFERROR($C224*INDEX(SPPR!$E:$X,MATCH($A224,SPPR!$A:$A,0),9),"")</f>
        <v/>
      </c>
      <c r="M224">
        <f>IFERROR($C224*INDEX(SPPR!$E:$X,MATCH($A224,SPPR!$A:$A,0),10),"")</f>
        <v/>
      </c>
      <c r="N224">
        <f>IFERROR($C224*INDEX(SPPR!$E:$X,MATCH($A224,SPPR!$A:$A,0),11),"")</f>
        <v/>
      </c>
      <c r="O224">
        <f>IFERROR($C224*INDEX(SPPR!$E:$X,MATCH($A224,SPPR!$A:$A,0),12),"")</f>
        <v/>
      </c>
      <c r="P224">
        <f>IFERROR($C224*INDEX(SPPR!$E:$X,MATCH($A224,SPPR!$A:$A,0),13),"")</f>
        <v/>
      </c>
      <c r="Q224">
        <f>IFERROR($C224*INDEX(SPPR!$E:$X,MATCH($A224,SPPR!$A:$A,0),14),"")</f>
        <v/>
      </c>
      <c r="R224">
        <f>IFERROR($C224*INDEX(SPPR!$E:$X,MATCH($A224,SPPR!$A:$A,0),15),"")</f>
        <v/>
      </c>
      <c r="S224">
        <f>IFERROR($C224*INDEX(SPPR!$E:$X,MATCH($A224,SPPR!$A:$A,0),16),"")</f>
        <v/>
      </c>
      <c r="T224">
        <f>IFERROR($C224*INDEX(SPPR!$E:$X,MATCH($A224,SPPR!$A:$A,0),17),"")</f>
        <v/>
      </c>
      <c r="U224">
        <f>IFERROR($C224*INDEX(SPPR!$E:$X,MATCH($A224,SPPR!$A:$A,0),18),"")</f>
        <v/>
      </c>
      <c r="V224">
        <f>IFERROR($C224*INDEX(SPPR!$E:$X,MATCH($A224,SPPR!$A:$A,0),19),"")</f>
        <v/>
      </c>
      <c r="W224">
        <f>IFERROR($C224*INDEX(SPPR!$E:$X,MATCH($A224,SPPR!$A:$A,0),20),"")</f>
        <v/>
      </c>
    </row>
    <row r="225">
      <c r="A225" t="inlineStr">
        <is>
          <t>Sphyraenidae</t>
        </is>
      </c>
      <c r="B225">
        <f>IFERROR(INDEX(SPPR!$D:$D,MATCH($A225,SPPR!$A:$A,0)),"")</f>
        <v/>
      </c>
      <c r="C225">
        <f>IFERROR(INDEX(Catch!$E:$BV,MATCH($A225,Catch!$A:$A,0),MATCH($B$4,Catch!$E$1:$BV$1,0)),0)</f>
        <v/>
      </c>
      <c r="D225">
        <f>IFERROR($C225*INDEX(SPPR!$E:$X,MATCH($A225,SPPR!$A:$A,0),1),"")</f>
        <v/>
      </c>
      <c r="E225">
        <f>IFERROR($C225*INDEX(SPPR!$E:$X,MATCH($A225,SPPR!$A:$A,0),2),"")</f>
        <v/>
      </c>
      <c r="F225">
        <f>IFERROR($C225*INDEX(SPPR!$E:$X,MATCH($A225,SPPR!$A:$A,0),3),"")</f>
        <v/>
      </c>
      <c r="G225">
        <f>IFERROR($C225*INDEX(SPPR!$E:$X,MATCH($A225,SPPR!$A:$A,0),4),"")</f>
        <v/>
      </c>
      <c r="H225">
        <f>IFERROR($C225*INDEX(SPPR!$E:$X,MATCH($A225,SPPR!$A:$A,0),5),"")</f>
        <v/>
      </c>
      <c r="I225">
        <f>IFERROR($C225*INDEX(SPPR!$E:$X,MATCH($A225,SPPR!$A:$A,0),6),"")</f>
        <v/>
      </c>
      <c r="J225">
        <f>IFERROR($C225*INDEX(SPPR!$E:$X,MATCH($A225,SPPR!$A:$A,0),7),"")</f>
        <v/>
      </c>
      <c r="K225">
        <f>IFERROR($C225*INDEX(SPPR!$E:$X,MATCH($A225,SPPR!$A:$A,0),8),"")</f>
        <v/>
      </c>
      <c r="L225">
        <f>IFERROR($C225*INDEX(SPPR!$E:$X,MATCH($A225,SPPR!$A:$A,0),9),"")</f>
        <v/>
      </c>
      <c r="M225">
        <f>IFERROR($C225*INDEX(SPPR!$E:$X,MATCH($A225,SPPR!$A:$A,0),10),"")</f>
        <v/>
      </c>
      <c r="N225">
        <f>IFERROR($C225*INDEX(SPPR!$E:$X,MATCH($A225,SPPR!$A:$A,0),11),"")</f>
        <v/>
      </c>
      <c r="O225">
        <f>IFERROR($C225*INDEX(SPPR!$E:$X,MATCH($A225,SPPR!$A:$A,0),12),"")</f>
        <v/>
      </c>
      <c r="P225">
        <f>IFERROR($C225*INDEX(SPPR!$E:$X,MATCH($A225,SPPR!$A:$A,0),13),"")</f>
        <v/>
      </c>
      <c r="Q225">
        <f>IFERROR($C225*INDEX(SPPR!$E:$X,MATCH($A225,SPPR!$A:$A,0),14),"")</f>
        <v/>
      </c>
      <c r="R225">
        <f>IFERROR($C225*INDEX(SPPR!$E:$X,MATCH($A225,SPPR!$A:$A,0),15),"")</f>
        <v/>
      </c>
      <c r="S225">
        <f>IFERROR($C225*INDEX(SPPR!$E:$X,MATCH($A225,SPPR!$A:$A,0),16),"")</f>
        <v/>
      </c>
      <c r="T225">
        <f>IFERROR($C225*INDEX(SPPR!$E:$X,MATCH($A225,SPPR!$A:$A,0),17),"")</f>
        <v/>
      </c>
      <c r="U225">
        <f>IFERROR($C225*INDEX(SPPR!$E:$X,MATCH($A225,SPPR!$A:$A,0),18),"")</f>
        <v/>
      </c>
      <c r="V225">
        <f>IFERROR($C225*INDEX(SPPR!$E:$X,MATCH($A225,SPPR!$A:$A,0),19),"")</f>
        <v/>
      </c>
      <c r="W225">
        <f>IFERROR($C225*INDEX(SPPR!$E:$X,MATCH($A225,SPPR!$A:$A,0),20),"")</f>
        <v/>
      </c>
    </row>
    <row r="226">
      <c r="A226" t="inlineStr">
        <is>
          <t>Pseudopleuronectes herzensteini</t>
        </is>
      </c>
      <c r="B226">
        <f>IFERROR(INDEX(SPPR!$D:$D,MATCH($A226,SPPR!$A:$A,0)),"")</f>
        <v/>
      </c>
      <c r="C226">
        <f>IFERROR(INDEX(Catch!$E:$BV,MATCH($A226,Catch!$A:$A,0),MATCH($B$4,Catch!$E$1:$BV$1,0)),0)</f>
        <v/>
      </c>
      <c r="D226">
        <f>IFERROR($C226*INDEX(SPPR!$E:$X,MATCH($A226,SPPR!$A:$A,0),1),"")</f>
        <v/>
      </c>
      <c r="E226">
        <f>IFERROR($C226*INDEX(SPPR!$E:$X,MATCH($A226,SPPR!$A:$A,0),2),"")</f>
        <v/>
      </c>
      <c r="F226">
        <f>IFERROR($C226*INDEX(SPPR!$E:$X,MATCH($A226,SPPR!$A:$A,0),3),"")</f>
        <v/>
      </c>
      <c r="G226">
        <f>IFERROR($C226*INDEX(SPPR!$E:$X,MATCH($A226,SPPR!$A:$A,0),4),"")</f>
        <v/>
      </c>
      <c r="H226">
        <f>IFERROR($C226*INDEX(SPPR!$E:$X,MATCH($A226,SPPR!$A:$A,0),5),"")</f>
        <v/>
      </c>
      <c r="I226">
        <f>IFERROR($C226*INDEX(SPPR!$E:$X,MATCH($A226,SPPR!$A:$A,0),6),"")</f>
        <v/>
      </c>
      <c r="J226">
        <f>IFERROR($C226*INDEX(SPPR!$E:$X,MATCH($A226,SPPR!$A:$A,0),7),"")</f>
        <v/>
      </c>
      <c r="K226">
        <f>IFERROR($C226*INDEX(SPPR!$E:$X,MATCH($A226,SPPR!$A:$A,0),8),"")</f>
        <v/>
      </c>
      <c r="L226">
        <f>IFERROR($C226*INDEX(SPPR!$E:$X,MATCH($A226,SPPR!$A:$A,0),9),"")</f>
        <v/>
      </c>
      <c r="M226">
        <f>IFERROR($C226*INDEX(SPPR!$E:$X,MATCH($A226,SPPR!$A:$A,0),10),"")</f>
        <v/>
      </c>
      <c r="N226">
        <f>IFERROR($C226*INDEX(SPPR!$E:$X,MATCH($A226,SPPR!$A:$A,0),11),"")</f>
        <v/>
      </c>
      <c r="O226">
        <f>IFERROR($C226*INDEX(SPPR!$E:$X,MATCH($A226,SPPR!$A:$A,0),12),"")</f>
        <v/>
      </c>
      <c r="P226">
        <f>IFERROR($C226*INDEX(SPPR!$E:$X,MATCH($A226,SPPR!$A:$A,0),13),"")</f>
        <v/>
      </c>
      <c r="Q226">
        <f>IFERROR($C226*INDEX(SPPR!$E:$X,MATCH($A226,SPPR!$A:$A,0),14),"")</f>
        <v/>
      </c>
      <c r="R226">
        <f>IFERROR($C226*INDEX(SPPR!$E:$X,MATCH($A226,SPPR!$A:$A,0),15),"")</f>
        <v/>
      </c>
      <c r="S226">
        <f>IFERROR($C226*INDEX(SPPR!$E:$X,MATCH($A226,SPPR!$A:$A,0),16),"")</f>
        <v/>
      </c>
      <c r="T226">
        <f>IFERROR($C226*INDEX(SPPR!$E:$X,MATCH($A226,SPPR!$A:$A,0),17),"")</f>
        <v/>
      </c>
      <c r="U226">
        <f>IFERROR($C226*INDEX(SPPR!$E:$X,MATCH($A226,SPPR!$A:$A,0),18),"")</f>
        <v/>
      </c>
      <c r="V226">
        <f>IFERROR($C226*INDEX(SPPR!$E:$X,MATCH($A226,SPPR!$A:$A,0),19),"")</f>
        <v/>
      </c>
      <c r="W226">
        <f>IFERROR($C226*INDEX(SPPR!$E:$X,MATCH($A226,SPPR!$A:$A,0),20),"")</f>
        <v/>
      </c>
    </row>
    <row r="227">
      <c r="A227" t="inlineStr">
        <is>
          <t>Hemitriakis japanica</t>
        </is>
      </c>
      <c r="B227">
        <f>IFERROR(INDEX(SPPR!$D:$D,MATCH($A227,SPPR!$A:$A,0)),"")</f>
        <v/>
      </c>
      <c r="C227">
        <f>IFERROR(INDEX(Catch!$E:$BV,MATCH($A227,Catch!$A:$A,0),MATCH($B$4,Catch!$E$1:$BV$1,0)),0)</f>
        <v/>
      </c>
      <c r="D227">
        <f>IFERROR($C227*INDEX(SPPR!$E:$X,MATCH($A227,SPPR!$A:$A,0),1),"")</f>
        <v/>
      </c>
      <c r="E227">
        <f>IFERROR($C227*INDEX(SPPR!$E:$X,MATCH($A227,SPPR!$A:$A,0),2),"")</f>
        <v/>
      </c>
      <c r="F227">
        <f>IFERROR($C227*INDEX(SPPR!$E:$X,MATCH($A227,SPPR!$A:$A,0),3),"")</f>
        <v/>
      </c>
      <c r="G227">
        <f>IFERROR($C227*INDEX(SPPR!$E:$X,MATCH($A227,SPPR!$A:$A,0),4),"")</f>
        <v/>
      </c>
      <c r="H227">
        <f>IFERROR($C227*INDEX(SPPR!$E:$X,MATCH($A227,SPPR!$A:$A,0),5),"")</f>
        <v/>
      </c>
      <c r="I227">
        <f>IFERROR($C227*INDEX(SPPR!$E:$X,MATCH($A227,SPPR!$A:$A,0),6),"")</f>
        <v/>
      </c>
      <c r="J227">
        <f>IFERROR($C227*INDEX(SPPR!$E:$X,MATCH($A227,SPPR!$A:$A,0),7),"")</f>
        <v/>
      </c>
      <c r="K227">
        <f>IFERROR($C227*INDEX(SPPR!$E:$X,MATCH($A227,SPPR!$A:$A,0),8),"")</f>
        <v/>
      </c>
      <c r="L227">
        <f>IFERROR($C227*INDEX(SPPR!$E:$X,MATCH($A227,SPPR!$A:$A,0),9),"")</f>
        <v/>
      </c>
      <c r="M227">
        <f>IFERROR($C227*INDEX(SPPR!$E:$X,MATCH($A227,SPPR!$A:$A,0),10),"")</f>
        <v/>
      </c>
      <c r="N227">
        <f>IFERROR($C227*INDEX(SPPR!$E:$X,MATCH($A227,SPPR!$A:$A,0),11),"")</f>
        <v/>
      </c>
      <c r="O227">
        <f>IFERROR($C227*INDEX(SPPR!$E:$X,MATCH($A227,SPPR!$A:$A,0),12),"")</f>
        <v/>
      </c>
      <c r="P227">
        <f>IFERROR($C227*INDEX(SPPR!$E:$X,MATCH($A227,SPPR!$A:$A,0),13),"")</f>
        <v/>
      </c>
      <c r="Q227">
        <f>IFERROR($C227*INDEX(SPPR!$E:$X,MATCH($A227,SPPR!$A:$A,0),14),"")</f>
        <v/>
      </c>
      <c r="R227">
        <f>IFERROR($C227*INDEX(SPPR!$E:$X,MATCH($A227,SPPR!$A:$A,0),15),"")</f>
        <v/>
      </c>
      <c r="S227">
        <f>IFERROR($C227*INDEX(SPPR!$E:$X,MATCH($A227,SPPR!$A:$A,0),16),"")</f>
        <v/>
      </c>
      <c r="T227">
        <f>IFERROR($C227*INDEX(SPPR!$E:$X,MATCH($A227,SPPR!$A:$A,0),17),"")</f>
        <v/>
      </c>
      <c r="U227">
        <f>IFERROR($C227*INDEX(SPPR!$E:$X,MATCH($A227,SPPR!$A:$A,0),18),"")</f>
        <v/>
      </c>
      <c r="V227">
        <f>IFERROR($C227*INDEX(SPPR!$E:$X,MATCH($A227,SPPR!$A:$A,0),19),"")</f>
        <v/>
      </c>
      <c r="W227">
        <f>IFERROR($C227*INDEX(SPPR!$E:$X,MATCH($A227,SPPR!$A:$A,0),20),"")</f>
        <v/>
      </c>
    </row>
    <row r="228">
      <c r="A228" t="inlineStr">
        <is>
          <t>Makaira mazara</t>
        </is>
      </c>
      <c r="B228">
        <f>IFERROR(INDEX(SPPR!$D:$D,MATCH($A228,SPPR!$A:$A,0)),"")</f>
        <v/>
      </c>
      <c r="C228">
        <f>IFERROR(INDEX(Catch!$E:$BV,MATCH($A228,Catch!$A:$A,0),MATCH($B$4,Catch!$E$1:$BV$1,0)),0)</f>
        <v/>
      </c>
      <c r="D228">
        <f>IFERROR($C228*INDEX(SPPR!$E:$X,MATCH($A228,SPPR!$A:$A,0),1),"")</f>
        <v/>
      </c>
      <c r="E228">
        <f>IFERROR($C228*INDEX(SPPR!$E:$X,MATCH($A228,SPPR!$A:$A,0),2),"")</f>
        <v/>
      </c>
      <c r="F228">
        <f>IFERROR($C228*INDEX(SPPR!$E:$X,MATCH($A228,SPPR!$A:$A,0),3),"")</f>
        <v/>
      </c>
      <c r="G228">
        <f>IFERROR($C228*INDEX(SPPR!$E:$X,MATCH($A228,SPPR!$A:$A,0),4),"")</f>
        <v/>
      </c>
      <c r="H228">
        <f>IFERROR($C228*INDEX(SPPR!$E:$X,MATCH($A228,SPPR!$A:$A,0),5),"")</f>
        <v/>
      </c>
      <c r="I228">
        <f>IFERROR($C228*INDEX(SPPR!$E:$X,MATCH($A228,SPPR!$A:$A,0),6),"")</f>
        <v/>
      </c>
      <c r="J228">
        <f>IFERROR($C228*INDEX(SPPR!$E:$X,MATCH($A228,SPPR!$A:$A,0),7),"")</f>
        <v/>
      </c>
      <c r="K228">
        <f>IFERROR($C228*INDEX(SPPR!$E:$X,MATCH($A228,SPPR!$A:$A,0),8),"")</f>
        <v/>
      </c>
      <c r="L228">
        <f>IFERROR($C228*INDEX(SPPR!$E:$X,MATCH($A228,SPPR!$A:$A,0),9),"")</f>
        <v/>
      </c>
      <c r="M228">
        <f>IFERROR($C228*INDEX(SPPR!$E:$X,MATCH($A228,SPPR!$A:$A,0),10),"")</f>
        <v/>
      </c>
      <c r="N228">
        <f>IFERROR($C228*INDEX(SPPR!$E:$X,MATCH($A228,SPPR!$A:$A,0),11),"")</f>
        <v/>
      </c>
      <c r="O228">
        <f>IFERROR($C228*INDEX(SPPR!$E:$X,MATCH($A228,SPPR!$A:$A,0),12),"")</f>
        <v/>
      </c>
      <c r="P228">
        <f>IFERROR($C228*INDEX(SPPR!$E:$X,MATCH($A228,SPPR!$A:$A,0),13),"")</f>
        <v/>
      </c>
      <c r="Q228">
        <f>IFERROR($C228*INDEX(SPPR!$E:$X,MATCH($A228,SPPR!$A:$A,0),14),"")</f>
        <v/>
      </c>
      <c r="R228">
        <f>IFERROR($C228*INDEX(SPPR!$E:$X,MATCH($A228,SPPR!$A:$A,0),15),"")</f>
        <v/>
      </c>
      <c r="S228">
        <f>IFERROR($C228*INDEX(SPPR!$E:$X,MATCH($A228,SPPR!$A:$A,0),16),"")</f>
        <v/>
      </c>
      <c r="T228">
        <f>IFERROR($C228*INDEX(SPPR!$E:$X,MATCH($A228,SPPR!$A:$A,0),17),"")</f>
        <v/>
      </c>
      <c r="U228">
        <f>IFERROR($C228*INDEX(SPPR!$E:$X,MATCH($A228,SPPR!$A:$A,0),18),"")</f>
        <v/>
      </c>
      <c r="V228">
        <f>IFERROR($C228*INDEX(SPPR!$E:$X,MATCH($A228,SPPR!$A:$A,0),19),"")</f>
        <v/>
      </c>
      <c r="W228">
        <f>IFERROR($C228*INDEX(SPPR!$E:$X,MATCH($A228,SPPR!$A:$A,0),20),"")</f>
        <v/>
      </c>
    </row>
    <row r="229">
      <c r="A229" t="inlineStr">
        <is>
          <t>Marine pelagic fishes not identified</t>
        </is>
      </c>
      <c r="B229">
        <f>IFERROR(INDEX(SPPR!$D:$D,MATCH($A229,SPPR!$A:$A,0)),"")</f>
        <v/>
      </c>
      <c r="C229">
        <f>IFERROR(INDEX(Catch!$E:$BV,MATCH($A229,Catch!$A:$A,0),MATCH($B$4,Catch!$E$1:$BV$1,0)),0)</f>
        <v/>
      </c>
      <c r="D229">
        <f>IFERROR($C229*INDEX(SPPR!$E:$X,MATCH($A229,SPPR!$A:$A,0),1),"")</f>
        <v/>
      </c>
      <c r="E229">
        <f>IFERROR($C229*INDEX(SPPR!$E:$X,MATCH($A229,SPPR!$A:$A,0),2),"")</f>
        <v/>
      </c>
      <c r="F229">
        <f>IFERROR($C229*INDEX(SPPR!$E:$X,MATCH($A229,SPPR!$A:$A,0),3),"")</f>
        <v/>
      </c>
      <c r="G229">
        <f>IFERROR($C229*INDEX(SPPR!$E:$X,MATCH($A229,SPPR!$A:$A,0),4),"")</f>
        <v/>
      </c>
      <c r="H229">
        <f>IFERROR($C229*INDEX(SPPR!$E:$X,MATCH($A229,SPPR!$A:$A,0),5),"")</f>
        <v/>
      </c>
      <c r="I229">
        <f>IFERROR($C229*INDEX(SPPR!$E:$X,MATCH($A229,SPPR!$A:$A,0),6),"")</f>
        <v/>
      </c>
      <c r="J229">
        <f>IFERROR($C229*INDEX(SPPR!$E:$X,MATCH($A229,SPPR!$A:$A,0),7),"")</f>
        <v/>
      </c>
      <c r="K229">
        <f>IFERROR($C229*INDEX(SPPR!$E:$X,MATCH($A229,SPPR!$A:$A,0),8),"")</f>
        <v/>
      </c>
      <c r="L229">
        <f>IFERROR($C229*INDEX(SPPR!$E:$X,MATCH($A229,SPPR!$A:$A,0),9),"")</f>
        <v/>
      </c>
      <c r="M229">
        <f>IFERROR($C229*INDEX(SPPR!$E:$X,MATCH($A229,SPPR!$A:$A,0),10),"")</f>
        <v/>
      </c>
      <c r="N229">
        <f>IFERROR($C229*INDEX(SPPR!$E:$X,MATCH($A229,SPPR!$A:$A,0),11),"")</f>
        <v/>
      </c>
      <c r="O229">
        <f>IFERROR($C229*INDEX(SPPR!$E:$X,MATCH($A229,SPPR!$A:$A,0),12),"")</f>
        <v/>
      </c>
      <c r="P229">
        <f>IFERROR($C229*INDEX(SPPR!$E:$X,MATCH($A229,SPPR!$A:$A,0),13),"")</f>
        <v/>
      </c>
      <c r="Q229">
        <f>IFERROR($C229*INDEX(SPPR!$E:$X,MATCH($A229,SPPR!$A:$A,0),14),"")</f>
        <v/>
      </c>
      <c r="R229">
        <f>IFERROR($C229*INDEX(SPPR!$E:$X,MATCH($A229,SPPR!$A:$A,0),15),"")</f>
        <v/>
      </c>
      <c r="S229">
        <f>IFERROR($C229*INDEX(SPPR!$E:$X,MATCH($A229,SPPR!$A:$A,0),16),"")</f>
        <v/>
      </c>
      <c r="T229">
        <f>IFERROR($C229*INDEX(SPPR!$E:$X,MATCH($A229,SPPR!$A:$A,0),17),"")</f>
        <v/>
      </c>
      <c r="U229">
        <f>IFERROR($C229*INDEX(SPPR!$E:$X,MATCH($A229,SPPR!$A:$A,0),18),"")</f>
        <v/>
      </c>
      <c r="V229">
        <f>IFERROR($C229*INDEX(SPPR!$E:$X,MATCH($A229,SPPR!$A:$A,0),19),"")</f>
        <v/>
      </c>
      <c r="W229">
        <f>IFERROR($C229*INDEX(SPPR!$E:$X,MATCH($A229,SPPR!$A:$A,0),20),"")</f>
        <v/>
      </c>
    </row>
    <row r="230">
      <c r="A230" t="inlineStr">
        <is>
          <t>Mierspenaeopsis hardwickii</t>
        </is>
      </c>
      <c r="B230">
        <f>IFERROR(INDEX(SPPR!$D:$D,MATCH($A230,SPPR!$A:$A,0)),"")</f>
        <v/>
      </c>
      <c r="C230">
        <f>IFERROR(INDEX(Catch!$E:$BV,MATCH($A230,Catch!$A:$A,0),MATCH($B$4,Catch!$E$1:$BV$1,0)),0)</f>
        <v/>
      </c>
      <c r="D230">
        <f>IFERROR($C230*INDEX(SPPR!$E:$X,MATCH($A230,SPPR!$A:$A,0),1),"")</f>
        <v/>
      </c>
      <c r="E230">
        <f>IFERROR($C230*INDEX(SPPR!$E:$X,MATCH($A230,SPPR!$A:$A,0),2),"")</f>
        <v/>
      </c>
      <c r="F230">
        <f>IFERROR($C230*INDEX(SPPR!$E:$X,MATCH($A230,SPPR!$A:$A,0),3),"")</f>
        <v/>
      </c>
      <c r="G230">
        <f>IFERROR($C230*INDEX(SPPR!$E:$X,MATCH($A230,SPPR!$A:$A,0),4),"")</f>
        <v/>
      </c>
      <c r="H230">
        <f>IFERROR($C230*INDEX(SPPR!$E:$X,MATCH($A230,SPPR!$A:$A,0),5),"")</f>
        <v/>
      </c>
      <c r="I230">
        <f>IFERROR($C230*INDEX(SPPR!$E:$X,MATCH($A230,SPPR!$A:$A,0),6),"")</f>
        <v/>
      </c>
      <c r="J230">
        <f>IFERROR($C230*INDEX(SPPR!$E:$X,MATCH($A230,SPPR!$A:$A,0),7),"")</f>
        <v/>
      </c>
      <c r="K230">
        <f>IFERROR($C230*INDEX(SPPR!$E:$X,MATCH($A230,SPPR!$A:$A,0),8),"")</f>
        <v/>
      </c>
      <c r="L230">
        <f>IFERROR($C230*INDEX(SPPR!$E:$X,MATCH($A230,SPPR!$A:$A,0),9),"")</f>
        <v/>
      </c>
      <c r="M230">
        <f>IFERROR($C230*INDEX(SPPR!$E:$X,MATCH($A230,SPPR!$A:$A,0),10),"")</f>
        <v/>
      </c>
      <c r="N230">
        <f>IFERROR($C230*INDEX(SPPR!$E:$X,MATCH($A230,SPPR!$A:$A,0),11),"")</f>
        <v/>
      </c>
      <c r="O230">
        <f>IFERROR($C230*INDEX(SPPR!$E:$X,MATCH($A230,SPPR!$A:$A,0),12),"")</f>
        <v/>
      </c>
      <c r="P230">
        <f>IFERROR($C230*INDEX(SPPR!$E:$X,MATCH($A230,SPPR!$A:$A,0),13),"")</f>
        <v/>
      </c>
      <c r="Q230">
        <f>IFERROR($C230*INDEX(SPPR!$E:$X,MATCH($A230,SPPR!$A:$A,0),14),"")</f>
        <v/>
      </c>
      <c r="R230">
        <f>IFERROR($C230*INDEX(SPPR!$E:$X,MATCH($A230,SPPR!$A:$A,0),15),"")</f>
        <v/>
      </c>
      <c r="S230">
        <f>IFERROR($C230*INDEX(SPPR!$E:$X,MATCH($A230,SPPR!$A:$A,0),16),"")</f>
        <v/>
      </c>
      <c r="T230">
        <f>IFERROR($C230*INDEX(SPPR!$E:$X,MATCH($A230,SPPR!$A:$A,0),17),"")</f>
        <v/>
      </c>
      <c r="U230">
        <f>IFERROR($C230*INDEX(SPPR!$E:$X,MATCH($A230,SPPR!$A:$A,0),18),"")</f>
        <v/>
      </c>
      <c r="V230">
        <f>IFERROR($C230*INDEX(SPPR!$E:$X,MATCH($A230,SPPR!$A:$A,0),19),"")</f>
        <v/>
      </c>
      <c r="W230">
        <f>IFERROR($C230*INDEX(SPPR!$E:$X,MATCH($A230,SPPR!$A:$A,0),20),"")</f>
        <v/>
      </c>
    </row>
    <row r="231">
      <c r="A231" t="inlineStr">
        <is>
          <t>Beryx</t>
        </is>
      </c>
      <c r="B231">
        <f>IFERROR(INDEX(SPPR!$D:$D,MATCH($A231,SPPR!$A:$A,0)),"")</f>
        <v/>
      </c>
      <c r="C231">
        <f>IFERROR(INDEX(Catch!$E:$BV,MATCH($A231,Catch!$A:$A,0),MATCH($B$4,Catch!$E$1:$BV$1,0)),0)</f>
        <v/>
      </c>
      <c r="D231">
        <f>IFERROR($C231*INDEX(SPPR!$E:$X,MATCH($A231,SPPR!$A:$A,0),1),"")</f>
        <v/>
      </c>
      <c r="E231">
        <f>IFERROR($C231*INDEX(SPPR!$E:$X,MATCH($A231,SPPR!$A:$A,0),2),"")</f>
        <v/>
      </c>
      <c r="F231">
        <f>IFERROR($C231*INDEX(SPPR!$E:$X,MATCH($A231,SPPR!$A:$A,0),3),"")</f>
        <v/>
      </c>
      <c r="G231">
        <f>IFERROR($C231*INDEX(SPPR!$E:$X,MATCH($A231,SPPR!$A:$A,0),4),"")</f>
        <v/>
      </c>
      <c r="H231">
        <f>IFERROR($C231*INDEX(SPPR!$E:$X,MATCH($A231,SPPR!$A:$A,0),5),"")</f>
        <v/>
      </c>
      <c r="I231">
        <f>IFERROR($C231*INDEX(SPPR!$E:$X,MATCH($A231,SPPR!$A:$A,0),6),"")</f>
        <v/>
      </c>
      <c r="J231">
        <f>IFERROR($C231*INDEX(SPPR!$E:$X,MATCH($A231,SPPR!$A:$A,0),7),"")</f>
        <v/>
      </c>
      <c r="K231">
        <f>IFERROR($C231*INDEX(SPPR!$E:$X,MATCH($A231,SPPR!$A:$A,0),8),"")</f>
        <v/>
      </c>
      <c r="L231">
        <f>IFERROR($C231*INDEX(SPPR!$E:$X,MATCH($A231,SPPR!$A:$A,0),9),"")</f>
        <v/>
      </c>
      <c r="M231">
        <f>IFERROR($C231*INDEX(SPPR!$E:$X,MATCH($A231,SPPR!$A:$A,0),10),"")</f>
        <v/>
      </c>
      <c r="N231">
        <f>IFERROR($C231*INDEX(SPPR!$E:$X,MATCH($A231,SPPR!$A:$A,0),11),"")</f>
        <v/>
      </c>
      <c r="O231">
        <f>IFERROR($C231*INDEX(SPPR!$E:$X,MATCH($A231,SPPR!$A:$A,0),12),"")</f>
        <v/>
      </c>
      <c r="P231">
        <f>IFERROR($C231*INDEX(SPPR!$E:$X,MATCH($A231,SPPR!$A:$A,0),13),"")</f>
        <v/>
      </c>
      <c r="Q231">
        <f>IFERROR($C231*INDEX(SPPR!$E:$X,MATCH($A231,SPPR!$A:$A,0),14),"")</f>
        <v/>
      </c>
      <c r="R231">
        <f>IFERROR($C231*INDEX(SPPR!$E:$X,MATCH($A231,SPPR!$A:$A,0),15),"")</f>
        <v/>
      </c>
      <c r="S231">
        <f>IFERROR($C231*INDEX(SPPR!$E:$X,MATCH($A231,SPPR!$A:$A,0),16),"")</f>
        <v/>
      </c>
      <c r="T231">
        <f>IFERROR($C231*INDEX(SPPR!$E:$X,MATCH($A231,SPPR!$A:$A,0),17),"")</f>
        <v/>
      </c>
      <c r="U231">
        <f>IFERROR($C231*INDEX(SPPR!$E:$X,MATCH($A231,SPPR!$A:$A,0),18),"")</f>
        <v/>
      </c>
      <c r="V231">
        <f>IFERROR($C231*INDEX(SPPR!$E:$X,MATCH($A231,SPPR!$A:$A,0),19),"")</f>
        <v/>
      </c>
      <c r="W231">
        <f>IFERROR($C231*INDEX(SPPR!$E:$X,MATCH($A231,SPPR!$A:$A,0),20),"")</f>
        <v/>
      </c>
    </row>
    <row r="232">
      <c r="A232" t="inlineStr">
        <is>
          <t>Auxis thazard</t>
        </is>
      </c>
      <c r="B232">
        <f>IFERROR(INDEX(SPPR!$D:$D,MATCH($A232,SPPR!$A:$A,0)),"")</f>
        <v/>
      </c>
      <c r="C232">
        <f>IFERROR(INDEX(Catch!$E:$BV,MATCH($A232,Catch!$A:$A,0),MATCH($B$4,Catch!$E$1:$BV$1,0)),0)</f>
        <v/>
      </c>
      <c r="D232">
        <f>IFERROR($C232*INDEX(SPPR!$E:$X,MATCH($A232,SPPR!$A:$A,0),1),"")</f>
        <v/>
      </c>
      <c r="E232">
        <f>IFERROR($C232*INDEX(SPPR!$E:$X,MATCH($A232,SPPR!$A:$A,0),2),"")</f>
        <v/>
      </c>
      <c r="F232">
        <f>IFERROR($C232*INDEX(SPPR!$E:$X,MATCH($A232,SPPR!$A:$A,0),3),"")</f>
        <v/>
      </c>
      <c r="G232">
        <f>IFERROR($C232*INDEX(SPPR!$E:$X,MATCH($A232,SPPR!$A:$A,0),4),"")</f>
        <v/>
      </c>
      <c r="H232">
        <f>IFERROR($C232*INDEX(SPPR!$E:$X,MATCH($A232,SPPR!$A:$A,0),5),"")</f>
        <v/>
      </c>
      <c r="I232">
        <f>IFERROR($C232*INDEX(SPPR!$E:$X,MATCH($A232,SPPR!$A:$A,0),6),"")</f>
        <v/>
      </c>
      <c r="J232">
        <f>IFERROR($C232*INDEX(SPPR!$E:$X,MATCH($A232,SPPR!$A:$A,0),7),"")</f>
        <v/>
      </c>
      <c r="K232">
        <f>IFERROR($C232*INDEX(SPPR!$E:$X,MATCH($A232,SPPR!$A:$A,0),8),"")</f>
        <v/>
      </c>
      <c r="L232">
        <f>IFERROR($C232*INDEX(SPPR!$E:$X,MATCH($A232,SPPR!$A:$A,0),9),"")</f>
        <v/>
      </c>
      <c r="M232">
        <f>IFERROR($C232*INDEX(SPPR!$E:$X,MATCH($A232,SPPR!$A:$A,0),10),"")</f>
        <v/>
      </c>
      <c r="N232">
        <f>IFERROR($C232*INDEX(SPPR!$E:$X,MATCH($A232,SPPR!$A:$A,0),11),"")</f>
        <v/>
      </c>
      <c r="O232">
        <f>IFERROR($C232*INDEX(SPPR!$E:$X,MATCH($A232,SPPR!$A:$A,0),12),"")</f>
        <v/>
      </c>
      <c r="P232">
        <f>IFERROR($C232*INDEX(SPPR!$E:$X,MATCH($A232,SPPR!$A:$A,0),13),"")</f>
        <v/>
      </c>
      <c r="Q232">
        <f>IFERROR($C232*INDEX(SPPR!$E:$X,MATCH($A232,SPPR!$A:$A,0),14),"")</f>
        <v/>
      </c>
      <c r="R232">
        <f>IFERROR($C232*INDEX(SPPR!$E:$X,MATCH($A232,SPPR!$A:$A,0),15),"")</f>
        <v/>
      </c>
      <c r="S232">
        <f>IFERROR($C232*INDEX(SPPR!$E:$X,MATCH($A232,SPPR!$A:$A,0),16),"")</f>
        <v/>
      </c>
      <c r="T232">
        <f>IFERROR($C232*INDEX(SPPR!$E:$X,MATCH($A232,SPPR!$A:$A,0),17),"")</f>
        <v/>
      </c>
      <c r="U232">
        <f>IFERROR($C232*INDEX(SPPR!$E:$X,MATCH($A232,SPPR!$A:$A,0),18),"")</f>
        <v/>
      </c>
      <c r="V232">
        <f>IFERROR($C232*INDEX(SPPR!$E:$X,MATCH($A232,SPPR!$A:$A,0),19),"")</f>
        <v/>
      </c>
      <c r="W232">
        <f>IFERROR($C232*INDEX(SPPR!$E:$X,MATCH($A232,SPPR!$A:$A,0),20),"")</f>
        <v/>
      </c>
    </row>
    <row r="233">
      <c r="A233" t="inlineStr">
        <is>
          <t>Polydactylus sexfilis</t>
        </is>
      </c>
      <c r="B233">
        <f>IFERROR(INDEX(SPPR!$D:$D,MATCH($A233,SPPR!$A:$A,0)),"")</f>
        <v/>
      </c>
      <c r="C233">
        <f>IFERROR(INDEX(Catch!$E:$BV,MATCH($A233,Catch!$A:$A,0),MATCH($B$4,Catch!$E$1:$BV$1,0)),0)</f>
        <v/>
      </c>
      <c r="D233">
        <f>IFERROR($C233*INDEX(SPPR!$E:$X,MATCH($A233,SPPR!$A:$A,0),1),"")</f>
        <v/>
      </c>
      <c r="E233">
        <f>IFERROR($C233*INDEX(SPPR!$E:$X,MATCH($A233,SPPR!$A:$A,0),2),"")</f>
        <v/>
      </c>
      <c r="F233">
        <f>IFERROR($C233*INDEX(SPPR!$E:$X,MATCH($A233,SPPR!$A:$A,0),3),"")</f>
        <v/>
      </c>
      <c r="G233">
        <f>IFERROR($C233*INDEX(SPPR!$E:$X,MATCH($A233,SPPR!$A:$A,0),4),"")</f>
        <v/>
      </c>
      <c r="H233">
        <f>IFERROR($C233*INDEX(SPPR!$E:$X,MATCH($A233,SPPR!$A:$A,0),5),"")</f>
        <v/>
      </c>
      <c r="I233">
        <f>IFERROR($C233*INDEX(SPPR!$E:$X,MATCH($A233,SPPR!$A:$A,0),6),"")</f>
        <v/>
      </c>
      <c r="J233">
        <f>IFERROR($C233*INDEX(SPPR!$E:$X,MATCH($A233,SPPR!$A:$A,0),7),"")</f>
        <v/>
      </c>
      <c r="K233">
        <f>IFERROR($C233*INDEX(SPPR!$E:$X,MATCH($A233,SPPR!$A:$A,0),8),"")</f>
        <v/>
      </c>
      <c r="L233">
        <f>IFERROR($C233*INDEX(SPPR!$E:$X,MATCH($A233,SPPR!$A:$A,0),9),"")</f>
        <v/>
      </c>
      <c r="M233">
        <f>IFERROR($C233*INDEX(SPPR!$E:$X,MATCH($A233,SPPR!$A:$A,0),10),"")</f>
        <v/>
      </c>
      <c r="N233">
        <f>IFERROR($C233*INDEX(SPPR!$E:$X,MATCH($A233,SPPR!$A:$A,0),11),"")</f>
        <v/>
      </c>
      <c r="O233">
        <f>IFERROR($C233*INDEX(SPPR!$E:$X,MATCH($A233,SPPR!$A:$A,0),12),"")</f>
        <v/>
      </c>
      <c r="P233">
        <f>IFERROR($C233*INDEX(SPPR!$E:$X,MATCH($A233,SPPR!$A:$A,0),13),"")</f>
        <v/>
      </c>
      <c r="Q233">
        <f>IFERROR($C233*INDEX(SPPR!$E:$X,MATCH($A233,SPPR!$A:$A,0),14),"")</f>
        <v/>
      </c>
      <c r="R233">
        <f>IFERROR($C233*INDEX(SPPR!$E:$X,MATCH($A233,SPPR!$A:$A,0),15),"")</f>
        <v/>
      </c>
      <c r="S233">
        <f>IFERROR($C233*INDEX(SPPR!$E:$X,MATCH($A233,SPPR!$A:$A,0),16),"")</f>
        <v/>
      </c>
      <c r="T233">
        <f>IFERROR($C233*INDEX(SPPR!$E:$X,MATCH($A233,SPPR!$A:$A,0),17),"")</f>
        <v/>
      </c>
      <c r="U233">
        <f>IFERROR($C233*INDEX(SPPR!$E:$X,MATCH($A233,SPPR!$A:$A,0),18),"")</f>
        <v/>
      </c>
      <c r="V233">
        <f>IFERROR($C233*INDEX(SPPR!$E:$X,MATCH($A233,SPPR!$A:$A,0),19),"")</f>
        <v/>
      </c>
      <c r="W233">
        <f>IFERROR($C233*INDEX(SPPR!$E:$X,MATCH($A233,SPPR!$A:$A,0),20),"")</f>
        <v/>
      </c>
    </row>
    <row r="234">
      <c r="A234" t="inlineStr">
        <is>
          <t>Seriola dumerili</t>
        </is>
      </c>
      <c r="B234">
        <f>IFERROR(INDEX(SPPR!$D:$D,MATCH($A234,SPPR!$A:$A,0)),"")</f>
        <v/>
      </c>
      <c r="C234">
        <f>IFERROR(INDEX(Catch!$E:$BV,MATCH($A234,Catch!$A:$A,0),MATCH($B$4,Catch!$E$1:$BV$1,0)),0)</f>
        <v/>
      </c>
      <c r="D234">
        <f>IFERROR($C234*INDEX(SPPR!$E:$X,MATCH($A234,SPPR!$A:$A,0),1),"")</f>
        <v/>
      </c>
      <c r="E234">
        <f>IFERROR($C234*INDEX(SPPR!$E:$X,MATCH($A234,SPPR!$A:$A,0),2),"")</f>
        <v/>
      </c>
      <c r="F234">
        <f>IFERROR($C234*INDEX(SPPR!$E:$X,MATCH($A234,SPPR!$A:$A,0),3),"")</f>
        <v/>
      </c>
      <c r="G234">
        <f>IFERROR($C234*INDEX(SPPR!$E:$X,MATCH($A234,SPPR!$A:$A,0),4),"")</f>
        <v/>
      </c>
      <c r="H234">
        <f>IFERROR($C234*INDEX(SPPR!$E:$X,MATCH($A234,SPPR!$A:$A,0),5),"")</f>
        <v/>
      </c>
      <c r="I234">
        <f>IFERROR($C234*INDEX(SPPR!$E:$X,MATCH($A234,SPPR!$A:$A,0),6),"")</f>
        <v/>
      </c>
      <c r="J234">
        <f>IFERROR($C234*INDEX(SPPR!$E:$X,MATCH($A234,SPPR!$A:$A,0),7),"")</f>
        <v/>
      </c>
      <c r="K234">
        <f>IFERROR($C234*INDEX(SPPR!$E:$X,MATCH($A234,SPPR!$A:$A,0),8),"")</f>
        <v/>
      </c>
      <c r="L234">
        <f>IFERROR($C234*INDEX(SPPR!$E:$X,MATCH($A234,SPPR!$A:$A,0),9),"")</f>
        <v/>
      </c>
      <c r="M234">
        <f>IFERROR($C234*INDEX(SPPR!$E:$X,MATCH($A234,SPPR!$A:$A,0),10),"")</f>
        <v/>
      </c>
      <c r="N234">
        <f>IFERROR($C234*INDEX(SPPR!$E:$X,MATCH($A234,SPPR!$A:$A,0),11),"")</f>
        <v/>
      </c>
      <c r="O234">
        <f>IFERROR($C234*INDEX(SPPR!$E:$X,MATCH($A234,SPPR!$A:$A,0),12),"")</f>
        <v/>
      </c>
      <c r="P234">
        <f>IFERROR($C234*INDEX(SPPR!$E:$X,MATCH($A234,SPPR!$A:$A,0),13),"")</f>
        <v/>
      </c>
      <c r="Q234">
        <f>IFERROR($C234*INDEX(SPPR!$E:$X,MATCH($A234,SPPR!$A:$A,0),14),"")</f>
        <v/>
      </c>
      <c r="R234">
        <f>IFERROR($C234*INDEX(SPPR!$E:$X,MATCH($A234,SPPR!$A:$A,0),15),"")</f>
        <v/>
      </c>
      <c r="S234">
        <f>IFERROR($C234*INDEX(SPPR!$E:$X,MATCH($A234,SPPR!$A:$A,0),16),"")</f>
        <v/>
      </c>
      <c r="T234">
        <f>IFERROR($C234*INDEX(SPPR!$E:$X,MATCH($A234,SPPR!$A:$A,0),17),"")</f>
        <v/>
      </c>
      <c r="U234">
        <f>IFERROR($C234*INDEX(SPPR!$E:$X,MATCH($A234,SPPR!$A:$A,0),18),"")</f>
        <v/>
      </c>
      <c r="V234">
        <f>IFERROR($C234*INDEX(SPPR!$E:$X,MATCH($A234,SPPR!$A:$A,0),19),"")</f>
        <v/>
      </c>
      <c r="W234">
        <f>IFERROR($C234*INDEX(SPPR!$E:$X,MATCH($A234,SPPR!$A:$A,0),20),"")</f>
        <v/>
      </c>
    </row>
    <row r="235">
      <c r="A235" t="inlineStr">
        <is>
          <t>Cheilopogon unicolor</t>
        </is>
      </c>
      <c r="B235">
        <f>IFERROR(INDEX(SPPR!$D:$D,MATCH($A235,SPPR!$A:$A,0)),"")</f>
        <v/>
      </c>
      <c r="C235">
        <f>IFERROR(INDEX(Catch!$E:$BV,MATCH($A235,Catch!$A:$A,0),MATCH($B$4,Catch!$E$1:$BV$1,0)),0)</f>
        <v/>
      </c>
      <c r="D235">
        <f>IFERROR($C235*INDEX(SPPR!$E:$X,MATCH($A235,SPPR!$A:$A,0),1),"")</f>
        <v/>
      </c>
      <c r="E235">
        <f>IFERROR($C235*INDEX(SPPR!$E:$X,MATCH($A235,SPPR!$A:$A,0),2),"")</f>
        <v/>
      </c>
      <c r="F235">
        <f>IFERROR($C235*INDEX(SPPR!$E:$X,MATCH($A235,SPPR!$A:$A,0),3),"")</f>
        <v/>
      </c>
      <c r="G235">
        <f>IFERROR($C235*INDEX(SPPR!$E:$X,MATCH($A235,SPPR!$A:$A,0),4),"")</f>
        <v/>
      </c>
      <c r="H235">
        <f>IFERROR($C235*INDEX(SPPR!$E:$X,MATCH($A235,SPPR!$A:$A,0),5),"")</f>
        <v/>
      </c>
      <c r="I235">
        <f>IFERROR($C235*INDEX(SPPR!$E:$X,MATCH($A235,SPPR!$A:$A,0),6),"")</f>
        <v/>
      </c>
      <c r="J235">
        <f>IFERROR($C235*INDEX(SPPR!$E:$X,MATCH($A235,SPPR!$A:$A,0),7),"")</f>
        <v/>
      </c>
      <c r="K235">
        <f>IFERROR($C235*INDEX(SPPR!$E:$X,MATCH($A235,SPPR!$A:$A,0),8),"")</f>
        <v/>
      </c>
      <c r="L235">
        <f>IFERROR($C235*INDEX(SPPR!$E:$X,MATCH($A235,SPPR!$A:$A,0),9),"")</f>
        <v/>
      </c>
      <c r="M235">
        <f>IFERROR($C235*INDEX(SPPR!$E:$X,MATCH($A235,SPPR!$A:$A,0),10),"")</f>
        <v/>
      </c>
      <c r="N235">
        <f>IFERROR($C235*INDEX(SPPR!$E:$X,MATCH($A235,SPPR!$A:$A,0),11),"")</f>
        <v/>
      </c>
      <c r="O235">
        <f>IFERROR($C235*INDEX(SPPR!$E:$X,MATCH($A235,SPPR!$A:$A,0),12),"")</f>
        <v/>
      </c>
      <c r="P235">
        <f>IFERROR($C235*INDEX(SPPR!$E:$X,MATCH($A235,SPPR!$A:$A,0),13),"")</f>
        <v/>
      </c>
      <c r="Q235">
        <f>IFERROR($C235*INDEX(SPPR!$E:$X,MATCH($A235,SPPR!$A:$A,0),14),"")</f>
        <v/>
      </c>
      <c r="R235">
        <f>IFERROR($C235*INDEX(SPPR!$E:$X,MATCH($A235,SPPR!$A:$A,0),15),"")</f>
        <v/>
      </c>
      <c r="S235">
        <f>IFERROR($C235*INDEX(SPPR!$E:$X,MATCH($A235,SPPR!$A:$A,0),16),"")</f>
        <v/>
      </c>
      <c r="T235">
        <f>IFERROR($C235*INDEX(SPPR!$E:$X,MATCH($A235,SPPR!$A:$A,0),17),"")</f>
        <v/>
      </c>
      <c r="U235">
        <f>IFERROR($C235*INDEX(SPPR!$E:$X,MATCH($A235,SPPR!$A:$A,0),18),"")</f>
        <v/>
      </c>
      <c r="V235">
        <f>IFERROR($C235*INDEX(SPPR!$E:$X,MATCH($A235,SPPR!$A:$A,0),19),"")</f>
        <v/>
      </c>
      <c r="W235">
        <f>IFERROR($C235*INDEX(SPPR!$E:$X,MATCH($A235,SPPR!$A:$A,0),20),"")</f>
        <v/>
      </c>
    </row>
    <row r="236">
      <c r="A236" t="inlineStr">
        <is>
          <t>Lates calcarifer</t>
        </is>
      </c>
      <c r="B236">
        <f>IFERROR(INDEX(SPPR!$D:$D,MATCH($A236,SPPR!$A:$A,0)),"")</f>
        <v/>
      </c>
      <c r="C236">
        <f>IFERROR(INDEX(Catch!$E:$BV,MATCH($A236,Catch!$A:$A,0),MATCH($B$4,Catch!$E$1:$BV$1,0)),0)</f>
        <v/>
      </c>
      <c r="D236">
        <f>IFERROR($C236*INDEX(SPPR!$E:$X,MATCH($A236,SPPR!$A:$A,0),1),"")</f>
        <v/>
      </c>
      <c r="E236">
        <f>IFERROR($C236*INDEX(SPPR!$E:$X,MATCH($A236,SPPR!$A:$A,0),2),"")</f>
        <v/>
      </c>
      <c r="F236">
        <f>IFERROR($C236*INDEX(SPPR!$E:$X,MATCH($A236,SPPR!$A:$A,0),3),"")</f>
        <v/>
      </c>
      <c r="G236">
        <f>IFERROR($C236*INDEX(SPPR!$E:$X,MATCH($A236,SPPR!$A:$A,0),4),"")</f>
        <v/>
      </c>
      <c r="H236">
        <f>IFERROR($C236*INDEX(SPPR!$E:$X,MATCH($A236,SPPR!$A:$A,0),5),"")</f>
        <v/>
      </c>
      <c r="I236">
        <f>IFERROR($C236*INDEX(SPPR!$E:$X,MATCH($A236,SPPR!$A:$A,0),6),"")</f>
        <v/>
      </c>
      <c r="J236">
        <f>IFERROR($C236*INDEX(SPPR!$E:$X,MATCH($A236,SPPR!$A:$A,0),7),"")</f>
        <v/>
      </c>
      <c r="K236">
        <f>IFERROR($C236*INDEX(SPPR!$E:$X,MATCH($A236,SPPR!$A:$A,0),8),"")</f>
        <v/>
      </c>
      <c r="L236">
        <f>IFERROR($C236*INDEX(SPPR!$E:$X,MATCH($A236,SPPR!$A:$A,0),9),"")</f>
        <v/>
      </c>
      <c r="M236">
        <f>IFERROR($C236*INDEX(SPPR!$E:$X,MATCH($A236,SPPR!$A:$A,0),10),"")</f>
        <v/>
      </c>
      <c r="N236">
        <f>IFERROR($C236*INDEX(SPPR!$E:$X,MATCH($A236,SPPR!$A:$A,0),11),"")</f>
        <v/>
      </c>
      <c r="O236">
        <f>IFERROR($C236*INDEX(SPPR!$E:$X,MATCH($A236,SPPR!$A:$A,0),12),"")</f>
        <v/>
      </c>
      <c r="P236">
        <f>IFERROR($C236*INDEX(SPPR!$E:$X,MATCH($A236,SPPR!$A:$A,0),13),"")</f>
        <v/>
      </c>
      <c r="Q236">
        <f>IFERROR($C236*INDEX(SPPR!$E:$X,MATCH($A236,SPPR!$A:$A,0),14),"")</f>
        <v/>
      </c>
      <c r="R236">
        <f>IFERROR($C236*INDEX(SPPR!$E:$X,MATCH($A236,SPPR!$A:$A,0),15),"")</f>
        <v/>
      </c>
      <c r="S236">
        <f>IFERROR($C236*INDEX(SPPR!$E:$X,MATCH($A236,SPPR!$A:$A,0),16),"")</f>
        <v/>
      </c>
      <c r="T236">
        <f>IFERROR($C236*INDEX(SPPR!$E:$X,MATCH($A236,SPPR!$A:$A,0),17),"")</f>
        <v/>
      </c>
      <c r="U236">
        <f>IFERROR($C236*INDEX(SPPR!$E:$X,MATCH($A236,SPPR!$A:$A,0),18),"")</f>
        <v/>
      </c>
      <c r="V236">
        <f>IFERROR($C236*INDEX(SPPR!$E:$X,MATCH($A236,SPPR!$A:$A,0),19),"")</f>
        <v/>
      </c>
      <c r="W236">
        <f>IFERROR($C236*INDEX(SPPR!$E:$X,MATCH($A236,SPPR!$A:$A,0),20),"")</f>
        <v/>
      </c>
    </row>
    <row r="237">
      <c r="A237" t="inlineStr">
        <is>
          <t>Hexagrammidae</t>
        </is>
      </c>
      <c r="B237">
        <f>IFERROR(INDEX(SPPR!$D:$D,MATCH($A237,SPPR!$A:$A,0)),"")</f>
        <v/>
      </c>
      <c r="C237">
        <f>IFERROR(INDEX(Catch!$E:$BV,MATCH($A237,Catch!$A:$A,0),MATCH($B$4,Catch!$E$1:$BV$1,0)),0)</f>
        <v/>
      </c>
      <c r="D237">
        <f>IFERROR($C237*INDEX(SPPR!$E:$X,MATCH($A237,SPPR!$A:$A,0),1),"")</f>
        <v/>
      </c>
      <c r="E237">
        <f>IFERROR($C237*INDEX(SPPR!$E:$X,MATCH($A237,SPPR!$A:$A,0),2),"")</f>
        <v/>
      </c>
      <c r="F237">
        <f>IFERROR($C237*INDEX(SPPR!$E:$X,MATCH($A237,SPPR!$A:$A,0),3),"")</f>
        <v/>
      </c>
      <c r="G237">
        <f>IFERROR($C237*INDEX(SPPR!$E:$X,MATCH($A237,SPPR!$A:$A,0),4),"")</f>
        <v/>
      </c>
      <c r="H237">
        <f>IFERROR($C237*INDEX(SPPR!$E:$X,MATCH($A237,SPPR!$A:$A,0),5),"")</f>
        <v/>
      </c>
      <c r="I237">
        <f>IFERROR($C237*INDEX(SPPR!$E:$X,MATCH($A237,SPPR!$A:$A,0),6),"")</f>
        <v/>
      </c>
      <c r="J237">
        <f>IFERROR($C237*INDEX(SPPR!$E:$X,MATCH($A237,SPPR!$A:$A,0),7),"")</f>
        <v/>
      </c>
      <c r="K237">
        <f>IFERROR($C237*INDEX(SPPR!$E:$X,MATCH($A237,SPPR!$A:$A,0),8),"")</f>
        <v/>
      </c>
      <c r="L237">
        <f>IFERROR($C237*INDEX(SPPR!$E:$X,MATCH($A237,SPPR!$A:$A,0),9),"")</f>
        <v/>
      </c>
      <c r="M237">
        <f>IFERROR($C237*INDEX(SPPR!$E:$X,MATCH($A237,SPPR!$A:$A,0),10),"")</f>
        <v/>
      </c>
      <c r="N237">
        <f>IFERROR($C237*INDEX(SPPR!$E:$X,MATCH($A237,SPPR!$A:$A,0),11),"")</f>
        <v/>
      </c>
      <c r="O237">
        <f>IFERROR($C237*INDEX(SPPR!$E:$X,MATCH($A237,SPPR!$A:$A,0),12),"")</f>
        <v/>
      </c>
      <c r="P237">
        <f>IFERROR($C237*INDEX(SPPR!$E:$X,MATCH($A237,SPPR!$A:$A,0),13),"")</f>
        <v/>
      </c>
      <c r="Q237">
        <f>IFERROR($C237*INDEX(SPPR!$E:$X,MATCH($A237,SPPR!$A:$A,0),14),"")</f>
        <v/>
      </c>
      <c r="R237">
        <f>IFERROR($C237*INDEX(SPPR!$E:$X,MATCH($A237,SPPR!$A:$A,0),15),"")</f>
        <v/>
      </c>
      <c r="S237">
        <f>IFERROR($C237*INDEX(SPPR!$E:$X,MATCH($A237,SPPR!$A:$A,0),16),"")</f>
        <v/>
      </c>
      <c r="T237">
        <f>IFERROR($C237*INDEX(SPPR!$E:$X,MATCH($A237,SPPR!$A:$A,0),17),"")</f>
        <v/>
      </c>
      <c r="U237">
        <f>IFERROR($C237*INDEX(SPPR!$E:$X,MATCH($A237,SPPR!$A:$A,0),18),"")</f>
        <v/>
      </c>
      <c r="V237">
        <f>IFERROR($C237*INDEX(SPPR!$E:$X,MATCH($A237,SPPR!$A:$A,0),19),"")</f>
        <v/>
      </c>
      <c r="W237">
        <f>IFERROR($C237*INDEX(SPPR!$E:$X,MATCH($A237,SPPR!$A:$A,0),20),"")</f>
        <v/>
      </c>
    </row>
    <row r="238">
      <c r="A238" t="inlineStr">
        <is>
          <t>Clupanodon thrissa</t>
        </is>
      </c>
      <c r="B238">
        <f>IFERROR(INDEX(SPPR!$D:$D,MATCH($A238,SPPR!$A:$A,0)),"")</f>
        <v/>
      </c>
      <c r="C238">
        <f>IFERROR(INDEX(Catch!$E:$BV,MATCH($A238,Catch!$A:$A,0),MATCH($B$4,Catch!$E$1:$BV$1,0)),0)</f>
        <v/>
      </c>
      <c r="D238">
        <f>IFERROR($C238*INDEX(SPPR!$E:$X,MATCH($A238,SPPR!$A:$A,0),1),"")</f>
        <v/>
      </c>
      <c r="E238">
        <f>IFERROR($C238*INDEX(SPPR!$E:$X,MATCH($A238,SPPR!$A:$A,0),2),"")</f>
        <v/>
      </c>
      <c r="F238">
        <f>IFERROR($C238*INDEX(SPPR!$E:$X,MATCH($A238,SPPR!$A:$A,0),3),"")</f>
        <v/>
      </c>
      <c r="G238">
        <f>IFERROR($C238*INDEX(SPPR!$E:$X,MATCH($A238,SPPR!$A:$A,0),4),"")</f>
        <v/>
      </c>
      <c r="H238">
        <f>IFERROR($C238*INDEX(SPPR!$E:$X,MATCH($A238,SPPR!$A:$A,0),5),"")</f>
        <v/>
      </c>
      <c r="I238">
        <f>IFERROR($C238*INDEX(SPPR!$E:$X,MATCH($A238,SPPR!$A:$A,0),6),"")</f>
        <v/>
      </c>
      <c r="J238">
        <f>IFERROR($C238*INDEX(SPPR!$E:$X,MATCH($A238,SPPR!$A:$A,0),7),"")</f>
        <v/>
      </c>
      <c r="K238">
        <f>IFERROR($C238*INDEX(SPPR!$E:$X,MATCH($A238,SPPR!$A:$A,0),8),"")</f>
        <v/>
      </c>
      <c r="L238">
        <f>IFERROR($C238*INDEX(SPPR!$E:$X,MATCH($A238,SPPR!$A:$A,0),9),"")</f>
        <v/>
      </c>
      <c r="M238">
        <f>IFERROR($C238*INDEX(SPPR!$E:$X,MATCH($A238,SPPR!$A:$A,0),10),"")</f>
        <v/>
      </c>
      <c r="N238">
        <f>IFERROR($C238*INDEX(SPPR!$E:$X,MATCH($A238,SPPR!$A:$A,0),11),"")</f>
        <v/>
      </c>
      <c r="O238">
        <f>IFERROR($C238*INDEX(SPPR!$E:$X,MATCH($A238,SPPR!$A:$A,0),12),"")</f>
        <v/>
      </c>
      <c r="P238">
        <f>IFERROR($C238*INDEX(SPPR!$E:$X,MATCH($A238,SPPR!$A:$A,0),13),"")</f>
        <v/>
      </c>
      <c r="Q238">
        <f>IFERROR($C238*INDEX(SPPR!$E:$X,MATCH($A238,SPPR!$A:$A,0),14),"")</f>
        <v/>
      </c>
      <c r="R238">
        <f>IFERROR($C238*INDEX(SPPR!$E:$X,MATCH($A238,SPPR!$A:$A,0),15),"")</f>
        <v/>
      </c>
      <c r="S238">
        <f>IFERROR($C238*INDEX(SPPR!$E:$X,MATCH($A238,SPPR!$A:$A,0),16),"")</f>
        <v/>
      </c>
      <c r="T238">
        <f>IFERROR($C238*INDEX(SPPR!$E:$X,MATCH($A238,SPPR!$A:$A,0),17),"")</f>
        <v/>
      </c>
      <c r="U238">
        <f>IFERROR($C238*INDEX(SPPR!$E:$X,MATCH($A238,SPPR!$A:$A,0),18),"")</f>
        <v/>
      </c>
      <c r="V238">
        <f>IFERROR($C238*INDEX(SPPR!$E:$X,MATCH($A238,SPPR!$A:$A,0),19),"")</f>
        <v/>
      </c>
      <c r="W238">
        <f>IFERROR($C238*INDEX(SPPR!$E:$X,MATCH($A238,SPPR!$A:$A,0),20),"")</f>
        <v/>
      </c>
    </row>
    <row r="239">
      <c r="A239" t="inlineStr">
        <is>
          <t>Ommastrephes bartramii</t>
        </is>
      </c>
      <c r="B239">
        <f>IFERROR(INDEX(SPPR!$D:$D,MATCH($A239,SPPR!$A:$A,0)),"")</f>
        <v/>
      </c>
      <c r="C239">
        <f>IFERROR(INDEX(Catch!$E:$BV,MATCH($A239,Catch!$A:$A,0),MATCH($B$4,Catch!$E$1:$BV$1,0)),0)</f>
        <v/>
      </c>
      <c r="D239">
        <f>IFERROR($C239*INDEX(SPPR!$E:$X,MATCH($A239,SPPR!$A:$A,0),1),"")</f>
        <v/>
      </c>
      <c r="E239">
        <f>IFERROR($C239*INDEX(SPPR!$E:$X,MATCH($A239,SPPR!$A:$A,0),2),"")</f>
        <v/>
      </c>
      <c r="F239">
        <f>IFERROR($C239*INDEX(SPPR!$E:$X,MATCH($A239,SPPR!$A:$A,0),3),"")</f>
        <v/>
      </c>
      <c r="G239">
        <f>IFERROR($C239*INDEX(SPPR!$E:$X,MATCH($A239,SPPR!$A:$A,0),4),"")</f>
        <v/>
      </c>
      <c r="H239">
        <f>IFERROR($C239*INDEX(SPPR!$E:$X,MATCH($A239,SPPR!$A:$A,0),5),"")</f>
        <v/>
      </c>
      <c r="I239">
        <f>IFERROR($C239*INDEX(SPPR!$E:$X,MATCH($A239,SPPR!$A:$A,0),6),"")</f>
        <v/>
      </c>
      <c r="J239">
        <f>IFERROR($C239*INDEX(SPPR!$E:$X,MATCH($A239,SPPR!$A:$A,0),7),"")</f>
        <v/>
      </c>
      <c r="K239">
        <f>IFERROR($C239*INDEX(SPPR!$E:$X,MATCH($A239,SPPR!$A:$A,0),8),"")</f>
        <v/>
      </c>
      <c r="L239">
        <f>IFERROR($C239*INDEX(SPPR!$E:$X,MATCH($A239,SPPR!$A:$A,0),9),"")</f>
        <v/>
      </c>
      <c r="M239">
        <f>IFERROR($C239*INDEX(SPPR!$E:$X,MATCH($A239,SPPR!$A:$A,0),10),"")</f>
        <v/>
      </c>
      <c r="N239">
        <f>IFERROR($C239*INDEX(SPPR!$E:$X,MATCH($A239,SPPR!$A:$A,0),11),"")</f>
        <v/>
      </c>
      <c r="O239">
        <f>IFERROR($C239*INDEX(SPPR!$E:$X,MATCH($A239,SPPR!$A:$A,0),12),"")</f>
        <v/>
      </c>
      <c r="P239">
        <f>IFERROR($C239*INDEX(SPPR!$E:$X,MATCH($A239,SPPR!$A:$A,0),13),"")</f>
        <v/>
      </c>
      <c r="Q239">
        <f>IFERROR($C239*INDEX(SPPR!$E:$X,MATCH($A239,SPPR!$A:$A,0),14),"")</f>
        <v/>
      </c>
      <c r="R239">
        <f>IFERROR($C239*INDEX(SPPR!$E:$X,MATCH($A239,SPPR!$A:$A,0),15),"")</f>
        <v/>
      </c>
      <c r="S239">
        <f>IFERROR($C239*INDEX(SPPR!$E:$X,MATCH($A239,SPPR!$A:$A,0),16),"")</f>
        <v/>
      </c>
      <c r="T239">
        <f>IFERROR($C239*INDEX(SPPR!$E:$X,MATCH($A239,SPPR!$A:$A,0),17),"")</f>
        <v/>
      </c>
      <c r="U239">
        <f>IFERROR($C239*INDEX(SPPR!$E:$X,MATCH($A239,SPPR!$A:$A,0),18),"")</f>
        <v/>
      </c>
      <c r="V239">
        <f>IFERROR($C239*INDEX(SPPR!$E:$X,MATCH($A239,SPPR!$A:$A,0),19),"")</f>
        <v/>
      </c>
      <c r="W239">
        <f>IFERROR($C239*INDEX(SPPR!$E:$X,MATCH($A239,SPPR!$A:$A,0),20),"")</f>
        <v/>
      </c>
    </row>
    <row r="240">
      <c r="A240" t="inlineStr">
        <is>
          <t>Mola mola</t>
        </is>
      </c>
      <c r="B240">
        <f>IFERROR(INDEX(SPPR!$D:$D,MATCH($A240,SPPR!$A:$A,0)),"")</f>
        <v/>
      </c>
      <c r="C240">
        <f>IFERROR(INDEX(Catch!$E:$BV,MATCH($A240,Catch!$A:$A,0),MATCH($B$4,Catch!$E$1:$BV$1,0)),0)</f>
        <v/>
      </c>
      <c r="D240">
        <f>IFERROR($C240*INDEX(SPPR!$E:$X,MATCH($A240,SPPR!$A:$A,0),1),"")</f>
        <v/>
      </c>
      <c r="E240">
        <f>IFERROR($C240*INDEX(SPPR!$E:$X,MATCH($A240,SPPR!$A:$A,0),2),"")</f>
        <v/>
      </c>
      <c r="F240">
        <f>IFERROR($C240*INDEX(SPPR!$E:$X,MATCH($A240,SPPR!$A:$A,0),3),"")</f>
        <v/>
      </c>
      <c r="G240">
        <f>IFERROR($C240*INDEX(SPPR!$E:$X,MATCH($A240,SPPR!$A:$A,0),4),"")</f>
        <v/>
      </c>
      <c r="H240">
        <f>IFERROR($C240*INDEX(SPPR!$E:$X,MATCH($A240,SPPR!$A:$A,0),5),"")</f>
        <v/>
      </c>
      <c r="I240">
        <f>IFERROR($C240*INDEX(SPPR!$E:$X,MATCH($A240,SPPR!$A:$A,0),6),"")</f>
        <v/>
      </c>
      <c r="J240">
        <f>IFERROR($C240*INDEX(SPPR!$E:$X,MATCH($A240,SPPR!$A:$A,0),7),"")</f>
        <v/>
      </c>
      <c r="K240">
        <f>IFERROR($C240*INDEX(SPPR!$E:$X,MATCH($A240,SPPR!$A:$A,0),8),"")</f>
        <v/>
      </c>
      <c r="L240">
        <f>IFERROR($C240*INDEX(SPPR!$E:$X,MATCH($A240,SPPR!$A:$A,0),9),"")</f>
        <v/>
      </c>
      <c r="M240">
        <f>IFERROR($C240*INDEX(SPPR!$E:$X,MATCH($A240,SPPR!$A:$A,0),10),"")</f>
        <v/>
      </c>
      <c r="N240">
        <f>IFERROR($C240*INDEX(SPPR!$E:$X,MATCH($A240,SPPR!$A:$A,0),11),"")</f>
        <v/>
      </c>
      <c r="O240">
        <f>IFERROR($C240*INDEX(SPPR!$E:$X,MATCH($A240,SPPR!$A:$A,0),12),"")</f>
        <v/>
      </c>
      <c r="P240">
        <f>IFERROR($C240*INDEX(SPPR!$E:$X,MATCH($A240,SPPR!$A:$A,0),13),"")</f>
        <v/>
      </c>
      <c r="Q240">
        <f>IFERROR($C240*INDEX(SPPR!$E:$X,MATCH($A240,SPPR!$A:$A,0),14),"")</f>
        <v/>
      </c>
      <c r="R240">
        <f>IFERROR($C240*INDEX(SPPR!$E:$X,MATCH($A240,SPPR!$A:$A,0),15),"")</f>
        <v/>
      </c>
      <c r="S240">
        <f>IFERROR($C240*INDEX(SPPR!$E:$X,MATCH($A240,SPPR!$A:$A,0),16),"")</f>
        <v/>
      </c>
      <c r="T240">
        <f>IFERROR($C240*INDEX(SPPR!$E:$X,MATCH($A240,SPPR!$A:$A,0),17),"")</f>
        <v/>
      </c>
      <c r="U240">
        <f>IFERROR($C240*INDEX(SPPR!$E:$X,MATCH($A240,SPPR!$A:$A,0),18),"")</f>
        <v/>
      </c>
      <c r="V240">
        <f>IFERROR($C240*INDEX(SPPR!$E:$X,MATCH($A240,SPPR!$A:$A,0),19),"")</f>
        <v/>
      </c>
      <c r="W240">
        <f>IFERROR($C240*INDEX(SPPR!$E:$X,MATCH($A240,SPPR!$A:$A,0),20),"")</f>
        <v/>
      </c>
    </row>
    <row r="241">
      <c r="A241" t="inlineStr">
        <is>
          <t>Scaridae</t>
        </is>
      </c>
      <c r="B241">
        <f>IFERROR(INDEX(SPPR!$D:$D,MATCH($A241,SPPR!$A:$A,0)),"")</f>
        <v/>
      </c>
      <c r="C241">
        <f>IFERROR(INDEX(Catch!$E:$BV,MATCH($A241,Catch!$A:$A,0),MATCH($B$4,Catch!$E$1:$BV$1,0)),0)</f>
        <v/>
      </c>
      <c r="D241">
        <f>IFERROR($C241*INDEX(SPPR!$E:$X,MATCH($A241,SPPR!$A:$A,0),1),"")</f>
        <v/>
      </c>
      <c r="E241">
        <f>IFERROR($C241*INDEX(SPPR!$E:$X,MATCH($A241,SPPR!$A:$A,0),2),"")</f>
        <v/>
      </c>
      <c r="F241">
        <f>IFERROR($C241*INDEX(SPPR!$E:$X,MATCH($A241,SPPR!$A:$A,0),3),"")</f>
        <v/>
      </c>
      <c r="G241">
        <f>IFERROR($C241*INDEX(SPPR!$E:$X,MATCH($A241,SPPR!$A:$A,0),4),"")</f>
        <v/>
      </c>
      <c r="H241">
        <f>IFERROR($C241*INDEX(SPPR!$E:$X,MATCH($A241,SPPR!$A:$A,0),5),"")</f>
        <v/>
      </c>
      <c r="I241">
        <f>IFERROR($C241*INDEX(SPPR!$E:$X,MATCH($A241,SPPR!$A:$A,0),6),"")</f>
        <v/>
      </c>
      <c r="J241">
        <f>IFERROR($C241*INDEX(SPPR!$E:$X,MATCH($A241,SPPR!$A:$A,0),7),"")</f>
        <v/>
      </c>
      <c r="K241">
        <f>IFERROR($C241*INDEX(SPPR!$E:$X,MATCH($A241,SPPR!$A:$A,0),8),"")</f>
        <v/>
      </c>
      <c r="L241">
        <f>IFERROR($C241*INDEX(SPPR!$E:$X,MATCH($A241,SPPR!$A:$A,0),9),"")</f>
        <v/>
      </c>
      <c r="M241">
        <f>IFERROR($C241*INDEX(SPPR!$E:$X,MATCH($A241,SPPR!$A:$A,0),10),"")</f>
        <v/>
      </c>
      <c r="N241">
        <f>IFERROR($C241*INDEX(SPPR!$E:$X,MATCH($A241,SPPR!$A:$A,0),11),"")</f>
        <v/>
      </c>
      <c r="O241">
        <f>IFERROR($C241*INDEX(SPPR!$E:$X,MATCH($A241,SPPR!$A:$A,0),12),"")</f>
        <v/>
      </c>
      <c r="P241">
        <f>IFERROR($C241*INDEX(SPPR!$E:$X,MATCH($A241,SPPR!$A:$A,0),13),"")</f>
        <v/>
      </c>
      <c r="Q241">
        <f>IFERROR($C241*INDEX(SPPR!$E:$X,MATCH($A241,SPPR!$A:$A,0),14),"")</f>
        <v/>
      </c>
      <c r="R241">
        <f>IFERROR($C241*INDEX(SPPR!$E:$X,MATCH($A241,SPPR!$A:$A,0),15),"")</f>
        <v/>
      </c>
      <c r="S241">
        <f>IFERROR($C241*INDEX(SPPR!$E:$X,MATCH($A241,SPPR!$A:$A,0),16),"")</f>
        <v/>
      </c>
      <c r="T241">
        <f>IFERROR($C241*INDEX(SPPR!$E:$X,MATCH($A241,SPPR!$A:$A,0),17),"")</f>
        <v/>
      </c>
      <c r="U241">
        <f>IFERROR($C241*INDEX(SPPR!$E:$X,MATCH($A241,SPPR!$A:$A,0),18),"")</f>
        <v/>
      </c>
      <c r="V241">
        <f>IFERROR($C241*INDEX(SPPR!$E:$X,MATCH($A241,SPPR!$A:$A,0),19),"")</f>
        <v/>
      </c>
      <c r="W241">
        <f>IFERROR($C241*INDEX(SPPR!$E:$X,MATCH($A241,SPPR!$A:$A,0),20),"")</f>
        <v/>
      </c>
    </row>
    <row r="242">
      <c r="A242" t="inlineStr">
        <is>
          <t>Aluterus</t>
        </is>
      </c>
      <c r="B242">
        <f>IFERROR(INDEX(SPPR!$D:$D,MATCH($A242,SPPR!$A:$A,0)),"")</f>
        <v/>
      </c>
      <c r="C242">
        <f>IFERROR(INDEX(Catch!$E:$BV,MATCH($A242,Catch!$A:$A,0),MATCH($B$4,Catch!$E$1:$BV$1,0)),0)</f>
        <v/>
      </c>
      <c r="D242">
        <f>IFERROR($C242*INDEX(SPPR!$E:$X,MATCH($A242,SPPR!$A:$A,0),1),"")</f>
        <v/>
      </c>
      <c r="E242">
        <f>IFERROR($C242*INDEX(SPPR!$E:$X,MATCH($A242,SPPR!$A:$A,0),2),"")</f>
        <v/>
      </c>
      <c r="F242">
        <f>IFERROR($C242*INDEX(SPPR!$E:$X,MATCH($A242,SPPR!$A:$A,0),3),"")</f>
        <v/>
      </c>
      <c r="G242">
        <f>IFERROR($C242*INDEX(SPPR!$E:$X,MATCH($A242,SPPR!$A:$A,0),4),"")</f>
        <v/>
      </c>
      <c r="H242">
        <f>IFERROR($C242*INDEX(SPPR!$E:$X,MATCH($A242,SPPR!$A:$A,0),5),"")</f>
        <v/>
      </c>
      <c r="I242">
        <f>IFERROR($C242*INDEX(SPPR!$E:$X,MATCH($A242,SPPR!$A:$A,0),6),"")</f>
        <v/>
      </c>
      <c r="J242">
        <f>IFERROR($C242*INDEX(SPPR!$E:$X,MATCH($A242,SPPR!$A:$A,0),7),"")</f>
        <v/>
      </c>
      <c r="K242">
        <f>IFERROR($C242*INDEX(SPPR!$E:$X,MATCH($A242,SPPR!$A:$A,0),8),"")</f>
        <v/>
      </c>
      <c r="L242">
        <f>IFERROR($C242*INDEX(SPPR!$E:$X,MATCH($A242,SPPR!$A:$A,0),9),"")</f>
        <v/>
      </c>
      <c r="M242">
        <f>IFERROR($C242*INDEX(SPPR!$E:$X,MATCH($A242,SPPR!$A:$A,0),10),"")</f>
        <v/>
      </c>
      <c r="N242">
        <f>IFERROR($C242*INDEX(SPPR!$E:$X,MATCH($A242,SPPR!$A:$A,0),11),"")</f>
        <v/>
      </c>
      <c r="O242">
        <f>IFERROR($C242*INDEX(SPPR!$E:$X,MATCH($A242,SPPR!$A:$A,0),12),"")</f>
        <v/>
      </c>
      <c r="P242">
        <f>IFERROR($C242*INDEX(SPPR!$E:$X,MATCH($A242,SPPR!$A:$A,0),13),"")</f>
        <v/>
      </c>
      <c r="Q242">
        <f>IFERROR($C242*INDEX(SPPR!$E:$X,MATCH($A242,SPPR!$A:$A,0),14),"")</f>
        <v/>
      </c>
      <c r="R242">
        <f>IFERROR($C242*INDEX(SPPR!$E:$X,MATCH($A242,SPPR!$A:$A,0),15),"")</f>
        <v/>
      </c>
      <c r="S242">
        <f>IFERROR($C242*INDEX(SPPR!$E:$X,MATCH($A242,SPPR!$A:$A,0),16),"")</f>
        <v/>
      </c>
      <c r="T242">
        <f>IFERROR($C242*INDEX(SPPR!$E:$X,MATCH($A242,SPPR!$A:$A,0),17),"")</f>
        <v/>
      </c>
      <c r="U242">
        <f>IFERROR($C242*INDEX(SPPR!$E:$X,MATCH($A242,SPPR!$A:$A,0),18),"")</f>
        <v/>
      </c>
      <c r="V242">
        <f>IFERROR($C242*INDEX(SPPR!$E:$X,MATCH($A242,SPPR!$A:$A,0),19),"")</f>
        <v/>
      </c>
      <c r="W242">
        <f>IFERROR($C242*INDEX(SPPR!$E:$X,MATCH($A242,SPPR!$A:$A,0),20),"")</f>
        <v/>
      </c>
    </row>
    <row r="243">
      <c r="A243" t="inlineStr">
        <is>
          <t>Chionoecetes</t>
        </is>
      </c>
      <c r="B243">
        <f>IFERROR(INDEX(SPPR!$D:$D,MATCH($A243,SPPR!$A:$A,0)),"")</f>
        <v/>
      </c>
      <c r="C243">
        <f>IFERROR(INDEX(Catch!$E:$BV,MATCH($A243,Catch!$A:$A,0),MATCH($B$4,Catch!$E$1:$BV$1,0)),0)</f>
        <v/>
      </c>
      <c r="D243">
        <f>IFERROR($C243*INDEX(SPPR!$E:$X,MATCH($A243,SPPR!$A:$A,0),1),"")</f>
        <v/>
      </c>
      <c r="E243">
        <f>IFERROR($C243*INDEX(SPPR!$E:$X,MATCH($A243,SPPR!$A:$A,0),2),"")</f>
        <v/>
      </c>
      <c r="F243">
        <f>IFERROR($C243*INDEX(SPPR!$E:$X,MATCH($A243,SPPR!$A:$A,0),3),"")</f>
        <v/>
      </c>
      <c r="G243">
        <f>IFERROR($C243*INDEX(SPPR!$E:$X,MATCH($A243,SPPR!$A:$A,0),4),"")</f>
        <v/>
      </c>
      <c r="H243">
        <f>IFERROR($C243*INDEX(SPPR!$E:$X,MATCH($A243,SPPR!$A:$A,0),5),"")</f>
        <v/>
      </c>
      <c r="I243">
        <f>IFERROR($C243*INDEX(SPPR!$E:$X,MATCH($A243,SPPR!$A:$A,0),6),"")</f>
        <v/>
      </c>
      <c r="J243">
        <f>IFERROR($C243*INDEX(SPPR!$E:$X,MATCH($A243,SPPR!$A:$A,0),7),"")</f>
        <v/>
      </c>
      <c r="K243">
        <f>IFERROR($C243*INDEX(SPPR!$E:$X,MATCH($A243,SPPR!$A:$A,0),8),"")</f>
        <v/>
      </c>
      <c r="L243">
        <f>IFERROR($C243*INDEX(SPPR!$E:$X,MATCH($A243,SPPR!$A:$A,0),9),"")</f>
        <v/>
      </c>
      <c r="M243">
        <f>IFERROR($C243*INDEX(SPPR!$E:$X,MATCH($A243,SPPR!$A:$A,0),10),"")</f>
        <v/>
      </c>
      <c r="N243">
        <f>IFERROR($C243*INDEX(SPPR!$E:$X,MATCH($A243,SPPR!$A:$A,0),11),"")</f>
        <v/>
      </c>
      <c r="O243">
        <f>IFERROR($C243*INDEX(SPPR!$E:$X,MATCH($A243,SPPR!$A:$A,0),12),"")</f>
        <v/>
      </c>
      <c r="P243">
        <f>IFERROR($C243*INDEX(SPPR!$E:$X,MATCH($A243,SPPR!$A:$A,0),13),"")</f>
        <v/>
      </c>
      <c r="Q243">
        <f>IFERROR($C243*INDEX(SPPR!$E:$X,MATCH($A243,SPPR!$A:$A,0),14),"")</f>
        <v/>
      </c>
      <c r="R243">
        <f>IFERROR($C243*INDEX(SPPR!$E:$X,MATCH($A243,SPPR!$A:$A,0),15),"")</f>
        <v/>
      </c>
      <c r="S243">
        <f>IFERROR($C243*INDEX(SPPR!$E:$X,MATCH($A243,SPPR!$A:$A,0),16),"")</f>
        <v/>
      </c>
      <c r="T243">
        <f>IFERROR($C243*INDEX(SPPR!$E:$X,MATCH($A243,SPPR!$A:$A,0),17),"")</f>
        <v/>
      </c>
      <c r="U243">
        <f>IFERROR($C243*INDEX(SPPR!$E:$X,MATCH($A243,SPPR!$A:$A,0),18),"")</f>
        <v/>
      </c>
      <c r="V243">
        <f>IFERROR($C243*INDEX(SPPR!$E:$X,MATCH($A243,SPPR!$A:$A,0),19),"")</f>
        <v/>
      </c>
      <c r="W243">
        <f>IFERROR($C243*INDEX(SPPR!$E:$X,MATCH($A243,SPPR!$A:$A,0),20),"")</f>
        <v/>
      </c>
    </row>
    <row r="244">
      <c r="A244" t="inlineStr">
        <is>
          <t>Prionace glauca</t>
        </is>
      </c>
      <c r="B244">
        <f>IFERROR(INDEX(SPPR!$D:$D,MATCH($A244,SPPR!$A:$A,0)),"")</f>
        <v/>
      </c>
      <c r="C244">
        <f>IFERROR(INDEX(Catch!$E:$BV,MATCH($A244,Catch!$A:$A,0),MATCH($B$4,Catch!$E$1:$BV$1,0)),0)</f>
        <v/>
      </c>
      <c r="D244">
        <f>IFERROR($C244*INDEX(SPPR!$E:$X,MATCH($A244,SPPR!$A:$A,0),1),"")</f>
        <v/>
      </c>
      <c r="E244">
        <f>IFERROR($C244*INDEX(SPPR!$E:$X,MATCH($A244,SPPR!$A:$A,0),2),"")</f>
        <v/>
      </c>
      <c r="F244">
        <f>IFERROR($C244*INDEX(SPPR!$E:$X,MATCH($A244,SPPR!$A:$A,0),3),"")</f>
        <v/>
      </c>
      <c r="G244">
        <f>IFERROR($C244*INDEX(SPPR!$E:$X,MATCH($A244,SPPR!$A:$A,0),4),"")</f>
        <v/>
      </c>
      <c r="H244">
        <f>IFERROR($C244*INDEX(SPPR!$E:$X,MATCH($A244,SPPR!$A:$A,0),5),"")</f>
        <v/>
      </c>
      <c r="I244">
        <f>IFERROR($C244*INDEX(SPPR!$E:$X,MATCH($A244,SPPR!$A:$A,0),6),"")</f>
        <v/>
      </c>
      <c r="J244">
        <f>IFERROR($C244*INDEX(SPPR!$E:$X,MATCH($A244,SPPR!$A:$A,0),7),"")</f>
        <v/>
      </c>
      <c r="K244">
        <f>IFERROR($C244*INDEX(SPPR!$E:$X,MATCH($A244,SPPR!$A:$A,0),8),"")</f>
        <v/>
      </c>
      <c r="L244">
        <f>IFERROR($C244*INDEX(SPPR!$E:$X,MATCH($A244,SPPR!$A:$A,0),9),"")</f>
        <v/>
      </c>
      <c r="M244">
        <f>IFERROR($C244*INDEX(SPPR!$E:$X,MATCH($A244,SPPR!$A:$A,0),10),"")</f>
        <v/>
      </c>
      <c r="N244">
        <f>IFERROR($C244*INDEX(SPPR!$E:$X,MATCH($A244,SPPR!$A:$A,0),11),"")</f>
        <v/>
      </c>
      <c r="O244">
        <f>IFERROR($C244*INDEX(SPPR!$E:$X,MATCH($A244,SPPR!$A:$A,0),12),"")</f>
        <v/>
      </c>
      <c r="P244">
        <f>IFERROR($C244*INDEX(SPPR!$E:$X,MATCH($A244,SPPR!$A:$A,0),13),"")</f>
        <v/>
      </c>
      <c r="Q244">
        <f>IFERROR($C244*INDEX(SPPR!$E:$X,MATCH($A244,SPPR!$A:$A,0),14),"")</f>
        <v/>
      </c>
      <c r="R244">
        <f>IFERROR($C244*INDEX(SPPR!$E:$X,MATCH($A244,SPPR!$A:$A,0),15),"")</f>
        <v/>
      </c>
      <c r="S244">
        <f>IFERROR($C244*INDEX(SPPR!$E:$X,MATCH($A244,SPPR!$A:$A,0),16),"")</f>
        <v/>
      </c>
      <c r="T244">
        <f>IFERROR($C244*INDEX(SPPR!$E:$X,MATCH($A244,SPPR!$A:$A,0),17),"")</f>
        <v/>
      </c>
      <c r="U244">
        <f>IFERROR($C244*INDEX(SPPR!$E:$X,MATCH($A244,SPPR!$A:$A,0),18),"")</f>
        <v/>
      </c>
      <c r="V244">
        <f>IFERROR($C244*INDEX(SPPR!$E:$X,MATCH($A244,SPPR!$A:$A,0),19),"")</f>
        <v/>
      </c>
      <c r="W244">
        <f>IFERROR($C244*INDEX(SPPR!$E:$X,MATCH($A244,SPPR!$A:$A,0),20),"")</f>
        <v/>
      </c>
    </row>
    <row r="245">
      <c r="A245" t="inlineStr">
        <is>
          <t>Scylla</t>
        </is>
      </c>
      <c r="B245">
        <f>IFERROR(INDEX(SPPR!$D:$D,MATCH($A245,SPPR!$A:$A,0)),"")</f>
        <v/>
      </c>
      <c r="C245">
        <f>IFERROR(INDEX(Catch!$E:$BV,MATCH($A245,Catch!$A:$A,0),MATCH($B$4,Catch!$E$1:$BV$1,0)),0)</f>
        <v/>
      </c>
      <c r="D245">
        <f>IFERROR($C245*INDEX(SPPR!$E:$X,MATCH($A245,SPPR!$A:$A,0),1),"")</f>
        <v/>
      </c>
      <c r="E245">
        <f>IFERROR($C245*INDEX(SPPR!$E:$X,MATCH($A245,SPPR!$A:$A,0),2),"")</f>
        <v/>
      </c>
      <c r="F245">
        <f>IFERROR($C245*INDEX(SPPR!$E:$X,MATCH($A245,SPPR!$A:$A,0),3),"")</f>
        <v/>
      </c>
      <c r="G245">
        <f>IFERROR($C245*INDEX(SPPR!$E:$X,MATCH($A245,SPPR!$A:$A,0),4),"")</f>
        <v/>
      </c>
      <c r="H245">
        <f>IFERROR($C245*INDEX(SPPR!$E:$X,MATCH($A245,SPPR!$A:$A,0),5),"")</f>
        <v/>
      </c>
      <c r="I245">
        <f>IFERROR($C245*INDEX(SPPR!$E:$X,MATCH($A245,SPPR!$A:$A,0),6),"")</f>
        <v/>
      </c>
      <c r="J245">
        <f>IFERROR($C245*INDEX(SPPR!$E:$X,MATCH($A245,SPPR!$A:$A,0),7),"")</f>
        <v/>
      </c>
      <c r="K245">
        <f>IFERROR($C245*INDEX(SPPR!$E:$X,MATCH($A245,SPPR!$A:$A,0),8),"")</f>
        <v/>
      </c>
      <c r="L245">
        <f>IFERROR($C245*INDEX(SPPR!$E:$X,MATCH($A245,SPPR!$A:$A,0),9),"")</f>
        <v/>
      </c>
      <c r="M245">
        <f>IFERROR($C245*INDEX(SPPR!$E:$X,MATCH($A245,SPPR!$A:$A,0),10),"")</f>
        <v/>
      </c>
      <c r="N245">
        <f>IFERROR($C245*INDEX(SPPR!$E:$X,MATCH($A245,SPPR!$A:$A,0),11),"")</f>
        <v/>
      </c>
      <c r="O245">
        <f>IFERROR($C245*INDEX(SPPR!$E:$X,MATCH($A245,SPPR!$A:$A,0),12),"")</f>
        <v/>
      </c>
      <c r="P245">
        <f>IFERROR($C245*INDEX(SPPR!$E:$X,MATCH($A245,SPPR!$A:$A,0),13),"")</f>
        <v/>
      </c>
      <c r="Q245">
        <f>IFERROR($C245*INDEX(SPPR!$E:$X,MATCH($A245,SPPR!$A:$A,0),14),"")</f>
        <v/>
      </c>
      <c r="R245">
        <f>IFERROR($C245*INDEX(SPPR!$E:$X,MATCH($A245,SPPR!$A:$A,0),15),"")</f>
        <v/>
      </c>
      <c r="S245">
        <f>IFERROR($C245*INDEX(SPPR!$E:$X,MATCH($A245,SPPR!$A:$A,0),16),"")</f>
        <v/>
      </c>
      <c r="T245">
        <f>IFERROR($C245*INDEX(SPPR!$E:$X,MATCH($A245,SPPR!$A:$A,0),17),"")</f>
        <v/>
      </c>
      <c r="U245">
        <f>IFERROR($C245*INDEX(SPPR!$E:$X,MATCH($A245,SPPR!$A:$A,0),18),"")</f>
        <v/>
      </c>
      <c r="V245">
        <f>IFERROR($C245*INDEX(SPPR!$E:$X,MATCH($A245,SPPR!$A:$A,0),19),"")</f>
        <v/>
      </c>
      <c r="W245">
        <f>IFERROR($C245*INDEX(SPPR!$E:$X,MATCH($A245,SPPR!$A:$A,0),20),"")</f>
        <v/>
      </c>
    </row>
    <row r="246">
      <c r="A246" t="inlineStr">
        <is>
          <t>Gadiformes</t>
        </is>
      </c>
      <c r="B246">
        <f>IFERROR(INDEX(SPPR!$D:$D,MATCH($A246,SPPR!$A:$A,0)),"")</f>
        <v/>
      </c>
      <c r="C246">
        <f>IFERROR(INDEX(Catch!$E:$BV,MATCH($A246,Catch!$A:$A,0),MATCH($B$4,Catch!$E$1:$BV$1,0)),0)</f>
        <v/>
      </c>
      <c r="D246">
        <f>IFERROR($C246*INDEX(SPPR!$E:$X,MATCH($A246,SPPR!$A:$A,0),1),"")</f>
        <v/>
      </c>
      <c r="E246">
        <f>IFERROR($C246*INDEX(SPPR!$E:$X,MATCH($A246,SPPR!$A:$A,0),2),"")</f>
        <v/>
      </c>
      <c r="F246">
        <f>IFERROR($C246*INDEX(SPPR!$E:$X,MATCH($A246,SPPR!$A:$A,0),3),"")</f>
        <v/>
      </c>
      <c r="G246">
        <f>IFERROR($C246*INDEX(SPPR!$E:$X,MATCH($A246,SPPR!$A:$A,0),4),"")</f>
        <v/>
      </c>
      <c r="H246">
        <f>IFERROR($C246*INDEX(SPPR!$E:$X,MATCH($A246,SPPR!$A:$A,0),5),"")</f>
        <v/>
      </c>
      <c r="I246">
        <f>IFERROR($C246*INDEX(SPPR!$E:$X,MATCH($A246,SPPR!$A:$A,0),6),"")</f>
        <v/>
      </c>
      <c r="J246">
        <f>IFERROR($C246*INDEX(SPPR!$E:$X,MATCH($A246,SPPR!$A:$A,0),7),"")</f>
        <v/>
      </c>
      <c r="K246">
        <f>IFERROR($C246*INDEX(SPPR!$E:$X,MATCH($A246,SPPR!$A:$A,0),8),"")</f>
        <v/>
      </c>
      <c r="L246">
        <f>IFERROR($C246*INDEX(SPPR!$E:$X,MATCH($A246,SPPR!$A:$A,0),9),"")</f>
        <v/>
      </c>
      <c r="M246">
        <f>IFERROR($C246*INDEX(SPPR!$E:$X,MATCH($A246,SPPR!$A:$A,0),10),"")</f>
        <v/>
      </c>
      <c r="N246">
        <f>IFERROR($C246*INDEX(SPPR!$E:$X,MATCH($A246,SPPR!$A:$A,0),11),"")</f>
        <v/>
      </c>
      <c r="O246">
        <f>IFERROR($C246*INDEX(SPPR!$E:$X,MATCH($A246,SPPR!$A:$A,0),12),"")</f>
        <v/>
      </c>
      <c r="P246">
        <f>IFERROR($C246*INDEX(SPPR!$E:$X,MATCH($A246,SPPR!$A:$A,0),13),"")</f>
        <v/>
      </c>
      <c r="Q246">
        <f>IFERROR($C246*INDEX(SPPR!$E:$X,MATCH($A246,SPPR!$A:$A,0),14),"")</f>
        <v/>
      </c>
      <c r="R246">
        <f>IFERROR($C246*INDEX(SPPR!$E:$X,MATCH($A246,SPPR!$A:$A,0),15),"")</f>
        <v/>
      </c>
      <c r="S246">
        <f>IFERROR($C246*INDEX(SPPR!$E:$X,MATCH($A246,SPPR!$A:$A,0),16),"")</f>
        <v/>
      </c>
      <c r="T246">
        <f>IFERROR($C246*INDEX(SPPR!$E:$X,MATCH($A246,SPPR!$A:$A,0),17),"")</f>
        <v/>
      </c>
      <c r="U246">
        <f>IFERROR($C246*INDEX(SPPR!$E:$X,MATCH($A246,SPPR!$A:$A,0),18),"")</f>
        <v/>
      </c>
      <c r="V246">
        <f>IFERROR($C246*INDEX(SPPR!$E:$X,MATCH($A246,SPPR!$A:$A,0),19),"")</f>
        <v/>
      </c>
      <c r="W246">
        <f>IFERROR($C246*INDEX(SPPR!$E:$X,MATCH($A246,SPPR!$A:$A,0),20),"")</f>
        <v/>
      </c>
    </row>
    <row r="247">
      <c r="A247" t="inlineStr">
        <is>
          <t>Encrasicholina punctifer</t>
        </is>
      </c>
      <c r="B247">
        <f>IFERROR(INDEX(SPPR!$D:$D,MATCH($A247,SPPR!$A:$A,0)),"")</f>
        <v/>
      </c>
      <c r="C247">
        <f>IFERROR(INDEX(Catch!$E:$BV,MATCH($A247,Catch!$A:$A,0),MATCH($B$4,Catch!$E$1:$BV$1,0)),0)</f>
        <v/>
      </c>
      <c r="D247">
        <f>IFERROR($C247*INDEX(SPPR!$E:$X,MATCH($A247,SPPR!$A:$A,0),1),"")</f>
        <v/>
      </c>
      <c r="E247">
        <f>IFERROR($C247*INDEX(SPPR!$E:$X,MATCH($A247,SPPR!$A:$A,0),2),"")</f>
        <v/>
      </c>
      <c r="F247">
        <f>IFERROR($C247*INDEX(SPPR!$E:$X,MATCH($A247,SPPR!$A:$A,0),3),"")</f>
        <v/>
      </c>
      <c r="G247">
        <f>IFERROR($C247*INDEX(SPPR!$E:$X,MATCH($A247,SPPR!$A:$A,0),4),"")</f>
        <v/>
      </c>
      <c r="H247">
        <f>IFERROR($C247*INDEX(SPPR!$E:$X,MATCH($A247,SPPR!$A:$A,0),5),"")</f>
        <v/>
      </c>
      <c r="I247">
        <f>IFERROR($C247*INDEX(SPPR!$E:$X,MATCH($A247,SPPR!$A:$A,0),6),"")</f>
        <v/>
      </c>
      <c r="J247">
        <f>IFERROR($C247*INDEX(SPPR!$E:$X,MATCH($A247,SPPR!$A:$A,0),7),"")</f>
        <v/>
      </c>
      <c r="K247">
        <f>IFERROR($C247*INDEX(SPPR!$E:$X,MATCH($A247,SPPR!$A:$A,0),8),"")</f>
        <v/>
      </c>
      <c r="L247">
        <f>IFERROR($C247*INDEX(SPPR!$E:$X,MATCH($A247,SPPR!$A:$A,0),9),"")</f>
        <v/>
      </c>
      <c r="M247">
        <f>IFERROR($C247*INDEX(SPPR!$E:$X,MATCH($A247,SPPR!$A:$A,0),10),"")</f>
        <v/>
      </c>
      <c r="N247">
        <f>IFERROR($C247*INDEX(SPPR!$E:$X,MATCH($A247,SPPR!$A:$A,0),11),"")</f>
        <v/>
      </c>
      <c r="O247">
        <f>IFERROR($C247*INDEX(SPPR!$E:$X,MATCH($A247,SPPR!$A:$A,0),12),"")</f>
        <v/>
      </c>
      <c r="P247">
        <f>IFERROR($C247*INDEX(SPPR!$E:$X,MATCH($A247,SPPR!$A:$A,0),13),"")</f>
        <v/>
      </c>
      <c r="Q247">
        <f>IFERROR($C247*INDEX(SPPR!$E:$X,MATCH($A247,SPPR!$A:$A,0),14),"")</f>
        <v/>
      </c>
      <c r="R247">
        <f>IFERROR($C247*INDEX(SPPR!$E:$X,MATCH($A247,SPPR!$A:$A,0),15),"")</f>
        <v/>
      </c>
      <c r="S247">
        <f>IFERROR($C247*INDEX(SPPR!$E:$X,MATCH($A247,SPPR!$A:$A,0),16),"")</f>
        <v/>
      </c>
      <c r="T247">
        <f>IFERROR($C247*INDEX(SPPR!$E:$X,MATCH($A247,SPPR!$A:$A,0),17),"")</f>
        <v/>
      </c>
      <c r="U247">
        <f>IFERROR($C247*INDEX(SPPR!$E:$X,MATCH($A247,SPPR!$A:$A,0),18),"")</f>
        <v/>
      </c>
      <c r="V247">
        <f>IFERROR($C247*INDEX(SPPR!$E:$X,MATCH($A247,SPPR!$A:$A,0),19),"")</f>
        <v/>
      </c>
      <c r="W247">
        <f>IFERROR($C247*INDEX(SPPR!$E:$X,MATCH($A247,SPPR!$A:$A,0),20),"")</f>
        <v/>
      </c>
    </row>
    <row r="248">
      <c r="A248" t="inlineStr">
        <is>
          <t>Nibea albiflora</t>
        </is>
      </c>
      <c r="B248">
        <f>IFERROR(INDEX(SPPR!$D:$D,MATCH($A248,SPPR!$A:$A,0)),"")</f>
        <v/>
      </c>
      <c r="C248">
        <f>IFERROR(INDEX(Catch!$E:$BV,MATCH($A248,Catch!$A:$A,0),MATCH($B$4,Catch!$E$1:$BV$1,0)),0)</f>
        <v/>
      </c>
      <c r="D248">
        <f>IFERROR($C248*INDEX(SPPR!$E:$X,MATCH($A248,SPPR!$A:$A,0),1),"")</f>
        <v/>
      </c>
      <c r="E248">
        <f>IFERROR($C248*INDEX(SPPR!$E:$X,MATCH($A248,SPPR!$A:$A,0),2),"")</f>
        <v/>
      </c>
      <c r="F248">
        <f>IFERROR($C248*INDEX(SPPR!$E:$X,MATCH($A248,SPPR!$A:$A,0),3),"")</f>
        <v/>
      </c>
      <c r="G248">
        <f>IFERROR($C248*INDEX(SPPR!$E:$X,MATCH($A248,SPPR!$A:$A,0),4),"")</f>
        <v/>
      </c>
      <c r="H248">
        <f>IFERROR($C248*INDEX(SPPR!$E:$X,MATCH($A248,SPPR!$A:$A,0),5),"")</f>
        <v/>
      </c>
      <c r="I248">
        <f>IFERROR($C248*INDEX(SPPR!$E:$X,MATCH($A248,SPPR!$A:$A,0),6),"")</f>
        <v/>
      </c>
      <c r="J248">
        <f>IFERROR($C248*INDEX(SPPR!$E:$X,MATCH($A248,SPPR!$A:$A,0),7),"")</f>
        <v/>
      </c>
      <c r="K248">
        <f>IFERROR($C248*INDEX(SPPR!$E:$X,MATCH($A248,SPPR!$A:$A,0),8),"")</f>
        <v/>
      </c>
      <c r="L248">
        <f>IFERROR($C248*INDEX(SPPR!$E:$X,MATCH($A248,SPPR!$A:$A,0),9),"")</f>
        <v/>
      </c>
      <c r="M248">
        <f>IFERROR($C248*INDEX(SPPR!$E:$X,MATCH($A248,SPPR!$A:$A,0),10),"")</f>
        <v/>
      </c>
      <c r="N248">
        <f>IFERROR($C248*INDEX(SPPR!$E:$X,MATCH($A248,SPPR!$A:$A,0),11),"")</f>
        <v/>
      </c>
      <c r="O248">
        <f>IFERROR($C248*INDEX(SPPR!$E:$X,MATCH($A248,SPPR!$A:$A,0),12),"")</f>
        <v/>
      </c>
      <c r="P248">
        <f>IFERROR($C248*INDEX(SPPR!$E:$X,MATCH($A248,SPPR!$A:$A,0),13),"")</f>
        <v/>
      </c>
      <c r="Q248">
        <f>IFERROR($C248*INDEX(SPPR!$E:$X,MATCH($A248,SPPR!$A:$A,0),14),"")</f>
        <v/>
      </c>
      <c r="R248">
        <f>IFERROR($C248*INDEX(SPPR!$E:$X,MATCH($A248,SPPR!$A:$A,0),15),"")</f>
        <v/>
      </c>
      <c r="S248">
        <f>IFERROR($C248*INDEX(SPPR!$E:$X,MATCH($A248,SPPR!$A:$A,0),16),"")</f>
        <v/>
      </c>
      <c r="T248">
        <f>IFERROR($C248*INDEX(SPPR!$E:$X,MATCH($A248,SPPR!$A:$A,0),17),"")</f>
        <v/>
      </c>
      <c r="U248">
        <f>IFERROR($C248*INDEX(SPPR!$E:$X,MATCH($A248,SPPR!$A:$A,0),18),"")</f>
        <v/>
      </c>
      <c r="V248">
        <f>IFERROR($C248*INDEX(SPPR!$E:$X,MATCH($A248,SPPR!$A:$A,0),19),"")</f>
        <v/>
      </c>
      <c r="W248">
        <f>IFERROR($C248*INDEX(SPPR!$E:$X,MATCH($A248,SPPR!$A:$A,0),20),"")</f>
        <v/>
      </c>
    </row>
    <row r="249">
      <c r="A249" t="inlineStr">
        <is>
          <t>Carcharhinus falciformis</t>
        </is>
      </c>
      <c r="B249">
        <f>IFERROR(INDEX(SPPR!$D:$D,MATCH($A249,SPPR!$A:$A,0)),"")</f>
        <v/>
      </c>
      <c r="C249">
        <f>IFERROR(INDEX(Catch!$E:$BV,MATCH($A249,Catch!$A:$A,0),MATCH($B$4,Catch!$E$1:$BV$1,0)),0)</f>
        <v/>
      </c>
      <c r="D249">
        <f>IFERROR($C249*INDEX(SPPR!$E:$X,MATCH($A249,SPPR!$A:$A,0),1),"")</f>
        <v/>
      </c>
      <c r="E249">
        <f>IFERROR($C249*INDEX(SPPR!$E:$X,MATCH($A249,SPPR!$A:$A,0),2),"")</f>
        <v/>
      </c>
      <c r="F249">
        <f>IFERROR($C249*INDEX(SPPR!$E:$X,MATCH($A249,SPPR!$A:$A,0),3),"")</f>
        <v/>
      </c>
      <c r="G249">
        <f>IFERROR($C249*INDEX(SPPR!$E:$X,MATCH($A249,SPPR!$A:$A,0),4),"")</f>
        <v/>
      </c>
      <c r="H249">
        <f>IFERROR($C249*INDEX(SPPR!$E:$X,MATCH($A249,SPPR!$A:$A,0),5),"")</f>
        <v/>
      </c>
      <c r="I249">
        <f>IFERROR($C249*INDEX(SPPR!$E:$X,MATCH($A249,SPPR!$A:$A,0),6),"")</f>
        <v/>
      </c>
      <c r="J249">
        <f>IFERROR($C249*INDEX(SPPR!$E:$X,MATCH($A249,SPPR!$A:$A,0),7),"")</f>
        <v/>
      </c>
      <c r="K249">
        <f>IFERROR($C249*INDEX(SPPR!$E:$X,MATCH($A249,SPPR!$A:$A,0),8),"")</f>
        <v/>
      </c>
      <c r="L249">
        <f>IFERROR($C249*INDEX(SPPR!$E:$X,MATCH($A249,SPPR!$A:$A,0),9),"")</f>
        <v/>
      </c>
      <c r="M249">
        <f>IFERROR($C249*INDEX(SPPR!$E:$X,MATCH($A249,SPPR!$A:$A,0),10),"")</f>
        <v/>
      </c>
      <c r="N249">
        <f>IFERROR($C249*INDEX(SPPR!$E:$X,MATCH($A249,SPPR!$A:$A,0),11),"")</f>
        <v/>
      </c>
      <c r="O249">
        <f>IFERROR($C249*INDEX(SPPR!$E:$X,MATCH($A249,SPPR!$A:$A,0),12),"")</f>
        <v/>
      </c>
      <c r="P249">
        <f>IFERROR($C249*INDEX(SPPR!$E:$X,MATCH($A249,SPPR!$A:$A,0),13),"")</f>
        <v/>
      </c>
      <c r="Q249">
        <f>IFERROR($C249*INDEX(SPPR!$E:$X,MATCH($A249,SPPR!$A:$A,0),14),"")</f>
        <v/>
      </c>
      <c r="R249">
        <f>IFERROR($C249*INDEX(SPPR!$E:$X,MATCH($A249,SPPR!$A:$A,0),15),"")</f>
        <v/>
      </c>
      <c r="S249">
        <f>IFERROR($C249*INDEX(SPPR!$E:$X,MATCH($A249,SPPR!$A:$A,0),16),"")</f>
        <v/>
      </c>
      <c r="T249">
        <f>IFERROR($C249*INDEX(SPPR!$E:$X,MATCH($A249,SPPR!$A:$A,0),17),"")</f>
        <v/>
      </c>
      <c r="U249">
        <f>IFERROR($C249*INDEX(SPPR!$E:$X,MATCH($A249,SPPR!$A:$A,0),18),"")</f>
        <v/>
      </c>
      <c r="V249">
        <f>IFERROR($C249*INDEX(SPPR!$E:$X,MATCH($A249,SPPR!$A:$A,0),19),"")</f>
        <v/>
      </c>
      <c r="W249">
        <f>IFERROR($C249*INDEX(SPPR!$E:$X,MATCH($A249,SPPR!$A:$A,0),20),"")</f>
        <v/>
      </c>
    </row>
    <row r="250">
      <c r="A250" t="inlineStr">
        <is>
          <t>Parupeneus barberinus</t>
        </is>
      </c>
      <c r="B250">
        <f>IFERROR(INDEX(SPPR!$D:$D,MATCH($A250,SPPR!$A:$A,0)),"")</f>
        <v/>
      </c>
      <c r="C250">
        <f>IFERROR(INDEX(Catch!$E:$BV,MATCH($A250,Catch!$A:$A,0),MATCH($B$4,Catch!$E$1:$BV$1,0)),0)</f>
        <v/>
      </c>
      <c r="D250">
        <f>IFERROR($C250*INDEX(SPPR!$E:$X,MATCH($A250,SPPR!$A:$A,0),1),"")</f>
        <v/>
      </c>
      <c r="E250">
        <f>IFERROR($C250*INDEX(SPPR!$E:$X,MATCH($A250,SPPR!$A:$A,0),2),"")</f>
        <v/>
      </c>
      <c r="F250">
        <f>IFERROR($C250*INDEX(SPPR!$E:$X,MATCH($A250,SPPR!$A:$A,0),3),"")</f>
        <v/>
      </c>
      <c r="G250">
        <f>IFERROR($C250*INDEX(SPPR!$E:$X,MATCH($A250,SPPR!$A:$A,0),4),"")</f>
        <v/>
      </c>
      <c r="H250">
        <f>IFERROR($C250*INDEX(SPPR!$E:$X,MATCH($A250,SPPR!$A:$A,0),5),"")</f>
        <v/>
      </c>
      <c r="I250">
        <f>IFERROR($C250*INDEX(SPPR!$E:$X,MATCH($A250,SPPR!$A:$A,0),6),"")</f>
        <v/>
      </c>
      <c r="J250">
        <f>IFERROR($C250*INDEX(SPPR!$E:$X,MATCH($A250,SPPR!$A:$A,0),7),"")</f>
        <v/>
      </c>
      <c r="K250">
        <f>IFERROR($C250*INDEX(SPPR!$E:$X,MATCH($A250,SPPR!$A:$A,0),8),"")</f>
        <v/>
      </c>
      <c r="L250">
        <f>IFERROR($C250*INDEX(SPPR!$E:$X,MATCH($A250,SPPR!$A:$A,0),9),"")</f>
        <v/>
      </c>
      <c r="M250">
        <f>IFERROR($C250*INDEX(SPPR!$E:$X,MATCH($A250,SPPR!$A:$A,0),10),"")</f>
        <v/>
      </c>
      <c r="N250">
        <f>IFERROR($C250*INDEX(SPPR!$E:$X,MATCH($A250,SPPR!$A:$A,0),11),"")</f>
        <v/>
      </c>
      <c r="O250">
        <f>IFERROR($C250*INDEX(SPPR!$E:$X,MATCH($A250,SPPR!$A:$A,0),12),"")</f>
        <v/>
      </c>
      <c r="P250">
        <f>IFERROR($C250*INDEX(SPPR!$E:$X,MATCH($A250,SPPR!$A:$A,0),13),"")</f>
        <v/>
      </c>
      <c r="Q250">
        <f>IFERROR($C250*INDEX(SPPR!$E:$X,MATCH($A250,SPPR!$A:$A,0),14),"")</f>
        <v/>
      </c>
      <c r="R250">
        <f>IFERROR($C250*INDEX(SPPR!$E:$X,MATCH($A250,SPPR!$A:$A,0),15),"")</f>
        <v/>
      </c>
      <c r="S250">
        <f>IFERROR($C250*INDEX(SPPR!$E:$X,MATCH($A250,SPPR!$A:$A,0),16),"")</f>
        <v/>
      </c>
      <c r="T250">
        <f>IFERROR($C250*INDEX(SPPR!$E:$X,MATCH($A250,SPPR!$A:$A,0),17),"")</f>
        <v/>
      </c>
      <c r="U250">
        <f>IFERROR($C250*INDEX(SPPR!$E:$X,MATCH($A250,SPPR!$A:$A,0),18),"")</f>
        <v/>
      </c>
      <c r="V250">
        <f>IFERROR($C250*INDEX(SPPR!$E:$X,MATCH($A250,SPPR!$A:$A,0),19),"")</f>
        <v/>
      </c>
      <c r="W250">
        <f>IFERROR($C250*INDEX(SPPR!$E:$X,MATCH($A250,SPPR!$A:$A,0),20),"")</f>
        <v/>
      </c>
    </row>
    <row r="251">
      <c r="A251" t="inlineStr">
        <is>
          <t>Epinephelus malabaricus</t>
        </is>
      </c>
      <c r="B251">
        <f>IFERROR(INDEX(SPPR!$D:$D,MATCH($A251,SPPR!$A:$A,0)),"")</f>
        <v/>
      </c>
      <c r="C251">
        <f>IFERROR(INDEX(Catch!$E:$BV,MATCH($A251,Catch!$A:$A,0),MATCH($B$4,Catch!$E$1:$BV$1,0)),0)</f>
        <v/>
      </c>
      <c r="D251">
        <f>IFERROR($C251*INDEX(SPPR!$E:$X,MATCH($A251,SPPR!$A:$A,0),1),"")</f>
        <v/>
      </c>
      <c r="E251">
        <f>IFERROR($C251*INDEX(SPPR!$E:$X,MATCH($A251,SPPR!$A:$A,0),2),"")</f>
        <v/>
      </c>
      <c r="F251">
        <f>IFERROR($C251*INDEX(SPPR!$E:$X,MATCH($A251,SPPR!$A:$A,0),3),"")</f>
        <v/>
      </c>
      <c r="G251">
        <f>IFERROR($C251*INDEX(SPPR!$E:$X,MATCH($A251,SPPR!$A:$A,0),4),"")</f>
        <v/>
      </c>
      <c r="H251">
        <f>IFERROR($C251*INDEX(SPPR!$E:$X,MATCH($A251,SPPR!$A:$A,0),5),"")</f>
        <v/>
      </c>
      <c r="I251">
        <f>IFERROR($C251*INDEX(SPPR!$E:$X,MATCH($A251,SPPR!$A:$A,0),6),"")</f>
        <v/>
      </c>
      <c r="J251">
        <f>IFERROR($C251*INDEX(SPPR!$E:$X,MATCH($A251,SPPR!$A:$A,0),7),"")</f>
        <v/>
      </c>
      <c r="K251">
        <f>IFERROR($C251*INDEX(SPPR!$E:$X,MATCH($A251,SPPR!$A:$A,0),8),"")</f>
        <v/>
      </c>
      <c r="L251">
        <f>IFERROR($C251*INDEX(SPPR!$E:$X,MATCH($A251,SPPR!$A:$A,0),9),"")</f>
        <v/>
      </c>
      <c r="M251">
        <f>IFERROR($C251*INDEX(SPPR!$E:$X,MATCH($A251,SPPR!$A:$A,0),10),"")</f>
        <v/>
      </c>
      <c r="N251">
        <f>IFERROR($C251*INDEX(SPPR!$E:$X,MATCH($A251,SPPR!$A:$A,0),11),"")</f>
        <v/>
      </c>
      <c r="O251">
        <f>IFERROR($C251*INDEX(SPPR!$E:$X,MATCH($A251,SPPR!$A:$A,0),12),"")</f>
        <v/>
      </c>
      <c r="P251">
        <f>IFERROR($C251*INDEX(SPPR!$E:$X,MATCH($A251,SPPR!$A:$A,0),13),"")</f>
        <v/>
      </c>
      <c r="Q251">
        <f>IFERROR($C251*INDEX(SPPR!$E:$X,MATCH($A251,SPPR!$A:$A,0),14),"")</f>
        <v/>
      </c>
      <c r="R251">
        <f>IFERROR($C251*INDEX(SPPR!$E:$X,MATCH($A251,SPPR!$A:$A,0),15),"")</f>
        <v/>
      </c>
      <c r="S251">
        <f>IFERROR($C251*INDEX(SPPR!$E:$X,MATCH($A251,SPPR!$A:$A,0),16),"")</f>
        <v/>
      </c>
      <c r="T251">
        <f>IFERROR($C251*INDEX(SPPR!$E:$X,MATCH($A251,SPPR!$A:$A,0),17),"")</f>
        <v/>
      </c>
      <c r="U251">
        <f>IFERROR($C251*INDEX(SPPR!$E:$X,MATCH($A251,SPPR!$A:$A,0),18),"")</f>
        <v/>
      </c>
      <c r="V251">
        <f>IFERROR($C251*INDEX(SPPR!$E:$X,MATCH($A251,SPPR!$A:$A,0),19),"")</f>
        <v/>
      </c>
      <c r="W251">
        <f>IFERROR($C251*INDEX(SPPR!$E:$X,MATCH($A251,SPPR!$A:$A,0),20),"")</f>
        <v/>
      </c>
    </row>
    <row r="252">
      <c r="A252" t="inlineStr">
        <is>
          <t>Ranina ranina</t>
        </is>
      </c>
      <c r="B252">
        <f>IFERROR(INDEX(SPPR!$D:$D,MATCH($A252,SPPR!$A:$A,0)),"")</f>
        <v/>
      </c>
      <c r="C252">
        <f>IFERROR(INDEX(Catch!$E:$BV,MATCH($A252,Catch!$A:$A,0),MATCH($B$4,Catch!$E$1:$BV$1,0)),0)</f>
        <v/>
      </c>
      <c r="D252">
        <f>IFERROR($C252*INDEX(SPPR!$E:$X,MATCH($A252,SPPR!$A:$A,0),1),"")</f>
        <v/>
      </c>
      <c r="E252">
        <f>IFERROR($C252*INDEX(SPPR!$E:$X,MATCH($A252,SPPR!$A:$A,0),2),"")</f>
        <v/>
      </c>
      <c r="F252">
        <f>IFERROR($C252*INDEX(SPPR!$E:$X,MATCH($A252,SPPR!$A:$A,0),3),"")</f>
        <v/>
      </c>
      <c r="G252">
        <f>IFERROR($C252*INDEX(SPPR!$E:$X,MATCH($A252,SPPR!$A:$A,0),4),"")</f>
        <v/>
      </c>
      <c r="H252">
        <f>IFERROR($C252*INDEX(SPPR!$E:$X,MATCH($A252,SPPR!$A:$A,0),5),"")</f>
        <v/>
      </c>
      <c r="I252">
        <f>IFERROR($C252*INDEX(SPPR!$E:$X,MATCH($A252,SPPR!$A:$A,0),6),"")</f>
        <v/>
      </c>
      <c r="J252">
        <f>IFERROR($C252*INDEX(SPPR!$E:$X,MATCH($A252,SPPR!$A:$A,0),7),"")</f>
        <v/>
      </c>
      <c r="K252">
        <f>IFERROR($C252*INDEX(SPPR!$E:$X,MATCH($A252,SPPR!$A:$A,0),8),"")</f>
        <v/>
      </c>
      <c r="L252">
        <f>IFERROR($C252*INDEX(SPPR!$E:$X,MATCH($A252,SPPR!$A:$A,0),9),"")</f>
        <v/>
      </c>
      <c r="M252">
        <f>IFERROR($C252*INDEX(SPPR!$E:$X,MATCH($A252,SPPR!$A:$A,0),10),"")</f>
        <v/>
      </c>
      <c r="N252">
        <f>IFERROR($C252*INDEX(SPPR!$E:$X,MATCH($A252,SPPR!$A:$A,0),11),"")</f>
        <v/>
      </c>
      <c r="O252">
        <f>IFERROR($C252*INDEX(SPPR!$E:$X,MATCH($A252,SPPR!$A:$A,0),12),"")</f>
        <v/>
      </c>
      <c r="P252">
        <f>IFERROR($C252*INDEX(SPPR!$E:$X,MATCH($A252,SPPR!$A:$A,0),13),"")</f>
        <v/>
      </c>
      <c r="Q252">
        <f>IFERROR($C252*INDEX(SPPR!$E:$X,MATCH($A252,SPPR!$A:$A,0),14),"")</f>
        <v/>
      </c>
      <c r="R252">
        <f>IFERROR($C252*INDEX(SPPR!$E:$X,MATCH($A252,SPPR!$A:$A,0),15),"")</f>
        <v/>
      </c>
      <c r="S252">
        <f>IFERROR($C252*INDEX(SPPR!$E:$X,MATCH($A252,SPPR!$A:$A,0),16),"")</f>
        <v/>
      </c>
      <c r="T252">
        <f>IFERROR($C252*INDEX(SPPR!$E:$X,MATCH($A252,SPPR!$A:$A,0),17),"")</f>
        <v/>
      </c>
      <c r="U252">
        <f>IFERROR($C252*INDEX(SPPR!$E:$X,MATCH($A252,SPPR!$A:$A,0),18),"")</f>
        <v/>
      </c>
      <c r="V252">
        <f>IFERROR($C252*INDEX(SPPR!$E:$X,MATCH($A252,SPPR!$A:$A,0),19),"")</f>
        <v/>
      </c>
      <c r="W252">
        <f>IFERROR($C252*INDEX(SPPR!$E:$X,MATCH($A252,SPPR!$A:$A,0),20),"")</f>
        <v/>
      </c>
    </row>
    <row r="253">
      <c r="A253" t="inlineStr">
        <is>
          <t>Metapenaeus ensis</t>
        </is>
      </c>
      <c r="B253">
        <f>IFERROR(INDEX(SPPR!$D:$D,MATCH($A253,SPPR!$A:$A,0)),"")</f>
        <v/>
      </c>
      <c r="C253">
        <f>IFERROR(INDEX(Catch!$E:$BV,MATCH($A253,Catch!$A:$A,0),MATCH($B$4,Catch!$E$1:$BV$1,0)),0)</f>
        <v/>
      </c>
      <c r="D253">
        <f>IFERROR($C253*INDEX(SPPR!$E:$X,MATCH($A253,SPPR!$A:$A,0),1),"")</f>
        <v/>
      </c>
      <c r="E253">
        <f>IFERROR($C253*INDEX(SPPR!$E:$X,MATCH($A253,SPPR!$A:$A,0),2),"")</f>
        <v/>
      </c>
      <c r="F253">
        <f>IFERROR($C253*INDEX(SPPR!$E:$X,MATCH($A253,SPPR!$A:$A,0),3),"")</f>
        <v/>
      </c>
      <c r="G253">
        <f>IFERROR($C253*INDEX(SPPR!$E:$X,MATCH($A253,SPPR!$A:$A,0),4),"")</f>
        <v/>
      </c>
      <c r="H253">
        <f>IFERROR($C253*INDEX(SPPR!$E:$X,MATCH($A253,SPPR!$A:$A,0),5),"")</f>
        <v/>
      </c>
      <c r="I253">
        <f>IFERROR($C253*INDEX(SPPR!$E:$X,MATCH($A253,SPPR!$A:$A,0),6),"")</f>
        <v/>
      </c>
      <c r="J253">
        <f>IFERROR($C253*INDEX(SPPR!$E:$X,MATCH($A253,SPPR!$A:$A,0),7),"")</f>
        <v/>
      </c>
      <c r="K253">
        <f>IFERROR($C253*INDEX(SPPR!$E:$X,MATCH($A253,SPPR!$A:$A,0),8),"")</f>
        <v/>
      </c>
      <c r="L253">
        <f>IFERROR($C253*INDEX(SPPR!$E:$X,MATCH($A253,SPPR!$A:$A,0),9),"")</f>
        <v/>
      </c>
      <c r="M253">
        <f>IFERROR($C253*INDEX(SPPR!$E:$X,MATCH($A253,SPPR!$A:$A,0),10),"")</f>
        <v/>
      </c>
      <c r="N253">
        <f>IFERROR($C253*INDEX(SPPR!$E:$X,MATCH($A253,SPPR!$A:$A,0),11),"")</f>
        <v/>
      </c>
      <c r="O253">
        <f>IFERROR($C253*INDEX(SPPR!$E:$X,MATCH($A253,SPPR!$A:$A,0),12),"")</f>
        <v/>
      </c>
      <c r="P253">
        <f>IFERROR($C253*INDEX(SPPR!$E:$X,MATCH($A253,SPPR!$A:$A,0),13),"")</f>
        <v/>
      </c>
      <c r="Q253">
        <f>IFERROR($C253*INDEX(SPPR!$E:$X,MATCH($A253,SPPR!$A:$A,0),14),"")</f>
        <v/>
      </c>
      <c r="R253">
        <f>IFERROR($C253*INDEX(SPPR!$E:$X,MATCH($A253,SPPR!$A:$A,0),15),"")</f>
        <v/>
      </c>
      <c r="S253">
        <f>IFERROR($C253*INDEX(SPPR!$E:$X,MATCH($A253,SPPR!$A:$A,0),16),"")</f>
        <v/>
      </c>
      <c r="T253">
        <f>IFERROR($C253*INDEX(SPPR!$E:$X,MATCH($A253,SPPR!$A:$A,0),17),"")</f>
        <v/>
      </c>
      <c r="U253">
        <f>IFERROR($C253*INDEX(SPPR!$E:$X,MATCH($A253,SPPR!$A:$A,0),18),"")</f>
        <v/>
      </c>
      <c r="V253">
        <f>IFERROR($C253*INDEX(SPPR!$E:$X,MATCH($A253,SPPR!$A:$A,0),19),"")</f>
        <v/>
      </c>
      <c r="W253">
        <f>IFERROR($C253*INDEX(SPPR!$E:$X,MATCH($A253,SPPR!$A:$A,0),20),"")</f>
        <v/>
      </c>
    </row>
    <row r="254">
      <c r="A254" t="inlineStr">
        <is>
          <t>Rachycentron canadum</t>
        </is>
      </c>
      <c r="B254">
        <f>IFERROR(INDEX(SPPR!$D:$D,MATCH($A254,SPPR!$A:$A,0)),"")</f>
        <v/>
      </c>
      <c r="C254">
        <f>IFERROR(INDEX(Catch!$E:$BV,MATCH($A254,Catch!$A:$A,0),MATCH($B$4,Catch!$E$1:$BV$1,0)),0)</f>
        <v/>
      </c>
      <c r="D254">
        <f>IFERROR($C254*INDEX(SPPR!$E:$X,MATCH($A254,SPPR!$A:$A,0),1),"")</f>
        <v/>
      </c>
      <c r="E254">
        <f>IFERROR($C254*INDEX(SPPR!$E:$X,MATCH($A254,SPPR!$A:$A,0),2),"")</f>
        <v/>
      </c>
      <c r="F254">
        <f>IFERROR($C254*INDEX(SPPR!$E:$X,MATCH($A254,SPPR!$A:$A,0),3),"")</f>
        <v/>
      </c>
      <c r="G254">
        <f>IFERROR($C254*INDEX(SPPR!$E:$X,MATCH($A254,SPPR!$A:$A,0),4),"")</f>
        <v/>
      </c>
      <c r="H254">
        <f>IFERROR($C254*INDEX(SPPR!$E:$X,MATCH($A254,SPPR!$A:$A,0),5),"")</f>
        <v/>
      </c>
      <c r="I254">
        <f>IFERROR($C254*INDEX(SPPR!$E:$X,MATCH($A254,SPPR!$A:$A,0),6),"")</f>
        <v/>
      </c>
      <c r="J254">
        <f>IFERROR($C254*INDEX(SPPR!$E:$X,MATCH($A254,SPPR!$A:$A,0),7),"")</f>
        <v/>
      </c>
      <c r="K254">
        <f>IFERROR($C254*INDEX(SPPR!$E:$X,MATCH($A254,SPPR!$A:$A,0),8),"")</f>
        <v/>
      </c>
      <c r="L254">
        <f>IFERROR($C254*INDEX(SPPR!$E:$X,MATCH($A254,SPPR!$A:$A,0),9),"")</f>
        <v/>
      </c>
      <c r="M254">
        <f>IFERROR($C254*INDEX(SPPR!$E:$X,MATCH($A254,SPPR!$A:$A,0),10),"")</f>
        <v/>
      </c>
      <c r="N254">
        <f>IFERROR($C254*INDEX(SPPR!$E:$X,MATCH($A254,SPPR!$A:$A,0),11),"")</f>
        <v/>
      </c>
      <c r="O254">
        <f>IFERROR($C254*INDEX(SPPR!$E:$X,MATCH($A254,SPPR!$A:$A,0),12),"")</f>
        <v/>
      </c>
      <c r="P254">
        <f>IFERROR($C254*INDEX(SPPR!$E:$X,MATCH($A254,SPPR!$A:$A,0),13),"")</f>
        <v/>
      </c>
      <c r="Q254">
        <f>IFERROR($C254*INDEX(SPPR!$E:$X,MATCH($A254,SPPR!$A:$A,0),14),"")</f>
        <v/>
      </c>
      <c r="R254">
        <f>IFERROR($C254*INDEX(SPPR!$E:$X,MATCH($A254,SPPR!$A:$A,0),15),"")</f>
        <v/>
      </c>
      <c r="S254">
        <f>IFERROR($C254*INDEX(SPPR!$E:$X,MATCH($A254,SPPR!$A:$A,0),16),"")</f>
        <v/>
      </c>
      <c r="T254">
        <f>IFERROR($C254*INDEX(SPPR!$E:$X,MATCH($A254,SPPR!$A:$A,0),17),"")</f>
        <v/>
      </c>
      <c r="U254">
        <f>IFERROR($C254*INDEX(SPPR!$E:$X,MATCH($A254,SPPR!$A:$A,0),18),"")</f>
        <v/>
      </c>
      <c r="V254">
        <f>IFERROR($C254*INDEX(SPPR!$E:$X,MATCH($A254,SPPR!$A:$A,0),19),"")</f>
        <v/>
      </c>
      <c r="W254">
        <f>IFERROR($C254*INDEX(SPPR!$E:$X,MATCH($A254,SPPR!$A:$A,0),20),"")</f>
        <v/>
      </c>
    </row>
    <row r="255">
      <c r="A255" t="inlineStr">
        <is>
          <t>Sphyraena barracuda</t>
        </is>
      </c>
      <c r="B255">
        <f>IFERROR(INDEX(SPPR!$D:$D,MATCH($A255,SPPR!$A:$A,0)),"")</f>
        <v/>
      </c>
      <c r="C255">
        <f>IFERROR(INDEX(Catch!$E:$BV,MATCH($A255,Catch!$A:$A,0),MATCH($B$4,Catch!$E$1:$BV$1,0)),0)</f>
        <v/>
      </c>
      <c r="D255">
        <f>IFERROR($C255*INDEX(SPPR!$E:$X,MATCH($A255,SPPR!$A:$A,0),1),"")</f>
        <v/>
      </c>
      <c r="E255">
        <f>IFERROR($C255*INDEX(SPPR!$E:$X,MATCH($A255,SPPR!$A:$A,0),2),"")</f>
        <v/>
      </c>
      <c r="F255">
        <f>IFERROR($C255*INDEX(SPPR!$E:$X,MATCH($A255,SPPR!$A:$A,0),3),"")</f>
        <v/>
      </c>
      <c r="G255">
        <f>IFERROR($C255*INDEX(SPPR!$E:$X,MATCH($A255,SPPR!$A:$A,0),4),"")</f>
        <v/>
      </c>
      <c r="H255">
        <f>IFERROR($C255*INDEX(SPPR!$E:$X,MATCH($A255,SPPR!$A:$A,0),5),"")</f>
        <v/>
      </c>
      <c r="I255">
        <f>IFERROR($C255*INDEX(SPPR!$E:$X,MATCH($A255,SPPR!$A:$A,0),6),"")</f>
        <v/>
      </c>
      <c r="J255">
        <f>IFERROR($C255*INDEX(SPPR!$E:$X,MATCH($A255,SPPR!$A:$A,0),7),"")</f>
        <v/>
      </c>
      <c r="K255">
        <f>IFERROR($C255*INDEX(SPPR!$E:$X,MATCH($A255,SPPR!$A:$A,0),8),"")</f>
        <v/>
      </c>
      <c r="L255">
        <f>IFERROR($C255*INDEX(SPPR!$E:$X,MATCH($A255,SPPR!$A:$A,0),9),"")</f>
        <v/>
      </c>
      <c r="M255">
        <f>IFERROR($C255*INDEX(SPPR!$E:$X,MATCH($A255,SPPR!$A:$A,0),10),"")</f>
        <v/>
      </c>
      <c r="N255">
        <f>IFERROR($C255*INDEX(SPPR!$E:$X,MATCH($A255,SPPR!$A:$A,0),11),"")</f>
        <v/>
      </c>
      <c r="O255">
        <f>IFERROR($C255*INDEX(SPPR!$E:$X,MATCH($A255,SPPR!$A:$A,0),12),"")</f>
        <v/>
      </c>
      <c r="P255">
        <f>IFERROR($C255*INDEX(SPPR!$E:$X,MATCH($A255,SPPR!$A:$A,0),13),"")</f>
        <v/>
      </c>
      <c r="Q255">
        <f>IFERROR($C255*INDEX(SPPR!$E:$X,MATCH($A255,SPPR!$A:$A,0),14),"")</f>
        <v/>
      </c>
      <c r="R255">
        <f>IFERROR($C255*INDEX(SPPR!$E:$X,MATCH($A255,SPPR!$A:$A,0),15),"")</f>
        <v/>
      </c>
      <c r="S255">
        <f>IFERROR($C255*INDEX(SPPR!$E:$X,MATCH($A255,SPPR!$A:$A,0),16),"")</f>
        <v/>
      </c>
      <c r="T255">
        <f>IFERROR($C255*INDEX(SPPR!$E:$X,MATCH($A255,SPPR!$A:$A,0),17),"")</f>
        <v/>
      </c>
      <c r="U255">
        <f>IFERROR($C255*INDEX(SPPR!$E:$X,MATCH($A255,SPPR!$A:$A,0),18),"")</f>
        <v/>
      </c>
      <c r="V255">
        <f>IFERROR($C255*INDEX(SPPR!$E:$X,MATCH($A255,SPPR!$A:$A,0),19),"")</f>
        <v/>
      </c>
      <c r="W255">
        <f>IFERROR($C255*INDEX(SPPR!$E:$X,MATCH($A255,SPPR!$A:$A,0),20),"")</f>
        <v/>
      </c>
    </row>
    <row r="256">
      <c r="A256" t="inlineStr">
        <is>
          <t>Berycidae</t>
        </is>
      </c>
      <c r="B256">
        <f>IFERROR(INDEX(SPPR!$D:$D,MATCH($A256,SPPR!$A:$A,0)),"")</f>
        <v/>
      </c>
      <c r="C256">
        <f>IFERROR(INDEX(Catch!$E:$BV,MATCH($A256,Catch!$A:$A,0),MATCH($B$4,Catch!$E$1:$BV$1,0)),0)</f>
        <v/>
      </c>
      <c r="D256">
        <f>IFERROR($C256*INDEX(SPPR!$E:$X,MATCH($A256,SPPR!$A:$A,0),1),"")</f>
        <v/>
      </c>
      <c r="E256">
        <f>IFERROR($C256*INDEX(SPPR!$E:$X,MATCH($A256,SPPR!$A:$A,0),2),"")</f>
        <v/>
      </c>
      <c r="F256">
        <f>IFERROR($C256*INDEX(SPPR!$E:$X,MATCH($A256,SPPR!$A:$A,0),3),"")</f>
        <v/>
      </c>
      <c r="G256">
        <f>IFERROR($C256*INDEX(SPPR!$E:$X,MATCH($A256,SPPR!$A:$A,0),4),"")</f>
        <v/>
      </c>
      <c r="H256">
        <f>IFERROR($C256*INDEX(SPPR!$E:$X,MATCH($A256,SPPR!$A:$A,0),5),"")</f>
        <v/>
      </c>
      <c r="I256">
        <f>IFERROR($C256*INDEX(SPPR!$E:$X,MATCH($A256,SPPR!$A:$A,0),6),"")</f>
        <v/>
      </c>
      <c r="J256">
        <f>IFERROR($C256*INDEX(SPPR!$E:$X,MATCH($A256,SPPR!$A:$A,0),7),"")</f>
        <v/>
      </c>
      <c r="K256">
        <f>IFERROR($C256*INDEX(SPPR!$E:$X,MATCH($A256,SPPR!$A:$A,0),8),"")</f>
        <v/>
      </c>
      <c r="L256">
        <f>IFERROR($C256*INDEX(SPPR!$E:$X,MATCH($A256,SPPR!$A:$A,0),9),"")</f>
        <v/>
      </c>
      <c r="M256">
        <f>IFERROR($C256*INDEX(SPPR!$E:$X,MATCH($A256,SPPR!$A:$A,0),10),"")</f>
        <v/>
      </c>
      <c r="N256">
        <f>IFERROR($C256*INDEX(SPPR!$E:$X,MATCH($A256,SPPR!$A:$A,0),11),"")</f>
        <v/>
      </c>
      <c r="O256">
        <f>IFERROR($C256*INDEX(SPPR!$E:$X,MATCH($A256,SPPR!$A:$A,0),12),"")</f>
        <v/>
      </c>
      <c r="P256">
        <f>IFERROR($C256*INDEX(SPPR!$E:$X,MATCH($A256,SPPR!$A:$A,0),13),"")</f>
        <v/>
      </c>
      <c r="Q256">
        <f>IFERROR($C256*INDEX(SPPR!$E:$X,MATCH($A256,SPPR!$A:$A,0),14),"")</f>
        <v/>
      </c>
      <c r="R256">
        <f>IFERROR($C256*INDEX(SPPR!$E:$X,MATCH($A256,SPPR!$A:$A,0),15),"")</f>
        <v/>
      </c>
      <c r="S256">
        <f>IFERROR($C256*INDEX(SPPR!$E:$X,MATCH($A256,SPPR!$A:$A,0),16),"")</f>
        <v/>
      </c>
      <c r="T256">
        <f>IFERROR($C256*INDEX(SPPR!$E:$X,MATCH($A256,SPPR!$A:$A,0),17),"")</f>
        <v/>
      </c>
      <c r="U256">
        <f>IFERROR($C256*INDEX(SPPR!$E:$X,MATCH($A256,SPPR!$A:$A,0),18),"")</f>
        <v/>
      </c>
      <c r="V256">
        <f>IFERROR($C256*INDEX(SPPR!$E:$X,MATCH($A256,SPPR!$A:$A,0),19),"")</f>
        <v/>
      </c>
      <c r="W256">
        <f>IFERROR($C256*INDEX(SPPR!$E:$X,MATCH($A256,SPPR!$A:$A,0),20),"")</f>
        <v/>
      </c>
    </row>
    <row r="257">
      <c r="A257" t="inlineStr">
        <is>
          <t>Psettodes erumei</t>
        </is>
      </c>
      <c r="B257">
        <f>IFERROR(INDEX(SPPR!$D:$D,MATCH($A257,SPPR!$A:$A,0)),"")</f>
        <v/>
      </c>
      <c r="C257">
        <f>IFERROR(INDEX(Catch!$E:$BV,MATCH($A257,Catch!$A:$A,0),MATCH($B$4,Catch!$E$1:$BV$1,0)),0)</f>
        <v/>
      </c>
      <c r="D257">
        <f>IFERROR($C257*INDEX(SPPR!$E:$X,MATCH($A257,SPPR!$A:$A,0),1),"")</f>
        <v/>
      </c>
      <c r="E257">
        <f>IFERROR($C257*INDEX(SPPR!$E:$X,MATCH($A257,SPPR!$A:$A,0),2),"")</f>
        <v/>
      </c>
      <c r="F257">
        <f>IFERROR($C257*INDEX(SPPR!$E:$X,MATCH($A257,SPPR!$A:$A,0),3),"")</f>
        <v/>
      </c>
      <c r="G257">
        <f>IFERROR($C257*INDEX(SPPR!$E:$X,MATCH($A257,SPPR!$A:$A,0),4),"")</f>
        <v/>
      </c>
      <c r="H257">
        <f>IFERROR($C257*INDEX(SPPR!$E:$X,MATCH($A257,SPPR!$A:$A,0),5),"")</f>
        <v/>
      </c>
      <c r="I257">
        <f>IFERROR($C257*INDEX(SPPR!$E:$X,MATCH($A257,SPPR!$A:$A,0),6),"")</f>
        <v/>
      </c>
      <c r="J257">
        <f>IFERROR($C257*INDEX(SPPR!$E:$X,MATCH($A257,SPPR!$A:$A,0),7),"")</f>
        <v/>
      </c>
      <c r="K257">
        <f>IFERROR($C257*INDEX(SPPR!$E:$X,MATCH($A257,SPPR!$A:$A,0),8),"")</f>
        <v/>
      </c>
      <c r="L257">
        <f>IFERROR($C257*INDEX(SPPR!$E:$X,MATCH($A257,SPPR!$A:$A,0),9),"")</f>
        <v/>
      </c>
      <c r="M257">
        <f>IFERROR($C257*INDEX(SPPR!$E:$X,MATCH($A257,SPPR!$A:$A,0),10),"")</f>
        <v/>
      </c>
      <c r="N257">
        <f>IFERROR($C257*INDEX(SPPR!$E:$X,MATCH($A257,SPPR!$A:$A,0),11),"")</f>
        <v/>
      </c>
      <c r="O257">
        <f>IFERROR($C257*INDEX(SPPR!$E:$X,MATCH($A257,SPPR!$A:$A,0),12),"")</f>
        <v/>
      </c>
      <c r="P257">
        <f>IFERROR($C257*INDEX(SPPR!$E:$X,MATCH($A257,SPPR!$A:$A,0),13),"")</f>
        <v/>
      </c>
      <c r="Q257">
        <f>IFERROR($C257*INDEX(SPPR!$E:$X,MATCH($A257,SPPR!$A:$A,0),14),"")</f>
        <v/>
      </c>
      <c r="R257">
        <f>IFERROR($C257*INDEX(SPPR!$E:$X,MATCH($A257,SPPR!$A:$A,0),15),"")</f>
        <v/>
      </c>
      <c r="S257">
        <f>IFERROR($C257*INDEX(SPPR!$E:$X,MATCH($A257,SPPR!$A:$A,0),16),"")</f>
        <v/>
      </c>
      <c r="T257">
        <f>IFERROR($C257*INDEX(SPPR!$E:$X,MATCH($A257,SPPR!$A:$A,0),17),"")</f>
        <v/>
      </c>
      <c r="U257">
        <f>IFERROR($C257*INDEX(SPPR!$E:$X,MATCH($A257,SPPR!$A:$A,0),18),"")</f>
        <v/>
      </c>
      <c r="V257">
        <f>IFERROR($C257*INDEX(SPPR!$E:$X,MATCH($A257,SPPR!$A:$A,0),19),"")</f>
        <v/>
      </c>
      <c r="W257">
        <f>IFERROR($C257*INDEX(SPPR!$E:$X,MATCH($A257,SPPR!$A:$A,0),20),"")</f>
        <v/>
      </c>
    </row>
    <row r="258">
      <c r="A258" t="inlineStr">
        <is>
          <t>Paralithodes</t>
        </is>
      </c>
      <c r="B258">
        <f>IFERROR(INDEX(SPPR!$D:$D,MATCH($A258,SPPR!$A:$A,0)),"")</f>
        <v/>
      </c>
      <c r="C258">
        <f>IFERROR(INDEX(Catch!$E:$BV,MATCH($A258,Catch!$A:$A,0),MATCH($B$4,Catch!$E$1:$BV$1,0)),0)</f>
        <v/>
      </c>
      <c r="D258">
        <f>IFERROR($C258*INDEX(SPPR!$E:$X,MATCH($A258,SPPR!$A:$A,0),1),"")</f>
        <v/>
      </c>
      <c r="E258">
        <f>IFERROR($C258*INDEX(SPPR!$E:$X,MATCH($A258,SPPR!$A:$A,0),2),"")</f>
        <v/>
      </c>
      <c r="F258">
        <f>IFERROR($C258*INDEX(SPPR!$E:$X,MATCH($A258,SPPR!$A:$A,0),3),"")</f>
        <v/>
      </c>
      <c r="G258">
        <f>IFERROR($C258*INDEX(SPPR!$E:$X,MATCH($A258,SPPR!$A:$A,0),4),"")</f>
        <v/>
      </c>
      <c r="H258">
        <f>IFERROR($C258*INDEX(SPPR!$E:$X,MATCH($A258,SPPR!$A:$A,0),5),"")</f>
        <v/>
      </c>
      <c r="I258">
        <f>IFERROR($C258*INDEX(SPPR!$E:$X,MATCH($A258,SPPR!$A:$A,0),6),"")</f>
        <v/>
      </c>
      <c r="J258">
        <f>IFERROR($C258*INDEX(SPPR!$E:$X,MATCH($A258,SPPR!$A:$A,0),7),"")</f>
        <v/>
      </c>
      <c r="K258">
        <f>IFERROR($C258*INDEX(SPPR!$E:$X,MATCH($A258,SPPR!$A:$A,0),8),"")</f>
        <v/>
      </c>
      <c r="L258">
        <f>IFERROR($C258*INDEX(SPPR!$E:$X,MATCH($A258,SPPR!$A:$A,0),9),"")</f>
        <v/>
      </c>
      <c r="M258">
        <f>IFERROR($C258*INDEX(SPPR!$E:$X,MATCH($A258,SPPR!$A:$A,0),10),"")</f>
        <v/>
      </c>
      <c r="N258">
        <f>IFERROR($C258*INDEX(SPPR!$E:$X,MATCH($A258,SPPR!$A:$A,0),11),"")</f>
        <v/>
      </c>
      <c r="O258">
        <f>IFERROR($C258*INDEX(SPPR!$E:$X,MATCH($A258,SPPR!$A:$A,0),12),"")</f>
        <v/>
      </c>
      <c r="P258">
        <f>IFERROR($C258*INDEX(SPPR!$E:$X,MATCH($A258,SPPR!$A:$A,0),13),"")</f>
        <v/>
      </c>
      <c r="Q258">
        <f>IFERROR($C258*INDEX(SPPR!$E:$X,MATCH($A258,SPPR!$A:$A,0),14),"")</f>
        <v/>
      </c>
      <c r="R258">
        <f>IFERROR($C258*INDEX(SPPR!$E:$X,MATCH($A258,SPPR!$A:$A,0),15),"")</f>
        <v/>
      </c>
      <c r="S258">
        <f>IFERROR($C258*INDEX(SPPR!$E:$X,MATCH($A258,SPPR!$A:$A,0),16),"")</f>
        <v/>
      </c>
      <c r="T258">
        <f>IFERROR($C258*INDEX(SPPR!$E:$X,MATCH($A258,SPPR!$A:$A,0),17),"")</f>
        <v/>
      </c>
      <c r="U258">
        <f>IFERROR($C258*INDEX(SPPR!$E:$X,MATCH($A258,SPPR!$A:$A,0),18),"")</f>
        <v/>
      </c>
      <c r="V258">
        <f>IFERROR($C258*INDEX(SPPR!$E:$X,MATCH($A258,SPPR!$A:$A,0),19),"")</f>
        <v/>
      </c>
      <c r="W258">
        <f>IFERROR($C258*INDEX(SPPR!$E:$X,MATCH($A258,SPPR!$A:$A,0),20),"")</f>
        <v/>
      </c>
    </row>
    <row r="259">
      <c r="A259" t="inlineStr">
        <is>
          <t>Hemitrygon akajei</t>
        </is>
      </c>
      <c r="B259">
        <f>IFERROR(INDEX(SPPR!$D:$D,MATCH($A259,SPPR!$A:$A,0)),"")</f>
        <v/>
      </c>
      <c r="C259">
        <f>IFERROR(INDEX(Catch!$E:$BV,MATCH($A259,Catch!$A:$A,0),MATCH($B$4,Catch!$E$1:$BV$1,0)),0)</f>
        <v/>
      </c>
      <c r="D259">
        <f>IFERROR($C259*INDEX(SPPR!$E:$X,MATCH($A259,SPPR!$A:$A,0),1),"")</f>
        <v/>
      </c>
      <c r="E259">
        <f>IFERROR($C259*INDEX(SPPR!$E:$X,MATCH($A259,SPPR!$A:$A,0),2),"")</f>
        <v/>
      </c>
      <c r="F259">
        <f>IFERROR($C259*INDEX(SPPR!$E:$X,MATCH($A259,SPPR!$A:$A,0),3),"")</f>
        <v/>
      </c>
      <c r="G259">
        <f>IFERROR($C259*INDEX(SPPR!$E:$X,MATCH($A259,SPPR!$A:$A,0),4),"")</f>
        <v/>
      </c>
      <c r="H259">
        <f>IFERROR($C259*INDEX(SPPR!$E:$X,MATCH($A259,SPPR!$A:$A,0),5),"")</f>
        <v/>
      </c>
      <c r="I259">
        <f>IFERROR($C259*INDEX(SPPR!$E:$X,MATCH($A259,SPPR!$A:$A,0),6),"")</f>
        <v/>
      </c>
      <c r="J259">
        <f>IFERROR($C259*INDEX(SPPR!$E:$X,MATCH($A259,SPPR!$A:$A,0),7),"")</f>
        <v/>
      </c>
      <c r="K259">
        <f>IFERROR($C259*INDEX(SPPR!$E:$X,MATCH($A259,SPPR!$A:$A,0),8),"")</f>
        <v/>
      </c>
      <c r="L259">
        <f>IFERROR($C259*INDEX(SPPR!$E:$X,MATCH($A259,SPPR!$A:$A,0),9),"")</f>
        <v/>
      </c>
      <c r="M259">
        <f>IFERROR($C259*INDEX(SPPR!$E:$X,MATCH($A259,SPPR!$A:$A,0),10),"")</f>
        <v/>
      </c>
      <c r="N259">
        <f>IFERROR($C259*INDEX(SPPR!$E:$X,MATCH($A259,SPPR!$A:$A,0),11),"")</f>
        <v/>
      </c>
      <c r="O259">
        <f>IFERROR($C259*INDEX(SPPR!$E:$X,MATCH($A259,SPPR!$A:$A,0),12),"")</f>
        <v/>
      </c>
      <c r="P259">
        <f>IFERROR($C259*INDEX(SPPR!$E:$X,MATCH($A259,SPPR!$A:$A,0),13),"")</f>
        <v/>
      </c>
      <c r="Q259">
        <f>IFERROR($C259*INDEX(SPPR!$E:$X,MATCH($A259,SPPR!$A:$A,0),14),"")</f>
        <v/>
      </c>
      <c r="R259">
        <f>IFERROR($C259*INDEX(SPPR!$E:$X,MATCH($A259,SPPR!$A:$A,0),15),"")</f>
        <v/>
      </c>
      <c r="S259">
        <f>IFERROR($C259*INDEX(SPPR!$E:$X,MATCH($A259,SPPR!$A:$A,0),16),"")</f>
        <v/>
      </c>
      <c r="T259">
        <f>IFERROR($C259*INDEX(SPPR!$E:$X,MATCH($A259,SPPR!$A:$A,0),17),"")</f>
        <v/>
      </c>
      <c r="U259">
        <f>IFERROR($C259*INDEX(SPPR!$E:$X,MATCH($A259,SPPR!$A:$A,0),18),"")</f>
        <v/>
      </c>
      <c r="V259">
        <f>IFERROR($C259*INDEX(SPPR!$E:$X,MATCH($A259,SPPR!$A:$A,0),19),"")</f>
        <v/>
      </c>
      <c r="W259">
        <f>IFERROR($C259*INDEX(SPPR!$E:$X,MATCH($A259,SPPR!$A:$A,0),20),"")</f>
        <v/>
      </c>
    </row>
    <row r="260">
      <c r="A260" t="inlineStr">
        <is>
          <t>Chionoecetes opilio</t>
        </is>
      </c>
      <c r="B260">
        <f>IFERROR(INDEX(SPPR!$D:$D,MATCH($A260,SPPR!$A:$A,0)),"")</f>
        <v/>
      </c>
      <c r="C260">
        <f>IFERROR(INDEX(Catch!$E:$BV,MATCH($A260,Catch!$A:$A,0),MATCH($B$4,Catch!$E$1:$BV$1,0)),0)</f>
        <v/>
      </c>
      <c r="D260">
        <f>IFERROR($C260*INDEX(SPPR!$E:$X,MATCH($A260,SPPR!$A:$A,0),1),"")</f>
        <v/>
      </c>
      <c r="E260">
        <f>IFERROR($C260*INDEX(SPPR!$E:$X,MATCH($A260,SPPR!$A:$A,0),2),"")</f>
        <v/>
      </c>
      <c r="F260">
        <f>IFERROR($C260*INDEX(SPPR!$E:$X,MATCH($A260,SPPR!$A:$A,0),3),"")</f>
        <v/>
      </c>
      <c r="G260">
        <f>IFERROR($C260*INDEX(SPPR!$E:$X,MATCH($A260,SPPR!$A:$A,0),4),"")</f>
        <v/>
      </c>
      <c r="H260">
        <f>IFERROR($C260*INDEX(SPPR!$E:$X,MATCH($A260,SPPR!$A:$A,0),5),"")</f>
        <v/>
      </c>
      <c r="I260">
        <f>IFERROR($C260*INDEX(SPPR!$E:$X,MATCH($A260,SPPR!$A:$A,0),6),"")</f>
        <v/>
      </c>
      <c r="J260">
        <f>IFERROR($C260*INDEX(SPPR!$E:$X,MATCH($A260,SPPR!$A:$A,0),7),"")</f>
        <v/>
      </c>
      <c r="K260">
        <f>IFERROR($C260*INDEX(SPPR!$E:$X,MATCH($A260,SPPR!$A:$A,0),8),"")</f>
        <v/>
      </c>
      <c r="L260">
        <f>IFERROR($C260*INDEX(SPPR!$E:$X,MATCH($A260,SPPR!$A:$A,0),9),"")</f>
        <v/>
      </c>
      <c r="M260">
        <f>IFERROR($C260*INDEX(SPPR!$E:$X,MATCH($A260,SPPR!$A:$A,0),10),"")</f>
        <v/>
      </c>
      <c r="N260">
        <f>IFERROR($C260*INDEX(SPPR!$E:$X,MATCH($A260,SPPR!$A:$A,0),11),"")</f>
        <v/>
      </c>
      <c r="O260">
        <f>IFERROR($C260*INDEX(SPPR!$E:$X,MATCH($A260,SPPR!$A:$A,0),12),"")</f>
        <v/>
      </c>
      <c r="P260">
        <f>IFERROR($C260*INDEX(SPPR!$E:$X,MATCH($A260,SPPR!$A:$A,0),13),"")</f>
        <v/>
      </c>
      <c r="Q260">
        <f>IFERROR($C260*INDEX(SPPR!$E:$X,MATCH($A260,SPPR!$A:$A,0),14),"")</f>
        <v/>
      </c>
      <c r="R260">
        <f>IFERROR($C260*INDEX(SPPR!$E:$X,MATCH($A260,SPPR!$A:$A,0),15),"")</f>
        <v/>
      </c>
      <c r="S260">
        <f>IFERROR($C260*INDEX(SPPR!$E:$X,MATCH($A260,SPPR!$A:$A,0),16),"")</f>
        <v/>
      </c>
      <c r="T260">
        <f>IFERROR($C260*INDEX(SPPR!$E:$X,MATCH($A260,SPPR!$A:$A,0),17),"")</f>
        <v/>
      </c>
      <c r="U260">
        <f>IFERROR($C260*INDEX(SPPR!$E:$X,MATCH($A260,SPPR!$A:$A,0),18),"")</f>
        <v/>
      </c>
      <c r="V260">
        <f>IFERROR($C260*INDEX(SPPR!$E:$X,MATCH($A260,SPPR!$A:$A,0),19),"")</f>
        <v/>
      </c>
      <c r="W260">
        <f>IFERROR($C260*INDEX(SPPR!$E:$X,MATCH($A260,SPPR!$A:$A,0),20),"")</f>
        <v/>
      </c>
    </row>
    <row r="261">
      <c r="A261" t="inlineStr">
        <is>
          <t>Sillago sihama</t>
        </is>
      </c>
      <c r="B261">
        <f>IFERROR(INDEX(SPPR!$D:$D,MATCH($A261,SPPR!$A:$A,0)),"")</f>
        <v/>
      </c>
      <c r="C261">
        <f>IFERROR(INDEX(Catch!$E:$BV,MATCH($A261,Catch!$A:$A,0),MATCH($B$4,Catch!$E$1:$BV$1,0)),0)</f>
        <v/>
      </c>
      <c r="D261">
        <f>IFERROR($C261*INDEX(SPPR!$E:$X,MATCH($A261,SPPR!$A:$A,0),1),"")</f>
        <v/>
      </c>
      <c r="E261">
        <f>IFERROR($C261*INDEX(SPPR!$E:$X,MATCH($A261,SPPR!$A:$A,0),2),"")</f>
        <v/>
      </c>
      <c r="F261">
        <f>IFERROR($C261*INDEX(SPPR!$E:$X,MATCH($A261,SPPR!$A:$A,0),3),"")</f>
        <v/>
      </c>
      <c r="G261">
        <f>IFERROR($C261*INDEX(SPPR!$E:$X,MATCH($A261,SPPR!$A:$A,0),4),"")</f>
        <v/>
      </c>
      <c r="H261">
        <f>IFERROR($C261*INDEX(SPPR!$E:$X,MATCH($A261,SPPR!$A:$A,0),5),"")</f>
        <v/>
      </c>
      <c r="I261">
        <f>IFERROR($C261*INDEX(SPPR!$E:$X,MATCH($A261,SPPR!$A:$A,0),6),"")</f>
        <v/>
      </c>
      <c r="J261">
        <f>IFERROR($C261*INDEX(SPPR!$E:$X,MATCH($A261,SPPR!$A:$A,0),7),"")</f>
        <v/>
      </c>
      <c r="K261">
        <f>IFERROR($C261*INDEX(SPPR!$E:$X,MATCH($A261,SPPR!$A:$A,0),8),"")</f>
        <v/>
      </c>
      <c r="L261">
        <f>IFERROR($C261*INDEX(SPPR!$E:$X,MATCH($A261,SPPR!$A:$A,0),9),"")</f>
        <v/>
      </c>
      <c r="M261">
        <f>IFERROR($C261*INDEX(SPPR!$E:$X,MATCH($A261,SPPR!$A:$A,0),10),"")</f>
        <v/>
      </c>
      <c r="N261">
        <f>IFERROR($C261*INDEX(SPPR!$E:$X,MATCH($A261,SPPR!$A:$A,0),11),"")</f>
        <v/>
      </c>
      <c r="O261">
        <f>IFERROR($C261*INDEX(SPPR!$E:$X,MATCH($A261,SPPR!$A:$A,0),12),"")</f>
        <v/>
      </c>
      <c r="P261">
        <f>IFERROR($C261*INDEX(SPPR!$E:$X,MATCH($A261,SPPR!$A:$A,0),13),"")</f>
        <v/>
      </c>
      <c r="Q261">
        <f>IFERROR($C261*INDEX(SPPR!$E:$X,MATCH($A261,SPPR!$A:$A,0),14),"")</f>
        <v/>
      </c>
      <c r="R261">
        <f>IFERROR($C261*INDEX(SPPR!$E:$X,MATCH($A261,SPPR!$A:$A,0),15),"")</f>
        <v/>
      </c>
      <c r="S261">
        <f>IFERROR($C261*INDEX(SPPR!$E:$X,MATCH($A261,SPPR!$A:$A,0),16),"")</f>
        <v/>
      </c>
      <c r="T261">
        <f>IFERROR($C261*INDEX(SPPR!$E:$X,MATCH($A261,SPPR!$A:$A,0),17),"")</f>
        <v/>
      </c>
      <c r="U261">
        <f>IFERROR($C261*INDEX(SPPR!$E:$X,MATCH($A261,SPPR!$A:$A,0),18),"")</f>
        <v/>
      </c>
      <c r="V261">
        <f>IFERROR($C261*INDEX(SPPR!$E:$X,MATCH($A261,SPPR!$A:$A,0),19),"")</f>
        <v/>
      </c>
      <c r="W261">
        <f>IFERROR($C261*INDEX(SPPR!$E:$X,MATCH($A261,SPPR!$A:$A,0),20),"")</f>
        <v/>
      </c>
    </row>
    <row r="262">
      <c r="A262" t="inlineStr">
        <is>
          <t>Lethrinus miniatus</t>
        </is>
      </c>
      <c r="B262">
        <f>IFERROR(INDEX(SPPR!$D:$D,MATCH($A262,SPPR!$A:$A,0)),"")</f>
        <v/>
      </c>
      <c r="C262">
        <f>IFERROR(INDEX(Catch!$E:$BV,MATCH($A262,Catch!$A:$A,0),MATCH($B$4,Catch!$E$1:$BV$1,0)),0)</f>
        <v/>
      </c>
      <c r="D262">
        <f>IFERROR($C262*INDEX(SPPR!$E:$X,MATCH($A262,SPPR!$A:$A,0),1),"")</f>
        <v/>
      </c>
      <c r="E262">
        <f>IFERROR($C262*INDEX(SPPR!$E:$X,MATCH($A262,SPPR!$A:$A,0),2),"")</f>
        <v/>
      </c>
      <c r="F262">
        <f>IFERROR($C262*INDEX(SPPR!$E:$X,MATCH($A262,SPPR!$A:$A,0),3),"")</f>
        <v/>
      </c>
      <c r="G262">
        <f>IFERROR($C262*INDEX(SPPR!$E:$X,MATCH($A262,SPPR!$A:$A,0),4),"")</f>
        <v/>
      </c>
      <c r="H262">
        <f>IFERROR($C262*INDEX(SPPR!$E:$X,MATCH($A262,SPPR!$A:$A,0),5),"")</f>
        <v/>
      </c>
      <c r="I262">
        <f>IFERROR($C262*INDEX(SPPR!$E:$X,MATCH($A262,SPPR!$A:$A,0),6),"")</f>
        <v/>
      </c>
      <c r="J262">
        <f>IFERROR($C262*INDEX(SPPR!$E:$X,MATCH($A262,SPPR!$A:$A,0),7),"")</f>
        <v/>
      </c>
      <c r="K262">
        <f>IFERROR($C262*INDEX(SPPR!$E:$X,MATCH($A262,SPPR!$A:$A,0),8),"")</f>
        <v/>
      </c>
      <c r="L262">
        <f>IFERROR($C262*INDEX(SPPR!$E:$X,MATCH($A262,SPPR!$A:$A,0),9),"")</f>
        <v/>
      </c>
      <c r="M262">
        <f>IFERROR($C262*INDEX(SPPR!$E:$X,MATCH($A262,SPPR!$A:$A,0),10),"")</f>
        <v/>
      </c>
      <c r="N262">
        <f>IFERROR($C262*INDEX(SPPR!$E:$X,MATCH($A262,SPPR!$A:$A,0),11),"")</f>
        <v/>
      </c>
      <c r="O262">
        <f>IFERROR($C262*INDEX(SPPR!$E:$X,MATCH($A262,SPPR!$A:$A,0),12),"")</f>
        <v/>
      </c>
      <c r="P262">
        <f>IFERROR($C262*INDEX(SPPR!$E:$X,MATCH($A262,SPPR!$A:$A,0),13),"")</f>
        <v/>
      </c>
      <c r="Q262">
        <f>IFERROR($C262*INDEX(SPPR!$E:$X,MATCH($A262,SPPR!$A:$A,0),14),"")</f>
        <v/>
      </c>
      <c r="R262">
        <f>IFERROR($C262*INDEX(SPPR!$E:$X,MATCH($A262,SPPR!$A:$A,0),15),"")</f>
        <v/>
      </c>
      <c r="S262">
        <f>IFERROR($C262*INDEX(SPPR!$E:$X,MATCH($A262,SPPR!$A:$A,0),16),"")</f>
        <v/>
      </c>
      <c r="T262">
        <f>IFERROR($C262*INDEX(SPPR!$E:$X,MATCH($A262,SPPR!$A:$A,0),17),"")</f>
        <v/>
      </c>
      <c r="U262">
        <f>IFERROR($C262*INDEX(SPPR!$E:$X,MATCH($A262,SPPR!$A:$A,0),18),"")</f>
        <v/>
      </c>
      <c r="V262">
        <f>IFERROR($C262*INDEX(SPPR!$E:$X,MATCH($A262,SPPR!$A:$A,0),19),"")</f>
        <v/>
      </c>
      <c r="W262">
        <f>IFERROR($C262*INDEX(SPPR!$E:$X,MATCH($A262,SPPR!$A:$A,0),20),"")</f>
        <v/>
      </c>
    </row>
    <row r="263">
      <c r="A263" t="inlineStr">
        <is>
          <t>Istiophorus platypterus</t>
        </is>
      </c>
      <c r="B263">
        <f>IFERROR(INDEX(SPPR!$D:$D,MATCH($A263,SPPR!$A:$A,0)),"")</f>
        <v/>
      </c>
      <c r="C263">
        <f>IFERROR(INDEX(Catch!$E:$BV,MATCH($A263,Catch!$A:$A,0),MATCH($B$4,Catch!$E$1:$BV$1,0)),0)</f>
        <v/>
      </c>
      <c r="D263">
        <f>IFERROR($C263*INDEX(SPPR!$E:$X,MATCH($A263,SPPR!$A:$A,0),1),"")</f>
        <v/>
      </c>
      <c r="E263">
        <f>IFERROR($C263*INDEX(SPPR!$E:$X,MATCH($A263,SPPR!$A:$A,0),2),"")</f>
        <v/>
      </c>
      <c r="F263">
        <f>IFERROR($C263*INDEX(SPPR!$E:$X,MATCH($A263,SPPR!$A:$A,0),3),"")</f>
        <v/>
      </c>
      <c r="G263">
        <f>IFERROR($C263*INDEX(SPPR!$E:$X,MATCH($A263,SPPR!$A:$A,0),4),"")</f>
        <v/>
      </c>
      <c r="H263">
        <f>IFERROR($C263*INDEX(SPPR!$E:$X,MATCH($A263,SPPR!$A:$A,0),5),"")</f>
        <v/>
      </c>
      <c r="I263">
        <f>IFERROR($C263*INDEX(SPPR!$E:$X,MATCH($A263,SPPR!$A:$A,0),6),"")</f>
        <v/>
      </c>
      <c r="J263">
        <f>IFERROR($C263*INDEX(SPPR!$E:$X,MATCH($A263,SPPR!$A:$A,0),7),"")</f>
        <v/>
      </c>
      <c r="K263">
        <f>IFERROR($C263*INDEX(SPPR!$E:$X,MATCH($A263,SPPR!$A:$A,0),8),"")</f>
        <v/>
      </c>
      <c r="L263">
        <f>IFERROR($C263*INDEX(SPPR!$E:$X,MATCH($A263,SPPR!$A:$A,0),9),"")</f>
        <v/>
      </c>
      <c r="M263">
        <f>IFERROR($C263*INDEX(SPPR!$E:$X,MATCH($A263,SPPR!$A:$A,0),10),"")</f>
        <v/>
      </c>
      <c r="N263">
        <f>IFERROR($C263*INDEX(SPPR!$E:$X,MATCH($A263,SPPR!$A:$A,0),11),"")</f>
        <v/>
      </c>
      <c r="O263">
        <f>IFERROR($C263*INDEX(SPPR!$E:$X,MATCH($A263,SPPR!$A:$A,0),12),"")</f>
        <v/>
      </c>
      <c r="P263">
        <f>IFERROR($C263*INDEX(SPPR!$E:$X,MATCH($A263,SPPR!$A:$A,0),13),"")</f>
        <v/>
      </c>
      <c r="Q263">
        <f>IFERROR($C263*INDEX(SPPR!$E:$X,MATCH($A263,SPPR!$A:$A,0),14),"")</f>
        <v/>
      </c>
      <c r="R263">
        <f>IFERROR($C263*INDEX(SPPR!$E:$X,MATCH($A263,SPPR!$A:$A,0),15),"")</f>
        <v/>
      </c>
      <c r="S263">
        <f>IFERROR($C263*INDEX(SPPR!$E:$X,MATCH($A263,SPPR!$A:$A,0),16),"")</f>
        <v/>
      </c>
      <c r="T263">
        <f>IFERROR($C263*INDEX(SPPR!$E:$X,MATCH($A263,SPPR!$A:$A,0),17),"")</f>
        <v/>
      </c>
      <c r="U263">
        <f>IFERROR($C263*INDEX(SPPR!$E:$X,MATCH($A263,SPPR!$A:$A,0),18),"")</f>
        <v/>
      </c>
      <c r="V263">
        <f>IFERROR($C263*INDEX(SPPR!$E:$X,MATCH($A263,SPPR!$A:$A,0),19),"")</f>
        <v/>
      </c>
      <c r="W263">
        <f>IFERROR($C263*INDEX(SPPR!$E:$X,MATCH($A263,SPPR!$A:$A,0),20),"")</f>
        <v/>
      </c>
    </row>
    <row r="264">
      <c r="A264" t="inlineStr">
        <is>
          <t>Lutjanus bohar</t>
        </is>
      </c>
      <c r="B264">
        <f>IFERROR(INDEX(SPPR!$D:$D,MATCH($A264,SPPR!$A:$A,0)),"")</f>
        <v/>
      </c>
      <c r="C264">
        <f>IFERROR(INDEX(Catch!$E:$BV,MATCH($A264,Catch!$A:$A,0),MATCH($B$4,Catch!$E$1:$BV$1,0)),0)</f>
        <v/>
      </c>
      <c r="D264">
        <f>IFERROR($C264*INDEX(SPPR!$E:$X,MATCH($A264,SPPR!$A:$A,0),1),"")</f>
        <v/>
      </c>
      <c r="E264">
        <f>IFERROR($C264*INDEX(SPPR!$E:$X,MATCH($A264,SPPR!$A:$A,0),2),"")</f>
        <v/>
      </c>
      <c r="F264">
        <f>IFERROR($C264*INDEX(SPPR!$E:$X,MATCH($A264,SPPR!$A:$A,0),3),"")</f>
        <v/>
      </c>
      <c r="G264">
        <f>IFERROR($C264*INDEX(SPPR!$E:$X,MATCH($A264,SPPR!$A:$A,0),4),"")</f>
        <v/>
      </c>
      <c r="H264">
        <f>IFERROR($C264*INDEX(SPPR!$E:$X,MATCH($A264,SPPR!$A:$A,0),5),"")</f>
        <v/>
      </c>
      <c r="I264">
        <f>IFERROR($C264*INDEX(SPPR!$E:$X,MATCH($A264,SPPR!$A:$A,0),6),"")</f>
        <v/>
      </c>
      <c r="J264">
        <f>IFERROR($C264*INDEX(SPPR!$E:$X,MATCH($A264,SPPR!$A:$A,0),7),"")</f>
        <v/>
      </c>
      <c r="K264">
        <f>IFERROR($C264*INDEX(SPPR!$E:$X,MATCH($A264,SPPR!$A:$A,0),8),"")</f>
        <v/>
      </c>
      <c r="L264">
        <f>IFERROR($C264*INDEX(SPPR!$E:$X,MATCH($A264,SPPR!$A:$A,0),9),"")</f>
        <v/>
      </c>
      <c r="M264">
        <f>IFERROR($C264*INDEX(SPPR!$E:$X,MATCH($A264,SPPR!$A:$A,0),10),"")</f>
        <v/>
      </c>
      <c r="N264">
        <f>IFERROR($C264*INDEX(SPPR!$E:$X,MATCH($A264,SPPR!$A:$A,0),11),"")</f>
        <v/>
      </c>
      <c r="O264">
        <f>IFERROR($C264*INDEX(SPPR!$E:$X,MATCH($A264,SPPR!$A:$A,0),12),"")</f>
        <v/>
      </c>
      <c r="P264">
        <f>IFERROR($C264*INDEX(SPPR!$E:$X,MATCH($A264,SPPR!$A:$A,0),13),"")</f>
        <v/>
      </c>
      <c r="Q264">
        <f>IFERROR($C264*INDEX(SPPR!$E:$X,MATCH($A264,SPPR!$A:$A,0),14),"")</f>
        <v/>
      </c>
      <c r="R264">
        <f>IFERROR($C264*INDEX(SPPR!$E:$X,MATCH($A264,SPPR!$A:$A,0),15),"")</f>
        <v/>
      </c>
      <c r="S264">
        <f>IFERROR($C264*INDEX(SPPR!$E:$X,MATCH($A264,SPPR!$A:$A,0),16),"")</f>
        <v/>
      </c>
      <c r="T264">
        <f>IFERROR($C264*INDEX(SPPR!$E:$X,MATCH($A264,SPPR!$A:$A,0),17),"")</f>
        <v/>
      </c>
      <c r="U264">
        <f>IFERROR($C264*INDEX(SPPR!$E:$X,MATCH($A264,SPPR!$A:$A,0),18),"")</f>
        <v/>
      </c>
      <c r="V264">
        <f>IFERROR($C264*INDEX(SPPR!$E:$X,MATCH($A264,SPPR!$A:$A,0),19),"")</f>
        <v/>
      </c>
      <c r="W264">
        <f>IFERROR($C264*INDEX(SPPR!$E:$X,MATCH($A264,SPPR!$A:$A,0),20),"")</f>
        <v/>
      </c>
    </row>
    <row r="265">
      <c r="A265" t="inlineStr">
        <is>
          <t>Rhincodon typus</t>
        </is>
      </c>
      <c r="B265">
        <f>IFERROR(INDEX(SPPR!$D:$D,MATCH($A265,SPPR!$A:$A,0)),"")</f>
        <v/>
      </c>
      <c r="C265">
        <f>IFERROR(INDEX(Catch!$E:$BV,MATCH($A265,Catch!$A:$A,0),MATCH($B$4,Catch!$E$1:$BV$1,0)),0)</f>
        <v/>
      </c>
      <c r="D265">
        <f>IFERROR($C265*INDEX(SPPR!$E:$X,MATCH($A265,SPPR!$A:$A,0),1),"")</f>
        <v/>
      </c>
      <c r="E265">
        <f>IFERROR($C265*INDEX(SPPR!$E:$X,MATCH($A265,SPPR!$A:$A,0),2),"")</f>
        <v/>
      </c>
      <c r="F265">
        <f>IFERROR($C265*INDEX(SPPR!$E:$X,MATCH($A265,SPPR!$A:$A,0),3),"")</f>
        <v/>
      </c>
      <c r="G265">
        <f>IFERROR($C265*INDEX(SPPR!$E:$X,MATCH($A265,SPPR!$A:$A,0),4),"")</f>
        <v/>
      </c>
      <c r="H265">
        <f>IFERROR($C265*INDEX(SPPR!$E:$X,MATCH($A265,SPPR!$A:$A,0),5),"")</f>
        <v/>
      </c>
      <c r="I265">
        <f>IFERROR($C265*INDEX(SPPR!$E:$X,MATCH($A265,SPPR!$A:$A,0),6),"")</f>
        <v/>
      </c>
      <c r="J265">
        <f>IFERROR($C265*INDEX(SPPR!$E:$X,MATCH($A265,SPPR!$A:$A,0),7),"")</f>
        <v/>
      </c>
      <c r="K265">
        <f>IFERROR($C265*INDEX(SPPR!$E:$X,MATCH($A265,SPPR!$A:$A,0),8),"")</f>
        <v/>
      </c>
      <c r="L265">
        <f>IFERROR($C265*INDEX(SPPR!$E:$X,MATCH($A265,SPPR!$A:$A,0),9),"")</f>
        <v/>
      </c>
      <c r="M265">
        <f>IFERROR($C265*INDEX(SPPR!$E:$X,MATCH($A265,SPPR!$A:$A,0),10),"")</f>
        <v/>
      </c>
      <c r="N265">
        <f>IFERROR($C265*INDEX(SPPR!$E:$X,MATCH($A265,SPPR!$A:$A,0),11),"")</f>
        <v/>
      </c>
      <c r="O265">
        <f>IFERROR($C265*INDEX(SPPR!$E:$X,MATCH($A265,SPPR!$A:$A,0),12),"")</f>
        <v/>
      </c>
      <c r="P265">
        <f>IFERROR($C265*INDEX(SPPR!$E:$X,MATCH($A265,SPPR!$A:$A,0),13),"")</f>
        <v/>
      </c>
      <c r="Q265">
        <f>IFERROR($C265*INDEX(SPPR!$E:$X,MATCH($A265,SPPR!$A:$A,0),14),"")</f>
        <v/>
      </c>
      <c r="R265">
        <f>IFERROR($C265*INDEX(SPPR!$E:$X,MATCH($A265,SPPR!$A:$A,0),15),"")</f>
        <v/>
      </c>
      <c r="S265">
        <f>IFERROR($C265*INDEX(SPPR!$E:$X,MATCH($A265,SPPR!$A:$A,0),16),"")</f>
        <v/>
      </c>
      <c r="T265">
        <f>IFERROR($C265*INDEX(SPPR!$E:$X,MATCH($A265,SPPR!$A:$A,0),17),"")</f>
        <v/>
      </c>
      <c r="U265">
        <f>IFERROR($C265*INDEX(SPPR!$E:$X,MATCH($A265,SPPR!$A:$A,0),18),"")</f>
        <v/>
      </c>
      <c r="V265">
        <f>IFERROR($C265*INDEX(SPPR!$E:$X,MATCH($A265,SPPR!$A:$A,0),19),"")</f>
        <v/>
      </c>
      <c r="W265">
        <f>IFERROR($C265*INDEX(SPPR!$E:$X,MATCH($A265,SPPR!$A:$A,0),20),"")</f>
        <v/>
      </c>
    </row>
    <row r="266">
      <c r="A266" t="inlineStr">
        <is>
          <t>Sergestidae</t>
        </is>
      </c>
      <c r="B266">
        <f>IFERROR(INDEX(SPPR!$D:$D,MATCH($A266,SPPR!$A:$A,0)),"")</f>
        <v/>
      </c>
      <c r="C266">
        <f>IFERROR(INDEX(Catch!$E:$BV,MATCH($A266,Catch!$A:$A,0),MATCH($B$4,Catch!$E$1:$BV$1,0)),0)</f>
        <v/>
      </c>
      <c r="D266">
        <f>IFERROR($C266*INDEX(SPPR!$E:$X,MATCH($A266,SPPR!$A:$A,0),1),"")</f>
        <v/>
      </c>
      <c r="E266">
        <f>IFERROR($C266*INDEX(SPPR!$E:$X,MATCH($A266,SPPR!$A:$A,0),2),"")</f>
        <v/>
      </c>
      <c r="F266">
        <f>IFERROR($C266*INDEX(SPPR!$E:$X,MATCH($A266,SPPR!$A:$A,0),3),"")</f>
        <v/>
      </c>
      <c r="G266">
        <f>IFERROR($C266*INDEX(SPPR!$E:$X,MATCH($A266,SPPR!$A:$A,0),4),"")</f>
        <v/>
      </c>
      <c r="H266">
        <f>IFERROR($C266*INDEX(SPPR!$E:$X,MATCH($A266,SPPR!$A:$A,0),5),"")</f>
        <v/>
      </c>
      <c r="I266">
        <f>IFERROR($C266*INDEX(SPPR!$E:$X,MATCH($A266,SPPR!$A:$A,0),6),"")</f>
        <v/>
      </c>
      <c r="J266">
        <f>IFERROR($C266*INDEX(SPPR!$E:$X,MATCH($A266,SPPR!$A:$A,0),7),"")</f>
        <v/>
      </c>
      <c r="K266">
        <f>IFERROR($C266*INDEX(SPPR!$E:$X,MATCH($A266,SPPR!$A:$A,0),8),"")</f>
        <v/>
      </c>
      <c r="L266">
        <f>IFERROR($C266*INDEX(SPPR!$E:$X,MATCH($A266,SPPR!$A:$A,0),9),"")</f>
        <v/>
      </c>
      <c r="M266">
        <f>IFERROR($C266*INDEX(SPPR!$E:$X,MATCH($A266,SPPR!$A:$A,0),10),"")</f>
        <v/>
      </c>
      <c r="N266">
        <f>IFERROR($C266*INDEX(SPPR!$E:$X,MATCH($A266,SPPR!$A:$A,0),11),"")</f>
        <v/>
      </c>
      <c r="O266">
        <f>IFERROR($C266*INDEX(SPPR!$E:$X,MATCH($A266,SPPR!$A:$A,0),12),"")</f>
        <v/>
      </c>
      <c r="P266">
        <f>IFERROR($C266*INDEX(SPPR!$E:$X,MATCH($A266,SPPR!$A:$A,0),13),"")</f>
        <v/>
      </c>
      <c r="Q266">
        <f>IFERROR($C266*INDEX(SPPR!$E:$X,MATCH($A266,SPPR!$A:$A,0),14),"")</f>
        <v/>
      </c>
      <c r="R266">
        <f>IFERROR($C266*INDEX(SPPR!$E:$X,MATCH($A266,SPPR!$A:$A,0),15),"")</f>
        <v/>
      </c>
      <c r="S266">
        <f>IFERROR($C266*INDEX(SPPR!$E:$X,MATCH($A266,SPPR!$A:$A,0),16),"")</f>
        <v/>
      </c>
      <c r="T266">
        <f>IFERROR($C266*INDEX(SPPR!$E:$X,MATCH($A266,SPPR!$A:$A,0),17),"")</f>
        <v/>
      </c>
      <c r="U266">
        <f>IFERROR($C266*INDEX(SPPR!$E:$X,MATCH($A266,SPPR!$A:$A,0),18),"")</f>
        <v/>
      </c>
      <c r="V266">
        <f>IFERROR($C266*INDEX(SPPR!$E:$X,MATCH($A266,SPPR!$A:$A,0),19),"")</f>
        <v/>
      </c>
      <c r="W266">
        <f>IFERROR($C266*INDEX(SPPR!$E:$X,MATCH($A266,SPPR!$A:$A,0),20),"")</f>
        <v/>
      </c>
    </row>
    <row r="267">
      <c r="A267" t="inlineStr">
        <is>
          <t>Lepidocybium flavobrunneum</t>
        </is>
      </c>
      <c r="B267">
        <f>IFERROR(INDEX(SPPR!$D:$D,MATCH($A267,SPPR!$A:$A,0)),"")</f>
        <v/>
      </c>
      <c r="C267">
        <f>IFERROR(INDEX(Catch!$E:$BV,MATCH($A267,Catch!$A:$A,0),MATCH($B$4,Catch!$E$1:$BV$1,0)),0)</f>
        <v/>
      </c>
      <c r="D267">
        <f>IFERROR($C267*INDEX(SPPR!$E:$X,MATCH($A267,SPPR!$A:$A,0),1),"")</f>
        <v/>
      </c>
      <c r="E267">
        <f>IFERROR($C267*INDEX(SPPR!$E:$X,MATCH($A267,SPPR!$A:$A,0),2),"")</f>
        <v/>
      </c>
      <c r="F267">
        <f>IFERROR($C267*INDEX(SPPR!$E:$X,MATCH($A267,SPPR!$A:$A,0),3),"")</f>
        <v/>
      </c>
      <c r="G267">
        <f>IFERROR($C267*INDEX(SPPR!$E:$X,MATCH($A267,SPPR!$A:$A,0),4),"")</f>
        <v/>
      </c>
      <c r="H267">
        <f>IFERROR($C267*INDEX(SPPR!$E:$X,MATCH($A267,SPPR!$A:$A,0),5),"")</f>
        <v/>
      </c>
      <c r="I267">
        <f>IFERROR($C267*INDEX(SPPR!$E:$X,MATCH($A267,SPPR!$A:$A,0),6),"")</f>
        <v/>
      </c>
      <c r="J267">
        <f>IFERROR($C267*INDEX(SPPR!$E:$X,MATCH($A267,SPPR!$A:$A,0),7),"")</f>
        <v/>
      </c>
      <c r="K267">
        <f>IFERROR($C267*INDEX(SPPR!$E:$X,MATCH($A267,SPPR!$A:$A,0),8),"")</f>
        <v/>
      </c>
      <c r="L267">
        <f>IFERROR($C267*INDEX(SPPR!$E:$X,MATCH($A267,SPPR!$A:$A,0),9),"")</f>
        <v/>
      </c>
      <c r="M267">
        <f>IFERROR($C267*INDEX(SPPR!$E:$X,MATCH($A267,SPPR!$A:$A,0),10),"")</f>
        <v/>
      </c>
      <c r="N267">
        <f>IFERROR($C267*INDEX(SPPR!$E:$X,MATCH($A267,SPPR!$A:$A,0),11),"")</f>
        <v/>
      </c>
      <c r="O267">
        <f>IFERROR($C267*INDEX(SPPR!$E:$X,MATCH($A267,SPPR!$A:$A,0),12),"")</f>
        <v/>
      </c>
      <c r="P267">
        <f>IFERROR($C267*INDEX(SPPR!$E:$X,MATCH($A267,SPPR!$A:$A,0),13),"")</f>
        <v/>
      </c>
      <c r="Q267">
        <f>IFERROR($C267*INDEX(SPPR!$E:$X,MATCH($A267,SPPR!$A:$A,0),14),"")</f>
        <v/>
      </c>
      <c r="R267">
        <f>IFERROR($C267*INDEX(SPPR!$E:$X,MATCH($A267,SPPR!$A:$A,0),15),"")</f>
        <v/>
      </c>
      <c r="S267">
        <f>IFERROR($C267*INDEX(SPPR!$E:$X,MATCH($A267,SPPR!$A:$A,0),16),"")</f>
        <v/>
      </c>
      <c r="T267">
        <f>IFERROR($C267*INDEX(SPPR!$E:$X,MATCH($A267,SPPR!$A:$A,0),17),"")</f>
        <v/>
      </c>
      <c r="U267">
        <f>IFERROR($C267*INDEX(SPPR!$E:$X,MATCH($A267,SPPR!$A:$A,0),18),"")</f>
        <v/>
      </c>
      <c r="V267">
        <f>IFERROR($C267*INDEX(SPPR!$E:$X,MATCH($A267,SPPR!$A:$A,0),19),"")</f>
        <v/>
      </c>
      <c r="W267">
        <f>IFERROR($C267*INDEX(SPPR!$E:$X,MATCH($A267,SPPR!$A:$A,0),20),"")</f>
        <v/>
      </c>
    </row>
    <row r="268">
      <c r="A268" t="inlineStr">
        <is>
          <t>Acetes</t>
        </is>
      </c>
      <c r="B268">
        <f>IFERROR(INDEX(SPPR!$D:$D,MATCH($A268,SPPR!$A:$A,0)),"")</f>
        <v/>
      </c>
      <c r="C268">
        <f>IFERROR(INDEX(Catch!$E:$BV,MATCH($A268,Catch!$A:$A,0),MATCH($B$4,Catch!$E$1:$BV$1,0)),0)</f>
        <v/>
      </c>
      <c r="D268">
        <f>IFERROR($C268*INDEX(SPPR!$E:$X,MATCH($A268,SPPR!$A:$A,0),1),"")</f>
        <v/>
      </c>
      <c r="E268">
        <f>IFERROR($C268*INDEX(SPPR!$E:$X,MATCH($A268,SPPR!$A:$A,0),2),"")</f>
        <v/>
      </c>
      <c r="F268">
        <f>IFERROR($C268*INDEX(SPPR!$E:$X,MATCH($A268,SPPR!$A:$A,0),3),"")</f>
        <v/>
      </c>
      <c r="G268">
        <f>IFERROR($C268*INDEX(SPPR!$E:$X,MATCH($A268,SPPR!$A:$A,0),4),"")</f>
        <v/>
      </c>
      <c r="H268">
        <f>IFERROR($C268*INDEX(SPPR!$E:$X,MATCH($A268,SPPR!$A:$A,0),5),"")</f>
        <v/>
      </c>
      <c r="I268">
        <f>IFERROR($C268*INDEX(SPPR!$E:$X,MATCH($A268,SPPR!$A:$A,0),6),"")</f>
        <v/>
      </c>
      <c r="J268">
        <f>IFERROR($C268*INDEX(SPPR!$E:$X,MATCH($A268,SPPR!$A:$A,0),7),"")</f>
        <v/>
      </c>
      <c r="K268">
        <f>IFERROR($C268*INDEX(SPPR!$E:$X,MATCH($A268,SPPR!$A:$A,0),8),"")</f>
        <v/>
      </c>
      <c r="L268">
        <f>IFERROR($C268*INDEX(SPPR!$E:$X,MATCH($A268,SPPR!$A:$A,0),9),"")</f>
        <v/>
      </c>
      <c r="M268">
        <f>IFERROR($C268*INDEX(SPPR!$E:$X,MATCH($A268,SPPR!$A:$A,0),10),"")</f>
        <v/>
      </c>
      <c r="N268">
        <f>IFERROR($C268*INDEX(SPPR!$E:$X,MATCH($A268,SPPR!$A:$A,0),11),"")</f>
        <v/>
      </c>
      <c r="O268">
        <f>IFERROR($C268*INDEX(SPPR!$E:$X,MATCH($A268,SPPR!$A:$A,0),12),"")</f>
        <v/>
      </c>
      <c r="P268">
        <f>IFERROR($C268*INDEX(SPPR!$E:$X,MATCH($A268,SPPR!$A:$A,0),13),"")</f>
        <v/>
      </c>
      <c r="Q268">
        <f>IFERROR($C268*INDEX(SPPR!$E:$X,MATCH($A268,SPPR!$A:$A,0),14),"")</f>
        <v/>
      </c>
      <c r="R268">
        <f>IFERROR($C268*INDEX(SPPR!$E:$X,MATCH($A268,SPPR!$A:$A,0),15),"")</f>
        <v/>
      </c>
      <c r="S268">
        <f>IFERROR($C268*INDEX(SPPR!$E:$X,MATCH($A268,SPPR!$A:$A,0),16),"")</f>
        <v/>
      </c>
      <c r="T268">
        <f>IFERROR($C268*INDEX(SPPR!$E:$X,MATCH($A268,SPPR!$A:$A,0),17),"")</f>
        <v/>
      </c>
      <c r="U268">
        <f>IFERROR($C268*INDEX(SPPR!$E:$X,MATCH($A268,SPPR!$A:$A,0),18),"")</f>
        <v/>
      </c>
      <c r="V268">
        <f>IFERROR($C268*INDEX(SPPR!$E:$X,MATCH($A268,SPPR!$A:$A,0),19),"")</f>
        <v/>
      </c>
      <c r="W268">
        <f>IFERROR($C268*INDEX(SPPR!$E:$X,MATCH($A268,SPPR!$A:$A,0),20),"")</f>
        <v/>
      </c>
    </row>
    <row r="269">
      <c r="A269" t="inlineStr">
        <is>
          <t>Zenopsis nebulosa</t>
        </is>
      </c>
      <c r="B269">
        <f>IFERROR(INDEX(SPPR!$D:$D,MATCH($A269,SPPR!$A:$A,0)),"")</f>
        <v/>
      </c>
      <c r="C269">
        <f>IFERROR(INDEX(Catch!$E:$BV,MATCH($A269,Catch!$A:$A,0),MATCH($B$4,Catch!$E$1:$BV$1,0)),0)</f>
        <v/>
      </c>
      <c r="D269">
        <f>IFERROR($C269*INDEX(SPPR!$E:$X,MATCH($A269,SPPR!$A:$A,0),1),"")</f>
        <v/>
      </c>
      <c r="E269">
        <f>IFERROR($C269*INDEX(SPPR!$E:$X,MATCH($A269,SPPR!$A:$A,0),2),"")</f>
        <v/>
      </c>
      <c r="F269">
        <f>IFERROR($C269*INDEX(SPPR!$E:$X,MATCH($A269,SPPR!$A:$A,0),3),"")</f>
        <v/>
      </c>
      <c r="G269">
        <f>IFERROR($C269*INDEX(SPPR!$E:$X,MATCH($A269,SPPR!$A:$A,0),4),"")</f>
        <v/>
      </c>
      <c r="H269">
        <f>IFERROR($C269*INDEX(SPPR!$E:$X,MATCH($A269,SPPR!$A:$A,0),5),"")</f>
        <v/>
      </c>
      <c r="I269">
        <f>IFERROR($C269*INDEX(SPPR!$E:$X,MATCH($A269,SPPR!$A:$A,0),6),"")</f>
        <v/>
      </c>
      <c r="J269">
        <f>IFERROR($C269*INDEX(SPPR!$E:$X,MATCH($A269,SPPR!$A:$A,0),7),"")</f>
        <v/>
      </c>
      <c r="K269">
        <f>IFERROR($C269*INDEX(SPPR!$E:$X,MATCH($A269,SPPR!$A:$A,0),8),"")</f>
        <v/>
      </c>
      <c r="L269">
        <f>IFERROR($C269*INDEX(SPPR!$E:$X,MATCH($A269,SPPR!$A:$A,0),9),"")</f>
        <v/>
      </c>
      <c r="M269">
        <f>IFERROR($C269*INDEX(SPPR!$E:$X,MATCH($A269,SPPR!$A:$A,0),10),"")</f>
        <v/>
      </c>
      <c r="N269">
        <f>IFERROR($C269*INDEX(SPPR!$E:$X,MATCH($A269,SPPR!$A:$A,0),11),"")</f>
        <v/>
      </c>
      <c r="O269">
        <f>IFERROR($C269*INDEX(SPPR!$E:$X,MATCH($A269,SPPR!$A:$A,0),12),"")</f>
        <v/>
      </c>
      <c r="P269">
        <f>IFERROR($C269*INDEX(SPPR!$E:$X,MATCH($A269,SPPR!$A:$A,0),13),"")</f>
        <v/>
      </c>
      <c r="Q269">
        <f>IFERROR($C269*INDEX(SPPR!$E:$X,MATCH($A269,SPPR!$A:$A,0),14),"")</f>
        <v/>
      </c>
      <c r="R269">
        <f>IFERROR($C269*INDEX(SPPR!$E:$X,MATCH($A269,SPPR!$A:$A,0),15),"")</f>
        <v/>
      </c>
      <c r="S269">
        <f>IFERROR($C269*INDEX(SPPR!$E:$X,MATCH($A269,SPPR!$A:$A,0),16),"")</f>
        <v/>
      </c>
      <c r="T269">
        <f>IFERROR($C269*INDEX(SPPR!$E:$X,MATCH($A269,SPPR!$A:$A,0),17),"")</f>
        <v/>
      </c>
      <c r="U269">
        <f>IFERROR($C269*INDEX(SPPR!$E:$X,MATCH($A269,SPPR!$A:$A,0),18),"")</f>
        <v/>
      </c>
      <c r="V269">
        <f>IFERROR($C269*INDEX(SPPR!$E:$X,MATCH($A269,SPPR!$A:$A,0),19),"")</f>
        <v/>
      </c>
      <c r="W269">
        <f>IFERROR($C269*INDEX(SPPR!$E:$X,MATCH($A269,SPPR!$A:$A,0),20),"")</f>
        <v/>
      </c>
    </row>
    <row r="270">
      <c r="A270" t="inlineStr">
        <is>
          <t>Carcharhinus longimanus</t>
        </is>
      </c>
      <c r="B270">
        <f>IFERROR(INDEX(SPPR!$D:$D,MATCH($A270,SPPR!$A:$A,0)),"")</f>
        <v/>
      </c>
      <c r="C270">
        <f>IFERROR(INDEX(Catch!$E:$BV,MATCH($A270,Catch!$A:$A,0),MATCH($B$4,Catch!$E$1:$BV$1,0)),0)</f>
        <v/>
      </c>
      <c r="D270">
        <f>IFERROR($C270*INDEX(SPPR!$E:$X,MATCH($A270,SPPR!$A:$A,0),1),"")</f>
        <v/>
      </c>
      <c r="E270">
        <f>IFERROR($C270*INDEX(SPPR!$E:$X,MATCH($A270,SPPR!$A:$A,0),2),"")</f>
        <v/>
      </c>
      <c r="F270">
        <f>IFERROR($C270*INDEX(SPPR!$E:$X,MATCH($A270,SPPR!$A:$A,0),3),"")</f>
        <v/>
      </c>
      <c r="G270">
        <f>IFERROR($C270*INDEX(SPPR!$E:$X,MATCH($A270,SPPR!$A:$A,0),4),"")</f>
        <v/>
      </c>
      <c r="H270">
        <f>IFERROR($C270*INDEX(SPPR!$E:$X,MATCH($A270,SPPR!$A:$A,0),5),"")</f>
        <v/>
      </c>
      <c r="I270">
        <f>IFERROR($C270*INDEX(SPPR!$E:$X,MATCH($A270,SPPR!$A:$A,0),6),"")</f>
        <v/>
      </c>
      <c r="J270">
        <f>IFERROR($C270*INDEX(SPPR!$E:$X,MATCH($A270,SPPR!$A:$A,0),7),"")</f>
        <v/>
      </c>
      <c r="K270">
        <f>IFERROR($C270*INDEX(SPPR!$E:$X,MATCH($A270,SPPR!$A:$A,0),8),"")</f>
        <v/>
      </c>
      <c r="L270">
        <f>IFERROR($C270*INDEX(SPPR!$E:$X,MATCH($A270,SPPR!$A:$A,0),9),"")</f>
        <v/>
      </c>
      <c r="M270">
        <f>IFERROR($C270*INDEX(SPPR!$E:$X,MATCH($A270,SPPR!$A:$A,0),10),"")</f>
        <v/>
      </c>
      <c r="N270">
        <f>IFERROR($C270*INDEX(SPPR!$E:$X,MATCH($A270,SPPR!$A:$A,0),11),"")</f>
        <v/>
      </c>
      <c r="O270">
        <f>IFERROR($C270*INDEX(SPPR!$E:$X,MATCH($A270,SPPR!$A:$A,0),12),"")</f>
        <v/>
      </c>
      <c r="P270">
        <f>IFERROR($C270*INDEX(SPPR!$E:$X,MATCH($A270,SPPR!$A:$A,0),13),"")</f>
        <v/>
      </c>
      <c r="Q270">
        <f>IFERROR($C270*INDEX(SPPR!$E:$X,MATCH($A270,SPPR!$A:$A,0),14),"")</f>
        <v/>
      </c>
      <c r="R270">
        <f>IFERROR($C270*INDEX(SPPR!$E:$X,MATCH($A270,SPPR!$A:$A,0),15),"")</f>
        <v/>
      </c>
      <c r="S270">
        <f>IFERROR($C270*INDEX(SPPR!$E:$X,MATCH($A270,SPPR!$A:$A,0),16),"")</f>
        <v/>
      </c>
      <c r="T270">
        <f>IFERROR($C270*INDEX(SPPR!$E:$X,MATCH($A270,SPPR!$A:$A,0),17),"")</f>
        <v/>
      </c>
      <c r="U270">
        <f>IFERROR($C270*INDEX(SPPR!$E:$X,MATCH($A270,SPPR!$A:$A,0),18),"")</f>
        <v/>
      </c>
      <c r="V270">
        <f>IFERROR($C270*INDEX(SPPR!$E:$X,MATCH($A270,SPPR!$A:$A,0),19),"")</f>
        <v/>
      </c>
      <c r="W270">
        <f>IFERROR($C270*INDEX(SPPR!$E:$X,MATCH($A270,SPPR!$A:$A,0),20),"")</f>
        <v/>
      </c>
    </row>
    <row r="271">
      <c r="A271" t="inlineStr">
        <is>
          <t>Lutjanus</t>
        </is>
      </c>
      <c r="B271">
        <f>IFERROR(INDEX(SPPR!$D:$D,MATCH($A271,SPPR!$A:$A,0)),"")</f>
        <v/>
      </c>
      <c r="C271">
        <f>IFERROR(INDEX(Catch!$E:$BV,MATCH($A271,Catch!$A:$A,0),MATCH($B$4,Catch!$E$1:$BV$1,0)),0)</f>
        <v/>
      </c>
      <c r="D271">
        <f>IFERROR($C271*INDEX(SPPR!$E:$X,MATCH($A271,SPPR!$A:$A,0),1),"")</f>
        <v/>
      </c>
      <c r="E271">
        <f>IFERROR($C271*INDEX(SPPR!$E:$X,MATCH($A271,SPPR!$A:$A,0),2),"")</f>
        <v/>
      </c>
      <c r="F271">
        <f>IFERROR($C271*INDEX(SPPR!$E:$X,MATCH($A271,SPPR!$A:$A,0),3),"")</f>
        <v/>
      </c>
      <c r="G271">
        <f>IFERROR($C271*INDEX(SPPR!$E:$X,MATCH($A271,SPPR!$A:$A,0),4),"")</f>
        <v/>
      </c>
      <c r="H271">
        <f>IFERROR($C271*INDEX(SPPR!$E:$X,MATCH($A271,SPPR!$A:$A,0),5),"")</f>
        <v/>
      </c>
      <c r="I271">
        <f>IFERROR($C271*INDEX(SPPR!$E:$X,MATCH($A271,SPPR!$A:$A,0),6),"")</f>
        <v/>
      </c>
      <c r="J271">
        <f>IFERROR($C271*INDEX(SPPR!$E:$X,MATCH($A271,SPPR!$A:$A,0),7),"")</f>
        <v/>
      </c>
      <c r="K271">
        <f>IFERROR($C271*INDEX(SPPR!$E:$X,MATCH($A271,SPPR!$A:$A,0),8),"")</f>
        <v/>
      </c>
      <c r="L271">
        <f>IFERROR($C271*INDEX(SPPR!$E:$X,MATCH($A271,SPPR!$A:$A,0),9),"")</f>
        <v/>
      </c>
      <c r="M271">
        <f>IFERROR($C271*INDEX(SPPR!$E:$X,MATCH($A271,SPPR!$A:$A,0),10),"")</f>
        <v/>
      </c>
      <c r="N271">
        <f>IFERROR($C271*INDEX(SPPR!$E:$X,MATCH($A271,SPPR!$A:$A,0),11),"")</f>
        <v/>
      </c>
      <c r="O271">
        <f>IFERROR($C271*INDEX(SPPR!$E:$X,MATCH($A271,SPPR!$A:$A,0),12),"")</f>
        <v/>
      </c>
      <c r="P271">
        <f>IFERROR($C271*INDEX(SPPR!$E:$X,MATCH($A271,SPPR!$A:$A,0),13),"")</f>
        <v/>
      </c>
      <c r="Q271">
        <f>IFERROR($C271*INDEX(SPPR!$E:$X,MATCH($A271,SPPR!$A:$A,0),14),"")</f>
        <v/>
      </c>
      <c r="R271">
        <f>IFERROR($C271*INDEX(SPPR!$E:$X,MATCH($A271,SPPR!$A:$A,0),15),"")</f>
        <v/>
      </c>
      <c r="S271">
        <f>IFERROR($C271*INDEX(SPPR!$E:$X,MATCH($A271,SPPR!$A:$A,0),16),"")</f>
        <v/>
      </c>
      <c r="T271">
        <f>IFERROR($C271*INDEX(SPPR!$E:$X,MATCH($A271,SPPR!$A:$A,0),17),"")</f>
        <v/>
      </c>
      <c r="U271">
        <f>IFERROR($C271*INDEX(SPPR!$E:$X,MATCH($A271,SPPR!$A:$A,0),18),"")</f>
        <v/>
      </c>
      <c r="V271">
        <f>IFERROR($C271*INDEX(SPPR!$E:$X,MATCH($A271,SPPR!$A:$A,0),19),"")</f>
        <v/>
      </c>
      <c r="W271">
        <f>IFERROR($C271*INDEX(SPPR!$E:$X,MATCH($A271,SPPR!$A:$A,0),20),"")</f>
        <v/>
      </c>
    </row>
    <row r="272">
      <c r="A272" t="inlineStr">
        <is>
          <t>Alopias</t>
        </is>
      </c>
      <c r="B272">
        <f>IFERROR(INDEX(SPPR!$D:$D,MATCH($A272,SPPR!$A:$A,0)),"")</f>
        <v/>
      </c>
      <c r="C272">
        <f>IFERROR(INDEX(Catch!$E:$BV,MATCH($A272,Catch!$A:$A,0),MATCH($B$4,Catch!$E$1:$BV$1,0)),0)</f>
        <v/>
      </c>
      <c r="D272">
        <f>IFERROR($C272*INDEX(SPPR!$E:$X,MATCH($A272,SPPR!$A:$A,0),1),"")</f>
        <v/>
      </c>
      <c r="E272">
        <f>IFERROR($C272*INDEX(SPPR!$E:$X,MATCH($A272,SPPR!$A:$A,0),2),"")</f>
        <v/>
      </c>
      <c r="F272">
        <f>IFERROR($C272*INDEX(SPPR!$E:$X,MATCH($A272,SPPR!$A:$A,0),3),"")</f>
        <v/>
      </c>
      <c r="G272">
        <f>IFERROR($C272*INDEX(SPPR!$E:$X,MATCH($A272,SPPR!$A:$A,0),4),"")</f>
        <v/>
      </c>
      <c r="H272">
        <f>IFERROR($C272*INDEX(SPPR!$E:$X,MATCH($A272,SPPR!$A:$A,0),5),"")</f>
        <v/>
      </c>
      <c r="I272">
        <f>IFERROR($C272*INDEX(SPPR!$E:$X,MATCH($A272,SPPR!$A:$A,0),6),"")</f>
        <v/>
      </c>
      <c r="J272">
        <f>IFERROR($C272*INDEX(SPPR!$E:$X,MATCH($A272,SPPR!$A:$A,0),7),"")</f>
        <v/>
      </c>
      <c r="K272">
        <f>IFERROR($C272*INDEX(SPPR!$E:$X,MATCH($A272,SPPR!$A:$A,0),8),"")</f>
        <v/>
      </c>
      <c r="L272">
        <f>IFERROR($C272*INDEX(SPPR!$E:$X,MATCH($A272,SPPR!$A:$A,0),9),"")</f>
        <v/>
      </c>
      <c r="M272">
        <f>IFERROR($C272*INDEX(SPPR!$E:$X,MATCH($A272,SPPR!$A:$A,0),10),"")</f>
        <v/>
      </c>
      <c r="N272">
        <f>IFERROR($C272*INDEX(SPPR!$E:$X,MATCH($A272,SPPR!$A:$A,0),11),"")</f>
        <v/>
      </c>
      <c r="O272">
        <f>IFERROR($C272*INDEX(SPPR!$E:$X,MATCH($A272,SPPR!$A:$A,0),12),"")</f>
        <v/>
      </c>
      <c r="P272">
        <f>IFERROR($C272*INDEX(SPPR!$E:$X,MATCH($A272,SPPR!$A:$A,0),13),"")</f>
        <v/>
      </c>
      <c r="Q272">
        <f>IFERROR($C272*INDEX(SPPR!$E:$X,MATCH($A272,SPPR!$A:$A,0),14),"")</f>
        <v/>
      </c>
      <c r="R272">
        <f>IFERROR($C272*INDEX(SPPR!$E:$X,MATCH($A272,SPPR!$A:$A,0),15),"")</f>
        <v/>
      </c>
      <c r="S272">
        <f>IFERROR($C272*INDEX(SPPR!$E:$X,MATCH($A272,SPPR!$A:$A,0),16),"")</f>
        <v/>
      </c>
      <c r="T272">
        <f>IFERROR($C272*INDEX(SPPR!$E:$X,MATCH($A272,SPPR!$A:$A,0),17),"")</f>
        <v/>
      </c>
      <c r="U272">
        <f>IFERROR($C272*INDEX(SPPR!$E:$X,MATCH($A272,SPPR!$A:$A,0),18),"")</f>
        <v/>
      </c>
      <c r="V272">
        <f>IFERROR($C272*INDEX(SPPR!$E:$X,MATCH($A272,SPPR!$A:$A,0),19),"")</f>
        <v/>
      </c>
      <c r="W272">
        <f>IFERROR($C272*INDEX(SPPR!$E:$X,MATCH($A272,SPPR!$A:$A,0),20),"")</f>
        <v/>
      </c>
    </row>
    <row r="273">
      <c r="A273" t="inlineStr">
        <is>
          <t>Holothuriidae</t>
        </is>
      </c>
      <c r="B273">
        <f>IFERROR(INDEX(SPPR!$D:$D,MATCH($A273,SPPR!$A:$A,0)),"")</f>
        <v/>
      </c>
      <c r="C273">
        <f>IFERROR(INDEX(Catch!$E:$BV,MATCH($A273,Catch!$A:$A,0),MATCH($B$4,Catch!$E$1:$BV$1,0)),0)</f>
        <v/>
      </c>
      <c r="D273">
        <f>IFERROR($C273*INDEX(SPPR!$E:$X,MATCH($A273,SPPR!$A:$A,0),1),"")</f>
        <v/>
      </c>
      <c r="E273">
        <f>IFERROR($C273*INDEX(SPPR!$E:$X,MATCH($A273,SPPR!$A:$A,0),2),"")</f>
        <v/>
      </c>
      <c r="F273">
        <f>IFERROR($C273*INDEX(SPPR!$E:$X,MATCH($A273,SPPR!$A:$A,0),3),"")</f>
        <v/>
      </c>
      <c r="G273">
        <f>IFERROR($C273*INDEX(SPPR!$E:$X,MATCH($A273,SPPR!$A:$A,0),4),"")</f>
        <v/>
      </c>
      <c r="H273">
        <f>IFERROR($C273*INDEX(SPPR!$E:$X,MATCH($A273,SPPR!$A:$A,0),5),"")</f>
        <v/>
      </c>
      <c r="I273">
        <f>IFERROR($C273*INDEX(SPPR!$E:$X,MATCH($A273,SPPR!$A:$A,0),6),"")</f>
        <v/>
      </c>
      <c r="J273">
        <f>IFERROR($C273*INDEX(SPPR!$E:$X,MATCH($A273,SPPR!$A:$A,0),7),"")</f>
        <v/>
      </c>
      <c r="K273">
        <f>IFERROR($C273*INDEX(SPPR!$E:$X,MATCH($A273,SPPR!$A:$A,0),8),"")</f>
        <v/>
      </c>
      <c r="L273">
        <f>IFERROR($C273*INDEX(SPPR!$E:$X,MATCH($A273,SPPR!$A:$A,0),9),"")</f>
        <v/>
      </c>
      <c r="M273">
        <f>IFERROR($C273*INDEX(SPPR!$E:$X,MATCH($A273,SPPR!$A:$A,0),10),"")</f>
        <v/>
      </c>
      <c r="N273">
        <f>IFERROR($C273*INDEX(SPPR!$E:$X,MATCH($A273,SPPR!$A:$A,0),11),"")</f>
        <v/>
      </c>
      <c r="O273">
        <f>IFERROR($C273*INDEX(SPPR!$E:$X,MATCH($A273,SPPR!$A:$A,0),12),"")</f>
        <v/>
      </c>
      <c r="P273">
        <f>IFERROR($C273*INDEX(SPPR!$E:$X,MATCH($A273,SPPR!$A:$A,0),13),"")</f>
        <v/>
      </c>
      <c r="Q273">
        <f>IFERROR($C273*INDEX(SPPR!$E:$X,MATCH($A273,SPPR!$A:$A,0),14),"")</f>
        <v/>
      </c>
      <c r="R273">
        <f>IFERROR($C273*INDEX(SPPR!$E:$X,MATCH($A273,SPPR!$A:$A,0),15),"")</f>
        <v/>
      </c>
      <c r="S273">
        <f>IFERROR($C273*INDEX(SPPR!$E:$X,MATCH($A273,SPPR!$A:$A,0),16),"")</f>
        <v/>
      </c>
      <c r="T273">
        <f>IFERROR($C273*INDEX(SPPR!$E:$X,MATCH($A273,SPPR!$A:$A,0),17),"")</f>
        <v/>
      </c>
      <c r="U273">
        <f>IFERROR($C273*INDEX(SPPR!$E:$X,MATCH($A273,SPPR!$A:$A,0),18),"")</f>
        <v/>
      </c>
      <c r="V273">
        <f>IFERROR($C273*INDEX(SPPR!$E:$X,MATCH($A273,SPPR!$A:$A,0),19),"")</f>
        <v/>
      </c>
      <c r="W273">
        <f>IFERROR($C273*INDEX(SPPR!$E:$X,MATCH($A273,SPPR!$A:$A,0),20),"")</f>
        <v/>
      </c>
    </row>
    <row r="274">
      <c r="A274" t="inlineStr">
        <is>
          <t>Tripneustes gratilla</t>
        </is>
      </c>
      <c r="B274">
        <f>IFERROR(INDEX(SPPR!$D:$D,MATCH($A274,SPPR!$A:$A,0)),"")</f>
        <v/>
      </c>
      <c r="C274">
        <f>IFERROR(INDEX(Catch!$E:$BV,MATCH($A274,Catch!$A:$A,0),MATCH($B$4,Catch!$E$1:$BV$1,0)),0)</f>
        <v/>
      </c>
      <c r="D274">
        <f>IFERROR($C274*INDEX(SPPR!$E:$X,MATCH($A274,SPPR!$A:$A,0),1),"")</f>
        <v/>
      </c>
      <c r="E274">
        <f>IFERROR($C274*INDEX(SPPR!$E:$X,MATCH($A274,SPPR!$A:$A,0),2),"")</f>
        <v/>
      </c>
      <c r="F274">
        <f>IFERROR($C274*INDEX(SPPR!$E:$X,MATCH($A274,SPPR!$A:$A,0),3),"")</f>
        <v/>
      </c>
      <c r="G274">
        <f>IFERROR($C274*INDEX(SPPR!$E:$X,MATCH($A274,SPPR!$A:$A,0),4),"")</f>
        <v/>
      </c>
      <c r="H274">
        <f>IFERROR($C274*INDEX(SPPR!$E:$X,MATCH($A274,SPPR!$A:$A,0),5),"")</f>
        <v/>
      </c>
      <c r="I274">
        <f>IFERROR($C274*INDEX(SPPR!$E:$X,MATCH($A274,SPPR!$A:$A,0),6),"")</f>
        <v/>
      </c>
      <c r="J274">
        <f>IFERROR($C274*INDEX(SPPR!$E:$X,MATCH($A274,SPPR!$A:$A,0),7),"")</f>
        <v/>
      </c>
      <c r="K274">
        <f>IFERROR($C274*INDEX(SPPR!$E:$X,MATCH($A274,SPPR!$A:$A,0),8),"")</f>
        <v/>
      </c>
      <c r="L274">
        <f>IFERROR($C274*INDEX(SPPR!$E:$X,MATCH($A274,SPPR!$A:$A,0),9),"")</f>
        <v/>
      </c>
      <c r="M274">
        <f>IFERROR($C274*INDEX(SPPR!$E:$X,MATCH($A274,SPPR!$A:$A,0),10),"")</f>
        <v/>
      </c>
      <c r="N274">
        <f>IFERROR($C274*INDEX(SPPR!$E:$X,MATCH($A274,SPPR!$A:$A,0),11),"")</f>
        <v/>
      </c>
      <c r="O274">
        <f>IFERROR($C274*INDEX(SPPR!$E:$X,MATCH($A274,SPPR!$A:$A,0),12),"")</f>
        <v/>
      </c>
      <c r="P274">
        <f>IFERROR($C274*INDEX(SPPR!$E:$X,MATCH($A274,SPPR!$A:$A,0),13),"")</f>
        <v/>
      </c>
      <c r="Q274">
        <f>IFERROR($C274*INDEX(SPPR!$E:$X,MATCH($A274,SPPR!$A:$A,0),14),"")</f>
        <v/>
      </c>
      <c r="R274">
        <f>IFERROR($C274*INDEX(SPPR!$E:$X,MATCH($A274,SPPR!$A:$A,0),15),"")</f>
        <v/>
      </c>
      <c r="S274">
        <f>IFERROR($C274*INDEX(SPPR!$E:$X,MATCH($A274,SPPR!$A:$A,0),16),"")</f>
        <v/>
      </c>
      <c r="T274">
        <f>IFERROR($C274*INDEX(SPPR!$E:$X,MATCH($A274,SPPR!$A:$A,0),17),"")</f>
        <v/>
      </c>
      <c r="U274">
        <f>IFERROR($C274*INDEX(SPPR!$E:$X,MATCH($A274,SPPR!$A:$A,0),18),"")</f>
        <v/>
      </c>
      <c r="V274">
        <f>IFERROR($C274*INDEX(SPPR!$E:$X,MATCH($A274,SPPR!$A:$A,0),19),"")</f>
        <v/>
      </c>
      <c r="W274">
        <f>IFERROR($C274*INDEX(SPPR!$E:$X,MATCH($A274,SPPR!$A:$A,0),20),"")</f>
        <v/>
      </c>
    </row>
    <row r="275">
      <c r="A275" t="inlineStr">
        <is>
          <t>Chionoecetes japonicus</t>
        </is>
      </c>
      <c r="B275">
        <f>IFERROR(INDEX(SPPR!$D:$D,MATCH($A275,SPPR!$A:$A,0)),"")</f>
        <v/>
      </c>
      <c r="C275">
        <f>IFERROR(INDEX(Catch!$E:$BV,MATCH($A275,Catch!$A:$A,0),MATCH($B$4,Catch!$E$1:$BV$1,0)),0)</f>
        <v/>
      </c>
      <c r="D275">
        <f>IFERROR($C275*INDEX(SPPR!$E:$X,MATCH($A275,SPPR!$A:$A,0),1),"")</f>
        <v/>
      </c>
      <c r="E275">
        <f>IFERROR($C275*INDEX(SPPR!$E:$X,MATCH($A275,SPPR!$A:$A,0),2),"")</f>
        <v/>
      </c>
      <c r="F275">
        <f>IFERROR($C275*INDEX(SPPR!$E:$X,MATCH($A275,SPPR!$A:$A,0),3),"")</f>
        <v/>
      </c>
      <c r="G275">
        <f>IFERROR($C275*INDEX(SPPR!$E:$X,MATCH($A275,SPPR!$A:$A,0),4),"")</f>
        <v/>
      </c>
      <c r="H275">
        <f>IFERROR($C275*INDEX(SPPR!$E:$X,MATCH($A275,SPPR!$A:$A,0),5),"")</f>
        <v/>
      </c>
      <c r="I275">
        <f>IFERROR($C275*INDEX(SPPR!$E:$X,MATCH($A275,SPPR!$A:$A,0),6),"")</f>
        <v/>
      </c>
      <c r="J275">
        <f>IFERROR($C275*INDEX(SPPR!$E:$X,MATCH($A275,SPPR!$A:$A,0),7),"")</f>
        <v/>
      </c>
      <c r="K275">
        <f>IFERROR($C275*INDEX(SPPR!$E:$X,MATCH($A275,SPPR!$A:$A,0),8),"")</f>
        <v/>
      </c>
      <c r="L275">
        <f>IFERROR($C275*INDEX(SPPR!$E:$X,MATCH($A275,SPPR!$A:$A,0),9),"")</f>
        <v/>
      </c>
      <c r="M275">
        <f>IFERROR($C275*INDEX(SPPR!$E:$X,MATCH($A275,SPPR!$A:$A,0),10),"")</f>
        <v/>
      </c>
      <c r="N275">
        <f>IFERROR($C275*INDEX(SPPR!$E:$X,MATCH($A275,SPPR!$A:$A,0),11),"")</f>
        <v/>
      </c>
      <c r="O275">
        <f>IFERROR($C275*INDEX(SPPR!$E:$X,MATCH($A275,SPPR!$A:$A,0),12),"")</f>
        <v/>
      </c>
      <c r="P275">
        <f>IFERROR($C275*INDEX(SPPR!$E:$X,MATCH($A275,SPPR!$A:$A,0),13),"")</f>
        <v/>
      </c>
      <c r="Q275">
        <f>IFERROR($C275*INDEX(SPPR!$E:$X,MATCH($A275,SPPR!$A:$A,0),14),"")</f>
        <v/>
      </c>
      <c r="R275">
        <f>IFERROR($C275*INDEX(SPPR!$E:$X,MATCH($A275,SPPR!$A:$A,0),15),"")</f>
        <v/>
      </c>
      <c r="S275">
        <f>IFERROR($C275*INDEX(SPPR!$E:$X,MATCH($A275,SPPR!$A:$A,0),16),"")</f>
        <v/>
      </c>
      <c r="T275">
        <f>IFERROR($C275*INDEX(SPPR!$E:$X,MATCH($A275,SPPR!$A:$A,0),17),"")</f>
        <v/>
      </c>
      <c r="U275">
        <f>IFERROR($C275*INDEX(SPPR!$E:$X,MATCH($A275,SPPR!$A:$A,0),18),"")</f>
        <v/>
      </c>
      <c r="V275">
        <f>IFERROR($C275*INDEX(SPPR!$E:$X,MATCH($A275,SPPR!$A:$A,0),19),"")</f>
        <v/>
      </c>
      <c r="W275">
        <f>IFERROR($C275*INDEX(SPPR!$E:$X,MATCH($A275,SPPR!$A:$A,0),20),"")</f>
        <v/>
      </c>
    </row>
    <row r="276">
      <c r="A276" t="inlineStr">
        <is>
          <t>Upeneus</t>
        </is>
      </c>
      <c r="B276">
        <f>IFERROR(INDEX(SPPR!$D:$D,MATCH($A276,SPPR!$A:$A,0)),"")</f>
        <v/>
      </c>
      <c r="C276">
        <f>IFERROR(INDEX(Catch!$E:$BV,MATCH($A276,Catch!$A:$A,0),MATCH($B$4,Catch!$E$1:$BV$1,0)),0)</f>
        <v/>
      </c>
      <c r="D276">
        <f>IFERROR($C276*INDEX(SPPR!$E:$X,MATCH($A276,SPPR!$A:$A,0),1),"")</f>
        <v/>
      </c>
      <c r="E276">
        <f>IFERROR($C276*INDEX(SPPR!$E:$X,MATCH($A276,SPPR!$A:$A,0),2),"")</f>
        <v/>
      </c>
      <c r="F276">
        <f>IFERROR($C276*INDEX(SPPR!$E:$X,MATCH($A276,SPPR!$A:$A,0),3),"")</f>
        <v/>
      </c>
      <c r="G276">
        <f>IFERROR($C276*INDEX(SPPR!$E:$X,MATCH($A276,SPPR!$A:$A,0),4),"")</f>
        <v/>
      </c>
      <c r="H276">
        <f>IFERROR($C276*INDEX(SPPR!$E:$X,MATCH($A276,SPPR!$A:$A,0),5),"")</f>
        <v/>
      </c>
      <c r="I276">
        <f>IFERROR($C276*INDEX(SPPR!$E:$X,MATCH($A276,SPPR!$A:$A,0),6),"")</f>
        <v/>
      </c>
      <c r="J276">
        <f>IFERROR($C276*INDEX(SPPR!$E:$X,MATCH($A276,SPPR!$A:$A,0),7),"")</f>
        <v/>
      </c>
      <c r="K276">
        <f>IFERROR($C276*INDEX(SPPR!$E:$X,MATCH($A276,SPPR!$A:$A,0),8),"")</f>
        <v/>
      </c>
      <c r="L276">
        <f>IFERROR($C276*INDEX(SPPR!$E:$X,MATCH($A276,SPPR!$A:$A,0),9),"")</f>
        <v/>
      </c>
      <c r="M276">
        <f>IFERROR($C276*INDEX(SPPR!$E:$X,MATCH($A276,SPPR!$A:$A,0),10),"")</f>
        <v/>
      </c>
      <c r="N276">
        <f>IFERROR($C276*INDEX(SPPR!$E:$X,MATCH($A276,SPPR!$A:$A,0),11),"")</f>
        <v/>
      </c>
      <c r="O276">
        <f>IFERROR($C276*INDEX(SPPR!$E:$X,MATCH($A276,SPPR!$A:$A,0),12),"")</f>
        <v/>
      </c>
      <c r="P276">
        <f>IFERROR($C276*INDEX(SPPR!$E:$X,MATCH($A276,SPPR!$A:$A,0),13),"")</f>
        <v/>
      </c>
      <c r="Q276">
        <f>IFERROR($C276*INDEX(SPPR!$E:$X,MATCH($A276,SPPR!$A:$A,0),14),"")</f>
        <v/>
      </c>
      <c r="R276">
        <f>IFERROR($C276*INDEX(SPPR!$E:$X,MATCH($A276,SPPR!$A:$A,0),15),"")</f>
        <v/>
      </c>
      <c r="S276">
        <f>IFERROR($C276*INDEX(SPPR!$E:$X,MATCH($A276,SPPR!$A:$A,0),16),"")</f>
        <v/>
      </c>
      <c r="T276">
        <f>IFERROR($C276*INDEX(SPPR!$E:$X,MATCH($A276,SPPR!$A:$A,0),17),"")</f>
        <v/>
      </c>
      <c r="U276">
        <f>IFERROR($C276*INDEX(SPPR!$E:$X,MATCH($A276,SPPR!$A:$A,0),18),"")</f>
        <v/>
      </c>
      <c r="V276">
        <f>IFERROR($C276*INDEX(SPPR!$E:$X,MATCH($A276,SPPR!$A:$A,0),19),"")</f>
        <v/>
      </c>
      <c r="W276">
        <f>IFERROR($C276*INDEX(SPPR!$E:$X,MATCH($A276,SPPR!$A:$A,0),20),"")</f>
        <v/>
      </c>
    </row>
    <row r="277">
      <c r="A277" t="inlineStr">
        <is>
          <t>Echinozoa</t>
        </is>
      </c>
      <c r="B277">
        <f>IFERROR(INDEX(SPPR!$D:$D,MATCH($A277,SPPR!$A:$A,0)),"")</f>
        <v/>
      </c>
      <c r="C277">
        <f>IFERROR(INDEX(Catch!$E:$BV,MATCH($A277,Catch!$A:$A,0),MATCH($B$4,Catch!$E$1:$BV$1,0)),0)</f>
        <v/>
      </c>
      <c r="D277">
        <f>IFERROR($C277*INDEX(SPPR!$E:$X,MATCH($A277,SPPR!$A:$A,0),1),"")</f>
        <v/>
      </c>
      <c r="E277">
        <f>IFERROR($C277*INDEX(SPPR!$E:$X,MATCH($A277,SPPR!$A:$A,0),2),"")</f>
        <v/>
      </c>
      <c r="F277">
        <f>IFERROR($C277*INDEX(SPPR!$E:$X,MATCH($A277,SPPR!$A:$A,0),3),"")</f>
        <v/>
      </c>
      <c r="G277">
        <f>IFERROR($C277*INDEX(SPPR!$E:$X,MATCH($A277,SPPR!$A:$A,0),4),"")</f>
        <v/>
      </c>
      <c r="H277">
        <f>IFERROR($C277*INDEX(SPPR!$E:$X,MATCH($A277,SPPR!$A:$A,0),5),"")</f>
        <v/>
      </c>
      <c r="I277">
        <f>IFERROR($C277*INDEX(SPPR!$E:$X,MATCH($A277,SPPR!$A:$A,0),6),"")</f>
        <v/>
      </c>
      <c r="J277">
        <f>IFERROR($C277*INDEX(SPPR!$E:$X,MATCH($A277,SPPR!$A:$A,0),7),"")</f>
        <v/>
      </c>
      <c r="K277">
        <f>IFERROR($C277*INDEX(SPPR!$E:$X,MATCH($A277,SPPR!$A:$A,0),8),"")</f>
        <v/>
      </c>
      <c r="L277">
        <f>IFERROR($C277*INDEX(SPPR!$E:$X,MATCH($A277,SPPR!$A:$A,0),9),"")</f>
        <v/>
      </c>
      <c r="M277">
        <f>IFERROR($C277*INDEX(SPPR!$E:$X,MATCH($A277,SPPR!$A:$A,0),10),"")</f>
        <v/>
      </c>
      <c r="N277">
        <f>IFERROR($C277*INDEX(SPPR!$E:$X,MATCH($A277,SPPR!$A:$A,0),11),"")</f>
        <v/>
      </c>
      <c r="O277">
        <f>IFERROR($C277*INDEX(SPPR!$E:$X,MATCH($A277,SPPR!$A:$A,0),12),"")</f>
        <v/>
      </c>
      <c r="P277">
        <f>IFERROR($C277*INDEX(SPPR!$E:$X,MATCH($A277,SPPR!$A:$A,0),13),"")</f>
        <v/>
      </c>
      <c r="Q277">
        <f>IFERROR($C277*INDEX(SPPR!$E:$X,MATCH($A277,SPPR!$A:$A,0),14),"")</f>
        <v/>
      </c>
      <c r="R277">
        <f>IFERROR($C277*INDEX(SPPR!$E:$X,MATCH($A277,SPPR!$A:$A,0),15),"")</f>
        <v/>
      </c>
      <c r="S277">
        <f>IFERROR($C277*INDEX(SPPR!$E:$X,MATCH($A277,SPPR!$A:$A,0),16),"")</f>
        <v/>
      </c>
      <c r="T277">
        <f>IFERROR($C277*INDEX(SPPR!$E:$X,MATCH($A277,SPPR!$A:$A,0),17),"")</f>
        <v/>
      </c>
      <c r="U277">
        <f>IFERROR($C277*INDEX(SPPR!$E:$X,MATCH($A277,SPPR!$A:$A,0),18),"")</f>
        <v/>
      </c>
      <c r="V277">
        <f>IFERROR($C277*INDEX(SPPR!$E:$X,MATCH($A277,SPPR!$A:$A,0),19),"")</f>
        <v/>
      </c>
      <c r="W277">
        <f>IFERROR($C277*INDEX(SPPR!$E:$X,MATCH($A277,SPPR!$A:$A,0),20),"")</f>
        <v/>
      </c>
    </row>
    <row r="278">
      <c r="A278" t="inlineStr">
        <is>
          <t>Rhopilema hispidum</t>
        </is>
      </c>
      <c r="B278">
        <f>IFERROR(INDEX(SPPR!$D:$D,MATCH($A278,SPPR!$A:$A,0)),"")</f>
        <v/>
      </c>
      <c r="C278">
        <f>IFERROR(INDEX(Catch!$E:$BV,MATCH($A278,Catch!$A:$A,0),MATCH($B$4,Catch!$E$1:$BV$1,0)),0)</f>
        <v/>
      </c>
      <c r="D278">
        <f>IFERROR($C278*INDEX(SPPR!$E:$X,MATCH($A278,SPPR!$A:$A,0),1),"")</f>
        <v/>
      </c>
      <c r="E278">
        <f>IFERROR($C278*INDEX(SPPR!$E:$X,MATCH($A278,SPPR!$A:$A,0),2),"")</f>
        <v/>
      </c>
      <c r="F278">
        <f>IFERROR($C278*INDEX(SPPR!$E:$X,MATCH($A278,SPPR!$A:$A,0),3),"")</f>
        <v/>
      </c>
      <c r="G278">
        <f>IFERROR($C278*INDEX(SPPR!$E:$X,MATCH($A278,SPPR!$A:$A,0),4),"")</f>
        <v/>
      </c>
      <c r="H278">
        <f>IFERROR($C278*INDEX(SPPR!$E:$X,MATCH($A278,SPPR!$A:$A,0),5),"")</f>
        <v/>
      </c>
      <c r="I278">
        <f>IFERROR($C278*INDEX(SPPR!$E:$X,MATCH($A278,SPPR!$A:$A,0),6),"")</f>
        <v/>
      </c>
      <c r="J278">
        <f>IFERROR($C278*INDEX(SPPR!$E:$X,MATCH($A278,SPPR!$A:$A,0),7),"")</f>
        <v/>
      </c>
      <c r="K278">
        <f>IFERROR($C278*INDEX(SPPR!$E:$X,MATCH($A278,SPPR!$A:$A,0),8),"")</f>
        <v/>
      </c>
      <c r="L278">
        <f>IFERROR($C278*INDEX(SPPR!$E:$X,MATCH($A278,SPPR!$A:$A,0),9),"")</f>
        <v/>
      </c>
      <c r="M278">
        <f>IFERROR($C278*INDEX(SPPR!$E:$X,MATCH($A278,SPPR!$A:$A,0),10),"")</f>
        <v/>
      </c>
      <c r="N278">
        <f>IFERROR($C278*INDEX(SPPR!$E:$X,MATCH($A278,SPPR!$A:$A,0),11),"")</f>
        <v/>
      </c>
      <c r="O278">
        <f>IFERROR($C278*INDEX(SPPR!$E:$X,MATCH($A278,SPPR!$A:$A,0),12),"")</f>
        <v/>
      </c>
      <c r="P278">
        <f>IFERROR($C278*INDEX(SPPR!$E:$X,MATCH($A278,SPPR!$A:$A,0),13),"")</f>
        <v/>
      </c>
      <c r="Q278">
        <f>IFERROR($C278*INDEX(SPPR!$E:$X,MATCH($A278,SPPR!$A:$A,0),14),"")</f>
        <v/>
      </c>
      <c r="R278">
        <f>IFERROR($C278*INDEX(SPPR!$E:$X,MATCH($A278,SPPR!$A:$A,0),15),"")</f>
        <v/>
      </c>
      <c r="S278">
        <f>IFERROR($C278*INDEX(SPPR!$E:$X,MATCH($A278,SPPR!$A:$A,0),16),"")</f>
        <v/>
      </c>
      <c r="T278">
        <f>IFERROR($C278*INDEX(SPPR!$E:$X,MATCH($A278,SPPR!$A:$A,0),17),"")</f>
        <v/>
      </c>
      <c r="U278">
        <f>IFERROR($C278*INDEX(SPPR!$E:$X,MATCH($A278,SPPR!$A:$A,0),18),"")</f>
        <v/>
      </c>
      <c r="V278">
        <f>IFERROR($C278*INDEX(SPPR!$E:$X,MATCH($A278,SPPR!$A:$A,0),19),"")</f>
        <v/>
      </c>
      <c r="W278">
        <f>IFERROR($C278*INDEX(SPPR!$E:$X,MATCH($A278,SPPR!$A:$A,0),20),"")</f>
        <v/>
      </c>
    </row>
    <row r="279">
      <c r="A279" t="inlineStr">
        <is>
          <t>Sphyrna</t>
        </is>
      </c>
      <c r="B279">
        <f>IFERROR(INDEX(SPPR!$D:$D,MATCH($A279,SPPR!$A:$A,0)),"")</f>
        <v/>
      </c>
      <c r="C279">
        <f>IFERROR(INDEX(Catch!$E:$BV,MATCH($A279,Catch!$A:$A,0),MATCH($B$4,Catch!$E$1:$BV$1,0)),0)</f>
        <v/>
      </c>
      <c r="D279">
        <f>IFERROR($C279*INDEX(SPPR!$E:$X,MATCH($A279,SPPR!$A:$A,0),1),"")</f>
        <v/>
      </c>
      <c r="E279">
        <f>IFERROR($C279*INDEX(SPPR!$E:$X,MATCH($A279,SPPR!$A:$A,0),2),"")</f>
        <v/>
      </c>
      <c r="F279">
        <f>IFERROR($C279*INDEX(SPPR!$E:$X,MATCH($A279,SPPR!$A:$A,0),3),"")</f>
        <v/>
      </c>
      <c r="G279">
        <f>IFERROR($C279*INDEX(SPPR!$E:$X,MATCH($A279,SPPR!$A:$A,0),4),"")</f>
        <v/>
      </c>
      <c r="H279">
        <f>IFERROR($C279*INDEX(SPPR!$E:$X,MATCH($A279,SPPR!$A:$A,0),5),"")</f>
        <v/>
      </c>
      <c r="I279">
        <f>IFERROR($C279*INDEX(SPPR!$E:$X,MATCH($A279,SPPR!$A:$A,0),6),"")</f>
        <v/>
      </c>
      <c r="J279">
        <f>IFERROR($C279*INDEX(SPPR!$E:$X,MATCH($A279,SPPR!$A:$A,0),7),"")</f>
        <v/>
      </c>
      <c r="K279">
        <f>IFERROR($C279*INDEX(SPPR!$E:$X,MATCH($A279,SPPR!$A:$A,0),8),"")</f>
        <v/>
      </c>
      <c r="L279">
        <f>IFERROR($C279*INDEX(SPPR!$E:$X,MATCH($A279,SPPR!$A:$A,0),9),"")</f>
        <v/>
      </c>
      <c r="M279">
        <f>IFERROR($C279*INDEX(SPPR!$E:$X,MATCH($A279,SPPR!$A:$A,0),10),"")</f>
        <v/>
      </c>
      <c r="N279">
        <f>IFERROR($C279*INDEX(SPPR!$E:$X,MATCH($A279,SPPR!$A:$A,0),11),"")</f>
        <v/>
      </c>
      <c r="O279">
        <f>IFERROR($C279*INDEX(SPPR!$E:$X,MATCH($A279,SPPR!$A:$A,0),12),"")</f>
        <v/>
      </c>
      <c r="P279">
        <f>IFERROR($C279*INDEX(SPPR!$E:$X,MATCH($A279,SPPR!$A:$A,0),13),"")</f>
        <v/>
      </c>
      <c r="Q279">
        <f>IFERROR($C279*INDEX(SPPR!$E:$X,MATCH($A279,SPPR!$A:$A,0),14),"")</f>
        <v/>
      </c>
      <c r="R279">
        <f>IFERROR($C279*INDEX(SPPR!$E:$X,MATCH($A279,SPPR!$A:$A,0),15),"")</f>
        <v/>
      </c>
      <c r="S279">
        <f>IFERROR($C279*INDEX(SPPR!$E:$X,MATCH($A279,SPPR!$A:$A,0),16),"")</f>
        <v/>
      </c>
      <c r="T279">
        <f>IFERROR($C279*INDEX(SPPR!$E:$X,MATCH($A279,SPPR!$A:$A,0),17),"")</f>
        <v/>
      </c>
      <c r="U279">
        <f>IFERROR($C279*INDEX(SPPR!$E:$X,MATCH($A279,SPPR!$A:$A,0),18),"")</f>
        <v/>
      </c>
      <c r="V279">
        <f>IFERROR($C279*INDEX(SPPR!$E:$X,MATCH($A279,SPPR!$A:$A,0),19),"")</f>
        <v/>
      </c>
      <c r="W279">
        <f>IFERROR($C279*INDEX(SPPR!$E:$X,MATCH($A279,SPPR!$A:$A,0),20),"")</f>
        <v/>
      </c>
    </row>
    <row r="280">
      <c r="A280" t="inlineStr">
        <is>
          <t>Isurus oxyrinchus</t>
        </is>
      </c>
      <c r="B280">
        <f>IFERROR(INDEX(SPPR!$D:$D,MATCH($A280,SPPR!$A:$A,0)),"")</f>
        <v/>
      </c>
      <c r="C280">
        <f>IFERROR(INDEX(Catch!$E:$BV,MATCH($A280,Catch!$A:$A,0),MATCH($B$4,Catch!$E$1:$BV$1,0)),0)</f>
        <v/>
      </c>
      <c r="D280">
        <f>IFERROR($C280*INDEX(SPPR!$E:$X,MATCH($A280,SPPR!$A:$A,0),1),"")</f>
        <v/>
      </c>
      <c r="E280">
        <f>IFERROR($C280*INDEX(SPPR!$E:$X,MATCH($A280,SPPR!$A:$A,0),2),"")</f>
        <v/>
      </c>
      <c r="F280">
        <f>IFERROR($C280*INDEX(SPPR!$E:$X,MATCH($A280,SPPR!$A:$A,0),3),"")</f>
        <v/>
      </c>
      <c r="G280">
        <f>IFERROR($C280*INDEX(SPPR!$E:$X,MATCH($A280,SPPR!$A:$A,0),4),"")</f>
        <v/>
      </c>
      <c r="H280">
        <f>IFERROR($C280*INDEX(SPPR!$E:$X,MATCH($A280,SPPR!$A:$A,0),5),"")</f>
        <v/>
      </c>
      <c r="I280">
        <f>IFERROR($C280*INDEX(SPPR!$E:$X,MATCH($A280,SPPR!$A:$A,0),6),"")</f>
        <v/>
      </c>
      <c r="J280">
        <f>IFERROR($C280*INDEX(SPPR!$E:$X,MATCH($A280,SPPR!$A:$A,0),7),"")</f>
        <v/>
      </c>
      <c r="K280">
        <f>IFERROR($C280*INDEX(SPPR!$E:$X,MATCH($A280,SPPR!$A:$A,0),8),"")</f>
        <v/>
      </c>
      <c r="L280">
        <f>IFERROR($C280*INDEX(SPPR!$E:$X,MATCH($A280,SPPR!$A:$A,0),9),"")</f>
        <v/>
      </c>
      <c r="M280">
        <f>IFERROR($C280*INDEX(SPPR!$E:$X,MATCH($A280,SPPR!$A:$A,0),10),"")</f>
        <v/>
      </c>
      <c r="N280">
        <f>IFERROR($C280*INDEX(SPPR!$E:$X,MATCH($A280,SPPR!$A:$A,0),11),"")</f>
        <v/>
      </c>
      <c r="O280">
        <f>IFERROR($C280*INDEX(SPPR!$E:$X,MATCH($A280,SPPR!$A:$A,0),12),"")</f>
        <v/>
      </c>
      <c r="P280">
        <f>IFERROR($C280*INDEX(SPPR!$E:$X,MATCH($A280,SPPR!$A:$A,0),13),"")</f>
        <v/>
      </c>
      <c r="Q280">
        <f>IFERROR($C280*INDEX(SPPR!$E:$X,MATCH($A280,SPPR!$A:$A,0),14),"")</f>
        <v/>
      </c>
      <c r="R280">
        <f>IFERROR($C280*INDEX(SPPR!$E:$X,MATCH($A280,SPPR!$A:$A,0),15),"")</f>
        <v/>
      </c>
      <c r="S280">
        <f>IFERROR($C280*INDEX(SPPR!$E:$X,MATCH($A280,SPPR!$A:$A,0),16),"")</f>
        <v/>
      </c>
      <c r="T280">
        <f>IFERROR($C280*INDEX(SPPR!$E:$X,MATCH($A280,SPPR!$A:$A,0),17),"")</f>
        <v/>
      </c>
      <c r="U280">
        <f>IFERROR($C280*INDEX(SPPR!$E:$X,MATCH($A280,SPPR!$A:$A,0),18),"")</f>
        <v/>
      </c>
      <c r="V280">
        <f>IFERROR($C280*INDEX(SPPR!$E:$X,MATCH($A280,SPPR!$A:$A,0),19),"")</f>
        <v/>
      </c>
      <c r="W280">
        <f>IFERROR($C280*INDEX(SPPR!$E:$X,MATCH($A280,SPPR!$A:$A,0),20),"")</f>
        <v/>
      </c>
    </row>
    <row r="281">
      <c r="A281" t="inlineStr">
        <is>
          <t>Pinctada</t>
        </is>
      </c>
      <c r="B281">
        <f>IFERROR(INDEX(SPPR!$D:$D,MATCH($A281,SPPR!$A:$A,0)),"")</f>
        <v/>
      </c>
      <c r="C281">
        <f>IFERROR(INDEX(Catch!$E:$BV,MATCH($A281,Catch!$A:$A,0),MATCH($B$4,Catch!$E$1:$BV$1,0)),0)</f>
        <v/>
      </c>
      <c r="D281">
        <f>IFERROR($C281*INDEX(SPPR!$E:$X,MATCH($A281,SPPR!$A:$A,0),1),"")</f>
        <v/>
      </c>
      <c r="E281">
        <f>IFERROR($C281*INDEX(SPPR!$E:$X,MATCH($A281,SPPR!$A:$A,0),2),"")</f>
        <v/>
      </c>
      <c r="F281">
        <f>IFERROR($C281*INDEX(SPPR!$E:$X,MATCH($A281,SPPR!$A:$A,0),3),"")</f>
        <v/>
      </c>
      <c r="G281">
        <f>IFERROR($C281*INDEX(SPPR!$E:$X,MATCH($A281,SPPR!$A:$A,0),4),"")</f>
        <v/>
      </c>
      <c r="H281">
        <f>IFERROR($C281*INDEX(SPPR!$E:$X,MATCH($A281,SPPR!$A:$A,0),5),"")</f>
        <v/>
      </c>
      <c r="I281">
        <f>IFERROR($C281*INDEX(SPPR!$E:$X,MATCH($A281,SPPR!$A:$A,0),6),"")</f>
        <v/>
      </c>
      <c r="J281">
        <f>IFERROR($C281*INDEX(SPPR!$E:$X,MATCH($A281,SPPR!$A:$A,0),7),"")</f>
        <v/>
      </c>
      <c r="K281">
        <f>IFERROR($C281*INDEX(SPPR!$E:$X,MATCH($A281,SPPR!$A:$A,0),8),"")</f>
        <v/>
      </c>
      <c r="L281">
        <f>IFERROR($C281*INDEX(SPPR!$E:$X,MATCH($A281,SPPR!$A:$A,0),9),"")</f>
        <v/>
      </c>
      <c r="M281">
        <f>IFERROR($C281*INDEX(SPPR!$E:$X,MATCH($A281,SPPR!$A:$A,0),10),"")</f>
        <v/>
      </c>
      <c r="N281">
        <f>IFERROR($C281*INDEX(SPPR!$E:$X,MATCH($A281,SPPR!$A:$A,0),11),"")</f>
        <v/>
      </c>
      <c r="O281">
        <f>IFERROR($C281*INDEX(SPPR!$E:$X,MATCH($A281,SPPR!$A:$A,0),12),"")</f>
        <v/>
      </c>
      <c r="P281">
        <f>IFERROR($C281*INDEX(SPPR!$E:$X,MATCH($A281,SPPR!$A:$A,0),13),"")</f>
        <v/>
      </c>
      <c r="Q281">
        <f>IFERROR($C281*INDEX(SPPR!$E:$X,MATCH($A281,SPPR!$A:$A,0),14),"")</f>
        <v/>
      </c>
      <c r="R281">
        <f>IFERROR($C281*INDEX(SPPR!$E:$X,MATCH($A281,SPPR!$A:$A,0),15),"")</f>
        <v/>
      </c>
      <c r="S281">
        <f>IFERROR($C281*INDEX(SPPR!$E:$X,MATCH($A281,SPPR!$A:$A,0),16),"")</f>
        <v/>
      </c>
      <c r="T281">
        <f>IFERROR($C281*INDEX(SPPR!$E:$X,MATCH($A281,SPPR!$A:$A,0),17),"")</f>
        <v/>
      </c>
      <c r="U281">
        <f>IFERROR($C281*INDEX(SPPR!$E:$X,MATCH($A281,SPPR!$A:$A,0),18),"")</f>
        <v/>
      </c>
      <c r="V281">
        <f>IFERROR($C281*INDEX(SPPR!$E:$X,MATCH($A281,SPPR!$A:$A,0),19),"")</f>
        <v/>
      </c>
      <c r="W281">
        <f>IFERROR($C281*INDEX(SPPR!$E:$X,MATCH($A281,SPPR!$A:$A,0),20),"")</f>
        <v/>
      </c>
    </row>
    <row r="282">
      <c r="A282" t="inlineStr">
        <is>
          <t>Scombroidei</t>
        </is>
      </c>
      <c r="B282">
        <f>IFERROR(INDEX(SPPR!$D:$D,MATCH($A282,SPPR!$A:$A,0)),"")</f>
        <v/>
      </c>
      <c r="C282">
        <f>IFERROR(INDEX(Catch!$E:$BV,MATCH($A282,Catch!$A:$A,0),MATCH($B$4,Catch!$E$1:$BV$1,0)),0)</f>
        <v/>
      </c>
      <c r="D282">
        <f>IFERROR($C282*INDEX(SPPR!$E:$X,MATCH($A282,SPPR!$A:$A,0),1),"")</f>
        <v/>
      </c>
      <c r="E282">
        <f>IFERROR($C282*INDEX(SPPR!$E:$X,MATCH($A282,SPPR!$A:$A,0),2),"")</f>
        <v/>
      </c>
      <c r="F282">
        <f>IFERROR($C282*INDEX(SPPR!$E:$X,MATCH($A282,SPPR!$A:$A,0),3),"")</f>
        <v/>
      </c>
      <c r="G282">
        <f>IFERROR($C282*INDEX(SPPR!$E:$X,MATCH($A282,SPPR!$A:$A,0),4),"")</f>
        <v/>
      </c>
      <c r="H282">
        <f>IFERROR($C282*INDEX(SPPR!$E:$X,MATCH($A282,SPPR!$A:$A,0),5),"")</f>
        <v/>
      </c>
      <c r="I282">
        <f>IFERROR($C282*INDEX(SPPR!$E:$X,MATCH($A282,SPPR!$A:$A,0),6),"")</f>
        <v/>
      </c>
      <c r="J282">
        <f>IFERROR($C282*INDEX(SPPR!$E:$X,MATCH($A282,SPPR!$A:$A,0),7),"")</f>
        <v/>
      </c>
      <c r="K282">
        <f>IFERROR($C282*INDEX(SPPR!$E:$X,MATCH($A282,SPPR!$A:$A,0),8),"")</f>
        <v/>
      </c>
      <c r="L282">
        <f>IFERROR($C282*INDEX(SPPR!$E:$X,MATCH($A282,SPPR!$A:$A,0),9),"")</f>
        <v/>
      </c>
      <c r="M282">
        <f>IFERROR($C282*INDEX(SPPR!$E:$X,MATCH($A282,SPPR!$A:$A,0),10),"")</f>
        <v/>
      </c>
      <c r="N282">
        <f>IFERROR($C282*INDEX(SPPR!$E:$X,MATCH($A282,SPPR!$A:$A,0),11),"")</f>
        <v/>
      </c>
      <c r="O282">
        <f>IFERROR($C282*INDEX(SPPR!$E:$X,MATCH($A282,SPPR!$A:$A,0),12),"")</f>
        <v/>
      </c>
      <c r="P282">
        <f>IFERROR($C282*INDEX(SPPR!$E:$X,MATCH($A282,SPPR!$A:$A,0),13),"")</f>
        <v/>
      </c>
      <c r="Q282">
        <f>IFERROR($C282*INDEX(SPPR!$E:$X,MATCH($A282,SPPR!$A:$A,0),14),"")</f>
        <v/>
      </c>
      <c r="R282">
        <f>IFERROR($C282*INDEX(SPPR!$E:$X,MATCH($A282,SPPR!$A:$A,0),15),"")</f>
        <v/>
      </c>
      <c r="S282">
        <f>IFERROR($C282*INDEX(SPPR!$E:$X,MATCH($A282,SPPR!$A:$A,0),16),"")</f>
        <v/>
      </c>
      <c r="T282">
        <f>IFERROR($C282*INDEX(SPPR!$E:$X,MATCH($A282,SPPR!$A:$A,0),17),"")</f>
        <v/>
      </c>
      <c r="U282">
        <f>IFERROR($C282*INDEX(SPPR!$E:$X,MATCH($A282,SPPR!$A:$A,0),18),"")</f>
        <v/>
      </c>
      <c r="V282">
        <f>IFERROR($C282*INDEX(SPPR!$E:$X,MATCH($A282,SPPR!$A:$A,0),19),"")</f>
        <v/>
      </c>
      <c r="W282">
        <f>IFERROR($C282*INDEX(SPPR!$E:$X,MATCH($A282,SPPR!$A:$A,0),20),"")</f>
        <v/>
      </c>
    </row>
    <row r="283">
      <c r="A283" t="inlineStr">
        <is>
          <t>Caranx</t>
        </is>
      </c>
      <c r="B283">
        <f>IFERROR(INDEX(SPPR!$D:$D,MATCH($A283,SPPR!$A:$A,0)),"")</f>
        <v/>
      </c>
      <c r="C283">
        <f>IFERROR(INDEX(Catch!$E:$BV,MATCH($A283,Catch!$A:$A,0),MATCH($B$4,Catch!$E$1:$BV$1,0)),0)</f>
        <v/>
      </c>
      <c r="D283">
        <f>IFERROR($C283*INDEX(SPPR!$E:$X,MATCH($A283,SPPR!$A:$A,0),1),"")</f>
        <v/>
      </c>
      <c r="E283">
        <f>IFERROR($C283*INDEX(SPPR!$E:$X,MATCH($A283,SPPR!$A:$A,0),2),"")</f>
        <v/>
      </c>
      <c r="F283">
        <f>IFERROR($C283*INDEX(SPPR!$E:$X,MATCH($A283,SPPR!$A:$A,0),3),"")</f>
        <v/>
      </c>
      <c r="G283">
        <f>IFERROR($C283*INDEX(SPPR!$E:$X,MATCH($A283,SPPR!$A:$A,0),4),"")</f>
        <v/>
      </c>
      <c r="H283">
        <f>IFERROR($C283*INDEX(SPPR!$E:$X,MATCH($A283,SPPR!$A:$A,0),5),"")</f>
        <v/>
      </c>
      <c r="I283">
        <f>IFERROR($C283*INDEX(SPPR!$E:$X,MATCH($A283,SPPR!$A:$A,0),6),"")</f>
        <v/>
      </c>
      <c r="J283">
        <f>IFERROR($C283*INDEX(SPPR!$E:$X,MATCH($A283,SPPR!$A:$A,0),7),"")</f>
        <v/>
      </c>
      <c r="K283">
        <f>IFERROR($C283*INDEX(SPPR!$E:$X,MATCH($A283,SPPR!$A:$A,0),8),"")</f>
        <v/>
      </c>
      <c r="L283">
        <f>IFERROR($C283*INDEX(SPPR!$E:$X,MATCH($A283,SPPR!$A:$A,0),9),"")</f>
        <v/>
      </c>
      <c r="M283">
        <f>IFERROR($C283*INDEX(SPPR!$E:$X,MATCH($A283,SPPR!$A:$A,0),10),"")</f>
        <v/>
      </c>
      <c r="N283">
        <f>IFERROR($C283*INDEX(SPPR!$E:$X,MATCH($A283,SPPR!$A:$A,0),11),"")</f>
        <v/>
      </c>
      <c r="O283">
        <f>IFERROR($C283*INDEX(SPPR!$E:$X,MATCH($A283,SPPR!$A:$A,0),12),"")</f>
        <v/>
      </c>
      <c r="P283">
        <f>IFERROR($C283*INDEX(SPPR!$E:$X,MATCH($A283,SPPR!$A:$A,0),13),"")</f>
        <v/>
      </c>
      <c r="Q283">
        <f>IFERROR($C283*INDEX(SPPR!$E:$X,MATCH($A283,SPPR!$A:$A,0),14),"")</f>
        <v/>
      </c>
      <c r="R283">
        <f>IFERROR($C283*INDEX(SPPR!$E:$X,MATCH($A283,SPPR!$A:$A,0),15),"")</f>
        <v/>
      </c>
      <c r="S283">
        <f>IFERROR($C283*INDEX(SPPR!$E:$X,MATCH($A283,SPPR!$A:$A,0),16),"")</f>
        <v/>
      </c>
      <c r="T283">
        <f>IFERROR($C283*INDEX(SPPR!$E:$X,MATCH($A283,SPPR!$A:$A,0),17),"")</f>
        <v/>
      </c>
      <c r="U283">
        <f>IFERROR($C283*INDEX(SPPR!$E:$X,MATCH($A283,SPPR!$A:$A,0),18),"")</f>
        <v/>
      </c>
      <c r="V283">
        <f>IFERROR($C283*INDEX(SPPR!$E:$X,MATCH($A283,SPPR!$A:$A,0),19),"")</f>
        <v/>
      </c>
      <c r="W283">
        <f>IFERROR($C283*INDEX(SPPR!$E:$X,MATCH($A283,SPPR!$A:$A,0),20),"")</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row>
    <row r="5">
      <c r="A5" t="n">
        <v>1</v>
      </c>
      <c r="B5" t="inlineStr">
        <is>
          <t>Phytoplankton</t>
        </is>
      </c>
      <c r="C5" t="inlineStr">
        <is>
          <t>PP</t>
        </is>
      </c>
      <c r="D5" t="n">
        <v>1</v>
      </c>
      <c r="E5" t="n">
        <v>1</v>
      </c>
      <c r="F5" t="n">
        <v>0.205</v>
      </c>
      <c r="G5" t="n">
        <v>16.52</v>
      </c>
      <c r="H5" t="n">
        <v>0</v>
      </c>
      <c r="I5" t="n">
        <v>0</v>
      </c>
      <c r="J5" t="n">
        <v>1</v>
      </c>
      <c r="K5" t="n">
        <v>1</v>
      </c>
      <c r="L5" t="n">
        <v>1</v>
      </c>
      <c r="M5" t="n">
        <v>1</v>
      </c>
      <c r="N5" t="n">
        <v>0</v>
      </c>
      <c r="O5" t="n">
        <v>0.205</v>
      </c>
      <c r="P5" t="n">
        <v>1</v>
      </c>
      <c r="Q5" t="n">
        <v>1</v>
      </c>
      <c r="R5" t="n">
        <v>1</v>
      </c>
      <c r="S5" t="n">
        <v>1</v>
      </c>
      <c r="T5" t="n">
        <v>1</v>
      </c>
      <c r="U5" t="n">
        <v>1</v>
      </c>
      <c r="V5" t="n">
        <v>1</v>
      </c>
      <c r="W5" t="n">
        <v>1</v>
      </c>
      <c r="X5" t="n">
        <v>1</v>
      </c>
      <c r="Y5" t="n">
        <v>1</v>
      </c>
      <c r="Z5" t="n">
        <v>1</v>
      </c>
      <c r="AA5" t="n">
        <v>1</v>
      </c>
      <c r="AB5" t="n">
        <v>1</v>
      </c>
    </row>
    <row r="6">
      <c r="A6" t="n">
        <v>2</v>
      </c>
      <c r="B6" t="inlineStr">
        <is>
          <t>Zooplankton</t>
        </is>
      </c>
      <c r="C6" t="inlineStr">
        <is>
          <t>Regular</t>
        </is>
      </c>
      <c r="D6" t="n">
        <v>2</v>
      </c>
      <c r="E6" t="n">
        <v>0.25</v>
      </c>
      <c r="F6" t="n">
        <v>0.3080000000000001</v>
      </c>
      <c r="G6" t="n">
        <v>4.703</v>
      </c>
      <c r="H6" t="n">
        <v>0</v>
      </c>
      <c r="I6" t="n">
        <v>0</v>
      </c>
      <c r="J6" t="n">
        <v>10</v>
      </c>
      <c r="K6" t="n">
        <v>1.39069</v>
      </c>
      <c r="L6" t="n">
        <v>1.39069</v>
      </c>
      <c r="M6" t="n">
        <v>12.987013</v>
      </c>
      <c r="N6" t="n">
        <v>12.987013</v>
      </c>
      <c r="O6" t="n">
        <v>4</v>
      </c>
      <c r="P6" t="n">
        <v>12.420149</v>
      </c>
      <c r="Q6" t="n">
        <v>12.420149</v>
      </c>
      <c r="R6" t="n">
        <v>12.5466</v>
      </c>
      <c r="S6" t="n">
        <v>4.221348</v>
      </c>
      <c r="T6" t="n">
        <v>3.409389</v>
      </c>
      <c r="U6" t="n">
        <v>12.5466</v>
      </c>
      <c r="V6" t="n">
        <v>12.420149</v>
      </c>
      <c r="W6" t="n">
        <v>4.221348</v>
      </c>
      <c r="X6" t="n">
        <v>4.221348</v>
      </c>
      <c r="Y6" t="n">
        <v>3.409389</v>
      </c>
      <c r="Z6" t="n">
        <v>3.409389</v>
      </c>
      <c r="AA6" t="n">
        <v>4.182642</v>
      </c>
      <c r="AB6" t="n">
        <v>12.662599</v>
      </c>
    </row>
    <row r="7">
      <c r="A7" t="n">
        <v>3</v>
      </c>
      <c r="B7" t="inlineStr">
        <is>
          <t>Polychaetes</t>
        </is>
      </c>
      <c r="C7" t="inlineStr">
        <is>
          <t>Regular</t>
        </is>
      </c>
      <c r="D7" t="n">
        <v>2</v>
      </c>
      <c r="E7" t="n">
        <v>0.2768595041322314</v>
      </c>
      <c r="F7" t="n">
        <v>0.541</v>
      </c>
      <c r="G7" t="n">
        <v>3.13</v>
      </c>
      <c r="H7" t="n">
        <v>0</v>
      </c>
      <c r="I7" t="n">
        <v>0</v>
      </c>
      <c r="J7" t="n">
        <v>10</v>
      </c>
      <c r="K7" t="n">
        <v>1.39069</v>
      </c>
      <c r="L7" t="n">
        <v>1.39069</v>
      </c>
      <c r="M7" t="n">
        <v>6.676415</v>
      </c>
      <c r="N7" t="n">
        <v>6.676415</v>
      </c>
      <c r="O7" t="n">
        <v>3.61194</v>
      </c>
      <c r="P7" t="n">
        <v>5.705029</v>
      </c>
      <c r="Q7" t="n">
        <v>5.705029</v>
      </c>
      <c r="R7" t="n">
        <v>5.921717</v>
      </c>
      <c r="S7" t="n">
        <v>4.278187</v>
      </c>
      <c r="T7" t="n">
        <v>3.519803</v>
      </c>
      <c r="U7" t="n">
        <v>5.921717</v>
      </c>
      <c r="V7" t="n">
        <v>5.705029</v>
      </c>
      <c r="W7" t="n">
        <v>4.278187</v>
      </c>
      <c r="X7" t="n">
        <v>4.278187</v>
      </c>
      <c r="Y7" t="n">
        <v>3.519803</v>
      </c>
      <c r="Z7" t="n">
        <v>3.519803</v>
      </c>
      <c r="AA7" t="n">
        <v>4.309215</v>
      </c>
      <c r="AB7" t="n">
        <v>5.835162</v>
      </c>
    </row>
    <row r="8">
      <c r="A8" t="n">
        <v>4</v>
      </c>
      <c r="B8" t="inlineStr">
        <is>
          <t>Mollusks</t>
        </is>
      </c>
      <c r="C8" t="inlineStr">
        <is>
          <t>Regular</t>
        </is>
      </c>
      <c r="D8" t="n">
        <v>2.169354838709677</v>
      </c>
      <c r="E8" t="n">
        <v>0.4285714285714287</v>
      </c>
      <c r="F8" t="n">
        <v>0.3</v>
      </c>
      <c r="G8" t="n">
        <v>9.51</v>
      </c>
      <c r="H8" t="n">
        <v>0</v>
      </c>
      <c r="I8" t="n">
        <v>0</v>
      </c>
      <c r="J8" t="n">
        <v>14.497407</v>
      </c>
      <c r="K8" t="n">
        <v>1.466668</v>
      </c>
      <c r="L8" t="n">
        <v>1.466497</v>
      </c>
      <c r="M8" t="n">
        <v>17.850747</v>
      </c>
      <c r="N8" t="n">
        <v>17.850747</v>
      </c>
      <c r="O8" t="n">
        <v>5.355224</v>
      </c>
      <c r="P8" t="n">
        <v>17.186608</v>
      </c>
      <c r="Q8" t="n">
        <v>17.186608</v>
      </c>
      <c r="R8" t="n">
        <v>17.598965</v>
      </c>
      <c r="S8" t="n">
        <v>3.995111</v>
      </c>
      <c r="T8" t="n">
        <v>2.967513</v>
      </c>
      <c r="U8" t="n">
        <v>17.598965</v>
      </c>
      <c r="V8" t="n">
        <v>17.186608</v>
      </c>
      <c r="W8" t="n">
        <v>3.995111</v>
      </c>
      <c r="X8" t="n">
        <v>3.995111</v>
      </c>
      <c r="Y8" t="n">
        <v>2.967513</v>
      </c>
      <c r="Z8" t="n">
        <v>2.967513</v>
      </c>
      <c r="AA8" t="n">
        <v>3.990277</v>
      </c>
      <c r="AB8" t="n">
        <v>17.941416</v>
      </c>
    </row>
    <row r="9">
      <c r="A9" t="n">
        <v>5</v>
      </c>
      <c r="B9" t="inlineStr">
        <is>
          <t>Benthic Crustaceans</t>
        </is>
      </c>
      <c r="C9" t="inlineStr">
        <is>
          <t>Regular</t>
        </is>
      </c>
      <c r="D9" t="n">
        <v>2.161129032258064</v>
      </c>
      <c r="E9" t="n">
        <v>0.2438661710037175</v>
      </c>
      <c r="F9" t="n">
        <v>0.748</v>
      </c>
      <c r="G9" t="n">
        <v>1.6</v>
      </c>
      <c r="H9" t="n">
        <v>0</v>
      </c>
      <c r="I9" t="n">
        <v>0</v>
      </c>
      <c r="J9" t="n">
        <v>14.479112</v>
      </c>
      <c r="K9" t="n">
        <v>1.466403</v>
      </c>
      <c r="L9" t="n">
        <v>1.478879</v>
      </c>
      <c r="M9" t="n">
        <v>14.956937</v>
      </c>
      <c r="N9" t="n">
        <v>14.956937</v>
      </c>
      <c r="O9" t="n">
        <v>11.187789</v>
      </c>
      <c r="P9" t="n">
        <v>13.841643</v>
      </c>
      <c r="Q9" t="n">
        <v>13.841643</v>
      </c>
      <c r="R9" t="n">
        <v>14.159956</v>
      </c>
      <c r="S9" t="n">
        <v>6.579482</v>
      </c>
      <c r="T9" t="n">
        <v>4.896462</v>
      </c>
      <c r="U9" t="n">
        <v>14.159956</v>
      </c>
      <c r="V9" t="n">
        <v>13.841643</v>
      </c>
      <c r="W9" t="n">
        <v>6.579482</v>
      </c>
      <c r="X9" t="n">
        <v>6.579482</v>
      </c>
      <c r="Y9" t="n">
        <v>4.896462</v>
      </c>
      <c r="Z9" t="n">
        <v>4.896462</v>
      </c>
      <c r="AA9" t="n">
        <v>6.663272</v>
      </c>
      <c r="AB9" t="n">
        <v>14.549771</v>
      </c>
    </row>
    <row r="10">
      <c r="A10" t="n">
        <v>6</v>
      </c>
      <c r="B10" t="inlineStr">
        <is>
          <t>Echinoderms</t>
        </is>
      </c>
      <c r="C10" t="inlineStr">
        <is>
          <t>Regular</t>
        </is>
      </c>
      <c r="D10" t="n">
        <v>2.220235336464297</v>
      </c>
      <c r="E10" t="n">
        <v>0.3243243243243243</v>
      </c>
      <c r="F10" t="n">
        <v>0.1819999999999999</v>
      </c>
      <c r="G10" t="n">
        <v>3.46</v>
      </c>
      <c r="H10" t="n">
        <v>0</v>
      </c>
      <c r="I10" t="n">
        <v>0</v>
      </c>
      <c r="J10" t="n">
        <v>14.362944</v>
      </c>
      <c r="K10" t="n">
        <v>1.464712</v>
      </c>
      <c r="L10" t="n">
        <v>1.389744</v>
      </c>
      <c r="M10" t="n">
        <v>47.528559</v>
      </c>
      <c r="N10" t="n">
        <v>47.528559</v>
      </c>
      <c r="O10" t="n">
        <v>8.650198</v>
      </c>
      <c r="P10" t="n">
        <v>98169.820373</v>
      </c>
      <c r="Q10" t="n">
        <v>98169.820373</v>
      </c>
      <c r="R10" t="n">
        <v>99766.36788799999</v>
      </c>
      <c r="S10" t="n">
        <v>7.082345</v>
      </c>
      <c r="T10" t="n">
        <v>4.85352</v>
      </c>
      <c r="U10" t="n">
        <v>99766.36788799999</v>
      </c>
      <c r="V10" t="n">
        <v>98169.820373</v>
      </c>
      <c r="W10" t="n">
        <v>7.082345</v>
      </c>
      <c r="X10" t="n">
        <v>7.082345</v>
      </c>
      <c r="Y10" t="n">
        <v>4.85352</v>
      </c>
      <c r="Z10" t="n">
        <v>4.85352</v>
      </c>
      <c r="AA10" t="n">
        <v>7.237529</v>
      </c>
      <c r="AB10" t="n">
        <v>1019.755013</v>
      </c>
    </row>
    <row r="11">
      <c r="A11" t="n">
        <v>7</v>
      </c>
      <c r="B11" t="inlineStr">
        <is>
          <t>Other invertebrates</t>
        </is>
      </c>
      <c r="C11" t="inlineStr">
        <is>
          <t>Regular</t>
        </is>
      </c>
      <c r="D11" t="n">
        <v>2</v>
      </c>
      <c r="E11" t="n">
        <v>0.1111111111111111</v>
      </c>
      <c r="F11" t="n">
        <v>0.616</v>
      </c>
      <c r="G11" t="n">
        <v>3.16</v>
      </c>
      <c r="H11" t="n">
        <v>0</v>
      </c>
      <c r="I11" t="n">
        <v>0</v>
      </c>
      <c r="J11" t="n">
        <v>10</v>
      </c>
      <c r="K11" t="n">
        <v>1.39069</v>
      </c>
      <c r="L11" t="n">
        <v>1.39069</v>
      </c>
      <c r="M11" t="n">
        <v>14.61039</v>
      </c>
      <c r="N11" t="n">
        <v>14.61039</v>
      </c>
      <c r="O11" t="n">
        <v>9</v>
      </c>
      <c r="P11" t="n">
        <v>13.760094</v>
      </c>
      <c r="Q11" t="n">
        <v>13.760094</v>
      </c>
      <c r="R11" t="n">
        <v>13.94977</v>
      </c>
      <c r="S11" t="n">
        <v>9.664044000000001</v>
      </c>
      <c r="T11" t="n">
        <v>7.828167</v>
      </c>
      <c r="U11" t="n">
        <v>13.94977</v>
      </c>
      <c r="V11" t="n">
        <v>13.760094</v>
      </c>
      <c r="W11" t="n">
        <v>9.664044000000001</v>
      </c>
      <c r="X11" t="n">
        <v>9.664044000000001</v>
      </c>
      <c r="Y11" t="n">
        <v>7.828167</v>
      </c>
      <c r="Z11" t="n">
        <v>7.828167</v>
      </c>
      <c r="AA11" t="n">
        <v>9.661211</v>
      </c>
      <c r="AB11" t="n">
        <v>13.78907</v>
      </c>
    </row>
    <row r="12">
      <c r="A12" t="n">
        <v>8</v>
      </c>
      <c r="B12" t="inlineStr">
        <is>
          <t>Crabs</t>
        </is>
      </c>
      <c r="C12" t="inlineStr">
        <is>
          <t>Regular</t>
        </is>
      </c>
      <c r="D12" t="n">
        <v>2.322264264264264</v>
      </c>
      <c r="E12" t="n">
        <v>0.3750000000000001</v>
      </c>
      <c r="F12" t="n">
        <v>0.916</v>
      </c>
      <c r="G12" t="n">
        <v>0.143</v>
      </c>
      <c r="H12" t="n">
        <v>0</v>
      </c>
      <c r="I12" t="n">
        <v>0</v>
      </c>
      <c r="J12" t="n">
        <v>21.002175</v>
      </c>
      <c r="K12" t="n">
        <v>1.546636</v>
      </c>
      <c r="L12" t="n">
        <v>1.565985</v>
      </c>
      <c r="M12" t="n">
        <v>12.039474</v>
      </c>
      <c r="N12" t="n">
        <v>12.039474</v>
      </c>
      <c r="O12" t="n">
        <v>11.028158</v>
      </c>
      <c r="P12" t="n">
        <v>11.032425</v>
      </c>
      <c r="Q12" t="n">
        <v>11.032425</v>
      </c>
      <c r="R12" t="n">
        <v>11.257068</v>
      </c>
      <c r="S12" t="n">
        <v>7.495998</v>
      </c>
      <c r="T12" t="n">
        <v>5.212079</v>
      </c>
      <c r="U12" t="n">
        <v>11.257068</v>
      </c>
      <c r="V12" t="n">
        <v>11.032425</v>
      </c>
      <c r="W12" t="n">
        <v>7.495998</v>
      </c>
      <c r="X12" t="n">
        <v>7.495998</v>
      </c>
      <c r="Y12" t="n">
        <v>5.212079</v>
      </c>
      <c r="Z12" t="n">
        <v>5.212079</v>
      </c>
      <c r="AA12" t="n">
        <v>7.53635</v>
      </c>
      <c r="AB12" t="n">
        <v>11.035506</v>
      </c>
    </row>
    <row r="13">
      <c r="A13" t="n">
        <v>9</v>
      </c>
      <c r="B13" t="inlineStr">
        <is>
          <t>Shrimps</t>
        </is>
      </c>
      <c r="C13" t="inlineStr">
        <is>
          <t>Regular</t>
        </is>
      </c>
      <c r="D13" t="n">
        <v>2.314</v>
      </c>
      <c r="E13" t="n">
        <v>0.2656249999999999</v>
      </c>
      <c r="F13" t="n">
        <v>0.999</v>
      </c>
      <c r="G13" t="n">
        <v>0.161</v>
      </c>
      <c r="H13" t="n">
        <v>0</v>
      </c>
      <c r="I13" t="n">
        <v>0</v>
      </c>
      <c r="J13" t="n">
        <v>20.606299</v>
      </c>
      <c r="K13" t="n">
        <v>1.542427</v>
      </c>
      <c r="L13" t="n">
        <v>1.561295</v>
      </c>
      <c r="M13" t="n">
        <v>15.075177</v>
      </c>
      <c r="N13" t="n">
        <v>15.075177</v>
      </c>
      <c r="O13" t="n">
        <v>15.060102</v>
      </c>
      <c r="P13" t="n">
        <v>13.927162</v>
      </c>
      <c r="Q13" t="n">
        <v>13.927162</v>
      </c>
      <c r="R13" t="n">
        <v>14.183251</v>
      </c>
      <c r="S13" t="n">
        <v>7.969433</v>
      </c>
      <c r="T13" t="n">
        <v>5.681336</v>
      </c>
      <c r="U13" t="n">
        <v>14.183251</v>
      </c>
      <c r="V13" t="n">
        <v>13.927162</v>
      </c>
      <c r="W13" t="n">
        <v>7.969433</v>
      </c>
      <c r="X13" t="n">
        <v>7.969433</v>
      </c>
      <c r="Y13" t="n">
        <v>5.681336</v>
      </c>
      <c r="Z13" t="n">
        <v>5.681336</v>
      </c>
      <c r="AA13" t="n">
        <v>8.136905</v>
      </c>
      <c r="AB13" t="n">
        <v>14.885026</v>
      </c>
    </row>
    <row r="14">
      <c r="A14" t="n">
        <v>10</v>
      </c>
      <c r="B14" t="inlineStr">
        <is>
          <t>Cephalopods</t>
        </is>
      </c>
      <c r="C14" t="inlineStr">
        <is>
          <t>Regular</t>
        </is>
      </c>
      <c r="D14" t="n">
        <v>2.819131829142155</v>
      </c>
      <c r="E14" t="n">
        <v>0.3</v>
      </c>
      <c r="F14" t="n">
        <v>0.984</v>
      </c>
      <c r="G14" t="n">
        <v>0.549</v>
      </c>
      <c r="H14" t="n">
        <v>0</v>
      </c>
      <c r="I14" t="n">
        <v>0</v>
      </c>
      <c r="J14" t="n">
        <v>65.929169</v>
      </c>
      <c r="K14" t="n">
        <v>1.821994</v>
      </c>
      <c r="L14" t="n">
        <v>1.839433</v>
      </c>
      <c r="M14" t="n">
        <v>38.382342</v>
      </c>
      <c r="N14" t="n">
        <v>38.382342</v>
      </c>
      <c r="O14" t="n">
        <v>37.768225</v>
      </c>
      <c r="P14" t="n">
        <v>36.734327</v>
      </c>
      <c r="Q14" t="n">
        <v>36.734327</v>
      </c>
      <c r="R14" t="n">
        <v>37.111337</v>
      </c>
      <c r="S14" t="n">
        <v>12.794003</v>
      </c>
      <c r="T14" t="n">
        <v>8.242232</v>
      </c>
      <c r="U14" t="n">
        <v>37.111337</v>
      </c>
      <c r="V14" t="n">
        <v>36.734327</v>
      </c>
      <c r="W14" t="n">
        <v>12.794003</v>
      </c>
      <c r="X14" t="n">
        <v>12.794003</v>
      </c>
      <c r="Y14" t="n">
        <v>8.242232</v>
      </c>
      <c r="Z14" t="n">
        <v>8.242232</v>
      </c>
      <c r="AA14" t="n">
        <v>12.757448</v>
      </c>
      <c r="AB14" t="n">
        <v>38.53303</v>
      </c>
    </row>
    <row r="15">
      <c r="A15" t="n">
        <v>11</v>
      </c>
      <c r="B15" t="inlineStr">
        <is>
          <t>Planktivores</t>
        </is>
      </c>
      <c r="C15" t="inlineStr">
        <is>
          <t>Regular</t>
        </is>
      </c>
      <c r="D15" t="n">
        <v>3.007323841230849</v>
      </c>
      <c r="E15" t="n">
        <v>0.2434192672998643</v>
      </c>
      <c r="F15" t="n">
        <v>0.998</v>
      </c>
      <c r="G15" t="n">
        <v>0.71</v>
      </c>
      <c r="H15" t="n">
        <v>0</v>
      </c>
      <c r="I15" t="n">
        <v>0</v>
      </c>
      <c r="J15" t="n">
        <v>100.997642</v>
      </c>
      <c r="K15" t="n">
        <v>1.93677</v>
      </c>
      <c r="L15" t="n">
        <v>1.93149</v>
      </c>
      <c r="M15" t="n">
        <v>53.479795</v>
      </c>
      <c r="N15" t="n">
        <v>53.479795</v>
      </c>
      <c r="O15" t="n">
        <v>53.372836</v>
      </c>
      <c r="P15" t="n">
        <v>51.741399</v>
      </c>
      <c r="Q15" t="n">
        <v>51.741399</v>
      </c>
      <c r="R15" t="n">
        <v>52.283119</v>
      </c>
      <c r="S15" t="n">
        <v>17.749881</v>
      </c>
      <c r="T15" t="n">
        <v>11.404035</v>
      </c>
      <c r="U15" t="n">
        <v>52.283119</v>
      </c>
      <c r="V15" t="n">
        <v>51.741399</v>
      </c>
      <c r="W15" t="n">
        <v>17.749881</v>
      </c>
      <c r="X15" t="n">
        <v>17.749881</v>
      </c>
      <c r="Y15" t="n">
        <v>11.404035</v>
      </c>
      <c r="Z15" t="n">
        <v>11.404035</v>
      </c>
      <c r="AA15" t="n">
        <v>17.839302</v>
      </c>
      <c r="AB15" t="n">
        <v>54.129601</v>
      </c>
    </row>
    <row r="16">
      <c r="A16" t="n">
        <v>12</v>
      </c>
      <c r="B16" t="inlineStr">
        <is>
          <t>Benthivores</t>
        </is>
      </c>
      <c r="C16" t="inlineStr">
        <is>
          <t>Regular</t>
        </is>
      </c>
      <c r="D16" t="n">
        <v>2.846936152547148</v>
      </c>
      <c r="E16" t="n">
        <v>0.2948717948717949</v>
      </c>
      <c r="F16" t="n">
        <v>0.995</v>
      </c>
      <c r="G16" t="n">
        <v>0.0397</v>
      </c>
      <c r="H16" t="n">
        <v>0</v>
      </c>
      <c r="I16" t="n">
        <v>0</v>
      </c>
      <c r="J16" t="n">
        <v>67.81478300000001</v>
      </c>
      <c r="K16" t="n">
        <v>1.829368</v>
      </c>
      <c r="L16" t="n">
        <v>1.84033</v>
      </c>
      <c r="M16" t="n">
        <v>33.988491</v>
      </c>
      <c r="N16" t="n">
        <v>35.780255</v>
      </c>
      <c r="O16" t="n">
        <v>35.601354</v>
      </c>
      <c r="P16" t="n">
        <v>385.228839</v>
      </c>
      <c r="Q16" t="n">
        <v>385.228839</v>
      </c>
      <c r="R16" t="n">
        <v>391.588003</v>
      </c>
      <c r="S16" t="n">
        <v>16.66963</v>
      </c>
      <c r="T16" t="n">
        <v>9.973879999999999</v>
      </c>
      <c r="U16" t="n">
        <v>391.588003</v>
      </c>
      <c r="V16" t="n">
        <v>385.228839</v>
      </c>
      <c r="W16" t="n">
        <v>16.66963</v>
      </c>
      <c r="X16" t="n">
        <v>16.66963</v>
      </c>
      <c r="Y16" t="n">
        <v>9.973879999999999</v>
      </c>
      <c r="Z16" t="n">
        <v>9.973879999999999</v>
      </c>
      <c r="AA16" t="n">
        <v>17.246706</v>
      </c>
      <c r="AB16" t="n">
        <v>42.474741</v>
      </c>
    </row>
    <row r="17">
      <c r="A17" t="n">
        <v>13</v>
      </c>
      <c r="B17" t="inlineStr">
        <is>
          <t>Piscivores</t>
        </is>
      </c>
      <c r="C17" t="inlineStr">
        <is>
          <t>Regular</t>
        </is>
      </c>
      <c r="D17" t="n">
        <v>3.508809514410474</v>
      </c>
      <c r="E17" t="n">
        <v>0.3101339545719278</v>
      </c>
      <c r="F17" t="n">
        <v>0.804</v>
      </c>
      <c r="G17" t="n">
        <v>0.348</v>
      </c>
      <c r="H17" t="n">
        <v>0</v>
      </c>
      <c r="I17" t="n">
        <v>0</v>
      </c>
      <c r="J17" t="n">
        <v>304.388999</v>
      </c>
      <c r="K17" t="n">
        <v>2.268309</v>
      </c>
      <c r="L17" t="n">
        <v>2.300314</v>
      </c>
      <c r="M17" t="n">
        <v>249.259877</v>
      </c>
      <c r="N17" t="n">
        <v>251.428736</v>
      </c>
      <c r="O17" t="n">
        <v>202.148704</v>
      </c>
      <c r="P17" t="n">
        <v>282.597002</v>
      </c>
      <c r="Q17" t="n">
        <v>282.597002</v>
      </c>
      <c r="R17" t="n">
        <v>286.033173</v>
      </c>
      <c r="S17" t="n">
        <v>49.797649</v>
      </c>
      <c r="T17" t="n">
        <v>25.643377</v>
      </c>
      <c r="U17" t="n">
        <v>286.033173</v>
      </c>
      <c r="V17" t="n">
        <v>282.597002</v>
      </c>
      <c r="W17" t="n">
        <v>49.797649</v>
      </c>
      <c r="X17" t="n">
        <v>49.797649</v>
      </c>
      <c r="Y17" t="n">
        <v>25.643377</v>
      </c>
      <c r="Z17" t="n">
        <v>25.643377</v>
      </c>
      <c r="AA17" t="n">
        <v>51.082514</v>
      </c>
      <c r="AB17" t="n">
        <v>274.518943</v>
      </c>
    </row>
    <row r="18">
      <c r="A18" t="n">
        <v>14</v>
      </c>
      <c r="B18" t="inlineStr">
        <is>
          <t>Hairtails</t>
        </is>
      </c>
      <c r="C18" t="inlineStr">
        <is>
          <t>Regular</t>
        </is>
      </c>
      <c r="D18" t="n">
        <v>3.206991188715405</v>
      </c>
      <c r="E18" t="n">
        <v>0.1707128498531004</v>
      </c>
      <c r="F18" t="n">
        <v>0.998</v>
      </c>
      <c r="G18" t="n">
        <v>1.336</v>
      </c>
      <c r="H18" t="n">
        <v>0</v>
      </c>
      <c r="I18" t="n">
        <v>0</v>
      </c>
      <c r="J18" t="n">
        <v>137.300843</v>
      </c>
      <c r="K18" t="n">
        <v>2.023855</v>
      </c>
      <c r="L18" t="n">
        <v>1.935295</v>
      </c>
      <c r="M18" t="n">
        <v>245.6862</v>
      </c>
      <c r="N18" t="n">
        <v>262.948295</v>
      </c>
      <c r="O18" t="n">
        <v>262.422398</v>
      </c>
      <c r="P18" t="n">
        <v>395.11592</v>
      </c>
      <c r="Q18" t="n">
        <v>395.11592</v>
      </c>
      <c r="R18" t="n">
        <v>400.567632</v>
      </c>
      <c r="S18" t="n">
        <v>71.211755</v>
      </c>
      <c r="T18" t="n">
        <v>35.749118</v>
      </c>
      <c r="U18" t="n">
        <v>400.567632</v>
      </c>
      <c r="V18" t="n">
        <v>395.11592</v>
      </c>
      <c r="W18" t="n">
        <v>71.211755</v>
      </c>
      <c r="X18" t="n">
        <v>71.211755</v>
      </c>
      <c r="Y18" t="n">
        <v>35.749118</v>
      </c>
      <c r="Z18" t="n">
        <v>35.749118</v>
      </c>
      <c r="AA18" t="n">
        <v>71.925944</v>
      </c>
      <c r="AB18" t="n">
        <v>401.698177</v>
      </c>
    </row>
    <row r="19">
      <c r="A19" t="n">
        <v>15</v>
      </c>
      <c r="B19" t="inlineStr">
        <is>
          <t>Bombay duck</t>
        </is>
      </c>
      <c r="C19" t="inlineStr">
        <is>
          <t>Regular</t>
        </is>
      </c>
      <c r="D19" t="n">
        <v>3.772674520514855</v>
      </c>
      <c r="E19" t="n">
        <v>0.2365015618027666</v>
      </c>
      <c r="F19" t="n">
        <v>0.956</v>
      </c>
      <c r="G19" t="n">
        <v>0.11</v>
      </c>
      <c r="H19" t="n">
        <v>0</v>
      </c>
      <c r="I19" t="n">
        <v>0</v>
      </c>
      <c r="J19" t="n">
        <v>475.616645</v>
      </c>
      <c r="K19" t="n">
        <v>2.418044</v>
      </c>
      <c r="L19" t="n">
        <v>2.223977</v>
      </c>
      <c r="M19" t="n">
        <v>163.550723</v>
      </c>
      <c r="N19" t="n">
        <v>171.388581</v>
      </c>
      <c r="O19" t="n">
        <v>163.847484</v>
      </c>
      <c r="P19" t="n">
        <v>276.894756</v>
      </c>
      <c r="Q19" t="n">
        <v>276.894756</v>
      </c>
      <c r="R19" t="n">
        <v>279.916961</v>
      </c>
      <c r="S19" t="n">
        <v>82.586051</v>
      </c>
      <c r="T19" t="n">
        <v>39.003364</v>
      </c>
      <c r="U19" t="n">
        <v>279.916961</v>
      </c>
      <c r="V19" t="n">
        <v>276.894756</v>
      </c>
      <c r="W19" t="n">
        <v>82.586051</v>
      </c>
      <c r="X19" t="n">
        <v>82.586051</v>
      </c>
      <c r="Y19" t="n">
        <v>39.003364</v>
      </c>
      <c r="Z19" t="n">
        <v>39.003364</v>
      </c>
      <c r="AA19" t="n">
        <v>82.572946</v>
      </c>
      <c r="AB19" t="n">
        <v>277.056741</v>
      </c>
    </row>
    <row r="20">
      <c r="A20" t="n">
        <v>16</v>
      </c>
      <c r="B20" t="inlineStr">
        <is>
          <t>Planktivores/Benthivores</t>
        </is>
      </c>
      <c r="C20" t="inlineStr">
        <is>
          <t>Regular</t>
        </is>
      </c>
      <c r="D20" t="n">
        <v>2.958320591355371</v>
      </c>
      <c r="E20" t="n">
        <v>0.1101123595505618</v>
      </c>
      <c r="F20" t="n">
        <v>0.916</v>
      </c>
      <c r="G20" t="n">
        <v>0.609</v>
      </c>
      <c r="H20" t="n">
        <v>0</v>
      </c>
      <c r="I20" t="n">
        <v>0</v>
      </c>
      <c r="J20" t="n">
        <v>90.84783299999999</v>
      </c>
      <c r="K20" t="n">
        <v>1.907611</v>
      </c>
      <c r="L20" t="n">
        <v>1.91205</v>
      </c>
      <c r="M20" t="n">
        <v>124.271163</v>
      </c>
      <c r="N20" t="n">
        <v>124.271163</v>
      </c>
      <c r="O20" t="n">
        <v>113.832386</v>
      </c>
      <c r="P20" t="n">
        <v>118.840107</v>
      </c>
      <c r="Q20" t="n">
        <v>118.840107</v>
      </c>
      <c r="R20" t="n">
        <v>120.054666</v>
      </c>
      <c r="S20" t="n">
        <v>37.420523</v>
      </c>
      <c r="T20" t="n">
        <v>24.182504</v>
      </c>
      <c r="U20" t="n">
        <v>120.054666</v>
      </c>
      <c r="V20" t="n">
        <v>118.840107</v>
      </c>
      <c r="W20" t="n">
        <v>37.420523</v>
      </c>
      <c r="X20" t="n">
        <v>37.420523</v>
      </c>
      <c r="Y20" t="n">
        <v>24.182504</v>
      </c>
      <c r="Z20" t="n">
        <v>24.182504</v>
      </c>
      <c r="AA20" t="n">
        <v>38.102317</v>
      </c>
      <c r="AB20" t="n">
        <v>122.241888</v>
      </c>
    </row>
    <row r="21">
      <c r="A21" t="n">
        <v>17</v>
      </c>
      <c r="B21" t="inlineStr">
        <is>
          <t>Planktivores/piscivores</t>
        </is>
      </c>
      <c r="C21" t="inlineStr">
        <is>
          <t>Regular</t>
        </is>
      </c>
      <c r="D21" t="n">
        <v>3.098580953503004</v>
      </c>
      <c r="E21" t="n">
        <v>0.07551194539249147</v>
      </c>
      <c r="F21" t="n">
        <v>0.353</v>
      </c>
      <c r="G21" t="n">
        <v>2.588</v>
      </c>
      <c r="H21" t="n">
        <v>0</v>
      </c>
      <c r="I21" t="n">
        <v>0</v>
      </c>
      <c r="J21" t="n">
        <v>123.077794</v>
      </c>
      <c r="K21" t="n">
        <v>1.992402</v>
      </c>
      <c r="L21" t="n">
        <v>1.97781</v>
      </c>
      <c r="M21" t="n">
        <v>560.299311</v>
      </c>
      <c r="N21" t="n">
        <v>592.272682</v>
      </c>
      <c r="O21" t="n">
        <v>209.072257</v>
      </c>
      <c r="P21" t="n">
        <v>660.166914</v>
      </c>
      <c r="Q21" t="n">
        <v>660.166914</v>
      </c>
      <c r="R21" t="n">
        <v>670.165526</v>
      </c>
      <c r="S21" t="n">
        <v>72.857719</v>
      </c>
      <c r="T21" t="n">
        <v>43.071646</v>
      </c>
      <c r="U21" t="n">
        <v>670.165526</v>
      </c>
      <c r="V21" t="n">
        <v>660.166914</v>
      </c>
      <c r="W21" t="n">
        <v>72.857719</v>
      </c>
      <c r="X21" t="n">
        <v>72.857719</v>
      </c>
      <c r="Y21" t="n">
        <v>43.071646</v>
      </c>
      <c r="Z21" t="n">
        <v>43.071646</v>
      </c>
      <c r="AA21" t="n">
        <v>75.193746</v>
      </c>
      <c r="AB21" t="n">
        <v>683.804243</v>
      </c>
    </row>
    <row r="22">
      <c r="A22" t="n">
        <v>18</v>
      </c>
      <c r="B22" t="inlineStr">
        <is>
          <t>Benthivores/piscivores</t>
        </is>
      </c>
      <c r="C22" t="inlineStr">
        <is>
          <t>Regular</t>
        </is>
      </c>
      <c r="D22" t="n">
        <v>3.13873617353427</v>
      </c>
      <c r="E22" t="n">
        <v>0.4192130374182481</v>
      </c>
      <c r="F22" t="n">
        <v>0.985</v>
      </c>
      <c r="G22" t="n">
        <v>0.534</v>
      </c>
      <c r="H22" t="n">
        <v>0</v>
      </c>
      <c r="I22" t="n">
        <v>0</v>
      </c>
      <c r="J22" t="n">
        <v>136.120059</v>
      </c>
      <c r="K22" t="n">
        <v>2.021353</v>
      </c>
      <c r="L22" t="n">
        <v>2.039787</v>
      </c>
      <c r="M22" t="n">
        <v>36.046055</v>
      </c>
      <c r="N22" t="n">
        <v>36.076344</v>
      </c>
      <c r="O22" t="n">
        <v>35.535199</v>
      </c>
      <c r="P22" t="n">
        <v>34.759886</v>
      </c>
      <c r="Q22" t="n">
        <v>34.759886</v>
      </c>
      <c r="R22" t="n">
        <v>35.313702</v>
      </c>
      <c r="S22" t="n">
        <v>13.890783</v>
      </c>
      <c r="T22" t="n">
        <v>8.319739999999999</v>
      </c>
      <c r="U22" t="n">
        <v>35.313702</v>
      </c>
      <c r="V22" t="n">
        <v>34.759886</v>
      </c>
      <c r="W22" t="n">
        <v>13.890783</v>
      </c>
      <c r="X22" t="n">
        <v>13.890783</v>
      </c>
      <c r="Y22" t="n">
        <v>8.319739999999999</v>
      </c>
      <c r="Z22" t="n">
        <v>8.319739999999999</v>
      </c>
      <c r="AA22" t="n">
        <v>14.220855</v>
      </c>
      <c r="AB22" t="n">
        <v>35.767132</v>
      </c>
    </row>
    <row r="23">
      <c r="A23" t="n">
        <v>19</v>
      </c>
      <c r="B23" t="inlineStr">
        <is>
          <t>Omnivores</t>
        </is>
      </c>
      <c r="C23" t="inlineStr">
        <is>
          <t>Regular</t>
        </is>
      </c>
      <c r="D23" t="n">
        <v>3.13932907764769</v>
      </c>
      <c r="E23" t="n">
        <v>0.4102852852852852</v>
      </c>
      <c r="F23" t="n">
        <v>0.999</v>
      </c>
      <c r="G23" t="n">
        <v>0.136</v>
      </c>
      <c r="H23" t="n">
        <v>0</v>
      </c>
      <c r="I23" t="n">
        <v>0</v>
      </c>
      <c r="J23" t="n">
        <v>131.221463</v>
      </c>
      <c r="K23" t="n">
        <v>2.01077</v>
      </c>
      <c r="L23" t="n">
        <v>2.036134</v>
      </c>
      <c r="M23" t="n">
        <v>66.04435700000001</v>
      </c>
      <c r="N23" t="n">
        <v>68.25582300000001</v>
      </c>
      <c r="O23" t="n">
        <v>68.187568</v>
      </c>
      <c r="P23" t="n">
        <v>72.544996</v>
      </c>
      <c r="Q23" t="n">
        <v>72.544996</v>
      </c>
      <c r="R23" t="n">
        <v>73.57283200000001</v>
      </c>
      <c r="S23" t="n">
        <v>17.500018</v>
      </c>
      <c r="T23" t="n">
        <v>10.032554</v>
      </c>
      <c r="U23" t="n">
        <v>73.57283200000001</v>
      </c>
      <c r="V23" t="n">
        <v>72.544996</v>
      </c>
      <c r="W23" t="n">
        <v>17.500018</v>
      </c>
      <c r="X23" t="n">
        <v>17.500018</v>
      </c>
      <c r="Y23" t="n">
        <v>10.032554</v>
      </c>
      <c r="Z23" t="n">
        <v>10.032554</v>
      </c>
      <c r="AA23" t="n">
        <v>17.704629</v>
      </c>
      <c r="AB23" t="n">
        <v>72.854687</v>
      </c>
    </row>
    <row r="24">
      <c r="A24" t="n">
        <v>20</v>
      </c>
      <c r="B24" t="inlineStr">
        <is>
          <t>Large yellow croakers</t>
        </is>
      </c>
      <c r="C24" t="inlineStr">
        <is>
          <t>Regular</t>
        </is>
      </c>
      <c r="D24" t="n">
        <v>3.390382324723566</v>
      </c>
      <c r="E24" t="n">
        <v>0.4335436596784042</v>
      </c>
      <c r="F24" t="n">
        <v>0.997</v>
      </c>
      <c r="G24" t="n">
        <v>0.00107</v>
      </c>
      <c r="H24" t="n">
        <v>0</v>
      </c>
      <c r="I24" t="n">
        <v>0</v>
      </c>
      <c r="J24" t="n">
        <v>245.321683</v>
      </c>
      <c r="K24" t="n">
        <v>2.19929</v>
      </c>
      <c r="L24" t="n">
        <v>2.227316</v>
      </c>
      <c r="M24" t="n">
        <v>53.229062</v>
      </c>
      <c r="N24" t="n">
        <v>53.229062</v>
      </c>
      <c r="O24" t="n">
        <v>53.069375</v>
      </c>
      <c r="P24" t="n">
        <v>50.554211</v>
      </c>
      <c r="Q24" t="n">
        <v>50.554211</v>
      </c>
      <c r="R24" t="n">
        <v>51.236033</v>
      </c>
      <c r="S24" t="n">
        <v>21.207838</v>
      </c>
      <c r="T24" t="n">
        <v>11.769056</v>
      </c>
      <c r="U24" t="n">
        <v>51.236033</v>
      </c>
      <c r="V24" t="n">
        <v>50.554211</v>
      </c>
      <c r="W24" t="n">
        <v>21.207838</v>
      </c>
      <c r="X24" t="n">
        <v>21.207838</v>
      </c>
      <c r="Y24" t="n">
        <v>11.769056</v>
      </c>
      <c r="Z24" t="n">
        <v>11.769056</v>
      </c>
      <c r="AA24" t="n">
        <v>21.896355</v>
      </c>
      <c r="AB24" t="n">
        <v>53.886477</v>
      </c>
    </row>
    <row r="25">
      <c r="A25" t="n">
        <v>21</v>
      </c>
      <c r="B25" t="inlineStr">
        <is>
          <t>Small yellow croakers</t>
        </is>
      </c>
      <c r="C25" t="inlineStr">
        <is>
          <t>Regular</t>
        </is>
      </c>
      <c r="D25" t="n">
        <v>3.146723685909917</v>
      </c>
      <c r="E25" t="n">
        <v>0.4779370901411582</v>
      </c>
      <c r="F25" t="n">
        <v>0.2259999999999999</v>
      </c>
      <c r="G25" t="n">
        <v>0.356</v>
      </c>
      <c r="H25" t="n">
        <v>0</v>
      </c>
      <c r="I25" t="n">
        <v>0</v>
      </c>
      <c r="J25" t="n">
        <v>133.416232</v>
      </c>
      <c r="K25" t="n">
        <v>2.015553</v>
      </c>
      <c r="L25" t="n">
        <v>2.043652</v>
      </c>
      <c r="M25" t="n">
        <v>272.245191</v>
      </c>
      <c r="N25" t="n">
        <v>278.64023</v>
      </c>
      <c r="O25" t="n">
        <v>62.972692</v>
      </c>
      <c r="P25" t="n">
        <v>308.698938</v>
      </c>
      <c r="Q25" t="n">
        <v>308.698938</v>
      </c>
      <c r="R25" t="n">
        <v>312.828133</v>
      </c>
      <c r="S25" t="n">
        <v>15.479061</v>
      </c>
      <c r="T25" t="n">
        <v>8.820708</v>
      </c>
      <c r="U25" t="n">
        <v>312.828133</v>
      </c>
      <c r="V25" t="n">
        <v>308.698938</v>
      </c>
      <c r="W25" t="n">
        <v>15.479061</v>
      </c>
      <c r="X25" t="n">
        <v>15.479061</v>
      </c>
      <c r="Y25" t="n">
        <v>8.820708</v>
      </c>
      <c r="Z25" t="n">
        <v>8.820708</v>
      </c>
      <c r="AA25" t="n">
        <v>15.817561</v>
      </c>
      <c r="AB25" t="n">
        <v>303.129451</v>
      </c>
    </row>
    <row r="26">
      <c r="A26" t="n">
        <v>22</v>
      </c>
      <c r="B26" t="inlineStr">
        <is>
          <t>Sharks</t>
        </is>
      </c>
      <c r="C26" t="inlineStr">
        <is>
          <t>Regular</t>
        </is>
      </c>
      <c r="D26" t="n">
        <v>4.081369216765723</v>
      </c>
      <c r="E26" t="n">
        <v>0.15625</v>
      </c>
      <c r="F26" t="n">
        <v>0</v>
      </c>
      <c r="G26" t="n">
        <v>0.00889</v>
      </c>
      <c r="H26" t="n">
        <v>0</v>
      </c>
      <c r="I26" t="n">
        <v>0</v>
      </c>
      <c r="J26" t="n">
        <v>1154.744061</v>
      </c>
      <c r="K26" t="n">
        <v>2.745621</v>
      </c>
      <c r="L26" t="n">
        <v>2.742397</v>
      </c>
      <c r="M26" t="n">
        <v>0</v>
      </c>
      <c r="N26" t="n">
        <v>152.583853</v>
      </c>
      <c r="O26" t="n">
        <v>0</v>
      </c>
      <c r="P26" t="n">
        <v>0</v>
      </c>
      <c r="Q26" t="n">
        <v>0</v>
      </c>
      <c r="R26" t="n">
        <v>0</v>
      </c>
      <c r="S26" t="n">
        <v>205.199674</v>
      </c>
      <c r="T26" t="n">
        <v>93.831501</v>
      </c>
      <c r="U26" t="n">
        <v>0</v>
      </c>
      <c r="V26" t="n">
        <v>0</v>
      </c>
      <c r="W26" t="n">
        <v>205.199674</v>
      </c>
      <c r="X26" t="n">
        <v>205.199674</v>
      </c>
      <c r="Y26" t="n">
        <v>93.831501</v>
      </c>
      <c r="Z26" t="n">
        <v>93.831501</v>
      </c>
      <c r="AA26" t="n">
        <v>205.695409</v>
      </c>
      <c r="AB26" t="n">
        <v>0</v>
      </c>
    </row>
    <row r="27">
      <c r="A27" t="n">
        <v>23</v>
      </c>
      <c r="B27" t="inlineStr">
        <is>
          <t>Marine mammals</t>
        </is>
      </c>
      <c r="C27" t="inlineStr">
        <is>
          <t>Regular</t>
        </is>
      </c>
      <c r="D27" t="n">
        <v>3.813643593695144</v>
      </c>
      <c r="E27" t="n">
        <v>0.001666666666666667</v>
      </c>
      <c r="F27" t="n">
        <v>0</v>
      </c>
      <c r="G27" t="n">
        <v>0.00404</v>
      </c>
      <c r="H27" t="n">
        <v>0</v>
      </c>
      <c r="I27" t="n">
        <v>0</v>
      </c>
      <c r="J27" t="n">
        <v>645.615267</v>
      </c>
      <c r="K27" t="n">
        <v>2.526232</v>
      </c>
      <c r="L27" t="n">
        <v>2.552311</v>
      </c>
      <c r="M27" t="n">
        <v>0</v>
      </c>
      <c r="N27" t="n">
        <v>134.04481</v>
      </c>
      <c r="O27" t="n">
        <v>0</v>
      </c>
      <c r="P27" t="n">
        <v>0</v>
      </c>
      <c r="Q27" t="n">
        <v>0</v>
      </c>
      <c r="R27" t="n">
        <v>0</v>
      </c>
      <c r="S27" t="n">
        <v>14483.936801</v>
      </c>
      <c r="T27" t="n">
        <v>7073.497546</v>
      </c>
      <c r="U27" t="n">
        <v>0</v>
      </c>
      <c r="V27" t="n">
        <v>0</v>
      </c>
      <c r="W27" t="n">
        <v>14483.936801</v>
      </c>
      <c r="X27" t="n">
        <v>14483.936801</v>
      </c>
      <c r="Y27" t="n">
        <v>7073.497546</v>
      </c>
      <c r="Z27" t="n">
        <v>7073.497546</v>
      </c>
      <c r="AA27" t="n">
        <v>14750.339126</v>
      </c>
      <c r="AB27" t="n">
        <v>0</v>
      </c>
    </row>
    <row r="28">
      <c r="A28" t="n">
        <v>24</v>
      </c>
      <c r="B28" t="inlineStr">
        <is>
          <t>Detritus</t>
        </is>
      </c>
      <c r="C28" t="inlineStr">
        <is>
          <t>DET</t>
        </is>
      </c>
      <c r="D28" t="n">
        <v>1</v>
      </c>
      <c r="E28" t="n">
        <v>1</v>
      </c>
      <c r="F28" t="n">
        <v>1</v>
      </c>
      <c r="G28" t="n">
        <v>100</v>
      </c>
      <c r="H28" t="n">
        <v>0</v>
      </c>
      <c r="I28" t="n">
        <v>0</v>
      </c>
      <c r="J28" t="n">
        <v>1</v>
      </c>
      <c r="K28" t="n">
        <v>1</v>
      </c>
      <c r="L28" t="n">
        <v>1</v>
      </c>
      <c r="M28" t="n">
        <v>1</v>
      </c>
      <c r="N28" t="n">
        <v>0</v>
      </c>
      <c r="O28" t="n">
        <v>1</v>
      </c>
      <c r="P28" t="n">
        <v>0.854505</v>
      </c>
      <c r="Q28" t="n">
        <v>0.854505</v>
      </c>
      <c r="R28" t="n">
        <v>0.886961</v>
      </c>
      <c r="S28" t="n">
        <v>1.184457</v>
      </c>
      <c r="T28" t="n">
        <v>1.218114</v>
      </c>
      <c r="U28" t="n">
        <v>0.886961</v>
      </c>
      <c r="V28" t="n">
        <v>0.854505</v>
      </c>
      <c r="W28" t="n">
        <v>1.184457</v>
      </c>
      <c r="X28" t="n">
        <v>1.184457</v>
      </c>
      <c r="Y28" t="n">
        <v>1.218114</v>
      </c>
      <c r="Z28" t="n">
        <v>1.218114</v>
      </c>
      <c r="AA28" t="n">
        <v>1.184483</v>
      </c>
      <c r="AB28" t="n">
        <v>0.863581</v>
      </c>
    </row>
    <row r="29">
      <c r="A29" t="n">
        <v>25</v>
      </c>
      <c r="B29" t="inlineStr">
        <is>
          <t>diet_import</t>
        </is>
      </c>
      <c r="C29" t="inlineStr">
        <is>
          <t>Import</t>
        </is>
      </c>
      <c r="D29" t="n">
        <v>1</v>
      </c>
      <c r="E29" t="n">
        <v>0</v>
      </c>
      <c r="F29" t="n">
        <v>0</v>
      </c>
      <c r="G29" t="n">
        <v>1</v>
      </c>
      <c r="H29" t="n">
        <v>0</v>
      </c>
      <c r="I29" t="n">
        <v>0</v>
      </c>
      <c r="J29" t="n">
        <v>1</v>
      </c>
      <c r="K29" t="n">
        <v>1</v>
      </c>
      <c r="L29" t="n">
        <v>1</v>
      </c>
      <c r="M29" t="n">
        <v>1</v>
      </c>
      <c r="N29" t="n">
        <v>0</v>
      </c>
      <c r="O29" t="n">
        <v>0</v>
      </c>
      <c r="P29" t="n">
        <v>1</v>
      </c>
      <c r="Q29" t="n">
        <v>1</v>
      </c>
      <c r="R29" t="n">
        <v>1</v>
      </c>
      <c r="S29" t="n">
        <v>1</v>
      </c>
      <c r="T29" t="n">
        <v>1</v>
      </c>
      <c r="U29" t="n">
        <v>1</v>
      </c>
      <c r="W29" t="n">
        <v>1</v>
      </c>
      <c r="Y29" t="n">
        <v>1</v>
      </c>
      <c r="AA29" t="n">
        <v>1</v>
      </c>
      <c r="AB2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6" customWidth="1" min="1" max="1"/>
    <col width="22" customWidth="1" min="2" max="2"/>
  </cols>
  <sheetData>
    <row r="1">
      <c r="A1" s="1" t="inlineStr">
        <is>
          <t>Net primary production, 2019, tonnes carbon per year</t>
        </is>
      </c>
    </row>
    <row r="3">
      <c r="A3" s="4" t="inlineStr">
        <is>
          <t>satellite_model</t>
        </is>
      </c>
      <c r="B3" s="4" t="inlineStr">
        <is>
          <t>npp_tC_yr</t>
        </is>
      </c>
    </row>
    <row r="4">
      <c r="A4" t="inlineStr">
        <is>
          <t>Antoine-Morel</t>
        </is>
      </c>
      <c r="B4" t="n">
        <v>224789603.8978657</v>
      </c>
    </row>
    <row r="5">
      <c r="A5" t="inlineStr">
        <is>
          <t>VGPM</t>
        </is>
      </c>
      <c r="B5" t="n">
        <v>266988134.1377512</v>
      </c>
    </row>
    <row r="6">
      <c r="A6" t="inlineStr">
        <is>
          <t>Eppley</t>
        </is>
      </c>
      <c r="B6" t="n">
        <v>278231031.208744</v>
      </c>
    </row>
    <row r="7">
      <c r="A7" t="inlineStr">
        <is>
          <t>CbPM</t>
        </is>
      </c>
      <c r="B7" t="n">
        <v>228889348.0035157</v>
      </c>
    </row>
    <row r="8">
      <c r="A8" t="inlineStr">
        <is>
          <t>CAFE</t>
        </is>
      </c>
      <c r="B8" t="n">
        <v>130207469.9293245</v>
      </c>
    </row>
    <row r="10">
      <c r="A10" t="inlineStr">
        <is>
          <t>ensemble median</t>
        </is>
      </c>
      <c r="B10" t="n">
        <v>228889348.0035157</v>
      </c>
    </row>
    <row r="11">
      <c r="A11" t="inlineStr">
        <is>
          <t>ensemble min</t>
        </is>
      </c>
      <c r="B11" t="n">
        <v>130207469.9293245</v>
      </c>
    </row>
    <row r="12">
      <c r="A12" t="inlineStr">
        <is>
          <t>ensemble max</t>
        </is>
      </c>
      <c r="B12" t="n">
        <v>278231031.208744</v>
      </c>
    </row>
    <row r="13">
      <c r="A13" t="inlineStr">
        <is>
          <t>water area (km2)</t>
        </is>
      </c>
      <c r="B13" t="n">
        <v>770163.5803004989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2026-09-06T23:53:37Z</dcterms:created>
  <dcterms:modified xsi:type="dcterms:W3CDTF">2026-09-06T23:53:38Z</dcterms:modified>
</cp:coreProperties>
</file>