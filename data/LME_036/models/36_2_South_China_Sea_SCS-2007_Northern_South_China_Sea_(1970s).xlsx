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Taxon-Group Map" sheetId="3" state="visible" r:id="rId3"/>
    <sheet name="Final mappings" sheetId="4" state="visible" r:id="rId4"/>
    <sheet name="SPPR" sheetId="5" state="visible" r:id="rId5"/>
    <sheet name="PPR by method" sheetId="6" state="visible" r:id="rId6"/>
    <sheet name="sppr_inner" sheetId="7" state="visible" r:id="rId7"/>
    <sheet name="PPR inner" sheetId="8" state="visible" r:id="rId8"/>
    <sheet name="sppr_PP" sheetId="9" state="visible" r:id="rId9"/>
    <sheet name="PPR PP" sheetId="10" state="visible" r:id="rId10"/>
    <sheet name="Recycling" sheetId="11" state="visible" r:id="rId11"/>
    <sheet name="PPR by taxon" sheetId="12" state="visible" r:id="rId12"/>
    <sheet name="Model groups" sheetId="13" state="visible" r:id="rId13"/>
    <sheet name="NPP" sheetId="14" state="visible" r:id="rId14"/>
  </sheets>
  <definedNames>
    <definedName name="_xlnm._FilterDatabase" localSheetId="3" hidden="1">'Final mappings'!$A$4:$M$568</definedName>
    <definedName name="_xlnm._FilterDatabase" localSheetId="13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000000000"/>
    <numFmt numFmtId="165" formatCode="#,##0.000000"/>
  </numFmts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  <font>
      <i val="1"/>
    </font>
    <font>
      <i val="1"/>
      <color rgb="00808080"/>
    </font>
    <font>
      <b val="1"/>
      <color rgb="009C0006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49C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0" fillId="0" borderId="0" applyAlignment="1" pivotButton="0" quotePrefix="0" xfId="0">
      <alignment vertical="top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0" fontId="5" fillId="0" borderId="0" pivotButton="0" quotePrefix="0" xfId="0"/>
    <xf numFmtId="0" fontId="1" fillId="2" borderId="0" applyAlignment="1" pivotButton="0" quotePrefix="0" xfId="0">
      <alignment vertical="center" wrapText="1"/>
    </xf>
    <xf numFmtId="0" fontId="6" fillId="0" borderId="0" pivotButton="0" quotePrefix="0" xfId="0"/>
    <xf numFmtId="0" fontId="0" fillId="0" borderId="0" applyAlignment="1" pivotButton="0" quotePrefix="0" xfId="0">
      <alignment/>
    </xf>
    <xf numFmtId="165" fontId="0" fillId="0" borderId="0" pivotButton="0" quotePrefix="0" xfId="0"/>
    <xf numFmtId="0" fontId="7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20" customWidth="1" min="3" max="3"/>
    <col width="24" customWidth="1" min="4" max="4"/>
    <col width="20" customWidth="1" min="5" max="5"/>
    <col width="24" customWidth="1" min="6" max="6"/>
  </cols>
  <sheetData>
    <row r="1">
      <c r="A1" s="1" t="inlineStr">
        <is>
          <t>LME_036 — South China Sea</t>
        </is>
      </c>
    </row>
    <row r="2">
      <c r="A2" s="2" t="inlineStr">
        <is>
          <t>Ecopath model: 36_2_South_China_Sea_SCS-2007_Northern_South_China_Sea_(1970s)</t>
        </is>
      </c>
    </row>
    <row r="3">
      <c r="A3" s="3" t="inlineStr">
        <is>
          <t>Northern South China Sea subregion; 2000s preferred, 1970s retained separately. Northern South China Sea, 1970s: source audit</t>
        </is>
      </c>
    </row>
    <row r="5">
      <c r="A5" t="inlineStr">
        <is>
          <t>region type</t>
        </is>
      </c>
      <c r="B5" t="inlineStr">
        <is>
          <t>LME</t>
        </is>
      </c>
    </row>
    <row r="6">
      <c r="A6" t="inlineStr">
        <is>
          <t>latitude</t>
        </is>
      </c>
      <c r="B6" t="inlineStr">
        <is>
          <t>14.57461</t>
        </is>
      </c>
    </row>
    <row r="7">
      <c r="A7" t="inlineStr">
        <is>
          <t>longitude</t>
        </is>
      </c>
      <c r="B7" t="inlineStr">
        <is>
          <t>111.57788</t>
        </is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374</v>
      </c>
    </row>
    <row r="10">
      <c r="A10" t="inlineStr">
        <is>
          <t>taxa apportioned across groups</t>
        </is>
      </c>
      <c r="B10" t="n">
        <v>163</v>
      </c>
    </row>
    <row r="11">
      <c r="A11" t="inlineStr">
        <is>
          <t>taxa unresolved</t>
        </is>
      </c>
      <c r="B11" t="n">
        <v>12</v>
      </c>
    </row>
    <row r="12">
      <c r="A12" t="inlineStr">
        <is>
          <t>catch tonnage on a named group, %</t>
        </is>
      </c>
      <c r="B12" t="n">
        <v>99.8</v>
      </c>
    </row>
    <row r="13">
      <c r="A13" t="inlineStr">
        <is>
          <t>SPPR methods</t>
        </is>
      </c>
      <c r="B13" t="n">
        <v>20</v>
      </c>
    </row>
    <row r="14">
      <c r="A14" t="inlineStr">
        <is>
          <t>methods flagged as unusable</t>
        </is>
      </c>
      <c r="B14" t="n">
        <v>0</v>
      </c>
    </row>
    <row r="15">
      <c r="A15" t="inlineStr">
        <is>
          <t>headline method below</t>
        </is>
      </c>
      <c r="B15" t="inlineStr">
        <is>
          <t>new_TE_EEfix</t>
        </is>
      </c>
    </row>
    <row r="17">
      <c r="A17" s="4" t="inlineStr">
        <is>
          <t>year</t>
        </is>
      </c>
      <c r="B17" s="4" t="inlineStr">
        <is>
          <t>catch_tonnes</t>
        </is>
      </c>
      <c r="C17" s="4" t="inlineStr">
        <is>
          <t>ppr_simple</t>
        </is>
      </c>
      <c r="D17" s="4" t="inlineStr">
        <is>
          <t>ppr_new_TE_EEfix</t>
        </is>
      </c>
      <c r="E17" s="4" t="inlineStr">
        <is>
          <t>ppr_simple / NPP %</t>
        </is>
      </c>
      <c r="F17" s="4" t="inlineStr">
        <is>
          <t>ppr_new_TE_EEfix / NPP %</t>
        </is>
      </c>
    </row>
    <row r="18">
      <c r="A18" t="n">
        <v>1950</v>
      </c>
      <c r="B18" t="n">
        <v>669965.931</v>
      </c>
      <c r="C18" t="n">
        <v>529201121.408</v>
      </c>
      <c r="D18" t="n">
        <v>5340072572.594</v>
      </c>
    </row>
    <row r="19">
      <c r="A19" t="n">
        <v>1951</v>
      </c>
      <c r="B19" t="n">
        <v>806956.982</v>
      </c>
      <c r="C19" t="n">
        <v>671908727.003</v>
      </c>
      <c r="D19" t="n">
        <v>6769291557.962</v>
      </c>
    </row>
    <row r="20">
      <c r="A20" t="n">
        <v>1952</v>
      </c>
      <c r="B20" t="n">
        <v>928289.0330000001</v>
      </c>
      <c r="C20" t="n">
        <v>809476842.367</v>
      </c>
      <c r="D20" t="n">
        <v>8164556708.785</v>
      </c>
    </row>
    <row r="21">
      <c r="A21" t="n">
        <v>1953</v>
      </c>
      <c r="B21" t="n">
        <v>943988.694</v>
      </c>
      <c r="C21" t="n">
        <v>823020425.451</v>
      </c>
      <c r="D21" t="n">
        <v>8340909675.554</v>
      </c>
    </row>
    <row r="22">
      <c r="A22" t="n">
        <v>1954</v>
      </c>
      <c r="B22" t="n">
        <v>1232458.654</v>
      </c>
      <c r="C22" t="n">
        <v>1066341433.782</v>
      </c>
      <c r="D22" t="n">
        <v>10126933469.149</v>
      </c>
    </row>
    <row r="23">
      <c r="A23" t="n">
        <v>1955</v>
      </c>
      <c r="B23" t="n">
        <v>1361957.271</v>
      </c>
      <c r="C23" t="n">
        <v>1291769291.911</v>
      </c>
      <c r="D23" t="n">
        <v>11600292619.83</v>
      </c>
    </row>
    <row r="24">
      <c r="A24" t="n">
        <v>1956</v>
      </c>
      <c r="B24" t="n">
        <v>1512529.118</v>
      </c>
      <c r="C24" t="n">
        <v>1410283387.042</v>
      </c>
      <c r="D24" t="n">
        <v>12952016465.106</v>
      </c>
    </row>
    <row r="25">
      <c r="A25" t="n">
        <v>1957</v>
      </c>
      <c r="B25" t="n">
        <v>1487897.884</v>
      </c>
      <c r="C25" t="n">
        <v>1410658519.899</v>
      </c>
      <c r="D25" t="n">
        <v>12850113538.404</v>
      </c>
    </row>
    <row r="26">
      <c r="A26" t="n">
        <v>1958</v>
      </c>
      <c r="B26" t="n">
        <v>1610483.524</v>
      </c>
      <c r="C26" t="n">
        <v>1442459390.052</v>
      </c>
      <c r="D26" t="n">
        <v>13566499932.817</v>
      </c>
    </row>
    <row r="27">
      <c r="A27" t="n">
        <v>1959</v>
      </c>
      <c r="B27" t="n">
        <v>1691417.686</v>
      </c>
      <c r="C27" t="n">
        <v>1582528198.463</v>
      </c>
      <c r="D27" t="n">
        <v>14496515164.818</v>
      </c>
    </row>
    <row r="28">
      <c r="A28" t="n">
        <v>1960</v>
      </c>
      <c r="B28" t="n">
        <v>1891940.773</v>
      </c>
      <c r="C28" t="n">
        <v>1744051142.508</v>
      </c>
      <c r="D28" t="n">
        <v>16308704405.031</v>
      </c>
    </row>
    <row r="29">
      <c r="A29" t="n">
        <v>1961</v>
      </c>
      <c r="B29" t="n">
        <v>1828357.238</v>
      </c>
      <c r="C29" t="n">
        <v>1704972049.741</v>
      </c>
      <c r="D29" t="n">
        <v>15788073155.656</v>
      </c>
    </row>
    <row r="30">
      <c r="A30" t="n">
        <v>1962</v>
      </c>
      <c r="B30" t="n">
        <v>2052043.929</v>
      </c>
      <c r="C30" t="n">
        <v>1871921089.826</v>
      </c>
      <c r="D30" t="n">
        <v>17871025011.586</v>
      </c>
    </row>
    <row r="31">
      <c r="A31" t="n">
        <v>1963</v>
      </c>
      <c r="B31" t="n">
        <v>2168856.394</v>
      </c>
      <c r="C31" t="n">
        <v>2012519229.388</v>
      </c>
      <c r="D31" t="n">
        <v>18729830484.902</v>
      </c>
    </row>
    <row r="32">
      <c r="A32" t="n">
        <v>1964</v>
      </c>
      <c r="B32" t="n">
        <v>2255150.948</v>
      </c>
      <c r="C32" t="n">
        <v>2021690999.084</v>
      </c>
      <c r="D32" t="n">
        <v>19130404644.272</v>
      </c>
    </row>
    <row r="33">
      <c r="A33" t="n">
        <v>1965</v>
      </c>
      <c r="B33" t="n">
        <v>2379063.629</v>
      </c>
      <c r="C33" t="n">
        <v>2140043508.014</v>
      </c>
      <c r="D33" t="n">
        <v>20740259265.68</v>
      </c>
    </row>
    <row r="34">
      <c r="A34" t="n">
        <v>1966</v>
      </c>
      <c r="B34" t="n">
        <v>2500228.528</v>
      </c>
      <c r="C34" t="n">
        <v>2201497309.604</v>
      </c>
      <c r="D34" t="n">
        <v>21847512083.016</v>
      </c>
    </row>
    <row r="35">
      <c r="A35" t="n">
        <v>1967</v>
      </c>
      <c r="B35" t="n">
        <v>2442944.969</v>
      </c>
      <c r="C35" t="n">
        <v>2207225976.168</v>
      </c>
      <c r="D35" t="n">
        <v>21839740232.475</v>
      </c>
    </row>
    <row r="36">
      <c r="A36" t="n">
        <v>1968</v>
      </c>
      <c r="B36" t="n">
        <v>2551091.651</v>
      </c>
      <c r="C36" t="n">
        <v>2274005904.799</v>
      </c>
      <c r="D36" t="n">
        <v>23047048062.481</v>
      </c>
    </row>
    <row r="37">
      <c r="A37" t="n">
        <v>1969</v>
      </c>
      <c r="B37" t="n">
        <v>2636413.23</v>
      </c>
      <c r="C37" t="n">
        <v>2254954379.378</v>
      </c>
      <c r="D37" t="n">
        <v>23747341407.186</v>
      </c>
    </row>
    <row r="38">
      <c r="A38" t="n">
        <v>1970</v>
      </c>
      <c r="B38" t="n">
        <v>2718628.097</v>
      </c>
      <c r="C38" t="n">
        <v>2183640185.353</v>
      </c>
      <c r="D38" t="n">
        <v>22863880013.321</v>
      </c>
    </row>
    <row r="39">
      <c r="A39" t="n">
        <v>1971</v>
      </c>
      <c r="B39" t="n">
        <v>2690880.955</v>
      </c>
      <c r="C39" t="n">
        <v>2258568174.156</v>
      </c>
      <c r="D39" t="n">
        <v>23335682890.385</v>
      </c>
    </row>
    <row r="40">
      <c r="A40" t="n">
        <v>1972</v>
      </c>
      <c r="B40" t="n">
        <v>2808594.835</v>
      </c>
      <c r="C40" t="n">
        <v>2456380945.333</v>
      </c>
      <c r="D40" t="n">
        <v>24401391960.77</v>
      </c>
    </row>
    <row r="41">
      <c r="A41" t="n">
        <v>1973</v>
      </c>
      <c r="B41" t="n">
        <v>3078361.561</v>
      </c>
      <c r="C41" t="n">
        <v>2623704166.609</v>
      </c>
      <c r="D41" t="n">
        <v>26769035110.077</v>
      </c>
    </row>
    <row r="42">
      <c r="A42" t="n">
        <v>1974</v>
      </c>
      <c r="B42" t="n">
        <v>3138126.251</v>
      </c>
      <c r="C42" t="n">
        <v>2632179468.044</v>
      </c>
      <c r="D42" t="n">
        <v>26492184962.719</v>
      </c>
    </row>
    <row r="43">
      <c r="A43" t="n">
        <v>1975</v>
      </c>
      <c r="B43" t="n">
        <v>3209233.522</v>
      </c>
      <c r="C43" t="n">
        <v>2585898633.144</v>
      </c>
      <c r="D43" t="n">
        <v>26430673773.8</v>
      </c>
    </row>
    <row r="44">
      <c r="A44" t="n">
        <v>1976</v>
      </c>
      <c r="B44" t="n">
        <v>3237894.779</v>
      </c>
      <c r="C44" t="n">
        <v>2584707409.545</v>
      </c>
      <c r="D44" t="n">
        <v>26597277214.998</v>
      </c>
    </row>
    <row r="45">
      <c r="A45" t="n">
        <v>1977</v>
      </c>
      <c r="B45" t="n">
        <v>3426079.919</v>
      </c>
      <c r="C45" t="n">
        <v>2600006598.381</v>
      </c>
      <c r="D45" t="n">
        <v>27145228585.217</v>
      </c>
    </row>
    <row r="46">
      <c r="A46" t="n">
        <v>1978</v>
      </c>
      <c r="B46" t="n">
        <v>3401029.485</v>
      </c>
      <c r="C46" t="n">
        <v>2475430599.232</v>
      </c>
      <c r="D46" t="n">
        <v>26653477435.276</v>
      </c>
    </row>
    <row r="47">
      <c r="A47" t="n">
        <v>1979</v>
      </c>
      <c r="B47" t="n">
        <v>3453178.508</v>
      </c>
      <c r="C47" t="n">
        <v>2648685511.595</v>
      </c>
      <c r="D47" t="n">
        <v>27611385084.974</v>
      </c>
    </row>
    <row r="48">
      <c r="A48" t="n">
        <v>1980</v>
      </c>
      <c r="B48" t="n">
        <v>3442875.736</v>
      </c>
      <c r="C48" t="n">
        <v>2583552999.876</v>
      </c>
      <c r="D48" t="n">
        <v>27388290930.956</v>
      </c>
    </row>
    <row r="49">
      <c r="A49" t="n">
        <v>1981</v>
      </c>
      <c r="B49" t="n">
        <v>3575474.739</v>
      </c>
      <c r="C49" t="n">
        <v>2698533692.361</v>
      </c>
      <c r="D49" t="n">
        <v>28840226559.922</v>
      </c>
    </row>
    <row r="50">
      <c r="A50" t="n">
        <v>1982</v>
      </c>
      <c r="B50" t="n">
        <v>3845630.664</v>
      </c>
      <c r="C50" t="n">
        <v>2856220420.731</v>
      </c>
      <c r="D50" t="n">
        <v>30660416279.63</v>
      </c>
    </row>
    <row r="51">
      <c r="A51" t="n">
        <v>1983</v>
      </c>
      <c r="B51" t="n">
        <v>4087304.699</v>
      </c>
      <c r="C51" t="n">
        <v>2970787071.719</v>
      </c>
      <c r="D51" t="n">
        <v>31173279448.594</v>
      </c>
    </row>
    <row r="52">
      <c r="A52" t="n">
        <v>1984</v>
      </c>
      <c r="B52" t="n">
        <v>4286143.158</v>
      </c>
      <c r="C52" t="n">
        <v>3009747423.799</v>
      </c>
      <c r="D52" t="n">
        <v>32535407178.245</v>
      </c>
    </row>
    <row r="53">
      <c r="A53" t="n">
        <v>1985</v>
      </c>
      <c r="B53" t="n">
        <v>4596895.936</v>
      </c>
      <c r="C53" t="n">
        <v>3058991582.644</v>
      </c>
      <c r="D53" t="n">
        <v>33536181131.975</v>
      </c>
    </row>
    <row r="54">
      <c r="A54" t="n">
        <v>1986</v>
      </c>
      <c r="B54" t="n">
        <v>4717045.375</v>
      </c>
      <c r="C54" t="n">
        <v>3144725004.555</v>
      </c>
      <c r="D54" t="n">
        <v>33939217891.846</v>
      </c>
    </row>
    <row r="55">
      <c r="A55" t="n">
        <v>1987</v>
      </c>
      <c r="B55" t="n">
        <v>5132754.261</v>
      </c>
      <c r="C55" t="n">
        <v>3277813240.519</v>
      </c>
      <c r="D55" t="n">
        <v>35677643973.56</v>
      </c>
    </row>
    <row r="56">
      <c r="A56" t="n">
        <v>1988</v>
      </c>
      <c r="B56" t="n">
        <v>5302606.554</v>
      </c>
      <c r="C56" t="n">
        <v>3384829112.511</v>
      </c>
      <c r="D56" t="n">
        <v>34543022562.664</v>
      </c>
    </row>
    <row r="57">
      <c r="A57" t="n">
        <v>1989</v>
      </c>
      <c r="B57" t="n">
        <v>5388107.118</v>
      </c>
      <c r="C57" t="n">
        <v>3547193273.059</v>
      </c>
      <c r="D57" t="n">
        <v>36112686603.842</v>
      </c>
    </row>
    <row r="58">
      <c r="A58" t="n">
        <v>1990</v>
      </c>
      <c r="B58" t="n">
        <v>5763467.721</v>
      </c>
      <c r="C58" t="n">
        <v>3829433702.847</v>
      </c>
      <c r="D58" t="n">
        <v>38401458605.319</v>
      </c>
    </row>
    <row r="59">
      <c r="A59" t="n">
        <v>1991</v>
      </c>
      <c r="B59" t="n">
        <v>5951229.03</v>
      </c>
      <c r="C59" t="n">
        <v>4118840962.499</v>
      </c>
      <c r="D59" t="n">
        <v>40121190743.972</v>
      </c>
    </row>
    <row r="60">
      <c r="A60" t="n">
        <v>1992</v>
      </c>
      <c r="B60" t="n">
        <v>6490788.167</v>
      </c>
      <c r="C60" t="n">
        <v>4344567911.978</v>
      </c>
      <c r="D60" t="n">
        <v>41527576436</v>
      </c>
    </row>
    <row r="61">
      <c r="A61" t="n">
        <v>1993</v>
      </c>
      <c r="B61" t="n">
        <v>6562955.631</v>
      </c>
      <c r="C61" t="n">
        <v>4270965924.346</v>
      </c>
      <c r="D61" t="n">
        <v>39858730393.97</v>
      </c>
    </row>
    <row r="62">
      <c r="A62" t="n">
        <v>1994</v>
      </c>
      <c r="B62" t="n">
        <v>7599333.635</v>
      </c>
      <c r="C62" t="n">
        <v>5032726638.098</v>
      </c>
      <c r="D62" t="n">
        <v>46364379109.494</v>
      </c>
    </row>
    <row r="63">
      <c r="A63" t="n">
        <v>1995</v>
      </c>
      <c r="B63" t="n">
        <v>8236554.752</v>
      </c>
      <c r="C63" t="n">
        <v>5514843622.143</v>
      </c>
      <c r="D63" t="n">
        <v>49564012143.525</v>
      </c>
    </row>
    <row r="64">
      <c r="A64" t="n">
        <v>1996</v>
      </c>
      <c r="B64" t="n">
        <v>8955512.307</v>
      </c>
      <c r="C64" t="n">
        <v>6135156638.927</v>
      </c>
      <c r="D64" t="n">
        <v>53418537133.755</v>
      </c>
    </row>
    <row r="65">
      <c r="A65" t="n">
        <v>1997</v>
      </c>
      <c r="B65" t="n">
        <v>9393814.149</v>
      </c>
      <c r="C65" t="n">
        <v>6159835614.401</v>
      </c>
      <c r="D65" t="n">
        <v>52535126179.987</v>
      </c>
    </row>
    <row r="66">
      <c r="A66" t="n">
        <v>1998</v>
      </c>
      <c r="B66" t="n">
        <v>9427982.941</v>
      </c>
      <c r="C66" t="n">
        <v>6424693700.808</v>
      </c>
      <c r="D66" t="n">
        <v>52692761575.156</v>
      </c>
      <c r="E66" t="n">
        <v>93.5921</v>
      </c>
      <c r="F66" t="n">
        <v>767.6046</v>
      </c>
    </row>
    <row r="67">
      <c r="A67" t="n">
        <v>1999</v>
      </c>
      <c r="B67" t="n">
        <v>8998792.808</v>
      </c>
      <c r="C67" t="n">
        <v>6298431019.347</v>
      </c>
      <c r="D67" t="n">
        <v>54895125621.11</v>
      </c>
      <c r="E67" t="n">
        <v>89.0022</v>
      </c>
      <c r="F67" t="n">
        <v>775.7146</v>
      </c>
    </row>
    <row r="68">
      <c r="A68" t="n">
        <v>2000</v>
      </c>
      <c r="B68" t="n">
        <v>8955156.374</v>
      </c>
      <c r="C68" t="n">
        <v>6084812039.217</v>
      </c>
      <c r="D68" t="n">
        <v>53398660822.344</v>
      </c>
      <c r="E68" t="n">
        <v>83.9378</v>
      </c>
      <c r="F68" t="n">
        <v>736.6158</v>
      </c>
    </row>
    <row r="69">
      <c r="A69" t="n">
        <v>2001</v>
      </c>
      <c r="B69" t="n">
        <v>9368329.589</v>
      </c>
      <c r="C69" t="n">
        <v>6396671197.315</v>
      </c>
      <c r="D69" t="n">
        <v>54648937853.421</v>
      </c>
      <c r="E69" t="n">
        <v>86.4836</v>
      </c>
      <c r="F69" t="n">
        <v>738.8588999999999</v>
      </c>
    </row>
    <row r="70">
      <c r="A70" t="n">
        <v>2002</v>
      </c>
      <c r="B70" t="n">
        <v>9424216.998</v>
      </c>
      <c r="C70" t="n">
        <v>6524855902.472</v>
      </c>
      <c r="D70" t="n">
        <v>55709186437.646</v>
      </c>
      <c r="E70" t="n">
        <v>88.5421</v>
      </c>
      <c r="F70" t="n">
        <v>755.9719</v>
      </c>
    </row>
    <row r="71">
      <c r="A71" t="n">
        <v>2003</v>
      </c>
      <c r="B71" t="n">
        <v>9708651.657</v>
      </c>
      <c r="C71" t="n">
        <v>6904839599.908</v>
      </c>
      <c r="D71" t="n">
        <v>59198944189.215</v>
      </c>
      <c r="E71" t="n">
        <v>90.28700000000001</v>
      </c>
      <c r="F71" t="n">
        <v>774.0793</v>
      </c>
    </row>
    <row r="72">
      <c r="A72" t="n">
        <v>2004</v>
      </c>
      <c r="B72" t="n">
        <v>9366115.01</v>
      </c>
      <c r="C72" t="n">
        <v>6843063361.043</v>
      </c>
      <c r="D72" t="n">
        <v>59422686506.773</v>
      </c>
      <c r="E72" t="n">
        <v>89.5762</v>
      </c>
      <c r="F72" t="n">
        <v>777.8471</v>
      </c>
    </row>
    <row r="73">
      <c r="A73" t="n">
        <v>2005</v>
      </c>
      <c r="B73" t="n">
        <v>9302529.285</v>
      </c>
      <c r="C73" t="n">
        <v>6716452500.005</v>
      </c>
      <c r="D73" t="n">
        <v>57074486152.91</v>
      </c>
      <c r="E73" t="n">
        <v>90.3605</v>
      </c>
      <c r="F73" t="n">
        <v>767.8579</v>
      </c>
    </row>
    <row r="74">
      <c r="A74" t="n">
        <v>2006</v>
      </c>
      <c r="B74" t="n">
        <v>9263716.927999999</v>
      </c>
      <c r="C74" t="n">
        <v>6840669943.079</v>
      </c>
      <c r="D74" t="n">
        <v>57753079172.884</v>
      </c>
      <c r="E74" t="n">
        <v>91.598</v>
      </c>
      <c r="F74" t="n">
        <v>773.326</v>
      </c>
    </row>
    <row r="75">
      <c r="A75" t="n">
        <v>2007</v>
      </c>
      <c r="B75" t="n">
        <v>9245603.318</v>
      </c>
      <c r="C75" t="n">
        <v>6829467293.882</v>
      </c>
      <c r="D75" t="n">
        <v>56680358677.975</v>
      </c>
      <c r="E75" t="n">
        <v>90.06319999999999</v>
      </c>
      <c r="F75" t="n">
        <v>747.4687</v>
      </c>
    </row>
    <row r="76">
      <c r="A76" t="n">
        <v>2008</v>
      </c>
      <c r="B76" t="n">
        <v>9102816.991</v>
      </c>
      <c r="C76" t="n">
        <v>6697773972.205</v>
      </c>
      <c r="D76" t="n">
        <v>56821420071.374</v>
      </c>
      <c r="E76" t="n">
        <v>89.14619999999999</v>
      </c>
      <c r="F76" t="n">
        <v>756.2832</v>
      </c>
    </row>
    <row r="77">
      <c r="A77" t="n">
        <v>2009</v>
      </c>
      <c r="B77" t="n">
        <v>9880541.380000001</v>
      </c>
      <c r="C77" t="n">
        <v>7224822488.669</v>
      </c>
      <c r="D77" t="n">
        <v>61339711904.471</v>
      </c>
      <c r="E77" t="n">
        <v>96.0042</v>
      </c>
      <c r="F77" t="n">
        <v>815.0889</v>
      </c>
    </row>
    <row r="78">
      <c r="A78" t="n">
        <v>2010</v>
      </c>
      <c r="B78" t="n">
        <v>9971712.202</v>
      </c>
      <c r="C78" t="n">
        <v>7270196645.183</v>
      </c>
      <c r="D78" t="n">
        <v>60734685215.699</v>
      </c>
      <c r="E78" t="n">
        <v>95.2953</v>
      </c>
      <c r="F78" t="n">
        <v>796.0898</v>
      </c>
    </row>
    <row r="79">
      <c r="A79" t="n">
        <v>2011</v>
      </c>
      <c r="B79" t="n">
        <v>9542030.117000001</v>
      </c>
      <c r="C79" t="n">
        <v>6892165290.281</v>
      </c>
      <c r="D79" t="n">
        <v>57731266428.729</v>
      </c>
      <c r="E79" t="n">
        <v>93.4233</v>
      </c>
      <c r="F79" t="n">
        <v>782.5475</v>
      </c>
    </row>
    <row r="80">
      <c r="A80" t="n">
        <v>2012</v>
      </c>
      <c r="B80" t="n">
        <v>10296918.266</v>
      </c>
      <c r="C80" t="n">
        <v>7362882325.306</v>
      </c>
      <c r="D80" t="n">
        <v>60909222738.387</v>
      </c>
      <c r="E80" t="n">
        <v>102.9596</v>
      </c>
      <c r="F80" t="n">
        <v>851.7304</v>
      </c>
    </row>
    <row r="81">
      <c r="A81" t="n">
        <v>2013</v>
      </c>
      <c r="B81" t="n">
        <v>10905149.767</v>
      </c>
      <c r="C81" t="n">
        <v>7806376031.998</v>
      </c>
      <c r="D81" t="n">
        <v>64823923943.923</v>
      </c>
      <c r="E81" t="n">
        <v>108.1437</v>
      </c>
      <c r="F81" t="n">
        <v>898.022</v>
      </c>
    </row>
    <row r="82">
      <c r="A82" t="n">
        <v>2014</v>
      </c>
      <c r="B82" t="n">
        <v>10670503.474</v>
      </c>
      <c r="C82" t="n">
        <v>7660623072.467</v>
      </c>
      <c r="D82" t="n">
        <v>62592062769.805</v>
      </c>
      <c r="E82" t="n">
        <v>105.7543</v>
      </c>
      <c r="F82" t="n">
        <v>864.0782</v>
      </c>
    </row>
    <row r="83">
      <c r="A83" t="n">
        <v>2015</v>
      </c>
      <c r="B83" t="n">
        <v>11028225.246</v>
      </c>
      <c r="C83" t="n">
        <v>7923551080.904</v>
      </c>
      <c r="D83" t="n">
        <v>64930829925.851</v>
      </c>
      <c r="E83" t="n">
        <v>107.3035</v>
      </c>
      <c r="F83" t="n">
        <v>879.3163</v>
      </c>
    </row>
    <row r="84">
      <c r="A84" t="n">
        <v>2016</v>
      </c>
      <c r="B84" t="n">
        <v>11044837.089</v>
      </c>
      <c r="C84" t="n">
        <v>7965661872.902</v>
      </c>
      <c r="D84" t="n">
        <v>65374943890.853</v>
      </c>
      <c r="E84" t="n">
        <v>104.1606</v>
      </c>
      <c r="F84" t="n">
        <v>854.8556</v>
      </c>
    </row>
    <row r="85">
      <c r="A85" t="n">
        <v>2017</v>
      </c>
      <c r="B85" t="n">
        <v>10779884.431</v>
      </c>
      <c r="C85" t="n">
        <v>7905591515.317</v>
      </c>
      <c r="D85" t="n">
        <v>64582742489.671</v>
      </c>
      <c r="E85" t="n">
        <v>103.4204</v>
      </c>
      <c r="F85" t="n">
        <v>844.8671000000001</v>
      </c>
    </row>
    <row r="86">
      <c r="A86" t="n">
        <v>2018</v>
      </c>
      <c r="B86" t="n">
        <v>10754384.17</v>
      </c>
      <c r="C86" t="n">
        <v>7864812392.776</v>
      </c>
      <c r="D86" t="n">
        <v>65268580832.157</v>
      </c>
      <c r="E86" t="n">
        <v>104.4116</v>
      </c>
      <c r="F86" t="n">
        <v>866.4915999999999</v>
      </c>
    </row>
    <row r="87">
      <c r="A87" t="n">
        <v>2019</v>
      </c>
      <c r="B87" t="n">
        <v>11101666.087</v>
      </c>
      <c r="C87" t="n">
        <v>8070990710.106</v>
      </c>
      <c r="D87" t="n">
        <v>67221200544.74</v>
      </c>
      <c r="E87" t="n">
        <v>106.7668</v>
      </c>
      <c r="F87" t="n">
        <v>889.2331</v>
      </c>
    </row>
    <row r="88">
      <c r="A88" t="inlineStr">
        <is>
          <t>PPR/NPP converts wet-weight PP to carbon at 9:1 and uses the matching year's NPP ensemble median.</t>
        </is>
      </c>
    </row>
    <row r="89">
      <c r="A89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375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6" customWidth="1" min="2" max="2"/>
    <col width="30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</cols>
  <sheetData>
    <row r="1">
      <c r="A1" s="4" t="inlineStr">
        <is>
          <t>taxon</t>
        </is>
      </c>
      <c r="B1" s="4" t="inlineStr">
        <is>
          <t>common_name</t>
        </is>
      </c>
      <c r="C1" s="4" t="inlineStr">
        <is>
          <t>functional_group</t>
        </is>
      </c>
      <c r="D1" s="4" t="inlineStr">
        <is>
          <t>commercial_group</t>
        </is>
      </c>
      <c r="E1" s="4" t="n">
        <v>1950</v>
      </c>
      <c r="F1" s="4" t="n">
        <v>1951</v>
      </c>
      <c r="G1" s="4" t="n">
        <v>1952</v>
      </c>
      <c r="H1" s="4" t="n">
        <v>1953</v>
      </c>
      <c r="I1" s="4" t="n">
        <v>1954</v>
      </c>
      <c r="J1" s="4" t="n">
        <v>1955</v>
      </c>
      <c r="K1" s="4" t="n">
        <v>1956</v>
      </c>
      <c r="L1" s="4" t="n">
        <v>1957</v>
      </c>
      <c r="M1" s="4" t="n">
        <v>1958</v>
      </c>
      <c r="N1" s="4" t="n">
        <v>1959</v>
      </c>
      <c r="O1" s="4" t="n">
        <v>1960</v>
      </c>
      <c r="P1" s="4" t="n">
        <v>1961</v>
      </c>
      <c r="Q1" s="4" t="n">
        <v>1962</v>
      </c>
      <c r="R1" s="4" t="n">
        <v>1963</v>
      </c>
      <c r="S1" s="4" t="n">
        <v>1964</v>
      </c>
      <c r="T1" s="4" t="n">
        <v>1965</v>
      </c>
      <c r="U1" s="4" t="n">
        <v>1966</v>
      </c>
      <c r="V1" s="4" t="n">
        <v>1967</v>
      </c>
      <c r="W1" s="4" t="n">
        <v>1968</v>
      </c>
      <c r="X1" s="4" t="n">
        <v>1969</v>
      </c>
      <c r="Y1" s="4" t="n">
        <v>1970</v>
      </c>
      <c r="Z1" s="4" t="n">
        <v>1971</v>
      </c>
      <c r="AA1" s="4" t="n">
        <v>1972</v>
      </c>
      <c r="AB1" s="4" t="n">
        <v>1973</v>
      </c>
      <c r="AC1" s="4" t="n">
        <v>1974</v>
      </c>
      <c r="AD1" s="4" t="n">
        <v>1975</v>
      </c>
      <c r="AE1" s="4" t="n">
        <v>1976</v>
      </c>
      <c r="AF1" s="4" t="n">
        <v>1977</v>
      </c>
      <c r="AG1" s="4" t="n">
        <v>1978</v>
      </c>
      <c r="AH1" s="4" t="n">
        <v>1979</v>
      </c>
      <c r="AI1" s="4" t="n">
        <v>1980</v>
      </c>
      <c r="AJ1" s="4" t="n">
        <v>1981</v>
      </c>
      <c r="AK1" s="4" t="n">
        <v>1982</v>
      </c>
      <c r="AL1" s="4" t="n">
        <v>1983</v>
      </c>
      <c r="AM1" s="4" t="n">
        <v>1984</v>
      </c>
      <c r="AN1" s="4" t="n">
        <v>1985</v>
      </c>
      <c r="AO1" s="4" t="n">
        <v>1986</v>
      </c>
      <c r="AP1" s="4" t="n">
        <v>1987</v>
      </c>
      <c r="AQ1" s="4" t="n">
        <v>1988</v>
      </c>
      <c r="AR1" s="4" t="n">
        <v>1989</v>
      </c>
      <c r="AS1" s="4" t="n">
        <v>1990</v>
      </c>
      <c r="AT1" s="4" t="n">
        <v>1991</v>
      </c>
      <c r="AU1" s="4" t="n">
        <v>1992</v>
      </c>
      <c r="AV1" s="4" t="n">
        <v>1993</v>
      </c>
      <c r="AW1" s="4" t="n">
        <v>1994</v>
      </c>
      <c r="AX1" s="4" t="n">
        <v>1995</v>
      </c>
      <c r="AY1" s="4" t="n">
        <v>1996</v>
      </c>
      <c r="AZ1" s="4" t="n">
        <v>1997</v>
      </c>
      <c r="BA1" s="4" t="n">
        <v>1998</v>
      </c>
      <c r="BB1" s="4" t="n">
        <v>1999</v>
      </c>
      <c r="BC1" s="4" t="n">
        <v>2000</v>
      </c>
      <c r="BD1" s="4" t="n">
        <v>2001</v>
      </c>
      <c r="BE1" s="4" t="n">
        <v>2002</v>
      </c>
      <c r="BF1" s="4" t="n">
        <v>2003</v>
      </c>
      <c r="BG1" s="4" t="n">
        <v>2004</v>
      </c>
      <c r="BH1" s="4" t="n">
        <v>2005</v>
      </c>
      <c r="BI1" s="4" t="n">
        <v>2006</v>
      </c>
      <c r="BJ1" s="4" t="n">
        <v>2007</v>
      </c>
      <c r="BK1" s="4" t="n">
        <v>2008</v>
      </c>
      <c r="BL1" s="4" t="n">
        <v>2009</v>
      </c>
      <c r="BM1" s="4" t="n">
        <v>2010</v>
      </c>
      <c r="BN1" s="4" t="n">
        <v>2011</v>
      </c>
      <c r="BO1" s="4" t="n">
        <v>2012</v>
      </c>
      <c r="BP1" s="4" t="n">
        <v>2013</v>
      </c>
      <c r="BQ1" s="4" t="n">
        <v>2014</v>
      </c>
      <c r="BR1" s="4" t="n">
        <v>2015</v>
      </c>
      <c r="BS1" s="4" t="n">
        <v>2016</v>
      </c>
      <c r="BT1" s="4" t="n">
        <v>2017</v>
      </c>
      <c r="BU1" s="4" t="n">
        <v>2018</v>
      </c>
      <c r="BV1" s="4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165735.583</v>
      </c>
      <c r="F2" t="n">
        <v>179232.846</v>
      </c>
      <c r="G2" t="n">
        <v>188297.776</v>
      </c>
      <c r="H2" t="n">
        <v>192131.051</v>
      </c>
      <c r="I2" t="n">
        <v>208613.204</v>
      </c>
      <c r="J2" t="n">
        <v>201670.715</v>
      </c>
      <c r="K2" t="n">
        <v>216925.812</v>
      </c>
      <c r="L2" t="n">
        <v>212670.807</v>
      </c>
      <c r="M2" t="n">
        <v>257361.196</v>
      </c>
      <c r="N2" t="n">
        <v>222538.56</v>
      </c>
      <c r="O2" t="n">
        <v>301097.871</v>
      </c>
      <c r="P2" t="n">
        <v>197992.039</v>
      </c>
      <c r="Q2" t="n">
        <v>246592.176</v>
      </c>
      <c r="R2" t="n">
        <v>210260.37</v>
      </c>
      <c r="S2" t="n">
        <v>243993.66</v>
      </c>
      <c r="T2" t="n">
        <v>278389.243</v>
      </c>
      <c r="U2" t="n">
        <v>366560.501</v>
      </c>
      <c r="V2" t="n">
        <v>282867.686</v>
      </c>
      <c r="W2" t="n">
        <v>260402.203</v>
      </c>
      <c r="X2" t="n">
        <v>357111.164</v>
      </c>
      <c r="Y2" t="n">
        <v>431796.889</v>
      </c>
      <c r="Z2" t="n">
        <v>358458.948</v>
      </c>
      <c r="AA2" t="n">
        <v>354312.802</v>
      </c>
      <c r="AB2" t="n">
        <v>480794.379</v>
      </c>
      <c r="AC2" t="n">
        <v>415397.375</v>
      </c>
      <c r="AD2" t="n">
        <v>399842.416</v>
      </c>
      <c r="AE2" t="n">
        <v>357055.006</v>
      </c>
      <c r="AF2" t="n">
        <v>398875.938</v>
      </c>
      <c r="AG2" t="n">
        <v>368509.435</v>
      </c>
      <c r="AH2" t="n">
        <v>427752.46</v>
      </c>
      <c r="AI2" t="n">
        <v>413088.245</v>
      </c>
      <c r="AJ2" t="n">
        <v>463594.605</v>
      </c>
      <c r="AK2" t="n">
        <v>450971.232</v>
      </c>
      <c r="AL2" t="n">
        <v>446768.345</v>
      </c>
      <c r="AM2" t="n">
        <v>555731.813</v>
      </c>
      <c r="AN2" t="n">
        <v>650516.238</v>
      </c>
      <c r="AO2" t="n">
        <v>528426.716</v>
      </c>
      <c r="AP2" t="n">
        <v>721666.893</v>
      </c>
      <c r="AQ2" t="n">
        <v>728388.552</v>
      </c>
      <c r="AR2" t="n">
        <v>724405.65</v>
      </c>
      <c r="AS2" t="n">
        <v>732097.526</v>
      </c>
      <c r="AT2" t="n">
        <v>665575.042</v>
      </c>
      <c r="AU2" t="n">
        <v>733864.308</v>
      </c>
      <c r="AV2" t="n">
        <v>716791.01</v>
      </c>
      <c r="AW2" t="n">
        <v>697831.919</v>
      </c>
      <c r="AX2" t="n">
        <v>662415.656</v>
      </c>
      <c r="AY2" t="n">
        <v>712516.008</v>
      </c>
      <c r="AZ2" t="n">
        <v>747009.539</v>
      </c>
      <c r="BA2" t="n">
        <v>752962.41</v>
      </c>
      <c r="BB2" t="n">
        <v>644786.647</v>
      </c>
      <c r="BC2" t="n">
        <v>741683.107</v>
      </c>
      <c r="BD2" t="n">
        <v>769034.134</v>
      </c>
      <c r="BE2" t="n">
        <v>758734.894</v>
      </c>
      <c r="BF2" t="n">
        <v>813301.645</v>
      </c>
      <c r="BG2" t="n">
        <v>712279.004</v>
      </c>
      <c r="BH2" t="n">
        <v>705459.034</v>
      </c>
      <c r="BI2" t="n">
        <v>675934.537</v>
      </c>
      <c r="BJ2" t="n">
        <v>661711.022</v>
      </c>
      <c r="BK2" t="n">
        <v>663873.045</v>
      </c>
      <c r="BL2" t="n">
        <v>746838.26</v>
      </c>
      <c r="BM2" t="n">
        <v>728646.566</v>
      </c>
      <c r="BN2" t="n">
        <v>728971.262</v>
      </c>
      <c r="BO2" t="n">
        <v>821974.423</v>
      </c>
      <c r="BP2" t="n">
        <v>992163.848</v>
      </c>
      <c r="BQ2" t="n">
        <v>719119.6310000001</v>
      </c>
      <c r="BR2" t="n">
        <v>747741.504</v>
      </c>
      <c r="BS2" t="n">
        <v>763638.559</v>
      </c>
      <c r="BT2" t="n">
        <v>709836.607</v>
      </c>
      <c r="BU2" t="n">
        <v>714526.238</v>
      </c>
      <c r="BV2" t="n">
        <v>786870.509</v>
      </c>
    </row>
    <row r="3">
      <c r="A3" t="inlineStr">
        <is>
          <t>Trichiurus lepturus</t>
        </is>
      </c>
      <c r="B3" t="inlineStr">
        <is>
          <t>Largehead hairtail</t>
        </is>
      </c>
      <c r="C3" t="inlineStr">
        <is>
          <t>Large benthopelagics (&gt;=90 cm)</t>
        </is>
      </c>
      <c r="D3" t="inlineStr">
        <is>
          <t>Perch-likes</t>
        </is>
      </c>
      <c r="E3" t="n">
        <v>70690.041</v>
      </c>
      <c r="F3" t="n">
        <v>101585.164</v>
      </c>
      <c r="G3" t="n">
        <v>128731.408</v>
      </c>
      <c r="H3" t="n">
        <v>130806.497</v>
      </c>
      <c r="I3" t="n">
        <v>159132.758</v>
      </c>
      <c r="J3" t="n">
        <v>174832.461</v>
      </c>
      <c r="K3" t="n">
        <v>202068.633</v>
      </c>
      <c r="L3" t="n">
        <v>196968.806</v>
      </c>
      <c r="M3" t="n">
        <v>197597.399</v>
      </c>
      <c r="N3" t="n">
        <v>206705.087</v>
      </c>
      <c r="O3" t="n">
        <v>206805.958</v>
      </c>
      <c r="P3" t="n">
        <v>207899.333</v>
      </c>
      <c r="Q3" t="n">
        <v>219930.175</v>
      </c>
      <c r="R3" t="n">
        <v>218198.981</v>
      </c>
      <c r="S3" t="n">
        <v>220163.019</v>
      </c>
      <c r="T3" t="n">
        <v>229881.133</v>
      </c>
      <c r="U3" t="n">
        <v>228754.932</v>
      </c>
      <c r="V3" t="n">
        <v>229673.281</v>
      </c>
      <c r="W3" t="n">
        <v>233386.597</v>
      </c>
      <c r="X3" t="n">
        <v>230170.091</v>
      </c>
      <c r="Y3" t="n">
        <v>212665.716</v>
      </c>
      <c r="Z3" t="n">
        <v>233296.616</v>
      </c>
      <c r="AA3" t="n">
        <v>267079.458</v>
      </c>
      <c r="AB3" t="n">
        <v>299245.731</v>
      </c>
      <c r="AC3" t="n">
        <v>297703.131</v>
      </c>
      <c r="AD3" t="n">
        <v>255590.547</v>
      </c>
      <c r="AE3" t="n">
        <v>226407.636</v>
      </c>
      <c r="AF3" t="n">
        <v>196696.951</v>
      </c>
      <c r="AG3" t="n">
        <v>200799.422</v>
      </c>
      <c r="AH3" t="n">
        <v>219837.984</v>
      </c>
      <c r="AI3" t="n">
        <v>209920.011</v>
      </c>
      <c r="AJ3" t="n">
        <v>251205.893</v>
      </c>
      <c r="AK3" t="n">
        <v>263596.698</v>
      </c>
      <c r="AL3" t="n">
        <v>235197.209</v>
      </c>
      <c r="AM3" t="n">
        <v>235890.253</v>
      </c>
      <c r="AN3" t="n">
        <v>228993.733</v>
      </c>
      <c r="AO3" t="n">
        <v>201576.36</v>
      </c>
      <c r="AP3" t="n">
        <v>181714.137</v>
      </c>
      <c r="AQ3" t="n">
        <v>172188.891</v>
      </c>
      <c r="AR3" t="n">
        <v>192676.58</v>
      </c>
      <c r="AS3" t="n">
        <v>231767.614</v>
      </c>
      <c r="AT3" t="n">
        <v>252593.133</v>
      </c>
      <c r="AU3" t="n">
        <v>280103.377</v>
      </c>
      <c r="AV3" t="n">
        <v>271097.678</v>
      </c>
      <c r="AW3" t="n">
        <v>394475.286</v>
      </c>
      <c r="AX3" t="n">
        <v>441172.978</v>
      </c>
      <c r="AY3" t="n">
        <v>460555.096</v>
      </c>
      <c r="AZ3" t="n">
        <v>414718.517</v>
      </c>
      <c r="BA3" t="n">
        <v>464138.702</v>
      </c>
      <c r="BB3" t="n">
        <v>392886.673</v>
      </c>
      <c r="BC3" t="n">
        <v>399372.677</v>
      </c>
      <c r="BD3" t="n">
        <v>454590.268</v>
      </c>
      <c r="BE3" t="n">
        <v>445939.024</v>
      </c>
      <c r="BF3" t="n">
        <v>510941.854</v>
      </c>
      <c r="BG3" t="n">
        <v>476203.101</v>
      </c>
      <c r="BH3" t="n">
        <v>431018.191</v>
      </c>
      <c r="BI3" t="n">
        <v>469976.313</v>
      </c>
      <c r="BJ3" t="n">
        <v>437528.063</v>
      </c>
      <c r="BK3" t="n">
        <v>443801.342</v>
      </c>
      <c r="BL3" t="n">
        <v>495649.954</v>
      </c>
      <c r="BM3" t="n">
        <v>499057.479</v>
      </c>
      <c r="BN3" t="n">
        <v>401143.657</v>
      </c>
      <c r="BO3" t="n">
        <v>411859.768</v>
      </c>
      <c r="BP3" t="n">
        <v>463430.314</v>
      </c>
      <c r="BQ3" t="n">
        <v>453618.729</v>
      </c>
      <c r="BR3" t="n">
        <v>474784.271</v>
      </c>
      <c r="BS3" t="n">
        <v>446751.906</v>
      </c>
      <c r="BT3" t="n">
        <v>435788.413</v>
      </c>
      <c r="BU3" t="n">
        <v>408630.911</v>
      </c>
      <c r="BV3" t="n">
        <v>403753.088</v>
      </c>
    </row>
    <row r="4">
      <c r="A4" t="inlineStr">
        <is>
          <t>Scyphozoa</t>
        </is>
      </c>
      <c r="B4" t="inlineStr">
        <is>
          <t>True jellyfishes</t>
        </is>
      </c>
      <c r="C4" t="inlineStr">
        <is>
          <t>Jellyfish</t>
        </is>
      </c>
      <c r="D4" t="inlineStr">
        <is>
          <t>Other fishes &amp; inverts</t>
        </is>
      </c>
      <c r="E4" t="n">
        <v>6261.632</v>
      </c>
      <c r="F4" t="n">
        <v>9707.759</v>
      </c>
      <c r="G4" t="n">
        <v>13136.699</v>
      </c>
      <c r="H4" t="n">
        <v>14276.196</v>
      </c>
      <c r="I4" t="n">
        <v>18551.102</v>
      </c>
      <c r="J4" t="n">
        <v>21592.726</v>
      </c>
      <c r="K4" t="n">
        <v>26886.946</v>
      </c>
      <c r="L4" t="n">
        <v>27485.272</v>
      </c>
      <c r="M4" t="n">
        <v>29152.613</v>
      </c>
      <c r="N4" t="n">
        <v>32247.93</v>
      </c>
      <c r="O4" t="n">
        <v>33855.034</v>
      </c>
      <c r="P4" t="n">
        <v>35618.206</v>
      </c>
      <c r="Q4" t="n">
        <v>39399.176</v>
      </c>
      <c r="R4" t="n">
        <v>41031.012</v>
      </c>
      <c r="S4" t="n">
        <v>43308.522</v>
      </c>
      <c r="T4" t="n">
        <v>47454.283</v>
      </c>
      <c r="U4" t="n">
        <v>49897.263</v>
      </c>
      <c r="V4" t="n">
        <v>52374.223</v>
      </c>
      <c r="W4" t="n">
        <v>57036.379</v>
      </c>
      <c r="X4" t="n">
        <v>59234.586</v>
      </c>
      <c r="Y4" t="n">
        <v>44496.119</v>
      </c>
      <c r="Z4" t="n">
        <v>65964.486</v>
      </c>
      <c r="AA4" t="n">
        <v>68370.74000000001</v>
      </c>
      <c r="AB4" t="n">
        <v>68967.94899999999</v>
      </c>
      <c r="AC4" t="n">
        <v>87600.837</v>
      </c>
      <c r="AD4" t="n">
        <v>111600.954</v>
      </c>
      <c r="AE4" t="n">
        <v>121227.203</v>
      </c>
      <c r="AF4" t="n">
        <v>108670.814</v>
      </c>
      <c r="AG4" t="n">
        <v>97980.111</v>
      </c>
      <c r="AH4" t="n">
        <v>101987.91</v>
      </c>
      <c r="AI4" t="n">
        <v>101155.653</v>
      </c>
      <c r="AJ4" t="n">
        <v>103514.564</v>
      </c>
      <c r="AK4" t="n">
        <v>128390.049</v>
      </c>
      <c r="AL4" t="n">
        <v>135149.179</v>
      </c>
      <c r="AM4" t="n">
        <v>136442.318</v>
      </c>
      <c r="AN4" t="n">
        <v>153659.176</v>
      </c>
      <c r="AO4" t="n">
        <v>179953.125</v>
      </c>
      <c r="AP4" t="n">
        <v>208440.674</v>
      </c>
      <c r="AQ4" t="n">
        <v>264747.445</v>
      </c>
      <c r="AR4" t="n">
        <v>280146.978</v>
      </c>
      <c r="AS4" t="n">
        <v>350634.259</v>
      </c>
      <c r="AT4" t="n">
        <v>367885.838</v>
      </c>
      <c r="AU4" t="n">
        <v>555440.733</v>
      </c>
      <c r="AV4" t="n">
        <v>554658.644</v>
      </c>
      <c r="AW4" t="n">
        <v>618354.496</v>
      </c>
      <c r="AX4" t="n">
        <v>647057.944</v>
      </c>
      <c r="AY4" t="n">
        <v>804691.8419999999</v>
      </c>
      <c r="AZ4" t="n">
        <v>765216.2560000001</v>
      </c>
      <c r="BA4" t="n">
        <v>732453.254</v>
      </c>
      <c r="BB4" t="n">
        <v>642984.863</v>
      </c>
      <c r="BC4" t="n">
        <v>584816.394</v>
      </c>
      <c r="BD4" t="n">
        <v>584112.2</v>
      </c>
      <c r="BE4" t="n">
        <v>563332.4080000001</v>
      </c>
      <c r="BF4" t="n">
        <v>403180.61</v>
      </c>
      <c r="BG4" t="n">
        <v>410199.498</v>
      </c>
      <c r="BH4" t="n">
        <v>432591.264</v>
      </c>
      <c r="BI4" t="n">
        <v>392588.026</v>
      </c>
      <c r="BJ4" t="n">
        <v>383306.17</v>
      </c>
      <c r="BK4" t="n">
        <v>408151.701</v>
      </c>
      <c r="BL4" t="n">
        <v>542693.265</v>
      </c>
      <c r="BM4" t="n">
        <v>554258.47</v>
      </c>
      <c r="BN4" t="n">
        <v>582082.1899999999</v>
      </c>
      <c r="BO4" t="n">
        <v>613030.586</v>
      </c>
      <c r="BP4" t="n">
        <v>613228.6679999999</v>
      </c>
      <c r="BQ4" t="n">
        <v>606582.897</v>
      </c>
      <c r="BR4" t="n">
        <v>478813.289</v>
      </c>
      <c r="BS4" t="n">
        <v>637882.0600000001</v>
      </c>
      <c r="BT4" t="n">
        <v>602063.419</v>
      </c>
      <c r="BU4" t="n">
        <v>611865.524</v>
      </c>
      <c r="BV4" t="n">
        <v>571259.321</v>
      </c>
    </row>
    <row r="5">
      <c r="A5" t="inlineStr">
        <is>
          <t>Synodontidae</t>
        </is>
      </c>
      <c r="B5" t="inlineStr">
        <is>
          <t>Lizardfishes, sauries</t>
        </is>
      </c>
      <c r="C5" t="inlineStr">
        <is>
          <t>Medium demersals (30 - 89 cm)</t>
        </is>
      </c>
      <c r="D5" t="inlineStr">
        <is>
          <t>Other fishes &amp; inverts</t>
        </is>
      </c>
      <c r="E5" t="n">
        <v>1817.87</v>
      </c>
      <c r="F5" t="n">
        <v>2024.28</v>
      </c>
      <c r="G5" t="n">
        <v>2226.66</v>
      </c>
      <c r="H5" t="n">
        <v>2406.799</v>
      </c>
      <c r="I5" t="n">
        <v>5853.556</v>
      </c>
      <c r="J5" t="n">
        <v>8893.9</v>
      </c>
      <c r="K5" t="n">
        <v>10375.679</v>
      </c>
      <c r="L5" t="n">
        <v>11861.157</v>
      </c>
      <c r="M5" t="n">
        <v>13922.624</v>
      </c>
      <c r="N5" t="n">
        <v>18736.47</v>
      </c>
      <c r="O5" t="n">
        <v>28109.784</v>
      </c>
      <c r="P5" t="n">
        <v>30930.062</v>
      </c>
      <c r="Q5" t="n">
        <v>41697.995</v>
      </c>
      <c r="R5" t="n">
        <v>53094.572</v>
      </c>
      <c r="S5" t="n">
        <v>58797.596</v>
      </c>
      <c r="T5" t="n">
        <v>63013.838</v>
      </c>
      <c r="U5" t="n">
        <v>65814.71000000001</v>
      </c>
      <c r="V5" t="n">
        <v>68766.21000000001</v>
      </c>
      <c r="W5" t="n">
        <v>71609.79300000001</v>
      </c>
      <c r="X5" t="n">
        <v>74218.959</v>
      </c>
      <c r="Y5" t="n">
        <v>72024.59</v>
      </c>
      <c r="Z5" t="n">
        <v>74208.727</v>
      </c>
      <c r="AA5" t="n">
        <v>82459.952</v>
      </c>
      <c r="AB5" t="n">
        <v>76022.32799999999</v>
      </c>
      <c r="AC5" t="n">
        <v>74681.522</v>
      </c>
      <c r="AD5" t="n">
        <v>71488.364</v>
      </c>
      <c r="AE5" t="n">
        <v>81801.046</v>
      </c>
      <c r="AF5" t="n">
        <v>87150.41</v>
      </c>
      <c r="AG5" t="n">
        <v>88161.448</v>
      </c>
      <c r="AH5" t="n">
        <v>96384.02099999999</v>
      </c>
      <c r="AI5" t="n">
        <v>92498.886</v>
      </c>
      <c r="AJ5" t="n">
        <v>90199.28</v>
      </c>
      <c r="AK5" t="n">
        <v>107657.868</v>
      </c>
      <c r="AL5" t="n">
        <v>133113.104</v>
      </c>
      <c r="AM5" t="n">
        <v>134224.797</v>
      </c>
      <c r="AN5" t="n">
        <v>134377.059</v>
      </c>
      <c r="AO5" t="n">
        <v>157170.316</v>
      </c>
      <c r="AP5" t="n">
        <v>168113.271</v>
      </c>
      <c r="AQ5" t="n">
        <v>169032.517</v>
      </c>
      <c r="AR5" t="n">
        <v>180701.292</v>
      </c>
      <c r="AS5" t="n">
        <v>180426.373</v>
      </c>
      <c r="AT5" t="n">
        <v>199288.65</v>
      </c>
      <c r="AU5" t="n">
        <v>217447.576</v>
      </c>
      <c r="AV5" t="n">
        <v>238400.094</v>
      </c>
      <c r="AW5" t="n">
        <v>251876.926</v>
      </c>
      <c r="AX5" t="n">
        <v>263643.596</v>
      </c>
      <c r="AY5" t="n">
        <v>286177.77</v>
      </c>
      <c r="AZ5" t="n">
        <v>304662.17</v>
      </c>
      <c r="BA5" t="n">
        <v>292999.308</v>
      </c>
      <c r="BB5" t="n">
        <v>359918.686</v>
      </c>
      <c r="BC5" t="n">
        <v>345042.328</v>
      </c>
      <c r="BD5" t="n">
        <v>364093.667</v>
      </c>
      <c r="BE5" t="n">
        <v>371863.244</v>
      </c>
      <c r="BF5" t="n">
        <v>371080.816</v>
      </c>
      <c r="BG5" t="n">
        <v>371954.497</v>
      </c>
      <c r="BH5" t="n">
        <v>379990.343</v>
      </c>
      <c r="BI5" t="n">
        <v>383967.759</v>
      </c>
      <c r="BJ5" t="n">
        <v>389463.383</v>
      </c>
      <c r="BK5" t="n">
        <v>388918.863</v>
      </c>
      <c r="BL5" t="n">
        <v>393274.003</v>
      </c>
      <c r="BM5" t="n">
        <v>398159.26</v>
      </c>
      <c r="BN5" t="n">
        <v>392939.976</v>
      </c>
      <c r="BO5" t="n">
        <v>406266.717</v>
      </c>
      <c r="BP5" t="n">
        <v>418120.266</v>
      </c>
      <c r="BQ5" t="n">
        <v>428997.004</v>
      </c>
      <c r="BR5" t="n">
        <v>441242.03</v>
      </c>
      <c r="BS5" t="n">
        <v>479706.444</v>
      </c>
      <c r="BT5" t="n">
        <v>519047.427</v>
      </c>
      <c r="BU5" t="n">
        <v>594546.652</v>
      </c>
      <c r="BV5" t="n">
        <v>613096.694</v>
      </c>
    </row>
    <row r="6">
      <c r="A6" t="inlineStr">
        <is>
          <t>Alepes</t>
        </is>
      </c>
      <c r="B6" t="inlineStr">
        <is>
          <t>Crevalles</t>
        </is>
      </c>
      <c r="C6" t="inlineStr">
        <is>
          <t>Medium reef assoc. fish (30 - 89 cm)</t>
        </is>
      </c>
      <c r="D6" t="inlineStr">
        <is>
          <t>Perch-likes</t>
        </is>
      </c>
      <c r="E6" t="n">
        <v>366.669</v>
      </c>
      <c r="F6" t="n">
        <v>385.415</v>
      </c>
      <c r="G6" t="n">
        <v>398.187</v>
      </c>
      <c r="H6" t="n">
        <v>406.781</v>
      </c>
      <c r="I6" t="n">
        <v>457.602</v>
      </c>
      <c r="J6" t="n">
        <v>478.806</v>
      </c>
      <c r="K6" t="n">
        <v>549.929</v>
      </c>
      <c r="L6" t="n">
        <v>513.4160000000001</v>
      </c>
      <c r="M6" t="n">
        <v>548.9160000000001</v>
      </c>
      <c r="N6" t="n">
        <v>575.3200000000001</v>
      </c>
      <c r="O6" t="n">
        <v>617.22</v>
      </c>
      <c r="P6" t="n">
        <v>625.773</v>
      </c>
      <c r="Q6" t="n">
        <v>673.443</v>
      </c>
      <c r="R6" t="n">
        <v>751.6609999999999</v>
      </c>
      <c r="S6" t="n">
        <v>842.692</v>
      </c>
      <c r="T6" t="n">
        <v>1090.29</v>
      </c>
      <c r="U6" t="n">
        <v>1165.416</v>
      </c>
      <c r="V6" t="n">
        <v>1309.08</v>
      </c>
      <c r="W6" t="n">
        <v>1358.502</v>
      </c>
      <c r="X6" t="n">
        <v>1301.194</v>
      </c>
      <c r="Y6" t="n">
        <v>1457.174</v>
      </c>
      <c r="Z6" t="n">
        <v>1389.546</v>
      </c>
      <c r="AA6" t="n">
        <v>1525.755</v>
      </c>
      <c r="AB6" t="n">
        <v>1727.009</v>
      </c>
      <c r="AC6" t="n">
        <v>2429.857</v>
      </c>
      <c r="AD6" t="n">
        <v>3639.285</v>
      </c>
      <c r="AE6" t="n">
        <v>4264.533</v>
      </c>
      <c r="AF6" t="n">
        <v>4081.497</v>
      </c>
      <c r="AG6" t="n">
        <v>4847.274</v>
      </c>
      <c r="AH6" t="n">
        <v>81184.09299999999</v>
      </c>
      <c r="AI6" t="n">
        <v>140263.295</v>
      </c>
      <c r="AJ6" t="n">
        <v>126057.714</v>
      </c>
      <c r="AK6" t="n">
        <v>163951.397</v>
      </c>
      <c r="AL6" t="n">
        <v>197445.343</v>
      </c>
      <c r="AM6" t="n">
        <v>182386.256</v>
      </c>
      <c r="AN6" t="n">
        <v>213601.756</v>
      </c>
      <c r="AO6" t="n">
        <v>204580.296</v>
      </c>
      <c r="AP6" t="n">
        <v>287264.945</v>
      </c>
      <c r="AQ6" t="n">
        <v>215276.696</v>
      </c>
      <c r="AR6" t="n">
        <v>231583.376</v>
      </c>
      <c r="AS6" t="n">
        <v>308666.627</v>
      </c>
      <c r="AT6" t="n">
        <v>327041.91</v>
      </c>
      <c r="AU6" t="n">
        <v>311335.107</v>
      </c>
      <c r="AV6" t="n">
        <v>201329.499</v>
      </c>
      <c r="AW6" t="n">
        <v>332420.693</v>
      </c>
      <c r="AX6" t="n">
        <v>394772.857</v>
      </c>
      <c r="AY6" t="n">
        <v>423650.208</v>
      </c>
      <c r="AZ6" t="n">
        <v>348228.121</v>
      </c>
      <c r="BA6" t="n">
        <v>326281.351</v>
      </c>
      <c r="BB6" t="n">
        <v>264695.003</v>
      </c>
      <c r="BC6" t="n">
        <v>258880.324</v>
      </c>
      <c r="BD6" t="n">
        <v>309686.382</v>
      </c>
      <c r="BE6" t="n">
        <v>340330.29</v>
      </c>
      <c r="BF6" t="n">
        <v>374410.633</v>
      </c>
      <c r="BG6" t="n">
        <v>342245.246</v>
      </c>
      <c r="BH6" t="n">
        <v>345170.713</v>
      </c>
      <c r="BI6" t="n">
        <v>343550.38</v>
      </c>
      <c r="BJ6" t="n">
        <v>364072.727</v>
      </c>
      <c r="BK6" t="n">
        <v>377065.249</v>
      </c>
      <c r="BL6" t="n">
        <v>483765.432</v>
      </c>
      <c r="BM6" t="n">
        <v>488000.139</v>
      </c>
      <c r="BN6" t="n">
        <v>346435.057</v>
      </c>
      <c r="BO6" t="n">
        <v>438635.152</v>
      </c>
      <c r="BP6" t="n">
        <v>482893.123</v>
      </c>
      <c r="BQ6" t="n">
        <v>466274.647</v>
      </c>
      <c r="BR6" t="n">
        <v>504738.748</v>
      </c>
      <c r="BS6" t="n">
        <v>495705.824</v>
      </c>
      <c r="BT6" t="n">
        <v>460446.094</v>
      </c>
      <c r="BU6" t="n">
        <v>425443.721</v>
      </c>
      <c r="BV6" t="n">
        <v>387079.71</v>
      </c>
    </row>
    <row r="7">
      <c r="A7" t="inlineStr">
        <is>
          <t>Carangidae</t>
        </is>
      </c>
      <c r="B7" t="inlineStr">
        <is>
          <t>Jacks, pompanos</t>
        </is>
      </c>
      <c r="C7" t="inlineStr">
        <is>
          <t>Medium pelagics (30 - 89 cm)</t>
        </is>
      </c>
      <c r="D7" t="inlineStr">
        <is>
          <t>Perch-likes</t>
        </is>
      </c>
      <c r="E7" t="n">
        <v>28425.721</v>
      </c>
      <c r="F7" t="n">
        <v>30499.227</v>
      </c>
      <c r="G7" t="n">
        <v>31093.577</v>
      </c>
      <c r="H7" t="n">
        <v>30164.01</v>
      </c>
      <c r="I7" t="n">
        <v>55515.516</v>
      </c>
      <c r="J7" t="n">
        <v>79666.43399999999</v>
      </c>
      <c r="K7" t="n">
        <v>87948.012</v>
      </c>
      <c r="L7" t="n">
        <v>92459.30100000001</v>
      </c>
      <c r="M7" t="n">
        <v>96652.50599999999</v>
      </c>
      <c r="N7" t="n">
        <v>114188.212</v>
      </c>
      <c r="O7" t="n">
        <v>143670.53</v>
      </c>
      <c r="P7" t="n">
        <v>135556.384</v>
      </c>
      <c r="Q7" t="n">
        <v>162693.93</v>
      </c>
      <c r="R7" t="n">
        <v>180558.415</v>
      </c>
      <c r="S7" t="n">
        <v>183163.678</v>
      </c>
      <c r="T7" t="n">
        <v>167550.308</v>
      </c>
      <c r="U7" t="n">
        <v>164857.004</v>
      </c>
      <c r="V7" t="n">
        <v>164750.862</v>
      </c>
      <c r="W7" t="n">
        <v>162220.625</v>
      </c>
      <c r="X7" t="n">
        <v>150644.803</v>
      </c>
      <c r="Y7" t="n">
        <v>133697.554</v>
      </c>
      <c r="Z7" t="n">
        <v>121232.06</v>
      </c>
      <c r="AA7" t="n">
        <v>112135.861</v>
      </c>
      <c r="AB7" t="n">
        <v>97097.833</v>
      </c>
      <c r="AC7" t="n">
        <v>95189.15399999999</v>
      </c>
      <c r="AD7" t="n">
        <v>94517.274</v>
      </c>
      <c r="AE7" t="n">
        <v>101551.073</v>
      </c>
      <c r="AF7" t="n">
        <v>98813.74000000001</v>
      </c>
      <c r="AG7" t="n">
        <v>94363.421</v>
      </c>
      <c r="AH7" t="n">
        <v>106854.522</v>
      </c>
      <c r="AI7" t="n">
        <v>104636.357</v>
      </c>
      <c r="AJ7" t="n">
        <v>98155.92200000001</v>
      </c>
      <c r="AK7" t="n">
        <v>116594.4</v>
      </c>
      <c r="AL7" t="n">
        <v>135606.267</v>
      </c>
      <c r="AM7" t="n">
        <v>132977.89</v>
      </c>
      <c r="AN7" t="n">
        <v>144639.611</v>
      </c>
      <c r="AO7" t="n">
        <v>167758.721</v>
      </c>
      <c r="AP7" t="n">
        <v>177784.052</v>
      </c>
      <c r="AQ7" t="n">
        <v>196620.849</v>
      </c>
      <c r="AR7" t="n">
        <v>162309.519</v>
      </c>
      <c r="AS7" t="n">
        <v>146655.198</v>
      </c>
      <c r="AT7" t="n">
        <v>147995.378</v>
      </c>
      <c r="AU7" t="n">
        <v>162886.321</v>
      </c>
      <c r="AV7" t="n">
        <v>169137.34</v>
      </c>
      <c r="AW7" t="n">
        <v>187670.128</v>
      </c>
      <c r="AX7" t="n">
        <v>182452.876</v>
      </c>
      <c r="AY7" t="n">
        <v>209167.869</v>
      </c>
      <c r="AZ7" t="n">
        <v>224143.596</v>
      </c>
      <c r="BA7" t="n">
        <v>208483.75</v>
      </c>
      <c r="BB7" t="n">
        <v>227934.695</v>
      </c>
      <c r="BC7" t="n">
        <v>220603.984</v>
      </c>
      <c r="BD7" t="n">
        <v>220828.659</v>
      </c>
      <c r="BE7" t="n">
        <v>230745.677</v>
      </c>
      <c r="BF7" t="n">
        <v>220988.588</v>
      </c>
      <c r="BG7" t="n">
        <v>231329.5</v>
      </c>
      <c r="BH7" t="n">
        <v>231441.442</v>
      </c>
      <c r="BI7" t="n">
        <v>231429.62</v>
      </c>
      <c r="BJ7" t="n">
        <v>233248.24</v>
      </c>
      <c r="BK7" t="n">
        <v>224798.174</v>
      </c>
      <c r="BL7" t="n">
        <v>235076.269</v>
      </c>
      <c r="BM7" t="n">
        <v>240338.567</v>
      </c>
      <c r="BN7" t="n">
        <v>230546.267</v>
      </c>
      <c r="BO7" t="n">
        <v>239267.539</v>
      </c>
      <c r="BP7" t="n">
        <v>241394.663</v>
      </c>
      <c r="BQ7" t="n">
        <v>244283.256</v>
      </c>
      <c r="BR7" t="n">
        <v>249581.198</v>
      </c>
      <c r="BS7" t="n">
        <v>261561.128</v>
      </c>
      <c r="BT7" t="n">
        <v>280305.164</v>
      </c>
      <c r="BU7" t="n">
        <v>316802.376</v>
      </c>
      <c r="BV7" t="n">
        <v>312569.191</v>
      </c>
    </row>
    <row r="8">
      <c r="A8" t="inlineStr">
        <is>
          <t>Mollusca</t>
        </is>
      </c>
      <c r="B8" t="inlineStr">
        <is>
          <t>Clams, seasnails, squids, octopuses</t>
        </is>
      </c>
      <c r="C8" t="inlineStr">
        <is>
          <t>Other demersal invertebrates</t>
        </is>
      </c>
      <c r="D8" t="inlineStr">
        <is>
          <t>Molluscs</t>
        </is>
      </c>
      <c r="E8" t="n">
        <v>33290.739</v>
      </c>
      <c r="F8" t="n">
        <v>41136.829</v>
      </c>
      <c r="G8" t="n">
        <v>42648.932</v>
      </c>
      <c r="H8" t="n">
        <v>39467.181</v>
      </c>
      <c r="I8" t="n">
        <v>46933.105</v>
      </c>
      <c r="J8" t="n">
        <v>46984.195</v>
      </c>
      <c r="K8" t="n">
        <v>79844.049</v>
      </c>
      <c r="L8" t="n">
        <v>52193.855</v>
      </c>
      <c r="M8" t="n">
        <v>68217.452</v>
      </c>
      <c r="N8" t="n">
        <v>64400.815</v>
      </c>
      <c r="O8" t="n">
        <v>57634.925</v>
      </c>
      <c r="P8" t="n">
        <v>70054.42999999999</v>
      </c>
      <c r="Q8" t="n">
        <v>76038.098</v>
      </c>
      <c r="R8" t="n">
        <v>74526.698</v>
      </c>
      <c r="S8" t="n">
        <v>80575.257</v>
      </c>
      <c r="T8" t="n">
        <v>74077.818</v>
      </c>
      <c r="U8" t="n">
        <v>67143.213</v>
      </c>
      <c r="V8" t="n">
        <v>58988.307</v>
      </c>
      <c r="W8" t="n">
        <v>69333.31299999999</v>
      </c>
      <c r="X8" t="n">
        <v>64418.777</v>
      </c>
      <c r="Y8" t="n">
        <v>71856.43399999999</v>
      </c>
      <c r="Z8" t="n">
        <v>55921.969</v>
      </c>
      <c r="AA8" t="n">
        <v>53111.184</v>
      </c>
      <c r="AB8" t="n">
        <v>58353.564</v>
      </c>
      <c r="AC8" t="n">
        <v>58287.539</v>
      </c>
      <c r="AD8" t="n">
        <v>104458.922</v>
      </c>
      <c r="AE8" t="n">
        <v>122232.963</v>
      </c>
      <c r="AF8" t="n">
        <v>113965.739</v>
      </c>
      <c r="AG8" t="n">
        <v>20847.15</v>
      </c>
      <c r="AH8" t="n">
        <v>12648.118</v>
      </c>
      <c r="AI8" t="n">
        <v>19552.839</v>
      </c>
      <c r="AJ8" t="n">
        <v>20762.596</v>
      </c>
      <c r="AK8" t="n">
        <v>42656.671</v>
      </c>
      <c r="AL8" t="n">
        <v>129094.351</v>
      </c>
      <c r="AM8" t="n">
        <v>117823.339</v>
      </c>
      <c r="AN8" t="n">
        <v>154946.847</v>
      </c>
      <c r="AO8" t="n">
        <v>210833.693</v>
      </c>
      <c r="AP8" t="n">
        <v>262082.643</v>
      </c>
      <c r="AQ8" t="n">
        <v>297082.3</v>
      </c>
      <c r="AR8" t="n">
        <v>166573.082</v>
      </c>
      <c r="AS8" t="n">
        <v>200489.549</v>
      </c>
      <c r="AT8" t="n">
        <v>198532.476</v>
      </c>
      <c r="AU8" t="n">
        <v>278125.846</v>
      </c>
      <c r="AV8" t="n">
        <v>316046.831</v>
      </c>
      <c r="AW8" t="n">
        <v>387378.687</v>
      </c>
      <c r="AX8" t="n">
        <v>452149.004</v>
      </c>
      <c r="AY8" t="n">
        <v>327832.003</v>
      </c>
      <c r="AZ8" t="n">
        <v>525328.4179999999</v>
      </c>
      <c r="BA8" t="n">
        <v>471990.786</v>
      </c>
      <c r="BB8" t="n">
        <v>393291.498</v>
      </c>
      <c r="BC8" t="n">
        <v>372819.603</v>
      </c>
      <c r="BD8" t="n">
        <v>414426.28</v>
      </c>
      <c r="BE8" t="n">
        <v>404121.207</v>
      </c>
      <c r="BF8" t="n">
        <v>242633.12</v>
      </c>
      <c r="BG8" t="n">
        <v>250729.129</v>
      </c>
      <c r="BH8" t="n">
        <v>254462.006</v>
      </c>
      <c r="BI8" t="n">
        <v>262520.342</v>
      </c>
      <c r="BJ8" t="n">
        <v>251366.988</v>
      </c>
      <c r="BK8" t="n">
        <v>220196.445</v>
      </c>
      <c r="BL8" t="n">
        <v>240564.297</v>
      </c>
      <c r="BM8" t="n">
        <v>221710.558</v>
      </c>
      <c r="BN8" t="n">
        <v>225093.1</v>
      </c>
      <c r="BO8" t="n">
        <v>234726.534</v>
      </c>
      <c r="BP8" t="n">
        <v>237188.449</v>
      </c>
      <c r="BQ8" t="n">
        <v>50754.014</v>
      </c>
      <c r="BR8" t="n">
        <v>56076.917</v>
      </c>
      <c r="BS8" t="n">
        <v>61017.065</v>
      </c>
      <c r="BT8" t="n">
        <v>53740.033</v>
      </c>
      <c r="BU8" t="n">
        <v>41253.544</v>
      </c>
      <c r="BV8" t="n">
        <v>40397.799</v>
      </c>
    </row>
    <row r="9">
      <c r="A9" t="inlineStr">
        <is>
          <t>Acetes japonicus</t>
        </is>
      </c>
      <c r="B9" t="inlineStr">
        <is>
          <t>Akiami paste shrimp</t>
        </is>
      </c>
      <c r="C9" t="inlineStr">
        <is>
          <t>Shrimps</t>
        </is>
      </c>
      <c r="D9" t="inlineStr">
        <is>
          <t>Crustaceans</t>
        </is>
      </c>
      <c r="E9" t="n">
        <v>13848.539</v>
      </c>
      <c r="F9" t="n">
        <v>20361.681</v>
      </c>
      <c r="G9" t="n">
        <v>25686.634</v>
      </c>
      <c r="H9" t="n">
        <v>26184.978</v>
      </c>
      <c r="I9" t="n">
        <v>31711.131</v>
      </c>
      <c r="J9" t="n">
        <v>34689.78</v>
      </c>
      <c r="K9" t="n">
        <v>40298.198</v>
      </c>
      <c r="L9" t="n">
        <v>39321.915</v>
      </c>
      <c r="M9" t="n">
        <v>39196.428</v>
      </c>
      <c r="N9" t="n">
        <v>41371.172</v>
      </c>
      <c r="O9" t="n">
        <v>41366.198</v>
      </c>
      <c r="P9" t="n">
        <v>41456.969</v>
      </c>
      <c r="Q9" t="n">
        <v>43502.976</v>
      </c>
      <c r="R9" t="n">
        <v>43439.655</v>
      </c>
      <c r="S9" t="n">
        <v>43458.282</v>
      </c>
      <c r="T9" t="n">
        <v>45458.687</v>
      </c>
      <c r="U9" t="n">
        <v>45617.836</v>
      </c>
      <c r="V9" t="n">
        <v>45641.055</v>
      </c>
      <c r="W9" t="n">
        <v>47466.071</v>
      </c>
      <c r="X9" t="n">
        <v>47459.033</v>
      </c>
      <c r="Y9" t="n">
        <v>47808.75</v>
      </c>
      <c r="Z9" t="n">
        <v>39979.742</v>
      </c>
      <c r="AA9" t="n">
        <v>46564.166</v>
      </c>
      <c r="AB9" t="n">
        <v>49518.13</v>
      </c>
      <c r="AC9" t="n">
        <v>52502.686</v>
      </c>
      <c r="AD9" t="n">
        <v>56036.47</v>
      </c>
      <c r="AE9" t="n">
        <v>64717.788</v>
      </c>
      <c r="AF9" t="n">
        <v>94836.079</v>
      </c>
      <c r="AG9" t="n">
        <v>106262.901</v>
      </c>
      <c r="AH9" t="n">
        <v>57230.246</v>
      </c>
      <c r="AI9" t="n">
        <v>71614.145</v>
      </c>
      <c r="AJ9" t="n">
        <v>81884.587</v>
      </c>
      <c r="AK9" t="n">
        <v>83644.792</v>
      </c>
      <c r="AL9" t="n">
        <v>87581.57000000001</v>
      </c>
      <c r="AM9" t="n">
        <v>98219.124</v>
      </c>
      <c r="AN9" t="n">
        <v>109187.424</v>
      </c>
      <c r="AO9" t="n">
        <v>92176.747</v>
      </c>
      <c r="AP9" t="n">
        <v>86976.285</v>
      </c>
      <c r="AQ9" t="n">
        <v>102386.823</v>
      </c>
      <c r="AR9" t="n">
        <v>114583.955</v>
      </c>
      <c r="AS9" t="n">
        <v>119311.494</v>
      </c>
      <c r="AT9" t="n">
        <v>115369.006</v>
      </c>
      <c r="AU9" t="n">
        <v>121667.847</v>
      </c>
      <c r="AV9" t="n">
        <v>138077.009</v>
      </c>
      <c r="AW9" t="n">
        <v>170825.212</v>
      </c>
      <c r="AX9" t="n">
        <v>200846.373</v>
      </c>
      <c r="AY9" t="n">
        <v>234718.848</v>
      </c>
      <c r="AZ9" t="n">
        <v>235552.381</v>
      </c>
      <c r="BA9" t="n">
        <v>266443.681</v>
      </c>
      <c r="BB9" t="n">
        <v>265437.674</v>
      </c>
      <c r="BC9" t="n">
        <v>282773.893</v>
      </c>
      <c r="BD9" t="n">
        <v>257549.258</v>
      </c>
      <c r="BE9" t="n">
        <v>260135.225</v>
      </c>
      <c r="BF9" t="n">
        <v>279708.627</v>
      </c>
      <c r="BG9" t="n">
        <v>299470.136</v>
      </c>
      <c r="BH9" t="n">
        <v>290392.955</v>
      </c>
      <c r="BI9" t="n">
        <v>327673.933</v>
      </c>
      <c r="BJ9" t="n">
        <v>325017.542</v>
      </c>
      <c r="BK9" t="n">
        <v>290260.82</v>
      </c>
      <c r="BL9" t="n">
        <v>314143.877</v>
      </c>
      <c r="BM9" t="n">
        <v>295152.533</v>
      </c>
      <c r="BN9" t="n">
        <v>282252.858</v>
      </c>
      <c r="BO9" t="n">
        <v>302623.99</v>
      </c>
      <c r="BP9" t="n">
        <v>301659.449</v>
      </c>
      <c r="BQ9" t="n">
        <v>287327.506</v>
      </c>
      <c r="BR9" t="n">
        <v>285450.383</v>
      </c>
      <c r="BS9" t="n">
        <v>252478.98</v>
      </c>
      <c r="BT9" t="n">
        <v>236758.781</v>
      </c>
      <c r="BU9" t="n">
        <v>229520.097</v>
      </c>
      <c r="BV9" t="n">
        <v>211464.527</v>
      </c>
    </row>
    <row r="10">
      <c r="A10" t="inlineStr">
        <is>
          <t>Perciformes</t>
        </is>
      </c>
      <c r="B10" t="inlineStr">
        <is>
          <t>Perch-likes</t>
        </is>
      </c>
      <c r="C10" t="inlineStr">
        <is>
          <t>Medium demersals (30 - 89 cm)</t>
        </is>
      </c>
      <c r="D10" t="inlineStr">
        <is>
          <t>Perch-likes</t>
        </is>
      </c>
      <c r="E10" t="n">
        <v>1000.255</v>
      </c>
      <c r="F10" t="n">
        <v>1293.67</v>
      </c>
      <c r="G10" t="n">
        <v>1276.326</v>
      </c>
      <c r="H10" t="n">
        <v>1274.046</v>
      </c>
      <c r="I10" t="n">
        <v>2048.313</v>
      </c>
      <c r="J10" t="n">
        <v>1159.352</v>
      </c>
      <c r="K10" t="n">
        <v>1391.745</v>
      </c>
      <c r="L10" t="n">
        <v>1835.994</v>
      </c>
      <c r="M10" t="n">
        <v>1422.594</v>
      </c>
      <c r="N10" t="n">
        <v>2941.333</v>
      </c>
      <c r="O10" t="n">
        <v>5792.706</v>
      </c>
      <c r="P10" t="n">
        <v>7550.357</v>
      </c>
      <c r="Q10" t="n">
        <v>10953.352</v>
      </c>
      <c r="R10" t="n">
        <v>14930.908</v>
      </c>
      <c r="S10" t="n">
        <v>18174.881</v>
      </c>
      <c r="T10" t="n">
        <v>22375.47</v>
      </c>
      <c r="U10" t="n">
        <v>24575.112</v>
      </c>
      <c r="V10" t="n">
        <v>26646.192</v>
      </c>
      <c r="W10" t="n">
        <v>27277.782</v>
      </c>
      <c r="X10" t="n">
        <v>27314.248</v>
      </c>
      <c r="Y10" t="n">
        <v>27370.934</v>
      </c>
      <c r="Z10" t="n">
        <v>29058.735</v>
      </c>
      <c r="AA10" t="n">
        <v>31883.385</v>
      </c>
      <c r="AB10" t="n">
        <v>32286.564</v>
      </c>
      <c r="AC10" t="n">
        <v>37970.549</v>
      </c>
      <c r="AD10" t="n">
        <v>40742.486</v>
      </c>
      <c r="AE10" t="n">
        <v>43916.882</v>
      </c>
      <c r="AF10" t="n">
        <v>41121.478</v>
      </c>
      <c r="AG10" t="n">
        <v>41096.417</v>
      </c>
      <c r="AH10" t="n">
        <v>42726.118</v>
      </c>
      <c r="AI10" t="n">
        <v>42549.719</v>
      </c>
      <c r="AJ10" t="n">
        <v>47073.283</v>
      </c>
      <c r="AK10" t="n">
        <v>55629.364</v>
      </c>
      <c r="AL10" t="n">
        <v>65251.242</v>
      </c>
      <c r="AM10" t="n">
        <v>68244.11199999999</v>
      </c>
      <c r="AN10" t="n">
        <v>72540.77</v>
      </c>
      <c r="AO10" t="n">
        <v>85122.924</v>
      </c>
      <c r="AP10" t="n">
        <v>94001.15399999999</v>
      </c>
      <c r="AQ10" t="n">
        <v>107213.642</v>
      </c>
      <c r="AR10" t="n">
        <v>106109.195</v>
      </c>
      <c r="AS10" t="n">
        <v>112383.009</v>
      </c>
      <c r="AT10" t="n">
        <v>122881.629</v>
      </c>
      <c r="AU10" t="n">
        <v>135029.017</v>
      </c>
      <c r="AV10" t="n">
        <v>145686.86</v>
      </c>
      <c r="AW10" t="n">
        <v>164355.706</v>
      </c>
      <c r="AX10" t="n">
        <v>172292.965</v>
      </c>
      <c r="AY10" t="n">
        <v>198400.18</v>
      </c>
      <c r="AZ10" t="n">
        <v>211098.6</v>
      </c>
      <c r="BA10" t="n">
        <v>227288.919</v>
      </c>
      <c r="BB10" t="n">
        <v>269505.356</v>
      </c>
      <c r="BC10" t="n">
        <v>260180.811</v>
      </c>
      <c r="BD10" t="n">
        <v>268934.479</v>
      </c>
      <c r="BE10" t="n">
        <v>275336.498</v>
      </c>
      <c r="BF10" t="n">
        <v>277174.653</v>
      </c>
      <c r="BG10" t="n">
        <v>290720.916</v>
      </c>
      <c r="BH10" t="n">
        <v>295962.137</v>
      </c>
      <c r="BI10" t="n">
        <v>303807.637</v>
      </c>
      <c r="BJ10" t="n">
        <v>307558.913</v>
      </c>
      <c r="BK10" t="n">
        <v>312737.786</v>
      </c>
      <c r="BL10" t="n">
        <v>318723.668</v>
      </c>
      <c r="BM10" t="n">
        <v>327253.918</v>
      </c>
      <c r="BN10" t="n">
        <v>325391.338</v>
      </c>
      <c r="BO10" t="n">
        <v>336244.005</v>
      </c>
      <c r="BP10" t="n">
        <v>343189.682</v>
      </c>
      <c r="BQ10" t="n">
        <v>355448.649</v>
      </c>
      <c r="BR10" t="n">
        <v>364477.555</v>
      </c>
      <c r="BS10" t="n">
        <v>386073.218</v>
      </c>
      <c r="BT10" t="n">
        <v>418306.139</v>
      </c>
      <c r="BU10" t="n">
        <v>465596.677</v>
      </c>
      <c r="BV10" t="n">
        <v>466825.639</v>
      </c>
    </row>
    <row r="11">
      <c r="A11" t="inlineStr">
        <is>
          <t>Nemipterus</t>
        </is>
      </c>
      <c r="B11" t="inlineStr">
        <is>
          <t>Threadfin breams</t>
        </is>
      </c>
      <c r="C11" t="inlineStr">
        <is>
          <t>Small demersals (&lt;30 cm)</t>
        </is>
      </c>
      <c r="D11" t="inlineStr">
        <is>
          <t>Perch-likes</t>
        </is>
      </c>
      <c r="E11" t="n">
        <v>5738.279</v>
      </c>
      <c r="F11" t="n">
        <v>6042.461</v>
      </c>
      <c r="G11" t="n">
        <v>6359.963</v>
      </c>
      <c r="H11" t="n">
        <v>6372.481</v>
      </c>
      <c r="I11" t="n">
        <v>11471.279</v>
      </c>
      <c r="J11" t="n">
        <v>18541.345</v>
      </c>
      <c r="K11" t="n">
        <v>20406.57</v>
      </c>
      <c r="L11" t="n">
        <v>23424.12</v>
      </c>
      <c r="M11" t="n">
        <v>26178.291</v>
      </c>
      <c r="N11" t="n">
        <v>31748.418</v>
      </c>
      <c r="O11" t="n">
        <v>43525.476</v>
      </c>
      <c r="P11" t="n">
        <v>45748.409</v>
      </c>
      <c r="Q11" t="n">
        <v>56231.492</v>
      </c>
      <c r="R11" t="n">
        <v>67945.302</v>
      </c>
      <c r="S11" t="n">
        <v>71020.372</v>
      </c>
      <c r="T11" t="n">
        <v>71532.519</v>
      </c>
      <c r="U11" t="n">
        <v>71808.71400000001</v>
      </c>
      <c r="V11" t="n">
        <v>72648.053</v>
      </c>
      <c r="W11" t="n">
        <v>74358.88400000001</v>
      </c>
      <c r="X11" t="n">
        <v>73360.23699999999</v>
      </c>
      <c r="Y11" t="n">
        <v>67936.821</v>
      </c>
      <c r="Z11" t="n">
        <v>66542.745</v>
      </c>
      <c r="AA11" t="n">
        <v>70408.501</v>
      </c>
      <c r="AB11" t="n">
        <v>61669.992</v>
      </c>
      <c r="AC11" t="n">
        <v>69406.29399999999</v>
      </c>
      <c r="AD11" t="n">
        <v>72804.276</v>
      </c>
      <c r="AE11" t="n">
        <v>84234.061</v>
      </c>
      <c r="AF11" t="n">
        <v>68949.955</v>
      </c>
      <c r="AG11" t="n">
        <v>93755.179</v>
      </c>
      <c r="AH11" t="n">
        <v>84560.46000000001</v>
      </c>
      <c r="AI11" t="n">
        <v>67310.08500000001</v>
      </c>
      <c r="AJ11" t="n">
        <v>71437.90300000001</v>
      </c>
      <c r="AK11" t="n">
        <v>80504.37699999999</v>
      </c>
      <c r="AL11" t="n">
        <v>89724.22500000001</v>
      </c>
      <c r="AM11" t="n">
        <v>88267.93799999999</v>
      </c>
      <c r="AN11" t="n">
        <v>91146.751</v>
      </c>
      <c r="AO11" t="n">
        <v>96147.776</v>
      </c>
      <c r="AP11" t="n">
        <v>95999.98</v>
      </c>
      <c r="AQ11" t="n">
        <v>90089.228</v>
      </c>
      <c r="AR11" t="n">
        <v>96851.573</v>
      </c>
      <c r="AS11" t="n">
        <v>94396.99000000001</v>
      </c>
      <c r="AT11" t="n">
        <v>101585.845</v>
      </c>
      <c r="AU11" t="n">
        <v>106178.562</v>
      </c>
      <c r="AV11" t="n">
        <v>98730.333</v>
      </c>
      <c r="AW11" t="n">
        <v>102011.094</v>
      </c>
      <c r="AX11" t="n">
        <v>212482.045</v>
      </c>
      <c r="AY11" t="n">
        <v>224263.779</v>
      </c>
      <c r="AZ11" t="n">
        <v>219453.367</v>
      </c>
      <c r="BA11" t="n">
        <v>208744.108</v>
      </c>
      <c r="BB11" t="n">
        <v>181907.481</v>
      </c>
      <c r="BC11" t="n">
        <v>195689.398</v>
      </c>
      <c r="BD11" t="n">
        <v>210311.629</v>
      </c>
      <c r="BE11" t="n">
        <v>219396.217</v>
      </c>
      <c r="BF11" t="n">
        <v>295692.025</v>
      </c>
      <c r="BG11" t="n">
        <v>201953.111</v>
      </c>
      <c r="BH11" t="n">
        <v>188206.133</v>
      </c>
      <c r="BI11" t="n">
        <v>202346.594</v>
      </c>
      <c r="BJ11" t="n">
        <v>148508.787</v>
      </c>
      <c r="BK11" t="n">
        <v>226228.429</v>
      </c>
      <c r="BL11" t="n">
        <v>260059.457</v>
      </c>
      <c r="BM11" t="n">
        <v>264858.113</v>
      </c>
      <c r="BN11" t="n">
        <v>238313.355</v>
      </c>
      <c r="BO11" t="n">
        <v>257620.256</v>
      </c>
      <c r="BP11" t="n">
        <v>285888.668</v>
      </c>
      <c r="BQ11" t="n">
        <v>296939.508</v>
      </c>
      <c r="BR11" t="n">
        <v>328783.335</v>
      </c>
      <c r="BS11" t="n">
        <v>352077.232</v>
      </c>
      <c r="BT11" t="n">
        <v>320451.999</v>
      </c>
      <c r="BU11" t="n">
        <v>313827.663</v>
      </c>
      <c r="BV11" t="n">
        <v>332492.882</v>
      </c>
    </row>
    <row r="12">
      <c r="A12" t="inlineStr">
        <is>
          <t>Miscellaneous marine crustaceans</t>
        </is>
      </c>
      <c r="B12" t="inlineStr">
        <is>
          <t>Marine crabs, shrimps, lobsters nei</t>
        </is>
      </c>
      <c r="C12" t="inlineStr">
        <is>
          <t>Shrimps</t>
        </is>
      </c>
      <c r="D12" t="inlineStr">
        <is>
          <t>Crustaceans</t>
        </is>
      </c>
      <c r="E12" t="n">
        <v>29039.282</v>
      </c>
      <c r="F12" t="n">
        <v>41837.412</v>
      </c>
      <c r="G12" t="n">
        <v>52931.091</v>
      </c>
      <c r="H12" t="n">
        <v>53789.79</v>
      </c>
      <c r="I12" t="n">
        <v>65469.337</v>
      </c>
      <c r="J12" t="n">
        <v>71608.124</v>
      </c>
      <c r="K12" t="n">
        <v>83202.773</v>
      </c>
      <c r="L12" t="n">
        <v>80797.337</v>
      </c>
      <c r="M12" t="n">
        <v>80418.40399999999</v>
      </c>
      <c r="N12" t="n">
        <v>84260.79300000001</v>
      </c>
      <c r="O12" t="n">
        <v>83874.065</v>
      </c>
      <c r="P12" t="n">
        <v>83572.08199999999</v>
      </c>
      <c r="Q12" t="n">
        <v>87406.015</v>
      </c>
      <c r="R12" t="n">
        <v>87110.7</v>
      </c>
      <c r="S12" t="n">
        <v>86755.06200000001</v>
      </c>
      <c r="T12" t="n">
        <v>90564.25599999999</v>
      </c>
      <c r="U12" t="n">
        <v>90263.815</v>
      </c>
      <c r="V12" t="n">
        <v>89803.719</v>
      </c>
      <c r="W12" t="n">
        <v>93449.306</v>
      </c>
      <c r="X12" t="n">
        <v>93064.39599999999</v>
      </c>
      <c r="Y12" t="n">
        <v>80704.064</v>
      </c>
      <c r="Z12" t="n">
        <v>87272.88099999999</v>
      </c>
      <c r="AA12" t="n">
        <v>75106.626</v>
      </c>
      <c r="AB12" t="n">
        <v>132955.652</v>
      </c>
      <c r="AC12" t="n">
        <v>146315.731</v>
      </c>
      <c r="AD12" t="n">
        <v>144213.396</v>
      </c>
      <c r="AE12" t="n">
        <v>102621.214</v>
      </c>
      <c r="AF12" t="n">
        <v>95053.553</v>
      </c>
      <c r="AG12" t="n">
        <v>101945.483</v>
      </c>
      <c r="AH12" t="n">
        <v>95317.671</v>
      </c>
      <c r="AI12" t="n">
        <v>88969.943</v>
      </c>
      <c r="AJ12" t="n">
        <v>89926.512</v>
      </c>
      <c r="AK12" t="n">
        <v>115019.914</v>
      </c>
      <c r="AL12" t="n">
        <v>110625.309</v>
      </c>
      <c r="AM12" t="n">
        <v>139097.117</v>
      </c>
      <c r="AN12" t="n">
        <v>139291.841</v>
      </c>
      <c r="AO12" t="n">
        <v>125012.731</v>
      </c>
      <c r="AP12" t="n">
        <v>113001.054</v>
      </c>
      <c r="AQ12" t="n">
        <v>132350.75</v>
      </c>
      <c r="AR12" t="n">
        <v>145366.812</v>
      </c>
      <c r="AS12" t="n">
        <v>141672.067</v>
      </c>
      <c r="AT12" t="n">
        <v>161930.847</v>
      </c>
      <c r="AU12" t="n">
        <v>173741.301</v>
      </c>
      <c r="AV12" t="n">
        <v>256295.538</v>
      </c>
      <c r="AW12" t="n">
        <v>272690</v>
      </c>
      <c r="AX12" t="n">
        <v>306908.5</v>
      </c>
      <c r="AY12" t="n">
        <v>329018.651</v>
      </c>
      <c r="AZ12" t="n">
        <v>385544.413</v>
      </c>
      <c r="BA12" t="n">
        <v>414069.69</v>
      </c>
      <c r="BB12" t="n">
        <v>323703.292</v>
      </c>
      <c r="BC12" t="n">
        <v>338172.258</v>
      </c>
      <c r="BD12" t="n">
        <v>393199.195</v>
      </c>
      <c r="BE12" t="n">
        <v>373539.16</v>
      </c>
      <c r="BF12" t="n">
        <v>12538.679</v>
      </c>
      <c r="BG12" t="n">
        <v>11011.26</v>
      </c>
      <c r="BH12" t="n">
        <v>10772.016</v>
      </c>
      <c r="BI12" t="n">
        <v>13173.243</v>
      </c>
      <c r="BJ12" t="n">
        <v>13937.996</v>
      </c>
      <c r="BK12" t="n">
        <v>17453.246</v>
      </c>
      <c r="BL12" t="n">
        <v>15267.373</v>
      </c>
      <c r="BM12" t="n">
        <v>19603.516</v>
      </c>
      <c r="BN12" t="n">
        <v>20272.721</v>
      </c>
      <c r="BO12" t="n">
        <v>20492.894</v>
      </c>
      <c r="BP12" t="n">
        <v>20803.001</v>
      </c>
      <c r="BQ12" t="n">
        <v>211217.983</v>
      </c>
      <c r="BR12" t="n">
        <v>223243.944</v>
      </c>
      <c r="BS12" t="n">
        <v>189748.405</v>
      </c>
      <c r="BT12" t="n">
        <v>180278.088</v>
      </c>
      <c r="BU12" t="n">
        <v>178601.177</v>
      </c>
      <c r="BV12" t="n">
        <v>174055.981</v>
      </c>
    </row>
    <row r="13">
      <c r="A13" t="inlineStr">
        <is>
          <t>Leiognathidae</t>
        </is>
      </c>
      <c r="B13" t="inlineStr">
        <is>
          <t>Slipmouths, ponyfishes</t>
        </is>
      </c>
      <c r="C13" t="inlineStr">
        <is>
          <t>Small benthopelagics (&lt;30 cm)</t>
        </is>
      </c>
      <c r="D13" t="inlineStr">
        <is>
          <t>Perch-likes</t>
        </is>
      </c>
      <c r="E13" t="n">
        <v>1380.902</v>
      </c>
      <c r="F13" t="n">
        <v>1439.92</v>
      </c>
      <c r="G13" t="n">
        <v>1504.635</v>
      </c>
      <c r="H13" t="n">
        <v>1520.72</v>
      </c>
      <c r="I13" t="n">
        <v>1967.854</v>
      </c>
      <c r="J13" t="n">
        <v>2048.018</v>
      </c>
      <c r="K13" t="n">
        <v>2054.175</v>
      </c>
      <c r="L13" t="n">
        <v>1963.215</v>
      </c>
      <c r="M13" t="n">
        <v>2209.829</v>
      </c>
      <c r="N13" t="n">
        <v>3196.007</v>
      </c>
      <c r="O13" t="n">
        <v>4862.636</v>
      </c>
      <c r="P13" t="n">
        <v>6221.404</v>
      </c>
      <c r="Q13" t="n">
        <v>8975.508</v>
      </c>
      <c r="R13" t="n">
        <v>12923.671</v>
      </c>
      <c r="S13" t="n">
        <v>16310.857</v>
      </c>
      <c r="T13" t="n">
        <v>18890.359</v>
      </c>
      <c r="U13" t="n">
        <v>20360.023</v>
      </c>
      <c r="V13" t="n">
        <v>22400.589</v>
      </c>
      <c r="W13" t="n">
        <v>24636.243</v>
      </c>
      <c r="X13" t="n">
        <v>25050.559</v>
      </c>
      <c r="Y13" t="n">
        <v>28210.875</v>
      </c>
      <c r="Z13" t="n">
        <v>29754.946</v>
      </c>
      <c r="AA13" t="n">
        <v>33553.222</v>
      </c>
      <c r="AB13" t="n">
        <v>35212.948</v>
      </c>
      <c r="AC13" t="n">
        <v>37856.936</v>
      </c>
      <c r="AD13" t="n">
        <v>46815.713</v>
      </c>
      <c r="AE13" t="n">
        <v>50055.16</v>
      </c>
      <c r="AF13" t="n">
        <v>52331.072</v>
      </c>
      <c r="AG13" t="n">
        <v>51055.23</v>
      </c>
      <c r="AH13" t="n">
        <v>51910.023</v>
      </c>
      <c r="AI13" t="n">
        <v>49236.937</v>
      </c>
      <c r="AJ13" t="n">
        <v>52972.516</v>
      </c>
      <c r="AK13" t="n">
        <v>57022.522</v>
      </c>
      <c r="AL13" t="n">
        <v>68740.38400000001</v>
      </c>
      <c r="AM13" t="n">
        <v>71384.11</v>
      </c>
      <c r="AN13" t="n">
        <v>76522.397</v>
      </c>
      <c r="AO13" t="n">
        <v>88018.27899999999</v>
      </c>
      <c r="AP13" t="n">
        <v>97629.28599999999</v>
      </c>
      <c r="AQ13" t="n">
        <v>97155.00599999999</v>
      </c>
      <c r="AR13" t="n">
        <v>106662.69</v>
      </c>
      <c r="AS13" t="n">
        <v>113508.445</v>
      </c>
      <c r="AT13" t="n">
        <v>114141.475</v>
      </c>
      <c r="AU13" t="n">
        <v>123414.034</v>
      </c>
      <c r="AV13" t="n">
        <v>137108.215</v>
      </c>
      <c r="AW13" t="n">
        <v>152567.935</v>
      </c>
      <c r="AX13" t="n">
        <v>160447.327</v>
      </c>
      <c r="AY13" t="n">
        <v>176910.29</v>
      </c>
      <c r="AZ13" t="n">
        <v>182545.07</v>
      </c>
      <c r="BA13" t="n">
        <v>194352.366</v>
      </c>
      <c r="BB13" t="n">
        <v>235002.185</v>
      </c>
      <c r="BC13" t="n">
        <v>235271.916</v>
      </c>
      <c r="BD13" t="n">
        <v>241703.257</v>
      </c>
      <c r="BE13" t="n">
        <v>248415.308</v>
      </c>
      <c r="BF13" t="n">
        <v>252804.014</v>
      </c>
      <c r="BG13" t="n">
        <v>260129.714</v>
      </c>
      <c r="BH13" t="n">
        <v>268757.413</v>
      </c>
      <c r="BI13" t="n">
        <v>265707.014</v>
      </c>
      <c r="BJ13" t="n">
        <v>271215.488</v>
      </c>
      <c r="BK13" t="n">
        <v>260131.293</v>
      </c>
      <c r="BL13" t="n">
        <v>264418.593</v>
      </c>
      <c r="BM13" t="n">
        <v>272661.83</v>
      </c>
      <c r="BN13" t="n">
        <v>273187.892</v>
      </c>
      <c r="BO13" t="n">
        <v>285558.28</v>
      </c>
      <c r="BP13" t="n">
        <v>290723.201</v>
      </c>
      <c r="BQ13" t="n">
        <v>300643.909</v>
      </c>
      <c r="BR13" t="n">
        <v>311218.685</v>
      </c>
      <c r="BS13" t="n">
        <v>330314.598</v>
      </c>
      <c r="BT13" t="n">
        <v>358582.508</v>
      </c>
      <c r="BU13" t="n">
        <v>392444</v>
      </c>
      <c r="BV13" t="n">
        <v>396542.91</v>
      </c>
    </row>
    <row r="14">
      <c r="A14" t="inlineStr">
        <is>
          <t>Engraulis japonicus</t>
        </is>
      </c>
      <c r="B14" t="inlineStr">
        <is>
          <t>Japanese anchovy</t>
        </is>
      </c>
      <c r="C14" t="inlineStr">
        <is>
          <t>Small pelagics (&lt;30 cm)</t>
        </is>
      </c>
      <c r="D14" t="inlineStr">
        <is>
          <t>Anchovies</t>
        </is>
      </c>
      <c r="E14" t="n">
        <v>4.608</v>
      </c>
      <c r="F14" t="n">
        <v>5.669</v>
      </c>
      <c r="G14" t="n">
        <v>6.644</v>
      </c>
      <c r="H14" t="n">
        <v>7.126</v>
      </c>
      <c r="I14" t="n">
        <v>7.47</v>
      </c>
      <c r="J14" t="n">
        <v>9.074999999999999</v>
      </c>
      <c r="K14" t="n">
        <v>10.398</v>
      </c>
      <c r="L14" t="n">
        <v>11.396</v>
      </c>
      <c r="M14" t="n">
        <v>12.649</v>
      </c>
      <c r="N14" t="n">
        <v>14.19</v>
      </c>
      <c r="O14" t="n">
        <v>14.779</v>
      </c>
      <c r="P14" t="n">
        <v>17.198</v>
      </c>
      <c r="Q14" t="n">
        <v>66.167</v>
      </c>
      <c r="R14" t="n">
        <v>20.36</v>
      </c>
      <c r="S14" t="n">
        <v>80.497</v>
      </c>
      <c r="T14" t="n">
        <v>23.413</v>
      </c>
      <c r="U14" t="n">
        <v>80.559</v>
      </c>
      <c r="V14" t="n">
        <v>27.72</v>
      </c>
      <c r="W14" t="n">
        <v>88.61</v>
      </c>
      <c r="X14" t="n">
        <v>35.006</v>
      </c>
      <c r="Y14" t="n">
        <v>36.624</v>
      </c>
      <c r="Z14" t="n">
        <v>39.331</v>
      </c>
      <c r="AA14" t="n">
        <v>38.176</v>
      </c>
      <c r="AB14" t="n">
        <v>40.305</v>
      </c>
      <c r="AC14" t="n">
        <v>40.3</v>
      </c>
      <c r="AD14" t="n">
        <v>51.089</v>
      </c>
      <c r="AE14" t="n">
        <v>53.153</v>
      </c>
      <c r="AF14" t="n">
        <v>55.299</v>
      </c>
      <c r="AG14" t="n">
        <v>61.929</v>
      </c>
      <c r="AH14" t="n">
        <v>64.845</v>
      </c>
      <c r="AI14" t="n">
        <v>65.211</v>
      </c>
      <c r="AJ14" t="n">
        <v>57.838</v>
      </c>
      <c r="AK14" t="n">
        <v>57.347</v>
      </c>
      <c r="AL14" t="n">
        <v>60.299</v>
      </c>
      <c r="AM14" t="n">
        <v>251.94</v>
      </c>
      <c r="AN14" t="n">
        <v>59.355</v>
      </c>
      <c r="AO14" t="n">
        <v>74.604</v>
      </c>
      <c r="AP14" t="n">
        <v>433.575</v>
      </c>
      <c r="AQ14" t="n">
        <v>53.173</v>
      </c>
      <c r="AR14" t="n">
        <v>1628.243</v>
      </c>
      <c r="AS14" t="n">
        <v>23572.51</v>
      </c>
      <c r="AT14" t="n">
        <v>44887.778</v>
      </c>
      <c r="AU14" t="n">
        <v>76854.10799999999</v>
      </c>
      <c r="AV14" t="n">
        <v>205697.541</v>
      </c>
      <c r="AW14" t="n">
        <v>168082.742</v>
      </c>
      <c r="AX14" t="n">
        <v>187093.502</v>
      </c>
      <c r="AY14" t="n">
        <v>265766.193</v>
      </c>
      <c r="AZ14" t="n">
        <v>454699.346</v>
      </c>
      <c r="BA14" t="n">
        <v>471515.749</v>
      </c>
      <c r="BB14" t="n">
        <v>318666.934</v>
      </c>
      <c r="BC14" t="n">
        <v>324013.5</v>
      </c>
      <c r="BD14" t="n">
        <v>396278.496</v>
      </c>
      <c r="BE14" t="n">
        <v>365700.232</v>
      </c>
      <c r="BF14" t="n">
        <v>425947.926</v>
      </c>
      <c r="BG14" t="n">
        <v>337892.178</v>
      </c>
      <c r="BH14" t="n">
        <v>315510.156</v>
      </c>
      <c r="BI14" t="n">
        <v>293850.19</v>
      </c>
      <c r="BJ14" t="n">
        <v>282238.255</v>
      </c>
      <c r="BK14" t="n">
        <v>227610.596</v>
      </c>
      <c r="BL14" t="n">
        <v>192347.628</v>
      </c>
      <c r="BM14" t="n">
        <v>217909.742</v>
      </c>
      <c r="BN14" t="n">
        <v>257212.122</v>
      </c>
      <c r="BO14" t="n">
        <v>314783.791</v>
      </c>
      <c r="BP14" t="n">
        <v>344738.095</v>
      </c>
      <c r="BQ14" t="n">
        <v>351097.736</v>
      </c>
      <c r="BR14" t="n">
        <v>379680.982</v>
      </c>
      <c r="BS14" t="n">
        <v>324513.447</v>
      </c>
      <c r="BT14" t="n">
        <v>280070.39</v>
      </c>
      <c r="BU14" t="n">
        <v>262131.797</v>
      </c>
      <c r="BV14" t="n">
        <v>440378.285</v>
      </c>
    </row>
    <row r="15">
      <c r="A15" t="inlineStr">
        <is>
          <t>Scomberomorus</t>
        </is>
      </c>
      <c r="B15" t="inlineStr">
        <is>
          <t>Spanish mackerels</t>
        </is>
      </c>
      <c r="C15" t="inlineStr">
        <is>
          <t>Large pelagics (&gt;=90 cm)</t>
        </is>
      </c>
      <c r="D15" t="inlineStr">
        <is>
          <t>Perch-likes</t>
        </is>
      </c>
      <c r="E15" t="n">
        <v>2512.426</v>
      </c>
      <c r="F15" t="n">
        <v>2545.587</v>
      </c>
      <c r="G15" t="n">
        <v>2630.199</v>
      </c>
      <c r="H15" t="n">
        <v>2737.323</v>
      </c>
      <c r="I15" t="n">
        <v>5154.686</v>
      </c>
      <c r="J15" t="n">
        <v>3028.3</v>
      </c>
      <c r="K15" t="n">
        <v>3172.184</v>
      </c>
      <c r="L15" t="n">
        <v>3326.44</v>
      </c>
      <c r="M15" t="n">
        <v>3546.802</v>
      </c>
      <c r="N15" t="n">
        <v>3743.656</v>
      </c>
      <c r="O15" t="n">
        <v>3955.202</v>
      </c>
      <c r="P15" t="n">
        <v>4119.327</v>
      </c>
      <c r="Q15" t="n">
        <v>4356.316</v>
      </c>
      <c r="R15" t="n">
        <v>4604.669</v>
      </c>
      <c r="S15" t="n">
        <v>4941.903</v>
      </c>
      <c r="T15" t="n">
        <v>6305.643</v>
      </c>
      <c r="U15" t="n">
        <v>6870.198</v>
      </c>
      <c r="V15" t="n">
        <v>8146.127</v>
      </c>
      <c r="W15" t="n">
        <v>8868.731</v>
      </c>
      <c r="X15" t="n">
        <v>7331.018</v>
      </c>
      <c r="Y15" t="n">
        <v>24710.095</v>
      </c>
      <c r="Z15" t="n">
        <v>8124.466</v>
      </c>
      <c r="AA15" t="n">
        <v>28554.791</v>
      </c>
      <c r="AB15" t="n">
        <v>31916.61</v>
      </c>
      <c r="AC15" t="n">
        <v>34263.38</v>
      </c>
      <c r="AD15" t="n">
        <v>31931.154</v>
      </c>
      <c r="AE15" t="n">
        <v>30338.457</v>
      </c>
      <c r="AF15" t="n">
        <v>38749.063</v>
      </c>
      <c r="AG15" t="n">
        <v>28232.607</v>
      </c>
      <c r="AH15" t="n">
        <v>43893.132</v>
      </c>
      <c r="AI15" t="n">
        <v>46604.058</v>
      </c>
      <c r="AJ15" t="n">
        <v>47949.554</v>
      </c>
      <c r="AK15" t="n">
        <v>55566.191</v>
      </c>
      <c r="AL15" t="n">
        <v>58865.67</v>
      </c>
      <c r="AM15" t="n">
        <v>68389.985</v>
      </c>
      <c r="AN15" t="n">
        <v>74724.178</v>
      </c>
      <c r="AO15" t="n">
        <v>74205.067</v>
      </c>
      <c r="AP15" t="n">
        <v>74792.023</v>
      </c>
      <c r="AQ15" t="n">
        <v>92834.992</v>
      </c>
      <c r="AR15" t="n">
        <v>100560.725</v>
      </c>
      <c r="AS15" t="n">
        <v>139542.49</v>
      </c>
      <c r="AT15" t="n">
        <v>157996.189</v>
      </c>
      <c r="AU15" t="n">
        <v>131734.909</v>
      </c>
      <c r="AV15" t="n">
        <v>116215.268</v>
      </c>
      <c r="AW15" t="n">
        <v>133718.165</v>
      </c>
      <c r="AX15" t="n">
        <v>149300.788</v>
      </c>
      <c r="AY15" t="n">
        <v>183446.1</v>
      </c>
      <c r="AZ15" t="n">
        <v>206676.039</v>
      </c>
      <c r="BA15" t="n">
        <v>272966.64</v>
      </c>
      <c r="BB15" t="n">
        <v>259488.335</v>
      </c>
      <c r="BC15" t="n">
        <v>223824.249</v>
      </c>
      <c r="BD15" t="n">
        <v>235206.045</v>
      </c>
      <c r="BE15" t="n">
        <v>246129.387</v>
      </c>
      <c r="BF15" t="n">
        <v>220744.294</v>
      </c>
      <c r="BG15" t="n">
        <v>192472.351</v>
      </c>
      <c r="BH15" t="n">
        <v>208733.025</v>
      </c>
      <c r="BI15" t="n">
        <v>195766.236</v>
      </c>
      <c r="BJ15" t="n">
        <v>250912.851</v>
      </c>
      <c r="BK15" t="n">
        <v>236569.447</v>
      </c>
      <c r="BL15" t="n">
        <v>265938.126</v>
      </c>
      <c r="BM15" t="n">
        <v>291561.682</v>
      </c>
      <c r="BN15" t="n">
        <v>246416.147</v>
      </c>
      <c r="BO15" t="n">
        <v>283349.912</v>
      </c>
      <c r="BP15" t="n">
        <v>311581.907</v>
      </c>
      <c r="BQ15" t="n">
        <v>263980.525</v>
      </c>
      <c r="BR15" t="n">
        <v>284196.908</v>
      </c>
      <c r="BS15" t="n">
        <v>244924.572</v>
      </c>
      <c r="BT15" t="n">
        <v>240821.391</v>
      </c>
      <c r="BU15" t="n">
        <v>240290.022</v>
      </c>
      <c r="BV15" t="n">
        <v>233309.062</v>
      </c>
    </row>
    <row r="16">
      <c r="A16" t="inlineStr">
        <is>
          <t>Scombridae</t>
        </is>
      </c>
      <c r="B16" t="inlineStr">
        <is>
          <t>Mackerels, tunas, bonitos</t>
        </is>
      </c>
      <c r="C16" t="inlineStr">
        <is>
          <t>Medium pelagics (30 - 89 cm)</t>
        </is>
      </c>
      <c r="D16" t="inlineStr">
        <is>
          <t>Perch-likes</t>
        </is>
      </c>
      <c r="E16" t="n">
        <v>17622.532</v>
      </c>
      <c r="F16" t="n">
        <v>17083.246</v>
      </c>
      <c r="G16" t="n">
        <v>16757.616</v>
      </c>
      <c r="H16" t="n">
        <v>16620.598</v>
      </c>
      <c r="I16" t="n">
        <v>35968.679</v>
      </c>
      <c r="J16" t="n">
        <v>54079.961</v>
      </c>
      <c r="K16" t="n">
        <v>57546.051</v>
      </c>
      <c r="L16" t="n">
        <v>61140.728</v>
      </c>
      <c r="M16" t="n">
        <v>66551.399</v>
      </c>
      <c r="N16" t="n">
        <v>76525.69</v>
      </c>
      <c r="O16" t="n">
        <v>99949.08</v>
      </c>
      <c r="P16" t="n">
        <v>97215.79700000001</v>
      </c>
      <c r="Q16" t="n">
        <v>115790.556</v>
      </c>
      <c r="R16" t="n">
        <v>131058.598</v>
      </c>
      <c r="S16" t="n">
        <v>127248.582</v>
      </c>
      <c r="T16" t="n">
        <v>119035.389</v>
      </c>
      <c r="U16" t="n">
        <v>111459.205</v>
      </c>
      <c r="V16" t="n">
        <v>104321.042</v>
      </c>
      <c r="W16" t="n">
        <v>96903.41</v>
      </c>
      <c r="X16" t="n">
        <v>89477.371</v>
      </c>
      <c r="Y16" t="n">
        <v>79168.211</v>
      </c>
      <c r="Z16" t="n">
        <v>72208.447</v>
      </c>
      <c r="AA16" t="n">
        <v>65772.005</v>
      </c>
      <c r="AB16" t="n">
        <v>62053.838</v>
      </c>
      <c r="AC16" t="n">
        <v>55258.063</v>
      </c>
      <c r="AD16" t="n">
        <v>49035.476</v>
      </c>
      <c r="AE16" t="n">
        <v>51802.602</v>
      </c>
      <c r="AF16" t="n">
        <v>45267.262</v>
      </c>
      <c r="AG16" t="n">
        <v>42701.649</v>
      </c>
      <c r="AH16" t="n">
        <v>40771.668</v>
      </c>
      <c r="AI16" t="n">
        <v>38527.273</v>
      </c>
      <c r="AJ16" t="n">
        <v>40970.164</v>
      </c>
      <c r="AK16" t="n">
        <v>48899.865</v>
      </c>
      <c r="AL16" t="n">
        <v>57002.778</v>
      </c>
      <c r="AM16" t="n">
        <v>56923.512</v>
      </c>
      <c r="AN16" t="n">
        <v>61129.607</v>
      </c>
      <c r="AO16" t="n">
        <v>68971.598</v>
      </c>
      <c r="AP16" t="n">
        <v>72682.849</v>
      </c>
      <c r="AQ16" t="n">
        <v>76272.232</v>
      </c>
      <c r="AR16" t="n">
        <v>81618.303</v>
      </c>
      <c r="AS16" t="n">
        <v>80314.447</v>
      </c>
      <c r="AT16" t="n">
        <v>84247.465</v>
      </c>
      <c r="AU16" t="n">
        <v>88526.948</v>
      </c>
      <c r="AV16" t="n">
        <v>98735.431</v>
      </c>
      <c r="AW16" t="n">
        <v>106289.984</v>
      </c>
      <c r="AX16" t="n">
        <v>119505.14</v>
      </c>
      <c r="AY16" t="n">
        <v>124503.325</v>
      </c>
      <c r="AZ16" t="n">
        <v>127248.652</v>
      </c>
      <c r="BA16" t="n">
        <v>128474.842</v>
      </c>
      <c r="BB16" t="n">
        <v>152267.554</v>
      </c>
      <c r="BC16" t="n">
        <v>147867.241</v>
      </c>
      <c r="BD16" t="n">
        <v>143049.649</v>
      </c>
      <c r="BE16" t="n">
        <v>148489.969</v>
      </c>
      <c r="BF16" t="n">
        <v>176417.479</v>
      </c>
      <c r="BG16" t="n">
        <v>180113.043</v>
      </c>
      <c r="BH16" t="n">
        <v>166533.789</v>
      </c>
      <c r="BI16" t="n">
        <v>185914.166</v>
      </c>
      <c r="BJ16" t="n">
        <v>186374.493</v>
      </c>
      <c r="BK16" t="n">
        <v>180742.813</v>
      </c>
      <c r="BL16" t="n">
        <v>183086.229</v>
      </c>
      <c r="BM16" t="n">
        <v>188724.555</v>
      </c>
      <c r="BN16" t="n">
        <v>185399.923</v>
      </c>
      <c r="BO16" t="n">
        <v>190931.219</v>
      </c>
      <c r="BP16" t="n">
        <v>194490.015</v>
      </c>
      <c r="BQ16" t="n">
        <v>198091.059</v>
      </c>
      <c r="BR16" t="n">
        <v>204343.332</v>
      </c>
      <c r="BS16" t="n">
        <v>213089.278</v>
      </c>
      <c r="BT16" t="n">
        <v>232165.685</v>
      </c>
      <c r="BU16" t="n">
        <v>254500.192</v>
      </c>
      <c r="BV16" t="n">
        <v>244566.829</v>
      </c>
    </row>
    <row r="17">
      <c r="A17" t="inlineStr">
        <is>
          <t>Sparidae</t>
        </is>
      </c>
      <c r="B17" t="inlineStr">
        <is>
          <t>Porgies, seabreams</t>
        </is>
      </c>
      <c r="C17" t="inlineStr">
        <is>
          <t>Medium benthopelagics (30 - 89 cm)</t>
        </is>
      </c>
      <c r="D17" t="inlineStr">
        <is>
          <t>Perch-likes</t>
        </is>
      </c>
      <c r="E17" t="n">
        <v>5175.975</v>
      </c>
      <c r="F17" t="n">
        <v>5338.679</v>
      </c>
      <c r="G17" t="n">
        <v>5595.009</v>
      </c>
      <c r="H17" t="n">
        <v>5757.702</v>
      </c>
      <c r="I17" t="n">
        <v>5754.903</v>
      </c>
      <c r="J17" t="n">
        <v>6703.82</v>
      </c>
      <c r="K17" t="n">
        <v>8165.456</v>
      </c>
      <c r="L17" t="n">
        <v>10050.641</v>
      </c>
      <c r="M17" t="n">
        <v>11124.658</v>
      </c>
      <c r="N17" t="n">
        <v>13966.008</v>
      </c>
      <c r="O17" t="n">
        <v>11246.987</v>
      </c>
      <c r="P17" t="n">
        <v>13416.064</v>
      </c>
      <c r="Q17" t="n">
        <v>13905.825</v>
      </c>
      <c r="R17" t="n">
        <v>17274.199</v>
      </c>
      <c r="S17" t="n">
        <v>19103.886</v>
      </c>
      <c r="T17" t="n">
        <v>20236.576</v>
      </c>
      <c r="U17" t="n">
        <v>18848.014</v>
      </c>
      <c r="V17" t="n">
        <v>18640.386</v>
      </c>
      <c r="W17" t="n">
        <v>19609.649</v>
      </c>
      <c r="X17" t="n">
        <v>21272.608</v>
      </c>
      <c r="Y17" t="n">
        <v>22047.214</v>
      </c>
      <c r="Z17" t="n">
        <v>22107.641</v>
      </c>
      <c r="AA17" t="n">
        <v>23337.824</v>
      </c>
      <c r="AB17" t="n">
        <v>24487.455</v>
      </c>
      <c r="AC17" t="n">
        <v>24957.484</v>
      </c>
      <c r="AD17" t="n">
        <v>24157.958</v>
      </c>
      <c r="AE17" t="n">
        <v>28095.37</v>
      </c>
      <c r="AF17" t="n">
        <v>28399.258</v>
      </c>
      <c r="AG17" t="n">
        <v>32264.833</v>
      </c>
      <c r="AH17" t="n">
        <v>33057.531</v>
      </c>
      <c r="AI17" t="n">
        <v>32413.612</v>
      </c>
      <c r="AJ17" t="n">
        <v>32046.427</v>
      </c>
      <c r="AK17" t="n">
        <v>38529.14</v>
      </c>
      <c r="AL17" t="n">
        <v>43684.312</v>
      </c>
      <c r="AM17" t="n">
        <v>45899.015</v>
      </c>
      <c r="AN17" t="n">
        <v>47874.956</v>
      </c>
      <c r="AO17" t="n">
        <v>56698.463</v>
      </c>
      <c r="AP17" t="n">
        <v>60578.788</v>
      </c>
      <c r="AQ17" t="n">
        <v>66556.283</v>
      </c>
      <c r="AR17" t="n">
        <v>65099.213</v>
      </c>
      <c r="AS17" t="n">
        <v>86808.243</v>
      </c>
      <c r="AT17" t="n">
        <v>86609.185</v>
      </c>
      <c r="AU17" t="n">
        <v>94260.74400000001</v>
      </c>
      <c r="AV17" t="n">
        <v>101640.93</v>
      </c>
      <c r="AW17" t="n">
        <v>112688.651</v>
      </c>
      <c r="AX17" t="n">
        <v>116848.858</v>
      </c>
      <c r="AY17" t="n">
        <v>131391.334</v>
      </c>
      <c r="AZ17" t="n">
        <v>144208.602</v>
      </c>
      <c r="BA17" t="n">
        <v>149872.1</v>
      </c>
      <c r="BB17" t="n">
        <v>175108.157</v>
      </c>
      <c r="BC17" t="n">
        <v>180870.427</v>
      </c>
      <c r="BD17" t="n">
        <v>197873.253</v>
      </c>
      <c r="BE17" t="n">
        <v>200584.899</v>
      </c>
      <c r="BF17" t="n">
        <v>207009.768</v>
      </c>
      <c r="BG17" t="n">
        <v>219643.262</v>
      </c>
      <c r="BH17" t="n">
        <v>218525.846</v>
      </c>
      <c r="BI17" t="n">
        <v>231785.467</v>
      </c>
      <c r="BJ17" t="n">
        <v>229509.502</v>
      </c>
      <c r="BK17" t="n">
        <v>234726.491</v>
      </c>
      <c r="BL17" t="n">
        <v>250325.466</v>
      </c>
      <c r="BM17" t="n">
        <v>258463.965</v>
      </c>
      <c r="BN17" t="n">
        <v>252083.878</v>
      </c>
      <c r="BO17" t="n">
        <v>267233.559</v>
      </c>
      <c r="BP17" t="n">
        <v>277135.12</v>
      </c>
      <c r="BQ17" t="n">
        <v>285068.327</v>
      </c>
      <c r="BR17" t="n">
        <v>298313.027</v>
      </c>
      <c r="BS17" t="n">
        <v>311327.367</v>
      </c>
      <c r="BT17" t="n">
        <v>331122.132</v>
      </c>
      <c r="BU17" t="n">
        <v>353144.258</v>
      </c>
      <c r="BV17" t="n">
        <v>356445.948</v>
      </c>
    </row>
    <row r="18">
      <c r="A18" t="inlineStr">
        <is>
          <t>Sciaenidae</t>
        </is>
      </c>
      <c r="B18" t="inlineStr">
        <is>
          <t>Drums, croakers</t>
        </is>
      </c>
      <c r="C18" t="inlineStr">
        <is>
          <t>Medium demersals (30 - 89 cm)</t>
        </is>
      </c>
      <c r="D18" t="inlineStr">
        <is>
          <t>Perch-likes</t>
        </is>
      </c>
      <c r="E18" t="n">
        <v>2240.38</v>
      </c>
      <c r="F18" t="n">
        <v>2672.068</v>
      </c>
      <c r="G18" t="n">
        <v>2896.203</v>
      </c>
      <c r="H18" t="n">
        <v>3132.099</v>
      </c>
      <c r="I18" t="n">
        <v>7420.194</v>
      </c>
      <c r="J18" t="n">
        <v>10870.845</v>
      </c>
      <c r="K18" t="n">
        <v>12829.776</v>
      </c>
      <c r="L18" t="n">
        <v>14652.352</v>
      </c>
      <c r="M18" t="n">
        <v>17025.842</v>
      </c>
      <c r="N18" t="n">
        <v>21394.375</v>
      </c>
      <c r="O18" t="n">
        <v>30219.845</v>
      </c>
      <c r="P18" t="n">
        <v>31626.581</v>
      </c>
      <c r="Q18" t="n">
        <v>40783.597</v>
      </c>
      <c r="R18" t="n">
        <v>49857.335</v>
      </c>
      <c r="S18" t="n">
        <v>53249.606</v>
      </c>
      <c r="T18" t="n">
        <v>55292.149</v>
      </c>
      <c r="U18" t="n">
        <v>56166.834</v>
      </c>
      <c r="V18" t="n">
        <v>57200.14</v>
      </c>
      <c r="W18" t="n">
        <v>58308.966</v>
      </c>
      <c r="X18" t="n">
        <v>59055.734</v>
      </c>
      <c r="Y18" t="n">
        <v>57330.558</v>
      </c>
      <c r="Z18" t="n">
        <v>54502.665</v>
      </c>
      <c r="AA18" t="n">
        <v>64837.038</v>
      </c>
      <c r="AB18" t="n">
        <v>62549.511</v>
      </c>
      <c r="AC18" t="n">
        <v>59869.303</v>
      </c>
      <c r="AD18" t="n">
        <v>50121.312</v>
      </c>
      <c r="AE18" t="n">
        <v>43166.953</v>
      </c>
      <c r="AF18" t="n">
        <v>59823.668</v>
      </c>
      <c r="AG18" t="n">
        <v>61838.725</v>
      </c>
      <c r="AH18" t="n">
        <v>61565.873</v>
      </c>
      <c r="AI18" t="n">
        <v>61731.328</v>
      </c>
      <c r="AJ18" t="n">
        <v>64031.911</v>
      </c>
      <c r="AK18" t="n">
        <v>62711.038</v>
      </c>
      <c r="AL18" t="n">
        <v>71006.05899999999</v>
      </c>
      <c r="AM18" t="n">
        <v>69589.8</v>
      </c>
      <c r="AN18" t="n">
        <v>66936.834</v>
      </c>
      <c r="AO18" t="n">
        <v>70954.21000000001</v>
      </c>
      <c r="AP18" t="n">
        <v>70879.913</v>
      </c>
      <c r="AQ18" t="n">
        <v>74523.43399999999</v>
      </c>
      <c r="AR18" t="n">
        <v>77757.251</v>
      </c>
      <c r="AS18" t="n">
        <v>72019.67200000001</v>
      </c>
      <c r="AT18" t="n">
        <v>65522.437</v>
      </c>
      <c r="AU18" t="n">
        <v>60675.233</v>
      </c>
      <c r="AV18" t="n">
        <v>64880.526</v>
      </c>
      <c r="AW18" t="n">
        <v>70462.25</v>
      </c>
      <c r="AX18" t="n">
        <v>101220.6</v>
      </c>
      <c r="AY18" t="n">
        <v>70479.22500000001</v>
      </c>
      <c r="AZ18" t="n">
        <v>70181.69899999999</v>
      </c>
      <c r="BA18" t="n">
        <v>74011.70600000001</v>
      </c>
      <c r="BB18" t="n">
        <v>99136.232</v>
      </c>
      <c r="BC18" t="n">
        <v>92880.303</v>
      </c>
      <c r="BD18" t="n">
        <v>99409.474</v>
      </c>
      <c r="BE18" t="n">
        <v>106157.482</v>
      </c>
      <c r="BF18" t="n">
        <v>198132.822</v>
      </c>
      <c r="BG18" t="n">
        <v>194955.671</v>
      </c>
      <c r="BH18" t="n">
        <v>207482.554</v>
      </c>
      <c r="BI18" t="n">
        <v>206312.641</v>
      </c>
      <c r="BJ18" t="n">
        <v>209190.427</v>
      </c>
      <c r="BK18" t="n">
        <v>209794.114</v>
      </c>
      <c r="BL18" t="n">
        <v>224345.116</v>
      </c>
      <c r="BM18" t="n">
        <v>226158.166</v>
      </c>
      <c r="BN18" t="n">
        <v>224765.078</v>
      </c>
      <c r="BO18" t="n">
        <v>237681.924</v>
      </c>
      <c r="BP18" t="n">
        <v>247568.596</v>
      </c>
      <c r="BQ18" t="n">
        <v>241922.523</v>
      </c>
      <c r="BR18" t="n">
        <v>256827.783</v>
      </c>
      <c r="BS18" t="n">
        <v>255613.908</v>
      </c>
      <c r="BT18" t="n">
        <v>260499.238</v>
      </c>
      <c r="BU18" t="n">
        <v>271864.016</v>
      </c>
      <c r="BV18" t="n">
        <v>271824.955</v>
      </c>
    </row>
    <row r="19">
      <c r="A19" t="inlineStr">
        <is>
          <t>Dendrobranchiata</t>
        </is>
      </c>
      <c r="B19" t="inlineStr">
        <is>
          <t>Shrimps and prawns</t>
        </is>
      </c>
      <c r="C19" t="inlineStr">
        <is>
          <t>Shrimps</t>
        </is>
      </c>
      <c r="D19" t="inlineStr">
        <is>
          <t>Crustaceans</t>
        </is>
      </c>
      <c r="E19" t="n">
        <v>3719.304</v>
      </c>
      <c r="F19" t="n">
        <v>3852.936</v>
      </c>
      <c r="G19" t="n">
        <v>4152.397</v>
      </c>
      <c r="H19" t="n">
        <v>4126.366</v>
      </c>
      <c r="I19" t="n">
        <v>5905.868</v>
      </c>
      <c r="J19" t="n">
        <v>6511.283</v>
      </c>
      <c r="K19" t="n">
        <v>7014.941</v>
      </c>
      <c r="L19" t="n">
        <v>9528.173000000001</v>
      </c>
      <c r="M19" t="n">
        <v>13934.938</v>
      </c>
      <c r="N19" t="n">
        <v>12300.507</v>
      </c>
      <c r="O19" t="n">
        <v>10255.365</v>
      </c>
      <c r="P19" t="n">
        <v>10266.246</v>
      </c>
      <c r="Q19" t="n">
        <v>12304.087</v>
      </c>
      <c r="R19" t="n">
        <v>12656.867</v>
      </c>
      <c r="S19" t="n">
        <v>27872.407</v>
      </c>
      <c r="T19" t="n">
        <v>30170.235</v>
      </c>
      <c r="U19" t="n">
        <v>31018.993</v>
      </c>
      <c r="V19" t="n">
        <v>30102.966</v>
      </c>
      <c r="W19" t="n">
        <v>39779.283</v>
      </c>
      <c r="X19" t="n">
        <v>41753.171</v>
      </c>
      <c r="Y19" t="n">
        <v>50143.026</v>
      </c>
      <c r="Z19" t="n">
        <v>55798.23</v>
      </c>
      <c r="AA19" t="n">
        <v>71399.068</v>
      </c>
      <c r="AB19" t="n">
        <v>63177.867</v>
      </c>
      <c r="AC19" t="n">
        <v>64911.793</v>
      </c>
      <c r="AD19" t="n">
        <v>73884.89599999999</v>
      </c>
      <c r="AE19" t="n">
        <v>80262.06600000001</v>
      </c>
      <c r="AF19" t="n">
        <v>81034.966</v>
      </c>
      <c r="AG19" t="n">
        <v>85550.89599999999</v>
      </c>
      <c r="AH19" t="n">
        <v>100347.798</v>
      </c>
      <c r="AI19" t="n">
        <v>93811.645</v>
      </c>
      <c r="AJ19" t="n">
        <v>85613.197</v>
      </c>
      <c r="AK19" t="n">
        <v>86366.924</v>
      </c>
      <c r="AL19" t="n">
        <v>93539.101</v>
      </c>
      <c r="AM19" t="n">
        <v>102375.358</v>
      </c>
      <c r="AN19" t="n">
        <v>114291.659</v>
      </c>
      <c r="AO19" t="n">
        <v>103535.08</v>
      </c>
      <c r="AP19" t="n">
        <v>97353.034</v>
      </c>
      <c r="AQ19" t="n">
        <v>93039.23299999999</v>
      </c>
      <c r="AR19" t="n">
        <v>95129.393</v>
      </c>
      <c r="AS19" t="n">
        <v>86386.59699999999</v>
      </c>
      <c r="AT19" t="n">
        <v>86243.333</v>
      </c>
      <c r="AU19" t="n">
        <v>84597.455</v>
      </c>
      <c r="AV19" t="n">
        <v>78983.077</v>
      </c>
      <c r="AW19" t="n">
        <v>129521.018</v>
      </c>
      <c r="AX19" t="n">
        <v>150302.569</v>
      </c>
      <c r="AY19" t="n">
        <v>140635.076</v>
      </c>
      <c r="AZ19" t="n">
        <v>142377.423</v>
      </c>
      <c r="BA19" t="n">
        <v>149838.584</v>
      </c>
      <c r="BB19" t="n">
        <v>138414.286</v>
      </c>
      <c r="BC19" t="n">
        <v>166528.135</v>
      </c>
      <c r="BD19" t="n">
        <v>159004.018</v>
      </c>
      <c r="BE19" t="n">
        <v>159279.775</v>
      </c>
      <c r="BF19" t="n">
        <v>170410.312</v>
      </c>
      <c r="BG19" t="n">
        <v>160929.724</v>
      </c>
      <c r="BH19" t="n">
        <v>145998.3</v>
      </c>
      <c r="BI19" t="n">
        <v>141329.34</v>
      </c>
      <c r="BJ19" t="n">
        <v>139738.051</v>
      </c>
      <c r="BK19" t="n">
        <v>144031.808</v>
      </c>
      <c r="BL19" t="n">
        <v>145883.762</v>
      </c>
      <c r="BM19" t="n">
        <v>152937.695</v>
      </c>
      <c r="BN19" t="n">
        <v>118364.624</v>
      </c>
      <c r="BO19" t="n">
        <v>126998.76</v>
      </c>
      <c r="BP19" t="n">
        <v>122794.959</v>
      </c>
      <c r="BQ19" t="n">
        <v>124025.153</v>
      </c>
      <c r="BR19" t="n">
        <v>114718.685</v>
      </c>
      <c r="BS19" t="n">
        <v>110015.146</v>
      </c>
      <c r="BT19" t="n">
        <v>111448.977</v>
      </c>
      <c r="BU19" t="n">
        <v>103713.545</v>
      </c>
      <c r="BV19" t="n">
        <v>53122.7</v>
      </c>
    </row>
    <row r="20">
      <c r="A20" t="inlineStr">
        <is>
          <t>Sardinella</t>
        </is>
      </c>
      <c r="B20" t="inlineStr">
        <is>
          <t>Sardinellas</t>
        </is>
      </c>
      <c r="C20" t="inlineStr">
        <is>
          <t>Small pelagics (&lt;30 cm)</t>
        </is>
      </c>
      <c r="D20" t="inlineStr">
        <is>
          <t>Herring-likes</t>
        </is>
      </c>
      <c r="E20" t="n">
        <v>6755.975</v>
      </c>
      <c r="F20" t="n">
        <v>7527.345</v>
      </c>
      <c r="G20" t="n">
        <v>7956.491</v>
      </c>
      <c r="H20" t="n">
        <v>7963.07</v>
      </c>
      <c r="I20" t="n">
        <v>9578.106</v>
      </c>
      <c r="J20" t="n">
        <v>9987.029</v>
      </c>
      <c r="K20" t="n">
        <v>10342.727</v>
      </c>
      <c r="L20" t="n">
        <v>9924.838</v>
      </c>
      <c r="M20" t="n">
        <v>10844.4</v>
      </c>
      <c r="N20" t="n">
        <v>11127.938</v>
      </c>
      <c r="O20" t="n">
        <v>11685.638</v>
      </c>
      <c r="P20" t="n">
        <v>12503.661</v>
      </c>
      <c r="Q20" t="n">
        <v>13884.174</v>
      </c>
      <c r="R20" t="n">
        <v>16620.514</v>
      </c>
      <c r="S20" t="n">
        <v>19238.087</v>
      </c>
      <c r="T20" t="n">
        <v>21752.438</v>
      </c>
      <c r="U20" t="n">
        <v>22737.413</v>
      </c>
      <c r="V20" t="n">
        <v>23345.779</v>
      </c>
      <c r="W20" t="n">
        <v>25864.853</v>
      </c>
      <c r="X20" t="n">
        <v>24478.106</v>
      </c>
      <c r="Y20" t="n">
        <v>31372.207</v>
      </c>
      <c r="Z20" t="n">
        <v>34949.048</v>
      </c>
      <c r="AA20" t="n">
        <v>34833.182</v>
      </c>
      <c r="AB20" t="n">
        <v>39263.851</v>
      </c>
      <c r="AC20" t="n">
        <v>35043.091</v>
      </c>
      <c r="AD20" t="n">
        <v>40196.178</v>
      </c>
      <c r="AE20" t="n">
        <v>39132.05</v>
      </c>
      <c r="AF20" t="n">
        <v>51303.156</v>
      </c>
      <c r="AG20" t="n">
        <v>55207.429</v>
      </c>
      <c r="AH20" t="n">
        <v>58640.628</v>
      </c>
      <c r="AI20" t="n">
        <v>69538.36500000001</v>
      </c>
      <c r="AJ20" t="n">
        <v>77996.94500000001</v>
      </c>
      <c r="AK20" t="n">
        <v>75503.247</v>
      </c>
      <c r="AL20" t="n">
        <v>74712.145</v>
      </c>
      <c r="AM20" t="n">
        <v>68635.893</v>
      </c>
      <c r="AN20" t="n">
        <v>63556.335</v>
      </c>
      <c r="AO20" t="n">
        <v>67828.55499999999</v>
      </c>
      <c r="AP20" t="n">
        <v>70690.973</v>
      </c>
      <c r="AQ20" t="n">
        <v>76483.065</v>
      </c>
      <c r="AR20" t="n">
        <v>82979.38099999999</v>
      </c>
      <c r="AS20" t="n">
        <v>102809.459</v>
      </c>
      <c r="AT20" t="n">
        <v>67370.647</v>
      </c>
      <c r="AU20" t="n">
        <v>83034.10400000001</v>
      </c>
      <c r="AV20" t="n">
        <v>107850.92</v>
      </c>
      <c r="AW20" t="n">
        <v>120468.308</v>
      </c>
      <c r="AX20" t="n">
        <v>134372.054</v>
      </c>
      <c r="AY20" t="n">
        <v>148696.809</v>
      </c>
      <c r="AZ20" t="n">
        <v>149651.659</v>
      </c>
      <c r="BA20" t="n">
        <v>150474.419</v>
      </c>
      <c r="BB20" t="n">
        <v>147309.718</v>
      </c>
      <c r="BC20" t="n">
        <v>149335.126</v>
      </c>
      <c r="BD20" t="n">
        <v>143583.334</v>
      </c>
      <c r="BE20" t="n">
        <v>150309.841</v>
      </c>
      <c r="BF20" t="n">
        <v>133833.618</v>
      </c>
      <c r="BG20" t="n">
        <v>136333.787</v>
      </c>
      <c r="BH20" t="n">
        <v>156564.117</v>
      </c>
      <c r="BI20" t="n">
        <v>125233.016</v>
      </c>
      <c r="BJ20" t="n">
        <v>120314.55</v>
      </c>
      <c r="BK20" t="n">
        <v>124200.117</v>
      </c>
      <c r="BL20" t="n">
        <v>161947.943</v>
      </c>
      <c r="BM20" t="n">
        <v>172231.346</v>
      </c>
      <c r="BN20" t="n">
        <v>138733.465</v>
      </c>
      <c r="BO20" t="n">
        <v>146171.884</v>
      </c>
      <c r="BP20" t="n">
        <v>141069.869</v>
      </c>
      <c r="BQ20" t="n">
        <v>151338.226</v>
      </c>
      <c r="BR20" t="n">
        <v>166198.93</v>
      </c>
      <c r="BS20" t="n">
        <v>160700.663</v>
      </c>
      <c r="BT20" t="n">
        <v>140146.252</v>
      </c>
      <c r="BU20" t="n">
        <v>150781.201</v>
      </c>
      <c r="BV20" t="n">
        <v>146696.537</v>
      </c>
    </row>
    <row r="21">
      <c r="A21" t="inlineStr">
        <is>
          <t>Marine finfishes not identified</t>
        </is>
      </c>
      <c r="B21" t="inlineStr">
        <is>
          <t>Finfishes</t>
        </is>
      </c>
      <c r="C21" t="inlineStr">
        <is>
          <t>Medium demersals (30 - 89 cm)</t>
        </is>
      </c>
      <c r="D21" t="inlineStr">
        <is>
          <t>Other fishes &amp; inverts</t>
        </is>
      </c>
      <c r="E21" t="n">
        <v>6962.595</v>
      </c>
      <c r="F21" t="n">
        <v>7227.464</v>
      </c>
      <c r="G21" t="n">
        <v>7601.378</v>
      </c>
      <c r="H21" t="n">
        <v>7646.192</v>
      </c>
      <c r="I21" t="n">
        <v>9636.004000000001</v>
      </c>
      <c r="J21" t="n">
        <v>9931.423000000001</v>
      </c>
      <c r="K21" t="n">
        <v>9969.644</v>
      </c>
      <c r="L21" t="n">
        <v>9374.898999999999</v>
      </c>
      <c r="M21" t="n">
        <v>10579.408</v>
      </c>
      <c r="N21" t="n">
        <v>11008.902</v>
      </c>
      <c r="O21" t="n">
        <v>11137.37</v>
      </c>
      <c r="P21" t="n">
        <v>11593.286</v>
      </c>
      <c r="Q21" t="n">
        <v>13238.253</v>
      </c>
      <c r="R21" t="n">
        <v>16909.572</v>
      </c>
      <c r="S21" t="n">
        <v>20392.34</v>
      </c>
      <c r="T21" t="n">
        <v>23080.271</v>
      </c>
      <c r="U21" t="n">
        <v>24055.54</v>
      </c>
      <c r="V21" t="n">
        <v>25107.418</v>
      </c>
      <c r="W21" t="n">
        <v>34013.468</v>
      </c>
      <c r="X21" t="n">
        <v>31401.635</v>
      </c>
      <c r="Y21" t="n">
        <v>32519.531</v>
      </c>
      <c r="Z21" t="n">
        <v>32522.988</v>
      </c>
      <c r="AA21" t="n">
        <v>35625.642</v>
      </c>
      <c r="AB21" t="n">
        <v>38412.321</v>
      </c>
      <c r="AC21" t="n">
        <v>38842.127</v>
      </c>
      <c r="AD21" t="n">
        <v>40995.791</v>
      </c>
      <c r="AE21" t="n">
        <v>41863.379</v>
      </c>
      <c r="AF21" t="n">
        <v>45431.966</v>
      </c>
      <c r="AG21" t="n">
        <v>44517.895</v>
      </c>
      <c r="AH21" t="n">
        <v>44722.777</v>
      </c>
      <c r="AI21" t="n">
        <v>43650.896</v>
      </c>
      <c r="AJ21" t="n">
        <v>44024.811</v>
      </c>
      <c r="AK21" t="n">
        <v>46227.933</v>
      </c>
      <c r="AL21" t="n">
        <v>45742.493</v>
      </c>
      <c r="AM21" t="n">
        <v>45291.192</v>
      </c>
      <c r="AN21" t="n">
        <v>45217.134</v>
      </c>
      <c r="AO21" t="n">
        <v>47833.328</v>
      </c>
      <c r="AP21" t="n">
        <v>51193.47</v>
      </c>
      <c r="AQ21" t="n">
        <v>51824.168</v>
      </c>
      <c r="AR21" t="n">
        <v>54540.033</v>
      </c>
      <c r="AS21" t="n">
        <v>66398.518</v>
      </c>
      <c r="AT21" t="n">
        <v>71583.192</v>
      </c>
      <c r="AU21" t="n">
        <v>84523.49800000001</v>
      </c>
      <c r="AV21" t="n">
        <v>86542.685</v>
      </c>
      <c r="AW21" t="n">
        <v>90073.114</v>
      </c>
      <c r="AX21" t="n">
        <v>102415.952</v>
      </c>
      <c r="AY21" t="n">
        <v>101081.129</v>
      </c>
      <c r="AZ21" t="n">
        <v>101841.785</v>
      </c>
      <c r="BA21" t="n">
        <v>107941.477</v>
      </c>
      <c r="BB21" t="n">
        <v>108967.609</v>
      </c>
      <c r="BC21" t="n">
        <v>108911.648</v>
      </c>
      <c r="BD21" t="n">
        <v>120683.46</v>
      </c>
      <c r="BE21" t="n">
        <v>128405.175</v>
      </c>
      <c r="BF21" t="n">
        <v>154346.771</v>
      </c>
      <c r="BG21" t="n">
        <v>156997.119</v>
      </c>
      <c r="BH21" t="n">
        <v>157928.936</v>
      </c>
      <c r="BI21" t="n">
        <v>151137.909</v>
      </c>
      <c r="BJ21" t="n">
        <v>179670.289</v>
      </c>
      <c r="BK21" t="n">
        <v>189986.006</v>
      </c>
      <c r="BL21" t="n">
        <v>201650.266</v>
      </c>
      <c r="BM21" t="n">
        <v>200054.674</v>
      </c>
      <c r="BN21" t="n">
        <v>168307.984</v>
      </c>
      <c r="BO21" t="n">
        <v>170289.213</v>
      </c>
      <c r="BP21" t="n">
        <v>174304.358</v>
      </c>
      <c r="BQ21" t="n">
        <v>180753.412</v>
      </c>
      <c r="BR21" t="n">
        <v>177574.411</v>
      </c>
      <c r="BS21" t="n">
        <v>167508.963</v>
      </c>
      <c r="BT21" t="n">
        <v>157295.857</v>
      </c>
      <c r="BU21" t="n">
        <v>157303.813</v>
      </c>
      <c r="BV21" t="n">
        <v>155312.363</v>
      </c>
    </row>
    <row r="22">
      <c r="A22" t="inlineStr">
        <is>
          <t>Priacanthus</t>
        </is>
      </c>
      <c r="B22" t="inlineStr">
        <is>
          <t>Bigeyes</t>
        </is>
      </c>
      <c r="C22" t="inlineStr">
        <is>
          <t>Medium reef assoc. fish (30 - 89 cm)</t>
        </is>
      </c>
      <c r="D22" t="inlineStr">
        <is>
          <t>Perch-likes</t>
        </is>
      </c>
      <c r="E22" t="n">
        <v>1788.877</v>
      </c>
      <c r="F22" t="n">
        <v>1979.691</v>
      </c>
      <c r="G22" t="n">
        <v>2205.962</v>
      </c>
      <c r="H22" t="n">
        <v>2416.795</v>
      </c>
      <c r="I22" t="n">
        <v>6126.649</v>
      </c>
      <c r="J22" t="n">
        <v>10283.254</v>
      </c>
      <c r="K22" t="n">
        <v>12119.854</v>
      </c>
      <c r="L22" t="n">
        <v>14033.847</v>
      </c>
      <c r="M22" t="n">
        <v>16491.203</v>
      </c>
      <c r="N22" t="n">
        <v>20632.34</v>
      </c>
      <c r="O22" t="n">
        <v>29175.791</v>
      </c>
      <c r="P22" t="n">
        <v>30162.128</v>
      </c>
      <c r="Q22" t="n">
        <v>38582.248</v>
      </c>
      <c r="R22" t="n">
        <v>46709.215</v>
      </c>
      <c r="S22" t="n">
        <v>49109.861</v>
      </c>
      <c r="T22" t="n">
        <v>49327.168</v>
      </c>
      <c r="U22" t="n">
        <v>49364.636</v>
      </c>
      <c r="V22" t="n">
        <v>52119.041</v>
      </c>
      <c r="W22" t="n">
        <v>52783.777</v>
      </c>
      <c r="X22" t="n">
        <v>53111.162</v>
      </c>
      <c r="Y22" t="n">
        <v>50760.905</v>
      </c>
      <c r="Z22" t="n">
        <v>48293.705</v>
      </c>
      <c r="AA22" t="n">
        <v>53021.406</v>
      </c>
      <c r="AB22" t="n">
        <v>41019.361</v>
      </c>
      <c r="AC22" t="n">
        <v>46704.337</v>
      </c>
      <c r="AD22" t="n">
        <v>51525.354</v>
      </c>
      <c r="AE22" t="n">
        <v>66570.284</v>
      </c>
      <c r="AF22" t="n">
        <v>69602.819</v>
      </c>
      <c r="AG22" t="n">
        <v>49794.464</v>
      </c>
      <c r="AH22" t="n">
        <v>64665.207</v>
      </c>
      <c r="AI22" t="n">
        <v>79223.988</v>
      </c>
      <c r="AJ22" t="n">
        <v>74948.274</v>
      </c>
      <c r="AK22" t="n">
        <v>64866.392</v>
      </c>
      <c r="AL22" t="n">
        <v>80950.44100000001</v>
      </c>
      <c r="AM22" t="n">
        <v>68895.792</v>
      </c>
      <c r="AN22" t="n">
        <v>71854.60000000001</v>
      </c>
      <c r="AO22" t="n">
        <v>88349.091</v>
      </c>
      <c r="AP22" t="n">
        <v>94671.25</v>
      </c>
      <c r="AQ22" t="n">
        <v>87874.594</v>
      </c>
      <c r="AR22" t="n">
        <v>94291.58900000001</v>
      </c>
      <c r="AS22" t="n">
        <v>101120.02</v>
      </c>
      <c r="AT22" t="n">
        <v>123297.921</v>
      </c>
      <c r="AU22" t="n">
        <v>123791.775</v>
      </c>
      <c r="AV22" t="n">
        <v>96800.197</v>
      </c>
      <c r="AW22" t="n">
        <v>87649.48299999999</v>
      </c>
      <c r="AX22" t="n">
        <v>86647.537</v>
      </c>
      <c r="AY22" t="n">
        <v>100715.752</v>
      </c>
      <c r="AZ22" t="n">
        <v>89090.32000000001</v>
      </c>
      <c r="BA22" t="n">
        <v>97014.111</v>
      </c>
      <c r="BB22" t="n">
        <v>89542.41499999999</v>
      </c>
      <c r="BC22" t="n">
        <v>77297.462</v>
      </c>
      <c r="BD22" t="n">
        <v>71662.489</v>
      </c>
      <c r="BE22" t="n">
        <v>71046.82399999999</v>
      </c>
      <c r="BF22" t="n">
        <v>71363.07799999999</v>
      </c>
      <c r="BG22" t="n">
        <v>102032.394</v>
      </c>
      <c r="BH22" t="n">
        <v>102051.346</v>
      </c>
      <c r="BI22" t="n">
        <v>100515.097</v>
      </c>
      <c r="BJ22" t="n">
        <v>102741.44</v>
      </c>
      <c r="BK22" t="n">
        <v>69373.598</v>
      </c>
      <c r="BL22" t="n">
        <v>72784.92</v>
      </c>
      <c r="BM22" t="n">
        <v>73261.461</v>
      </c>
      <c r="BN22" t="n">
        <v>68614.443</v>
      </c>
      <c r="BO22" t="n">
        <v>69749.91899999999</v>
      </c>
      <c r="BP22" t="n">
        <v>69855.61199999999</v>
      </c>
      <c r="BQ22" t="n">
        <v>68091.33500000001</v>
      </c>
      <c r="BR22" t="n">
        <v>67265.77099999999</v>
      </c>
      <c r="BS22" t="n">
        <v>68711.049</v>
      </c>
      <c r="BT22" t="n">
        <v>70537.18700000001</v>
      </c>
      <c r="BU22" t="n">
        <v>78997.85799999999</v>
      </c>
      <c r="BV22" t="n">
        <v>81401.785</v>
      </c>
    </row>
    <row r="23">
      <c r="A23" t="inlineStr">
        <is>
          <t>Penaeidae</t>
        </is>
      </c>
      <c r="B23" t="inlineStr">
        <is>
          <t>Commercial shrimps and prawns</t>
        </is>
      </c>
      <c r="C23" t="inlineStr">
        <is>
          <t>Shrimps</t>
        </is>
      </c>
      <c r="D23" t="inlineStr">
        <is>
          <t>Crustaceans</t>
        </is>
      </c>
      <c r="E23" t="n">
        <v>8123.085</v>
      </c>
      <c r="F23" t="n">
        <v>8161.767</v>
      </c>
      <c r="G23" t="n">
        <v>8166.534</v>
      </c>
      <c r="H23" t="n">
        <v>8300.242</v>
      </c>
      <c r="I23" t="n">
        <v>14392.286</v>
      </c>
      <c r="J23" t="n">
        <v>13897.417</v>
      </c>
      <c r="K23" t="n">
        <v>13911.025</v>
      </c>
      <c r="L23" t="n">
        <v>13880.2</v>
      </c>
      <c r="M23" t="n">
        <v>19563.197</v>
      </c>
      <c r="N23" t="n">
        <v>19618.305</v>
      </c>
      <c r="O23" t="n">
        <v>19753.16</v>
      </c>
      <c r="P23" t="n">
        <v>19927.307</v>
      </c>
      <c r="Q23" t="n">
        <v>20346.002</v>
      </c>
      <c r="R23" t="n">
        <v>20884.919</v>
      </c>
      <c r="S23" t="n">
        <v>26550.566</v>
      </c>
      <c r="T23" t="n">
        <v>26131.214</v>
      </c>
      <c r="U23" t="n">
        <v>25564.774</v>
      </c>
      <c r="V23" t="n">
        <v>24268.893</v>
      </c>
      <c r="W23" t="n">
        <v>30465.474</v>
      </c>
      <c r="X23" t="n">
        <v>30904.018</v>
      </c>
      <c r="Y23" t="n">
        <v>49030.065</v>
      </c>
      <c r="Z23" t="n">
        <v>56133.873</v>
      </c>
      <c r="AA23" t="n">
        <v>57274.792</v>
      </c>
      <c r="AB23" t="n">
        <v>76216.194</v>
      </c>
      <c r="AC23" t="n">
        <v>82910.299</v>
      </c>
      <c r="AD23" t="n">
        <v>94934.97199999999</v>
      </c>
      <c r="AE23" t="n">
        <v>78102.99400000001</v>
      </c>
      <c r="AF23" t="n">
        <v>80537.38</v>
      </c>
      <c r="AG23" t="n">
        <v>86733.054</v>
      </c>
      <c r="AH23" t="n">
        <v>88360.061</v>
      </c>
      <c r="AI23" t="n">
        <v>69236.41899999999</v>
      </c>
      <c r="AJ23" t="n">
        <v>69578.315</v>
      </c>
      <c r="AK23" t="n">
        <v>65482.674</v>
      </c>
      <c r="AL23" t="n">
        <v>68753.586</v>
      </c>
      <c r="AM23" t="n">
        <v>66615.148</v>
      </c>
      <c r="AN23" t="n">
        <v>69391.789</v>
      </c>
      <c r="AO23" t="n">
        <v>61960.619</v>
      </c>
      <c r="AP23" t="n">
        <v>55103.078</v>
      </c>
      <c r="AQ23" t="n">
        <v>65219.251</v>
      </c>
      <c r="AR23" t="n">
        <v>58306.702</v>
      </c>
      <c r="AS23" t="n">
        <v>37181.477</v>
      </c>
      <c r="AT23" t="n">
        <v>53009.604</v>
      </c>
      <c r="AU23" t="n">
        <v>57142.859</v>
      </c>
      <c r="AV23" t="n">
        <v>61471.1</v>
      </c>
      <c r="AW23" t="n">
        <v>75844.693</v>
      </c>
      <c r="AX23" t="n">
        <v>105910.835</v>
      </c>
      <c r="AY23" t="n">
        <v>111191.885</v>
      </c>
      <c r="AZ23" t="n">
        <v>124582.579</v>
      </c>
      <c r="BA23" t="n">
        <v>117831.038</v>
      </c>
      <c r="BB23" t="n">
        <v>119408.567</v>
      </c>
      <c r="BC23" t="n">
        <v>96580.326</v>
      </c>
      <c r="BD23" t="n">
        <v>87927.874</v>
      </c>
      <c r="BE23" t="n">
        <v>85731.246</v>
      </c>
      <c r="BF23" t="n">
        <v>86200.283</v>
      </c>
      <c r="BG23" t="n">
        <v>86384.412</v>
      </c>
      <c r="BH23" t="n">
        <v>86704.522</v>
      </c>
      <c r="BI23" t="n">
        <v>85850.325</v>
      </c>
      <c r="BJ23" t="n">
        <v>86070.59</v>
      </c>
      <c r="BK23" t="n">
        <v>84966.03599999999</v>
      </c>
      <c r="BL23" t="n">
        <v>102030.304</v>
      </c>
      <c r="BM23" t="n">
        <v>106873.441</v>
      </c>
      <c r="BN23" t="n">
        <v>80952.141</v>
      </c>
      <c r="BO23" t="n">
        <v>81213.83100000001</v>
      </c>
      <c r="BP23" t="n">
        <v>81718.44500000001</v>
      </c>
      <c r="BQ23" t="n">
        <v>82362.21799999999</v>
      </c>
      <c r="BR23" t="n">
        <v>77028.754</v>
      </c>
      <c r="BS23" t="n">
        <v>73562.143</v>
      </c>
      <c r="BT23" t="n">
        <v>74926.265</v>
      </c>
      <c r="BU23" t="n">
        <v>74852.553</v>
      </c>
      <c r="BV23" t="n">
        <v>35566.546</v>
      </c>
    </row>
    <row r="24">
      <c r="A24" t="inlineStr">
        <is>
          <t>Loliginidae</t>
        </is>
      </c>
      <c r="B24" t="inlineStr">
        <is>
          <t>Common pencil squids</t>
        </is>
      </c>
      <c r="C24" t="inlineStr">
        <is>
          <t>Cephalopods</t>
        </is>
      </c>
      <c r="D24" t="inlineStr">
        <is>
          <t>Other fishes &amp; inverts</t>
        </is>
      </c>
      <c r="E24" t="n">
        <v>4167.419</v>
      </c>
      <c r="F24" t="n">
        <v>4243.362</v>
      </c>
      <c r="G24" t="n">
        <v>4285.193</v>
      </c>
      <c r="H24" t="n">
        <v>4298.058</v>
      </c>
      <c r="I24" t="n">
        <v>4377.597</v>
      </c>
      <c r="J24" t="n">
        <v>5488.835</v>
      </c>
      <c r="K24" t="n">
        <v>5562.323</v>
      </c>
      <c r="L24" t="n">
        <v>5577.885</v>
      </c>
      <c r="M24" t="n">
        <v>5649.171</v>
      </c>
      <c r="N24" t="n">
        <v>5721.012</v>
      </c>
      <c r="O24" t="n">
        <v>5567.703</v>
      </c>
      <c r="P24" t="n">
        <v>5652.507</v>
      </c>
      <c r="Q24" t="n">
        <v>5764.897</v>
      </c>
      <c r="R24" t="n">
        <v>6522.38</v>
      </c>
      <c r="S24" t="n">
        <v>6708.862</v>
      </c>
      <c r="T24" t="n">
        <v>6335.349</v>
      </c>
      <c r="U24" t="n">
        <v>6557.426</v>
      </c>
      <c r="V24" t="n">
        <v>6075.03</v>
      </c>
      <c r="W24" t="n">
        <v>5121.741</v>
      </c>
      <c r="X24" t="n">
        <v>5281.042</v>
      </c>
      <c r="Y24" t="n">
        <v>7387.413</v>
      </c>
      <c r="Z24" t="n">
        <v>8112.262</v>
      </c>
      <c r="AA24" t="n">
        <v>13185.796</v>
      </c>
      <c r="AB24" t="n">
        <v>13931.337</v>
      </c>
      <c r="AC24" t="n">
        <v>14226.824</v>
      </c>
      <c r="AD24" t="n">
        <v>13550.463</v>
      </c>
      <c r="AE24" t="n">
        <v>14500.925</v>
      </c>
      <c r="AF24" t="n">
        <v>15360.382</v>
      </c>
      <c r="AG24" t="n">
        <v>15727.886</v>
      </c>
      <c r="AH24" t="n">
        <v>15407.384</v>
      </c>
      <c r="AI24" t="n">
        <v>15384.603</v>
      </c>
      <c r="AJ24" t="n">
        <v>16007.108</v>
      </c>
      <c r="AK24" t="n">
        <v>17037.197</v>
      </c>
      <c r="AL24" t="n">
        <v>19284.118</v>
      </c>
      <c r="AM24" t="n">
        <v>23940.805</v>
      </c>
      <c r="AN24" t="n">
        <v>36401.128</v>
      </c>
      <c r="AO24" t="n">
        <v>31724.074</v>
      </c>
      <c r="AP24" t="n">
        <v>37338.271</v>
      </c>
      <c r="AQ24" t="n">
        <v>43121.663</v>
      </c>
      <c r="AR24" t="n">
        <v>49552.467</v>
      </c>
      <c r="AS24" t="n">
        <v>61901.782</v>
      </c>
      <c r="AT24" t="n">
        <v>79851.129</v>
      </c>
      <c r="AU24" t="n">
        <v>79409.091</v>
      </c>
      <c r="AV24" t="n">
        <v>89079.16499999999</v>
      </c>
      <c r="AW24" t="n">
        <v>136781.745</v>
      </c>
      <c r="AX24" t="n">
        <v>110073.405</v>
      </c>
      <c r="AY24" t="n">
        <v>132117.985</v>
      </c>
      <c r="AZ24" t="n">
        <v>134339.856</v>
      </c>
      <c r="BA24" t="n">
        <v>141865.709</v>
      </c>
      <c r="BB24" t="n">
        <v>126899.526</v>
      </c>
      <c r="BC24" t="n">
        <v>137324.08</v>
      </c>
      <c r="BD24" t="n">
        <v>141958.069</v>
      </c>
      <c r="BE24" t="n">
        <v>128909.188</v>
      </c>
      <c r="BF24" t="n">
        <v>174966.071</v>
      </c>
      <c r="BG24" t="n">
        <v>107546.578</v>
      </c>
      <c r="BH24" t="n">
        <v>115921.534</v>
      </c>
      <c r="BI24" t="n">
        <v>112319.507</v>
      </c>
      <c r="BJ24" t="n">
        <v>115536.354</v>
      </c>
      <c r="BK24" t="n">
        <v>116896.766</v>
      </c>
      <c r="BL24" t="n">
        <v>116319.047</v>
      </c>
      <c r="BM24" t="n">
        <v>115083.343</v>
      </c>
      <c r="BN24" t="n">
        <v>131854.051</v>
      </c>
      <c r="BO24" t="n">
        <v>133908.1</v>
      </c>
      <c r="BP24" t="n">
        <v>135258.836</v>
      </c>
      <c r="BQ24" t="n">
        <v>138795.336</v>
      </c>
      <c r="BR24" t="n">
        <v>144351.599</v>
      </c>
      <c r="BS24" t="n">
        <v>144705.055</v>
      </c>
      <c r="BT24" t="n">
        <v>155560.29</v>
      </c>
      <c r="BU24" t="n">
        <v>124505.989</v>
      </c>
      <c r="BV24" t="n">
        <v>165093.569</v>
      </c>
    </row>
    <row r="25">
      <c r="A25" t="inlineStr">
        <is>
          <t>Scomber japonicus</t>
        </is>
      </c>
      <c r="B25" t="inlineStr">
        <is>
          <t>Pacific chub mackerel</t>
        </is>
      </c>
      <c r="C25" t="inlineStr">
        <is>
          <t>Medium pelagics (30 - 89 cm)</t>
        </is>
      </c>
      <c r="D25" t="inlineStr">
        <is>
          <t>Perch-likes</t>
        </is>
      </c>
      <c r="E25" t="n">
        <v>9816.137000000001</v>
      </c>
      <c r="F25" t="n">
        <v>14198.395</v>
      </c>
      <c r="G25" t="n">
        <v>17953.92</v>
      </c>
      <c r="H25" t="n">
        <v>18237.597</v>
      </c>
      <c r="I25" t="n">
        <v>21567.254</v>
      </c>
      <c r="J25" t="n">
        <v>24386.977</v>
      </c>
      <c r="K25" t="n">
        <v>28646.489</v>
      </c>
      <c r="L25" t="n">
        <v>27087.795</v>
      </c>
      <c r="M25" t="n">
        <v>27034.544</v>
      </c>
      <c r="N25" t="n">
        <v>28510.325</v>
      </c>
      <c r="O25" t="n">
        <v>28076.668</v>
      </c>
      <c r="P25" t="n">
        <v>27552.881</v>
      </c>
      <c r="Q25" t="n">
        <v>28431.409</v>
      </c>
      <c r="R25" t="n">
        <v>29861.564</v>
      </c>
      <c r="S25" t="n">
        <v>31475.5</v>
      </c>
      <c r="T25" t="n">
        <v>32392.758</v>
      </c>
      <c r="U25" t="n">
        <v>31300.54</v>
      </c>
      <c r="V25" t="n">
        <v>29588.472</v>
      </c>
      <c r="W25" t="n">
        <v>34682.934</v>
      </c>
      <c r="X25" t="n">
        <v>35757.638</v>
      </c>
      <c r="Y25" t="n">
        <v>62922.182</v>
      </c>
      <c r="Z25" t="n">
        <v>21155.842</v>
      </c>
      <c r="AA25" t="n">
        <v>30013.022</v>
      </c>
      <c r="AB25" t="n">
        <v>31435.085</v>
      </c>
      <c r="AC25" t="n">
        <v>36457.411</v>
      </c>
      <c r="AD25" t="n">
        <v>27148.221</v>
      </c>
      <c r="AE25" t="n">
        <v>27945.228</v>
      </c>
      <c r="AF25" t="n">
        <v>42354.141</v>
      </c>
      <c r="AG25" t="n">
        <v>81013.68399999999</v>
      </c>
      <c r="AH25" t="n">
        <v>33498.979</v>
      </c>
      <c r="AI25" t="n">
        <v>24758.702</v>
      </c>
      <c r="AJ25" t="n">
        <v>27055.464</v>
      </c>
      <c r="AK25" t="n">
        <v>36050.135</v>
      </c>
      <c r="AL25" t="n">
        <v>48983.76</v>
      </c>
      <c r="AM25" t="n">
        <v>43269.221</v>
      </c>
      <c r="AN25" t="n">
        <v>37443.083</v>
      </c>
      <c r="AO25" t="n">
        <v>46724.843</v>
      </c>
      <c r="AP25" t="n">
        <v>51276.369</v>
      </c>
      <c r="AQ25" t="n">
        <v>68575.14200000001</v>
      </c>
      <c r="AR25" t="n">
        <v>58930.935</v>
      </c>
      <c r="AS25" t="n">
        <v>55315.19</v>
      </c>
      <c r="AT25" t="n">
        <v>60438.211</v>
      </c>
      <c r="AU25" t="n">
        <v>66045.75599999999</v>
      </c>
      <c r="AV25" t="n">
        <v>67266.758</v>
      </c>
      <c r="AW25" t="n">
        <v>89037.181</v>
      </c>
      <c r="AX25" t="n">
        <v>96713.567</v>
      </c>
      <c r="AY25" t="n">
        <v>105508.172</v>
      </c>
      <c r="AZ25" t="n">
        <v>101691.794</v>
      </c>
      <c r="BA25" t="n">
        <v>83319.61199999999</v>
      </c>
      <c r="BB25" t="n">
        <v>77239.74400000001</v>
      </c>
      <c r="BC25" t="n">
        <v>61751.969</v>
      </c>
      <c r="BD25" t="n">
        <v>71497.21400000001</v>
      </c>
      <c r="BE25" t="n">
        <v>82730.83100000001</v>
      </c>
      <c r="BF25" t="n">
        <v>92566.317</v>
      </c>
      <c r="BG25" t="n">
        <v>97497.72</v>
      </c>
      <c r="BH25" t="n">
        <v>104113.772</v>
      </c>
      <c r="BI25" t="n">
        <v>96255.777</v>
      </c>
      <c r="BJ25" t="n">
        <v>78525.576</v>
      </c>
      <c r="BK25" t="n">
        <v>125465.272</v>
      </c>
      <c r="BL25" t="n">
        <v>97324.761</v>
      </c>
      <c r="BM25" t="n">
        <v>105778.566</v>
      </c>
      <c r="BN25" t="n">
        <v>127515.757</v>
      </c>
      <c r="BO25" t="n">
        <v>120019.256</v>
      </c>
      <c r="BP25" t="n">
        <v>113333.04</v>
      </c>
      <c r="BQ25" t="n">
        <v>108881.406</v>
      </c>
      <c r="BR25" t="n">
        <v>110983.323</v>
      </c>
      <c r="BS25" t="n">
        <v>106250.531</v>
      </c>
      <c r="BT25" t="n">
        <v>112255.814</v>
      </c>
      <c r="BU25" t="n">
        <v>121598.205</v>
      </c>
      <c r="BV25" t="n">
        <v>152947.765</v>
      </c>
    </row>
    <row r="26">
      <c r="A26" t="inlineStr">
        <is>
          <t>Portunus trituberculatus</t>
        </is>
      </c>
      <c r="B26" t="inlineStr">
        <is>
          <t>Gazami crab</t>
        </is>
      </c>
      <c r="C26" t="inlineStr">
        <is>
          <t>Lobsters, crabs</t>
        </is>
      </c>
      <c r="D26" t="inlineStr">
        <is>
          <t>Crustaceans</t>
        </is>
      </c>
      <c r="E26" t="n">
        <v>0</v>
      </c>
      <c r="F26" t="n">
        <v>0</v>
      </c>
      <c r="G26" t="n">
        <v>3.829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0.721</v>
      </c>
      <c r="P26" t="n">
        <v>0</v>
      </c>
      <c r="Q26" t="n">
        <v>0</v>
      </c>
      <c r="R26" t="n">
        <v>2.876</v>
      </c>
      <c r="S26" t="n">
        <v>0</v>
      </c>
      <c r="T26" t="n">
        <v>4.099</v>
      </c>
      <c r="U26" t="n">
        <v>0</v>
      </c>
      <c r="V26" t="n">
        <v>0</v>
      </c>
      <c r="W26" t="n">
        <v>0</v>
      </c>
      <c r="X26" t="n">
        <v>0</v>
      </c>
      <c r="Y26" t="n">
        <v>6.398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9.677</v>
      </c>
      <c r="AI26" t="n">
        <v>0</v>
      </c>
      <c r="AJ26" t="n">
        <v>0</v>
      </c>
      <c r="AK26" t="n">
        <v>0</v>
      </c>
      <c r="AL26" t="n">
        <v>0.726</v>
      </c>
      <c r="AM26" t="n">
        <v>0</v>
      </c>
      <c r="AN26" t="n">
        <v>2.723</v>
      </c>
      <c r="AO26" t="n">
        <v>1.003</v>
      </c>
      <c r="AP26" t="n">
        <v>46198.434</v>
      </c>
      <c r="AQ26" t="n">
        <v>42655.056</v>
      </c>
      <c r="AR26" t="n">
        <v>54963.635</v>
      </c>
      <c r="AS26" t="n">
        <v>48249.042</v>
      </c>
      <c r="AT26" t="n">
        <v>51404.808</v>
      </c>
      <c r="AU26" t="n">
        <v>61300.39</v>
      </c>
      <c r="AV26" t="n">
        <v>43094.421</v>
      </c>
      <c r="AW26" t="n">
        <v>103392.598</v>
      </c>
      <c r="AX26" t="n">
        <v>92727.08100000001</v>
      </c>
      <c r="AY26" t="n">
        <v>117493.69</v>
      </c>
      <c r="AZ26" t="n">
        <v>88805.27099999999</v>
      </c>
      <c r="BA26" t="n">
        <v>89709.304</v>
      </c>
      <c r="BB26" t="n">
        <v>77273.22100000001</v>
      </c>
      <c r="BC26" t="n">
        <v>93322.716</v>
      </c>
      <c r="BD26" t="n">
        <v>103317.152</v>
      </c>
      <c r="BE26" t="n">
        <v>106382.312</v>
      </c>
      <c r="BF26" t="n">
        <v>113214.755</v>
      </c>
      <c r="BG26" t="n">
        <v>102667.163</v>
      </c>
      <c r="BH26" t="n">
        <v>111781.788</v>
      </c>
      <c r="BI26" t="n">
        <v>120598.461</v>
      </c>
      <c r="BJ26" t="n">
        <v>121677.415</v>
      </c>
      <c r="BK26" t="n">
        <v>120799.2</v>
      </c>
      <c r="BL26" t="n">
        <v>140157.849</v>
      </c>
      <c r="BM26" t="n">
        <v>146840.649</v>
      </c>
      <c r="BN26" t="n">
        <v>123405.221</v>
      </c>
      <c r="BO26" t="n">
        <v>149174.83</v>
      </c>
      <c r="BP26" t="n">
        <v>203927.197</v>
      </c>
      <c r="BQ26" t="n">
        <v>213163.095</v>
      </c>
      <c r="BR26" t="n">
        <v>234420.477</v>
      </c>
      <c r="BS26" t="n">
        <v>220132.524</v>
      </c>
      <c r="BT26" t="n">
        <v>215420.959</v>
      </c>
      <c r="BU26" t="n">
        <v>207480.88</v>
      </c>
      <c r="BV26" t="n">
        <v>198597.182</v>
      </c>
    </row>
    <row r="27">
      <c r="A27" t="inlineStr">
        <is>
          <t>Monacanthidae</t>
        </is>
      </c>
      <c r="B27" t="inlineStr">
        <is>
          <t>Filefishes</t>
        </is>
      </c>
      <c r="C27" t="inlineStr">
        <is>
          <t>Medium reef assoc. fish (30 - 89 cm)</t>
        </is>
      </c>
      <c r="D27" t="inlineStr">
        <is>
          <t>Other fishes &amp; inverts</t>
        </is>
      </c>
      <c r="E27" t="n">
        <v>4.939</v>
      </c>
      <c r="F27" t="n">
        <v>4.939</v>
      </c>
      <c r="G27" t="n">
        <v>6.642</v>
      </c>
      <c r="H27" t="n">
        <v>5.79</v>
      </c>
      <c r="I27" t="n">
        <v>4.939</v>
      </c>
      <c r="J27" t="n">
        <v>4.939</v>
      </c>
      <c r="K27" t="n">
        <v>4.939</v>
      </c>
      <c r="L27" t="n">
        <v>4.768</v>
      </c>
      <c r="M27" t="n">
        <v>5.109</v>
      </c>
      <c r="N27" t="n">
        <v>4.939</v>
      </c>
      <c r="O27" t="n">
        <v>6.642</v>
      </c>
      <c r="P27" t="n">
        <v>8.345000000000001</v>
      </c>
      <c r="Q27" t="n">
        <v>10.457</v>
      </c>
      <c r="R27" t="n">
        <v>13.284</v>
      </c>
      <c r="S27" t="n">
        <v>12.262</v>
      </c>
      <c r="T27" t="n">
        <v>12.245</v>
      </c>
      <c r="U27" t="n">
        <v>19.784</v>
      </c>
      <c r="V27" t="n">
        <v>12.939</v>
      </c>
      <c r="W27" t="n">
        <v>23.805</v>
      </c>
      <c r="X27" t="n">
        <v>21.928</v>
      </c>
      <c r="Y27" t="n">
        <v>26.427</v>
      </c>
      <c r="Z27" t="n">
        <v>37.873</v>
      </c>
      <c r="AA27" t="n">
        <v>39.079</v>
      </c>
      <c r="AB27" t="n">
        <v>60.198</v>
      </c>
      <c r="AC27" t="n">
        <v>76.20399999999999</v>
      </c>
      <c r="AD27" t="n">
        <v>83.76600000000001</v>
      </c>
      <c r="AE27" t="n">
        <v>91.98699999999999</v>
      </c>
      <c r="AF27" t="n">
        <v>110748.745</v>
      </c>
      <c r="AG27" t="n">
        <v>155487.022</v>
      </c>
      <c r="AH27" t="n">
        <v>54744.964</v>
      </c>
      <c r="AI27" t="n">
        <v>81316.06600000001</v>
      </c>
      <c r="AJ27" t="n">
        <v>108081.008</v>
      </c>
      <c r="AK27" t="n">
        <v>144746.127</v>
      </c>
      <c r="AL27" t="n">
        <v>74367.598</v>
      </c>
      <c r="AM27" t="n">
        <v>173575.216</v>
      </c>
      <c r="AN27" t="n">
        <v>147380.55</v>
      </c>
      <c r="AO27" t="n">
        <v>197330.748</v>
      </c>
      <c r="AP27" t="n">
        <v>181006.084</v>
      </c>
      <c r="AQ27" t="n">
        <v>117998.209</v>
      </c>
      <c r="AR27" t="n">
        <v>154983.673</v>
      </c>
      <c r="AS27" t="n">
        <v>139431.48</v>
      </c>
      <c r="AT27" t="n">
        <v>114975.92</v>
      </c>
      <c r="AU27" t="n">
        <v>64952.22</v>
      </c>
      <c r="AV27" t="n">
        <v>36971.905</v>
      </c>
      <c r="AW27" t="n">
        <v>76926.97500000001</v>
      </c>
      <c r="AX27" t="n">
        <v>49005.791</v>
      </c>
      <c r="AY27" t="n">
        <v>83894.94500000001</v>
      </c>
      <c r="AZ27" t="n">
        <v>116131.675</v>
      </c>
      <c r="BA27" t="n">
        <v>83331.05499999999</v>
      </c>
      <c r="BB27" t="n">
        <v>72455.524</v>
      </c>
      <c r="BC27" t="n">
        <v>65095.424</v>
      </c>
      <c r="BD27" t="n">
        <v>66064.076</v>
      </c>
      <c r="BE27" t="n">
        <v>51827.634</v>
      </c>
      <c r="BF27" t="n">
        <v>60048.092</v>
      </c>
      <c r="BG27" t="n">
        <v>64314.63</v>
      </c>
      <c r="BH27" t="n">
        <v>79512.30899999999</v>
      </c>
      <c r="BI27" t="n">
        <v>68658.344</v>
      </c>
      <c r="BJ27" t="n">
        <v>64853.71</v>
      </c>
      <c r="BK27" t="n">
        <v>67162.121</v>
      </c>
      <c r="BL27" t="n">
        <v>92812.702</v>
      </c>
      <c r="BM27" t="n">
        <v>89960.636</v>
      </c>
      <c r="BN27" t="n">
        <v>71861.319</v>
      </c>
      <c r="BO27" t="n">
        <v>74301.518</v>
      </c>
      <c r="BP27" t="n">
        <v>84468.477</v>
      </c>
      <c r="BQ27" t="n">
        <v>73303.93799999999</v>
      </c>
      <c r="BR27" t="n">
        <v>83788.144</v>
      </c>
      <c r="BS27" t="n">
        <v>75261.44500000001</v>
      </c>
      <c r="BT27" t="n">
        <v>69983.762</v>
      </c>
      <c r="BU27" t="n">
        <v>61879.069</v>
      </c>
      <c r="BV27" t="n">
        <v>56798.327</v>
      </c>
    </row>
    <row r="28">
      <c r="A28" t="inlineStr">
        <is>
          <t>Trachysalambria curvirostris</t>
        </is>
      </c>
      <c r="B28" t="inlineStr">
        <is>
          <t>Southern rough shrimp</t>
        </is>
      </c>
      <c r="C28" t="inlineStr">
        <is>
          <t>Shrimps</t>
        </is>
      </c>
      <c r="D28" t="inlineStr">
        <is>
          <t>Crustaceans</t>
        </is>
      </c>
      <c r="E28" t="n">
        <v>18.645</v>
      </c>
      <c r="F28" t="n">
        <v>140.247</v>
      </c>
      <c r="G28" t="n">
        <v>26.976</v>
      </c>
      <c r="H28" t="n">
        <v>29.003</v>
      </c>
      <c r="I28" t="n">
        <v>29.616</v>
      </c>
      <c r="J28" t="n">
        <v>36.185</v>
      </c>
      <c r="K28" t="n">
        <v>388.553</v>
      </c>
      <c r="L28" t="n">
        <v>46.128</v>
      </c>
      <c r="M28" t="n">
        <v>50.906</v>
      </c>
      <c r="N28" t="n">
        <v>57.735</v>
      </c>
      <c r="O28" t="n">
        <v>62.588</v>
      </c>
      <c r="P28" t="n">
        <v>74.586</v>
      </c>
      <c r="Q28" t="n">
        <v>81.61</v>
      </c>
      <c r="R28" t="n">
        <v>87.322</v>
      </c>
      <c r="S28" t="n">
        <v>98.026</v>
      </c>
      <c r="T28" t="n">
        <v>108.237</v>
      </c>
      <c r="U28" t="n">
        <v>121.738</v>
      </c>
      <c r="V28" t="n">
        <v>133.981</v>
      </c>
      <c r="W28" t="n">
        <v>2763.857</v>
      </c>
      <c r="X28" t="n">
        <v>3188.581</v>
      </c>
      <c r="Y28" t="n">
        <v>3091.823</v>
      </c>
      <c r="Z28" t="n">
        <v>4336.278</v>
      </c>
      <c r="AA28" t="n">
        <v>6383.871</v>
      </c>
      <c r="AB28" t="n">
        <v>4308.675</v>
      </c>
      <c r="AC28" t="n">
        <v>2961.394</v>
      </c>
      <c r="AD28" t="n">
        <v>3197.458</v>
      </c>
      <c r="AE28" t="n">
        <v>3858.936</v>
      </c>
      <c r="AF28" t="n">
        <v>5438.496</v>
      </c>
      <c r="AG28" t="n">
        <v>11163.271</v>
      </c>
      <c r="AH28" t="n">
        <v>10014.573</v>
      </c>
      <c r="AI28" t="n">
        <v>10547.24</v>
      </c>
      <c r="AJ28" t="n">
        <v>4204.1</v>
      </c>
      <c r="AK28" t="n">
        <v>12381.282</v>
      </c>
      <c r="AL28" t="n">
        <v>18439.795</v>
      </c>
      <c r="AM28" t="n">
        <v>20902.828</v>
      </c>
      <c r="AN28" t="n">
        <v>57902.951</v>
      </c>
      <c r="AO28" t="n">
        <v>85178.516</v>
      </c>
      <c r="AP28" t="n">
        <v>65091.312</v>
      </c>
      <c r="AQ28" t="n">
        <v>82609.70299999999</v>
      </c>
      <c r="AR28" t="n">
        <v>38726.118</v>
      </c>
      <c r="AS28" t="n">
        <v>52476.235</v>
      </c>
      <c r="AT28" t="n">
        <v>47769.159</v>
      </c>
      <c r="AU28" t="n">
        <v>53268.207</v>
      </c>
      <c r="AV28" t="n">
        <v>58678.281</v>
      </c>
      <c r="AW28" t="n">
        <v>84495.561</v>
      </c>
      <c r="AX28" t="n">
        <v>78244.28999999999</v>
      </c>
      <c r="AY28" t="n">
        <v>90378.249</v>
      </c>
      <c r="AZ28" t="n">
        <v>90534.432</v>
      </c>
      <c r="BA28" t="n">
        <v>80966.637</v>
      </c>
      <c r="BB28" t="n">
        <v>137338.496</v>
      </c>
      <c r="BC28" t="n">
        <v>103907.772</v>
      </c>
      <c r="BD28" t="n">
        <v>90349.261</v>
      </c>
      <c r="BE28" t="n">
        <v>85444.075</v>
      </c>
      <c r="BF28" t="n">
        <v>185358.041</v>
      </c>
      <c r="BG28" t="n">
        <v>103877.08</v>
      </c>
      <c r="BH28" t="n">
        <v>148155.075</v>
      </c>
      <c r="BI28" t="n">
        <v>133893.41</v>
      </c>
      <c r="BJ28" t="n">
        <v>139654.267</v>
      </c>
      <c r="BK28" t="n">
        <v>125907.247</v>
      </c>
      <c r="BL28" t="n">
        <v>142345.911</v>
      </c>
      <c r="BM28" t="n">
        <v>146362.441</v>
      </c>
      <c r="BN28" t="n">
        <v>114733.521</v>
      </c>
      <c r="BO28" t="n">
        <v>130454.134</v>
      </c>
      <c r="BP28" t="n">
        <v>163459.554</v>
      </c>
      <c r="BQ28" t="n">
        <v>134759.486</v>
      </c>
      <c r="BR28" t="n">
        <v>183608.157</v>
      </c>
      <c r="BS28" t="n">
        <v>156741.082</v>
      </c>
      <c r="BT28" t="n">
        <v>142262.447</v>
      </c>
      <c r="BU28" t="n">
        <v>123350.648</v>
      </c>
      <c r="BV28" t="n">
        <v>120743.821</v>
      </c>
    </row>
    <row r="29">
      <c r="A29" t="inlineStr">
        <is>
          <t>Larimichthys crocea</t>
        </is>
      </c>
      <c r="B29" t="inlineStr">
        <is>
          <t>Large yellow croaker</t>
        </is>
      </c>
      <c r="C29" t="inlineStr">
        <is>
          <t>Medium benthopelagics (30 - 89 cm)</t>
        </is>
      </c>
      <c r="D29" t="inlineStr">
        <is>
          <t>Perch-likes</t>
        </is>
      </c>
      <c r="E29" t="n">
        <v>26567.288</v>
      </c>
      <c r="F29" t="n">
        <v>38283.631</v>
      </c>
      <c r="G29" t="n">
        <v>48437.205</v>
      </c>
      <c r="H29" t="n">
        <v>49214.446</v>
      </c>
      <c r="I29" t="n">
        <v>59881.626</v>
      </c>
      <c r="J29" t="n">
        <v>65539.08199999999</v>
      </c>
      <c r="K29" t="n">
        <v>76134.159</v>
      </c>
      <c r="L29" t="n">
        <v>74031.395</v>
      </c>
      <c r="M29" t="n">
        <v>73832.489</v>
      </c>
      <c r="N29" t="n">
        <v>77515.109</v>
      </c>
      <c r="O29" t="n">
        <v>77310.428</v>
      </c>
      <c r="P29" t="n">
        <v>77631.72900000001</v>
      </c>
      <c r="Q29" t="n">
        <v>80737.765</v>
      </c>
      <c r="R29" t="n">
        <v>80526.106</v>
      </c>
      <c r="S29" t="n">
        <v>80304.58900000001</v>
      </c>
      <c r="T29" t="n">
        <v>83899.007</v>
      </c>
      <c r="U29" t="n">
        <v>83668.83</v>
      </c>
      <c r="V29" t="n">
        <v>83437.49000000001</v>
      </c>
      <c r="W29" t="n">
        <v>87003.923</v>
      </c>
      <c r="X29" t="n">
        <v>86908.15399999999</v>
      </c>
      <c r="Y29" t="n">
        <v>112566.133</v>
      </c>
      <c r="Z29" t="n">
        <v>99842.185</v>
      </c>
      <c r="AA29" t="n">
        <v>101118.704</v>
      </c>
      <c r="AB29" t="n">
        <v>98346.48</v>
      </c>
      <c r="AC29" t="n">
        <v>139336.1</v>
      </c>
      <c r="AD29" t="n">
        <v>96247.086</v>
      </c>
      <c r="AE29" t="n">
        <v>74425.575</v>
      </c>
      <c r="AF29" t="n">
        <v>57504.366</v>
      </c>
      <c r="AG29" t="n">
        <v>59495.892</v>
      </c>
      <c r="AH29" t="n">
        <v>54115.975</v>
      </c>
      <c r="AI29" t="n">
        <v>56401.005</v>
      </c>
      <c r="AJ29" t="n">
        <v>56152.469</v>
      </c>
      <c r="AK29" t="n">
        <v>51991.51</v>
      </c>
      <c r="AL29" t="n">
        <v>30515.203</v>
      </c>
      <c r="AM29" t="n">
        <v>36285.851</v>
      </c>
      <c r="AN29" t="n">
        <v>26929.669</v>
      </c>
      <c r="AO29" t="n">
        <v>19767.602</v>
      </c>
      <c r="AP29" t="n">
        <v>18657.161</v>
      </c>
      <c r="AQ29" t="n">
        <v>18717.051</v>
      </c>
      <c r="AR29" t="n">
        <v>19377.37</v>
      </c>
      <c r="AS29" t="n">
        <v>21121.028</v>
      </c>
      <c r="AT29" t="n">
        <v>22899.128</v>
      </c>
      <c r="AU29" t="n">
        <v>30737.095</v>
      </c>
      <c r="AV29" t="n">
        <v>27607.244</v>
      </c>
      <c r="AW29" t="n">
        <v>47581.82</v>
      </c>
      <c r="AX29" t="n">
        <v>45314.209</v>
      </c>
      <c r="AY29" t="n">
        <v>52573.616</v>
      </c>
      <c r="AZ29" t="n">
        <v>36482.86</v>
      </c>
      <c r="BA29" t="n">
        <v>33500.373</v>
      </c>
      <c r="BB29" t="n">
        <v>26570.74</v>
      </c>
      <c r="BC29" t="n">
        <v>45877.919</v>
      </c>
      <c r="BD29" t="n">
        <v>32190.013</v>
      </c>
      <c r="BE29" t="n">
        <v>35540.912</v>
      </c>
      <c r="BF29" t="n">
        <v>46994.084</v>
      </c>
      <c r="BG29" t="n">
        <v>36429.549</v>
      </c>
      <c r="BH29" t="n">
        <v>30874.183</v>
      </c>
      <c r="BI29" t="n">
        <v>31831.309</v>
      </c>
      <c r="BJ29" t="n">
        <v>32842.555</v>
      </c>
      <c r="BK29" t="n">
        <v>27043.146</v>
      </c>
      <c r="BL29" t="n">
        <v>33882.783</v>
      </c>
      <c r="BM29" t="n">
        <v>35213.144</v>
      </c>
      <c r="BN29" t="n">
        <v>31314.648</v>
      </c>
      <c r="BO29" t="n">
        <v>39641.013</v>
      </c>
      <c r="BP29" t="n">
        <v>52862.94</v>
      </c>
      <c r="BQ29" t="n">
        <v>52094.489</v>
      </c>
      <c r="BR29" t="n">
        <v>59828.45</v>
      </c>
      <c r="BS29" t="n">
        <v>46162.966</v>
      </c>
      <c r="BT29" t="n">
        <v>40300.894</v>
      </c>
      <c r="BU29" t="n">
        <v>39931.697</v>
      </c>
      <c r="BV29" t="n">
        <v>35288.198</v>
      </c>
    </row>
    <row r="30">
      <c r="A30" t="inlineStr">
        <is>
          <t>Clupeidae</t>
        </is>
      </c>
      <c r="B30" t="inlineStr">
        <is>
          <t>Herrings, sardines, menhadens</t>
        </is>
      </c>
      <c r="C30" t="inlineStr">
        <is>
          <t>Small pelagics (&lt;30 cm)</t>
        </is>
      </c>
      <c r="D30" t="inlineStr">
        <is>
          <t>Herring-likes</t>
        </is>
      </c>
      <c r="E30" t="n">
        <v>6489.306</v>
      </c>
      <c r="F30" t="n">
        <v>6474.177</v>
      </c>
      <c r="G30" t="n">
        <v>6485.284</v>
      </c>
      <c r="H30" t="n">
        <v>6575.388</v>
      </c>
      <c r="I30" t="n">
        <v>14082.184</v>
      </c>
      <c r="J30" t="n">
        <v>33601.595</v>
      </c>
      <c r="K30" t="n">
        <v>39619.626</v>
      </c>
      <c r="L30" t="n">
        <v>36849.403</v>
      </c>
      <c r="M30" t="n">
        <v>39152.174</v>
      </c>
      <c r="N30" t="n">
        <v>45178.248</v>
      </c>
      <c r="O30" t="n">
        <v>44575.108</v>
      </c>
      <c r="P30" t="n">
        <v>46172.84</v>
      </c>
      <c r="Q30" t="n">
        <v>54559.714</v>
      </c>
      <c r="R30" t="n">
        <v>65406.397</v>
      </c>
      <c r="S30" t="n">
        <v>66162.497</v>
      </c>
      <c r="T30" t="n">
        <v>59191.632</v>
      </c>
      <c r="U30" t="n">
        <v>49182.022</v>
      </c>
      <c r="V30" t="n">
        <v>44001.664</v>
      </c>
      <c r="W30" t="n">
        <v>49577.831</v>
      </c>
      <c r="X30" t="n">
        <v>47532.888</v>
      </c>
      <c r="Y30" t="n">
        <v>42899.654</v>
      </c>
      <c r="Z30" t="n">
        <v>40553.053</v>
      </c>
      <c r="AA30" t="n">
        <v>39596.302</v>
      </c>
      <c r="AB30" t="n">
        <v>30681.545</v>
      </c>
      <c r="AC30" t="n">
        <v>30835.478</v>
      </c>
      <c r="AD30" t="n">
        <v>27797.371</v>
      </c>
      <c r="AE30" t="n">
        <v>28768.572</v>
      </c>
      <c r="AF30" t="n">
        <v>25934.965</v>
      </c>
      <c r="AG30" t="n">
        <v>23319.866</v>
      </c>
      <c r="AH30" t="n">
        <v>23135.877</v>
      </c>
      <c r="AI30" t="n">
        <v>20738.405</v>
      </c>
      <c r="AJ30" t="n">
        <v>22669.045</v>
      </c>
      <c r="AK30" t="n">
        <v>26818.957</v>
      </c>
      <c r="AL30" t="n">
        <v>32553.944</v>
      </c>
      <c r="AM30" t="n">
        <v>30014.59</v>
      </c>
      <c r="AN30" t="n">
        <v>36086.592</v>
      </c>
      <c r="AO30" t="n">
        <v>36626.198</v>
      </c>
      <c r="AP30" t="n">
        <v>38105.265</v>
      </c>
      <c r="AQ30" t="n">
        <v>38809.469</v>
      </c>
      <c r="AR30" t="n">
        <v>39966.053</v>
      </c>
      <c r="AS30" t="n">
        <v>40497.128</v>
      </c>
      <c r="AT30" t="n">
        <v>40338.667</v>
      </c>
      <c r="AU30" t="n">
        <v>44847.589</v>
      </c>
      <c r="AV30" t="n">
        <v>46544.866</v>
      </c>
      <c r="AW30" t="n">
        <v>57464.782</v>
      </c>
      <c r="AX30" t="n">
        <v>56340.454</v>
      </c>
      <c r="AY30" t="n">
        <v>60014.845</v>
      </c>
      <c r="AZ30" t="n">
        <v>59327.643</v>
      </c>
      <c r="BA30" t="n">
        <v>61102.224</v>
      </c>
      <c r="BB30" t="n">
        <v>68495.914</v>
      </c>
      <c r="BC30" t="n">
        <v>65039.204</v>
      </c>
      <c r="BD30" t="n">
        <v>68422.908</v>
      </c>
      <c r="BE30" t="n">
        <v>72051.17999999999</v>
      </c>
      <c r="BF30" t="n">
        <v>67910.25199999999</v>
      </c>
      <c r="BG30" t="n">
        <v>73131.394</v>
      </c>
      <c r="BH30" t="n">
        <v>72864.53599999999</v>
      </c>
      <c r="BI30" t="n">
        <v>72891.071</v>
      </c>
      <c r="BJ30" t="n">
        <v>74686.524</v>
      </c>
      <c r="BK30" t="n">
        <v>73445.058</v>
      </c>
      <c r="BL30" t="n">
        <v>78081.41099999999</v>
      </c>
      <c r="BM30" t="n">
        <v>77814.75900000001</v>
      </c>
      <c r="BN30" t="n">
        <v>78910.269</v>
      </c>
      <c r="BO30" t="n">
        <v>81845.66099999999</v>
      </c>
      <c r="BP30" t="n">
        <v>83982.701</v>
      </c>
      <c r="BQ30" t="n">
        <v>86568.94899999999</v>
      </c>
      <c r="BR30" t="n">
        <v>87788.126</v>
      </c>
      <c r="BS30" t="n">
        <v>88979.186</v>
      </c>
      <c r="BT30" t="n">
        <v>96067.738</v>
      </c>
      <c r="BU30" t="n">
        <v>104106.413</v>
      </c>
      <c r="BV30" t="n">
        <v>104450.983</v>
      </c>
    </row>
    <row r="31">
      <c r="A31" t="inlineStr">
        <is>
          <t>Muraenesox cinereus</t>
        </is>
      </c>
      <c r="B31" t="inlineStr">
        <is>
          <t>Daggertooth pike conger</t>
        </is>
      </c>
      <c r="C31" t="inlineStr">
        <is>
          <t>Large demersals (&gt;=90 cm)</t>
        </is>
      </c>
      <c r="D31" t="inlineStr">
        <is>
          <t>Other fishes &amp; inverts</t>
        </is>
      </c>
      <c r="E31" t="n">
        <v>251.267</v>
      </c>
      <c r="F31" t="n">
        <v>291.099</v>
      </c>
      <c r="G31" t="n">
        <v>482.247</v>
      </c>
      <c r="H31" t="n">
        <v>495.373</v>
      </c>
      <c r="I31" t="n">
        <v>836.418</v>
      </c>
      <c r="J31" t="n">
        <v>893.774</v>
      </c>
      <c r="K31" t="n">
        <v>834.825</v>
      </c>
      <c r="L31" t="n">
        <v>656.083</v>
      </c>
      <c r="M31" t="n">
        <v>1314.235</v>
      </c>
      <c r="N31" t="n">
        <v>1429.708</v>
      </c>
      <c r="O31" t="n">
        <v>2480.79</v>
      </c>
      <c r="P31" t="n">
        <v>2289.575</v>
      </c>
      <c r="Q31" t="n">
        <v>3087.481</v>
      </c>
      <c r="R31" t="n">
        <v>1949.544</v>
      </c>
      <c r="S31" t="n">
        <v>2641.78</v>
      </c>
      <c r="T31" t="n">
        <v>2739.73</v>
      </c>
      <c r="U31" t="n">
        <v>2431.354</v>
      </c>
      <c r="V31" t="n">
        <v>2613.428</v>
      </c>
      <c r="W31" t="n">
        <v>2739.27</v>
      </c>
      <c r="X31" t="n">
        <v>2455.133</v>
      </c>
      <c r="Y31" t="n">
        <v>3670.969</v>
      </c>
      <c r="Z31" t="n">
        <v>5091.439</v>
      </c>
      <c r="AA31" t="n">
        <v>5891.312</v>
      </c>
      <c r="AB31" t="n">
        <v>7907.169</v>
      </c>
      <c r="AC31" t="n">
        <v>6743.697</v>
      </c>
      <c r="AD31" t="n">
        <v>8668.075999999999</v>
      </c>
      <c r="AE31" t="n">
        <v>9405.9</v>
      </c>
      <c r="AF31" t="n">
        <v>10343.55</v>
      </c>
      <c r="AG31" t="n">
        <v>10523.131</v>
      </c>
      <c r="AH31" t="n">
        <v>12156.354</v>
      </c>
      <c r="AI31" t="n">
        <v>12906.997</v>
      </c>
      <c r="AJ31" t="n">
        <v>11695.306</v>
      </c>
      <c r="AK31" t="n">
        <v>12249.239</v>
      </c>
      <c r="AL31" t="n">
        <v>12628.567</v>
      </c>
      <c r="AM31" t="n">
        <v>11877.256</v>
      </c>
      <c r="AN31" t="n">
        <v>13495.239</v>
      </c>
      <c r="AO31" t="n">
        <v>12995.227</v>
      </c>
      <c r="AP31" t="n">
        <v>12237.933</v>
      </c>
      <c r="AQ31" t="n">
        <v>12670.932</v>
      </c>
      <c r="AR31" t="n">
        <v>11409.002</v>
      </c>
      <c r="AS31" t="n">
        <v>18103.513</v>
      </c>
      <c r="AT31" t="n">
        <v>18734.023</v>
      </c>
      <c r="AU31" t="n">
        <v>13268.319</v>
      </c>
      <c r="AV31" t="n">
        <v>25169.648</v>
      </c>
      <c r="AW31" t="n">
        <v>65236.185</v>
      </c>
      <c r="AX31" t="n">
        <v>68111.33100000001</v>
      </c>
      <c r="AY31" t="n">
        <v>82914.03999999999</v>
      </c>
      <c r="AZ31" t="n">
        <v>77595.61599999999</v>
      </c>
      <c r="BA31" t="n">
        <v>92559.985</v>
      </c>
      <c r="BB31" t="n">
        <v>78176.978</v>
      </c>
      <c r="BC31" t="n">
        <v>70635.71000000001</v>
      </c>
      <c r="BD31" t="n">
        <v>86186.49099999999</v>
      </c>
      <c r="BE31" t="n">
        <v>89187.018</v>
      </c>
      <c r="BF31" t="n">
        <v>114854.308</v>
      </c>
      <c r="BG31" t="n">
        <v>106289.996</v>
      </c>
      <c r="BH31" t="n">
        <v>96669.58199999999</v>
      </c>
      <c r="BI31" t="n">
        <v>121760.629</v>
      </c>
      <c r="BJ31" t="n">
        <v>108084.293</v>
      </c>
      <c r="BK31" t="n">
        <v>115787.949</v>
      </c>
      <c r="BL31" t="n">
        <v>144580.028</v>
      </c>
      <c r="BM31" t="n">
        <v>143350.476</v>
      </c>
      <c r="BN31" t="n">
        <v>126350.909</v>
      </c>
      <c r="BO31" t="n">
        <v>138463.096</v>
      </c>
      <c r="BP31" t="n">
        <v>159730.871</v>
      </c>
      <c r="BQ31" t="n">
        <v>144907.919</v>
      </c>
      <c r="BR31" t="n">
        <v>168298.381</v>
      </c>
      <c r="BS31" t="n">
        <v>163494.883</v>
      </c>
      <c r="BT31" t="n">
        <v>149179.477</v>
      </c>
      <c r="BU31" t="n">
        <v>145402.659</v>
      </c>
      <c r="BV31" t="n">
        <v>137394.981</v>
      </c>
    </row>
    <row r="32">
      <c r="A32" t="inlineStr">
        <is>
          <t>Portunus pelagicus</t>
        </is>
      </c>
      <c r="B32" t="inlineStr">
        <is>
          <t>Blue swimming crab</t>
        </is>
      </c>
      <c r="C32" t="inlineStr">
        <is>
          <t>Lobsters, crabs</t>
        </is>
      </c>
      <c r="D32" t="inlineStr">
        <is>
          <t>Crustaceans</t>
        </is>
      </c>
      <c r="E32" t="n">
        <v>3692.545</v>
      </c>
      <c r="F32" t="n">
        <v>3726.597</v>
      </c>
      <c r="G32" t="n">
        <v>3738.118</v>
      </c>
      <c r="H32" t="n">
        <v>3747.636</v>
      </c>
      <c r="I32" t="n">
        <v>5534.746</v>
      </c>
      <c r="J32" t="n">
        <v>6974.127</v>
      </c>
      <c r="K32" t="n">
        <v>7021.692</v>
      </c>
      <c r="L32" t="n">
        <v>7969.812</v>
      </c>
      <c r="M32" t="n">
        <v>7092.801</v>
      </c>
      <c r="N32" t="n">
        <v>7138.304</v>
      </c>
      <c r="O32" t="n">
        <v>7204.066</v>
      </c>
      <c r="P32" t="n">
        <v>7214.086</v>
      </c>
      <c r="Q32" t="n">
        <v>7287.675</v>
      </c>
      <c r="R32" t="n">
        <v>8172.829</v>
      </c>
      <c r="S32" t="n">
        <v>8274.499</v>
      </c>
      <c r="T32" t="n">
        <v>8126.768</v>
      </c>
      <c r="U32" t="n">
        <v>8132.238</v>
      </c>
      <c r="V32" t="n">
        <v>13472.805</v>
      </c>
      <c r="W32" t="n">
        <v>14091.74</v>
      </c>
      <c r="X32" t="n">
        <v>17606.702</v>
      </c>
      <c r="Y32" t="n">
        <v>30407.943</v>
      </c>
      <c r="Z32" t="n">
        <v>27825.237</v>
      </c>
      <c r="AA32" t="n">
        <v>18245.345</v>
      </c>
      <c r="AB32" t="n">
        <v>20242.312</v>
      </c>
      <c r="AC32" t="n">
        <v>20434.932</v>
      </c>
      <c r="AD32" t="n">
        <v>19479.788</v>
      </c>
      <c r="AE32" t="n">
        <v>21608.376</v>
      </c>
      <c r="AF32" t="n">
        <v>21469.684</v>
      </c>
      <c r="AG32" t="n">
        <v>21006.184</v>
      </c>
      <c r="AH32" t="n">
        <v>21790.852</v>
      </c>
      <c r="AI32" t="n">
        <v>21136.277</v>
      </c>
      <c r="AJ32" t="n">
        <v>21997.368</v>
      </c>
      <c r="AK32" t="n">
        <v>22395.62</v>
      </c>
      <c r="AL32" t="n">
        <v>26646.836</v>
      </c>
      <c r="AM32" t="n">
        <v>20964.773</v>
      </c>
      <c r="AN32" t="n">
        <v>20702.538</v>
      </c>
      <c r="AO32" t="n">
        <v>14396.086</v>
      </c>
      <c r="AP32" t="n">
        <v>15444.52</v>
      </c>
      <c r="AQ32" t="n">
        <v>17430.039</v>
      </c>
      <c r="AR32" t="n">
        <v>21293.708</v>
      </c>
      <c r="AS32" t="n">
        <v>30400.258</v>
      </c>
      <c r="AT32" t="n">
        <v>35036.003</v>
      </c>
      <c r="AU32" t="n">
        <v>38347.683</v>
      </c>
      <c r="AV32" t="n">
        <v>30715.081</v>
      </c>
      <c r="AW32" t="n">
        <v>65301.702</v>
      </c>
      <c r="AX32" t="n">
        <v>69955.353</v>
      </c>
      <c r="AY32" t="n">
        <v>80335.39200000001</v>
      </c>
      <c r="AZ32" t="n">
        <v>73964.41800000001</v>
      </c>
      <c r="BA32" t="n">
        <v>103303.777</v>
      </c>
      <c r="BB32" t="n">
        <v>85906.94100000001</v>
      </c>
      <c r="BC32" t="n">
        <v>102385.126</v>
      </c>
      <c r="BD32" t="n">
        <v>100304.255</v>
      </c>
      <c r="BE32" t="n">
        <v>103266.782</v>
      </c>
      <c r="BF32" t="n">
        <v>125262.221</v>
      </c>
      <c r="BG32" t="n">
        <v>111289.971</v>
      </c>
      <c r="BH32" t="n">
        <v>108865.424</v>
      </c>
      <c r="BI32" t="n">
        <v>109376.049</v>
      </c>
      <c r="BJ32" t="n">
        <v>112999.6</v>
      </c>
      <c r="BK32" t="n">
        <v>111812.199</v>
      </c>
      <c r="BL32" t="n">
        <v>114256.455</v>
      </c>
      <c r="BM32" t="n">
        <v>122831.369</v>
      </c>
      <c r="BN32" t="n">
        <v>84426.60799999999</v>
      </c>
      <c r="BO32" t="n">
        <v>90705.386</v>
      </c>
      <c r="BP32" t="n">
        <v>99159.005</v>
      </c>
      <c r="BQ32" t="n">
        <v>97010.592</v>
      </c>
      <c r="BR32" t="n">
        <v>101541.192</v>
      </c>
      <c r="BS32" t="n">
        <v>105562.196</v>
      </c>
      <c r="BT32" t="n">
        <v>100637.909</v>
      </c>
      <c r="BU32" t="n">
        <v>86757.701</v>
      </c>
      <c r="BV32" t="n">
        <v>105159.972</v>
      </c>
    </row>
    <row r="33">
      <c r="A33" t="inlineStr">
        <is>
          <t>Engraulidae</t>
        </is>
      </c>
      <c r="B33" t="inlineStr">
        <is>
          <t>Anchovies, round herrings</t>
        </is>
      </c>
      <c r="C33" t="inlineStr">
        <is>
          <t>Small pelagics (&lt;30 cm)</t>
        </is>
      </c>
      <c r="D33" t="inlineStr">
        <is>
          <t>Anchovies</t>
        </is>
      </c>
      <c r="E33" t="n">
        <v>7007.144</v>
      </c>
      <c r="F33" t="n">
        <v>7550.226</v>
      </c>
      <c r="G33" t="n">
        <v>7540.985</v>
      </c>
      <c r="H33" t="n">
        <v>7303.517</v>
      </c>
      <c r="I33" t="n">
        <v>14279.103</v>
      </c>
      <c r="J33" t="n">
        <v>19412.616</v>
      </c>
      <c r="K33" t="n">
        <v>20461.965</v>
      </c>
      <c r="L33" t="n">
        <v>21358.072</v>
      </c>
      <c r="M33" t="n">
        <v>23272.886</v>
      </c>
      <c r="N33" t="n">
        <v>26504.9</v>
      </c>
      <c r="O33" t="n">
        <v>33799.864</v>
      </c>
      <c r="P33" t="n">
        <v>32597.382</v>
      </c>
      <c r="Q33" t="n">
        <v>38467.514</v>
      </c>
      <c r="R33" t="n">
        <v>44598.632</v>
      </c>
      <c r="S33" t="n">
        <v>44384.902</v>
      </c>
      <c r="T33" t="n">
        <v>42204.818</v>
      </c>
      <c r="U33" t="n">
        <v>39412.012</v>
      </c>
      <c r="V33" t="n">
        <v>36549.624</v>
      </c>
      <c r="W33" t="n">
        <v>34173.264</v>
      </c>
      <c r="X33" t="n">
        <v>30985.723</v>
      </c>
      <c r="Y33" t="n">
        <v>29149.743</v>
      </c>
      <c r="Z33" t="n">
        <v>26755.188</v>
      </c>
      <c r="AA33" t="n">
        <v>29437.09</v>
      </c>
      <c r="AB33" t="n">
        <v>25538.547</v>
      </c>
      <c r="AC33" t="n">
        <v>24085.282</v>
      </c>
      <c r="AD33" t="n">
        <v>23001.483</v>
      </c>
      <c r="AE33" t="n">
        <v>23836.842</v>
      </c>
      <c r="AF33" t="n">
        <v>23965.768</v>
      </c>
      <c r="AG33" t="n">
        <v>23927.097</v>
      </c>
      <c r="AH33" t="n">
        <v>23942.17</v>
      </c>
      <c r="AI33" t="n">
        <v>23993.144</v>
      </c>
      <c r="AJ33" t="n">
        <v>25930.89</v>
      </c>
      <c r="AK33" t="n">
        <v>30764.817</v>
      </c>
      <c r="AL33" t="n">
        <v>37036.07</v>
      </c>
      <c r="AM33" t="n">
        <v>41830.261</v>
      </c>
      <c r="AN33" t="n">
        <v>43630.906</v>
      </c>
      <c r="AO33" t="n">
        <v>44592.776</v>
      </c>
      <c r="AP33" t="n">
        <v>46898.186</v>
      </c>
      <c r="AQ33" t="n">
        <v>48877.472</v>
      </c>
      <c r="AR33" t="n">
        <v>56602.824</v>
      </c>
      <c r="AS33" t="n">
        <v>54641.125</v>
      </c>
      <c r="AT33" t="n">
        <v>56984.11</v>
      </c>
      <c r="AU33" t="n">
        <v>55887.313</v>
      </c>
      <c r="AV33" t="n">
        <v>59668.082</v>
      </c>
      <c r="AW33" t="n">
        <v>57290.752</v>
      </c>
      <c r="AX33" t="n">
        <v>60848.991</v>
      </c>
      <c r="AY33" t="n">
        <v>53493.947</v>
      </c>
      <c r="AZ33" t="n">
        <v>66696.79399999999</v>
      </c>
      <c r="BA33" t="n">
        <v>66843.428</v>
      </c>
      <c r="BB33" t="n">
        <v>75017.125</v>
      </c>
      <c r="BC33" t="n">
        <v>75453.859</v>
      </c>
      <c r="BD33" t="n">
        <v>77167.451</v>
      </c>
      <c r="BE33" t="n">
        <v>79075.93799999999</v>
      </c>
      <c r="BF33" t="n">
        <v>77837.024</v>
      </c>
      <c r="BG33" t="n">
        <v>81156.086</v>
      </c>
      <c r="BH33" t="n">
        <v>82518.905</v>
      </c>
      <c r="BI33" t="n">
        <v>79158.986</v>
      </c>
      <c r="BJ33" t="n">
        <v>80270.355</v>
      </c>
      <c r="BK33" t="n">
        <v>65636.825</v>
      </c>
      <c r="BL33" t="n">
        <v>66054.06200000001</v>
      </c>
      <c r="BM33" t="n">
        <v>69171.841</v>
      </c>
      <c r="BN33" t="n">
        <v>67415.394</v>
      </c>
      <c r="BO33" t="n">
        <v>69236.068</v>
      </c>
      <c r="BP33" t="n">
        <v>66561.31200000001</v>
      </c>
      <c r="BQ33" t="n">
        <v>68916.12300000001</v>
      </c>
      <c r="BR33" t="n">
        <v>67141.265</v>
      </c>
      <c r="BS33" t="n">
        <v>67726.03</v>
      </c>
      <c r="BT33" t="n">
        <v>70554.07399999999</v>
      </c>
      <c r="BU33" t="n">
        <v>78454.333</v>
      </c>
      <c r="BV33" t="n">
        <v>76599.94100000001</v>
      </c>
    </row>
    <row r="34">
      <c r="A34" t="inlineStr">
        <is>
          <t>Pampus</t>
        </is>
      </c>
      <c r="B34" t="inlineStr">
        <is>
          <t>Silver pomfrets</t>
        </is>
      </c>
      <c r="C34" t="inlineStr">
        <is>
          <t>Medium benthopelagics (30 - 89 cm)</t>
        </is>
      </c>
      <c r="D34" t="inlineStr">
        <is>
          <t>Perch-likes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0.377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5.046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0.216</v>
      </c>
      <c r="Z34" t="n">
        <v>0</v>
      </c>
      <c r="AA34" t="n">
        <v>0.649</v>
      </c>
      <c r="AB34" t="n">
        <v>0.107</v>
      </c>
      <c r="AC34" t="n">
        <v>0</v>
      </c>
      <c r="AD34" t="n">
        <v>528.527</v>
      </c>
      <c r="AE34" t="n">
        <v>0</v>
      </c>
      <c r="AF34" t="n">
        <v>0.456</v>
      </c>
      <c r="AG34" t="n">
        <v>13318.447</v>
      </c>
      <c r="AH34" t="n">
        <v>17910.103</v>
      </c>
      <c r="AI34" t="n">
        <v>17223.934</v>
      </c>
      <c r="AJ34" t="n">
        <v>17586.499</v>
      </c>
      <c r="AK34" t="n">
        <v>24691.663</v>
      </c>
      <c r="AL34" t="n">
        <v>19755.114</v>
      </c>
      <c r="AM34" t="n">
        <v>23891.104</v>
      </c>
      <c r="AN34" t="n">
        <v>29221.156</v>
      </c>
      <c r="AO34" t="n">
        <v>28760.71</v>
      </c>
      <c r="AP34" t="n">
        <v>35597.418</v>
      </c>
      <c r="AQ34" t="n">
        <v>25391.935</v>
      </c>
      <c r="AR34" t="n">
        <v>24912.694</v>
      </c>
      <c r="AS34" t="n">
        <v>30361.751</v>
      </c>
      <c r="AT34" t="n">
        <v>34020.445</v>
      </c>
      <c r="AU34" t="n">
        <v>26396.731</v>
      </c>
      <c r="AV34" t="n">
        <v>38892.358</v>
      </c>
      <c r="AW34" t="n">
        <v>47941.023</v>
      </c>
      <c r="AX34" t="n">
        <v>73123.522</v>
      </c>
      <c r="AY34" t="n">
        <v>77876.851</v>
      </c>
      <c r="AZ34" t="n">
        <v>84556.18799999999</v>
      </c>
      <c r="BA34" t="n">
        <v>89503.784</v>
      </c>
      <c r="BB34" t="n">
        <v>84740.24400000001</v>
      </c>
      <c r="BC34" t="n">
        <v>82745.175</v>
      </c>
      <c r="BD34" t="n">
        <v>89987.592</v>
      </c>
      <c r="BE34" t="n">
        <v>94824.179</v>
      </c>
      <c r="BF34" t="n">
        <v>116836.019</v>
      </c>
      <c r="BG34" t="n">
        <v>93163.11</v>
      </c>
      <c r="BH34" t="n">
        <v>101913.296</v>
      </c>
      <c r="BI34" t="n">
        <v>97169.71000000001</v>
      </c>
      <c r="BJ34" t="n">
        <v>98619.00599999999</v>
      </c>
      <c r="BK34" t="n">
        <v>106647.254</v>
      </c>
      <c r="BL34" t="n">
        <v>139815.379</v>
      </c>
      <c r="BM34" t="n">
        <v>136968.087</v>
      </c>
      <c r="BN34" t="n">
        <v>100611.981</v>
      </c>
      <c r="BO34" t="n">
        <v>115832.889</v>
      </c>
      <c r="BP34" t="n">
        <v>129560.347</v>
      </c>
      <c r="BQ34" t="n">
        <v>111610.804</v>
      </c>
      <c r="BR34" t="n">
        <v>137556.537</v>
      </c>
      <c r="BS34" t="n">
        <v>131188.95</v>
      </c>
      <c r="BT34" t="n">
        <v>130817.332</v>
      </c>
      <c r="BU34" t="n">
        <v>129389.526</v>
      </c>
      <c r="BV34" t="n">
        <v>129596.162</v>
      </c>
    </row>
    <row r="35">
      <c r="A35" t="inlineStr">
        <is>
          <t>Nemipteridae</t>
        </is>
      </c>
      <c r="B35" t="inlineStr">
        <is>
          <t>Threadfins, whiptail breams</t>
        </is>
      </c>
      <c r="C35" t="inlineStr">
        <is>
          <t>Small demersals (&lt;30 cm)</t>
        </is>
      </c>
      <c r="D35" t="inlineStr">
        <is>
          <t>Perch-likes</t>
        </is>
      </c>
      <c r="E35" t="n">
        <v>6218.549</v>
      </c>
      <c r="F35" t="n">
        <v>6243.644</v>
      </c>
      <c r="G35" t="n">
        <v>7167.111</v>
      </c>
      <c r="H35" t="n">
        <v>7175.605</v>
      </c>
      <c r="I35" t="n">
        <v>8499.472</v>
      </c>
      <c r="J35" t="n">
        <v>8977.565000000001</v>
      </c>
      <c r="K35" t="n">
        <v>9528.358</v>
      </c>
      <c r="L35" t="n">
        <v>11229.454</v>
      </c>
      <c r="M35" t="n">
        <v>12211.171</v>
      </c>
      <c r="N35" t="n">
        <v>13465.26</v>
      </c>
      <c r="O35" t="n">
        <v>14409.42</v>
      </c>
      <c r="P35" t="n">
        <v>14635.284</v>
      </c>
      <c r="Q35" t="n">
        <v>14436.451</v>
      </c>
      <c r="R35" t="n">
        <v>18699.886</v>
      </c>
      <c r="S35" t="n">
        <v>14810.245</v>
      </c>
      <c r="T35" t="n">
        <v>16671.421</v>
      </c>
      <c r="U35" t="n">
        <v>15115.788</v>
      </c>
      <c r="V35" t="n">
        <v>16200.665</v>
      </c>
      <c r="W35" t="n">
        <v>24017.377</v>
      </c>
      <c r="X35" t="n">
        <v>21674.521</v>
      </c>
      <c r="Y35" t="n">
        <v>23867.597</v>
      </c>
      <c r="Z35" t="n">
        <v>24784.136</v>
      </c>
      <c r="AA35" t="n">
        <v>27509.242</v>
      </c>
      <c r="AB35" t="n">
        <v>28419.37</v>
      </c>
      <c r="AC35" t="n">
        <v>35048.206</v>
      </c>
      <c r="AD35" t="n">
        <v>33075.606</v>
      </c>
      <c r="AE35" t="n">
        <v>29943.728</v>
      </c>
      <c r="AF35" t="n">
        <v>32168.852</v>
      </c>
      <c r="AG35" t="n">
        <v>35608.222</v>
      </c>
      <c r="AH35" t="n">
        <v>41975.943</v>
      </c>
      <c r="AI35" t="n">
        <v>40132.888</v>
      </c>
      <c r="AJ35" t="n">
        <v>38260.512</v>
      </c>
      <c r="AK35" t="n">
        <v>37249.388</v>
      </c>
      <c r="AL35" t="n">
        <v>37439.734</v>
      </c>
      <c r="AM35" t="n">
        <v>43262.097</v>
      </c>
      <c r="AN35" t="n">
        <v>45661.38</v>
      </c>
      <c r="AO35" t="n">
        <v>59297.947</v>
      </c>
      <c r="AP35" t="n">
        <v>72012.996</v>
      </c>
      <c r="AQ35" t="n">
        <v>68008.974</v>
      </c>
      <c r="AR35" t="n">
        <v>62279.144</v>
      </c>
      <c r="AS35" t="n">
        <v>69981.086</v>
      </c>
      <c r="AT35" t="n">
        <v>95500.198</v>
      </c>
      <c r="AU35" t="n">
        <v>109674.259</v>
      </c>
      <c r="AV35" t="n">
        <v>92968.05499999999</v>
      </c>
      <c r="AW35" t="n">
        <v>93478.891</v>
      </c>
      <c r="AX35" t="n">
        <v>91114.79399999999</v>
      </c>
      <c r="AY35" t="n">
        <v>81419.139</v>
      </c>
      <c r="AZ35" t="n">
        <v>81750.433</v>
      </c>
      <c r="BA35" t="n">
        <v>78357.99800000001</v>
      </c>
      <c r="BB35" t="n">
        <v>72615.41</v>
      </c>
      <c r="BC35" t="n">
        <v>81356.575</v>
      </c>
      <c r="BD35" t="n">
        <v>86528.15700000001</v>
      </c>
      <c r="BE35" t="n">
        <v>87490.553</v>
      </c>
      <c r="BF35" t="n">
        <v>81576.24400000001</v>
      </c>
      <c r="BG35" t="n">
        <v>81105.432</v>
      </c>
      <c r="BH35" t="n">
        <v>81105.84299999999</v>
      </c>
      <c r="BI35" t="n">
        <v>71885.333</v>
      </c>
      <c r="BJ35" t="n">
        <v>70325.175</v>
      </c>
      <c r="BK35" t="n">
        <v>45874.918</v>
      </c>
      <c r="BL35" t="n">
        <v>46140.145</v>
      </c>
      <c r="BM35" t="n">
        <v>49986.652</v>
      </c>
      <c r="BN35" t="n">
        <v>49279.495</v>
      </c>
      <c r="BO35" t="n">
        <v>46938.201</v>
      </c>
      <c r="BP35" t="n">
        <v>48398.327</v>
      </c>
      <c r="BQ35" t="n">
        <v>46633.011</v>
      </c>
      <c r="BR35" t="n">
        <v>40966.151</v>
      </c>
      <c r="BS35" t="n">
        <v>39545.697</v>
      </c>
      <c r="BT35" t="n">
        <v>35371.289</v>
      </c>
      <c r="BU35" t="n">
        <v>34344.684</v>
      </c>
      <c r="BV35" t="n">
        <v>33839.844</v>
      </c>
    </row>
    <row r="36">
      <c r="A36" t="inlineStr">
        <is>
          <t>Sepiidae</t>
        </is>
      </c>
      <c r="B36" t="inlineStr">
        <is>
          <t>Cuttlefishes</t>
        </is>
      </c>
      <c r="C36" t="inlineStr">
        <is>
          <t>Cephalopods</t>
        </is>
      </c>
      <c r="D36" t="inlineStr">
        <is>
          <t>Other fishes &amp; inverts</t>
        </is>
      </c>
      <c r="E36" t="n">
        <v>1362.491</v>
      </c>
      <c r="F36" t="n">
        <v>1785.131</v>
      </c>
      <c r="G36" t="n">
        <v>2111.845</v>
      </c>
      <c r="H36" t="n">
        <v>2043.349</v>
      </c>
      <c r="I36" t="n">
        <v>1452.554</v>
      </c>
      <c r="J36" t="n">
        <v>2786.745</v>
      </c>
      <c r="K36" t="n">
        <v>1348.897</v>
      </c>
      <c r="L36" t="n">
        <v>3121.064</v>
      </c>
      <c r="M36" t="n">
        <v>3017.978</v>
      </c>
      <c r="N36" t="n">
        <v>3457.117</v>
      </c>
      <c r="O36" t="n">
        <v>3145.735</v>
      </c>
      <c r="P36" t="n">
        <v>2958.068</v>
      </c>
      <c r="Q36" t="n">
        <v>3496.383</v>
      </c>
      <c r="R36" t="n">
        <v>4177.778</v>
      </c>
      <c r="S36" t="n">
        <v>3232.336</v>
      </c>
      <c r="T36" t="n">
        <v>3845.52</v>
      </c>
      <c r="U36" t="n">
        <v>5042.162</v>
      </c>
      <c r="V36" t="n">
        <v>4473.705</v>
      </c>
      <c r="W36" t="n">
        <v>4982.59</v>
      </c>
      <c r="X36" t="n">
        <v>5117.236</v>
      </c>
      <c r="Y36" t="n">
        <v>6043.754</v>
      </c>
      <c r="Z36" t="n">
        <v>6513.146</v>
      </c>
      <c r="AA36" t="n">
        <v>10159.563</v>
      </c>
      <c r="AB36" t="n">
        <v>11983.364</v>
      </c>
      <c r="AC36" t="n">
        <v>9601.567999999999</v>
      </c>
      <c r="AD36" t="n">
        <v>11225.25</v>
      </c>
      <c r="AE36" t="n">
        <v>13335.548</v>
      </c>
      <c r="AF36" t="n">
        <v>14956.647</v>
      </c>
      <c r="AG36" t="n">
        <v>16001.195</v>
      </c>
      <c r="AH36" t="n">
        <v>15532.433</v>
      </c>
      <c r="AI36" t="n">
        <v>17226.412</v>
      </c>
      <c r="AJ36" t="n">
        <v>21732.875</v>
      </c>
      <c r="AK36" t="n">
        <v>32690.673</v>
      </c>
      <c r="AL36" t="n">
        <v>30382.666</v>
      </c>
      <c r="AM36" t="n">
        <v>19496.386</v>
      </c>
      <c r="AN36" t="n">
        <v>20163.771</v>
      </c>
      <c r="AO36" t="n">
        <v>14667.186</v>
      </c>
      <c r="AP36" t="n">
        <v>12644.53</v>
      </c>
      <c r="AQ36" t="n">
        <v>15658.328</v>
      </c>
      <c r="AR36" t="n">
        <v>21593.888</v>
      </c>
      <c r="AS36" t="n">
        <v>21772.109</v>
      </c>
      <c r="AT36" t="n">
        <v>28693.489</v>
      </c>
      <c r="AU36" t="n">
        <v>24301.524</v>
      </c>
      <c r="AV36" t="n">
        <v>23933.278</v>
      </c>
      <c r="AW36" t="n">
        <v>46559.253</v>
      </c>
      <c r="AX36" t="n">
        <v>59891.223</v>
      </c>
      <c r="AY36" t="n">
        <v>51648.921</v>
      </c>
      <c r="AZ36" t="n">
        <v>52250.138</v>
      </c>
      <c r="BA36" t="n">
        <v>57132.898</v>
      </c>
      <c r="BB36" t="n">
        <v>58302.202</v>
      </c>
      <c r="BC36" t="n">
        <v>91084.38</v>
      </c>
      <c r="BD36" t="n">
        <v>94425.671</v>
      </c>
      <c r="BE36" t="n">
        <v>94775.274</v>
      </c>
      <c r="BF36" t="n">
        <v>96122.473</v>
      </c>
      <c r="BG36" t="n">
        <v>93052.65300000001</v>
      </c>
      <c r="BH36" t="n">
        <v>95933.03599999999</v>
      </c>
      <c r="BI36" t="n">
        <v>94563.181</v>
      </c>
      <c r="BJ36" t="n">
        <v>97668.128</v>
      </c>
      <c r="BK36" t="n">
        <v>98042.17</v>
      </c>
      <c r="BL36" t="n">
        <v>98381.99800000001</v>
      </c>
      <c r="BM36" t="n">
        <v>98973.14200000001</v>
      </c>
      <c r="BN36" t="n">
        <v>110743.867</v>
      </c>
      <c r="BO36" t="n">
        <v>110600.244</v>
      </c>
      <c r="BP36" t="n">
        <v>113254.415</v>
      </c>
      <c r="BQ36" t="n">
        <v>116001.467</v>
      </c>
      <c r="BR36" t="n">
        <v>123295.798</v>
      </c>
      <c r="BS36" t="n">
        <v>122058.196</v>
      </c>
      <c r="BT36" t="n">
        <v>132957.979</v>
      </c>
      <c r="BU36" t="n">
        <v>104375.275</v>
      </c>
      <c r="BV36" t="n">
        <v>143059.266</v>
      </c>
    </row>
    <row r="37">
      <c r="A37" t="inlineStr">
        <is>
          <t>Decapterus</t>
        </is>
      </c>
      <c r="B37" t="inlineStr">
        <is>
          <t>Scads</t>
        </is>
      </c>
      <c r="C37" t="inlineStr">
        <is>
          <t>Medium pelagics (30 - 89 cm)</t>
        </is>
      </c>
      <c r="D37" t="inlineStr">
        <is>
          <t>Perch-likes</t>
        </is>
      </c>
      <c r="E37" t="n">
        <v>3199.931</v>
      </c>
      <c r="F37" t="n">
        <v>3487.673</v>
      </c>
      <c r="G37" t="n">
        <v>3797.116</v>
      </c>
      <c r="H37" t="n">
        <v>3888.429</v>
      </c>
      <c r="I37" t="n">
        <v>4139.332</v>
      </c>
      <c r="J37" t="n">
        <v>4285.054</v>
      </c>
      <c r="K37" t="n">
        <v>4407.67</v>
      </c>
      <c r="L37" t="n">
        <v>4396.899</v>
      </c>
      <c r="M37" t="n">
        <v>4615.684</v>
      </c>
      <c r="N37" t="n">
        <v>4581.237</v>
      </c>
      <c r="O37" t="n">
        <v>4754.337</v>
      </c>
      <c r="P37" t="n">
        <v>5695.962</v>
      </c>
      <c r="Q37" t="n">
        <v>6015.521</v>
      </c>
      <c r="R37" t="n">
        <v>6332.445</v>
      </c>
      <c r="S37" t="n">
        <v>6859.409</v>
      </c>
      <c r="T37" t="n">
        <v>8165.137</v>
      </c>
      <c r="U37" t="n">
        <v>8939.775</v>
      </c>
      <c r="V37" t="n">
        <v>9215.737999999999</v>
      </c>
      <c r="W37" t="n">
        <v>9687.232</v>
      </c>
      <c r="X37" t="n">
        <v>10170.015</v>
      </c>
      <c r="Y37" t="n">
        <v>9145.885</v>
      </c>
      <c r="Z37" t="n">
        <v>9394.058000000001</v>
      </c>
      <c r="AA37" t="n">
        <v>12199.04</v>
      </c>
      <c r="AB37" t="n">
        <v>12304.161</v>
      </c>
      <c r="AC37" t="n">
        <v>12997.808</v>
      </c>
      <c r="AD37" t="n">
        <v>15668.912</v>
      </c>
      <c r="AE37" t="n">
        <v>22599.198</v>
      </c>
      <c r="AF37" t="n">
        <v>22062.714</v>
      </c>
      <c r="AG37" t="n">
        <v>23822.169</v>
      </c>
      <c r="AH37" t="n">
        <v>26976.864</v>
      </c>
      <c r="AI37" t="n">
        <v>34431.674</v>
      </c>
      <c r="AJ37" t="n">
        <v>37818.347</v>
      </c>
      <c r="AK37" t="n">
        <v>41352.526</v>
      </c>
      <c r="AL37" t="n">
        <v>41058.51</v>
      </c>
      <c r="AM37" t="n">
        <v>49100.9</v>
      </c>
      <c r="AN37" t="n">
        <v>54371.299</v>
      </c>
      <c r="AO37" t="n">
        <v>48320.746</v>
      </c>
      <c r="AP37" t="n">
        <v>42288.76</v>
      </c>
      <c r="AQ37" t="n">
        <v>39009.673</v>
      </c>
      <c r="AR37" t="n">
        <v>45410.378</v>
      </c>
      <c r="AS37" t="n">
        <v>61941.59</v>
      </c>
      <c r="AT37" t="n">
        <v>84843.504</v>
      </c>
      <c r="AU37" t="n">
        <v>70495.633</v>
      </c>
      <c r="AV37" t="n">
        <v>73590.671</v>
      </c>
      <c r="AW37" t="n">
        <v>78096.31600000001</v>
      </c>
      <c r="AX37" t="n">
        <v>76079.359</v>
      </c>
      <c r="AY37" t="n">
        <v>88836.15700000001</v>
      </c>
      <c r="AZ37" t="n">
        <v>84050.72199999999</v>
      </c>
      <c r="BA37" t="n">
        <v>75471.374</v>
      </c>
      <c r="BB37" t="n">
        <v>77157.91099999999</v>
      </c>
      <c r="BC37" t="n">
        <v>76818.393</v>
      </c>
      <c r="BD37" t="n">
        <v>77097.304</v>
      </c>
      <c r="BE37" t="n">
        <v>77871.284</v>
      </c>
      <c r="BF37" t="n">
        <v>73095.54700000001</v>
      </c>
      <c r="BG37" t="n">
        <v>82228.712</v>
      </c>
      <c r="BH37" t="n">
        <v>47817.963</v>
      </c>
      <c r="BI37" t="n">
        <v>40005.1</v>
      </c>
      <c r="BJ37" t="n">
        <v>40237.957</v>
      </c>
      <c r="BK37" t="n">
        <v>42121.285</v>
      </c>
      <c r="BL37" t="n">
        <v>59947.745</v>
      </c>
      <c r="BM37" t="n">
        <v>62068.641</v>
      </c>
      <c r="BN37" t="n">
        <v>62804.498</v>
      </c>
      <c r="BO37" t="n">
        <v>66745.76300000001</v>
      </c>
      <c r="BP37" t="n">
        <v>68057.211</v>
      </c>
      <c r="BQ37" t="n">
        <v>68344.76700000001</v>
      </c>
      <c r="BR37" t="n">
        <v>74364.171</v>
      </c>
      <c r="BS37" t="n">
        <v>72557.44</v>
      </c>
      <c r="BT37" t="n">
        <v>66476.837</v>
      </c>
      <c r="BU37" t="n">
        <v>70176.037</v>
      </c>
      <c r="BV37" t="n">
        <v>71496.14599999999</v>
      </c>
    </row>
    <row r="38">
      <c r="A38" t="inlineStr">
        <is>
          <t>Teuthida</t>
        </is>
      </c>
      <c r="B38" t="inlineStr">
        <is>
          <t>Squids</t>
        </is>
      </c>
      <c r="C38" t="inlineStr">
        <is>
          <t>Cephalopods</t>
        </is>
      </c>
      <c r="D38" t="inlineStr">
        <is>
          <t>Other fishes &amp; inverts</t>
        </is>
      </c>
      <c r="E38" t="n">
        <v>18.982</v>
      </c>
      <c r="F38" t="n">
        <v>23.291</v>
      </c>
      <c r="G38" t="n">
        <v>27.426</v>
      </c>
      <c r="H38" t="n">
        <v>29.465</v>
      </c>
      <c r="I38" t="n">
        <v>30.144</v>
      </c>
      <c r="J38" t="n">
        <v>37.256</v>
      </c>
      <c r="K38" t="n">
        <v>42.653</v>
      </c>
      <c r="L38" t="n">
        <v>46.783</v>
      </c>
      <c r="M38" t="n">
        <v>51.707</v>
      </c>
      <c r="N38" t="n">
        <v>58.539</v>
      </c>
      <c r="O38" t="n">
        <v>63.019</v>
      </c>
      <c r="P38" t="n">
        <v>74.84</v>
      </c>
      <c r="Q38" t="n">
        <v>81.929</v>
      </c>
      <c r="R38" t="n">
        <v>88.059</v>
      </c>
      <c r="S38" t="n">
        <v>98.583</v>
      </c>
      <c r="T38" t="n">
        <v>108.14</v>
      </c>
      <c r="U38" t="n">
        <v>120.281</v>
      </c>
      <c r="V38" t="n">
        <v>132.577</v>
      </c>
      <c r="W38" t="n">
        <v>151.722</v>
      </c>
      <c r="X38" t="n">
        <v>173.964</v>
      </c>
      <c r="Y38" t="n">
        <v>182.709</v>
      </c>
      <c r="Z38" t="n">
        <v>201.613</v>
      </c>
      <c r="AA38" t="n">
        <v>203.507</v>
      </c>
      <c r="AB38" t="n">
        <v>214.09</v>
      </c>
      <c r="AC38" t="n">
        <v>220.212</v>
      </c>
      <c r="AD38" t="n">
        <v>265.445</v>
      </c>
      <c r="AE38" t="n">
        <v>493.33</v>
      </c>
      <c r="AF38" t="n">
        <v>361.667</v>
      </c>
      <c r="AG38" t="n">
        <v>367.694</v>
      </c>
      <c r="AH38" t="n">
        <v>400.326</v>
      </c>
      <c r="AI38" t="n">
        <v>1053.002</v>
      </c>
      <c r="AJ38" t="n">
        <v>352.325</v>
      </c>
      <c r="AK38" t="n">
        <v>1528.834</v>
      </c>
      <c r="AL38" t="n">
        <v>4812.773</v>
      </c>
      <c r="AM38" t="n">
        <v>6244.818</v>
      </c>
      <c r="AN38" t="n">
        <v>6453.311</v>
      </c>
      <c r="AO38" t="n">
        <v>7824.495</v>
      </c>
      <c r="AP38" t="n">
        <v>9516.181</v>
      </c>
      <c r="AQ38" t="n">
        <v>12022.692</v>
      </c>
      <c r="AR38" t="n">
        <v>11145.456</v>
      </c>
      <c r="AS38" t="n">
        <v>10186.6</v>
      </c>
      <c r="AT38" t="n">
        <v>7777.34</v>
      </c>
      <c r="AU38" t="n">
        <v>4759.734</v>
      </c>
      <c r="AV38" t="n">
        <v>686.8150000000001</v>
      </c>
      <c r="AW38" t="n">
        <v>2176.565</v>
      </c>
      <c r="AX38" t="n">
        <v>2579.585</v>
      </c>
      <c r="AY38" t="n">
        <v>993.8440000000001</v>
      </c>
      <c r="AZ38" t="n">
        <v>901.598</v>
      </c>
      <c r="BA38" t="n">
        <v>37756.716</v>
      </c>
      <c r="BB38" t="n">
        <v>37049.706</v>
      </c>
      <c r="BC38" t="n">
        <v>32941.385</v>
      </c>
      <c r="BD38" t="n">
        <v>24848.081</v>
      </c>
      <c r="BE38" t="n">
        <v>26668.19</v>
      </c>
      <c r="BF38" t="n">
        <v>123189.172</v>
      </c>
      <c r="BG38" t="n">
        <v>152292.72</v>
      </c>
      <c r="BH38" t="n">
        <v>169378.233</v>
      </c>
      <c r="BI38" t="n">
        <v>126684.744</v>
      </c>
      <c r="BJ38" t="n">
        <v>152646.975</v>
      </c>
      <c r="BK38" t="n">
        <v>148632.583</v>
      </c>
      <c r="BL38" t="n">
        <v>129353.184</v>
      </c>
      <c r="BM38" t="n">
        <v>141144.145</v>
      </c>
      <c r="BN38" t="n">
        <v>121872.512</v>
      </c>
      <c r="BO38" t="n">
        <v>142028.134</v>
      </c>
      <c r="BP38" t="n">
        <v>140036.419</v>
      </c>
      <c r="BQ38" t="n">
        <v>132798.783</v>
      </c>
      <c r="BR38" t="n">
        <v>138691.544</v>
      </c>
      <c r="BS38" t="n">
        <v>116996.468</v>
      </c>
      <c r="BT38" t="n">
        <v>127835.335</v>
      </c>
      <c r="BU38" t="n">
        <v>105336.797</v>
      </c>
      <c r="BV38" t="n">
        <v>97120.802</v>
      </c>
    </row>
    <row r="39">
      <c r="A39" t="inlineStr">
        <is>
          <t>Saurida tumbil</t>
        </is>
      </c>
      <c r="B39" t="inlineStr">
        <is>
          <t>Greater lizardfish</t>
        </is>
      </c>
      <c r="C39" t="inlineStr">
        <is>
          <t>Medium demersals (30 - 89 cm)</t>
        </is>
      </c>
      <c r="D39" t="inlineStr">
        <is>
          <t>Other fishes &amp; inverts</t>
        </is>
      </c>
      <c r="E39" t="n">
        <v>6440.36</v>
      </c>
      <c r="F39" t="n">
        <v>8560.316999999999</v>
      </c>
      <c r="G39" t="n">
        <v>14202.31</v>
      </c>
      <c r="H39" t="n">
        <v>13218.207</v>
      </c>
      <c r="I39" t="n">
        <v>15988.598</v>
      </c>
      <c r="J39" t="n">
        <v>50310.477</v>
      </c>
      <c r="K39" t="n">
        <v>55673.146</v>
      </c>
      <c r="L39" t="n">
        <v>53581.347</v>
      </c>
      <c r="M39" t="n">
        <v>36208.203</v>
      </c>
      <c r="N39" t="n">
        <v>49645.973</v>
      </c>
      <c r="O39" t="n">
        <v>65811.758</v>
      </c>
      <c r="P39" t="n">
        <v>47989.382</v>
      </c>
      <c r="Q39" t="n">
        <v>53210.276</v>
      </c>
      <c r="R39" t="n">
        <v>65491.985</v>
      </c>
      <c r="S39" t="n">
        <v>47481.096</v>
      </c>
      <c r="T39" t="n">
        <v>71443.173</v>
      </c>
      <c r="U39" t="n">
        <v>73971.133</v>
      </c>
      <c r="V39" t="n">
        <v>63551.664</v>
      </c>
      <c r="W39" t="n">
        <v>66457.806</v>
      </c>
      <c r="X39" t="n">
        <v>61681.201</v>
      </c>
      <c r="Y39" t="n">
        <v>48260.267</v>
      </c>
      <c r="Z39" t="n">
        <v>63302.149</v>
      </c>
      <c r="AA39" t="n">
        <v>57295.925</v>
      </c>
      <c r="AB39" t="n">
        <v>51352.593</v>
      </c>
      <c r="AC39" t="n">
        <v>53663.143</v>
      </c>
      <c r="AD39" t="n">
        <v>65586.202</v>
      </c>
      <c r="AE39" t="n">
        <v>71236.792</v>
      </c>
      <c r="AF39" t="n">
        <v>64534.974</v>
      </c>
      <c r="AG39" t="n">
        <v>47351.694</v>
      </c>
      <c r="AH39" t="n">
        <v>56350.364</v>
      </c>
      <c r="AI39" t="n">
        <v>45031.65</v>
      </c>
      <c r="AJ39" t="n">
        <v>34231.202</v>
      </c>
      <c r="AK39" t="n">
        <v>41859.17</v>
      </c>
      <c r="AL39" t="n">
        <v>38835.595</v>
      </c>
      <c r="AM39" t="n">
        <v>30158.311</v>
      </c>
      <c r="AN39" t="n">
        <v>28416.529</v>
      </c>
      <c r="AO39" t="n">
        <v>34725.531</v>
      </c>
      <c r="AP39" t="n">
        <v>31500.343</v>
      </c>
      <c r="AQ39" t="n">
        <v>42135.534</v>
      </c>
      <c r="AR39" t="n">
        <v>26993.549</v>
      </c>
      <c r="AS39" t="n">
        <v>25447.751</v>
      </c>
      <c r="AT39" t="n">
        <v>22127.362</v>
      </c>
      <c r="AU39" t="n">
        <v>32884.629</v>
      </c>
      <c r="AV39" t="n">
        <v>32222.36</v>
      </c>
      <c r="AW39" t="n">
        <v>30509.966</v>
      </c>
      <c r="AX39" t="n">
        <v>41339.481</v>
      </c>
      <c r="AY39" t="n">
        <v>50997.745</v>
      </c>
      <c r="AZ39" t="n">
        <v>23999.178</v>
      </c>
      <c r="BA39" t="n">
        <v>20966.657</v>
      </c>
      <c r="BB39" t="n">
        <v>23911.705</v>
      </c>
      <c r="BC39" t="n">
        <v>23011.724</v>
      </c>
      <c r="BD39" t="n">
        <v>18518.657</v>
      </c>
      <c r="BE39" t="n">
        <v>14293.002</v>
      </c>
      <c r="BF39" t="n">
        <v>12146.42</v>
      </c>
      <c r="BG39" t="n">
        <v>13248.155</v>
      </c>
      <c r="BH39" t="n">
        <v>14039.399</v>
      </c>
      <c r="BI39" t="n">
        <v>11494.824</v>
      </c>
      <c r="BJ39" t="n">
        <v>10166.604</v>
      </c>
      <c r="BK39" t="n">
        <v>9124.733</v>
      </c>
      <c r="BL39" t="n">
        <v>11959.179</v>
      </c>
      <c r="BM39" t="n">
        <v>7968.29</v>
      </c>
      <c r="BN39" t="n">
        <v>7799.231</v>
      </c>
      <c r="BO39" t="n">
        <v>8494.331</v>
      </c>
      <c r="BP39" t="n">
        <v>9063.996999999999</v>
      </c>
      <c r="BQ39" t="n">
        <v>8795.049000000001</v>
      </c>
      <c r="BR39" t="n">
        <v>7820.261</v>
      </c>
      <c r="BS39" t="n">
        <v>8302.088</v>
      </c>
      <c r="BT39" t="n">
        <v>7628.107</v>
      </c>
      <c r="BU39" t="n">
        <v>7367.519</v>
      </c>
      <c r="BV39" t="n">
        <v>7078.974</v>
      </c>
    </row>
    <row r="40">
      <c r="A40" t="inlineStr">
        <is>
          <t>Scombroidei</t>
        </is>
      </c>
      <c r="B40" t="inlineStr">
        <is>
          <t>Tunas, bonitos, billfishes</t>
        </is>
      </c>
      <c r="C40" t="inlineStr">
        <is>
          <t>Large pelagics (&gt;=90 cm)</t>
        </is>
      </c>
      <c r="D40" t="inlineStr">
        <is>
          <t>Tuna &amp; billfishes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0.203</v>
      </c>
      <c r="AM40" t="n">
        <v>0.074</v>
      </c>
      <c r="AN40" t="n">
        <v>1.192</v>
      </c>
      <c r="AO40" t="n">
        <v>0.298</v>
      </c>
      <c r="AP40" t="n">
        <v>0.298</v>
      </c>
      <c r="AQ40" t="n">
        <v>3</v>
      </c>
      <c r="AR40" t="n">
        <v>0.25</v>
      </c>
      <c r="AS40" t="n">
        <v>0.25</v>
      </c>
      <c r="AT40" t="n">
        <v>0.25</v>
      </c>
      <c r="AU40" t="n">
        <v>0.25</v>
      </c>
      <c r="AV40" t="n">
        <v>0.25</v>
      </c>
      <c r="AW40" t="n">
        <v>1</v>
      </c>
      <c r="AX40" t="n">
        <v>1</v>
      </c>
      <c r="AY40" t="n">
        <v>1</v>
      </c>
      <c r="AZ40" t="n">
        <v>7555.919</v>
      </c>
      <c r="BA40" t="n">
        <v>22841.376</v>
      </c>
      <c r="BB40" t="n">
        <v>38266.826</v>
      </c>
      <c r="BC40" t="n">
        <v>0.241</v>
      </c>
      <c r="BD40" t="n">
        <v>1.925</v>
      </c>
      <c r="BE40" t="n">
        <v>1.925</v>
      </c>
      <c r="BF40" t="n">
        <v>0.962</v>
      </c>
      <c r="BG40" t="n">
        <v>1.925</v>
      </c>
      <c r="BH40" t="n">
        <v>0.962</v>
      </c>
      <c r="BI40" t="n">
        <v>7.179</v>
      </c>
      <c r="BJ40" t="n">
        <v>0.241</v>
      </c>
      <c r="BK40" t="n">
        <v>0</v>
      </c>
      <c r="BL40" t="n">
        <v>0</v>
      </c>
      <c r="BM40" t="n">
        <v>0</v>
      </c>
      <c r="BN40" t="n">
        <v>210469.061</v>
      </c>
      <c r="BO40" t="n">
        <v>217720.576</v>
      </c>
      <c r="BP40" t="n">
        <v>246621.751</v>
      </c>
      <c r="BQ40" t="n">
        <v>265104.282</v>
      </c>
      <c r="BR40" t="n">
        <v>272039.79</v>
      </c>
      <c r="BS40" t="n">
        <v>288134.481</v>
      </c>
      <c r="BT40" t="n">
        <v>298283.897</v>
      </c>
      <c r="BU40" t="n">
        <v>204676.457</v>
      </c>
      <c r="BV40" t="n">
        <v>296059.247</v>
      </c>
    </row>
    <row r="41">
      <c r="A41" t="inlineStr">
        <is>
          <t>Decapoda</t>
        </is>
      </c>
      <c r="B41" t="inlineStr">
        <is>
          <t>Crabs, lobsters, shrimps</t>
        </is>
      </c>
      <c r="C41" t="inlineStr">
        <is>
          <t>Lobsters, crabs</t>
        </is>
      </c>
      <c r="D41" t="inlineStr">
        <is>
          <t>Crustaceans</t>
        </is>
      </c>
      <c r="E41" t="n">
        <v>1126.232</v>
      </c>
      <c r="F41" t="n">
        <v>1333.611</v>
      </c>
      <c r="G41" t="n">
        <v>1540.386</v>
      </c>
      <c r="H41" t="n">
        <v>1577.858</v>
      </c>
      <c r="I41" t="n">
        <v>1681.555</v>
      </c>
      <c r="J41" t="n">
        <v>1725.732</v>
      </c>
      <c r="K41" t="n">
        <v>1737.735</v>
      </c>
      <c r="L41" t="n">
        <v>1711.868</v>
      </c>
      <c r="M41" t="n">
        <v>1788.04</v>
      </c>
      <c r="N41" t="n">
        <v>1701.022</v>
      </c>
      <c r="O41" t="n">
        <v>1774.905</v>
      </c>
      <c r="P41" t="n">
        <v>2220.455</v>
      </c>
      <c r="Q41" t="n">
        <v>2297.662</v>
      </c>
      <c r="R41" t="n">
        <v>2381.301</v>
      </c>
      <c r="S41" t="n">
        <v>2512.529</v>
      </c>
      <c r="T41" t="n">
        <v>2853.28</v>
      </c>
      <c r="U41" t="n">
        <v>3115.763</v>
      </c>
      <c r="V41" t="n">
        <v>3029.166</v>
      </c>
      <c r="W41" t="n">
        <v>3224.661</v>
      </c>
      <c r="X41" t="n">
        <v>3559.451</v>
      </c>
      <c r="Y41" t="n">
        <v>3730.798</v>
      </c>
      <c r="Z41" t="n">
        <v>3823.918</v>
      </c>
      <c r="AA41" t="n">
        <v>4771.366</v>
      </c>
      <c r="AB41" t="n">
        <v>4852.282</v>
      </c>
      <c r="AC41" t="n">
        <v>2645.918</v>
      </c>
      <c r="AD41" t="n">
        <v>3738.936</v>
      </c>
      <c r="AE41" t="n">
        <v>18249.202</v>
      </c>
      <c r="AF41" t="n">
        <v>22790.531</v>
      </c>
      <c r="AG41" t="n">
        <v>21916.192</v>
      </c>
      <c r="AH41" t="n">
        <v>21904.106</v>
      </c>
      <c r="AI41" t="n">
        <v>12865.053</v>
      </c>
      <c r="AJ41" t="n">
        <v>11396.013</v>
      </c>
      <c r="AK41" t="n">
        <v>9925.151</v>
      </c>
      <c r="AL41" t="n">
        <v>10513.231</v>
      </c>
      <c r="AM41" t="n">
        <v>11271.18</v>
      </c>
      <c r="AN41" t="n">
        <v>13368.527</v>
      </c>
      <c r="AO41" t="n">
        <v>13621.431</v>
      </c>
      <c r="AP41" t="n">
        <v>17091.458</v>
      </c>
      <c r="AQ41" t="n">
        <v>21263.463</v>
      </c>
      <c r="AR41" t="n">
        <v>18378.061</v>
      </c>
      <c r="AS41" t="n">
        <v>39523.567</v>
      </c>
      <c r="AT41" t="n">
        <v>21150.284</v>
      </c>
      <c r="AU41" t="n">
        <v>22825.977</v>
      </c>
      <c r="AV41" t="n">
        <v>21922.471</v>
      </c>
      <c r="AW41" t="n">
        <v>25011.621</v>
      </c>
      <c r="AX41" t="n">
        <v>20673.416</v>
      </c>
      <c r="AY41" t="n">
        <v>24272.325</v>
      </c>
      <c r="AZ41" t="n">
        <v>24493.1</v>
      </c>
      <c r="BA41" t="n">
        <v>20479.135</v>
      </c>
      <c r="BB41" t="n">
        <v>23687.283</v>
      </c>
      <c r="BC41" t="n">
        <v>23705.837</v>
      </c>
      <c r="BD41" t="n">
        <v>28819.866</v>
      </c>
      <c r="BE41" t="n">
        <v>22870.387</v>
      </c>
      <c r="BF41" t="n">
        <v>115674.353</v>
      </c>
      <c r="BG41" t="n">
        <v>148514.473</v>
      </c>
      <c r="BH41" t="n">
        <v>103885.37</v>
      </c>
      <c r="BI41" t="n">
        <v>96931.005</v>
      </c>
      <c r="BJ41" t="n">
        <v>73070.094</v>
      </c>
      <c r="BK41" t="n">
        <v>80783.49400000001</v>
      </c>
      <c r="BL41" t="n">
        <v>90921.496</v>
      </c>
      <c r="BM41" t="n">
        <v>84165.98299999999</v>
      </c>
      <c r="BN41" t="n">
        <v>97293.974</v>
      </c>
      <c r="BO41" t="n">
        <v>112290.495</v>
      </c>
      <c r="BP41" t="n">
        <v>107523.275</v>
      </c>
      <c r="BQ41" t="n">
        <v>106635.552</v>
      </c>
      <c r="BR41" t="n">
        <v>110600.128</v>
      </c>
      <c r="BS41" t="n">
        <v>116905.901</v>
      </c>
      <c r="BT41" t="n">
        <v>105433.161</v>
      </c>
      <c r="BU41" t="n">
        <v>99968.905</v>
      </c>
      <c r="BV41" t="n">
        <v>101871.462</v>
      </c>
    </row>
    <row r="42">
      <c r="A42" t="inlineStr">
        <is>
          <t>Auxis thazard</t>
        </is>
      </c>
      <c r="B42" t="inlineStr">
        <is>
          <t>Frigate tuna</t>
        </is>
      </c>
      <c r="C42" t="inlineStr">
        <is>
          <t>Medium pelagics (30 - 89 cm)</t>
        </is>
      </c>
      <c r="D42" t="inlineStr">
        <is>
          <t>Tuna &amp; billfishes</t>
        </is>
      </c>
      <c r="E42" t="n">
        <v>2184.76</v>
      </c>
      <c r="F42" t="n">
        <v>2696.304</v>
      </c>
      <c r="G42" t="n">
        <v>2764.514</v>
      </c>
      <c r="H42" t="n">
        <v>2718.128</v>
      </c>
      <c r="I42" t="n">
        <v>3354.88</v>
      </c>
      <c r="J42" t="n">
        <v>3575.894</v>
      </c>
      <c r="K42" t="n">
        <v>3934.875</v>
      </c>
      <c r="L42" t="n">
        <v>3853.044</v>
      </c>
      <c r="M42" t="n">
        <v>4059.186</v>
      </c>
      <c r="N42" t="n">
        <v>4225.157</v>
      </c>
      <c r="O42" t="n">
        <v>4645.79</v>
      </c>
      <c r="P42" t="n">
        <v>4442.889</v>
      </c>
      <c r="Q42" t="n">
        <v>4933.956</v>
      </c>
      <c r="R42" t="n">
        <v>5938.536</v>
      </c>
      <c r="S42" t="n">
        <v>6628.996</v>
      </c>
      <c r="T42" t="n">
        <v>7464.518</v>
      </c>
      <c r="U42" t="n">
        <v>7959.077</v>
      </c>
      <c r="V42" t="n">
        <v>8433.545</v>
      </c>
      <c r="W42" t="n">
        <v>9631.306</v>
      </c>
      <c r="X42" t="n">
        <v>9361.102999999999</v>
      </c>
      <c r="Y42" t="n">
        <v>10781.249</v>
      </c>
      <c r="Z42" t="n">
        <v>10936.587</v>
      </c>
      <c r="AA42" t="n">
        <v>12167.959</v>
      </c>
      <c r="AB42" t="n">
        <v>13096.381</v>
      </c>
      <c r="AC42" t="n">
        <v>13520.754</v>
      </c>
      <c r="AD42" t="n">
        <v>14986.301</v>
      </c>
      <c r="AE42" t="n">
        <v>15007.814</v>
      </c>
      <c r="AF42" t="n">
        <v>17280.605</v>
      </c>
      <c r="AG42" t="n">
        <v>21598.274</v>
      </c>
      <c r="AH42" t="n">
        <v>23698.452</v>
      </c>
      <c r="AI42" t="n">
        <v>27094.268</v>
      </c>
      <c r="AJ42" t="n">
        <v>32260.85</v>
      </c>
      <c r="AK42" t="n">
        <v>25854.374</v>
      </c>
      <c r="AL42" t="n">
        <v>29497.051</v>
      </c>
      <c r="AM42" t="n">
        <v>32703.382</v>
      </c>
      <c r="AN42" t="n">
        <v>30861.243</v>
      </c>
      <c r="AO42" t="n">
        <v>30310.772</v>
      </c>
      <c r="AP42" t="n">
        <v>30176.239</v>
      </c>
      <c r="AQ42" t="n">
        <v>28241.345</v>
      </c>
      <c r="AR42" t="n">
        <v>43362.344</v>
      </c>
      <c r="AS42" t="n">
        <v>33439.809</v>
      </c>
      <c r="AT42" t="n">
        <v>37575.646</v>
      </c>
      <c r="AU42" t="n">
        <v>54611.377</v>
      </c>
      <c r="AV42" t="n">
        <v>50775.634</v>
      </c>
      <c r="AW42" t="n">
        <v>42097.831</v>
      </c>
      <c r="AX42" t="n">
        <v>40526.1</v>
      </c>
      <c r="AY42" t="n">
        <v>40276.375</v>
      </c>
      <c r="AZ42" t="n">
        <v>55302.111</v>
      </c>
      <c r="BA42" t="n">
        <v>43106.22</v>
      </c>
      <c r="BB42" t="n">
        <v>43089.003</v>
      </c>
      <c r="BC42" t="n">
        <v>44007.839</v>
      </c>
      <c r="BD42" t="n">
        <v>43574.547</v>
      </c>
      <c r="BE42" t="n">
        <v>62930.377</v>
      </c>
      <c r="BF42" t="n">
        <v>72757.62699999999</v>
      </c>
      <c r="BG42" t="n">
        <v>94095.183</v>
      </c>
      <c r="BH42" t="n">
        <v>83641.246</v>
      </c>
      <c r="BI42" t="n">
        <v>91545.65399999999</v>
      </c>
      <c r="BJ42" t="n">
        <v>96002.908</v>
      </c>
      <c r="BK42" t="n">
        <v>82663.21400000001</v>
      </c>
      <c r="BL42" t="n">
        <v>83922.58100000001</v>
      </c>
      <c r="BM42" t="n">
        <v>70384.202</v>
      </c>
      <c r="BN42" t="n">
        <v>53125.438</v>
      </c>
      <c r="BO42" t="n">
        <v>53772.383</v>
      </c>
      <c r="BP42" t="n">
        <v>54663.508</v>
      </c>
      <c r="BQ42" t="n">
        <v>56114.061</v>
      </c>
      <c r="BR42" t="n">
        <v>60018.585</v>
      </c>
      <c r="BS42" t="n">
        <v>57980.42</v>
      </c>
      <c r="BT42" t="n">
        <v>51127.346</v>
      </c>
      <c r="BU42" t="n">
        <v>50303.334</v>
      </c>
      <c r="BV42" t="n">
        <v>51273.472</v>
      </c>
    </row>
    <row r="43">
      <c r="A43" t="inlineStr">
        <is>
          <t>Priacanthidae</t>
        </is>
      </c>
      <c r="B43" t="inlineStr">
        <is>
          <t>Bigeyes, catalufas</t>
        </is>
      </c>
      <c r="C43" t="inlineStr">
        <is>
          <t>Medium reef assoc. fish (30 - 89 cm)</t>
        </is>
      </c>
      <c r="D43" t="inlineStr">
        <is>
          <t>Perch-likes</t>
        </is>
      </c>
      <c r="E43" t="n">
        <v>3.372</v>
      </c>
      <c r="F43" t="n">
        <v>2.951</v>
      </c>
      <c r="G43" t="n">
        <v>4.215</v>
      </c>
      <c r="H43" t="n">
        <v>3.794</v>
      </c>
      <c r="I43" t="n">
        <v>3.372</v>
      </c>
      <c r="J43" t="n">
        <v>4.215</v>
      </c>
      <c r="K43" t="n">
        <v>4.215</v>
      </c>
      <c r="L43" t="n">
        <v>4.215</v>
      </c>
      <c r="M43" t="n">
        <v>4.637</v>
      </c>
      <c r="N43" t="n">
        <v>286.708</v>
      </c>
      <c r="O43" t="n">
        <v>774.357</v>
      </c>
      <c r="P43" t="n">
        <v>1159.28</v>
      </c>
      <c r="Q43" t="n">
        <v>1914.538</v>
      </c>
      <c r="R43" t="n">
        <v>2812.449</v>
      </c>
      <c r="S43" t="n">
        <v>3449.399</v>
      </c>
      <c r="T43" t="n">
        <v>3943.934</v>
      </c>
      <c r="U43" t="n">
        <v>4407.849</v>
      </c>
      <c r="V43" t="n">
        <v>4829.362</v>
      </c>
      <c r="W43" t="n">
        <v>5185.795</v>
      </c>
      <c r="X43" t="n">
        <v>5518.942</v>
      </c>
      <c r="Y43" t="n">
        <v>5515.503</v>
      </c>
      <c r="Z43" t="n">
        <v>5679.442</v>
      </c>
      <c r="AA43" t="n">
        <v>5934.479</v>
      </c>
      <c r="AB43" t="n">
        <v>6014.686</v>
      </c>
      <c r="AC43" t="n">
        <v>6254.765</v>
      </c>
      <c r="AD43" t="n">
        <v>6245.669</v>
      </c>
      <c r="AE43" t="n">
        <v>7602.892</v>
      </c>
      <c r="AF43" t="n">
        <v>7708.937</v>
      </c>
      <c r="AG43" t="n">
        <v>7923.047</v>
      </c>
      <c r="AH43" t="n">
        <v>8565.971</v>
      </c>
      <c r="AI43" t="n">
        <v>8505.458000000001</v>
      </c>
      <c r="AJ43" t="n">
        <v>9370.406999999999</v>
      </c>
      <c r="AK43" t="n">
        <v>11312.466</v>
      </c>
      <c r="AL43" t="n">
        <v>13828.73</v>
      </c>
      <c r="AM43" t="n">
        <v>14241.509</v>
      </c>
      <c r="AN43" t="n">
        <v>15432.371</v>
      </c>
      <c r="AO43" t="n">
        <v>17924.317</v>
      </c>
      <c r="AP43" t="n">
        <v>19487.749</v>
      </c>
      <c r="AQ43" t="n">
        <v>20166.097</v>
      </c>
      <c r="AR43" t="n">
        <v>22338.139</v>
      </c>
      <c r="AS43" t="n">
        <v>22958.897</v>
      </c>
      <c r="AT43" t="n">
        <v>24661.755</v>
      </c>
      <c r="AU43" t="n">
        <v>26840.788</v>
      </c>
      <c r="AV43" t="n">
        <v>30072.314</v>
      </c>
      <c r="AW43" t="n">
        <v>33882.074</v>
      </c>
      <c r="AX43" t="n">
        <v>35405.478</v>
      </c>
      <c r="AY43" t="n">
        <v>40774.911</v>
      </c>
      <c r="AZ43" t="n">
        <v>43360.095</v>
      </c>
      <c r="BA43" t="n">
        <v>45637.595</v>
      </c>
      <c r="BB43" t="n">
        <v>55495.932</v>
      </c>
      <c r="BC43" t="n">
        <v>54952.16</v>
      </c>
      <c r="BD43" t="n">
        <v>56867.58</v>
      </c>
      <c r="BE43" t="n">
        <v>58287.928</v>
      </c>
      <c r="BF43" t="n">
        <v>58880.683</v>
      </c>
      <c r="BG43" t="n">
        <v>61339.609</v>
      </c>
      <c r="BH43" t="n">
        <v>62155.42</v>
      </c>
      <c r="BI43" t="n">
        <v>63569.499</v>
      </c>
      <c r="BJ43" t="n">
        <v>64932.764</v>
      </c>
      <c r="BK43" t="n">
        <v>66024.46000000001</v>
      </c>
      <c r="BL43" t="n">
        <v>67222.929</v>
      </c>
      <c r="BM43" t="n">
        <v>68473.61500000001</v>
      </c>
      <c r="BN43" t="n">
        <v>67778.007</v>
      </c>
      <c r="BO43" t="n">
        <v>70055.007</v>
      </c>
      <c r="BP43" t="n">
        <v>72060.054</v>
      </c>
      <c r="BQ43" t="n">
        <v>74088.629</v>
      </c>
      <c r="BR43" t="n">
        <v>76311.792</v>
      </c>
      <c r="BS43" t="n">
        <v>82991.647</v>
      </c>
      <c r="BT43" t="n">
        <v>89946.86199999999</v>
      </c>
      <c r="BU43" t="n">
        <v>102279.812</v>
      </c>
      <c r="BV43" t="n">
        <v>106106.105</v>
      </c>
    </row>
    <row r="44">
      <c r="A44" t="inlineStr">
        <is>
          <t>Ariidae</t>
        </is>
      </c>
      <c r="B44" t="inlineStr">
        <is>
          <t>Sea catfishes, coblers</t>
        </is>
      </c>
      <c r="C44" t="inlineStr">
        <is>
          <t>Medium demersals (30 - 89 cm)</t>
        </is>
      </c>
      <c r="D44" t="inlineStr">
        <is>
          <t>Other fishes &amp; inverts</t>
        </is>
      </c>
      <c r="E44" t="n">
        <v>3296.544</v>
      </c>
      <c r="F44" t="n">
        <v>4243.661</v>
      </c>
      <c r="G44" t="n">
        <v>4411.614</v>
      </c>
      <c r="H44" t="n">
        <v>4248.995</v>
      </c>
      <c r="I44" t="n">
        <v>3623.673</v>
      </c>
      <c r="J44" t="n">
        <v>3591.983</v>
      </c>
      <c r="K44" t="n">
        <v>5993.303</v>
      </c>
      <c r="L44" t="n">
        <v>6516.151</v>
      </c>
      <c r="M44" t="n">
        <v>4367.264</v>
      </c>
      <c r="N44" t="n">
        <v>5173.238</v>
      </c>
      <c r="O44" t="n">
        <v>6251.873</v>
      </c>
      <c r="P44" t="n">
        <v>6593.395</v>
      </c>
      <c r="Q44" t="n">
        <v>5895.162</v>
      </c>
      <c r="R44" t="n">
        <v>5406.007</v>
      </c>
      <c r="S44" t="n">
        <v>6557.034</v>
      </c>
      <c r="T44" t="n">
        <v>7606.43</v>
      </c>
      <c r="U44" t="n">
        <v>11852.613</v>
      </c>
      <c r="V44" t="n">
        <v>12817.501</v>
      </c>
      <c r="W44" t="n">
        <v>14583.283</v>
      </c>
      <c r="X44" t="n">
        <v>12955.176</v>
      </c>
      <c r="Y44" t="n">
        <v>13521.375</v>
      </c>
      <c r="Z44" t="n">
        <v>17419.773</v>
      </c>
      <c r="AA44" t="n">
        <v>18752.846</v>
      </c>
      <c r="AB44" t="n">
        <v>15299.461</v>
      </c>
      <c r="AC44" t="n">
        <v>18598.127</v>
      </c>
      <c r="AD44" t="n">
        <v>19989.243</v>
      </c>
      <c r="AE44" t="n">
        <v>23866.935</v>
      </c>
      <c r="AF44" t="n">
        <v>20465.02</v>
      </c>
      <c r="AG44" t="n">
        <v>25816.848</v>
      </c>
      <c r="AH44" t="n">
        <v>25825.154</v>
      </c>
      <c r="AI44" t="n">
        <v>23621.688</v>
      </c>
      <c r="AJ44" t="n">
        <v>24865.933</v>
      </c>
      <c r="AK44" t="n">
        <v>24986.097</v>
      </c>
      <c r="AL44" t="n">
        <v>27448.777</v>
      </c>
      <c r="AM44" t="n">
        <v>27894.502</v>
      </c>
      <c r="AN44" t="n">
        <v>28763.655</v>
      </c>
      <c r="AO44" t="n">
        <v>32640.942</v>
      </c>
      <c r="AP44" t="n">
        <v>31690.219</v>
      </c>
      <c r="AQ44" t="n">
        <v>37903.453</v>
      </c>
      <c r="AR44" t="n">
        <v>33683.252</v>
      </c>
      <c r="AS44" t="n">
        <v>27157.863</v>
      </c>
      <c r="AT44" t="n">
        <v>28862.4</v>
      </c>
      <c r="AU44" t="n">
        <v>30791.253</v>
      </c>
      <c r="AV44" t="n">
        <v>33273.047</v>
      </c>
      <c r="AW44" t="n">
        <v>35453.083</v>
      </c>
      <c r="AX44" t="n">
        <v>39855.293</v>
      </c>
      <c r="AY44" t="n">
        <v>42507.418</v>
      </c>
      <c r="AZ44" t="n">
        <v>42066.372</v>
      </c>
      <c r="BA44" t="n">
        <v>41680.881</v>
      </c>
      <c r="BB44" t="n">
        <v>49397.573</v>
      </c>
      <c r="BC44" t="n">
        <v>48145.027</v>
      </c>
      <c r="BD44" t="n">
        <v>47471.408</v>
      </c>
      <c r="BE44" t="n">
        <v>46932.772</v>
      </c>
      <c r="BF44" t="n">
        <v>46217.698</v>
      </c>
      <c r="BG44" t="n">
        <v>48868.005</v>
      </c>
      <c r="BH44" t="n">
        <v>47582.443</v>
      </c>
      <c r="BI44" t="n">
        <v>46256.799</v>
      </c>
      <c r="BJ44" t="n">
        <v>47226.001</v>
      </c>
      <c r="BK44" t="n">
        <v>46061.317</v>
      </c>
      <c r="BL44" t="n">
        <v>46714.557</v>
      </c>
      <c r="BM44" t="n">
        <v>47966.766</v>
      </c>
      <c r="BN44" t="n">
        <v>47150.611</v>
      </c>
      <c r="BO44" t="n">
        <v>50323.981</v>
      </c>
      <c r="BP44" t="n">
        <v>51086.822</v>
      </c>
      <c r="BQ44" t="n">
        <v>50819.423</v>
      </c>
      <c r="BR44" t="n">
        <v>52174.689</v>
      </c>
      <c r="BS44" t="n">
        <v>54825.01</v>
      </c>
      <c r="BT44" t="n">
        <v>58102.059</v>
      </c>
      <c r="BU44" t="n">
        <v>63468.352</v>
      </c>
      <c r="BV44" t="n">
        <v>64076.927</v>
      </c>
    </row>
    <row r="45">
      <c r="A45" t="inlineStr">
        <is>
          <t>Sepiida</t>
        </is>
      </c>
      <c r="B45" t="inlineStr">
        <is>
          <t>Cuttlefishes, bobtail squids</t>
        </is>
      </c>
      <c r="C45" t="inlineStr">
        <is>
          <t>Cephalopods</t>
        </is>
      </c>
      <c r="D45" t="inlineStr">
        <is>
          <t>Other fishes &amp; inverts</t>
        </is>
      </c>
      <c r="E45" t="n">
        <v>5637.703</v>
      </c>
      <c r="F45" t="n">
        <v>8123.196</v>
      </c>
      <c r="G45" t="n">
        <v>10711.92</v>
      </c>
      <c r="H45" t="n">
        <v>10439.46</v>
      </c>
      <c r="I45" t="n">
        <v>12713.885</v>
      </c>
      <c r="J45" t="n">
        <v>13912.126</v>
      </c>
      <c r="K45" t="n">
        <v>16137.907</v>
      </c>
      <c r="L45" t="n">
        <v>15683.402</v>
      </c>
      <c r="M45" t="n">
        <v>15627.182</v>
      </c>
      <c r="N45" t="n">
        <v>17054.691</v>
      </c>
      <c r="O45" t="n">
        <v>16611.692</v>
      </c>
      <c r="P45" t="n">
        <v>16279.275</v>
      </c>
      <c r="Q45" t="n">
        <v>17186.401</v>
      </c>
      <c r="R45" t="n">
        <v>16973.295</v>
      </c>
      <c r="S45" t="n">
        <v>17548.614</v>
      </c>
      <c r="T45" t="n">
        <v>17649.496</v>
      </c>
      <c r="U45" t="n">
        <v>17582.701</v>
      </c>
      <c r="V45" t="n">
        <v>17514.966</v>
      </c>
      <c r="W45" t="n">
        <v>18248.754</v>
      </c>
      <c r="X45" t="n">
        <v>18184.344</v>
      </c>
      <c r="Y45" t="n">
        <v>22298.291</v>
      </c>
      <c r="Z45" t="n">
        <v>28872.361</v>
      </c>
      <c r="AA45" t="n">
        <v>18858.36</v>
      </c>
      <c r="AB45" t="n">
        <v>2.557</v>
      </c>
      <c r="AC45" t="n">
        <v>488.252</v>
      </c>
      <c r="AD45" t="n">
        <v>561.395</v>
      </c>
      <c r="AE45" t="n">
        <v>13350.973</v>
      </c>
      <c r="AF45" t="n">
        <v>14184.193</v>
      </c>
      <c r="AG45" t="n">
        <v>21888.906</v>
      </c>
      <c r="AH45" t="n">
        <v>33485.136</v>
      </c>
      <c r="AI45" t="n">
        <v>28260.35</v>
      </c>
      <c r="AJ45" t="n">
        <v>10278.476</v>
      </c>
      <c r="AK45" t="n">
        <v>19689.196</v>
      </c>
      <c r="AL45" t="n">
        <v>20288.516</v>
      </c>
      <c r="AM45" t="n">
        <v>20509.206</v>
      </c>
      <c r="AN45" t="n">
        <v>20746.328</v>
      </c>
      <c r="AO45" t="n">
        <v>17880.463</v>
      </c>
      <c r="AP45" t="n">
        <v>20622.224</v>
      </c>
      <c r="AQ45" t="n">
        <v>25571.807</v>
      </c>
      <c r="AR45" t="n">
        <v>17360.903</v>
      </c>
      <c r="AS45" t="n">
        <v>21503.062</v>
      </c>
      <c r="AT45" t="n">
        <v>21884.613</v>
      </c>
      <c r="AU45" t="n">
        <v>22010.389</v>
      </c>
      <c r="AV45" t="n">
        <v>34834.251</v>
      </c>
      <c r="AW45" t="n">
        <v>59095.926</v>
      </c>
      <c r="AX45" t="n">
        <v>61895.253</v>
      </c>
      <c r="AY45" t="n">
        <v>48844.56</v>
      </c>
      <c r="AZ45" t="n">
        <v>65136.4</v>
      </c>
      <c r="BA45" t="n">
        <v>55803.762</v>
      </c>
      <c r="BB45" t="n">
        <v>44616.784</v>
      </c>
      <c r="BC45" t="n">
        <v>52750.703</v>
      </c>
      <c r="BD45" t="n">
        <v>71015.755</v>
      </c>
      <c r="BE45" t="n">
        <v>66669.52499999999</v>
      </c>
      <c r="BF45" t="n">
        <v>42714.056</v>
      </c>
      <c r="BG45" t="n">
        <v>39055.665</v>
      </c>
      <c r="BH45" t="n">
        <v>36414.822</v>
      </c>
      <c r="BI45" t="n">
        <v>42253.794</v>
      </c>
      <c r="BJ45" t="n">
        <v>39450.094</v>
      </c>
      <c r="BK45" t="n">
        <v>29573.91</v>
      </c>
      <c r="BL45" t="n">
        <v>36282.8</v>
      </c>
      <c r="BM45" t="n">
        <v>35290.107</v>
      </c>
      <c r="BN45" t="n">
        <v>31633.316</v>
      </c>
      <c r="BO45" t="n">
        <v>34117.74</v>
      </c>
      <c r="BP45" t="n">
        <v>39633.858</v>
      </c>
      <c r="BQ45" t="n">
        <v>36573.328</v>
      </c>
      <c r="BR45" t="n">
        <v>45759.781</v>
      </c>
      <c r="BS45" t="n">
        <v>41544.21</v>
      </c>
      <c r="BT45" t="n">
        <v>42404.372</v>
      </c>
      <c r="BU45" t="n">
        <v>39474.262</v>
      </c>
      <c r="BV45" t="n">
        <v>40621.397</v>
      </c>
    </row>
    <row r="46">
      <c r="A46" t="inlineStr">
        <is>
          <t>Harpadon nehereus</t>
        </is>
      </c>
      <c r="B46" t="inlineStr">
        <is>
          <t>Bombay-duck</t>
        </is>
      </c>
      <c r="C46" t="inlineStr">
        <is>
          <t>Medium benthopelagics (30 - 89 cm)</t>
        </is>
      </c>
      <c r="D46" t="inlineStr">
        <is>
          <t>Other fishes &amp; inverts</t>
        </is>
      </c>
      <c r="E46" t="n">
        <v>4099.283</v>
      </c>
      <c r="F46" t="n">
        <v>4624.54</v>
      </c>
      <c r="G46" t="n">
        <v>5058.931</v>
      </c>
      <c r="H46" t="n">
        <v>5084.95</v>
      </c>
      <c r="I46" t="n">
        <v>6196.397</v>
      </c>
      <c r="J46" t="n">
        <v>6563.691</v>
      </c>
      <c r="K46" t="n">
        <v>6767.03</v>
      </c>
      <c r="L46" t="n">
        <v>6568.492</v>
      </c>
      <c r="M46" t="n">
        <v>6781.14</v>
      </c>
      <c r="N46" t="n">
        <v>7958.669</v>
      </c>
      <c r="O46" t="n">
        <v>8552.517</v>
      </c>
      <c r="P46" t="n">
        <v>7844.795</v>
      </c>
      <c r="Q46" t="n">
        <v>9186.718000000001</v>
      </c>
      <c r="R46" t="n">
        <v>9032.361000000001</v>
      </c>
      <c r="S46" t="n">
        <v>7822.467</v>
      </c>
      <c r="T46" t="n">
        <v>7617.93</v>
      </c>
      <c r="U46" t="n">
        <v>7641.253</v>
      </c>
      <c r="V46" t="n">
        <v>6828.196</v>
      </c>
      <c r="W46" t="n">
        <v>9102.168</v>
      </c>
      <c r="X46" t="n">
        <v>9250.101000000001</v>
      </c>
      <c r="Y46" t="n">
        <v>7762.179</v>
      </c>
      <c r="Z46" t="n">
        <v>8119.394</v>
      </c>
      <c r="AA46" t="n">
        <v>8900.558000000001</v>
      </c>
      <c r="AB46" t="n">
        <v>9102.118</v>
      </c>
      <c r="AC46" t="n">
        <v>9363.654</v>
      </c>
      <c r="AD46" t="n">
        <v>11237.168</v>
      </c>
      <c r="AE46" t="n">
        <v>13325.24</v>
      </c>
      <c r="AF46" t="n">
        <v>15829.016</v>
      </c>
      <c r="AG46" t="n">
        <v>14419.853</v>
      </c>
      <c r="AH46" t="n">
        <v>16493.331</v>
      </c>
      <c r="AI46" t="n">
        <v>15228.009</v>
      </c>
      <c r="AJ46" t="n">
        <v>16004.681</v>
      </c>
      <c r="AK46" t="n">
        <v>16027.837</v>
      </c>
      <c r="AL46" t="n">
        <v>16014.412</v>
      </c>
      <c r="AM46" t="n">
        <v>20742.691</v>
      </c>
      <c r="AN46" t="n">
        <v>21533.177</v>
      </c>
      <c r="AO46" t="n">
        <v>23365.812</v>
      </c>
      <c r="AP46" t="n">
        <v>25811.955</v>
      </c>
      <c r="AQ46" t="n">
        <v>28285.013</v>
      </c>
      <c r="AR46" t="n">
        <v>28942.695</v>
      </c>
      <c r="AS46" t="n">
        <v>30687.857</v>
      </c>
      <c r="AT46" t="n">
        <v>42358.746</v>
      </c>
      <c r="AU46" t="n">
        <v>47647.556</v>
      </c>
      <c r="AV46" t="n">
        <v>32261.47</v>
      </c>
      <c r="AW46" t="n">
        <v>35607.059</v>
      </c>
      <c r="AX46" t="n">
        <v>36621.931</v>
      </c>
      <c r="AY46" t="n">
        <v>35514.5</v>
      </c>
      <c r="AZ46" t="n">
        <v>34930.925</v>
      </c>
      <c r="BA46" t="n">
        <v>31851.79</v>
      </c>
      <c r="BB46" t="n">
        <v>25305.98</v>
      </c>
      <c r="BC46" t="n">
        <v>30457.571</v>
      </c>
      <c r="BD46" t="n">
        <v>36544.089</v>
      </c>
      <c r="BE46" t="n">
        <v>38696.138</v>
      </c>
      <c r="BF46" t="n">
        <v>40166.006</v>
      </c>
      <c r="BG46" t="n">
        <v>32621.234</v>
      </c>
      <c r="BH46" t="n">
        <v>46620.026</v>
      </c>
      <c r="BI46" t="n">
        <v>49087.544</v>
      </c>
      <c r="BJ46" t="n">
        <v>51344.046</v>
      </c>
      <c r="BK46" t="n">
        <v>55198.089</v>
      </c>
      <c r="BL46" t="n">
        <v>56083.823</v>
      </c>
      <c r="BM46" t="n">
        <v>60408.326</v>
      </c>
      <c r="BN46" t="n">
        <v>62011.122</v>
      </c>
      <c r="BO46" t="n">
        <v>64899.162</v>
      </c>
      <c r="BP46" t="n">
        <v>66719.489</v>
      </c>
      <c r="BQ46" t="n">
        <v>68825.656</v>
      </c>
      <c r="BR46" t="n">
        <v>67615.848</v>
      </c>
      <c r="BS46" t="n">
        <v>67427.997</v>
      </c>
      <c r="BT46" t="n">
        <v>66245.611</v>
      </c>
      <c r="BU46" t="n">
        <v>65992.746</v>
      </c>
      <c r="BV46" t="n">
        <v>65885.162</v>
      </c>
    </row>
    <row r="47">
      <c r="A47" t="inlineStr">
        <is>
          <t>Squillidae</t>
        </is>
      </c>
      <c r="B47" t="inlineStr">
        <is>
          <t>Squilla mantis shrimps</t>
        </is>
      </c>
      <c r="C47" t="inlineStr">
        <is>
          <t>Shrimps</t>
        </is>
      </c>
      <c r="D47" t="inlineStr">
        <is>
          <t>Crustaceans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3.326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3.096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2.653</v>
      </c>
      <c r="AI47" t="n">
        <v>0</v>
      </c>
      <c r="AJ47" t="n">
        <v>2.436</v>
      </c>
      <c r="AK47" t="n">
        <v>0</v>
      </c>
      <c r="AL47" t="n">
        <v>0</v>
      </c>
      <c r="AM47" t="n">
        <v>0</v>
      </c>
      <c r="AN47" t="n">
        <v>0</v>
      </c>
      <c r="AO47" t="n">
        <v>1.844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2.494</v>
      </c>
      <c r="AW47" t="n">
        <v>0</v>
      </c>
      <c r="AX47" t="n">
        <v>0</v>
      </c>
      <c r="AY47" t="n">
        <v>0</v>
      </c>
      <c r="AZ47" t="n">
        <v>0</v>
      </c>
      <c r="BA47" t="n">
        <v>1.318</v>
      </c>
      <c r="BB47" t="n">
        <v>0</v>
      </c>
      <c r="BC47" t="n">
        <v>0</v>
      </c>
      <c r="BD47" t="n">
        <v>0</v>
      </c>
      <c r="BE47" t="n">
        <v>0</v>
      </c>
      <c r="BF47" t="n">
        <v>111149.034</v>
      </c>
      <c r="BG47" t="n">
        <v>102995.889</v>
      </c>
      <c r="BH47" t="n">
        <v>98872.327</v>
      </c>
      <c r="BI47" t="n">
        <v>105889.513</v>
      </c>
      <c r="BJ47" t="n">
        <v>110348.637</v>
      </c>
      <c r="BK47" t="n">
        <v>99691.405</v>
      </c>
      <c r="BL47" t="n">
        <v>128523.487</v>
      </c>
      <c r="BM47" t="n">
        <v>133161.828</v>
      </c>
      <c r="BN47" t="n">
        <v>102134.822</v>
      </c>
      <c r="BO47" t="n">
        <v>107465.291</v>
      </c>
      <c r="BP47" t="n">
        <v>124241.291</v>
      </c>
      <c r="BQ47" t="n">
        <v>99779.554</v>
      </c>
      <c r="BR47" t="n">
        <v>117441.394</v>
      </c>
      <c r="BS47" t="n">
        <v>94625.319</v>
      </c>
      <c r="BT47" t="n">
        <v>87562.68399999999</v>
      </c>
      <c r="BU47" t="n">
        <v>88106.379</v>
      </c>
      <c r="BV47" t="n">
        <v>88377.59299999999</v>
      </c>
    </row>
    <row r="48">
      <c r="A48" t="inlineStr">
        <is>
          <t>Todarodes pacificus</t>
        </is>
      </c>
      <c r="B48" t="inlineStr">
        <is>
          <t>Japanese flying squid</t>
        </is>
      </c>
      <c r="C48" t="inlineStr">
        <is>
          <t>Cephalopods</t>
        </is>
      </c>
      <c r="D48" t="inlineStr">
        <is>
          <t>Other fishes &amp; inverts</t>
        </is>
      </c>
      <c r="E48" t="n">
        <v>4310.68</v>
      </c>
      <c r="F48" t="n">
        <v>6653.89</v>
      </c>
      <c r="G48" t="n">
        <v>7950.297</v>
      </c>
      <c r="H48" t="n">
        <v>6435.034</v>
      </c>
      <c r="I48" t="n">
        <v>4414.298</v>
      </c>
      <c r="J48" t="n">
        <v>7910.606</v>
      </c>
      <c r="K48" t="n">
        <v>10511.061</v>
      </c>
      <c r="L48" t="n">
        <v>11719.596</v>
      </c>
      <c r="M48" t="n">
        <v>10645.989</v>
      </c>
      <c r="N48" t="n">
        <v>13779.232</v>
      </c>
      <c r="O48" t="n">
        <v>13198.433</v>
      </c>
      <c r="P48" t="n">
        <v>18020.226</v>
      </c>
      <c r="Q48" t="n">
        <v>13879.813</v>
      </c>
      <c r="R48" t="n">
        <v>22817.317</v>
      </c>
      <c r="S48" t="n">
        <v>15461.045</v>
      </c>
      <c r="T48" t="n">
        <v>13644.974</v>
      </c>
      <c r="U48" t="n">
        <v>13688.522</v>
      </c>
      <c r="V48" t="n">
        <v>8162.934</v>
      </c>
      <c r="W48" t="n">
        <v>11886.576</v>
      </c>
      <c r="X48" t="n">
        <v>10087.375</v>
      </c>
      <c r="Y48" t="n">
        <v>7703.999</v>
      </c>
      <c r="Z48" t="n">
        <v>6306.159</v>
      </c>
      <c r="AA48" t="n">
        <v>7957.298</v>
      </c>
      <c r="AB48" t="n">
        <v>7461.148</v>
      </c>
      <c r="AC48" t="n">
        <v>6054.717</v>
      </c>
      <c r="AD48" t="n">
        <v>7558.285</v>
      </c>
      <c r="AE48" t="n">
        <v>7997.391</v>
      </c>
      <c r="AF48" t="n">
        <v>4010.287</v>
      </c>
      <c r="AG48" t="n">
        <v>3519.725</v>
      </c>
      <c r="AH48" t="n">
        <v>5949.254</v>
      </c>
      <c r="AI48" t="n">
        <v>5879.027</v>
      </c>
      <c r="AJ48" t="n">
        <v>7157.141</v>
      </c>
      <c r="AK48" t="n">
        <v>7452.492</v>
      </c>
      <c r="AL48" t="n">
        <v>4249.424</v>
      </c>
      <c r="AM48" t="n">
        <v>17824.371</v>
      </c>
      <c r="AN48" t="n">
        <v>7744.885</v>
      </c>
      <c r="AO48" t="n">
        <v>4736.417</v>
      </c>
      <c r="AP48" t="n">
        <v>6856.447</v>
      </c>
      <c r="AQ48" t="n">
        <v>7033.709</v>
      </c>
      <c r="AR48" t="n">
        <v>11737.6</v>
      </c>
      <c r="AS48" t="n">
        <v>10841.903</v>
      </c>
      <c r="AT48" t="n">
        <v>15526.43</v>
      </c>
      <c r="AU48" t="n">
        <v>10114.478</v>
      </c>
      <c r="AV48" t="n">
        <v>11209.413</v>
      </c>
      <c r="AW48" t="n">
        <v>12786.473</v>
      </c>
      <c r="AX48" t="n">
        <v>17019.414</v>
      </c>
      <c r="AY48" t="n">
        <v>142659.575</v>
      </c>
      <c r="AZ48" t="n">
        <v>105684.917</v>
      </c>
      <c r="BA48" t="n">
        <v>122538.826</v>
      </c>
      <c r="BB48" t="n">
        <v>96366.568</v>
      </c>
      <c r="BC48" t="n">
        <v>74093.602</v>
      </c>
      <c r="BD48" t="n">
        <v>72812.439</v>
      </c>
      <c r="BE48" t="n">
        <v>70198.981</v>
      </c>
      <c r="BF48" t="n">
        <v>40357.053</v>
      </c>
      <c r="BG48" t="n">
        <v>38570.232</v>
      </c>
      <c r="BH48" t="n">
        <v>33839.178</v>
      </c>
      <c r="BI48" t="n">
        <v>32398.76</v>
      </c>
      <c r="BJ48" t="n">
        <v>26398.061</v>
      </c>
      <c r="BK48" t="n">
        <v>28069.685</v>
      </c>
      <c r="BL48" t="n">
        <v>36809.49</v>
      </c>
      <c r="BM48" t="n">
        <v>33755.31</v>
      </c>
      <c r="BN48" t="n">
        <v>38936.357</v>
      </c>
      <c r="BO48" t="n">
        <v>41808.765</v>
      </c>
      <c r="BP48" t="n">
        <v>36905.105</v>
      </c>
      <c r="BQ48" t="n">
        <v>39960.553</v>
      </c>
      <c r="BR48" t="n">
        <v>31806.318</v>
      </c>
      <c r="BS48" t="n">
        <v>42255.229</v>
      </c>
      <c r="BT48" t="n">
        <v>39880.928</v>
      </c>
      <c r="BU48" t="n">
        <v>40508.064</v>
      </c>
      <c r="BV48" t="n">
        <v>37821.477</v>
      </c>
    </row>
    <row r="49">
      <c r="A49" t="inlineStr">
        <is>
          <t>Elasmobranchii</t>
        </is>
      </c>
      <c r="B49" t="inlineStr">
        <is>
          <t>Sharks, rays, skates</t>
        </is>
      </c>
      <c r="C49" t="inlineStr">
        <is>
          <t>Large sharks (&gt;=90 cm)</t>
        </is>
      </c>
      <c r="D49" t="inlineStr">
        <is>
          <t>Sharks &amp; rays</t>
        </is>
      </c>
      <c r="E49" t="n">
        <v>8919.074000000001</v>
      </c>
      <c r="F49" t="n">
        <v>13883.855</v>
      </c>
      <c r="G49" t="n">
        <v>17455.93</v>
      </c>
      <c r="H49" t="n">
        <v>17637.11</v>
      </c>
      <c r="I49" t="n">
        <v>14339.456</v>
      </c>
      <c r="J49" t="n">
        <v>13544.888</v>
      </c>
      <c r="K49" t="n">
        <v>17258.743</v>
      </c>
      <c r="L49" t="n">
        <v>16216.595</v>
      </c>
      <c r="M49" t="n">
        <v>15402.836</v>
      </c>
      <c r="N49" t="n">
        <v>13959.074</v>
      </c>
      <c r="O49" t="n">
        <v>13460.267</v>
      </c>
      <c r="P49" t="n">
        <v>11617.74</v>
      </c>
      <c r="Q49" t="n">
        <v>14212.552</v>
      </c>
      <c r="R49" t="n">
        <v>11300.609</v>
      </c>
      <c r="S49" t="n">
        <v>11349.209</v>
      </c>
      <c r="T49" t="n">
        <v>13786.398</v>
      </c>
      <c r="U49" t="n">
        <v>12946.245</v>
      </c>
      <c r="V49" t="n">
        <v>14475.663</v>
      </c>
      <c r="W49" t="n">
        <v>21861.171</v>
      </c>
      <c r="X49" t="n">
        <v>23511.014</v>
      </c>
      <c r="Y49" t="n">
        <v>17970.03</v>
      </c>
      <c r="Z49" t="n">
        <v>20784.805</v>
      </c>
      <c r="AA49" t="n">
        <v>18989.845</v>
      </c>
      <c r="AB49" t="n">
        <v>17836.757</v>
      </c>
      <c r="AC49" t="n">
        <v>24245.753</v>
      </c>
      <c r="AD49" t="n">
        <v>37808.184</v>
      </c>
      <c r="AE49" t="n">
        <v>38839.819</v>
      </c>
      <c r="AF49" t="n">
        <v>33695.443</v>
      </c>
      <c r="AG49" t="n">
        <v>28337.249</v>
      </c>
      <c r="AH49" t="n">
        <v>23917.265</v>
      </c>
      <c r="AI49" t="n">
        <v>26672.781</v>
      </c>
      <c r="AJ49" t="n">
        <v>24055.268</v>
      </c>
      <c r="AK49" t="n">
        <v>27999.435</v>
      </c>
      <c r="AL49" t="n">
        <v>30504.677</v>
      </c>
      <c r="AM49" t="n">
        <v>26820.815</v>
      </c>
      <c r="AN49" t="n">
        <v>30024.756</v>
      </c>
      <c r="AO49" t="n">
        <v>23945.455</v>
      </c>
      <c r="AP49" t="n">
        <v>23014.408</v>
      </c>
      <c r="AQ49" t="n">
        <v>17929.503</v>
      </c>
      <c r="AR49" t="n">
        <v>16587.904</v>
      </c>
      <c r="AS49" t="n">
        <v>22850.834</v>
      </c>
      <c r="AT49" t="n">
        <v>19366.722</v>
      </c>
      <c r="AU49" t="n">
        <v>23702.788</v>
      </c>
      <c r="AV49" t="n">
        <v>24129.431</v>
      </c>
      <c r="AW49" t="n">
        <v>21543.952</v>
      </c>
      <c r="AX49" t="n">
        <v>16506.366</v>
      </c>
      <c r="AY49" t="n">
        <v>21865.344</v>
      </c>
      <c r="AZ49" t="n">
        <v>19107.832</v>
      </c>
      <c r="BA49" t="n">
        <v>12135.995</v>
      </c>
      <c r="BB49" t="n">
        <v>92369.53999999999</v>
      </c>
      <c r="BC49" t="n">
        <v>68495.402</v>
      </c>
      <c r="BD49" t="n">
        <v>27192.954</v>
      </c>
      <c r="BE49" t="n">
        <v>30037.763</v>
      </c>
      <c r="BF49" t="n">
        <v>23038.015</v>
      </c>
      <c r="BG49" t="n">
        <v>63069.78</v>
      </c>
      <c r="BH49" t="n">
        <v>49862.643</v>
      </c>
      <c r="BI49" t="n">
        <v>50047.567</v>
      </c>
      <c r="BJ49" t="n">
        <v>43534.802</v>
      </c>
      <c r="BK49" t="n">
        <v>35888.796</v>
      </c>
      <c r="BL49" t="n">
        <v>37434.821</v>
      </c>
      <c r="BM49" t="n">
        <v>18872.519</v>
      </c>
      <c r="BN49" t="n">
        <v>40540.306</v>
      </c>
      <c r="BO49" t="n">
        <v>29440.653</v>
      </c>
      <c r="BP49" t="n">
        <v>20704.69</v>
      </c>
      <c r="BQ49" t="n">
        <v>21648.786</v>
      </c>
      <c r="BR49" t="n">
        <v>18570.642</v>
      </c>
      <c r="BS49" t="n">
        <v>23719.523</v>
      </c>
      <c r="BT49" t="n">
        <v>24350.629</v>
      </c>
      <c r="BU49" t="n">
        <v>17494.126</v>
      </c>
      <c r="BV49" t="n">
        <v>27235.916</v>
      </c>
    </row>
    <row r="50">
      <c r="A50" t="inlineStr">
        <is>
          <t>Rastrelliger brachysoma</t>
        </is>
      </c>
      <c r="B50" t="inlineStr">
        <is>
          <t>Short mackerel</t>
        </is>
      </c>
      <c r="C50" t="inlineStr">
        <is>
          <t>Medium pelagics (30 - 89 cm)</t>
        </is>
      </c>
      <c r="D50" t="inlineStr">
        <is>
          <t>Perch-likes</t>
        </is>
      </c>
      <c r="E50" t="n">
        <v>2264.695</v>
      </c>
      <c r="F50" t="n">
        <v>2585.507</v>
      </c>
      <c r="G50" t="n">
        <v>2873.151</v>
      </c>
      <c r="H50" t="n">
        <v>2937.754</v>
      </c>
      <c r="I50" t="n">
        <v>3289.409</v>
      </c>
      <c r="J50" t="n">
        <v>3386.274</v>
      </c>
      <c r="K50" t="n">
        <v>3455.829</v>
      </c>
      <c r="L50" t="n">
        <v>3323.171</v>
      </c>
      <c r="M50" t="n">
        <v>3508.026</v>
      </c>
      <c r="N50" t="n">
        <v>3418.055</v>
      </c>
      <c r="O50" t="n">
        <v>3522.664</v>
      </c>
      <c r="P50" t="n">
        <v>4307.71</v>
      </c>
      <c r="Q50" t="n">
        <v>4659.479</v>
      </c>
      <c r="R50" t="n">
        <v>5215.743</v>
      </c>
      <c r="S50" t="n">
        <v>5836.965</v>
      </c>
      <c r="T50" t="n">
        <v>6776.802</v>
      </c>
      <c r="U50" t="n">
        <v>7482.825</v>
      </c>
      <c r="V50" t="n">
        <v>7337.939</v>
      </c>
      <c r="W50" t="n">
        <v>8179.795</v>
      </c>
      <c r="X50" t="n">
        <v>8541.294</v>
      </c>
      <c r="Y50" t="n">
        <v>9421.797</v>
      </c>
      <c r="Z50" t="n">
        <v>9625.235000000001</v>
      </c>
      <c r="AA50" t="n">
        <v>9713.825000000001</v>
      </c>
      <c r="AB50" t="n">
        <v>9463.879999999999</v>
      </c>
      <c r="AC50" t="n">
        <v>9777.763999999999</v>
      </c>
      <c r="AD50" t="n">
        <v>13316.954</v>
      </c>
      <c r="AE50" t="n">
        <v>13526.061</v>
      </c>
      <c r="AF50" t="n">
        <v>14063.978</v>
      </c>
      <c r="AG50" t="n">
        <v>17357.36</v>
      </c>
      <c r="AH50" t="n">
        <v>18114.029</v>
      </c>
      <c r="AI50" t="n">
        <v>17230.041</v>
      </c>
      <c r="AJ50" t="n">
        <v>18615.804</v>
      </c>
      <c r="AK50" t="n">
        <v>19559.486</v>
      </c>
      <c r="AL50" t="n">
        <v>20484.814</v>
      </c>
      <c r="AM50" t="n">
        <v>27175.02</v>
      </c>
      <c r="AN50" t="n">
        <v>25422.275</v>
      </c>
      <c r="AO50" t="n">
        <v>25258.823</v>
      </c>
      <c r="AP50" t="n">
        <v>24673.13</v>
      </c>
      <c r="AQ50" t="n">
        <v>25923.089</v>
      </c>
      <c r="AR50" t="n">
        <v>27186.48</v>
      </c>
      <c r="AS50" t="n">
        <v>27548.275</v>
      </c>
      <c r="AT50" t="n">
        <v>27547.431</v>
      </c>
      <c r="AU50" t="n">
        <v>33124.985</v>
      </c>
      <c r="AV50" t="n">
        <v>34845.591</v>
      </c>
      <c r="AW50" t="n">
        <v>38948.225</v>
      </c>
      <c r="AX50" t="n">
        <v>39268.778</v>
      </c>
      <c r="AY50" t="n">
        <v>37097.242</v>
      </c>
      <c r="AZ50" t="n">
        <v>37338.529</v>
      </c>
      <c r="BA50" t="n">
        <v>36290.852</v>
      </c>
      <c r="BB50" t="n">
        <v>37359.357</v>
      </c>
      <c r="BC50" t="n">
        <v>38676.379</v>
      </c>
      <c r="BD50" t="n">
        <v>41962.851</v>
      </c>
      <c r="BE50" t="n">
        <v>45007.886</v>
      </c>
      <c r="BF50" t="n">
        <v>31599.258</v>
      </c>
      <c r="BG50" t="n">
        <v>41910.433</v>
      </c>
      <c r="BH50" t="n">
        <v>40639.651</v>
      </c>
      <c r="BI50" t="n">
        <v>39409.386</v>
      </c>
      <c r="BJ50" t="n">
        <v>39560.253</v>
      </c>
      <c r="BK50" t="n">
        <v>46176.439</v>
      </c>
      <c r="BL50" t="n">
        <v>48185.764</v>
      </c>
      <c r="BM50" t="n">
        <v>47441.966</v>
      </c>
      <c r="BN50" t="n">
        <v>50382.115</v>
      </c>
      <c r="BO50" t="n">
        <v>48657.591</v>
      </c>
      <c r="BP50" t="n">
        <v>48382.099</v>
      </c>
      <c r="BQ50" t="n">
        <v>50626.942</v>
      </c>
      <c r="BR50" t="n">
        <v>55636.726</v>
      </c>
      <c r="BS50" t="n">
        <v>53112.524</v>
      </c>
      <c r="BT50" t="n">
        <v>47680.081</v>
      </c>
      <c r="BU50" t="n">
        <v>52322.659</v>
      </c>
      <c r="BV50" t="n">
        <v>54431.869</v>
      </c>
    </row>
    <row r="51">
      <c r="A51" t="inlineStr">
        <is>
          <t>Chondrichthyes</t>
        </is>
      </c>
      <c r="B51" t="inlineStr">
        <is>
          <t>Sharks, rays, chimaeras</t>
        </is>
      </c>
      <c r="C51" t="inlineStr">
        <is>
          <t>Large sharks (&gt;=90 cm)</t>
        </is>
      </c>
      <c r="D51" t="inlineStr">
        <is>
          <t>Sharks &amp; rays</t>
        </is>
      </c>
      <c r="E51" t="n">
        <v>1533.331</v>
      </c>
      <c r="F51" t="n">
        <v>1724.998</v>
      </c>
      <c r="G51" t="n">
        <v>1916.664</v>
      </c>
      <c r="H51" t="n">
        <v>2108.33</v>
      </c>
      <c r="I51" t="n">
        <v>5404.993</v>
      </c>
      <c r="J51" t="n">
        <v>9094.571</v>
      </c>
      <c r="K51" t="n">
        <v>10724.502</v>
      </c>
      <c r="L51" t="n">
        <v>12425.158</v>
      </c>
      <c r="M51" t="n">
        <v>14604.022</v>
      </c>
      <c r="N51" t="n">
        <v>18280.704</v>
      </c>
      <c r="O51" t="n">
        <v>25950.899</v>
      </c>
      <c r="P51" t="n">
        <v>26832.429</v>
      </c>
      <c r="Q51" t="n">
        <v>34341.726</v>
      </c>
      <c r="R51" t="n">
        <v>41527.459</v>
      </c>
      <c r="S51" t="n">
        <v>43699.137</v>
      </c>
      <c r="T51" t="n">
        <v>44039.564</v>
      </c>
      <c r="U51" t="n">
        <v>44118.338</v>
      </c>
      <c r="V51" t="n">
        <v>44031.064</v>
      </c>
      <c r="W51" t="n">
        <v>43610.77</v>
      </c>
      <c r="X51" t="n">
        <v>42974.974</v>
      </c>
      <c r="Y51" t="n">
        <v>40119.668</v>
      </c>
      <c r="Z51" t="n">
        <v>39284.726</v>
      </c>
      <c r="AA51" t="n">
        <v>29486.581</v>
      </c>
      <c r="AB51" t="n">
        <v>38684.597</v>
      </c>
      <c r="AC51" t="n">
        <v>32769.559</v>
      </c>
      <c r="AD51" t="n">
        <v>29766.175</v>
      </c>
      <c r="AE51" t="n">
        <v>36066.274</v>
      </c>
      <c r="AF51" t="n">
        <v>33293.24</v>
      </c>
      <c r="AG51" t="n">
        <v>26594.992</v>
      </c>
      <c r="AH51" t="n">
        <v>31708.97</v>
      </c>
      <c r="AI51" t="n">
        <v>30110.235</v>
      </c>
      <c r="AJ51" t="n">
        <v>29801.615</v>
      </c>
      <c r="AK51" t="n">
        <v>33179.192</v>
      </c>
      <c r="AL51" t="n">
        <v>38421.091</v>
      </c>
      <c r="AM51" t="n">
        <v>39720.198</v>
      </c>
      <c r="AN51" t="n">
        <v>44261.851</v>
      </c>
      <c r="AO51" t="n">
        <v>48748.065</v>
      </c>
      <c r="AP51" t="n">
        <v>43331.172</v>
      </c>
      <c r="AQ51" t="n">
        <v>34493.602</v>
      </c>
      <c r="AR51" t="n">
        <v>34019.023</v>
      </c>
      <c r="AS51" t="n">
        <v>30526.736</v>
      </c>
      <c r="AT51" t="n">
        <v>22824.141</v>
      </c>
      <c r="AU51" t="n">
        <v>14201.365</v>
      </c>
      <c r="AV51" t="n">
        <v>13744.419</v>
      </c>
      <c r="AW51" t="n">
        <v>20291.587</v>
      </c>
      <c r="AX51" t="n">
        <v>14978.869</v>
      </c>
      <c r="AY51" t="n">
        <v>13959.324</v>
      </c>
      <c r="AZ51" t="n">
        <v>12512.334</v>
      </c>
      <c r="BA51" t="n">
        <v>11597.527</v>
      </c>
      <c r="BB51" t="n">
        <v>16468.813</v>
      </c>
      <c r="BC51" t="n">
        <v>17069.954</v>
      </c>
      <c r="BD51" t="n">
        <v>15225.811</v>
      </c>
      <c r="BE51" t="n">
        <v>18987.195</v>
      </c>
      <c r="BF51" t="n">
        <v>24936.469</v>
      </c>
      <c r="BG51" t="n">
        <v>17522.437</v>
      </c>
      <c r="BH51" t="n">
        <v>9220.429</v>
      </c>
      <c r="BI51" t="n">
        <v>9940.316000000001</v>
      </c>
      <c r="BJ51" t="n">
        <v>9176.361999999999</v>
      </c>
      <c r="BK51" t="n">
        <v>15905.557</v>
      </c>
      <c r="BL51" t="n">
        <v>15766.421</v>
      </c>
      <c r="BM51" t="n">
        <v>16212.387</v>
      </c>
      <c r="BN51" t="n">
        <v>16053.124</v>
      </c>
      <c r="BO51" t="n">
        <v>16879.495</v>
      </c>
      <c r="BP51" t="n">
        <v>17303.355</v>
      </c>
      <c r="BQ51" t="n">
        <v>17847.139</v>
      </c>
      <c r="BR51" t="n">
        <v>18437.967</v>
      </c>
      <c r="BS51" t="n">
        <v>19521.135</v>
      </c>
      <c r="BT51" t="n">
        <v>21244.635</v>
      </c>
      <c r="BU51" t="n">
        <v>30822.206</v>
      </c>
      <c r="BV51" t="n">
        <v>25109.849</v>
      </c>
    </row>
    <row r="52">
      <c r="A52" t="inlineStr">
        <is>
          <t>Thunnus albacares</t>
        </is>
      </c>
      <c r="B52" t="inlineStr">
        <is>
          <t>Yellowfin tuna</t>
        </is>
      </c>
      <c r="C52" t="inlineStr">
        <is>
          <t>Large pelagics (&gt;=90 cm)</t>
        </is>
      </c>
      <c r="D52" t="inlineStr">
        <is>
          <t>Tuna &amp; billfishes</t>
        </is>
      </c>
      <c r="E52" t="n">
        <v>3294.638</v>
      </c>
      <c r="F52" t="n">
        <v>4087.085</v>
      </c>
      <c r="G52" t="n">
        <v>4185.248</v>
      </c>
      <c r="H52" t="n">
        <v>4588.289</v>
      </c>
      <c r="I52" t="n">
        <v>5655.37</v>
      </c>
      <c r="J52" t="n">
        <v>5558.05</v>
      </c>
      <c r="K52" t="n">
        <v>6163.207</v>
      </c>
      <c r="L52" t="n">
        <v>5877.789</v>
      </c>
      <c r="M52" t="n">
        <v>7491.237</v>
      </c>
      <c r="N52" t="n">
        <v>7416.479</v>
      </c>
      <c r="O52" t="n">
        <v>8038.389</v>
      </c>
      <c r="P52" t="n">
        <v>8574.319</v>
      </c>
      <c r="Q52" t="n">
        <v>9662.304</v>
      </c>
      <c r="R52" t="n">
        <v>11152.825</v>
      </c>
      <c r="S52" t="n">
        <v>11649.36</v>
      </c>
      <c r="T52" t="n">
        <v>14363.269</v>
      </c>
      <c r="U52" t="n">
        <v>14753.175</v>
      </c>
      <c r="V52" t="n">
        <v>19363.741</v>
      </c>
      <c r="W52" t="n">
        <v>20934.612</v>
      </c>
      <c r="X52" t="n">
        <v>19968.385</v>
      </c>
      <c r="Y52" t="n">
        <v>20351.997</v>
      </c>
      <c r="Z52" t="n">
        <v>21565.378</v>
      </c>
      <c r="AA52" t="n">
        <v>21933.503</v>
      </c>
      <c r="AB52" t="n">
        <v>26790.617</v>
      </c>
      <c r="AC52" t="n">
        <v>24871.692</v>
      </c>
      <c r="AD52" t="n">
        <v>30872.572</v>
      </c>
      <c r="AE52" t="n">
        <v>28902.15</v>
      </c>
      <c r="AF52" t="n">
        <v>28332.246</v>
      </c>
      <c r="AG52" t="n">
        <v>30960.442</v>
      </c>
      <c r="AH52" t="n">
        <v>30108.361</v>
      </c>
      <c r="AI52" t="n">
        <v>29558.401</v>
      </c>
      <c r="AJ52" t="n">
        <v>32425.956</v>
      </c>
      <c r="AK52" t="n">
        <v>25428.16</v>
      </c>
      <c r="AL52" t="n">
        <v>28882.322</v>
      </c>
      <c r="AM52" t="n">
        <v>31323.854</v>
      </c>
      <c r="AN52" t="n">
        <v>28108.728</v>
      </c>
      <c r="AO52" t="n">
        <v>26998.284</v>
      </c>
      <c r="AP52" t="n">
        <v>28314.263</v>
      </c>
      <c r="AQ52" t="n">
        <v>27406.88</v>
      </c>
      <c r="AR52" t="n">
        <v>29021.263</v>
      </c>
      <c r="AS52" t="n">
        <v>28091.637</v>
      </c>
      <c r="AT52" t="n">
        <v>28793.687</v>
      </c>
      <c r="AU52" t="n">
        <v>19530.733</v>
      </c>
      <c r="AV52" t="n">
        <v>20108.328</v>
      </c>
      <c r="AW52" t="n">
        <v>25244.255</v>
      </c>
      <c r="AX52" t="n">
        <v>25910.769</v>
      </c>
      <c r="AY52" t="n">
        <v>25310.955</v>
      </c>
      <c r="AZ52" t="n">
        <v>25765.006</v>
      </c>
      <c r="BA52" t="n">
        <v>27282.758</v>
      </c>
      <c r="BB52" t="n">
        <v>29255.531</v>
      </c>
      <c r="BC52" t="n">
        <v>37001.141</v>
      </c>
      <c r="BD52" t="n">
        <v>41176.156</v>
      </c>
      <c r="BE52" t="n">
        <v>38338.679</v>
      </c>
      <c r="BF52" t="n">
        <v>38224.685</v>
      </c>
      <c r="BG52" t="n">
        <v>56806.499</v>
      </c>
      <c r="BH52" t="n">
        <v>41887.22</v>
      </c>
      <c r="BI52" t="n">
        <v>47035.852</v>
      </c>
      <c r="BJ52" t="n">
        <v>45186.964</v>
      </c>
      <c r="BK52" t="n">
        <v>41440.856</v>
      </c>
      <c r="BL52" t="n">
        <v>43500.46</v>
      </c>
      <c r="BM52" t="n">
        <v>43731.944</v>
      </c>
      <c r="BN52" t="n">
        <v>24626.335</v>
      </c>
      <c r="BO52" t="n">
        <v>18793.373</v>
      </c>
      <c r="BP52" t="n">
        <v>19510.886</v>
      </c>
      <c r="BQ52" t="n">
        <v>17503.057</v>
      </c>
      <c r="BR52" t="n">
        <v>16505.648</v>
      </c>
      <c r="BS52" t="n">
        <v>14355.449</v>
      </c>
      <c r="BT52" t="n">
        <v>13957.892</v>
      </c>
      <c r="BU52" t="n">
        <v>13644.211</v>
      </c>
      <c r="BV52" t="n">
        <v>12870.363</v>
      </c>
    </row>
    <row r="53">
      <c r="A53" t="inlineStr">
        <is>
          <t>Stolephorus</t>
        </is>
      </c>
      <c r="B53" t="inlineStr">
        <is>
          <t>Garment anchovies</t>
        </is>
      </c>
      <c r="C53" t="inlineStr">
        <is>
          <t>Small pelagics (&lt;30 cm)</t>
        </is>
      </c>
      <c r="D53" t="inlineStr">
        <is>
          <t>Anchovies</t>
        </is>
      </c>
      <c r="E53" t="n">
        <v>8742.858</v>
      </c>
      <c r="F53" t="n">
        <v>9024.940000000001</v>
      </c>
      <c r="G53" t="n">
        <v>9717.49</v>
      </c>
      <c r="H53" t="n">
        <v>9694.976000000001</v>
      </c>
      <c r="I53" t="n">
        <v>9544.791999999999</v>
      </c>
      <c r="J53" t="n">
        <v>9923.508</v>
      </c>
      <c r="K53" t="n">
        <v>10854.644</v>
      </c>
      <c r="L53" t="n">
        <v>11433.76</v>
      </c>
      <c r="M53" t="n">
        <v>7051.931</v>
      </c>
      <c r="N53" t="n">
        <v>7683.314</v>
      </c>
      <c r="O53" t="n">
        <v>8355.383</v>
      </c>
      <c r="P53" t="n">
        <v>9805.137000000001</v>
      </c>
      <c r="Q53" t="n">
        <v>10638.564</v>
      </c>
      <c r="R53" t="n">
        <v>9861.596</v>
      </c>
      <c r="S53" t="n">
        <v>9812.727999999999</v>
      </c>
      <c r="T53" t="n">
        <v>10193.527</v>
      </c>
      <c r="U53" t="n">
        <v>10282.883</v>
      </c>
      <c r="V53" t="n">
        <v>10202.401</v>
      </c>
      <c r="W53" t="n">
        <v>11641.009</v>
      </c>
      <c r="X53" t="n">
        <v>10642.661</v>
      </c>
      <c r="Y53" t="n">
        <v>11386.641</v>
      </c>
      <c r="Z53" t="n">
        <v>11217.28</v>
      </c>
      <c r="AA53" t="n">
        <v>12242.391</v>
      </c>
      <c r="AB53" t="n">
        <v>14889.169</v>
      </c>
      <c r="AC53" t="n">
        <v>20220.781</v>
      </c>
      <c r="AD53" t="n">
        <v>18056.534</v>
      </c>
      <c r="AE53" t="n">
        <v>26257.499</v>
      </c>
      <c r="AF53" t="n">
        <v>28365.543</v>
      </c>
      <c r="AG53" t="n">
        <v>32377.871</v>
      </c>
      <c r="AH53" t="n">
        <v>30677.655</v>
      </c>
      <c r="AI53" t="n">
        <v>20251.174</v>
      </c>
      <c r="AJ53" t="n">
        <v>20108.278</v>
      </c>
      <c r="AK53" t="n">
        <v>18462.704</v>
      </c>
      <c r="AL53" t="n">
        <v>17268.388</v>
      </c>
      <c r="AM53" t="n">
        <v>16883.461</v>
      </c>
      <c r="AN53" t="n">
        <v>20909.821</v>
      </c>
      <c r="AO53" t="n">
        <v>20645.929</v>
      </c>
      <c r="AP53" t="n">
        <v>25169.645</v>
      </c>
      <c r="AQ53" t="n">
        <v>25546.966</v>
      </c>
      <c r="AR53" t="n">
        <v>28536.67</v>
      </c>
      <c r="AS53" t="n">
        <v>26983.033</v>
      </c>
      <c r="AT53" t="n">
        <v>27664.045</v>
      </c>
      <c r="AU53" t="n">
        <v>26667.611</v>
      </c>
      <c r="AV53" t="n">
        <v>27782.688</v>
      </c>
      <c r="AW53" t="n">
        <v>29361.649</v>
      </c>
      <c r="AX53" t="n">
        <v>30147.124</v>
      </c>
      <c r="AY53" t="n">
        <v>31746.559</v>
      </c>
      <c r="AZ53" t="n">
        <v>37307.853</v>
      </c>
      <c r="BA53" t="n">
        <v>29192.297</v>
      </c>
      <c r="BB53" t="n">
        <v>29121.118</v>
      </c>
      <c r="BC53" t="n">
        <v>32215.007</v>
      </c>
      <c r="BD53" t="n">
        <v>32059.126</v>
      </c>
      <c r="BE53" t="n">
        <v>32376.179</v>
      </c>
      <c r="BF53" t="n">
        <v>28774.411</v>
      </c>
      <c r="BG53" t="n">
        <v>30948.719</v>
      </c>
      <c r="BH53" t="n">
        <v>36149.8</v>
      </c>
      <c r="BI53" t="n">
        <v>34438.99</v>
      </c>
      <c r="BJ53" t="n">
        <v>38540.929</v>
      </c>
      <c r="BK53" t="n">
        <v>44815.448</v>
      </c>
      <c r="BL53" t="n">
        <v>31558.633</v>
      </c>
      <c r="BM53" t="n">
        <v>24407.581</v>
      </c>
      <c r="BN53" t="n">
        <v>24865.257</v>
      </c>
      <c r="BO53" t="n">
        <v>26077.198</v>
      </c>
      <c r="BP53" t="n">
        <v>26535.318</v>
      </c>
      <c r="BQ53" t="n">
        <v>26946.202</v>
      </c>
      <c r="BR53" t="n">
        <v>29003.815</v>
      </c>
      <c r="BS53" t="n">
        <v>28454.187</v>
      </c>
      <c r="BT53" t="n">
        <v>25935.513</v>
      </c>
      <c r="BU53" t="n">
        <v>26700.931</v>
      </c>
      <c r="BV53" t="n">
        <v>27493.73</v>
      </c>
    </row>
    <row r="54">
      <c r="A54" t="inlineStr">
        <is>
          <t>Scomberomorus commerson</t>
        </is>
      </c>
      <c r="B54" t="inlineStr">
        <is>
          <t>Narrow-barred Spanish mackerel</t>
        </is>
      </c>
      <c r="C54" t="inlineStr">
        <is>
          <t>Large pelagics (&gt;=90 cm)</t>
        </is>
      </c>
      <c r="D54" t="inlineStr">
        <is>
          <t>Perch-likes</t>
        </is>
      </c>
      <c r="E54" t="n">
        <v>2869.183</v>
      </c>
      <c r="F54" t="n">
        <v>3276.728</v>
      </c>
      <c r="G54" t="n">
        <v>3645.119</v>
      </c>
      <c r="H54" t="n">
        <v>3750.161</v>
      </c>
      <c r="I54" t="n">
        <v>4084.353</v>
      </c>
      <c r="J54" t="n">
        <v>4221.787</v>
      </c>
      <c r="K54" t="n">
        <v>4351.661</v>
      </c>
      <c r="L54" t="n">
        <v>4196.997</v>
      </c>
      <c r="M54" t="n">
        <v>4371.797</v>
      </c>
      <c r="N54" t="n">
        <v>4220.469</v>
      </c>
      <c r="O54" t="n">
        <v>4341.485</v>
      </c>
      <c r="P54" t="n">
        <v>5335.345</v>
      </c>
      <c r="Q54" t="n">
        <v>5659.487</v>
      </c>
      <c r="R54" t="n">
        <v>6175.899</v>
      </c>
      <c r="S54" t="n">
        <v>6443.89</v>
      </c>
      <c r="T54" t="n">
        <v>7275.876</v>
      </c>
      <c r="U54" t="n">
        <v>7960.755</v>
      </c>
      <c r="V54" t="n">
        <v>7692.862</v>
      </c>
      <c r="W54" t="n">
        <v>8425.99</v>
      </c>
      <c r="X54" t="n">
        <v>8885.352000000001</v>
      </c>
      <c r="Y54" t="n">
        <v>8614.474</v>
      </c>
      <c r="Z54" t="n">
        <v>8883.33</v>
      </c>
      <c r="AA54" t="n">
        <v>10422.97</v>
      </c>
      <c r="AB54" t="n">
        <v>10533.106</v>
      </c>
      <c r="AC54" t="n">
        <v>11918.515</v>
      </c>
      <c r="AD54" t="n">
        <v>9975.360000000001</v>
      </c>
      <c r="AE54" t="n">
        <v>10474.698</v>
      </c>
      <c r="AF54" t="n">
        <v>11055.937</v>
      </c>
      <c r="AG54" t="n">
        <v>10847.936</v>
      </c>
      <c r="AH54" t="n">
        <v>11740.208</v>
      </c>
      <c r="AI54" t="n">
        <v>13490.635</v>
      </c>
      <c r="AJ54" t="n">
        <v>14504.758</v>
      </c>
      <c r="AK54" t="n">
        <v>15110.946</v>
      </c>
      <c r="AL54" t="n">
        <v>16624.89</v>
      </c>
      <c r="AM54" t="n">
        <v>15222.767</v>
      </c>
      <c r="AN54" t="n">
        <v>14516.044</v>
      </c>
      <c r="AO54" t="n">
        <v>15321.901</v>
      </c>
      <c r="AP54" t="n">
        <v>15040.242</v>
      </c>
      <c r="AQ54" t="n">
        <v>13853.654</v>
      </c>
      <c r="AR54" t="n">
        <v>25399.725</v>
      </c>
      <c r="AS54" t="n">
        <v>30914.089</v>
      </c>
      <c r="AT54" t="n">
        <v>36176.752</v>
      </c>
      <c r="AU54" t="n">
        <v>32775.48</v>
      </c>
      <c r="AV54" t="n">
        <v>27450.274</v>
      </c>
      <c r="AW54" t="n">
        <v>30862.17</v>
      </c>
      <c r="AX54" t="n">
        <v>33542.568</v>
      </c>
      <c r="AY54" t="n">
        <v>35658.587</v>
      </c>
      <c r="AZ54" t="n">
        <v>35483.272</v>
      </c>
      <c r="BA54" t="n">
        <v>30030.287</v>
      </c>
      <c r="BB54" t="n">
        <v>34647.681</v>
      </c>
      <c r="BC54" t="n">
        <v>34977.386</v>
      </c>
      <c r="BD54" t="n">
        <v>37847.782</v>
      </c>
      <c r="BE54" t="n">
        <v>49288.524</v>
      </c>
      <c r="BF54" t="n">
        <v>39081.362</v>
      </c>
      <c r="BG54" t="n">
        <v>41625.269</v>
      </c>
      <c r="BH54" t="n">
        <v>42711.15</v>
      </c>
      <c r="BI54" t="n">
        <v>32472.497</v>
      </c>
      <c r="BJ54" t="n">
        <v>30119.077</v>
      </c>
      <c r="BK54" t="n">
        <v>32841.492</v>
      </c>
      <c r="BL54" t="n">
        <v>36155.977</v>
      </c>
      <c r="BM54" t="n">
        <v>38012.122</v>
      </c>
      <c r="BN54" t="n">
        <v>39157.505</v>
      </c>
      <c r="BO54" t="n">
        <v>40746.157</v>
      </c>
      <c r="BP54" t="n">
        <v>41640.245</v>
      </c>
      <c r="BQ54" t="n">
        <v>43127.853</v>
      </c>
      <c r="BR54" t="n">
        <v>46394.536</v>
      </c>
      <c r="BS54" t="n">
        <v>44807.436</v>
      </c>
      <c r="BT54" t="n">
        <v>40443.399</v>
      </c>
      <c r="BU54" t="n">
        <v>44990.048</v>
      </c>
      <c r="BV54" t="n">
        <v>48147.711</v>
      </c>
    </row>
    <row r="55">
      <c r="A55" t="inlineStr">
        <is>
          <t>Rastrelliger kanagurta</t>
        </is>
      </c>
      <c r="B55" t="inlineStr">
        <is>
          <t>Indian mackerel</t>
        </is>
      </c>
      <c r="C55" t="inlineStr">
        <is>
          <t>Medium pelagics (30 - 89 cm)</t>
        </is>
      </c>
      <c r="D55" t="inlineStr">
        <is>
          <t>Perch-likes</t>
        </is>
      </c>
      <c r="E55" t="n">
        <v>1038.868</v>
      </c>
      <c r="F55" t="n">
        <v>817.812</v>
      </c>
      <c r="G55" t="n">
        <v>788.3</v>
      </c>
      <c r="H55" t="n">
        <v>912.215</v>
      </c>
      <c r="I55" t="n">
        <v>1170.224</v>
      </c>
      <c r="J55" t="n">
        <v>1208.178</v>
      </c>
      <c r="K55" t="n">
        <v>1358.753</v>
      </c>
      <c r="L55" t="n">
        <v>1411.715</v>
      </c>
      <c r="M55" t="n">
        <v>1501.103</v>
      </c>
      <c r="N55" t="n">
        <v>1570.95</v>
      </c>
      <c r="O55" t="n">
        <v>1612.404</v>
      </c>
      <c r="P55" t="n">
        <v>1482.769</v>
      </c>
      <c r="Q55" t="n">
        <v>1658.507</v>
      </c>
      <c r="R55" t="n">
        <v>2032.146</v>
      </c>
      <c r="S55" t="n">
        <v>2387.5</v>
      </c>
      <c r="T55" t="n">
        <v>2600.429</v>
      </c>
      <c r="U55" t="n">
        <v>2827.117</v>
      </c>
      <c r="V55" t="n">
        <v>2952.549</v>
      </c>
      <c r="W55" t="n">
        <v>3679.928</v>
      </c>
      <c r="X55" t="n">
        <v>3583.988</v>
      </c>
      <c r="Y55" t="n">
        <v>4150.259</v>
      </c>
      <c r="Z55" t="n">
        <v>4283.225</v>
      </c>
      <c r="AA55" t="n">
        <v>4299.331</v>
      </c>
      <c r="AB55" t="n">
        <v>5349.782</v>
      </c>
      <c r="AC55" t="n">
        <v>5409.029</v>
      </c>
      <c r="AD55" t="n">
        <v>6670.795</v>
      </c>
      <c r="AE55" t="n">
        <v>6847.414</v>
      </c>
      <c r="AF55" t="n">
        <v>6805.059</v>
      </c>
      <c r="AG55" t="n">
        <v>7721.062</v>
      </c>
      <c r="AH55" t="n">
        <v>9277.939</v>
      </c>
      <c r="AI55" t="n">
        <v>7833.604</v>
      </c>
      <c r="AJ55" t="n">
        <v>9213.751</v>
      </c>
      <c r="AK55" t="n">
        <v>9262.109</v>
      </c>
      <c r="AL55" t="n">
        <v>11665.956</v>
      </c>
      <c r="AM55" t="n">
        <v>14650.357</v>
      </c>
      <c r="AN55" t="n">
        <v>15721.076</v>
      </c>
      <c r="AO55" t="n">
        <v>17488.883</v>
      </c>
      <c r="AP55" t="n">
        <v>19964.692</v>
      </c>
      <c r="AQ55" t="n">
        <v>19822.023</v>
      </c>
      <c r="AR55" t="n">
        <v>22372.231</v>
      </c>
      <c r="AS55" t="n">
        <v>24195.604</v>
      </c>
      <c r="AT55" t="n">
        <v>23408.509</v>
      </c>
      <c r="AU55" t="n">
        <v>26930.558</v>
      </c>
      <c r="AV55" t="n">
        <v>26217.927</v>
      </c>
      <c r="AW55" t="n">
        <v>35300.779</v>
      </c>
      <c r="AX55" t="n">
        <v>32430.271</v>
      </c>
      <c r="AY55" t="n">
        <v>29335.204</v>
      </c>
      <c r="AZ55" t="n">
        <v>32419.936</v>
      </c>
      <c r="BA55" t="n">
        <v>35925.941</v>
      </c>
      <c r="BB55" t="n">
        <v>45258.803</v>
      </c>
      <c r="BC55" t="n">
        <v>45100.506</v>
      </c>
      <c r="BD55" t="n">
        <v>42900.458</v>
      </c>
      <c r="BE55" t="n">
        <v>49054.011</v>
      </c>
      <c r="BF55" t="n">
        <v>48545.832</v>
      </c>
      <c r="BG55" t="n">
        <v>51568.772</v>
      </c>
      <c r="BH55" t="n">
        <v>55119.432</v>
      </c>
      <c r="BI55" t="n">
        <v>51634.582</v>
      </c>
      <c r="BJ55" t="n">
        <v>50048.64</v>
      </c>
      <c r="BK55" t="n">
        <v>36582.125</v>
      </c>
      <c r="BL55" t="n">
        <v>36834.877</v>
      </c>
      <c r="BM55" t="n">
        <v>41624.236</v>
      </c>
      <c r="BN55" t="n">
        <v>43216.551</v>
      </c>
      <c r="BO55" t="n">
        <v>44949.225</v>
      </c>
      <c r="BP55" t="n">
        <v>45301.999</v>
      </c>
      <c r="BQ55" t="n">
        <v>46514.671</v>
      </c>
      <c r="BR55" t="n">
        <v>44006.39</v>
      </c>
      <c r="BS55" t="n">
        <v>42955.959</v>
      </c>
      <c r="BT55" t="n">
        <v>45111.687</v>
      </c>
      <c r="BU55" t="n">
        <v>44670.615</v>
      </c>
      <c r="BV55" t="n">
        <v>47012.799</v>
      </c>
    </row>
    <row r="56">
      <c r="A56" t="inlineStr">
        <is>
          <t>Rastrelliger</t>
        </is>
      </c>
      <c r="B56" t="inlineStr">
        <is>
          <t>Indian mackerels</t>
        </is>
      </c>
      <c r="C56" t="inlineStr">
        <is>
          <t>Medium pelagics (30 - 89 cm)</t>
        </is>
      </c>
      <c r="D56" t="inlineStr">
        <is>
          <t>Perch-likes</t>
        </is>
      </c>
      <c r="E56" t="n">
        <v>3442.384</v>
      </c>
      <c r="F56" t="n">
        <v>3328.566</v>
      </c>
      <c r="G56" t="n">
        <v>3151.204</v>
      </c>
      <c r="H56" t="n">
        <v>3047.154</v>
      </c>
      <c r="I56" t="n">
        <v>3575.573</v>
      </c>
      <c r="J56" t="n">
        <v>3316.853</v>
      </c>
      <c r="K56" t="n">
        <v>3384.504</v>
      </c>
      <c r="L56" t="n">
        <v>3505.614</v>
      </c>
      <c r="M56" t="n">
        <v>3905.421</v>
      </c>
      <c r="N56" t="n">
        <v>4194.979</v>
      </c>
      <c r="O56" t="n">
        <v>4405.854</v>
      </c>
      <c r="P56" t="n">
        <v>4536.62</v>
      </c>
      <c r="Q56" t="n">
        <v>4993.014</v>
      </c>
      <c r="R56" t="n">
        <v>5325.293</v>
      </c>
      <c r="S56" t="n">
        <v>5966.8</v>
      </c>
      <c r="T56" t="n">
        <v>5887.744</v>
      </c>
      <c r="U56" t="n">
        <v>6019.864</v>
      </c>
      <c r="V56" t="n">
        <v>6470.669</v>
      </c>
      <c r="W56" t="n">
        <v>6674.38</v>
      </c>
      <c r="X56" t="n">
        <v>6574.229</v>
      </c>
      <c r="Y56" t="n">
        <v>6516.825</v>
      </c>
      <c r="Z56" t="n">
        <v>6206.177</v>
      </c>
      <c r="AA56" t="n">
        <v>6304.358</v>
      </c>
      <c r="AB56" t="n">
        <v>6842.417</v>
      </c>
      <c r="AC56" t="n">
        <v>7145.257</v>
      </c>
      <c r="AD56" t="n">
        <v>6366.826</v>
      </c>
      <c r="AE56" t="n">
        <v>14889.732</v>
      </c>
      <c r="AF56" t="n">
        <v>17828.514</v>
      </c>
      <c r="AG56" t="n">
        <v>20445.041</v>
      </c>
      <c r="AH56" t="n">
        <v>21063.844</v>
      </c>
      <c r="AI56" t="n">
        <v>34250.751</v>
      </c>
      <c r="AJ56" t="n">
        <v>38896.216</v>
      </c>
      <c r="AK56" t="n">
        <v>37892.815</v>
      </c>
      <c r="AL56" t="n">
        <v>36373.027</v>
      </c>
      <c r="AM56" t="n">
        <v>29347.339</v>
      </c>
      <c r="AN56" t="n">
        <v>38313.983</v>
      </c>
      <c r="AO56" t="n">
        <v>30896.91</v>
      </c>
      <c r="AP56" t="n">
        <v>33463.33</v>
      </c>
      <c r="AQ56" t="n">
        <v>41450.623</v>
      </c>
      <c r="AR56" t="n">
        <v>42191.758</v>
      </c>
      <c r="AS56" t="n">
        <v>17966.322</v>
      </c>
      <c r="AT56" t="n">
        <v>29063.408</v>
      </c>
      <c r="AU56" t="n">
        <v>29409.59</v>
      </c>
      <c r="AV56" t="n">
        <v>26411.988</v>
      </c>
      <c r="AW56" t="n">
        <v>22714.737</v>
      </c>
      <c r="AX56" t="n">
        <v>18625.287</v>
      </c>
      <c r="AY56" t="n">
        <v>18950.349</v>
      </c>
      <c r="AZ56" t="n">
        <v>22544.722</v>
      </c>
      <c r="BA56" t="n">
        <v>20360.446</v>
      </c>
      <c r="BB56" t="n">
        <v>23400.577</v>
      </c>
      <c r="BC56" t="n">
        <v>22423.629</v>
      </c>
      <c r="BD56" t="n">
        <v>22442.162</v>
      </c>
      <c r="BE56" t="n">
        <v>24361.525</v>
      </c>
      <c r="BF56" t="n">
        <v>24649.774</v>
      </c>
      <c r="BG56" t="n">
        <v>25335.968</v>
      </c>
      <c r="BH56" t="n">
        <v>53860.825</v>
      </c>
      <c r="BI56" t="n">
        <v>60969.266</v>
      </c>
      <c r="BJ56" t="n">
        <v>58009.603</v>
      </c>
      <c r="BK56" t="n">
        <v>62988.988</v>
      </c>
      <c r="BL56" t="n">
        <v>23919.977</v>
      </c>
      <c r="BM56" t="n">
        <v>24659.578</v>
      </c>
      <c r="BN56" t="n">
        <v>23886.78</v>
      </c>
      <c r="BO56" t="n">
        <v>26883.371</v>
      </c>
      <c r="BP56" t="n">
        <v>27947.336</v>
      </c>
      <c r="BQ56" t="n">
        <v>25605.655</v>
      </c>
      <c r="BR56" t="n">
        <v>26439.163</v>
      </c>
      <c r="BS56" t="n">
        <v>28352.634</v>
      </c>
      <c r="BT56" t="n">
        <v>26117.226</v>
      </c>
      <c r="BU56" t="n">
        <v>24926.342</v>
      </c>
      <c r="BV56" t="n">
        <v>29630.487</v>
      </c>
    </row>
    <row r="57">
      <c r="A57" t="inlineStr">
        <is>
          <t>Epinephelus</t>
        </is>
      </c>
      <c r="B57" t="inlineStr">
        <is>
          <t>Seabasses, hinds</t>
        </is>
      </c>
      <c r="C57" t="inlineStr">
        <is>
          <t>Medium reef assoc. fish (30 - 89 cm)</t>
        </is>
      </c>
      <c r="D57" t="inlineStr">
        <is>
          <t>Perch-likes</t>
        </is>
      </c>
      <c r="E57" t="n">
        <v>710.183</v>
      </c>
      <c r="F57" t="n">
        <v>707.2859999999999</v>
      </c>
      <c r="G57" t="n">
        <v>789.438</v>
      </c>
      <c r="H57" t="n">
        <v>819.357</v>
      </c>
      <c r="I57" t="n">
        <v>869.114</v>
      </c>
      <c r="J57" t="n">
        <v>938.975</v>
      </c>
      <c r="K57" t="n">
        <v>1094.563</v>
      </c>
      <c r="L57" t="n">
        <v>1068.761</v>
      </c>
      <c r="M57" t="n">
        <v>1306.658</v>
      </c>
      <c r="N57" t="n">
        <v>1524.63</v>
      </c>
      <c r="O57" t="n">
        <v>1588.932</v>
      </c>
      <c r="P57" t="n">
        <v>1679.211</v>
      </c>
      <c r="Q57" t="n">
        <v>1670.688</v>
      </c>
      <c r="R57" t="n">
        <v>1795.347</v>
      </c>
      <c r="S57" t="n">
        <v>1809.454</v>
      </c>
      <c r="T57" t="n">
        <v>2346.271</v>
      </c>
      <c r="U57" t="n">
        <v>2887.706</v>
      </c>
      <c r="V57" t="n">
        <v>3292.194</v>
      </c>
      <c r="W57" t="n">
        <v>2979.639</v>
      </c>
      <c r="X57" t="n">
        <v>2934.78</v>
      </c>
      <c r="Y57" t="n">
        <v>3515.182</v>
      </c>
      <c r="Z57" t="n">
        <v>4040.154</v>
      </c>
      <c r="AA57" t="n">
        <v>3529.287</v>
      </c>
      <c r="AB57" t="n">
        <v>3693.482</v>
      </c>
      <c r="AC57" t="n">
        <v>4414.029</v>
      </c>
      <c r="AD57" t="n">
        <v>5734.647</v>
      </c>
      <c r="AE57" t="n">
        <v>6721.791</v>
      </c>
      <c r="AF57" t="n">
        <v>6856.963</v>
      </c>
      <c r="AG57" t="n">
        <v>6586.196</v>
      </c>
      <c r="AH57" t="n">
        <v>6192.112</v>
      </c>
      <c r="AI57" t="n">
        <v>5372.34</v>
      </c>
      <c r="AJ57" t="n">
        <v>5575.625</v>
      </c>
      <c r="AK57" t="n">
        <v>5679.147</v>
      </c>
      <c r="AL57" t="n">
        <v>6044.657</v>
      </c>
      <c r="AM57" t="n">
        <v>6549.89</v>
      </c>
      <c r="AN57" t="n">
        <v>6986.455</v>
      </c>
      <c r="AO57" t="n">
        <v>7186.755</v>
      </c>
      <c r="AP57" t="n">
        <v>7670.713</v>
      </c>
      <c r="AQ57" t="n">
        <v>8424.076999999999</v>
      </c>
      <c r="AR57" t="n">
        <v>8243.589</v>
      </c>
      <c r="AS57" t="n">
        <v>14654.467</v>
      </c>
      <c r="AT57" t="n">
        <v>18812.722</v>
      </c>
      <c r="AU57" t="n">
        <v>21891.634</v>
      </c>
      <c r="AV57" t="n">
        <v>20417.214</v>
      </c>
      <c r="AW57" t="n">
        <v>21676.241</v>
      </c>
      <c r="AX57" t="n">
        <v>22032.482</v>
      </c>
      <c r="AY57" t="n">
        <v>22780.665</v>
      </c>
      <c r="AZ57" t="n">
        <v>26876.796</v>
      </c>
      <c r="BA57" t="n">
        <v>27550.291</v>
      </c>
      <c r="BB57" t="n">
        <v>27921.642</v>
      </c>
      <c r="BC57" t="n">
        <v>30155.685</v>
      </c>
      <c r="BD57" t="n">
        <v>32266.555</v>
      </c>
      <c r="BE57" t="n">
        <v>34160.3</v>
      </c>
      <c r="BF57" t="n">
        <v>40140.225</v>
      </c>
      <c r="BG57" t="n">
        <v>41589.91</v>
      </c>
      <c r="BH57" t="n">
        <v>39236.964</v>
      </c>
      <c r="BI57" t="n">
        <v>44425.214</v>
      </c>
      <c r="BJ57" t="n">
        <v>46806.846</v>
      </c>
      <c r="BK57" t="n">
        <v>45154.938</v>
      </c>
      <c r="BL57" t="n">
        <v>52333.214</v>
      </c>
      <c r="BM57" t="n">
        <v>56504.52</v>
      </c>
      <c r="BN57" t="n">
        <v>49926.851</v>
      </c>
      <c r="BO57" t="n">
        <v>55556.877</v>
      </c>
      <c r="BP57" t="n">
        <v>62271.402</v>
      </c>
      <c r="BQ57" t="n">
        <v>59410.766</v>
      </c>
      <c r="BR57" t="n">
        <v>66850.55</v>
      </c>
      <c r="BS57" t="n">
        <v>70582.099</v>
      </c>
      <c r="BT57" t="n">
        <v>65971.408</v>
      </c>
      <c r="BU57" t="n">
        <v>58587.22</v>
      </c>
      <c r="BV57" t="n">
        <v>55866.347</v>
      </c>
    </row>
    <row r="58">
      <c r="A58" t="inlineStr">
        <is>
          <t>Mullidae</t>
        </is>
      </c>
      <c r="B58" t="inlineStr">
        <is>
          <t>Goatfishes</t>
        </is>
      </c>
      <c r="C58" t="inlineStr">
        <is>
          <t>Medium reef assoc. fish (30 - 89 cm)</t>
        </is>
      </c>
      <c r="D58" t="inlineStr">
        <is>
          <t>Perch-likes</t>
        </is>
      </c>
      <c r="E58" t="n">
        <v>3359.143</v>
      </c>
      <c r="F58" t="n">
        <v>3283.342</v>
      </c>
      <c r="G58" t="n">
        <v>3288.627</v>
      </c>
      <c r="H58" t="n">
        <v>3291.668</v>
      </c>
      <c r="I58" t="n">
        <v>3733.426</v>
      </c>
      <c r="J58" t="n">
        <v>3299.519</v>
      </c>
      <c r="K58" t="n">
        <v>3456.348</v>
      </c>
      <c r="L58" t="n">
        <v>3469.397</v>
      </c>
      <c r="M58" t="n">
        <v>4618.38</v>
      </c>
      <c r="N58" t="n">
        <v>7095.816</v>
      </c>
      <c r="O58" t="n">
        <v>9782.985000000001</v>
      </c>
      <c r="P58" t="n">
        <v>10436.008</v>
      </c>
      <c r="Q58" t="n">
        <v>10961.831</v>
      </c>
      <c r="R58" t="n">
        <v>11643.137</v>
      </c>
      <c r="S58" t="n">
        <v>13444.56</v>
      </c>
      <c r="T58" t="n">
        <v>17063.537</v>
      </c>
      <c r="U58" t="n">
        <v>15652.861</v>
      </c>
      <c r="V58" t="n">
        <v>13913.405</v>
      </c>
      <c r="W58" t="n">
        <v>16307.732</v>
      </c>
      <c r="X58" t="n">
        <v>16837.554</v>
      </c>
      <c r="Y58" t="n">
        <v>14515.883</v>
      </c>
      <c r="Z58" t="n">
        <v>17234.221</v>
      </c>
      <c r="AA58" t="n">
        <v>13803.561</v>
      </c>
      <c r="AB58" t="n">
        <v>13156.532</v>
      </c>
      <c r="AC58" t="n">
        <v>14356.925</v>
      </c>
      <c r="AD58" t="n">
        <v>14497.009</v>
      </c>
      <c r="AE58" t="n">
        <v>12975.127</v>
      </c>
      <c r="AF58" t="n">
        <v>14135.062</v>
      </c>
      <c r="AG58" t="n">
        <v>13426.476</v>
      </c>
      <c r="AH58" t="n">
        <v>12258.816</v>
      </c>
      <c r="AI58" t="n">
        <v>11151.722</v>
      </c>
      <c r="AJ58" t="n">
        <v>11588.947</v>
      </c>
      <c r="AK58" t="n">
        <v>12626.896</v>
      </c>
      <c r="AL58" t="n">
        <v>14415.347</v>
      </c>
      <c r="AM58" t="n">
        <v>12754.752</v>
      </c>
      <c r="AN58" t="n">
        <v>13827.864</v>
      </c>
      <c r="AO58" t="n">
        <v>14932.226</v>
      </c>
      <c r="AP58" t="n">
        <v>13986.46</v>
      </c>
      <c r="AQ58" t="n">
        <v>14477.291</v>
      </c>
      <c r="AR58" t="n">
        <v>14766.034</v>
      </c>
      <c r="AS58" t="n">
        <v>15150.553</v>
      </c>
      <c r="AT58" t="n">
        <v>16538.337</v>
      </c>
      <c r="AU58" t="n">
        <v>17529.105</v>
      </c>
      <c r="AV58" t="n">
        <v>18678.25</v>
      </c>
      <c r="AW58" t="n">
        <v>20379.121</v>
      </c>
      <c r="AX58" t="n">
        <v>20129.737</v>
      </c>
      <c r="AY58" t="n">
        <v>23814.169</v>
      </c>
      <c r="AZ58" t="n">
        <v>23934.543</v>
      </c>
      <c r="BA58" t="n">
        <v>24491.669</v>
      </c>
      <c r="BB58" t="n">
        <v>29632.086</v>
      </c>
      <c r="BC58" t="n">
        <v>29104.223</v>
      </c>
      <c r="BD58" t="n">
        <v>29697.732</v>
      </c>
      <c r="BE58" t="n">
        <v>30438.003</v>
      </c>
      <c r="BF58" t="n">
        <v>30126.034</v>
      </c>
      <c r="BG58" t="n">
        <v>31514.323</v>
      </c>
      <c r="BH58" t="n">
        <v>31940.253</v>
      </c>
      <c r="BI58" t="n">
        <v>32239.851</v>
      </c>
      <c r="BJ58" t="n">
        <v>32838.867</v>
      </c>
      <c r="BK58" t="n">
        <v>33049.014</v>
      </c>
      <c r="BL58" t="n">
        <v>33719.783</v>
      </c>
      <c r="BM58" t="n">
        <v>34161.86</v>
      </c>
      <c r="BN58" t="n">
        <v>33743.942</v>
      </c>
      <c r="BO58" t="n">
        <v>34736.875</v>
      </c>
      <c r="BP58" t="n">
        <v>35662.881</v>
      </c>
      <c r="BQ58" t="n">
        <v>36512.867</v>
      </c>
      <c r="BR58" t="n">
        <v>37441.403</v>
      </c>
      <c r="BS58" t="n">
        <v>39474.573</v>
      </c>
      <c r="BT58" t="n">
        <v>43722.694</v>
      </c>
      <c r="BU58" t="n">
        <v>50069.046</v>
      </c>
      <c r="BV58" t="n">
        <v>51364.093</v>
      </c>
    </row>
    <row r="59">
      <c r="A59" t="inlineStr">
        <is>
          <t>Decapterus macrosoma</t>
        </is>
      </c>
      <c r="B59" t="inlineStr">
        <is>
          <t>Shortfin scad</t>
        </is>
      </c>
      <c r="C59" t="inlineStr">
        <is>
          <t>Medium pelagics (30 - 89 cm)</t>
        </is>
      </c>
      <c r="D59" t="inlineStr">
        <is>
          <t>Perch-likes</t>
        </is>
      </c>
      <c r="E59" t="n">
        <v>2188.478</v>
      </c>
      <c r="F59" t="n">
        <v>2403.992</v>
      </c>
      <c r="G59" t="n">
        <v>2534.561</v>
      </c>
      <c r="H59" t="n">
        <v>2516.325</v>
      </c>
      <c r="I59" t="n">
        <v>3469.613</v>
      </c>
      <c r="J59" t="n">
        <v>3618.902</v>
      </c>
      <c r="K59" t="n">
        <v>3683.834</v>
      </c>
      <c r="L59" t="n">
        <v>3308.329</v>
      </c>
      <c r="M59" t="n">
        <v>3832.577</v>
      </c>
      <c r="N59" t="n">
        <v>4084.224</v>
      </c>
      <c r="O59" t="n">
        <v>4133.48</v>
      </c>
      <c r="P59" t="n">
        <v>4258.277</v>
      </c>
      <c r="Q59" t="n">
        <v>5329.717</v>
      </c>
      <c r="R59" t="n">
        <v>6284.993</v>
      </c>
      <c r="S59" t="n">
        <v>8354.790000000001</v>
      </c>
      <c r="T59" t="n">
        <v>12099.581</v>
      </c>
      <c r="U59" t="n">
        <v>15273.5</v>
      </c>
      <c r="V59" t="n">
        <v>18759.536</v>
      </c>
      <c r="W59" t="n">
        <v>26227.11</v>
      </c>
      <c r="X59" t="n">
        <v>26875.195</v>
      </c>
      <c r="Y59" t="n">
        <v>15397.299</v>
      </c>
      <c r="Z59" t="n">
        <v>14736.369</v>
      </c>
      <c r="AA59" t="n">
        <v>15569.949</v>
      </c>
      <c r="AB59" t="n">
        <v>17611.406</v>
      </c>
      <c r="AC59" t="n">
        <v>17352.507</v>
      </c>
      <c r="AD59" t="n">
        <v>15053.845</v>
      </c>
      <c r="AE59" t="n">
        <v>20358.89</v>
      </c>
      <c r="AF59" t="n">
        <v>18526.323</v>
      </c>
      <c r="AG59" t="n">
        <v>17583.293</v>
      </c>
      <c r="AH59" t="n">
        <v>16716.837</v>
      </c>
      <c r="AI59" t="n">
        <v>15715.352</v>
      </c>
      <c r="AJ59" t="n">
        <v>15035.742</v>
      </c>
      <c r="AK59" t="n">
        <v>18043.124</v>
      </c>
      <c r="AL59" t="n">
        <v>15543.821</v>
      </c>
      <c r="AM59" t="n">
        <v>12837.008</v>
      </c>
      <c r="AN59" t="n">
        <v>13010.618</v>
      </c>
      <c r="AO59" t="n">
        <v>13983.763</v>
      </c>
      <c r="AP59" t="n">
        <v>15295.02</v>
      </c>
      <c r="AQ59" t="n">
        <v>15690.002</v>
      </c>
      <c r="AR59" t="n">
        <v>20815.929</v>
      </c>
      <c r="AS59" t="n">
        <v>26136.679</v>
      </c>
      <c r="AT59" t="n">
        <v>30935.168</v>
      </c>
      <c r="AU59" t="n">
        <v>33009.553</v>
      </c>
      <c r="AV59" t="n">
        <v>29383.083</v>
      </c>
      <c r="AW59" t="n">
        <v>34351.438</v>
      </c>
      <c r="AX59" t="n">
        <v>13264.057</v>
      </c>
      <c r="AY59" t="n">
        <v>24768.137</v>
      </c>
      <c r="AZ59" t="n">
        <v>23866.216</v>
      </c>
      <c r="BA59" t="n">
        <v>27250.548</v>
      </c>
      <c r="BB59" t="n">
        <v>27435.67</v>
      </c>
      <c r="BC59" t="n">
        <v>28193.812</v>
      </c>
      <c r="BD59" t="n">
        <v>29262.465</v>
      </c>
      <c r="BE59" t="n">
        <v>30479.276</v>
      </c>
      <c r="BF59" t="n">
        <v>34022.558</v>
      </c>
      <c r="BG59" t="n">
        <v>31744.609</v>
      </c>
      <c r="BH59" t="n">
        <v>33227.919</v>
      </c>
      <c r="BI59" t="n">
        <v>36591.186</v>
      </c>
      <c r="BJ59" t="n">
        <v>37712.022</v>
      </c>
      <c r="BK59" t="n">
        <v>35250.309</v>
      </c>
      <c r="BL59" t="n">
        <v>32207.182</v>
      </c>
      <c r="BM59" t="n">
        <v>33736.615</v>
      </c>
      <c r="BN59" t="n">
        <v>27808.202</v>
      </c>
      <c r="BO59" t="n">
        <v>27200.057</v>
      </c>
      <c r="BP59" t="n">
        <v>31445.273</v>
      </c>
      <c r="BQ59" t="n">
        <v>30201.321</v>
      </c>
      <c r="BR59" t="n">
        <v>26212.477</v>
      </c>
      <c r="BS59" t="n">
        <v>24669.164</v>
      </c>
      <c r="BT59" t="n">
        <v>21398.008</v>
      </c>
      <c r="BU59" t="n">
        <v>20010.322</v>
      </c>
      <c r="BV59" t="n">
        <v>21972.856</v>
      </c>
    </row>
    <row r="60">
      <c r="A60" t="inlineStr">
        <is>
          <t>Katsuwonus pelamis</t>
        </is>
      </c>
      <c r="B60" t="inlineStr">
        <is>
          <t>Skipjack tuna</t>
        </is>
      </c>
      <c r="C60" t="inlineStr">
        <is>
          <t>Large pelagics (&gt;=90 cm)</t>
        </is>
      </c>
      <c r="D60" t="inlineStr">
        <is>
          <t>Tuna &amp; billfishes</t>
        </is>
      </c>
      <c r="E60" t="n">
        <v>2263.045</v>
      </c>
      <c r="F60" t="n">
        <v>2791.19</v>
      </c>
      <c r="G60" t="n">
        <v>2874.994</v>
      </c>
      <c r="H60" t="n">
        <v>2824.012</v>
      </c>
      <c r="I60" t="n">
        <v>3445.425</v>
      </c>
      <c r="J60" t="n">
        <v>3675.162</v>
      </c>
      <c r="K60" t="n">
        <v>4049.744</v>
      </c>
      <c r="L60" t="n">
        <v>3978.639</v>
      </c>
      <c r="M60" t="n">
        <v>4228.755</v>
      </c>
      <c r="N60" t="n">
        <v>4393.532</v>
      </c>
      <c r="O60" t="n">
        <v>4762.502</v>
      </c>
      <c r="P60" t="n">
        <v>4543.509</v>
      </c>
      <c r="Q60" t="n">
        <v>5001.894</v>
      </c>
      <c r="R60" t="n">
        <v>5932.879</v>
      </c>
      <c r="S60" t="n">
        <v>6484.131</v>
      </c>
      <c r="T60" t="n">
        <v>7247.59</v>
      </c>
      <c r="U60" t="n">
        <v>7687.526</v>
      </c>
      <c r="V60" t="n">
        <v>8174.561</v>
      </c>
      <c r="W60" t="n">
        <v>9275.169</v>
      </c>
      <c r="X60" t="n">
        <v>9000.280000000001</v>
      </c>
      <c r="Y60" t="n">
        <v>10459.19</v>
      </c>
      <c r="Z60" t="n">
        <v>10568.085</v>
      </c>
      <c r="AA60" t="n">
        <v>13672.37</v>
      </c>
      <c r="AB60" t="n">
        <v>12968.252</v>
      </c>
      <c r="AC60" t="n">
        <v>13228.779</v>
      </c>
      <c r="AD60" t="n">
        <v>14710.267</v>
      </c>
      <c r="AE60" t="n">
        <v>13956.533</v>
      </c>
      <c r="AF60" t="n">
        <v>13896.728</v>
      </c>
      <c r="AG60" t="n">
        <v>15291.554</v>
      </c>
      <c r="AH60" t="n">
        <v>14249.363</v>
      </c>
      <c r="AI60" t="n">
        <v>14621.592</v>
      </c>
      <c r="AJ60" t="n">
        <v>17032.385</v>
      </c>
      <c r="AK60" t="n">
        <v>13973.273</v>
      </c>
      <c r="AL60" t="n">
        <v>15044.216</v>
      </c>
      <c r="AM60" t="n">
        <v>13343.804</v>
      </c>
      <c r="AN60" t="n">
        <v>13629.845</v>
      </c>
      <c r="AO60" t="n">
        <v>14266.529</v>
      </c>
      <c r="AP60" t="n">
        <v>15281.183</v>
      </c>
      <c r="AQ60" t="n">
        <v>16218.175</v>
      </c>
      <c r="AR60" t="n">
        <v>18225.954</v>
      </c>
      <c r="AS60" t="n">
        <v>19413.557</v>
      </c>
      <c r="AT60" t="n">
        <v>19377.898</v>
      </c>
      <c r="AU60" t="n">
        <v>16316.154</v>
      </c>
      <c r="AV60" t="n">
        <v>13805.093</v>
      </c>
      <c r="AW60" t="n">
        <v>15742.647</v>
      </c>
      <c r="AX60" t="n">
        <v>18132.329</v>
      </c>
      <c r="AY60" t="n">
        <v>19070.749</v>
      </c>
      <c r="AZ60" t="n">
        <v>21481.451</v>
      </c>
      <c r="BA60" t="n">
        <v>22169.764</v>
      </c>
      <c r="BB60" t="n">
        <v>22773.094</v>
      </c>
      <c r="BC60" t="n">
        <v>37121.135</v>
      </c>
      <c r="BD60" t="n">
        <v>39366.844</v>
      </c>
      <c r="BE60" t="n">
        <v>37298.747</v>
      </c>
      <c r="BF60" t="n">
        <v>34256.153</v>
      </c>
      <c r="BG60" t="n">
        <v>35028.88</v>
      </c>
      <c r="BH60" t="n">
        <v>33679.81</v>
      </c>
      <c r="BI60" t="n">
        <v>41719.571</v>
      </c>
      <c r="BJ60" t="n">
        <v>38373.425</v>
      </c>
      <c r="BK60" t="n">
        <v>37427.385</v>
      </c>
      <c r="BL60" t="n">
        <v>43373.448</v>
      </c>
      <c r="BM60" t="n">
        <v>40758.024</v>
      </c>
      <c r="BN60" t="n">
        <v>32406.472</v>
      </c>
      <c r="BO60" t="n">
        <v>33212.09</v>
      </c>
      <c r="BP60" t="n">
        <v>34743.349</v>
      </c>
      <c r="BQ60" t="n">
        <v>34353.249</v>
      </c>
      <c r="BR60" t="n">
        <v>32777.29</v>
      </c>
      <c r="BS60" t="n">
        <v>34736.314</v>
      </c>
      <c r="BT60" t="n">
        <v>30183.692</v>
      </c>
      <c r="BU60" t="n">
        <v>30137.267</v>
      </c>
      <c r="BV60" t="n">
        <v>28673.503</v>
      </c>
    </row>
    <row r="61">
      <c r="A61" t="inlineStr">
        <is>
          <t>Penaeus chinensis</t>
        </is>
      </c>
      <c r="B61" t="inlineStr">
        <is>
          <t>Fleshy prawn</t>
        </is>
      </c>
      <c r="C61" t="inlineStr">
        <is>
          <t>Shrimps</t>
        </is>
      </c>
      <c r="D61" t="inlineStr">
        <is>
          <t>Crustaceans</t>
        </is>
      </c>
      <c r="E61" t="n">
        <v>0</v>
      </c>
      <c r="F61" t="n">
        <v>0</v>
      </c>
      <c r="G61" t="n">
        <v>0</v>
      </c>
      <c r="H61" t="n">
        <v>0.161</v>
      </c>
      <c r="I61" t="n">
        <v>0</v>
      </c>
      <c r="J61" t="n">
        <v>203.44</v>
      </c>
      <c r="K61" t="n">
        <v>0</v>
      </c>
      <c r="L61" t="n">
        <v>111.22</v>
      </c>
      <c r="M61" t="n">
        <v>522.758</v>
      </c>
      <c r="N61" t="n">
        <v>0</v>
      </c>
      <c r="O61" t="n">
        <v>0</v>
      </c>
      <c r="P61" t="n">
        <v>0.128</v>
      </c>
      <c r="Q61" t="n">
        <v>0</v>
      </c>
      <c r="R61" t="n">
        <v>1022.639</v>
      </c>
      <c r="S61" t="n">
        <v>105.407</v>
      </c>
      <c r="T61" t="n">
        <v>0</v>
      </c>
      <c r="U61" t="n">
        <v>0</v>
      </c>
      <c r="V61" t="n">
        <v>520.673</v>
      </c>
      <c r="W61" t="n">
        <v>537.545</v>
      </c>
      <c r="X61" t="n">
        <v>0</v>
      </c>
      <c r="Y61" t="n">
        <v>7562.678</v>
      </c>
      <c r="Z61" t="n">
        <v>7068.457</v>
      </c>
      <c r="AA61" t="n">
        <v>5731.269</v>
      </c>
      <c r="AB61" t="n">
        <v>15590.823</v>
      </c>
      <c r="AC61" t="n">
        <v>18636.429</v>
      </c>
      <c r="AD61" t="n">
        <v>14569.982</v>
      </c>
      <c r="AE61" t="n">
        <v>4124.485</v>
      </c>
      <c r="AF61" t="n">
        <v>9430.898999999999</v>
      </c>
      <c r="AG61" t="n">
        <v>15590.282</v>
      </c>
      <c r="AH61" t="n">
        <v>23922.683</v>
      </c>
      <c r="AI61" t="n">
        <v>12766.877</v>
      </c>
      <c r="AJ61" t="n">
        <v>9897.062</v>
      </c>
      <c r="AK61" t="n">
        <v>817.958</v>
      </c>
      <c r="AL61" t="n">
        <v>5848.495</v>
      </c>
      <c r="AM61" t="n">
        <v>7603.153</v>
      </c>
      <c r="AN61" t="n">
        <v>15804.551</v>
      </c>
      <c r="AO61" t="n">
        <v>12962.167</v>
      </c>
      <c r="AP61" t="n">
        <v>14115.778</v>
      </c>
      <c r="AQ61" t="n">
        <v>22647.077</v>
      </c>
      <c r="AR61" t="n">
        <v>9142.132</v>
      </c>
      <c r="AS61" t="n">
        <v>14529.29</v>
      </c>
      <c r="AT61" t="n">
        <v>13134.452</v>
      </c>
      <c r="AU61" t="n">
        <v>14954.168</v>
      </c>
      <c r="AV61" t="n">
        <v>5632.476</v>
      </c>
      <c r="AW61" t="n">
        <v>16214.908</v>
      </c>
      <c r="AX61" t="n">
        <v>15384.221</v>
      </c>
      <c r="AY61" t="n">
        <v>20007.935</v>
      </c>
      <c r="AZ61" t="n">
        <v>24774.515</v>
      </c>
      <c r="BA61" t="n">
        <v>26195.642</v>
      </c>
      <c r="BB61" t="n">
        <v>19224.054</v>
      </c>
      <c r="BC61" t="n">
        <v>22581.409</v>
      </c>
      <c r="BD61" t="n">
        <v>28836.811</v>
      </c>
      <c r="BE61" t="n">
        <v>29381.388</v>
      </c>
      <c r="BF61" t="n">
        <v>27871.17</v>
      </c>
      <c r="BG61" t="n">
        <v>28696.895</v>
      </c>
      <c r="BH61" t="n">
        <v>30198.919</v>
      </c>
      <c r="BI61" t="n">
        <v>35263.099</v>
      </c>
      <c r="BJ61" t="n">
        <v>37521.016</v>
      </c>
      <c r="BK61" t="n">
        <v>30303.267</v>
      </c>
      <c r="BL61" t="n">
        <v>35799.98</v>
      </c>
      <c r="BM61" t="n">
        <v>36245.621</v>
      </c>
      <c r="BN61" t="n">
        <v>40770.89</v>
      </c>
      <c r="BO61" t="n">
        <v>43516.682</v>
      </c>
      <c r="BP61" t="n">
        <v>42853.555</v>
      </c>
      <c r="BQ61" t="n">
        <v>46085.272</v>
      </c>
      <c r="BR61" t="n">
        <v>51737.121</v>
      </c>
      <c r="BS61" t="n">
        <v>53173.078</v>
      </c>
      <c r="BT61" t="n">
        <v>58891.664</v>
      </c>
      <c r="BU61" t="n">
        <v>76019.601</v>
      </c>
      <c r="BV61" t="n">
        <v>73418.923</v>
      </c>
    </row>
    <row r="62">
      <c r="A62" t="inlineStr">
        <is>
          <t>Selaroides leptolepis</t>
        </is>
      </c>
      <c r="B62" t="inlineStr">
        <is>
          <t>Yellowstripe scad</t>
        </is>
      </c>
      <c r="C62" t="inlineStr">
        <is>
          <t>Small pelagics (&lt;30 cm)</t>
        </is>
      </c>
      <c r="D62" t="inlineStr">
        <is>
          <t>Perch-likes</t>
        </is>
      </c>
      <c r="E62" t="n">
        <v>1534.348</v>
      </c>
      <c r="F62" t="n">
        <v>1655.005</v>
      </c>
      <c r="G62" t="n">
        <v>1758.608</v>
      </c>
      <c r="H62" t="n">
        <v>1766.415</v>
      </c>
      <c r="I62" t="n">
        <v>1866.734</v>
      </c>
      <c r="J62" t="n">
        <v>1934.459</v>
      </c>
      <c r="K62" t="n">
        <v>1963.316</v>
      </c>
      <c r="L62" t="n">
        <v>1930.688</v>
      </c>
      <c r="M62" t="n">
        <v>2056.481</v>
      </c>
      <c r="N62" t="n">
        <v>2019.454</v>
      </c>
      <c r="O62" t="n">
        <v>2084.29</v>
      </c>
      <c r="P62" t="n">
        <v>2797.506</v>
      </c>
      <c r="Q62" t="n">
        <v>3250.83</v>
      </c>
      <c r="R62" t="n">
        <v>3708.269</v>
      </c>
      <c r="S62" t="n">
        <v>4339.751</v>
      </c>
      <c r="T62" t="n">
        <v>5083.973</v>
      </c>
      <c r="U62" t="n">
        <v>5906.279</v>
      </c>
      <c r="V62" t="n">
        <v>5666.595</v>
      </c>
      <c r="W62" t="n">
        <v>6014.299</v>
      </c>
      <c r="X62" t="n">
        <v>6412.445</v>
      </c>
      <c r="Y62" t="n">
        <v>5243.83</v>
      </c>
      <c r="Z62" t="n">
        <v>5337.905</v>
      </c>
      <c r="AA62" t="n">
        <v>6436.197</v>
      </c>
      <c r="AB62" t="n">
        <v>9469.494000000001</v>
      </c>
      <c r="AC62" t="n">
        <v>10676.077</v>
      </c>
      <c r="AD62" t="n">
        <v>10234.034</v>
      </c>
      <c r="AE62" t="n">
        <v>8739.787</v>
      </c>
      <c r="AF62" t="n">
        <v>8396.620000000001</v>
      </c>
      <c r="AG62" t="n">
        <v>8656.723</v>
      </c>
      <c r="AH62" t="n">
        <v>11098.994</v>
      </c>
      <c r="AI62" t="n">
        <v>19442.501</v>
      </c>
      <c r="AJ62" t="n">
        <v>22201.131</v>
      </c>
      <c r="AK62" t="n">
        <v>22362.298</v>
      </c>
      <c r="AL62" t="n">
        <v>26106.682</v>
      </c>
      <c r="AM62" t="n">
        <v>21215.996</v>
      </c>
      <c r="AN62" t="n">
        <v>16518.367</v>
      </c>
      <c r="AO62" t="n">
        <v>15861.041</v>
      </c>
      <c r="AP62" t="n">
        <v>16215.257</v>
      </c>
      <c r="AQ62" t="n">
        <v>19187.83</v>
      </c>
      <c r="AR62" t="n">
        <v>21529.265</v>
      </c>
      <c r="AS62" t="n">
        <v>26199.52</v>
      </c>
      <c r="AT62" t="n">
        <v>26700.367</v>
      </c>
      <c r="AU62" t="n">
        <v>26503.754</v>
      </c>
      <c r="AV62" t="n">
        <v>25725.042</v>
      </c>
      <c r="AW62" t="n">
        <v>26538.802</v>
      </c>
      <c r="AX62" t="n">
        <v>25642.411</v>
      </c>
      <c r="AY62" t="n">
        <v>26025.012</v>
      </c>
      <c r="AZ62" t="n">
        <v>27273.985</v>
      </c>
      <c r="BA62" t="n">
        <v>26474.304</v>
      </c>
      <c r="BB62" t="n">
        <v>27609.754</v>
      </c>
      <c r="BC62" t="n">
        <v>29076.197</v>
      </c>
      <c r="BD62" t="n">
        <v>32249.441</v>
      </c>
      <c r="BE62" t="n">
        <v>35218.685</v>
      </c>
      <c r="BF62" t="n">
        <v>33890.058</v>
      </c>
      <c r="BG62" t="n">
        <v>31039.265</v>
      </c>
      <c r="BH62" t="n">
        <v>16159.859</v>
      </c>
      <c r="BI62" t="n">
        <v>16369.319</v>
      </c>
      <c r="BJ62" t="n">
        <v>17803.758</v>
      </c>
      <c r="BK62" t="n">
        <v>18481.038</v>
      </c>
      <c r="BL62" t="n">
        <v>23092.026</v>
      </c>
      <c r="BM62" t="n">
        <v>28333.87</v>
      </c>
      <c r="BN62" t="n">
        <v>29017.097</v>
      </c>
      <c r="BO62" t="n">
        <v>29901.128</v>
      </c>
      <c r="BP62" t="n">
        <v>30509.177</v>
      </c>
      <c r="BQ62" t="n">
        <v>31940.092</v>
      </c>
      <c r="BR62" t="n">
        <v>35323.615</v>
      </c>
      <c r="BS62" t="n">
        <v>33867.666</v>
      </c>
      <c r="BT62" t="n">
        <v>30470.3</v>
      </c>
      <c r="BU62" t="n">
        <v>33645.687</v>
      </c>
      <c r="BV62" t="n">
        <v>35275.557</v>
      </c>
    </row>
    <row r="63">
      <c r="A63" t="inlineStr">
        <is>
          <t>Mugilidae</t>
        </is>
      </c>
      <c r="B63" t="inlineStr">
        <is>
          <t>Mullets, grey mullets</t>
        </is>
      </c>
      <c r="C63" t="inlineStr">
        <is>
          <t>Medium reef assoc. fish (30 - 89 cm)</t>
        </is>
      </c>
      <c r="D63" t="inlineStr">
        <is>
          <t>Perch-likes</t>
        </is>
      </c>
      <c r="E63" t="n">
        <v>4762.134</v>
      </c>
      <c r="F63" t="n">
        <v>4849.594</v>
      </c>
      <c r="G63" t="n">
        <v>4937.151</v>
      </c>
      <c r="H63" t="n">
        <v>4981.242</v>
      </c>
      <c r="I63" t="n">
        <v>6042.061</v>
      </c>
      <c r="J63" t="n">
        <v>7198.274</v>
      </c>
      <c r="K63" t="n">
        <v>7685.25</v>
      </c>
      <c r="L63" t="n">
        <v>8180.264</v>
      </c>
      <c r="M63" t="n">
        <v>8870.987999999999</v>
      </c>
      <c r="N63" t="n">
        <v>9979.91</v>
      </c>
      <c r="O63" t="n">
        <v>12371.788</v>
      </c>
      <c r="P63" t="n">
        <v>12924.705</v>
      </c>
      <c r="Q63" t="n">
        <v>15444.884</v>
      </c>
      <c r="R63" t="n">
        <v>17886.612</v>
      </c>
      <c r="S63" t="n">
        <v>18764.008</v>
      </c>
      <c r="T63" t="n">
        <v>19164.471</v>
      </c>
      <c r="U63" t="n">
        <v>19563.101</v>
      </c>
      <c r="V63" t="n">
        <v>19328.727</v>
      </c>
      <c r="W63" t="n">
        <v>19280.861</v>
      </c>
      <c r="X63" t="n">
        <v>19283.862</v>
      </c>
      <c r="Y63" t="n">
        <v>18622.77</v>
      </c>
      <c r="Z63" t="n">
        <v>18455.29</v>
      </c>
      <c r="AA63" t="n">
        <v>9541.191000000001</v>
      </c>
      <c r="AB63" t="n">
        <v>9485.853999999999</v>
      </c>
      <c r="AC63" t="n">
        <v>11178.326</v>
      </c>
      <c r="AD63" t="n">
        <v>12923.333</v>
      </c>
      <c r="AE63" t="n">
        <v>24239.412</v>
      </c>
      <c r="AF63" t="n">
        <v>18667.143</v>
      </c>
      <c r="AG63" t="n">
        <v>24645.853</v>
      </c>
      <c r="AH63" t="n">
        <v>19885.496</v>
      </c>
      <c r="AI63" t="n">
        <v>19700.368</v>
      </c>
      <c r="AJ63" t="n">
        <v>28202.785</v>
      </c>
      <c r="AK63" t="n">
        <v>22857.124</v>
      </c>
      <c r="AL63" t="n">
        <v>26632.692</v>
      </c>
      <c r="AM63" t="n">
        <v>21457.945</v>
      </c>
      <c r="AN63" t="n">
        <v>22769.427</v>
      </c>
      <c r="AO63" t="n">
        <v>22948.526</v>
      </c>
      <c r="AP63" t="n">
        <v>18277.504</v>
      </c>
      <c r="AQ63" t="n">
        <v>17523.487</v>
      </c>
      <c r="AR63" t="n">
        <v>18113.594</v>
      </c>
      <c r="AS63" t="n">
        <v>19147.12</v>
      </c>
      <c r="AT63" t="n">
        <v>17895.35</v>
      </c>
      <c r="AU63" t="n">
        <v>16447.917</v>
      </c>
      <c r="AV63" t="n">
        <v>14511.323</v>
      </c>
      <c r="AW63" t="n">
        <v>15442.978</v>
      </c>
      <c r="AX63" t="n">
        <v>14539.23</v>
      </c>
      <c r="AY63" t="n">
        <v>15120.438</v>
      </c>
      <c r="AZ63" t="n">
        <v>14227.593</v>
      </c>
      <c r="BA63" t="n">
        <v>14022.368</v>
      </c>
      <c r="BB63" t="n">
        <v>12532.97</v>
      </c>
      <c r="BC63" t="n">
        <v>13494.554</v>
      </c>
      <c r="BD63" t="n">
        <v>13172.786</v>
      </c>
      <c r="BE63" t="n">
        <v>11815.461</v>
      </c>
      <c r="BF63" t="n">
        <v>10823.061</v>
      </c>
      <c r="BG63" t="n">
        <v>10552.954</v>
      </c>
      <c r="BH63" t="n">
        <v>10736.194</v>
      </c>
      <c r="BI63" t="n">
        <v>10967.445</v>
      </c>
      <c r="BJ63" t="n">
        <v>12351.276</v>
      </c>
      <c r="BK63" t="n">
        <v>21401.949</v>
      </c>
      <c r="BL63" t="n">
        <v>23012.281</v>
      </c>
      <c r="BM63" t="n">
        <v>20909.521</v>
      </c>
      <c r="BN63" t="n">
        <v>21757.16</v>
      </c>
      <c r="BO63" t="n">
        <v>22486.379</v>
      </c>
      <c r="BP63" t="n">
        <v>23064.064</v>
      </c>
      <c r="BQ63" t="n">
        <v>24535.83</v>
      </c>
      <c r="BR63" t="n">
        <v>26969.74</v>
      </c>
      <c r="BS63" t="n">
        <v>27049.011</v>
      </c>
      <c r="BT63" t="n">
        <v>26910.404</v>
      </c>
      <c r="BU63" t="n">
        <v>29338.752</v>
      </c>
      <c r="BV63" t="n">
        <v>32602.096</v>
      </c>
    </row>
    <row r="64">
      <c r="A64" t="inlineStr">
        <is>
          <t>Ilisha elongata</t>
        </is>
      </c>
      <c r="B64" t="inlineStr">
        <is>
          <t>Elongate ilisha</t>
        </is>
      </c>
      <c r="C64" t="inlineStr">
        <is>
          <t>Medium pelagics (30 - 89 cm)</t>
        </is>
      </c>
      <c r="D64" t="inlineStr">
        <is>
          <t>Herring-likes</t>
        </is>
      </c>
      <c r="E64" t="n">
        <v>11.145</v>
      </c>
      <c r="F64" t="n">
        <v>11.145</v>
      </c>
      <c r="G64" t="n">
        <v>14.349</v>
      </c>
      <c r="H64" t="n">
        <v>13.35</v>
      </c>
      <c r="I64" t="n">
        <v>11.707</v>
      </c>
      <c r="J64" t="n">
        <v>192.853</v>
      </c>
      <c r="K64" t="n">
        <v>12.268</v>
      </c>
      <c r="L64" t="n">
        <v>11.857</v>
      </c>
      <c r="M64" t="n">
        <v>12.597</v>
      </c>
      <c r="N64" t="n">
        <v>127.922</v>
      </c>
      <c r="O64" t="n">
        <v>111.455</v>
      </c>
      <c r="P64" t="n">
        <v>118.843</v>
      </c>
      <c r="Q64" t="n">
        <v>19.415</v>
      </c>
      <c r="R64" t="n">
        <v>29.786</v>
      </c>
      <c r="S64" t="n">
        <v>27.699</v>
      </c>
      <c r="T64" t="n">
        <v>32.553</v>
      </c>
      <c r="U64" t="n">
        <v>40.319</v>
      </c>
      <c r="V64" t="n">
        <v>41.707</v>
      </c>
      <c r="W64" t="n">
        <v>224.484</v>
      </c>
      <c r="X64" t="n">
        <v>180.055</v>
      </c>
      <c r="Y64" t="n">
        <v>5355.805</v>
      </c>
      <c r="Z64" t="n">
        <v>7386.308</v>
      </c>
      <c r="AA64" t="n">
        <v>6437.894</v>
      </c>
      <c r="AB64" t="n">
        <v>257.229</v>
      </c>
      <c r="AC64" t="n">
        <v>384.463</v>
      </c>
      <c r="AD64" t="n">
        <v>356.033</v>
      </c>
      <c r="AE64" t="n">
        <v>383.446</v>
      </c>
      <c r="AF64" t="n">
        <v>710.303</v>
      </c>
      <c r="AG64" t="n">
        <v>6967.443</v>
      </c>
      <c r="AH64" t="n">
        <v>8398.52</v>
      </c>
      <c r="AI64" t="n">
        <v>8730.031000000001</v>
      </c>
      <c r="AJ64" t="n">
        <v>8385.200999999999</v>
      </c>
      <c r="AK64" t="n">
        <v>7431.007</v>
      </c>
      <c r="AL64" t="n">
        <v>7939.391</v>
      </c>
      <c r="AM64" t="n">
        <v>9632.543</v>
      </c>
      <c r="AN64" t="n">
        <v>9977.348</v>
      </c>
      <c r="AO64" t="n">
        <v>10835.371</v>
      </c>
      <c r="AP64" t="n">
        <v>6858.993</v>
      </c>
      <c r="AQ64" t="n">
        <v>8059.765</v>
      </c>
      <c r="AR64" t="n">
        <v>7892.543</v>
      </c>
      <c r="AS64" t="n">
        <v>12021.359</v>
      </c>
      <c r="AT64" t="n">
        <v>15542.601</v>
      </c>
      <c r="AU64" t="n">
        <v>14941.633</v>
      </c>
      <c r="AV64" t="n">
        <v>13259.764</v>
      </c>
      <c r="AW64" t="n">
        <v>15637.752</v>
      </c>
      <c r="AX64" t="n">
        <v>22427.68</v>
      </c>
      <c r="AY64" t="n">
        <v>25246.631</v>
      </c>
      <c r="AZ64" t="n">
        <v>36490.424</v>
      </c>
      <c r="BA64" t="n">
        <v>35462.165</v>
      </c>
      <c r="BB64" t="n">
        <v>39422.064</v>
      </c>
      <c r="BC64" t="n">
        <v>37635.926</v>
      </c>
      <c r="BD64" t="n">
        <v>39455.094</v>
      </c>
      <c r="BE64" t="n">
        <v>36542.451</v>
      </c>
      <c r="BF64" t="n">
        <v>41290.129</v>
      </c>
      <c r="BG64" t="n">
        <v>36065.423</v>
      </c>
      <c r="BH64" t="n">
        <v>38762.754</v>
      </c>
      <c r="BI64" t="n">
        <v>41358.904</v>
      </c>
      <c r="BJ64" t="n">
        <v>39669.818</v>
      </c>
      <c r="BK64" t="n">
        <v>41553.236</v>
      </c>
      <c r="BL64" t="n">
        <v>49371.362</v>
      </c>
      <c r="BM64" t="n">
        <v>43197.598</v>
      </c>
      <c r="BN64" t="n">
        <v>36766.947</v>
      </c>
      <c r="BO64" t="n">
        <v>41396.251</v>
      </c>
      <c r="BP64" t="n">
        <v>44802.346</v>
      </c>
      <c r="BQ64" t="n">
        <v>39796.437</v>
      </c>
      <c r="BR64" t="n">
        <v>45260.674</v>
      </c>
      <c r="BS64" t="n">
        <v>44186.625</v>
      </c>
      <c r="BT64" t="n">
        <v>40155.828</v>
      </c>
      <c r="BU64" t="n">
        <v>36267.644</v>
      </c>
      <c r="BV64" t="n">
        <v>36198.216</v>
      </c>
    </row>
    <row r="65">
      <c r="A65" t="inlineStr">
        <is>
          <t>Sardinops sagax</t>
        </is>
      </c>
      <c r="B65" t="inlineStr">
        <is>
          <t>South American pilchard</t>
        </is>
      </c>
      <c r="C65" t="inlineStr">
        <is>
          <t>Medium pelagics (30 - 89 cm)</t>
        </is>
      </c>
      <c r="D65" t="inlineStr">
        <is>
          <t>Herring-likes</t>
        </is>
      </c>
      <c r="E65" t="n">
        <v>0</v>
      </c>
      <c r="F65" t="n">
        <v>0</v>
      </c>
      <c r="G65" t="n">
        <v>0</v>
      </c>
      <c r="H65" t="n">
        <v>0</v>
      </c>
      <c r="I65" t="n">
        <v>0.863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0.57</v>
      </c>
      <c r="X65" t="n">
        <v>0</v>
      </c>
      <c r="Y65" t="n">
        <v>0</v>
      </c>
      <c r="Z65" t="n">
        <v>0</v>
      </c>
      <c r="AA65" t="n">
        <v>1.619</v>
      </c>
      <c r="AB65" t="n">
        <v>424.559</v>
      </c>
      <c r="AC65" t="n">
        <v>1.095</v>
      </c>
      <c r="AD65" t="n">
        <v>0</v>
      </c>
      <c r="AE65" t="n">
        <v>0</v>
      </c>
      <c r="AF65" t="n">
        <v>0.99</v>
      </c>
      <c r="AG65" t="n">
        <v>1.56</v>
      </c>
      <c r="AH65" t="n">
        <v>0</v>
      </c>
      <c r="AI65" t="n">
        <v>0</v>
      </c>
      <c r="AJ65" t="n">
        <v>0</v>
      </c>
      <c r="AK65" t="n">
        <v>334.099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13514.283</v>
      </c>
      <c r="AT65" t="n">
        <v>19976.338</v>
      </c>
      <c r="AU65" t="n">
        <v>16894.215</v>
      </c>
      <c r="AV65" t="n">
        <v>13825.423</v>
      </c>
      <c r="AW65" t="n">
        <v>20947.86</v>
      </c>
      <c r="AX65" t="n">
        <v>17940.694</v>
      </c>
      <c r="AY65" t="n">
        <v>29094.631</v>
      </c>
      <c r="AZ65" t="n">
        <v>38306.13</v>
      </c>
      <c r="BA65" t="n">
        <v>33566.56</v>
      </c>
      <c r="BB65" t="n">
        <v>35126.587</v>
      </c>
      <c r="BC65" t="n">
        <v>35298.228</v>
      </c>
      <c r="BD65" t="n">
        <v>41043.82</v>
      </c>
      <c r="BE65" t="n">
        <v>47024.438</v>
      </c>
      <c r="BF65" t="n">
        <v>46397.674</v>
      </c>
      <c r="BG65" t="n">
        <v>44722.108</v>
      </c>
      <c r="BH65" t="n">
        <v>45967.149</v>
      </c>
      <c r="BI65" t="n">
        <v>52573.88</v>
      </c>
      <c r="BJ65" t="n">
        <v>48400.65</v>
      </c>
      <c r="BK65" t="n">
        <v>44763.851</v>
      </c>
      <c r="BL65" t="n">
        <v>43715.514</v>
      </c>
      <c r="BM65" t="n">
        <v>43748.823</v>
      </c>
      <c r="BN65" t="n">
        <v>39062.211</v>
      </c>
      <c r="BO65" t="n">
        <v>38611.243</v>
      </c>
      <c r="BP65" t="n">
        <v>46422.241</v>
      </c>
      <c r="BQ65" t="n">
        <v>43880.457</v>
      </c>
      <c r="BR65" t="n">
        <v>47992.113</v>
      </c>
      <c r="BS65" t="n">
        <v>45781.133</v>
      </c>
      <c r="BT65" t="n">
        <v>39200.11</v>
      </c>
      <c r="BU65" t="n">
        <v>34769.89</v>
      </c>
      <c r="BV65" t="n">
        <v>32502.594</v>
      </c>
    </row>
    <row r="66">
      <c r="A66" t="inlineStr">
        <is>
          <t>Sardinella lemuru</t>
        </is>
      </c>
      <c r="B66" t="inlineStr">
        <is>
          <t>Bali sardinella</t>
        </is>
      </c>
      <c r="C66" t="inlineStr">
        <is>
          <t>Small pelagics (&lt;30 cm)</t>
        </is>
      </c>
      <c r="D66" t="inlineStr">
        <is>
          <t>Herring-likes</t>
        </is>
      </c>
      <c r="E66" t="n">
        <v>1192.958</v>
      </c>
      <c r="F66" t="n">
        <v>1366.654</v>
      </c>
      <c r="G66" t="n">
        <v>1540.351</v>
      </c>
      <c r="H66" t="n">
        <v>1583.792</v>
      </c>
      <c r="I66" t="n">
        <v>1692.067</v>
      </c>
      <c r="J66" t="n">
        <v>1735.679</v>
      </c>
      <c r="K66" t="n">
        <v>1757.501</v>
      </c>
      <c r="L66" t="n">
        <v>1714.129</v>
      </c>
      <c r="M66" t="n">
        <v>1778.932</v>
      </c>
      <c r="N66" t="n">
        <v>1692.377</v>
      </c>
      <c r="O66" t="n">
        <v>1714.553</v>
      </c>
      <c r="P66" t="n">
        <v>2256.692</v>
      </c>
      <c r="Q66" t="n">
        <v>2381.125</v>
      </c>
      <c r="R66" t="n">
        <v>2542.782</v>
      </c>
      <c r="S66" t="n">
        <v>2750.314</v>
      </c>
      <c r="T66" t="n">
        <v>3225.305</v>
      </c>
      <c r="U66" t="n">
        <v>3639.816</v>
      </c>
      <c r="V66" t="n">
        <v>3454.86</v>
      </c>
      <c r="W66" t="n">
        <v>3736.532</v>
      </c>
      <c r="X66" t="n">
        <v>4109.777</v>
      </c>
      <c r="Y66" t="n">
        <v>4755.266</v>
      </c>
      <c r="Z66" t="n">
        <v>4891.017</v>
      </c>
      <c r="AA66" t="n">
        <v>4872.626</v>
      </c>
      <c r="AB66" t="n">
        <v>3813.01</v>
      </c>
      <c r="AC66" t="n">
        <v>4729.382</v>
      </c>
      <c r="AD66" t="n">
        <v>11593.388</v>
      </c>
      <c r="AE66" t="n">
        <v>7242.312</v>
      </c>
      <c r="AF66" t="n">
        <v>12777.649</v>
      </c>
      <c r="AG66" t="n">
        <v>10778.541</v>
      </c>
      <c r="AH66" t="n">
        <v>9442.031000000001</v>
      </c>
      <c r="AI66" t="n">
        <v>11481.533</v>
      </c>
      <c r="AJ66" t="n">
        <v>10786.199</v>
      </c>
      <c r="AK66" t="n">
        <v>10089.233</v>
      </c>
      <c r="AL66" t="n">
        <v>13968.166</v>
      </c>
      <c r="AM66" t="n">
        <v>12347.347</v>
      </c>
      <c r="AN66" t="n">
        <v>10990.835</v>
      </c>
      <c r="AO66" t="n">
        <v>13750.592</v>
      </c>
      <c r="AP66" t="n">
        <v>13618.36</v>
      </c>
      <c r="AQ66" t="n">
        <v>19752.621</v>
      </c>
      <c r="AR66" t="n">
        <v>21585.021</v>
      </c>
      <c r="AS66" t="n">
        <v>23143.478</v>
      </c>
      <c r="AT66" t="n">
        <v>28122.044</v>
      </c>
      <c r="AU66" t="n">
        <v>28290.483</v>
      </c>
      <c r="AV66" t="n">
        <v>29498.719</v>
      </c>
      <c r="AW66" t="n">
        <v>31006.105</v>
      </c>
      <c r="AX66" t="n">
        <v>22831.381</v>
      </c>
      <c r="AY66" t="n">
        <v>21762.29</v>
      </c>
      <c r="AZ66" t="n">
        <v>29917.404</v>
      </c>
      <c r="BA66" t="n">
        <v>37905.334</v>
      </c>
      <c r="BB66" t="n">
        <v>21941.921</v>
      </c>
      <c r="BC66" t="n">
        <v>21880.852</v>
      </c>
      <c r="BD66" t="n">
        <v>25093.895</v>
      </c>
      <c r="BE66" t="n">
        <v>26481.695</v>
      </c>
      <c r="BF66" t="n">
        <v>28500.646</v>
      </c>
      <c r="BG66" t="n">
        <v>24460.724</v>
      </c>
      <c r="BH66" t="n">
        <v>22639.478</v>
      </c>
      <c r="BI66" t="n">
        <v>39019.641</v>
      </c>
      <c r="BJ66" t="n">
        <v>37876.751</v>
      </c>
      <c r="BK66" t="n">
        <v>29102.159</v>
      </c>
      <c r="BL66" t="n">
        <v>32984.278</v>
      </c>
      <c r="BM66" t="n">
        <v>23720.889</v>
      </c>
      <c r="BN66" t="n">
        <v>24559.954</v>
      </c>
      <c r="BO66" t="n">
        <v>24826.484</v>
      </c>
      <c r="BP66" t="n">
        <v>25220.138</v>
      </c>
      <c r="BQ66" t="n">
        <v>27175.473</v>
      </c>
      <c r="BR66" t="n">
        <v>30468.469</v>
      </c>
      <c r="BS66" t="n">
        <v>28781.534</v>
      </c>
      <c r="BT66" t="n">
        <v>25733.4</v>
      </c>
      <c r="BU66" t="n">
        <v>29282.399</v>
      </c>
      <c r="BV66" t="n">
        <v>30961.843</v>
      </c>
    </row>
    <row r="67">
      <c r="A67" t="inlineStr">
        <is>
          <t>Coryphaena hippurus</t>
        </is>
      </c>
      <c r="B67" t="inlineStr">
        <is>
          <t>Common dolphinfish</t>
        </is>
      </c>
      <c r="C67" t="inlineStr">
        <is>
          <t>Large pelagics (&gt;=90 cm)</t>
        </is>
      </c>
      <c r="D67" t="inlineStr">
        <is>
          <t>Perch-likes</t>
        </is>
      </c>
      <c r="E67" t="n">
        <v>2225.931</v>
      </c>
      <c r="F67" t="n">
        <v>2967.176</v>
      </c>
      <c r="G67" t="n">
        <v>3263.773</v>
      </c>
      <c r="H67" t="n">
        <v>3072.356</v>
      </c>
      <c r="I67" t="n">
        <v>4954.695</v>
      </c>
      <c r="J67" t="n">
        <v>5017.371</v>
      </c>
      <c r="K67" t="n">
        <v>3144.795</v>
      </c>
      <c r="L67" t="n">
        <v>5739.821</v>
      </c>
      <c r="M67" t="n">
        <v>9503.691000000001</v>
      </c>
      <c r="N67" t="n">
        <v>10304.376</v>
      </c>
      <c r="O67" t="n">
        <v>3466.672</v>
      </c>
      <c r="P67" t="n">
        <v>10270.783</v>
      </c>
      <c r="Q67" t="n">
        <v>5918.021</v>
      </c>
      <c r="R67" t="n">
        <v>4777.444</v>
      </c>
      <c r="S67" t="n">
        <v>10173.99</v>
      </c>
      <c r="T67" t="n">
        <v>4853.59</v>
      </c>
      <c r="U67" t="n">
        <v>6834.167</v>
      </c>
      <c r="V67" t="n">
        <v>8856.064</v>
      </c>
      <c r="W67" t="n">
        <v>5643.066</v>
      </c>
      <c r="X67" t="n">
        <v>9486.377</v>
      </c>
      <c r="Y67" t="n">
        <v>4584.848</v>
      </c>
      <c r="Z67" t="n">
        <v>2926.754</v>
      </c>
      <c r="AA67" t="n">
        <v>6124.53</v>
      </c>
      <c r="AB67" t="n">
        <v>11272.374</v>
      </c>
      <c r="AC67" t="n">
        <v>6448.188</v>
      </c>
      <c r="AD67" t="n">
        <v>6691.736</v>
      </c>
      <c r="AE67" t="n">
        <v>9037.739</v>
      </c>
      <c r="AF67" t="n">
        <v>13413.396</v>
      </c>
      <c r="AG67" t="n">
        <v>15563.092</v>
      </c>
      <c r="AH67" t="n">
        <v>11358.675</v>
      </c>
      <c r="AI67" t="n">
        <v>8840.365</v>
      </c>
      <c r="AJ67" t="n">
        <v>10584.73</v>
      </c>
      <c r="AK67" t="n">
        <v>14977.853</v>
      </c>
      <c r="AL67" t="n">
        <v>15442.59</v>
      </c>
      <c r="AM67" t="n">
        <v>6676.848</v>
      </c>
      <c r="AN67" t="n">
        <v>8215.931</v>
      </c>
      <c r="AO67" t="n">
        <v>7363.99</v>
      </c>
      <c r="AP67" t="n">
        <v>14973.693</v>
      </c>
      <c r="AQ67" t="n">
        <v>12227.667</v>
      </c>
      <c r="AR67" t="n">
        <v>8563.445</v>
      </c>
      <c r="AS67" t="n">
        <v>15234.226</v>
      </c>
      <c r="AT67" t="n">
        <v>23823.736</v>
      </c>
      <c r="AU67" t="n">
        <v>41299.852</v>
      </c>
      <c r="AV67" t="n">
        <v>32753.518</v>
      </c>
      <c r="AW67" t="n">
        <v>29893.031</v>
      </c>
      <c r="AX67" t="n">
        <v>49654.437</v>
      </c>
      <c r="AY67" t="n">
        <v>18023.834</v>
      </c>
      <c r="AZ67" t="n">
        <v>37952.186</v>
      </c>
      <c r="BA67" t="n">
        <v>71289.60000000001</v>
      </c>
      <c r="BB67" t="n">
        <v>36351.324</v>
      </c>
      <c r="BC67" t="n">
        <v>18963.686</v>
      </c>
      <c r="BD67" t="n">
        <v>26998.844</v>
      </c>
      <c r="BE67" t="n">
        <v>23682.065</v>
      </c>
      <c r="BF67" t="n">
        <v>15769.592</v>
      </c>
      <c r="BG67" t="n">
        <v>32633.934</v>
      </c>
      <c r="BH67" t="n">
        <v>23979.381</v>
      </c>
      <c r="BI67" t="n">
        <v>25682.584</v>
      </c>
      <c r="BJ67" t="n">
        <v>21077.029</v>
      </c>
      <c r="BK67" t="n">
        <v>14871.644</v>
      </c>
      <c r="BL67" t="n">
        <v>15896.751</v>
      </c>
      <c r="BM67" t="n">
        <v>15513.015</v>
      </c>
      <c r="BN67" t="n">
        <v>13116.016</v>
      </c>
      <c r="BO67" t="n">
        <v>25334.073</v>
      </c>
      <c r="BP67" t="n">
        <v>16995.348</v>
      </c>
      <c r="BQ67" t="n">
        <v>19285.067</v>
      </c>
      <c r="BR67" t="n">
        <v>15648.613</v>
      </c>
      <c r="BS67" t="n">
        <v>21632.712</v>
      </c>
      <c r="BT67" t="n">
        <v>20638.553</v>
      </c>
      <c r="BU67" t="n">
        <v>18384.888</v>
      </c>
      <c r="BV67" t="n">
        <v>20840.575</v>
      </c>
    </row>
    <row r="68">
      <c r="A68" t="inlineStr">
        <is>
          <t>Cololabis saira</t>
        </is>
      </c>
      <c r="B68" t="inlineStr">
        <is>
          <t>Pacific saury</t>
        </is>
      </c>
      <c r="C68" t="inlineStr">
        <is>
          <t>Medium pelagics (30 - 89 cm)</t>
        </is>
      </c>
      <c r="D68" t="inlineStr">
        <is>
          <t>Other fishes &amp; inverts</t>
        </is>
      </c>
      <c r="E68" t="n">
        <v>546.5</v>
      </c>
      <c r="F68" t="n">
        <v>705.353</v>
      </c>
      <c r="G68" t="n">
        <v>917.439</v>
      </c>
      <c r="H68" t="n">
        <v>1671.592</v>
      </c>
      <c r="I68" t="n">
        <v>3056.778</v>
      </c>
      <c r="J68" t="n">
        <v>2777.986</v>
      </c>
      <c r="K68" t="n">
        <v>4281.639</v>
      </c>
      <c r="L68" t="n">
        <v>4889.944</v>
      </c>
      <c r="M68" t="n">
        <v>4730.019</v>
      </c>
      <c r="N68" t="n">
        <v>6388.12</v>
      </c>
      <c r="O68" t="n">
        <v>3359.589</v>
      </c>
      <c r="P68" t="n">
        <v>4418.424</v>
      </c>
      <c r="Q68" t="n">
        <v>5963.969</v>
      </c>
      <c r="R68" t="n">
        <v>1678.366</v>
      </c>
      <c r="S68" t="n">
        <v>3036.998</v>
      </c>
      <c r="T68" t="n">
        <v>4170.379</v>
      </c>
      <c r="U68" t="n">
        <v>4763.026</v>
      </c>
      <c r="V68" t="n">
        <v>3672.564</v>
      </c>
      <c r="W68" t="n">
        <v>3111.953</v>
      </c>
      <c r="X68" t="n">
        <v>3699.842</v>
      </c>
      <c r="Y68" t="n">
        <v>1918.255</v>
      </c>
      <c r="Z68" t="n">
        <v>3683.342</v>
      </c>
      <c r="AA68" t="n">
        <v>3995.968</v>
      </c>
      <c r="AB68" t="n">
        <v>2980.533</v>
      </c>
      <c r="AC68" t="n">
        <v>3406.843</v>
      </c>
      <c r="AD68" t="n">
        <v>2410.623</v>
      </c>
      <c r="AE68" t="n">
        <v>3406.4</v>
      </c>
      <c r="AF68" t="n">
        <v>1742.982</v>
      </c>
      <c r="AG68" t="n">
        <v>1235.058</v>
      </c>
      <c r="AH68" t="n">
        <v>891.4829999999999</v>
      </c>
      <c r="AI68" t="n">
        <v>572.727</v>
      </c>
      <c r="AJ68" t="n">
        <v>485.142</v>
      </c>
      <c r="AK68" t="n">
        <v>384.931</v>
      </c>
      <c r="AL68" t="n">
        <v>264.593</v>
      </c>
      <c r="AM68" t="n">
        <v>135.178</v>
      </c>
      <c r="AN68" t="n">
        <v>205.446</v>
      </c>
      <c r="AO68" t="n">
        <v>407.286</v>
      </c>
      <c r="AP68" t="n">
        <v>416.278</v>
      </c>
      <c r="AQ68" t="n">
        <v>358.967</v>
      </c>
      <c r="AR68" t="n">
        <v>4223.062</v>
      </c>
      <c r="AS68" t="n">
        <v>12687.343</v>
      </c>
      <c r="AT68" t="n">
        <v>9485.934999999999</v>
      </c>
      <c r="AU68" t="n">
        <v>18288.609</v>
      </c>
      <c r="AV68" t="n">
        <v>19064.076</v>
      </c>
      <c r="AW68" t="n">
        <v>10923.768</v>
      </c>
      <c r="AX68" t="n">
        <v>11649.952</v>
      </c>
      <c r="AY68" t="n">
        <v>9580.995999999999</v>
      </c>
      <c r="AZ68" t="n">
        <v>21587.166</v>
      </c>
      <c r="BA68" t="n">
        <v>9898.226000000001</v>
      </c>
      <c r="BB68" t="n">
        <v>10058.159</v>
      </c>
      <c r="BC68" t="n">
        <v>17356.509</v>
      </c>
      <c r="BD68" t="n">
        <v>22818.138</v>
      </c>
      <c r="BE68" t="n">
        <v>28616.615</v>
      </c>
      <c r="BF68" t="n">
        <v>31041.468</v>
      </c>
      <c r="BG68" t="n">
        <v>20177.255</v>
      </c>
      <c r="BH68" t="n">
        <v>36661.435</v>
      </c>
      <c r="BI68" t="n">
        <v>22646.329</v>
      </c>
      <c r="BJ68" t="n">
        <v>25167.013</v>
      </c>
      <c r="BK68" t="n">
        <v>40508.511</v>
      </c>
      <c r="BL68" t="n">
        <v>40785.411</v>
      </c>
      <c r="BM68" t="n">
        <v>46610.559</v>
      </c>
      <c r="BN68" t="n">
        <v>45881.516</v>
      </c>
      <c r="BO68" t="n">
        <v>56528.63</v>
      </c>
      <c r="BP68" t="n">
        <v>51122.377</v>
      </c>
      <c r="BQ68" t="n">
        <v>62584.472</v>
      </c>
      <c r="BR68" t="n">
        <v>48165.37</v>
      </c>
      <c r="BS68" t="n">
        <v>54969.399</v>
      </c>
      <c r="BT68" t="n">
        <v>49504.016</v>
      </c>
      <c r="BU68" t="n">
        <v>55192.231</v>
      </c>
      <c r="BV68" t="n">
        <v>44992.779</v>
      </c>
    </row>
    <row r="69">
      <c r="A69" t="inlineStr">
        <is>
          <t>Netuma thalassina</t>
        </is>
      </c>
      <c r="B69" t="inlineStr">
        <is>
          <t>Giant catfish</t>
        </is>
      </c>
      <c r="C69" t="inlineStr">
        <is>
          <t>Large demersals (&gt;=90 cm)</t>
        </is>
      </c>
      <c r="D69" t="inlineStr">
        <is>
          <t>Other fishes &amp; inverts</t>
        </is>
      </c>
      <c r="E69" t="n">
        <v>998.785</v>
      </c>
      <c r="F69" t="n">
        <v>1134.261</v>
      </c>
      <c r="G69" t="n">
        <v>1269.737</v>
      </c>
      <c r="H69" t="n">
        <v>1323.205</v>
      </c>
      <c r="I69" t="n">
        <v>1378.231</v>
      </c>
      <c r="J69" t="n">
        <v>1431.862</v>
      </c>
      <c r="K69" t="n">
        <v>1458.693</v>
      </c>
      <c r="L69" t="n">
        <v>1405.29</v>
      </c>
      <c r="M69" t="n">
        <v>1485.151</v>
      </c>
      <c r="N69" t="n">
        <v>1378.526</v>
      </c>
      <c r="O69" t="n">
        <v>1431.807</v>
      </c>
      <c r="P69" t="n">
        <v>2217.061</v>
      </c>
      <c r="Q69" t="n">
        <v>2711.457</v>
      </c>
      <c r="R69" t="n">
        <v>3268.102</v>
      </c>
      <c r="S69" t="n">
        <v>3932.756</v>
      </c>
      <c r="T69" t="n">
        <v>4963.871</v>
      </c>
      <c r="U69" t="n">
        <v>6006.48</v>
      </c>
      <c r="V69" t="n">
        <v>5696.536</v>
      </c>
      <c r="W69" t="n">
        <v>6066.722</v>
      </c>
      <c r="X69" t="n">
        <v>6623.023</v>
      </c>
      <c r="Y69" t="n">
        <v>7581.266</v>
      </c>
      <c r="Z69" t="n">
        <v>7714.669</v>
      </c>
      <c r="AA69" t="n">
        <v>7260.75</v>
      </c>
      <c r="AB69" t="n">
        <v>8456.963</v>
      </c>
      <c r="AC69" t="n">
        <v>6959.746</v>
      </c>
      <c r="AD69" t="n">
        <v>7159.022</v>
      </c>
      <c r="AE69" t="n">
        <v>11992.463</v>
      </c>
      <c r="AF69" t="n">
        <v>12630.675</v>
      </c>
      <c r="AG69" t="n">
        <v>13180.234</v>
      </c>
      <c r="AH69" t="n">
        <v>13427.297</v>
      </c>
      <c r="AI69" t="n">
        <v>12232.755</v>
      </c>
      <c r="AJ69" t="n">
        <v>14814.397</v>
      </c>
      <c r="AK69" t="n">
        <v>17462.222</v>
      </c>
      <c r="AL69" t="n">
        <v>18604.144</v>
      </c>
      <c r="AM69" t="n">
        <v>19135.805</v>
      </c>
      <c r="AN69" t="n">
        <v>18567.393</v>
      </c>
      <c r="AO69" t="n">
        <v>20685.904</v>
      </c>
      <c r="AP69" t="n">
        <v>21157.093</v>
      </c>
      <c r="AQ69" t="n">
        <v>22236.167</v>
      </c>
      <c r="AR69" t="n">
        <v>22637.264</v>
      </c>
      <c r="AS69" t="n">
        <v>22508.673</v>
      </c>
      <c r="AT69" t="n">
        <v>22348.416</v>
      </c>
      <c r="AU69" t="n">
        <v>21406.977</v>
      </c>
      <c r="AV69" t="n">
        <v>21827.95</v>
      </c>
      <c r="AW69" t="n">
        <v>23254.002</v>
      </c>
      <c r="AX69" t="n">
        <v>23846.543</v>
      </c>
      <c r="AY69" t="n">
        <v>23846.122</v>
      </c>
      <c r="AZ69" t="n">
        <v>27230.759</v>
      </c>
      <c r="BA69" t="n">
        <v>22120.055</v>
      </c>
      <c r="BB69" t="n">
        <v>21515.271</v>
      </c>
      <c r="BC69" t="n">
        <v>20209.392</v>
      </c>
      <c r="BD69" t="n">
        <v>21848.24</v>
      </c>
      <c r="BE69" t="n">
        <v>22401.057</v>
      </c>
      <c r="BF69" t="n">
        <v>19066.451</v>
      </c>
      <c r="BG69" t="n">
        <v>19064.273</v>
      </c>
      <c r="BH69" t="n">
        <v>15052.628</v>
      </c>
      <c r="BI69" t="n">
        <v>16609.391</v>
      </c>
      <c r="BJ69" t="n">
        <v>16566.047</v>
      </c>
      <c r="BK69" t="n">
        <v>25265.835</v>
      </c>
      <c r="BL69" t="n">
        <v>21357.101</v>
      </c>
      <c r="BM69" t="n">
        <v>21878.036</v>
      </c>
      <c r="BN69" t="n">
        <v>22651.761</v>
      </c>
      <c r="BO69" t="n">
        <v>22897.584</v>
      </c>
      <c r="BP69" t="n">
        <v>23260.652</v>
      </c>
      <c r="BQ69" t="n">
        <v>25064.066</v>
      </c>
      <c r="BR69" t="n">
        <v>28787.969</v>
      </c>
      <c r="BS69" t="n">
        <v>27194.078</v>
      </c>
      <c r="BT69" t="n">
        <v>24314.065</v>
      </c>
      <c r="BU69" t="n">
        <v>27667.318</v>
      </c>
      <c r="BV69" t="n">
        <v>30076.394</v>
      </c>
    </row>
    <row r="70">
      <c r="A70" t="inlineStr">
        <is>
          <t>Priacanthus macracanthus</t>
        </is>
      </c>
      <c r="B70" t="inlineStr">
        <is>
          <t>Red bigeye</t>
        </is>
      </c>
      <c r="C70" t="inlineStr">
        <is>
          <t>Medium reef assoc. fish (30 - 89 cm)</t>
        </is>
      </c>
      <c r="D70" t="inlineStr">
        <is>
          <t>Perch-likes</t>
        </is>
      </c>
      <c r="E70" t="n">
        <v>71.952</v>
      </c>
      <c r="F70" t="n">
        <v>55.612</v>
      </c>
      <c r="G70" t="n">
        <v>62.207</v>
      </c>
      <c r="H70" t="n">
        <v>64.58</v>
      </c>
      <c r="I70" t="n">
        <v>299.311</v>
      </c>
      <c r="J70" t="n">
        <v>85.372</v>
      </c>
      <c r="K70" t="n">
        <v>234.503</v>
      </c>
      <c r="L70" t="n">
        <v>178.569</v>
      </c>
      <c r="M70" t="n">
        <v>14121.04</v>
      </c>
      <c r="N70" t="n">
        <v>11597.692</v>
      </c>
      <c r="O70" t="n">
        <v>7926.226</v>
      </c>
      <c r="P70" t="n">
        <v>28995.308</v>
      </c>
      <c r="Q70" t="n">
        <v>15964.672</v>
      </c>
      <c r="R70" t="n">
        <v>10017</v>
      </c>
      <c r="S70" t="n">
        <v>12522.156</v>
      </c>
      <c r="T70" t="n">
        <v>13481.411</v>
      </c>
      <c r="U70" t="n">
        <v>35311.102</v>
      </c>
      <c r="V70" t="n">
        <v>38436.935</v>
      </c>
      <c r="W70" t="n">
        <v>33549.631</v>
      </c>
      <c r="X70" t="n">
        <v>36233.025</v>
      </c>
      <c r="Y70" t="n">
        <v>29375.529</v>
      </c>
      <c r="Z70" t="n">
        <v>37797.436</v>
      </c>
      <c r="AA70" t="n">
        <v>44767.333</v>
      </c>
      <c r="AB70" t="n">
        <v>51970.183</v>
      </c>
      <c r="AC70" t="n">
        <v>23936.611</v>
      </c>
      <c r="AD70" t="n">
        <v>25461.473</v>
      </c>
      <c r="AE70" t="n">
        <v>26941.986</v>
      </c>
      <c r="AF70" t="n">
        <v>16497.257</v>
      </c>
      <c r="AG70" t="n">
        <v>13085.902</v>
      </c>
      <c r="AH70" t="n">
        <v>15974.942</v>
      </c>
      <c r="AI70" t="n">
        <v>14624.816</v>
      </c>
      <c r="AJ70" t="n">
        <v>16554.365</v>
      </c>
      <c r="AK70" t="n">
        <v>16145.356</v>
      </c>
      <c r="AL70" t="n">
        <v>16931.699</v>
      </c>
      <c r="AM70" t="n">
        <v>11095.502</v>
      </c>
      <c r="AN70" t="n">
        <v>13711.637</v>
      </c>
      <c r="AO70" t="n">
        <v>14716.329</v>
      </c>
      <c r="AP70" t="n">
        <v>16633.472</v>
      </c>
      <c r="AQ70" t="n">
        <v>13056.115</v>
      </c>
      <c r="AR70" t="n">
        <v>15489.648</v>
      </c>
      <c r="AS70" t="n">
        <v>17045.277</v>
      </c>
      <c r="AT70" t="n">
        <v>9372.198</v>
      </c>
      <c r="AU70" t="n">
        <v>14841.229</v>
      </c>
      <c r="AV70" t="n">
        <v>20436.871</v>
      </c>
      <c r="AW70" t="n">
        <v>16776.483</v>
      </c>
      <c r="AX70" t="n">
        <v>26542.714</v>
      </c>
      <c r="AY70" t="n">
        <v>45787.038</v>
      </c>
      <c r="AZ70" t="n">
        <v>25527.658</v>
      </c>
      <c r="BA70" t="n">
        <v>16984.62</v>
      </c>
      <c r="BB70" t="n">
        <v>13651.291</v>
      </c>
      <c r="BC70" t="n">
        <v>15125.424</v>
      </c>
      <c r="BD70" t="n">
        <v>12279.056</v>
      </c>
      <c r="BE70" t="n">
        <v>8547.85</v>
      </c>
      <c r="BF70" t="n">
        <v>4626.756</v>
      </c>
      <c r="BG70" t="n">
        <v>5105.261</v>
      </c>
      <c r="BH70" t="n">
        <v>3371.954</v>
      </c>
      <c r="BI70" t="n">
        <v>3255.793</v>
      </c>
      <c r="BJ70" t="n">
        <v>2538.258</v>
      </c>
      <c r="BK70" t="n">
        <v>2257.557</v>
      </c>
      <c r="BL70" t="n">
        <v>4137.836</v>
      </c>
      <c r="BM70" t="n">
        <v>2689.476</v>
      </c>
      <c r="BN70" t="n">
        <v>2739.817</v>
      </c>
      <c r="BO70" t="n">
        <v>2929.286</v>
      </c>
      <c r="BP70" t="n">
        <v>3827.103</v>
      </c>
      <c r="BQ70" t="n">
        <v>3907.852</v>
      </c>
      <c r="BR70" t="n">
        <v>2481.405</v>
      </c>
      <c r="BS70" t="n">
        <v>2903.835</v>
      </c>
      <c r="BT70" t="n">
        <v>2753.023</v>
      </c>
      <c r="BU70" t="n">
        <v>2608.26</v>
      </c>
      <c r="BV70" t="n">
        <v>2674.386</v>
      </c>
    </row>
    <row r="71">
      <c r="A71" t="inlineStr">
        <is>
          <t>Nemipterus virgatus</t>
        </is>
      </c>
      <c r="B71" t="inlineStr">
        <is>
          <t>Golden threadfin bream</t>
        </is>
      </c>
      <c r="C71" t="inlineStr">
        <is>
          <t>Medium demersals (30 - 89 cm)</t>
        </is>
      </c>
      <c r="D71" t="inlineStr">
        <is>
          <t>Perch-likes</t>
        </is>
      </c>
      <c r="E71" t="n">
        <v>801.193</v>
      </c>
      <c r="F71" t="n">
        <v>1139.583</v>
      </c>
      <c r="G71" t="n">
        <v>1383.592</v>
      </c>
      <c r="H71" t="n">
        <v>814.956</v>
      </c>
      <c r="I71" t="n">
        <v>1063.662</v>
      </c>
      <c r="J71" t="n">
        <v>1126.806</v>
      </c>
      <c r="K71" t="n">
        <v>1189.394</v>
      </c>
      <c r="L71" t="n">
        <v>1206.268</v>
      </c>
      <c r="M71" t="n">
        <v>3451.773</v>
      </c>
      <c r="N71" t="n">
        <v>6702.024</v>
      </c>
      <c r="O71" t="n">
        <v>10593.257</v>
      </c>
      <c r="P71" t="n">
        <v>9798.459000000001</v>
      </c>
      <c r="Q71" t="n">
        <v>8070.902</v>
      </c>
      <c r="R71" t="n">
        <v>12136.309</v>
      </c>
      <c r="S71" t="n">
        <v>9495.938</v>
      </c>
      <c r="T71" t="n">
        <v>15740.747</v>
      </c>
      <c r="U71" t="n">
        <v>16305.378</v>
      </c>
      <c r="V71" t="n">
        <v>13440.196</v>
      </c>
      <c r="W71" t="n">
        <v>14391.101</v>
      </c>
      <c r="X71" t="n">
        <v>13816.056</v>
      </c>
      <c r="Y71" t="n">
        <v>12994.108</v>
      </c>
      <c r="Z71" t="n">
        <v>16638.898</v>
      </c>
      <c r="AA71" t="n">
        <v>25284.445</v>
      </c>
      <c r="AB71" t="n">
        <v>29608.954</v>
      </c>
      <c r="AC71" t="n">
        <v>44320.48</v>
      </c>
      <c r="AD71" t="n">
        <v>33554.181</v>
      </c>
      <c r="AE71" t="n">
        <v>15203.337</v>
      </c>
      <c r="AF71" t="n">
        <v>20579.282</v>
      </c>
      <c r="AG71" t="n">
        <v>17467.352</v>
      </c>
      <c r="AH71" t="n">
        <v>14906.442</v>
      </c>
      <c r="AI71" t="n">
        <v>15103.357</v>
      </c>
      <c r="AJ71" t="n">
        <v>15391.878</v>
      </c>
      <c r="AK71" t="n">
        <v>13308.967</v>
      </c>
      <c r="AL71" t="n">
        <v>14117.102</v>
      </c>
      <c r="AM71" t="n">
        <v>14215.756</v>
      </c>
      <c r="AN71" t="n">
        <v>15561.65</v>
      </c>
      <c r="AO71" t="n">
        <v>18328.414</v>
      </c>
      <c r="AP71" t="n">
        <v>17892.103</v>
      </c>
      <c r="AQ71" t="n">
        <v>26084.617</v>
      </c>
      <c r="AR71" t="n">
        <v>21440.192</v>
      </c>
      <c r="AS71" t="n">
        <v>31500.812</v>
      </c>
      <c r="AT71" t="n">
        <v>22122.508</v>
      </c>
      <c r="AU71" t="n">
        <v>28926.796</v>
      </c>
      <c r="AV71" t="n">
        <v>32248.669</v>
      </c>
      <c r="AW71" t="n">
        <v>19817.325</v>
      </c>
      <c r="AX71" t="n">
        <v>17608.251</v>
      </c>
      <c r="AY71" t="n">
        <v>25518.868</v>
      </c>
      <c r="AZ71" t="n">
        <v>21831.242</v>
      </c>
      <c r="BA71" t="n">
        <v>17264.181</v>
      </c>
      <c r="BB71" t="n">
        <v>18976.198</v>
      </c>
      <c r="BC71" t="n">
        <v>18351.503</v>
      </c>
      <c r="BD71" t="n">
        <v>14550.023</v>
      </c>
      <c r="BE71" t="n">
        <v>14499.158</v>
      </c>
      <c r="BF71" t="n">
        <v>10497.78</v>
      </c>
      <c r="BG71" t="n">
        <v>12036.57</v>
      </c>
      <c r="BH71" t="n">
        <v>10522.908</v>
      </c>
      <c r="BI71" t="n">
        <v>10043.329</v>
      </c>
      <c r="BJ71" t="n">
        <v>9089.656000000001</v>
      </c>
      <c r="BK71" t="n">
        <v>7674.877</v>
      </c>
      <c r="BL71" t="n">
        <v>8860.726000000001</v>
      </c>
      <c r="BM71" t="n">
        <v>7076.078</v>
      </c>
      <c r="BN71" t="n">
        <v>8399.989</v>
      </c>
      <c r="BO71" t="n">
        <v>8260.948</v>
      </c>
      <c r="BP71" t="n">
        <v>7853.961</v>
      </c>
      <c r="BQ71" t="n">
        <v>7605.517</v>
      </c>
      <c r="BR71" t="n">
        <v>6850.576</v>
      </c>
      <c r="BS71" t="n">
        <v>7169.613</v>
      </c>
      <c r="BT71" t="n">
        <v>6929.858</v>
      </c>
      <c r="BU71" t="n">
        <v>6542.794</v>
      </c>
      <c r="BV71" t="n">
        <v>7114.163</v>
      </c>
    </row>
    <row r="72">
      <c r="A72" t="inlineStr">
        <is>
          <t>Parastromateus niger</t>
        </is>
      </c>
      <c r="B72" t="inlineStr">
        <is>
          <t>Black pomfret</t>
        </is>
      </c>
      <c r="C72" t="inlineStr">
        <is>
          <t>Medium benthopelagics (30 - 89 cm)</t>
        </is>
      </c>
      <c r="D72" t="inlineStr">
        <is>
          <t>Perch-likes</t>
        </is>
      </c>
      <c r="E72" t="n">
        <v>1214.787</v>
      </c>
      <c r="F72" t="n">
        <v>1302.071</v>
      </c>
      <c r="G72" t="n">
        <v>1386.043</v>
      </c>
      <c r="H72" t="n">
        <v>1434.071</v>
      </c>
      <c r="I72" t="n">
        <v>2055.05</v>
      </c>
      <c r="J72" t="n">
        <v>1584.385</v>
      </c>
      <c r="K72" t="n">
        <v>1712.63</v>
      </c>
      <c r="L72" t="n">
        <v>1633.903</v>
      </c>
      <c r="M72" t="n">
        <v>1700.453</v>
      </c>
      <c r="N72" t="n">
        <v>1764.624</v>
      </c>
      <c r="O72" t="n">
        <v>1755.502</v>
      </c>
      <c r="P72" t="n">
        <v>2096.364</v>
      </c>
      <c r="Q72" t="n">
        <v>2176.641</v>
      </c>
      <c r="R72" t="n">
        <v>2291.335</v>
      </c>
      <c r="S72" t="n">
        <v>2647.706</v>
      </c>
      <c r="T72" t="n">
        <v>2768.429</v>
      </c>
      <c r="U72" t="n">
        <v>3995.724</v>
      </c>
      <c r="V72" t="n">
        <v>4187.01</v>
      </c>
      <c r="W72" t="n">
        <v>5537.734</v>
      </c>
      <c r="X72" t="n">
        <v>5653.221</v>
      </c>
      <c r="Y72" t="n">
        <v>6940.356</v>
      </c>
      <c r="Z72" t="n">
        <v>7783.54</v>
      </c>
      <c r="AA72" t="n">
        <v>9257.593999999999</v>
      </c>
      <c r="AB72" t="n">
        <v>10797.451</v>
      </c>
      <c r="AC72" t="n">
        <v>12119.014</v>
      </c>
      <c r="AD72" t="n">
        <v>12482.562</v>
      </c>
      <c r="AE72" t="n">
        <v>13070.142</v>
      </c>
      <c r="AF72" t="n">
        <v>12463.498</v>
      </c>
      <c r="AG72" t="n">
        <v>13011.838</v>
      </c>
      <c r="AH72" t="n">
        <v>17424.08</v>
      </c>
      <c r="AI72" t="n">
        <v>18034.882</v>
      </c>
      <c r="AJ72" t="n">
        <v>28726.801</v>
      </c>
      <c r="AK72" t="n">
        <v>21949.906</v>
      </c>
      <c r="AL72" t="n">
        <v>22116.524</v>
      </c>
      <c r="AM72" t="n">
        <v>15688.874</v>
      </c>
      <c r="AN72" t="n">
        <v>22159.842</v>
      </c>
      <c r="AO72" t="n">
        <v>28909.815</v>
      </c>
      <c r="AP72" t="n">
        <v>15792.074</v>
      </c>
      <c r="AQ72" t="n">
        <v>16998.751</v>
      </c>
      <c r="AR72" t="n">
        <v>20463.929</v>
      </c>
      <c r="AS72" t="n">
        <v>15917.823</v>
      </c>
      <c r="AT72" t="n">
        <v>14398.581</v>
      </c>
      <c r="AU72" t="n">
        <v>21241.457</v>
      </c>
      <c r="AV72" t="n">
        <v>17840.356</v>
      </c>
      <c r="AW72" t="n">
        <v>23723.592</v>
      </c>
      <c r="AX72" t="n">
        <v>29337.333</v>
      </c>
      <c r="AY72" t="n">
        <v>27011.033</v>
      </c>
      <c r="AZ72" t="n">
        <v>22622.485</v>
      </c>
      <c r="BA72" t="n">
        <v>16540.229</v>
      </c>
      <c r="BB72" t="n">
        <v>16596.315</v>
      </c>
      <c r="BC72" t="n">
        <v>13567.334</v>
      </c>
      <c r="BD72" t="n">
        <v>18930.759</v>
      </c>
      <c r="BE72" t="n">
        <v>18592.961</v>
      </c>
      <c r="BF72" t="n">
        <v>18876.588</v>
      </c>
      <c r="BG72" t="n">
        <v>15842.896</v>
      </c>
      <c r="BH72" t="n">
        <v>17267.391</v>
      </c>
      <c r="BI72" t="n">
        <v>19408.886</v>
      </c>
      <c r="BJ72" t="n">
        <v>20266.643</v>
      </c>
      <c r="BK72" t="n">
        <v>20294.827</v>
      </c>
      <c r="BL72" t="n">
        <v>18662.859</v>
      </c>
      <c r="BM72" t="n">
        <v>18521.532</v>
      </c>
      <c r="BN72" t="n">
        <v>18131.631</v>
      </c>
      <c r="BO72" t="n">
        <v>19186.99</v>
      </c>
      <c r="BP72" t="n">
        <v>19597.323</v>
      </c>
      <c r="BQ72" t="n">
        <v>19866.249</v>
      </c>
      <c r="BR72" t="n">
        <v>21676.633</v>
      </c>
      <c r="BS72" t="n">
        <v>21170.072</v>
      </c>
      <c r="BT72" t="n">
        <v>19158.3</v>
      </c>
      <c r="BU72" t="n">
        <v>20640.659</v>
      </c>
      <c r="BV72" t="n">
        <v>21657.437</v>
      </c>
    </row>
    <row r="73">
      <c r="A73" t="inlineStr">
        <is>
          <t>Mugil cephalus</t>
        </is>
      </c>
      <c r="B73" t="inlineStr">
        <is>
          <t>Flathead grey mullet</t>
        </is>
      </c>
      <c r="C73" t="inlineStr">
        <is>
          <t>Large benthopelagics (&gt;=90 cm)</t>
        </is>
      </c>
      <c r="D73" t="inlineStr">
        <is>
          <t>Perch-likes</t>
        </is>
      </c>
      <c r="E73" t="n">
        <v>1178.677</v>
      </c>
      <c r="F73" t="n">
        <v>1856.201</v>
      </c>
      <c r="G73" t="n">
        <v>2471.44</v>
      </c>
      <c r="H73" t="n">
        <v>2538.533</v>
      </c>
      <c r="I73" t="n">
        <v>1473.732</v>
      </c>
      <c r="J73" t="n">
        <v>933.653</v>
      </c>
      <c r="K73" t="n">
        <v>1616.874</v>
      </c>
      <c r="L73" t="n">
        <v>1034.469</v>
      </c>
      <c r="M73" t="n">
        <v>991.578</v>
      </c>
      <c r="N73" t="n">
        <v>1136.821</v>
      </c>
      <c r="O73" t="n">
        <v>1068.825</v>
      </c>
      <c r="P73" t="n">
        <v>1433.161</v>
      </c>
      <c r="Q73" t="n">
        <v>1527.516</v>
      </c>
      <c r="R73" t="n">
        <v>1219.023</v>
      </c>
      <c r="S73" t="n">
        <v>2291.609</v>
      </c>
      <c r="T73" t="n">
        <v>1099.728</v>
      </c>
      <c r="U73" t="n">
        <v>1584.157</v>
      </c>
      <c r="V73" t="n">
        <v>1697.168</v>
      </c>
      <c r="W73" t="n">
        <v>1161.015</v>
      </c>
      <c r="X73" t="n">
        <v>2107.376</v>
      </c>
      <c r="Y73" t="n">
        <v>1049.89</v>
      </c>
      <c r="Z73" t="n">
        <v>1257.795</v>
      </c>
      <c r="AA73" t="n">
        <v>493.122</v>
      </c>
      <c r="AB73" t="n">
        <v>835.526</v>
      </c>
      <c r="AC73" t="n">
        <v>827.49</v>
      </c>
      <c r="AD73" t="n">
        <v>2592.666</v>
      </c>
      <c r="AE73" t="n">
        <v>1556.556</v>
      </c>
      <c r="AF73" t="n">
        <v>1291.24</v>
      </c>
      <c r="AG73" t="n">
        <v>1297.98</v>
      </c>
      <c r="AH73" t="n">
        <v>4024.734</v>
      </c>
      <c r="AI73" t="n">
        <v>1922.237</v>
      </c>
      <c r="AJ73" t="n">
        <v>3108.746</v>
      </c>
      <c r="AK73" t="n">
        <v>1174.24</v>
      </c>
      <c r="AL73" t="n">
        <v>1382.364</v>
      </c>
      <c r="AM73" t="n">
        <v>923.229</v>
      </c>
      <c r="AN73" t="n">
        <v>2168.754</v>
      </c>
      <c r="AO73" t="n">
        <v>963.235</v>
      </c>
      <c r="AP73" t="n">
        <v>1006.891</v>
      </c>
      <c r="AQ73" t="n">
        <v>900.774</v>
      </c>
      <c r="AR73" t="n">
        <v>809.995</v>
      </c>
      <c r="AS73" t="n">
        <v>607.193</v>
      </c>
      <c r="AT73" t="n">
        <v>437.281</v>
      </c>
      <c r="AU73" t="n">
        <v>1345.883</v>
      </c>
      <c r="AV73" t="n">
        <v>893.2329999999999</v>
      </c>
      <c r="AW73" t="n">
        <v>627.963</v>
      </c>
      <c r="AX73" t="n">
        <v>28849.327</v>
      </c>
      <c r="AY73" t="n">
        <v>27975.569</v>
      </c>
      <c r="AZ73" t="n">
        <v>33934.168</v>
      </c>
      <c r="BA73" t="n">
        <v>35014.52</v>
      </c>
      <c r="BB73" t="n">
        <v>33830.571</v>
      </c>
      <c r="BC73" t="n">
        <v>31472.508</v>
      </c>
      <c r="BD73" t="n">
        <v>39133.172</v>
      </c>
      <c r="BE73" t="n">
        <v>36151.477</v>
      </c>
      <c r="BF73" t="n">
        <v>44963.796</v>
      </c>
      <c r="BG73" t="n">
        <v>52584.966</v>
      </c>
      <c r="BH73" t="n">
        <v>34019.865</v>
      </c>
      <c r="BI73" t="n">
        <v>26874.597</v>
      </c>
      <c r="BJ73" t="n">
        <v>21299.796</v>
      </c>
      <c r="BK73" t="n">
        <v>25355.966</v>
      </c>
      <c r="BL73" t="n">
        <v>31697.774</v>
      </c>
      <c r="BM73" t="n">
        <v>31922.029</v>
      </c>
      <c r="BN73" t="n">
        <v>38191.44</v>
      </c>
      <c r="BO73" t="n">
        <v>38300.69</v>
      </c>
      <c r="BP73" t="n">
        <v>40349.843</v>
      </c>
      <c r="BQ73" t="n">
        <v>45007.053</v>
      </c>
      <c r="BR73" t="n">
        <v>46735.176</v>
      </c>
      <c r="BS73" t="n">
        <v>38843.301</v>
      </c>
      <c r="BT73" t="n">
        <v>38054.652</v>
      </c>
      <c r="BU73" t="n">
        <v>33698.348</v>
      </c>
      <c r="BV73" t="n">
        <v>31485.418</v>
      </c>
    </row>
    <row r="74">
      <c r="A74" t="inlineStr">
        <is>
          <t>Cephalopoda</t>
        </is>
      </c>
      <c r="B74" t="inlineStr">
        <is>
          <t>Squids, cuttlefishes, octopuses</t>
        </is>
      </c>
      <c r="C74" t="inlineStr">
        <is>
          <t>Cephalopods</t>
        </is>
      </c>
      <c r="D74" t="inlineStr">
        <is>
          <t>Other fishes &amp; inverts</t>
        </is>
      </c>
      <c r="E74" t="n">
        <v>825.586</v>
      </c>
      <c r="F74" t="n">
        <v>752.103</v>
      </c>
      <c r="G74" t="n">
        <v>755.569</v>
      </c>
      <c r="H74" t="n">
        <v>658.386</v>
      </c>
      <c r="I74" t="n">
        <v>1167.755</v>
      </c>
      <c r="J74" t="n">
        <v>936.087</v>
      </c>
      <c r="K74" t="n">
        <v>876.845</v>
      </c>
      <c r="L74" t="n">
        <v>903.08</v>
      </c>
      <c r="M74" t="n">
        <v>585.194</v>
      </c>
      <c r="N74" t="n">
        <v>1498.909</v>
      </c>
      <c r="O74" t="n">
        <v>759.936</v>
      </c>
      <c r="P74" t="n">
        <v>1031.943</v>
      </c>
      <c r="Q74" t="n">
        <v>1817.396</v>
      </c>
      <c r="R74" t="n">
        <v>1646.917</v>
      </c>
      <c r="S74" t="n">
        <v>994.723</v>
      </c>
      <c r="T74" t="n">
        <v>1495.8</v>
      </c>
      <c r="U74" t="n">
        <v>2725.067</v>
      </c>
      <c r="V74" t="n">
        <v>1824.047</v>
      </c>
      <c r="W74" t="n">
        <v>3497.021</v>
      </c>
      <c r="X74" t="n">
        <v>4781.065</v>
      </c>
      <c r="Y74" t="n">
        <v>5415.941</v>
      </c>
      <c r="Z74" t="n">
        <v>4458.985</v>
      </c>
      <c r="AA74" t="n">
        <v>7460.098</v>
      </c>
      <c r="AB74" t="n">
        <v>6999.792</v>
      </c>
      <c r="AC74" t="n">
        <v>8376.709999999999</v>
      </c>
      <c r="AD74" t="n">
        <v>11136.508</v>
      </c>
      <c r="AE74" t="n">
        <v>8181.595</v>
      </c>
      <c r="AF74" t="n">
        <v>5787.865</v>
      </c>
      <c r="AG74" t="n">
        <v>7394.991</v>
      </c>
      <c r="AH74" t="n">
        <v>8651.788</v>
      </c>
      <c r="AI74" t="n">
        <v>5956.085</v>
      </c>
      <c r="AJ74" t="n">
        <v>7993.333</v>
      </c>
      <c r="AK74" t="n">
        <v>7778.967</v>
      </c>
      <c r="AL74" t="n">
        <v>7223.697</v>
      </c>
      <c r="AM74" t="n">
        <v>8748.438</v>
      </c>
      <c r="AN74" t="n">
        <v>7411.114</v>
      </c>
      <c r="AO74" t="n">
        <v>7157.525</v>
      </c>
      <c r="AP74" t="n">
        <v>7589.113</v>
      </c>
      <c r="AQ74" t="n">
        <v>6988.925</v>
      </c>
      <c r="AR74" t="n">
        <v>18811.542</v>
      </c>
      <c r="AS74" t="n">
        <v>11028.442</v>
      </c>
      <c r="AT74" t="n">
        <v>8325.465</v>
      </c>
      <c r="AU74" t="n">
        <v>20469.104</v>
      </c>
      <c r="AV74" t="n">
        <v>25627.498</v>
      </c>
      <c r="AW74" t="n">
        <v>26411.008</v>
      </c>
      <c r="AX74" t="n">
        <v>20022.725</v>
      </c>
      <c r="AY74" t="n">
        <v>17480.3</v>
      </c>
      <c r="AZ74" t="n">
        <v>27603.993</v>
      </c>
      <c r="BA74" t="n">
        <v>17199.637</v>
      </c>
      <c r="BB74" t="n">
        <v>12302.192</v>
      </c>
      <c r="BC74" t="n">
        <v>15075.603</v>
      </c>
      <c r="BD74" t="n">
        <v>16397.851</v>
      </c>
      <c r="BE74" t="n">
        <v>16021.767</v>
      </c>
      <c r="BF74" t="n">
        <v>21722.339</v>
      </c>
      <c r="BG74" t="n">
        <v>18750.053</v>
      </c>
      <c r="BH74" t="n">
        <v>33998.769</v>
      </c>
      <c r="BI74" t="n">
        <v>26842.741</v>
      </c>
      <c r="BJ74" t="n">
        <v>30283.375</v>
      </c>
      <c r="BK74" t="n">
        <v>33615.661</v>
      </c>
      <c r="BL74" t="n">
        <v>33656.556</v>
      </c>
      <c r="BM74" t="n">
        <v>33810.772</v>
      </c>
      <c r="BN74" t="n">
        <v>33198.255</v>
      </c>
      <c r="BO74" t="n">
        <v>37546.757</v>
      </c>
      <c r="BP74" t="n">
        <v>38269.774</v>
      </c>
      <c r="BQ74" t="n">
        <v>31178.712</v>
      </c>
      <c r="BR74" t="n">
        <v>29694.587</v>
      </c>
      <c r="BS74" t="n">
        <v>30818.22</v>
      </c>
      <c r="BT74" t="n">
        <v>31111.877</v>
      </c>
      <c r="BU74" t="n">
        <v>28092.327</v>
      </c>
      <c r="BV74" t="n">
        <v>29488.329</v>
      </c>
    </row>
    <row r="75">
      <c r="A75" t="inlineStr">
        <is>
          <t>Leiognathus</t>
        </is>
      </c>
      <c r="B75" t="inlineStr">
        <is>
          <t>Ponyfishes</t>
        </is>
      </c>
      <c r="C75" t="inlineStr">
        <is>
          <t>Small benthopelagics (&lt;30 cm)</t>
        </is>
      </c>
      <c r="D75" t="inlineStr">
        <is>
          <t>Perch-likes</t>
        </is>
      </c>
      <c r="E75" t="n">
        <v>725.566</v>
      </c>
      <c r="F75" t="n">
        <v>810.295</v>
      </c>
      <c r="G75" t="n">
        <v>895.802</v>
      </c>
      <c r="H75" t="n">
        <v>913.485</v>
      </c>
      <c r="I75" t="n">
        <v>983.789</v>
      </c>
      <c r="J75" t="n">
        <v>1018.993</v>
      </c>
      <c r="K75" t="n">
        <v>1037.947</v>
      </c>
      <c r="L75" t="n">
        <v>1006.137</v>
      </c>
      <c r="M75" t="n">
        <v>1044.485</v>
      </c>
      <c r="N75" t="n">
        <v>997.072</v>
      </c>
      <c r="O75" t="n">
        <v>1034.628</v>
      </c>
      <c r="P75" t="n">
        <v>1638.449</v>
      </c>
      <c r="Q75" t="n">
        <v>2050.546</v>
      </c>
      <c r="R75" t="n">
        <v>2508.364</v>
      </c>
      <c r="S75" t="n">
        <v>3053.381</v>
      </c>
      <c r="T75" t="n">
        <v>3946.431</v>
      </c>
      <c r="U75" t="n">
        <v>4811.324</v>
      </c>
      <c r="V75" t="n">
        <v>4610.7</v>
      </c>
      <c r="W75" t="n">
        <v>4981.201</v>
      </c>
      <c r="X75" t="n">
        <v>5401.878</v>
      </c>
      <c r="Y75" t="n">
        <v>6306.834</v>
      </c>
      <c r="Z75" t="n">
        <v>6400.721</v>
      </c>
      <c r="AA75" t="n">
        <v>6152.687</v>
      </c>
      <c r="AB75" t="n">
        <v>6892.705</v>
      </c>
      <c r="AC75" t="n">
        <v>7108.346</v>
      </c>
      <c r="AD75" t="n">
        <v>9156.281999999999</v>
      </c>
      <c r="AE75" t="n">
        <v>11286.68</v>
      </c>
      <c r="AF75" t="n">
        <v>12829.174</v>
      </c>
      <c r="AG75" t="n">
        <v>13445.633</v>
      </c>
      <c r="AH75" t="n">
        <v>15181.623</v>
      </c>
      <c r="AI75" t="n">
        <v>14898.05</v>
      </c>
      <c r="AJ75" t="n">
        <v>14695.816</v>
      </c>
      <c r="AK75" t="n">
        <v>14282.164</v>
      </c>
      <c r="AL75" t="n">
        <v>13733.393</v>
      </c>
      <c r="AM75" t="n">
        <v>14095.318</v>
      </c>
      <c r="AN75" t="n">
        <v>14907.765</v>
      </c>
      <c r="AO75" t="n">
        <v>15207.155</v>
      </c>
      <c r="AP75" t="n">
        <v>14185.272</v>
      </c>
      <c r="AQ75" t="n">
        <v>18052.309</v>
      </c>
      <c r="AR75" t="n">
        <v>18789.517</v>
      </c>
      <c r="AS75" t="n">
        <v>16304.369</v>
      </c>
      <c r="AT75" t="n">
        <v>15595.867</v>
      </c>
      <c r="AU75" t="n">
        <v>15762.408</v>
      </c>
      <c r="AV75" t="n">
        <v>17332.879</v>
      </c>
      <c r="AW75" t="n">
        <v>19078.168</v>
      </c>
      <c r="AX75" t="n">
        <v>21596.883</v>
      </c>
      <c r="AY75" t="n">
        <v>21573.301</v>
      </c>
      <c r="AZ75" t="n">
        <v>27734.08</v>
      </c>
      <c r="BA75" t="n">
        <v>20718.634</v>
      </c>
      <c r="BB75" t="n">
        <v>23389.975</v>
      </c>
      <c r="BC75" t="n">
        <v>16178.017</v>
      </c>
      <c r="BD75" t="n">
        <v>19825.362</v>
      </c>
      <c r="BE75" t="n">
        <v>23598.018</v>
      </c>
      <c r="BF75" t="n">
        <v>22218.087</v>
      </c>
      <c r="BG75" t="n">
        <v>21164.056</v>
      </c>
      <c r="BH75" t="n">
        <v>19149.197</v>
      </c>
      <c r="BI75" t="n">
        <v>16207.47</v>
      </c>
      <c r="BJ75" t="n">
        <v>14736.599</v>
      </c>
      <c r="BK75" t="n">
        <v>17906.133</v>
      </c>
      <c r="BL75" t="n">
        <v>16805.823</v>
      </c>
      <c r="BM75" t="n">
        <v>18583.961</v>
      </c>
      <c r="BN75" t="n">
        <v>19170.709</v>
      </c>
      <c r="BO75" t="n">
        <v>19495.784</v>
      </c>
      <c r="BP75" t="n">
        <v>19832.154</v>
      </c>
      <c r="BQ75" t="n">
        <v>21176.967</v>
      </c>
      <c r="BR75" t="n">
        <v>23718.799</v>
      </c>
      <c r="BS75" t="n">
        <v>22751.497</v>
      </c>
      <c r="BT75" t="n">
        <v>20409.715</v>
      </c>
      <c r="BU75" t="n">
        <v>22952.983</v>
      </c>
      <c r="BV75" t="n">
        <v>25367.831</v>
      </c>
    </row>
    <row r="76">
      <c r="A76" t="inlineStr">
        <is>
          <t>Octopodidae</t>
        </is>
      </c>
      <c r="B76" t="inlineStr">
        <is>
          <t>Octopuses</t>
        </is>
      </c>
      <c r="C76" t="inlineStr">
        <is>
          <t>Cephalopods</t>
        </is>
      </c>
      <c r="D76" t="inlineStr">
        <is>
          <t>Other fishes &amp; inverts</t>
        </is>
      </c>
      <c r="E76" t="n">
        <v>13.153</v>
      </c>
      <c r="F76" t="n">
        <v>13.692</v>
      </c>
      <c r="G76" t="n">
        <v>15.302</v>
      </c>
      <c r="H76" t="n">
        <v>16.102</v>
      </c>
      <c r="I76" t="n">
        <v>17.327</v>
      </c>
      <c r="J76" t="n">
        <v>72.79900000000001</v>
      </c>
      <c r="K76" t="n">
        <v>74.05500000000001</v>
      </c>
      <c r="L76" t="n">
        <v>75.664</v>
      </c>
      <c r="M76" t="n">
        <v>134.041</v>
      </c>
      <c r="N76" t="n">
        <v>135.847</v>
      </c>
      <c r="O76" t="n">
        <v>245.789</v>
      </c>
      <c r="P76" t="n">
        <v>247.14</v>
      </c>
      <c r="Q76" t="n">
        <v>304.002</v>
      </c>
      <c r="R76" t="n">
        <v>440.041</v>
      </c>
      <c r="S76" t="n">
        <v>328.896</v>
      </c>
      <c r="T76" t="n">
        <v>441.067</v>
      </c>
      <c r="U76" t="n">
        <v>558.301</v>
      </c>
      <c r="V76" t="n">
        <v>540.737</v>
      </c>
      <c r="W76" t="n">
        <v>813.963</v>
      </c>
      <c r="X76" t="n">
        <v>492.285</v>
      </c>
      <c r="Y76" t="n">
        <v>660.83</v>
      </c>
      <c r="Z76" t="n">
        <v>1580.187</v>
      </c>
      <c r="AA76" t="n">
        <v>2009.209</v>
      </c>
      <c r="AB76" t="n">
        <v>1617.558</v>
      </c>
      <c r="AC76" t="n">
        <v>933.192</v>
      </c>
      <c r="AD76" t="n">
        <v>1183.243</v>
      </c>
      <c r="AE76" t="n">
        <v>1496.395</v>
      </c>
      <c r="AF76" t="n">
        <v>1882.623</v>
      </c>
      <c r="AG76" t="n">
        <v>1781.386</v>
      </c>
      <c r="AH76" t="n">
        <v>2054.855</v>
      </c>
      <c r="AI76" t="n">
        <v>1998.132</v>
      </c>
      <c r="AJ76" t="n">
        <v>1798.805</v>
      </c>
      <c r="AK76" t="n">
        <v>2395.952</v>
      </c>
      <c r="AL76" t="n">
        <v>2471.217</v>
      </c>
      <c r="AM76" t="n">
        <v>2618.86</v>
      </c>
      <c r="AN76" t="n">
        <v>3284.836</v>
      </c>
      <c r="AO76" t="n">
        <v>3053.07</v>
      </c>
      <c r="AP76" t="n">
        <v>2423.632</v>
      </c>
      <c r="AQ76" t="n">
        <v>2403.691</v>
      </c>
      <c r="AR76" t="n">
        <v>4266.99</v>
      </c>
      <c r="AS76" t="n">
        <v>8692.044</v>
      </c>
      <c r="AT76" t="n">
        <v>6054.453</v>
      </c>
      <c r="AU76" t="n">
        <v>6708.465</v>
      </c>
      <c r="AV76" t="n">
        <v>7061.609</v>
      </c>
      <c r="AW76" t="n">
        <v>14260.41</v>
      </c>
      <c r="AX76" t="n">
        <v>17833.884</v>
      </c>
      <c r="AY76" t="n">
        <v>16328.675</v>
      </c>
      <c r="AZ76" t="n">
        <v>16070.841</v>
      </c>
      <c r="BA76" t="n">
        <v>18651.881</v>
      </c>
      <c r="BB76" t="n">
        <v>18555.875</v>
      </c>
      <c r="BC76" t="n">
        <v>27822.865</v>
      </c>
      <c r="BD76" t="n">
        <v>28197.781</v>
      </c>
      <c r="BE76" t="n">
        <v>28450.721</v>
      </c>
      <c r="BF76" t="n">
        <v>29054.721</v>
      </c>
      <c r="BG76" t="n">
        <v>28424.107</v>
      </c>
      <c r="BH76" t="n">
        <v>29838.416</v>
      </c>
      <c r="BI76" t="n">
        <v>29387.043</v>
      </c>
      <c r="BJ76" t="n">
        <v>30440.107</v>
      </c>
      <c r="BK76" t="n">
        <v>30861.281</v>
      </c>
      <c r="BL76" t="n">
        <v>30894.923</v>
      </c>
      <c r="BM76" t="n">
        <v>31004.678</v>
      </c>
      <c r="BN76" t="n">
        <v>34557.804</v>
      </c>
      <c r="BO76" t="n">
        <v>34576.045</v>
      </c>
      <c r="BP76" t="n">
        <v>35869.686</v>
      </c>
      <c r="BQ76" t="n">
        <v>37214.127</v>
      </c>
      <c r="BR76" t="n">
        <v>38421.197</v>
      </c>
      <c r="BS76" t="n">
        <v>38790.03</v>
      </c>
      <c r="BT76" t="n">
        <v>42044.927</v>
      </c>
      <c r="BU76" t="n">
        <v>32952.764</v>
      </c>
      <c r="BV76" t="n">
        <v>45109.625</v>
      </c>
    </row>
    <row r="77">
      <c r="A77" t="inlineStr">
        <is>
          <t>Dasyatis</t>
        </is>
      </c>
      <c r="B77" t="inlineStr">
        <is>
          <t>Rough whip stingrays</t>
        </is>
      </c>
      <c r="C77" t="inlineStr">
        <is>
          <t>Large rays (&gt;=90 cm)</t>
        </is>
      </c>
      <c r="D77" t="inlineStr">
        <is>
          <t>Sharks &amp; rays</t>
        </is>
      </c>
      <c r="E77" t="n">
        <v>442.347</v>
      </c>
      <c r="F77" t="n">
        <v>505.725</v>
      </c>
      <c r="G77" t="n">
        <v>569.104</v>
      </c>
      <c r="H77" t="n">
        <v>570.022</v>
      </c>
      <c r="I77" t="n">
        <v>601.9640000000001</v>
      </c>
      <c r="J77" t="n">
        <v>632.879</v>
      </c>
      <c r="K77" t="n">
        <v>633.409</v>
      </c>
      <c r="L77" t="n">
        <v>632.54</v>
      </c>
      <c r="M77" t="n">
        <v>633.665</v>
      </c>
      <c r="N77" t="n">
        <v>602.182</v>
      </c>
      <c r="O77" t="n">
        <v>632.838</v>
      </c>
      <c r="P77" t="n">
        <v>1126.908</v>
      </c>
      <c r="Q77" t="n">
        <v>1486.377</v>
      </c>
      <c r="R77" t="n">
        <v>1870.375</v>
      </c>
      <c r="S77" t="n">
        <v>2312.402</v>
      </c>
      <c r="T77" t="n">
        <v>2985.671</v>
      </c>
      <c r="U77" t="n">
        <v>3682.279</v>
      </c>
      <c r="V77" t="n">
        <v>3481.243</v>
      </c>
      <c r="W77" t="n">
        <v>3708.412</v>
      </c>
      <c r="X77" t="n">
        <v>4075.252</v>
      </c>
      <c r="Y77" t="n">
        <v>4053.282</v>
      </c>
      <c r="Z77" t="n">
        <v>4146.937</v>
      </c>
      <c r="AA77" t="n">
        <v>3909.152</v>
      </c>
      <c r="AB77" t="n">
        <v>5343.584</v>
      </c>
      <c r="AC77" t="n">
        <v>5468.682</v>
      </c>
      <c r="AD77" t="n">
        <v>6671.746</v>
      </c>
      <c r="AE77" t="n">
        <v>8715.389999999999</v>
      </c>
      <c r="AF77" t="n">
        <v>8293.614</v>
      </c>
      <c r="AG77" t="n">
        <v>8702.92</v>
      </c>
      <c r="AH77" t="n">
        <v>8592.625</v>
      </c>
      <c r="AI77" t="n">
        <v>9369.309999999999</v>
      </c>
      <c r="AJ77" t="n">
        <v>9554.513999999999</v>
      </c>
      <c r="AK77" t="n">
        <v>9721.706</v>
      </c>
      <c r="AL77" t="n">
        <v>11283.147</v>
      </c>
      <c r="AM77" t="n">
        <v>11029.196</v>
      </c>
      <c r="AN77" t="n">
        <v>12431.007</v>
      </c>
      <c r="AO77" t="n">
        <v>11776.764</v>
      </c>
      <c r="AP77" t="n">
        <v>14190.98</v>
      </c>
      <c r="AQ77" t="n">
        <v>14806.13</v>
      </c>
      <c r="AR77" t="n">
        <v>15183.25</v>
      </c>
      <c r="AS77" t="n">
        <v>15375.847</v>
      </c>
      <c r="AT77" t="n">
        <v>16651.795</v>
      </c>
      <c r="AU77" t="n">
        <v>15766.025</v>
      </c>
      <c r="AV77" t="n">
        <v>15874.306</v>
      </c>
      <c r="AW77" t="n">
        <v>16076.892</v>
      </c>
      <c r="AX77" t="n">
        <v>16563.116</v>
      </c>
      <c r="AY77" t="n">
        <v>17461.624</v>
      </c>
      <c r="AZ77" t="n">
        <v>18657.638</v>
      </c>
      <c r="BA77" t="n">
        <v>17920.81</v>
      </c>
      <c r="BB77" t="n">
        <v>18716.331</v>
      </c>
      <c r="BC77" t="n">
        <v>17842.69</v>
      </c>
      <c r="BD77" t="n">
        <v>15417.523</v>
      </c>
      <c r="BE77" t="n">
        <v>21168.201</v>
      </c>
      <c r="BF77" t="n">
        <v>24518.547</v>
      </c>
      <c r="BG77" t="n">
        <v>25049.57</v>
      </c>
      <c r="BH77" t="n">
        <v>14704.274</v>
      </c>
      <c r="BI77" t="n">
        <v>15447.205</v>
      </c>
      <c r="BJ77" t="n">
        <v>19987.383</v>
      </c>
      <c r="BK77" t="n">
        <v>20255.534</v>
      </c>
      <c r="BL77" t="n">
        <v>26767.062</v>
      </c>
      <c r="BM77" t="n">
        <v>20937.335</v>
      </c>
      <c r="BN77" t="n">
        <v>21678.773</v>
      </c>
      <c r="BO77" t="n">
        <v>21914.036</v>
      </c>
      <c r="BP77" t="n">
        <v>22261.509</v>
      </c>
      <c r="BQ77" t="n">
        <v>23987.46</v>
      </c>
      <c r="BR77" t="n">
        <v>26894.148</v>
      </c>
      <c r="BS77" t="n">
        <v>25405.111</v>
      </c>
      <c r="BT77" t="n">
        <v>22714.56</v>
      </c>
      <c r="BU77" t="n">
        <v>25847.219</v>
      </c>
      <c r="BV77" t="n">
        <v>28159.882</v>
      </c>
    </row>
    <row r="78">
      <c r="A78" t="inlineStr">
        <is>
          <t>Euthynnus affinis</t>
        </is>
      </c>
      <c r="B78" t="inlineStr">
        <is>
          <t>Kawakawa</t>
        </is>
      </c>
      <c r="C78" t="inlineStr">
        <is>
          <t>Large pelagics (&gt;=90 cm)</t>
        </is>
      </c>
      <c r="D78" t="inlineStr">
        <is>
          <t>Tuna &amp; billfishes</t>
        </is>
      </c>
      <c r="E78" t="n">
        <v>3577.523</v>
      </c>
      <c r="F78" t="n">
        <v>4288.451</v>
      </c>
      <c r="G78" t="n">
        <v>4576.896</v>
      </c>
      <c r="H78" t="n">
        <v>4578.088</v>
      </c>
      <c r="I78" t="n">
        <v>5293.523</v>
      </c>
      <c r="J78" t="n">
        <v>5558.892</v>
      </c>
      <c r="K78" t="n">
        <v>5944.215</v>
      </c>
      <c r="L78" t="n">
        <v>5862.4</v>
      </c>
      <c r="M78" t="n">
        <v>6106.903</v>
      </c>
      <c r="N78" t="n">
        <v>6157.039</v>
      </c>
      <c r="O78" t="n">
        <v>6633.313</v>
      </c>
      <c r="P78" t="n">
        <v>6632.716</v>
      </c>
      <c r="Q78" t="n">
        <v>6769.589</v>
      </c>
      <c r="R78" t="n">
        <v>7315.861</v>
      </c>
      <c r="S78" t="n">
        <v>7573.282</v>
      </c>
      <c r="T78" t="n">
        <v>8029.756</v>
      </c>
      <c r="U78" t="n">
        <v>8065.451</v>
      </c>
      <c r="V78" t="n">
        <v>8491.620999999999</v>
      </c>
      <c r="W78" t="n">
        <v>9547.531000000001</v>
      </c>
      <c r="X78" t="n">
        <v>9317.493</v>
      </c>
      <c r="Y78" t="n">
        <v>10428.881</v>
      </c>
      <c r="Z78" t="n">
        <v>10559.714</v>
      </c>
      <c r="AA78" t="n">
        <v>11943.248</v>
      </c>
      <c r="AB78" t="n">
        <v>13225.858</v>
      </c>
      <c r="AC78" t="n">
        <v>13790.235</v>
      </c>
      <c r="AD78" t="n">
        <v>14744.082</v>
      </c>
      <c r="AE78" t="n">
        <v>14089.265</v>
      </c>
      <c r="AF78" t="n">
        <v>14615.146</v>
      </c>
      <c r="AG78" t="n">
        <v>14796.026</v>
      </c>
      <c r="AH78" t="n">
        <v>15534.14</v>
      </c>
      <c r="AI78" t="n">
        <v>16641.642</v>
      </c>
      <c r="AJ78" t="n">
        <v>13939.801</v>
      </c>
      <c r="AK78" t="n">
        <v>20022.587</v>
      </c>
      <c r="AL78" t="n">
        <v>18954.151</v>
      </c>
      <c r="AM78" t="n">
        <v>16481.612</v>
      </c>
      <c r="AN78" t="n">
        <v>17082.664</v>
      </c>
      <c r="AO78" t="n">
        <v>18212.192</v>
      </c>
      <c r="AP78" t="n">
        <v>19879.253</v>
      </c>
      <c r="AQ78" t="n">
        <v>20811.594</v>
      </c>
      <c r="AR78" t="n">
        <v>20146.417</v>
      </c>
      <c r="AS78" t="n">
        <v>21370.258</v>
      </c>
      <c r="AT78" t="n">
        <v>19633.717</v>
      </c>
      <c r="AU78" t="n">
        <v>11336.677</v>
      </c>
      <c r="AV78" t="n">
        <v>11616.106</v>
      </c>
      <c r="AW78" t="n">
        <v>11230.91</v>
      </c>
      <c r="AX78" t="n">
        <v>9438.469999999999</v>
      </c>
      <c r="AY78" t="n">
        <v>10526.881</v>
      </c>
      <c r="AZ78" t="n">
        <v>11146.842</v>
      </c>
      <c r="BA78" t="n">
        <v>10395.358</v>
      </c>
      <c r="BB78" t="n">
        <v>10796.807</v>
      </c>
      <c r="BC78" t="n">
        <v>11502.146</v>
      </c>
      <c r="BD78" t="n">
        <v>9888.432000000001</v>
      </c>
      <c r="BE78" t="n">
        <v>13772.205</v>
      </c>
      <c r="BF78" t="n">
        <v>14710.842</v>
      </c>
      <c r="BG78" t="n">
        <v>9837.091</v>
      </c>
      <c r="BH78" t="n">
        <v>29741.428</v>
      </c>
      <c r="BI78" t="n">
        <v>17450.355</v>
      </c>
      <c r="BJ78" t="n">
        <v>21202.899</v>
      </c>
      <c r="BK78" t="n">
        <v>24583.427</v>
      </c>
      <c r="BL78" t="n">
        <v>20292.273</v>
      </c>
      <c r="BM78" t="n">
        <v>21883.963</v>
      </c>
      <c r="BN78" t="n">
        <v>5015.447</v>
      </c>
      <c r="BO78" t="n">
        <v>5073.293</v>
      </c>
      <c r="BP78" t="n">
        <v>5089.79</v>
      </c>
      <c r="BQ78" t="n">
        <v>5134.763</v>
      </c>
      <c r="BR78" t="n">
        <v>5290.652</v>
      </c>
      <c r="BS78" t="n">
        <v>5546.063</v>
      </c>
      <c r="BT78" t="n">
        <v>5518.853</v>
      </c>
      <c r="BU78" t="n">
        <v>5352.492</v>
      </c>
      <c r="BV78" t="n">
        <v>5490.474</v>
      </c>
    </row>
    <row r="79">
      <c r="A79" t="inlineStr">
        <is>
          <t>Auxis</t>
        </is>
      </c>
      <c r="B79" t="inlineStr">
        <is>
          <t>Bullet and frigate tunas</t>
        </is>
      </c>
      <c r="C79" t="inlineStr">
        <is>
          <t>Medium pelagics (30 - 89 cm)</t>
        </is>
      </c>
      <c r="D79" t="inlineStr">
        <is>
          <t>Tuna &amp; billfishes</t>
        </is>
      </c>
      <c r="E79" t="n">
        <v>11593.517</v>
      </c>
      <c r="F79" t="n">
        <v>15553.56</v>
      </c>
      <c r="G79" t="n">
        <v>22404.648</v>
      </c>
      <c r="H79" t="n">
        <v>25074.46</v>
      </c>
      <c r="I79" t="n">
        <v>32712.489</v>
      </c>
      <c r="J79" t="n">
        <v>44632.874</v>
      </c>
      <c r="K79" t="n">
        <v>34607.987</v>
      </c>
      <c r="L79" t="n">
        <v>35051.011</v>
      </c>
      <c r="M79" t="n">
        <v>33140.731</v>
      </c>
      <c r="N79" t="n">
        <v>35084.529</v>
      </c>
      <c r="O79" t="n">
        <v>24524.594</v>
      </c>
      <c r="P79" t="n">
        <v>2246.884</v>
      </c>
      <c r="Q79" t="n">
        <v>2235.094</v>
      </c>
      <c r="R79" t="n">
        <v>1598.637</v>
      </c>
      <c r="S79" t="n">
        <v>2676.917</v>
      </c>
      <c r="T79" t="n">
        <v>2068.982</v>
      </c>
      <c r="U79" t="n">
        <v>2675.302</v>
      </c>
      <c r="V79" t="n">
        <v>1845.023</v>
      </c>
      <c r="W79" t="n">
        <v>2708.351</v>
      </c>
      <c r="X79" t="n">
        <v>2888.205</v>
      </c>
      <c r="Y79" t="n">
        <v>1287.034</v>
      </c>
      <c r="Z79" t="n">
        <v>3644.275</v>
      </c>
      <c r="AA79" t="n">
        <v>2920.19</v>
      </c>
      <c r="AB79" t="n">
        <v>2226.839</v>
      </c>
      <c r="AC79" t="n">
        <v>3143.01</v>
      </c>
      <c r="AD79" t="n">
        <v>2195.719</v>
      </c>
      <c r="AE79" t="n">
        <v>4654.91</v>
      </c>
      <c r="AF79" t="n">
        <v>60481.215</v>
      </c>
      <c r="AG79" t="n">
        <v>3157.688</v>
      </c>
      <c r="AH79" t="n">
        <v>7084.727</v>
      </c>
      <c r="AI79" t="n">
        <v>8839.814</v>
      </c>
      <c r="AJ79" t="n">
        <v>6562.379</v>
      </c>
      <c r="AK79" t="n">
        <v>3041.79</v>
      </c>
      <c r="AL79" t="n">
        <v>2669.85</v>
      </c>
      <c r="AM79" t="n">
        <v>2003.764</v>
      </c>
      <c r="AN79" t="n">
        <v>1547.868</v>
      </c>
      <c r="AO79" t="n">
        <v>1382.281</v>
      </c>
      <c r="AP79" t="n">
        <v>2169.206</v>
      </c>
      <c r="AQ79" t="n">
        <v>2456.956</v>
      </c>
      <c r="AR79" t="n">
        <v>12607.945</v>
      </c>
      <c r="AS79" t="n">
        <v>10878.881</v>
      </c>
      <c r="AT79" t="n">
        <v>7360.097</v>
      </c>
      <c r="AU79" t="n">
        <v>9860.178</v>
      </c>
      <c r="AV79" t="n">
        <v>10365</v>
      </c>
      <c r="AW79" t="n">
        <v>12425.209</v>
      </c>
      <c r="AX79" t="n">
        <v>14503.357</v>
      </c>
      <c r="AY79" t="n">
        <v>16514.518</v>
      </c>
      <c r="AZ79" t="n">
        <v>22850.946</v>
      </c>
      <c r="BA79" t="n">
        <v>22494.046</v>
      </c>
      <c r="BB79" t="n">
        <v>23415.718</v>
      </c>
      <c r="BC79" t="n">
        <v>13338.832</v>
      </c>
      <c r="BD79" t="n">
        <v>9714.937</v>
      </c>
      <c r="BE79" t="n">
        <v>10613.09</v>
      </c>
      <c r="BF79" t="n">
        <v>7969.536</v>
      </c>
      <c r="BG79" t="n">
        <v>15381.289</v>
      </c>
      <c r="BH79" t="n">
        <v>11888.771</v>
      </c>
      <c r="BI79" t="n">
        <v>9949.528</v>
      </c>
      <c r="BJ79" t="n">
        <v>5912.106</v>
      </c>
      <c r="BK79" t="n">
        <v>7852.102</v>
      </c>
      <c r="BL79" t="n">
        <v>17426.497</v>
      </c>
      <c r="BM79" t="n">
        <v>8527.35</v>
      </c>
      <c r="BN79" t="n">
        <v>8875.092000000001</v>
      </c>
      <c r="BO79" t="n">
        <v>16828.463</v>
      </c>
      <c r="BP79" t="n">
        <v>4361.81</v>
      </c>
      <c r="BQ79" t="n">
        <v>5016.979</v>
      </c>
      <c r="BR79" t="n">
        <v>4491.772</v>
      </c>
      <c r="BS79" t="n">
        <v>6053.848</v>
      </c>
      <c r="BT79" t="n">
        <v>6985.981</v>
      </c>
      <c r="BU79" t="n">
        <v>5536.606</v>
      </c>
      <c r="BV79" t="n">
        <v>6947.817</v>
      </c>
    </row>
    <row r="80">
      <c r="A80" t="inlineStr">
        <is>
          <t>Pampus argenteus</t>
        </is>
      </c>
      <c r="B80" t="inlineStr">
        <is>
          <t>Silver pomfret</t>
        </is>
      </c>
      <c r="C80" t="inlineStr">
        <is>
          <t>Medium benthopelagics (30 - 89 cm)</t>
        </is>
      </c>
      <c r="D80" t="inlineStr">
        <is>
          <t>Perch-likes</t>
        </is>
      </c>
      <c r="E80" t="n">
        <v>1057.85</v>
      </c>
      <c r="F80" t="n">
        <v>1226.116</v>
      </c>
      <c r="G80" t="n">
        <v>1314.741</v>
      </c>
      <c r="H80" t="n">
        <v>1364.513</v>
      </c>
      <c r="I80" t="n">
        <v>1613.879</v>
      </c>
      <c r="J80" t="n">
        <v>1489.393</v>
      </c>
      <c r="K80" t="n">
        <v>1912.492</v>
      </c>
      <c r="L80" t="n">
        <v>1491.303</v>
      </c>
      <c r="M80" t="n">
        <v>2967.546</v>
      </c>
      <c r="N80" t="n">
        <v>1495.511</v>
      </c>
      <c r="O80" t="n">
        <v>1548.167</v>
      </c>
      <c r="P80" t="n">
        <v>2046.267</v>
      </c>
      <c r="Q80" t="n">
        <v>2009.979</v>
      </c>
      <c r="R80" t="n">
        <v>2204.365</v>
      </c>
      <c r="S80" t="n">
        <v>2251.446</v>
      </c>
      <c r="T80" t="n">
        <v>2569.603</v>
      </c>
      <c r="U80" t="n">
        <v>2835.206</v>
      </c>
      <c r="V80" t="n">
        <v>2744.982</v>
      </c>
      <c r="W80" t="n">
        <v>2986.305</v>
      </c>
      <c r="X80" t="n">
        <v>3390.722</v>
      </c>
      <c r="Y80" t="n">
        <v>4828.034</v>
      </c>
      <c r="Z80" t="n">
        <v>6639.707</v>
      </c>
      <c r="AA80" t="n">
        <v>4922.928</v>
      </c>
      <c r="AB80" t="n">
        <v>9512.454</v>
      </c>
      <c r="AC80" t="n">
        <v>10606.703</v>
      </c>
      <c r="AD80" t="n">
        <v>12519.829</v>
      </c>
      <c r="AE80" t="n">
        <v>15017.14</v>
      </c>
      <c r="AF80" t="n">
        <v>11548.15</v>
      </c>
      <c r="AG80" t="n">
        <v>8584.241</v>
      </c>
      <c r="AH80" t="n">
        <v>7858.374</v>
      </c>
      <c r="AI80" t="n">
        <v>7451.363</v>
      </c>
      <c r="AJ80" t="n">
        <v>10070.721</v>
      </c>
      <c r="AK80" t="n">
        <v>9442.183000000001</v>
      </c>
      <c r="AL80" t="n">
        <v>9689.620999999999</v>
      </c>
      <c r="AM80" t="n">
        <v>8202.519</v>
      </c>
      <c r="AN80" t="n">
        <v>8312.864</v>
      </c>
      <c r="AO80" t="n">
        <v>9429.118</v>
      </c>
      <c r="AP80" t="n">
        <v>7232.063</v>
      </c>
      <c r="AQ80" t="n">
        <v>9268.584000000001</v>
      </c>
      <c r="AR80" t="n">
        <v>38891.061</v>
      </c>
      <c r="AS80" t="n">
        <v>23083.145</v>
      </c>
      <c r="AT80" t="n">
        <v>28974.713</v>
      </c>
      <c r="AU80" t="n">
        <v>34856.69</v>
      </c>
      <c r="AV80" t="n">
        <v>20907.784</v>
      </c>
      <c r="AW80" t="n">
        <v>25475.531</v>
      </c>
      <c r="AX80" t="n">
        <v>37750.772</v>
      </c>
      <c r="AY80" t="n">
        <v>39739.514</v>
      </c>
      <c r="AZ80" t="n">
        <v>19249.199</v>
      </c>
      <c r="BA80" t="n">
        <v>14869.07</v>
      </c>
      <c r="BB80" t="n">
        <v>20516.507</v>
      </c>
      <c r="BC80" t="n">
        <v>18104.616</v>
      </c>
      <c r="BD80" t="n">
        <v>25443.815</v>
      </c>
      <c r="BE80" t="n">
        <v>26556.113</v>
      </c>
      <c r="BF80" t="n">
        <v>15010.079</v>
      </c>
      <c r="BG80" t="n">
        <v>14351.039</v>
      </c>
      <c r="BH80" t="n">
        <v>10655.477</v>
      </c>
      <c r="BI80" t="n">
        <v>11272.103</v>
      </c>
      <c r="BJ80" t="n">
        <v>12968.838</v>
      </c>
      <c r="BK80" t="n">
        <v>15947.481</v>
      </c>
      <c r="BL80" t="n">
        <v>16838.294</v>
      </c>
      <c r="BM80" t="n">
        <v>9906.927</v>
      </c>
      <c r="BN80" t="n">
        <v>10193.231</v>
      </c>
      <c r="BO80" t="n">
        <v>10467.792</v>
      </c>
      <c r="BP80" t="n">
        <v>10452.13</v>
      </c>
      <c r="BQ80" t="n">
        <v>11160.041</v>
      </c>
      <c r="BR80" t="n">
        <v>12271.971</v>
      </c>
      <c r="BS80" t="n">
        <v>11824.681</v>
      </c>
      <c r="BT80" t="n">
        <v>10547.334</v>
      </c>
      <c r="BU80" t="n">
        <v>11893.467</v>
      </c>
      <c r="BV80" t="n">
        <v>12534.465</v>
      </c>
    </row>
    <row r="81">
      <c r="A81" t="inlineStr">
        <is>
          <t>Spratelloides gracilis</t>
        </is>
      </c>
      <c r="B81" t="inlineStr">
        <is>
          <t>Silver-stripe round herring</t>
        </is>
      </c>
      <c r="C81" t="inlineStr">
        <is>
          <t>Small pelagics (&lt;30 cm)</t>
        </is>
      </c>
      <c r="D81" t="inlineStr">
        <is>
          <t>Herring-likes</t>
        </is>
      </c>
      <c r="E81" t="n">
        <v>7.576</v>
      </c>
      <c r="F81" t="n">
        <v>38.138</v>
      </c>
      <c r="G81" t="n">
        <v>10.915</v>
      </c>
      <c r="H81" t="n">
        <v>26.548</v>
      </c>
      <c r="I81" t="n">
        <v>53525.393</v>
      </c>
      <c r="J81" t="n">
        <v>32791.044</v>
      </c>
      <c r="K81" t="n">
        <v>23251.514</v>
      </c>
      <c r="L81" t="n">
        <v>20133.186</v>
      </c>
      <c r="M81" t="n">
        <v>26516.664</v>
      </c>
      <c r="N81" t="n">
        <v>27206.586</v>
      </c>
      <c r="O81" t="n">
        <v>22662.535</v>
      </c>
      <c r="P81" t="n">
        <v>32839.732</v>
      </c>
      <c r="Q81" t="n">
        <v>30403.329</v>
      </c>
      <c r="R81" t="n">
        <v>43188.072</v>
      </c>
      <c r="S81" t="n">
        <v>28543.792</v>
      </c>
      <c r="T81" t="n">
        <v>28082.971</v>
      </c>
      <c r="U81" t="n">
        <v>28251.275</v>
      </c>
      <c r="V81" t="n">
        <v>29231.448</v>
      </c>
      <c r="W81" t="n">
        <v>20315.39</v>
      </c>
      <c r="X81" t="n">
        <v>23193.642</v>
      </c>
      <c r="Y81" t="n">
        <v>17893.975</v>
      </c>
      <c r="Z81" t="n">
        <v>22272.052</v>
      </c>
      <c r="AA81" t="n">
        <v>19281.659</v>
      </c>
      <c r="AB81" t="n">
        <v>18102.393</v>
      </c>
      <c r="AC81" t="n">
        <v>27280.776</v>
      </c>
      <c r="AD81" t="n">
        <v>28580.631</v>
      </c>
      <c r="AE81" t="n">
        <v>29570.142</v>
      </c>
      <c r="AF81" t="n">
        <v>13868.991</v>
      </c>
      <c r="AG81" t="n">
        <v>6769.448</v>
      </c>
      <c r="AH81" t="n">
        <v>4665.056</v>
      </c>
      <c r="AI81" t="n">
        <v>3551.134</v>
      </c>
      <c r="AJ81" t="n">
        <v>8840.082</v>
      </c>
      <c r="AK81" t="n">
        <v>11697.805</v>
      </c>
      <c r="AL81" t="n">
        <v>8924.115</v>
      </c>
      <c r="AM81" t="n">
        <v>5985.485</v>
      </c>
      <c r="AN81" t="n">
        <v>2574.147</v>
      </c>
      <c r="AO81" t="n">
        <v>2105.411</v>
      </c>
      <c r="AP81" t="n">
        <v>2334.146</v>
      </c>
      <c r="AQ81" t="n">
        <v>1990.517</v>
      </c>
      <c r="AR81" t="n">
        <v>1096.894</v>
      </c>
      <c r="AS81" t="n">
        <v>1339.705</v>
      </c>
      <c r="AT81" t="n">
        <v>1371.982</v>
      </c>
      <c r="AU81" t="n">
        <v>2708.815</v>
      </c>
      <c r="AV81" t="n">
        <v>2220.082</v>
      </c>
      <c r="AW81" t="n">
        <v>4936.634</v>
      </c>
      <c r="AX81" t="n">
        <v>3570.433</v>
      </c>
      <c r="AY81" t="n">
        <v>2947.027</v>
      </c>
      <c r="AZ81" t="n">
        <v>3088.238</v>
      </c>
      <c r="BA81" t="n">
        <v>3757.711</v>
      </c>
      <c r="BB81" t="n">
        <v>2644.223</v>
      </c>
      <c r="BC81" t="n">
        <v>2649.456</v>
      </c>
      <c r="BD81" t="n">
        <v>1843.422</v>
      </c>
      <c r="BE81" t="n">
        <v>3756.917</v>
      </c>
      <c r="BF81" t="n">
        <v>646.694</v>
      </c>
      <c r="BG81" t="n">
        <v>1198.804</v>
      </c>
      <c r="BH81" t="n">
        <v>424.226</v>
      </c>
      <c r="BI81" t="n">
        <v>903.377</v>
      </c>
      <c r="BJ81" t="n">
        <v>609.389</v>
      </c>
      <c r="BK81" t="n">
        <v>401.702</v>
      </c>
      <c r="BL81" t="n">
        <v>1065.235</v>
      </c>
      <c r="BM81" t="n">
        <v>786.563</v>
      </c>
      <c r="BN81" t="n">
        <v>910.184</v>
      </c>
      <c r="BO81" t="n">
        <v>917.751</v>
      </c>
      <c r="BP81" t="n">
        <v>939.1660000000001</v>
      </c>
      <c r="BQ81" t="n">
        <v>1274.132</v>
      </c>
      <c r="BR81" t="n">
        <v>786.067</v>
      </c>
      <c r="BS81" t="n">
        <v>654.753</v>
      </c>
      <c r="BT81" t="n">
        <v>616.128</v>
      </c>
      <c r="BU81" t="n">
        <v>585.5599999999999</v>
      </c>
      <c r="BV81" t="n">
        <v>560.2</v>
      </c>
    </row>
    <row r="82">
      <c r="A82" t="inlineStr">
        <is>
          <t>Bivalvia</t>
        </is>
      </c>
      <c r="B82" t="inlineStr">
        <is>
          <t>Clams</t>
        </is>
      </c>
      <c r="C82" t="inlineStr">
        <is>
          <t>Other demersal invertebrates</t>
        </is>
      </c>
      <c r="D82" t="inlineStr">
        <is>
          <t>Molluscs</t>
        </is>
      </c>
      <c r="E82" t="n">
        <v>4862.212</v>
      </c>
      <c r="F82" t="n">
        <v>5776.22</v>
      </c>
      <c r="G82" t="n">
        <v>5969.648</v>
      </c>
      <c r="H82" t="n">
        <v>6251.023</v>
      </c>
      <c r="I82" t="n">
        <v>9760.119000000001</v>
      </c>
      <c r="J82" t="n">
        <v>7000.384</v>
      </c>
      <c r="K82" t="n">
        <v>7439.463</v>
      </c>
      <c r="L82" t="n">
        <v>7509.742</v>
      </c>
      <c r="M82" t="n">
        <v>8353.627</v>
      </c>
      <c r="N82" t="n">
        <v>8455.366</v>
      </c>
      <c r="O82" t="n">
        <v>10473.337</v>
      </c>
      <c r="P82" t="n">
        <v>8753.034</v>
      </c>
      <c r="Q82" t="n">
        <v>10362.643</v>
      </c>
      <c r="R82" t="n">
        <v>8340.4</v>
      </c>
      <c r="S82" t="n">
        <v>9891.521000000001</v>
      </c>
      <c r="T82" t="n">
        <v>9419.846</v>
      </c>
      <c r="U82" t="n">
        <v>9405.725</v>
      </c>
      <c r="V82" t="n">
        <v>12556.141</v>
      </c>
      <c r="W82" t="n">
        <v>11266.676</v>
      </c>
      <c r="X82" t="n">
        <v>10968.434</v>
      </c>
      <c r="Y82" t="n">
        <v>9292.688</v>
      </c>
      <c r="Z82" t="n">
        <v>13998.017</v>
      </c>
      <c r="AA82" t="n">
        <v>17463.764</v>
      </c>
      <c r="AB82" t="n">
        <v>18534.816</v>
      </c>
      <c r="AC82" t="n">
        <v>10500.927</v>
      </c>
      <c r="AD82" t="n">
        <v>6185.291</v>
      </c>
      <c r="AE82" t="n">
        <v>7872.969</v>
      </c>
      <c r="AF82" t="n">
        <v>10599.345</v>
      </c>
      <c r="AG82" t="n">
        <v>8749.227000000001</v>
      </c>
      <c r="AH82" t="n">
        <v>7914.216</v>
      </c>
      <c r="AI82" t="n">
        <v>8533.576999999999</v>
      </c>
      <c r="AJ82" t="n">
        <v>7531.925</v>
      </c>
      <c r="AK82" t="n">
        <v>9614.806</v>
      </c>
      <c r="AL82" t="n">
        <v>9969.293</v>
      </c>
      <c r="AM82" t="n">
        <v>10115.782</v>
      </c>
      <c r="AN82" t="n">
        <v>11032.279</v>
      </c>
      <c r="AO82" t="n">
        <v>12333.937</v>
      </c>
      <c r="AP82" t="n">
        <v>14770.48</v>
      </c>
      <c r="AQ82" t="n">
        <v>15200.286</v>
      </c>
      <c r="AR82" t="n">
        <v>13492.181</v>
      </c>
      <c r="AS82" t="n">
        <v>18843.196</v>
      </c>
      <c r="AT82" t="n">
        <v>14357.713</v>
      </c>
      <c r="AU82" t="n">
        <v>17155.936</v>
      </c>
      <c r="AV82" t="n">
        <v>18485.988</v>
      </c>
      <c r="AW82" t="n">
        <v>25043.451</v>
      </c>
      <c r="AX82" t="n">
        <v>23885.865</v>
      </c>
      <c r="AY82" t="n">
        <v>32991.088</v>
      </c>
      <c r="AZ82" t="n">
        <v>9631.811</v>
      </c>
      <c r="BA82" t="n">
        <v>17486.576</v>
      </c>
      <c r="BB82" t="n">
        <v>12484.729</v>
      </c>
      <c r="BC82" t="n">
        <v>9952.919</v>
      </c>
      <c r="BD82" t="n">
        <v>14618.358</v>
      </c>
      <c r="BE82" t="n">
        <v>13275.021</v>
      </c>
      <c r="BF82" t="n">
        <v>16656.855</v>
      </c>
      <c r="BG82" t="n">
        <v>15060.617</v>
      </c>
      <c r="BH82" t="n">
        <v>10552.804</v>
      </c>
      <c r="BI82" t="n">
        <v>9833.594999999999</v>
      </c>
      <c r="BJ82" t="n">
        <v>8529.596</v>
      </c>
      <c r="BK82" t="n">
        <v>5160.75</v>
      </c>
      <c r="BL82" t="n">
        <v>5635.341</v>
      </c>
      <c r="BM82" t="n">
        <v>6259.493</v>
      </c>
      <c r="BN82" t="n">
        <v>6415.281</v>
      </c>
      <c r="BO82" t="n">
        <v>4759.991</v>
      </c>
      <c r="BP82" t="n">
        <v>5355.688</v>
      </c>
      <c r="BQ82" t="n">
        <v>5584.744</v>
      </c>
      <c r="BR82" t="n">
        <v>4884.142</v>
      </c>
      <c r="BS82" t="n">
        <v>5771.64</v>
      </c>
      <c r="BT82" t="n">
        <v>5563.268</v>
      </c>
      <c r="BU82" t="n">
        <v>3769.666</v>
      </c>
      <c r="BV82" t="n">
        <v>5402.273</v>
      </c>
    </row>
    <row r="83">
      <c r="A83" t="inlineStr">
        <is>
          <t>Dussumieria</t>
        </is>
      </c>
      <c r="B83" t="inlineStr">
        <is>
          <t>Rainbow sardines</t>
        </is>
      </c>
      <c r="C83" t="inlineStr">
        <is>
          <t>Small pelagics (&lt;30 cm)</t>
        </is>
      </c>
      <c r="D83" t="inlineStr">
        <is>
          <t>Herring-likes</t>
        </is>
      </c>
      <c r="E83" t="n">
        <v>1029.55</v>
      </c>
      <c r="F83" t="n">
        <v>1068.321</v>
      </c>
      <c r="G83" t="n">
        <v>1123.615</v>
      </c>
      <c r="H83" t="n">
        <v>1162.589</v>
      </c>
      <c r="I83" t="n">
        <v>1343.867</v>
      </c>
      <c r="J83" t="n">
        <v>1407.461</v>
      </c>
      <c r="K83" t="n">
        <v>1468.31</v>
      </c>
      <c r="L83" t="n">
        <v>1458.758</v>
      </c>
      <c r="M83" t="n">
        <v>1583.587</v>
      </c>
      <c r="N83" t="n">
        <v>1660.849</v>
      </c>
      <c r="O83" t="n">
        <v>1761.352</v>
      </c>
      <c r="P83" t="n">
        <v>1808.048</v>
      </c>
      <c r="Q83" t="n">
        <v>1969.161</v>
      </c>
      <c r="R83" t="n">
        <v>2295.893</v>
      </c>
      <c r="S83" t="n">
        <v>2592.37</v>
      </c>
      <c r="T83" t="n">
        <v>3545.073</v>
      </c>
      <c r="U83" t="n">
        <v>3820.904</v>
      </c>
      <c r="V83" t="n">
        <v>4458.653</v>
      </c>
      <c r="W83" t="n">
        <v>4784.286</v>
      </c>
      <c r="X83" t="n">
        <v>4546.249</v>
      </c>
      <c r="Y83" t="n">
        <v>4604.397</v>
      </c>
      <c r="Z83" t="n">
        <v>4696.404</v>
      </c>
      <c r="AA83" t="n">
        <v>4961.672</v>
      </c>
      <c r="AB83" t="n">
        <v>5073.577</v>
      </c>
      <c r="AC83" t="n">
        <v>5471.027</v>
      </c>
      <c r="AD83" t="n">
        <v>5744.526</v>
      </c>
      <c r="AE83" t="n">
        <v>5160.174</v>
      </c>
      <c r="AF83" t="n">
        <v>6985.764</v>
      </c>
      <c r="AG83" t="n">
        <v>6847.773</v>
      </c>
      <c r="AH83" t="n">
        <v>6502.099</v>
      </c>
      <c r="AI83" t="n">
        <v>6121.047</v>
      </c>
      <c r="AJ83" t="n">
        <v>6586.413</v>
      </c>
      <c r="AK83" t="n">
        <v>5670.233</v>
      </c>
      <c r="AL83" t="n">
        <v>7403.293</v>
      </c>
      <c r="AM83" t="n">
        <v>8796.066000000001</v>
      </c>
      <c r="AN83" t="n">
        <v>9292.313</v>
      </c>
      <c r="AO83" t="n">
        <v>9868.627</v>
      </c>
      <c r="AP83" t="n">
        <v>10346.603</v>
      </c>
      <c r="AQ83" t="n">
        <v>10936.864</v>
      </c>
      <c r="AR83" t="n">
        <v>9653.387000000001</v>
      </c>
      <c r="AS83" t="n">
        <v>8657.575999999999</v>
      </c>
      <c r="AT83" t="n">
        <v>10016.482</v>
      </c>
      <c r="AU83" t="n">
        <v>12661.484</v>
      </c>
      <c r="AV83" t="n">
        <v>13033.241</v>
      </c>
      <c r="AW83" t="n">
        <v>24125.04</v>
      </c>
      <c r="AX83" t="n">
        <v>30756.718</v>
      </c>
      <c r="AY83" t="n">
        <v>25702.055</v>
      </c>
      <c r="AZ83" t="n">
        <v>16696.724</v>
      </c>
      <c r="BA83" t="n">
        <v>21352.224</v>
      </c>
      <c r="BB83" t="n">
        <v>23338.919</v>
      </c>
      <c r="BC83" t="n">
        <v>20585.589</v>
      </c>
      <c r="BD83" t="n">
        <v>21505.423</v>
      </c>
      <c r="BE83" t="n">
        <v>14421.23</v>
      </c>
      <c r="BF83" t="n">
        <v>14086.144</v>
      </c>
      <c r="BG83" t="n">
        <v>14834.778</v>
      </c>
      <c r="BH83" t="n">
        <v>17658.04</v>
      </c>
      <c r="BI83" t="n">
        <v>16450.234</v>
      </c>
      <c r="BJ83" t="n">
        <v>15746.104</v>
      </c>
      <c r="BK83" t="n">
        <v>15436.918</v>
      </c>
      <c r="BL83" t="n">
        <v>15414.702</v>
      </c>
      <c r="BM83" t="n">
        <v>15834.129</v>
      </c>
      <c r="BN83" t="n">
        <v>15531.559</v>
      </c>
      <c r="BO83" t="n">
        <v>16824.486</v>
      </c>
      <c r="BP83" t="n">
        <v>17451.797</v>
      </c>
      <c r="BQ83" t="n">
        <v>16016.173</v>
      </c>
      <c r="BR83" t="n">
        <v>16331.602</v>
      </c>
      <c r="BS83" t="n">
        <v>17032.602</v>
      </c>
      <c r="BT83" t="n">
        <v>15669.318</v>
      </c>
      <c r="BU83" t="n">
        <v>14635.944</v>
      </c>
      <c r="BV83" t="n">
        <v>13790.297</v>
      </c>
    </row>
    <row r="84">
      <c r="A84" t="inlineStr">
        <is>
          <t>Carcharhinus</t>
        </is>
      </c>
      <c r="B84" t="inlineStr">
        <is>
          <t>Sharp-nosed sharks</t>
        </is>
      </c>
      <c r="C84" t="inlineStr">
        <is>
          <t>Large sharks (&gt;=90 cm)</t>
        </is>
      </c>
      <c r="D84" t="inlineStr">
        <is>
          <t>Sharks &amp; rays</t>
        </is>
      </c>
      <c r="E84" t="n">
        <v>777.102</v>
      </c>
      <c r="F84" t="n">
        <v>833.032</v>
      </c>
      <c r="G84" t="n">
        <v>891.125</v>
      </c>
      <c r="H84" t="n">
        <v>930.792</v>
      </c>
      <c r="I84" t="n">
        <v>2078.648</v>
      </c>
      <c r="J84" t="n">
        <v>1031.377</v>
      </c>
      <c r="K84" t="n">
        <v>1077.32</v>
      </c>
      <c r="L84" t="n">
        <v>1113.63</v>
      </c>
      <c r="M84" t="n">
        <v>1172.933</v>
      </c>
      <c r="N84" t="n">
        <v>1210.948</v>
      </c>
      <c r="O84" t="n">
        <v>1266.343</v>
      </c>
      <c r="P84" t="n">
        <v>1506.218</v>
      </c>
      <c r="Q84" t="n">
        <v>1715.09</v>
      </c>
      <c r="R84" t="n">
        <v>1940.348</v>
      </c>
      <c r="S84" t="n">
        <v>2204.343</v>
      </c>
      <c r="T84" t="n">
        <v>2769.223</v>
      </c>
      <c r="U84" t="n">
        <v>3248.895</v>
      </c>
      <c r="V84" t="n">
        <v>3499.501</v>
      </c>
      <c r="W84" t="n">
        <v>3995.51</v>
      </c>
      <c r="X84" t="n">
        <v>3529.494</v>
      </c>
      <c r="Y84" t="n">
        <v>4662.054</v>
      </c>
      <c r="Z84" t="n">
        <v>5059.161</v>
      </c>
      <c r="AA84" t="n">
        <v>7514.925</v>
      </c>
      <c r="AB84" t="n">
        <v>10352.066</v>
      </c>
      <c r="AC84" t="n">
        <v>11397.493</v>
      </c>
      <c r="AD84" t="n">
        <v>7294.976</v>
      </c>
      <c r="AE84" t="n">
        <v>7729.94</v>
      </c>
      <c r="AF84" t="n">
        <v>8370.259</v>
      </c>
      <c r="AG84" t="n">
        <v>11493.231</v>
      </c>
      <c r="AH84" t="n">
        <v>11969.85</v>
      </c>
      <c r="AI84" t="n">
        <v>9577.311</v>
      </c>
      <c r="AJ84" t="n">
        <v>10378.067</v>
      </c>
      <c r="AK84" t="n">
        <v>9746.217000000001</v>
      </c>
      <c r="AL84" t="n">
        <v>10704.567</v>
      </c>
      <c r="AM84" t="n">
        <v>11477.212</v>
      </c>
      <c r="AN84" t="n">
        <v>12156.621</v>
      </c>
      <c r="AO84" t="n">
        <v>12436.849</v>
      </c>
      <c r="AP84" t="n">
        <v>11969.741</v>
      </c>
      <c r="AQ84" t="n">
        <v>13186.941</v>
      </c>
      <c r="AR84" t="n">
        <v>12973.584</v>
      </c>
      <c r="AS84" t="n">
        <v>13057.803</v>
      </c>
      <c r="AT84" t="n">
        <v>14707.772</v>
      </c>
      <c r="AU84" t="n">
        <v>14422.696</v>
      </c>
      <c r="AV84" t="n">
        <v>15560.239</v>
      </c>
      <c r="AW84" t="n">
        <v>16477.317</v>
      </c>
      <c r="AX84" t="n">
        <v>23245.208</v>
      </c>
      <c r="AY84" t="n">
        <v>21423.429</v>
      </c>
      <c r="AZ84" t="n">
        <v>20995.558</v>
      </c>
      <c r="BA84" t="n">
        <v>19296.283</v>
      </c>
      <c r="BB84" t="n">
        <v>20719.697</v>
      </c>
      <c r="BC84" t="n">
        <v>20197.082</v>
      </c>
      <c r="BD84" t="n">
        <v>19573.529</v>
      </c>
      <c r="BE84" t="n">
        <v>19477.14</v>
      </c>
      <c r="BF84" t="n">
        <v>19591.051</v>
      </c>
      <c r="BG84" t="n">
        <v>18323.976</v>
      </c>
      <c r="BH84" t="n">
        <v>12395.195</v>
      </c>
      <c r="BI84" t="n">
        <v>13880.438</v>
      </c>
      <c r="BJ84" t="n">
        <v>13643.826</v>
      </c>
      <c r="BK84" t="n">
        <v>15463.63</v>
      </c>
      <c r="BL84" t="n">
        <v>14406.451</v>
      </c>
      <c r="BM84" t="n">
        <v>14277.857</v>
      </c>
      <c r="BN84" t="n">
        <v>9060.550999999999</v>
      </c>
      <c r="BO84" t="n">
        <v>10254.197</v>
      </c>
      <c r="BP84" t="n">
        <v>10677.094</v>
      </c>
      <c r="BQ84" t="n">
        <v>9781.246999999999</v>
      </c>
      <c r="BR84" t="n">
        <v>10074.527</v>
      </c>
      <c r="BS84" t="n">
        <v>10426.621</v>
      </c>
      <c r="BT84" t="n">
        <v>9663.379000000001</v>
      </c>
      <c r="BU84" t="n">
        <v>9102.779</v>
      </c>
      <c r="BV84" t="n">
        <v>8528.413</v>
      </c>
    </row>
    <row r="85">
      <c r="A85" t="inlineStr">
        <is>
          <t>Lutjanus</t>
        </is>
      </c>
      <c r="B85" t="inlineStr">
        <is>
          <t>Snappers</t>
        </is>
      </c>
      <c r="C85" t="inlineStr">
        <is>
          <t>Medium reef assoc. fish (30 - 89 cm)</t>
        </is>
      </c>
      <c r="D85" t="inlineStr">
        <is>
          <t>Perch-likes</t>
        </is>
      </c>
      <c r="E85" t="n">
        <v>444.196</v>
      </c>
      <c r="F85" t="n">
        <v>498.052</v>
      </c>
      <c r="G85" t="n">
        <v>559.0410000000001</v>
      </c>
      <c r="H85" t="n">
        <v>582.362</v>
      </c>
      <c r="I85" t="n">
        <v>678.3630000000001</v>
      </c>
      <c r="J85" t="n">
        <v>626.673</v>
      </c>
      <c r="K85" t="n">
        <v>649.034</v>
      </c>
      <c r="L85" t="n">
        <v>646.0119999999999</v>
      </c>
      <c r="M85" t="n">
        <v>670.931</v>
      </c>
      <c r="N85" t="n">
        <v>656.073</v>
      </c>
      <c r="O85" t="n">
        <v>685.091</v>
      </c>
      <c r="P85" t="n">
        <v>825.146</v>
      </c>
      <c r="Q85" t="n">
        <v>849.553</v>
      </c>
      <c r="R85" t="n">
        <v>874.396</v>
      </c>
      <c r="S85" t="n">
        <v>930.825</v>
      </c>
      <c r="T85" t="n">
        <v>1125.112</v>
      </c>
      <c r="U85" t="n">
        <v>1200.174</v>
      </c>
      <c r="V85" t="n">
        <v>1201.688</v>
      </c>
      <c r="W85" t="n">
        <v>1249.281</v>
      </c>
      <c r="X85" t="n">
        <v>1381.56</v>
      </c>
      <c r="Y85" t="n">
        <v>1668.577</v>
      </c>
      <c r="Z85" t="n">
        <v>2113.962</v>
      </c>
      <c r="AA85" t="n">
        <v>1960.047</v>
      </c>
      <c r="AB85" t="n">
        <v>2173.755</v>
      </c>
      <c r="AC85" t="n">
        <v>2054.149</v>
      </c>
      <c r="AD85" t="n">
        <v>1917.883</v>
      </c>
      <c r="AE85" t="n">
        <v>3818.541</v>
      </c>
      <c r="AF85" t="n">
        <v>4223.391</v>
      </c>
      <c r="AG85" t="n">
        <v>4978.184</v>
      </c>
      <c r="AH85" t="n">
        <v>4702.166</v>
      </c>
      <c r="AI85" t="n">
        <v>4935.461</v>
      </c>
      <c r="AJ85" t="n">
        <v>5553.096</v>
      </c>
      <c r="AK85" t="n">
        <v>6000.62</v>
      </c>
      <c r="AL85" t="n">
        <v>7042.43</v>
      </c>
      <c r="AM85" t="n">
        <v>7183.153</v>
      </c>
      <c r="AN85" t="n">
        <v>8210.627</v>
      </c>
      <c r="AO85" t="n">
        <v>10108.78</v>
      </c>
      <c r="AP85" t="n">
        <v>8213.540000000001</v>
      </c>
      <c r="AQ85" t="n">
        <v>11265.766</v>
      </c>
      <c r="AR85" t="n">
        <v>11018.237</v>
      </c>
      <c r="AS85" t="n">
        <v>13990.794</v>
      </c>
      <c r="AT85" t="n">
        <v>15601.801</v>
      </c>
      <c r="AU85" t="n">
        <v>16028.017</v>
      </c>
      <c r="AV85" t="n">
        <v>15454.726</v>
      </c>
      <c r="AW85" t="n">
        <v>16206.339</v>
      </c>
      <c r="AX85" t="n">
        <v>11883.458</v>
      </c>
      <c r="AY85" t="n">
        <v>14288.096</v>
      </c>
      <c r="AZ85" t="n">
        <v>18124.697</v>
      </c>
      <c r="BA85" t="n">
        <v>15261.538</v>
      </c>
      <c r="BB85" t="n">
        <v>15007.697</v>
      </c>
      <c r="BC85" t="n">
        <v>16518.603</v>
      </c>
      <c r="BD85" t="n">
        <v>18041.962</v>
      </c>
      <c r="BE85" t="n">
        <v>16557.181</v>
      </c>
      <c r="BF85" t="n">
        <v>19875.872</v>
      </c>
      <c r="BG85" t="n">
        <v>15056.714</v>
      </c>
      <c r="BH85" t="n">
        <v>14400.186</v>
      </c>
      <c r="BI85" t="n">
        <v>16538.499</v>
      </c>
      <c r="BJ85" t="n">
        <v>19118.759</v>
      </c>
      <c r="BK85" t="n">
        <v>22343.002</v>
      </c>
      <c r="BL85" t="n">
        <v>20864.845</v>
      </c>
      <c r="BM85" t="n">
        <v>18571.353</v>
      </c>
      <c r="BN85" t="n">
        <v>18966.859</v>
      </c>
      <c r="BO85" t="n">
        <v>19633.576</v>
      </c>
      <c r="BP85" t="n">
        <v>20060.954</v>
      </c>
      <c r="BQ85" t="n">
        <v>20844.443</v>
      </c>
      <c r="BR85" t="n">
        <v>23350.088</v>
      </c>
      <c r="BS85" t="n">
        <v>22465.761</v>
      </c>
      <c r="BT85" t="n">
        <v>20240.01</v>
      </c>
      <c r="BU85" t="n">
        <v>22160.483</v>
      </c>
      <c r="BV85" t="n">
        <v>22762.335</v>
      </c>
    </row>
    <row r="86">
      <c r="A86" t="inlineStr">
        <is>
          <t>Penaeus merguiensis</t>
        </is>
      </c>
      <c r="B86" t="inlineStr">
        <is>
          <t>Banana prawn</t>
        </is>
      </c>
      <c r="C86" t="inlineStr">
        <is>
          <t>Shrimps</t>
        </is>
      </c>
      <c r="D86" t="inlineStr">
        <is>
          <t>Crustaceans</t>
        </is>
      </c>
      <c r="E86" t="n">
        <v>561.802</v>
      </c>
      <c r="F86" t="n">
        <v>553.874</v>
      </c>
      <c r="G86" t="n">
        <v>582.7569999999999</v>
      </c>
      <c r="H86" t="n">
        <v>619.002</v>
      </c>
      <c r="I86" t="n">
        <v>646.752</v>
      </c>
      <c r="J86" t="n">
        <v>676.201</v>
      </c>
      <c r="K86" t="n">
        <v>709.615</v>
      </c>
      <c r="L86" t="n">
        <v>743.595</v>
      </c>
      <c r="M86" t="n">
        <v>782.672</v>
      </c>
      <c r="N86" t="n">
        <v>820.05</v>
      </c>
      <c r="O86" t="n">
        <v>876.117</v>
      </c>
      <c r="P86" t="n">
        <v>910.097</v>
      </c>
      <c r="Q86" t="n">
        <v>944.784</v>
      </c>
      <c r="R86" t="n">
        <v>995.789</v>
      </c>
      <c r="S86" t="n">
        <v>1056.827</v>
      </c>
      <c r="T86" t="n">
        <v>1690.592</v>
      </c>
      <c r="U86" t="n">
        <v>1852.29</v>
      </c>
      <c r="V86" t="n">
        <v>2321.3</v>
      </c>
      <c r="W86" t="n">
        <v>2302.338</v>
      </c>
      <c r="X86" t="n">
        <v>2225.325</v>
      </c>
      <c r="Y86" t="n">
        <v>2548.812</v>
      </c>
      <c r="Z86" t="n">
        <v>2670.095</v>
      </c>
      <c r="AA86" t="n">
        <v>2495.997</v>
      </c>
      <c r="AB86" t="n">
        <v>2782.809</v>
      </c>
      <c r="AC86" t="n">
        <v>2941.759</v>
      </c>
      <c r="AD86" t="n">
        <v>3019.249</v>
      </c>
      <c r="AE86" t="n">
        <v>3086.185</v>
      </c>
      <c r="AF86" t="n">
        <v>3365.581</v>
      </c>
      <c r="AG86" t="n">
        <v>3594.03</v>
      </c>
      <c r="AH86" t="n">
        <v>3468.872</v>
      </c>
      <c r="AI86" t="n">
        <v>3372.106</v>
      </c>
      <c r="AJ86" t="n">
        <v>4132.049</v>
      </c>
      <c r="AK86" t="n">
        <v>3698.714</v>
      </c>
      <c r="AL86" t="n">
        <v>4433.205</v>
      </c>
      <c r="AM86" t="n">
        <v>5060.474</v>
      </c>
      <c r="AN86" t="n">
        <v>7027.003</v>
      </c>
      <c r="AO86" t="n">
        <v>6922.699</v>
      </c>
      <c r="AP86" t="n">
        <v>7335.843</v>
      </c>
      <c r="AQ86" t="n">
        <v>8078.629</v>
      </c>
      <c r="AR86" t="n">
        <v>7832.497</v>
      </c>
      <c r="AS86" t="n">
        <v>11757.055</v>
      </c>
      <c r="AT86" t="n">
        <v>15563.71</v>
      </c>
      <c r="AU86" t="n">
        <v>16093.887</v>
      </c>
      <c r="AV86" t="n">
        <v>6428.814</v>
      </c>
      <c r="AW86" t="n">
        <v>23153.808</v>
      </c>
      <c r="AX86" t="n">
        <v>8323.73</v>
      </c>
      <c r="AY86" t="n">
        <v>19108.981</v>
      </c>
      <c r="AZ86" t="n">
        <v>18384.85</v>
      </c>
      <c r="BA86" t="n">
        <v>17824.514</v>
      </c>
      <c r="BB86" t="n">
        <v>19757.808</v>
      </c>
      <c r="BC86" t="n">
        <v>25872.546</v>
      </c>
      <c r="BD86" t="n">
        <v>25757.989</v>
      </c>
      <c r="BE86" t="n">
        <v>24480.036</v>
      </c>
      <c r="BF86" t="n">
        <v>27360.473</v>
      </c>
      <c r="BG86" t="n">
        <v>29192.322</v>
      </c>
      <c r="BH86" t="n">
        <v>20669.25</v>
      </c>
      <c r="BI86" t="n">
        <v>19490.737</v>
      </c>
      <c r="BJ86" t="n">
        <v>18583.191</v>
      </c>
      <c r="BK86" t="n">
        <v>17539.438</v>
      </c>
      <c r="BL86" t="n">
        <v>16469.425</v>
      </c>
      <c r="BM86" t="n">
        <v>16957.03</v>
      </c>
      <c r="BN86" t="n">
        <v>16338.291</v>
      </c>
      <c r="BO86" t="n">
        <v>18445.567</v>
      </c>
      <c r="BP86" t="n">
        <v>19091.603</v>
      </c>
      <c r="BQ86" t="n">
        <v>17501.119</v>
      </c>
      <c r="BR86" t="n">
        <v>18004.547</v>
      </c>
      <c r="BS86" t="n">
        <v>18604.145</v>
      </c>
      <c r="BT86" t="n">
        <v>17250.955</v>
      </c>
      <c r="BU86" t="n">
        <v>16090.004</v>
      </c>
      <c r="BV86" t="n">
        <v>15088.095</v>
      </c>
    </row>
    <row r="87">
      <c r="A87" t="inlineStr">
        <is>
          <t>Octopoda</t>
        </is>
      </c>
      <c r="B87" t="inlineStr">
        <is>
          <t>Octopuses, argonauts</t>
        </is>
      </c>
      <c r="C87" t="inlineStr">
        <is>
          <t>Cephalopods</t>
        </is>
      </c>
      <c r="D87" t="inlineStr">
        <is>
          <t>Other fishes &amp; inverts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0.694</v>
      </c>
      <c r="K87" t="n">
        <v>0.952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0.307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0.356</v>
      </c>
      <c r="AD87" t="n">
        <v>0</v>
      </c>
      <c r="AE87" t="n">
        <v>0.605</v>
      </c>
      <c r="AF87" t="n">
        <v>0</v>
      </c>
      <c r="AG87" t="n">
        <v>0</v>
      </c>
      <c r="AH87" t="n">
        <v>0</v>
      </c>
      <c r="AI87" t="n">
        <v>0.606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264.98</v>
      </c>
      <c r="AU87" t="n">
        <v>1.863</v>
      </c>
      <c r="AV87" t="n">
        <v>1.164</v>
      </c>
      <c r="AW87" t="n">
        <v>10.014</v>
      </c>
      <c r="AX87" t="n">
        <v>3.26</v>
      </c>
      <c r="AY87" t="n">
        <v>34.235</v>
      </c>
      <c r="AZ87" t="n">
        <v>3.726</v>
      </c>
      <c r="BA87" t="n">
        <v>335.975</v>
      </c>
      <c r="BB87" t="n">
        <v>26.998</v>
      </c>
      <c r="BC87" t="n">
        <v>7.999</v>
      </c>
      <c r="BD87" t="n">
        <v>46.996</v>
      </c>
      <c r="BE87" t="n">
        <v>58.996</v>
      </c>
      <c r="BF87" t="n">
        <v>36345.198</v>
      </c>
      <c r="BG87" t="n">
        <v>37280.674</v>
      </c>
      <c r="BH87" t="n">
        <v>30806.923</v>
      </c>
      <c r="BI87" t="n">
        <v>36804.73</v>
      </c>
      <c r="BJ87" t="n">
        <v>42773.914</v>
      </c>
      <c r="BK87" t="n">
        <v>36767.946</v>
      </c>
      <c r="BL87" t="n">
        <v>40095.982</v>
      </c>
      <c r="BM87" t="n">
        <v>42428.794</v>
      </c>
      <c r="BN87" t="n">
        <v>37517.25</v>
      </c>
      <c r="BO87" t="n">
        <v>39674.819</v>
      </c>
      <c r="BP87" t="n">
        <v>40728.497</v>
      </c>
      <c r="BQ87" t="n">
        <v>38557.061</v>
      </c>
      <c r="BR87" t="n">
        <v>45404.754</v>
      </c>
      <c r="BS87" t="n">
        <v>43376.694</v>
      </c>
      <c r="BT87" t="n">
        <v>38669.523</v>
      </c>
      <c r="BU87" t="n">
        <v>37606.12</v>
      </c>
      <c r="BV87" t="n">
        <v>36983.111</v>
      </c>
    </row>
    <row r="88">
      <c r="A88" t="inlineStr">
        <is>
          <t>Clupanodon thrissa</t>
        </is>
      </c>
      <c r="B88" t="inlineStr">
        <is>
          <t>Chinese gizzard shad</t>
        </is>
      </c>
      <c r="C88" t="inlineStr">
        <is>
          <t>Small pelagics (&lt;30 cm)</t>
        </is>
      </c>
      <c r="D88" t="inlineStr">
        <is>
          <t>Herring-likes</t>
        </is>
      </c>
      <c r="E88" t="n">
        <v>1506.489</v>
      </c>
      <c r="F88" t="n">
        <v>2046.092</v>
      </c>
      <c r="G88" t="n">
        <v>2421.755</v>
      </c>
      <c r="H88" t="n">
        <v>4504.951</v>
      </c>
      <c r="I88" t="n">
        <v>2823.883</v>
      </c>
      <c r="J88" t="n">
        <v>3061.937</v>
      </c>
      <c r="K88" t="n">
        <v>3862.439</v>
      </c>
      <c r="L88" t="n">
        <v>2571.374</v>
      </c>
      <c r="M88" t="n">
        <v>2249.475</v>
      </c>
      <c r="N88" t="n">
        <v>1891.467</v>
      </c>
      <c r="O88" t="n">
        <v>2147.727</v>
      </c>
      <c r="P88" t="n">
        <v>1629.336</v>
      </c>
      <c r="Q88" t="n">
        <v>6405.114</v>
      </c>
      <c r="R88" t="n">
        <v>8896.116</v>
      </c>
      <c r="S88" t="n">
        <v>3842.134</v>
      </c>
      <c r="T88" t="n">
        <v>4217.375</v>
      </c>
      <c r="U88" t="n">
        <v>7296.565</v>
      </c>
      <c r="V88" t="n">
        <v>9315.599</v>
      </c>
      <c r="W88" t="n">
        <v>8351.945</v>
      </c>
      <c r="X88" t="n">
        <v>7165.452</v>
      </c>
      <c r="Y88" t="n">
        <v>9373.722</v>
      </c>
      <c r="Z88" t="n">
        <v>9551.418</v>
      </c>
      <c r="AA88" t="n">
        <v>6991.074</v>
      </c>
      <c r="AB88" t="n">
        <v>8229.509</v>
      </c>
      <c r="AC88" t="n">
        <v>15213.61</v>
      </c>
      <c r="AD88" t="n">
        <v>7138.273</v>
      </c>
      <c r="AE88" t="n">
        <v>7405.858</v>
      </c>
      <c r="AF88" t="n">
        <v>8976.669</v>
      </c>
      <c r="AG88" t="n">
        <v>6179.497</v>
      </c>
      <c r="AH88" t="n">
        <v>7091.62</v>
      </c>
      <c r="AI88" t="n">
        <v>6531.615</v>
      </c>
      <c r="AJ88" t="n">
        <v>8015.024</v>
      </c>
      <c r="AK88" t="n">
        <v>7535.835</v>
      </c>
      <c r="AL88" t="n">
        <v>11100.772</v>
      </c>
      <c r="AM88" t="n">
        <v>5660.498</v>
      </c>
      <c r="AN88" t="n">
        <v>7482.733</v>
      </c>
      <c r="AO88" t="n">
        <v>9612.703</v>
      </c>
      <c r="AP88" t="n">
        <v>12150.432</v>
      </c>
      <c r="AQ88" t="n">
        <v>10093.024</v>
      </c>
      <c r="AR88" t="n">
        <v>12253.573</v>
      </c>
      <c r="AS88" t="n">
        <v>10599.924</v>
      </c>
      <c r="AT88" t="n">
        <v>10195.714</v>
      </c>
      <c r="AU88" t="n">
        <v>11251.681</v>
      </c>
      <c r="AV88" t="n">
        <v>8195.692999999999</v>
      </c>
      <c r="AW88" t="n">
        <v>11525.933</v>
      </c>
      <c r="AX88" t="n">
        <v>12501.746</v>
      </c>
      <c r="AY88" t="n">
        <v>10042.78</v>
      </c>
      <c r="AZ88" t="n">
        <v>24858.817</v>
      </c>
      <c r="BA88" t="n">
        <v>24084.608</v>
      </c>
      <c r="BB88" t="n">
        <v>14556.191</v>
      </c>
      <c r="BC88" t="n">
        <v>8864.734</v>
      </c>
      <c r="BD88" t="n">
        <v>13012.698</v>
      </c>
      <c r="BE88" t="n">
        <v>6599.583</v>
      </c>
      <c r="BF88" t="n">
        <v>5477.19</v>
      </c>
      <c r="BG88" t="n">
        <v>3894.596</v>
      </c>
      <c r="BH88" t="n">
        <v>6117.486</v>
      </c>
      <c r="BI88" t="n">
        <v>7383.283</v>
      </c>
      <c r="BJ88" t="n">
        <v>8527.307000000001</v>
      </c>
      <c r="BK88" t="n">
        <v>6393.567</v>
      </c>
      <c r="BL88" t="n">
        <v>8999.751</v>
      </c>
      <c r="BM88" t="n">
        <v>18716.506</v>
      </c>
      <c r="BN88" t="n">
        <v>13145.397</v>
      </c>
      <c r="BO88" t="n">
        <v>18938.341</v>
      </c>
      <c r="BP88" t="n">
        <v>16900.486</v>
      </c>
      <c r="BQ88" t="n">
        <v>17978.978</v>
      </c>
      <c r="BR88" t="n">
        <v>14127.67</v>
      </c>
      <c r="BS88" t="n">
        <v>16532.003</v>
      </c>
      <c r="BT88" t="n">
        <v>18767.232</v>
      </c>
      <c r="BU88" t="n">
        <v>16565.74</v>
      </c>
      <c r="BV88" t="n">
        <v>19486.608</v>
      </c>
    </row>
    <row r="89">
      <c r="A89" t="inlineStr">
        <is>
          <t>Sardinella fimbriata</t>
        </is>
      </c>
      <c r="B89" t="inlineStr">
        <is>
          <t>Fringescale sardinella</t>
        </is>
      </c>
      <c r="C89" t="inlineStr">
        <is>
          <t>Small pelagics (&lt;30 cm)</t>
        </is>
      </c>
      <c r="D89" t="inlineStr">
        <is>
          <t>Herring-likes</t>
        </is>
      </c>
      <c r="E89" t="n">
        <v>1158.588</v>
      </c>
      <c r="F89" t="n">
        <v>1351</v>
      </c>
      <c r="G89" t="n">
        <v>1406.868</v>
      </c>
      <c r="H89" t="n">
        <v>1391.421</v>
      </c>
      <c r="I89" t="n">
        <v>1818.397</v>
      </c>
      <c r="J89" t="n">
        <v>1918.759</v>
      </c>
      <c r="K89" t="n">
        <v>2028.415</v>
      </c>
      <c r="L89" t="n">
        <v>1909.935</v>
      </c>
      <c r="M89" t="n">
        <v>2110.823</v>
      </c>
      <c r="N89" t="n">
        <v>2209.601</v>
      </c>
      <c r="O89" t="n">
        <v>2359.655</v>
      </c>
      <c r="P89" t="n">
        <v>2337.544</v>
      </c>
      <c r="Q89" t="n">
        <v>2672.608</v>
      </c>
      <c r="R89" t="n">
        <v>3415.982</v>
      </c>
      <c r="S89" t="n">
        <v>4011.831</v>
      </c>
      <c r="T89" t="n">
        <v>4579.091</v>
      </c>
      <c r="U89" t="n">
        <v>4834.799</v>
      </c>
      <c r="V89" t="n">
        <v>5105.932</v>
      </c>
      <c r="W89" t="n">
        <v>6051.883</v>
      </c>
      <c r="X89" t="n">
        <v>5667.542</v>
      </c>
      <c r="Y89" t="n">
        <v>6221.453</v>
      </c>
      <c r="Z89" t="n">
        <v>6264.467</v>
      </c>
      <c r="AA89" t="n">
        <v>6950.334</v>
      </c>
      <c r="AB89" t="n">
        <v>7607.431</v>
      </c>
      <c r="AC89" t="n">
        <v>7742.787</v>
      </c>
      <c r="AD89" t="n">
        <v>8309.431</v>
      </c>
      <c r="AE89" t="n">
        <v>8429.808000000001</v>
      </c>
      <c r="AF89" t="n">
        <v>8565.412</v>
      </c>
      <c r="AG89" t="n">
        <v>8832.867</v>
      </c>
      <c r="AH89" t="n">
        <v>8737.406999999999</v>
      </c>
      <c r="AI89" t="n">
        <v>8790.939</v>
      </c>
      <c r="AJ89" t="n">
        <v>9128.861999999999</v>
      </c>
      <c r="AK89" t="n">
        <v>8871.998</v>
      </c>
      <c r="AL89" t="n">
        <v>9471.141</v>
      </c>
      <c r="AM89" t="n">
        <v>9166.914000000001</v>
      </c>
      <c r="AN89" t="n">
        <v>9370.155000000001</v>
      </c>
      <c r="AO89" t="n">
        <v>10033.967</v>
      </c>
      <c r="AP89" t="n">
        <v>9239.733</v>
      </c>
      <c r="AQ89" t="n">
        <v>11131.269</v>
      </c>
      <c r="AR89" t="n">
        <v>12506.931</v>
      </c>
      <c r="AS89" t="n">
        <v>6143.903</v>
      </c>
      <c r="AT89" t="n">
        <v>21830.213</v>
      </c>
      <c r="AU89" t="n">
        <v>19042.774</v>
      </c>
      <c r="AV89" t="n">
        <v>11797.429</v>
      </c>
      <c r="AW89" t="n">
        <v>8279.088</v>
      </c>
      <c r="AX89" t="n">
        <v>10814.957</v>
      </c>
      <c r="AY89" t="n">
        <v>17563.46</v>
      </c>
      <c r="AZ89" t="n">
        <v>9076.548000000001</v>
      </c>
      <c r="BA89" t="n">
        <v>15799.318</v>
      </c>
      <c r="BB89" t="n">
        <v>14589.497</v>
      </c>
      <c r="BC89" t="n">
        <v>13846.852</v>
      </c>
      <c r="BD89" t="n">
        <v>13628.201</v>
      </c>
      <c r="BE89" t="n">
        <v>8768.776</v>
      </c>
      <c r="BF89" t="n">
        <v>9786.975</v>
      </c>
      <c r="BG89" t="n">
        <v>10153.246</v>
      </c>
      <c r="BH89" t="n">
        <v>13827.776</v>
      </c>
      <c r="BI89" t="n">
        <v>12562.82</v>
      </c>
      <c r="BJ89" t="n">
        <v>13752.655</v>
      </c>
      <c r="BK89" t="n">
        <v>16509.771</v>
      </c>
      <c r="BL89" t="n">
        <v>18204.861</v>
      </c>
      <c r="BM89" t="n">
        <v>14462.235</v>
      </c>
      <c r="BN89" t="n">
        <v>15816.724</v>
      </c>
      <c r="BO89" t="n">
        <v>15276.133</v>
      </c>
      <c r="BP89" t="n">
        <v>14412.225</v>
      </c>
      <c r="BQ89" t="n">
        <v>15267.108</v>
      </c>
      <c r="BR89" t="n">
        <v>13475.344</v>
      </c>
      <c r="BS89" t="n">
        <v>12338.249</v>
      </c>
      <c r="BT89" t="n">
        <v>12836.662</v>
      </c>
      <c r="BU89" t="n">
        <v>14069.772</v>
      </c>
      <c r="BV89" t="n">
        <v>12231.598</v>
      </c>
    </row>
    <row r="90">
      <c r="A90" t="inlineStr">
        <is>
          <t>Ruvettus pretiosus</t>
        </is>
      </c>
      <c r="B90" t="inlineStr">
        <is>
          <t>Oilfish</t>
        </is>
      </c>
      <c r="C90" t="inlineStr">
        <is>
          <t>Large benthopelagics (&gt;=90 cm)</t>
        </is>
      </c>
      <c r="D90" t="inlineStr">
        <is>
          <t>Perch-likes</t>
        </is>
      </c>
      <c r="E90" t="n">
        <v>112.481</v>
      </c>
      <c r="F90" t="n">
        <v>0.033</v>
      </c>
      <c r="G90" t="n">
        <v>0.032</v>
      </c>
      <c r="H90" t="n">
        <v>13.822</v>
      </c>
      <c r="I90" t="n">
        <v>0.031</v>
      </c>
      <c r="J90" t="n">
        <v>0.03</v>
      </c>
      <c r="K90" t="n">
        <v>189.088</v>
      </c>
      <c r="L90" t="n">
        <v>9.244</v>
      </c>
      <c r="M90" t="n">
        <v>279.856</v>
      </c>
      <c r="N90" t="n">
        <v>247.826</v>
      </c>
      <c r="O90" t="n">
        <v>474.741</v>
      </c>
      <c r="P90" t="n">
        <v>398.932</v>
      </c>
      <c r="Q90" t="n">
        <v>198.042</v>
      </c>
      <c r="R90" t="n">
        <v>182.423</v>
      </c>
      <c r="S90" t="n">
        <v>198.556</v>
      </c>
      <c r="T90" t="n">
        <v>169.894</v>
      </c>
      <c r="U90" t="n">
        <v>151.054</v>
      </c>
      <c r="V90" t="n">
        <v>146.397</v>
      </c>
      <c r="W90" t="n">
        <v>300.698</v>
      </c>
      <c r="X90" t="n">
        <v>429.223</v>
      </c>
      <c r="Y90" t="n">
        <v>494.246</v>
      </c>
      <c r="Z90" t="n">
        <v>401.252</v>
      </c>
      <c r="AA90" t="n">
        <v>233.158</v>
      </c>
      <c r="AB90" t="n">
        <v>318.193</v>
      </c>
      <c r="AC90" t="n">
        <v>312.357</v>
      </c>
      <c r="AD90" t="n">
        <v>513.355</v>
      </c>
      <c r="AE90" t="n">
        <v>585.6950000000001</v>
      </c>
      <c r="AF90" t="n">
        <v>886.689</v>
      </c>
      <c r="AG90" t="n">
        <v>814.1609999999999</v>
      </c>
      <c r="AH90" t="n">
        <v>661.9109999999999</v>
      </c>
      <c r="AI90" t="n">
        <v>907.78</v>
      </c>
      <c r="AJ90" t="n">
        <v>1232.368</v>
      </c>
      <c r="AK90" t="n">
        <v>899.7910000000001</v>
      </c>
      <c r="AL90" t="n">
        <v>902.54</v>
      </c>
      <c r="AM90" t="n">
        <v>1547.683</v>
      </c>
      <c r="AN90" t="n">
        <v>2279.005</v>
      </c>
      <c r="AO90" t="n">
        <v>2288.37</v>
      </c>
      <c r="AP90" t="n">
        <v>1896.244</v>
      </c>
      <c r="AQ90" t="n">
        <v>3004.454</v>
      </c>
      <c r="AR90" t="n">
        <v>3430.355</v>
      </c>
      <c r="AS90" t="n">
        <v>10802.779</v>
      </c>
      <c r="AT90" t="n">
        <v>12462.208</v>
      </c>
      <c r="AU90" t="n">
        <v>9786.222</v>
      </c>
      <c r="AV90" t="n">
        <v>5316.664</v>
      </c>
      <c r="AW90" t="n">
        <v>6437.857</v>
      </c>
      <c r="AX90" t="n">
        <v>10778.153</v>
      </c>
      <c r="AY90" t="n">
        <v>10282.994</v>
      </c>
      <c r="AZ90" t="n">
        <v>8736.338</v>
      </c>
      <c r="BA90" t="n">
        <v>8848.414000000001</v>
      </c>
      <c r="BB90" t="n">
        <v>8067.419</v>
      </c>
      <c r="BC90" t="n">
        <v>6178.774</v>
      </c>
      <c r="BD90" t="n">
        <v>9081.343000000001</v>
      </c>
      <c r="BE90" t="n">
        <v>9847.51</v>
      </c>
      <c r="BF90" t="n">
        <v>6190.675</v>
      </c>
      <c r="BG90" t="n">
        <v>9933.370999999999</v>
      </c>
      <c r="BH90" t="n">
        <v>15029.616</v>
      </c>
      <c r="BI90" t="n">
        <v>70748.77499999999</v>
      </c>
      <c r="BJ90" t="n">
        <v>61733.596</v>
      </c>
      <c r="BK90" t="n">
        <v>23464.087</v>
      </c>
      <c r="BL90" t="n">
        <v>41608.262</v>
      </c>
      <c r="BM90" t="n">
        <v>22501.126</v>
      </c>
      <c r="BN90" t="n">
        <v>17331.16</v>
      </c>
      <c r="BO90" t="n">
        <v>15032.974</v>
      </c>
      <c r="BP90" t="n">
        <v>25624.024</v>
      </c>
      <c r="BQ90" t="n">
        <v>27084.442</v>
      </c>
      <c r="BR90" t="n">
        <v>22678.416</v>
      </c>
      <c r="BS90" t="n">
        <v>33881.543</v>
      </c>
      <c r="BT90" t="n">
        <v>34176.798</v>
      </c>
      <c r="BU90" t="n">
        <v>29899.98</v>
      </c>
      <c r="BV90" t="n">
        <v>34712.024</v>
      </c>
    </row>
    <row r="91">
      <c r="A91" t="inlineStr">
        <is>
          <t>Lates calcarifer</t>
        </is>
      </c>
      <c r="B91" t="inlineStr">
        <is>
          <t>Barramundi</t>
        </is>
      </c>
      <c r="C91" t="inlineStr">
        <is>
          <t>Large demersals (&gt;=90 cm)</t>
        </is>
      </c>
      <c r="D91" t="inlineStr">
        <is>
          <t>Perch-likes</t>
        </is>
      </c>
      <c r="E91" t="n">
        <v>774.155</v>
      </c>
      <c r="F91" t="n">
        <v>842.934</v>
      </c>
      <c r="G91" t="n">
        <v>932.596</v>
      </c>
      <c r="H91" t="n">
        <v>967.309</v>
      </c>
      <c r="I91" t="n">
        <v>1022.278</v>
      </c>
      <c r="J91" t="n">
        <v>1061.976</v>
      </c>
      <c r="K91" t="n">
        <v>1090.192</v>
      </c>
      <c r="L91" t="n">
        <v>1088.205</v>
      </c>
      <c r="M91" t="n">
        <v>1118.623</v>
      </c>
      <c r="N91" t="n">
        <v>1090.585</v>
      </c>
      <c r="O91" t="n">
        <v>1141.525</v>
      </c>
      <c r="P91" t="n">
        <v>1543.737</v>
      </c>
      <c r="Q91" t="n">
        <v>1782.293</v>
      </c>
      <c r="R91" t="n">
        <v>2037.047</v>
      </c>
      <c r="S91" t="n">
        <v>2366.847</v>
      </c>
      <c r="T91" t="n">
        <v>3100.475</v>
      </c>
      <c r="U91" t="n">
        <v>3621.836</v>
      </c>
      <c r="V91" t="n">
        <v>3671.871</v>
      </c>
      <c r="W91" t="n">
        <v>3871.554</v>
      </c>
      <c r="X91" t="n">
        <v>4125.077</v>
      </c>
      <c r="Y91" t="n">
        <v>3904.578</v>
      </c>
      <c r="Z91" t="n">
        <v>4041.08</v>
      </c>
      <c r="AA91" t="n">
        <v>4177.994</v>
      </c>
      <c r="AB91" t="n">
        <v>5300.656</v>
      </c>
      <c r="AC91" t="n">
        <v>5863.574</v>
      </c>
      <c r="AD91" t="n">
        <v>4872.639</v>
      </c>
      <c r="AE91" t="n">
        <v>5342.084</v>
      </c>
      <c r="AF91" t="n">
        <v>4366.957</v>
      </c>
      <c r="AG91" t="n">
        <v>5071.63</v>
      </c>
      <c r="AH91" t="n">
        <v>4539.679</v>
      </c>
      <c r="AI91" t="n">
        <v>4362.206</v>
      </c>
      <c r="AJ91" t="n">
        <v>4759.919</v>
      </c>
      <c r="AK91" t="n">
        <v>4929.39</v>
      </c>
      <c r="AL91" t="n">
        <v>7497.018</v>
      </c>
      <c r="AM91" t="n">
        <v>6046.458</v>
      </c>
      <c r="AN91" t="n">
        <v>6982.933</v>
      </c>
      <c r="AO91" t="n">
        <v>7913.83</v>
      </c>
      <c r="AP91" t="n">
        <v>7840.945</v>
      </c>
      <c r="AQ91" t="n">
        <v>8266.271000000001</v>
      </c>
      <c r="AR91" t="n">
        <v>9689.723</v>
      </c>
      <c r="AS91" t="n">
        <v>10805.668</v>
      </c>
      <c r="AT91" t="n">
        <v>11912.793</v>
      </c>
      <c r="AU91" t="n">
        <v>11577.138</v>
      </c>
      <c r="AV91" t="n">
        <v>12261.137</v>
      </c>
      <c r="AW91" t="n">
        <v>13470.601</v>
      </c>
      <c r="AX91" t="n">
        <v>14242.202</v>
      </c>
      <c r="AY91" t="n">
        <v>13583.291</v>
      </c>
      <c r="AZ91" t="n">
        <v>13424.956</v>
      </c>
      <c r="BA91" t="n">
        <v>14423.898</v>
      </c>
      <c r="BB91" t="n">
        <v>15368.274</v>
      </c>
      <c r="BC91" t="n">
        <v>16114.169</v>
      </c>
      <c r="BD91" t="n">
        <v>15889.921</v>
      </c>
      <c r="BE91" t="n">
        <v>17247.723</v>
      </c>
      <c r="BF91" t="n">
        <v>14181.31</v>
      </c>
      <c r="BG91" t="n">
        <v>14763.257</v>
      </c>
      <c r="BH91" t="n">
        <v>19643.2</v>
      </c>
      <c r="BI91" t="n">
        <v>14714.338</v>
      </c>
      <c r="BJ91" t="n">
        <v>16013.695</v>
      </c>
      <c r="BK91" t="n">
        <v>18057.343</v>
      </c>
      <c r="BL91" t="n">
        <v>17840.244</v>
      </c>
      <c r="BM91" t="n">
        <v>16759.282</v>
      </c>
      <c r="BN91" t="n">
        <v>16884.727</v>
      </c>
      <c r="BO91" t="n">
        <v>17813.284</v>
      </c>
      <c r="BP91" t="n">
        <v>18240.593</v>
      </c>
      <c r="BQ91" t="n">
        <v>18374.76</v>
      </c>
      <c r="BR91" t="n">
        <v>20209.681</v>
      </c>
      <c r="BS91" t="n">
        <v>19758.656</v>
      </c>
      <c r="BT91" t="n">
        <v>17913.268</v>
      </c>
      <c r="BU91" t="n">
        <v>19026.587</v>
      </c>
      <c r="BV91" t="n">
        <v>19132.29</v>
      </c>
    </row>
    <row r="92">
      <c r="A92" t="inlineStr">
        <is>
          <t>Carangoides</t>
        </is>
      </c>
      <c r="B92" t="inlineStr">
        <is>
          <t>Trevallies</t>
        </is>
      </c>
      <c r="C92" t="inlineStr">
        <is>
          <t>Medium reef assoc. fish (30 - 89 cm)</t>
        </is>
      </c>
      <c r="D92" t="inlineStr">
        <is>
          <t>Perch-likes</t>
        </is>
      </c>
      <c r="E92" t="n">
        <v>496.374</v>
      </c>
      <c r="F92" t="n">
        <v>490.266</v>
      </c>
      <c r="G92" t="n">
        <v>515.3579999999999</v>
      </c>
      <c r="H92" t="n">
        <v>545.336</v>
      </c>
      <c r="I92" t="n">
        <v>569.591</v>
      </c>
      <c r="J92" t="n">
        <v>596.023</v>
      </c>
      <c r="K92" t="n">
        <v>624.579</v>
      </c>
      <c r="L92" t="n">
        <v>654.601</v>
      </c>
      <c r="M92" t="n">
        <v>690.1</v>
      </c>
      <c r="N92" t="n">
        <v>723.1950000000001</v>
      </c>
      <c r="O92" t="n">
        <v>772.265</v>
      </c>
      <c r="P92" t="n">
        <v>801.333</v>
      </c>
      <c r="Q92" t="n">
        <v>834.3579999999999</v>
      </c>
      <c r="R92" t="n">
        <v>878.672</v>
      </c>
      <c r="S92" t="n">
        <v>932.965</v>
      </c>
      <c r="T92" t="n">
        <v>1481.535</v>
      </c>
      <c r="U92" t="n">
        <v>1623.151</v>
      </c>
      <c r="V92" t="n">
        <v>2031.89</v>
      </c>
      <c r="W92" t="n">
        <v>2016.644</v>
      </c>
      <c r="X92" t="n">
        <v>1947.635</v>
      </c>
      <c r="Y92" t="n">
        <v>1912.236</v>
      </c>
      <c r="Z92" t="n">
        <v>1958.671</v>
      </c>
      <c r="AA92" t="n">
        <v>1960.835</v>
      </c>
      <c r="AB92" t="n">
        <v>2003.23</v>
      </c>
      <c r="AC92" t="n">
        <v>2131.28</v>
      </c>
      <c r="AD92" t="n">
        <v>2170.978</v>
      </c>
      <c r="AE92" t="n">
        <v>2451.374</v>
      </c>
      <c r="AF92" t="n">
        <v>2667.962</v>
      </c>
      <c r="AG92" t="n">
        <v>3176.387</v>
      </c>
      <c r="AH92" t="n">
        <v>3142.278</v>
      </c>
      <c r="AI92" t="n">
        <v>3478.054</v>
      </c>
      <c r="AJ92" t="n">
        <v>4093.953</v>
      </c>
      <c r="AK92" t="n">
        <v>3835.257</v>
      </c>
      <c r="AL92" t="n">
        <v>4485.67</v>
      </c>
      <c r="AM92" t="n">
        <v>4877.533</v>
      </c>
      <c r="AN92" t="n">
        <v>4933.27</v>
      </c>
      <c r="AO92" t="n">
        <v>5161.882</v>
      </c>
      <c r="AP92" t="n">
        <v>5255.384</v>
      </c>
      <c r="AQ92" t="n">
        <v>5697.117</v>
      </c>
      <c r="AR92" t="n">
        <v>5407.633</v>
      </c>
      <c r="AS92" t="n">
        <v>5247.554</v>
      </c>
      <c r="AT92" t="n">
        <v>6956.176</v>
      </c>
      <c r="AU92" t="n">
        <v>8041.589</v>
      </c>
      <c r="AV92" t="n">
        <v>8194.655000000001</v>
      </c>
      <c r="AW92" t="n">
        <v>7411.528</v>
      </c>
      <c r="AX92" t="n">
        <v>10142.217</v>
      </c>
      <c r="AY92" t="n">
        <v>10034.992</v>
      </c>
      <c r="AZ92" t="n">
        <v>14652.615</v>
      </c>
      <c r="BA92" t="n">
        <v>15568.291</v>
      </c>
      <c r="BB92" t="n">
        <v>16644.591</v>
      </c>
      <c r="BC92" t="n">
        <v>16568.861</v>
      </c>
      <c r="BD92" t="n">
        <v>15739.287</v>
      </c>
      <c r="BE92" t="n">
        <v>21553.253</v>
      </c>
      <c r="BF92" t="n">
        <v>20825.098</v>
      </c>
      <c r="BG92" t="n">
        <v>22445.497</v>
      </c>
      <c r="BH92" t="n">
        <v>24018.308</v>
      </c>
      <c r="BI92" t="n">
        <v>22883.243</v>
      </c>
      <c r="BJ92" t="n">
        <v>21772.144</v>
      </c>
      <c r="BK92" t="n">
        <v>21037.374</v>
      </c>
      <c r="BL92" t="n">
        <v>20026.29</v>
      </c>
      <c r="BM92" t="n">
        <v>21184.023</v>
      </c>
      <c r="BN92" t="n">
        <v>20411.473</v>
      </c>
      <c r="BO92" t="n">
        <v>22969.591</v>
      </c>
      <c r="BP92" t="n">
        <v>23870.336</v>
      </c>
      <c r="BQ92" t="n">
        <v>21860.955</v>
      </c>
      <c r="BR92" t="n">
        <v>22520.361</v>
      </c>
      <c r="BS92" t="n">
        <v>23295.243</v>
      </c>
      <c r="BT92" t="n">
        <v>21580.712</v>
      </c>
      <c r="BU92" t="n">
        <v>20240.549</v>
      </c>
      <c r="BV92" t="n">
        <v>18958.139</v>
      </c>
    </row>
    <row r="93">
      <c r="A93" t="inlineStr">
        <is>
          <t>Scomberomorus niphonius</t>
        </is>
      </c>
      <c r="B93" t="inlineStr">
        <is>
          <t>Japanese Spanish mackerel</t>
        </is>
      </c>
      <c r="C93" t="inlineStr">
        <is>
          <t>Large pelagics (&gt;=90 cm)</t>
        </is>
      </c>
      <c r="D93" t="inlineStr">
        <is>
          <t>Perch-likes</t>
        </is>
      </c>
      <c r="E93" t="n">
        <v>1972.132</v>
      </c>
      <c r="F93" t="n">
        <v>2600.246</v>
      </c>
      <c r="G93" t="n">
        <v>2879.036</v>
      </c>
      <c r="H93" t="n">
        <v>3540.088</v>
      </c>
      <c r="I93" t="n">
        <v>3946.529</v>
      </c>
      <c r="J93" t="n">
        <v>3925.925</v>
      </c>
      <c r="K93" t="n">
        <v>5370.312</v>
      </c>
      <c r="L93" t="n">
        <v>5908.23</v>
      </c>
      <c r="M93" t="n">
        <v>4702.284</v>
      </c>
      <c r="N93" t="n">
        <v>4400.469</v>
      </c>
      <c r="O93" t="n">
        <v>6169.96</v>
      </c>
      <c r="P93" t="n">
        <v>4868.079</v>
      </c>
      <c r="Q93" t="n">
        <v>5817.533</v>
      </c>
      <c r="R93" t="n">
        <v>6544.59</v>
      </c>
      <c r="S93" t="n">
        <v>8298.366</v>
      </c>
      <c r="T93" t="n">
        <v>8605.157999999999</v>
      </c>
      <c r="U93" t="n">
        <v>6932.146</v>
      </c>
      <c r="V93" t="n">
        <v>7889.645</v>
      </c>
      <c r="W93" t="n">
        <v>5018.092</v>
      </c>
      <c r="X93" t="n">
        <v>3643.839</v>
      </c>
      <c r="Y93" t="n">
        <v>2750.421</v>
      </c>
      <c r="Z93" t="n">
        <v>4914.844</v>
      </c>
      <c r="AA93" t="n">
        <v>5726.202</v>
      </c>
      <c r="AB93" t="n">
        <v>1835.779</v>
      </c>
      <c r="AC93" t="n">
        <v>8769.902</v>
      </c>
      <c r="AD93" t="n">
        <v>8268.887000000001</v>
      </c>
      <c r="AE93" t="n">
        <v>11012.869</v>
      </c>
      <c r="AF93" t="n">
        <v>8213</v>
      </c>
      <c r="AG93" t="n">
        <v>8150.76</v>
      </c>
      <c r="AH93" t="n">
        <v>9312.291999999999</v>
      </c>
      <c r="AI93" t="n">
        <v>10630.193</v>
      </c>
      <c r="AJ93" t="n">
        <v>7948.559</v>
      </c>
      <c r="AK93" t="n">
        <v>9021.377</v>
      </c>
      <c r="AL93" t="n">
        <v>7971.825</v>
      </c>
      <c r="AM93" t="n">
        <v>8125.788</v>
      </c>
      <c r="AN93" t="n">
        <v>7111.574</v>
      </c>
      <c r="AO93" t="n">
        <v>8352.620999999999</v>
      </c>
      <c r="AP93" t="n">
        <v>10409.462</v>
      </c>
      <c r="AQ93" t="n">
        <v>11809.575</v>
      </c>
      <c r="AR93" t="n">
        <v>6744.604</v>
      </c>
      <c r="AS93" t="n">
        <v>12337.973</v>
      </c>
      <c r="AT93" t="n">
        <v>17691.477</v>
      </c>
      <c r="AU93" t="n">
        <v>12569.786</v>
      </c>
      <c r="AV93" t="n">
        <v>11380.175</v>
      </c>
      <c r="AW93" t="n">
        <v>16002.657</v>
      </c>
      <c r="AX93" t="n">
        <v>15383.786</v>
      </c>
      <c r="AY93" t="n">
        <v>14088.464</v>
      </c>
      <c r="AZ93" t="n">
        <v>19482.057</v>
      </c>
      <c r="BA93" t="n">
        <v>19008.65</v>
      </c>
      <c r="BB93" t="n">
        <v>11078.012</v>
      </c>
      <c r="BC93" t="n">
        <v>12240.548</v>
      </c>
      <c r="BD93" t="n">
        <v>18416.88</v>
      </c>
      <c r="BE93" t="n">
        <v>18901.063</v>
      </c>
      <c r="BF93" t="n">
        <v>10948.163</v>
      </c>
      <c r="BG93" t="n">
        <v>12377.674</v>
      </c>
      <c r="BH93" t="n">
        <v>9983.545</v>
      </c>
      <c r="BI93" t="n">
        <v>11649.772</v>
      </c>
      <c r="BJ93" t="n">
        <v>12536.932</v>
      </c>
      <c r="BK93" t="n">
        <v>6358.578</v>
      </c>
      <c r="BL93" t="n">
        <v>8365.156999999999</v>
      </c>
      <c r="BM93" t="n">
        <v>8597.599</v>
      </c>
      <c r="BN93" t="n">
        <v>7150.627</v>
      </c>
      <c r="BO93" t="n">
        <v>9920.466</v>
      </c>
      <c r="BP93" t="n">
        <v>8121.565</v>
      </c>
      <c r="BQ93" t="n">
        <v>8793.236999999999</v>
      </c>
      <c r="BR93" t="n">
        <v>6409.481</v>
      </c>
      <c r="BS93" t="n">
        <v>8352.382</v>
      </c>
      <c r="BT93" t="n">
        <v>7840.63</v>
      </c>
      <c r="BU93" t="n">
        <v>7941.273</v>
      </c>
      <c r="BV93" t="n">
        <v>11636.264</v>
      </c>
    </row>
    <row r="94">
      <c r="A94" t="inlineStr">
        <is>
          <t>Megalaspis cordyla</t>
        </is>
      </c>
      <c r="B94" t="inlineStr">
        <is>
          <t>Torpedo scad</t>
        </is>
      </c>
      <c r="C94" t="inlineStr">
        <is>
          <t>Medium pelagics (30 - 89 cm)</t>
        </is>
      </c>
      <c r="D94" t="inlineStr">
        <is>
          <t>Perch-likes</t>
        </is>
      </c>
      <c r="E94" t="n">
        <v>874.443</v>
      </c>
      <c r="F94" t="n">
        <v>870.399</v>
      </c>
      <c r="G94" t="n">
        <v>838.024</v>
      </c>
      <c r="H94" t="n">
        <v>824.188</v>
      </c>
      <c r="I94" t="n">
        <v>903.418</v>
      </c>
      <c r="J94" t="n">
        <v>911.623</v>
      </c>
      <c r="K94" t="n">
        <v>941.362</v>
      </c>
      <c r="L94" t="n">
        <v>969.793</v>
      </c>
      <c r="M94" t="n">
        <v>1074.91</v>
      </c>
      <c r="N94" t="n">
        <v>1132.183</v>
      </c>
      <c r="O94" t="n">
        <v>1199.683</v>
      </c>
      <c r="P94" t="n">
        <v>2378.08</v>
      </c>
      <c r="Q94" t="n">
        <v>1365.64</v>
      </c>
      <c r="R94" t="n">
        <v>1484.643</v>
      </c>
      <c r="S94" t="n">
        <v>1639.062</v>
      </c>
      <c r="T94" t="n">
        <v>1820.735</v>
      </c>
      <c r="U94" t="n">
        <v>1876.253</v>
      </c>
      <c r="V94" t="n">
        <v>2082.965</v>
      </c>
      <c r="W94" t="n">
        <v>2121.114</v>
      </c>
      <c r="X94" t="n">
        <v>2235.584</v>
      </c>
      <c r="Y94" t="n">
        <v>2988.617</v>
      </c>
      <c r="Z94" t="n">
        <v>2954.157</v>
      </c>
      <c r="AA94" t="n">
        <v>2741.003</v>
      </c>
      <c r="AB94" t="n">
        <v>3040.144</v>
      </c>
      <c r="AC94" t="n">
        <v>3225.304</v>
      </c>
      <c r="AD94" t="n">
        <v>3077.618</v>
      </c>
      <c r="AE94" t="n">
        <v>6320.991</v>
      </c>
      <c r="AF94" t="n">
        <v>7035.569</v>
      </c>
      <c r="AG94" t="n">
        <v>8610.941000000001</v>
      </c>
      <c r="AH94" t="n">
        <v>8435.191000000001</v>
      </c>
      <c r="AI94" t="n">
        <v>5333.299</v>
      </c>
      <c r="AJ94" t="n">
        <v>5738.165</v>
      </c>
      <c r="AK94" t="n">
        <v>5175.515</v>
      </c>
      <c r="AL94" t="n">
        <v>6595.553</v>
      </c>
      <c r="AM94" t="n">
        <v>5922.91</v>
      </c>
      <c r="AN94" t="n">
        <v>6720.121</v>
      </c>
      <c r="AO94" t="n">
        <v>7398.765</v>
      </c>
      <c r="AP94" t="n">
        <v>7519.824</v>
      </c>
      <c r="AQ94" t="n">
        <v>8419.632</v>
      </c>
      <c r="AR94" t="n">
        <v>9041.078</v>
      </c>
      <c r="AS94" t="n">
        <v>8288.508</v>
      </c>
      <c r="AT94" t="n">
        <v>11315.865</v>
      </c>
      <c r="AU94" t="n">
        <v>12309.118</v>
      </c>
      <c r="AV94" t="n">
        <v>13721.772</v>
      </c>
      <c r="AW94" t="n">
        <v>11634.372</v>
      </c>
      <c r="AX94" t="n">
        <v>10474.61</v>
      </c>
      <c r="AY94" t="n">
        <v>12235.05</v>
      </c>
      <c r="AZ94" t="n">
        <v>42391.806</v>
      </c>
      <c r="BA94" t="n">
        <v>12545.224</v>
      </c>
      <c r="BB94" t="n">
        <v>14458.495</v>
      </c>
      <c r="BC94" t="n">
        <v>16667.47</v>
      </c>
      <c r="BD94" t="n">
        <v>18381.439</v>
      </c>
      <c r="BE94" t="n">
        <v>17680.797</v>
      </c>
      <c r="BF94" t="n">
        <v>18747.814</v>
      </c>
      <c r="BG94" t="n">
        <v>15678.125</v>
      </c>
      <c r="BH94" t="n">
        <v>14713</v>
      </c>
      <c r="BI94" t="n">
        <v>15352.375</v>
      </c>
      <c r="BJ94" t="n">
        <v>14773.936</v>
      </c>
      <c r="BK94" t="n">
        <v>14972.398</v>
      </c>
      <c r="BL94" t="n">
        <v>13495.223</v>
      </c>
      <c r="BM94" t="n">
        <v>14277.074</v>
      </c>
      <c r="BN94" t="n">
        <v>14674.515</v>
      </c>
      <c r="BO94" t="n">
        <v>16383.774</v>
      </c>
      <c r="BP94" t="n">
        <v>16852.483</v>
      </c>
      <c r="BQ94" t="n">
        <v>16450.166</v>
      </c>
      <c r="BR94" t="n">
        <v>17306.213</v>
      </c>
      <c r="BS94" t="n">
        <v>17417.47</v>
      </c>
      <c r="BT94" t="n">
        <v>15748.928</v>
      </c>
      <c r="BU94" t="n">
        <v>14776.728</v>
      </c>
      <c r="BV94" t="n">
        <v>14506.512</v>
      </c>
    </row>
    <row r="95">
      <c r="A95" t="inlineStr">
        <is>
          <t>Scomberomorus guttatus</t>
        </is>
      </c>
      <c r="B95" t="inlineStr">
        <is>
          <t>Indo-Pacific king mackerel</t>
        </is>
      </c>
      <c r="C95" t="inlineStr">
        <is>
          <t>Medium pelagics (30 - 89 cm)</t>
        </is>
      </c>
      <c r="D95" t="inlineStr">
        <is>
          <t>Perch-likes</t>
        </is>
      </c>
      <c r="E95" t="n">
        <v>1064.13</v>
      </c>
      <c r="F95" t="n">
        <v>1095.768</v>
      </c>
      <c r="G95" t="n">
        <v>1490.824</v>
      </c>
      <c r="H95" t="n">
        <v>1487.279</v>
      </c>
      <c r="I95" t="n">
        <v>1880.533</v>
      </c>
      <c r="J95" t="n">
        <v>1883.499</v>
      </c>
      <c r="K95" t="n">
        <v>1893.588</v>
      </c>
      <c r="L95" t="n">
        <v>2069.424</v>
      </c>
      <c r="M95" t="n">
        <v>2078.374</v>
      </c>
      <c r="N95" t="n">
        <v>2103.893</v>
      </c>
      <c r="O95" t="n">
        <v>2259.647</v>
      </c>
      <c r="P95" t="n">
        <v>2878.667</v>
      </c>
      <c r="Q95" t="n">
        <v>3432.803</v>
      </c>
      <c r="R95" t="n">
        <v>2207.805</v>
      </c>
      <c r="S95" t="n">
        <v>2380.867</v>
      </c>
      <c r="T95" t="n">
        <v>3354.668</v>
      </c>
      <c r="U95" t="n">
        <v>2866.094</v>
      </c>
      <c r="V95" t="n">
        <v>3608.668</v>
      </c>
      <c r="W95" t="n">
        <v>4293.601</v>
      </c>
      <c r="X95" t="n">
        <v>4139.432</v>
      </c>
      <c r="Y95" t="n">
        <v>4977.741</v>
      </c>
      <c r="Z95" t="n">
        <v>4951.857</v>
      </c>
      <c r="AA95" t="n">
        <v>5631.001</v>
      </c>
      <c r="AB95" t="n">
        <v>15048.161</v>
      </c>
      <c r="AC95" t="n">
        <v>5707.061</v>
      </c>
      <c r="AD95" t="n">
        <v>5192.005</v>
      </c>
      <c r="AE95" t="n">
        <v>7903.516</v>
      </c>
      <c r="AF95" t="n">
        <v>6584.69</v>
      </c>
      <c r="AG95" t="n">
        <v>6878.434</v>
      </c>
      <c r="AH95" t="n">
        <v>7338.411</v>
      </c>
      <c r="AI95" t="n">
        <v>5461.451</v>
      </c>
      <c r="AJ95" t="n">
        <v>6425.206</v>
      </c>
      <c r="AK95" t="n">
        <v>7124.07</v>
      </c>
      <c r="AL95" t="n">
        <v>8382.465</v>
      </c>
      <c r="AM95" t="n">
        <v>8653.482</v>
      </c>
      <c r="AN95" t="n">
        <v>8492.522999999999</v>
      </c>
      <c r="AO95" t="n">
        <v>8277.199000000001</v>
      </c>
      <c r="AP95" t="n">
        <v>9622.031000000001</v>
      </c>
      <c r="AQ95" t="n">
        <v>10954.689</v>
      </c>
      <c r="AR95" t="n">
        <v>17417.298</v>
      </c>
      <c r="AS95" t="n">
        <v>15901.498</v>
      </c>
      <c r="AT95" t="n">
        <v>15167.524</v>
      </c>
      <c r="AU95" t="n">
        <v>15435.974</v>
      </c>
      <c r="AV95" t="n">
        <v>12460.012</v>
      </c>
      <c r="AW95" t="n">
        <v>12808.59</v>
      </c>
      <c r="AX95" t="n">
        <v>18089.179</v>
      </c>
      <c r="AY95" t="n">
        <v>17843.292</v>
      </c>
      <c r="AZ95" t="n">
        <v>15281.159</v>
      </c>
      <c r="BA95" t="n">
        <v>12545.169</v>
      </c>
      <c r="BB95" t="n">
        <v>11971.168</v>
      </c>
      <c r="BC95" t="n">
        <v>12931.494</v>
      </c>
      <c r="BD95" t="n">
        <v>15396.776</v>
      </c>
      <c r="BE95" t="n">
        <v>13082.499</v>
      </c>
      <c r="BF95" t="n">
        <v>10284.864</v>
      </c>
      <c r="BG95" t="n">
        <v>10872.639</v>
      </c>
      <c r="BH95" t="n">
        <v>12120.613</v>
      </c>
      <c r="BI95" t="n">
        <v>8608.923000000001</v>
      </c>
      <c r="BJ95" t="n">
        <v>10070.402</v>
      </c>
      <c r="BK95" t="n">
        <v>9930.698</v>
      </c>
      <c r="BL95" t="n">
        <v>9975.973</v>
      </c>
      <c r="BM95" t="n">
        <v>11867.82</v>
      </c>
      <c r="BN95" t="n">
        <v>12136.01</v>
      </c>
      <c r="BO95" t="n">
        <v>11917.561</v>
      </c>
      <c r="BP95" t="n">
        <v>12179.271</v>
      </c>
      <c r="BQ95" t="n">
        <v>12034.639</v>
      </c>
      <c r="BR95" t="n">
        <v>12283.943</v>
      </c>
      <c r="BS95" t="n">
        <v>11969.573</v>
      </c>
      <c r="BT95" t="n">
        <v>10607.02</v>
      </c>
      <c r="BU95" t="n">
        <v>11553.705</v>
      </c>
      <c r="BV95" t="n">
        <v>12079.924</v>
      </c>
    </row>
    <row r="96">
      <c r="A96" t="inlineStr">
        <is>
          <t>Atrobucca nibe</t>
        </is>
      </c>
      <c r="B96" t="inlineStr">
        <is>
          <t>Blackmouth croaker</t>
        </is>
      </c>
      <c r="C96" t="inlineStr">
        <is>
          <t>Medium demersals (30 - 89 cm)</t>
        </is>
      </c>
      <c r="D96" t="inlineStr">
        <is>
          <t>Perch-likes</t>
        </is>
      </c>
      <c r="E96" t="n">
        <v>10510.795</v>
      </c>
      <c r="F96" t="n">
        <v>14058.318</v>
      </c>
      <c r="G96" t="n">
        <v>19097.88</v>
      </c>
      <c r="H96" t="n">
        <v>19143.453</v>
      </c>
      <c r="I96" t="n">
        <v>18616.804</v>
      </c>
      <c r="J96" t="n">
        <v>14636.476</v>
      </c>
      <c r="K96" t="n">
        <v>12234.874</v>
      </c>
      <c r="L96" t="n">
        <v>11237.295</v>
      </c>
      <c r="M96" t="n">
        <v>12438.185</v>
      </c>
      <c r="N96" t="n">
        <v>11796.73</v>
      </c>
      <c r="O96" t="n">
        <v>11732.469</v>
      </c>
      <c r="P96" t="n">
        <v>5173.927</v>
      </c>
      <c r="Q96" t="n">
        <v>8372.582</v>
      </c>
      <c r="R96" t="n">
        <v>7903.342</v>
      </c>
      <c r="S96" t="n">
        <v>11723.732</v>
      </c>
      <c r="T96" t="n">
        <v>9694.992</v>
      </c>
      <c r="U96" t="n">
        <v>7866.479</v>
      </c>
      <c r="V96" t="n">
        <v>8160.117</v>
      </c>
      <c r="W96" t="n">
        <v>7213.025</v>
      </c>
      <c r="X96" t="n">
        <v>7413.235</v>
      </c>
      <c r="Y96" t="n">
        <v>7102.566</v>
      </c>
      <c r="Z96" t="n">
        <v>13367.879</v>
      </c>
      <c r="AA96" t="n">
        <v>24437.743</v>
      </c>
      <c r="AB96" t="n">
        <v>24204.483</v>
      </c>
      <c r="AC96" t="n">
        <v>21125.04</v>
      </c>
      <c r="AD96" t="n">
        <v>21800.367</v>
      </c>
      <c r="AE96" t="n">
        <v>17468.687</v>
      </c>
      <c r="AF96" t="n">
        <v>16983.964</v>
      </c>
      <c r="AG96" t="n">
        <v>16529.639</v>
      </c>
      <c r="AH96" t="n">
        <v>13427.101</v>
      </c>
      <c r="AI96" t="n">
        <v>14010.023</v>
      </c>
      <c r="AJ96" t="n">
        <v>13676.741</v>
      </c>
      <c r="AK96" t="n">
        <v>13894.685</v>
      </c>
      <c r="AL96" t="n">
        <v>15288.772</v>
      </c>
      <c r="AM96" t="n">
        <v>13369.709</v>
      </c>
      <c r="AN96" t="n">
        <v>13755.374</v>
      </c>
      <c r="AO96" t="n">
        <v>14049.603</v>
      </c>
      <c r="AP96" t="n">
        <v>11451.47</v>
      </c>
      <c r="AQ96" t="n">
        <v>9802.671</v>
      </c>
      <c r="AR96" t="n">
        <v>12301.134</v>
      </c>
      <c r="AS96" t="n">
        <v>5724.135</v>
      </c>
      <c r="AT96" t="n">
        <v>3785.414</v>
      </c>
      <c r="AU96" t="n">
        <v>7342.851</v>
      </c>
      <c r="AV96" t="n">
        <v>7215.239</v>
      </c>
      <c r="AW96" t="n">
        <v>1999.89</v>
      </c>
      <c r="AX96" t="n">
        <v>772.8</v>
      </c>
      <c r="AY96" t="n">
        <v>1571.785</v>
      </c>
      <c r="AZ96" t="n">
        <v>1472.884</v>
      </c>
      <c r="BA96" t="n">
        <v>984.352</v>
      </c>
      <c r="BB96" t="n">
        <v>915.907</v>
      </c>
      <c r="BC96" t="n">
        <v>1603.764</v>
      </c>
      <c r="BD96" t="n">
        <v>2211.401</v>
      </c>
      <c r="BE96" t="n">
        <v>1740.609</v>
      </c>
      <c r="BF96" t="n">
        <v>702.306</v>
      </c>
      <c r="BG96" t="n">
        <v>737.41</v>
      </c>
      <c r="BH96" t="n">
        <v>486.94</v>
      </c>
      <c r="BI96" t="n">
        <v>680.569</v>
      </c>
      <c r="BJ96" t="n">
        <v>643.564</v>
      </c>
      <c r="BK96" t="n">
        <v>686.926</v>
      </c>
      <c r="BL96" t="n">
        <v>1112.362</v>
      </c>
      <c r="BM96" t="n">
        <v>724.222</v>
      </c>
      <c r="BN96" t="n">
        <v>811.468</v>
      </c>
      <c r="BO96" t="n">
        <v>869.95</v>
      </c>
      <c r="BP96" t="n">
        <v>951.228</v>
      </c>
      <c r="BQ96" t="n">
        <v>1030.831</v>
      </c>
      <c r="BR96" t="n">
        <v>894.418</v>
      </c>
      <c r="BS96" t="n">
        <v>945.424</v>
      </c>
      <c r="BT96" t="n">
        <v>1030.267</v>
      </c>
      <c r="BU96" t="n">
        <v>864.342</v>
      </c>
      <c r="BV96" t="n">
        <v>1001.21</v>
      </c>
    </row>
    <row r="97">
      <c r="A97" t="inlineStr">
        <is>
          <t>Trichiuridae</t>
        </is>
      </c>
      <c r="B97" t="inlineStr">
        <is>
          <t>Cutlassfishes</t>
        </is>
      </c>
      <c r="C97" t="inlineStr">
        <is>
          <t>Large benthopelagics (&gt;=90 cm)</t>
        </is>
      </c>
      <c r="D97" t="inlineStr">
        <is>
          <t>Perch-likes</t>
        </is>
      </c>
      <c r="E97" t="n">
        <v>1212.884</v>
      </c>
      <c r="F97" t="n">
        <v>1215.43</v>
      </c>
      <c r="G97" t="n">
        <v>1578.16</v>
      </c>
      <c r="H97" t="n">
        <v>1579.919</v>
      </c>
      <c r="I97" t="n">
        <v>1461.765</v>
      </c>
      <c r="J97" t="n">
        <v>1584.548</v>
      </c>
      <c r="K97" t="n">
        <v>1345.209</v>
      </c>
      <c r="L97" t="n">
        <v>1105.993</v>
      </c>
      <c r="M97" t="n">
        <v>1107.205</v>
      </c>
      <c r="N97" t="n">
        <v>1472.49</v>
      </c>
      <c r="O97" t="n">
        <v>1596.575</v>
      </c>
      <c r="P97" t="n">
        <v>1425.695</v>
      </c>
      <c r="Q97" t="n">
        <v>1037.764</v>
      </c>
      <c r="R97" t="n">
        <v>1087.493</v>
      </c>
      <c r="S97" t="n">
        <v>1286.201</v>
      </c>
      <c r="T97" t="n">
        <v>3032.784</v>
      </c>
      <c r="U97" t="n">
        <v>3001.793</v>
      </c>
      <c r="V97" t="n">
        <v>3761.19</v>
      </c>
      <c r="W97" t="n">
        <v>4720.32</v>
      </c>
      <c r="X97" t="n">
        <v>6853.762</v>
      </c>
      <c r="Y97" t="n">
        <v>5172.598</v>
      </c>
      <c r="Z97" t="n">
        <v>5245.629</v>
      </c>
      <c r="AA97" t="n">
        <v>6947.887</v>
      </c>
      <c r="AB97" t="n">
        <v>7761.04</v>
      </c>
      <c r="AC97" t="n">
        <v>8553.236999999999</v>
      </c>
      <c r="AD97" t="n">
        <v>10683.282</v>
      </c>
      <c r="AE97" t="n">
        <v>11364.832</v>
      </c>
      <c r="AF97" t="n">
        <v>10489.596</v>
      </c>
      <c r="AG97" t="n">
        <v>9075.93</v>
      </c>
      <c r="AH97" t="n">
        <v>7834.321</v>
      </c>
      <c r="AI97" t="n">
        <v>6687.935</v>
      </c>
      <c r="AJ97" t="n">
        <v>8031.764</v>
      </c>
      <c r="AK97" t="n">
        <v>8377.429</v>
      </c>
      <c r="AL97" t="n">
        <v>9822.832</v>
      </c>
      <c r="AM97" t="n">
        <v>11727.645</v>
      </c>
      <c r="AN97" t="n">
        <v>12517.414</v>
      </c>
      <c r="AO97" t="n">
        <v>14935.668</v>
      </c>
      <c r="AP97" t="n">
        <v>13981.926</v>
      </c>
      <c r="AQ97" t="n">
        <v>15129.681</v>
      </c>
      <c r="AR97" t="n">
        <v>13963.123</v>
      </c>
      <c r="AS97" t="n">
        <v>12037.685</v>
      </c>
      <c r="AT97" t="n">
        <v>27614.628</v>
      </c>
      <c r="AU97" t="n">
        <v>12713.05</v>
      </c>
      <c r="AV97" t="n">
        <v>11237.002</v>
      </c>
      <c r="AW97" t="n">
        <v>11713.205</v>
      </c>
      <c r="AX97" t="n">
        <v>12401.083</v>
      </c>
      <c r="AY97" t="n">
        <v>11676.98</v>
      </c>
      <c r="AZ97" t="n">
        <v>9525.968000000001</v>
      </c>
      <c r="BA97" t="n">
        <v>9197.636</v>
      </c>
      <c r="BB97" t="n">
        <v>7588.355</v>
      </c>
      <c r="BC97" t="n">
        <v>8200.844999999999</v>
      </c>
      <c r="BD97" t="n">
        <v>7817.063</v>
      </c>
      <c r="BE97" t="n">
        <v>8165.26</v>
      </c>
      <c r="BF97" t="n">
        <v>7354.843</v>
      </c>
      <c r="BG97" t="n">
        <v>7270.265</v>
      </c>
      <c r="BH97" t="n">
        <v>8072.132</v>
      </c>
      <c r="BI97" t="n">
        <v>6799.287</v>
      </c>
      <c r="BJ97" t="n">
        <v>8027.211</v>
      </c>
      <c r="BK97" t="n">
        <v>7164.518</v>
      </c>
      <c r="BL97" t="n">
        <v>6305.827</v>
      </c>
      <c r="BM97" t="n">
        <v>6730.697</v>
      </c>
      <c r="BN97" t="n">
        <v>13729.455</v>
      </c>
      <c r="BO97" t="n">
        <v>13860.107</v>
      </c>
      <c r="BP97" t="n">
        <v>14323.738</v>
      </c>
      <c r="BQ97" t="n">
        <v>14492.212</v>
      </c>
      <c r="BR97" t="n">
        <v>15660.708</v>
      </c>
      <c r="BS97" t="n">
        <v>15189.189</v>
      </c>
      <c r="BT97" t="n">
        <v>13696.815</v>
      </c>
      <c r="BU97" t="n">
        <v>14611.464</v>
      </c>
      <c r="BV97" t="n">
        <v>14945.642</v>
      </c>
    </row>
    <row r="98">
      <c r="A98" t="inlineStr">
        <is>
          <t>Thunnus tonggol</t>
        </is>
      </c>
      <c r="B98" t="inlineStr">
        <is>
          <t>Longtail tuna</t>
        </is>
      </c>
      <c r="C98" t="inlineStr">
        <is>
          <t>Large pelagics (&gt;=90 cm)</t>
        </is>
      </c>
      <c r="D98" t="inlineStr">
        <is>
          <t>Tuna &amp; billfishes</t>
        </is>
      </c>
      <c r="E98" t="n">
        <v>1705.955</v>
      </c>
      <c r="F98" t="n">
        <v>1674.318</v>
      </c>
      <c r="G98" t="n">
        <v>1727.904</v>
      </c>
      <c r="H98" t="n">
        <v>1789.612</v>
      </c>
      <c r="I98" t="n">
        <v>1977.946</v>
      </c>
      <c r="J98" t="n">
        <v>1956.543</v>
      </c>
      <c r="K98" t="n">
        <v>2039.786</v>
      </c>
      <c r="L98" t="n">
        <v>2143.735</v>
      </c>
      <c r="M98" t="n">
        <v>2285.828</v>
      </c>
      <c r="N98" t="n">
        <v>2405.607</v>
      </c>
      <c r="O98" t="n">
        <v>2562.096</v>
      </c>
      <c r="P98" t="n">
        <v>2674.725</v>
      </c>
      <c r="Q98" t="n">
        <v>2800.936</v>
      </c>
      <c r="R98" t="n">
        <v>2893.465</v>
      </c>
      <c r="S98" t="n">
        <v>3044.718</v>
      </c>
      <c r="T98" t="n">
        <v>3981.228</v>
      </c>
      <c r="U98" t="n">
        <v>4051.078</v>
      </c>
      <c r="V98" t="n">
        <v>4359.357</v>
      </c>
      <c r="W98" t="n">
        <v>3974.689</v>
      </c>
      <c r="X98" t="n">
        <v>3833.647</v>
      </c>
      <c r="Y98" t="n">
        <v>4439.995</v>
      </c>
      <c r="Z98" t="n">
        <v>4223.82</v>
      </c>
      <c r="AA98" t="n">
        <v>3933.956</v>
      </c>
      <c r="AB98" t="n">
        <v>4130.789</v>
      </c>
      <c r="AC98" t="n">
        <v>4287.237</v>
      </c>
      <c r="AD98" t="n">
        <v>4628.057</v>
      </c>
      <c r="AE98" t="n">
        <v>4677.772</v>
      </c>
      <c r="AF98" t="n">
        <v>4930.08</v>
      </c>
      <c r="AG98" t="n">
        <v>5353.121</v>
      </c>
      <c r="AH98" t="n">
        <v>5677.993</v>
      </c>
      <c r="AI98" t="n">
        <v>7228.338</v>
      </c>
      <c r="AJ98" t="n">
        <v>8291.476000000001</v>
      </c>
      <c r="AK98" t="n">
        <v>7880.441</v>
      </c>
      <c r="AL98" t="n">
        <v>8456.385</v>
      </c>
      <c r="AM98" t="n">
        <v>8548.152</v>
      </c>
      <c r="AN98" t="n">
        <v>7811.003</v>
      </c>
      <c r="AO98" t="n">
        <v>7453.783</v>
      </c>
      <c r="AP98" t="n">
        <v>7218.582</v>
      </c>
      <c r="AQ98" t="n">
        <v>7596.726</v>
      </c>
      <c r="AR98" t="n">
        <v>7691.431</v>
      </c>
      <c r="AS98" t="n">
        <v>8743.686</v>
      </c>
      <c r="AT98" t="n">
        <v>15216.555</v>
      </c>
      <c r="AU98" t="n">
        <v>18728.059</v>
      </c>
      <c r="AV98" t="n">
        <v>15947.972</v>
      </c>
      <c r="AW98" t="n">
        <v>16276.825</v>
      </c>
      <c r="AX98" t="n">
        <v>17977.309</v>
      </c>
      <c r="AY98" t="n">
        <v>21868.722</v>
      </c>
      <c r="AZ98" t="n">
        <v>17704.743</v>
      </c>
      <c r="BA98" t="n">
        <v>15717.593</v>
      </c>
      <c r="BB98" t="n">
        <v>17658.58</v>
      </c>
      <c r="BC98" t="n">
        <v>18108.749</v>
      </c>
      <c r="BD98" t="n">
        <v>18294.141</v>
      </c>
      <c r="BE98" t="n">
        <v>12973.171</v>
      </c>
      <c r="BF98" t="n">
        <v>13373.369</v>
      </c>
      <c r="BG98" t="n">
        <v>13217.992</v>
      </c>
      <c r="BH98" t="n">
        <v>11092.635</v>
      </c>
      <c r="BI98" t="n">
        <v>12210.254</v>
      </c>
      <c r="BJ98" t="n">
        <v>13940.355</v>
      </c>
      <c r="BK98" t="n">
        <v>8469.713</v>
      </c>
      <c r="BL98" t="n">
        <v>7833.135</v>
      </c>
      <c r="BM98" t="n">
        <v>8845.385</v>
      </c>
      <c r="BN98" t="n">
        <v>8012.253</v>
      </c>
      <c r="BO98" t="n">
        <v>9012.867</v>
      </c>
      <c r="BP98" t="n">
        <v>9368.040000000001</v>
      </c>
      <c r="BQ98" t="n">
        <v>8588.355</v>
      </c>
      <c r="BR98" t="n">
        <v>8989.555</v>
      </c>
      <c r="BS98" t="n">
        <v>9291.057000000001</v>
      </c>
      <c r="BT98" t="n">
        <v>8484.441999999999</v>
      </c>
      <c r="BU98" t="n">
        <v>8058.507</v>
      </c>
      <c r="BV98" t="n">
        <v>7461.763</v>
      </c>
    </row>
    <row r="99">
      <c r="A99" t="inlineStr">
        <is>
          <t>Penaeus indicus</t>
        </is>
      </c>
      <c r="B99" t="inlineStr">
        <is>
          <t>Indian white prawn</t>
        </is>
      </c>
      <c r="C99" t="inlineStr">
        <is>
          <t>Shrimps</t>
        </is>
      </c>
      <c r="D99" t="inlineStr">
        <is>
          <t>Crustaceans</t>
        </is>
      </c>
      <c r="E99" t="n">
        <v>1348.446</v>
      </c>
      <c r="F99" t="n">
        <v>1531.594</v>
      </c>
      <c r="G99" t="n">
        <v>1714.743</v>
      </c>
      <c r="H99" t="n">
        <v>1798.142</v>
      </c>
      <c r="I99" t="n">
        <v>1896.931</v>
      </c>
      <c r="J99" t="n">
        <v>1980.51</v>
      </c>
      <c r="K99" t="n">
        <v>2063.328</v>
      </c>
      <c r="L99" t="n">
        <v>2034.685</v>
      </c>
      <c r="M99" t="n">
        <v>2022.699</v>
      </c>
      <c r="N99" t="n">
        <v>2061.305</v>
      </c>
      <c r="O99" t="n">
        <v>2089.815</v>
      </c>
      <c r="P99" t="n">
        <v>2577.658</v>
      </c>
      <c r="Q99" t="n">
        <v>2675.278</v>
      </c>
      <c r="R99" t="n">
        <v>2724.41</v>
      </c>
      <c r="S99" t="n">
        <v>2891.864</v>
      </c>
      <c r="T99" t="n">
        <v>3206.795</v>
      </c>
      <c r="U99" t="n">
        <v>3578.948</v>
      </c>
      <c r="V99" t="n">
        <v>3433.734</v>
      </c>
      <c r="W99" t="n">
        <v>3537.672</v>
      </c>
      <c r="X99" t="n">
        <v>3814.467</v>
      </c>
      <c r="Y99" t="n">
        <v>3446.694</v>
      </c>
      <c r="Z99" t="n">
        <v>3376.168</v>
      </c>
      <c r="AA99" t="n">
        <v>4183.564</v>
      </c>
      <c r="AB99" t="n">
        <v>4015.575</v>
      </c>
      <c r="AC99" t="n">
        <v>3935.276</v>
      </c>
      <c r="AD99" t="n">
        <v>4259.962</v>
      </c>
      <c r="AE99" t="n">
        <v>3259.369</v>
      </c>
      <c r="AF99" t="n">
        <v>2949.056</v>
      </c>
      <c r="AG99" t="n">
        <v>10344.845</v>
      </c>
      <c r="AH99" t="n">
        <v>7759.902</v>
      </c>
      <c r="AI99" t="n">
        <v>9430.288</v>
      </c>
      <c r="AJ99" t="n">
        <v>7875.107</v>
      </c>
      <c r="AK99" t="n">
        <v>6267.729</v>
      </c>
      <c r="AL99" t="n">
        <v>8743.889999999999</v>
      </c>
      <c r="AM99" t="n">
        <v>5105.845</v>
      </c>
      <c r="AN99" t="n">
        <v>5661.724</v>
      </c>
      <c r="AO99" t="n">
        <v>7033.047</v>
      </c>
      <c r="AP99" t="n">
        <v>7646.205</v>
      </c>
      <c r="AQ99" t="n">
        <v>8385.744000000001</v>
      </c>
      <c r="AR99" t="n">
        <v>7934.861</v>
      </c>
      <c r="AS99" t="n">
        <v>7612.703</v>
      </c>
      <c r="AT99" t="n">
        <v>7604.535</v>
      </c>
      <c r="AU99" t="n">
        <v>9532.903</v>
      </c>
      <c r="AV99" t="n">
        <v>8897.442999999999</v>
      </c>
      <c r="AW99" t="n">
        <v>9227.161</v>
      </c>
      <c r="AX99" t="n">
        <v>9832.933999999999</v>
      </c>
      <c r="AY99" t="n">
        <v>9878.831</v>
      </c>
      <c r="AZ99" t="n">
        <v>9241.832</v>
      </c>
      <c r="BA99" t="n">
        <v>11350.961</v>
      </c>
      <c r="BB99" t="n">
        <v>12553.863</v>
      </c>
      <c r="BC99" t="n">
        <v>13927.82</v>
      </c>
      <c r="BD99" t="n">
        <v>11792.446</v>
      </c>
      <c r="BE99" t="n">
        <v>12760.943</v>
      </c>
      <c r="BF99" t="n">
        <v>13704.099</v>
      </c>
      <c r="BG99" t="n">
        <v>13745.583</v>
      </c>
      <c r="BH99" t="n">
        <v>12208.784</v>
      </c>
      <c r="BI99" t="n">
        <v>9711.582</v>
      </c>
      <c r="BJ99" t="n">
        <v>11983.439</v>
      </c>
      <c r="BK99" t="n">
        <v>15336.644</v>
      </c>
      <c r="BL99" t="n">
        <v>14544.26</v>
      </c>
      <c r="BM99" t="n">
        <v>13902.804</v>
      </c>
      <c r="BN99" t="n">
        <v>14392.396</v>
      </c>
      <c r="BO99" t="n">
        <v>14548.586</v>
      </c>
      <c r="BP99" t="n">
        <v>14779.271</v>
      </c>
      <c r="BQ99" t="n">
        <v>15925.118</v>
      </c>
      <c r="BR99" t="n">
        <v>17854.849</v>
      </c>
      <c r="BS99" t="n">
        <v>16866.287</v>
      </c>
      <c r="BT99" t="n">
        <v>15080.048</v>
      </c>
      <c r="BU99" t="n">
        <v>17159.8</v>
      </c>
      <c r="BV99" t="n">
        <v>18644.42</v>
      </c>
    </row>
    <row r="100">
      <c r="A100" t="inlineStr">
        <is>
          <t>Rhopilema esculentum</t>
        </is>
      </c>
      <c r="B100" t="inlineStr">
        <is>
          <t>Flame jellyfish</t>
        </is>
      </c>
      <c r="C100" t="inlineStr">
        <is>
          <t>Jellyfish</t>
        </is>
      </c>
      <c r="D100" t="inlineStr">
        <is>
          <t>Other fishes &amp; inverts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807.394</v>
      </c>
      <c r="Z100" t="n">
        <v>253.999</v>
      </c>
      <c r="AA100" t="n">
        <v>465.073</v>
      </c>
      <c r="AB100" t="n">
        <v>1697.419</v>
      </c>
      <c r="AC100" t="n">
        <v>712.3579999999999</v>
      </c>
      <c r="AD100" t="n">
        <v>455.896</v>
      </c>
      <c r="AE100" t="n">
        <v>171.599</v>
      </c>
      <c r="AF100" t="n">
        <v>464.132</v>
      </c>
      <c r="AG100" t="n">
        <v>114.984</v>
      </c>
      <c r="AH100" t="n">
        <v>10.324</v>
      </c>
      <c r="AI100" t="n">
        <v>8.897</v>
      </c>
      <c r="AJ100" t="n">
        <v>14.137</v>
      </c>
      <c r="AK100" t="n">
        <v>7.347</v>
      </c>
      <c r="AL100" t="n">
        <v>4.762</v>
      </c>
      <c r="AM100" t="n">
        <v>17.562</v>
      </c>
      <c r="AN100" t="n">
        <v>23.833</v>
      </c>
      <c r="AO100" t="n">
        <v>17.927</v>
      </c>
      <c r="AP100" t="n">
        <v>66.008</v>
      </c>
      <c r="AQ100" t="n">
        <v>32.578</v>
      </c>
      <c r="AR100" t="n">
        <v>63.777</v>
      </c>
      <c r="AS100" t="n">
        <v>59.691</v>
      </c>
      <c r="AT100" t="n">
        <v>164.166</v>
      </c>
      <c r="AU100" t="n">
        <v>366.482</v>
      </c>
      <c r="AV100" t="n">
        <v>274.014</v>
      </c>
      <c r="AW100" t="n">
        <v>208.869</v>
      </c>
      <c r="AX100" t="n">
        <v>315.18</v>
      </c>
      <c r="AY100" t="n">
        <v>5220.721</v>
      </c>
      <c r="AZ100" t="n">
        <v>264.303</v>
      </c>
      <c r="BA100" t="n">
        <v>14.174</v>
      </c>
      <c r="BB100" t="n">
        <v>19.088</v>
      </c>
      <c r="BC100" t="n">
        <v>16.202</v>
      </c>
      <c r="BD100" t="n">
        <v>0</v>
      </c>
      <c r="BE100" t="n">
        <v>0</v>
      </c>
      <c r="BF100" t="n">
        <v>10244.69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9939.291999999999</v>
      </c>
      <c r="BM100" t="n">
        <v>9805.571</v>
      </c>
      <c r="BN100" t="n">
        <v>0</v>
      </c>
      <c r="BO100" t="n">
        <v>0</v>
      </c>
      <c r="BP100" t="n">
        <v>0</v>
      </c>
      <c r="BQ100" t="n">
        <v>102104.907</v>
      </c>
      <c r="BR100" t="n">
        <v>102381.282</v>
      </c>
      <c r="BS100" t="n">
        <v>95569.223</v>
      </c>
      <c r="BT100" t="n">
        <v>73304.568</v>
      </c>
      <c r="BU100" t="n">
        <v>69883.734</v>
      </c>
      <c r="BV100" t="n">
        <v>63412.205</v>
      </c>
    </row>
    <row r="101">
      <c r="A101" t="inlineStr">
        <is>
          <t>Clupeiformes</t>
        </is>
      </c>
      <c r="B101" t="inlineStr">
        <is>
          <t>Herrings, shads, anchovies</t>
        </is>
      </c>
      <c r="C101" t="inlineStr">
        <is>
          <t>Small pelagics (&lt;30 cm)</t>
        </is>
      </c>
      <c r="D101" t="inlineStr">
        <is>
          <t>Other fishes &amp; inverts</t>
        </is>
      </c>
      <c r="E101" t="n">
        <v>784.042</v>
      </c>
      <c r="F101" t="n">
        <v>1004.011</v>
      </c>
      <c r="G101" t="n">
        <v>781.936</v>
      </c>
      <c r="H101" t="n">
        <v>895.228</v>
      </c>
      <c r="I101" t="n">
        <v>1612.501</v>
      </c>
      <c r="J101" t="n">
        <v>4973.062</v>
      </c>
      <c r="K101" t="n">
        <v>5696.471</v>
      </c>
      <c r="L101" t="n">
        <v>5168.665</v>
      </c>
      <c r="M101" t="n">
        <v>6097.518</v>
      </c>
      <c r="N101" t="n">
        <v>7190.149</v>
      </c>
      <c r="O101" t="n">
        <v>4772.065</v>
      </c>
      <c r="P101" t="n">
        <v>6658.6</v>
      </c>
      <c r="Q101" t="n">
        <v>7598.05</v>
      </c>
      <c r="R101" t="n">
        <v>11428.343</v>
      </c>
      <c r="S101" t="n">
        <v>12585.496</v>
      </c>
      <c r="T101" t="n">
        <v>10302.625</v>
      </c>
      <c r="U101" t="n">
        <v>7640.061</v>
      </c>
      <c r="V101" t="n">
        <v>6625.19</v>
      </c>
      <c r="W101" t="n">
        <v>10818.547</v>
      </c>
      <c r="X101" t="n">
        <v>11373.96</v>
      </c>
      <c r="Y101" t="n">
        <v>15233.726</v>
      </c>
      <c r="Z101" t="n">
        <v>11994.4</v>
      </c>
      <c r="AA101" t="n">
        <v>12595.916</v>
      </c>
      <c r="AB101" t="n">
        <v>8844.162</v>
      </c>
      <c r="AC101" t="n">
        <v>8517.728999999999</v>
      </c>
      <c r="AD101" t="n">
        <v>8353.207</v>
      </c>
      <c r="AE101" t="n">
        <v>9280.115</v>
      </c>
      <c r="AF101" t="n">
        <v>11555.095</v>
      </c>
      <c r="AG101" t="n">
        <v>9349.787</v>
      </c>
      <c r="AH101" t="n">
        <v>10875.716</v>
      </c>
      <c r="AI101" t="n">
        <v>10212.766</v>
      </c>
      <c r="AJ101" t="n">
        <v>10594.436</v>
      </c>
      <c r="AK101" t="n">
        <v>10218.962</v>
      </c>
      <c r="AL101" t="n">
        <v>12255.4</v>
      </c>
      <c r="AM101" t="n">
        <v>12386.217</v>
      </c>
      <c r="AN101" t="n">
        <v>15652.726</v>
      </c>
      <c r="AO101" t="n">
        <v>12976.219</v>
      </c>
      <c r="AP101" t="n">
        <v>11986.768</v>
      </c>
      <c r="AQ101" t="n">
        <v>11635.806</v>
      </c>
      <c r="AR101" t="n">
        <v>12189.533</v>
      </c>
      <c r="AS101" t="n">
        <v>13235.85</v>
      </c>
      <c r="AT101" t="n">
        <v>11660.331</v>
      </c>
      <c r="AU101" t="n">
        <v>10419.487</v>
      </c>
      <c r="AV101" t="n">
        <v>9605.032999999999</v>
      </c>
      <c r="AW101" t="n">
        <v>11847.747</v>
      </c>
      <c r="AX101" t="n">
        <v>11344.344</v>
      </c>
      <c r="AY101" t="n">
        <v>9472.706</v>
      </c>
      <c r="AZ101" t="n">
        <v>10025.913</v>
      </c>
      <c r="BA101" t="n">
        <v>8112.934</v>
      </c>
      <c r="BB101" t="n">
        <v>8401.785</v>
      </c>
      <c r="BC101" t="n">
        <v>7287.256</v>
      </c>
      <c r="BD101" t="n">
        <v>7869.54</v>
      </c>
      <c r="BE101" t="n">
        <v>7821.538</v>
      </c>
      <c r="BF101" t="n">
        <v>8108.409</v>
      </c>
      <c r="BG101" t="n">
        <v>8585.343999999999</v>
      </c>
      <c r="BH101" t="n">
        <v>3542.22</v>
      </c>
      <c r="BI101" t="n">
        <v>2914.967</v>
      </c>
      <c r="BJ101" t="n">
        <v>3217.401</v>
      </c>
      <c r="BK101" t="n">
        <v>1880.014</v>
      </c>
      <c r="BL101" t="n">
        <v>1844.887</v>
      </c>
      <c r="BM101" t="n">
        <v>1920.783</v>
      </c>
      <c r="BN101" t="n">
        <v>2822.916</v>
      </c>
      <c r="BO101" t="n">
        <v>3576.814</v>
      </c>
      <c r="BP101" t="n">
        <v>3300.511</v>
      </c>
      <c r="BQ101" t="n">
        <v>3297.464</v>
      </c>
      <c r="BR101" t="n">
        <v>3870.458</v>
      </c>
      <c r="BS101" t="n">
        <v>3686.557</v>
      </c>
      <c r="BT101" t="n">
        <v>3239.814</v>
      </c>
      <c r="BU101" t="n">
        <v>2802.381</v>
      </c>
      <c r="BV101" t="n">
        <v>2906.763</v>
      </c>
    </row>
    <row r="102">
      <c r="A102" t="inlineStr">
        <is>
          <t>Miichthys miiuy</t>
        </is>
      </c>
      <c r="B102" t="inlineStr">
        <is>
          <t>Mi-iuy croaker</t>
        </is>
      </c>
      <c r="C102" t="inlineStr">
        <is>
          <t>Medium demersals (30 - 89 cm)</t>
        </is>
      </c>
      <c r="D102" t="inlineStr">
        <is>
          <t>Perch-likes</t>
        </is>
      </c>
      <c r="E102" t="n">
        <v>18.14</v>
      </c>
      <c r="F102" t="n">
        <v>22.284</v>
      </c>
      <c r="G102" t="n">
        <v>26.163</v>
      </c>
      <c r="H102" t="n">
        <v>28.081</v>
      </c>
      <c r="I102" t="n">
        <v>551.003</v>
      </c>
      <c r="J102" t="n">
        <v>34.948</v>
      </c>
      <c r="K102" t="n">
        <v>40.537</v>
      </c>
      <c r="L102" t="n">
        <v>44.442</v>
      </c>
      <c r="M102" t="n">
        <v>49.207</v>
      </c>
      <c r="N102" t="n">
        <v>55.611</v>
      </c>
      <c r="O102" t="n">
        <v>59.44</v>
      </c>
      <c r="P102" t="n">
        <v>70.357</v>
      </c>
      <c r="Q102" t="n">
        <v>77.16500000000001</v>
      </c>
      <c r="R102" t="n">
        <v>83.371</v>
      </c>
      <c r="S102" t="n">
        <v>93.28</v>
      </c>
      <c r="T102" t="n">
        <v>101.57</v>
      </c>
      <c r="U102" t="n">
        <v>112.482</v>
      </c>
      <c r="V102" t="n">
        <v>124.645</v>
      </c>
      <c r="W102" t="n">
        <v>143.305</v>
      </c>
      <c r="X102" t="n">
        <v>159.989</v>
      </c>
      <c r="Y102" t="n">
        <v>167.683</v>
      </c>
      <c r="Z102" t="n">
        <v>182.267</v>
      </c>
      <c r="AA102" t="n">
        <v>179.982</v>
      </c>
      <c r="AB102" t="n">
        <v>190.675</v>
      </c>
      <c r="AC102" t="n">
        <v>190.662</v>
      </c>
      <c r="AD102" t="n">
        <v>240.817</v>
      </c>
      <c r="AE102" t="n">
        <v>249.201</v>
      </c>
      <c r="AF102" t="n">
        <v>260.329</v>
      </c>
      <c r="AG102" t="n">
        <v>287.32</v>
      </c>
      <c r="AH102" t="n">
        <v>304.949</v>
      </c>
      <c r="AI102" t="n">
        <v>305.677</v>
      </c>
      <c r="AJ102" t="n">
        <v>269.233</v>
      </c>
      <c r="AK102" t="n">
        <v>264.513</v>
      </c>
      <c r="AL102" t="n">
        <v>265.154</v>
      </c>
      <c r="AM102" t="n">
        <v>262.435</v>
      </c>
      <c r="AN102" t="n">
        <v>267.458</v>
      </c>
      <c r="AO102" t="n">
        <v>268.826</v>
      </c>
      <c r="AP102" t="n">
        <v>248.789</v>
      </c>
      <c r="AQ102" t="n">
        <v>243.75</v>
      </c>
      <c r="AR102" t="n">
        <v>220.331</v>
      </c>
      <c r="AS102" t="n">
        <v>230.989</v>
      </c>
      <c r="AT102" t="n">
        <v>364.331</v>
      </c>
      <c r="AU102" t="n">
        <v>383.319</v>
      </c>
      <c r="AV102" t="n">
        <v>145.073</v>
      </c>
      <c r="AW102" t="n">
        <v>139.854</v>
      </c>
      <c r="AX102" t="n">
        <v>361.445</v>
      </c>
      <c r="AY102" t="n">
        <v>156.031</v>
      </c>
      <c r="AZ102" t="n">
        <v>140.192</v>
      </c>
      <c r="BA102" t="n">
        <v>242.154</v>
      </c>
      <c r="BB102" t="n">
        <v>293.617</v>
      </c>
      <c r="BC102" t="n">
        <v>130.875</v>
      </c>
      <c r="BD102" t="n">
        <v>361.375</v>
      </c>
      <c r="BE102" t="n">
        <v>820.141</v>
      </c>
      <c r="BF102" t="n">
        <v>21306.003</v>
      </c>
      <c r="BG102" t="n">
        <v>16589.029</v>
      </c>
      <c r="BH102" t="n">
        <v>10338.932</v>
      </c>
      <c r="BI102" t="n">
        <v>16489.036</v>
      </c>
      <c r="BJ102" t="n">
        <v>21089.414</v>
      </c>
      <c r="BK102" t="n">
        <v>19321.455</v>
      </c>
      <c r="BL102" t="n">
        <v>19740.329</v>
      </c>
      <c r="BM102" t="n">
        <v>22829.181</v>
      </c>
      <c r="BN102" t="n">
        <v>19968.311</v>
      </c>
      <c r="BO102" t="n">
        <v>44912.546</v>
      </c>
      <c r="BP102" t="n">
        <v>49232.607</v>
      </c>
      <c r="BQ102" t="n">
        <v>48614.67</v>
      </c>
      <c r="BR102" t="n">
        <v>45015.49</v>
      </c>
      <c r="BS102" t="n">
        <v>47725.199</v>
      </c>
      <c r="BT102" t="n">
        <v>40513.783</v>
      </c>
      <c r="BU102" t="n">
        <v>41875.46</v>
      </c>
      <c r="BV102" t="n">
        <v>42803.249</v>
      </c>
    </row>
    <row r="103">
      <c r="A103" t="inlineStr">
        <is>
          <t>Platycephalidae</t>
        </is>
      </c>
      <c r="B103" t="inlineStr">
        <is>
          <t>Flatheads</t>
        </is>
      </c>
      <c r="C103" t="inlineStr">
        <is>
          <t>Medium demersals (30 - 89 cm)</t>
        </is>
      </c>
      <c r="D103" t="inlineStr">
        <is>
          <t>Scorpionfishes</t>
        </is>
      </c>
      <c r="E103" t="n">
        <v>7.686</v>
      </c>
      <c r="F103" t="n">
        <v>7.686</v>
      </c>
      <c r="G103" t="n">
        <v>10.088</v>
      </c>
      <c r="H103" t="n">
        <v>8.967000000000001</v>
      </c>
      <c r="I103" t="n">
        <v>7.686</v>
      </c>
      <c r="J103" t="n">
        <v>7.686</v>
      </c>
      <c r="K103" t="n">
        <v>7.686</v>
      </c>
      <c r="L103" t="n">
        <v>7.366</v>
      </c>
      <c r="M103" t="n">
        <v>7.846</v>
      </c>
      <c r="N103" t="n">
        <v>7.686</v>
      </c>
      <c r="O103" t="n">
        <v>10.248</v>
      </c>
      <c r="P103" t="n">
        <v>12.65</v>
      </c>
      <c r="Q103" t="n">
        <v>20.389</v>
      </c>
      <c r="R103" t="n">
        <v>57.764</v>
      </c>
      <c r="S103" t="n">
        <v>90.02</v>
      </c>
      <c r="T103" t="n">
        <v>1143.982</v>
      </c>
      <c r="U103" t="n">
        <v>1482.791</v>
      </c>
      <c r="V103" t="n">
        <v>2325.159</v>
      </c>
      <c r="W103" t="n">
        <v>3473.902</v>
      </c>
      <c r="X103" t="n">
        <v>4968.124</v>
      </c>
      <c r="Y103" t="n">
        <v>4775.802</v>
      </c>
      <c r="Z103" t="n">
        <v>5647.837</v>
      </c>
      <c r="AA103" t="n">
        <v>8445.162</v>
      </c>
      <c r="AB103" t="n">
        <v>8307.862999999999</v>
      </c>
      <c r="AC103" t="n">
        <v>7809.627</v>
      </c>
      <c r="AD103" t="n">
        <v>7464.832</v>
      </c>
      <c r="AE103" t="n">
        <v>7995.341</v>
      </c>
      <c r="AF103" t="n">
        <v>10726.048</v>
      </c>
      <c r="AG103" t="n">
        <v>11011.142</v>
      </c>
      <c r="AH103" t="n">
        <v>10562.061</v>
      </c>
      <c r="AI103" t="n">
        <v>10370.241</v>
      </c>
      <c r="AJ103" t="n">
        <v>10621.457</v>
      </c>
      <c r="AK103" t="n">
        <v>10898.47</v>
      </c>
      <c r="AL103" t="n">
        <v>11826.827</v>
      </c>
      <c r="AM103" t="n">
        <v>11518.497</v>
      </c>
      <c r="AN103" t="n">
        <v>12435.161</v>
      </c>
      <c r="AO103" t="n">
        <v>15318.266</v>
      </c>
      <c r="AP103" t="n">
        <v>17781.712</v>
      </c>
      <c r="AQ103" t="n">
        <v>15847.256</v>
      </c>
      <c r="AR103" t="n">
        <v>15644.51</v>
      </c>
      <c r="AS103" t="n">
        <v>16809.449</v>
      </c>
      <c r="AT103" t="n">
        <v>15858.484</v>
      </c>
      <c r="AU103" t="n">
        <v>17332.108</v>
      </c>
      <c r="AV103" t="n">
        <v>18009.902</v>
      </c>
      <c r="AW103" t="n">
        <v>18875.303</v>
      </c>
      <c r="AX103" t="n">
        <v>18226.881</v>
      </c>
      <c r="AY103" t="n">
        <v>17002.873</v>
      </c>
      <c r="AZ103" t="n">
        <v>15558.342</v>
      </c>
      <c r="BA103" t="n">
        <v>14296.539</v>
      </c>
      <c r="BB103" t="n">
        <v>14544.382</v>
      </c>
      <c r="BC103" t="n">
        <v>14028.665</v>
      </c>
      <c r="BD103" t="n">
        <v>14597.259</v>
      </c>
      <c r="BE103" t="n">
        <v>14097.121</v>
      </c>
      <c r="BF103" t="n">
        <v>13597.954</v>
      </c>
      <c r="BG103" t="n">
        <v>13266.848</v>
      </c>
      <c r="BH103" t="n">
        <v>13378.775</v>
      </c>
      <c r="BI103" t="n">
        <v>10832.987</v>
      </c>
      <c r="BJ103" t="n">
        <v>10610.643</v>
      </c>
      <c r="BK103" t="n">
        <v>5241.828</v>
      </c>
      <c r="BL103" t="n">
        <v>5399.667</v>
      </c>
      <c r="BM103" t="n">
        <v>2848.211</v>
      </c>
      <c r="BN103" t="n">
        <v>2492.571</v>
      </c>
      <c r="BO103" t="n">
        <v>2832.625</v>
      </c>
      <c r="BP103" t="n">
        <v>2575.156</v>
      </c>
      <c r="BQ103" t="n">
        <v>2562.23</v>
      </c>
      <c r="BR103" t="n">
        <v>2271.569</v>
      </c>
      <c r="BS103" t="n">
        <v>2138.398</v>
      </c>
      <c r="BT103" t="n">
        <v>2003.34</v>
      </c>
      <c r="BU103" t="n">
        <v>1875.958</v>
      </c>
      <c r="BV103" t="n">
        <v>1798.244</v>
      </c>
    </row>
    <row r="104">
      <c r="A104" t="inlineStr">
        <is>
          <t>Lutjanidae</t>
        </is>
      </c>
      <c r="B104" t="inlineStr">
        <is>
          <t>Snappers</t>
        </is>
      </c>
      <c r="C104" t="inlineStr">
        <is>
          <t>Medium reef assoc. fish (30 - 89 cm)</t>
        </is>
      </c>
      <c r="D104" t="inlineStr">
        <is>
          <t>Perch-likes</t>
        </is>
      </c>
      <c r="E104" t="n">
        <v>95.688</v>
      </c>
      <c r="F104" t="n">
        <v>45.47</v>
      </c>
      <c r="G104" t="n">
        <v>257.425</v>
      </c>
      <c r="H104" t="n">
        <v>576.6</v>
      </c>
      <c r="I104" t="n">
        <v>163.093</v>
      </c>
      <c r="J104" t="n">
        <v>103.136</v>
      </c>
      <c r="K104" t="n">
        <v>17.69</v>
      </c>
      <c r="L104" t="n">
        <v>115.428</v>
      </c>
      <c r="M104" t="n">
        <v>1295.514</v>
      </c>
      <c r="N104" t="n">
        <v>648.721</v>
      </c>
      <c r="O104" t="n">
        <v>7750.813</v>
      </c>
      <c r="P104" t="n">
        <v>5956.32</v>
      </c>
      <c r="Q104" t="n">
        <v>5246.262</v>
      </c>
      <c r="R104" t="n">
        <v>3900.746</v>
      </c>
      <c r="S104" t="n">
        <v>2998.209</v>
      </c>
      <c r="T104" t="n">
        <v>3223.717</v>
      </c>
      <c r="U104" t="n">
        <v>7429.849</v>
      </c>
      <c r="V104" t="n">
        <v>7541.56</v>
      </c>
      <c r="W104" t="n">
        <v>7917.41</v>
      </c>
      <c r="X104" t="n">
        <v>8959.674000000001</v>
      </c>
      <c r="Y104" t="n">
        <v>7808.599</v>
      </c>
      <c r="Z104" t="n">
        <v>11852.165</v>
      </c>
      <c r="AA104" t="n">
        <v>22781.04</v>
      </c>
      <c r="AB104" t="n">
        <v>24486.331</v>
      </c>
      <c r="AC104" t="n">
        <v>18911.406</v>
      </c>
      <c r="AD104" t="n">
        <v>26795.61</v>
      </c>
      <c r="AE104" t="n">
        <v>17364.214</v>
      </c>
      <c r="AF104" t="n">
        <v>11042.369</v>
      </c>
      <c r="AG104" t="n">
        <v>10569.575</v>
      </c>
      <c r="AH104" t="n">
        <v>8895.169</v>
      </c>
      <c r="AI104" t="n">
        <v>10294.22</v>
      </c>
      <c r="AJ104" t="n">
        <v>9439.509</v>
      </c>
      <c r="AK104" t="n">
        <v>13097.415</v>
      </c>
      <c r="AL104" t="n">
        <v>12163.316</v>
      </c>
      <c r="AM104" t="n">
        <v>15003.475</v>
      </c>
      <c r="AN104" t="n">
        <v>18356.625</v>
      </c>
      <c r="AO104" t="n">
        <v>14371.909</v>
      </c>
      <c r="AP104" t="n">
        <v>14494.759</v>
      </c>
      <c r="AQ104" t="n">
        <v>17062.671</v>
      </c>
      <c r="AR104" t="n">
        <v>20359.922</v>
      </c>
      <c r="AS104" t="n">
        <v>21306.129</v>
      </c>
      <c r="AT104" t="n">
        <v>15759.231</v>
      </c>
      <c r="AU104" t="n">
        <v>16075.263</v>
      </c>
      <c r="AV104" t="n">
        <v>12096.302</v>
      </c>
      <c r="AW104" t="n">
        <v>14465.615</v>
      </c>
      <c r="AX104" t="n">
        <v>7479.943</v>
      </c>
      <c r="AY104" t="n">
        <v>12221.413</v>
      </c>
      <c r="AZ104" t="n">
        <v>7263.605</v>
      </c>
      <c r="BA104" t="n">
        <v>4875.96</v>
      </c>
      <c r="BB104" t="n">
        <v>3811.646</v>
      </c>
      <c r="BC104" t="n">
        <v>2245.334</v>
      </c>
      <c r="BD104" t="n">
        <v>2323.513</v>
      </c>
      <c r="BE104" t="n">
        <v>2704.279</v>
      </c>
      <c r="BF104" t="n">
        <v>1949.06</v>
      </c>
      <c r="BG104" t="n">
        <v>2924.886</v>
      </c>
      <c r="BH104" t="n">
        <v>2786.973</v>
      </c>
      <c r="BI104" t="n">
        <v>1832.448</v>
      </c>
      <c r="BJ104" t="n">
        <v>1877.515</v>
      </c>
      <c r="BK104" t="n">
        <v>636.752</v>
      </c>
      <c r="BL104" t="n">
        <v>682.485</v>
      </c>
      <c r="BM104" t="n">
        <v>655.451</v>
      </c>
      <c r="BN104" t="n">
        <v>685.657</v>
      </c>
      <c r="BO104" t="n">
        <v>1218.247</v>
      </c>
      <c r="BP104" t="n">
        <v>1159.987</v>
      </c>
      <c r="BQ104" t="n">
        <v>1123.386</v>
      </c>
      <c r="BR104" t="n">
        <v>1171.42</v>
      </c>
      <c r="BS104" t="n">
        <v>2393.186</v>
      </c>
      <c r="BT104" t="n">
        <v>2041.002</v>
      </c>
      <c r="BU104" t="n">
        <v>1491.621</v>
      </c>
      <c r="BV104" t="n">
        <v>1287.448</v>
      </c>
    </row>
    <row r="105">
      <c r="A105" t="inlineStr">
        <is>
          <t>Chelidonichthys kumu</t>
        </is>
      </c>
      <c r="B105" t="inlineStr">
        <is>
          <t>Bluefin gurnard</t>
        </is>
      </c>
      <c r="C105" t="inlineStr">
        <is>
          <t>Medium demersals (30 - 89 cm)</t>
        </is>
      </c>
      <c r="D105" t="inlineStr">
        <is>
          <t>Scorpionfishes</t>
        </is>
      </c>
      <c r="E105" t="n">
        <v>930.683</v>
      </c>
      <c r="F105" t="n">
        <v>1201.595</v>
      </c>
      <c r="G105" t="n">
        <v>1970.382</v>
      </c>
      <c r="H105" t="n">
        <v>2271.172</v>
      </c>
      <c r="I105" t="n">
        <v>2233.072</v>
      </c>
      <c r="J105" t="n">
        <v>762.59</v>
      </c>
      <c r="K105" t="n">
        <v>358.531</v>
      </c>
      <c r="L105" t="n">
        <v>0.638</v>
      </c>
      <c r="M105" t="n">
        <v>1093.565</v>
      </c>
      <c r="N105" t="n">
        <v>1039.925</v>
      </c>
      <c r="O105" t="n">
        <v>265.644</v>
      </c>
      <c r="P105" t="n">
        <v>1714.641</v>
      </c>
      <c r="Q105" t="n">
        <v>4534.387</v>
      </c>
      <c r="R105" t="n">
        <v>3903.75</v>
      </c>
      <c r="S105" t="n">
        <v>5269.545</v>
      </c>
      <c r="T105" t="n">
        <v>5512.029</v>
      </c>
      <c r="U105" t="n">
        <v>9335.927</v>
      </c>
      <c r="V105" t="n">
        <v>12388.013</v>
      </c>
      <c r="W105" t="n">
        <v>21503.699</v>
      </c>
      <c r="X105" t="n">
        <v>17324.04</v>
      </c>
      <c r="Y105" t="n">
        <v>15077.109</v>
      </c>
      <c r="Z105" t="n">
        <v>17191.42</v>
      </c>
      <c r="AA105" t="n">
        <v>13560.454</v>
      </c>
      <c r="AB105" t="n">
        <v>20840.905</v>
      </c>
      <c r="AC105" t="n">
        <v>31710.661</v>
      </c>
      <c r="AD105" t="n">
        <v>56947.208</v>
      </c>
      <c r="AE105" t="n">
        <v>52735.854</v>
      </c>
      <c r="AF105" t="n">
        <v>47340.74</v>
      </c>
      <c r="AG105" t="n">
        <v>61223.881</v>
      </c>
      <c r="AH105" t="n">
        <v>47653.995</v>
      </c>
      <c r="AI105" t="n">
        <v>36304.882</v>
      </c>
      <c r="AJ105" t="n">
        <v>230.486</v>
      </c>
      <c r="AK105" t="n">
        <v>114.731</v>
      </c>
      <c r="AL105" t="n">
        <v>184.657</v>
      </c>
      <c r="AM105" t="n">
        <v>87.22199999999999</v>
      </c>
      <c r="AN105" t="n">
        <v>23.859</v>
      </c>
      <c r="AO105" t="n">
        <v>26.858</v>
      </c>
      <c r="AP105" t="n">
        <v>46.677</v>
      </c>
      <c r="AQ105" t="n">
        <v>21.635</v>
      </c>
      <c r="AR105" t="n">
        <v>31.895</v>
      </c>
      <c r="AS105" t="n">
        <v>99.54000000000001</v>
      </c>
      <c r="AT105" t="n">
        <v>138.07</v>
      </c>
      <c r="AU105" t="n">
        <v>71.572</v>
      </c>
      <c r="AV105" t="n">
        <v>128.207</v>
      </c>
      <c r="AW105" t="n">
        <v>75.84399999999999</v>
      </c>
      <c r="AX105" t="n">
        <v>46.251</v>
      </c>
      <c r="AY105" t="n">
        <v>185.946</v>
      </c>
      <c r="AZ105" t="n">
        <v>113.191</v>
      </c>
      <c r="BA105" t="n">
        <v>220.173</v>
      </c>
      <c r="BB105" t="n">
        <v>343.73</v>
      </c>
      <c r="BC105" t="n">
        <v>76.759</v>
      </c>
      <c r="BD105" t="n">
        <v>140.04</v>
      </c>
      <c r="BE105" t="n">
        <v>247.057</v>
      </c>
      <c r="BF105" t="n">
        <v>132.042</v>
      </c>
      <c r="BG105" t="n">
        <v>693.075</v>
      </c>
      <c r="BH105" t="n">
        <v>222.704</v>
      </c>
      <c r="BI105" t="n">
        <v>479.49</v>
      </c>
      <c r="BJ105" t="n">
        <v>368.096</v>
      </c>
      <c r="BK105" t="n">
        <v>588.0119999999999</v>
      </c>
      <c r="BL105" t="n">
        <v>480.308</v>
      </c>
      <c r="BM105" t="n">
        <v>717.76</v>
      </c>
      <c r="BN105" t="n">
        <v>831.576</v>
      </c>
      <c r="BO105" t="n">
        <v>1250.277</v>
      </c>
      <c r="BP105" t="n">
        <v>1277.298</v>
      </c>
      <c r="BQ105" t="n">
        <v>1375.266</v>
      </c>
      <c r="BR105" t="n">
        <v>1086.888</v>
      </c>
      <c r="BS105" t="n">
        <v>1445.071</v>
      </c>
      <c r="BT105" t="n">
        <v>1364.594</v>
      </c>
      <c r="BU105" t="n">
        <v>1386.712</v>
      </c>
      <c r="BV105" t="n">
        <v>1295.195</v>
      </c>
    </row>
    <row r="106">
      <c r="A106" t="inlineStr">
        <is>
          <t>Chirocentrus dorab</t>
        </is>
      </c>
      <c r="B106" t="inlineStr">
        <is>
          <t>Dorab wolf-herring</t>
        </is>
      </c>
      <c r="C106" t="inlineStr">
        <is>
          <t>Large benthopelagics (&gt;=90 cm)</t>
        </is>
      </c>
      <c r="D106" t="inlineStr">
        <is>
          <t>Herring-likes</t>
        </is>
      </c>
      <c r="E106" t="n">
        <v>3255.839</v>
      </c>
      <c r="F106" t="n">
        <v>4047.108</v>
      </c>
      <c r="G106" t="n">
        <v>4513.449</v>
      </c>
      <c r="H106" t="n">
        <v>4457.26</v>
      </c>
      <c r="I106" t="n">
        <v>3575.116</v>
      </c>
      <c r="J106" t="n">
        <v>3466.623</v>
      </c>
      <c r="K106" t="n">
        <v>3513.636</v>
      </c>
      <c r="L106" t="n">
        <v>2925.937</v>
      </c>
      <c r="M106" t="n">
        <v>2938.604</v>
      </c>
      <c r="N106" t="n">
        <v>2835.573</v>
      </c>
      <c r="O106" t="n">
        <v>3245.921</v>
      </c>
      <c r="P106" t="n">
        <v>4063.919</v>
      </c>
      <c r="Q106" t="n">
        <v>4357.106</v>
      </c>
      <c r="R106" t="n">
        <v>4689.061</v>
      </c>
      <c r="S106" t="n">
        <v>5134.749</v>
      </c>
      <c r="T106" t="n">
        <v>6067.36</v>
      </c>
      <c r="U106" t="n">
        <v>7032.626</v>
      </c>
      <c r="V106" t="n">
        <v>6246.83</v>
      </c>
      <c r="W106" t="n">
        <v>6717.071</v>
      </c>
      <c r="X106" t="n">
        <v>7080.337</v>
      </c>
      <c r="Y106" t="n">
        <v>8232.829</v>
      </c>
      <c r="Z106" t="n">
        <v>8562.531000000001</v>
      </c>
      <c r="AA106" t="n">
        <v>7717.233</v>
      </c>
      <c r="AB106" t="n">
        <v>8025.391</v>
      </c>
      <c r="AC106" t="n">
        <v>8297.762000000001</v>
      </c>
      <c r="AD106" t="n">
        <v>7884.873</v>
      </c>
      <c r="AE106" t="n">
        <v>7995.518</v>
      </c>
      <c r="AF106" t="n">
        <v>8142.885</v>
      </c>
      <c r="AG106" t="n">
        <v>6359.331</v>
      </c>
      <c r="AH106" t="n">
        <v>6890.795</v>
      </c>
      <c r="AI106" t="n">
        <v>6304.005</v>
      </c>
      <c r="AJ106" t="n">
        <v>7647.326</v>
      </c>
      <c r="AK106" t="n">
        <v>7562.398</v>
      </c>
      <c r="AL106" t="n">
        <v>9414.501</v>
      </c>
      <c r="AM106" t="n">
        <v>8364.061</v>
      </c>
      <c r="AN106" t="n">
        <v>8382.817999999999</v>
      </c>
      <c r="AO106" t="n">
        <v>7564.918</v>
      </c>
      <c r="AP106" t="n">
        <v>8273.994000000001</v>
      </c>
      <c r="AQ106" t="n">
        <v>9823.607</v>
      </c>
      <c r="AR106" t="n">
        <v>10733.418</v>
      </c>
      <c r="AS106" t="n">
        <v>9482.749</v>
      </c>
      <c r="AT106" t="n">
        <v>9267.364</v>
      </c>
      <c r="AU106" t="n">
        <v>8631.147000000001</v>
      </c>
      <c r="AV106" t="n">
        <v>8811.611000000001</v>
      </c>
      <c r="AW106" t="n">
        <v>9213.182000000001</v>
      </c>
      <c r="AX106" t="n">
        <v>11529.023</v>
      </c>
      <c r="AY106" t="n">
        <v>10336.358</v>
      </c>
      <c r="AZ106" t="n">
        <v>10989.592</v>
      </c>
      <c r="BA106" t="n">
        <v>9011.407999999999</v>
      </c>
      <c r="BB106" t="n">
        <v>9814.861999999999</v>
      </c>
      <c r="BC106" t="n">
        <v>10319.903</v>
      </c>
      <c r="BD106" t="n">
        <v>12551.904</v>
      </c>
      <c r="BE106" t="n">
        <v>13393.978</v>
      </c>
      <c r="BF106" t="n">
        <v>14740.73</v>
      </c>
      <c r="BG106" t="n">
        <v>10481.643</v>
      </c>
      <c r="BH106" t="n">
        <v>11955.137</v>
      </c>
      <c r="BI106" t="n">
        <v>5332.52</v>
      </c>
      <c r="BJ106" t="n">
        <v>8050.36</v>
      </c>
      <c r="BK106" t="n">
        <v>5800.35</v>
      </c>
      <c r="BL106" t="n">
        <v>5022.625</v>
      </c>
      <c r="BM106" t="n">
        <v>5215.248</v>
      </c>
      <c r="BN106" t="n">
        <v>5337.719</v>
      </c>
      <c r="BO106" t="n">
        <v>5421.39</v>
      </c>
      <c r="BP106" t="n">
        <v>5445.272</v>
      </c>
      <c r="BQ106" t="n">
        <v>5887.694</v>
      </c>
      <c r="BR106" t="n">
        <v>6561.885</v>
      </c>
      <c r="BS106" t="n">
        <v>6200.616</v>
      </c>
      <c r="BT106" t="n">
        <v>5551.26</v>
      </c>
      <c r="BU106" t="n">
        <v>6312.464</v>
      </c>
      <c r="BV106" t="n">
        <v>6866.45</v>
      </c>
    </row>
    <row r="107">
      <c r="A107" t="inlineStr">
        <is>
          <t>Parapenaeopsis</t>
        </is>
      </c>
      <c r="B107" t="inlineStr">
        <is>
          <t>Leafy-legged shrimps</t>
        </is>
      </c>
      <c r="C107" t="inlineStr">
        <is>
          <t>Shrimps</t>
        </is>
      </c>
      <c r="D107" t="inlineStr">
        <is>
          <t>Crustaceans</t>
        </is>
      </c>
      <c r="E107" t="n">
        <v>1684.443</v>
      </c>
      <c r="F107" t="n">
        <v>1812.609</v>
      </c>
      <c r="G107" t="n">
        <v>1941.868</v>
      </c>
      <c r="H107" t="n">
        <v>2072.121</v>
      </c>
      <c r="I107" t="n">
        <v>6610.698</v>
      </c>
      <c r="J107" t="n">
        <v>2336.104</v>
      </c>
      <c r="K107" t="n">
        <v>2469.635</v>
      </c>
      <c r="L107" t="n">
        <v>2604.26</v>
      </c>
      <c r="M107" t="n">
        <v>2739.977</v>
      </c>
      <c r="N107" t="n">
        <v>2876.687</v>
      </c>
      <c r="O107" t="n">
        <v>3014.789</v>
      </c>
      <c r="P107" t="n">
        <v>3155.176</v>
      </c>
      <c r="Q107" t="n">
        <v>3304.505</v>
      </c>
      <c r="R107" t="n">
        <v>3455.861</v>
      </c>
      <c r="S107" t="n">
        <v>3608.806</v>
      </c>
      <c r="T107" t="n">
        <v>3932.249</v>
      </c>
      <c r="U107" t="n">
        <v>4255.571</v>
      </c>
      <c r="V107" t="n">
        <v>4584.305</v>
      </c>
      <c r="W107" t="n">
        <v>5827.181</v>
      </c>
      <c r="X107" t="n">
        <v>10189.464</v>
      </c>
      <c r="Y107" t="n">
        <v>2902.356</v>
      </c>
      <c r="Z107" t="n">
        <v>5705.817</v>
      </c>
      <c r="AA107" t="n">
        <v>7342.487</v>
      </c>
      <c r="AB107" t="n">
        <v>10198.844</v>
      </c>
      <c r="AC107" t="n">
        <v>11549.696</v>
      </c>
      <c r="AD107" t="n">
        <v>4809.231</v>
      </c>
      <c r="AE107" t="n">
        <v>5897.445</v>
      </c>
      <c r="AF107" t="n">
        <v>6487.574</v>
      </c>
      <c r="AG107" t="n">
        <v>16567.901</v>
      </c>
      <c r="AH107" t="n">
        <v>17475.653</v>
      </c>
      <c r="AI107" t="n">
        <v>22591.772</v>
      </c>
      <c r="AJ107" t="n">
        <v>23945.7</v>
      </c>
      <c r="AK107" t="n">
        <v>21796.373</v>
      </c>
      <c r="AL107" t="n">
        <v>23200.933</v>
      </c>
      <c r="AM107" t="n">
        <v>23263.126</v>
      </c>
      <c r="AN107" t="n">
        <v>16819.782</v>
      </c>
      <c r="AO107" t="n">
        <v>17986.982</v>
      </c>
      <c r="AP107" t="n">
        <v>15363.511</v>
      </c>
      <c r="AQ107" t="n">
        <v>16592.885</v>
      </c>
      <c r="AR107" t="n">
        <v>17203.877</v>
      </c>
      <c r="AS107" t="n">
        <v>15388.222</v>
      </c>
      <c r="AT107" t="n">
        <v>18029.422</v>
      </c>
      <c r="AU107" t="n">
        <v>15812.292</v>
      </c>
      <c r="AV107" t="n">
        <v>14818.075</v>
      </c>
      <c r="AW107" t="n">
        <v>15435.319</v>
      </c>
      <c r="AX107" t="n">
        <v>3699.121</v>
      </c>
      <c r="AY107" t="n">
        <v>3914.051</v>
      </c>
      <c r="AZ107" t="n">
        <v>3849.422</v>
      </c>
      <c r="BA107" t="n">
        <v>3632.42</v>
      </c>
      <c r="BB107" t="n">
        <v>4429.377</v>
      </c>
      <c r="BC107" t="n">
        <v>2449.021</v>
      </c>
      <c r="BD107" t="n">
        <v>2654.284</v>
      </c>
      <c r="BE107" t="n">
        <v>2834.256</v>
      </c>
      <c r="BF107" t="n">
        <v>2975.668</v>
      </c>
      <c r="BG107" t="n">
        <v>2919.924</v>
      </c>
      <c r="BH107" t="n">
        <v>1107.639</v>
      </c>
      <c r="BI107" t="n">
        <v>1041.637</v>
      </c>
      <c r="BJ107" t="n">
        <v>1030.152</v>
      </c>
      <c r="BK107" t="n">
        <v>1058.657</v>
      </c>
      <c r="BL107" t="n">
        <v>2108.038</v>
      </c>
      <c r="BM107" t="n">
        <v>1915.472</v>
      </c>
      <c r="BN107" t="n">
        <v>2189.356</v>
      </c>
      <c r="BO107" t="n">
        <v>2464.272</v>
      </c>
      <c r="BP107" t="n">
        <v>2562.33</v>
      </c>
      <c r="BQ107" t="n">
        <v>2348.35</v>
      </c>
      <c r="BR107" t="n">
        <v>2418.16</v>
      </c>
      <c r="BS107" t="n">
        <v>2504.537</v>
      </c>
      <c r="BT107" t="n">
        <v>2322.63</v>
      </c>
      <c r="BU107" t="n">
        <v>2188.339</v>
      </c>
      <c r="BV107" t="n">
        <v>2051.001</v>
      </c>
    </row>
    <row r="108">
      <c r="A108" t="inlineStr">
        <is>
          <t>Lutjanus malabaricus</t>
        </is>
      </c>
      <c r="B108" t="inlineStr">
        <is>
          <t>Malabar blood snapper</t>
        </is>
      </c>
      <c r="C108" t="inlineStr">
        <is>
          <t>Medium reef assoc. fish (30 - 89 cm)</t>
        </is>
      </c>
      <c r="D108" t="inlineStr">
        <is>
          <t>Perch-likes</t>
        </is>
      </c>
      <c r="E108" t="n">
        <v>1014.475</v>
      </c>
      <c r="F108" t="n">
        <v>986.482</v>
      </c>
      <c r="G108" t="n">
        <v>972.91</v>
      </c>
      <c r="H108" t="n">
        <v>977.645</v>
      </c>
      <c r="I108" t="n">
        <v>1007.294</v>
      </c>
      <c r="J108" t="n">
        <v>1064.747</v>
      </c>
      <c r="K108" t="n">
        <v>1099.429</v>
      </c>
      <c r="L108" t="n">
        <v>1143.977</v>
      </c>
      <c r="M108" t="n">
        <v>1244.316</v>
      </c>
      <c r="N108" t="n">
        <v>1322.769</v>
      </c>
      <c r="O108" t="n">
        <v>1400.182</v>
      </c>
      <c r="P108" t="n">
        <v>1445.984</v>
      </c>
      <c r="Q108" t="n">
        <v>1552.215</v>
      </c>
      <c r="R108" t="n">
        <v>1645.683</v>
      </c>
      <c r="S108" t="n">
        <v>1802.292</v>
      </c>
      <c r="T108" t="n">
        <v>2235.826</v>
      </c>
      <c r="U108" t="n">
        <v>2363.331</v>
      </c>
      <c r="V108" t="n">
        <v>2751.297</v>
      </c>
      <c r="W108" t="n">
        <v>2716.061</v>
      </c>
      <c r="X108" t="n">
        <v>2564.805</v>
      </c>
      <c r="Y108" t="n">
        <v>2582.572</v>
      </c>
      <c r="Z108" t="n">
        <v>2616.184</v>
      </c>
      <c r="AA108" t="n">
        <v>2611.085</v>
      </c>
      <c r="AB108" t="n">
        <v>2683.619</v>
      </c>
      <c r="AC108" t="n">
        <v>2831.068</v>
      </c>
      <c r="AD108" t="n">
        <v>2845.867</v>
      </c>
      <c r="AE108" t="n">
        <v>3022.048</v>
      </c>
      <c r="AF108" t="n">
        <v>3346.647</v>
      </c>
      <c r="AG108" t="n">
        <v>3616.013</v>
      </c>
      <c r="AH108" t="n">
        <v>3487.916</v>
      </c>
      <c r="AI108" t="n">
        <v>3124.158</v>
      </c>
      <c r="AJ108" t="n">
        <v>3743.143</v>
      </c>
      <c r="AK108" t="n">
        <v>3327.928</v>
      </c>
      <c r="AL108" t="n">
        <v>4025.853</v>
      </c>
      <c r="AM108" t="n">
        <v>4431.149</v>
      </c>
      <c r="AN108" t="n">
        <v>4417.803</v>
      </c>
      <c r="AO108" t="n">
        <v>4559.89</v>
      </c>
      <c r="AP108" t="n">
        <v>4681.033</v>
      </c>
      <c r="AQ108" t="n">
        <v>5008.085</v>
      </c>
      <c r="AR108" t="n">
        <v>4724.145</v>
      </c>
      <c r="AS108" t="n">
        <v>5383.817</v>
      </c>
      <c r="AT108" t="n">
        <v>8748.866</v>
      </c>
      <c r="AU108" t="n">
        <v>9890.184999999999</v>
      </c>
      <c r="AV108" t="n">
        <v>8758.464</v>
      </c>
      <c r="AW108" t="n">
        <v>8026.193</v>
      </c>
      <c r="AX108" t="n">
        <v>12055.129</v>
      </c>
      <c r="AY108" t="n">
        <v>11982.424</v>
      </c>
      <c r="AZ108" t="n">
        <v>14246.088</v>
      </c>
      <c r="BA108" t="n">
        <v>14204.659</v>
      </c>
      <c r="BB108" t="n">
        <v>15579.039</v>
      </c>
      <c r="BC108" t="n">
        <v>12843.395</v>
      </c>
      <c r="BD108" t="n">
        <v>12227.475</v>
      </c>
      <c r="BE108" t="n">
        <v>14498.414</v>
      </c>
      <c r="BF108" t="n">
        <v>13989.717</v>
      </c>
      <c r="BG108" t="n">
        <v>15106.167</v>
      </c>
      <c r="BH108" t="n">
        <v>14869.398</v>
      </c>
      <c r="BI108" t="n">
        <v>14295.599</v>
      </c>
      <c r="BJ108" t="n">
        <v>13602.75</v>
      </c>
      <c r="BK108" t="n">
        <v>13171.33</v>
      </c>
      <c r="BL108" t="n">
        <v>12482.236</v>
      </c>
      <c r="BM108" t="n">
        <v>13215.978</v>
      </c>
      <c r="BN108" t="n">
        <v>12731.409</v>
      </c>
      <c r="BO108" t="n">
        <v>14326.413</v>
      </c>
      <c r="BP108" t="n">
        <v>14888.921</v>
      </c>
      <c r="BQ108" t="n">
        <v>13635.37</v>
      </c>
      <c r="BR108" t="n">
        <v>14046.79</v>
      </c>
      <c r="BS108" t="n">
        <v>14529.734</v>
      </c>
      <c r="BT108" t="n">
        <v>13460.032</v>
      </c>
      <c r="BU108" t="n">
        <v>12604.728</v>
      </c>
      <c r="BV108" t="n">
        <v>11805.838</v>
      </c>
    </row>
    <row r="109">
      <c r="A109" t="inlineStr">
        <is>
          <t>Charybdis</t>
        </is>
      </c>
      <c r="B109" t="inlineStr">
        <is>
          <t>Whirlpool swimming crabs</t>
        </is>
      </c>
      <c r="C109" t="inlineStr">
        <is>
          <t>Lobsters, crabs</t>
        </is>
      </c>
      <c r="D109" t="inlineStr">
        <is>
          <t>Crustaceans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1304.357</v>
      </c>
      <c r="AC109" t="n">
        <v>1290.025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372.089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829.016</v>
      </c>
      <c r="AZ109" t="n">
        <v>452.073</v>
      </c>
      <c r="BA109" t="n">
        <v>0</v>
      </c>
      <c r="BB109" t="n">
        <v>0</v>
      </c>
      <c r="BC109" t="n">
        <v>0</v>
      </c>
      <c r="BD109" t="n">
        <v>0</v>
      </c>
      <c r="BE109" t="n">
        <v>858.136</v>
      </c>
      <c r="BF109" t="n">
        <v>36152.25</v>
      </c>
      <c r="BG109" t="n">
        <v>25239.477</v>
      </c>
      <c r="BH109" t="n">
        <v>29500.918</v>
      </c>
      <c r="BI109" t="n">
        <v>27813.273</v>
      </c>
      <c r="BJ109" t="n">
        <v>31431.119</v>
      </c>
      <c r="BK109" t="n">
        <v>31301.87</v>
      </c>
      <c r="BL109" t="n">
        <v>23129.149</v>
      </c>
      <c r="BM109" t="n">
        <v>36458.259</v>
      </c>
      <c r="BN109" t="n">
        <v>28862.895</v>
      </c>
      <c r="BO109" t="n">
        <v>32557.933</v>
      </c>
      <c r="BP109" t="n">
        <v>33878.227</v>
      </c>
      <c r="BQ109" t="n">
        <v>31241.43</v>
      </c>
      <c r="BR109" t="n">
        <v>34445.289</v>
      </c>
      <c r="BS109" t="n">
        <v>19297.154</v>
      </c>
      <c r="BT109" t="n">
        <v>20582.417</v>
      </c>
      <c r="BU109" t="n">
        <v>16891.338</v>
      </c>
      <c r="BV109" t="n">
        <v>14422.101</v>
      </c>
    </row>
    <row r="110">
      <c r="A110" t="inlineStr">
        <is>
          <t>Penaeus japonicus</t>
        </is>
      </c>
      <c r="B110" t="inlineStr">
        <is>
          <t>Kuruma prawn</t>
        </is>
      </c>
      <c r="C110" t="inlineStr">
        <is>
          <t>Shrimps</t>
        </is>
      </c>
      <c r="D110" t="inlineStr">
        <is>
          <t>Crustaceans</t>
        </is>
      </c>
      <c r="E110" t="n">
        <v>29.332</v>
      </c>
      <c r="F110" t="n">
        <v>73.605</v>
      </c>
      <c r="G110" t="n">
        <v>157.593</v>
      </c>
      <c r="H110" t="n">
        <v>78.057</v>
      </c>
      <c r="I110" t="n">
        <v>47.224</v>
      </c>
      <c r="J110" t="n">
        <v>58.224</v>
      </c>
      <c r="K110" t="n">
        <v>67.574</v>
      </c>
      <c r="L110" t="n">
        <v>308.575</v>
      </c>
      <c r="M110" t="n">
        <v>861.472</v>
      </c>
      <c r="N110" t="n">
        <v>862.295</v>
      </c>
      <c r="O110" t="n">
        <v>2823.973</v>
      </c>
      <c r="P110" t="n">
        <v>845.601</v>
      </c>
      <c r="Q110" t="n">
        <v>772.461</v>
      </c>
      <c r="R110" t="n">
        <v>1915.502</v>
      </c>
      <c r="S110" t="n">
        <v>1570.92</v>
      </c>
      <c r="T110" t="n">
        <v>2573.984</v>
      </c>
      <c r="U110" t="n">
        <v>3787.382</v>
      </c>
      <c r="V110" t="n">
        <v>4497.529</v>
      </c>
      <c r="W110" t="n">
        <v>5280.633</v>
      </c>
      <c r="X110" t="n">
        <v>6394.766</v>
      </c>
      <c r="Y110" t="n">
        <v>4996.948</v>
      </c>
      <c r="Z110" t="n">
        <v>7935.945</v>
      </c>
      <c r="AA110" t="n">
        <v>7681.102</v>
      </c>
      <c r="AB110" t="n">
        <v>8306.700999999999</v>
      </c>
      <c r="AC110" t="n">
        <v>8787.141</v>
      </c>
      <c r="AD110" t="n">
        <v>11173.18</v>
      </c>
      <c r="AE110" t="n">
        <v>9062.388999999999</v>
      </c>
      <c r="AF110" t="n">
        <v>7208.151</v>
      </c>
      <c r="AG110" t="n">
        <v>9449.305</v>
      </c>
      <c r="AH110" t="n">
        <v>6437.716</v>
      </c>
      <c r="AI110" t="n">
        <v>7584.83</v>
      </c>
      <c r="AJ110" t="n">
        <v>5925.546</v>
      </c>
      <c r="AK110" t="n">
        <v>10177.319</v>
      </c>
      <c r="AL110" t="n">
        <v>14432.013</v>
      </c>
      <c r="AM110" t="n">
        <v>11354.061</v>
      </c>
      <c r="AN110" t="n">
        <v>12234.696</v>
      </c>
      <c r="AO110" t="n">
        <v>12060.486</v>
      </c>
      <c r="AP110" t="n">
        <v>14216.13</v>
      </c>
      <c r="AQ110" t="n">
        <v>14255.049</v>
      </c>
      <c r="AR110" t="n">
        <v>16509.084</v>
      </c>
      <c r="AS110" t="n">
        <v>12194.185</v>
      </c>
      <c r="AT110" t="n">
        <v>10227.691</v>
      </c>
      <c r="AU110" t="n">
        <v>13069.259</v>
      </c>
      <c r="AV110" t="n">
        <v>10530.185</v>
      </c>
      <c r="AW110" t="n">
        <v>12922.551</v>
      </c>
      <c r="AX110" t="n">
        <v>11576.093</v>
      </c>
      <c r="AY110" t="n">
        <v>12121.094</v>
      </c>
      <c r="AZ110" t="n">
        <v>16232.844</v>
      </c>
      <c r="BA110" t="n">
        <v>10375.859</v>
      </c>
      <c r="BB110" t="n">
        <v>19478.946</v>
      </c>
      <c r="BC110" t="n">
        <v>29751.681</v>
      </c>
      <c r="BD110" t="n">
        <v>16350.275</v>
      </c>
      <c r="BE110" t="n">
        <v>5911.531</v>
      </c>
      <c r="BF110" t="n">
        <v>3347.391</v>
      </c>
      <c r="BG110" t="n">
        <v>4508.333</v>
      </c>
      <c r="BH110" t="n">
        <v>3146.785</v>
      </c>
      <c r="BI110" t="n">
        <v>3376.234</v>
      </c>
      <c r="BJ110" t="n">
        <v>2591.922</v>
      </c>
      <c r="BK110" t="n">
        <v>2484.781</v>
      </c>
      <c r="BL110" t="n">
        <v>2431.139</v>
      </c>
      <c r="BM110" t="n">
        <v>3383.31</v>
      </c>
      <c r="BN110" t="n">
        <v>3216.949</v>
      </c>
      <c r="BO110" t="n">
        <v>3679.492</v>
      </c>
      <c r="BP110" t="n">
        <v>3327.507</v>
      </c>
      <c r="BQ110" t="n">
        <v>3622.234</v>
      </c>
      <c r="BR110" t="n">
        <v>2346.772</v>
      </c>
      <c r="BS110" t="n">
        <v>2742.749</v>
      </c>
      <c r="BT110" t="n">
        <v>2429.603</v>
      </c>
      <c r="BU110" t="n">
        <v>2424.235</v>
      </c>
      <c r="BV110" t="n">
        <v>2229.106</v>
      </c>
    </row>
    <row r="111">
      <c r="A111" t="inlineStr">
        <is>
          <t>Caesionidae</t>
        </is>
      </c>
      <c r="B111" t="inlineStr">
        <is>
          <t>Fusiliers</t>
        </is>
      </c>
      <c r="C111" t="inlineStr">
        <is>
          <t>Medium reef assoc. fish (30 - 89 cm)</t>
        </is>
      </c>
      <c r="D111" t="inlineStr">
        <is>
          <t>Perch-likes</t>
        </is>
      </c>
      <c r="E111" t="n">
        <v>989.374</v>
      </c>
      <c r="F111" t="n">
        <v>1026.741</v>
      </c>
      <c r="G111" t="n">
        <v>1122.075</v>
      </c>
      <c r="H111" t="n">
        <v>1153.988</v>
      </c>
      <c r="I111" t="n">
        <v>1357.086</v>
      </c>
      <c r="J111" t="n">
        <v>1399.41</v>
      </c>
      <c r="K111" t="n">
        <v>1333.565</v>
      </c>
      <c r="L111" t="n">
        <v>1345.833</v>
      </c>
      <c r="M111" t="n">
        <v>1445.612</v>
      </c>
      <c r="N111" t="n">
        <v>1441.47</v>
      </c>
      <c r="O111" t="n">
        <v>1583.726</v>
      </c>
      <c r="P111" t="n">
        <v>1720.487</v>
      </c>
      <c r="Q111" t="n">
        <v>1985.147</v>
      </c>
      <c r="R111" t="n">
        <v>2514.908</v>
      </c>
      <c r="S111" t="n">
        <v>2629.778</v>
      </c>
      <c r="T111" t="n">
        <v>3056.279</v>
      </c>
      <c r="U111" t="n">
        <v>3255.276</v>
      </c>
      <c r="V111" t="n">
        <v>3061.39</v>
      </c>
      <c r="W111" t="n">
        <v>3137.664</v>
      </c>
      <c r="X111" t="n">
        <v>3004.229</v>
      </c>
      <c r="Y111" t="n">
        <v>3144.949</v>
      </c>
      <c r="Z111" t="n">
        <v>4354.292</v>
      </c>
      <c r="AA111" t="n">
        <v>4868.714</v>
      </c>
      <c r="AB111" t="n">
        <v>7217.118</v>
      </c>
      <c r="AC111" t="n">
        <v>6811.885</v>
      </c>
      <c r="AD111" t="n">
        <v>6258.817</v>
      </c>
      <c r="AE111" t="n">
        <v>6698.032</v>
      </c>
      <c r="AF111" t="n">
        <v>6745.293</v>
      </c>
      <c r="AG111" t="n">
        <v>6024.062</v>
      </c>
      <c r="AH111" t="n">
        <v>5868.342</v>
      </c>
      <c r="AI111" t="n">
        <v>5145.569</v>
      </c>
      <c r="AJ111" t="n">
        <v>4985.777</v>
      </c>
      <c r="AK111" t="n">
        <v>5012.794</v>
      </c>
      <c r="AL111" t="n">
        <v>6006.964</v>
      </c>
      <c r="AM111" t="n">
        <v>6128.481</v>
      </c>
      <c r="AN111" t="n">
        <v>5827.015</v>
      </c>
      <c r="AO111" t="n">
        <v>5921.864</v>
      </c>
      <c r="AP111" t="n">
        <v>5943.169</v>
      </c>
      <c r="AQ111" t="n">
        <v>4685.793</v>
      </c>
      <c r="AR111" t="n">
        <v>5405.553</v>
      </c>
      <c r="AS111" t="n">
        <v>4386.65</v>
      </c>
      <c r="AT111" t="n">
        <v>5259.919</v>
      </c>
      <c r="AU111" t="n">
        <v>5332.114</v>
      </c>
      <c r="AV111" t="n">
        <v>5705.072</v>
      </c>
      <c r="AW111" t="n">
        <v>7248.056</v>
      </c>
      <c r="AX111" t="n">
        <v>11529.826</v>
      </c>
      <c r="AY111" t="n">
        <v>7763.948</v>
      </c>
      <c r="AZ111" t="n">
        <v>8912.397000000001</v>
      </c>
      <c r="BA111" t="n">
        <v>7350.916</v>
      </c>
      <c r="BB111" t="n">
        <v>8032.162</v>
      </c>
      <c r="BC111" t="n">
        <v>7507.006</v>
      </c>
      <c r="BD111" t="n">
        <v>8798.905000000001</v>
      </c>
      <c r="BE111" t="n">
        <v>8974.299999999999</v>
      </c>
      <c r="BF111" t="n">
        <v>9561.231</v>
      </c>
      <c r="BG111" t="n">
        <v>8401.457</v>
      </c>
      <c r="BH111" t="n">
        <v>10015.562</v>
      </c>
      <c r="BI111" t="n">
        <v>10772.077</v>
      </c>
      <c r="BJ111" t="n">
        <v>14528.485</v>
      </c>
      <c r="BK111" t="n">
        <v>13212.834</v>
      </c>
      <c r="BL111" t="n">
        <v>16897.225</v>
      </c>
      <c r="BM111" t="n">
        <v>10173.355</v>
      </c>
      <c r="BN111" t="n">
        <v>11306.806</v>
      </c>
      <c r="BO111" t="n">
        <v>11553.113</v>
      </c>
      <c r="BP111" t="n">
        <v>11602.282</v>
      </c>
      <c r="BQ111" t="n">
        <v>12110.534</v>
      </c>
      <c r="BR111" t="n">
        <v>13256.923</v>
      </c>
      <c r="BS111" t="n">
        <v>12483.991</v>
      </c>
      <c r="BT111" t="n">
        <v>11467.875</v>
      </c>
      <c r="BU111" t="n">
        <v>12405.421</v>
      </c>
      <c r="BV111" t="n">
        <v>25052.152</v>
      </c>
    </row>
    <row r="112">
      <c r="A112" t="inlineStr">
        <is>
          <t>Trichiurus</t>
        </is>
      </c>
      <c r="B112" t="inlineStr">
        <is>
          <t>Hairtails</t>
        </is>
      </c>
      <c r="C112" t="inlineStr">
        <is>
          <t>Large benthopelagics (&gt;=90 cm)</t>
        </is>
      </c>
      <c r="D112" t="inlineStr">
        <is>
          <t>Perch-likes</t>
        </is>
      </c>
      <c r="E112" t="n">
        <v>681.877</v>
      </c>
      <c r="F112" t="n">
        <v>776.021</v>
      </c>
      <c r="G112" t="n">
        <v>872.34</v>
      </c>
      <c r="H112" t="n">
        <v>896.272</v>
      </c>
      <c r="I112" t="n">
        <v>1647.084</v>
      </c>
      <c r="J112" t="n">
        <v>993.693</v>
      </c>
      <c r="K112" t="n">
        <v>1018.274</v>
      </c>
      <c r="L112" t="n">
        <v>1042.569</v>
      </c>
      <c r="M112" t="n">
        <v>1069.991</v>
      </c>
      <c r="N112" t="n">
        <v>1070.856</v>
      </c>
      <c r="O112" t="n">
        <v>1123.437</v>
      </c>
      <c r="P112" t="n">
        <v>1390.339</v>
      </c>
      <c r="Q112" t="n">
        <v>1542.342</v>
      </c>
      <c r="R112" t="n">
        <v>1700.498</v>
      </c>
      <c r="S112" t="n">
        <v>1904.109</v>
      </c>
      <c r="T112" t="n">
        <v>2292.277</v>
      </c>
      <c r="U112" t="n">
        <v>2599.729</v>
      </c>
      <c r="V112" t="n">
        <v>2638.359</v>
      </c>
      <c r="W112" t="n">
        <v>2950.284</v>
      </c>
      <c r="X112" t="n">
        <v>2316.067</v>
      </c>
      <c r="Y112" t="n">
        <v>3773.76</v>
      </c>
      <c r="Z112" t="n">
        <v>3800.33</v>
      </c>
      <c r="AA112" t="n">
        <v>3771.69</v>
      </c>
      <c r="AB112" t="n">
        <v>4342.883</v>
      </c>
      <c r="AC112" t="n">
        <v>4733.083</v>
      </c>
      <c r="AD112" t="n">
        <v>4741.986</v>
      </c>
      <c r="AE112" t="n">
        <v>6298.786</v>
      </c>
      <c r="AF112" t="n">
        <v>6177.928</v>
      </c>
      <c r="AG112" t="n">
        <v>6379.858</v>
      </c>
      <c r="AH112" t="n">
        <v>5761.569</v>
      </c>
      <c r="AI112" t="n">
        <v>7869.371</v>
      </c>
      <c r="AJ112" t="n">
        <v>8709.043</v>
      </c>
      <c r="AK112" t="n">
        <v>8588.66</v>
      </c>
      <c r="AL112" t="n">
        <v>9694.858</v>
      </c>
      <c r="AM112" t="n">
        <v>8943.808000000001</v>
      </c>
      <c r="AN112" t="n">
        <v>7364.806</v>
      </c>
      <c r="AO112" t="n">
        <v>8293.395</v>
      </c>
      <c r="AP112" t="n">
        <v>8698.404</v>
      </c>
      <c r="AQ112" t="n">
        <v>9959.736999999999</v>
      </c>
      <c r="AR112" t="n">
        <v>7762.422</v>
      </c>
      <c r="AS112" t="n">
        <v>7317.83</v>
      </c>
      <c r="AT112" t="n">
        <v>8757.52</v>
      </c>
      <c r="AU112" t="n">
        <v>8404.022000000001</v>
      </c>
      <c r="AV112" t="n">
        <v>8447.036</v>
      </c>
      <c r="AW112" t="n">
        <v>7431.847</v>
      </c>
      <c r="AX112" t="n">
        <v>9645.941000000001</v>
      </c>
      <c r="AY112" t="n">
        <v>9722.951999999999</v>
      </c>
      <c r="AZ112" t="n">
        <v>11590.79</v>
      </c>
      <c r="BA112" t="n">
        <v>11059.952</v>
      </c>
      <c r="BB112" t="n">
        <v>11989.972</v>
      </c>
      <c r="BC112" t="n">
        <v>12232.836</v>
      </c>
      <c r="BD112" t="n">
        <v>12921.438</v>
      </c>
      <c r="BE112" t="n">
        <v>15313.299</v>
      </c>
      <c r="BF112" t="n">
        <v>14900.226</v>
      </c>
      <c r="BG112" t="n">
        <v>13282.424</v>
      </c>
      <c r="BH112" t="n">
        <v>11212.442</v>
      </c>
      <c r="BI112" t="n">
        <v>11299.262</v>
      </c>
      <c r="BJ112" t="n">
        <v>13524.491</v>
      </c>
      <c r="BK112" t="n">
        <v>15698.835</v>
      </c>
      <c r="BL112" t="n">
        <v>13363.772</v>
      </c>
      <c r="BM112" t="n">
        <v>11572.848</v>
      </c>
      <c r="BN112" t="n">
        <v>4435.165</v>
      </c>
      <c r="BO112" t="n">
        <v>4992.052</v>
      </c>
      <c r="BP112" t="n">
        <v>5190.622</v>
      </c>
      <c r="BQ112" t="n">
        <v>4757.057</v>
      </c>
      <c r="BR112" t="n">
        <v>4898.534</v>
      </c>
      <c r="BS112" t="n">
        <v>5073.331</v>
      </c>
      <c r="BT112" t="n">
        <v>4704.713</v>
      </c>
      <c r="BU112" t="n">
        <v>4432.472</v>
      </c>
      <c r="BV112" t="n">
        <v>4154.225</v>
      </c>
    </row>
    <row r="113">
      <c r="A113" t="inlineStr">
        <is>
          <t>Sphyraena</t>
        </is>
      </c>
      <c r="B113" t="inlineStr">
        <is>
          <t>Barracudas, sennets</t>
        </is>
      </c>
      <c r="C113" t="inlineStr">
        <is>
          <t>Large pelagics (&gt;=90 cm)</t>
        </is>
      </c>
      <c r="D113" t="inlineStr">
        <is>
          <t>Perch-likes</t>
        </is>
      </c>
      <c r="E113" t="n">
        <v>307.418</v>
      </c>
      <c r="F113" t="n">
        <v>317.074</v>
      </c>
      <c r="G113" t="n">
        <v>330.265</v>
      </c>
      <c r="H113" t="n">
        <v>342.946</v>
      </c>
      <c r="I113" t="n">
        <v>373.067</v>
      </c>
      <c r="J113" t="n">
        <v>391.696</v>
      </c>
      <c r="K113" t="n">
        <v>415.205</v>
      </c>
      <c r="L113" t="n">
        <v>427.175</v>
      </c>
      <c r="M113" t="n">
        <v>451.089</v>
      </c>
      <c r="N113" t="n">
        <v>472.808</v>
      </c>
      <c r="O113" t="n">
        <v>510.003</v>
      </c>
      <c r="P113" t="n">
        <v>517.391</v>
      </c>
      <c r="Q113" t="n">
        <v>545.601</v>
      </c>
      <c r="R113" t="n">
        <v>608.399</v>
      </c>
      <c r="S113" t="n">
        <v>637.005</v>
      </c>
      <c r="T113" t="n">
        <v>916.725</v>
      </c>
      <c r="U113" t="n">
        <v>1219.582</v>
      </c>
      <c r="V113" t="n">
        <v>1748.996</v>
      </c>
      <c r="W113" t="n">
        <v>1991.97</v>
      </c>
      <c r="X113" t="n">
        <v>1956.452</v>
      </c>
      <c r="Y113" t="n">
        <v>2227.193</v>
      </c>
      <c r="Z113" t="n">
        <v>2430.248</v>
      </c>
      <c r="AA113" t="n">
        <v>2809.403</v>
      </c>
      <c r="AB113" t="n">
        <v>3131.012</v>
      </c>
      <c r="AC113" t="n">
        <v>4235.842</v>
      </c>
      <c r="AD113" t="n">
        <v>5366.497</v>
      </c>
      <c r="AE113" t="n">
        <v>5894.753</v>
      </c>
      <c r="AF113" t="n">
        <v>6174.798</v>
      </c>
      <c r="AG113" t="n">
        <v>5143.258</v>
      </c>
      <c r="AH113" t="n">
        <v>5170.176</v>
      </c>
      <c r="AI113" t="n">
        <v>4745.846</v>
      </c>
      <c r="AJ113" t="n">
        <v>5053.836</v>
      </c>
      <c r="AK113" t="n">
        <v>4804.642</v>
      </c>
      <c r="AL113" t="n">
        <v>4968.626</v>
      </c>
      <c r="AM113" t="n">
        <v>5454.597</v>
      </c>
      <c r="AN113" t="n">
        <v>5247.068</v>
      </c>
      <c r="AO113" t="n">
        <v>8547.075000000001</v>
      </c>
      <c r="AP113" t="n">
        <v>9859.610000000001</v>
      </c>
      <c r="AQ113" t="n">
        <v>8803.589</v>
      </c>
      <c r="AR113" t="n">
        <v>6196.477</v>
      </c>
      <c r="AS113" t="n">
        <v>5335.999</v>
      </c>
      <c r="AT113" t="n">
        <v>4427.601</v>
      </c>
      <c r="AU113" t="n">
        <v>4600.265</v>
      </c>
      <c r="AV113" t="n">
        <v>4924.314</v>
      </c>
      <c r="AW113" t="n">
        <v>5804.413</v>
      </c>
      <c r="AX113" t="n">
        <v>8417.875</v>
      </c>
      <c r="AY113" t="n">
        <v>8209.912</v>
      </c>
      <c r="AZ113" t="n">
        <v>9597.178</v>
      </c>
      <c r="BA113" t="n">
        <v>9874.901</v>
      </c>
      <c r="BB113" t="n">
        <v>10866.713</v>
      </c>
      <c r="BC113" t="n">
        <v>10512.045</v>
      </c>
      <c r="BD113" t="n">
        <v>10459.75</v>
      </c>
      <c r="BE113" t="n">
        <v>12423.342</v>
      </c>
      <c r="BF113" t="n">
        <v>12373.315</v>
      </c>
      <c r="BG113" t="n">
        <v>12713.47</v>
      </c>
      <c r="BH113" t="n">
        <v>14904.48</v>
      </c>
      <c r="BI113" t="n">
        <v>13994.309</v>
      </c>
      <c r="BJ113" t="n">
        <v>13529.738</v>
      </c>
      <c r="BK113" t="n">
        <v>12174.534</v>
      </c>
      <c r="BL113" t="n">
        <v>11558.021</v>
      </c>
      <c r="BM113" t="n">
        <v>12213.646</v>
      </c>
      <c r="BN113" t="n">
        <v>11975.093</v>
      </c>
      <c r="BO113" t="n">
        <v>13622.283</v>
      </c>
      <c r="BP113" t="n">
        <v>14198.281</v>
      </c>
      <c r="BQ113" t="n">
        <v>12881.191</v>
      </c>
      <c r="BR113" t="n">
        <v>13242.701</v>
      </c>
      <c r="BS113" t="n">
        <v>13489.275</v>
      </c>
      <c r="BT113" t="n">
        <v>12383.086</v>
      </c>
      <c r="BU113" t="n">
        <v>11791.992</v>
      </c>
      <c r="BV113" t="n">
        <v>10929.727</v>
      </c>
    </row>
    <row r="114">
      <c r="A114" t="inlineStr">
        <is>
          <t>Metapenaeus</t>
        </is>
      </c>
      <c r="B114" t="inlineStr">
        <is>
          <t>Indo-Pacific prawns</t>
        </is>
      </c>
      <c r="C114" t="inlineStr">
        <is>
          <t>Shrimps</t>
        </is>
      </c>
      <c r="D114" t="inlineStr">
        <is>
          <t>Crustaceans</t>
        </is>
      </c>
      <c r="E114" t="n">
        <v>357.782</v>
      </c>
      <c r="F114" t="n">
        <v>452.668</v>
      </c>
      <c r="G114" t="n">
        <v>473.121</v>
      </c>
      <c r="H114" t="n">
        <v>512.547</v>
      </c>
      <c r="I114" t="n">
        <v>521.394</v>
      </c>
      <c r="J114" t="n">
        <v>550.425</v>
      </c>
      <c r="K114" t="n">
        <v>1267.287</v>
      </c>
      <c r="L114" t="n">
        <v>1473.47</v>
      </c>
      <c r="M114" t="n">
        <v>1672.602</v>
      </c>
      <c r="N114" t="n">
        <v>2211.265</v>
      </c>
      <c r="O114" t="n">
        <v>1455.239</v>
      </c>
      <c r="P114" t="n">
        <v>1898.84</v>
      </c>
      <c r="Q114" t="n">
        <v>1752.837</v>
      </c>
      <c r="R114" t="n">
        <v>1748.514</v>
      </c>
      <c r="S114" t="n">
        <v>1917.032</v>
      </c>
      <c r="T114" t="n">
        <v>1795.465</v>
      </c>
      <c r="U114" t="n">
        <v>2748.966</v>
      </c>
      <c r="V114" t="n">
        <v>2330.088</v>
      </c>
      <c r="W114" t="n">
        <v>2637.072</v>
      </c>
      <c r="X114" t="n">
        <v>2898.726</v>
      </c>
      <c r="Y114" t="n">
        <v>3279.603</v>
      </c>
      <c r="Z114" t="n">
        <v>3256.54</v>
      </c>
      <c r="AA114" t="n">
        <v>3935.508</v>
      </c>
      <c r="AB114" t="n">
        <v>3731.957</v>
      </c>
      <c r="AC114" t="n">
        <v>10095.245</v>
      </c>
      <c r="AD114" t="n">
        <v>5919.941</v>
      </c>
      <c r="AE114" t="n">
        <v>6968.787</v>
      </c>
      <c r="AF114" t="n">
        <v>9172.688</v>
      </c>
      <c r="AG114" t="n">
        <v>6773.541</v>
      </c>
      <c r="AH114" t="n">
        <v>10965.315</v>
      </c>
      <c r="AI114" t="n">
        <v>10852.564</v>
      </c>
      <c r="AJ114" t="n">
        <v>9236.691999999999</v>
      </c>
      <c r="AK114" t="n">
        <v>7961.913</v>
      </c>
      <c r="AL114" t="n">
        <v>7931.968</v>
      </c>
      <c r="AM114" t="n">
        <v>5841.418</v>
      </c>
      <c r="AN114" t="n">
        <v>6712.563</v>
      </c>
      <c r="AO114" t="n">
        <v>5810.341</v>
      </c>
      <c r="AP114" t="n">
        <v>7050.978</v>
      </c>
      <c r="AQ114" t="n">
        <v>6100.82</v>
      </c>
      <c r="AR114" t="n">
        <v>7231.06</v>
      </c>
      <c r="AS114" t="n">
        <v>7243.283</v>
      </c>
      <c r="AT114" t="n">
        <v>7613.776</v>
      </c>
      <c r="AU114" t="n">
        <v>7502.757</v>
      </c>
      <c r="AV114" t="n">
        <v>8144.068</v>
      </c>
      <c r="AW114" t="n">
        <v>9152.377</v>
      </c>
      <c r="AX114" t="n">
        <v>17330.281</v>
      </c>
      <c r="AY114" t="n">
        <v>8342.142</v>
      </c>
      <c r="AZ114" t="n">
        <v>11529.14</v>
      </c>
      <c r="BA114" t="n">
        <v>16585.824</v>
      </c>
      <c r="BB114" t="n">
        <v>9812.089</v>
      </c>
      <c r="BC114" t="n">
        <v>12969.406</v>
      </c>
      <c r="BD114" t="n">
        <v>8926.672</v>
      </c>
      <c r="BE114" t="n">
        <v>9163.963</v>
      </c>
      <c r="BF114" t="n">
        <v>8718.441000000001</v>
      </c>
      <c r="BG114" t="n">
        <v>11528.403</v>
      </c>
      <c r="BH114" t="n">
        <v>8239.353999999999</v>
      </c>
      <c r="BI114" t="n">
        <v>5611.251</v>
      </c>
      <c r="BJ114" t="n">
        <v>6795.436</v>
      </c>
      <c r="BK114" t="n">
        <v>7807.766</v>
      </c>
      <c r="BL114" t="n">
        <v>7097.075</v>
      </c>
      <c r="BM114" t="n">
        <v>7379.56</v>
      </c>
      <c r="BN114" t="n">
        <v>7710.623</v>
      </c>
      <c r="BO114" t="n">
        <v>7915.894</v>
      </c>
      <c r="BP114" t="n">
        <v>7885.373</v>
      </c>
      <c r="BQ114" t="n">
        <v>8219.348</v>
      </c>
      <c r="BR114" t="n">
        <v>8995.493</v>
      </c>
      <c r="BS114" t="n">
        <v>8732.799000000001</v>
      </c>
      <c r="BT114" t="n">
        <v>8164.503</v>
      </c>
      <c r="BU114" t="n">
        <v>8568.111999999999</v>
      </c>
      <c r="BV114" t="n">
        <v>9935.401</v>
      </c>
    </row>
    <row r="115">
      <c r="A115" t="inlineStr">
        <is>
          <t>Pennahia</t>
        </is>
      </c>
      <c r="B115" t="inlineStr">
        <is>
          <t>Pennah croakers</t>
        </is>
      </c>
      <c r="C115" t="inlineStr">
        <is>
          <t>Medium benthopelagics (30 - 89 cm)</t>
        </is>
      </c>
      <c r="D115" t="inlineStr">
        <is>
          <t>Perch-likes</t>
        </is>
      </c>
      <c r="E115" t="n">
        <v>195.654</v>
      </c>
      <c r="F115" t="n">
        <v>191.697</v>
      </c>
      <c r="G115" t="n">
        <v>193.313</v>
      </c>
      <c r="H115" t="n">
        <v>198.953</v>
      </c>
      <c r="I115" t="n">
        <v>205.988</v>
      </c>
      <c r="J115" t="n">
        <v>216.808</v>
      </c>
      <c r="K115" t="n">
        <v>225.75</v>
      </c>
      <c r="L115" t="n">
        <v>235.803</v>
      </c>
      <c r="M115" t="n">
        <v>252.42</v>
      </c>
      <c r="N115" t="n">
        <v>266.675</v>
      </c>
      <c r="O115" t="n">
        <v>283.558</v>
      </c>
      <c r="P115" t="n">
        <v>293.161</v>
      </c>
      <c r="Q115" t="n">
        <v>310.732</v>
      </c>
      <c r="R115" t="n">
        <v>328.09</v>
      </c>
      <c r="S115" t="n">
        <v>354.628</v>
      </c>
      <c r="T115" t="n">
        <v>575.249</v>
      </c>
      <c r="U115" t="n">
        <v>679.367</v>
      </c>
      <c r="V115" t="n">
        <v>867.867</v>
      </c>
      <c r="W115" t="n">
        <v>959.001</v>
      </c>
      <c r="X115" t="n">
        <v>938.4450000000001</v>
      </c>
      <c r="Y115" t="n">
        <v>1486.9</v>
      </c>
      <c r="Z115" t="n">
        <v>1563.842</v>
      </c>
      <c r="AA115" t="n">
        <v>2603.345</v>
      </c>
      <c r="AB115" t="n">
        <v>3021.395</v>
      </c>
      <c r="AC115" t="n">
        <v>4013.455</v>
      </c>
      <c r="AD115" t="n">
        <v>5252.231</v>
      </c>
      <c r="AE115" t="n">
        <v>2508.113</v>
      </c>
      <c r="AF115" t="n">
        <v>2952.466</v>
      </c>
      <c r="AG115" t="n">
        <v>3274.265</v>
      </c>
      <c r="AH115" t="n">
        <v>3303.731</v>
      </c>
      <c r="AI115" t="n">
        <v>1931.33</v>
      </c>
      <c r="AJ115" t="n">
        <v>2243.927</v>
      </c>
      <c r="AK115" t="n">
        <v>2129.748</v>
      </c>
      <c r="AL115" t="n">
        <v>2234.424</v>
      </c>
      <c r="AM115" t="n">
        <v>2065.849</v>
      </c>
      <c r="AN115" t="n">
        <v>3625.971</v>
      </c>
      <c r="AO115" t="n">
        <v>2985.355</v>
      </c>
      <c r="AP115" t="n">
        <v>3259.021</v>
      </c>
      <c r="AQ115" t="n">
        <v>3926.554</v>
      </c>
      <c r="AR115" t="n">
        <v>3855.167</v>
      </c>
      <c r="AS115" t="n">
        <v>2013.358</v>
      </c>
      <c r="AT115" t="n">
        <v>1800.339</v>
      </c>
      <c r="AU115" t="n">
        <v>2817.757</v>
      </c>
      <c r="AV115" t="n">
        <v>1497.241</v>
      </c>
      <c r="AW115" t="n">
        <v>2231.964</v>
      </c>
      <c r="AX115" t="n">
        <v>7854.387</v>
      </c>
      <c r="AY115" t="n">
        <v>8667.234</v>
      </c>
      <c r="AZ115" t="n">
        <v>10827.658</v>
      </c>
      <c r="BA115" t="n">
        <v>9853.956</v>
      </c>
      <c r="BB115" t="n">
        <v>11496.808</v>
      </c>
      <c r="BC115" t="n">
        <v>14179.524</v>
      </c>
      <c r="BD115" t="n">
        <v>15047.999</v>
      </c>
      <c r="BE115" t="n">
        <v>17390.51</v>
      </c>
      <c r="BF115" t="n">
        <v>17947.083</v>
      </c>
      <c r="BG115" t="n">
        <v>18163.697</v>
      </c>
      <c r="BH115" t="n">
        <v>15531.594</v>
      </c>
      <c r="BI115" t="n">
        <v>15125.063</v>
      </c>
      <c r="BJ115" t="n">
        <v>14689.75</v>
      </c>
      <c r="BK115" t="n">
        <v>15047.952</v>
      </c>
      <c r="BL115" t="n">
        <v>14525.002</v>
      </c>
      <c r="BM115" t="n">
        <v>14626.976</v>
      </c>
      <c r="BN115" t="n">
        <v>14181.652</v>
      </c>
      <c r="BO115" t="n">
        <v>15961.272</v>
      </c>
      <c r="BP115" t="n">
        <v>16594.006</v>
      </c>
      <c r="BQ115" t="n">
        <v>15205.022</v>
      </c>
      <c r="BR115" t="n">
        <v>15658.952</v>
      </c>
      <c r="BS115" t="n">
        <v>16212.341</v>
      </c>
      <c r="BT115" t="n">
        <v>15030.268</v>
      </c>
      <c r="BU115" t="n">
        <v>14139.473</v>
      </c>
      <c r="BV115" t="n">
        <v>13249.633</v>
      </c>
    </row>
    <row r="116">
      <c r="A116" t="inlineStr">
        <is>
          <t>Selar crumenophthalmus</t>
        </is>
      </c>
      <c r="B116" t="inlineStr">
        <is>
          <t>Bigeye scad</t>
        </is>
      </c>
      <c r="C116" t="inlineStr">
        <is>
          <t>Medium pelagics (30 - 89 cm)</t>
        </is>
      </c>
      <c r="D116" t="inlineStr">
        <is>
          <t>Perch-likes</t>
        </is>
      </c>
      <c r="E116" t="n">
        <v>370.469</v>
      </c>
      <c r="F116" t="n">
        <v>434.791</v>
      </c>
      <c r="G116" t="n">
        <v>451.568</v>
      </c>
      <c r="H116" t="n">
        <v>446.442</v>
      </c>
      <c r="I116" t="n">
        <v>579.607</v>
      </c>
      <c r="J116" t="n">
        <v>612.503</v>
      </c>
      <c r="K116" t="n">
        <v>651.754</v>
      </c>
      <c r="L116" t="n">
        <v>613.2089999999999</v>
      </c>
      <c r="M116" t="n">
        <v>676.888</v>
      </c>
      <c r="N116" t="n">
        <v>712.838</v>
      </c>
      <c r="O116" t="n">
        <v>743.534</v>
      </c>
      <c r="P116" t="n">
        <v>758.3200000000001</v>
      </c>
      <c r="Q116" t="n">
        <v>876.447</v>
      </c>
      <c r="R116" t="n">
        <v>952.89</v>
      </c>
      <c r="S116" t="n">
        <v>1450.285</v>
      </c>
      <c r="T116" t="n">
        <v>1560.153</v>
      </c>
      <c r="U116" t="n">
        <v>1544.911</v>
      </c>
      <c r="V116" t="n">
        <v>1525.343</v>
      </c>
      <c r="W116" t="n">
        <v>1665.065</v>
      </c>
      <c r="X116" t="n">
        <v>1452.076</v>
      </c>
      <c r="Y116" t="n">
        <v>2391.202</v>
      </c>
      <c r="Z116" t="n">
        <v>2770.536</v>
      </c>
      <c r="AA116" t="n">
        <v>2244.497</v>
      </c>
      <c r="AB116" t="n">
        <v>2554.299</v>
      </c>
      <c r="AC116" t="n">
        <v>2198.354</v>
      </c>
      <c r="AD116" t="n">
        <v>2750.983</v>
      </c>
      <c r="AE116" t="n">
        <v>2584.069</v>
      </c>
      <c r="AF116" t="n">
        <v>3634.184</v>
      </c>
      <c r="AG116" t="n">
        <v>3558.763</v>
      </c>
      <c r="AH116" t="n">
        <v>3267.339</v>
      </c>
      <c r="AI116" t="n">
        <v>3076.92</v>
      </c>
      <c r="AJ116" t="n">
        <v>3182.33</v>
      </c>
      <c r="AK116" t="n">
        <v>2421.236</v>
      </c>
      <c r="AL116" t="n">
        <v>2937.998</v>
      </c>
      <c r="AM116" t="n">
        <v>3312.083</v>
      </c>
      <c r="AN116" t="n">
        <v>3246.708</v>
      </c>
      <c r="AO116" t="n">
        <v>3332.146</v>
      </c>
      <c r="AP116" t="n">
        <v>3434.138</v>
      </c>
      <c r="AQ116" t="n">
        <v>3418.206</v>
      </c>
      <c r="AR116" t="n">
        <v>3579.773</v>
      </c>
      <c r="AS116" t="n">
        <v>3861.039</v>
      </c>
      <c r="AT116" t="n">
        <v>3468.857</v>
      </c>
      <c r="AU116" t="n">
        <v>3538.587</v>
      </c>
      <c r="AV116" t="n">
        <v>3197.736</v>
      </c>
      <c r="AW116" t="n">
        <v>4437.376</v>
      </c>
      <c r="AX116" t="n">
        <v>20070.163</v>
      </c>
      <c r="AY116" t="n">
        <v>7377.498</v>
      </c>
      <c r="AZ116" t="n">
        <v>9785.915999999999</v>
      </c>
      <c r="BA116" t="n">
        <v>9457.638000000001</v>
      </c>
      <c r="BB116" t="n">
        <v>10537.239</v>
      </c>
      <c r="BC116" t="n">
        <v>11584.363</v>
      </c>
      <c r="BD116" t="n">
        <v>12494.354</v>
      </c>
      <c r="BE116" t="n">
        <v>14923.586</v>
      </c>
      <c r="BF116" t="n">
        <v>16184.241</v>
      </c>
      <c r="BG116" t="n">
        <v>16190.152</v>
      </c>
      <c r="BH116" t="n">
        <v>14926.178</v>
      </c>
      <c r="BI116" t="n">
        <v>12835.518</v>
      </c>
      <c r="BJ116" t="n">
        <v>13907.556</v>
      </c>
      <c r="BK116" t="n">
        <v>10297.549</v>
      </c>
      <c r="BL116" t="n">
        <v>10466.948</v>
      </c>
      <c r="BM116" t="n">
        <v>11386.384</v>
      </c>
      <c r="BN116" t="n">
        <v>14313.624</v>
      </c>
      <c r="BO116" t="n">
        <v>13967.314</v>
      </c>
      <c r="BP116" t="n">
        <v>13981.621</v>
      </c>
      <c r="BQ116" t="n">
        <v>14039.384</v>
      </c>
      <c r="BR116" t="n">
        <v>13996.383</v>
      </c>
      <c r="BS116" t="n">
        <v>13388.187</v>
      </c>
      <c r="BT116" t="n">
        <v>13070.937</v>
      </c>
      <c r="BU116" t="n">
        <v>13192.052</v>
      </c>
      <c r="BV116" t="n">
        <v>13060.518</v>
      </c>
    </row>
    <row r="117">
      <c r="A117" t="inlineStr">
        <is>
          <t>Penaeus</t>
        </is>
      </c>
      <c r="B117" t="inlineStr">
        <is>
          <t>Tiger prawns</t>
        </is>
      </c>
      <c r="C117" t="inlineStr">
        <is>
          <t>Shrimps</t>
        </is>
      </c>
      <c r="D117" t="inlineStr">
        <is>
          <t>Crustaceans</t>
        </is>
      </c>
      <c r="E117" t="n">
        <v>940.771</v>
      </c>
      <c r="F117" t="n">
        <v>1075.27</v>
      </c>
      <c r="G117" t="n">
        <v>1209.768</v>
      </c>
      <c r="H117" t="n">
        <v>1254.441</v>
      </c>
      <c r="I117" t="n">
        <v>1343.913</v>
      </c>
      <c r="J117" t="n">
        <v>1388.652</v>
      </c>
      <c r="K117" t="n">
        <v>1455.193</v>
      </c>
      <c r="L117" t="n">
        <v>1454.713</v>
      </c>
      <c r="M117" t="n">
        <v>1411.168</v>
      </c>
      <c r="N117" t="n">
        <v>1454.448</v>
      </c>
      <c r="O117" t="n">
        <v>1476.961</v>
      </c>
      <c r="P117" t="n">
        <v>1789.342</v>
      </c>
      <c r="Q117" t="n">
        <v>1882.22</v>
      </c>
      <c r="R117" t="n">
        <v>1912.601</v>
      </c>
      <c r="S117" t="n">
        <v>2038.555</v>
      </c>
      <c r="T117" t="n">
        <v>3777.42</v>
      </c>
      <c r="U117" t="n">
        <v>4405.29</v>
      </c>
      <c r="V117" t="n">
        <v>5020.298</v>
      </c>
      <c r="W117" t="n">
        <v>5448.71</v>
      </c>
      <c r="X117" t="n">
        <v>5757.684</v>
      </c>
      <c r="Y117" t="n">
        <v>3500.805</v>
      </c>
      <c r="Z117" t="n">
        <v>3669.135</v>
      </c>
      <c r="AA117" t="n">
        <v>5197.52</v>
      </c>
      <c r="AB117" t="n">
        <v>6038.886</v>
      </c>
      <c r="AC117" t="n">
        <v>5123.357</v>
      </c>
      <c r="AD117" t="n">
        <v>6440.942</v>
      </c>
      <c r="AE117" t="n">
        <v>5188.004</v>
      </c>
      <c r="AF117" t="n">
        <v>6606.671</v>
      </c>
      <c r="AG117" t="n">
        <v>7229.517</v>
      </c>
      <c r="AH117" t="n">
        <v>6740.956</v>
      </c>
      <c r="AI117" t="n">
        <v>8755.880999999999</v>
      </c>
      <c r="AJ117" t="n">
        <v>8717.425999999999</v>
      </c>
      <c r="AK117" t="n">
        <v>11072.731</v>
      </c>
      <c r="AL117" t="n">
        <v>9078.904</v>
      </c>
      <c r="AM117" t="n">
        <v>9392.795</v>
      </c>
      <c r="AN117" t="n">
        <v>8421.689</v>
      </c>
      <c r="AO117" t="n">
        <v>11431.93</v>
      </c>
      <c r="AP117" t="n">
        <v>9761.210999999999</v>
      </c>
      <c r="AQ117" t="n">
        <v>8270.834000000001</v>
      </c>
      <c r="AR117" t="n">
        <v>7836.804</v>
      </c>
      <c r="AS117" t="n">
        <v>7962.519</v>
      </c>
      <c r="AT117" t="n">
        <v>10447.924</v>
      </c>
      <c r="AU117" t="n">
        <v>9679.636</v>
      </c>
      <c r="AV117" t="n">
        <v>10004.968</v>
      </c>
      <c r="AW117" t="n">
        <v>9991.173000000001</v>
      </c>
      <c r="AX117" t="n">
        <v>10803.875</v>
      </c>
      <c r="AY117" t="n">
        <v>10696.601</v>
      </c>
      <c r="AZ117" t="n">
        <v>10857.341</v>
      </c>
      <c r="BA117" t="n">
        <v>9033.648999999999</v>
      </c>
      <c r="BB117" t="n">
        <v>8958.446</v>
      </c>
      <c r="BC117" t="n">
        <v>9943.35</v>
      </c>
      <c r="BD117" t="n">
        <v>8977.829</v>
      </c>
      <c r="BE117" t="n">
        <v>9045.949000000001</v>
      </c>
      <c r="BF117" t="n">
        <v>7517.761</v>
      </c>
      <c r="BG117" t="n">
        <v>6230.567</v>
      </c>
      <c r="BH117" t="n">
        <v>5413.797</v>
      </c>
      <c r="BI117" t="n">
        <v>6258.349</v>
      </c>
      <c r="BJ117" t="n">
        <v>5402.72</v>
      </c>
      <c r="BK117" t="n">
        <v>4541.731</v>
      </c>
      <c r="BL117" t="n">
        <v>3814.339</v>
      </c>
      <c r="BM117" t="n">
        <v>3597.113</v>
      </c>
      <c r="BN117" t="n">
        <v>3450.166</v>
      </c>
      <c r="BO117" t="n">
        <v>3525.938</v>
      </c>
      <c r="BP117" t="n">
        <v>3538.821</v>
      </c>
      <c r="BQ117" t="n">
        <v>3953.381</v>
      </c>
      <c r="BR117" t="n">
        <v>4325.918</v>
      </c>
      <c r="BS117" t="n">
        <v>5480.528</v>
      </c>
      <c r="BT117" t="n">
        <v>4776.372</v>
      </c>
      <c r="BU117" t="n">
        <v>5330.093</v>
      </c>
      <c r="BV117" t="n">
        <v>5434.027</v>
      </c>
    </row>
    <row r="118">
      <c r="A118" t="inlineStr">
        <is>
          <t>Himantura</t>
        </is>
      </c>
      <c r="B118" t="inlineStr">
        <is>
          <t>Whiprays</t>
        </is>
      </c>
      <c r="C118" t="inlineStr">
        <is>
          <t>Large rays (&gt;=90 cm)</t>
        </is>
      </c>
      <c r="D118" t="inlineStr">
        <is>
          <t>Sharks &amp; rays</t>
        </is>
      </c>
      <c r="E118" t="n">
        <v>294.101</v>
      </c>
      <c r="F118" t="n">
        <v>294.416</v>
      </c>
      <c r="G118" t="n">
        <v>298.057</v>
      </c>
      <c r="H118" t="n">
        <v>305.058</v>
      </c>
      <c r="I118" t="n">
        <v>531.296</v>
      </c>
      <c r="J118" t="n">
        <v>335.972</v>
      </c>
      <c r="K118" t="n">
        <v>349.877</v>
      </c>
      <c r="L118" t="n">
        <v>365.825</v>
      </c>
      <c r="M118" t="n">
        <v>393.061</v>
      </c>
      <c r="N118" t="n">
        <v>416.522</v>
      </c>
      <c r="O118" t="n">
        <v>439.079</v>
      </c>
      <c r="P118" t="n">
        <v>455.374</v>
      </c>
      <c r="Q118" t="n">
        <v>485.067</v>
      </c>
      <c r="R118" t="n">
        <v>511.607</v>
      </c>
      <c r="S118" t="n">
        <v>551.798</v>
      </c>
      <c r="T118" t="n">
        <v>686.179</v>
      </c>
      <c r="U118" t="n">
        <v>749.154</v>
      </c>
      <c r="V118" t="n">
        <v>871.796</v>
      </c>
      <c r="W118" t="n">
        <v>949.16</v>
      </c>
      <c r="X118" t="n">
        <v>1091.207</v>
      </c>
      <c r="Y118" t="n">
        <v>2235.953</v>
      </c>
      <c r="Z118" t="n">
        <v>2325.621</v>
      </c>
      <c r="AA118" t="n">
        <v>3053.941</v>
      </c>
      <c r="AB118" t="n">
        <v>3962.924</v>
      </c>
      <c r="AC118" t="n">
        <v>4504.567</v>
      </c>
      <c r="AD118" t="n">
        <v>7044.761</v>
      </c>
      <c r="AE118" t="n">
        <v>8121.456</v>
      </c>
      <c r="AF118" t="n">
        <v>8991.950000000001</v>
      </c>
      <c r="AG118" t="n">
        <v>6598.355</v>
      </c>
      <c r="AH118" t="n">
        <v>6827.306</v>
      </c>
      <c r="AI118" t="n">
        <v>8349.625</v>
      </c>
      <c r="AJ118" t="n">
        <v>8581.903</v>
      </c>
      <c r="AK118" t="n">
        <v>7125.424</v>
      </c>
      <c r="AL118" t="n">
        <v>6713.752</v>
      </c>
      <c r="AM118" t="n">
        <v>6675.545</v>
      </c>
      <c r="AN118" t="n">
        <v>4471.29</v>
      </c>
      <c r="AO118" t="n">
        <v>4918.154</v>
      </c>
      <c r="AP118" t="n">
        <v>4320.144</v>
      </c>
      <c r="AQ118" t="n">
        <v>4351.21</v>
      </c>
      <c r="AR118" t="n">
        <v>4544.576</v>
      </c>
      <c r="AS118" t="n">
        <v>5045.039</v>
      </c>
      <c r="AT118" t="n">
        <v>5421.924</v>
      </c>
      <c r="AU118" t="n">
        <v>5176.995</v>
      </c>
      <c r="AV118" t="n">
        <v>5201.972</v>
      </c>
      <c r="AW118" t="n">
        <v>5801.222</v>
      </c>
      <c r="AX118" t="n">
        <v>11919.4</v>
      </c>
      <c r="AY118" t="n">
        <v>10922.181</v>
      </c>
      <c r="AZ118" t="n">
        <v>11246.645</v>
      </c>
      <c r="BA118" t="n">
        <v>9936.611999999999</v>
      </c>
      <c r="BB118" t="n">
        <v>12031.299</v>
      </c>
      <c r="BC118" t="n">
        <v>9981.093000000001</v>
      </c>
      <c r="BD118" t="n">
        <v>10413.04</v>
      </c>
      <c r="BE118" t="n">
        <v>10515.087</v>
      </c>
      <c r="BF118" t="n">
        <v>10899.843</v>
      </c>
      <c r="BG118" t="n">
        <v>10923.344</v>
      </c>
      <c r="BH118" t="n">
        <v>7836.806</v>
      </c>
      <c r="BI118" t="n">
        <v>7833.027</v>
      </c>
      <c r="BJ118" t="n">
        <v>7680.192</v>
      </c>
      <c r="BK118" t="n">
        <v>7953.143</v>
      </c>
      <c r="BL118" t="n">
        <v>7770.928</v>
      </c>
      <c r="BM118" t="n">
        <v>7868.533</v>
      </c>
      <c r="BN118" t="n">
        <v>7635.246</v>
      </c>
      <c r="BO118" t="n">
        <v>8593.544</v>
      </c>
      <c r="BP118" t="n">
        <v>8934.558000000001</v>
      </c>
      <c r="BQ118" t="n">
        <v>8187.171</v>
      </c>
      <c r="BR118" t="n">
        <v>8431.307000000001</v>
      </c>
      <c r="BS118" t="n">
        <v>8730.141</v>
      </c>
      <c r="BT118" t="n">
        <v>8094.276</v>
      </c>
      <c r="BU118" t="n">
        <v>7621.518</v>
      </c>
      <c r="BV118" t="n">
        <v>7142.238</v>
      </c>
    </row>
    <row r="119">
      <c r="A119" t="inlineStr">
        <is>
          <t>Menidae</t>
        </is>
      </c>
      <c r="B119" t="inlineStr">
        <is>
          <t>Moonfishes</t>
        </is>
      </c>
      <c r="C119" t="inlineStr">
        <is>
          <t>Medium reef assoc. fish (30 - 89 cm)</t>
        </is>
      </c>
      <c r="D119" t="inlineStr">
        <is>
          <t>Perch-likes</t>
        </is>
      </c>
      <c r="E119" t="n">
        <v>1938.244</v>
      </c>
      <c r="F119" t="n">
        <v>3086.528</v>
      </c>
      <c r="G119" t="n">
        <v>3044.407</v>
      </c>
      <c r="H119" t="n">
        <v>2820.808</v>
      </c>
      <c r="I119" t="n">
        <v>2103.164</v>
      </c>
      <c r="J119" t="n">
        <v>1368.043</v>
      </c>
      <c r="K119" t="n">
        <v>2610.971</v>
      </c>
      <c r="L119" t="n">
        <v>2852.646</v>
      </c>
      <c r="M119" t="n">
        <v>8192.543</v>
      </c>
      <c r="N119" t="n">
        <v>3660.691</v>
      </c>
      <c r="O119" t="n">
        <v>4552.151</v>
      </c>
      <c r="P119" t="n">
        <v>14484.689</v>
      </c>
      <c r="Q119" t="n">
        <v>10818.405</v>
      </c>
      <c r="R119" t="n">
        <v>4022.746</v>
      </c>
      <c r="S119" t="n">
        <v>3104.474</v>
      </c>
      <c r="T119" t="n">
        <v>7940.874</v>
      </c>
      <c r="U119" t="n">
        <v>5035.126</v>
      </c>
      <c r="V119" t="n">
        <v>5967.555</v>
      </c>
      <c r="W119" t="n">
        <v>3946.63</v>
      </c>
      <c r="X119" t="n">
        <v>4353.111</v>
      </c>
      <c r="Y119" t="n">
        <v>1325.29</v>
      </c>
      <c r="Z119" t="n">
        <v>3796.199</v>
      </c>
      <c r="AA119" t="n">
        <v>2021.834</v>
      </c>
      <c r="AB119" t="n">
        <v>4321.451</v>
      </c>
      <c r="AC119" t="n">
        <v>1972.686</v>
      </c>
      <c r="AD119" t="n">
        <v>2225.24</v>
      </c>
      <c r="AE119" t="n">
        <v>3695.855</v>
      </c>
      <c r="AF119" t="n">
        <v>2197.36</v>
      </c>
      <c r="AG119" t="n">
        <v>3330.518</v>
      </c>
      <c r="AH119" t="n">
        <v>3870.089</v>
      </c>
      <c r="AI119" t="n">
        <v>5581.968</v>
      </c>
      <c r="AJ119" t="n">
        <v>5011.925</v>
      </c>
      <c r="AK119" t="n">
        <v>4289.414</v>
      </c>
      <c r="AL119" t="n">
        <v>4313.043</v>
      </c>
      <c r="AM119" t="n">
        <v>3691.641</v>
      </c>
      <c r="AN119" t="n">
        <v>7796.877</v>
      </c>
      <c r="AO119" t="n">
        <v>4976.236</v>
      </c>
      <c r="AP119" t="n">
        <v>1884.211</v>
      </c>
      <c r="AQ119" t="n">
        <v>5456.302</v>
      </c>
      <c r="AR119" t="n">
        <v>24314.025</v>
      </c>
      <c r="AS119" t="n">
        <v>16058.521</v>
      </c>
      <c r="AT119" t="n">
        <v>16597.342</v>
      </c>
      <c r="AU119" t="n">
        <v>16123.137</v>
      </c>
      <c r="AV119" t="n">
        <v>15183.746</v>
      </c>
      <c r="AW119" t="n">
        <v>6695.37</v>
      </c>
      <c r="AX119" t="n">
        <v>2907.279</v>
      </c>
      <c r="AY119" t="n">
        <v>3612.52</v>
      </c>
      <c r="AZ119" t="n">
        <v>3727.399</v>
      </c>
      <c r="BA119" t="n">
        <v>3847.074</v>
      </c>
      <c r="BB119" t="n">
        <v>6948.291</v>
      </c>
      <c r="BC119" t="n">
        <v>4716.224</v>
      </c>
      <c r="BD119" t="n">
        <v>4944.659</v>
      </c>
      <c r="BE119" t="n">
        <v>3344.528</v>
      </c>
      <c r="BF119" t="n">
        <v>1064.361</v>
      </c>
      <c r="BG119" t="n">
        <v>4061.551</v>
      </c>
      <c r="BH119" t="n">
        <v>1778.887</v>
      </c>
      <c r="BI119" t="n">
        <v>2566.615</v>
      </c>
      <c r="BJ119" t="n">
        <v>2290.27</v>
      </c>
      <c r="BK119" t="n">
        <v>2080.348</v>
      </c>
      <c r="BL119" t="n">
        <v>2231.255</v>
      </c>
      <c r="BM119" t="n">
        <v>2301.5</v>
      </c>
      <c r="BN119" t="n">
        <v>2943.803</v>
      </c>
      <c r="BO119" t="n">
        <v>3272.244</v>
      </c>
      <c r="BP119" t="n">
        <v>6893.336</v>
      </c>
      <c r="BQ119" t="n">
        <v>7428.019</v>
      </c>
      <c r="BR119" t="n">
        <v>5904.927</v>
      </c>
      <c r="BS119" t="n">
        <v>7864.832</v>
      </c>
      <c r="BT119" t="n">
        <v>7428.398</v>
      </c>
      <c r="BU119" t="n">
        <v>7552.421</v>
      </c>
      <c r="BV119" t="n">
        <v>7054.65</v>
      </c>
    </row>
    <row r="120">
      <c r="A120" t="inlineStr">
        <is>
          <t>Scolopsis</t>
        </is>
      </c>
      <c r="B120" t="inlineStr">
        <is>
          <t>Monocle breams</t>
        </is>
      </c>
      <c r="C120" t="inlineStr">
        <is>
          <t>Small reef assoc. fish (&lt;30 cm)</t>
        </is>
      </c>
      <c r="D120" t="inlineStr">
        <is>
          <t>Perch-likes</t>
        </is>
      </c>
      <c r="E120" t="n">
        <v>674.4589999999999</v>
      </c>
      <c r="F120" t="n">
        <v>758.0549999999999</v>
      </c>
      <c r="G120" t="n">
        <v>841.651</v>
      </c>
      <c r="H120" t="n">
        <v>926.096</v>
      </c>
      <c r="I120" t="n">
        <v>2365.432</v>
      </c>
      <c r="J120" t="n">
        <v>3973.785</v>
      </c>
      <c r="K120" t="n">
        <v>4684.782</v>
      </c>
      <c r="L120" t="n">
        <v>5427.476</v>
      </c>
      <c r="M120" t="n">
        <v>6377.793</v>
      </c>
      <c r="N120" t="n">
        <v>7981.91</v>
      </c>
      <c r="O120" t="n">
        <v>11285.813</v>
      </c>
      <c r="P120" t="n">
        <v>11664.273</v>
      </c>
      <c r="Q120" t="n">
        <v>14923.357</v>
      </c>
      <c r="R120" t="n">
        <v>18058.254</v>
      </c>
      <c r="S120" t="n">
        <v>18989.522</v>
      </c>
      <c r="T120" t="n">
        <v>19079.909</v>
      </c>
      <c r="U120" t="n">
        <v>19089.38</v>
      </c>
      <c r="V120" t="n">
        <v>18990.496</v>
      </c>
      <c r="W120" t="n">
        <v>18713.716</v>
      </c>
      <c r="X120" t="n">
        <v>18437.36</v>
      </c>
      <c r="Y120" t="n">
        <v>17194.655</v>
      </c>
      <c r="Z120" t="n">
        <v>17047.669</v>
      </c>
      <c r="AA120" t="n">
        <v>14240.802</v>
      </c>
      <c r="AB120" t="n">
        <v>13659.992</v>
      </c>
      <c r="AC120" t="n">
        <v>10866.342</v>
      </c>
      <c r="AD120" t="n">
        <v>7279.688</v>
      </c>
      <c r="AE120" t="n">
        <v>12849.515</v>
      </c>
      <c r="AF120" t="n">
        <v>8187.328</v>
      </c>
      <c r="AG120" t="n">
        <v>236.981</v>
      </c>
      <c r="AH120" t="n">
        <v>1552.434</v>
      </c>
      <c r="AI120" t="n">
        <v>1765.561</v>
      </c>
      <c r="AJ120" t="n">
        <v>1227.312</v>
      </c>
      <c r="AK120" t="n">
        <v>20131.542</v>
      </c>
      <c r="AL120" t="n">
        <v>4129.293</v>
      </c>
      <c r="AM120" t="n">
        <v>2846.155</v>
      </c>
      <c r="AN120" t="n">
        <v>555.8630000000001</v>
      </c>
      <c r="AO120" t="n">
        <v>586.227</v>
      </c>
      <c r="AP120" t="n">
        <v>1593.715</v>
      </c>
      <c r="AQ120" t="n">
        <v>1743.166</v>
      </c>
      <c r="AR120" t="n">
        <v>1508.697</v>
      </c>
      <c r="AS120" t="n">
        <v>1847.958</v>
      </c>
      <c r="AT120" t="n">
        <v>928.116</v>
      </c>
      <c r="AU120" t="n">
        <v>286.921</v>
      </c>
      <c r="AV120" t="n">
        <v>299.124</v>
      </c>
      <c r="AW120" t="n">
        <v>275.304</v>
      </c>
      <c r="AX120" t="n">
        <v>544.2569999999999</v>
      </c>
      <c r="AY120" t="n">
        <v>568.182</v>
      </c>
      <c r="AZ120" t="n">
        <v>853.524</v>
      </c>
      <c r="BA120" t="n">
        <v>1205.445</v>
      </c>
      <c r="BB120" t="n">
        <v>707.913</v>
      </c>
      <c r="BC120" t="n">
        <v>581.432</v>
      </c>
      <c r="BD120" t="n">
        <v>578.737</v>
      </c>
      <c r="BE120" t="n">
        <v>530.914</v>
      </c>
      <c r="BF120" t="n">
        <v>556.8680000000001</v>
      </c>
      <c r="BG120" t="n">
        <v>547.563</v>
      </c>
      <c r="BH120" t="n">
        <v>568.21</v>
      </c>
      <c r="BI120" t="n">
        <v>675.4880000000001</v>
      </c>
      <c r="BJ120" t="n">
        <v>647.647</v>
      </c>
      <c r="BK120" t="n">
        <v>720.112</v>
      </c>
      <c r="BL120" t="n">
        <v>683.179</v>
      </c>
      <c r="BM120" t="n">
        <v>737.769</v>
      </c>
      <c r="BN120" t="n">
        <v>734.579</v>
      </c>
      <c r="BO120" t="n">
        <v>808.633</v>
      </c>
      <c r="BP120" t="n">
        <v>894.655</v>
      </c>
      <c r="BQ120" t="n">
        <v>892.674</v>
      </c>
      <c r="BR120" t="n">
        <v>903.793</v>
      </c>
      <c r="BS120" t="n">
        <v>819.383</v>
      </c>
      <c r="BT120" t="n">
        <v>780.389</v>
      </c>
      <c r="BU120" t="n">
        <v>739.148</v>
      </c>
      <c r="BV120" t="n">
        <v>710.328</v>
      </c>
    </row>
    <row r="121">
      <c r="A121" t="inlineStr">
        <is>
          <t>Siganus</t>
        </is>
      </c>
      <c r="B121" t="inlineStr">
        <is>
          <t>Spinefoots</t>
        </is>
      </c>
      <c r="C121" t="inlineStr">
        <is>
          <t>Medium reef assoc. fish (30 - 89 cm)</t>
        </is>
      </c>
      <c r="D121" t="inlineStr">
        <is>
          <t>Perch-likes</t>
        </is>
      </c>
      <c r="E121" t="n">
        <v>1130.762</v>
      </c>
      <c r="F121" t="n">
        <v>1298.416</v>
      </c>
      <c r="G121" t="n">
        <v>1437.144</v>
      </c>
      <c r="H121" t="n">
        <v>1471.002</v>
      </c>
      <c r="I121" t="n">
        <v>1598.897</v>
      </c>
      <c r="J121" t="n">
        <v>1662.966</v>
      </c>
      <c r="K121" t="n">
        <v>1707.327</v>
      </c>
      <c r="L121" t="n">
        <v>1677.769</v>
      </c>
      <c r="M121" t="n">
        <v>1751.024</v>
      </c>
      <c r="N121" t="n">
        <v>1704.765</v>
      </c>
      <c r="O121" t="n">
        <v>1774.659</v>
      </c>
      <c r="P121" t="n">
        <v>2157.403</v>
      </c>
      <c r="Q121" t="n">
        <v>2296.115</v>
      </c>
      <c r="R121" t="n">
        <v>2534.161</v>
      </c>
      <c r="S121" t="n">
        <v>2724.352</v>
      </c>
      <c r="T121" t="n">
        <v>3233.568</v>
      </c>
      <c r="U121" t="n">
        <v>3565.874</v>
      </c>
      <c r="V121" t="n">
        <v>3536.587</v>
      </c>
      <c r="W121" t="n">
        <v>3806.649</v>
      </c>
      <c r="X121" t="n">
        <v>4024.609</v>
      </c>
      <c r="Y121" t="n">
        <v>4673.285</v>
      </c>
      <c r="Z121" t="n">
        <v>4775.529</v>
      </c>
      <c r="AA121" t="n">
        <v>4576.599</v>
      </c>
      <c r="AB121" t="n">
        <v>4581.035</v>
      </c>
      <c r="AC121" t="n">
        <v>4782.755</v>
      </c>
      <c r="AD121" t="n">
        <v>4501.664</v>
      </c>
      <c r="AE121" t="n">
        <v>3363.251</v>
      </c>
      <c r="AF121" t="n">
        <v>3615.107</v>
      </c>
      <c r="AG121" t="n">
        <v>3826.798</v>
      </c>
      <c r="AH121" t="n">
        <v>4394.441</v>
      </c>
      <c r="AI121" t="n">
        <v>4980.751</v>
      </c>
      <c r="AJ121" t="n">
        <v>4659.041</v>
      </c>
      <c r="AK121" t="n">
        <v>5074.307</v>
      </c>
      <c r="AL121" t="n">
        <v>5600.868</v>
      </c>
      <c r="AM121" t="n">
        <v>5669.644</v>
      </c>
      <c r="AN121" t="n">
        <v>5598.47</v>
      </c>
      <c r="AO121" t="n">
        <v>6024.114</v>
      </c>
      <c r="AP121" t="n">
        <v>6073.749</v>
      </c>
      <c r="AQ121" t="n">
        <v>6187.614</v>
      </c>
      <c r="AR121" t="n">
        <v>6318.459</v>
      </c>
      <c r="AS121" t="n">
        <v>6470.447</v>
      </c>
      <c r="AT121" t="n">
        <v>6349.258</v>
      </c>
      <c r="AU121" t="n">
        <v>6470.462</v>
      </c>
      <c r="AV121" t="n">
        <v>7227.105</v>
      </c>
      <c r="AW121" t="n">
        <v>6630.291</v>
      </c>
      <c r="AX121" t="n">
        <v>6370.653</v>
      </c>
      <c r="AY121" t="n">
        <v>5878.392</v>
      </c>
      <c r="AZ121" t="n">
        <v>6342.328</v>
      </c>
      <c r="BA121" t="n">
        <v>6235.931</v>
      </c>
      <c r="BB121" t="n">
        <v>6827.841</v>
      </c>
      <c r="BC121" t="n">
        <v>7526.906</v>
      </c>
      <c r="BD121" t="n">
        <v>7616.914</v>
      </c>
      <c r="BE121" t="n">
        <v>7792.078</v>
      </c>
      <c r="BF121" t="n">
        <v>8050.372</v>
      </c>
      <c r="BG121" t="n">
        <v>4894.066</v>
      </c>
      <c r="BH121" t="n">
        <v>6063.454</v>
      </c>
      <c r="BI121" t="n">
        <v>7900.773</v>
      </c>
      <c r="BJ121" t="n">
        <v>8736.763999999999</v>
      </c>
      <c r="BK121" t="n">
        <v>8905.587</v>
      </c>
      <c r="BL121" t="n">
        <v>9168.341</v>
      </c>
      <c r="BM121" t="n">
        <v>7011.311</v>
      </c>
      <c r="BN121" t="n">
        <v>7227.888</v>
      </c>
      <c r="BO121" t="n">
        <v>7609.064</v>
      </c>
      <c r="BP121" t="n">
        <v>7862.116</v>
      </c>
      <c r="BQ121" t="n">
        <v>7702.665</v>
      </c>
      <c r="BR121" t="n">
        <v>7969.494</v>
      </c>
      <c r="BS121" t="n">
        <v>7723.644</v>
      </c>
      <c r="BT121" t="n">
        <v>7321.941</v>
      </c>
      <c r="BU121" t="n">
        <v>7405.079</v>
      </c>
      <c r="BV121" t="n">
        <v>8345.237999999999</v>
      </c>
    </row>
    <row r="122">
      <c r="A122" t="inlineStr">
        <is>
          <t>Pagrus auratus</t>
        </is>
      </c>
      <c r="B122" t="inlineStr">
        <is>
          <t>Silver seabream</t>
        </is>
      </c>
      <c r="C122" t="inlineStr">
        <is>
          <t>Large demersals (&gt;=90 cm)</t>
        </is>
      </c>
      <c r="D122" t="inlineStr">
        <is>
          <t>Perch-likes</t>
        </is>
      </c>
      <c r="E122" t="n">
        <v>1442.309</v>
      </c>
      <c r="F122" t="n">
        <v>1862.141</v>
      </c>
      <c r="G122" t="n">
        <v>3347.114</v>
      </c>
      <c r="H122" t="n">
        <v>4113.581</v>
      </c>
      <c r="I122" t="n">
        <v>4830.718</v>
      </c>
      <c r="J122" t="n">
        <v>2996.626</v>
      </c>
      <c r="K122" t="n">
        <v>3308.298</v>
      </c>
      <c r="L122" t="n">
        <v>2769.914</v>
      </c>
      <c r="M122" t="n">
        <v>3902.34</v>
      </c>
      <c r="N122" t="n">
        <v>3783.006</v>
      </c>
      <c r="O122" t="n">
        <v>5166.91</v>
      </c>
      <c r="P122" t="n">
        <v>1815.423</v>
      </c>
      <c r="Q122" t="n">
        <v>6768.758</v>
      </c>
      <c r="R122" t="n">
        <v>5715.496</v>
      </c>
      <c r="S122" t="n">
        <v>6891.995</v>
      </c>
      <c r="T122" t="n">
        <v>7540.562</v>
      </c>
      <c r="U122" t="n">
        <v>6832.524</v>
      </c>
      <c r="V122" t="n">
        <v>4784.799</v>
      </c>
      <c r="W122" t="n">
        <v>4549.702</v>
      </c>
      <c r="X122" t="n">
        <v>4264.021</v>
      </c>
      <c r="Y122" t="n">
        <v>3791.673</v>
      </c>
      <c r="Z122" t="n">
        <v>5360.341</v>
      </c>
      <c r="AA122" t="n">
        <v>5678.202</v>
      </c>
      <c r="AB122" t="n">
        <v>5180.033</v>
      </c>
      <c r="AC122" t="n">
        <v>4892.199</v>
      </c>
      <c r="AD122" t="n">
        <v>5261.522</v>
      </c>
      <c r="AE122" t="n">
        <v>4548.299</v>
      </c>
      <c r="AF122" t="n">
        <v>4512.67</v>
      </c>
      <c r="AG122" t="n">
        <v>3421.279</v>
      </c>
      <c r="AH122" t="n">
        <v>3365.996</v>
      </c>
      <c r="AI122" t="n">
        <v>3804.409</v>
      </c>
      <c r="AJ122" t="n">
        <v>3654.242</v>
      </c>
      <c r="AK122" t="n">
        <v>3901.673</v>
      </c>
      <c r="AL122" t="n">
        <v>3721.212</v>
      </c>
      <c r="AM122" t="n">
        <v>3387.14</v>
      </c>
      <c r="AN122" t="n">
        <v>5525.886</v>
      </c>
      <c r="AO122" t="n">
        <v>4290.3</v>
      </c>
      <c r="AP122" t="n">
        <v>4034.394</v>
      </c>
      <c r="AQ122" t="n">
        <v>3549.322</v>
      </c>
      <c r="AR122" t="n">
        <v>3328.677</v>
      </c>
      <c r="AS122" t="n">
        <v>2393.817</v>
      </c>
      <c r="AT122" t="n">
        <v>2706.75</v>
      </c>
      <c r="AU122" t="n">
        <v>5017.698</v>
      </c>
      <c r="AV122" t="n">
        <v>5016.265</v>
      </c>
      <c r="AW122" t="n">
        <v>5169.628</v>
      </c>
      <c r="AX122" t="n">
        <v>6065.571</v>
      </c>
      <c r="AY122" t="n">
        <v>9586.597</v>
      </c>
      <c r="AZ122" t="n">
        <v>11392.892</v>
      </c>
      <c r="BA122" t="n">
        <v>9958.797</v>
      </c>
      <c r="BB122" t="n">
        <v>13596.416</v>
      </c>
      <c r="BC122" t="n">
        <v>15644.306</v>
      </c>
      <c r="BD122" t="n">
        <v>22611.787</v>
      </c>
      <c r="BE122" t="n">
        <v>22040.007</v>
      </c>
      <c r="BF122" t="n">
        <v>8603.9</v>
      </c>
      <c r="BG122" t="n">
        <v>12165.422</v>
      </c>
      <c r="BH122" t="n">
        <v>7998.723</v>
      </c>
      <c r="BI122" t="n">
        <v>5953.811</v>
      </c>
      <c r="BJ122" t="n">
        <v>2491.776</v>
      </c>
      <c r="BK122" t="n">
        <v>2279.105</v>
      </c>
      <c r="BL122" t="n">
        <v>3167.775</v>
      </c>
      <c r="BM122" t="n">
        <v>1825.135</v>
      </c>
      <c r="BN122" t="n">
        <v>1703.819</v>
      </c>
      <c r="BO122" t="n">
        <v>637.101</v>
      </c>
      <c r="BP122" t="n">
        <v>668.41</v>
      </c>
      <c r="BQ122" t="n">
        <v>694.026</v>
      </c>
      <c r="BR122" t="n">
        <v>520.27</v>
      </c>
      <c r="BS122" t="n">
        <v>584.532</v>
      </c>
      <c r="BT122" t="n">
        <v>587.277</v>
      </c>
      <c r="BU122" t="n">
        <v>517.285</v>
      </c>
      <c r="BV122" t="n">
        <v>567.558</v>
      </c>
    </row>
    <row r="123">
      <c r="A123" t="inlineStr">
        <is>
          <t>Nemipterus hexodon</t>
        </is>
      </c>
      <c r="B123" t="inlineStr">
        <is>
          <t>Ornate threadfin bream</t>
        </is>
      </c>
      <c r="C123" t="inlineStr">
        <is>
          <t>Small demersals (&lt;30 cm)</t>
        </is>
      </c>
      <c r="D123" t="inlineStr">
        <is>
          <t>Perch-likes</t>
        </is>
      </c>
      <c r="E123" t="n">
        <v>263.998</v>
      </c>
      <c r="F123" t="n">
        <v>310.28</v>
      </c>
      <c r="G123" t="n">
        <v>356.561</v>
      </c>
      <c r="H123" t="n">
        <v>357.013</v>
      </c>
      <c r="I123" t="n">
        <v>402.527</v>
      </c>
      <c r="J123" t="n">
        <v>403.038</v>
      </c>
      <c r="K123" t="n">
        <v>418.131</v>
      </c>
      <c r="L123" t="n">
        <v>402.871</v>
      </c>
      <c r="M123" t="n">
        <v>418.257</v>
      </c>
      <c r="N123" t="n">
        <v>402.634</v>
      </c>
      <c r="O123" t="n">
        <v>551.345</v>
      </c>
      <c r="P123" t="n">
        <v>595.524</v>
      </c>
      <c r="Q123" t="n">
        <v>700.783</v>
      </c>
      <c r="R123" t="n">
        <v>812.175</v>
      </c>
      <c r="S123" t="n">
        <v>953.998</v>
      </c>
      <c r="T123" t="n">
        <v>1187.235</v>
      </c>
      <c r="U123" t="n">
        <v>1410.484</v>
      </c>
      <c r="V123" t="n">
        <v>1324.943</v>
      </c>
      <c r="W123" t="n">
        <v>1413.547</v>
      </c>
      <c r="X123" t="n">
        <v>1537.818</v>
      </c>
      <c r="Y123" t="n">
        <v>1744.97</v>
      </c>
      <c r="Z123" t="n">
        <v>1775.557</v>
      </c>
      <c r="AA123" t="n">
        <v>1614.803</v>
      </c>
      <c r="AB123" t="n">
        <v>1891.213</v>
      </c>
      <c r="AC123" t="n">
        <v>1549.222</v>
      </c>
      <c r="AD123" t="n">
        <v>1751.156</v>
      </c>
      <c r="AE123" t="n">
        <v>2166.664</v>
      </c>
      <c r="AF123" t="n">
        <v>1916.404</v>
      </c>
      <c r="AG123" t="n">
        <v>2468.644</v>
      </c>
      <c r="AH123" t="n">
        <v>2850.761</v>
      </c>
      <c r="AI123" t="n">
        <v>3060.575</v>
      </c>
      <c r="AJ123" t="n">
        <v>2971.737</v>
      </c>
      <c r="AK123" t="n">
        <v>2880.093</v>
      </c>
      <c r="AL123" t="n">
        <v>3756.296</v>
      </c>
      <c r="AM123" t="n">
        <v>3269.881</v>
      </c>
      <c r="AN123" t="n">
        <v>3349.072</v>
      </c>
      <c r="AO123" t="n">
        <v>5937.662</v>
      </c>
      <c r="AP123" t="n">
        <v>3073.067</v>
      </c>
      <c r="AQ123" t="n">
        <v>5612.906</v>
      </c>
      <c r="AR123" t="n">
        <v>5254.963</v>
      </c>
      <c r="AS123" t="n">
        <v>5237.477</v>
      </c>
      <c r="AT123" t="n">
        <v>5236.181</v>
      </c>
      <c r="AU123" t="n">
        <v>5347.283</v>
      </c>
      <c r="AV123" t="n">
        <v>5378.837</v>
      </c>
      <c r="AW123" t="n">
        <v>5588.428</v>
      </c>
      <c r="AX123" t="n">
        <v>6392.811</v>
      </c>
      <c r="AY123" t="n">
        <v>7282.776</v>
      </c>
      <c r="AZ123" t="n">
        <v>6543.652</v>
      </c>
      <c r="BA123" t="n">
        <v>5761.673</v>
      </c>
      <c r="BB123" t="n">
        <v>7394.985</v>
      </c>
      <c r="BC123" t="n">
        <v>5879.808</v>
      </c>
      <c r="BD123" t="n">
        <v>8657.048000000001</v>
      </c>
      <c r="BE123" t="n">
        <v>9840.548000000001</v>
      </c>
      <c r="BF123" t="n">
        <v>11018.247</v>
      </c>
      <c r="BG123" t="n">
        <v>10766.766</v>
      </c>
      <c r="BH123" t="n">
        <v>10899.228</v>
      </c>
      <c r="BI123" t="n">
        <v>8602.905000000001</v>
      </c>
      <c r="BJ123" t="n">
        <v>10601.107</v>
      </c>
      <c r="BK123" t="n">
        <v>10170.237</v>
      </c>
      <c r="BL123" t="n">
        <v>10628.195</v>
      </c>
      <c r="BM123" t="n">
        <v>10465.264</v>
      </c>
      <c r="BN123" t="n">
        <v>11676.13</v>
      </c>
      <c r="BO123" t="n">
        <v>11802.842</v>
      </c>
      <c r="BP123" t="n">
        <v>11436.532</v>
      </c>
      <c r="BQ123" t="n">
        <v>12323.215</v>
      </c>
      <c r="BR123" t="n">
        <v>13680.776</v>
      </c>
      <c r="BS123" t="n">
        <v>12923.318</v>
      </c>
      <c r="BT123" t="n">
        <v>11554.663</v>
      </c>
      <c r="BU123" t="n">
        <v>13148.214</v>
      </c>
      <c r="BV123" t="n">
        <v>14004.441</v>
      </c>
    </row>
    <row r="124">
      <c r="A124" t="inlineStr">
        <is>
          <t>Penaeus penicillatus</t>
        </is>
      </c>
      <c r="B124" t="inlineStr">
        <is>
          <t>Redtail prawn</t>
        </is>
      </c>
      <c r="C124" t="inlineStr">
        <is>
          <t>Shrimps</t>
        </is>
      </c>
      <c r="D124" t="inlineStr">
        <is>
          <t>Crustaceans</t>
        </is>
      </c>
      <c r="E124" t="n">
        <v>16.198</v>
      </c>
      <c r="F124" t="n">
        <v>109.436</v>
      </c>
      <c r="G124" t="n">
        <v>4.571</v>
      </c>
      <c r="H124" t="n">
        <v>199.913</v>
      </c>
      <c r="I124" t="n">
        <v>5.001</v>
      </c>
      <c r="J124" t="n">
        <v>70.399</v>
      </c>
      <c r="K124" t="n">
        <v>7.1</v>
      </c>
      <c r="L124" t="n">
        <v>7.789</v>
      </c>
      <c r="M124" t="n">
        <v>8.601000000000001</v>
      </c>
      <c r="N124" t="n">
        <v>32.597</v>
      </c>
      <c r="O124" t="n">
        <v>10.571</v>
      </c>
      <c r="P124" t="n">
        <v>26.37</v>
      </c>
      <c r="Q124" t="n">
        <v>13.826</v>
      </c>
      <c r="R124" t="n">
        <v>14.812</v>
      </c>
      <c r="S124" t="n">
        <v>148.158</v>
      </c>
      <c r="T124" t="n">
        <v>29.256</v>
      </c>
      <c r="U124" t="n">
        <v>20.605</v>
      </c>
      <c r="V124" t="n">
        <v>22.708</v>
      </c>
      <c r="W124" t="n">
        <v>26.022</v>
      </c>
      <c r="X124" t="n">
        <v>28.967</v>
      </c>
      <c r="Y124" t="n">
        <v>284.901</v>
      </c>
      <c r="Z124" t="n">
        <v>884.779</v>
      </c>
      <c r="AA124" t="n">
        <v>1397.071</v>
      </c>
      <c r="AB124" t="n">
        <v>1129.069</v>
      </c>
      <c r="AC124" t="n">
        <v>2284.47</v>
      </c>
      <c r="AD124" t="n">
        <v>7485.119</v>
      </c>
      <c r="AE124" t="n">
        <v>6767.837</v>
      </c>
      <c r="AF124" t="n">
        <v>4306.877</v>
      </c>
      <c r="AG124" t="n">
        <v>4954.636</v>
      </c>
      <c r="AH124" t="n">
        <v>10501.566</v>
      </c>
      <c r="AI124" t="n">
        <v>13096.174</v>
      </c>
      <c r="AJ124" t="n">
        <v>16536.534</v>
      </c>
      <c r="AK124" t="n">
        <v>17394.663</v>
      </c>
      <c r="AL124" t="n">
        <v>24150.736</v>
      </c>
      <c r="AM124" t="n">
        <v>17628.252</v>
      </c>
      <c r="AN124" t="n">
        <v>17013.31</v>
      </c>
      <c r="AO124" t="n">
        <v>15352.516</v>
      </c>
      <c r="AP124" t="n">
        <v>17908.649</v>
      </c>
      <c r="AQ124" t="n">
        <v>16792.772</v>
      </c>
      <c r="AR124" t="n">
        <v>9626.562</v>
      </c>
      <c r="AS124" t="n">
        <v>10470.583</v>
      </c>
      <c r="AT124" t="n">
        <v>10547.398</v>
      </c>
      <c r="AU124" t="n">
        <v>10679.539</v>
      </c>
      <c r="AV124" t="n">
        <v>9856.424999999999</v>
      </c>
      <c r="AW124" t="n">
        <v>10785.967</v>
      </c>
      <c r="AX124" t="n">
        <v>17348.369</v>
      </c>
      <c r="AY124" t="n">
        <v>32057.929</v>
      </c>
      <c r="AZ124" t="n">
        <v>13344.989</v>
      </c>
      <c r="BA124" t="n">
        <v>3112.582</v>
      </c>
      <c r="BB124" t="n">
        <v>1625.694</v>
      </c>
      <c r="BC124" t="n">
        <v>1273.106</v>
      </c>
      <c r="BD124" t="n">
        <v>1285.676</v>
      </c>
      <c r="BE124" t="n">
        <v>1955.169</v>
      </c>
      <c r="BF124" t="n">
        <v>1757.216</v>
      </c>
      <c r="BG124" t="n">
        <v>1184.217</v>
      </c>
      <c r="BH124" t="n">
        <v>1374.455</v>
      </c>
      <c r="BI124" t="n">
        <v>2256.924</v>
      </c>
      <c r="BJ124" t="n">
        <v>1950.632</v>
      </c>
      <c r="BK124" t="n">
        <v>1197.444</v>
      </c>
      <c r="BL124" t="n">
        <v>461.89</v>
      </c>
      <c r="BM124" t="n">
        <v>323.555</v>
      </c>
      <c r="BN124" t="n">
        <v>317.032</v>
      </c>
      <c r="BO124" t="n">
        <v>328.595</v>
      </c>
      <c r="BP124" t="n">
        <v>351.638</v>
      </c>
      <c r="BQ124" t="n">
        <v>341.941</v>
      </c>
      <c r="BR124" t="n">
        <v>256.797</v>
      </c>
      <c r="BS124" t="n">
        <v>302.723</v>
      </c>
      <c r="BT124" t="n">
        <v>288.711</v>
      </c>
      <c r="BU124" t="n">
        <v>280.358</v>
      </c>
      <c r="BV124" t="n">
        <v>248.942</v>
      </c>
    </row>
    <row r="125">
      <c r="A125" t="inlineStr">
        <is>
          <t>Thunnus obesus</t>
        </is>
      </c>
      <c r="B125" t="inlineStr">
        <is>
          <t>Bigeye tuna</t>
        </is>
      </c>
      <c r="C125" t="inlineStr">
        <is>
          <t>Large pelagics (&gt;=90 cm)</t>
        </is>
      </c>
      <c r="D125" t="inlineStr">
        <is>
          <t>Tuna &amp; billfishes</t>
        </is>
      </c>
      <c r="E125" t="n">
        <v>728.384</v>
      </c>
      <c r="F125" t="n">
        <v>903.992</v>
      </c>
      <c r="G125" t="n">
        <v>924.352</v>
      </c>
      <c r="H125" t="n">
        <v>1064.257</v>
      </c>
      <c r="I125" t="n">
        <v>1337.741</v>
      </c>
      <c r="J125" t="n">
        <v>1262.957</v>
      </c>
      <c r="K125" t="n">
        <v>1380.661</v>
      </c>
      <c r="L125" t="n">
        <v>1293.99</v>
      </c>
      <c r="M125" t="n">
        <v>1852.183</v>
      </c>
      <c r="N125" t="n">
        <v>1753.31</v>
      </c>
      <c r="O125" t="n">
        <v>2013.818</v>
      </c>
      <c r="P125" t="n">
        <v>2148.905</v>
      </c>
      <c r="Q125" t="n">
        <v>2421.473</v>
      </c>
      <c r="R125" t="n">
        <v>2823.183</v>
      </c>
      <c r="S125" t="n">
        <v>2784.58</v>
      </c>
      <c r="T125" t="n">
        <v>3300.531</v>
      </c>
      <c r="U125" t="n">
        <v>3386.211</v>
      </c>
      <c r="V125" t="n">
        <v>4937.392</v>
      </c>
      <c r="W125" t="n">
        <v>4891.536</v>
      </c>
      <c r="X125" t="n">
        <v>5304.614</v>
      </c>
      <c r="Y125" t="n">
        <v>4793.511</v>
      </c>
      <c r="Z125" t="n">
        <v>5520.749</v>
      </c>
      <c r="AA125" t="n">
        <v>6090.677</v>
      </c>
      <c r="AB125" t="n">
        <v>7523.142</v>
      </c>
      <c r="AC125" t="n">
        <v>6888.905</v>
      </c>
      <c r="AD125" t="n">
        <v>8696.727000000001</v>
      </c>
      <c r="AE125" t="n">
        <v>7704.047</v>
      </c>
      <c r="AF125" t="n">
        <v>6819.541</v>
      </c>
      <c r="AG125" t="n">
        <v>6439.552</v>
      </c>
      <c r="AH125" t="n">
        <v>6069.96</v>
      </c>
      <c r="AI125" t="n">
        <v>5913.628</v>
      </c>
      <c r="AJ125" t="n">
        <v>6174.883</v>
      </c>
      <c r="AK125" t="n">
        <v>4639.189</v>
      </c>
      <c r="AL125" t="n">
        <v>5282.792</v>
      </c>
      <c r="AM125" t="n">
        <v>5821.565</v>
      </c>
      <c r="AN125" t="n">
        <v>5714.433</v>
      </c>
      <c r="AO125" t="n">
        <v>5306.636</v>
      </c>
      <c r="AP125" t="n">
        <v>5197.969</v>
      </c>
      <c r="AQ125" t="n">
        <v>5215.346</v>
      </c>
      <c r="AR125" t="n">
        <v>5382.218</v>
      </c>
      <c r="AS125" t="n">
        <v>5367.902</v>
      </c>
      <c r="AT125" t="n">
        <v>6156.622</v>
      </c>
      <c r="AU125" t="n">
        <v>4660.755</v>
      </c>
      <c r="AV125" t="n">
        <v>4148.775</v>
      </c>
      <c r="AW125" t="n">
        <v>5514.513</v>
      </c>
      <c r="AX125" t="n">
        <v>5276.509</v>
      </c>
      <c r="AY125" t="n">
        <v>5136.581</v>
      </c>
      <c r="AZ125" t="n">
        <v>6322.178</v>
      </c>
      <c r="BA125" t="n">
        <v>6440.828</v>
      </c>
      <c r="BB125" t="n">
        <v>6270.771</v>
      </c>
      <c r="BC125" t="n">
        <v>8561.626</v>
      </c>
      <c r="BD125" t="n">
        <v>8366.108</v>
      </c>
      <c r="BE125" t="n">
        <v>6822.487</v>
      </c>
      <c r="BF125" t="n">
        <v>8144.554</v>
      </c>
      <c r="BG125" t="n">
        <v>7961.245</v>
      </c>
      <c r="BH125" t="n">
        <v>8398.469999999999</v>
      </c>
      <c r="BI125" t="n">
        <v>10928.814</v>
      </c>
      <c r="BJ125" t="n">
        <v>8798.231</v>
      </c>
      <c r="BK125" t="n">
        <v>8502.835999999999</v>
      </c>
      <c r="BL125" t="n">
        <v>8867.633</v>
      </c>
      <c r="BM125" t="n">
        <v>8215.713</v>
      </c>
      <c r="BN125" t="n">
        <v>2471.668</v>
      </c>
      <c r="BO125" t="n">
        <v>2585.071</v>
      </c>
      <c r="BP125" t="n">
        <v>2205.263</v>
      </c>
      <c r="BQ125" t="n">
        <v>2242.951</v>
      </c>
      <c r="BR125" t="n">
        <v>2356.949</v>
      </c>
      <c r="BS125" t="n">
        <v>2611.66</v>
      </c>
      <c r="BT125" t="n">
        <v>2549.036</v>
      </c>
      <c r="BU125" t="n">
        <v>2643.283</v>
      </c>
      <c r="BV125" t="n">
        <v>3001.331</v>
      </c>
    </row>
    <row r="126">
      <c r="A126" t="inlineStr">
        <is>
          <t>Muraenesocidae</t>
        </is>
      </c>
      <c r="B126" t="inlineStr">
        <is>
          <t>Pike congers</t>
        </is>
      </c>
      <c r="C126" t="inlineStr">
        <is>
          <t>Large demersals (&gt;=90 cm)</t>
        </is>
      </c>
      <c r="D126" t="inlineStr">
        <is>
          <t>Other fishes &amp; inverts</t>
        </is>
      </c>
      <c r="E126" t="n">
        <v>1460.625</v>
      </c>
      <c r="F126" t="n">
        <v>1462.447</v>
      </c>
      <c r="G126" t="n">
        <v>1708.327</v>
      </c>
      <c r="H126" t="n">
        <v>1710.477</v>
      </c>
      <c r="I126" t="n">
        <v>2446.627</v>
      </c>
      <c r="J126" t="n">
        <v>3307.14</v>
      </c>
      <c r="K126" t="n">
        <v>3188.715</v>
      </c>
      <c r="L126" t="n">
        <v>2824.399</v>
      </c>
      <c r="M126" t="n">
        <v>2828.032</v>
      </c>
      <c r="N126" t="n">
        <v>2708.568</v>
      </c>
      <c r="O126" t="n">
        <v>3081.912</v>
      </c>
      <c r="P126" t="n">
        <v>3209.365</v>
      </c>
      <c r="Q126" t="n">
        <v>3584.361</v>
      </c>
      <c r="R126" t="n">
        <v>3094.028</v>
      </c>
      <c r="S126" t="n">
        <v>3593.81</v>
      </c>
      <c r="T126" t="n">
        <v>4094.929</v>
      </c>
      <c r="U126" t="n">
        <v>4473.143</v>
      </c>
      <c r="V126" t="n">
        <v>4230.284</v>
      </c>
      <c r="W126" t="n">
        <v>6478.535</v>
      </c>
      <c r="X126" t="n">
        <v>6487.273</v>
      </c>
      <c r="Y126" t="n">
        <v>5246.817</v>
      </c>
      <c r="Z126" t="n">
        <v>4503.389</v>
      </c>
      <c r="AA126" t="n">
        <v>4634.806</v>
      </c>
      <c r="AB126" t="n">
        <v>3637.67</v>
      </c>
      <c r="AC126" t="n">
        <v>4441.56</v>
      </c>
      <c r="AD126" t="n">
        <v>5329.448</v>
      </c>
      <c r="AE126" t="n">
        <v>6035.488</v>
      </c>
      <c r="AF126" t="n">
        <v>6432.003</v>
      </c>
      <c r="AG126" t="n">
        <v>7765.516</v>
      </c>
      <c r="AH126" t="n">
        <v>6485.811</v>
      </c>
      <c r="AI126" t="n">
        <v>5777.545</v>
      </c>
      <c r="AJ126" t="n">
        <v>6436.747</v>
      </c>
      <c r="AK126" t="n">
        <v>5763.43</v>
      </c>
      <c r="AL126" t="n">
        <v>5938.636</v>
      </c>
      <c r="AM126" t="n">
        <v>7374.511</v>
      </c>
      <c r="AN126" t="n">
        <v>6680.912</v>
      </c>
      <c r="AO126" t="n">
        <v>8118.596</v>
      </c>
      <c r="AP126" t="n">
        <v>8756.582</v>
      </c>
      <c r="AQ126" t="n">
        <v>6895.532</v>
      </c>
      <c r="AR126" t="n">
        <v>7958.726</v>
      </c>
      <c r="AS126" t="n">
        <v>6691.52</v>
      </c>
      <c r="AT126" t="n">
        <v>8538.495999999999</v>
      </c>
      <c r="AU126" t="n">
        <v>11072.615</v>
      </c>
      <c r="AV126" t="n">
        <v>6062.329</v>
      </c>
      <c r="AW126" t="n">
        <v>6065.175</v>
      </c>
      <c r="AX126" t="n">
        <v>5803.312</v>
      </c>
      <c r="AY126" t="n">
        <v>6245.659</v>
      </c>
      <c r="AZ126" t="n">
        <v>5524.062</v>
      </c>
      <c r="BA126" t="n">
        <v>4662.057</v>
      </c>
      <c r="BB126" t="n">
        <v>3234.896</v>
      </c>
      <c r="BC126" t="n">
        <v>3996.049</v>
      </c>
      <c r="BD126" t="n">
        <v>4376.625</v>
      </c>
      <c r="BE126" t="n">
        <v>4281.481</v>
      </c>
      <c r="BF126" t="n">
        <v>3996.049</v>
      </c>
      <c r="BG126" t="n">
        <v>4186.337</v>
      </c>
      <c r="BH126" t="n">
        <v>4053.135</v>
      </c>
      <c r="BI126" t="n">
        <v>4321.961</v>
      </c>
      <c r="BJ126" t="n">
        <v>3900.905</v>
      </c>
      <c r="BK126" t="n">
        <v>3996.049</v>
      </c>
      <c r="BL126" t="n">
        <v>4015.077</v>
      </c>
      <c r="BM126" t="n">
        <v>4243.423</v>
      </c>
      <c r="BN126" t="n">
        <v>4313.845</v>
      </c>
      <c r="BO126" t="n">
        <v>3920.456</v>
      </c>
      <c r="BP126" t="n">
        <v>4262.282</v>
      </c>
      <c r="BQ126" t="n">
        <v>4030.277</v>
      </c>
      <c r="BR126" t="n">
        <v>3639.695</v>
      </c>
      <c r="BS126" t="n">
        <v>3579.432</v>
      </c>
      <c r="BT126" t="n">
        <v>3199.931</v>
      </c>
      <c r="BU126" t="n">
        <v>3118.794</v>
      </c>
      <c r="BV126" t="n">
        <v>3084.291</v>
      </c>
    </row>
    <row r="127">
      <c r="A127" t="inlineStr">
        <is>
          <t>Dussumieria acuta</t>
        </is>
      </c>
      <c r="B127" t="inlineStr">
        <is>
          <t>Rainbow sardine</t>
        </is>
      </c>
      <c r="C127" t="inlineStr">
        <is>
          <t>Small pelagics (&lt;30 cm)</t>
        </is>
      </c>
      <c r="D127" t="inlineStr">
        <is>
          <t>Herring-likes</t>
        </is>
      </c>
      <c r="E127" t="n">
        <v>181.431</v>
      </c>
      <c r="F127" t="n">
        <v>182.592</v>
      </c>
      <c r="G127" t="n">
        <v>183.752</v>
      </c>
      <c r="H127" t="n">
        <v>184.046</v>
      </c>
      <c r="I127" t="n">
        <v>184.707</v>
      </c>
      <c r="J127" t="n">
        <v>185.039</v>
      </c>
      <c r="K127" t="n">
        <v>243.069</v>
      </c>
      <c r="L127" t="n">
        <v>184.931</v>
      </c>
      <c r="M127" t="n">
        <v>243.151</v>
      </c>
      <c r="N127" t="n">
        <v>184.777</v>
      </c>
      <c r="O127" t="n">
        <v>185.026</v>
      </c>
      <c r="P127" t="n">
        <v>379.255</v>
      </c>
      <c r="Q127" t="n">
        <v>580.9059999999999</v>
      </c>
      <c r="R127" t="n">
        <v>734.975</v>
      </c>
      <c r="S127" t="n">
        <v>913.715</v>
      </c>
      <c r="T127" t="n">
        <v>1225.886</v>
      </c>
      <c r="U127" t="n">
        <v>1549.117</v>
      </c>
      <c r="V127" t="n">
        <v>1489.638</v>
      </c>
      <c r="W127" t="n">
        <v>1560.073</v>
      </c>
      <c r="X127" t="n">
        <v>1726.384</v>
      </c>
      <c r="Y127" t="n">
        <v>1882.034</v>
      </c>
      <c r="Z127" t="n">
        <v>1975.698</v>
      </c>
      <c r="AA127" t="n">
        <v>1785.787</v>
      </c>
      <c r="AB127" t="n">
        <v>2064.063</v>
      </c>
      <c r="AC127" t="n">
        <v>1979.691</v>
      </c>
      <c r="AD127" t="n">
        <v>2204.661</v>
      </c>
      <c r="AE127" t="n">
        <v>3645.077</v>
      </c>
      <c r="AF127" t="n">
        <v>2996.868</v>
      </c>
      <c r="AG127" t="n">
        <v>3262.895</v>
      </c>
      <c r="AH127" t="n">
        <v>4184.072</v>
      </c>
      <c r="AI127" t="n">
        <v>3887.988</v>
      </c>
      <c r="AJ127" t="n">
        <v>4696.054</v>
      </c>
      <c r="AK127" t="n">
        <v>5526.232</v>
      </c>
      <c r="AL127" t="n">
        <v>5481.553</v>
      </c>
      <c r="AM127" t="n">
        <v>5066.203</v>
      </c>
      <c r="AN127" t="n">
        <v>5219.827</v>
      </c>
      <c r="AO127" t="n">
        <v>5454.854</v>
      </c>
      <c r="AP127" t="n">
        <v>5769.747</v>
      </c>
      <c r="AQ127" t="n">
        <v>6941.999</v>
      </c>
      <c r="AR127" t="n">
        <v>6477.346</v>
      </c>
      <c r="AS127" t="n">
        <v>6575.009</v>
      </c>
      <c r="AT127" t="n">
        <v>6503.997</v>
      </c>
      <c r="AU127" t="n">
        <v>5952.327</v>
      </c>
      <c r="AV127" t="n">
        <v>8169.325</v>
      </c>
      <c r="AW127" t="n">
        <v>7979.297</v>
      </c>
      <c r="AX127" t="n">
        <v>8428.334999999999</v>
      </c>
      <c r="AY127" t="n">
        <v>9221.579</v>
      </c>
      <c r="AZ127" t="n">
        <v>6167.249</v>
      </c>
      <c r="BA127" t="n">
        <v>8572.757</v>
      </c>
      <c r="BB127" t="n">
        <v>8141.22</v>
      </c>
      <c r="BC127" t="n">
        <v>8762.002</v>
      </c>
      <c r="BD127" t="n">
        <v>5500.529</v>
      </c>
      <c r="BE127" t="n">
        <v>5850.202</v>
      </c>
      <c r="BF127" t="n">
        <v>4521.539</v>
      </c>
      <c r="BG127" t="n">
        <v>6872.599</v>
      </c>
      <c r="BH127" t="n">
        <v>10701.924</v>
      </c>
      <c r="BI127" t="n">
        <v>8713.157999999999</v>
      </c>
      <c r="BJ127" t="n">
        <v>8368.867</v>
      </c>
      <c r="BK127" t="n">
        <v>6332.614</v>
      </c>
      <c r="BL127" t="n">
        <v>6223.852</v>
      </c>
      <c r="BM127" t="n">
        <v>7078.775</v>
      </c>
      <c r="BN127" t="n">
        <v>7329.509</v>
      </c>
      <c r="BO127" t="n">
        <v>7409.051</v>
      </c>
      <c r="BP127" t="n">
        <v>7526.53</v>
      </c>
      <c r="BQ127" t="n">
        <v>8110.068</v>
      </c>
      <c r="BR127" t="n">
        <v>9092.807000000001</v>
      </c>
      <c r="BS127" t="n">
        <v>8589.370000000001</v>
      </c>
      <c r="BT127" t="n">
        <v>7885.376</v>
      </c>
      <c r="BU127" t="n">
        <v>8738.844999999999</v>
      </c>
      <c r="BV127" t="n">
        <v>9498.831</v>
      </c>
    </row>
    <row r="128">
      <c r="A128" t="inlineStr">
        <is>
          <t>Pennahia argentata</t>
        </is>
      </c>
      <c r="B128" t="inlineStr">
        <is>
          <t>Silver croaker</t>
        </is>
      </c>
      <c r="C128" t="inlineStr">
        <is>
          <t>Medium benthopelagics (30 - 89 cm)</t>
        </is>
      </c>
      <c r="D128" t="inlineStr">
        <is>
          <t>Perch-likes</t>
        </is>
      </c>
      <c r="E128" t="n">
        <v>2005.306</v>
      </c>
      <c r="F128" t="n">
        <v>2662.777</v>
      </c>
      <c r="G128" t="n">
        <v>3597.989</v>
      </c>
      <c r="H128" t="n">
        <v>3697.651</v>
      </c>
      <c r="I128" t="n">
        <v>3649.062</v>
      </c>
      <c r="J128" t="n">
        <v>4340.303</v>
      </c>
      <c r="K128" t="n">
        <v>6056.742</v>
      </c>
      <c r="L128" t="n">
        <v>8158.136</v>
      </c>
      <c r="M128" t="n">
        <v>6651.688</v>
      </c>
      <c r="N128" t="n">
        <v>4389.949</v>
      </c>
      <c r="O128" t="n">
        <v>5635.504</v>
      </c>
      <c r="P128" t="n">
        <v>6808.856</v>
      </c>
      <c r="Q128" t="n">
        <v>7215.075</v>
      </c>
      <c r="R128" t="n">
        <v>7203.742</v>
      </c>
      <c r="S128" t="n">
        <v>7187.538</v>
      </c>
      <c r="T128" t="n">
        <v>6603.607</v>
      </c>
      <c r="U128" t="n">
        <v>5507.181</v>
      </c>
      <c r="V128" t="n">
        <v>4668.548</v>
      </c>
      <c r="W128" t="n">
        <v>4525.014</v>
      </c>
      <c r="X128" t="n">
        <v>3312.855</v>
      </c>
      <c r="Y128" t="n">
        <v>3500.781</v>
      </c>
      <c r="Z128" t="n">
        <v>4342.533</v>
      </c>
      <c r="AA128" t="n">
        <v>2884.957</v>
      </c>
      <c r="AB128" t="n">
        <v>2712.556</v>
      </c>
      <c r="AC128" t="n">
        <v>3219.209</v>
      </c>
      <c r="AD128" t="n">
        <v>2833.228</v>
      </c>
      <c r="AE128" t="n">
        <v>2487.169</v>
      </c>
      <c r="AF128" t="n">
        <v>2008.628</v>
      </c>
      <c r="AG128" t="n">
        <v>2826.273</v>
      </c>
      <c r="AH128" t="n">
        <v>2415.911</v>
      </c>
      <c r="AI128" t="n">
        <v>2868.131</v>
      </c>
      <c r="AJ128" t="n">
        <v>2737.288</v>
      </c>
      <c r="AK128" t="n">
        <v>2359.995</v>
      </c>
      <c r="AL128" t="n">
        <v>3379.543</v>
      </c>
      <c r="AM128" t="n">
        <v>3241.853</v>
      </c>
      <c r="AN128" t="n">
        <v>2669.56</v>
      </c>
      <c r="AO128" t="n">
        <v>3075.398</v>
      </c>
      <c r="AP128" t="n">
        <v>3113.104</v>
      </c>
      <c r="AQ128" t="n">
        <v>4379.386</v>
      </c>
      <c r="AR128" t="n">
        <v>3935.791</v>
      </c>
      <c r="AS128" t="n">
        <v>2524.11</v>
      </c>
      <c r="AT128" t="n">
        <v>1812.054</v>
      </c>
      <c r="AU128" t="n">
        <v>2835.641</v>
      </c>
      <c r="AV128" t="n">
        <v>3317.309</v>
      </c>
      <c r="AW128" t="n">
        <v>4923.639</v>
      </c>
      <c r="AX128" t="n">
        <v>4074.55</v>
      </c>
      <c r="AY128" t="n">
        <v>5862.995</v>
      </c>
      <c r="AZ128" t="n">
        <v>3514.252</v>
      </c>
      <c r="BA128" t="n">
        <v>2698.253</v>
      </c>
      <c r="BB128" t="n">
        <v>2718.909</v>
      </c>
      <c r="BC128" t="n">
        <v>1872.502</v>
      </c>
      <c r="BD128" t="n">
        <v>1774.561</v>
      </c>
      <c r="BE128" t="n">
        <v>1511.798</v>
      </c>
      <c r="BF128" t="n">
        <v>5697.228</v>
      </c>
      <c r="BG128" t="n">
        <v>5535.359</v>
      </c>
      <c r="BH128" t="n">
        <v>5194.59</v>
      </c>
      <c r="BI128" t="n">
        <v>6358.536</v>
      </c>
      <c r="BJ128" t="n">
        <v>6005.884</v>
      </c>
      <c r="BK128" t="n">
        <v>6909.573</v>
      </c>
      <c r="BL128" t="n">
        <v>6908.22</v>
      </c>
      <c r="BM128" t="n">
        <v>7663.127</v>
      </c>
      <c r="BN128" t="n">
        <v>7271.231</v>
      </c>
      <c r="BO128" t="n">
        <v>7991.327</v>
      </c>
      <c r="BP128" t="n">
        <v>7899.338</v>
      </c>
      <c r="BQ128" t="n">
        <v>7179.933</v>
      </c>
      <c r="BR128" t="n">
        <v>7090.109</v>
      </c>
      <c r="BS128" t="n">
        <v>6692.722</v>
      </c>
      <c r="BT128" t="n">
        <v>6185.755</v>
      </c>
      <c r="BU128" t="n">
        <v>6257.005</v>
      </c>
      <c r="BV128" t="n">
        <v>5895.484</v>
      </c>
    </row>
    <row r="129">
      <c r="A129" t="inlineStr">
        <is>
          <t>Stephanolepis cirrhifer</t>
        </is>
      </c>
      <c r="B129" t="inlineStr">
        <is>
          <t>Threadsail filefish</t>
        </is>
      </c>
      <c r="C129" t="inlineStr">
        <is>
          <t>Small demersals (&lt;30 cm)</t>
        </is>
      </c>
      <c r="D129" t="inlineStr">
        <is>
          <t>Other fishes &amp; inverts</t>
        </is>
      </c>
      <c r="E129" t="n">
        <v>2.439</v>
      </c>
      <c r="F129" t="n">
        <v>0</v>
      </c>
      <c r="G129" t="n">
        <v>0</v>
      </c>
      <c r="H129" t="n">
        <v>0</v>
      </c>
      <c r="I129" t="n">
        <v>49.657</v>
      </c>
      <c r="J129" t="n">
        <v>2.478</v>
      </c>
      <c r="K129" t="n">
        <v>0</v>
      </c>
      <c r="L129" t="n">
        <v>0</v>
      </c>
      <c r="M129" t="n">
        <v>0</v>
      </c>
      <c r="N129" t="n">
        <v>0</v>
      </c>
      <c r="O129" t="n">
        <v>19.608</v>
      </c>
      <c r="P129" t="n">
        <v>24.72</v>
      </c>
      <c r="Q129" t="n">
        <v>0</v>
      </c>
      <c r="R129" t="n">
        <v>0</v>
      </c>
      <c r="S129" t="n">
        <v>0</v>
      </c>
      <c r="T129" t="n">
        <v>0</v>
      </c>
      <c r="U129" t="n">
        <v>4.583</v>
      </c>
      <c r="V129" t="n">
        <v>0</v>
      </c>
      <c r="W129" t="n">
        <v>0</v>
      </c>
      <c r="X129" t="n">
        <v>0</v>
      </c>
      <c r="Y129" t="n">
        <v>0</v>
      </c>
      <c r="Z129" t="n">
        <v>90.79900000000001</v>
      </c>
      <c r="AA129" t="n">
        <v>54.132</v>
      </c>
      <c r="AB129" t="n">
        <v>302.54</v>
      </c>
      <c r="AC129" t="n">
        <v>2325.359</v>
      </c>
      <c r="AD129" t="n">
        <v>12988.964</v>
      </c>
      <c r="AE129" t="n">
        <v>15901.073</v>
      </c>
      <c r="AF129" t="n">
        <v>16104.476</v>
      </c>
      <c r="AG129" t="n">
        <v>18826.882</v>
      </c>
      <c r="AH129" t="n">
        <v>19367.811</v>
      </c>
      <c r="AI129" t="n">
        <v>16696.677</v>
      </c>
      <c r="AJ129" t="n">
        <v>13019.235</v>
      </c>
      <c r="AK129" t="n">
        <v>14515.23</v>
      </c>
      <c r="AL129" t="n">
        <v>14506.566</v>
      </c>
      <c r="AM129" t="n">
        <v>14880.672</v>
      </c>
      <c r="AN129" t="n">
        <v>17301.881</v>
      </c>
      <c r="AO129" t="n">
        <v>20424.758</v>
      </c>
      <c r="AP129" t="n">
        <v>13644.401</v>
      </c>
      <c r="AQ129" t="n">
        <v>22630.686</v>
      </c>
      <c r="AR129" t="n">
        <v>18158.977</v>
      </c>
      <c r="AS129" t="n">
        <v>28748.719</v>
      </c>
      <c r="AT129" t="n">
        <v>11334.792</v>
      </c>
      <c r="AU129" t="n">
        <v>7357.227</v>
      </c>
      <c r="AV129" t="n">
        <v>1777.339</v>
      </c>
      <c r="AW129" t="n">
        <v>869.921</v>
      </c>
      <c r="AX129" t="n">
        <v>353.466</v>
      </c>
      <c r="AY129" t="n">
        <v>461.895</v>
      </c>
      <c r="AZ129" t="n">
        <v>3807.414</v>
      </c>
      <c r="BA129" t="n">
        <v>2575.141</v>
      </c>
      <c r="BB129" t="n">
        <v>587.88</v>
      </c>
      <c r="BC129" t="n">
        <v>511.149</v>
      </c>
      <c r="BD129" t="n">
        <v>282.414</v>
      </c>
      <c r="BE129" t="n">
        <v>161.877</v>
      </c>
      <c r="BF129" t="n">
        <v>167.093</v>
      </c>
      <c r="BG129" t="n">
        <v>137.248</v>
      </c>
      <c r="BH129" t="n">
        <v>112.502</v>
      </c>
      <c r="BI129" t="n">
        <v>105.246</v>
      </c>
      <c r="BJ129" t="n">
        <v>273.377</v>
      </c>
      <c r="BK129" t="n">
        <v>241.397</v>
      </c>
      <c r="BL129" t="n">
        <v>980.341</v>
      </c>
      <c r="BM129" t="n">
        <v>449.349</v>
      </c>
      <c r="BN129" t="n">
        <v>223.088</v>
      </c>
      <c r="BO129" t="n">
        <v>200.523</v>
      </c>
      <c r="BP129" t="n">
        <v>189.501</v>
      </c>
      <c r="BQ129" t="n">
        <v>204.439</v>
      </c>
      <c r="BR129" t="n">
        <v>162.759</v>
      </c>
      <c r="BS129" t="n">
        <v>216.243</v>
      </c>
      <c r="BT129" t="n">
        <v>204.11</v>
      </c>
      <c r="BU129" t="n">
        <v>207.317</v>
      </c>
      <c r="BV129" t="n">
        <v>193.577</v>
      </c>
    </row>
    <row r="130">
      <c r="A130" t="inlineStr">
        <is>
          <t>Stromateidae</t>
        </is>
      </c>
      <c r="B130" t="inlineStr">
        <is>
          <t>Butterfishes</t>
        </is>
      </c>
      <c r="C130" t="inlineStr">
        <is>
          <t>Small benthopelagics (&lt;30 cm)</t>
        </is>
      </c>
      <c r="D130" t="inlineStr">
        <is>
          <t>Perch-likes</t>
        </is>
      </c>
      <c r="E130" t="n">
        <v>1225.694</v>
      </c>
      <c r="F130" t="n">
        <v>1274.125</v>
      </c>
      <c r="G130" t="n">
        <v>1226.807</v>
      </c>
      <c r="H130" t="n">
        <v>1235.161</v>
      </c>
      <c r="I130" t="n">
        <v>891.801</v>
      </c>
      <c r="J130" t="n">
        <v>1108.63</v>
      </c>
      <c r="K130" t="n">
        <v>1174.778</v>
      </c>
      <c r="L130" t="n">
        <v>1751.319</v>
      </c>
      <c r="M130" t="n">
        <v>2286.721</v>
      </c>
      <c r="N130" t="n">
        <v>2278.997</v>
      </c>
      <c r="O130" t="n">
        <v>2446.488</v>
      </c>
      <c r="P130" t="n">
        <v>3000.476</v>
      </c>
      <c r="Q130" t="n">
        <v>4441.072</v>
      </c>
      <c r="R130" t="n">
        <v>3892.547</v>
      </c>
      <c r="S130" t="n">
        <v>1716.942</v>
      </c>
      <c r="T130" t="n">
        <v>3860.879</v>
      </c>
      <c r="U130" t="n">
        <v>4282.399</v>
      </c>
      <c r="V130" t="n">
        <v>4518.944</v>
      </c>
      <c r="W130" t="n">
        <v>4631.26</v>
      </c>
      <c r="X130" t="n">
        <v>4014.967</v>
      </c>
      <c r="Y130" t="n">
        <v>3876.017</v>
      </c>
      <c r="Z130" t="n">
        <v>3707.047</v>
      </c>
      <c r="AA130" t="n">
        <v>4254.737</v>
      </c>
      <c r="AB130" t="n">
        <v>3542.859</v>
      </c>
      <c r="AC130" t="n">
        <v>4255.24</v>
      </c>
      <c r="AD130" t="n">
        <v>4017.851</v>
      </c>
      <c r="AE130" t="n">
        <v>4470.601</v>
      </c>
      <c r="AF130" t="n">
        <v>4666.488</v>
      </c>
      <c r="AG130" t="n">
        <v>6824.135</v>
      </c>
      <c r="AH130" t="n">
        <v>7041.786</v>
      </c>
      <c r="AI130" t="n">
        <v>6518.912</v>
      </c>
      <c r="AJ130" t="n">
        <v>6987.145</v>
      </c>
      <c r="AK130" t="n">
        <v>6351.713</v>
      </c>
      <c r="AL130" t="n">
        <v>5913.408</v>
      </c>
      <c r="AM130" t="n">
        <v>6740.377</v>
      </c>
      <c r="AN130" t="n">
        <v>7432.988</v>
      </c>
      <c r="AO130" t="n">
        <v>7985.556</v>
      </c>
      <c r="AP130" t="n">
        <v>7400.241</v>
      </c>
      <c r="AQ130" t="n">
        <v>12473.378</v>
      </c>
      <c r="AR130" t="n">
        <v>7354.828</v>
      </c>
      <c r="AS130" t="n">
        <v>7470.633</v>
      </c>
      <c r="AT130" t="n">
        <v>8007.741</v>
      </c>
      <c r="AU130" t="n">
        <v>8546.996999999999</v>
      </c>
      <c r="AV130" t="n">
        <v>5783.896</v>
      </c>
      <c r="AW130" t="n">
        <v>4980.012</v>
      </c>
      <c r="AX130" t="n">
        <v>5254.625</v>
      </c>
      <c r="AY130" t="n">
        <v>4752.819</v>
      </c>
      <c r="AZ130" t="n">
        <v>4368.06</v>
      </c>
      <c r="BA130" t="n">
        <v>4727.727</v>
      </c>
      <c r="BB130" t="n">
        <v>3378.125</v>
      </c>
      <c r="BC130" t="n">
        <v>4151.634</v>
      </c>
      <c r="BD130" t="n">
        <v>4578.36</v>
      </c>
      <c r="BE130" t="n">
        <v>4581.084</v>
      </c>
      <c r="BF130" t="n">
        <v>4244.274</v>
      </c>
      <c r="BG130" t="n">
        <v>4578.619</v>
      </c>
      <c r="BH130" t="n">
        <v>4326.406</v>
      </c>
      <c r="BI130" t="n">
        <v>4151.306</v>
      </c>
      <c r="BJ130" t="n">
        <v>4139.014</v>
      </c>
      <c r="BK130" t="n">
        <v>4250.332</v>
      </c>
      <c r="BL130" t="n">
        <v>4290.636</v>
      </c>
      <c r="BM130" t="n">
        <v>4513.317</v>
      </c>
      <c r="BN130" t="n">
        <v>4619.866</v>
      </c>
      <c r="BO130" t="n">
        <v>4332.202</v>
      </c>
      <c r="BP130" t="n">
        <v>4659.897</v>
      </c>
      <c r="BQ130" t="n">
        <v>4681.936</v>
      </c>
      <c r="BR130" t="n">
        <v>4085</v>
      </c>
      <c r="BS130" t="n">
        <v>3945.967</v>
      </c>
      <c r="BT130" t="n">
        <v>3516.88</v>
      </c>
      <c r="BU130" t="n">
        <v>3421.578</v>
      </c>
      <c r="BV130" t="n">
        <v>3432.146</v>
      </c>
    </row>
    <row r="131">
      <c r="A131" t="inlineStr">
        <is>
          <t>Lutjanus johnii</t>
        </is>
      </c>
      <c r="B131" t="inlineStr">
        <is>
          <t>John's snapper</t>
        </is>
      </c>
      <c r="C131" t="inlineStr">
        <is>
          <t>Medium reef assoc. fish (30 - 89 cm)</t>
        </is>
      </c>
      <c r="D131" t="inlineStr">
        <is>
          <t>Perch-likes</t>
        </is>
      </c>
      <c r="E131" t="n">
        <v>377.534</v>
      </c>
      <c r="F131" t="n">
        <v>371.846</v>
      </c>
      <c r="G131" t="n">
        <v>386.207</v>
      </c>
      <c r="H131" t="n">
        <v>405.336</v>
      </c>
      <c r="I131" t="n">
        <v>422.97</v>
      </c>
      <c r="J131" t="n">
        <v>443.286</v>
      </c>
      <c r="K131" t="n">
        <v>463.845</v>
      </c>
      <c r="L131" t="n">
        <v>484.907</v>
      </c>
      <c r="M131" t="n">
        <v>514.174</v>
      </c>
      <c r="N131" t="n">
        <v>540.01</v>
      </c>
      <c r="O131" t="n">
        <v>576.285</v>
      </c>
      <c r="P131" t="n">
        <v>596.6799999999999</v>
      </c>
      <c r="Q131" t="n">
        <v>623.872</v>
      </c>
      <c r="R131" t="n">
        <v>655.831</v>
      </c>
      <c r="S131" t="n">
        <v>697.2809999999999</v>
      </c>
      <c r="T131" t="n">
        <v>1048.675</v>
      </c>
      <c r="U131" t="n">
        <v>1130.071</v>
      </c>
      <c r="V131" t="n">
        <v>1372.457</v>
      </c>
      <c r="W131" t="n">
        <v>1345.467</v>
      </c>
      <c r="X131" t="n">
        <v>1295.354</v>
      </c>
      <c r="Y131" t="n">
        <v>1287.89</v>
      </c>
      <c r="Z131" t="n">
        <v>1314.15</v>
      </c>
      <c r="AA131" t="n">
        <v>1315.188</v>
      </c>
      <c r="AB131" t="n">
        <v>1345.309</v>
      </c>
      <c r="AC131" t="n">
        <v>1431.345</v>
      </c>
      <c r="AD131" t="n">
        <v>1700.201</v>
      </c>
      <c r="AE131" t="n">
        <v>2156.84</v>
      </c>
      <c r="AF131" t="n">
        <v>2362.828</v>
      </c>
      <c r="AG131" t="n">
        <v>2742.695</v>
      </c>
      <c r="AH131" t="n">
        <v>2685.876</v>
      </c>
      <c r="AI131" t="n">
        <v>4138.199</v>
      </c>
      <c r="AJ131" t="n">
        <v>4367.139</v>
      </c>
      <c r="AK131" t="n">
        <v>3765.217</v>
      </c>
      <c r="AL131" t="n">
        <v>3899.887</v>
      </c>
      <c r="AM131" t="n">
        <v>4214.334</v>
      </c>
      <c r="AN131" t="n">
        <v>3010.222</v>
      </c>
      <c r="AO131" t="n">
        <v>3201.722</v>
      </c>
      <c r="AP131" t="n">
        <v>3208.43</v>
      </c>
      <c r="AQ131" t="n">
        <v>3386.899</v>
      </c>
      <c r="AR131" t="n">
        <v>3242.36</v>
      </c>
      <c r="AS131" t="n">
        <v>3508.704</v>
      </c>
      <c r="AT131" t="n">
        <v>4762.494</v>
      </c>
      <c r="AU131" t="n">
        <v>5163.442</v>
      </c>
      <c r="AV131" t="n">
        <v>5573.069</v>
      </c>
      <c r="AW131" t="n">
        <v>6170.109</v>
      </c>
      <c r="AX131" t="n">
        <v>7933.087</v>
      </c>
      <c r="AY131" t="n">
        <v>5988.485</v>
      </c>
      <c r="AZ131" t="n">
        <v>7298.766</v>
      </c>
      <c r="BA131" t="n">
        <v>7684.179</v>
      </c>
      <c r="BB131" t="n">
        <v>8243.242</v>
      </c>
      <c r="BC131" t="n">
        <v>8357.540000000001</v>
      </c>
      <c r="BD131" t="n">
        <v>8002.082</v>
      </c>
      <c r="BE131" t="n">
        <v>9611.421</v>
      </c>
      <c r="BF131" t="n">
        <v>9319.985000000001</v>
      </c>
      <c r="BG131" t="n">
        <v>10049.445</v>
      </c>
      <c r="BH131" t="n">
        <v>9930.309999999999</v>
      </c>
      <c r="BI131" t="n">
        <v>9589.941999999999</v>
      </c>
      <c r="BJ131" t="n">
        <v>9147.347</v>
      </c>
      <c r="BK131" t="n">
        <v>8882.214</v>
      </c>
      <c r="BL131" t="n">
        <v>8377.281000000001</v>
      </c>
      <c r="BM131" t="n">
        <v>8891.648999999999</v>
      </c>
      <c r="BN131" t="n">
        <v>8568.41</v>
      </c>
      <c r="BO131" t="n">
        <v>9641.951999999999</v>
      </c>
      <c r="BP131" t="n">
        <v>10020.701</v>
      </c>
      <c r="BQ131" t="n">
        <v>9177.252</v>
      </c>
      <c r="BR131" t="n">
        <v>9454.02</v>
      </c>
      <c r="BS131" t="n">
        <v>9779.484</v>
      </c>
      <c r="BT131" t="n">
        <v>9059.826999999999</v>
      </c>
      <c r="BU131" t="n">
        <v>8484.492</v>
      </c>
      <c r="BV131" t="n">
        <v>7946.91</v>
      </c>
    </row>
    <row r="132">
      <c r="A132" t="inlineStr">
        <is>
          <t>Elagatis bipinnulata</t>
        </is>
      </c>
      <c r="B132" t="inlineStr">
        <is>
          <t>Rainbow runner</t>
        </is>
      </c>
      <c r="C132" t="inlineStr">
        <is>
          <t>Large pelagics (&gt;=90 cm)</t>
        </is>
      </c>
      <c r="D132" t="inlineStr">
        <is>
          <t>Perch-likes</t>
        </is>
      </c>
      <c r="E132" t="n">
        <v>58.384</v>
      </c>
      <c r="F132" t="n">
        <v>63.611</v>
      </c>
      <c r="G132" t="n">
        <v>66.474</v>
      </c>
      <c r="H132" t="n">
        <v>67.625</v>
      </c>
      <c r="I132" t="n">
        <v>82.505</v>
      </c>
      <c r="J132" t="n">
        <v>86.696</v>
      </c>
      <c r="K132" t="n">
        <v>91.498</v>
      </c>
      <c r="L132" t="n">
        <v>87.863</v>
      </c>
      <c r="M132" t="n">
        <v>96.309</v>
      </c>
      <c r="N132" t="n">
        <v>101.115</v>
      </c>
      <c r="O132" t="n">
        <v>107.01</v>
      </c>
      <c r="P132" t="n">
        <v>109.5</v>
      </c>
      <c r="Q132" t="n">
        <v>120.516</v>
      </c>
      <c r="R132" t="n">
        <v>142.506</v>
      </c>
      <c r="S132" t="n">
        <v>178.063</v>
      </c>
      <c r="T132" t="n">
        <v>207.247</v>
      </c>
      <c r="U132" t="n">
        <v>206.831</v>
      </c>
      <c r="V132" t="n">
        <v>215.336</v>
      </c>
      <c r="W132" t="n">
        <v>218.526</v>
      </c>
      <c r="X132" t="n">
        <v>192.135</v>
      </c>
      <c r="Y132" t="n">
        <v>250.14</v>
      </c>
      <c r="Z132" t="n">
        <v>247.285</v>
      </c>
      <c r="AA132" t="n">
        <v>278.66</v>
      </c>
      <c r="AB132" t="n">
        <v>438.962</v>
      </c>
      <c r="AC132" t="n">
        <v>504.313</v>
      </c>
      <c r="AD132" t="n">
        <v>617.419</v>
      </c>
      <c r="AE132" t="n">
        <v>395.84</v>
      </c>
      <c r="AF132" t="n">
        <v>482.002</v>
      </c>
      <c r="AG132" t="n">
        <v>529.707</v>
      </c>
      <c r="AH132" t="n">
        <v>540.9829999999999</v>
      </c>
      <c r="AI132" t="n">
        <v>602.283</v>
      </c>
      <c r="AJ132" t="n">
        <v>642.378</v>
      </c>
      <c r="AK132" t="n">
        <v>484.867</v>
      </c>
      <c r="AL132" t="n">
        <v>581.425</v>
      </c>
      <c r="AM132" t="n">
        <v>663.3339999999999</v>
      </c>
      <c r="AN132" t="n">
        <v>620.2430000000001</v>
      </c>
      <c r="AO132" t="n">
        <v>626.004</v>
      </c>
      <c r="AP132" t="n">
        <v>638.9349999999999</v>
      </c>
      <c r="AQ132" t="n">
        <v>659.271</v>
      </c>
      <c r="AR132" t="n">
        <v>752.918</v>
      </c>
      <c r="AS132" t="n">
        <v>999.826</v>
      </c>
      <c r="AT132" t="n">
        <v>1315.498</v>
      </c>
      <c r="AU132" t="n">
        <v>15149.16</v>
      </c>
      <c r="AV132" t="n">
        <v>19238.619</v>
      </c>
      <c r="AW132" t="n">
        <v>13879.059</v>
      </c>
      <c r="AX132" t="n">
        <v>17103.662</v>
      </c>
      <c r="AY132" t="n">
        <v>14467.983</v>
      </c>
      <c r="AZ132" t="n">
        <v>10994.132</v>
      </c>
      <c r="BA132" t="n">
        <v>11788.958</v>
      </c>
      <c r="BB132" t="n">
        <v>12571.462</v>
      </c>
      <c r="BC132" t="n">
        <v>12233.383</v>
      </c>
      <c r="BD132" t="n">
        <v>11608.777</v>
      </c>
      <c r="BE132" t="n">
        <v>8760.51</v>
      </c>
      <c r="BF132" t="n">
        <v>8447.764999999999</v>
      </c>
      <c r="BG132" t="n">
        <v>9076.17</v>
      </c>
      <c r="BH132" t="n">
        <v>9342.511</v>
      </c>
      <c r="BI132" t="n">
        <v>8976.992</v>
      </c>
      <c r="BJ132" t="n">
        <v>8618.192999999999</v>
      </c>
      <c r="BK132" t="n">
        <v>8353.454</v>
      </c>
      <c r="BL132" t="n">
        <v>8086.436</v>
      </c>
      <c r="BM132" t="n">
        <v>8542.591</v>
      </c>
      <c r="BN132" t="n">
        <v>8332.946</v>
      </c>
      <c r="BO132" t="n">
        <v>9278.127</v>
      </c>
      <c r="BP132" t="n">
        <v>9603.424000000001</v>
      </c>
      <c r="BQ132" t="n">
        <v>8790.643</v>
      </c>
      <c r="BR132" t="n">
        <v>9024.564</v>
      </c>
      <c r="BS132" t="n">
        <v>9350.587</v>
      </c>
      <c r="BT132" t="n">
        <v>8649.146000000001</v>
      </c>
      <c r="BU132" t="n">
        <v>8115.122</v>
      </c>
      <c r="BV132" t="n">
        <v>7658.08</v>
      </c>
    </row>
    <row r="133">
      <c r="A133" t="inlineStr">
        <is>
          <t>Saurida</t>
        </is>
      </c>
      <c r="B133" t="inlineStr">
        <is>
          <t>Lizardfishes</t>
        </is>
      </c>
      <c r="C133" t="inlineStr">
        <is>
          <t>Medium demersals (30 - 89 cm)</t>
        </is>
      </c>
      <c r="D133" t="inlineStr">
        <is>
          <t>Other fishes &amp; inverts</t>
        </is>
      </c>
      <c r="E133" t="n">
        <v>91.596</v>
      </c>
      <c r="F133" t="n">
        <v>94.53700000000001</v>
      </c>
      <c r="G133" t="n">
        <v>102.199</v>
      </c>
      <c r="H133" t="n">
        <v>109.248</v>
      </c>
      <c r="I133" t="n">
        <v>114.031</v>
      </c>
      <c r="J133" t="n">
        <v>123.362</v>
      </c>
      <c r="K133" t="n">
        <v>132.889</v>
      </c>
      <c r="L133" t="n">
        <v>141.571</v>
      </c>
      <c r="M133" t="n">
        <v>151.108</v>
      </c>
      <c r="N133" t="n">
        <v>161.726</v>
      </c>
      <c r="O133" t="n">
        <v>174.801</v>
      </c>
      <c r="P133" t="n">
        <v>189.967</v>
      </c>
      <c r="Q133" t="n">
        <v>200.028</v>
      </c>
      <c r="R133" t="n">
        <v>210.696</v>
      </c>
      <c r="S133" t="n">
        <v>227.421</v>
      </c>
      <c r="T133" t="n">
        <v>341.7</v>
      </c>
      <c r="U133" t="n">
        <v>391.213</v>
      </c>
      <c r="V133" t="n">
        <v>477.745</v>
      </c>
      <c r="W133" t="n">
        <v>506.182</v>
      </c>
      <c r="X133" t="n">
        <v>515.0700000000001</v>
      </c>
      <c r="Y133" t="n">
        <v>1004.833</v>
      </c>
      <c r="Z133" t="n">
        <v>1116.601</v>
      </c>
      <c r="AA133" t="n">
        <v>1606.819</v>
      </c>
      <c r="AB133" t="n">
        <v>1578.8</v>
      </c>
      <c r="AC133" t="n">
        <v>1636.582</v>
      </c>
      <c r="AD133" t="n">
        <v>1736.684</v>
      </c>
      <c r="AE133" t="n">
        <v>1412.746</v>
      </c>
      <c r="AF133" t="n">
        <v>1848.258</v>
      </c>
      <c r="AG133" t="n">
        <v>2020.018</v>
      </c>
      <c r="AH133" t="n">
        <v>2316.613</v>
      </c>
      <c r="AI133" t="n">
        <v>1694.532</v>
      </c>
      <c r="AJ133" t="n">
        <v>1856.968</v>
      </c>
      <c r="AK133" t="n">
        <v>1272.856</v>
      </c>
      <c r="AL133" t="n">
        <v>1892.722</v>
      </c>
      <c r="AM133" t="n">
        <v>2077.604</v>
      </c>
      <c r="AN133" t="n">
        <v>1862.523</v>
      </c>
      <c r="AO133" t="n">
        <v>2594.196</v>
      </c>
      <c r="AP133" t="n">
        <v>2718.162</v>
      </c>
      <c r="AQ133" t="n">
        <v>2902.726</v>
      </c>
      <c r="AR133" t="n">
        <v>3073.023</v>
      </c>
      <c r="AS133" t="n">
        <v>2853.257</v>
      </c>
      <c r="AT133" t="n">
        <v>3152.114</v>
      </c>
      <c r="AU133" t="n">
        <v>5632.817</v>
      </c>
      <c r="AV133" t="n">
        <v>6596.615</v>
      </c>
      <c r="AW133" t="n">
        <v>5601.992</v>
      </c>
      <c r="AX133" t="n">
        <v>9461.763000000001</v>
      </c>
      <c r="AY133" t="n">
        <v>8598.395</v>
      </c>
      <c r="AZ133" t="n">
        <v>10624.675</v>
      </c>
      <c r="BA133" t="n">
        <v>6619.307</v>
      </c>
      <c r="BB133" t="n">
        <v>11351.748</v>
      </c>
      <c r="BC133" t="n">
        <v>9921.43</v>
      </c>
      <c r="BD133" t="n">
        <v>12838.434</v>
      </c>
      <c r="BE133" t="n">
        <v>14685.034</v>
      </c>
      <c r="BF133" t="n">
        <v>13061.549</v>
      </c>
      <c r="BG133" t="n">
        <v>10134.82</v>
      </c>
      <c r="BH133" t="n">
        <v>13589.781</v>
      </c>
      <c r="BI133" t="n">
        <v>11555.005</v>
      </c>
      <c r="BJ133" t="n">
        <v>10950.087</v>
      </c>
      <c r="BK133" t="n">
        <v>5875.236</v>
      </c>
      <c r="BL133" t="n">
        <v>8777.504999999999</v>
      </c>
      <c r="BM133" t="n">
        <v>7494.709</v>
      </c>
      <c r="BN133" t="n">
        <v>7436.647</v>
      </c>
      <c r="BO133" t="n">
        <v>8772.662</v>
      </c>
      <c r="BP133" t="n">
        <v>9011.9</v>
      </c>
      <c r="BQ133" t="n">
        <v>8488.245000000001</v>
      </c>
      <c r="BR133" t="n">
        <v>8435.679</v>
      </c>
      <c r="BS133" t="n">
        <v>8594.407999999999</v>
      </c>
      <c r="BT133" t="n">
        <v>7997.056</v>
      </c>
      <c r="BU133" t="n">
        <v>7021.097</v>
      </c>
      <c r="BV133" t="n">
        <v>8469.539000000001</v>
      </c>
    </row>
    <row r="134">
      <c r="A134" t="inlineStr">
        <is>
          <t>Serranidae</t>
        </is>
      </c>
      <c r="B134" t="inlineStr">
        <is>
          <t>Basses, groupers, hinds</t>
        </is>
      </c>
      <c r="C134" t="inlineStr">
        <is>
          <t>Medium reef assoc. fish (30 - 89 cm)</t>
        </is>
      </c>
      <c r="D134" t="inlineStr">
        <is>
          <t>Perch-likes</t>
        </is>
      </c>
      <c r="E134" t="n">
        <v>314.377</v>
      </c>
      <c r="F134" t="n">
        <v>387.313</v>
      </c>
      <c r="G134" t="n">
        <v>381.162</v>
      </c>
      <c r="H134" t="n">
        <v>377.286</v>
      </c>
      <c r="I134" t="n">
        <v>464.539</v>
      </c>
      <c r="J134" t="n">
        <v>510.506</v>
      </c>
      <c r="K134" t="n">
        <v>662.384</v>
      </c>
      <c r="L134" t="n">
        <v>719.595</v>
      </c>
      <c r="M134" t="n">
        <v>757.0170000000001</v>
      </c>
      <c r="N134" t="n">
        <v>758.297</v>
      </c>
      <c r="O134" t="n">
        <v>820.921</v>
      </c>
      <c r="P134" t="n">
        <v>827.1319999999999</v>
      </c>
      <c r="Q134" t="n">
        <v>861.928</v>
      </c>
      <c r="R134" t="n">
        <v>1067.236</v>
      </c>
      <c r="S134" t="n">
        <v>1101.223</v>
      </c>
      <c r="T134" t="n">
        <v>1174.548</v>
      </c>
      <c r="U134" t="n">
        <v>1204.918</v>
      </c>
      <c r="V134" t="n">
        <v>1222.02</v>
      </c>
      <c r="W134" t="n">
        <v>1271.447</v>
      </c>
      <c r="X134" t="n">
        <v>1149.706</v>
      </c>
      <c r="Y134" t="n">
        <v>2664.235</v>
      </c>
      <c r="Z134" t="n">
        <v>2717.458</v>
      </c>
      <c r="AA134" t="n">
        <v>2329.904</v>
      </c>
      <c r="AB134" t="n">
        <v>2147.91</v>
      </c>
      <c r="AC134" t="n">
        <v>2700.636</v>
      </c>
      <c r="AD134" t="n">
        <v>3137.106</v>
      </c>
      <c r="AE134" t="n">
        <v>5003.103</v>
      </c>
      <c r="AF134" t="n">
        <v>1999.68</v>
      </c>
      <c r="AG134" t="n">
        <v>3328.419</v>
      </c>
      <c r="AH134" t="n">
        <v>3788.05</v>
      </c>
      <c r="AI134" t="n">
        <v>3400.565</v>
      </c>
      <c r="AJ134" t="n">
        <v>3994.348</v>
      </c>
      <c r="AK134" t="n">
        <v>3147.002</v>
      </c>
      <c r="AL134" t="n">
        <v>3434.693</v>
      </c>
      <c r="AM134" t="n">
        <v>4430.896</v>
      </c>
      <c r="AN134" t="n">
        <v>3888.153</v>
      </c>
      <c r="AO134" t="n">
        <v>3900.979</v>
      </c>
      <c r="AP134" t="n">
        <v>3348.445</v>
      </c>
      <c r="AQ134" t="n">
        <v>2568.098</v>
      </c>
      <c r="AR134" t="n">
        <v>3824.494</v>
      </c>
      <c r="AS134" t="n">
        <v>2920.926</v>
      </c>
      <c r="AT134" t="n">
        <v>3675.119</v>
      </c>
      <c r="AU134" t="n">
        <v>2671.037</v>
      </c>
      <c r="AV134" t="n">
        <v>3203.571</v>
      </c>
      <c r="AW134" t="n">
        <v>10734.146</v>
      </c>
      <c r="AX134" t="n">
        <v>8830.304</v>
      </c>
      <c r="AY134" t="n">
        <v>9415.222</v>
      </c>
      <c r="AZ134" t="n">
        <v>9014.544</v>
      </c>
      <c r="BA134" t="n">
        <v>8711.059999999999</v>
      </c>
      <c r="BB134" t="n">
        <v>8206.353999999999</v>
      </c>
      <c r="BC134" t="n">
        <v>7408.239</v>
      </c>
      <c r="BD134" t="n">
        <v>6440.578</v>
      </c>
      <c r="BE134" t="n">
        <v>6927.774</v>
      </c>
      <c r="BF134" t="n">
        <v>6677.353</v>
      </c>
      <c r="BG134" t="n">
        <v>5550.157</v>
      </c>
      <c r="BH134" t="n">
        <v>5863.48</v>
      </c>
      <c r="BI134" t="n">
        <v>5532.66</v>
      </c>
      <c r="BJ134" t="n">
        <v>6032.301</v>
      </c>
      <c r="BK134" t="n">
        <v>6606.088</v>
      </c>
      <c r="BL134" t="n">
        <v>7214.552</v>
      </c>
      <c r="BM134" t="n">
        <v>7063.938</v>
      </c>
      <c r="BN134" t="n">
        <v>7825.112</v>
      </c>
      <c r="BO134" t="n">
        <v>8216.787</v>
      </c>
      <c r="BP134" t="n">
        <v>8078.303</v>
      </c>
      <c r="BQ134" t="n">
        <v>8310.777</v>
      </c>
      <c r="BR134" t="n">
        <v>8400.844999999999</v>
      </c>
      <c r="BS134" t="n">
        <v>8861.054</v>
      </c>
      <c r="BT134" t="n">
        <v>9327.392</v>
      </c>
      <c r="BU134" t="n">
        <v>10733.663</v>
      </c>
      <c r="BV134" t="n">
        <v>11136.405</v>
      </c>
    </row>
    <row r="135">
      <c r="A135" t="inlineStr">
        <is>
          <t>Tegillarca granosa</t>
        </is>
      </c>
      <c r="B135" t="inlineStr">
        <is>
          <t>Granular ark</t>
        </is>
      </c>
      <c r="C135" t="inlineStr">
        <is>
          <t>Other demersal invertebrates</t>
        </is>
      </c>
      <c r="D135" t="inlineStr">
        <is>
          <t>Molluscs</t>
        </is>
      </c>
      <c r="E135" t="n">
        <v>51.569</v>
      </c>
      <c r="F135" t="n">
        <v>119.353</v>
      </c>
      <c r="G135" t="n">
        <v>158.796</v>
      </c>
      <c r="H135" t="n">
        <v>148.538</v>
      </c>
      <c r="I135" t="n">
        <v>179.377</v>
      </c>
      <c r="J135" t="n">
        <v>178.513</v>
      </c>
      <c r="K135" t="n">
        <v>186.182</v>
      </c>
      <c r="L135" t="n">
        <v>177.972</v>
      </c>
      <c r="M135" t="n">
        <v>177.243</v>
      </c>
      <c r="N135" t="n">
        <v>170.795</v>
      </c>
      <c r="O135" t="n">
        <v>172.667</v>
      </c>
      <c r="P135" t="n">
        <v>176.62</v>
      </c>
      <c r="Q135" t="n">
        <v>182.205</v>
      </c>
      <c r="R135" t="n">
        <v>217.92</v>
      </c>
      <c r="S135" t="n">
        <v>210.298</v>
      </c>
      <c r="T135" t="n">
        <v>205.391</v>
      </c>
      <c r="U135" t="n">
        <v>227.411</v>
      </c>
      <c r="V135" t="n">
        <v>181.046</v>
      </c>
      <c r="W135" t="n">
        <v>203.188</v>
      </c>
      <c r="X135" t="n">
        <v>213.419</v>
      </c>
      <c r="Y135" t="n">
        <v>215.468</v>
      </c>
      <c r="Z135" t="n">
        <v>225.947</v>
      </c>
      <c r="AA135" t="n">
        <v>249.577</v>
      </c>
      <c r="AB135" t="n">
        <v>134.054</v>
      </c>
      <c r="AC135" t="n">
        <v>321.428</v>
      </c>
      <c r="AD135" t="n">
        <v>864.0359999999999</v>
      </c>
      <c r="AE135" t="n">
        <v>950.756</v>
      </c>
      <c r="AF135" t="n">
        <v>904.01</v>
      </c>
      <c r="AG135" t="n">
        <v>3493.489</v>
      </c>
      <c r="AH135" t="n">
        <v>4173.87</v>
      </c>
      <c r="AI135" t="n">
        <v>2024.717</v>
      </c>
      <c r="AJ135" t="n">
        <v>1996.855</v>
      </c>
      <c r="AK135" t="n">
        <v>1984.984</v>
      </c>
      <c r="AL135" t="n">
        <v>3002.917</v>
      </c>
      <c r="AM135" t="n">
        <v>4644.76</v>
      </c>
      <c r="AN135" t="n">
        <v>4393.88</v>
      </c>
      <c r="AO135" t="n">
        <v>3651.726</v>
      </c>
      <c r="AP135" t="n">
        <v>3848.424</v>
      </c>
      <c r="AQ135" t="n">
        <v>3959.576</v>
      </c>
      <c r="AR135" t="n">
        <v>3889.01</v>
      </c>
      <c r="AS135" t="n">
        <v>4155.214</v>
      </c>
      <c r="AT135" t="n">
        <v>4812.238</v>
      </c>
      <c r="AU135" t="n">
        <v>5474.117</v>
      </c>
      <c r="AV135" t="n">
        <v>7303.666</v>
      </c>
      <c r="AW135" t="n">
        <v>7480.109</v>
      </c>
      <c r="AX135" t="n">
        <v>9991.813</v>
      </c>
      <c r="AY135" t="n">
        <v>9372.334999999999</v>
      </c>
      <c r="AZ135" t="n">
        <v>6363.137</v>
      </c>
      <c r="BA135" t="n">
        <v>5150.148</v>
      </c>
      <c r="BB135" t="n">
        <v>7871.812</v>
      </c>
      <c r="BC135" t="n">
        <v>8603.907999999999</v>
      </c>
      <c r="BD135" t="n">
        <v>18398.046</v>
      </c>
      <c r="BE135" t="n">
        <v>19822.01</v>
      </c>
      <c r="BF135" t="n">
        <v>13550.812</v>
      </c>
      <c r="BG135" t="n">
        <v>15953.897</v>
      </c>
      <c r="BH135" t="n">
        <v>11560.053</v>
      </c>
      <c r="BI135" t="n">
        <v>9119.669</v>
      </c>
      <c r="BJ135" t="n">
        <v>15048.601</v>
      </c>
      <c r="BK135" t="n">
        <v>4083.353</v>
      </c>
      <c r="BL135" t="n">
        <v>6499.292</v>
      </c>
      <c r="BM135" t="n">
        <v>5396.807</v>
      </c>
      <c r="BN135" t="n">
        <v>5569.499</v>
      </c>
      <c r="BO135" t="n">
        <v>5650.295</v>
      </c>
      <c r="BP135" t="n">
        <v>5711.229</v>
      </c>
      <c r="BQ135" t="n">
        <v>6142.837</v>
      </c>
      <c r="BR135" t="n">
        <v>6880.521</v>
      </c>
      <c r="BS135" t="n">
        <v>6498.719</v>
      </c>
      <c r="BT135" t="n">
        <v>5809.103</v>
      </c>
      <c r="BU135" t="n">
        <v>6608.782</v>
      </c>
      <c r="BV135" t="n">
        <v>7289.311</v>
      </c>
    </row>
    <row r="136">
      <c r="A136" t="inlineStr">
        <is>
          <t>Pristipomoides</t>
        </is>
      </c>
      <c r="B136" t="inlineStr">
        <is>
          <t>Jobfishes</t>
        </is>
      </c>
      <c r="C136" t="inlineStr">
        <is>
          <t>Medium demersals (30 - 89 cm)</t>
        </is>
      </c>
      <c r="D136" t="inlineStr">
        <is>
          <t>Perch-likes</t>
        </is>
      </c>
      <c r="E136" t="n">
        <v>479.331</v>
      </c>
      <c r="F136" t="n">
        <v>529.0170000000001</v>
      </c>
      <c r="G136" t="n">
        <v>547.96</v>
      </c>
      <c r="H136" t="n">
        <v>555.646</v>
      </c>
      <c r="I136" t="n">
        <v>654.159</v>
      </c>
      <c r="J136" t="n">
        <v>691.013</v>
      </c>
      <c r="K136" t="n">
        <v>737.501</v>
      </c>
      <c r="L136" t="n">
        <v>728.758</v>
      </c>
      <c r="M136" t="n">
        <v>783.325</v>
      </c>
      <c r="N136" t="n">
        <v>821.84</v>
      </c>
      <c r="O136" t="n">
        <v>875.306</v>
      </c>
      <c r="P136" t="n">
        <v>884.837</v>
      </c>
      <c r="Q136" t="n">
        <v>973.748</v>
      </c>
      <c r="R136" t="n">
        <v>1071.897</v>
      </c>
      <c r="S136" t="n">
        <v>1358.114</v>
      </c>
      <c r="T136" t="n">
        <v>1625.955</v>
      </c>
      <c r="U136" t="n">
        <v>1660.484</v>
      </c>
      <c r="V136" t="n">
        <v>1788.667</v>
      </c>
      <c r="W136" t="n">
        <v>1837.854</v>
      </c>
      <c r="X136" t="n">
        <v>1678.519</v>
      </c>
      <c r="Y136" t="n">
        <v>2086.67</v>
      </c>
      <c r="Z136" t="n">
        <v>2030.012</v>
      </c>
      <c r="AA136" t="n">
        <v>2088.196</v>
      </c>
      <c r="AB136" t="n">
        <v>2176.493</v>
      </c>
      <c r="AC136" t="n">
        <v>2521.222</v>
      </c>
      <c r="AD136" t="n">
        <v>2463.221</v>
      </c>
      <c r="AE136" t="n">
        <v>2587.324</v>
      </c>
      <c r="AF136" t="n">
        <v>2446.502</v>
      </c>
      <c r="AG136" t="n">
        <v>2644.34</v>
      </c>
      <c r="AH136" t="n">
        <v>2527.655</v>
      </c>
      <c r="AI136" t="n">
        <v>2314.625</v>
      </c>
      <c r="AJ136" t="n">
        <v>2693.369</v>
      </c>
      <c r="AK136" t="n">
        <v>2343.754</v>
      </c>
      <c r="AL136" t="n">
        <v>2720.283</v>
      </c>
      <c r="AM136" t="n">
        <v>2948.112</v>
      </c>
      <c r="AN136" t="n">
        <v>3097.421</v>
      </c>
      <c r="AO136" t="n">
        <v>3186.145</v>
      </c>
      <c r="AP136" t="n">
        <v>3224.382</v>
      </c>
      <c r="AQ136" t="n">
        <v>3348.171</v>
      </c>
      <c r="AR136" t="n">
        <v>3404.031</v>
      </c>
      <c r="AS136" t="n">
        <v>4193.198</v>
      </c>
      <c r="AT136" t="n">
        <v>2831.456</v>
      </c>
      <c r="AU136" t="n">
        <v>1990.753</v>
      </c>
      <c r="AV136" t="n">
        <v>4285.494</v>
      </c>
      <c r="AW136" t="n">
        <v>2659.412</v>
      </c>
      <c r="AX136" t="n">
        <v>8015.444</v>
      </c>
      <c r="AY136" t="n">
        <v>8781.607</v>
      </c>
      <c r="AZ136" t="n">
        <v>7927.994</v>
      </c>
      <c r="BA136" t="n">
        <v>8087.052</v>
      </c>
      <c r="BB136" t="n">
        <v>8909.73</v>
      </c>
      <c r="BC136" t="n">
        <v>10061.314</v>
      </c>
      <c r="BD136" t="n">
        <v>9864.227000000001</v>
      </c>
      <c r="BE136" t="n">
        <v>8693.416999999999</v>
      </c>
      <c r="BF136" t="n">
        <v>8344.436</v>
      </c>
      <c r="BG136" t="n">
        <v>8794.630999999999</v>
      </c>
      <c r="BH136" t="n">
        <v>6709.563</v>
      </c>
      <c r="BI136" t="n">
        <v>6588.843</v>
      </c>
      <c r="BJ136" t="n">
        <v>6459.789</v>
      </c>
      <c r="BK136" t="n">
        <v>6382.543</v>
      </c>
      <c r="BL136" t="n">
        <v>7308.742</v>
      </c>
      <c r="BM136" t="n">
        <v>7870.611</v>
      </c>
      <c r="BN136" t="n">
        <v>8896.784</v>
      </c>
      <c r="BO136" t="n">
        <v>9506.540999999999</v>
      </c>
      <c r="BP136" t="n">
        <v>9808.851000000001</v>
      </c>
      <c r="BQ136" t="n">
        <v>8957.115</v>
      </c>
      <c r="BR136" t="n">
        <v>9012.251</v>
      </c>
      <c r="BS136" t="n">
        <v>9089.758</v>
      </c>
      <c r="BT136" t="n">
        <v>8690.343000000001</v>
      </c>
      <c r="BU136" t="n">
        <v>7971.983</v>
      </c>
      <c r="BV136" t="n">
        <v>7826.889</v>
      </c>
    </row>
    <row r="137">
      <c r="A137" t="inlineStr">
        <is>
          <t>Apogonidae</t>
        </is>
      </c>
      <c r="B137" t="inlineStr">
        <is>
          <t>Cardinalfishes</t>
        </is>
      </c>
      <c r="C137" t="inlineStr">
        <is>
          <t>Small reef assoc. fish (&lt;30 cm)</t>
        </is>
      </c>
      <c r="D137" t="inlineStr">
        <is>
          <t>Perch-likes</t>
        </is>
      </c>
      <c r="E137" t="n">
        <v>191.533</v>
      </c>
      <c r="F137" t="n">
        <v>191.533</v>
      </c>
      <c r="G137" t="n">
        <v>253.446</v>
      </c>
      <c r="H137" t="n">
        <v>223.483</v>
      </c>
      <c r="I137" t="n">
        <v>191.533</v>
      </c>
      <c r="J137" t="n">
        <v>191.533</v>
      </c>
      <c r="K137" t="n">
        <v>191.533</v>
      </c>
      <c r="L137" t="n">
        <v>183.587</v>
      </c>
      <c r="M137" t="n">
        <v>197.493</v>
      </c>
      <c r="N137" t="n">
        <v>191.533</v>
      </c>
      <c r="O137" t="n">
        <v>257.419</v>
      </c>
      <c r="P137" t="n">
        <v>319.167</v>
      </c>
      <c r="Q137" t="n">
        <v>329.099</v>
      </c>
      <c r="R137" t="n">
        <v>512.024</v>
      </c>
      <c r="S137" t="n">
        <v>476.267</v>
      </c>
      <c r="T137" t="n">
        <v>466.946</v>
      </c>
      <c r="U137" t="n">
        <v>557.357</v>
      </c>
      <c r="V137" t="n">
        <v>504.851</v>
      </c>
      <c r="W137" t="n">
        <v>861.135</v>
      </c>
      <c r="X137" t="n">
        <v>809.852</v>
      </c>
      <c r="Y137" t="n">
        <v>953.99</v>
      </c>
      <c r="Z137" t="n">
        <v>1347.198</v>
      </c>
      <c r="AA137" t="n">
        <v>1536.369</v>
      </c>
      <c r="AB137" t="n">
        <v>2369.339</v>
      </c>
      <c r="AC137" t="n">
        <v>2686.486</v>
      </c>
      <c r="AD137" t="n">
        <v>3227.659</v>
      </c>
      <c r="AE137" t="n">
        <v>3485.811</v>
      </c>
      <c r="AF137" t="n">
        <v>3952.282</v>
      </c>
      <c r="AG137" t="n">
        <v>3222.682</v>
      </c>
      <c r="AH137" t="n">
        <v>3455.329</v>
      </c>
      <c r="AI137" t="n">
        <v>747.499</v>
      </c>
      <c r="AJ137" t="n">
        <v>1143.027</v>
      </c>
      <c r="AK137" t="n">
        <v>732.073</v>
      </c>
      <c r="AL137" t="n">
        <v>713.158</v>
      </c>
      <c r="AM137" t="n">
        <v>685.083</v>
      </c>
      <c r="AN137" t="n">
        <v>754.269</v>
      </c>
      <c r="AO137" t="n">
        <v>2424.568</v>
      </c>
      <c r="AP137" t="n">
        <v>3809.673</v>
      </c>
      <c r="AQ137" t="n">
        <v>3453.712</v>
      </c>
      <c r="AR137" t="n">
        <v>5366.436</v>
      </c>
      <c r="AS137" t="n">
        <v>6542.172</v>
      </c>
      <c r="AT137" t="n">
        <v>6359.256</v>
      </c>
      <c r="AU137" t="n">
        <v>5716.638</v>
      </c>
      <c r="AV137" t="n">
        <v>5943.054</v>
      </c>
      <c r="AW137" t="n">
        <v>7256.47</v>
      </c>
      <c r="AX137" t="n">
        <v>7379.696</v>
      </c>
      <c r="AY137" t="n">
        <v>6648.732</v>
      </c>
      <c r="AZ137" t="n">
        <v>6654.555</v>
      </c>
      <c r="BA137" t="n">
        <v>6542.078</v>
      </c>
      <c r="BB137" t="n">
        <v>7198.7</v>
      </c>
      <c r="BC137" t="n">
        <v>8101.818</v>
      </c>
      <c r="BD137" t="n">
        <v>9315.759</v>
      </c>
      <c r="BE137" t="n">
        <v>10248.001</v>
      </c>
      <c r="BF137" t="n">
        <v>11086.111</v>
      </c>
      <c r="BG137" t="n">
        <v>9935.152</v>
      </c>
      <c r="BH137" t="n">
        <v>10695.022</v>
      </c>
      <c r="BI137" t="n">
        <v>8317.834999999999</v>
      </c>
      <c r="BJ137" t="n">
        <v>8968.473</v>
      </c>
      <c r="BK137" t="n">
        <v>7455.391</v>
      </c>
      <c r="BL137" t="n">
        <v>6803.501</v>
      </c>
      <c r="BM137" t="n">
        <v>7212.657</v>
      </c>
      <c r="BN137" t="n">
        <v>7059.139</v>
      </c>
      <c r="BO137" t="n">
        <v>7870.398</v>
      </c>
      <c r="BP137" t="n">
        <v>8149.009</v>
      </c>
      <c r="BQ137" t="n">
        <v>7565.968</v>
      </c>
      <c r="BR137" t="n">
        <v>7599.348</v>
      </c>
      <c r="BS137" t="n">
        <v>7971.722</v>
      </c>
      <c r="BT137" t="n">
        <v>7369.338</v>
      </c>
      <c r="BU137" t="n">
        <v>6744.866</v>
      </c>
      <c r="BV137" t="n">
        <v>6347.326</v>
      </c>
    </row>
    <row r="138">
      <c r="A138" t="inlineStr">
        <is>
          <t>Miscellaneous aquatic invertebrates</t>
        </is>
      </c>
      <c r="B138" t="inlineStr">
        <is>
          <t>Aquatic invertebrates</t>
        </is>
      </c>
      <c r="C138" t="inlineStr">
        <is>
          <t>Other demersal invertebrates</t>
        </is>
      </c>
      <c r="D138" t="inlineStr">
        <is>
          <t>Other fishes &amp; inverts</t>
        </is>
      </c>
      <c r="E138" t="n">
        <v>1326.019</v>
      </c>
      <c r="F138" t="n">
        <v>1355.102</v>
      </c>
      <c r="G138" t="n">
        <v>1383.705</v>
      </c>
      <c r="H138" t="n">
        <v>1415.267</v>
      </c>
      <c r="I138" t="n">
        <v>1443.271</v>
      </c>
      <c r="J138" t="n">
        <v>1475.971</v>
      </c>
      <c r="K138" t="n">
        <v>1507.27</v>
      </c>
      <c r="L138" t="n">
        <v>1539.316</v>
      </c>
      <c r="M138" t="n">
        <v>1573.46</v>
      </c>
      <c r="N138" t="n">
        <v>1606.436</v>
      </c>
      <c r="O138" t="n">
        <v>1641.497</v>
      </c>
      <c r="P138" t="n">
        <v>1681.377</v>
      </c>
      <c r="Q138" t="n">
        <v>1717.481</v>
      </c>
      <c r="R138" t="n">
        <v>1755.716</v>
      </c>
      <c r="S138" t="n">
        <v>1800.74</v>
      </c>
      <c r="T138" t="n">
        <v>1844.026</v>
      </c>
      <c r="U138" t="n">
        <v>1882.814</v>
      </c>
      <c r="V138" t="n">
        <v>1925.53</v>
      </c>
      <c r="W138" t="n">
        <v>1974.014</v>
      </c>
      <c r="X138" t="n">
        <v>2016.446</v>
      </c>
      <c r="Y138" t="n">
        <v>4011.405</v>
      </c>
      <c r="Z138" t="n">
        <v>3384.184</v>
      </c>
      <c r="AA138" t="n">
        <v>3015.259</v>
      </c>
      <c r="AB138" t="n">
        <v>2935.047</v>
      </c>
      <c r="AC138" t="n">
        <v>2918.868</v>
      </c>
      <c r="AD138" t="n">
        <v>2401.638</v>
      </c>
      <c r="AE138" t="n">
        <v>2447.72</v>
      </c>
      <c r="AF138" t="n">
        <v>2623.47</v>
      </c>
      <c r="AG138" t="n">
        <v>2867.078</v>
      </c>
      <c r="AH138" t="n">
        <v>2931.23</v>
      </c>
      <c r="AI138" t="n">
        <v>2923.085</v>
      </c>
      <c r="AJ138" t="n">
        <v>2944.225</v>
      </c>
      <c r="AK138" t="n">
        <v>3101.719</v>
      </c>
      <c r="AL138" t="n">
        <v>3367.458</v>
      </c>
      <c r="AM138" t="n">
        <v>4112.568</v>
      </c>
      <c r="AN138" t="n">
        <v>3282.94</v>
      </c>
      <c r="AO138" t="n">
        <v>3610.162</v>
      </c>
      <c r="AP138" t="n">
        <v>4438.833</v>
      </c>
      <c r="AQ138" t="n">
        <v>4022.536</v>
      </c>
      <c r="AR138" t="n">
        <v>3800.68</v>
      </c>
      <c r="AS138" t="n">
        <v>3895.593</v>
      </c>
      <c r="AT138" t="n">
        <v>4336.416</v>
      </c>
      <c r="AU138" t="n">
        <v>4615.131</v>
      </c>
      <c r="AV138" t="n">
        <v>4111.104</v>
      </c>
      <c r="AW138" t="n">
        <v>5123.317</v>
      </c>
      <c r="AX138" t="n">
        <v>4672.417</v>
      </c>
      <c r="AY138" t="n">
        <v>4853.999</v>
      </c>
      <c r="AZ138" t="n">
        <v>4808.617</v>
      </c>
      <c r="BA138" t="n">
        <v>5291.941</v>
      </c>
      <c r="BB138" t="n">
        <v>4947.951</v>
      </c>
      <c r="BC138" t="n">
        <v>5497.97</v>
      </c>
      <c r="BD138" t="n">
        <v>5598.105</v>
      </c>
      <c r="BE138" t="n">
        <v>6170.557</v>
      </c>
      <c r="BF138" t="n">
        <v>5954.118</v>
      </c>
      <c r="BG138" t="n">
        <v>5915.954</v>
      </c>
      <c r="BH138" t="n">
        <v>6132.194</v>
      </c>
      <c r="BI138" t="n">
        <v>6039.447</v>
      </c>
      <c r="BJ138" t="n">
        <v>6078.876</v>
      </c>
      <c r="BK138" t="n">
        <v>5904.86</v>
      </c>
      <c r="BL138" t="n">
        <v>6212.113</v>
      </c>
      <c r="BM138" t="n">
        <v>6412.194</v>
      </c>
      <c r="BN138" t="n">
        <v>6619.637</v>
      </c>
      <c r="BO138" t="n">
        <v>6829.293</v>
      </c>
      <c r="BP138" t="n">
        <v>7003.312</v>
      </c>
      <c r="BQ138" t="n">
        <v>7205.69</v>
      </c>
      <c r="BR138" t="n">
        <v>7027.801</v>
      </c>
      <c r="BS138" t="n">
        <v>6598.4</v>
      </c>
      <c r="BT138" t="n">
        <v>6731.146</v>
      </c>
      <c r="BU138" t="n">
        <v>6968.202</v>
      </c>
      <c r="BV138" t="n">
        <v>15610.996</v>
      </c>
    </row>
    <row r="139">
      <c r="A139" t="inlineStr">
        <is>
          <t>Scomber australasicus</t>
        </is>
      </c>
      <c r="B139" t="inlineStr">
        <is>
          <t>Blue mackerel</t>
        </is>
      </c>
      <c r="C139" t="inlineStr">
        <is>
          <t>Medium pelagics (30 - 89 cm)</t>
        </is>
      </c>
      <c r="D139" t="inlineStr">
        <is>
          <t>Perch-likes</t>
        </is>
      </c>
      <c r="E139" t="n">
        <v>496.904</v>
      </c>
      <c r="F139" t="n">
        <v>603.9059999999999</v>
      </c>
      <c r="G139" t="n">
        <v>697.902</v>
      </c>
      <c r="H139" t="n">
        <v>741.778</v>
      </c>
      <c r="I139" t="n">
        <v>780.773</v>
      </c>
      <c r="J139" t="n">
        <v>929.662</v>
      </c>
      <c r="K139" t="n">
        <v>1067.366</v>
      </c>
      <c r="L139" t="n">
        <v>1148.717</v>
      </c>
      <c r="M139" t="n">
        <v>1274.733</v>
      </c>
      <c r="N139" t="n">
        <v>1431.793</v>
      </c>
      <c r="O139" t="n">
        <v>1533.11</v>
      </c>
      <c r="P139" t="n">
        <v>1794.629</v>
      </c>
      <c r="Q139" t="n">
        <v>1986.265</v>
      </c>
      <c r="R139" t="n">
        <v>2183.288</v>
      </c>
      <c r="S139" t="n">
        <v>2482.752</v>
      </c>
      <c r="T139" t="n">
        <v>2722.258</v>
      </c>
      <c r="U139" t="n">
        <v>3014.223</v>
      </c>
      <c r="V139" t="n">
        <v>3336.896</v>
      </c>
      <c r="W139" t="n">
        <v>3874.298</v>
      </c>
      <c r="X139" t="n">
        <v>4260.282</v>
      </c>
      <c r="Y139" t="n">
        <v>4472.593</v>
      </c>
      <c r="Z139" t="n">
        <v>4800.124</v>
      </c>
      <c r="AA139" t="n">
        <v>4744.789</v>
      </c>
      <c r="AB139" t="n">
        <v>5069.61</v>
      </c>
      <c r="AC139" t="n">
        <v>5078.76</v>
      </c>
      <c r="AD139" t="n">
        <v>6376.114</v>
      </c>
      <c r="AE139" t="n">
        <v>6619.772</v>
      </c>
      <c r="AF139" t="n">
        <v>6877.626</v>
      </c>
      <c r="AG139" t="n">
        <v>7580.761</v>
      </c>
      <c r="AH139" t="n">
        <v>8044.58</v>
      </c>
      <c r="AI139" t="n">
        <v>8030.609</v>
      </c>
      <c r="AJ139" t="n">
        <v>7079.212</v>
      </c>
      <c r="AK139" t="n">
        <v>7231.384</v>
      </c>
      <c r="AL139" t="n">
        <v>6900.784</v>
      </c>
      <c r="AM139" t="n">
        <v>6440.342</v>
      </c>
      <c r="AN139" t="n">
        <v>6642.697</v>
      </c>
      <c r="AO139" t="n">
        <v>6671.097</v>
      </c>
      <c r="AP139" t="n">
        <v>6176.205</v>
      </c>
      <c r="AQ139" t="n">
        <v>5981.359</v>
      </c>
      <c r="AR139" t="n">
        <v>5381.125</v>
      </c>
      <c r="AS139" t="n">
        <v>4316.271</v>
      </c>
      <c r="AT139" t="n">
        <v>3940.957</v>
      </c>
      <c r="AU139" t="n">
        <v>4560.296</v>
      </c>
      <c r="AV139" t="n">
        <v>4202.773</v>
      </c>
      <c r="AW139" t="n">
        <v>4345.361</v>
      </c>
      <c r="AX139" t="n">
        <v>4522.341</v>
      </c>
      <c r="AY139" t="n">
        <v>4272.59</v>
      </c>
      <c r="AZ139" t="n">
        <v>4095.575</v>
      </c>
      <c r="BA139" t="n">
        <v>3085.346</v>
      </c>
      <c r="BB139" t="n">
        <v>3170.318</v>
      </c>
      <c r="BC139" t="n">
        <v>2112.164</v>
      </c>
      <c r="BD139" t="n">
        <v>1745.303</v>
      </c>
      <c r="BE139" t="n">
        <v>2425.428</v>
      </c>
      <c r="BF139" t="n">
        <v>2577.973</v>
      </c>
      <c r="BG139" t="n">
        <v>4066.759</v>
      </c>
      <c r="BH139" t="n">
        <v>5255.072</v>
      </c>
      <c r="BI139" t="n">
        <v>3856.475</v>
      </c>
      <c r="BJ139" t="n">
        <v>3201.612</v>
      </c>
      <c r="BK139" t="n">
        <v>3240.811</v>
      </c>
      <c r="BL139" t="n">
        <v>3442.45</v>
      </c>
      <c r="BM139" t="n">
        <v>3266.644</v>
      </c>
      <c r="BN139" t="n">
        <v>4034.175</v>
      </c>
      <c r="BO139" t="n">
        <v>4006.602</v>
      </c>
      <c r="BP139" t="n">
        <v>3376.639</v>
      </c>
      <c r="BQ139" t="n">
        <v>3591.624</v>
      </c>
      <c r="BR139" t="n">
        <v>3463.772</v>
      </c>
      <c r="BS139" t="n">
        <v>3383.001</v>
      </c>
      <c r="BT139" t="n">
        <v>3848.562</v>
      </c>
      <c r="BU139" t="n">
        <v>5656.265</v>
      </c>
      <c r="BV139" t="n">
        <v>3980.146</v>
      </c>
    </row>
    <row r="140">
      <c r="A140" t="inlineStr">
        <is>
          <t>Sepia</t>
        </is>
      </c>
      <c r="B140" t="inlineStr">
        <is>
          <t>Sepia cuttlefishes</t>
        </is>
      </c>
      <c r="C140" t="inlineStr">
        <is>
          <t>Cephalopods</t>
        </is>
      </c>
      <c r="D140" t="inlineStr">
        <is>
          <t>Other fishes &amp; inverts</t>
        </is>
      </c>
      <c r="E140" t="n">
        <v>931.879</v>
      </c>
      <c r="F140" t="n">
        <v>938.432</v>
      </c>
      <c r="G140" t="n">
        <v>1117.927</v>
      </c>
      <c r="H140" t="n">
        <v>1117.767</v>
      </c>
      <c r="I140" t="n">
        <v>3112.725</v>
      </c>
      <c r="J140" t="n">
        <v>1477.121</v>
      </c>
      <c r="K140" t="n">
        <v>532.724</v>
      </c>
      <c r="L140" t="n">
        <v>620.044</v>
      </c>
      <c r="M140" t="n">
        <v>972.067</v>
      </c>
      <c r="N140" t="n">
        <v>1582.915</v>
      </c>
      <c r="O140" t="n">
        <v>816.615</v>
      </c>
      <c r="P140" t="n">
        <v>385.96</v>
      </c>
      <c r="Q140" t="n">
        <v>568.235</v>
      </c>
      <c r="R140" t="n">
        <v>769.694</v>
      </c>
      <c r="S140" t="n">
        <v>865.34</v>
      </c>
      <c r="T140" t="n">
        <v>558.822</v>
      </c>
      <c r="U140" t="n">
        <v>665.615</v>
      </c>
      <c r="V140" t="n">
        <v>777.323</v>
      </c>
      <c r="W140" t="n">
        <v>1338.268</v>
      </c>
      <c r="X140" t="n">
        <v>1252.894</v>
      </c>
      <c r="Y140" t="n">
        <v>1267.597</v>
      </c>
      <c r="Z140" t="n">
        <v>1486.481</v>
      </c>
      <c r="AA140" t="n">
        <v>1252.125</v>
      </c>
      <c r="AB140" t="n">
        <v>1413.658</v>
      </c>
      <c r="AC140" t="n">
        <v>1427.937</v>
      </c>
      <c r="AD140" t="n">
        <v>2080.298</v>
      </c>
      <c r="AE140" t="n">
        <v>2828.11</v>
      </c>
      <c r="AF140" t="n">
        <v>3274.108</v>
      </c>
      <c r="AG140" t="n">
        <v>3553.267</v>
      </c>
      <c r="AH140" t="n">
        <v>3208.118</v>
      </c>
      <c r="AI140" t="n">
        <v>2571.969</v>
      </c>
      <c r="AJ140" t="n">
        <v>2662.21</v>
      </c>
      <c r="AK140" t="n">
        <v>2244.477</v>
      </c>
      <c r="AL140" t="n">
        <v>2657.104</v>
      </c>
      <c r="AM140" t="n">
        <v>2670.882</v>
      </c>
      <c r="AN140" t="n">
        <v>3053.702</v>
      </c>
      <c r="AO140" t="n">
        <v>3653.953</v>
      </c>
      <c r="AP140" t="n">
        <v>4164.012</v>
      </c>
      <c r="AQ140" t="n">
        <v>4086.56</v>
      </c>
      <c r="AR140" t="n">
        <v>3870.98</v>
      </c>
      <c r="AS140" t="n">
        <v>6363.308</v>
      </c>
      <c r="AT140" t="n">
        <v>6282.515</v>
      </c>
      <c r="AU140" t="n">
        <v>6288.399</v>
      </c>
      <c r="AV140" t="n">
        <v>7362.556</v>
      </c>
      <c r="AW140" t="n">
        <v>6519.673</v>
      </c>
      <c r="AX140" t="n">
        <v>11038.156</v>
      </c>
      <c r="AY140" t="n">
        <v>6885.137</v>
      </c>
      <c r="AZ140" t="n">
        <v>6768.175</v>
      </c>
      <c r="BA140" t="n">
        <v>6390.746</v>
      </c>
      <c r="BB140" t="n">
        <v>7703.36</v>
      </c>
      <c r="BC140" t="n">
        <v>7787.922</v>
      </c>
      <c r="BD140" t="n">
        <v>7930.399</v>
      </c>
      <c r="BE140" t="n">
        <v>8151.155</v>
      </c>
      <c r="BF140" t="n">
        <v>8162.288</v>
      </c>
      <c r="BG140" t="n">
        <v>6966.505</v>
      </c>
      <c r="BH140" t="n">
        <v>2696.997</v>
      </c>
      <c r="BI140" t="n">
        <v>2461.992</v>
      </c>
      <c r="BJ140" t="n">
        <v>2525.482</v>
      </c>
      <c r="BK140" t="n">
        <v>2451.462</v>
      </c>
      <c r="BL140" t="n">
        <v>5999.133</v>
      </c>
      <c r="BM140" t="n">
        <v>6237.491</v>
      </c>
      <c r="BN140" t="n">
        <v>6159.212</v>
      </c>
      <c r="BO140" t="n">
        <v>6749.008</v>
      </c>
      <c r="BP140" t="n">
        <v>7024.346</v>
      </c>
      <c r="BQ140" t="n">
        <v>6458.686</v>
      </c>
      <c r="BR140" t="n">
        <v>6566.069</v>
      </c>
      <c r="BS140" t="n">
        <v>6779.471</v>
      </c>
      <c r="BT140" t="n">
        <v>6269.399</v>
      </c>
      <c r="BU140" t="n">
        <v>5935.702</v>
      </c>
      <c r="BV140" t="n">
        <v>6939.255</v>
      </c>
    </row>
    <row r="141">
      <c r="A141" t="inlineStr">
        <is>
          <t>Epinephelus coioides</t>
        </is>
      </c>
      <c r="B141" t="inlineStr">
        <is>
          <t>Orange-spotted grouper</t>
        </is>
      </c>
      <c r="C141" t="inlineStr">
        <is>
          <t>Large reef assoc. fish (&gt;=90 cm)</t>
        </is>
      </c>
      <c r="D141" t="inlineStr">
        <is>
          <t>Perch-likes</t>
        </is>
      </c>
      <c r="E141" t="n">
        <v>813.299</v>
      </c>
      <c r="F141" t="n">
        <v>814.77</v>
      </c>
      <c r="G141" t="n">
        <v>816.246</v>
      </c>
      <c r="H141" t="n">
        <v>817.729</v>
      </c>
      <c r="I141" t="n">
        <v>1024.021</v>
      </c>
      <c r="J141" t="n">
        <v>1025.889</v>
      </c>
      <c r="K141" t="n">
        <v>1027.765</v>
      </c>
      <c r="L141" t="n">
        <v>1235.578</v>
      </c>
      <c r="M141" t="n">
        <v>1444.156</v>
      </c>
      <c r="N141" t="n">
        <v>2273.565</v>
      </c>
      <c r="O141" t="n">
        <v>2277.759</v>
      </c>
      <c r="P141" t="n">
        <v>3734.134</v>
      </c>
      <c r="Q141" t="n">
        <v>2078.364</v>
      </c>
      <c r="R141" t="n">
        <v>2290.447</v>
      </c>
      <c r="S141" t="n">
        <v>1877.491</v>
      </c>
      <c r="T141" t="n">
        <v>1671.995</v>
      </c>
      <c r="U141" t="n">
        <v>1465.731</v>
      </c>
      <c r="V141" t="n">
        <v>1678.261</v>
      </c>
      <c r="W141" t="n">
        <v>2522.121</v>
      </c>
      <c r="X141" t="n">
        <v>2526.87</v>
      </c>
      <c r="Y141" t="n">
        <v>2531.639</v>
      </c>
      <c r="Z141" t="n">
        <v>2536.428</v>
      </c>
      <c r="AA141" t="n">
        <v>2329.467</v>
      </c>
      <c r="AB141" t="n">
        <v>2333.894</v>
      </c>
      <c r="AC141" t="n">
        <v>2776.246</v>
      </c>
      <c r="AD141" t="n">
        <v>2794.325</v>
      </c>
      <c r="AE141" t="n">
        <v>3773.702</v>
      </c>
      <c r="AF141" t="n">
        <v>4744.369</v>
      </c>
      <c r="AG141" t="n">
        <v>6012.686</v>
      </c>
      <c r="AH141" t="n">
        <v>7206.362</v>
      </c>
      <c r="AI141" t="n">
        <v>6984.342</v>
      </c>
      <c r="AJ141" t="n">
        <v>7190.167</v>
      </c>
      <c r="AK141" t="n">
        <v>6930.775</v>
      </c>
      <c r="AL141" t="n">
        <v>7071.085</v>
      </c>
      <c r="AM141" t="n">
        <v>7900.266</v>
      </c>
      <c r="AN141" t="n">
        <v>7015.675</v>
      </c>
      <c r="AO141" t="n">
        <v>8487.800999999999</v>
      </c>
      <c r="AP141" t="n">
        <v>10619.438</v>
      </c>
      <c r="AQ141" t="n">
        <v>9292.025</v>
      </c>
      <c r="AR141" t="n">
        <v>7317.713</v>
      </c>
      <c r="AS141" t="n">
        <v>5556.372</v>
      </c>
      <c r="AT141" t="n">
        <v>4998.594</v>
      </c>
      <c r="AU141" t="n">
        <v>7044.799</v>
      </c>
      <c r="AV141" t="n">
        <v>6390.39</v>
      </c>
      <c r="AW141" t="n">
        <v>5279.894</v>
      </c>
      <c r="AX141" t="n">
        <v>4439.573</v>
      </c>
      <c r="AY141" t="n">
        <v>4418.64</v>
      </c>
      <c r="AZ141" t="n">
        <v>4316.847</v>
      </c>
      <c r="BA141" t="n">
        <v>4061.373</v>
      </c>
      <c r="BB141" t="n">
        <v>2947.771</v>
      </c>
      <c r="BC141" t="n">
        <v>3602.831</v>
      </c>
      <c r="BD141" t="n">
        <v>3930.361</v>
      </c>
      <c r="BE141" t="n">
        <v>3766.596</v>
      </c>
      <c r="BF141" t="n">
        <v>3439.066</v>
      </c>
      <c r="BG141" t="n">
        <v>3766.596</v>
      </c>
      <c r="BH141" t="n">
        <v>3602.831</v>
      </c>
      <c r="BI141" t="n">
        <v>3275.301</v>
      </c>
      <c r="BJ141" t="n">
        <v>3275.301</v>
      </c>
      <c r="BK141" t="n">
        <v>3373.56</v>
      </c>
      <c r="BL141" t="n">
        <v>3406.313</v>
      </c>
      <c r="BM141" t="n">
        <v>3439.066</v>
      </c>
      <c r="BN141" t="n">
        <v>3488.677</v>
      </c>
      <c r="BO141" t="n">
        <v>3168.907</v>
      </c>
      <c r="BP141" t="n">
        <v>3454.498</v>
      </c>
      <c r="BQ141" t="n">
        <v>3271.283</v>
      </c>
      <c r="BR141" t="n">
        <v>2953.375</v>
      </c>
      <c r="BS141" t="n">
        <v>2904.355</v>
      </c>
      <c r="BT141" t="n">
        <v>2595.712</v>
      </c>
      <c r="BU141" t="n">
        <v>2529.718</v>
      </c>
      <c r="BV141" t="n">
        <v>2501.649</v>
      </c>
    </row>
    <row r="142">
      <c r="A142" t="inlineStr">
        <is>
          <t>Larimichthys polyactis</t>
        </is>
      </c>
      <c r="B142" t="inlineStr">
        <is>
          <t>Yellow croaker</t>
        </is>
      </c>
      <c r="C142" t="inlineStr">
        <is>
          <t>Medium benthopelagics (30 - 89 cm)</t>
        </is>
      </c>
      <c r="D142" t="inlineStr">
        <is>
          <t>Perch-likes</t>
        </is>
      </c>
      <c r="E142" t="n">
        <v>807.192</v>
      </c>
      <c r="F142" t="n">
        <v>1036.993</v>
      </c>
      <c r="G142" t="n">
        <v>1318.954</v>
      </c>
      <c r="H142" t="n">
        <v>1345.097</v>
      </c>
      <c r="I142" t="n">
        <v>1614.002</v>
      </c>
      <c r="J142" t="n">
        <v>906.259</v>
      </c>
      <c r="K142" t="n">
        <v>1058.892</v>
      </c>
      <c r="L142" t="n">
        <v>1029.888</v>
      </c>
      <c r="M142" t="n">
        <v>1015.018</v>
      </c>
      <c r="N142" t="n">
        <v>1117.904</v>
      </c>
      <c r="O142" t="n">
        <v>1062.264</v>
      </c>
      <c r="P142" t="n">
        <v>1131.42</v>
      </c>
      <c r="Q142" t="n">
        <v>1180.09</v>
      </c>
      <c r="R142" t="n">
        <v>1122.495</v>
      </c>
      <c r="S142" t="n">
        <v>1269.973</v>
      </c>
      <c r="T142" t="n">
        <v>1229.996</v>
      </c>
      <c r="U142" t="n">
        <v>1195.969</v>
      </c>
      <c r="V142" t="n">
        <v>1217.869</v>
      </c>
      <c r="W142" t="n">
        <v>1277.113</v>
      </c>
      <c r="X142" t="n">
        <v>1205.78</v>
      </c>
      <c r="Y142" t="n">
        <v>1577.259</v>
      </c>
      <c r="Z142" t="n">
        <v>1851.72</v>
      </c>
      <c r="AA142" t="n">
        <v>1308.282</v>
      </c>
      <c r="AB142" t="n">
        <v>2183.485</v>
      </c>
      <c r="AC142" t="n">
        <v>423.964</v>
      </c>
      <c r="AD142" t="n">
        <v>613.167</v>
      </c>
      <c r="AE142" t="n">
        <v>678.5599999999999</v>
      </c>
      <c r="AF142" t="n">
        <v>680.234</v>
      </c>
      <c r="AG142" t="n">
        <v>1918.546</v>
      </c>
      <c r="AH142" t="n">
        <v>2202.967</v>
      </c>
      <c r="AI142" t="n">
        <v>2111.445</v>
      </c>
      <c r="AJ142" t="n">
        <v>2069.99</v>
      </c>
      <c r="AK142" t="n">
        <v>1914.046</v>
      </c>
      <c r="AL142" t="n">
        <v>1913.898</v>
      </c>
      <c r="AM142" t="n">
        <v>1619.409</v>
      </c>
      <c r="AN142" t="n">
        <v>2363.383</v>
      </c>
      <c r="AO142" t="n">
        <v>1721.507</v>
      </c>
      <c r="AP142" t="n">
        <v>1700.846</v>
      </c>
      <c r="AQ142" t="n">
        <v>1747.974</v>
      </c>
      <c r="AR142" t="n">
        <v>1390.84</v>
      </c>
      <c r="AS142" t="n">
        <v>1090.111</v>
      </c>
      <c r="AT142" t="n">
        <v>1704.729</v>
      </c>
      <c r="AU142" t="n">
        <v>2256.012</v>
      </c>
      <c r="AV142" t="n">
        <v>2595.432</v>
      </c>
      <c r="AW142" t="n">
        <v>3950.813</v>
      </c>
      <c r="AX142" t="n">
        <v>5443.795</v>
      </c>
      <c r="AY142" t="n">
        <v>8123.409</v>
      </c>
      <c r="AZ142" t="n">
        <v>4703.415</v>
      </c>
      <c r="BA142" t="n">
        <v>5192.578</v>
      </c>
      <c r="BB142" t="n">
        <v>5599.369</v>
      </c>
      <c r="BC142" t="n">
        <v>6114.292</v>
      </c>
      <c r="BD142" t="n">
        <v>5985.242</v>
      </c>
      <c r="BE142" t="n">
        <v>6272.668</v>
      </c>
      <c r="BF142" t="n">
        <v>6600.028</v>
      </c>
      <c r="BG142" t="n">
        <v>7217.73</v>
      </c>
      <c r="BH142" t="n">
        <v>6815.487</v>
      </c>
      <c r="BI142" t="n">
        <v>7153.897</v>
      </c>
      <c r="BJ142" t="n">
        <v>7655.633</v>
      </c>
      <c r="BK142" t="n">
        <v>8086.377</v>
      </c>
      <c r="BL142" t="n">
        <v>8130.166</v>
      </c>
      <c r="BM142" t="n">
        <v>9768.74</v>
      </c>
      <c r="BN142" t="n">
        <v>9534.602000000001</v>
      </c>
      <c r="BO142" t="n">
        <v>11912.26</v>
      </c>
      <c r="BP142" t="n">
        <v>10821.241</v>
      </c>
      <c r="BQ142" t="n">
        <v>10194.082</v>
      </c>
      <c r="BR142" t="n">
        <v>11233.661</v>
      </c>
      <c r="BS142" t="n">
        <v>8851.459000000001</v>
      </c>
      <c r="BT142" t="n">
        <v>8679.504999999999</v>
      </c>
      <c r="BU142" t="n">
        <v>8443.779</v>
      </c>
      <c r="BV142" t="n">
        <v>8497.915999999999</v>
      </c>
    </row>
    <row r="143">
      <c r="A143" t="inlineStr">
        <is>
          <t>Tetraodontidae</t>
        </is>
      </c>
      <c r="B143" t="inlineStr">
        <is>
          <t>Puffers, tobies</t>
        </is>
      </c>
      <c r="C143" t="inlineStr">
        <is>
          <t>Large reef assoc. fish (&gt;=90 cm)</t>
        </is>
      </c>
      <c r="D143" t="inlineStr">
        <is>
          <t>Other fishes &amp; inverts</t>
        </is>
      </c>
      <c r="E143" t="n">
        <v>933.128</v>
      </c>
      <c r="F143" t="n">
        <v>917.55</v>
      </c>
      <c r="G143" t="n">
        <v>1294.464</v>
      </c>
      <c r="H143" t="n">
        <v>1377.352</v>
      </c>
      <c r="I143" t="n">
        <v>1670.658</v>
      </c>
      <c r="J143" t="n">
        <v>1902.249</v>
      </c>
      <c r="K143" t="n">
        <v>1331.563</v>
      </c>
      <c r="L143" t="n">
        <v>1440.007</v>
      </c>
      <c r="M143" t="n">
        <v>1207.026</v>
      </c>
      <c r="N143" t="n">
        <v>1223.266</v>
      </c>
      <c r="O143" t="n">
        <v>2832.976</v>
      </c>
      <c r="P143" t="n">
        <v>2120.818</v>
      </c>
      <c r="Q143" t="n">
        <v>2529.146</v>
      </c>
      <c r="R143" t="n">
        <v>2083.957</v>
      </c>
      <c r="S143" t="n">
        <v>1804.046</v>
      </c>
      <c r="T143" t="n">
        <v>6308.742</v>
      </c>
      <c r="U143" t="n">
        <v>3062.308</v>
      </c>
      <c r="V143" t="n">
        <v>4509.952</v>
      </c>
      <c r="W143" t="n">
        <v>4557.972</v>
      </c>
      <c r="X143" t="n">
        <v>5677.694</v>
      </c>
      <c r="Y143" t="n">
        <v>2992.564</v>
      </c>
      <c r="Z143" t="n">
        <v>3577.413</v>
      </c>
      <c r="AA143" t="n">
        <v>3202.014</v>
      </c>
      <c r="AB143" t="n">
        <v>6037.662</v>
      </c>
      <c r="AC143" t="n">
        <v>4530.236</v>
      </c>
      <c r="AD143" t="n">
        <v>4072.971</v>
      </c>
      <c r="AE143" t="n">
        <v>3549.916</v>
      </c>
      <c r="AF143" t="n">
        <v>4688.512</v>
      </c>
      <c r="AG143" t="n">
        <v>3182.258</v>
      </c>
      <c r="AH143" t="n">
        <v>2691.044</v>
      </c>
      <c r="AI143" t="n">
        <v>1710.343</v>
      </c>
      <c r="AJ143" t="n">
        <v>1514.831</v>
      </c>
      <c r="AK143" t="n">
        <v>3303.308</v>
      </c>
      <c r="AL143" t="n">
        <v>1725.673</v>
      </c>
      <c r="AM143" t="n">
        <v>2137.13</v>
      </c>
      <c r="AN143" t="n">
        <v>2111.101</v>
      </c>
      <c r="AO143" t="n">
        <v>2360.468</v>
      </c>
      <c r="AP143" t="n">
        <v>3301.382</v>
      </c>
      <c r="AQ143" t="n">
        <v>3076.464</v>
      </c>
      <c r="AR143" t="n">
        <v>4299.863</v>
      </c>
      <c r="AS143" t="n">
        <v>5392.926</v>
      </c>
      <c r="AT143" t="n">
        <v>4719.631</v>
      </c>
      <c r="AU143" t="n">
        <v>8494.745999999999</v>
      </c>
      <c r="AV143" t="n">
        <v>4824.826</v>
      </c>
      <c r="AW143" t="n">
        <v>5078.459</v>
      </c>
      <c r="AX143" t="n">
        <v>9240.531999999999</v>
      </c>
      <c r="AY143" t="n">
        <v>10277.124</v>
      </c>
      <c r="AZ143" t="n">
        <v>7509.884</v>
      </c>
      <c r="BA143" t="n">
        <v>5448.386</v>
      </c>
      <c r="BB143" t="n">
        <v>5198.355</v>
      </c>
      <c r="BC143" t="n">
        <v>4069.402</v>
      </c>
      <c r="BD143" t="n">
        <v>4681.708</v>
      </c>
      <c r="BE143" t="n">
        <v>4547.799</v>
      </c>
      <c r="BF143" t="n">
        <v>3897.112</v>
      </c>
      <c r="BG143" t="n">
        <v>4242.71</v>
      </c>
      <c r="BH143" t="n">
        <v>4817.532</v>
      </c>
      <c r="BI143" t="n">
        <v>4052.815</v>
      </c>
      <c r="BJ143" t="n">
        <v>5975.371</v>
      </c>
      <c r="BK143" t="n">
        <v>3140.41</v>
      </c>
      <c r="BL143" t="n">
        <v>3750.468</v>
      </c>
      <c r="BM143" t="n">
        <v>3938.063</v>
      </c>
      <c r="BN143" t="n">
        <v>3870.588</v>
      </c>
      <c r="BO143" t="n">
        <v>3799.594</v>
      </c>
      <c r="BP143" t="n">
        <v>4354.762</v>
      </c>
      <c r="BQ143" t="n">
        <v>4278.284</v>
      </c>
      <c r="BR143" t="n">
        <v>3935.294</v>
      </c>
      <c r="BS143" t="n">
        <v>4548.543</v>
      </c>
      <c r="BT143" t="n">
        <v>4255.546</v>
      </c>
      <c r="BU143" t="n">
        <v>4159.148</v>
      </c>
      <c r="BV143" t="n">
        <v>3914.083</v>
      </c>
    </row>
    <row r="144">
      <c r="A144" t="inlineStr">
        <is>
          <t>Exocoetidae</t>
        </is>
      </c>
      <c r="B144" t="inlineStr">
        <is>
          <t>Flyingfishes</t>
        </is>
      </c>
      <c r="C144" t="inlineStr">
        <is>
          <t>Small pelagics (&lt;30 cm)</t>
        </is>
      </c>
      <c r="D144" t="inlineStr">
        <is>
          <t>Other fishes &amp; inverts</t>
        </is>
      </c>
      <c r="E144" t="n">
        <v>6364.803</v>
      </c>
      <c r="F144" t="n">
        <v>8593.989</v>
      </c>
      <c r="G144" t="n">
        <v>10645.323</v>
      </c>
      <c r="H144" t="n">
        <v>10033.995</v>
      </c>
      <c r="I144" t="n">
        <v>14054.829</v>
      </c>
      <c r="J144" t="n">
        <v>8712.991</v>
      </c>
      <c r="K144" t="n">
        <v>12468.88</v>
      </c>
      <c r="L144" t="n">
        <v>10506.316</v>
      </c>
      <c r="M144" t="n">
        <v>10327.079</v>
      </c>
      <c r="N144" t="n">
        <v>11351.976</v>
      </c>
      <c r="O144" t="n">
        <v>11285.698</v>
      </c>
      <c r="P144" t="n">
        <v>10960.526</v>
      </c>
      <c r="Q144" t="n">
        <v>12129.105</v>
      </c>
      <c r="R144" t="n">
        <v>8634.966</v>
      </c>
      <c r="S144" t="n">
        <v>8077.15</v>
      </c>
      <c r="T144" t="n">
        <v>8094.558</v>
      </c>
      <c r="U144" t="n">
        <v>5839.61</v>
      </c>
      <c r="V144" t="n">
        <v>8520.932000000001</v>
      </c>
      <c r="W144" t="n">
        <v>5692.848</v>
      </c>
      <c r="X144" t="n">
        <v>6105.913</v>
      </c>
      <c r="Y144" t="n">
        <v>3568.056</v>
      </c>
      <c r="Z144" t="n">
        <v>3287.947</v>
      </c>
      <c r="AA144" t="n">
        <v>2291.906</v>
      </c>
      <c r="AB144" t="n">
        <v>1708.809</v>
      </c>
      <c r="AC144" t="n">
        <v>1216.694</v>
      </c>
      <c r="AD144" t="n">
        <v>2010.13</v>
      </c>
      <c r="AE144" t="n">
        <v>1759.959</v>
      </c>
      <c r="AF144" t="n">
        <v>1707.194</v>
      </c>
      <c r="AG144" t="n">
        <v>2148.295</v>
      </c>
      <c r="AH144" t="n">
        <v>1461.558</v>
      </c>
      <c r="AI144" t="n">
        <v>1028.825</v>
      </c>
      <c r="AJ144" t="n">
        <v>1045.714</v>
      </c>
      <c r="AK144" t="n">
        <v>935.971</v>
      </c>
      <c r="AL144" t="n">
        <v>1945.242</v>
      </c>
      <c r="AM144" t="n">
        <v>1341.369</v>
      </c>
      <c r="AN144" t="n">
        <v>1341.622</v>
      </c>
      <c r="AO144" t="n">
        <v>1063.08</v>
      </c>
      <c r="AP144" t="n">
        <v>1349.922</v>
      </c>
      <c r="AQ144" t="n">
        <v>1025.601</v>
      </c>
      <c r="AR144" t="n">
        <v>1028.006</v>
      </c>
      <c r="AS144" t="n">
        <v>1007.345</v>
      </c>
      <c r="AT144" t="n">
        <v>964.477</v>
      </c>
      <c r="AU144" t="n">
        <v>1127.736</v>
      </c>
      <c r="AV144" t="n">
        <v>1522.31</v>
      </c>
      <c r="AW144" t="n">
        <v>2401.505</v>
      </c>
      <c r="AX144" t="n">
        <v>1873.273</v>
      </c>
      <c r="AY144" t="n">
        <v>3057.724</v>
      </c>
      <c r="AZ144" t="n">
        <v>9562.786</v>
      </c>
      <c r="BA144" t="n">
        <v>3798.421</v>
      </c>
      <c r="BB144" t="n">
        <v>2286.933</v>
      </c>
      <c r="BC144" t="n">
        <v>828.489</v>
      </c>
      <c r="BD144" t="n">
        <v>1078.564</v>
      </c>
      <c r="BE144" t="n">
        <v>1430.017</v>
      </c>
      <c r="BF144" t="n">
        <v>563.293</v>
      </c>
      <c r="BG144" t="n">
        <v>1886.12</v>
      </c>
      <c r="BH144" t="n">
        <v>640.92</v>
      </c>
      <c r="BI144" t="n">
        <v>190.877</v>
      </c>
      <c r="BJ144" t="n">
        <v>160.312</v>
      </c>
      <c r="BK144" t="n">
        <v>153.091</v>
      </c>
      <c r="BL144" t="n">
        <v>700.0170000000001</v>
      </c>
      <c r="BM144" t="n">
        <v>112.188</v>
      </c>
      <c r="BN144" t="n">
        <v>119.453</v>
      </c>
      <c r="BO144" t="n">
        <v>269.47</v>
      </c>
      <c r="BP144" t="n">
        <v>283.15</v>
      </c>
      <c r="BQ144" t="n">
        <v>284.199</v>
      </c>
      <c r="BR144" t="n">
        <v>236.224</v>
      </c>
      <c r="BS144" t="n">
        <v>308.787</v>
      </c>
      <c r="BT144" t="n">
        <v>276.02</v>
      </c>
      <c r="BU144" t="n">
        <v>326.238</v>
      </c>
      <c r="BV144" t="n">
        <v>252.072</v>
      </c>
    </row>
    <row r="145">
      <c r="A145" t="inlineStr">
        <is>
          <t>Upeneus</t>
        </is>
      </c>
      <c r="B145" t="inlineStr">
        <is>
          <t>Upeneid goatfishes</t>
        </is>
      </c>
      <c r="C145" t="inlineStr">
        <is>
          <t>Small reef assoc. fish (&lt;30 cm)</t>
        </is>
      </c>
      <c r="D145" t="inlineStr">
        <is>
          <t>Perch-likes</t>
        </is>
      </c>
      <c r="E145" t="n">
        <v>8.526</v>
      </c>
      <c r="F145" t="n">
        <v>8.526</v>
      </c>
      <c r="G145" t="n">
        <v>10.284</v>
      </c>
      <c r="H145" t="n">
        <v>9.164999999999999</v>
      </c>
      <c r="I145" t="n">
        <v>8.207000000000001</v>
      </c>
      <c r="J145" t="n">
        <v>8.207000000000001</v>
      </c>
      <c r="K145" t="n">
        <v>8.715</v>
      </c>
      <c r="L145" t="n">
        <v>8.395</v>
      </c>
      <c r="M145" t="n">
        <v>9.194000000000001</v>
      </c>
      <c r="N145" t="n">
        <v>9.542999999999999</v>
      </c>
      <c r="O145" t="n">
        <v>11.62</v>
      </c>
      <c r="P145" t="n">
        <v>13.857</v>
      </c>
      <c r="Q145" t="n">
        <v>14.176</v>
      </c>
      <c r="R145" t="n">
        <v>20.408</v>
      </c>
      <c r="S145" t="n">
        <v>19.289</v>
      </c>
      <c r="T145" t="n">
        <v>51.589</v>
      </c>
      <c r="U145" t="n">
        <v>79.08199999999999</v>
      </c>
      <c r="V145" t="n">
        <v>108.287</v>
      </c>
      <c r="W145" t="n">
        <v>150.877</v>
      </c>
      <c r="X145" t="n">
        <v>156.088</v>
      </c>
      <c r="Y145" t="n">
        <v>356.497</v>
      </c>
      <c r="Z145" t="n">
        <v>390.332</v>
      </c>
      <c r="AA145" t="n">
        <v>549.901</v>
      </c>
      <c r="AB145" t="n">
        <v>676.4930000000001</v>
      </c>
      <c r="AC145" t="n">
        <v>1089.991</v>
      </c>
      <c r="AD145" t="n">
        <v>1258.276</v>
      </c>
      <c r="AE145" t="n">
        <v>289.602</v>
      </c>
      <c r="AF145" t="n">
        <v>332.704</v>
      </c>
      <c r="AG145" t="n">
        <v>331.618</v>
      </c>
      <c r="AH145" t="n">
        <v>349.775</v>
      </c>
      <c r="AI145" t="n">
        <v>785.398</v>
      </c>
      <c r="AJ145" t="n">
        <v>900.276</v>
      </c>
      <c r="AK145" t="n">
        <v>881.314</v>
      </c>
      <c r="AL145" t="n">
        <v>829.684</v>
      </c>
      <c r="AM145" t="n">
        <v>634.0839999999999</v>
      </c>
      <c r="AN145" t="n">
        <v>599.694</v>
      </c>
      <c r="AO145" t="n">
        <v>677.429</v>
      </c>
      <c r="AP145" t="n">
        <v>674.265</v>
      </c>
      <c r="AQ145" t="n">
        <v>687.593</v>
      </c>
      <c r="AR145" t="n">
        <v>804.413</v>
      </c>
      <c r="AS145" t="n">
        <v>1072.596</v>
      </c>
      <c r="AT145" t="n">
        <v>1102.96</v>
      </c>
      <c r="AU145" t="n">
        <v>1091.304</v>
      </c>
      <c r="AV145" t="n">
        <v>1169.25</v>
      </c>
      <c r="AW145" t="n">
        <v>1148.112</v>
      </c>
      <c r="AX145" t="n">
        <v>14108.496</v>
      </c>
      <c r="AY145" t="n">
        <v>14125.37</v>
      </c>
      <c r="AZ145" t="n">
        <v>13979.126</v>
      </c>
      <c r="BA145" t="n">
        <v>12988.763</v>
      </c>
      <c r="BB145" t="n">
        <v>16307.414</v>
      </c>
      <c r="BC145" t="n">
        <v>7825.039</v>
      </c>
      <c r="BD145" t="n">
        <v>8650.772999999999</v>
      </c>
      <c r="BE145" t="n">
        <v>9348.241</v>
      </c>
      <c r="BF145" t="n">
        <v>9917.734</v>
      </c>
      <c r="BG145" t="n">
        <v>9645.034</v>
      </c>
      <c r="BH145" t="n">
        <v>9558.064</v>
      </c>
      <c r="BI145" t="n">
        <v>8725.075999999999</v>
      </c>
      <c r="BJ145" t="n">
        <v>8634.983</v>
      </c>
      <c r="BK145" t="n">
        <v>8905.337</v>
      </c>
      <c r="BL145" t="n">
        <v>8203.129000000001</v>
      </c>
      <c r="BM145" t="n">
        <v>7444.321</v>
      </c>
      <c r="BN145" t="n">
        <v>7243.186</v>
      </c>
      <c r="BO145" t="n">
        <v>8152.977</v>
      </c>
      <c r="BP145" t="n">
        <v>8477.951999999999</v>
      </c>
      <c r="BQ145" t="n">
        <v>7770.703</v>
      </c>
      <c r="BR145" t="n">
        <v>8097.764</v>
      </c>
      <c r="BS145" t="n">
        <v>8397.879000000001</v>
      </c>
      <c r="BT145" t="n">
        <v>7735.25</v>
      </c>
      <c r="BU145" t="n">
        <v>7303.759</v>
      </c>
      <c r="BV145" t="n">
        <v>6791.56</v>
      </c>
    </row>
    <row r="146">
      <c r="A146" t="inlineStr">
        <is>
          <t>Seriola</t>
        </is>
      </c>
      <c r="B146" t="inlineStr">
        <is>
          <t>Amberjacks</t>
        </is>
      </c>
      <c r="C146" t="inlineStr">
        <is>
          <t>Large benthopelagics (&gt;=90 cm)</t>
        </is>
      </c>
      <c r="D146" t="inlineStr">
        <is>
          <t>Perch-likes</t>
        </is>
      </c>
      <c r="E146" t="n">
        <v>3033.695</v>
      </c>
      <c r="F146" t="n">
        <v>4160.893</v>
      </c>
      <c r="G146" t="n">
        <v>5077.216</v>
      </c>
      <c r="H146" t="n">
        <v>5635.338</v>
      </c>
      <c r="I146" t="n">
        <v>8431.252</v>
      </c>
      <c r="J146" t="n">
        <v>10049.08</v>
      </c>
      <c r="K146" t="n">
        <v>6123.53</v>
      </c>
      <c r="L146" t="n">
        <v>3899.302</v>
      </c>
      <c r="M146" t="n">
        <v>1957.82</v>
      </c>
      <c r="N146" t="n">
        <v>2109.201</v>
      </c>
      <c r="O146" t="n">
        <v>1728.668</v>
      </c>
      <c r="P146" t="n">
        <v>379.76</v>
      </c>
      <c r="Q146" t="n">
        <v>1720.802</v>
      </c>
      <c r="R146" t="n">
        <v>313.414</v>
      </c>
      <c r="S146" t="n">
        <v>1024.815</v>
      </c>
      <c r="T146" t="n">
        <v>1105.763</v>
      </c>
      <c r="U146" t="n">
        <v>1281.987</v>
      </c>
      <c r="V146" t="n">
        <v>1757.595</v>
      </c>
      <c r="W146" t="n">
        <v>2400.644</v>
      </c>
      <c r="X146" t="n">
        <v>2081.383</v>
      </c>
      <c r="Y146" t="n">
        <v>1012.846</v>
      </c>
      <c r="Z146" t="n">
        <v>774.773</v>
      </c>
      <c r="AA146" t="n">
        <v>1094.371</v>
      </c>
      <c r="AB146" t="n">
        <v>1020.922</v>
      </c>
      <c r="AC146" t="n">
        <v>1545.108</v>
      </c>
      <c r="AD146" t="n">
        <v>2236.714</v>
      </c>
      <c r="AE146" t="n">
        <v>1649.2</v>
      </c>
      <c r="AF146" t="n">
        <v>1110.257</v>
      </c>
      <c r="AG146" t="n">
        <v>796.275</v>
      </c>
      <c r="AH146" t="n">
        <v>830.5599999999999</v>
      </c>
      <c r="AI146" t="n">
        <v>722.496</v>
      </c>
      <c r="AJ146" t="n">
        <v>408.153</v>
      </c>
      <c r="AK146" t="n">
        <v>1428.199</v>
      </c>
      <c r="AL146" t="n">
        <v>1250.864</v>
      </c>
      <c r="AM146" t="n">
        <v>1272.168</v>
      </c>
      <c r="AN146" t="n">
        <v>1944.242</v>
      </c>
      <c r="AO146" t="n">
        <v>2620.155</v>
      </c>
      <c r="AP146" t="n">
        <v>2146.908</v>
      </c>
      <c r="AQ146" t="n">
        <v>3757.246</v>
      </c>
      <c r="AR146" t="n">
        <v>4251.24</v>
      </c>
      <c r="AS146" t="n">
        <v>2705.07</v>
      </c>
      <c r="AT146" t="n">
        <v>3344.361</v>
      </c>
      <c r="AU146" t="n">
        <v>2043.858</v>
      </c>
      <c r="AV146" t="n">
        <v>1746.449</v>
      </c>
      <c r="AW146" t="n">
        <v>2840.29</v>
      </c>
      <c r="AX146" t="n">
        <v>2947.698</v>
      </c>
      <c r="AY146" t="n">
        <v>4104.038</v>
      </c>
      <c r="AZ146" t="n">
        <v>5457.357</v>
      </c>
      <c r="BA146" t="n">
        <v>9944.978999999999</v>
      </c>
      <c r="BB146" t="n">
        <v>6359.893</v>
      </c>
      <c r="BC146" t="n">
        <v>3200.49</v>
      </c>
      <c r="BD146" t="n">
        <v>4353.424</v>
      </c>
      <c r="BE146" t="n">
        <v>3494.622</v>
      </c>
      <c r="BF146" t="n">
        <v>1730.266</v>
      </c>
      <c r="BG146" t="n">
        <v>2357.946</v>
      </c>
      <c r="BH146" t="n">
        <v>1243.625</v>
      </c>
      <c r="BI146" t="n">
        <v>2014.982</v>
      </c>
      <c r="BJ146" t="n">
        <v>2351.03</v>
      </c>
      <c r="BK146" t="n">
        <v>4574.53</v>
      </c>
      <c r="BL146" t="n">
        <v>6384.806</v>
      </c>
      <c r="BM146" t="n">
        <v>9734.923000000001</v>
      </c>
      <c r="BN146" t="n">
        <v>5458.322</v>
      </c>
      <c r="BO146" t="n">
        <v>4894.557</v>
      </c>
      <c r="BP146" t="n">
        <v>7552.48</v>
      </c>
      <c r="BQ146" t="n">
        <v>10450.895</v>
      </c>
      <c r="BR146" t="n">
        <v>8407.885</v>
      </c>
      <c r="BS146" t="n">
        <v>10844.243</v>
      </c>
      <c r="BT146" t="n">
        <v>9881.459000000001</v>
      </c>
      <c r="BU146" t="n">
        <v>10280.705</v>
      </c>
      <c r="BV146" t="n">
        <v>9760.246999999999</v>
      </c>
    </row>
    <row r="147">
      <c r="A147" t="inlineStr">
        <is>
          <t>Conger myriaster</t>
        </is>
      </c>
      <c r="B147" t="inlineStr">
        <is>
          <t>Whitespotted conger</t>
        </is>
      </c>
      <c r="C147" t="inlineStr">
        <is>
          <t>Medium demersals (30 - 89 cm)</t>
        </is>
      </c>
      <c r="D147" t="inlineStr">
        <is>
          <t>Other fishes &amp; inverts</t>
        </is>
      </c>
      <c r="E147" t="n">
        <v>0</v>
      </c>
      <c r="F147" t="n">
        <v>31.842</v>
      </c>
      <c r="G147" t="n">
        <v>80.333</v>
      </c>
      <c r="H147" t="n">
        <v>0</v>
      </c>
      <c r="I147" t="n">
        <v>0</v>
      </c>
      <c r="J147" t="n">
        <v>53.047</v>
      </c>
      <c r="K147" t="n">
        <v>0</v>
      </c>
      <c r="L147" t="n">
        <v>119.084</v>
      </c>
      <c r="M147" t="n">
        <v>84.663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30.43</v>
      </c>
      <c r="U147" t="n">
        <v>0</v>
      </c>
      <c r="V147" t="n">
        <v>58.371</v>
      </c>
      <c r="W147" t="n">
        <v>2033.412</v>
      </c>
      <c r="X147" t="n">
        <v>2419.17</v>
      </c>
      <c r="Y147" t="n">
        <v>1798.672</v>
      </c>
      <c r="Z147" t="n">
        <v>1992.084</v>
      </c>
      <c r="AA147" t="n">
        <v>1995.347</v>
      </c>
      <c r="AB147" t="n">
        <v>1792.163</v>
      </c>
      <c r="AC147" t="n">
        <v>2864.994</v>
      </c>
      <c r="AD147" t="n">
        <v>2875.221</v>
      </c>
      <c r="AE147" t="n">
        <v>2572.415</v>
      </c>
      <c r="AF147" t="n">
        <v>2321.398</v>
      </c>
      <c r="AG147" t="n">
        <v>1459.977</v>
      </c>
      <c r="AH147" t="n">
        <v>2260.791</v>
      </c>
      <c r="AI147" t="n">
        <v>1827.995</v>
      </c>
      <c r="AJ147" t="n">
        <v>1785.916</v>
      </c>
      <c r="AK147" t="n">
        <v>2105.258</v>
      </c>
      <c r="AL147" t="n">
        <v>1322.003</v>
      </c>
      <c r="AM147" t="n">
        <v>1856.138</v>
      </c>
      <c r="AN147" t="n">
        <v>2689.597</v>
      </c>
      <c r="AO147" t="n">
        <v>2238.57</v>
      </c>
      <c r="AP147" t="n">
        <v>3442.247</v>
      </c>
      <c r="AQ147" t="n">
        <v>3894.946</v>
      </c>
      <c r="AR147" t="n">
        <v>5607.938</v>
      </c>
      <c r="AS147" t="n">
        <v>4776.771</v>
      </c>
      <c r="AT147" t="n">
        <v>6062.229</v>
      </c>
      <c r="AU147" t="n">
        <v>13344.04</v>
      </c>
      <c r="AV147" t="n">
        <v>12234.193</v>
      </c>
      <c r="AW147" t="n">
        <v>11261.741</v>
      </c>
      <c r="AX147" t="n">
        <v>10373.705</v>
      </c>
      <c r="AY147" t="n">
        <v>12035.695</v>
      </c>
      <c r="AZ147" t="n">
        <v>11726.36</v>
      </c>
      <c r="BA147" t="n">
        <v>8729.266</v>
      </c>
      <c r="BB147" t="n">
        <v>5291.472</v>
      </c>
      <c r="BC147" t="n">
        <v>3886.875</v>
      </c>
      <c r="BD147" t="n">
        <v>3712.123</v>
      </c>
      <c r="BE147" t="n">
        <v>7842.401</v>
      </c>
      <c r="BF147" t="n">
        <v>4737.958</v>
      </c>
      <c r="BG147" t="n">
        <v>4701.709</v>
      </c>
      <c r="BH147" t="n">
        <v>4278.72</v>
      </c>
      <c r="BI147" t="n">
        <v>3941.657</v>
      </c>
      <c r="BJ147" t="n">
        <v>4667.258</v>
      </c>
      <c r="BK147" t="n">
        <v>4474.852</v>
      </c>
      <c r="BL147" t="n">
        <v>4231.583</v>
      </c>
      <c r="BM147" t="n">
        <v>4817.732</v>
      </c>
      <c r="BN147" t="n">
        <v>5932.868</v>
      </c>
      <c r="BO147" t="n">
        <v>6203.785</v>
      </c>
      <c r="BP147" t="n">
        <v>5277.587</v>
      </c>
      <c r="BQ147" t="n">
        <v>5681.365</v>
      </c>
      <c r="BR147" t="n">
        <v>4580.353</v>
      </c>
      <c r="BS147" t="n">
        <v>6044.217</v>
      </c>
      <c r="BT147" t="n">
        <v>5704.507</v>
      </c>
      <c r="BU147" t="n">
        <v>5786.851</v>
      </c>
      <c r="BV147" t="n">
        <v>5404.878</v>
      </c>
    </row>
    <row r="148">
      <c r="A148" t="inlineStr">
        <is>
          <t>Mugil</t>
        </is>
      </c>
      <c r="B148" t="inlineStr">
        <is>
          <t>Grey mullets</t>
        </is>
      </c>
      <c r="C148" t="inlineStr">
        <is>
          <t>Medium demersals (30 - 89 cm)</t>
        </is>
      </c>
      <c r="D148" t="inlineStr">
        <is>
          <t>Perch-likes</t>
        </is>
      </c>
      <c r="E148" t="n">
        <v>447.864</v>
      </c>
      <c r="F148" t="n">
        <v>458.791</v>
      </c>
      <c r="G148" t="n">
        <v>462.886</v>
      </c>
      <c r="H148" t="n">
        <v>468.137</v>
      </c>
      <c r="I148" t="n">
        <v>515.954</v>
      </c>
      <c r="J148" t="n">
        <v>536.1799999999999</v>
      </c>
      <c r="K148" t="n">
        <v>564.862</v>
      </c>
      <c r="L148" t="n">
        <v>578.299</v>
      </c>
      <c r="M148" t="n">
        <v>621.207</v>
      </c>
      <c r="N148" t="n">
        <v>655.7670000000001</v>
      </c>
      <c r="O148" t="n">
        <v>698.428</v>
      </c>
      <c r="P148" t="n">
        <v>711.807</v>
      </c>
      <c r="Q148" t="n">
        <v>768.123</v>
      </c>
      <c r="R148" t="n">
        <v>820.319</v>
      </c>
      <c r="S148" t="n">
        <v>944.551</v>
      </c>
      <c r="T148" t="n">
        <v>1181.168</v>
      </c>
      <c r="U148" t="n">
        <v>1244.215</v>
      </c>
      <c r="V148" t="n">
        <v>1420.382</v>
      </c>
      <c r="W148" t="n">
        <v>1439.166</v>
      </c>
      <c r="X148" t="n">
        <v>1354.01</v>
      </c>
      <c r="Y148" t="n">
        <v>1406.831</v>
      </c>
      <c r="Z148" t="n">
        <v>1447.619</v>
      </c>
      <c r="AA148" t="n">
        <v>1483.836</v>
      </c>
      <c r="AB148" t="n">
        <v>1560.397</v>
      </c>
      <c r="AC148" t="n">
        <v>1628.855</v>
      </c>
      <c r="AD148" t="n">
        <v>1668.262</v>
      </c>
      <c r="AE148" t="n">
        <v>1822.725</v>
      </c>
      <c r="AF148" t="n">
        <v>2024.817</v>
      </c>
      <c r="AG148" t="n">
        <v>2165.094</v>
      </c>
      <c r="AH148" t="n">
        <v>2128.637</v>
      </c>
      <c r="AI148" t="n">
        <v>1906.454</v>
      </c>
      <c r="AJ148" t="n">
        <v>2031.084</v>
      </c>
      <c r="AK148" t="n">
        <v>1999.567</v>
      </c>
      <c r="AL148" t="n">
        <v>2471.18</v>
      </c>
      <c r="AM148" t="n">
        <v>2798.812</v>
      </c>
      <c r="AN148" t="n">
        <v>4270.505</v>
      </c>
      <c r="AO148" t="n">
        <v>4293.355</v>
      </c>
      <c r="AP148" t="n">
        <v>4293.357</v>
      </c>
      <c r="AQ148" t="n">
        <v>4624.129</v>
      </c>
      <c r="AR148" t="n">
        <v>4638.467</v>
      </c>
      <c r="AS148" t="n">
        <v>3272.043</v>
      </c>
      <c r="AT148" t="n">
        <v>4966.331</v>
      </c>
      <c r="AU148" t="n">
        <v>5568.979</v>
      </c>
      <c r="AV148" t="n">
        <v>5021.29</v>
      </c>
      <c r="AW148" t="n">
        <v>9322.135</v>
      </c>
      <c r="AX148" t="n">
        <v>6565.947</v>
      </c>
      <c r="AY148" t="n">
        <v>6315.648</v>
      </c>
      <c r="AZ148" t="n">
        <v>6179.123</v>
      </c>
      <c r="BA148" t="n">
        <v>6202.891</v>
      </c>
      <c r="BB148" t="n">
        <v>6815.273</v>
      </c>
      <c r="BC148" t="n">
        <v>6373.272</v>
      </c>
      <c r="BD148" t="n">
        <v>6140.204</v>
      </c>
      <c r="BE148" t="n">
        <v>5971.871</v>
      </c>
      <c r="BF148" t="n">
        <v>5818.947</v>
      </c>
      <c r="BG148" t="n">
        <v>6208.207</v>
      </c>
      <c r="BH148" t="n">
        <v>6742.886</v>
      </c>
      <c r="BI148" t="n">
        <v>6476.104</v>
      </c>
      <c r="BJ148" t="n">
        <v>6375.635</v>
      </c>
      <c r="BK148" t="n">
        <v>6317.143</v>
      </c>
      <c r="BL148" t="n">
        <v>5685.451</v>
      </c>
      <c r="BM148" t="n">
        <v>6009.245</v>
      </c>
      <c r="BN148" t="n">
        <v>5983.072</v>
      </c>
      <c r="BO148" t="n">
        <v>6561.15</v>
      </c>
      <c r="BP148" t="n">
        <v>6598.072</v>
      </c>
      <c r="BQ148" t="n">
        <v>6144.01</v>
      </c>
      <c r="BR148" t="n">
        <v>6281.22</v>
      </c>
      <c r="BS148" t="n">
        <v>6495.601</v>
      </c>
      <c r="BT148" t="n">
        <v>6104.388</v>
      </c>
      <c r="BU148" t="n">
        <v>5831.511</v>
      </c>
      <c r="BV148" t="n">
        <v>5637.664</v>
      </c>
    </row>
    <row r="149">
      <c r="A149" t="inlineStr">
        <is>
          <t>Psettodes erumei</t>
        </is>
      </c>
      <c r="B149" t="inlineStr">
        <is>
          <t>Indian halibut</t>
        </is>
      </c>
      <c r="C149" t="inlineStr">
        <is>
          <t>Small to medium flatfishes (&lt;90 cm)</t>
        </is>
      </c>
      <c r="D149" t="inlineStr">
        <is>
          <t>Flatfishes</t>
        </is>
      </c>
      <c r="E149" t="n">
        <v>8.693</v>
      </c>
      <c r="F149" t="n">
        <v>8.239000000000001</v>
      </c>
      <c r="G149" t="n">
        <v>11.207</v>
      </c>
      <c r="H149" t="n">
        <v>10.532</v>
      </c>
      <c r="I149" t="n">
        <v>9.733000000000001</v>
      </c>
      <c r="J149" t="n">
        <v>12.065</v>
      </c>
      <c r="K149" t="n">
        <v>12.614</v>
      </c>
      <c r="L149" t="n">
        <v>12.997</v>
      </c>
      <c r="M149" t="n">
        <v>14.332</v>
      </c>
      <c r="N149" t="n">
        <v>14.958</v>
      </c>
      <c r="O149" t="n">
        <v>15.316</v>
      </c>
      <c r="P149" t="n">
        <v>17.239</v>
      </c>
      <c r="Q149" t="n">
        <v>17.913</v>
      </c>
      <c r="R149" t="n">
        <v>19.403</v>
      </c>
      <c r="S149" t="n">
        <v>47.197</v>
      </c>
      <c r="T149" t="n">
        <v>53.83</v>
      </c>
      <c r="U149" t="n">
        <v>57.804</v>
      </c>
      <c r="V149" t="n">
        <v>59.025</v>
      </c>
      <c r="W149" t="n">
        <v>66.739</v>
      </c>
      <c r="X149" t="n">
        <v>68.40000000000001</v>
      </c>
      <c r="Y149" t="n">
        <v>74.992</v>
      </c>
      <c r="Z149" t="n">
        <v>76.349</v>
      </c>
      <c r="AA149" t="n">
        <v>75.988</v>
      </c>
      <c r="AB149" t="n">
        <v>12137.876</v>
      </c>
      <c r="AC149" t="n">
        <v>8987.868</v>
      </c>
      <c r="AD149" t="n">
        <v>9361.522999999999</v>
      </c>
      <c r="AE149" t="n">
        <v>11005.806</v>
      </c>
      <c r="AF149" t="n">
        <v>11012.677</v>
      </c>
      <c r="AG149" t="n">
        <v>10013.28</v>
      </c>
      <c r="AH149" t="n">
        <v>11215.983</v>
      </c>
      <c r="AI149" t="n">
        <v>11307.384</v>
      </c>
      <c r="AJ149" t="n">
        <v>12499.566</v>
      </c>
      <c r="AK149" t="n">
        <v>10613.141</v>
      </c>
      <c r="AL149" t="n">
        <v>8976.389999999999</v>
      </c>
      <c r="AM149" t="n">
        <v>11510.298</v>
      </c>
      <c r="AN149" t="n">
        <v>10519.226</v>
      </c>
      <c r="AO149" t="n">
        <v>11028.821</v>
      </c>
      <c r="AP149" t="n">
        <v>9877.288</v>
      </c>
      <c r="AQ149" t="n">
        <v>8365.894</v>
      </c>
      <c r="AR149" t="n">
        <v>7916.503</v>
      </c>
      <c r="AS149" t="n">
        <v>7832.565</v>
      </c>
      <c r="AT149" t="n">
        <v>2840.849</v>
      </c>
      <c r="AU149" t="n">
        <v>1708.724</v>
      </c>
      <c r="AV149" t="n">
        <v>1265.687</v>
      </c>
      <c r="AW149" t="n">
        <v>1783.282</v>
      </c>
      <c r="AX149" t="n">
        <v>1764.198</v>
      </c>
      <c r="AY149" t="n">
        <v>1553.511</v>
      </c>
      <c r="AZ149" t="n">
        <v>1450.38</v>
      </c>
      <c r="BA149" t="n">
        <v>1319.905</v>
      </c>
      <c r="BB149" t="n">
        <v>1769.326</v>
      </c>
      <c r="BC149" t="n">
        <v>1781.221</v>
      </c>
      <c r="BD149" t="n">
        <v>548.048</v>
      </c>
      <c r="BE149" t="n">
        <v>768.2430000000001</v>
      </c>
      <c r="BF149" t="n">
        <v>1004.315</v>
      </c>
      <c r="BG149" t="n">
        <v>1549.154</v>
      </c>
      <c r="BH149" t="n">
        <v>1800.019</v>
      </c>
      <c r="BI149" t="n">
        <v>1754.17</v>
      </c>
      <c r="BJ149" t="n">
        <v>1736.701</v>
      </c>
      <c r="BK149" t="n">
        <v>2379.022</v>
      </c>
      <c r="BL149" t="n">
        <v>2381.771</v>
      </c>
      <c r="BM149" t="n">
        <v>2338.263</v>
      </c>
      <c r="BN149" t="n">
        <v>2298.459</v>
      </c>
      <c r="BO149" t="n">
        <v>2366.529</v>
      </c>
      <c r="BP149" t="n">
        <v>2417.338</v>
      </c>
      <c r="BQ149" t="n">
        <v>2480.732</v>
      </c>
      <c r="BR149" t="n">
        <v>2547.16</v>
      </c>
      <c r="BS149" t="n">
        <v>2680.264</v>
      </c>
      <c r="BT149" t="n">
        <v>2894.143</v>
      </c>
      <c r="BU149" t="n">
        <v>3579.372</v>
      </c>
      <c r="BV149" t="n">
        <v>3601.437</v>
      </c>
    </row>
    <row r="150">
      <c r="A150" t="inlineStr">
        <is>
          <t>Acetes</t>
        </is>
      </c>
      <c r="B150" t="inlineStr">
        <is>
          <t>Acetes shrimps</t>
        </is>
      </c>
      <c r="C150" t="inlineStr">
        <is>
          <t>Shrimps</t>
        </is>
      </c>
      <c r="D150" t="inlineStr">
        <is>
          <t>Crustaceans</t>
        </is>
      </c>
      <c r="E150" t="n">
        <v>911.066</v>
      </c>
      <c r="F150" t="n">
        <v>951.843</v>
      </c>
      <c r="G150" t="n">
        <v>943.682</v>
      </c>
      <c r="H150" t="n">
        <v>938.365</v>
      </c>
      <c r="I150" t="n">
        <v>1569.686</v>
      </c>
      <c r="J150" t="n">
        <v>1082.747</v>
      </c>
      <c r="K150" t="n">
        <v>1140.098</v>
      </c>
      <c r="L150" t="n">
        <v>1168.395</v>
      </c>
      <c r="M150" t="n">
        <v>1262.395</v>
      </c>
      <c r="N150" t="n">
        <v>1337.907</v>
      </c>
      <c r="O150" t="n">
        <v>1424.166</v>
      </c>
      <c r="P150" t="n">
        <v>1439.948</v>
      </c>
      <c r="Q150" t="n">
        <v>1567.799</v>
      </c>
      <c r="R150" t="n">
        <v>1718.731</v>
      </c>
      <c r="S150" t="n">
        <v>1891.744</v>
      </c>
      <c r="T150" t="n">
        <v>1989.035</v>
      </c>
      <c r="U150" t="n">
        <v>2083.89</v>
      </c>
      <c r="V150" t="n">
        <v>2238.497</v>
      </c>
      <c r="W150" t="n">
        <v>2481.04</v>
      </c>
      <c r="X150" t="n">
        <v>4416.777</v>
      </c>
      <c r="Y150" t="n">
        <v>2351.233</v>
      </c>
      <c r="Z150" t="n">
        <v>2254.351</v>
      </c>
      <c r="AA150" t="n">
        <v>2152.992</v>
      </c>
      <c r="AB150" t="n">
        <v>2379.527</v>
      </c>
      <c r="AC150" t="n">
        <v>2482.409</v>
      </c>
      <c r="AD150" t="n">
        <v>2229.312</v>
      </c>
      <c r="AE150" t="n">
        <v>3569.98</v>
      </c>
      <c r="AF150" t="n">
        <v>3928.291</v>
      </c>
      <c r="AG150" t="n">
        <v>5000.25</v>
      </c>
      <c r="AH150" t="n">
        <v>4769.224</v>
      </c>
      <c r="AI150" t="n">
        <v>6295.506</v>
      </c>
      <c r="AJ150" t="n">
        <v>7182.287</v>
      </c>
      <c r="AK150" t="n">
        <v>6118.011</v>
      </c>
      <c r="AL150" t="n">
        <v>5921.715</v>
      </c>
      <c r="AM150" t="n">
        <v>5437.592</v>
      </c>
      <c r="AN150" t="n">
        <v>4448.48</v>
      </c>
      <c r="AO150" t="n">
        <v>4134.093</v>
      </c>
      <c r="AP150" t="n">
        <v>3988.08</v>
      </c>
      <c r="AQ150" t="n">
        <v>4545.262</v>
      </c>
      <c r="AR150" t="n">
        <v>4276.477</v>
      </c>
      <c r="AS150" t="n">
        <v>3639.772</v>
      </c>
      <c r="AT150" t="n">
        <v>4736.052</v>
      </c>
      <c r="AU150" t="n">
        <v>3162.686</v>
      </c>
      <c r="AV150" t="n">
        <v>13562.341</v>
      </c>
      <c r="AW150" t="n">
        <v>4820.385</v>
      </c>
      <c r="AX150" t="n">
        <v>3833.307</v>
      </c>
      <c r="AY150" t="n">
        <v>4555.73</v>
      </c>
      <c r="AZ150" t="n">
        <v>4335.451</v>
      </c>
      <c r="BA150" t="n">
        <v>4021.551</v>
      </c>
      <c r="BB150" t="n">
        <v>4641.694</v>
      </c>
      <c r="BC150" t="n">
        <v>3537.908</v>
      </c>
      <c r="BD150" t="n">
        <v>3436.559</v>
      </c>
      <c r="BE150" t="n">
        <v>3019.549</v>
      </c>
      <c r="BF150" t="n">
        <v>2956.8</v>
      </c>
      <c r="BG150" t="n">
        <v>3135.751</v>
      </c>
      <c r="BH150" t="n">
        <v>2896.64</v>
      </c>
      <c r="BI150" t="n">
        <v>2857.608</v>
      </c>
      <c r="BJ150" t="n">
        <v>2721.288</v>
      </c>
      <c r="BK150" t="n">
        <v>2690.084</v>
      </c>
      <c r="BL150" t="n">
        <v>3221.097</v>
      </c>
      <c r="BM150" t="n">
        <v>3315.135</v>
      </c>
      <c r="BN150" t="n">
        <v>2796.22</v>
      </c>
      <c r="BO150" t="n">
        <v>3072.965</v>
      </c>
      <c r="BP150" t="n">
        <v>3072.178</v>
      </c>
      <c r="BQ150" t="n">
        <v>2846.195</v>
      </c>
      <c r="BR150" t="n">
        <v>3308.116</v>
      </c>
      <c r="BS150" t="n">
        <v>3327.032</v>
      </c>
      <c r="BT150" t="n">
        <v>3002.61</v>
      </c>
      <c r="BU150" t="n">
        <v>3178.158</v>
      </c>
      <c r="BV150" t="n">
        <v>2940.432</v>
      </c>
    </row>
    <row r="151">
      <c r="A151" t="inlineStr">
        <is>
          <t>Cypselurus poecilopterus</t>
        </is>
      </c>
      <c r="B151" t="inlineStr">
        <is>
          <t>Yellowing flyingfish</t>
        </is>
      </c>
      <c r="C151" t="inlineStr">
        <is>
          <t>Small pelagics (&lt;30 cm)</t>
        </is>
      </c>
      <c r="D151" t="inlineStr">
        <is>
          <t>Other fishes &amp; inverts</t>
        </is>
      </c>
      <c r="E151" t="n">
        <v>457.6</v>
      </c>
      <c r="F151" t="n">
        <v>569.8390000000001</v>
      </c>
      <c r="G151" t="n">
        <v>586.071</v>
      </c>
      <c r="H151" t="n">
        <v>578.7430000000001</v>
      </c>
      <c r="I151" t="n">
        <v>713.6319999999999</v>
      </c>
      <c r="J151" t="n">
        <v>763.0410000000001</v>
      </c>
      <c r="K151" t="n">
        <v>843.652</v>
      </c>
      <c r="L151" t="n">
        <v>830.599</v>
      </c>
      <c r="M151" t="n">
        <v>874.6</v>
      </c>
      <c r="N151" t="n">
        <v>912.4059999999999</v>
      </c>
      <c r="O151" t="n">
        <v>1004.373</v>
      </c>
      <c r="P151" t="n">
        <v>961.01</v>
      </c>
      <c r="Q151" t="n">
        <v>1064.037</v>
      </c>
      <c r="R151" t="n">
        <v>1253.863</v>
      </c>
      <c r="S151" t="n">
        <v>1424.931</v>
      </c>
      <c r="T151" t="n">
        <v>1587.537</v>
      </c>
      <c r="U151" t="n">
        <v>1675.998</v>
      </c>
      <c r="V151" t="n">
        <v>1768.694</v>
      </c>
      <c r="W151" t="n">
        <v>1998.818</v>
      </c>
      <c r="X151" t="n">
        <v>1930.567</v>
      </c>
      <c r="Y151" t="n">
        <v>2255.887</v>
      </c>
      <c r="Z151" t="n">
        <v>2313.081</v>
      </c>
      <c r="AA151" t="n">
        <v>2589.404</v>
      </c>
      <c r="AB151" t="n">
        <v>2996.956</v>
      </c>
      <c r="AC151" t="n">
        <v>2975.254</v>
      </c>
      <c r="AD151" t="n">
        <v>3033.854</v>
      </c>
      <c r="AE151" t="n">
        <v>2857.631</v>
      </c>
      <c r="AF151" t="n">
        <v>2900.12</v>
      </c>
      <c r="AG151" t="n">
        <v>3257.136</v>
      </c>
      <c r="AH151" t="n">
        <v>3004.88</v>
      </c>
      <c r="AI151" t="n">
        <v>2911.653</v>
      </c>
      <c r="AJ151" t="n">
        <v>3905.187</v>
      </c>
      <c r="AK151" t="n">
        <v>2448.848</v>
      </c>
      <c r="AL151" t="n">
        <v>2883.138</v>
      </c>
      <c r="AM151" t="n">
        <v>2847.955</v>
      </c>
      <c r="AN151" t="n">
        <v>2589.876</v>
      </c>
      <c r="AO151" t="n">
        <v>2374.685</v>
      </c>
      <c r="AP151" t="n">
        <v>2126.28</v>
      </c>
      <c r="AQ151" t="n">
        <v>1829.36</v>
      </c>
      <c r="AR151" t="n">
        <v>2172.568</v>
      </c>
      <c r="AS151" t="n">
        <v>2459.615</v>
      </c>
      <c r="AT151" t="n">
        <v>2765.348</v>
      </c>
      <c r="AU151" t="n">
        <v>6130.131</v>
      </c>
      <c r="AV151" t="n">
        <v>2304.953</v>
      </c>
      <c r="AW151" t="n">
        <v>2077.678</v>
      </c>
      <c r="AX151" t="n">
        <v>2754.757</v>
      </c>
      <c r="AY151" t="n">
        <v>3037.174</v>
      </c>
      <c r="AZ151" t="n">
        <v>10736.407</v>
      </c>
      <c r="BA151" t="n">
        <v>7295.087</v>
      </c>
      <c r="BB151" t="n">
        <v>8910.690000000001</v>
      </c>
      <c r="BC151" t="n">
        <v>6265.419</v>
      </c>
      <c r="BD151" t="n">
        <v>6000.843</v>
      </c>
      <c r="BE151" t="n">
        <v>7483.557</v>
      </c>
      <c r="BF151" t="n">
        <v>8222.028</v>
      </c>
      <c r="BG151" t="n">
        <v>7241.918</v>
      </c>
      <c r="BH151" t="n">
        <v>5618.14</v>
      </c>
      <c r="BI151" t="n">
        <v>5730.76</v>
      </c>
      <c r="BJ151" t="n">
        <v>6013.807</v>
      </c>
      <c r="BK151" t="n">
        <v>5948.837</v>
      </c>
      <c r="BL151" t="n">
        <v>5394.304</v>
      </c>
      <c r="BM151" t="n">
        <v>5119.067</v>
      </c>
      <c r="BN151" t="n">
        <v>4783.431</v>
      </c>
      <c r="BO151" t="n">
        <v>4451.752</v>
      </c>
      <c r="BP151" t="n">
        <v>4074.574</v>
      </c>
      <c r="BQ151" t="n">
        <v>3764.611</v>
      </c>
      <c r="BR151" t="n">
        <v>3755.458</v>
      </c>
      <c r="BS151" t="n">
        <v>3575.087</v>
      </c>
      <c r="BT151" t="n">
        <v>3053.036</v>
      </c>
      <c r="BU151" t="n">
        <v>3284.868</v>
      </c>
      <c r="BV151" t="n">
        <v>3136.068</v>
      </c>
    </row>
    <row r="152">
      <c r="A152" t="inlineStr">
        <is>
          <t>Decapterus russelli</t>
        </is>
      </c>
      <c r="B152" t="inlineStr">
        <is>
          <t>Indian scad</t>
        </is>
      </c>
      <c r="C152" t="inlineStr">
        <is>
          <t>Medium pelagics (30 - 89 cm)</t>
        </is>
      </c>
      <c r="D152" t="inlineStr">
        <is>
          <t>Perch-likes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24.501</v>
      </c>
      <c r="Z152" t="n">
        <v>41.353</v>
      </c>
      <c r="AA152" t="n">
        <v>38.572</v>
      </c>
      <c r="AB152" t="n">
        <v>269.624</v>
      </c>
      <c r="AC152" t="n">
        <v>720.467</v>
      </c>
      <c r="AD152" t="n">
        <v>647.396</v>
      </c>
      <c r="AE152" t="n">
        <v>2390.692</v>
      </c>
      <c r="AF152" t="n">
        <v>4248.357</v>
      </c>
      <c r="AG152" t="n">
        <v>3930.267</v>
      </c>
      <c r="AH152" t="n">
        <v>1114.479</v>
      </c>
      <c r="AI152" t="n">
        <v>1373.424</v>
      </c>
      <c r="AJ152" t="n">
        <v>1760.309</v>
      </c>
      <c r="AK152" t="n">
        <v>1765.138</v>
      </c>
      <c r="AL152" t="n">
        <v>1467.811</v>
      </c>
      <c r="AM152" t="n">
        <v>1780.519</v>
      </c>
      <c r="AN152" t="n">
        <v>1792.998</v>
      </c>
      <c r="AO152" t="n">
        <v>1796.822</v>
      </c>
      <c r="AP152" t="n">
        <v>3360.827</v>
      </c>
      <c r="AQ152" t="n">
        <v>1202.212</v>
      </c>
      <c r="AR152" t="n">
        <v>13017.063</v>
      </c>
      <c r="AS152" t="n">
        <v>20526.886</v>
      </c>
      <c r="AT152" t="n">
        <v>6342.775</v>
      </c>
      <c r="AU152" t="n">
        <v>4903.676</v>
      </c>
      <c r="AV152" t="n">
        <v>5996.319</v>
      </c>
      <c r="AW152" t="n">
        <v>5172.064</v>
      </c>
      <c r="AX152" t="n">
        <v>7192.984</v>
      </c>
      <c r="AY152" t="n">
        <v>7331.562</v>
      </c>
      <c r="AZ152" t="n">
        <v>7165.846</v>
      </c>
      <c r="BA152" t="n">
        <v>11323.388</v>
      </c>
      <c r="BB152" t="n">
        <v>13161.601</v>
      </c>
      <c r="BC152" t="n">
        <v>13165.627</v>
      </c>
      <c r="BD152" t="n">
        <v>11717.792</v>
      </c>
      <c r="BE152" t="n">
        <v>12958.031</v>
      </c>
      <c r="BF152" t="n">
        <v>11890.205</v>
      </c>
      <c r="BG152" t="n">
        <v>12094.745</v>
      </c>
      <c r="BH152" t="n">
        <v>9166.512000000001</v>
      </c>
      <c r="BI152" t="n">
        <v>7771.26</v>
      </c>
      <c r="BJ152" t="n">
        <v>7707.466</v>
      </c>
      <c r="BK152" t="n">
        <v>262.922</v>
      </c>
      <c r="BL152" t="n">
        <v>145.749</v>
      </c>
      <c r="BM152" t="n">
        <v>832.912</v>
      </c>
      <c r="BN152" t="n">
        <v>689.39</v>
      </c>
      <c r="BO152" t="n">
        <v>837.208</v>
      </c>
      <c r="BP152" t="n">
        <v>585.9400000000001</v>
      </c>
      <c r="BQ152" t="n">
        <v>655.13</v>
      </c>
      <c r="BR152" t="n">
        <v>231.357</v>
      </c>
      <c r="BS152" t="n">
        <v>110.578</v>
      </c>
      <c r="BT152" t="n">
        <v>215.06</v>
      </c>
      <c r="BU152" t="n">
        <v>229.331</v>
      </c>
      <c r="BV152" t="n">
        <v>247.488</v>
      </c>
    </row>
    <row r="153">
      <c r="A153" t="inlineStr">
        <is>
          <t>Lethrinidae</t>
        </is>
      </c>
      <c r="B153" t="inlineStr">
        <is>
          <t>Emperors, scavengers</t>
        </is>
      </c>
      <c r="C153" t="inlineStr">
        <is>
          <t>Medium reef assoc. fish (30 - 89 cm)</t>
        </is>
      </c>
      <c r="D153" t="inlineStr">
        <is>
          <t>Perch-likes</t>
        </is>
      </c>
      <c r="E153" t="n">
        <v>853.333</v>
      </c>
      <c r="F153" t="n">
        <v>879.515</v>
      </c>
      <c r="G153" t="n">
        <v>1332.216</v>
      </c>
      <c r="H153" t="n">
        <v>1331.976</v>
      </c>
      <c r="I153" t="n">
        <v>1515.934</v>
      </c>
      <c r="J153" t="n">
        <v>1978.795</v>
      </c>
      <c r="K153" t="n">
        <v>2149.252</v>
      </c>
      <c r="L153" t="n">
        <v>3050.75</v>
      </c>
      <c r="M153" t="n">
        <v>2162.034</v>
      </c>
      <c r="N153" t="n">
        <v>2173.672</v>
      </c>
      <c r="O153" t="n">
        <v>2499.644</v>
      </c>
      <c r="P153" t="n">
        <v>2493.141</v>
      </c>
      <c r="Q153" t="n">
        <v>2369.087</v>
      </c>
      <c r="R153" t="n">
        <v>2271.257</v>
      </c>
      <c r="S153" t="n">
        <v>1400.748</v>
      </c>
      <c r="T153" t="n">
        <v>1439.287</v>
      </c>
      <c r="U153" t="n">
        <v>1307.16</v>
      </c>
      <c r="V153" t="n">
        <v>1631.98</v>
      </c>
      <c r="W153" t="n">
        <v>2143.752</v>
      </c>
      <c r="X153" t="n">
        <v>2127.831</v>
      </c>
      <c r="Y153" t="n">
        <v>2078.66</v>
      </c>
      <c r="Z153" t="n">
        <v>2075.727</v>
      </c>
      <c r="AA153" t="n">
        <v>1675.748</v>
      </c>
      <c r="AB153" t="n">
        <v>2865.292</v>
      </c>
      <c r="AC153" t="n">
        <v>2956.488</v>
      </c>
      <c r="AD153" t="n">
        <v>2571.418</v>
      </c>
      <c r="AE153" t="n">
        <v>2324.578</v>
      </c>
      <c r="AF153" t="n">
        <v>2815.729</v>
      </c>
      <c r="AG153" t="n">
        <v>2780.827</v>
      </c>
      <c r="AH153" t="n">
        <v>4341.684</v>
      </c>
      <c r="AI153" t="n">
        <v>4619.972</v>
      </c>
      <c r="AJ153" t="n">
        <v>4565.79</v>
      </c>
      <c r="AK153" t="n">
        <v>4032.116</v>
      </c>
      <c r="AL153" t="n">
        <v>4260.461</v>
      </c>
      <c r="AM153" t="n">
        <v>4686.182</v>
      </c>
      <c r="AN153" t="n">
        <v>4162.602</v>
      </c>
      <c r="AO153" t="n">
        <v>5126.943</v>
      </c>
      <c r="AP153" t="n">
        <v>5759.292</v>
      </c>
      <c r="AQ153" t="n">
        <v>6346.509</v>
      </c>
      <c r="AR153" t="n">
        <v>5905.826</v>
      </c>
      <c r="AS153" t="n">
        <v>5050.315</v>
      </c>
      <c r="AT153" t="n">
        <v>4088.482</v>
      </c>
      <c r="AU153" t="n">
        <v>2976.16</v>
      </c>
      <c r="AV153" t="n">
        <v>3553.454</v>
      </c>
      <c r="AW153" t="n">
        <v>2141.393</v>
      </c>
      <c r="AX153" t="n">
        <v>2649.482</v>
      </c>
      <c r="AY153" t="n">
        <v>2725.633</v>
      </c>
      <c r="AZ153" t="n">
        <v>2028.633</v>
      </c>
      <c r="BA153" t="n">
        <v>1638.077</v>
      </c>
      <c r="BB153" t="n">
        <v>1492.049</v>
      </c>
      <c r="BC153" t="n">
        <v>1641</v>
      </c>
      <c r="BD153" t="n">
        <v>1666.575</v>
      </c>
      <c r="BE153" t="n">
        <v>1677.538</v>
      </c>
      <c r="BF153" t="n">
        <v>1583.887</v>
      </c>
      <c r="BG153" t="n">
        <v>1542.656</v>
      </c>
      <c r="BH153" t="n">
        <v>1581.375</v>
      </c>
      <c r="BI153" t="n">
        <v>1536.454</v>
      </c>
      <c r="BJ153" t="n">
        <v>1709.36</v>
      </c>
      <c r="BK153" t="n">
        <v>1760.763</v>
      </c>
      <c r="BL153" t="n">
        <v>1851.493</v>
      </c>
      <c r="BM153" t="n">
        <v>2192.505</v>
      </c>
      <c r="BN153" t="n">
        <v>6720.784</v>
      </c>
      <c r="BO153" t="n">
        <v>6843.98</v>
      </c>
      <c r="BP153" t="n">
        <v>6746.267</v>
      </c>
      <c r="BQ153" t="n">
        <v>6968.051</v>
      </c>
      <c r="BR153" t="n">
        <v>7487.997</v>
      </c>
      <c r="BS153" t="n">
        <v>7136.616</v>
      </c>
      <c r="BT153" t="n">
        <v>6660.581</v>
      </c>
      <c r="BU153" t="n">
        <v>7136.035</v>
      </c>
      <c r="BV153" t="n">
        <v>7377.88</v>
      </c>
    </row>
    <row r="154">
      <c r="A154" t="inlineStr">
        <is>
          <t>Scomberoides</t>
        </is>
      </c>
      <c r="B154" t="inlineStr">
        <is>
          <t>Queenfishes</t>
        </is>
      </c>
      <c r="C154" t="inlineStr">
        <is>
          <t>Medium pelagics (30 - 89 cm)</t>
        </is>
      </c>
      <c r="D154" t="inlineStr">
        <is>
          <t>Perch-likes</t>
        </is>
      </c>
      <c r="E154" t="n">
        <v>250.269</v>
      </c>
      <c r="F154" t="n">
        <v>255.936</v>
      </c>
      <c r="G154" t="n">
        <v>268.751</v>
      </c>
      <c r="H154" t="n">
        <v>282.698</v>
      </c>
      <c r="I154" t="n">
        <v>395.591</v>
      </c>
      <c r="J154" t="n">
        <v>316.408</v>
      </c>
      <c r="K154" t="n">
        <v>334.24</v>
      </c>
      <c r="L154" t="n">
        <v>347.433</v>
      </c>
      <c r="M154" t="n">
        <v>366.254</v>
      </c>
      <c r="N154" t="n">
        <v>384.399</v>
      </c>
      <c r="O154" t="n">
        <v>410.585</v>
      </c>
      <c r="P154" t="n">
        <v>422.491</v>
      </c>
      <c r="Q154" t="n">
        <v>443.151</v>
      </c>
      <c r="R154" t="n">
        <v>472.285</v>
      </c>
      <c r="S154" t="n">
        <v>502.217</v>
      </c>
      <c r="T154" t="n">
        <v>716.216</v>
      </c>
      <c r="U154" t="n">
        <v>774.998</v>
      </c>
      <c r="V154" t="n">
        <v>926.247</v>
      </c>
      <c r="W154" t="n">
        <v>952.846</v>
      </c>
      <c r="X154" t="n">
        <v>855.222</v>
      </c>
      <c r="Y154" t="n">
        <v>2006.81</v>
      </c>
      <c r="Z154" t="n">
        <v>1948.227</v>
      </c>
      <c r="AA154" t="n">
        <v>1707.966</v>
      </c>
      <c r="AB154" t="n">
        <v>2078.075</v>
      </c>
      <c r="AC154" t="n">
        <v>2290.535</v>
      </c>
      <c r="AD154" t="n">
        <v>1010.602</v>
      </c>
      <c r="AE154" t="n">
        <v>1138.798</v>
      </c>
      <c r="AF154" t="n">
        <v>1206.575</v>
      </c>
      <c r="AG154" t="n">
        <v>1631.805</v>
      </c>
      <c r="AH154" t="n">
        <v>1645.713</v>
      </c>
      <c r="AI154" t="n">
        <v>1356.319</v>
      </c>
      <c r="AJ154" t="n">
        <v>1490.966</v>
      </c>
      <c r="AK154" t="n">
        <v>1506.908</v>
      </c>
      <c r="AL154" t="n">
        <v>1748.79</v>
      </c>
      <c r="AM154" t="n">
        <v>2017.365</v>
      </c>
      <c r="AN154" t="n">
        <v>3159.102</v>
      </c>
      <c r="AO154" t="n">
        <v>3111.997</v>
      </c>
      <c r="AP154" t="n">
        <v>2998.798</v>
      </c>
      <c r="AQ154" t="n">
        <v>3478.062</v>
      </c>
      <c r="AR154" t="n">
        <v>3199.348</v>
      </c>
      <c r="AS154" t="n">
        <v>2747.667</v>
      </c>
      <c r="AT154" t="n">
        <v>3227.264</v>
      </c>
      <c r="AU154" t="n">
        <v>3089.665</v>
      </c>
      <c r="AV154" t="n">
        <v>3812.707</v>
      </c>
      <c r="AW154" t="n">
        <v>5958.998</v>
      </c>
      <c r="AX154" t="n">
        <v>6805.129</v>
      </c>
      <c r="AY154" t="n">
        <v>6996.804</v>
      </c>
      <c r="AZ154" t="n">
        <v>6699.795</v>
      </c>
      <c r="BA154" t="n">
        <v>6157.402</v>
      </c>
      <c r="BB154" t="n">
        <v>6816.263</v>
      </c>
      <c r="BC154" t="n">
        <v>5817.172</v>
      </c>
      <c r="BD154" t="n">
        <v>5611.83</v>
      </c>
      <c r="BE154" t="n">
        <v>4947.205</v>
      </c>
      <c r="BF154" t="n">
        <v>4866.834</v>
      </c>
      <c r="BG154" t="n">
        <v>5153.885</v>
      </c>
      <c r="BH154" t="n">
        <v>6079.061</v>
      </c>
      <c r="BI154" t="n">
        <v>6014.285</v>
      </c>
      <c r="BJ154" t="n">
        <v>5880.588</v>
      </c>
      <c r="BK154" t="n">
        <v>5824.255</v>
      </c>
      <c r="BL154" t="n">
        <v>5089.927</v>
      </c>
      <c r="BM154" t="n">
        <v>5425.392</v>
      </c>
      <c r="BN154" t="n">
        <v>5318.417</v>
      </c>
      <c r="BO154" t="n">
        <v>5921.529</v>
      </c>
      <c r="BP154" t="n">
        <v>6125.046</v>
      </c>
      <c r="BQ154" t="n">
        <v>5610.109</v>
      </c>
      <c r="BR154" t="n">
        <v>5763.388</v>
      </c>
      <c r="BS154" t="n">
        <v>5973.05</v>
      </c>
      <c r="BT154" t="n">
        <v>5640.545</v>
      </c>
      <c r="BU154" t="n">
        <v>5201.838</v>
      </c>
      <c r="BV154" t="n">
        <v>4915.819</v>
      </c>
    </row>
    <row r="155">
      <c r="A155" t="inlineStr">
        <is>
          <t>Caranx</t>
        </is>
      </c>
      <c r="B155" t="inlineStr">
        <is>
          <t>Jacks</t>
        </is>
      </c>
      <c r="C155" t="inlineStr">
        <is>
          <t>Medium reef assoc. fish (30 - 89 cm)</t>
        </is>
      </c>
      <c r="D155" t="inlineStr">
        <is>
          <t>Perch-likes</t>
        </is>
      </c>
      <c r="E155" t="n">
        <v>145.115</v>
      </c>
      <c r="F155" t="n">
        <v>156.459</v>
      </c>
      <c r="G155" t="n">
        <v>167.702</v>
      </c>
      <c r="H155" t="n">
        <v>187.459</v>
      </c>
      <c r="I155" t="n">
        <v>467.27</v>
      </c>
      <c r="J155" t="n">
        <v>207.453</v>
      </c>
      <c r="K155" t="n">
        <v>206.386</v>
      </c>
      <c r="L155" t="n">
        <v>214.483</v>
      </c>
      <c r="M155" t="n">
        <v>222.982</v>
      </c>
      <c r="N155" t="n">
        <v>231.104</v>
      </c>
      <c r="O155" t="n">
        <v>239.369</v>
      </c>
      <c r="P155" t="n">
        <v>309.57</v>
      </c>
      <c r="Q155" t="n">
        <v>370.641</v>
      </c>
      <c r="R155" t="n">
        <v>432.038</v>
      </c>
      <c r="S155" t="n">
        <v>508.731</v>
      </c>
      <c r="T155" t="n">
        <v>623.7</v>
      </c>
      <c r="U155" t="n">
        <v>738.841</v>
      </c>
      <c r="V155" t="n">
        <v>735.23</v>
      </c>
      <c r="W155" t="n">
        <v>839.124</v>
      </c>
      <c r="X155" t="n">
        <v>1295.786</v>
      </c>
      <c r="Y155" t="n">
        <v>843.787</v>
      </c>
      <c r="Z155" t="n">
        <v>1210.301</v>
      </c>
      <c r="AA155" t="n">
        <v>804.778</v>
      </c>
      <c r="AB155" t="n">
        <v>973.421</v>
      </c>
      <c r="AC155" t="n">
        <v>997.099</v>
      </c>
      <c r="AD155" t="n">
        <v>897.498</v>
      </c>
      <c r="AE155" t="n">
        <v>944.284</v>
      </c>
      <c r="AF155" t="n">
        <v>940.9640000000001</v>
      </c>
      <c r="AG155" t="n">
        <v>1081.413</v>
      </c>
      <c r="AH155" t="n">
        <v>1044.173</v>
      </c>
      <c r="AI155" t="n">
        <v>991.724</v>
      </c>
      <c r="AJ155" t="n">
        <v>1110.468</v>
      </c>
      <c r="AK155" t="n">
        <v>1202.575</v>
      </c>
      <c r="AL155" t="n">
        <v>1662.394</v>
      </c>
      <c r="AM155" t="n">
        <v>1524.374</v>
      </c>
      <c r="AN155" t="n">
        <v>6483.361</v>
      </c>
      <c r="AO155" t="n">
        <v>7806.087</v>
      </c>
      <c r="AP155" t="n">
        <v>6669.497</v>
      </c>
      <c r="AQ155" t="n">
        <v>6138.049</v>
      </c>
      <c r="AR155" t="n">
        <v>7137.379</v>
      </c>
      <c r="AS155" t="n">
        <v>3279.062</v>
      </c>
      <c r="AT155" t="n">
        <v>3698.357</v>
      </c>
      <c r="AU155" t="n">
        <v>3471.736</v>
      </c>
      <c r="AV155" t="n">
        <v>3203.786</v>
      </c>
      <c r="AW155" t="n">
        <v>3719.599</v>
      </c>
      <c r="AX155" t="n">
        <v>2165.164</v>
      </c>
      <c r="AY155" t="n">
        <v>2312.469</v>
      </c>
      <c r="AZ155" t="n">
        <v>2290.818</v>
      </c>
      <c r="BA155" t="n">
        <v>1799.461</v>
      </c>
      <c r="BB155" t="n">
        <v>1992.712</v>
      </c>
      <c r="BC155" t="n">
        <v>1956.607</v>
      </c>
      <c r="BD155" t="n">
        <v>2988.044</v>
      </c>
      <c r="BE155" t="n">
        <v>2493.768</v>
      </c>
      <c r="BF155" t="n">
        <v>2500.576</v>
      </c>
      <c r="BG155" t="n">
        <v>3308.442</v>
      </c>
      <c r="BH155" t="n">
        <v>5425.956</v>
      </c>
      <c r="BI155" t="n">
        <v>4652.711</v>
      </c>
      <c r="BJ155" t="n">
        <v>4706.925</v>
      </c>
      <c r="BK155" t="n">
        <v>9622.665000000001</v>
      </c>
      <c r="BL155" t="n">
        <v>7522.678</v>
      </c>
      <c r="BM155" t="n">
        <v>6900.757</v>
      </c>
      <c r="BN155" t="n">
        <v>6982.398</v>
      </c>
      <c r="BO155" t="n">
        <v>7349.483</v>
      </c>
      <c r="BP155" t="n">
        <v>7534.623</v>
      </c>
      <c r="BQ155" t="n">
        <v>7640.458</v>
      </c>
      <c r="BR155" t="n">
        <v>8317.049999999999</v>
      </c>
      <c r="BS155" t="n">
        <v>8112.489</v>
      </c>
      <c r="BT155" t="n">
        <v>7724.312</v>
      </c>
      <c r="BU155" t="n">
        <v>7838.783</v>
      </c>
      <c r="BV155" t="n">
        <v>7948.435</v>
      </c>
    </row>
    <row r="156">
      <c r="A156" t="inlineStr">
        <is>
          <t>Muraenesox</t>
        </is>
      </c>
      <c r="B156" t="inlineStr">
        <is>
          <t>Congers</t>
        </is>
      </c>
      <c r="C156" t="inlineStr">
        <is>
          <t>Large demersals (&gt;=90 cm)</t>
        </is>
      </c>
      <c r="D156" t="inlineStr">
        <is>
          <t>Other fishes &amp; inverts</t>
        </is>
      </c>
      <c r="E156" t="n">
        <v>74.596</v>
      </c>
      <c r="F156" t="n">
        <v>73.518</v>
      </c>
      <c r="G156" t="n">
        <v>74.247</v>
      </c>
      <c r="H156" t="n">
        <v>75.87</v>
      </c>
      <c r="I156" t="n">
        <v>100.915</v>
      </c>
      <c r="J156" t="n">
        <v>83.44</v>
      </c>
      <c r="K156" t="n">
        <v>86.72199999999999</v>
      </c>
      <c r="L156" t="n">
        <v>90.428</v>
      </c>
      <c r="M156" t="n">
        <v>97.15600000000001</v>
      </c>
      <c r="N156" t="n">
        <v>102.365</v>
      </c>
      <c r="O156" t="n">
        <v>109.027</v>
      </c>
      <c r="P156" t="n">
        <v>113.088</v>
      </c>
      <c r="Q156" t="n">
        <v>119.861</v>
      </c>
      <c r="R156" t="n">
        <v>126.598</v>
      </c>
      <c r="S156" t="n">
        <v>136.687</v>
      </c>
      <c r="T156" t="n">
        <v>188.306</v>
      </c>
      <c r="U156" t="n">
        <v>209.284</v>
      </c>
      <c r="V156" t="n">
        <v>253.435</v>
      </c>
      <c r="W156" t="n">
        <v>267.355</v>
      </c>
      <c r="X156" t="n">
        <v>271.974</v>
      </c>
      <c r="Y156" t="n">
        <v>1471.867</v>
      </c>
      <c r="Z156" t="n">
        <v>1856.939</v>
      </c>
      <c r="AA156" t="n">
        <v>3461.854</v>
      </c>
      <c r="AB156" t="n">
        <v>4712.965</v>
      </c>
      <c r="AC156" t="n">
        <v>5442.044</v>
      </c>
      <c r="AD156" t="n">
        <v>6084.879</v>
      </c>
      <c r="AE156" t="n">
        <v>7438.129</v>
      </c>
      <c r="AF156" t="n">
        <v>8295.998</v>
      </c>
      <c r="AG156" t="n">
        <v>8303.659</v>
      </c>
      <c r="AH156" t="n">
        <v>8695.737999999999</v>
      </c>
      <c r="AI156" t="n">
        <v>5342.328</v>
      </c>
      <c r="AJ156" t="n">
        <v>5422.049</v>
      </c>
      <c r="AK156" t="n">
        <v>4431.564</v>
      </c>
      <c r="AL156" t="n">
        <v>4096.039</v>
      </c>
      <c r="AM156" t="n">
        <v>4101.228</v>
      </c>
      <c r="AN156" t="n">
        <v>4326.711</v>
      </c>
      <c r="AO156" t="n">
        <v>4877.44</v>
      </c>
      <c r="AP156" t="n">
        <v>4127.998</v>
      </c>
      <c r="AQ156" t="n">
        <v>4116.356</v>
      </c>
      <c r="AR156" t="n">
        <v>4354.801</v>
      </c>
      <c r="AS156" t="n">
        <v>1745.494</v>
      </c>
      <c r="AT156" t="n">
        <v>1778.778</v>
      </c>
      <c r="AU156" t="n">
        <v>1677.986</v>
      </c>
      <c r="AV156" t="n">
        <v>1505.786</v>
      </c>
      <c r="AW156" t="n">
        <v>2206.305</v>
      </c>
      <c r="AX156" t="n">
        <v>2842.475</v>
      </c>
      <c r="AY156" t="n">
        <v>3033.931</v>
      </c>
      <c r="AZ156" t="n">
        <v>3498.643</v>
      </c>
      <c r="BA156" t="n">
        <v>3253.038</v>
      </c>
      <c r="BB156" t="n">
        <v>3791.829</v>
      </c>
      <c r="BC156" t="n">
        <v>3982.982</v>
      </c>
      <c r="BD156" t="n">
        <v>4065.922</v>
      </c>
      <c r="BE156" t="n">
        <v>4564.238</v>
      </c>
      <c r="BF156" t="n">
        <v>4711.653</v>
      </c>
      <c r="BG156" t="n">
        <v>4869.757</v>
      </c>
      <c r="BH156" t="n">
        <v>4256</v>
      </c>
      <c r="BI156" t="n">
        <v>4329.847</v>
      </c>
      <c r="BJ156" t="n">
        <v>4296.364</v>
      </c>
      <c r="BK156" t="n">
        <v>4350.391</v>
      </c>
      <c r="BL156" t="n">
        <v>3136.696</v>
      </c>
      <c r="BM156" t="n">
        <v>3380.939</v>
      </c>
      <c r="BN156" t="n">
        <v>3273.424</v>
      </c>
      <c r="BO156" t="n">
        <v>3684.03</v>
      </c>
      <c r="BP156" t="n">
        <v>3829.726</v>
      </c>
      <c r="BQ156" t="n">
        <v>3508.698</v>
      </c>
      <c r="BR156" t="n">
        <v>3613.728</v>
      </c>
      <c r="BS156" t="n">
        <v>3740.578</v>
      </c>
      <c r="BT156" t="n">
        <v>3467.187</v>
      </c>
      <c r="BU156" t="n">
        <v>3259.677</v>
      </c>
      <c r="BV156" t="n">
        <v>3054.179</v>
      </c>
    </row>
    <row r="157">
      <c r="A157" t="inlineStr">
        <is>
          <t>Cephalopholis boenak</t>
        </is>
      </c>
      <c r="B157" t="inlineStr">
        <is>
          <t>Chocolate hind</t>
        </is>
      </c>
      <c r="C157" t="inlineStr">
        <is>
          <t>Small reef assoc. fish (&lt;30 cm)</t>
        </is>
      </c>
      <c r="D157" t="inlineStr">
        <is>
          <t>Perch-likes</t>
        </is>
      </c>
      <c r="E157" t="n">
        <v>14.411</v>
      </c>
      <c r="F157" t="n">
        <v>10.293</v>
      </c>
      <c r="G157" t="n">
        <v>11.649</v>
      </c>
      <c r="H157" t="n">
        <v>11.966</v>
      </c>
      <c r="I157" t="n">
        <v>12.754</v>
      </c>
      <c r="J157" t="n">
        <v>13.1</v>
      </c>
      <c r="K157" t="n">
        <v>13.324</v>
      </c>
      <c r="L157" t="n">
        <v>12.97</v>
      </c>
      <c r="M157" t="n">
        <v>13.434</v>
      </c>
      <c r="N157" t="n">
        <v>12.806</v>
      </c>
      <c r="O157" t="n">
        <v>13.09</v>
      </c>
      <c r="P157" t="n">
        <v>96.137</v>
      </c>
      <c r="Q157" t="n">
        <v>183.641</v>
      </c>
      <c r="R157" t="n">
        <v>279.128</v>
      </c>
      <c r="S157" t="n">
        <v>391.677</v>
      </c>
      <c r="T157" t="n">
        <v>553.436</v>
      </c>
      <c r="U157" t="n">
        <v>723.379</v>
      </c>
      <c r="V157" t="n">
        <v>690.063</v>
      </c>
      <c r="W157" t="n">
        <v>742.201</v>
      </c>
      <c r="X157" t="n">
        <v>815.771</v>
      </c>
      <c r="Y157" t="n">
        <v>848.481</v>
      </c>
      <c r="Z157" t="n">
        <v>866.624</v>
      </c>
      <c r="AA157" t="n">
        <v>884.5890000000001</v>
      </c>
      <c r="AB157" t="n">
        <v>1074.713</v>
      </c>
      <c r="AC157" t="n">
        <v>1102.36</v>
      </c>
      <c r="AD157" t="n">
        <v>1034.644</v>
      </c>
      <c r="AE157" t="n">
        <v>1341.843</v>
      </c>
      <c r="AF157" t="n">
        <v>1376.552</v>
      </c>
      <c r="AG157" t="n">
        <v>1562.339</v>
      </c>
      <c r="AH157" t="n">
        <v>1466.157</v>
      </c>
      <c r="AI157" t="n">
        <v>1219.85</v>
      </c>
      <c r="AJ157" t="n">
        <v>1337.139</v>
      </c>
      <c r="AK157" t="n">
        <v>1446.797</v>
      </c>
      <c r="AL157" t="n">
        <v>1922.205</v>
      </c>
      <c r="AM157" t="n">
        <v>1899.187</v>
      </c>
      <c r="AN157" t="n">
        <v>1831.872</v>
      </c>
      <c r="AO157" t="n">
        <v>2098.756</v>
      </c>
      <c r="AP157" t="n">
        <v>1865.086</v>
      </c>
      <c r="AQ157" t="n">
        <v>2004.844</v>
      </c>
      <c r="AR157" t="n">
        <v>2170.108</v>
      </c>
      <c r="AS157" t="n">
        <v>2271.071</v>
      </c>
      <c r="AT157" t="n">
        <v>2371.772</v>
      </c>
      <c r="AU157" t="n">
        <v>2759.269</v>
      </c>
      <c r="AV157" t="n">
        <v>3694.455</v>
      </c>
      <c r="AW157" t="n">
        <v>6480.345</v>
      </c>
      <c r="AX157" t="n">
        <v>4071.448</v>
      </c>
      <c r="AY157" t="n">
        <v>3493.079</v>
      </c>
      <c r="AZ157" t="n">
        <v>4192.147</v>
      </c>
      <c r="BA157" t="n">
        <v>3542.67</v>
      </c>
      <c r="BB157" t="n">
        <v>3306.502</v>
      </c>
      <c r="BC157" t="n">
        <v>4415.846</v>
      </c>
      <c r="BD157" t="n">
        <v>5106.887</v>
      </c>
      <c r="BE157" t="n">
        <v>4495.183</v>
      </c>
      <c r="BF157" t="n">
        <v>4996.052</v>
      </c>
      <c r="BG157" t="n">
        <v>1045.424</v>
      </c>
      <c r="BH157" t="n">
        <v>2780.133</v>
      </c>
      <c r="BI157" t="n">
        <v>6706.724</v>
      </c>
      <c r="BJ157" t="n">
        <v>6966.72</v>
      </c>
      <c r="BK157" t="n">
        <v>4056.27</v>
      </c>
      <c r="BL157" t="n">
        <v>4357.305</v>
      </c>
      <c r="BM157" t="n">
        <v>7095.858</v>
      </c>
      <c r="BN157" t="n">
        <v>7347.466</v>
      </c>
      <c r="BO157" t="n">
        <v>7427.203</v>
      </c>
      <c r="BP157" t="n">
        <v>7544.97</v>
      </c>
      <c r="BQ157" t="n">
        <v>7975.016</v>
      </c>
      <c r="BR157" t="n">
        <v>8941.391</v>
      </c>
      <c r="BS157" t="n">
        <v>8446.337</v>
      </c>
      <c r="BT157" t="n">
        <v>7551.82</v>
      </c>
      <c r="BU157" t="n">
        <v>8593.323</v>
      </c>
      <c r="BV157" t="n">
        <v>9007.66</v>
      </c>
    </row>
    <row r="158">
      <c r="A158" t="inlineStr">
        <is>
          <t>Decapterus maruadsi</t>
        </is>
      </c>
      <c r="B158" t="inlineStr">
        <is>
          <t>Japanese scad</t>
        </is>
      </c>
      <c r="C158" t="inlineStr">
        <is>
          <t>Small pelagics (&lt;30 cm)</t>
        </is>
      </c>
      <c r="D158" t="inlineStr">
        <is>
          <t>Perch-likes</t>
        </is>
      </c>
      <c r="E158" t="n">
        <v>179.909</v>
      </c>
      <c r="F158" t="n">
        <v>221.039</v>
      </c>
      <c r="G158" t="n">
        <v>259.199</v>
      </c>
      <c r="H158" t="n">
        <v>278.103</v>
      </c>
      <c r="I158" t="n">
        <v>282.283</v>
      </c>
      <c r="J158" t="n">
        <v>342.825</v>
      </c>
      <c r="K158" t="n">
        <v>399.259</v>
      </c>
      <c r="L158" t="n">
        <v>437.627</v>
      </c>
      <c r="M158" t="n">
        <v>484.695</v>
      </c>
      <c r="N158" t="n">
        <v>548.577</v>
      </c>
      <c r="O158" t="n">
        <v>588.8099999999999</v>
      </c>
      <c r="P158" t="n">
        <v>699.436</v>
      </c>
      <c r="Q158" t="n">
        <v>771.289</v>
      </c>
      <c r="R158" t="n">
        <v>832.813</v>
      </c>
      <c r="S158" t="n">
        <v>942.407</v>
      </c>
      <c r="T158" t="n">
        <v>1028.073</v>
      </c>
      <c r="U158" t="n">
        <v>1146.019</v>
      </c>
      <c r="V158" t="n">
        <v>1275.93</v>
      </c>
      <c r="W158" t="n">
        <v>1476.546</v>
      </c>
      <c r="X158" t="n">
        <v>1653.215</v>
      </c>
      <c r="Y158" t="n">
        <v>1731.286</v>
      </c>
      <c r="Z158" t="n">
        <v>1869.894</v>
      </c>
      <c r="AA158" t="n">
        <v>1828.376</v>
      </c>
      <c r="AB158" t="n">
        <v>1948.129</v>
      </c>
      <c r="AC158" t="n">
        <v>1949.451</v>
      </c>
      <c r="AD158" t="n">
        <v>2488.243</v>
      </c>
      <c r="AE158" t="n">
        <v>2578.373</v>
      </c>
      <c r="AF158" t="n">
        <v>2686.53</v>
      </c>
      <c r="AG158" t="n">
        <v>2987.913</v>
      </c>
      <c r="AH158" t="n">
        <v>3166.421</v>
      </c>
      <c r="AI158" t="n">
        <v>3179.6</v>
      </c>
      <c r="AJ158" t="n">
        <v>2787.506</v>
      </c>
      <c r="AK158" t="n">
        <v>2751.168</v>
      </c>
      <c r="AL158" t="n">
        <v>2747.16</v>
      </c>
      <c r="AM158" t="n">
        <v>2702.03</v>
      </c>
      <c r="AN158" t="n">
        <v>2783.146</v>
      </c>
      <c r="AO158" t="n">
        <v>2788.636</v>
      </c>
      <c r="AP158" t="n">
        <v>2571.584</v>
      </c>
      <c r="AQ158" t="n">
        <v>2483.259</v>
      </c>
      <c r="AR158" t="n">
        <v>3524.631</v>
      </c>
      <c r="AS158" t="n">
        <v>3247.206</v>
      </c>
      <c r="AT158" t="n">
        <v>2920.445</v>
      </c>
      <c r="AU158" t="n">
        <v>2929.127</v>
      </c>
      <c r="AV158" t="n">
        <v>2807.499</v>
      </c>
      <c r="AW158" t="n">
        <v>3699.481</v>
      </c>
      <c r="AX158" t="n">
        <v>4209.495</v>
      </c>
      <c r="AY158" t="n">
        <v>4848.405</v>
      </c>
      <c r="AZ158" t="n">
        <v>13730.338</v>
      </c>
      <c r="BA158" t="n">
        <v>5972.02</v>
      </c>
      <c r="BB158" t="n">
        <v>8888.635</v>
      </c>
      <c r="BC158" t="n">
        <v>1862.162</v>
      </c>
      <c r="BD158" t="n">
        <v>2851.373</v>
      </c>
      <c r="BE158" t="n">
        <v>3835.654</v>
      </c>
      <c r="BF158" t="n">
        <v>3360.955</v>
      </c>
      <c r="BG158" t="n">
        <v>3798.8</v>
      </c>
      <c r="BH158" t="n">
        <v>2403.07</v>
      </c>
      <c r="BI158" t="n">
        <v>1640.01</v>
      </c>
      <c r="BJ158" t="n">
        <v>1242.975</v>
      </c>
      <c r="BK158" t="n">
        <v>1900.654</v>
      </c>
      <c r="BL158" t="n">
        <v>3237.623</v>
      </c>
      <c r="BM158" t="n">
        <v>2710.093</v>
      </c>
      <c r="BN158" t="n">
        <v>2574.241</v>
      </c>
      <c r="BO158" t="n">
        <v>2470.07</v>
      </c>
      <c r="BP158" t="n">
        <v>1791.4</v>
      </c>
      <c r="BQ158" t="n">
        <v>1551.42</v>
      </c>
      <c r="BR158" t="n">
        <v>3355.845</v>
      </c>
      <c r="BS158" t="n">
        <v>4405.219</v>
      </c>
      <c r="BT158" t="n">
        <v>5834.534</v>
      </c>
      <c r="BU158" t="n">
        <v>6557.084</v>
      </c>
      <c r="BV158" t="n">
        <v>9597.846</v>
      </c>
    </row>
    <row r="159">
      <c r="A159" t="inlineStr">
        <is>
          <t>Veneridae</t>
        </is>
      </c>
      <c r="B159" t="inlineStr">
        <is>
          <t>Venus clams</t>
        </is>
      </c>
      <c r="C159" t="inlineStr">
        <is>
          <t>Other demersal invertebrates</t>
        </is>
      </c>
      <c r="D159" t="inlineStr">
        <is>
          <t>Molluscs</t>
        </is>
      </c>
      <c r="E159" t="n">
        <v>0.407</v>
      </c>
      <c r="F159" t="n">
        <v>0.507</v>
      </c>
      <c r="G159" t="n">
        <v>0.52</v>
      </c>
      <c r="H159" t="n">
        <v>0.512</v>
      </c>
      <c r="I159" t="n">
        <v>0.63</v>
      </c>
      <c r="J159" t="n">
        <v>0.673</v>
      </c>
      <c r="K159" t="n">
        <v>0.745</v>
      </c>
      <c r="L159" t="n">
        <v>0.734</v>
      </c>
      <c r="M159" t="n">
        <v>0.77</v>
      </c>
      <c r="N159" t="n">
        <v>0.802</v>
      </c>
      <c r="O159" t="n">
        <v>0.886</v>
      </c>
      <c r="P159" t="n">
        <v>0.842</v>
      </c>
      <c r="Q159" t="n">
        <v>0.93</v>
      </c>
      <c r="R159" t="n">
        <v>1.11</v>
      </c>
      <c r="S159" t="n">
        <v>1.228</v>
      </c>
      <c r="T159" t="n">
        <v>1.375</v>
      </c>
      <c r="U159" t="n">
        <v>1.461</v>
      </c>
      <c r="V159" t="n">
        <v>1.551</v>
      </c>
      <c r="W159" t="n">
        <v>1.763</v>
      </c>
      <c r="X159" t="n">
        <v>1.714</v>
      </c>
      <c r="Y159" t="n">
        <v>221.515</v>
      </c>
      <c r="Z159" t="n">
        <v>261.125</v>
      </c>
      <c r="AA159" t="n">
        <v>759.364</v>
      </c>
      <c r="AB159" t="n">
        <v>969.592</v>
      </c>
      <c r="AC159" t="n">
        <v>793.165</v>
      </c>
      <c r="AD159" t="n">
        <v>817.496</v>
      </c>
      <c r="AE159" t="n">
        <v>1368.456</v>
      </c>
      <c r="AF159" t="n">
        <v>1205.617</v>
      </c>
      <c r="AG159" t="n">
        <v>779.571</v>
      </c>
      <c r="AH159" t="n">
        <v>1641.827</v>
      </c>
      <c r="AI159" t="n">
        <v>2756.379</v>
      </c>
      <c r="AJ159" t="n">
        <v>4917.124</v>
      </c>
      <c r="AK159" t="n">
        <v>2832.518</v>
      </c>
      <c r="AL159" t="n">
        <v>2367.95</v>
      </c>
      <c r="AM159" t="n">
        <v>4379.419</v>
      </c>
      <c r="AN159" t="n">
        <v>7444.078</v>
      </c>
      <c r="AO159" t="n">
        <v>9404.273999999999</v>
      </c>
      <c r="AP159" t="n">
        <v>12962.589</v>
      </c>
      <c r="AQ159" t="n">
        <v>10972.114</v>
      </c>
      <c r="AR159" t="n">
        <v>9387.904</v>
      </c>
      <c r="AS159" t="n">
        <v>9882.843000000001</v>
      </c>
      <c r="AT159" t="n">
        <v>7735.167</v>
      </c>
      <c r="AU159" t="n">
        <v>9005.593000000001</v>
      </c>
      <c r="AV159" t="n">
        <v>5826.088</v>
      </c>
      <c r="AW159" t="n">
        <v>4168.433</v>
      </c>
      <c r="AX159" t="n">
        <v>3111.337</v>
      </c>
      <c r="AY159" t="n">
        <v>5394.784</v>
      </c>
      <c r="AZ159" t="n">
        <v>3922.115</v>
      </c>
      <c r="BA159" t="n">
        <v>7207.089</v>
      </c>
      <c r="BB159" t="n">
        <v>7435.868</v>
      </c>
      <c r="BC159" t="n">
        <v>4428.995</v>
      </c>
      <c r="BD159" t="n">
        <v>6148.009</v>
      </c>
      <c r="BE159" t="n">
        <v>6013.023</v>
      </c>
      <c r="BF159" t="n">
        <v>9222.609</v>
      </c>
      <c r="BG159" t="n">
        <v>5538.573</v>
      </c>
      <c r="BH159" t="n">
        <v>3395.563</v>
      </c>
      <c r="BI159" t="n">
        <v>3875.221</v>
      </c>
      <c r="BJ159" t="n">
        <v>2404.215</v>
      </c>
      <c r="BK159" t="n">
        <v>1370.479</v>
      </c>
      <c r="BL159" t="n">
        <v>1562.51</v>
      </c>
      <c r="BM159" t="n">
        <v>494.318</v>
      </c>
      <c r="BN159" t="n">
        <v>233.268</v>
      </c>
      <c r="BO159" t="n">
        <v>222.626</v>
      </c>
      <c r="BP159" t="n">
        <v>162.837</v>
      </c>
      <c r="BQ159" t="n">
        <v>223.784</v>
      </c>
      <c r="BR159" t="n">
        <v>102.642</v>
      </c>
      <c r="BS159" t="n">
        <v>91.512</v>
      </c>
      <c r="BT159" t="n">
        <v>12.766</v>
      </c>
      <c r="BU159" t="n">
        <v>60.563</v>
      </c>
      <c r="BV159" t="n">
        <v>42.505</v>
      </c>
    </row>
    <row r="160">
      <c r="A160" t="inlineStr">
        <is>
          <t>Isurus</t>
        </is>
      </c>
      <c r="B160" t="inlineStr">
        <is>
          <t>Mako sharks</t>
        </is>
      </c>
      <c r="C160" t="inlineStr">
        <is>
          <t>Large sharks (&gt;=90 cm)</t>
        </is>
      </c>
      <c r="D160" t="inlineStr">
        <is>
          <t>Sharks &amp; rays</t>
        </is>
      </c>
      <c r="E160" t="n">
        <v>917.324</v>
      </c>
      <c r="F160" t="n">
        <v>921.188</v>
      </c>
      <c r="G160" t="n">
        <v>1291.588</v>
      </c>
      <c r="H160" t="n">
        <v>1308.588</v>
      </c>
      <c r="I160" t="n">
        <v>1498.526</v>
      </c>
      <c r="J160" t="n">
        <v>1494.54</v>
      </c>
      <c r="K160" t="n">
        <v>1501.437</v>
      </c>
      <c r="L160" t="n">
        <v>1317.536</v>
      </c>
      <c r="M160" t="n">
        <v>1544.879</v>
      </c>
      <c r="N160" t="n">
        <v>2291.17</v>
      </c>
      <c r="O160" t="n">
        <v>2301.542</v>
      </c>
      <c r="P160" t="n">
        <v>2710.405</v>
      </c>
      <c r="Q160" t="n">
        <v>3678.591</v>
      </c>
      <c r="R160" t="n">
        <v>3886.672</v>
      </c>
      <c r="S160" t="n">
        <v>3124.776</v>
      </c>
      <c r="T160" t="n">
        <v>3176.22</v>
      </c>
      <c r="U160" t="n">
        <v>2991.136</v>
      </c>
      <c r="V160" t="n">
        <v>3681.845</v>
      </c>
      <c r="W160" t="n">
        <v>5792.144</v>
      </c>
      <c r="X160" t="n">
        <v>6404.042</v>
      </c>
      <c r="Y160" t="n">
        <v>4659.676</v>
      </c>
      <c r="Z160" t="n">
        <v>4568.683</v>
      </c>
      <c r="AA160" t="n">
        <v>4581.459</v>
      </c>
      <c r="AB160" t="n">
        <v>3902.865</v>
      </c>
      <c r="AC160" t="n">
        <v>4417.44</v>
      </c>
      <c r="AD160" t="n">
        <v>4067.325</v>
      </c>
      <c r="AE160" t="n">
        <v>2908.539</v>
      </c>
      <c r="AF160" t="n">
        <v>2925.293</v>
      </c>
      <c r="AG160" t="n">
        <v>2853.178</v>
      </c>
      <c r="AH160" t="n">
        <v>4041.51</v>
      </c>
      <c r="AI160" t="n">
        <v>3653.894</v>
      </c>
      <c r="AJ160" t="n">
        <v>4357.316</v>
      </c>
      <c r="AK160" t="n">
        <v>4213.283</v>
      </c>
      <c r="AL160" t="n">
        <v>4467.899</v>
      </c>
      <c r="AM160" t="n">
        <v>4147.865</v>
      </c>
      <c r="AN160" t="n">
        <v>3288.858</v>
      </c>
      <c r="AO160" t="n">
        <v>3495.397</v>
      </c>
      <c r="AP160" t="n">
        <v>3672.984</v>
      </c>
      <c r="AQ160" t="n">
        <v>4397.297</v>
      </c>
      <c r="AR160" t="n">
        <v>3932.968</v>
      </c>
      <c r="AS160" t="n">
        <v>3632.248</v>
      </c>
      <c r="AT160" t="n">
        <v>3758.412</v>
      </c>
      <c r="AU160" t="n">
        <v>3068.906</v>
      </c>
      <c r="AV160" t="n">
        <v>3164.791</v>
      </c>
      <c r="AW160" t="n">
        <v>2570.264</v>
      </c>
      <c r="AX160" t="n">
        <v>2101.651</v>
      </c>
      <c r="AY160" t="n">
        <v>1946.745</v>
      </c>
      <c r="AZ160" t="n">
        <v>1848.96</v>
      </c>
      <c r="BA160" t="n">
        <v>1429.106</v>
      </c>
      <c r="BB160" t="n">
        <v>1136.84</v>
      </c>
      <c r="BC160" t="n">
        <v>1320.511</v>
      </c>
      <c r="BD160" t="n">
        <v>1406.858</v>
      </c>
      <c r="BE160" t="n">
        <v>1261.469</v>
      </c>
      <c r="BF160" t="n">
        <v>1221.843</v>
      </c>
      <c r="BG160" t="n">
        <v>1428.557</v>
      </c>
      <c r="BH160" t="n">
        <v>1356.162</v>
      </c>
      <c r="BI160" t="n">
        <v>1217.442</v>
      </c>
      <c r="BJ160" t="n">
        <v>1015.347</v>
      </c>
      <c r="BK160" t="n">
        <v>1070.16</v>
      </c>
      <c r="BL160" t="n">
        <v>1147.61</v>
      </c>
      <c r="BM160" t="n">
        <v>1170.431</v>
      </c>
      <c r="BN160" t="n">
        <v>1175.87</v>
      </c>
      <c r="BO160" t="n">
        <v>992.163</v>
      </c>
      <c r="BP160" t="n">
        <v>1114.198</v>
      </c>
      <c r="BQ160" t="n">
        <v>1064.063</v>
      </c>
      <c r="BR160" t="n">
        <v>939.864</v>
      </c>
      <c r="BS160" t="n">
        <v>948.674</v>
      </c>
      <c r="BT160" t="n">
        <v>815.321</v>
      </c>
      <c r="BU160" t="n">
        <v>810.4160000000001</v>
      </c>
      <c r="BV160" t="n">
        <v>792.073</v>
      </c>
    </row>
    <row r="161">
      <c r="A161" t="inlineStr">
        <is>
          <t>Sphyraenidae</t>
        </is>
      </c>
      <c r="B161" t="inlineStr">
        <is>
          <t>Barracudas</t>
        </is>
      </c>
      <c r="C161" t="inlineStr">
        <is>
          <t>Medium reef assoc. fish (30 - 89 cm)</t>
        </is>
      </c>
      <c r="D161" t="inlineStr">
        <is>
          <t>Perch-likes</t>
        </is>
      </c>
      <c r="E161" t="n">
        <v>25.189</v>
      </c>
      <c r="F161" t="n">
        <v>0</v>
      </c>
      <c r="G161" t="n">
        <v>52.878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187.965</v>
      </c>
      <c r="O161" t="n">
        <v>23.442</v>
      </c>
      <c r="P161" t="n">
        <v>61.364</v>
      </c>
      <c r="Q161" t="n">
        <v>87.012</v>
      </c>
      <c r="R161" t="n">
        <v>0.522</v>
      </c>
      <c r="S161" t="n">
        <v>1.045</v>
      </c>
      <c r="T161" t="n">
        <v>66.205</v>
      </c>
      <c r="U161" t="n">
        <v>640.431</v>
      </c>
      <c r="V161" t="n">
        <v>1224.723</v>
      </c>
      <c r="W161" t="n">
        <v>1651.117</v>
      </c>
      <c r="X161" t="n">
        <v>1592.633</v>
      </c>
      <c r="Y161" t="n">
        <v>1373.998</v>
      </c>
      <c r="Z161" t="n">
        <v>2033.883</v>
      </c>
      <c r="AA161" t="n">
        <v>2267.274</v>
      </c>
      <c r="AB161" t="n">
        <v>2152.939</v>
      </c>
      <c r="AC161" t="n">
        <v>4642.046</v>
      </c>
      <c r="AD161" t="n">
        <v>4762.261</v>
      </c>
      <c r="AE161" t="n">
        <v>5318.512</v>
      </c>
      <c r="AF161" t="n">
        <v>4145.448</v>
      </c>
      <c r="AG161" t="n">
        <v>4571.025</v>
      </c>
      <c r="AH161" t="n">
        <v>3876.063</v>
      </c>
      <c r="AI161" t="n">
        <v>3661.486</v>
      </c>
      <c r="AJ161" t="n">
        <v>3888.166</v>
      </c>
      <c r="AK161" t="n">
        <v>4560.21</v>
      </c>
      <c r="AL161" t="n">
        <v>4193.878</v>
      </c>
      <c r="AM161" t="n">
        <v>3840.898</v>
      </c>
      <c r="AN161" t="n">
        <v>3749.042</v>
      </c>
      <c r="AO161" t="n">
        <v>9631.016</v>
      </c>
      <c r="AP161" t="n">
        <v>12207.829</v>
      </c>
      <c r="AQ161" t="n">
        <v>9291.528</v>
      </c>
      <c r="AR161" t="n">
        <v>4491.185</v>
      </c>
      <c r="AS161" t="n">
        <v>2921.938</v>
      </c>
      <c r="AT161" t="n">
        <v>1767.311</v>
      </c>
      <c r="AU161" t="n">
        <v>3227.964</v>
      </c>
      <c r="AV161" t="n">
        <v>3200.752</v>
      </c>
      <c r="AW161" t="n">
        <v>4450.25</v>
      </c>
      <c r="AX161" t="n">
        <v>2121.008</v>
      </c>
      <c r="AY161" t="n">
        <v>3751.476</v>
      </c>
      <c r="AZ161" t="n">
        <v>4242.661</v>
      </c>
      <c r="BA161" t="n">
        <v>4015.463</v>
      </c>
      <c r="BB161" t="n">
        <v>2854.547</v>
      </c>
      <c r="BC161" t="n">
        <v>1562.873</v>
      </c>
      <c r="BD161" t="n">
        <v>1903.652</v>
      </c>
      <c r="BE161" t="n">
        <v>1285.548</v>
      </c>
      <c r="BF161" t="n">
        <v>789.7670000000001</v>
      </c>
      <c r="BG161" t="n">
        <v>1421.992</v>
      </c>
      <c r="BH161" t="n">
        <v>995.2670000000001</v>
      </c>
      <c r="BI161" t="n">
        <v>1267.537</v>
      </c>
      <c r="BJ161" t="n">
        <v>880.571</v>
      </c>
      <c r="BK161" t="n">
        <v>565.866</v>
      </c>
      <c r="BL161" t="n">
        <v>1331.365</v>
      </c>
      <c r="BM161" t="n">
        <v>889.405</v>
      </c>
      <c r="BN161" t="n">
        <v>906.508</v>
      </c>
      <c r="BO161" t="n">
        <v>2010.343</v>
      </c>
      <c r="BP161" t="n">
        <v>4211.714</v>
      </c>
      <c r="BQ161" t="n">
        <v>4107.162</v>
      </c>
      <c r="BR161" t="n">
        <v>3295.815</v>
      </c>
      <c r="BS161" t="n">
        <v>3804.731</v>
      </c>
      <c r="BT161" t="n">
        <v>3423.76</v>
      </c>
      <c r="BU161" t="n">
        <v>3208.093</v>
      </c>
      <c r="BV161" t="n">
        <v>3144.881</v>
      </c>
    </row>
    <row r="162">
      <c r="A162" t="inlineStr">
        <is>
          <t>Mene maculata</t>
        </is>
      </c>
      <c r="B162" t="inlineStr">
        <is>
          <t>Moonfish</t>
        </is>
      </c>
      <c r="C162" t="inlineStr">
        <is>
          <t>Medium reef assoc. fish (30 - 89 cm)</t>
        </is>
      </c>
      <c r="D162" t="inlineStr">
        <is>
          <t>Perch-likes</t>
        </is>
      </c>
      <c r="E162" t="n">
        <v>318.131</v>
      </c>
      <c r="F162" t="n">
        <v>370.817</v>
      </c>
      <c r="G162" t="n">
        <v>389.259</v>
      </c>
      <c r="H162" t="n">
        <v>399.382</v>
      </c>
      <c r="I162" t="n">
        <v>409.871</v>
      </c>
      <c r="J162" t="n">
        <v>348.083</v>
      </c>
      <c r="K162" t="n">
        <v>581.39</v>
      </c>
      <c r="L162" t="n">
        <v>654.625</v>
      </c>
      <c r="M162" t="n">
        <v>1921.447</v>
      </c>
      <c r="N162" t="n">
        <v>974.982</v>
      </c>
      <c r="O162" t="n">
        <v>1211.143</v>
      </c>
      <c r="P162" t="n">
        <v>4259.254</v>
      </c>
      <c r="Q162" t="n">
        <v>3235.216</v>
      </c>
      <c r="R162" t="n">
        <v>1496.113</v>
      </c>
      <c r="S162" t="n">
        <v>1318.935</v>
      </c>
      <c r="T162" t="n">
        <v>2819.734</v>
      </c>
      <c r="U162" t="n">
        <v>2242.003</v>
      </c>
      <c r="V162" t="n">
        <v>2683.254</v>
      </c>
      <c r="W162" t="n">
        <v>1905.62</v>
      </c>
      <c r="X162" t="n">
        <v>2038.623</v>
      </c>
      <c r="Y162" t="n">
        <v>1197.402</v>
      </c>
      <c r="Z162" t="n">
        <v>2154.825</v>
      </c>
      <c r="AA162" t="n">
        <v>1757.313</v>
      </c>
      <c r="AB162" t="n">
        <v>3339.321</v>
      </c>
      <c r="AC162" t="n">
        <v>1774.598</v>
      </c>
      <c r="AD162" t="n">
        <v>1795.069</v>
      </c>
      <c r="AE162" t="n">
        <v>2321.549</v>
      </c>
      <c r="AF162" t="n">
        <v>2078.914</v>
      </c>
      <c r="AG162" t="n">
        <v>2627.316</v>
      </c>
      <c r="AH162" t="n">
        <v>3259.612</v>
      </c>
      <c r="AI162" t="n">
        <v>4519.767</v>
      </c>
      <c r="AJ162" t="n">
        <v>3754.29</v>
      </c>
      <c r="AK162" t="n">
        <v>2679.023</v>
      </c>
      <c r="AL162" t="n">
        <v>2771.244</v>
      </c>
      <c r="AM162" t="n">
        <v>2949.227</v>
      </c>
      <c r="AN162" t="n">
        <v>4485.585</v>
      </c>
      <c r="AO162" t="n">
        <v>3074.306</v>
      </c>
      <c r="AP162" t="n">
        <v>1578.578</v>
      </c>
      <c r="AQ162" t="n">
        <v>3204.608</v>
      </c>
      <c r="AR162" t="n">
        <v>12136.585</v>
      </c>
      <c r="AS162" t="n">
        <v>7960.911</v>
      </c>
      <c r="AT162" t="n">
        <v>8226.346</v>
      </c>
      <c r="AU162" t="n">
        <v>4997.315</v>
      </c>
      <c r="AV162" t="n">
        <v>4514.858</v>
      </c>
      <c r="AW162" t="n">
        <v>1861.24</v>
      </c>
      <c r="AX162" t="n">
        <v>1155.178</v>
      </c>
      <c r="AY162" t="n">
        <v>1091.654</v>
      </c>
      <c r="AZ162" t="n">
        <v>1824.706</v>
      </c>
      <c r="BA162" t="n">
        <v>1745.702</v>
      </c>
      <c r="BB162" t="n">
        <v>2096.009</v>
      </c>
      <c r="BC162" t="n">
        <v>1885.609</v>
      </c>
      <c r="BD162" t="n">
        <v>2036.22</v>
      </c>
      <c r="BE162" t="n">
        <v>1170.821</v>
      </c>
      <c r="BF162" t="n">
        <v>994.673</v>
      </c>
      <c r="BG162" t="n">
        <v>1614.699</v>
      </c>
      <c r="BH162" t="n">
        <v>1177.918</v>
      </c>
      <c r="BI162" t="n">
        <v>1263.549</v>
      </c>
      <c r="BJ162" t="n">
        <v>1355.929</v>
      </c>
      <c r="BK162" t="n">
        <v>1137.906</v>
      </c>
      <c r="BL162" t="n">
        <v>1096.133</v>
      </c>
      <c r="BM162" t="n">
        <v>1104.032</v>
      </c>
      <c r="BN162" t="n">
        <v>1307.101</v>
      </c>
      <c r="BO162" t="n">
        <v>2353.475</v>
      </c>
      <c r="BP162" t="n">
        <v>4680.06</v>
      </c>
      <c r="BQ162" t="n">
        <v>4574.354</v>
      </c>
      <c r="BR162" t="n">
        <v>6816.857</v>
      </c>
      <c r="BS162" t="n">
        <v>5024.78</v>
      </c>
      <c r="BT162" t="n">
        <v>1661.984</v>
      </c>
      <c r="BU162" t="n">
        <v>1251.225</v>
      </c>
      <c r="BV162" t="n">
        <v>1656.561</v>
      </c>
    </row>
    <row r="163">
      <c r="A163" t="inlineStr">
        <is>
          <t>Chirocentrus</t>
        </is>
      </c>
      <c r="B163" t="inlineStr">
        <is>
          <t>Wolf herrings</t>
        </is>
      </c>
      <c r="C163" t="inlineStr">
        <is>
          <t>Large pelagics (&gt;=90 cm)</t>
        </is>
      </c>
      <c r="D163" t="inlineStr">
        <is>
          <t>Herring-likes</t>
        </is>
      </c>
      <c r="E163" t="n">
        <v>1002.204</v>
      </c>
      <c r="F163" t="n">
        <v>924.058</v>
      </c>
      <c r="G163" t="n">
        <v>912.444</v>
      </c>
      <c r="H163" t="n">
        <v>965.999</v>
      </c>
      <c r="I163" t="n">
        <v>1758.203</v>
      </c>
      <c r="J163" t="n">
        <v>1099.058</v>
      </c>
      <c r="K163" t="n">
        <v>1260.806</v>
      </c>
      <c r="L163" t="n">
        <v>1337.96</v>
      </c>
      <c r="M163" t="n">
        <v>1378.101</v>
      </c>
      <c r="N163" t="n">
        <v>1451.747</v>
      </c>
      <c r="O163" t="n">
        <v>1486.313</v>
      </c>
      <c r="P163" t="n">
        <v>1369.802</v>
      </c>
      <c r="Q163" t="n">
        <v>1447.117</v>
      </c>
      <c r="R163" t="n">
        <v>1478.087</v>
      </c>
      <c r="S163" t="n">
        <v>1597.772</v>
      </c>
      <c r="T163" t="n">
        <v>1618.735</v>
      </c>
      <c r="U163" t="n">
        <v>1778.594</v>
      </c>
      <c r="V163" t="n">
        <v>1889.506</v>
      </c>
      <c r="W163" t="n">
        <v>2157.101</v>
      </c>
      <c r="X163" t="n">
        <v>1456.872</v>
      </c>
      <c r="Y163" t="n">
        <v>3418.85</v>
      </c>
      <c r="Z163" t="n">
        <v>2637.301</v>
      </c>
      <c r="AA163" t="n">
        <v>2489.362</v>
      </c>
      <c r="AB163" t="n">
        <v>3104.241</v>
      </c>
      <c r="AC163" t="n">
        <v>3450.451</v>
      </c>
      <c r="AD163" t="n">
        <v>2390.328</v>
      </c>
      <c r="AE163" t="n">
        <v>2541.964</v>
      </c>
      <c r="AF163" t="n">
        <v>2777.927</v>
      </c>
      <c r="AG163" t="n">
        <v>2575.359</v>
      </c>
      <c r="AH163" t="n">
        <v>2593.756</v>
      </c>
      <c r="AI163" t="n">
        <v>1692.938</v>
      </c>
      <c r="AJ163" t="n">
        <v>1895.105</v>
      </c>
      <c r="AK163" t="n">
        <v>1661.236</v>
      </c>
      <c r="AL163" t="n">
        <v>1603.533</v>
      </c>
      <c r="AM163" t="n">
        <v>1527.479</v>
      </c>
      <c r="AN163" t="n">
        <v>1676.552</v>
      </c>
      <c r="AO163" t="n">
        <v>1555.213</v>
      </c>
      <c r="AP163" t="n">
        <v>1546.919</v>
      </c>
      <c r="AQ163" t="n">
        <v>1785.643</v>
      </c>
      <c r="AR163" t="n">
        <v>1883.619</v>
      </c>
      <c r="AS163" t="n">
        <v>2605.06</v>
      </c>
      <c r="AT163" t="n">
        <v>3243.844</v>
      </c>
      <c r="AU163" t="n">
        <v>2355.893</v>
      </c>
      <c r="AV163" t="n">
        <v>2416.468</v>
      </c>
      <c r="AW163" t="n">
        <v>1971.678</v>
      </c>
      <c r="AX163" t="n">
        <v>2413.34</v>
      </c>
      <c r="AY163" t="n">
        <v>2502.45</v>
      </c>
      <c r="AZ163" t="n">
        <v>3188.432</v>
      </c>
      <c r="BA163" t="n">
        <v>2177.071</v>
      </c>
      <c r="BB163" t="n">
        <v>2601.782</v>
      </c>
      <c r="BC163" t="n">
        <v>1489.869</v>
      </c>
      <c r="BD163" t="n">
        <v>1529.327</v>
      </c>
      <c r="BE163" t="n">
        <v>1733.057</v>
      </c>
      <c r="BF163" t="n">
        <v>1839.603</v>
      </c>
      <c r="BG163" t="n">
        <v>1814.706</v>
      </c>
      <c r="BH163" t="n">
        <v>4607.468</v>
      </c>
      <c r="BI163" t="n">
        <v>5224.163</v>
      </c>
      <c r="BJ163" t="n">
        <v>5109.128</v>
      </c>
      <c r="BK163" t="n">
        <v>5530.963</v>
      </c>
      <c r="BL163" t="n">
        <v>2933.523</v>
      </c>
      <c r="BM163" t="n">
        <v>3257.888</v>
      </c>
      <c r="BN163" t="n">
        <v>3232.369</v>
      </c>
      <c r="BO163" t="n">
        <v>3590.226</v>
      </c>
      <c r="BP163" t="n">
        <v>3710.773</v>
      </c>
      <c r="BQ163" t="n">
        <v>3439.766</v>
      </c>
      <c r="BR163" t="n">
        <v>3509.857</v>
      </c>
      <c r="BS163" t="n">
        <v>3650.789</v>
      </c>
      <c r="BT163" t="n">
        <v>3443.691</v>
      </c>
      <c r="BU163" t="n">
        <v>3207.528</v>
      </c>
      <c r="BV163" t="n">
        <v>3160.476</v>
      </c>
    </row>
    <row r="164">
      <c r="A164" t="inlineStr">
        <is>
          <t>Portunus</t>
        </is>
      </c>
      <c r="B164" t="inlineStr">
        <is>
          <t>Swimmer crabs</t>
        </is>
      </c>
      <c r="C164" t="inlineStr">
        <is>
          <t>Lobsters, crabs</t>
        </is>
      </c>
      <c r="D164" t="inlineStr">
        <is>
          <t>Crustaceans</t>
        </is>
      </c>
      <c r="E164" t="n">
        <v>0</v>
      </c>
      <c r="F164" t="n">
        <v>0</v>
      </c>
      <c r="G164" t="n">
        <v>0</v>
      </c>
      <c r="H164" t="n">
        <v>0</v>
      </c>
      <c r="I164" t="n">
        <v>304.743</v>
      </c>
      <c r="J164" t="n">
        <v>304.581</v>
      </c>
      <c r="K164" t="n">
        <v>0</v>
      </c>
      <c r="L164" t="n">
        <v>152.131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758.0069999999999</v>
      </c>
      <c r="T164" t="n">
        <v>0</v>
      </c>
      <c r="U164" t="n">
        <v>0</v>
      </c>
      <c r="V164" t="n">
        <v>0</v>
      </c>
      <c r="W164" t="n">
        <v>3631.632</v>
      </c>
      <c r="X164" t="n">
        <v>3176.238</v>
      </c>
      <c r="Y164" t="n">
        <v>3023.636</v>
      </c>
      <c r="Z164" t="n">
        <v>2266.726</v>
      </c>
      <c r="AA164" t="n">
        <v>2416.789</v>
      </c>
      <c r="AB164" t="n">
        <v>2868.705</v>
      </c>
      <c r="AC164" t="n">
        <v>2908.24</v>
      </c>
      <c r="AD164" t="n">
        <v>2885.907</v>
      </c>
      <c r="AE164" t="n">
        <v>2920.809</v>
      </c>
      <c r="AF164" t="n">
        <v>4598.731</v>
      </c>
      <c r="AG164" t="n">
        <v>3846.043</v>
      </c>
      <c r="AH164" t="n">
        <v>5279.762</v>
      </c>
      <c r="AI164" t="n">
        <v>3446.56</v>
      </c>
      <c r="AJ164" t="n">
        <v>3334.628</v>
      </c>
      <c r="AK164" t="n">
        <v>3046.221</v>
      </c>
      <c r="AL164" t="n">
        <v>3608.66</v>
      </c>
      <c r="AM164" t="n">
        <v>3888.701</v>
      </c>
      <c r="AN164" t="n">
        <v>4382.379</v>
      </c>
      <c r="AO164" t="n">
        <v>6221.719</v>
      </c>
      <c r="AP164" t="n">
        <v>4730.486</v>
      </c>
      <c r="AQ164" t="n">
        <v>4303.231</v>
      </c>
      <c r="AR164" t="n">
        <v>3735.034</v>
      </c>
      <c r="AS164" t="n">
        <v>3258.606</v>
      </c>
      <c r="AT164" t="n">
        <v>3211.177</v>
      </c>
      <c r="AU164" t="n">
        <v>5286.388</v>
      </c>
      <c r="AV164" t="n">
        <v>2691.582</v>
      </c>
      <c r="AW164" t="n">
        <v>4072.419</v>
      </c>
      <c r="AX164" t="n">
        <v>3563.612</v>
      </c>
      <c r="AY164" t="n">
        <v>3239.43</v>
      </c>
      <c r="AZ164" t="n">
        <v>2589.406</v>
      </c>
      <c r="BA164" t="n">
        <v>2618.595</v>
      </c>
      <c r="BB164" t="n">
        <v>2031.178</v>
      </c>
      <c r="BC164" t="n">
        <v>2542.858</v>
      </c>
      <c r="BD164" t="n">
        <v>2739.516</v>
      </c>
      <c r="BE164" t="n">
        <v>2673.485</v>
      </c>
      <c r="BF164" t="n">
        <v>2671.159</v>
      </c>
      <c r="BG164" t="n">
        <v>2788.154</v>
      </c>
      <c r="BH164" t="n">
        <v>2776.565</v>
      </c>
      <c r="BI164" t="n">
        <v>2672.311</v>
      </c>
      <c r="BJ164" t="n">
        <v>1383.043</v>
      </c>
      <c r="BK164" t="n">
        <v>2668.611</v>
      </c>
      <c r="BL164" t="n">
        <v>2744.63</v>
      </c>
      <c r="BM164" t="n">
        <v>2801.338</v>
      </c>
      <c r="BN164" t="n">
        <v>2794.155</v>
      </c>
      <c r="BO164" t="n">
        <v>2594.846</v>
      </c>
      <c r="BP164" t="n">
        <v>2589.682</v>
      </c>
      <c r="BQ164" t="n">
        <v>2529.173</v>
      </c>
      <c r="BR164" t="n">
        <v>2346.388</v>
      </c>
      <c r="BS164" t="n">
        <v>2319.888</v>
      </c>
      <c r="BT164" t="n">
        <v>2144.971</v>
      </c>
      <c r="BU164" t="n">
        <v>1539.183</v>
      </c>
      <c r="BV164" t="n">
        <v>1523.219</v>
      </c>
    </row>
    <row r="165">
      <c r="A165" t="inlineStr">
        <is>
          <t>Pleuronectiformes</t>
        </is>
      </c>
      <c r="B165" t="inlineStr">
        <is>
          <t>Flatfishes</t>
        </is>
      </c>
      <c r="C165" t="inlineStr">
        <is>
          <t>Small to medium flatfishes (&lt;90 cm)</t>
        </is>
      </c>
      <c r="D165" t="inlineStr">
        <is>
          <t>Flatfishes</t>
        </is>
      </c>
      <c r="E165" t="n">
        <v>533.7670000000001</v>
      </c>
      <c r="F165" t="n">
        <v>408.024</v>
      </c>
      <c r="G165" t="n">
        <v>430.488</v>
      </c>
      <c r="H165" t="n">
        <v>409.338</v>
      </c>
      <c r="I165" t="n">
        <v>644.264</v>
      </c>
      <c r="J165" t="n">
        <v>823.189</v>
      </c>
      <c r="K165" t="n">
        <v>831.8099999999999</v>
      </c>
      <c r="L165" t="n">
        <v>765.474</v>
      </c>
      <c r="M165" t="n">
        <v>678.157</v>
      </c>
      <c r="N165" t="n">
        <v>877.413</v>
      </c>
      <c r="O165" t="n">
        <v>661.664</v>
      </c>
      <c r="P165" t="n">
        <v>740.002</v>
      </c>
      <c r="Q165" t="n">
        <v>952.804</v>
      </c>
      <c r="R165" t="n">
        <v>1257.295</v>
      </c>
      <c r="S165" t="n">
        <v>1363.853</v>
      </c>
      <c r="T165" t="n">
        <v>1814.733</v>
      </c>
      <c r="U165" t="n">
        <v>2431.369</v>
      </c>
      <c r="V165" t="n">
        <v>3665.126</v>
      </c>
      <c r="W165" t="n">
        <v>3705.903</v>
      </c>
      <c r="X165" t="n">
        <v>3527.93</v>
      </c>
      <c r="Y165" t="n">
        <v>3340.907</v>
      </c>
      <c r="Z165" t="n">
        <v>4271.206</v>
      </c>
      <c r="AA165" t="n">
        <v>3741.201</v>
      </c>
      <c r="AB165" t="n">
        <v>2897.318</v>
      </c>
      <c r="AC165" t="n">
        <v>3035.01</v>
      </c>
      <c r="AD165" t="n">
        <v>4571.088</v>
      </c>
      <c r="AE165" t="n">
        <v>4125.55</v>
      </c>
      <c r="AF165" t="n">
        <v>4501.898</v>
      </c>
      <c r="AG165" t="n">
        <v>5254.861</v>
      </c>
      <c r="AH165" t="n">
        <v>5480.32</v>
      </c>
      <c r="AI165" t="n">
        <v>5300.426</v>
      </c>
      <c r="AJ165" t="n">
        <v>4208.257</v>
      </c>
      <c r="AK165" t="n">
        <v>4519.687</v>
      </c>
      <c r="AL165" t="n">
        <v>5402.59</v>
      </c>
      <c r="AM165" t="n">
        <v>3126.83</v>
      </c>
      <c r="AN165" t="n">
        <v>4296.241</v>
      </c>
      <c r="AO165" t="n">
        <v>4224.591</v>
      </c>
      <c r="AP165" t="n">
        <v>2226.373</v>
      </c>
      <c r="AQ165" t="n">
        <v>3897.585</v>
      </c>
      <c r="AR165" t="n">
        <v>2738.5</v>
      </c>
      <c r="AS165" t="n">
        <v>2125.519</v>
      </c>
      <c r="AT165" t="n">
        <v>1213.589</v>
      </c>
      <c r="AU165" t="n">
        <v>1568.282</v>
      </c>
      <c r="AV165" t="n">
        <v>1294.985</v>
      </c>
      <c r="AW165" t="n">
        <v>1627.982</v>
      </c>
      <c r="AX165" t="n">
        <v>1777.616</v>
      </c>
      <c r="AY165" t="n">
        <v>2957.615</v>
      </c>
      <c r="AZ165" t="n">
        <v>2298.117</v>
      </c>
      <c r="BA165" t="n">
        <v>1759.484</v>
      </c>
      <c r="BB165" t="n">
        <v>1778.468</v>
      </c>
      <c r="BC165" t="n">
        <v>1642.795</v>
      </c>
      <c r="BD165" t="n">
        <v>1713.445</v>
      </c>
      <c r="BE165" t="n">
        <v>1682.739</v>
      </c>
      <c r="BF165" t="n">
        <v>1427.187</v>
      </c>
      <c r="BG165" t="n">
        <v>1813.169</v>
      </c>
      <c r="BH165" t="n">
        <v>2105.11</v>
      </c>
      <c r="BI165" t="n">
        <v>1747.239</v>
      </c>
      <c r="BJ165" t="n">
        <v>1906.933</v>
      </c>
      <c r="BK165" t="n">
        <v>1566.044</v>
      </c>
      <c r="BL165" t="n">
        <v>1833.383</v>
      </c>
      <c r="BM165" t="n">
        <v>1538.172</v>
      </c>
      <c r="BN165" t="n">
        <v>1580.34</v>
      </c>
      <c r="BO165" t="n">
        <v>1785.914</v>
      </c>
      <c r="BP165" t="n">
        <v>1937.194</v>
      </c>
      <c r="BQ165" t="n">
        <v>1992.716</v>
      </c>
      <c r="BR165" t="n">
        <v>1834.214</v>
      </c>
      <c r="BS165" t="n">
        <v>2000.612</v>
      </c>
      <c r="BT165" t="n">
        <v>1904.377</v>
      </c>
      <c r="BU165" t="n">
        <v>1792.998</v>
      </c>
      <c r="BV165" t="n">
        <v>1795.441</v>
      </c>
    </row>
    <row r="166">
      <c r="A166" t="inlineStr">
        <is>
          <t>Paralichthys olivaceus</t>
        </is>
      </c>
      <c r="B166" t="inlineStr">
        <is>
          <t>Bastard halibut</t>
        </is>
      </c>
      <c r="C166" t="inlineStr">
        <is>
          <t>Large flatfishes (&gt;=90 cm)</t>
        </is>
      </c>
      <c r="D166" t="inlineStr">
        <is>
          <t>Flatfishes</t>
        </is>
      </c>
      <c r="E166" t="n">
        <v>2525.113</v>
      </c>
      <c r="F166" t="n">
        <v>3272.992</v>
      </c>
      <c r="G166" t="n">
        <v>4243.927</v>
      </c>
      <c r="H166" t="n">
        <v>4495.02</v>
      </c>
      <c r="I166" t="n">
        <v>6629.925</v>
      </c>
      <c r="J166" t="n">
        <v>4752.891</v>
      </c>
      <c r="K166" t="n">
        <v>4564.76</v>
      </c>
      <c r="L166" t="n">
        <v>3608.335</v>
      </c>
      <c r="M166" t="n">
        <v>4017.194</v>
      </c>
      <c r="N166" t="n">
        <v>3940.408</v>
      </c>
      <c r="O166" t="n">
        <v>4921.601</v>
      </c>
      <c r="P166" t="n">
        <v>3017.696</v>
      </c>
      <c r="Q166" t="n">
        <v>2283.245</v>
      </c>
      <c r="R166" t="n">
        <v>1908.999</v>
      </c>
      <c r="S166" t="n">
        <v>1586.007</v>
      </c>
      <c r="T166" t="n">
        <v>1814.169</v>
      </c>
      <c r="U166" t="n">
        <v>2048.203</v>
      </c>
      <c r="V166" t="n">
        <v>3388.358</v>
      </c>
      <c r="W166" t="n">
        <v>2489.757</v>
      </c>
      <c r="X166" t="n">
        <v>1994.252</v>
      </c>
      <c r="Y166" t="n">
        <v>1531.398</v>
      </c>
      <c r="Z166" t="n">
        <v>3778.486</v>
      </c>
      <c r="AA166" t="n">
        <v>4484.705</v>
      </c>
      <c r="AB166" t="n">
        <v>4107.951</v>
      </c>
      <c r="AC166" t="n">
        <v>4644.878</v>
      </c>
      <c r="AD166" t="n">
        <v>3065.652</v>
      </c>
      <c r="AE166" t="n">
        <v>2100.426</v>
      </c>
      <c r="AF166" t="n">
        <v>1968.746</v>
      </c>
      <c r="AG166" t="n">
        <v>1139.965</v>
      </c>
      <c r="AH166" t="n">
        <v>1112.459</v>
      </c>
      <c r="AI166" t="n">
        <v>1074.232</v>
      </c>
      <c r="AJ166" t="n">
        <v>1245.338</v>
      </c>
      <c r="AK166" t="n">
        <v>1412.523</v>
      </c>
      <c r="AL166" t="n">
        <v>1393.471</v>
      </c>
      <c r="AM166" t="n">
        <v>1160.842</v>
      </c>
      <c r="AN166" t="n">
        <v>755.643</v>
      </c>
      <c r="AO166" t="n">
        <v>641.503</v>
      </c>
      <c r="AP166" t="n">
        <v>1106.893</v>
      </c>
      <c r="AQ166" t="n">
        <v>971.962</v>
      </c>
      <c r="AR166" t="n">
        <v>1325.126</v>
      </c>
      <c r="AS166" t="n">
        <v>958.5</v>
      </c>
      <c r="AT166" t="n">
        <v>1051.443</v>
      </c>
      <c r="AU166" t="n">
        <v>1468.288</v>
      </c>
      <c r="AV166" t="n">
        <v>1198.189</v>
      </c>
      <c r="AW166" t="n">
        <v>1280.358</v>
      </c>
      <c r="AX166" t="n">
        <v>1211.841</v>
      </c>
      <c r="AY166" t="n">
        <v>1719.682</v>
      </c>
      <c r="AZ166" t="n">
        <v>1071.159</v>
      </c>
      <c r="BA166" t="n">
        <v>1569.324</v>
      </c>
      <c r="BB166" t="n">
        <v>932.193</v>
      </c>
      <c r="BC166" t="n">
        <v>809.909</v>
      </c>
      <c r="BD166" t="n">
        <v>869.861</v>
      </c>
      <c r="BE166" t="n">
        <v>891.5940000000001</v>
      </c>
      <c r="BF166" t="n">
        <v>588.096</v>
      </c>
      <c r="BG166" t="n">
        <v>572.447</v>
      </c>
      <c r="BH166" t="n">
        <v>691.7430000000001</v>
      </c>
      <c r="BI166" t="n">
        <v>686.724</v>
      </c>
      <c r="BJ166" t="n">
        <v>847.522</v>
      </c>
      <c r="BK166" t="n">
        <v>1164.594</v>
      </c>
      <c r="BL166" t="n">
        <v>1868.473</v>
      </c>
      <c r="BM166" t="n">
        <v>2131.536</v>
      </c>
      <c r="BN166" t="n">
        <v>1793.558</v>
      </c>
      <c r="BO166" t="n">
        <v>1664.759</v>
      </c>
      <c r="BP166" t="n">
        <v>1679.775</v>
      </c>
      <c r="BQ166" t="n">
        <v>1969.475</v>
      </c>
      <c r="BR166" t="n">
        <v>1566.245</v>
      </c>
      <c r="BS166" t="n">
        <v>2117.922</v>
      </c>
      <c r="BT166" t="n">
        <v>1999.035</v>
      </c>
      <c r="BU166" t="n">
        <v>2030.827</v>
      </c>
      <c r="BV166" t="n">
        <v>1895.954</v>
      </c>
    </row>
    <row r="167">
      <c r="A167" t="inlineStr">
        <is>
          <t>Polynemidae</t>
        </is>
      </c>
      <c r="B167" t="inlineStr">
        <is>
          <t>Threadfins</t>
        </is>
      </c>
      <c r="C167" t="inlineStr">
        <is>
          <t>Small demersals (&lt;30 cm)</t>
        </is>
      </c>
      <c r="D167" t="inlineStr">
        <is>
          <t>Perch-likes</t>
        </is>
      </c>
      <c r="E167" t="n">
        <v>227.695</v>
      </c>
      <c r="F167" t="n">
        <v>135.648</v>
      </c>
      <c r="G167" t="n">
        <v>133.002</v>
      </c>
      <c r="H167" t="n">
        <v>166.318</v>
      </c>
      <c r="I167" t="n">
        <v>185.801</v>
      </c>
      <c r="J167" t="n">
        <v>185.413</v>
      </c>
      <c r="K167" t="n">
        <v>89.59</v>
      </c>
      <c r="L167" t="n">
        <v>90.923</v>
      </c>
      <c r="M167" t="n">
        <v>93.01900000000001</v>
      </c>
      <c r="N167" t="n">
        <v>95.48999999999999</v>
      </c>
      <c r="O167" t="n">
        <v>97.71599999999999</v>
      </c>
      <c r="P167" t="n">
        <v>180.258</v>
      </c>
      <c r="Q167" t="n">
        <v>280.035</v>
      </c>
      <c r="R167" t="n">
        <v>397.274</v>
      </c>
      <c r="S167" t="n">
        <v>542.553</v>
      </c>
      <c r="T167" t="n">
        <v>757.784</v>
      </c>
      <c r="U167" t="n">
        <v>1066.05</v>
      </c>
      <c r="V167" t="n">
        <v>1060.042</v>
      </c>
      <c r="W167" t="n">
        <v>1176.523</v>
      </c>
      <c r="X167" t="n">
        <v>1312.038</v>
      </c>
      <c r="Y167" t="n">
        <v>1315.73</v>
      </c>
      <c r="Z167" t="n">
        <v>1346.706</v>
      </c>
      <c r="AA167" t="n">
        <v>1462.803</v>
      </c>
      <c r="AB167" t="n">
        <v>3160.268</v>
      </c>
      <c r="AC167" t="n">
        <v>3287.475</v>
      </c>
      <c r="AD167" t="n">
        <v>2927.355</v>
      </c>
      <c r="AE167" t="n">
        <v>1284.647</v>
      </c>
      <c r="AF167" t="n">
        <v>1656.145</v>
      </c>
      <c r="AG167" t="n">
        <v>2005.887</v>
      </c>
      <c r="AH167" t="n">
        <v>1753.117</v>
      </c>
      <c r="AI167" t="n">
        <v>1485.318</v>
      </c>
      <c r="AJ167" t="n">
        <v>1695.38</v>
      </c>
      <c r="AK167" t="n">
        <v>1920.62</v>
      </c>
      <c r="AL167" t="n">
        <v>2180.882</v>
      </c>
      <c r="AM167" t="n">
        <v>2119.422</v>
      </c>
      <c r="AN167" t="n">
        <v>2187.195</v>
      </c>
      <c r="AO167" t="n">
        <v>2303.388</v>
      </c>
      <c r="AP167" t="n">
        <v>2490.165</v>
      </c>
      <c r="AQ167" t="n">
        <v>2494.102</v>
      </c>
      <c r="AR167" t="n">
        <v>2528.814</v>
      </c>
      <c r="AS167" t="n">
        <v>2459.964</v>
      </c>
      <c r="AT167" t="n">
        <v>2219.848</v>
      </c>
      <c r="AU167" t="n">
        <v>1938.961</v>
      </c>
      <c r="AV167" t="n">
        <v>1915.554</v>
      </c>
      <c r="AW167" t="n">
        <v>1841.79</v>
      </c>
      <c r="AX167" t="n">
        <v>2437.087</v>
      </c>
      <c r="AY167" t="n">
        <v>1865.018</v>
      </c>
      <c r="AZ167" t="n">
        <v>1765.679</v>
      </c>
      <c r="BA167" t="n">
        <v>1543.356</v>
      </c>
      <c r="BB167" t="n">
        <v>1277.109</v>
      </c>
      <c r="BC167" t="n">
        <v>1281.133</v>
      </c>
      <c r="BD167" t="n">
        <v>1135.78</v>
      </c>
      <c r="BE167" t="n">
        <v>1054.223</v>
      </c>
      <c r="BF167" t="n">
        <v>1222.306</v>
      </c>
      <c r="BG167" t="n">
        <v>923.38</v>
      </c>
      <c r="BH167" t="n">
        <v>561.914</v>
      </c>
      <c r="BI167" t="n">
        <v>671.576</v>
      </c>
      <c r="BJ167" t="n">
        <v>704.956</v>
      </c>
      <c r="BK167" t="n">
        <v>705.466</v>
      </c>
      <c r="BL167" t="n">
        <v>720.775</v>
      </c>
      <c r="BM167" t="n">
        <v>704.145</v>
      </c>
      <c r="BN167" t="n">
        <v>6343.896</v>
      </c>
      <c r="BO167" t="n">
        <v>6394.585</v>
      </c>
      <c r="BP167" t="n">
        <v>6518.371</v>
      </c>
      <c r="BQ167" t="n">
        <v>6724.575</v>
      </c>
      <c r="BR167" t="n">
        <v>7519.51</v>
      </c>
      <c r="BS167" t="n">
        <v>7110.117</v>
      </c>
      <c r="BT167" t="n">
        <v>6365.812</v>
      </c>
      <c r="BU167" t="n">
        <v>7237.963</v>
      </c>
      <c r="BV167" t="n">
        <v>7561.204</v>
      </c>
    </row>
    <row r="168">
      <c r="A168" t="inlineStr">
        <is>
          <t>Caranx ignobilis</t>
        </is>
      </c>
      <c r="B168" t="inlineStr">
        <is>
          <t>Giant trevally</t>
        </is>
      </c>
      <c r="C168" t="inlineStr">
        <is>
          <t>Large reef assoc. fish (&gt;=90 cm)</t>
        </is>
      </c>
      <c r="D168" t="inlineStr">
        <is>
          <t>Perch-likes</t>
        </is>
      </c>
      <c r="E168" t="n">
        <v>278.044</v>
      </c>
      <c r="F168" t="n">
        <v>334.138</v>
      </c>
      <c r="G168" t="n">
        <v>345.235</v>
      </c>
      <c r="H168" t="n">
        <v>340.725</v>
      </c>
      <c r="I168" t="n">
        <v>433.142</v>
      </c>
      <c r="J168" t="n">
        <v>459.661</v>
      </c>
      <c r="K168" t="n">
        <v>496.501</v>
      </c>
      <c r="L168" t="n">
        <v>476.354</v>
      </c>
      <c r="M168" t="n">
        <v>514.889</v>
      </c>
      <c r="N168" t="n">
        <v>538.748</v>
      </c>
      <c r="O168" t="n">
        <v>578.542</v>
      </c>
      <c r="P168" t="n">
        <v>570.057</v>
      </c>
      <c r="Q168" t="n">
        <v>643.087</v>
      </c>
      <c r="R168" t="n">
        <v>753.349</v>
      </c>
      <c r="S168" t="n">
        <v>989.557</v>
      </c>
      <c r="T168" t="n">
        <v>1066.64</v>
      </c>
      <c r="U168" t="n">
        <v>1068.927</v>
      </c>
      <c r="V168" t="n">
        <v>1069.176</v>
      </c>
      <c r="W168" t="n">
        <v>1163.629</v>
      </c>
      <c r="X168" t="n">
        <v>1043.681</v>
      </c>
      <c r="Y168" t="n">
        <v>1619.132</v>
      </c>
      <c r="Z168" t="n">
        <v>1488.736</v>
      </c>
      <c r="AA168" t="n">
        <v>1675.273</v>
      </c>
      <c r="AB168" t="n">
        <v>1840.563</v>
      </c>
      <c r="AC168" t="n">
        <v>2018.439</v>
      </c>
      <c r="AD168" t="n">
        <v>2619.964</v>
      </c>
      <c r="AE168" t="n">
        <v>1890.563</v>
      </c>
      <c r="AF168" t="n">
        <v>3287.857</v>
      </c>
      <c r="AG168" t="n">
        <v>3178.637</v>
      </c>
      <c r="AH168" t="n">
        <v>3147.597</v>
      </c>
      <c r="AI168" t="n">
        <v>3059.855</v>
      </c>
      <c r="AJ168" t="n">
        <v>2684.488</v>
      </c>
      <c r="AK168" t="n">
        <v>2590.762</v>
      </c>
      <c r="AL168" t="n">
        <v>2841.806</v>
      </c>
      <c r="AM168" t="n">
        <v>2761.693</v>
      </c>
      <c r="AN168" t="n">
        <v>2637.381</v>
      </c>
      <c r="AO168" t="n">
        <v>2609.547</v>
      </c>
      <c r="AP168" t="n">
        <v>2584.981</v>
      </c>
      <c r="AQ168" t="n">
        <v>2474.807</v>
      </c>
      <c r="AR168" t="n">
        <v>2048.057</v>
      </c>
      <c r="AS168" t="n">
        <v>1669.515</v>
      </c>
      <c r="AT168" t="n">
        <v>2013.88</v>
      </c>
      <c r="AU168" t="n">
        <v>2381.488</v>
      </c>
      <c r="AV168" t="n">
        <v>2102.132</v>
      </c>
      <c r="AW168" t="n">
        <v>2496.537</v>
      </c>
      <c r="AX168" t="n">
        <v>2521.706</v>
      </c>
      <c r="AY168" t="n">
        <v>2351.007</v>
      </c>
      <c r="AZ168" t="n">
        <v>1463.019</v>
      </c>
      <c r="BA168" t="n">
        <v>1267.92</v>
      </c>
      <c r="BB168" t="n">
        <v>1774.225</v>
      </c>
      <c r="BC168" t="n">
        <v>1632.254</v>
      </c>
      <c r="BD168" t="n">
        <v>1719.223</v>
      </c>
      <c r="BE168" t="n">
        <v>1454.848</v>
      </c>
      <c r="BF168" t="n">
        <v>1736.006</v>
      </c>
      <c r="BG168" t="n">
        <v>1741.807</v>
      </c>
      <c r="BH168" t="n">
        <v>2109.023</v>
      </c>
      <c r="BI168" t="n">
        <v>2167.007</v>
      </c>
      <c r="BJ168" t="n">
        <v>2489.666</v>
      </c>
      <c r="BK168" t="n">
        <v>2788.207</v>
      </c>
      <c r="BL168" t="n">
        <v>2673.628</v>
      </c>
      <c r="BM168" t="n">
        <v>3281.813</v>
      </c>
      <c r="BN168" t="n">
        <v>4403.347</v>
      </c>
      <c r="BO168" t="n">
        <v>4221.152</v>
      </c>
      <c r="BP168" t="n">
        <v>3974.418</v>
      </c>
      <c r="BQ168" t="n">
        <v>3758.731</v>
      </c>
      <c r="BR168" t="n">
        <v>3857.544</v>
      </c>
      <c r="BS168" t="n">
        <v>3330.806</v>
      </c>
      <c r="BT168" t="n">
        <v>3066.606</v>
      </c>
      <c r="BU168" t="n">
        <v>3007.072</v>
      </c>
      <c r="BV168" t="n">
        <v>3145.426</v>
      </c>
    </row>
    <row r="169">
      <c r="A169" t="inlineStr">
        <is>
          <t>Pomadasys</t>
        </is>
      </c>
      <c r="B169" t="inlineStr">
        <is>
          <t>Grunters</t>
        </is>
      </c>
      <c r="C169" t="inlineStr">
        <is>
          <t>Medium demersals (30 - 89 cm)</t>
        </is>
      </c>
      <c r="D169" t="inlineStr">
        <is>
          <t>Perch-likes</t>
        </is>
      </c>
      <c r="E169" t="n">
        <v>137.93</v>
      </c>
      <c r="F169" t="n">
        <v>134.855</v>
      </c>
      <c r="G169" t="n">
        <v>152.803</v>
      </c>
      <c r="H169" t="n">
        <v>145.524</v>
      </c>
      <c r="I169" t="n">
        <v>140.204</v>
      </c>
      <c r="J169" t="n">
        <v>145.213</v>
      </c>
      <c r="K169" t="n">
        <v>148.589</v>
      </c>
      <c r="L169" t="n">
        <v>149.961</v>
      </c>
      <c r="M169" t="n">
        <v>162.405</v>
      </c>
      <c r="N169" t="n">
        <v>166.761</v>
      </c>
      <c r="O169" t="n">
        <v>191.538</v>
      </c>
      <c r="P169" t="n">
        <v>212.541</v>
      </c>
      <c r="Q169" t="n">
        <v>223.103</v>
      </c>
      <c r="R169" t="n">
        <v>280.655</v>
      </c>
      <c r="S169" t="n">
        <v>282.72</v>
      </c>
      <c r="T169" t="n">
        <v>336.39</v>
      </c>
      <c r="U169" t="n">
        <v>378.89</v>
      </c>
      <c r="V169" t="n">
        <v>410.981</v>
      </c>
      <c r="W169" t="n">
        <v>510.161</v>
      </c>
      <c r="X169" t="n">
        <v>485.09</v>
      </c>
      <c r="Y169" t="n">
        <v>559.922</v>
      </c>
      <c r="Z169" t="n">
        <v>676.1</v>
      </c>
      <c r="AA169" t="n">
        <v>754.223</v>
      </c>
      <c r="AB169" t="n">
        <v>1006.788</v>
      </c>
      <c r="AC169" t="n">
        <v>1132.018</v>
      </c>
      <c r="AD169" t="n">
        <v>1290.772</v>
      </c>
      <c r="AE169" t="n">
        <v>1473.217</v>
      </c>
      <c r="AF169" t="n">
        <v>1679.272</v>
      </c>
      <c r="AG169" t="n">
        <v>1664.883</v>
      </c>
      <c r="AH169" t="n">
        <v>1713.405</v>
      </c>
      <c r="AI169" t="n">
        <v>630.74</v>
      </c>
      <c r="AJ169" t="n">
        <v>821.992</v>
      </c>
      <c r="AK169" t="n">
        <v>647.102</v>
      </c>
      <c r="AL169" t="n">
        <v>718.432</v>
      </c>
      <c r="AM169" t="n">
        <v>705.0700000000001</v>
      </c>
      <c r="AN169" t="n">
        <v>790.708</v>
      </c>
      <c r="AO169" t="n">
        <v>1231.546</v>
      </c>
      <c r="AP169" t="n">
        <v>1695.634</v>
      </c>
      <c r="AQ169" t="n">
        <v>1667.486</v>
      </c>
      <c r="AR169" t="n">
        <v>2252.952</v>
      </c>
      <c r="AS169" t="n">
        <v>2556.864</v>
      </c>
      <c r="AT169" t="n">
        <v>2277.751</v>
      </c>
      <c r="AU169" t="n">
        <v>2075.694</v>
      </c>
      <c r="AV169" t="n">
        <v>2078.801</v>
      </c>
      <c r="AW169" t="n">
        <v>3597.701</v>
      </c>
      <c r="AX169" t="n">
        <v>2614.508</v>
      </c>
      <c r="AY169" t="n">
        <v>2849.484</v>
      </c>
      <c r="AZ169" t="n">
        <v>2967.634</v>
      </c>
      <c r="BA169" t="n">
        <v>3001.824</v>
      </c>
      <c r="BB169" t="n">
        <v>3413.009</v>
      </c>
      <c r="BC169" t="n">
        <v>3718.139</v>
      </c>
      <c r="BD169" t="n">
        <v>4022.425</v>
      </c>
      <c r="BE169" t="n">
        <v>4601.109</v>
      </c>
      <c r="BF169" t="n">
        <v>4774.074</v>
      </c>
      <c r="BG169" t="n">
        <v>4511.761</v>
      </c>
      <c r="BH169" t="n">
        <v>4479.587</v>
      </c>
      <c r="BI169" t="n">
        <v>3749.536</v>
      </c>
      <c r="BJ169" t="n">
        <v>3854.147</v>
      </c>
      <c r="BK169" t="n">
        <v>3368.276</v>
      </c>
      <c r="BL169" t="n">
        <v>3251.977</v>
      </c>
      <c r="BM169" t="n">
        <v>3416.799</v>
      </c>
      <c r="BN169" t="n">
        <v>3317.558</v>
      </c>
      <c r="BO169" t="n">
        <v>3734.476</v>
      </c>
      <c r="BP169" t="n">
        <v>3883.766</v>
      </c>
      <c r="BQ169" t="n">
        <v>3560.359</v>
      </c>
      <c r="BR169" t="n">
        <v>3665.646</v>
      </c>
      <c r="BS169" t="n">
        <v>3798.294</v>
      </c>
      <c r="BT169" t="n">
        <v>3523.73</v>
      </c>
      <c r="BU169" t="n">
        <v>3313.576</v>
      </c>
      <c r="BV169" t="n">
        <v>6076.501</v>
      </c>
    </row>
    <row r="170">
      <c r="A170" t="inlineStr">
        <is>
          <t>Gastropoda</t>
        </is>
      </c>
      <c r="B170" t="inlineStr">
        <is>
          <t>Sea snails</t>
        </is>
      </c>
      <c r="C170" t="inlineStr">
        <is>
          <t>Other demersal invertebrates</t>
        </is>
      </c>
      <c r="D170" t="inlineStr">
        <is>
          <t>Molluscs</t>
        </is>
      </c>
      <c r="E170" t="n">
        <v>2.454</v>
      </c>
      <c r="F170" t="n">
        <v>3.057</v>
      </c>
      <c r="G170" t="n">
        <v>3.134</v>
      </c>
      <c r="H170" t="n">
        <v>3.086</v>
      </c>
      <c r="I170" t="n">
        <v>3.796</v>
      </c>
      <c r="J170" t="n">
        <v>4.055</v>
      </c>
      <c r="K170" t="n">
        <v>4.488</v>
      </c>
      <c r="L170" t="n">
        <v>4.419</v>
      </c>
      <c r="M170" t="n">
        <v>5.46</v>
      </c>
      <c r="N170" t="n">
        <v>4.831</v>
      </c>
      <c r="O170" t="n">
        <v>5.336</v>
      </c>
      <c r="P170" t="n">
        <v>5.469</v>
      </c>
      <c r="Q170" t="n">
        <v>6.223</v>
      </c>
      <c r="R170" t="n">
        <v>6.683</v>
      </c>
      <c r="S170" t="n">
        <v>7.907</v>
      </c>
      <c r="T170" t="n">
        <v>8.281000000000001</v>
      </c>
      <c r="U170" t="n">
        <v>10.564</v>
      </c>
      <c r="V170" t="n">
        <v>11.313</v>
      </c>
      <c r="W170" t="n">
        <v>10.621</v>
      </c>
      <c r="X170" t="n">
        <v>10.314</v>
      </c>
      <c r="Y170" t="n">
        <v>12.01</v>
      </c>
      <c r="Z170" t="n">
        <v>12.149</v>
      </c>
      <c r="AA170" t="n">
        <v>17.518</v>
      </c>
      <c r="AB170" t="n">
        <v>14.606</v>
      </c>
      <c r="AC170" t="n">
        <v>1366.886</v>
      </c>
      <c r="AD170" t="n">
        <v>760.013</v>
      </c>
      <c r="AE170" t="n">
        <v>1088.417</v>
      </c>
      <c r="AF170" t="n">
        <v>3026.314</v>
      </c>
      <c r="AG170" t="n">
        <v>1287.214</v>
      </c>
      <c r="AH170" t="n">
        <v>657.764</v>
      </c>
      <c r="AI170" t="n">
        <v>1035.541</v>
      </c>
      <c r="AJ170" t="n">
        <v>1187.413</v>
      </c>
      <c r="AK170" t="n">
        <v>1666.636</v>
      </c>
      <c r="AL170" t="n">
        <v>1963.053</v>
      </c>
      <c r="AM170" t="n">
        <v>2429.98</v>
      </c>
      <c r="AN170" t="n">
        <v>1817.064</v>
      </c>
      <c r="AO170" t="n">
        <v>1792.041</v>
      </c>
      <c r="AP170" t="n">
        <v>2905.257</v>
      </c>
      <c r="AQ170" t="n">
        <v>3340.999</v>
      </c>
      <c r="AR170" t="n">
        <v>4491.323</v>
      </c>
      <c r="AS170" t="n">
        <v>4234.901</v>
      </c>
      <c r="AT170" t="n">
        <v>6761.511</v>
      </c>
      <c r="AU170" t="n">
        <v>5545.034</v>
      </c>
      <c r="AV170" t="n">
        <v>5834.461</v>
      </c>
      <c r="AW170" t="n">
        <v>6961.654</v>
      </c>
      <c r="AX170" t="n">
        <v>5559.055</v>
      </c>
      <c r="AY170" t="n">
        <v>4803.748</v>
      </c>
      <c r="AZ170" t="n">
        <v>3904.766</v>
      </c>
      <c r="BA170" t="n">
        <v>1411.313</v>
      </c>
      <c r="BB170" t="n">
        <v>995.17</v>
      </c>
      <c r="BC170" t="n">
        <v>461.279</v>
      </c>
      <c r="BD170" t="n">
        <v>510.391</v>
      </c>
      <c r="BE170" t="n">
        <v>818.447</v>
      </c>
      <c r="BF170" t="n">
        <v>819.061</v>
      </c>
      <c r="BG170" t="n">
        <v>712.0599999999999</v>
      </c>
      <c r="BH170" t="n">
        <v>563.265</v>
      </c>
      <c r="BI170" t="n">
        <v>456.031</v>
      </c>
      <c r="BJ170" t="n">
        <v>471.255</v>
      </c>
      <c r="BK170" t="n">
        <v>3132.796</v>
      </c>
      <c r="BL170" t="n">
        <v>3739.971</v>
      </c>
      <c r="BM170" t="n">
        <v>4312.427</v>
      </c>
      <c r="BN170" t="n">
        <v>4322.504</v>
      </c>
      <c r="BO170" t="n">
        <v>4272.297</v>
      </c>
      <c r="BP170" t="n">
        <v>3990.244</v>
      </c>
      <c r="BQ170" t="n">
        <v>4413.441</v>
      </c>
      <c r="BR170" t="n">
        <v>3734.579</v>
      </c>
      <c r="BS170" t="n">
        <v>4570.939</v>
      </c>
      <c r="BT170" t="n">
        <v>4565.401</v>
      </c>
      <c r="BU170" t="n">
        <v>4827.847</v>
      </c>
      <c r="BV170" t="n">
        <v>5746.248</v>
      </c>
    </row>
    <row r="171">
      <c r="A171" t="inlineStr">
        <is>
          <t>Psenopsis anomala</t>
        </is>
      </c>
      <c r="B171" t="inlineStr">
        <is>
          <t>Pacific rudderfish</t>
        </is>
      </c>
      <c r="C171" t="inlineStr">
        <is>
          <t>Small benthopelagics (&lt;30 cm)</t>
        </is>
      </c>
      <c r="D171" t="inlineStr">
        <is>
          <t>Perch-likes</t>
        </is>
      </c>
      <c r="E171" t="n">
        <v>518.574</v>
      </c>
      <c r="F171" t="n">
        <v>633.421</v>
      </c>
      <c r="G171" t="n">
        <v>828.021</v>
      </c>
      <c r="H171" t="n">
        <v>782.7380000000001</v>
      </c>
      <c r="I171" t="n">
        <v>718.047</v>
      </c>
      <c r="J171" t="n">
        <v>528.797</v>
      </c>
      <c r="K171" t="n">
        <v>1155.356</v>
      </c>
      <c r="L171" t="n">
        <v>1390.967</v>
      </c>
      <c r="M171" t="n">
        <v>1384.861</v>
      </c>
      <c r="N171" t="n">
        <v>1150.55</v>
      </c>
      <c r="O171" t="n">
        <v>1107.901</v>
      </c>
      <c r="P171" t="n">
        <v>2652.671</v>
      </c>
      <c r="Q171" t="n">
        <v>1925.613</v>
      </c>
      <c r="R171" t="n">
        <v>1261.763</v>
      </c>
      <c r="S171" t="n">
        <v>1239.148</v>
      </c>
      <c r="T171" t="n">
        <v>1583.042</v>
      </c>
      <c r="U171" t="n">
        <v>992.8200000000001</v>
      </c>
      <c r="V171" t="n">
        <v>1236.804</v>
      </c>
      <c r="W171" t="n">
        <v>2117.9</v>
      </c>
      <c r="X171" t="n">
        <v>2682.636</v>
      </c>
      <c r="Y171" t="n">
        <v>2157.135</v>
      </c>
      <c r="Z171" t="n">
        <v>2716.901</v>
      </c>
      <c r="AA171" t="n">
        <v>2271.162</v>
      </c>
      <c r="AB171" t="n">
        <v>1735.956</v>
      </c>
      <c r="AC171" t="n">
        <v>2609.236</v>
      </c>
      <c r="AD171" t="n">
        <v>2245.256</v>
      </c>
      <c r="AE171" t="n">
        <v>2136.8</v>
      </c>
      <c r="AF171" t="n">
        <v>1855.754</v>
      </c>
      <c r="AG171" t="n">
        <v>1581.377</v>
      </c>
      <c r="AH171" t="n">
        <v>1191.989</v>
      </c>
      <c r="AI171" t="n">
        <v>1641.205</v>
      </c>
      <c r="AJ171" t="n">
        <v>1212.601</v>
      </c>
      <c r="AK171" t="n">
        <v>1444.631</v>
      </c>
      <c r="AL171" t="n">
        <v>2741.446</v>
      </c>
      <c r="AM171" t="n">
        <v>2052.068</v>
      </c>
      <c r="AN171" t="n">
        <v>2065.495</v>
      </c>
      <c r="AO171" t="n">
        <v>4568.86</v>
      </c>
      <c r="AP171" t="n">
        <v>3762.85</v>
      </c>
      <c r="AQ171" t="n">
        <v>2827.957</v>
      </c>
      <c r="AR171" t="n">
        <v>2384.704</v>
      </c>
      <c r="AS171" t="n">
        <v>1854.128</v>
      </c>
      <c r="AT171" t="n">
        <v>4138.575</v>
      </c>
      <c r="AU171" t="n">
        <v>3440.173</v>
      </c>
      <c r="AV171" t="n">
        <v>3263.469</v>
      </c>
      <c r="AW171" t="n">
        <v>3903.967</v>
      </c>
      <c r="AX171" t="n">
        <v>4507.316</v>
      </c>
      <c r="AY171" t="n">
        <v>5718.982</v>
      </c>
      <c r="AZ171" t="n">
        <v>3486.977</v>
      </c>
      <c r="BA171" t="n">
        <v>4226.186</v>
      </c>
      <c r="BB171" t="n">
        <v>2754.145</v>
      </c>
      <c r="BC171" t="n">
        <v>2038.916</v>
      </c>
      <c r="BD171" t="n">
        <v>2630.172</v>
      </c>
      <c r="BE171" t="n">
        <v>2340.64</v>
      </c>
      <c r="BF171" t="n">
        <v>1278.628</v>
      </c>
      <c r="BG171" t="n">
        <v>1765.417</v>
      </c>
      <c r="BH171" t="n">
        <v>1201.835</v>
      </c>
      <c r="BI171" t="n">
        <v>1279.196</v>
      </c>
      <c r="BJ171" t="n">
        <v>941.047</v>
      </c>
      <c r="BK171" t="n">
        <v>1097.521</v>
      </c>
      <c r="BL171" t="n">
        <v>1356.692</v>
      </c>
      <c r="BM171" t="n">
        <v>879.9930000000001</v>
      </c>
      <c r="BN171" t="n">
        <v>960.907</v>
      </c>
      <c r="BO171" t="n">
        <v>892.354</v>
      </c>
      <c r="BP171" t="n">
        <v>900.45</v>
      </c>
      <c r="BQ171" t="n">
        <v>915.784</v>
      </c>
      <c r="BR171" t="n">
        <v>671.251</v>
      </c>
      <c r="BS171" t="n">
        <v>730.8339999999999</v>
      </c>
      <c r="BT171" t="n">
        <v>661.192</v>
      </c>
      <c r="BU171" t="n">
        <v>651.617</v>
      </c>
      <c r="BV171" t="n">
        <v>609.064</v>
      </c>
    </row>
    <row r="172">
      <c r="A172" t="inlineStr">
        <is>
          <t>Platycephalus indicus</t>
        </is>
      </c>
      <c r="B172" t="inlineStr">
        <is>
          <t>Bartail flathead</t>
        </is>
      </c>
      <c r="C172" t="inlineStr">
        <is>
          <t>Medium demersals (30 - 89 cm)</t>
        </is>
      </c>
      <c r="D172" t="inlineStr">
        <is>
          <t>Scorpionfishes</t>
        </is>
      </c>
      <c r="E172" t="n">
        <v>2.552</v>
      </c>
      <c r="F172" t="n">
        <v>3.007</v>
      </c>
      <c r="G172" t="n">
        <v>21.948</v>
      </c>
      <c r="H172" t="n">
        <v>3.082</v>
      </c>
      <c r="I172" t="n">
        <v>36.761</v>
      </c>
      <c r="J172" t="n">
        <v>4.218</v>
      </c>
      <c r="K172" t="n">
        <v>4.492</v>
      </c>
      <c r="L172" t="n">
        <v>4.26</v>
      </c>
      <c r="M172" t="n">
        <v>4.666</v>
      </c>
      <c r="N172" t="n">
        <v>4.879</v>
      </c>
      <c r="O172" t="n">
        <v>5.238</v>
      </c>
      <c r="P172" t="n">
        <v>48.624</v>
      </c>
      <c r="Q172" t="n">
        <v>49.844</v>
      </c>
      <c r="R172" t="n">
        <v>25.644</v>
      </c>
      <c r="S172" t="n">
        <v>2162.921</v>
      </c>
      <c r="T172" t="n">
        <v>2308.946</v>
      </c>
      <c r="U172" t="n">
        <v>2504.508</v>
      </c>
      <c r="V172" t="n">
        <v>3872.026</v>
      </c>
      <c r="W172" t="n">
        <v>2051.923</v>
      </c>
      <c r="X172" t="n">
        <v>2349.964</v>
      </c>
      <c r="Y172" t="n">
        <v>1592.327</v>
      </c>
      <c r="Z172" t="n">
        <v>1549.631</v>
      </c>
      <c r="AA172" t="n">
        <v>1882.352</v>
      </c>
      <c r="AB172" t="n">
        <v>1815.056</v>
      </c>
      <c r="AC172" t="n">
        <v>1897.959</v>
      </c>
      <c r="AD172" t="n">
        <v>3468.296</v>
      </c>
      <c r="AE172" t="n">
        <v>2358.174</v>
      </c>
      <c r="AF172" t="n">
        <v>2590.123</v>
      </c>
      <c r="AG172" t="n">
        <v>1190.856</v>
      </c>
      <c r="AH172" t="n">
        <v>782.52</v>
      </c>
      <c r="AI172" t="n">
        <v>1488.141</v>
      </c>
      <c r="AJ172" t="n">
        <v>1215.454</v>
      </c>
      <c r="AK172" t="n">
        <v>1887.007</v>
      </c>
      <c r="AL172" t="n">
        <v>2397.871</v>
      </c>
      <c r="AM172" t="n">
        <v>2923.318</v>
      </c>
      <c r="AN172" t="n">
        <v>2403.283</v>
      </c>
      <c r="AO172" t="n">
        <v>2289.671</v>
      </c>
      <c r="AP172" t="n">
        <v>2219.915</v>
      </c>
      <c r="AQ172" t="n">
        <v>2778.683</v>
      </c>
      <c r="AR172" t="n">
        <v>3852.521</v>
      </c>
      <c r="AS172" t="n">
        <v>3006.067</v>
      </c>
      <c r="AT172" t="n">
        <v>3814.863</v>
      </c>
      <c r="AU172" t="n">
        <v>4484.072</v>
      </c>
      <c r="AV172" t="n">
        <v>3494.091</v>
      </c>
      <c r="AW172" t="n">
        <v>3922.385</v>
      </c>
      <c r="AX172" t="n">
        <v>3284.149</v>
      </c>
      <c r="AY172" t="n">
        <v>4748.69</v>
      </c>
      <c r="AZ172" t="n">
        <v>5849.808</v>
      </c>
      <c r="BA172" t="n">
        <v>4697.137</v>
      </c>
      <c r="BB172" t="n">
        <v>2651.661</v>
      </c>
      <c r="BC172" t="n">
        <v>2474.166</v>
      </c>
      <c r="BD172" t="n">
        <v>1831.535</v>
      </c>
      <c r="BE172" t="n">
        <v>1274.31</v>
      </c>
      <c r="BF172" t="n">
        <v>958.614</v>
      </c>
      <c r="BG172" t="n">
        <v>994.9450000000001</v>
      </c>
      <c r="BH172" t="n">
        <v>1138.164</v>
      </c>
      <c r="BI172" t="n">
        <v>1172.853</v>
      </c>
      <c r="BJ172" t="n">
        <v>1009.104</v>
      </c>
      <c r="BK172" t="n">
        <v>1180.82</v>
      </c>
      <c r="BL172" t="n">
        <v>1621.105</v>
      </c>
      <c r="BM172" t="n">
        <v>1778.859</v>
      </c>
      <c r="BN172" t="n">
        <v>2003.192</v>
      </c>
      <c r="BO172" t="n">
        <v>1663.996</v>
      </c>
      <c r="BP172" t="n">
        <v>1591.878</v>
      </c>
      <c r="BQ172" t="n">
        <v>1707.102</v>
      </c>
      <c r="BR172" t="n">
        <v>1375.017</v>
      </c>
      <c r="BS172" t="n">
        <v>1810.435</v>
      </c>
      <c r="BT172" t="n">
        <v>1706.434</v>
      </c>
      <c r="BU172" t="n">
        <v>1730.108</v>
      </c>
      <c r="BV172" t="n">
        <v>1620.21</v>
      </c>
    </row>
    <row r="173">
      <c r="A173" t="inlineStr">
        <is>
          <t>Ommastrephidae</t>
        </is>
      </c>
      <c r="B173" t="inlineStr">
        <is>
          <t>Arrow squids</t>
        </is>
      </c>
      <c r="C173" t="inlineStr">
        <is>
          <t>Cephalopods</t>
        </is>
      </c>
      <c r="D173" t="inlineStr">
        <is>
          <t>Other fishes &amp; inverts</t>
        </is>
      </c>
      <c r="E173" t="n">
        <v>23.983</v>
      </c>
      <c r="F173" t="n">
        <v>28.94</v>
      </c>
      <c r="G173" t="n">
        <v>35.64</v>
      </c>
      <c r="H173" t="n">
        <v>38.819</v>
      </c>
      <c r="I173" t="n">
        <v>40.547</v>
      </c>
      <c r="J173" t="n">
        <v>51.343</v>
      </c>
      <c r="K173" t="n">
        <v>59.211</v>
      </c>
      <c r="L173" t="n">
        <v>65.372</v>
      </c>
      <c r="M173" t="n">
        <v>70.568</v>
      </c>
      <c r="N173" t="n">
        <v>81.336</v>
      </c>
      <c r="O173" t="n">
        <v>94.37</v>
      </c>
      <c r="P173" t="n">
        <v>115.275</v>
      </c>
      <c r="Q173" t="n">
        <v>121.766</v>
      </c>
      <c r="R173" t="n">
        <v>123.129</v>
      </c>
      <c r="S173" t="n">
        <v>140.219</v>
      </c>
      <c r="T173" t="n">
        <v>166.862</v>
      </c>
      <c r="U173" t="n">
        <v>191.486</v>
      </c>
      <c r="V173" t="n">
        <v>196.291</v>
      </c>
      <c r="W173" t="n">
        <v>227.54</v>
      </c>
      <c r="X173" t="n">
        <v>242.457</v>
      </c>
      <c r="Y173" t="n">
        <v>261.919</v>
      </c>
      <c r="Z173" t="n">
        <v>347.104</v>
      </c>
      <c r="AA173" t="n">
        <v>434.529</v>
      </c>
      <c r="AB173" t="n">
        <v>444.673</v>
      </c>
      <c r="AC173" t="n">
        <v>439.632</v>
      </c>
      <c r="AD173" t="n">
        <v>486.195</v>
      </c>
      <c r="AE173" t="n">
        <v>486.741</v>
      </c>
      <c r="AF173" t="n">
        <v>1017.14</v>
      </c>
      <c r="AG173" t="n">
        <v>972.576</v>
      </c>
      <c r="AH173" t="n">
        <v>1027.308</v>
      </c>
      <c r="AI173" t="n">
        <v>971.449</v>
      </c>
      <c r="AJ173" t="n">
        <v>914.833</v>
      </c>
      <c r="AK173" t="n">
        <v>764.284</v>
      </c>
      <c r="AL173" t="n">
        <v>10321.988</v>
      </c>
      <c r="AM173" t="n">
        <v>12491.438</v>
      </c>
      <c r="AN173" t="n">
        <v>7824.494</v>
      </c>
      <c r="AO173" t="n">
        <v>8479.448</v>
      </c>
      <c r="AP173" t="n">
        <v>9266.759</v>
      </c>
      <c r="AQ173" t="n">
        <v>14417.984</v>
      </c>
      <c r="AR173" t="n">
        <v>15307.994</v>
      </c>
      <c r="AS173" t="n">
        <v>12074.477</v>
      </c>
      <c r="AT173" t="n">
        <v>1255.563</v>
      </c>
      <c r="AU173" t="n">
        <v>906.718</v>
      </c>
      <c r="AV173" t="n">
        <v>4758.661</v>
      </c>
      <c r="AW173" t="n">
        <v>3261.838</v>
      </c>
      <c r="AX173" t="n">
        <v>3869.021</v>
      </c>
      <c r="AY173" t="n">
        <v>3025.932</v>
      </c>
      <c r="AZ173" t="n">
        <v>2991.189</v>
      </c>
      <c r="BA173" t="n">
        <v>3231.083</v>
      </c>
      <c r="BB173" t="n">
        <v>70.354</v>
      </c>
      <c r="BC173" t="n">
        <v>94.52</v>
      </c>
      <c r="BD173" t="n">
        <v>62.105</v>
      </c>
      <c r="BE173" t="n">
        <v>57.946</v>
      </c>
      <c r="BF173" t="n">
        <v>1.203</v>
      </c>
      <c r="BG173" t="n">
        <v>2.047</v>
      </c>
      <c r="BH173" t="n">
        <v>0</v>
      </c>
      <c r="BI173" t="n">
        <v>0.064</v>
      </c>
      <c r="BJ173" t="n">
        <v>0.772</v>
      </c>
      <c r="BK173" t="n">
        <v>1.81</v>
      </c>
      <c r="BL173" t="n">
        <v>0.156</v>
      </c>
      <c r="BM173" t="n">
        <v>0.278</v>
      </c>
      <c r="BN173" t="n">
        <v>0.346</v>
      </c>
      <c r="BO173" t="n">
        <v>0.346</v>
      </c>
      <c r="BP173" t="n">
        <v>116.177</v>
      </c>
      <c r="BQ173" t="n">
        <v>131.487</v>
      </c>
      <c r="BR173" t="n">
        <v>85.923</v>
      </c>
      <c r="BS173" t="n">
        <v>237.364</v>
      </c>
      <c r="BT173" t="n">
        <v>42.762</v>
      </c>
      <c r="BU173" t="n">
        <v>114.562</v>
      </c>
      <c r="BV173" t="n">
        <v>108.147</v>
      </c>
    </row>
    <row r="174">
      <c r="A174" t="inlineStr">
        <is>
          <t>Gobiidae</t>
        </is>
      </c>
      <c r="B174" t="inlineStr">
        <is>
          <t>Gobies</t>
        </is>
      </c>
      <c r="C174" t="inlineStr">
        <is>
          <t>Small reef assoc. fish (&lt;30 cm)</t>
        </is>
      </c>
      <c r="D174" t="inlineStr">
        <is>
          <t>Perch-likes</t>
        </is>
      </c>
      <c r="E174" t="n">
        <v>41.654</v>
      </c>
      <c r="F174" t="n">
        <v>46.135</v>
      </c>
      <c r="G174" t="n">
        <v>54.631</v>
      </c>
      <c r="H174" t="n">
        <v>52.138</v>
      </c>
      <c r="I174" t="n">
        <v>53.443</v>
      </c>
      <c r="J174" t="n">
        <v>55.463</v>
      </c>
      <c r="K174" t="n">
        <v>58.428</v>
      </c>
      <c r="L174" t="n">
        <v>56.542</v>
      </c>
      <c r="M174" t="n">
        <v>60.317</v>
      </c>
      <c r="N174" t="n">
        <v>61.433</v>
      </c>
      <c r="O174" t="n">
        <v>73.10299999999999</v>
      </c>
      <c r="P174" t="n">
        <v>78.331</v>
      </c>
      <c r="Q174" t="n">
        <v>83.634</v>
      </c>
      <c r="R174" t="n">
        <v>120.215</v>
      </c>
      <c r="S174" t="n">
        <v>107.685</v>
      </c>
      <c r="T174" t="n">
        <v>134.271</v>
      </c>
      <c r="U174" t="n">
        <v>177.447</v>
      </c>
      <c r="V174" t="n">
        <v>201.611</v>
      </c>
      <c r="W174" t="n">
        <v>304.036</v>
      </c>
      <c r="X174" t="n">
        <v>314.202</v>
      </c>
      <c r="Y174" t="n">
        <v>269.131</v>
      </c>
      <c r="Z174" t="n">
        <v>323.814</v>
      </c>
      <c r="AA174" t="n">
        <v>472.179</v>
      </c>
      <c r="AB174" t="n">
        <v>557.312</v>
      </c>
      <c r="AC174" t="n">
        <v>495.199</v>
      </c>
      <c r="AD174" t="n">
        <v>496.917</v>
      </c>
      <c r="AE174" t="n">
        <v>1919.945</v>
      </c>
      <c r="AF174" t="n">
        <v>2576.058</v>
      </c>
      <c r="AG174" t="n">
        <v>2363.183</v>
      </c>
      <c r="AH174" t="n">
        <v>1846.36</v>
      </c>
      <c r="AI174" t="n">
        <v>1458.308</v>
      </c>
      <c r="AJ174" t="n">
        <v>1912.766</v>
      </c>
      <c r="AK174" t="n">
        <v>2395.767</v>
      </c>
      <c r="AL174" t="n">
        <v>3065.841</v>
      </c>
      <c r="AM174" t="n">
        <v>2185.594</v>
      </c>
      <c r="AN174" t="n">
        <v>2801.473</v>
      </c>
      <c r="AO174" t="n">
        <v>2699.335</v>
      </c>
      <c r="AP174" t="n">
        <v>3815.163</v>
      </c>
      <c r="AQ174" t="n">
        <v>4998.219</v>
      </c>
      <c r="AR174" t="n">
        <v>4553.61</v>
      </c>
      <c r="AS174" t="n">
        <v>3440.81</v>
      </c>
      <c r="AT174" t="n">
        <v>2964.271</v>
      </c>
      <c r="AU174" t="n">
        <v>3743.452</v>
      </c>
      <c r="AV174" t="n">
        <v>3118.777</v>
      </c>
      <c r="AW174" t="n">
        <v>4919.389</v>
      </c>
      <c r="AX174" t="n">
        <v>3436.15</v>
      </c>
      <c r="AY174" t="n">
        <v>3461.893</v>
      </c>
      <c r="AZ174" t="n">
        <v>3346.736</v>
      </c>
      <c r="BA174" t="n">
        <v>3047.78</v>
      </c>
      <c r="BB174" t="n">
        <v>2343.711</v>
      </c>
      <c r="BC174" t="n">
        <v>2245.49</v>
      </c>
      <c r="BD174" t="n">
        <v>2336.245</v>
      </c>
      <c r="BE174" t="n">
        <v>1945.895</v>
      </c>
      <c r="BF174" t="n">
        <v>2180.508</v>
      </c>
      <c r="BG174" t="n">
        <v>2215.744</v>
      </c>
      <c r="BH174" t="n">
        <v>5394.609</v>
      </c>
      <c r="BI174" t="n">
        <v>2344.304</v>
      </c>
      <c r="BJ174" t="n">
        <v>2235.152</v>
      </c>
      <c r="BK174" t="n">
        <v>1748.036</v>
      </c>
      <c r="BL174" t="n">
        <v>1910.775</v>
      </c>
      <c r="BM174" t="n">
        <v>1818.533</v>
      </c>
      <c r="BN174" t="n">
        <v>2140.659</v>
      </c>
      <c r="BO174" t="n">
        <v>2379.268</v>
      </c>
      <c r="BP174" t="n">
        <v>2281</v>
      </c>
      <c r="BQ174" t="n">
        <v>2254.297</v>
      </c>
      <c r="BR174" t="n">
        <v>2129.737</v>
      </c>
      <c r="BS174" t="n">
        <v>2369.928</v>
      </c>
      <c r="BT174" t="n">
        <v>2235.315</v>
      </c>
      <c r="BU174" t="n">
        <v>1825.964</v>
      </c>
      <c r="BV174" t="n">
        <v>2112.853</v>
      </c>
    </row>
    <row r="175">
      <c r="A175" t="inlineStr">
        <is>
          <t>Cephea</t>
        </is>
      </c>
      <c r="B175" t="inlineStr">
        <is>
          <t>Cepheid jellyfishes</t>
        </is>
      </c>
      <c r="C175" t="inlineStr">
        <is>
          <t>Jellyfish</t>
        </is>
      </c>
      <c r="D175" t="inlineStr">
        <is>
          <t>Other fishes &amp; inverts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15.326</v>
      </c>
      <c r="Z175" t="n">
        <v>23.404</v>
      </c>
      <c r="AA175" t="n">
        <v>34.145</v>
      </c>
      <c r="AB175" t="n">
        <v>1078.643</v>
      </c>
      <c r="AC175" t="n">
        <v>47.243</v>
      </c>
      <c r="AD175" t="n">
        <v>102.131</v>
      </c>
      <c r="AE175" t="n">
        <v>618.038</v>
      </c>
      <c r="AF175" t="n">
        <v>2563.59</v>
      </c>
      <c r="AG175" t="n">
        <v>2095.253</v>
      </c>
      <c r="AH175" t="n">
        <v>2010.186</v>
      </c>
      <c r="AI175" t="n">
        <v>89.289</v>
      </c>
      <c r="AJ175" t="n">
        <v>555.576</v>
      </c>
      <c r="AK175" t="n">
        <v>1529.565</v>
      </c>
      <c r="AL175" t="n">
        <v>8393.236000000001</v>
      </c>
      <c r="AM175" t="n">
        <v>362.994</v>
      </c>
      <c r="AN175" t="n">
        <v>429.269</v>
      </c>
      <c r="AO175" t="n">
        <v>1219.162</v>
      </c>
      <c r="AP175" t="n">
        <v>1064.602</v>
      </c>
      <c r="AQ175" t="n">
        <v>1496.687</v>
      </c>
      <c r="AR175" t="n">
        <v>1385.587</v>
      </c>
      <c r="AS175" t="n">
        <v>1291.022</v>
      </c>
      <c r="AT175" t="n">
        <v>5417.781</v>
      </c>
      <c r="AU175" t="n">
        <v>10565.699</v>
      </c>
      <c r="AV175" t="n">
        <v>1075.975</v>
      </c>
      <c r="AW175" t="n">
        <v>9007.571</v>
      </c>
      <c r="AX175" t="n">
        <v>2017.234</v>
      </c>
      <c r="AY175" t="n">
        <v>2283.008</v>
      </c>
      <c r="AZ175" t="n">
        <v>2990.768</v>
      </c>
      <c r="BA175" t="n">
        <v>7938.372</v>
      </c>
      <c r="BB175" t="n">
        <v>13421.921</v>
      </c>
      <c r="BC175" t="n">
        <v>22043.829</v>
      </c>
      <c r="BD175" t="n">
        <v>7556.09</v>
      </c>
      <c r="BE175" t="n">
        <v>4982.086</v>
      </c>
      <c r="BF175" t="n">
        <v>1445.977</v>
      </c>
      <c r="BG175" t="n">
        <v>255.965</v>
      </c>
      <c r="BH175" t="n">
        <v>587.258</v>
      </c>
      <c r="BI175" t="n">
        <v>579.336</v>
      </c>
      <c r="BJ175" t="n">
        <v>1168.048</v>
      </c>
      <c r="BK175" t="n">
        <v>70.557</v>
      </c>
      <c r="BL175" t="n">
        <v>97.879</v>
      </c>
      <c r="BM175" t="n">
        <v>193.388</v>
      </c>
      <c r="BN175" t="n">
        <v>133.607</v>
      </c>
      <c r="BO175" t="n">
        <v>73.393</v>
      </c>
      <c r="BP175" t="n">
        <v>47.14</v>
      </c>
      <c r="BQ175" t="n">
        <v>216.089</v>
      </c>
      <c r="BR175" t="n">
        <v>98.749</v>
      </c>
      <c r="BS175" t="n">
        <v>77.789</v>
      </c>
      <c r="BT175" t="n">
        <v>21.276</v>
      </c>
      <c r="BU175" t="n">
        <v>69.402</v>
      </c>
      <c r="BV175" t="n">
        <v>37.373</v>
      </c>
    </row>
    <row r="176">
      <c r="A176" t="inlineStr">
        <is>
          <t>Haemulidae</t>
        </is>
      </c>
      <c r="B176" t="inlineStr">
        <is>
          <t>Grunts, sweetlips, bonnetmouths</t>
        </is>
      </c>
      <c r="C176" t="inlineStr">
        <is>
          <t>Medium demersals (30 - 89 cm)</t>
        </is>
      </c>
      <c r="D176" t="inlineStr">
        <is>
          <t>Perch-likes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14.918</v>
      </c>
      <c r="R176" t="n">
        <v>77.82899999999999</v>
      </c>
      <c r="S176" t="n">
        <v>148.825</v>
      </c>
      <c r="T176" t="n">
        <v>421.266</v>
      </c>
      <c r="U176" t="n">
        <v>589.735</v>
      </c>
      <c r="V176" t="n">
        <v>955.294</v>
      </c>
      <c r="W176" t="n">
        <v>1182.481</v>
      </c>
      <c r="X176" t="n">
        <v>1248.389</v>
      </c>
      <c r="Y176" t="n">
        <v>1356.177</v>
      </c>
      <c r="Z176" t="n">
        <v>1502.341</v>
      </c>
      <c r="AA176" t="n">
        <v>1751.986</v>
      </c>
      <c r="AB176" t="n">
        <v>1902.585</v>
      </c>
      <c r="AC176" t="n">
        <v>2234.267</v>
      </c>
      <c r="AD176" t="n">
        <v>2181.736</v>
      </c>
      <c r="AE176" t="n">
        <v>2378.239</v>
      </c>
      <c r="AF176" t="n">
        <v>2816.401</v>
      </c>
      <c r="AG176" t="n">
        <v>2358.919</v>
      </c>
      <c r="AH176" t="n">
        <v>2081.252</v>
      </c>
      <c r="AI176" t="n">
        <v>1745.064</v>
      </c>
      <c r="AJ176" t="n">
        <v>1996.963</v>
      </c>
      <c r="AK176" t="n">
        <v>1511.505</v>
      </c>
      <c r="AL176" t="n">
        <v>2281.034</v>
      </c>
      <c r="AM176" t="n">
        <v>2515.631</v>
      </c>
      <c r="AN176" t="n">
        <v>2758.334</v>
      </c>
      <c r="AO176" t="n">
        <v>2755.286</v>
      </c>
      <c r="AP176" t="n">
        <v>3046.879</v>
      </c>
      <c r="AQ176" t="n">
        <v>2663.279</v>
      </c>
      <c r="AR176" t="n">
        <v>2778.444</v>
      </c>
      <c r="AS176" t="n">
        <v>2783.699</v>
      </c>
      <c r="AT176" t="n">
        <v>1499.25</v>
      </c>
      <c r="AU176" t="n">
        <v>1825.756</v>
      </c>
      <c r="AV176" t="n">
        <v>1958.521</v>
      </c>
      <c r="AW176" t="n">
        <v>2346.409</v>
      </c>
      <c r="AX176" t="n">
        <v>2512.488</v>
      </c>
      <c r="AY176" t="n">
        <v>2430.215</v>
      </c>
      <c r="AZ176" t="n">
        <v>1943.638</v>
      </c>
      <c r="BA176" t="n">
        <v>2314.974</v>
      </c>
      <c r="BB176" t="n">
        <v>2356.005</v>
      </c>
      <c r="BC176" t="n">
        <v>2462.275</v>
      </c>
      <c r="BD176" t="n">
        <v>2287.533</v>
      </c>
      <c r="BE176" t="n">
        <v>2403.292</v>
      </c>
      <c r="BF176" t="n">
        <v>2239.742</v>
      </c>
      <c r="BG176" t="n">
        <v>2444.442</v>
      </c>
      <c r="BH176" t="n">
        <v>3000.322</v>
      </c>
      <c r="BI176" t="n">
        <v>2147.892</v>
      </c>
      <c r="BJ176" t="n">
        <v>2623.51</v>
      </c>
      <c r="BK176" t="n">
        <v>2022.788</v>
      </c>
      <c r="BL176" t="n">
        <v>1919.678</v>
      </c>
      <c r="BM176" t="n">
        <v>2120.943</v>
      </c>
      <c r="BN176" t="n">
        <v>2070.666</v>
      </c>
      <c r="BO176" t="n">
        <v>2335.804</v>
      </c>
      <c r="BP176" t="n">
        <v>2427.675</v>
      </c>
      <c r="BQ176" t="n">
        <v>2224.457</v>
      </c>
      <c r="BR176" t="n">
        <v>2297.114</v>
      </c>
      <c r="BS176" t="n">
        <v>2421.113</v>
      </c>
      <c r="BT176" t="n">
        <v>2268.985</v>
      </c>
      <c r="BU176" t="n">
        <v>2120.269</v>
      </c>
      <c r="BV176" t="n">
        <v>1986.322</v>
      </c>
    </row>
    <row r="177">
      <c r="A177" t="inlineStr">
        <is>
          <t>Mytilidae</t>
        </is>
      </c>
      <c r="B177" t="inlineStr">
        <is>
          <t>Sea mussels</t>
        </is>
      </c>
      <c r="C177" t="inlineStr">
        <is>
          <t>Other demersal invertebrates</t>
        </is>
      </c>
      <c r="D177" t="inlineStr">
        <is>
          <t>Molluscs</t>
        </is>
      </c>
      <c r="E177" t="n">
        <v>1.345</v>
      </c>
      <c r="F177" t="n">
        <v>0</v>
      </c>
      <c r="G177" t="n">
        <v>0</v>
      </c>
      <c r="H177" t="n">
        <v>0</v>
      </c>
      <c r="I177" t="n">
        <v>0</v>
      </c>
      <c r="J177" t="n">
        <v>4.146</v>
      </c>
      <c r="K177" t="n">
        <v>0</v>
      </c>
      <c r="L177" t="n">
        <v>0</v>
      </c>
      <c r="M177" t="n">
        <v>0</v>
      </c>
      <c r="N177" t="n">
        <v>3.203</v>
      </c>
      <c r="O177" t="n">
        <v>1.922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1.758</v>
      </c>
      <c r="W177" t="n">
        <v>0</v>
      </c>
      <c r="X177" t="n">
        <v>0</v>
      </c>
      <c r="Y177" t="n">
        <v>213.19</v>
      </c>
      <c r="Z177" t="n">
        <v>1659.284</v>
      </c>
      <c r="AA177" t="n">
        <v>1574.555</v>
      </c>
      <c r="AB177" t="n">
        <v>843.309</v>
      </c>
      <c r="AC177" t="n">
        <v>1692.535</v>
      </c>
      <c r="AD177" t="n">
        <v>370.004</v>
      </c>
      <c r="AE177" t="n">
        <v>581.975</v>
      </c>
      <c r="AF177" t="n">
        <v>1055.366</v>
      </c>
      <c r="AG177" t="n">
        <v>237.184</v>
      </c>
      <c r="AH177" t="n">
        <v>63.508</v>
      </c>
      <c r="AI177" t="n">
        <v>104.673</v>
      </c>
      <c r="AJ177" t="n">
        <v>3470.497</v>
      </c>
      <c r="AK177" t="n">
        <v>3430.123</v>
      </c>
      <c r="AL177" t="n">
        <v>1464.63</v>
      </c>
      <c r="AM177" t="n">
        <v>1462.935</v>
      </c>
      <c r="AN177" t="n">
        <v>1034.374</v>
      </c>
      <c r="AO177" t="n">
        <v>685.8339999999999</v>
      </c>
      <c r="AP177" t="n">
        <v>1084.511</v>
      </c>
      <c r="AQ177" t="n">
        <v>3623.37</v>
      </c>
      <c r="AR177" t="n">
        <v>2978.522</v>
      </c>
      <c r="AS177" t="n">
        <v>6636.227</v>
      </c>
      <c r="AT177" t="n">
        <v>4651.2</v>
      </c>
      <c r="AU177" t="n">
        <v>4018.77</v>
      </c>
      <c r="AV177" t="n">
        <v>1796.475</v>
      </c>
      <c r="AW177" t="n">
        <v>2164.063</v>
      </c>
      <c r="AX177" t="n">
        <v>2555.326</v>
      </c>
      <c r="AY177" t="n">
        <v>751.978</v>
      </c>
      <c r="AZ177" t="n">
        <v>3293.7</v>
      </c>
      <c r="BA177" t="n">
        <v>6216.671</v>
      </c>
      <c r="BB177" t="n">
        <v>4648.16</v>
      </c>
      <c r="BC177" t="n">
        <v>3589.649</v>
      </c>
      <c r="BD177" t="n">
        <v>2398.481</v>
      </c>
      <c r="BE177" t="n">
        <v>2122.361</v>
      </c>
      <c r="BF177" t="n">
        <v>884.2619999999999</v>
      </c>
      <c r="BG177" t="n">
        <v>932.676</v>
      </c>
      <c r="BH177" t="n">
        <v>1288.144</v>
      </c>
      <c r="BI177" t="n">
        <v>1859.015</v>
      </c>
      <c r="BJ177" t="n">
        <v>2513.676</v>
      </c>
      <c r="BK177" t="n">
        <v>1765.174</v>
      </c>
      <c r="BL177" t="n">
        <v>3058.636</v>
      </c>
      <c r="BM177" t="n">
        <v>4636.527</v>
      </c>
      <c r="BN177" t="n">
        <v>3653.523</v>
      </c>
      <c r="BO177" t="n">
        <v>3238.64</v>
      </c>
      <c r="BP177" t="n">
        <v>2589.136</v>
      </c>
      <c r="BQ177" t="n">
        <v>2783.485</v>
      </c>
      <c r="BR177" t="n">
        <v>2199.454</v>
      </c>
      <c r="BS177" t="n">
        <v>2927.587</v>
      </c>
      <c r="BT177" t="n">
        <v>2762.776</v>
      </c>
      <c r="BU177" t="n">
        <v>2807.688</v>
      </c>
      <c r="BV177" t="n">
        <v>2621.096</v>
      </c>
    </row>
    <row r="178">
      <c r="A178" t="inlineStr">
        <is>
          <t>Upeneus moluccensis</t>
        </is>
      </c>
      <c r="B178" t="inlineStr">
        <is>
          <t>Goldband goatfish</t>
        </is>
      </c>
      <c r="C178" t="inlineStr">
        <is>
          <t>Small reef assoc. fish (&lt;30 cm)</t>
        </is>
      </c>
      <c r="D178" t="inlineStr">
        <is>
          <t>Perch-likes</t>
        </is>
      </c>
      <c r="E178" t="n">
        <v>106.89</v>
      </c>
      <c r="F178" t="n">
        <v>132.195</v>
      </c>
      <c r="G178" t="n">
        <v>135.716</v>
      </c>
      <c r="H178" t="n">
        <v>133.647</v>
      </c>
      <c r="I178" t="n">
        <v>165.526</v>
      </c>
      <c r="J178" t="n">
        <v>176.563</v>
      </c>
      <c r="K178" t="n">
        <v>194.302</v>
      </c>
      <c r="L178" t="n">
        <v>190.715</v>
      </c>
      <c r="M178" t="n">
        <v>201.003</v>
      </c>
      <c r="N178" t="n">
        <v>208.901</v>
      </c>
      <c r="O178" t="n">
        <v>231.867</v>
      </c>
      <c r="P178" t="n">
        <v>219.126</v>
      </c>
      <c r="Q178" t="n">
        <v>241.086</v>
      </c>
      <c r="R178" t="n">
        <v>305.412</v>
      </c>
      <c r="S178" t="n">
        <v>311.546</v>
      </c>
      <c r="T178" t="n">
        <v>350.356</v>
      </c>
      <c r="U178" t="n">
        <v>373.336</v>
      </c>
      <c r="V178" t="n">
        <v>397.656</v>
      </c>
      <c r="W178" t="n">
        <v>454.789</v>
      </c>
      <c r="X178" t="n">
        <v>442.149</v>
      </c>
      <c r="Y178" t="n">
        <v>528.823</v>
      </c>
      <c r="Z178" t="n">
        <v>510.274</v>
      </c>
      <c r="AA178" t="n">
        <v>577.6</v>
      </c>
      <c r="AB178" t="n">
        <v>656.936</v>
      </c>
      <c r="AC178" t="n">
        <v>1224.036</v>
      </c>
      <c r="AD178" t="n">
        <v>1606.325</v>
      </c>
      <c r="AE178" t="n">
        <v>1344.648</v>
      </c>
      <c r="AF178" t="n">
        <v>1212.633</v>
      </c>
      <c r="AG178" t="n">
        <v>1343.625</v>
      </c>
      <c r="AH178" t="n">
        <v>1400.583</v>
      </c>
      <c r="AI178" t="n">
        <v>1567.263</v>
      </c>
      <c r="AJ178" t="n">
        <v>1648.158</v>
      </c>
      <c r="AK178" t="n">
        <v>1656.56</v>
      </c>
      <c r="AL178" t="n">
        <v>1931.266</v>
      </c>
      <c r="AM178" t="n">
        <v>2153.853</v>
      </c>
      <c r="AN178" t="n">
        <v>2090.46</v>
      </c>
      <c r="AO178" t="n">
        <v>2111.944</v>
      </c>
      <c r="AP178" t="n">
        <v>2123.514</v>
      </c>
      <c r="AQ178" t="n">
        <v>2090.368</v>
      </c>
      <c r="AR178" t="n">
        <v>2332.563</v>
      </c>
      <c r="AS178" t="n">
        <v>2208.302</v>
      </c>
      <c r="AT178" t="n">
        <v>2369.042</v>
      </c>
      <c r="AU178" t="n">
        <v>2009.439</v>
      </c>
      <c r="AV178" t="n">
        <v>2411.593</v>
      </c>
      <c r="AW178" t="n">
        <v>1963.514</v>
      </c>
      <c r="AX178" t="n">
        <v>2489.603</v>
      </c>
      <c r="AY178" t="n">
        <v>2316.038</v>
      </c>
      <c r="AZ178" t="n">
        <v>1443.817</v>
      </c>
      <c r="BA178" t="n">
        <v>1378.103</v>
      </c>
      <c r="BB178" t="n">
        <v>1405.739</v>
      </c>
      <c r="BC178" t="n">
        <v>1421.191</v>
      </c>
      <c r="BD178" t="n">
        <v>1369.937</v>
      </c>
      <c r="BE178" t="n">
        <v>2335.796</v>
      </c>
      <c r="BF178" t="n">
        <v>2481.901</v>
      </c>
      <c r="BG178" t="n">
        <v>2300.478</v>
      </c>
      <c r="BH178" t="n">
        <v>2463.101</v>
      </c>
      <c r="BI178" t="n">
        <v>2286.81</v>
      </c>
      <c r="BJ178" t="n">
        <v>2390.913</v>
      </c>
      <c r="BK178" t="n">
        <v>2336.351</v>
      </c>
      <c r="BL178" t="n">
        <v>2450.121</v>
      </c>
      <c r="BM178" t="n">
        <v>2541.319</v>
      </c>
      <c r="BN178" t="n">
        <v>3542.914</v>
      </c>
      <c r="BO178" t="n">
        <v>3304.795</v>
      </c>
      <c r="BP178" t="n">
        <v>3258.57</v>
      </c>
      <c r="BQ178" t="n">
        <v>3220.688</v>
      </c>
      <c r="BR178" t="n">
        <v>3163.328</v>
      </c>
      <c r="BS178" t="n">
        <v>3145.756</v>
      </c>
      <c r="BT178" t="n">
        <v>3152.691</v>
      </c>
      <c r="BU178" t="n">
        <v>2976.112</v>
      </c>
      <c r="BV178" t="n">
        <v>2994.479</v>
      </c>
    </row>
    <row r="179">
      <c r="A179" t="inlineStr">
        <is>
          <t>Perna viridis</t>
        </is>
      </c>
      <c r="B179" t="inlineStr">
        <is>
          <t>Brown mussel</t>
        </is>
      </c>
      <c r="C179" t="inlineStr">
        <is>
          <t>Other demersal invertebrates</t>
        </is>
      </c>
      <c r="D179" t="inlineStr">
        <is>
          <t>Molluscs</t>
        </is>
      </c>
      <c r="E179" t="n">
        <v>39.247</v>
      </c>
      <c r="F179" t="n">
        <v>48.889</v>
      </c>
      <c r="G179" t="n">
        <v>50.126</v>
      </c>
      <c r="H179" t="n">
        <v>49.361</v>
      </c>
      <c r="I179" t="n">
        <v>60.719</v>
      </c>
      <c r="J179" t="n">
        <v>64.872</v>
      </c>
      <c r="K179" t="n">
        <v>71.798</v>
      </c>
      <c r="L179" t="n">
        <v>70.706</v>
      </c>
      <c r="M179" t="n">
        <v>74.21299999999999</v>
      </c>
      <c r="N179" t="n">
        <v>77.29900000000001</v>
      </c>
      <c r="O179" t="n">
        <v>85.38500000000001</v>
      </c>
      <c r="P179" t="n">
        <v>81.13</v>
      </c>
      <c r="Q179" t="n">
        <v>89.623</v>
      </c>
      <c r="R179" t="n">
        <v>106.932</v>
      </c>
      <c r="S179" t="n">
        <v>118.315</v>
      </c>
      <c r="T179" t="n">
        <v>2397.517</v>
      </c>
      <c r="U179" t="n">
        <v>3712.501</v>
      </c>
      <c r="V179" t="n">
        <v>3923.02</v>
      </c>
      <c r="W179" t="n">
        <v>4902.068</v>
      </c>
      <c r="X179" t="n">
        <v>5998.791</v>
      </c>
      <c r="Y179" t="n">
        <v>5870.475</v>
      </c>
      <c r="Z179" t="n">
        <v>6858.764</v>
      </c>
      <c r="AA179" t="n">
        <v>2960.663</v>
      </c>
      <c r="AB179" t="n">
        <v>287.752</v>
      </c>
      <c r="AC179" t="n">
        <v>322.709</v>
      </c>
      <c r="AD179" t="n">
        <v>531.4400000000001</v>
      </c>
      <c r="AE179" t="n">
        <v>290.622</v>
      </c>
      <c r="AF179" t="n">
        <v>227.432</v>
      </c>
      <c r="AG179" t="n">
        <v>305.148</v>
      </c>
      <c r="AH179" t="n">
        <v>316.643</v>
      </c>
      <c r="AI179" t="n">
        <v>484.004</v>
      </c>
      <c r="AJ179" t="n">
        <v>519.954</v>
      </c>
      <c r="AK179" t="n">
        <v>3726.838</v>
      </c>
      <c r="AL179" t="n">
        <v>2110.663</v>
      </c>
      <c r="AM179" t="n">
        <v>3217.262</v>
      </c>
      <c r="AN179" t="n">
        <v>3364.558</v>
      </c>
      <c r="AO179" t="n">
        <v>1981.949</v>
      </c>
      <c r="AP179" t="n">
        <v>2724.252</v>
      </c>
      <c r="AQ179" t="n">
        <v>2865.625</v>
      </c>
      <c r="AR179" t="n">
        <v>2295.542</v>
      </c>
      <c r="AS179" t="n">
        <v>2484.045</v>
      </c>
      <c r="AT179" t="n">
        <v>2607.38</v>
      </c>
      <c r="AU179" t="n">
        <v>3621.103</v>
      </c>
      <c r="AV179" t="n">
        <v>3933.084</v>
      </c>
      <c r="AW179" t="n">
        <v>4077.358</v>
      </c>
      <c r="AX179" t="n">
        <v>3040.756</v>
      </c>
      <c r="AY179" t="n">
        <v>3056.656</v>
      </c>
      <c r="AZ179" t="n">
        <v>2858.085</v>
      </c>
      <c r="BA179" t="n">
        <v>2873.817</v>
      </c>
      <c r="BB179" t="n">
        <v>1142.387</v>
      </c>
      <c r="BC179" t="n">
        <v>6975.389</v>
      </c>
      <c r="BD179" t="n">
        <v>16.26</v>
      </c>
      <c r="BE179" t="n">
        <v>146.981</v>
      </c>
      <c r="BF179" t="n">
        <v>160.512</v>
      </c>
      <c r="BG179" t="n">
        <v>146.573</v>
      </c>
      <c r="BH179" t="n">
        <v>127.298</v>
      </c>
      <c r="BI179" t="n">
        <v>128.603</v>
      </c>
      <c r="BJ179" t="n">
        <v>151.833</v>
      </c>
      <c r="BK179" t="n">
        <v>147.293</v>
      </c>
      <c r="BL179" t="n">
        <v>147.62</v>
      </c>
      <c r="BM179" t="n">
        <v>153.713</v>
      </c>
      <c r="BN179" t="n">
        <v>202.547</v>
      </c>
      <c r="BO179" t="n">
        <v>189.506</v>
      </c>
      <c r="BP179" t="n">
        <v>176.017</v>
      </c>
      <c r="BQ179" t="n">
        <v>162.331</v>
      </c>
      <c r="BR179" t="n">
        <v>160.97</v>
      </c>
      <c r="BS179" t="n">
        <v>171.627</v>
      </c>
      <c r="BT179" t="n">
        <v>158.181</v>
      </c>
      <c r="BU179" t="n">
        <v>157.566</v>
      </c>
      <c r="BV179" t="n">
        <v>176.955</v>
      </c>
    </row>
    <row r="180">
      <c r="A180" t="inlineStr">
        <is>
          <t>Terapon</t>
        </is>
      </c>
      <c r="B180" t="inlineStr">
        <is>
          <t>Terapons</t>
        </is>
      </c>
      <c r="C180" t="inlineStr">
        <is>
          <t>Medium demersals (30 - 89 cm)</t>
        </is>
      </c>
      <c r="D180" t="inlineStr">
        <is>
          <t>Perch-likes</t>
        </is>
      </c>
      <c r="E180" t="n">
        <v>158.586</v>
      </c>
      <c r="F180" t="n">
        <v>182.577</v>
      </c>
      <c r="G180" t="n">
        <v>201.121</v>
      </c>
      <c r="H180" t="n">
        <v>192.302</v>
      </c>
      <c r="I180" t="n">
        <v>226.189</v>
      </c>
      <c r="J180" t="n">
        <v>233.772</v>
      </c>
      <c r="K180" t="n">
        <v>249.13</v>
      </c>
      <c r="L180" t="n">
        <v>241.67</v>
      </c>
      <c r="M180" t="n">
        <v>258.527</v>
      </c>
      <c r="N180" t="n">
        <v>263.769</v>
      </c>
      <c r="O180" t="n">
        <v>307.129</v>
      </c>
      <c r="P180" t="n">
        <v>303.337</v>
      </c>
      <c r="Q180" t="n">
        <v>324.09</v>
      </c>
      <c r="R180" t="n">
        <v>497.561</v>
      </c>
      <c r="S180" t="n">
        <v>406.146</v>
      </c>
      <c r="T180" t="n">
        <v>437.9</v>
      </c>
      <c r="U180" t="n">
        <v>475.919</v>
      </c>
      <c r="V180" t="n">
        <v>482.911</v>
      </c>
      <c r="W180" t="n">
        <v>608.1180000000001</v>
      </c>
      <c r="X180" t="n">
        <v>575.491</v>
      </c>
      <c r="Y180" t="n">
        <v>687.4400000000001</v>
      </c>
      <c r="Z180" t="n">
        <v>789.101</v>
      </c>
      <c r="AA180" t="n">
        <v>850.128</v>
      </c>
      <c r="AB180" t="n">
        <v>1090.879</v>
      </c>
      <c r="AC180" t="n">
        <v>1187.67</v>
      </c>
      <c r="AD180" t="n">
        <v>1367.72</v>
      </c>
      <c r="AE180" t="n">
        <v>1406.207</v>
      </c>
      <c r="AF180" t="n">
        <v>1555.135</v>
      </c>
      <c r="AG180" t="n">
        <v>1406.105</v>
      </c>
      <c r="AH180" t="n">
        <v>1475.023</v>
      </c>
      <c r="AI180" t="n">
        <v>959.336</v>
      </c>
      <c r="AJ180" t="n">
        <v>862.49</v>
      </c>
      <c r="AK180" t="n">
        <v>918.287</v>
      </c>
      <c r="AL180" t="n">
        <v>1033.561</v>
      </c>
      <c r="AM180" t="n">
        <v>1045.099</v>
      </c>
      <c r="AN180" t="n">
        <v>992.54</v>
      </c>
      <c r="AO180" t="n">
        <v>1308.253</v>
      </c>
      <c r="AP180" t="n">
        <v>1554.655</v>
      </c>
      <c r="AQ180" t="n">
        <v>1438.779</v>
      </c>
      <c r="AR180" t="n">
        <v>2240.528</v>
      </c>
      <c r="AS180" t="n">
        <v>2379.915</v>
      </c>
      <c r="AT180" t="n">
        <v>2392.346</v>
      </c>
      <c r="AU180" t="n">
        <v>1934.162</v>
      </c>
      <c r="AV180" t="n">
        <v>2162.971</v>
      </c>
      <c r="AW180" t="n">
        <v>2280.945</v>
      </c>
      <c r="AX180" t="n">
        <v>2237.688</v>
      </c>
      <c r="AY180" t="n">
        <v>2046.474</v>
      </c>
      <c r="AZ180" t="n">
        <v>1754.261</v>
      </c>
      <c r="BA180" t="n">
        <v>1779.165</v>
      </c>
      <c r="BB180" t="n">
        <v>1832.221</v>
      </c>
      <c r="BC180" t="n">
        <v>2143.148</v>
      </c>
      <c r="BD180" t="n">
        <v>2487.844</v>
      </c>
      <c r="BE180" t="n">
        <v>3003.761</v>
      </c>
      <c r="BF180" t="n">
        <v>3200.89</v>
      </c>
      <c r="BG180" t="n">
        <v>2857.313</v>
      </c>
      <c r="BH180" t="n">
        <v>2971.384</v>
      </c>
      <c r="BI180" t="n">
        <v>2434.768</v>
      </c>
      <c r="BJ180" t="n">
        <v>2663.882</v>
      </c>
      <c r="BK180" t="n">
        <v>2295.908</v>
      </c>
      <c r="BL180" t="n">
        <v>2168.535</v>
      </c>
      <c r="BM180" t="n">
        <v>2269.364</v>
      </c>
      <c r="BN180" t="n">
        <v>2418.871</v>
      </c>
      <c r="BO180" t="n">
        <v>2553.379</v>
      </c>
      <c r="BP180" t="n">
        <v>2573.442</v>
      </c>
      <c r="BQ180" t="n">
        <v>2359.402</v>
      </c>
      <c r="BR180" t="n">
        <v>2390.951</v>
      </c>
      <c r="BS180" t="n">
        <v>2502.261</v>
      </c>
      <c r="BT180" t="n">
        <v>2310.532</v>
      </c>
      <c r="BU180" t="n">
        <v>2208.672</v>
      </c>
      <c r="BV180" t="n">
        <v>2187.618</v>
      </c>
    </row>
    <row r="181">
      <c r="A181" t="inlineStr">
        <is>
          <t>Pampus chinensis</t>
        </is>
      </c>
      <c r="B181" t="inlineStr">
        <is>
          <t>Chinese silver pomfret</t>
        </is>
      </c>
      <c r="C181" t="inlineStr">
        <is>
          <t>Medium benthopelagics (30 - 89 cm)</t>
        </is>
      </c>
      <c r="D181" t="inlineStr">
        <is>
          <t>Perch-likes</t>
        </is>
      </c>
      <c r="E181" t="n">
        <v>104.156</v>
      </c>
      <c r="F181" t="n">
        <v>110.525</v>
      </c>
      <c r="G181" t="n">
        <v>118.448</v>
      </c>
      <c r="H181" t="n">
        <v>125.919</v>
      </c>
      <c r="I181" t="n">
        <v>356.659</v>
      </c>
      <c r="J181" t="n">
        <v>141.612</v>
      </c>
      <c r="K181" t="n">
        <v>149.635</v>
      </c>
      <c r="L181" t="n">
        <v>157.405</v>
      </c>
      <c r="M181" t="n">
        <v>165.527</v>
      </c>
      <c r="N181" t="n">
        <v>173.749</v>
      </c>
      <c r="O181" t="n">
        <v>182.621</v>
      </c>
      <c r="P181" t="n">
        <v>191.042</v>
      </c>
      <c r="Q181" t="n">
        <v>199.409</v>
      </c>
      <c r="R181" t="n">
        <v>208.831</v>
      </c>
      <c r="S181" t="n">
        <v>218.377</v>
      </c>
      <c r="T181" t="n">
        <v>255.325</v>
      </c>
      <c r="U181" t="n">
        <v>276.381</v>
      </c>
      <c r="V181" t="n">
        <v>306.091</v>
      </c>
      <c r="W181" t="n">
        <v>367.479</v>
      </c>
      <c r="X181" t="n">
        <v>503.749</v>
      </c>
      <c r="Y181" t="n">
        <v>1008.565</v>
      </c>
      <c r="Z181" t="n">
        <v>902.341</v>
      </c>
      <c r="AA181" t="n">
        <v>1014.884</v>
      </c>
      <c r="AB181" t="n">
        <v>1384.917</v>
      </c>
      <c r="AC181" t="n">
        <v>1562.512</v>
      </c>
      <c r="AD181" t="n">
        <v>77.07599999999999</v>
      </c>
      <c r="AE181" t="n">
        <v>81.452</v>
      </c>
      <c r="AF181" t="n">
        <v>87.94799999999999</v>
      </c>
      <c r="AG181" t="n">
        <v>89.559</v>
      </c>
      <c r="AH181" t="n">
        <v>87.986</v>
      </c>
      <c r="AI181" t="n">
        <v>1886.838</v>
      </c>
      <c r="AJ181" t="n">
        <v>1990.617</v>
      </c>
      <c r="AK181" t="n">
        <v>1789.44</v>
      </c>
      <c r="AL181" t="n">
        <v>1881.784</v>
      </c>
      <c r="AM181" t="n">
        <v>1902.626</v>
      </c>
      <c r="AN181" t="n">
        <v>5986.622</v>
      </c>
      <c r="AO181" t="n">
        <v>6730.17</v>
      </c>
      <c r="AP181" t="n">
        <v>5535.51</v>
      </c>
      <c r="AQ181" t="n">
        <v>5637.748</v>
      </c>
      <c r="AR181" t="n">
        <v>5816.885</v>
      </c>
      <c r="AS181" t="n">
        <v>4837.117</v>
      </c>
      <c r="AT181" t="n">
        <v>6149.321</v>
      </c>
      <c r="AU181" t="n">
        <v>5003.882</v>
      </c>
      <c r="AV181" t="n">
        <v>4603.493</v>
      </c>
      <c r="AW181" t="n">
        <v>4756.578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2700.088</v>
      </c>
      <c r="BD181" t="n">
        <v>2925.094</v>
      </c>
      <c r="BE181" t="n">
        <v>3051.345</v>
      </c>
      <c r="BF181" t="n">
        <v>3283.85</v>
      </c>
      <c r="BG181" t="n">
        <v>3258.512</v>
      </c>
      <c r="BH181" t="n">
        <v>1254.198</v>
      </c>
      <c r="BI181" t="n">
        <v>1195.821</v>
      </c>
      <c r="BJ181" t="n">
        <v>1182.26</v>
      </c>
      <c r="BK181" t="n">
        <v>1237.212</v>
      </c>
      <c r="BL181" t="n">
        <v>449.231</v>
      </c>
      <c r="BM181" t="n">
        <v>445.865</v>
      </c>
      <c r="BN181" t="n">
        <v>433.795</v>
      </c>
      <c r="BO181" t="n">
        <v>488.275</v>
      </c>
      <c r="BP181" t="n">
        <v>507.724</v>
      </c>
      <c r="BQ181" t="n">
        <v>465.351</v>
      </c>
      <c r="BR181" t="n">
        <v>479.168</v>
      </c>
      <c r="BS181" t="n">
        <v>496.333</v>
      </c>
      <c r="BT181" t="n">
        <v>460.321</v>
      </c>
      <c r="BU181" t="n">
        <v>434.3</v>
      </c>
      <c r="BV181" t="n">
        <v>407.065</v>
      </c>
    </row>
    <row r="182">
      <c r="A182" t="inlineStr">
        <is>
          <t>Rhizostomeae</t>
        </is>
      </c>
      <c r="B182" t="inlineStr">
        <is>
          <t>Oral arm jellyfishes</t>
        </is>
      </c>
      <c r="C182" t="inlineStr">
        <is>
          <t>Jellyfish</t>
        </is>
      </c>
      <c r="D182" t="inlineStr">
        <is>
          <t>Other fishes &amp; inverts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1102.368</v>
      </c>
      <c r="BP182" t="n">
        <v>2029.818</v>
      </c>
      <c r="BQ182" t="n">
        <v>13661.423</v>
      </c>
      <c r="BR182" t="n">
        <v>18316.665</v>
      </c>
      <c r="BS182" t="n">
        <v>16006.309</v>
      </c>
      <c r="BT182" t="n">
        <v>8697.789000000001</v>
      </c>
      <c r="BU182" t="n">
        <v>10737.523</v>
      </c>
      <c r="BV182" t="n">
        <v>27768.562</v>
      </c>
    </row>
    <row r="183">
      <c r="A183" t="inlineStr">
        <is>
          <t>Sillago</t>
        </is>
      </c>
      <c r="B183" t="inlineStr">
        <is>
          <t>Smelt-whitings</t>
        </is>
      </c>
      <c r="C183" t="inlineStr">
        <is>
          <t>Medium demersals (30 - 89 cm)</t>
        </is>
      </c>
      <c r="D183" t="inlineStr">
        <is>
          <t>Perch-likes</t>
        </is>
      </c>
      <c r="E183" t="n">
        <v>109.085</v>
      </c>
      <c r="F183" t="n">
        <v>107.816</v>
      </c>
      <c r="G183" t="n">
        <v>123.243</v>
      </c>
      <c r="H183" t="n">
        <v>120.5</v>
      </c>
      <c r="I183" t="n">
        <v>125.997</v>
      </c>
      <c r="J183" t="n">
        <v>131.493</v>
      </c>
      <c r="K183" t="n">
        <v>137.835</v>
      </c>
      <c r="L183" t="n">
        <v>144.6</v>
      </c>
      <c r="M183" t="n">
        <v>152.634</v>
      </c>
      <c r="N183" t="n">
        <v>210.797</v>
      </c>
      <c r="O183" t="n">
        <v>177.605</v>
      </c>
      <c r="P183" t="n">
        <v>176.734</v>
      </c>
      <c r="Q183" t="n">
        <v>227.486</v>
      </c>
      <c r="R183" t="n">
        <v>192.935</v>
      </c>
      <c r="S183" t="n">
        <v>203.27</v>
      </c>
      <c r="T183" t="n">
        <v>325.596</v>
      </c>
      <c r="U183" t="n">
        <v>421.96</v>
      </c>
      <c r="V183" t="n">
        <v>519.362</v>
      </c>
      <c r="W183" t="n">
        <v>454.987</v>
      </c>
      <c r="X183" t="n">
        <v>433.937</v>
      </c>
      <c r="Y183" t="n">
        <v>534.525</v>
      </c>
      <c r="Z183" t="n">
        <v>482.291</v>
      </c>
      <c r="AA183" t="n">
        <v>482.1</v>
      </c>
      <c r="AB183" t="n">
        <v>531.38</v>
      </c>
      <c r="AC183" t="n">
        <v>931.21</v>
      </c>
      <c r="AD183" t="n">
        <v>1547.404</v>
      </c>
      <c r="AE183" t="n">
        <v>1502.197</v>
      </c>
      <c r="AF183" t="n">
        <v>2139.19</v>
      </c>
      <c r="AG183" t="n">
        <v>1901.225</v>
      </c>
      <c r="AH183" t="n">
        <v>6249.641</v>
      </c>
      <c r="AI183" t="n">
        <v>1213.254</v>
      </c>
      <c r="AJ183" t="n">
        <v>2069.972</v>
      </c>
      <c r="AK183" t="n">
        <v>1049.275</v>
      </c>
      <c r="AL183" t="n">
        <v>1597.923</v>
      </c>
      <c r="AM183" t="n">
        <v>1334.902</v>
      </c>
      <c r="AN183" t="n">
        <v>1384.297</v>
      </c>
      <c r="AO183" t="n">
        <v>1649.783</v>
      </c>
      <c r="AP183" t="n">
        <v>1453.618</v>
      </c>
      <c r="AQ183" t="n">
        <v>1646.906</v>
      </c>
      <c r="AR183" t="n">
        <v>4761.906</v>
      </c>
      <c r="AS183" t="n">
        <v>4948.102</v>
      </c>
      <c r="AT183" t="n">
        <v>4270.682</v>
      </c>
      <c r="AU183" t="n">
        <v>4214.29</v>
      </c>
      <c r="AV183" t="n">
        <v>3627.221</v>
      </c>
      <c r="AW183" t="n">
        <v>2612.054</v>
      </c>
      <c r="AX183" t="n">
        <v>2287.553</v>
      </c>
      <c r="AY183" t="n">
        <v>3628.702</v>
      </c>
      <c r="AZ183" t="n">
        <v>2543.645</v>
      </c>
      <c r="BA183" t="n">
        <v>2069.458</v>
      </c>
      <c r="BB183" t="n">
        <v>1593.12</v>
      </c>
      <c r="BC183" t="n">
        <v>1264.768</v>
      </c>
      <c r="BD183" t="n">
        <v>1104.838</v>
      </c>
      <c r="BE183" t="n">
        <v>1526.458</v>
      </c>
      <c r="BF183" t="n">
        <v>1061.966</v>
      </c>
      <c r="BG183" t="n">
        <v>1823.164</v>
      </c>
      <c r="BH183" t="n">
        <v>2019.048</v>
      </c>
      <c r="BI183" t="n">
        <v>2036.892</v>
      </c>
      <c r="BJ183" t="n">
        <v>2170.432</v>
      </c>
      <c r="BK183" t="n">
        <v>897.4640000000001</v>
      </c>
      <c r="BL183" t="n">
        <v>820.121</v>
      </c>
      <c r="BM183" t="n">
        <v>509.059</v>
      </c>
      <c r="BN183" t="n">
        <v>533.426</v>
      </c>
      <c r="BO183" t="n">
        <v>625.997</v>
      </c>
      <c r="BP183" t="n">
        <v>690.331</v>
      </c>
      <c r="BQ183" t="n">
        <v>671.122</v>
      </c>
      <c r="BR183" t="n">
        <v>606.547</v>
      </c>
      <c r="BS183" t="n">
        <v>664.116</v>
      </c>
      <c r="BT183" t="n">
        <v>623.088</v>
      </c>
      <c r="BU183" t="n">
        <v>580.966</v>
      </c>
      <c r="BV183" t="n">
        <v>713.102</v>
      </c>
    </row>
    <row r="184">
      <c r="A184" t="inlineStr">
        <is>
          <t>Scyllaridae</t>
        </is>
      </c>
      <c r="B184" t="inlineStr">
        <is>
          <t>Slipper lobsters</t>
        </is>
      </c>
      <c r="C184" t="inlineStr">
        <is>
          <t>Lobsters, crabs</t>
        </is>
      </c>
      <c r="D184" t="inlineStr">
        <is>
          <t>Crustaceans</t>
        </is>
      </c>
      <c r="E184" t="n">
        <v>0.9340000000000001</v>
      </c>
      <c r="F184" t="n">
        <v>1.163</v>
      </c>
      <c r="G184" t="n">
        <v>1.193</v>
      </c>
      <c r="H184" t="n">
        <v>1.174</v>
      </c>
      <c r="I184" t="n">
        <v>1.445</v>
      </c>
      <c r="J184" t="n">
        <v>1.543</v>
      </c>
      <c r="K184" t="n">
        <v>1.708</v>
      </c>
      <c r="L184" t="n">
        <v>1.682</v>
      </c>
      <c r="M184" t="n">
        <v>1.765</v>
      </c>
      <c r="N184" t="n">
        <v>57.539</v>
      </c>
      <c r="O184" t="n">
        <v>2.031</v>
      </c>
      <c r="P184" t="n">
        <v>234.837</v>
      </c>
      <c r="Q184" t="n">
        <v>2.131</v>
      </c>
      <c r="R184" t="n">
        <v>2.543</v>
      </c>
      <c r="S184" t="n">
        <v>38.246</v>
      </c>
      <c r="T184" t="n">
        <v>3.151</v>
      </c>
      <c r="U184" t="n">
        <v>105.853</v>
      </c>
      <c r="V184" t="n">
        <v>74.212</v>
      </c>
      <c r="W184" t="n">
        <v>70.824</v>
      </c>
      <c r="X184" t="n">
        <v>55.679</v>
      </c>
      <c r="Y184" t="n">
        <v>75.621</v>
      </c>
      <c r="Z184" t="n">
        <v>4.753</v>
      </c>
      <c r="AA184" t="n">
        <v>113.223</v>
      </c>
      <c r="AB184" t="n">
        <v>64.349</v>
      </c>
      <c r="AC184" t="n">
        <v>18.584</v>
      </c>
      <c r="AD184" t="n">
        <v>26.452</v>
      </c>
      <c r="AE184" t="n">
        <v>30.418</v>
      </c>
      <c r="AF184" t="n">
        <v>29.925</v>
      </c>
      <c r="AG184" t="n">
        <v>32.231</v>
      </c>
      <c r="AH184" t="n">
        <v>30.924</v>
      </c>
      <c r="AI184" t="n">
        <v>37.027</v>
      </c>
      <c r="AJ184" t="n">
        <v>43.969</v>
      </c>
      <c r="AK184" t="n">
        <v>58.335</v>
      </c>
      <c r="AL184" t="n">
        <v>34.296</v>
      </c>
      <c r="AM184" t="n">
        <v>40.77</v>
      </c>
      <c r="AN184" t="n">
        <v>42.581</v>
      </c>
      <c r="AO184" t="n">
        <v>40.464</v>
      </c>
      <c r="AP184" t="n">
        <v>39.494</v>
      </c>
      <c r="AQ184" t="n">
        <v>35.866</v>
      </c>
      <c r="AR184" t="n">
        <v>967.349</v>
      </c>
      <c r="AS184" t="n">
        <v>495.85</v>
      </c>
      <c r="AT184" t="n">
        <v>689.824</v>
      </c>
      <c r="AU184" t="n">
        <v>1270.713</v>
      </c>
      <c r="AV184" t="n">
        <v>1164.528</v>
      </c>
      <c r="AW184" t="n">
        <v>930.615</v>
      </c>
      <c r="AX184" t="n">
        <v>4035.156</v>
      </c>
      <c r="AY184" t="n">
        <v>5389.088</v>
      </c>
      <c r="AZ184" t="n">
        <v>3333.291</v>
      </c>
      <c r="BA184" t="n">
        <v>2962.727</v>
      </c>
      <c r="BB184" t="n">
        <v>2805.836</v>
      </c>
      <c r="BC184" t="n">
        <v>4946.164</v>
      </c>
      <c r="BD184" t="n">
        <v>5216.006</v>
      </c>
      <c r="BE184" t="n">
        <v>3215.774</v>
      </c>
      <c r="BF184" t="n">
        <v>2180.107</v>
      </c>
      <c r="BG184" t="n">
        <v>3140.338</v>
      </c>
      <c r="BH184" t="n">
        <v>2161.043</v>
      </c>
      <c r="BI184" t="n">
        <v>2385.16</v>
      </c>
      <c r="BJ184" t="n">
        <v>1991.117</v>
      </c>
      <c r="BK184" t="n">
        <v>2101.856</v>
      </c>
      <c r="BL184" t="n">
        <v>1549.883</v>
      </c>
      <c r="BM184" t="n">
        <v>11624.152</v>
      </c>
      <c r="BN184" t="n">
        <v>10822.055</v>
      </c>
      <c r="BO184" t="n">
        <v>1387.457</v>
      </c>
      <c r="BP184" t="n">
        <v>1812.916</v>
      </c>
      <c r="BQ184" t="n">
        <v>1932.856</v>
      </c>
      <c r="BR184" t="n">
        <v>1574.07</v>
      </c>
      <c r="BS184" t="n">
        <v>2024.772</v>
      </c>
      <c r="BT184" t="n">
        <v>1923.679</v>
      </c>
      <c r="BU184" t="n">
        <v>1978.33</v>
      </c>
      <c r="BV184" t="n">
        <v>1896.434</v>
      </c>
    </row>
    <row r="185">
      <c r="A185" t="inlineStr">
        <is>
          <t>Anodontostoma chacunda</t>
        </is>
      </c>
      <c r="B185" t="inlineStr">
        <is>
          <t>Chacunda gizzard shad</t>
        </is>
      </c>
      <c r="C185" t="inlineStr">
        <is>
          <t>Small pelagics (&lt;30 cm)</t>
        </is>
      </c>
      <c r="D185" t="inlineStr">
        <is>
          <t>Herring-likes</t>
        </is>
      </c>
      <c r="E185" t="n">
        <v>140.974</v>
      </c>
      <c r="F185" t="n">
        <v>142.518</v>
      </c>
      <c r="G185" t="n">
        <v>147.66</v>
      </c>
      <c r="H185" t="n">
        <v>154.017</v>
      </c>
      <c r="I185" t="n">
        <v>265.368</v>
      </c>
      <c r="J185" t="n">
        <v>169.873</v>
      </c>
      <c r="K185" t="n">
        <v>178.26</v>
      </c>
      <c r="L185" t="n">
        <v>186.425</v>
      </c>
      <c r="M185" t="n">
        <v>198.429</v>
      </c>
      <c r="N185" t="n">
        <v>209.095</v>
      </c>
      <c r="O185" t="n">
        <v>221.549</v>
      </c>
      <c r="P185" t="n">
        <v>229.725</v>
      </c>
      <c r="Q185" t="n">
        <v>241.605</v>
      </c>
      <c r="R185" t="n">
        <v>255.227</v>
      </c>
      <c r="S185" t="n">
        <v>272.688</v>
      </c>
      <c r="T185" t="n">
        <v>381.249</v>
      </c>
      <c r="U185" t="n">
        <v>427.775</v>
      </c>
      <c r="V185" t="n">
        <v>520.586</v>
      </c>
      <c r="W185" t="n">
        <v>566.64</v>
      </c>
      <c r="X185" t="n">
        <v>552.287</v>
      </c>
      <c r="Y185" t="n">
        <v>780.271</v>
      </c>
      <c r="Z185" t="n">
        <v>801.727</v>
      </c>
      <c r="AA185" t="n">
        <v>898.2</v>
      </c>
      <c r="AB185" t="n">
        <v>1062.98</v>
      </c>
      <c r="AC185" t="n">
        <v>1216.581</v>
      </c>
      <c r="AD185" t="n">
        <v>902.885</v>
      </c>
      <c r="AE185" t="n">
        <v>679.543</v>
      </c>
      <c r="AF185" t="n">
        <v>770.074</v>
      </c>
      <c r="AG185" t="n">
        <v>1127.952</v>
      </c>
      <c r="AH185" t="n">
        <v>1122.772</v>
      </c>
      <c r="AI185" t="n">
        <v>606.553</v>
      </c>
      <c r="AJ185" t="n">
        <v>677.211</v>
      </c>
      <c r="AK185" t="n">
        <v>654.845</v>
      </c>
      <c r="AL185" t="n">
        <v>771.475</v>
      </c>
      <c r="AM185" t="n">
        <v>828.186</v>
      </c>
      <c r="AN185" t="n">
        <v>1460.941</v>
      </c>
      <c r="AO185" t="n">
        <v>1335.773</v>
      </c>
      <c r="AP185" t="n">
        <v>1377.837</v>
      </c>
      <c r="AQ185" t="n">
        <v>1549.544</v>
      </c>
      <c r="AR185" t="n">
        <v>1480.645</v>
      </c>
      <c r="AS185" t="n">
        <v>1296.438</v>
      </c>
      <c r="AT185" t="n">
        <v>1037.469</v>
      </c>
      <c r="AU185" t="n">
        <v>891.716</v>
      </c>
      <c r="AV185" t="n">
        <v>889.121</v>
      </c>
      <c r="AW185" t="n">
        <v>4635.284</v>
      </c>
      <c r="AX185" t="n">
        <v>2374.805</v>
      </c>
      <c r="AY185" t="n">
        <v>2667.725</v>
      </c>
      <c r="AZ185" t="n">
        <v>2445.558</v>
      </c>
      <c r="BA185" t="n">
        <v>2359.875</v>
      </c>
      <c r="BB185" t="n">
        <v>2551.887</v>
      </c>
      <c r="BC185" t="n">
        <v>2740.001</v>
      </c>
      <c r="BD185" t="n">
        <v>2607.869</v>
      </c>
      <c r="BE185" t="n">
        <v>2308.778</v>
      </c>
      <c r="BF185" t="n">
        <v>2284.299</v>
      </c>
      <c r="BG185" t="n">
        <v>2456.159</v>
      </c>
      <c r="BH185" t="n">
        <v>2287.518</v>
      </c>
      <c r="BI185" t="n">
        <v>2213.414</v>
      </c>
      <c r="BJ185" t="n">
        <v>2124.443</v>
      </c>
      <c r="BK185" t="n">
        <v>2084.455</v>
      </c>
      <c r="BL185" t="n">
        <v>1732.109</v>
      </c>
      <c r="BM185" t="n">
        <v>1861.467</v>
      </c>
      <c r="BN185" t="n">
        <v>1794.719</v>
      </c>
      <c r="BO185" t="n">
        <v>2019.608</v>
      </c>
      <c r="BP185" t="n">
        <v>2098.997</v>
      </c>
      <c r="BQ185" t="n">
        <v>1922.398</v>
      </c>
      <c r="BR185" t="n">
        <v>1980.329</v>
      </c>
      <c r="BS185" t="n">
        <v>2048.642</v>
      </c>
      <c r="BT185" t="n">
        <v>2780.136</v>
      </c>
      <c r="BU185" t="n">
        <v>1797.554</v>
      </c>
      <c r="BV185" t="n">
        <v>2475.291</v>
      </c>
    </row>
    <row r="186">
      <c r="A186" t="inlineStr">
        <is>
          <t>Echinoidea</t>
        </is>
      </c>
      <c r="B186" t="inlineStr">
        <is>
          <t>Sea urchins, sea hedgehogs</t>
        </is>
      </c>
      <c r="C186" t="inlineStr">
        <is>
          <t>Other demersal invertebrates</t>
        </is>
      </c>
      <c r="D186" t="inlineStr">
        <is>
          <t>Other fishes &amp; inverts</t>
        </is>
      </c>
      <c r="E186" t="n">
        <v>4.194</v>
      </c>
      <c r="F186" t="n">
        <v>5.236</v>
      </c>
      <c r="G186" t="n">
        <v>5.427</v>
      </c>
      <c r="H186" t="n">
        <v>5.376</v>
      </c>
      <c r="I186" t="n">
        <v>6.093</v>
      </c>
      <c r="J186" t="n">
        <v>7.033</v>
      </c>
      <c r="K186" t="n">
        <v>8.506</v>
      </c>
      <c r="L186" t="n">
        <v>7.413</v>
      </c>
      <c r="M186" t="n">
        <v>7.45</v>
      </c>
      <c r="N186" t="n">
        <v>7.758</v>
      </c>
      <c r="O186" t="n">
        <v>8.938000000000001</v>
      </c>
      <c r="P186" t="n">
        <v>109.882</v>
      </c>
      <c r="Q186" t="n">
        <v>112.005</v>
      </c>
      <c r="R186" t="n">
        <v>276.642</v>
      </c>
      <c r="S186" t="n">
        <v>249.409</v>
      </c>
      <c r="T186" t="n">
        <v>182.843</v>
      </c>
      <c r="U186" t="n">
        <v>332.886</v>
      </c>
      <c r="V186" t="n">
        <v>621.4299999999999</v>
      </c>
      <c r="W186" t="n">
        <v>429.228</v>
      </c>
      <c r="X186" t="n">
        <v>815.239</v>
      </c>
      <c r="Y186" t="n">
        <v>1729.47</v>
      </c>
      <c r="Z186" t="n">
        <v>1603.674</v>
      </c>
      <c r="AA186" t="n">
        <v>1320.328</v>
      </c>
      <c r="AB186" t="n">
        <v>1578.759</v>
      </c>
      <c r="AC186" t="n">
        <v>2426.312</v>
      </c>
      <c r="AD186" t="n">
        <v>1447.638</v>
      </c>
      <c r="AE186" t="n">
        <v>1894.87</v>
      </c>
      <c r="AF186" t="n">
        <v>2035.652</v>
      </c>
      <c r="AG186" t="n">
        <v>1112.7</v>
      </c>
      <c r="AH186" t="n">
        <v>921.514</v>
      </c>
      <c r="AI186" t="n">
        <v>997.927</v>
      </c>
      <c r="AJ186" t="n">
        <v>1463.906</v>
      </c>
      <c r="AK186" t="n">
        <v>1793.481</v>
      </c>
      <c r="AL186" t="n">
        <v>1895.256</v>
      </c>
      <c r="AM186" t="n">
        <v>1700.661</v>
      </c>
      <c r="AN186" t="n">
        <v>1830.976</v>
      </c>
      <c r="AO186" t="n">
        <v>2274.626</v>
      </c>
      <c r="AP186" t="n">
        <v>2280.716</v>
      </c>
      <c r="AQ186" t="n">
        <v>2115.733</v>
      </c>
      <c r="AR186" t="n">
        <v>2073.808</v>
      </c>
      <c r="AS186" t="n">
        <v>2210.025</v>
      </c>
      <c r="AT186" t="n">
        <v>2374.26</v>
      </c>
      <c r="AU186" t="n">
        <v>2092.976</v>
      </c>
      <c r="AV186" t="n">
        <v>2398.54</v>
      </c>
      <c r="AW186" t="n">
        <v>2657.06</v>
      </c>
      <c r="AX186" t="n">
        <v>2818.312</v>
      </c>
      <c r="AY186" t="n">
        <v>2790.819</v>
      </c>
      <c r="AZ186" t="n">
        <v>2413.211</v>
      </c>
      <c r="BA186" t="n">
        <v>1476.849</v>
      </c>
      <c r="BB186" t="n">
        <v>933.1180000000001</v>
      </c>
      <c r="BC186" t="n">
        <v>1012</v>
      </c>
      <c r="BD186" t="n">
        <v>1028.607</v>
      </c>
      <c r="BE186" t="n">
        <v>1096.887</v>
      </c>
      <c r="BF186" t="n">
        <v>816.657</v>
      </c>
      <c r="BG186" t="n">
        <v>711.503</v>
      </c>
      <c r="BH186" t="n">
        <v>953.197</v>
      </c>
      <c r="BI186" t="n">
        <v>1084.733</v>
      </c>
      <c r="BJ186" t="n">
        <v>1065.475</v>
      </c>
      <c r="BK186" t="n">
        <v>1353.195</v>
      </c>
      <c r="BL186" t="n">
        <v>1394.816</v>
      </c>
      <c r="BM186" t="n">
        <v>1523.241</v>
      </c>
      <c r="BN186" t="n">
        <v>1476.63</v>
      </c>
      <c r="BO186" t="n">
        <v>1428.193</v>
      </c>
      <c r="BP186" t="n">
        <v>1827.147</v>
      </c>
      <c r="BQ186" t="n">
        <v>1925.426</v>
      </c>
      <c r="BR186" t="n">
        <v>1582.46</v>
      </c>
      <c r="BS186" t="n">
        <v>2037.329</v>
      </c>
      <c r="BT186" t="n">
        <v>1922.102</v>
      </c>
      <c r="BU186" t="n">
        <v>1948.24</v>
      </c>
      <c r="BV186" t="n">
        <v>1858.763</v>
      </c>
    </row>
    <row r="187">
      <c r="A187" t="inlineStr">
        <is>
          <t>Ariomma indica</t>
        </is>
      </c>
      <c r="B187" t="inlineStr">
        <is>
          <t>Indian driftfish</t>
        </is>
      </c>
      <c r="C187" t="inlineStr">
        <is>
          <t>Small benthopelagics (&lt;30 cm)</t>
        </is>
      </c>
      <c r="D187" t="inlineStr">
        <is>
          <t>Perch-likes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2313.577</v>
      </c>
      <c r="W187" t="n">
        <v>4100.37</v>
      </c>
      <c r="X187" t="n">
        <v>3750.344</v>
      </c>
      <c r="Y187" t="n">
        <v>5545.9</v>
      </c>
      <c r="Z187" t="n">
        <v>3225.845</v>
      </c>
      <c r="AA187" t="n">
        <v>2872.458</v>
      </c>
      <c r="AB187" t="n">
        <v>2517.831</v>
      </c>
      <c r="AC187" t="n">
        <v>3296.981</v>
      </c>
      <c r="AD187" t="n">
        <v>4077.093</v>
      </c>
      <c r="AE187" t="n">
        <v>3495.197</v>
      </c>
      <c r="AF187" t="n">
        <v>3525.064</v>
      </c>
      <c r="AG187" t="n">
        <v>3430.872</v>
      </c>
      <c r="AH187" t="n">
        <v>2958.529</v>
      </c>
      <c r="AI187" t="n">
        <v>3993.833</v>
      </c>
      <c r="AJ187" t="n">
        <v>3802.711</v>
      </c>
      <c r="AK187" t="n">
        <v>3908.195</v>
      </c>
      <c r="AL187" t="n">
        <v>3392.039</v>
      </c>
      <c r="AM187" t="n">
        <v>3564.853</v>
      </c>
      <c r="AN187" t="n">
        <v>3052.694</v>
      </c>
      <c r="AO187" t="n">
        <v>2922.623</v>
      </c>
      <c r="AP187" t="n">
        <v>3508.865</v>
      </c>
      <c r="AQ187" t="n">
        <v>3262.572</v>
      </c>
      <c r="AR187" t="n">
        <v>1536.402</v>
      </c>
      <c r="AS187" t="n">
        <v>1085.93</v>
      </c>
      <c r="AT187" t="n">
        <v>1964.661</v>
      </c>
      <c r="AU187" t="n">
        <v>983.5940000000001</v>
      </c>
      <c r="AV187" t="n">
        <v>340.253</v>
      </c>
      <c r="AW187" t="n">
        <v>758.149</v>
      </c>
      <c r="AX187" t="n">
        <v>772.568</v>
      </c>
      <c r="AY187" t="n">
        <v>331.696</v>
      </c>
      <c r="AZ187" t="n">
        <v>218.336</v>
      </c>
      <c r="BA187" t="n">
        <v>135.424</v>
      </c>
      <c r="BB187" t="n">
        <v>96.73099999999999</v>
      </c>
      <c r="BC187" t="n">
        <v>110.55</v>
      </c>
      <c r="BD187" t="n">
        <v>124.369</v>
      </c>
      <c r="BE187" t="n">
        <v>110.55</v>
      </c>
      <c r="BF187" t="n">
        <v>102.259</v>
      </c>
      <c r="BG187" t="n">
        <v>107.786</v>
      </c>
      <c r="BH187" t="n">
        <v>105.023</v>
      </c>
      <c r="BI187" t="n">
        <v>102.259</v>
      </c>
      <c r="BJ187" t="n">
        <v>102.259</v>
      </c>
      <c r="BK187" t="n">
        <v>105.023</v>
      </c>
      <c r="BL187" t="n">
        <v>110.55</v>
      </c>
      <c r="BM187" t="n">
        <v>116.078</v>
      </c>
      <c r="BN187" t="n">
        <v>118.18</v>
      </c>
      <c r="BO187" t="n">
        <v>108.1</v>
      </c>
      <c r="BP187" t="n">
        <v>117.207</v>
      </c>
      <c r="BQ187" t="n">
        <v>110.315</v>
      </c>
      <c r="BR187" t="n">
        <v>100.008</v>
      </c>
      <c r="BS187" t="n">
        <v>98.349</v>
      </c>
      <c r="BT187" t="n">
        <v>87.904</v>
      </c>
      <c r="BU187" t="n">
        <v>85.67100000000001</v>
      </c>
      <c r="BV187" t="n">
        <v>84.721</v>
      </c>
    </row>
    <row r="188">
      <c r="A188" t="inlineStr">
        <is>
          <t>Lutjanus quinquelineatus</t>
        </is>
      </c>
      <c r="B188" t="inlineStr">
        <is>
          <t>Five-lined snapper</t>
        </is>
      </c>
      <c r="C188" t="inlineStr">
        <is>
          <t>Medium reef assoc. fish (30 - 89 cm)</t>
        </is>
      </c>
      <c r="D188" t="inlineStr">
        <is>
          <t>Perch-likes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0.798</v>
      </c>
      <c r="R188" t="n">
        <v>3.592</v>
      </c>
      <c r="S188" t="n">
        <v>6.785</v>
      </c>
      <c r="T188" t="n">
        <v>32.958</v>
      </c>
      <c r="U188" t="n">
        <v>52.116</v>
      </c>
      <c r="V188" t="n">
        <v>99.44199999999999</v>
      </c>
      <c r="W188" t="n">
        <v>118.201</v>
      </c>
      <c r="X188" t="n">
        <v>113.012</v>
      </c>
      <c r="Y188" t="n">
        <v>110.653</v>
      </c>
      <c r="Z188" t="n">
        <v>118.152</v>
      </c>
      <c r="AA188" t="n">
        <v>128.42</v>
      </c>
      <c r="AB188" t="n">
        <v>130.161</v>
      </c>
      <c r="AC188" t="n">
        <v>145.134</v>
      </c>
      <c r="AD188" t="n">
        <v>140.804</v>
      </c>
      <c r="AE188" t="n">
        <v>172.864</v>
      </c>
      <c r="AF188" t="n">
        <v>201.922</v>
      </c>
      <c r="AG188" t="n">
        <v>185.549</v>
      </c>
      <c r="AH188" t="n">
        <v>166.053</v>
      </c>
      <c r="AI188" t="n">
        <v>331.885</v>
      </c>
      <c r="AJ188" t="n">
        <v>406.141</v>
      </c>
      <c r="AK188" t="n">
        <v>388.241</v>
      </c>
      <c r="AL188" t="n">
        <v>470.5</v>
      </c>
      <c r="AM188" t="n">
        <v>479.557</v>
      </c>
      <c r="AN188" t="n">
        <v>406.745</v>
      </c>
      <c r="AO188" t="n">
        <v>424.975</v>
      </c>
      <c r="AP188" t="n">
        <v>453.045</v>
      </c>
      <c r="AQ188" t="n">
        <v>536.193</v>
      </c>
      <c r="AR188" t="n">
        <v>485.335</v>
      </c>
      <c r="AS188" t="n">
        <v>1017.359</v>
      </c>
      <c r="AT188" t="n">
        <v>619.693</v>
      </c>
      <c r="AU188" t="n">
        <v>991.723</v>
      </c>
      <c r="AV188" t="n">
        <v>1237.348</v>
      </c>
      <c r="AW188" t="n">
        <v>1234.104</v>
      </c>
      <c r="AX188" t="n">
        <v>1708.027</v>
      </c>
      <c r="AY188" t="n">
        <v>1844.74</v>
      </c>
      <c r="AZ188" t="n">
        <v>2418.238</v>
      </c>
      <c r="BA188" t="n">
        <v>2629.227</v>
      </c>
      <c r="BB188" t="n">
        <v>2830.676</v>
      </c>
      <c r="BC188" t="n">
        <v>2529.037</v>
      </c>
      <c r="BD188" t="n">
        <v>2328.257</v>
      </c>
      <c r="BE188" t="n">
        <v>3013.408</v>
      </c>
      <c r="BF188" t="n">
        <v>2841.171</v>
      </c>
      <c r="BG188" t="n">
        <v>2952.176</v>
      </c>
      <c r="BH188" t="n">
        <v>3281.716</v>
      </c>
      <c r="BI188" t="n">
        <v>3262.489</v>
      </c>
      <c r="BJ188" t="n">
        <v>3097.939</v>
      </c>
      <c r="BK188" t="n">
        <v>3144.676</v>
      </c>
      <c r="BL188" t="n">
        <v>3073.794</v>
      </c>
      <c r="BM188" t="n">
        <v>3216.166</v>
      </c>
      <c r="BN188" t="n">
        <v>3108.826</v>
      </c>
      <c r="BO188" t="n">
        <v>3498.656</v>
      </c>
      <c r="BP188" t="n">
        <v>3636.753</v>
      </c>
      <c r="BQ188" t="n">
        <v>3331.541</v>
      </c>
      <c r="BR188" t="n">
        <v>3431.478</v>
      </c>
      <c r="BS188" t="n">
        <v>3551.265</v>
      </c>
      <c r="BT188" t="n">
        <v>3291.201</v>
      </c>
      <c r="BU188" t="n">
        <v>3102.158</v>
      </c>
      <c r="BV188" t="n">
        <v>2906.387</v>
      </c>
    </row>
    <row r="189">
      <c r="A189" t="inlineStr">
        <is>
          <t>Platycaranx talamparoides</t>
        </is>
      </c>
      <c r="B189" t="inlineStr">
        <is>
          <t>Imposter trevally</t>
        </is>
      </c>
      <c r="C189" t="inlineStr">
        <is>
          <t>Medium pelagics (30 - 89 cm)</t>
        </is>
      </c>
      <c r="D189" t="inlineStr">
        <is>
          <t>Perch-likes</t>
        </is>
      </c>
      <c r="E189" t="n">
        <v>1511.031</v>
      </c>
      <c r="F189" t="n">
        <v>1514.081</v>
      </c>
      <c r="G189" t="n">
        <v>2123.997</v>
      </c>
      <c r="H189" t="n">
        <v>2128.296</v>
      </c>
      <c r="I189" t="n">
        <v>2589.599</v>
      </c>
      <c r="J189" t="n">
        <v>1526.386</v>
      </c>
      <c r="K189" t="n">
        <v>2294.234</v>
      </c>
      <c r="L189" t="n">
        <v>2298.906</v>
      </c>
      <c r="M189" t="n">
        <v>2457.168</v>
      </c>
      <c r="N189" t="n">
        <v>4616.601</v>
      </c>
      <c r="O189" t="n">
        <v>1850.419</v>
      </c>
      <c r="P189" t="n">
        <v>3553.902</v>
      </c>
      <c r="Q189" t="n">
        <v>2477.353</v>
      </c>
      <c r="R189" t="n">
        <v>3258.209</v>
      </c>
      <c r="S189" t="n">
        <v>3886.805</v>
      </c>
      <c r="T189" t="n">
        <v>1090.549</v>
      </c>
      <c r="U189" t="n">
        <v>936.687</v>
      </c>
      <c r="V189" t="n">
        <v>1407.936</v>
      </c>
      <c r="W189" t="n">
        <v>2038.098</v>
      </c>
      <c r="X189" t="n">
        <v>1885.14</v>
      </c>
      <c r="Y189" t="n">
        <v>1433.868</v>
      </c>
      <c r="Z189" t="n">
        <v>1764.961</v>
      </c>
      <c r="AA189" t="n">
        <v>1925.85</v>
      </c>
      <c r="AB189" t="n">
        <v>2101.97</v>
      </c>
      <c r="AC189" t="n">
        <v>1976.249</v>
      </c>
      <c r="AD189" t="n">
        <v>2669.086</v>
      </c>
      <c r="AE189" t="n">
        <v>2438.833</v>
      </c>
      <c r="AF189" t="n">
        <v>2410.998</v>
      </c>
      <c r="AG189" t="n">
        <v>1616.501</v>
      </c>
      <c r="AH189" t="n">
        <v>1988.616</v>
      </c>
      <c r="AI189" t="n">
        <v>2031.478</v>
      </c>
      <c r="AJ189" t="n">
        <v>1984.051</v>
      </c>
      <c r="AK189" t="n">
        <v>1819.514</v>
      </c>
      <c r="AL189" t="n">
        <v>1510.542</v>
      </c>
      <c r="AM189" t="n">
        <v>1501.61</v>
      </c>
      <c r="AN189" t="n">
        <v>1179.431</v>
      </c>
      <c r="AO189" t="n">
        <v>1121.943</v>
      </c>
      <c r="AP189" t="n">
        <v>1345.529</v>
      </c>
      <c r="AQ189" t="n">
        <v>1778.137</v>
      </c>
      <c r="AR189" t="n">
        <v>1179.634</v>
      </c>
      <c r="AS189" t="n">
        <v>874.2140000000001</v>
      </c>
      <c r="AT189" t="n">
        <v>828.307</v>
      </c>
      <c r="AU189" t="n">
        <v>675.677</v>
      </c>
      <c r="AV189" t="n">
        <v>121.336</v>
      </c>
      <c r="AW189" t="n">
        <v>179.545</v>
      </c>
      <c r="AX189" t="n">
        <v>271.742</v>
      </c>
      <c r="AY189" t="n">
        <v>174.025</v>
      </c>
      <c r="AZ189" t="n">
        <v>87.367</v>
      </c>
      <c r="BA189" t="n">
        <v>52.95</v>
      </c>
      <c r="BB189" t="n">
        <v>26.475</v>
      </c>
      <c r="BC189" t="n">
        <v>39.712</v>
      </c>
      <c r="BD189" t="n">
        <v>45.007</v>
      </c>
      <c r="BE189" t="n">
        <v>39.712</v>
      </c>
      <c r="BF189" t="n">
        <v>37.065</v>
      </c>
      <c r="BG189" t="n">
        <v>39.712</v>
      </c>
      <c r="BH189" t="n">
        <v>39.712</v>
      </c>
      <c r="BI189" t="n">
        <v>37.065</v>
      </c>
      <c r="BJ189" t="n">
        <v>37.065</v>
      </c>
      <c r="BK189" t="n">
        <v>37.065</v>
      </c>
      <c r="BL189" t="n">
        <v>39.712</v>
      </c>
      <c r="BM189" t="n">
        <v>42.36</v>
      </c>
      <c r="BN189" t="n">
        <v>42.866</v>
      </c>
      <c r="BO189" t="n">
        <v>39.286</v>
      </c>
      <c r="BP189" t="n">
        <v>38.86</v>
      </c>
      <c r="BQ189" t="n">
        <v>36.649</v>
      </c>
      <c r="BR189" t="n">
        <v>33.435</v>
      </c>
      <c r="BS189" t="n">
        <v>32.917</v>
      </c>
      <c r="BT189" t="n">
        <v>29.638</v>
      </c>
      <c r="BU189" t="n">
        <v>28.939</v>
      </c>
      <c r="BV189" t="n">
        <v>28.644</v>
      </c>
    </row>
    <row r="190">
      <c r="A190" t="inlineStr">
        <is>
          <t>Planiliza haematocheilus</t>
        </is>
      </c>
      <c r="B190" t="inlineStr">
        <is>
          <t>So-iny mullet</t>
        </is>
      </c>
      <c r="C190" t="inlineStr">
        <is>
          <t>Medium demersals (30 - 89 cm)</t>
        </is>
      </c>
      <c r="D190" t="inlineStr">
        <is>
          <t>Perch-likes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0.094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0.08599999999999999</v>
      </c>
      <c r="AC190" t="n">
        <v>0</v>
      </c>
      <c r="AD190" t="n">
        <v>0</v>
      </c>
      <c r="AE190" t="n">
        <v>0</v>
      </c>
      <c r="AF190" t="n">
        <v>0.102</v>
      </c>
      <c r="AG190" t="n">
        <v>0</v>
      </c>
      <c r="AH190" t="n">
        <v>0</v>
      </c>
      <c r="AI190" t="n">
        <v>0.125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0.083</v>
      </c>
      <c r="BA190" t="n">
        <v>0</v>
      </c>
      <c r="BB190" t="n">
        <v>0</v>
      </c>
      <c r="BC190" t="n">
        <v>0</v>
      </c>
      <c r="BD190" t="n">
        <v>0</v>
      </c>
      <c r="BE190" t="n">
        <v>0.109</v>
      </c>
      <c r="BF190" t="n">
        <v>4007.007</v>
      </c>
      <c r="BG190" t="n">
        <v>4651.108</v>
      </c>
      <c r="BH190" t="n">
        <v>4479.395</v>
      </c>
      <c r="BI190" t="n">
        <v>4334.93</v>
      </c>
      <c r="BJ190" t="n">
        <v>4193.977</v>
      </c>
      <c r="BK190" t="n">
        <v>4318.006</v>
      </c>
      <c r="BL190" t="n">
        <v>4298.689</v>
      </c>
      <c r="BM190" t="n">
        <v>5710.135</v>
      </c>
      <c r="BN190" t="n">
        <v>5434.724</v>
      </c>
      <c r="BO190" t="n">
        <v>5325.057</v>
      </c>
      <c r="BP190" t="n">
        <v>5399.044</v>
      </c>
      <c r="BQ190" t="n">
        <v>5874.603</v>
      </c>
      <c r="BR190" t="n">
        <v>6019.878</v>
      </c>
      <c r="BS190" t="n">
        <v>5455.726</v>
      </c>
      <c r="BT190" t="n">
        <v>5110.226</v>
      </c>
      <c r="BU190" t="n">
        <v>4489.244</v>
      </c>
      <c r="BV190" t="n">
        <v>4217.865</v>
      </c>
    </row>
    <row r="191">
      <c r="A191" t="inlineStr">
        <is>
          <t>Plotosus</t>
        </is>
      </c>
      <c r="B191" t="inlineStr">
        <is>
          <t>Eel catfishes</t>
        </is>
      </c>
      <c r="C191" t="inlineStr">
        <is>
          <t>Medium reef assoc. fish (30 - 89 cm)</t>
        </is>
      </c>
      <c r="D191" t="inlineStr">
        <is>
          <t>Other fishes &amp; inverts</t>
        </is>
      </c>
      <c r="E191" t="n">
        <v>144.658</v>
      </c>
      <c r="F191" t="n">
        <v>141.882</v>
      </c>
      <c r="G191" t="n">
        <v>145.195</v>
      </c>
      <c r="H191" t="n">
        <v>150.624</v>
      </c>
      <c r="I191" t="n">
        <v>163.403</v>
      </c>
      <c r="J191" t="n">
        <v>164.317</v>
      </c>
      <c r="K191" t="n">
        <v>171.478</v>
      </c>
      <c r="L191" t="n">
        <v>179.008</v>
      </c>
      <c r="M191" t="n">
        <v>191.029</v>
      </c>
      <c r="N191" t="n">
        <v>201.355</v>
      </c>
      <c r="O191" t="n">
        <v>214.362</v>
      </c>
      <c r="P191" t="n">
        <v>221.589</v>
      </c>
      <c r="Q191" t="n">
        <v>233.771</v>
      </c>
      <c r="R191" t="n">
        <v>246.009</v>
      </c>
      <c r="S191" t="n">
        <v>263.846</v>
      </c>
      <c r="T191" t="n">
        <v>372.741</v>
      </c>
      <c r="U191" t="n">
        <v>398.418</v>
      </c>
      <c r="V191" t="n">
        <v>477.745</v>
      </c>
      <c r="W191" t="n">
        <v>470.897</v>
      </c>
      <c r="X191" t="n">
        <v>448.013</v>
      </c>
      <c r="Y191" t="n">
        <v>454.423</v>
      </c>
      <c r="Z191" t="n">
        <v>481.872</v>
      </c>
      <c r="AA191" t="n">
        <v>467.921</v>
      </c>
      <c r="AB191" t="n">
        <v>495.147</v>
      </c>
      <c r="AC191" t="n">
        <v>518.813</v>
      </c>
      <c r="AD191" t="n">
        <v>572.45</v>
      </c>
      <c r="AE191" t="n">
        <v>723.295</v>
      </c>
      <c r="AF191" t="n">
        <v>796.533</v>
      </c>
      <c r="AG191" t="n">
        <v>1268.499</v>
      </c>
      <c r="AH191" t="n">
        <v>1278.907</v>
      </c>
      <c r="AI191" t="n">
        <v>780.242</v>
      </c>
      <c r="AJ191" t="n">
        <v>876.639</v>
      </c>
      <c r="AK191" t="n">
        <v>870.614</v>
      </c>
      <c r="AL191" t="n">
        <v>1054.527</v>
      </c>
      <c r="AM191" t="n">
        <v>1170.185</v>
      </c>
      <c r="AN191" t="n">
        <v>1269.875</v>
      </c>
      <c r="AO191" t="n">
        <v>1335.024</v>
      </c>
      <c r="AP191" t="n">
        <v>1299.617</v>
      </c>
      <c r="AQ191" t="n">
        <v>1373.546</v>
      </c>
      <c r="AR191" t="n">
        <v>1334.152</v>
      </c>
      <c r="AS191" t="n">
        <v>1027.851</v>
      </c>
      <c r="AT191" t="n">
        <v>1432.021</v>
      </c>
      <c r="AU191" t="n">
        <v>587.232</v>
      </c>
      <c r="AV191" t="n">
        <v>2198.441</v>
      </c>
      <c r="AW191" t="n">
        <v>3376.969</v>
      </c>
      <c r="AX191" t="n">
        <v>1994.289</v>
      </c>
      <c r="AY191" t="n">
        <v>1938.526</v>
      </c>
      <c r="AZ191" t="n">
        <v>1942.263</v>
      </c>
      <c r="BA191" t="n">
        <v>2016.913</v>
      </c>
      <c r="BB191" t="n">
        <v>2162.954</v>
      </c>
      <c r="BC191" t="n">
        <v>2063.742</v>
      </c>
      <c r="BD191" t="n">
        <v>1961.074</v>
      </c>
      <c r="BE191" t="n">
        <v>2024.12</v>
      </c>
      <c r="BF191" t="n">
        <v>1948.464</v>
      </c>
      <c r="BG191" t="n">
        <v>2109.401</v>
      </c>
      <c r="BH191" t="n">
        <v>2168.48</v>
      </c>
      <c r="BI191" t="n">
        <v>2090.644</v>
      </c>
      <c r="BJ191" t="n">
        <v>1990.406</v>
      </c>
      <c r="BK191" t="n">
        <v>1929.38</v>
      </c>
      <c r="BL191" t="n">
        <v>1879.047</v>
      </c>
      <c r="BM191" t="n">
        <v>2015.278</v>
      </c>
      <c r="BN191" t="n">
        <v>1942.404</v>
      </c>
      <c r="BO191" t="n">
        <v>2185.788</v>
      </c>
      <c r="BP191" t="n">
        <v>2271.687</v>
      </c>
      <c r="BQ191" t="n">
        <v>2080.529</v>
      </c>
      <c r="BR191" t="n">
        <v>2143.261</v>
      </c>
      <c r="BS191" t="n">
        <v>2217.14</v>
      </c>
      <c r="BT191" t="n">
        <v>2054.058</v>
      </c>
      <c r="BU191" t="n">
        <v>1919.382</v>
      </c>
      <c r="BV191" t="n">
        <v>1797.803</v>
      </c>
    </row>
    <row r="192">
      <c r="A192" t="inlineStr">
        <is>
          <t>Hemiramphus</t>
        </is>
      </c>
      <c r="B192" t="inlineStr">
        <is>
          <t>Halfbeaks</t>
        </is>
      </c>
      <c r="C192" t="inlineStr">
        <is>
          <t>Medium pelagics (30 - 89 cm)</t>
        </is>
      </c>
      <c r="D192" t="inlineStr">
        <is>
          <t>Other fishes &amp; inverts</t>
        </is>
      </c>
      <c r="E192" t="n">
        <v>146.844</v>
      </c>
      <c r="F192" t="n">
        <v>172.469</v>
      </c>
      <c r="G192" t="n">
        <v>198.095</v>
      </c>
      <c r="H192" t="n">
        <v>205.407</v>
      </c>
      <c r="I192" t="n">
        <v>220.054</v>
      </c>
      <c r="J192" t="n">
        <v>223.769</v>
      </c>
      <c r="K192" t="n">
        <v>227.433</v>
      </c>
      <c r="L192" t="n">
        <v>220.126</v>
      </c>
      <c r="M192" t="n">
        <v>231.068</v>
      </c>
      <c r="N192" t="n">
        <v>220.076</v>
      </c>
      <c r="O192" t="n">
        <v>223.765</v>
      </c>
      <c r="P192" t="n">
        <v>315.468</v>
      </c>
      <c r="Q192" t="n">
        <v>362.802</v>
      </c>
      <c r="R192" t="n">
        <v>413.789</v>
      </c>
      <c r="S192" t="n">
        <v>475.807</v>
      </c>
      <c r="T192" t="n">
        <v>583.77</v>
      </c>
      <c r="U192" t="n">
        <v>685.033</v>
      </c>
      <c r="V192" t="n">
        <v>650.516</v>
      </c>
      <c r="W192" t="n">
        <v>699.019</v>
      </c>
      <c r="X192" t="n">
        <v>763.9400000000001</v>
      </c>
      <c r="Y192" t="n">
        <v>875.7380000000001</v>
      </c>
      <c r="Z192" t="n">
        <v>895.529</v>
      </c>
      <c r="AA192" t="n">
        <v>832.052</v>
      </c>
      <c r="AB192" t="n">
        <v>917.58</v>
      </c>
      <c r="AC192" t="n">
        <v>752.9690000000001</v>
      </c>
      <c r="AD192" t="n">
        <v>839.152</v>
      </c>
      <c r="AE192" t="n">
        <v>1118.449</v>
      </c>
      <c r="AF192" t="n">
        <v>778.816</v>
      </c>
      <c r="AG192" t="n">
        <v>740.638</v>
      </c>
      <c r="AH192" t="n">
        <v>813.47</v>
      </c>
      <c r="AI192" t="n">
        <v>819.6369999999999</v>
      </c>
      <c r="AJ192" t="n">
        <v>1181.918</v>
      </c>
      <c r="AK192" t="n">
        <v>1556.96</v>
      </c>
      <c r="AL192" t="n">
        <v>991.417</v>
      </c>
      <c r="AM192" t="n">
        <v>1195.798</v>
      </c>
      <c r="AN192" t="n">
        <v>706.056</v>
      </c>
      <c r="AO192" t="n">
        <v>877.92</v>
      </c>
      <c r="AP192" t="n">
        <v>1044.312</v>
      </c>
      <c r="AQ192" t="n">
        <v>1423.051</v>
      </c>
      <c r="AR192" t="n">
        <v>1370.54</v>
      </c>
      <c r="AS192" t="n">
        <v>1217.15</v>
      </c>
      <c r="AT192" t="n">
        <v>1217.965</v>
      </c>
      <c r="AU192" t="n">
        <v>1488.16</v>
      </c>
      <c r="AV192" t="n">
        <v>1204.045</v>
      </c>
      <c r="AW192" t="n">
        <v>1213.048</v>
      </c>
      <c r="AX192" t="n">
        <v>1593.855</v>
      </c>
      <c r="AY192" t="n">
        <v>1757.481</v>
      </c>
      <c r="AZ192" t="n">
        <v>1814.672</v>
      </c>
      <c r="BA192" t="n">
        <v>1413.489</v>
      </c>
      <c r="BB192" t="n">
        <v>1425.331</v>
      </c>
      <c r="BC192" t="n">
        <v>2181.446</v>
      </c>
      <c r="BD192" t="n">
        <v>2716.696</v>
      </c>
      <c r="BE192" t="n">
        <v>2114.431</v>
      </c>
      <c r="BF192" t="n">
        <v>2523.926</v>
      </c>
      <c r="BG192" t="n">
        <v>1251.122</v>
      </c>
      <c r="BH192" t="n">
        <v>1466.365</v>
      </c>
      <c r="BI192" t="n">
        <v>1684.672</v>
      </c>
      <c r="BJ192" t="n">
        <v>2684.818</v>
      </c>
      <c r="BK192" t="n">
        <v>2538.279</v>
      </c>
      <c r="BL192" t="n">
        <v>2224.884</v>
      </c>
      <c r="BM192" t="n">
        <v>1714.329</v>
      </c>
      <c r="BN192" t="n">
        <v>1774.97</v>
      </c>
      <c r="BO192" t="n">
        <v>1794.233</v>
      </c>
      <c r="BP192" t="n">
        <v>1822.682</v>
      </c>
      <c r="BQ192" t="n">
        <v>1963.996</v>
      </c>
      <c r="BR192" t="n">
        <v>2201.984</v>
      </c>
      <c r="BS192" t="n">
        <v>2080.068</v>
      </c>
      <c r="BT192" t="n">
        <v>1859.776</v>
      </c>
      <c r="BU192" t="n">
        <v>2116.266</v>
      </c>
      <c r="BV192" t="n">
        <v>2187.672</v>
      </c>
    </row>
    <row r="193">
      <c r="A193" t="inlineStr">
        <is>
          <t>Scomber</t>
        </is>
      </c>
      <c r="B193" t="inlineStr">
        <is>
          <t>Chub mackerels</t>
        </is>
      </c>
      <c r="C193" t="inlineStr">
        <is>
          <t>Medium pelagics (30 - 89 cm)</t>
        </is>
      </c>
      <c r="D193" t="inlineStr">
        <is>
          <t>Perch-likes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9.993</v>
      </c>
      <c r="X193" t="n">
        <v>0</v>
      </c>
      <c r="Y193" t="n">
        <v>18.01</v>
      </c>
      <c r="Z193" t="n">
        <v>12.456</v>
      </c>
      <c r="AA193" t="n">
        <v>0</v>
      </c>
      <c r="AB193" t="n">
        <v>23.032</v>
      </c>
      <c r="AC193" t="n">
        <v>6.697</v>
      </c>
      <c r="AD193" t="n">
        <v>19.532</v>
      </c>
      <c r="AE193" t="n">
        <v>0</v>
      </c>
      <c r="AF193" t="n">
        <v>13.703</v>
      </c>
      <c r="AG193" t="n">
        <v>31.042</v>
      </c>
      <c r="AH193" t="n">
        <v>37.728</v>
      </c>
      <c r="AI193" t="n">
        <v>154.61</v>
      </c>
      <c r="AJ193" t="n">
        <v>0</v>
      </c>
      <c r="AK193" t="n">
        <v>0</v>
      </c>
      <c r="AL193" t="n">
        <v>93.956</v>
      </c>
      <c r="AM193" t="n">
        <v>0</v>
      </c>
      <c r="AN193" t="n">
        <v>0</v>
      </c>
      <c r="AO193" t="n">
        <v>0</v>
      </c>
      <c r="AP193" t="n">
        <v>0</v>
      </c>
      <c r="AQ193" t="n">
        <v>0.67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31058.439</v>
      </c>
      <c r="BP193" t="n">
        <v>7578.855</v>
      </c>
      <c r="BQ193" t="n">
        <v>10422.967</v>
      </c>
      <c r="BR193" t="n">
        <v>8351.645</v>
      </c>
      <c r="BS193" t="n">
        <v>7831.353</v>
      </c>
      <c r="BT193" t="n">
        <v>6584.011</v>
      </c>
      <c r="BU193" t="n">
        <v>1922.615</v>
      </c>
      <c r="BV193" t="n">
        <v>6352.029</v>
      </c>
    </row>
    <row r="194">
      <c r="A194" t="inlineStr">
        <is>
          <t>Cypselurus</t>
        </is>
      </c>
      <c r="B194" t="inlineStr">
        <is>
          <t>Cypselurid flyingfishes</t>
        </is>
      </c>
      <c r="C194" t="inlineStr">
        <is>
          <t>Small pelagics (&lt;30 cm)</t>
        </is>
      </c>
      <c r="D194" t="inlineStr">
        <is>
          <t>Other fishes &amp; inverts</t>
        </is>
      </c>
      <c r="E194" t="n">
        <v>921.975</v>
      </c>
      <c r="F194" t="n">
        <v>1069.983</v>
      </c>
      <c r="G194" t="n">
        <v>1254.887</v>
      </c>
      <c r="H194" t="n">
        <v>1289.783</v>
      </c>
      <c r="I194" t="n">
        <v>2272.142</v>
      </c>
      <c r="J194" t="n">
        <v>1752.005</v>
      </c>
      <c r="K194" t="n">
        <v>2411.336</v>
      </c>
      <c r="L194" t="n">
        <v>2190.587</v>
      </c>
      <c r="M194" t="n">
        <v>2562.031</v>
      </c>
      <c r="N194" t="n">
        <v>2922.917</v>
      </c>
      <c r="O194" t="n">
        <v>2888.112</v>
      </c>
      <c r="P194" t="n">
        <v>3435.502</v>
      </c>
      <c r="Q194" t="n">
        <v>3792.827</v>
      </c>
      <c r="R194" t="n">
        <v>3032.495</v>
      </c>
      <c r="S194" t="n">
        <v>3014.716</v>
      </c>
      <c r="T194" t="n">
        <v>2982.051</v>
      </c>
      <c r="U194" t="n">
        <v>2459.651</v>
      </c>
      <c r="V194" t="n">
        <v>3750.029</v>
      </c>
      <c r="W194" t="n">
        <v>2488.739</v>
      </c>
      <c r="X194" t="n">
        <v>2786.717</v>
      </c>
      <c r="Y194" t="n">
        <v>2348.56</v>
      </c>
      <c r="Z194" t="n">
        <v>1597.737</v>
      </c>
      <c r="AA194" t="n">
        <v>1213.022</v>
      </c>
      <c r="AB194" t="n">
        <v>1085.869</v>
      </c>
      <c r="AC194" t="n">
        <v>569.581</v>
      </c>
      <c r="AD194" t="n">
        <v>862.919</v>
      </c>
      <c r="AE194" t="n">
        <v>793.2140000000001</v>
      </c>
      <c r="AF194" t="n">
        <v>1166.761</v>
      </c>
      <c r="AG194" t="n">
        <v>1364.976</v>
      </c>
      <c r="AH194" t="n">
        <v>1177.633</v>
      </c>
      <c r="AI194" t="n">
        <v>895.6319999999999</v>
      </c>
      <c r="AJ194" t="n">
        <v>826.679</v>
      </c>
      <c r="AK194" t="n">
        <v>512.5650000000001</v>
      </c>
      <c r="AL194" t="n">
        <v>1151.077</v>
      </c>
      <c r="AM194" t="n">
        <v>859.833</v>
      </c>
      <c r="AN194" t="n">
        <v>858.763</v>
      </c>
      <c r="AO194" t="n">
        <v>626.84</v>
      </c>
      <c r="AP194" t="n">
        <v>680.569</v>
      </c>
      <c r="AQ194" t="n">
        <v>597.821</v>
      </c>
      <c r="AR194" t="n">
        <v>645.981</v>
      </c>
      <c r="AS194" t="n">
        <v>606.177</v>
      </c>
      <c r="AT194" t="n">
        <v>560.461</v>
      </c>
      <c r="AU194" t="n">
        <v>401.68</v>
      </c>
      <c r="AV194" t="n">
        <v>537.626</v>
      </c>
      <c r="AW194" t="n">
        <v>600.088</v>
      </c>
      <c r="AX194" t="n">
        <v>502.665</v>
      </c>
      <c r="AY194" t="n">
        <v>576.55</v>
      </c>
      <c r="AZ194" t="n">
        <v>2102.083</v>
      </c>
      <c r="BA194" t="n">
        <v>632.669</v>
      </c>
      <c r="BB194" t="n">
        <v>343.322</v>
      </c>
      <c r="BC194" t="n">
        <v>151.869</v>
      </c>
      <c r="BD194" t="n">
        <v>211.12</v>
      </c>
      <c r="BE194" t="n">
        <v>318.375</v>
      </c>
      <c r="BF194" t="n">
        <v>239.301</v>
      </c>
      <c r="BG194" t="n">
        <v>700.149</v>
      </c>
      <c r="BH194" t="n">
        <v>268.859</v>
      </c>
      <c r="BI194" t="n">
        <v>85.78100000000001</v>
      </c>
      <c r="BJ194" t="n">
        <v>30.737</v>
      </c>
      <c r="BK194" t="n">
        <v>36.252</v>
      </c>
      <c r="BL194" t="n">
        <v>156.123</v>
      </c>
      <c r="BM194" t="n">
        <v>30.713</v>
      </c>
      <c r="BN194" t="n">
        <v>36.974</v>
      </c>
      <c r="BO194" t="n">
        <v>59.113</v>
      </c>
      <c r="BP194" t="n">
        <v>64.03400000000001</v>
      </c>
      <c r="BQ194" t="n">
        <v>43.789</v>
      </c>
      <c r="BR194" t="n">
        <v>65.169</v>
      </c>
      <c r="BS194" t="n">
        <v>83.551</v>
      </c>
      <c r="BT194" t="n">
        <v>67.94499999999999</v>
      </c>
      <c r="BU194" t="n">
        <v>3.446</v>
      </c>
      <c r="BV194" t="n">
        <v>43.773</v>
      </c>
    </row>
    <row r="195">
      <c r="A195" t="inlineStr">
        <is>
          <t>Sergestidae</t>
        </is>
      </c>
      <c r="B195" t="inlineStr">
        <is>
          <t>Sergestid shrimp</t>
        </is>
      </c>
      <c r="C195" t="inlineStr">
        <is>
          <t>Shrimps</t>
        </is>
      </c>
      <c r="D195" t="inlineStr">
        <is>
          <t>Crustaceans</t>
        </is>
      </c>
      <c r="E195" t="n">
        <v>16.196</v>
      </c>
      <c r="F195" t="n">
        <v>16.101</v>
      </c>
      <c r="G195" t="n">
        <v>16.102</v>
      </c>
      <c r="H195" t="n">
        <v>19.125</v>
      </c>
      <c r="I195" t="n">
        <v>17.008</v>
      </c>
      <c r="J195" t="n">
        <v>19.67</v>
      </c>
      <c r="K195" t="n">
        <v>22.84</v>
      </c>
      <c r="L195" t="n">
        <v>25.522</v>
      </c>
      <c r="M195" t="n">
        <v>20.552</v>
      </c>
      <c r="N195" t="n">
        <v>28.789</v>
      </c>
      <c r="O195" t="n">
        <v>28.834</v>
      </c>
      <c r="P195" t="n">
        <v>28.935</v>
      </c>
      <c r="Q195" t="n">
        <v>34.185</v>
      </c>
      <c r="R195" t="n">
        <v>37.158</v>
      </c>
      <c r="S195" t="n">
        <v>44.76</v>
      </c>
      <c r="T195" t="n">
        <v>49.741</v>
      </c>
      <c r="U195" t="n">
        <v>72.303</v>
      </c>
      <c r="V195" t="n">
        <v>82.042</v>
      </c>
      <c r="W195" t="n">
        <v>66.688</v>
      </c>
      <c r="X195" t="n">
        <v>62.972</v>
      </c>
      <c r="Y195" t="n">
        <v>388.913</v>
      </c>
      <c r="Z195" t="n">
        <v>450.012</v>
      </c>
      <c r="AA195" t="n">
        <v>378.354</v>
      </c>
      <c r="AB195" t="n">
        <v>888.92</v>
      </c>
      <c r="AC195" t="n">
        <v>769.022</v>
      </c>
      <c r="AD195" t="n">
        <v>1170.444</v>
      </c>
      <c r="AE195" t="n">
        <v>1801.69</v>
      </c>
      <c r="AF195" t="n">
        <v>1869.067</v>
      </c>
      <c r="AG195" t="n">
        <v>1653.408</v>
      </c>
      <c r="AH195" t="n">
        <v>1359.907</v>
      </c>
      <c r="AI195" t="n">
        <v>1180.897</v>
      </c>
      <c r="AJ195" t="n">
        <v>1200.798</v>
      </c>
      <c r="AK195" t="n">
        <v>1629.17</v>
      </c>
      <c r="AL195" t="n">
        <v>1629.887</v>
      </c>
      <c r="AM195" t="n">
        <v>1664.807</v>
      </c>
      <c r="AN195" t="n">
        <v>1750.883</v>
      </c>
      <c r="AO195" t="n">
        <v>1917.1</v>
      </c>
      <c r="AP195" t="n">
        <v>2134.085</v>
      </c>
      <c r="AQ195" t="n">
        <v>2558.802</v>
      </c>
      <c r="AR195" t="n">
        <v>2855.374</v>
      </c>
      <c r="AS195" t="n">
        <v>3197.532</v>
      </c>
      <c r="AT195" t="n">
        <v>3000.705</v>
      </c>
      <c r="AU195" t="n">
        <v>3377.858</v>
      </c>
      <c r="AV195" t="n">
        <v>3352.33</v>
      </c>
      <c r="AW195" t="n">
        <v>3717.303</v>
      </c>
      <c r="AX195" t="n">
        <v>3467.619</v>
      </c>
      <c r="AY195" t="n">
        <v>3417.099</v>
      </c>
      <c r="AZ195" t="n">
        <v>2950.881</v>
      </c>
      <c r="BA195" t="n">
        <v>2867.993</v>
      </c>
      <c r="BB195" t="n">
        <v>1575.709</v>
      </c>
      <c r="BC195" t="n">
        <v>939.532</v>
      </c>
      <c r="BD195" t="n">
        <v>1096.206</v>
      </c>
      <c r="BE195" t="n">
        <v>1102.873</v>
      </c>
      <c r="BF195" t="n">
        <v>1187.533</v>
      </c>
      <c r="BG195" t="n">
        <v>1418.504</v>
      </c>
      <c r="BH195" t="n">
        <v>2062.669</v>
      </c>
      <c r="BI195" t="n">
        <v>1650.698</v>
      </c>
      <c r="BJ195" t="n">
        <v>1567.054</v>
      </c>
      <c r="BK195" t="n">
        <v>1036.979</v>
      </c>
      <c r="BL195" t="n">
        <v>1063.402</v>
      </c>
      <c r="BM195" t="n">
        <v>402.356</v>
      </c>
      <c r="BN195" t="n">
        <v>333.65</v>
      </c>
      <c r="BO195" t="n">
        <v>329.85</v>
      </c>
      <c r="BP195" t="n">
        <v>266.376</v>
      </c>
      <c r="BQ195" t="n">
        <v>279.169</v>
      </c>
      <c r="BR195" t="n">
        <v>298.636</v>
      </c>
      <c r="BS195" t="n">
        <v>285.538</v>
      </c>
      <c r="BT195" t="n">
        <v>291.18</v>
      </c>
      <c r="BU195" t="n">
        <v>375.813</v>
      </c>
      <c r="BV195" t="n">
        <v>834.234</v>
      </c>
    </row>
    <row r="196">
      <c r="A196" t="inlineStr">
        <is>
          <t>Prionace glauca</t>
        </is>
      </c>
      <c r="B196" t="inlineStr">
        <is>
          <t>Blue shark</t>
        </is>
      </c>
      <c r="C196" t="inlineStr">
        <is>
          <t>Large sharks (&gt;=90 cm)</t>
        </is>
      </c>
      <c r="D196" t="inlineStr">
        <is>
          <t>Sharks &amp; rays</t>
        </is>
      </c>
      <c r="E196" t="n">
        <v>0</v>
      </c>
      <c r="F196" t="n">
        <v>0</v>
      </c>
      <c r="G196" t="n">
        <v>0</v>
      </c>
      <c r="H196" t="n">
        <v>112.455</v>
      </c>
      <c r="I196" t="n">
        <v>136.776</v>
      </c>
      <c r="J196" t="n">
        <v>32.837</v>
      </c>
      <c r="K196" t="n">
        <v>37.5</v>
      </c>
      <c r="L196" t="n">
        <v>2.305</v>
      </c>
      <c r="M196" t="n">
        <v>369.09</v>
      </c>
      <c r="N196" t="n">
        <v>269.814</v>
      </c>
      <c r="O196" t="n">
        <v>299.137</v>
      </c>
      <c r="P196" t="n">
        <v>487.977</v>
      </c>
      <c r="Q196" t="n">
        <v>678.5940000000001</v>
      </c>
      <c r="R196" t="n">
        <v>735.843</v>
      </c>
      <c r="S196" t="n">
        <v>565.242</v>
      </c>
      <c r="T196" t="n">
        <v>924.201</v>
      </c>
      <c r="U196" t="n">
        <v>805.867</v>
      </c>
      <c r="V196" t="n">
        <v>1808.354</v>
      </c>
      <c r="W196" t="n">
        <v>1608.664</v>
      </c>
      <c r="X196" t="n">
        <v>1818.113</v>
      </c>
      <c r="Y196" t="n">
        <v>1438.466</v>
      </c>
      <c r="Z196" t="n">
        <v>1832.757</v>
      </c>
      <c r="AA196" t="n">
        <v>1649.648</v>
      </c>
      <c r="AB196" t="n">
        <v>2308.406</v>
      </c>
      <c r="AC196" t="n">
        <v>1714.792</v>
      </c>
      <c r="AD196" t="n">
        <v>2738.837</v>
      </c>
      <c r="AE196" t="n">
        <v>2518.361</v>
      </c>
      <c r="AF196" t="n">
        <v>2170.458</v>
      </c>
      <c r="AG196" t="n">
        <v>2122.473</v>
      </c>
      <c r="AH196" t="n">
        <v>2176.445</v>
      </c>
      <c r="AI196" t="n">
        <v>1816.779</v>
      </c>
      <c r="AJ196" t="n">
        <v>1701.872</v>
      </c>
      <c r="AK196" t="n">
        <v>1652.767</v>
      </c>
      <c r="AL196" t="n">
        <v>1663.602</v>
      </c>
      <c r="AM196" t="n">
        <v>1666.151</v>
      </c>
      <c r="AN196" t="n">
        <v>1245.072</v>
      </c>
      <c r="AO196" t="n">
        <v>1075.002</v>
      </c>
      <c r="AP196" t="n">
        <v>1522.724</v>
      </c>
      <c r="AQ196" t="n">
        <v>1471.691</v>
      </c>
      <c r="AR196" t="n">
        <v>1271.358</v>
      </c>
      <c r="AS196" t="n">
        <v>1056.365</v>
      </c>
      <c r="AT196" t="n">
        <v>1090.73</v>
      </c>
      <c r="AU196" t="n">
        <v>1466.564</v>
      </c>
      <c r="AV196" t="n">
        <v>1095.093</v>
      </c>
      <c r="AW196" t="n">
        <v>1068.976</v>
      </c>
      <c r="AX196" t="n">
        <v>1085.124</v>
      </c>
      <c r="AY196" t="n">
        <v>1284.104</v>
      </c>
      <c r="AZ196" t="n">
        <v>1546.544</v>
      </c>
      <c r="BA196" t="n">
        <v>1482.64</v>
      </c>
      <c r="BB196" t="n">
        <v>1542.188</v>
      </c>
      <c r="BC196" t="n">
        <v>1289.321</v>
      </c>
      <c r="BD196" t="n">
        <v>1642.764</v>
      </c>
      <c r="BE196" t="n">
        <v>1132.707</v>
      </c>
      <c r="BF196" t="n">
        <v>1266.812</v>
      </c>
      <c r="BG196" t="n">
        <v>2917.543</v>
      </c>
      <c r="BH196" t="n">
        <v>3164.795</v>
      </c>
      <c r="BI196" t="n">
        <v>2125.765</v>
      </c>
      <c r="BJ196" t="n">
        <v>354.97</v>
      </c>
      <c r="BK196" t="n">
        <v>620.924</v>
      </c>
      <c r="BL196" t="n">
        <v>1050.254</v>
      </c>
      <c r="BM196" t="n">
        <v>919.734</v>
      </c>
      <c r="BN196" t="n">
        <v>697.255</v>
      </c>
      <c r="BO196" t="n">
        <v>121.942</v>
      </c>
      <c r="BP196" t="n">
        <v>195.951</v>
      </c>
      <c r="BQ196" t="n">
        <v>154.626</v>
      </c>
      <c r="BR196" t="n">
        <v>71.117</v>
      </c>
      <c r="BS196" t="n">
        <v>11.984</v>
      </c>
      <c r="BT196" t="n">
        <v>4.248</v>
      </c>
      <c r="BU196" t="n">
        <v>12.58</v>
      </c>
      <c r="BV196" t="n">
        <v>13.818</v>
      </c>
    </row>
    <row r="197">
      <c r="A197" t="inlineStr">
        <is>
          <t>Xiphias gladius</t>
        </is>
      </c>
      <c r="B197" t="inlineStr">
        <is>
          <t>Swordfish</t>
        </is>
      </c>
      <c r="C197" t="inlineStr">
        <is>
          <t>Large pelagics (&gt;=90 cm)</t>
        </is>
      </c>
      <c r="D197" t="inlineStr">
        <is>
          <t>Tuna &amp; billfishes</t>
        </is>
      </c>
      <c r="E197" t="n">
        <v>65.898</v>
      </c>
      <c r="F197" t="n">
        <v>81.914</v>
      </c>
      <c r="G197" t="n">
        <v>83.845</v>
      </c>
      <c r="H197" t="n">
        <v>97.547</v>
      </c>
      <c r="I197" t="n">
        <v>119.364</v>
      </c>
      <c r="J197" t="n">
        <v>114.003</v>
      </c>
      <c r="K197" t="n">
        <v>126.841</v>
      </c>
      <c r="L197" t="n">
        <v>118.693</v>
      </c>
      <c r="M197" t="n">
        <v>177.18</v>
      </c>
      <c r="N197" t="n">
        <v>170.838</v>
      </c>
      <c r="O197" t="n">
        <v>189.863</v>
      </c>
      <c r="P197" t="n">
        <v>204.807</v>
      </c>
      <c r="Q197" t="n">
        <v>472.665</v>
      </c>
      <c r="R197" t="n">
        <v>496.806</v>
      </c>
      <c r="S197" t="n">
        <v>491.188</v>
      </c>
      <c r="T197" t="n">
        <v>578.8579999999999</v>
      </c>
      <c r="U197" t="n">
        <v>652.371</v>
      </c>
      <c r="V197" t="n">
        <v>957.063</v>
      </c>
      <c r="W197" t="n">
        <v>975.521</v>
      </c>
      <c r="X197" t="n">
        <v>1064.659</v>
      </c>
      <c r="Y197" t="n">
        <v>1105.743</v>
      </c>
      <c r="Z197" t="n">
        <v>1121.336</v>
      </c>
      <c r="AA197" t="n">
        <v>1044.055</v>
      </c>
      <c r="AB197" t="n">
        <v>1275.432</v>
      </c>
      <c r="AC197" t="n">
        <v>1197.896</v>
      </c>
      <c r="AD197" t="n">
        <v>1463.999</v>
      </c>
      <c r="AE197" t="n">
        <v>1282.99</v>
      </c>
      <c r="AF197" t="n">
        <v>1116.066</v>
      </c>
      <c r="AG197" t="n">
        <v>1044.136</v>
      </c>
      <c r="AH197" t="n">
        <v>1116.711</v>
      </c>
      <c r="AI197" t="n">
        <v>927.5549999999999</v>
      </c>
      <c r="AJ197" t="n">
        <v>789.2430000000001</v>
      </c>
      <c r="AK197" t="n">
        <v>990.703</v>
      </c>
      <c r="AL197" t="n">
        <v>903.425</v>
      </c>
      <c r="AM197" t="n">
        <v>810.5549999999999</v>
      </c>
      <c r="AN197" t="n">
        <v>756.561</v>
      </c>
      <c r="AO197" t="n">
        <v>757.431</v>
      </c>
      <c r="AP197" t="n">
        <v>1084.554</v>
      </c>
      <c r="AQ197" t="n">
        <v>991.397</v>
      </c>
      <c r="AR197" t="n">
        <v>1205.785</v>
      </c>
      <c r="AS197" t="n">
        <v>910.002</v>
      </c>
      <c r="AT197" t="n">
        <v>828.64</v>
      </c>
      <c r="AU197" t="n">
        <v>1269.517</v>
      </c>
      <c r="AV197" t="n">
        <v>1238.706</v>
      </c>
      <c r="AW197" t="n">
        <v>975.812</v>
      </c>
      <c r="AX197" t="n">
        <v>1161.04</v>
      </c>
      <c r="AY197" t="n">
        <v>1119.593</v>
      </c>
      <c r="AZ197" t="n">
        <v>1969.087</v>
      </c>
      <c r="BA197" t="n">
        <v>1663.011</v>
      </c>
      <c r="BB197" t="n">
        <v>1800.965</v>
      </c>
      <c r="BC197" t="n">
        <v>2049.535</v>
      </c>
      <c r="BD197" t="n">
        <v>1151.023</v>
      </c>
      <c r="BE197" t="n">
        <v>966.1369999999999</v>
      </c>
      <c r="BF197" t="n">
        <v>1042.309</v>
      </c>
      <c r="BG197" t="n">
        <v>3680.515</v>
      </c>
      <c r="BH197" t="n">
        <v>4200.638</v>
      </c>
      <c r="BI197" t="n">
        <v>2953.887</v>
      </c>
      <c r="BJ197" t="n">
        <v>1203.621</v>
      </c>
      <c r="BK197" t="n">
        <v>1131.538</v>
      </c>
      <c r="BL197" t="n">
        <v>1199.382</v>
      </c>
      <c r="BM197" t="n">
        <v>1249.282</v>
      </c>
      <c r="BN197" t="n">
        <v>1257.968</v>
      </c>
      <c r="BO197" t="n">
        <v>1696.007</v>
      </c>
      <c r="BP197" t="n">
        <v>2045.801</v>
      </c>
      <c r="BQ197" t="n">
        <v>1822.404</v>
      </c>
      <c r="BR197" t="n">
        <v>1671.03</v>
      </c>
      <c r="BS197" t="n">
        <v>1833.568</v>
      </c>
      <c r="BT197" t="n">
        <v>1239.812</v>
      </c>
      <c r="BU197" t="n">
        <v>1192.441</v>
      </c>
      <c r="BV197" t="n">
        <v>1182.733</v>
      </c>
    </row>
    <row r="198">
      <c r="A198" t="inlineStr">
        <is>
          <t>Scylla serrata</t>
        </is>
      </c>
      <c r="B198" t="inlineStr">
        <is>
          <t>Indo-Pacific swamp crab</t>
        </is>
      </c>
      <c r="C198" t="inlineStr">
        <is>
          <t>Lobsters, crabs</t>
        </is>
      </c>
      <c r="D198" t="inlineStr">
        <is>
          <t>Crustaceans</t>
        </is>
      </c>
      <c r="E198" t="n">
        <v>30.716</v>
      </c>
      <c r="F198" t="n">
        <v>48.659</v>
      </c>
      <c r="G198" t="n">
        <v>74.364</v>
      </c>
      <c r="H198" t="n">
        <v>64.548</v>
      </c>
      <c r="I198" t="n">
        <v>81.90300000000001</v>
      </c>
      <c r="J198" t="n">
        <v>79.506</v>
      </c>
      <c r="K198" t="n">
        <v>54.275</v>
      </c>
      <c r="L198" t="n">
        <v>53.323</v>
      </c>
      <c r="M198" t="n">
        <v>58.587</v>
      </c>
      <c r="N198" t="n">
        <v>58.281</v>
      </c>
      <c r="O198" t="n">
        <v>64.654</v>
      </c>
      <c r="P198" t="n">
        <v>54.797</v>
      </c>
      <c r="Q198" t="n">
        <v>54.875</v>
      </c>
      <c r="R198" t="n">
        <v>60.502</v>
      </c>
      <c r="S198" t="n">
        <v>58.996</v>
      </c>
      <c r="T198" t="n">
        <v>65.90000000000001</v>
      </c>
      <c r="U198" t="n">
        <v>67.396</v>
      </c>
      <c r="V198" t="n">
        <v>71.898</v>
      </c>
      <c r="W198" t="n">
        <v>74.15000000000001</v>
      </c>
      <c r="X198" t="n">
        <v>66.893</v>
      </c>
      <c r="Y198" t="n">
        <v>420.668</v>
      </c>
      <c r="Z198" t="n">
        <v>470.52</v>
      </c>
      <c r="AA198" t="n">
        <v>549.027</v>
      </c>
      <c r="AB198" t="n">
        <v>1348.619</v>
      </c>
      <c r="AC198" t="n">
        <v>1077.949</v>
      </c>
      <c r="AD198" t="n">
        <v>782.004</v>
      </c>
      <c r="AE198" t="n">
        <v>4454.167</v>
      </c>
      <c r="AF198" t="n">
        <v>2413.177</v>
      </c>
      <c r="AG198" t="n">
        <v>3535.612</v>
      </c>
      <c r="AH198" t="n">
        <v>475.844</v>
      </c>
      <c r="AI198" t="n">
        <v>466.35</v>
      </c>
      <c r="AJ198" t="n">
        <v>535.413</v>
      </c>
      <c r="AK198" t="n">
        <v>653.472</v>
      </c>
      <c r="AL198" t="n">
        <v>686.687</v>
      </c>
      <c r="AM198" t="n">
        <v>772.912</v>
      </c>
      <c r="AN198" t="n">
        <v>796.763</v>
      </c>
      <c r="AO198" t="n">
        <v>1145.779</v>
      </c>
      <c r="AP198" t="n">
        <v>750.389</v>
      </c>
      <c r="AQ198" t="n">
        <v>654.801</v>
      </c>
      <c r="AR198" t="n">
        <v>862.779</v>
      </c>
      <c r="AS198" t="n">
        <v>571.937</v>
      </c>
      <c r="AT198" t="n">
        <v>3385.464</v>
      </c>
      <c r="AU198" t="n">
        <v>1499.965</v>
      </c>
      <c r="AV198" t="n">
        <v>1277.193</v>
      </c>
      <c r="AW198" t="n">
        <v>1642.808</v>
      </c>
      <c r="AX198" t="n">
        <v>6092.512</v>
      </c>
      <c r="AY198" t="n">
        <v>5715.905</v>
      </c>
      <c r="AZ198" t="n">
        <v>1171.334</v>
      </c>
      <c r="BA198" t="n">
        <v>1286.783</v>
      </c>
      <c r="BB198" t="n">
        <v>1901.869</v>
      </c>
      <c r="BC198" t="n">
        <v>1678.759</v>
      </c>
      <c r="BD198" t="n">
        <v>1450.452</v>
      </c>
      <c r="BE198" t="n">
        <v>1452.637</v>
      </c>
      <c r="BF198" t="n">
        <v>791.068</v>
      </c>
      <c r="BG198" t="n">
        <v>646.277</v>
      </c>
      <c r="BH198" t="n">
        <v>1700.905</v>
      </c>
      <c r="BI198" t="n">
        <v>2043.6</v>
      </c>
      <c r="BJ198" t="n">
        <v>1614.549</v>
      </c>
      <c r="BK198" t="n">
        <v>1117.208</v>
      </c>
      <c r="BL198" t="n">
        <v>1392.644</v>
      </c>
      <c r="BM198" t="n">
        <v>1280.053</v>
      </c>
      <c r="BN198" t="n">
        <v>1260.418</v>
      </c>
      <c r="BO198" t="n">
        <v>1291.362</v>
      </c>
      <c r="BP198" t="n">
        <v>1176.248</v>
      </c>
      <c r="BQ198" t="n">
        <v>1079.714</v>
      </c>
      <c r="BR198" t="n">
        <v>1137.468</v>
      </c>
      <c r="BS198" t="n">
        <v>1177.262</v>
      </c>
      <c r="BT198" t="n">
        <v>1076.02</v>
      </c>
      <c r="BU198" t="n">
        <v>978.785</v>
      </c>
      <c r="BV198" t="n">
        <v>971.6130000000001</v>
      </c>
    </row>
    <row r="199">
      <c r="A199" t="inlineStr">
        <is>
          <t>Malacostraca</t>
        </is>
      </c>
      <c r="B199" t="inlineStr">
        <is>
          <t>Lobsters, crabs, shrimps, krill</t>
        </is>
      </c>
      <c r="C199" t="inlineStr">
        <is>
          <t>Shrimps</t>
        </is>
      </c>
      <c r="D199" t="inlineStr">
        <is>
          <t>Crustaceans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0.6830000000000001</v>
      </c>
      <c r="U199" t="n">
        <v>0.6830000000000001</v>
      </c>
      <c r="V199" t="n">
        <v>2.05</v>
      </c>
      <c r="W199" t="n">
        <v>2.05</v>
      </c>
      <c r="X199" t="n">
        <v>2.05</v>
      </c>
      <c r="Y199" t="n">
        <v>2.05</v>
      </c>
      <c r="Z199" t="n">
        <v>2.734</v>
      </c>
      <c r="AA199" t="n">
        <v>2.734</v>
      </c>
      <c r="AB199" t="n">
        <v>2.05</v>
      </c>
      <c r="AC199" t="n">
        <v>2.05</v>
      </c>
      <c r="AD199" t="n">
        <v>2.05</v>
      </c>
      <c r="AE199" t="n">
        <v>3.417</v>
      </c>
      <c r="AF199" t="n">
        <v>3.417</v>
      </c>
      <c r="AG199" t="n">
        <v>2.734</v>
      </c>
      <c r="AH199" t="n">
        <v>2.05</v>
      </c>
      <c r="AI199" t="n">
        <v>2.05</v>
      </c>
      <c r="AJ199" t="n">
        <v>3.417</v>
      </c>
      <c r="AK199" t="n">
        <v>2.05</v>
      </c>
      <c r="AL199" t="n">
        <v>4.1</v>
      </c>
      <c r="AM199" t="n">
        <v>6.151</v>
      </c>
      <c r="AN199" t="n">
        <v>1451.361</v>
      </c>
      <c r="AO199" t="n">
        <v>1023.243</v>
      </c>
      <c r="AP199" t="n">
        <v>1198.948</v>
      </c>
      <c r="AQ199" t="n">
        <v>1683.103</v>
      </c>
      <c r="AR199" t="n">
        <v>1698.47</v>
      </c>
      <c r="AS199" t="n">
        <v>46.595</v>
      </c>
      <c r="AT199" t="n">
        <v>46.064</v>
      </c>
      <c r="AU199" t="n">
        <v>174.757</v>
      </c>
      <c r="AV199" t="n">
        <v>315.626</v>
      </c>
      <c r="AW199" t="n">
        <v>231.998</v>
      </c>
      <c r="AX199" t="n">
        <v>2102.725</v>
      </c>
      <c r="AY199" t="n">
        <v>2074.909</v>
      </c>
      <c r="AZ199" t="n">
        <v>2108.342</v>
      </c>
      <c r="BA199" t="n">
        <v>2021.748</v>
      </c>
      <c r="BB199" t="n">
        <v>2446.536</v>
      </c>
      <c r="BC199" t="n">
        <v>29.701</v>
      </c>
      <c r="BD199" t="n">
        <v>54.099</v>
      </c>
      <c r="BE199" t="n">
        <v>50.781</v>
      </c>
      <c r="BF199" t="n">
        <v>47.93</v>
      </c>
      <c r="BG199" t="n">
        <v>47.571</v>
      </c>
      <c r="BH199" t="n">
        <v>7030.815</v>
      </c>
      <c r="BI199" t="n">
        <v>6426.336</v>
      </c>
      <c r="BJ199" t="n">
        <v>6342.648</v>
      </c>
      <c r="BK199" t="n">
        <v>6571.104</v>
      </c>
      <c r="BL199" t="n">
        <v>2687.627</v>
      </c>
      <c r="BM199" t="n">
        <v>2370.46</v>
      </c>
      <c r="BN199" t="n">
        <v>2306.533</v>
      </c>
      <c r="BO199" t="n">
        <v>2596.264</v>
      </c>
      <c r="BP199" t="n">
        <v>2699.781</v>
      </c>
      <c r="BQ199" t="n">
        <v>2474.601</v>
      </c>
      <c r="BR199" t="n">
        <v>2547.998</v>
      </c>
      <c r="BS199" t="n">
        <v>2639.528</v>
      </c>
      <c r="BT199" t="n">
        <v>2448.211</v>
      </c>
      <c r="BU199" t="n">
        <v>2307.762</v>
      </c>
      <c r="BV199" t="n">
        <v>2163.145</v>
      </c>
    </row>
    <row r="200">
      <c r="A200" t="inlineStr">
        <is>
          <t>Scyris indica</t>
        </is>
      </c>
      <c r="B200" t="inlineStr">
        <is>
          <t>Indian threadfish</t>
        </is>
      </c>
      <c r="C200" t="inlineStr">
        <is>
          <t>Large reef assoc. fish (&gt;=90 cm)</t>
        </is>
      </c>
      <c r="D200" t="inlineStr">
        <is>
          <t>Perch-likes</t>
        </is>
      </c>
      <c r="E200" t="n">
        <v>135.213</v>
      </c>
      <c r="F200" t="n">
        <v>132.973</v>
      </c>
      <c r="G200" t="n">
        <v>138.65</v>
      </c>
      <c r="H200" t="n">
        <v>145.944</v>
      </c>
      <c r="I200" t="n">
        <v>157.597</v>
      </c>
      <c r="J200" t="n">
        <v>159.438</v>
      </c>
      <c r="K200" t="n">
        <v>166.902</v>
      </c>
      <c r="L200" t="n">
        <v>175.032</v>
      </c>
      <c r="M200" t="n">
        <v>185.318</v>
      </c>
      <c r="N200" t="n">
        <v>194.271</v>
      </c>
      <c r="O200" t="n">
        <v>207.253</v>
      </c>
      <c r="P200" t="n">
        <v>215.185</v>
      </c>
      <c r="Q200" t="n">
        <v>223.2</v>
      </c>
      <c r="R200" t="n">
        <v>230.792</v>
      </c>
      <c r="S200" t="n">
        <v>241.204</v>
      </c>
      <c r="T200" t="n">
        <v>333.446</v>
      </c>
      <c r="U200" t="n">
        <v>338.23</v>
      </c>
      <c r="V200" t="n">
        <v>363.459</v>
      </c>
      <c r="W200" t="n">
        <v>328.943</v>
      </c>
      <c r="X200" t="n">
        <v>330.175</v>
      </c>
      <c r="Y200" t="n">
        <v>395.189</v>
      </c>
      <c r="Z200" t="n">
        <v>353.831</v>
      </c>
      <c r="AA200" t="n">
        <v>338.675</v>
      </c>
      <c r="AB200" t="n">
        <v>355.882</v>
      </c>
      <c r="AC200" t="n">
        <v>371.274</v>
      </c>
      <c r="AD200" t="n">
        <v>318.456</v>
      </c>
      <c r="AE200" t="n">
        <v>364.477</v>
      </c>
      <c r="AF200" t="n">
        <v>378.118</v>
      </c>
      <c r="AG200" t="n">
        <v>426.602</v>
      </c>
      <c r="AH200" t="n">
        <v>436.372</v>
      </c>
      <c r="AI200" t="n">
        <v>623.582</v>
      </c>
      <c r="AJ200" t="n">
        <v>724.276</v>
      </c>
      <c r="AK200" t="n">
        <v>627.967</v>
      </c>
      <c r="AL200" t="n">
        <v>670.857</v>
      </c>
      <c r="AM200" t="n">
        <v>682.577</v>
      </c>
      <c r="AN200" t="n">
        <v>840.636</v>
      </c>
      <c r="AO200" t="n">
        <v>800</v>
      </c>
      <c r="AP200" t="n">
        <v>754.704</v>
      </c>
      <c r="AQ200" t="n">
        <v>831.508</v>
      </c>
      <c r="AR200" t="n">
        <v>782.751</v>
      </c>
      <c r="AS200" t="n">
        <v>581.3920000000001</v>
      </c>
      <c r="AT200" t="n">
        <v>112.202</v>
      </c>
      <c r="AU200" t="n">
        <v>116.055</v>
      </c>
      <c r="AV200" t="n">
        <v>128.52</v>
      </c>
      <c r="AW200" t="n">
        <v>141.109</v>
      </c>
      <c r="AX200" t="n">
        <v>325.567</v>
      </c>
      <c r="AY200" t="n">
        <v>635.827</v>
      </c>
      <c r="AZ200" t="n">
        <v>1574.546</v>
      </c>
      <c r="BA200" t="n">
        <v>1411.597</v>
      </c>
      <c r="BB200" t="n">
        <v>1619.805</v>
      </c>
      <c r="BC200" t="n">
        <v>1452.941</v>
      </c>
      <c r="BD200" t="n">
        <v>1496.25</v>
      </c>
      <c r="BE200" t="n">
        <v>2275.971</v>
      </c>
      <c r="BF200" t="n">
        <v>2306.235</v>
      </c>
      <c r="BG200" t="n">
        <v>2431.293</v>
      </c>
      <c r="BH200" t="n">
        <v>2428.533</v>
      </c>
      <c r="BI200" t="n">
        <v>2522.767</v>
      </c>
      <c r="BJ200" t="n">
        <v>2406.355</v>
      </c>
      <c r="BK200" t="n">
        <v>2354.452</v>
      </c>
      <c r="BL200" t="n">
        <v>2286.724</v>
      </c>
      <c r="BM200" t="n">
        <v>2414.268</v>
      </c>
      <c r="BN200" t="n">
        <v>2207.718</v>
      </c>
      <c r="BO200" t="n">
        <v>2484.285</v>
      </c>
      <c r="BP200" t="n">
        <v>2581.789</v>
      </c>
      <c r="BQ200" t="n">
        <v>2364.369</v>
      </c>
      <c r="BR200" t="n">
        <v>2435.739</v>
      </c>
      <c r="BS200" t="n">
        <v>2519.389</v>
      </c>
      <c r="BT200" t="n">
        <v>2333.836</v>
      </c>
      <c r="BU200" t="n">
        <v>2167.263</v>
      </c>
      <c r="BV200" t="n">
        <v>2029.739</v>
      </c>
    </row>
    <row r="201">
      <c r="A201" t="inlineStr">
        <is>
          <t>Metapenaeus joyneri</t>
        </is>
      </c>
      <c r="B201" t="inlineStr">
        <is>
          <t>Shiba shrimp</t>
        </is>
      </c>
      <c r="C201" t="inlineStr">
        <is>
          <t>Shrimps</t>
        </is>
      </c>
      <c r="D201" t="inlineStr">
        <is>
          <t>Crustaceans</t>
        </is>
      </c>
      <c r="E201" t="n">
        <v>56.028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26.877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8.853999999999999</v>
      </c>
      <c r="V201" t="n">
        <v>25.365</v>
      </c>
      <c r="W201" t="n">
        <v>27.512</v>
      </c>
      <c r="X201" t="n">
        <v>83.289</v>
      </c>
      <c r="Y201" t="n">
        <v>380.091</v>
      </c>
      <c r="Z201" t="n">
        <v>876.027</v>
      </c>
      <c r="AA201" t="n">
        <v>756.908</v>
      </c>
      <c r="AB201" t="n">
        <v>847.496</v>
      </c>
      <c r="AC201" t="n">
        <v>1862.397</v>
      </c>
      <c r="AD201" t="n">
        <v>1157.027</v>
      </c>
      <c r="AE201" t="n">
        <v>1316.144</v>
      </c>
      <c r="AF201" t="n">
        <v>1150.19</v>
      </c>
      <c r="AG201" t="n">
        <v>1106.812</v>
      </c>
      <c r="AH201" t="n">
        <v>1492.045</v>
      </c>
      <c r="AI201" t="n">
        <v>959.739</v>
      </c>
      <c r="AJ201" t="n">
        <v>611.3869999999999</v>
      </c>
      <c r="AK201" t="n">
        <v>491.908</v>
      </c>
      <c r="AL201" t="n">
        <v>570.165</v>
      </c>
      <c r="AM201" t="n">
        <v>948.7670000000001</v>
      </c>
      <c r="AN201" t="n">
        <v>937.593</v>
      </c>
      <c r="AO201" t="n">
        <v>1226.191</v>
      </c>
      <c r="AP201" t="n">
        <v>1364.286</v>
      </c>
      <c r="AQ201" t="n">
        <v>1057.139</v>
      </c>
      <c r="AR201" t="n">
        <v>1358.919</v>
      </c>
      <c r="AS201" t="n">
        <v>1940.288</v>
      </c>
      <c r="AT201" t="n">
        <v>5073.593</v>
      </c>
      <c r="AU201" t="n">
        <v>5954.079</v>
      </c>
      <c r="AV201" t="n">
        <v>2461.657</v>
      </c>
      <c r="AW201" t="n">
        <v>4066.005</v>
      </c>
      <c r="AX201" t="n">
        <v>1789.993</v>
      </c>
      <c r="AY201" t="n">
        <v>2389.867</v>
      </c>
      <c r="AZ201" t="n">
        <v>1900.935</v>
      </c>
      <c r="BA201" t="n">
        <v>4122.848</v>
      </c>
      <c r="BB201" t="n">
        <v>2925.514</v>
      </c>
      <c r="BC201" t="n">
        <v>1907.528</v>
      </c>
      <c r="BD201" t="n">
        <v>1755.483</v>
      </c>
      <c r="BE201" t="n">
        <v>1234.077</v>
      </c>
      <c r="BF201" t="n">
        <v>150.106</v>
      </c>
      <c r="BG201" t="n">
        <v>183.348</v>
      </c>
      <c r="BH201" t="n">
        <v>371.463</v>
      </c>
      <c r="BI201" t="n">
        <v>395.676</v>
      </c>
      <c r="BJ201" t="n">
        <v>377.803</v>
      </c>
      <c r="BK201" t="n">
        <v>622.058</v>
      </c>
      <c r="BL201" t="n">
        <v>511.315</v>
      </c>
      <c r="BM201" t="n">
        <v>347.72</v>
      </c>
      <c r="BN201" t="n">
        <v>599.803</v>
      </c>
      <c r="BO201" t="n">
        <v>769.287</v>
      </c>
      <c r="BP201" t="n">
        <v>692.052</v>
      </c>
      <c r="BQ201" t="n">
        <v>746.308</v>
      </c>
      <c r="BR201" t="n">
        <v>593.772</v>
      </c>
      <c r="BS201" t="n">
        <v>790.542</v>
      </c>
      <c r="BT201" t="n">
        <v>746.5309999999999</v>
      </c>
      <c r="BU201" t="n">
        <v>758.758</v>
      </c>
      <c r="BV201" t="n">
        <v>708.6950000000001</v>
      </c>
    </row>
    <row r="202">
      <c r="A202" t="inlineStr">
        <is>
          <t>Gadiformes</t>
        </is>
      </c>
      <c r="B202" t="inlineStr">
        <is>
          <t>Cods</t>
        </is>
      </c>
      <c r="C202" t="inlineStr">
        <is>
          <t>Medium benthopelagics (30 - 89 cm)</t>
        </is>
      </c>
      <c r="D202" t="inlineStr">
        <is>
          <t>Cod-likes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249.67</v>
      </c>
      <c r="N202" t="n">
        <v>0</v>
      </c>
      <c r="O202" t="n">
        <v>0</v>
      </c>
      <c r="P202" t="n">
        <v>0</v>
      </c>
      <c r="Q202" t="n">
        <v>70.98399999999999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101.294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106.518</v>
      </c>
      <c r="AO202" t="n">
        <v>0</v>
      </c>
      <c r="AP202" t="n">
        <v>0</v>
      </c>
      <c r="AQ202" t="n">
        <v>0</v>
      </c>
      <c r="AR202" t="n">
        <v>72.812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745.832</v>
      </c>
      <c r="BC202" t="n">
        <v>7</v>
      </c>
      <c r="BD202" t="n">
        <v>0.026</v>
      </c>
      <c r="BE202" t="n">
        <v>0.026</v>
      </c>
      <c r="BF202" t="n">
        <v>16883.214</v>
      </c>
      <c r="BG202" t="n">
        <v>14164.535</v>
      </c>
      <c r="BH202" t="n">
        <v>6768.451</v>
      </c>
      <c r="BI202" t="n">
        <v>11037.538</v>
      </c>
      <c r="BJ202" t="n">
        <v>14021.928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34.638</v>
      </c>
      <c r="BU202" t="n">
        <v>0</v>
      </c>
      <c r="BV202" t="n">
        <v>0</v>
      </c>
    </row>
    <row r="203">
      <c r="A203" t="inlineStr">
        <is>
          <t>Cynoglossus</t>
        </is>
      </c>
      <c r="B203" t="inlineStr">
        <is>
          <t>Tonguesoles</t>
        </is>
      </c>
      <c r="C203" t="inlineStr">
        <is>
          <t>Small to medium flatfishes (&lt;90 cm)</t>
        </is>
      </c>
      <c r="D203" t="inlineStr">
        <is>
          <t>Flatfishes</t>
        </is>
      </c>
      <c r="E203" t="n">
        <v>18.403</v>
      </c>
      <c r="F203" t="n">
        <v>18.403</v>
      </c>
      <c r="G203" t="n">
        <v>23.962</v>
      </c>
      <c r="H203" t="n">
        <v>21.346</v>
      </c>
      <c r="I203" t="n">
        <v>18.403</v>
      </c>
      <c r="J203" t="n">
        <v>18.403</v>
      </c>
      <c r="K203" t="n">
        <v>18.403</v>
      </c>
      <c r="L203" t="n">
        <v>17.586</v>
      </c>
      <c r="M203" t="n">
        <v>18.894</v>
      </c>
      <c r="N203" t="n">
        <v>18.502</v>
      </c>
      <c r="O203" t="n">
        <v>24.388</v>
      </c>
      <c r="P203" t="n">
        <v>29.947</v>
      </c>
      <c r="Q203" t="n">
        <v>30.928</v>
      </c>
      <c r="R203" t="n">
        <v>47.606</v>
      </c>
      <c r="S203" t="n">
        <v>44.172</v>
      </c>
      <c r="T203" t="n">
        <v>60.114</v>
      </c>
      <c r="U203" t="n">
        <v>81.91200000000001</v>
      </c>
      <c r="V203" t="n">
        <v>94.09399999999999</v>
      </c>
      <c r="W203" t="n">
        <v>143.496</v>
      </c>
      <c r="X203" t="n">
        <v>147.241</v>
      </c>
      <c r="Y203" t="n">
        <v>296.11</v>
      </c>
      <c r="Z203" t="n">
        <v>344.817</v>
      </c>
      <c r="AA203" t="n">
        <v>569.773</v>
      </c>
      <c r="AB203" t="n">
        <v>762.633</v>
      </c>
      <c r="AC203" t="n">
        <v>897.811</v>
      </c>
      <c r="AD203" t="n">
        <v>2833.19</v>
      </c>
      <c r="AE203" t="n">
        <v>3607.056</v>
      </c>
      <c r="AF203" t="n">
        <v>4164.05</v>
      </c>
      <c r="AG203" t="n">
        <v>2172.293</v>
      </c>
      <c r="AH203" t="n">
        <v>2373.606</v>
      </c>
      <c r="AI203" t="n">
        <v>394.707</v>
      </c>
      <c r="AJ203" t="n">
        <v>451.124</v>
      </c>
      <c r="AK203" t="n">
        <v>361.439</v>
      </c>
      <c r="AL203" t="n">
        <v>339.642</v>
      </c>
      <c r="AM203" t="n">
        <v>300.874</v>
      </c>
      <c r="AN203" t="n">
        <v>1356.297</v>
      </c>
      <c r="AO203" t="n">
        <v>1259.674</v>
      </c>
      <c r="AP203" t="n">
        <v>1493.436</v>
      </c>
      <c r="AQ203" t="n">
        <v>1726.258</v>
      </c>
      <c r="AR203" t="n">
        <v>1987.245</v>
      </c>
      <c r="AS203" t="n">
        <v>841.968</v>
      </c>
      <c r="AT203" t="n">
        <v>798.967</v>
      </c>
      <c r="AU203" t="n">
        <v>730.075</v>
      </c>
      <c r="AV203" t="n">
        <v>811.287</v>
      </c>
      <c r="AW203" t="n">
        <v>916.799</v>
      </c>
      <c r="AX203" t="n">
        <v>1237.555</v>
      </c>
      <c r="AY203" t="n">
        <v>1168.078</v>
      </c>
      <c r="AZ203" t="n">
        <v>1181.881</v>
      </c>
      <c r="BA203" t="n">
        <v>1128.193</v>
      </c>
      <c r="BB203" t="n">
        <v>1318.647</v>
      </c>
      <c r="BC203" t="n">
        <v>1267.135</v>
      </c>
      <c r="BD203" t="n">
        <v>1408.234</v>
      </c>
      <c r="BE203" t="n">
        <v>1539.483</v>
      </c>
      <c r="BF203" t="n">
        <v>1637.448</v>
      </c>
      <c r="BG203" t="n">
        <v>1514.369</v>
      </c>
      <c r="BH203" t="n">
        <v>1244.849</v>
      </c>
      <c r="BI203" t="n">
        <v>1000.774</v>
      </c>
      <c r="BJ203" t="n">
        <v>1053.635</v>
      </c>
      <c r="BK203" t="n">
        <v>912.645</v>
      </c>
      <c r="BL203" t="n">
        <v>1134.249</v>
      </c>
      <c r="BM203" t="n">
        <v>1123.667</v>
      </c>
      <c r="BN203" t="n">
        <v>1094.888</v>
      </c>
      <c r="BO203" t="n">
        <v>1232.611</v>
      </c>
      <c r="BP203" t="n">
        <v>1282.149</v>
      </c>
      <c r="BQ203" t="n">
        <v>1175.736</v>
      </c>
      <c r="BR203" t="n">
        <v>1210.298</v>
      </c>
      <c r="BS203" t="n">
        <v>1254.749</v>
      </c>
      <c r="BT203" t="n">
        <v>1164.547</v>
      </c>
      <c r="BU203" t="n">
        <v>1097.9</v>
      </c>
      <c r="BV203" t="n">
        <v>1029.484</v>
      </c>
    </row>
    <row r="204">
      <c r="A204" t="inlineStr">
        <is>
          <t>Gerreidae</t>
        </is>
      </c>
      <c r="B204" t="inlineStr">
        <is>
          <t>Mojarras, silverbellies</t>
        </is>
      </c>
      <c r="C204" t="inlineStr">
        <is>
          <t>Small benthopelagics (&lt;30 cm)</t>
        </is>
      </c>
      <c r="D204" t="inlineStr">
        <is>
          <t>Perch-likes</t>
        </is>
      </c>
      <c r="E204" t="n">
        <v>104.037</v>
      </c>
      <c r="F204" t="n">
        <v>125.707</v>
      </c>
      <c r="G204" t="n">
        <v>131.563</v>
      </c>
      <c r="H204" t="n">
        <v>128.642</v>
      </c>
      <c r="I204" t="n">
        <v>157.287</v>
      </c>
      <c r="J204" t="n">
        <v>166.956</v>
      </c>
      <c r="K204" t="n">
        <v>181.58</v>
      </c>
      <c r="L204" t="n">
        <v>177.365</v>
      </c>
      <c r="M204" t="n">
        <v>188.097</v>
      </c>
      <c r="N204" t="n">
        <v>194.363</v>
      </c>
      <c r="O204" t="n">
        <v>219.099</v>
      </c>
      <c r="P204" t="n">
        <v>208.609</v>
      </c>
      <c r="Q204" t="n">
        <v>227.965</v>
      </c>
      <c r="R204" t="n">
        <v>320.483</v>
      </c>
      <c r="S204" t="n">
        <v>296.684</v>
      </c>
      <c r="T204" t="n">
        <v>344.834</v>
      </c>
      <c r="U204" t="n">
        <v>374.464</v>
      </c>
      <c r="V204" t="n">
        <v>415.64</v>
      </c>
      <c r="W204" t="n">
        <v>494.151</v>
      </c>
      <c r="X204" t="n">
        <v>482.973</v>
      </c>
      <c r="Y204" t="n">
        <v>562.104</v>
      </c>
      <c r="Z204" t="n">
        <v>586.745</v>
      </c>
      <c r="AA204" t="n">
        <v>1938.401</v>
      </c>
      <c r="AB204" t="n">
        <v>765.567</v>
      </c>
      <c r="AC204" t="n">
        <v>795.149</v>
      </c>
      <c r="AD204" t="n">
        <v>850.984</v>
      </c>
      <c r="AE204" t="n">
        <v>851.434</v>
      </c>
      <c r="AF204" t="n">
        <v>918.699</v>
      </c>
      <c r="AG204" t="n">
        <v>870.4160000000001</v>
      </c>
      <c r="AH204" t="n">
        <v>921.924</v>
      </c>
      <c r="AI204" t="n">
        <v>820.808</v>
      </c>
      <c r="AJ204" t="n">
        <v>706.043</v>
      </c>
      <c r="AK204" t="n">
        <v>1014.465</v>
      </c>
      <c r="AL204" t="n">
        <v>1140.341</v>
      </c>
      <c r="AM204" t="n">
        <v>1082.723</v>
      </c>
      <c r="AN204" t="n">
        <v>1068.817</v>
      </c>
      <c r="AO204" t="n">
        <v>1128.152</v>
      </c>
      <c r="AP204" t="n">
        <v>1180.936</v>
      </c>
      <c r="AQ204" t="n">
        <v>1108.086</v>
      </c>
      <c r="AR204" t="n">
        <v>1408.084</v>
      </c>
      <c r="AS204" t="n">
        <v>1288.014</v>
      </c>
      <c r="AT204" t="n">
        <v>1298.301</v>
      </c>
      <c r="AU204" t="n">
        <v>934.6660000000001</v>
      </c>
      <c r="AV204" t="n">
        <v>1208.431</v>
      </c>
      <c r="AW204" t="n">
        <v>1358.666</v>
      </c>
      <c r="AX204" t="n">
        <v>1318.052</v>
      </c>
      <c r="AY204" t="n">
        <v>1214.161</v>
      </c>
      <c r="AZ204" t="n">
        <v>1031.366</v>
      </c>
      <c r="BA204" t="n">
        <v>1167.521</v>
      </c>
      <c r="BB204" t="n">
        <v>1236.339</v>
      </c>
      <c r="BC204" t="n">
        <v>1328.063</v>
      </c>
      <c r="BD204" t="n">
        <v>1433.205</v>
      </c>
      <c r="BE204" t="n">
        <v>1296.702</v>
      </c>
      <c r="BF204" t="n">
        <v>1347.329</v>
      </c>
      <c r="BG204" t="n">
        <v>1237.142</v>
      </c>
      <c r="BH204" t="n">
        <v>1292.263</v>
      </c>
      <c r="BI204" t="n">
        <v>1092.639</v>
      </c>
      <c r="BJ204" t="n">
        <v>1250.584</v>
      </c>
      <c r="BK204" t="n">
        <v>1120.284</v>
      </c>
      <c r="BL204" t="n">
        <v>1107.929</v>
      </c>
      <c r="BM204" t="n">
        <v>1161.835</v>
      </c>
      <c r="BN204" t="n">
        <v>1305.626</v>
      </c>
      <c r="BO204" t="n">
        <v>1306.969</v>
      </c>
      <c r="BP204" t="n">
        <v>1289.468</v>
      </c>
      <c r="BQ204" t="n">
        <v>1176.994</v>
      </c>
      <c r="BR204" t="n">
        <v>1165.913</v>
      </c>
      <c r="BS204" t="n">
        <v>1232.081</v>
      </c>
      <c r="BT204" t="n">
        <v>1147.521</v>
      </c>
      <c r="BU204" t="n">
        <v>1082.762</v>
      </c>
      <c r="BV204" t="n">
        <v>1115.183</v>
      </c>
    </row>
    <row r="205">
      <c r="A205" t="inlineStr">
        <is>
          <t>Panulirus longipes</t>
        </is>
      </c>
      <c r="B205" t="inlineStr">
        <is>
          <t>Longlegged spiny lobster</t>
        </is>
      </c>
      <c r="C205" t="inlineStr">
        <is>
          <t>Lobsters, crabs</t>
        </is>
      </c>
      <c r="D205" t="inlineStr">
        <is>
          <t>Crustaceans</t>
        </is>
      </c>
      <c r="E205" t="n">
        <v>19.541</v>
      </c>
      <c r="F205" t="n">
        <v>9.843999999999999</v>
      </c>
      <c r="G205" t="n">
        <v>747.104</v>
      </c>
      <c r="H205" t="n">
        <v>704.353</v>
      </c>
      <c r="I205" t="n">
        <v>560.877</v>
      </c>
      <c r="J205" t="n">
        <v>462.329</v>
      </c>
      <c r="K205" t="n">
        <v>12.332</v>
      </c>
      <c r="L205" t="n">
        <v>8.221</v>
      </c>
      <c r="M205" t="n">
        <v>406.885</v>
      </c>
      <c r="N205" t="n">
        <v>386.589</v>
      </c>
      <c r="O205" t="n">
        <v>14.631</v>
      </c>
      <c r="P205" t="n">
        <v>327.663</v>
      </c>
      <c r="Q205" t="n">
        <v>332.001</v>
      </c>
      <c r="R205" t="n">
        <v>310.766</v>
      </c>
      <c r="S205" t="n">
        <v>293.518</v>
      </c>
      <c r="T205" t="n">
        <v>347.294</v>
      </c>
      <c r="U205" t="n">
        <v>337.985</v>
      </c>
      <c r="V205" t="n">
        <v>406.168</v>
      </c>
      <c r="W205" t="n">
        <v>438.084</v>
      </c>
      <c r="X205" t="n">
        <v>424.675</v>
      </c>
      <c r="Y205" t="n">
        <v>482.572</v>
      </c>
      <c r="Z205" t="n">
        <v>633.761</v>
      </c>
      <c r="AA205" t="n">
        <v>450.642</v>
      </c>
      <c r="AB205" t="n">
        <v>470.961</v>
      </c>
      <c r="AC205" t="n">
        <v>616.64</v>
      </c>
      <c r="AD205" t="n">
        <v>570.3150000000001</v>
      </c>
      <c r="AE205" t="n">
        <v>747.924</v>
      </c>
      <c r="AF205" t="n">
        <v>855.795</v>
      </c>
      <c r="AG205" t="n">
        <v>428.28</v>
      </c>
      <c r="AH205" t="n">
        <v>364.833</v>
      </c>
      <c r="AI205" t="n">
        <v>411.028</v>
      </c>
      <c r="AJ205" t="n">
        <v>508.338</v>
      </c>
      <c r="AK205" t="n">
        <v>453.399</v>
      </c>
      <c r="AL205" t="n">
        <v>866.487</v>
      </c>
      <c r="AM205" t="n">
        <v>936.4</v>
      </c>
      <c r="AN205" t="n">
        <v>1051.845</v>
      </c>
      <c r="AO205" t="n">
        <v>1308.446</v>
      </c>
      <c r="AP205" t="n">
        <v>1218.914</v>
      </c>
      <c r="AQ205" t="n">
        <v>1034.328</v>
      </c>
      <c r="AR205" t="n">
        <v>958.794</v>
      </c>
      <c r="AS205" t="n">
        <v>1387.962</v>
      </c>
      <c r="AT205" t="n">
        <v>610.202</v>
      </c>
      <c r="AU205" t="n">
        <v>1468.678</v>
      </c>
      <c r="AV205" t="n">
        <v>7453.969</v>
      </c>
      <c r="AW205" t="n">
        <v>506.625</v>
      </c>
      <c r="AX205" t="n">
        <v>10137.701</v>
      </c>
      <c r="AY205" t="n">
        <v>487.821</v>
      </c>
      <c r="AZ205" t="n">
        <v>503.953</v>
      </c>
      <c r="BA205" t="n">
        <v>506.15</v>
      </c>
      <c r="BB205" t="n">
        <v>565.629</v>
      </c>
      <c r="BC205" t="n">
        <v>967.182</v>
      </c>
      <c r="BD205" t="n">
        <v>981.212</v>
      </c>
      <c r="BE205" t="n">
        <v>941.736</v>
      </c>
      <c r="BF205" t="n">
        <v>1103.629</v>
      </c>
      <c r="BG205" t="n">
        <v>936.5</v>
      </c>
      <c r="BH205" t="n">
        <v>682.023</v>
      </c>
      <c r="BI205" t="n">
        <v>655.475</v>
      </c>
      <c r="BJ205" t="n">
        <v>567.197</v>
      </c>
      <c r="BK205" t="n">
        <v>488.9</v>
      </c>
      <c r="BL205" t="n">
        <v>901.957</v>
      </c>
      <c r="BM205" t="n">
        <v>947.869</v>
      </c>
      <c r="BN205" t="n">
        <v>1045.671</v>
      </c>
      <c r="BO205" t="n">
        <v>1187.244</v>
      </c>
      <c r="BP205" t="n">
        <v>733.205</v>
      </c>
      <c r="BQ205" t="n">
        <v>766.091</v>
      </c>
      <c r="BR205" t="n">
        <v>643.245</v>
      </c>
      <c r="BS205" t="n">
        <v>806.425</v>
      </c>
      <c r="BT205" t="n">
        <v>767.562</v>
      </c>
      <c r="BU205" t="n">
        <v>763.287</v>
      </c>
      <c r="BV205" t="n">
        <v>722.765</v>
      </c>
    </row>
    <row r="206">
      <c r="A206" t="inlineStr">
        <is>
          <t>Epinephelus maculatus</t>
        </is>
      </c>
      <c r="B206" t="inlineStr">
        <is>
          <t>Highfin grouper</t>
        </is>
      </c>
      <c r="C206" t="inlineStr">
        <is>
          <t>Medium reef assoc. fish (30 - 89 cm)</t>
        </is>
      </c>
      <c r="D206" t="inlineStr">
        <is>
          <t>Perch-likes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440.518</v>
      </c>
      <c r="AO206" t="n">
        <v>700.024</v>
      </c>
      <c r="AP206" t="n">
        <v>885.4829999999999</v>
      </c>
      <c r="AQ206" t="n">
        <v>1030.42</v>
      </c>
      <c r="AR206" t="n">
        <v>1149.73</v>
      </c>
      <c r="AS206" t="n">
        <v>1251.448</v>
      </c>
      <c r="AT206" t="n">
        <v>1335.772</v>
      </c>
      <c r="AU206" t="n">
        <v>1410.172</v>
      </c>
      <c r="AV206" t="n">
        <v>1476.747</v>
      </c>
      <c r="AW206" t="n">
        <v>1536.982</v>
      </c>
      <c r="AX206" t="n">
        <v>1591.989</v>
      </c>
      <c r="AY206" t="n">
        <v>1642.595</v>
      </c>
      <c r="AZ206" t="n">
        <v>1689.528</v>
      </c>
      <c r="BA206" t="n">
        <v>1733.201</v>
      </c>
      <c r="BB206" t="n">
        <v>1774.041</v>
      </c>
      <c r="BC206" t="n">
        <v>1812.443</v>
      </c>
      <c r="BD206" t="n">
        <v>1848.592</v>
      </c>
      <c r="BE206" t="n">
        <v>1882.745</v>
      </c>
      <c r="BF206" t="n">
        <v>1915.151</v>
      </c>
      <c r="BG206" t="n">
        <v>1945.982</v>
      </c>
      <c r="BH206" t="n">
        <v>1975.383</v>
      </c>
      <c r="BI206" t="n">
        <v>2003.575</v>
      </c>
      <c r="BJ206" t="n">
        <v>2030.575</v>
      </c>
      <c r="BK206" t="n">
        <v>2056.482</v>
      </c>
      <c r="BL206" t="n">
        <v>2081.38</v>
      </c>
      <c r="BM206" t="n">
        <v>2105.288</v>
      </c>
      <c r="BN206" t="n">
        <v>2127.791</v>
      </c>
      <c r="BO206" t="n">
        <v>2150</v>
      </c>
      <c r="BP206" t="n">
        <v>2171.416</v>
      </c>
      <c r="BQ206" t="n">
        <v>2192.135</v>
      </c>
      <c r="BR206" t="n">
        <v>2192.273</v>
      </c>
      <c r="BS206" t="n">
        <v>2192.313</v>
      </c>
      <c r="BT206" t="n">
        <v>2192.336</v>
      </c>
      <c r="BU206" t="n">
        <v>2165.761</v>
      </c>
      <c r="BV206" t="n">
        <v>2192.336</v>
      </c>
    </row>
    <row r="207">
      <c r="A207" t="inlineStr">
        <is>
          <t>Pagrus major</t>
        </is>
      </c>
      <c r="B207" t="inlineStr">
        <is>
          <t>Japanese seabream</t>
        </is>
      </c>
      <c r="C207" t="inlineStr">
        <is>
          <t>Large demersals (&gt;=90 cm)</t>
        </is>
      </c>
      <c r="D207" t="inlineStr">
        <is>
          <t>Perch-likes</t>
        </is>
      </c>
      <c r="E207" t="n">
        <v>27.466</v>
      </c>
      <c r="F207" t="n">
        <v>33.715</v>
      </c>
      <c r="G207" t="n">
        <v>39.657</v>
      </c>
      <c r="H207" t="n">
        <v>42.59</v>
      </c>
      <c r="I207" t="n">
        <v>43.55</v>
      </c>
      <c r="J207" t="n">
        <v>53.048</v>
      </c>
      <c r="K207" t="n">
        <v>61.568</v>
      </c>
      <c r="L207" t="n">
        <v>67.518</v>
      </c>
      <c r="M207" t="n">
        <v>74.67100000000001</v>
      </c>
      <c r="N207" t="n">
        <v>84.496</v>
      </c>
      <c r="O207" t="n">
        <v>90.767</v>
      </c>
      <c r="P207" t="n">
        <v>107.7</v>
      </c>
      <c r="Q207" t="n">
        <v>118.024</v>
      </c>
      <c r="R207" t="n">
        <v>127.077</v>
      </c>
      <c r="S207" t="n">
        <v>142.356</v>
      </c>
      <c r="T207" t="n">
        <v>155.783</v>
      </c>
      <c r="U207" t="n">
        <v>173.1</v>
      </c>
      <c r="V207" t="n">
        <v>191.214</v>
      </c>
      <c r="W207" t="n">
        <v>219.285</v>
      </c>
      <c r="X207" t="n">
        <v>244.386</v>
      </c>
      <c r="Y207" t="n">
        <v>256.485</v>
      </c>
      <c r="Z207" t="n">
        <v>281.542</v>
      </c>
      <c r="AA207" t="n">
        <v>282.043</v>
      </c>
      <c r="AB207" t="n">
        <v>297.467</v>
      </c>
      <c r="AC207" t="n">
        <v>297.242</v>
      </c>
      <c r="AD207" t="n">
        <v>328.106</v>
      </c>
      <c r="AE207" t="n">
        <v>303.672</v>
      </c>
      <c r="AF207" t="n">
        <v>317.951</v>
      </c>
      <c r="AG207" t="n">
        <v>327.172</v>
      </c>
      <c r="AH207" t="n">
        <v>344.392</v>
      </c>
      <c r="AI207" t="n">
        <v>343.796</v>
      </c>
      <c r="AJ207" t="n">
        <v>304.307</v>
      </c>
      <c r="AK207" t="n">
        <v>295.706</v>
      </c>
      <c r="AL207" t="n">
        <v>297.389</v>
      </c>
      <c r="AM207" t="n">
        <v>297.859</v>
      </c>
      <c r="AN207" t="n">
        <v>645.5549999999999</v>
      </c>
      <c r="AO207" t="n">
        <v>853.943</v>
      </c>
      <c r="AP207" t="n">
        <v>981.0119999999999</v>
      </c>
      <c r="AQ207" t="n">
        <v>1098.582</v>
      </c>
      <c r="AR207" t="n">
        <v>1168.443</v>
      </c>
      <c r="AS207" t="n">
        <v>1198.512</v>
      </c>
      <c r="AT207" t="n">
        <v>1244.297</v>
      </c>
      <c r="AU207" t="n">
        <v>1303.027</v>
      </c>
      <c r="AV207" t="n">
        <v>1337.391</v>
      </c>
      <c r="AW207" t="n">
        <v>1375.955</v>
      </c>
      <c r="AX207" t="n">
        <v>1448.557</v>
      </c>
      <c r="AY207" t="n">
        <v>1475.883</v>
      </c>
      <c r="AZ207" t="n">
        <v>1497.086</v>
      </c>
      <c r="BA207" t="n">
        <v>1496.168</v>
      </c>
      <c r="BB207" t="n">
        <v>1532.312</v>
      </c>
      <c r="BC207" t="n">
        <v>1642.698</v>
      </c>
      <c r="BD207" t="n">
        <v>1779.521</v>
      </c>
      <c r="BE207" t="n">
        <v>1815.164</v>
      </c>
      <c r="BF207" t="n">
        <v>1682.162</v>
      </c>
      <c r="BG207" t="n">
        <v>1770.413</v>
      </c>
      <c r="BH207" t="n">
        <v>1781.024</v>
      </c>
      <c r="BI207" t="n">
        <v>1717.873</v>
      </c>
      <c r="BJ207" t="n">
        <v>1644.715</v>
      </c>
      <c r="BK207" t="n">
        <v>1653.865</v>
      </c>
      <c r="BL207" t="n">
        <v>1664.224</v>
      </c>
      <c r="BM207" t="n">
        <v>1680.405</v>
      </c>
      <c r="BN207" t="n">
        <v>1700.241</v>
      </c>
      <c r="BO207" t="n">
        <v>1717.997</v>
      </c>
      <c r="BP207" t="n">
        <v>1764.096</v>
      </c>
      <c r="BQ207" t="n">
        <v>1785.853</v>
      </c>
      <c r="BR207" t="n">
        <v>1772.858</v>
      </c>
      <c r="BS207" t="n">
        <v>1813.326</v>
      </c>
      <c r="BT207" t="n">
        <v>1762.58</v>
      </c>
      <c r="BU207" t="n">
        <v>1754.331</v>
      </c>
      <c r="BV207" t="n">
        <v>1768.57</v>
      </c>
    </row>
    <row r="208">
      <c r="A208" t="inlineStr">
        <is>
          <t>Caesio</t>
        </is>
      </c>
      <c r="B208" t="inlineStr">
        <is>
          <t>Caesios</t>
        </is>
      </c>
      <c r="C208" t="inlineStr">
        <is>
          <t>Medium reef assoc. fish (30 - 89 cm)</t>
        </is>
      </c>
      <c r="D208" t="inlineStr">
        <is>
          <t>Perch-likes</t>
        </is>
      </c>
      <c r="E208" t="n">
        <v>113.205</v>
      </c>
      <c r="F208" t="n">
        <v>111.812</v>
      </c>
      <c r="G208" t="n">
        <v>116.432</v>
      </c>
      <c r="H208" t="n">
        <v>122.444</v>
      </c>
      <c r="I208" t="n">
        <v>127.119</v>
      </c>
      <c r="J208" t="n">
        <v>133.367</v>
      </c>
      <c r="K208" t="n">
        <v>139.497</v>
      </c>
      <c r="L208" t="n">
        <v>145.871</v>
      </c>
      <c r="M208" t="n">
        <v>154.543</v>
      </c>
      <c r="N208" t="n">
        <v>162.427</v>
      </c>
      <c r="O208" t="n">
        <v>173.169</v>
      </c>
      <c r="P208" t="n">
        <v>179.905</v>
      </c>
      <c r="Q208" t="n">
        <v>188.036</v>
      </c>
      <c r="R208" t="n">
        <v>197.228</v>
      </c>
      <c r="S208" t="n">
        <v>208.935</v>
      </c>
      <c r="T208" t="n">
        <v>315.755</v>
      </c>
      <c r="U208" t="n">
        <v>340.277</v>
      </c>
      <c r="V208" t="n">
        <v>413.097</v>
      </c>
      <c r="W208" t="n">
        <v>404.292</v>
      </c>
      <c r="X208" t="n">
        <v>389.679</v>
      </c>
      <c r="Y208" t="n">
        <v>384.483</v>
      </c>
      <c r="Z208" t="n">
        <v>392.724</v>
      </c>
      <c r="AA208" t="n">
        <v>391.164</v>
      </c>
      <c r="AB208" t="n">
        <v>400.179</v>
      </c>
      <c r="AC208" t="n">
        <v>423.97</v>
      </c>
      <c r="AD208" t="n">
        <v>421.091</v>
      </c>
      <c r="AE208" t="n">
        <v>437.348</v>
      </c>
      <c r="AF208" t="n">
        <v>469.152</v>
      </c>
      <c r="AG208" t="n">
        <v>479.033</v>
      </c>
      <c r="AH208" t="n">
        <v>470.067</v>
      </c>
      <c r="AI208" t="n">
        <v>579.467</v>
      </c>
      <c r="AJ208" t="n">
        <v>682.547</v>
      </c>
      <c r="AK208" t="n">
        <v>625.776</v>
      </c>
      <c r="AL208" t="n">
        <v>758.817</v>
      </c>
      <c r="AM208" t="n">
        <v>838.8049999999999</v>
      </c>
      <c r="AN208" t="n">
        <v>844.104</v>
      </c>
      <c r="AO208" t="n">
        <v>880.409</v>
      </c>
      <c r="AP208" t="n">
        <v>901.77</v>
      </c>
      <c r="AQ208" t="n">
        <v>957.364</v>
      </c>
      <c r="AR208" t="n">
        <v>902.822</v>
      </c>
      <c r="AS208" t="n">
        <v>961.448</v>
      </c>
      <c r="AT208" t="n">
        <v>2419.443</v>
      </c>
      <c r="AU208" t="n">
        <v>2766.567</v>
      </c>
      <c r="AV208" t="n">
        <v>3042.826</v>
      </c>
      <c r="AW208" t="n">
        <v>1957.989</v>
      </c>
      <c r="AX208" t="n">
        <v>2263.437</v>
      </c>
      <c r="AY208" t="n">
        <v>2198.634</v>
      </c>
      <c r="AZ208" t="n">
        <v>1504.12</v>
      </c>
      <c r="BA208" t="n">
        <v>1581.948</v>
      </c>
      <c r="BB208" t="n">
        <v>1706.106</v>
      </c>
      <c r="BC208" t="n">
        <v>1927.1</v>
      </c>
      <c r="BD208" t="n">
        <v>1880.489</v>
      </c>
      <c r="BE208" t="n">
        <v>1252.727</v>
      </c>
      <c r="BF208" t="n">
        <v>1253.618</v>
      </c>
      <c r="BG208" t="n">
        <v>1275.087</v>
      </c>
      <c r="BH208" t="n">
        <v>1023.03</v>
      </c>
      <c r="BI208" t="n">
        <v>991.986</v>
      </c>
      <c r="BJ208" t="n">
        <v>952.936</v>
      </c>
      <c r="BK208" t="n">
        <v>937.373</v>
      </c>
      <c r="BL208" t="n">
        <v>916.764</v>
      </c>
      <c r="BM208" t="n">
        <v>951.847</v>
      </c>
      <c r="BN208" t="n">
        <v>918.326</v>
      </c>
      <c r="BO208" t="n">
        <v>1033.41</v>
      </c>
      <c r="BP208" t="n">
        <v>1074.058</v>
      </c>
      <c r="BQ208" t="n">
        <v>983.727</v>
      </c>
      <c r="BR208" t="n">
        <v>1013.351</v>
      </c>
      <c r="BS208" t="n">
        <v>1048.371</v>
      </c>
      <c r="BT208" t="n">
        <v>971.326</v>
      </c>
      <c r="BU208" t="n">
        <v>911.581</v>
      </c>
      <c r="BV208" t="n">
        <v>853.881</v>
      </c>
    </row>
    <row r="209">
      <c r="A209" t="inlineStr">
        <is>
          <t>Penaeus monodon</t>
        </is>
      </c>
      <c r="B209" t="inlineStr">
        <is>
          <t>Giant tiger prawn</t>
        </is>
      </c>
      <c r="C209" t="inlineStr">
        <is>
          <t>Shrimps</t>
        </is>
      </c>
      <c r="D209" t="inlineStr">
        <is>
          <t>Crustaceans</t>
        </is>
      </c>
      <c r="E209" t="n">
        <v>29.453</v>
      </c>
      <c r="F209" t="n">
        <v>26.384</v>
      </c>
      <c r="G209" t="n">
        <v>36.069</v>
      </c>
      <c r="H209" t="n">
        <v>29.275</v>
      </c>
      <c r="I209" t="n">
        <v>42.155</v>
      </c>
      <c r="J209" t="n">
        <v>38.981</v>
      </c>
      <c r="K209" t="n">
        <v>128.954</v>
      </c>
      <c r="L209" t="n">
        <v>125.705</v>
      </c>
      <c r="M209" t="n">
        <v>114.637</v>
      </c>
      <c r="N209" t="n">
        <v>105.079</v>
      </c>
      <c r="O209" t="n">
        <v>118.035</v>
      </c>
      <c r="P209" t="n">
        <v>109.993</v>
      </c>
      <c r="Q209" t="n">
        <v>162.772</v>
      </c>
      <c r="R209" t="n">
        <v>174.439</v>
      </c>
      <c r="S209" t="n">
        <v>156.302</v>
      </c>
      <c r="T209" t="n">
        <v>161.898</v>
      </c>
      <c r="U209" t="n">
        <v>143.009</v>
      </c>
      <c r="V209" t="n">
        <v>176.077</v>
      </c>
      <c r="W209" t="n">
        <v>181.293</v>
      </c>
      <c r="X209" t="n">
        <v>157.38</v>
      </c>
      <c r="Y209" t="n">
        <v>131.701</v>
      </c>
      <c r="Z209" t="n">
        <v>138.799</v>
      </c>
      <c r="AA209" t="n">
        <v>184.966</v>
      </c>
      <c r="AB209" t="n">
        <v>238.513</v>
      </c>
      <c r="AC209" t="n">
        <v>300.049</v>
      </c>
      <c r="AD209" t="n">
        <v>372.756</v>
      </c>
      <c r="AE209" t="n">
        <v>1144.989</v>
      </c>
      <c r="AF209" t="n">
        <v>830.934</v>
      </c>
      <c r="AG209" t="n">
        <v>1014.117</v>
      </c>
      <c r="AH209" t="n">
        <v>561.914</v>
      </c>
      <c r="AI209" t="n">
        <v>1008.471</v>
      </c>
      <c r="AJ209" t="n">
        <v>611.3200000000001</v>
      </c>
      <c r="AK209" t="n">
        <v>1311.977</v>
      </c>
      <c r="AL209" t="n">
        <v>1631.967</v>
      </c>
      <c r="AM209" t="n">
        <v>1974.724</v>
      </c>
      <c r="AN209" t="n">
        <v>2255.588</v>
      </c>
      <c r="AO209" t="n">
        <v>2890.416</v>
      </c>
      <c r="AP209" t="n">
        <v>3403.984</v>
      </c>
      <c r="AQ209" t="n">
        <v>1936.051</v>
      </c>
      <c r="AR209" t="n">
        <v>1197.778</v>
      </c>
      <c r="AS209" t="n">
        <v>1481.027</v>
      </c>
      <c r="AT209" t="n">
        <v>746.34</v>
      </c>
      <c r="AU209" t="n">
        <v>899.193</v>
      </c>
      <c r="AV209" t="n">
        <v>413.504</v>
      </c>
      <c r="AW209" t="n">
        <v>538.605</v>
      </c>
      <c r="AX209" t="n">
        <v>513.622</v>
      </c>
      <c r="AY209" t="n">
        <v>687.985</v>
      </c>
      <c r="AZ209" t="n">
        <v>809.472</v>
      </c>
      <c r="BA209" t="n">
        <v>764.318</v>
      </c>
      <c r="BB209" t="n">
        <v>1102.811</v>
      </c>
      <c r="BC209" t="n">
        <v>1003.229</v>
      </c>
      <c r="BD209" t="n">
        <v>1028.676</v>
      </c>
      <c r="BE209" t="n">
        <v>1163.544</v>
      </c>
      <c r="BF209" t="n">
        <v>1094.423</v>
      </c>
      <c r="BG209" t="n">
        <v>1362.868</v>
      </c>
      <c r="BH209" t="n">
        <v>1973.546</v>
      </c>
      <c r="BI209" t="n">
        <v>1994.353</v>
      </c>
      <c r="BJ209" t="n">
        <v>1968.144</v>
      </c>
      <c r="BK209" t="n">
        <v>1891.288</v>
      </c>
      <c r="BL209" t="n">
        <v>960.092</v>
      </c>
      <c r="BM209" t="n">
        <v>858.1079999999999</v>
      </c>
      <c r="BN209" t="n">
        <v>844.947</v>
      </c>
      <c r="BO209" t="n">
        <v>918.615</v>
      </c>
      <c r="BP209" t="n">
        <v>923.3920000000001</v>
      </c>
      <c r="BQ209" t="n">
        <v>867.817</v>
      </c>
      <c r="BR209" t="n">
        <v>876.657</v>
      </c>
      <c r="BS209" t="n">
        <v>906.871</v>
      </c>
      <c r="BT209" t="n">
        <v>841.234</v>
      </c>
      <c r="BU209" t="n">
        <v>712.64</v>
      </c>
      <c r="BV209" t="n">
        <v>684.669</v>
      </c>
    </row>
    <row r="210">
      <c r="A210" t="inlineStr">
        <is>
          <t>Carcharhinidae</t>
        </is>
      </c>
      <c r="B210" t="inlineStr">
        <is>
          <t>Requiem sharks</t>
        </is>
      </c>
      <c r="C210" t="inlineStr">
        <is>
          <t>Large sharks (&gt;=90 cm)</t>
        </is>
      </c>
      <c r="D210" t="inlineStr">
        <is>
          <t>Sharks &amp; rays</t>
        </is>
      </c>
      <c r="E210" t="n">
        <v>6.595</v>
      </c>
      <c r="F210" t="n">
        <v>6.907</v>
      </c>
      <c r="G210" t="n">
        <v>7.188</v>
      </c>
      <c r="H210" t="n">
        <v>7.306</v>
      </c>
      <c r="I210" t="n">
        <v>7.462</v>
      </c>
      <c r="J210" t="n">
        <v>7.484</v>
      </c>
      <c r="K210" t="n">
        <v>7.716</v>
      </c>
      <c r="L210" t="n">
        <v>7.89</v>
      </c>
      <c r="M210" t="n">
        <v>8.010999999999999</v>
      </c>
      <c r="N210" t="n">
        <v>8.173</v>
      </c>
      <c r="O210" t="n">
        <v>8.390000000000001</v>
      </c>
      <c r="P210" t="n">
        <v>8.44</v>
      </c>
      <c r="Q210" t="n">
        <v>8.317</v>
      </c>
      <c r="R210" t="n">
        <v>8.069000000000001</v>
      </c>
      <c r="S210" t="n">
        <v>7.434</v>
      </c>
      <c r="T210" t="n">
        <v>6.701</v>
      </c>
      <c r="U210" t="n">
        <v>5.307</v>
      </c>
      <c r="V210" t="n">
        <v>5.385</v>
      </c>
      <c r="W210" t="n">
        <v>5.67</v>
      </c>
      <c r="X210" t="n">
        <v>5.716</v>
      </c>
      <c r="Y210" t="n">
        <v>4.729</v>
      </c>
      <c r="Z210" t="n">
        <v>4.838</v>
      </c>
      <c r="AA210" t="n">
        <v>4.552</v>
      </c>
      <c r="AB210" t="n">
        <v>8.997</v>
      </c>
      <c r="AC210" t="n">
        <v>8.164999999999999</v>
      </c>
      <c r="AD210" t="n">
        <v>12.224</v>
      </c>
      <c r="AE210" t="n">
        <v>11.792</v>
      </c>
      <c r="AF210" t="n">
        <v>11.122</v>
      </c>
      <c r="AG210" t="n">
        <v>10.392</v>
      </c>
      <c r="AH210" t="n">
        <v>10.961</v>
      </c>
      <c r="AI210" t="n">
        <v>27.291</v>
      </c>
      <c r="AJ210" t="n">
        <v>25.978</v>
      </c>
      <c r="AK210" t="n">
        <v>23.661</v>
      </c>
      <c r="AL210" t="n">
        <v>18.292</v>
      </c>
      <c r="AM210" t="n">
        <v>21.989</v>
      </c>
      <c r="AN210" t="n">
        <v>20.69</v>
      </c>
      <c r="AO210" t="n">
        <v>19.083</v>
      </c>
      <c r="AP210" t="n">
        <v>19.855</v>
      </c>
      <c r="AQ210" t="n">
        <v>21.27</v>
      </c>
      <c r="AR210" t="n">
        <v>1000.882</v>
      </c>
      <c r="AS210" t="n">
        <v>978.053</v>
      </c>
      <c r="AT210" t="n">
        <v>975.294</v>
      </c>
      <c r="AU210" t="n">
        <v>1084.247</v>
      </c>
      <c r="AV210" t="n">
        <v>1215.363</v>
      </c>
      <c r="AW210" t="n">
        <v>1121.818</v>
      </c>
      <c r="AX210" t="n">
        <v>1262.422</v>
      </c>
      <c r="AY210" t="n">
        <v>1247.27</v>
      </c>
      <c r="AZ210" t="n">
        <v>1044.636</v>
      </c>
      <c r="BA210" t="n">
        <v>1029.038</v>
      </c>
      <c r="BB210" t="n">
        <v>949.259</v>
      </c>
      <c r="BC210" t="n">
        <v>27.641</v>
      </c>
      <c r="BD210" t="n">
        <v>25.166</v>
      </c>
      <c r="BE210" t="n">
        <v>26.106</v>
      </c>
      <c r="BF210" t="n">
        <v>26.596</v>
      </c>
      <c r="BG210" t="n">
        <v>23.7</v>
      </c>
      <c r="BH210" t="n">
        <v>10.794</v>
      </c>
      <c r="BI210" t="n">
        <v>18.308</v>
      </c>
      <c r="BJ210" t="n">
        <v>17.962</v>
      </c>
      <c r="BK210" t="n">
        <v>24.928</v>
      </c>
      <c r="BL210" t="n">
        <v>23.699</v>
      </c>
      <c r="BM210" t="n">
        <v>20.487</v>
      </c>
      <c r="BN210" t="n">
        <v>3801.426</v>
      </c>
      <c r="BO210" t="n">
        <v>3842.59</v>
      </c>
      <c r="BP210" t="n">
        <v>3903.323</v>
      </c>
      <c r="BQ210" t="n">
        <v>4204.465</v>
      </c>
      <c r="BR210" t="n">
        <v>5401.977</v>
      </c>
      <c r="BS210" t="n">
        <v>5104.193</v>
      </c>
      <c r="BT210" t="n">
        <v>4566.018</v>
      </c>
      <c r="BU210" t="n">
        <v>5192.915</v>
      </c>
      <c r="BV210" t="n">
        <v>6499.435</v>
      </c>
    </row>
    <row r="211">
      <c r="A211" t="inlineStr">
        <is>
          <t>Paralichthyidae</t>
        </is>
      </c>
      <c r="B211" t="inlineStr">
        <is>
          <t>Largetooth flounders</t>
        </is>
      </c>
      <c r="C211" t="inlineStr">
        <is>
          <t>Small to medium flatfishes (&lt;90 cm)</t>
        </is>
      </c>
      <c r="D211" t="inlineStr">
        <is>
          <t>Flatfishes</t>
        </is>
      </c>
      <c r="E211" t="n">
        <v>88.264</v>
      </c>
      <c r="F211" t="n">
        <v>95.366</v>
      </c>
      <c r="G211" t="n">
        <v>100.191</v>
      </c>
      <c r="H211" t="n">
        <v>100.038</v>
      </c>
      <c r="I211" t="n">
        <v>132.356</v>
      </c>
      <c r="J211" t="n">
        <v>138.704</v>
      </c>
      <c r="K211" t="n">
        <v>141.39</v>
      </c>
      <c r="L211" t="n">
        <v>131.124</v>
      </c>
      <c r="M211" t="n">
        <v>148.978</v>
      </c>
      <c r="N211" t="n">
        <v>156.095</v>
      </c>
      <c r="O211" t="n">
        <v>164.005</v>
      </c>
      <c r="P211" t="n">
        <v>168.261</v>
      </c>
      <c r="Q211" t="n">
        <v>187.975</v>
      </c>
      <c r="R211" t="n">
        <v>262.225</v>
      </c>
      <c r="S211" t="n">
        <v>314.651</v>
      </c>
      <c r="T211" t="n">
        <v>326.427</v>
      </c>
      <c r="U211" t="n">
        <v>294.28</v>
      </c>
      <c r="V211" t="n">
        <v>265.414</v>
      </c>
      <c r="W211" t="n">
        <v>248.744</v>
      </c>
      <c r="X211" t="n">
        <v>174.438</v>
      </c>
      <c r="Y211" t="n">
        <v>288.208</v>
      </c>
      <c r="Z211" t="n">
        <v>302.081</v>
      </c>
      <c r="AA211" t="n">
        <v>337.733</v>
      </c>
      <c r="AB211" t="n">
        <v>382.875</v>
      </c>
      <c r="AC211" t="n">
        <v>234.316</v>
      </c>
      <c r="AD211" t="n">
        <v>2762.928</v>
      </c>
      <c r="AE211" t="n">
        <v>3338.265</v>
      </c>
      <c r="AF211" t="n">
        <v>3663.675</v>
      </c>
      <c r="AG211" t="n">
        <v>1187.678</v>
      </c>
      <c r="AH211" t="n">
        <v>1252.887</v>
      </c>
      <c r="AI211" t="n">
        <v>428.677</v>
      </c>
      <c r="AJ211" t="n">
        <v>398.651</v>
      </c>
      <c r="AK211" t="n">
        <v>488.341</v>
      </c>
      <c r="AL211" t="n">
        <v>514.737</v>
      </c>
      <c r="AM211" t="n">
        <v>528.7809999999999</v>
      </c>
      <c r="AN211" t="n">
        <v>607.905</v>
      </c>
      <c r="AO211" t="n">
        <v>589.736</v>
      </c>
      <c r="AP211" t="n">
        <v>546.474</v>
      </c>
      <c r="AQ211" t="n">
        <v>576.761</v>
      </c>
      <c r="AR211" t="n">
        <v>621.727</v>
      </c>
      <c r="AS211" t="n">
        <v>694.1660000000001</v>
      </c>
      <c r="AT211" t="n">
        <v>865.104</v>
      </c>
      <c r="AU211" t="n">
        <v>873.803</v>
      </c>
      <c r="AV211" t="n">
        <v>689.783</v>
      </c>
      <c r="AW211" t="n">
        <v>1048.007</v>
      </c>
      <c r="AX211" t="n">
        <v>1330.618</v>
      </c>
      <c r="AY211" t="n">
        <v>1398.676</v>
      </c>
      <c r="AZ211" t="n">
        <v>1427.037</v>
      </c>
      <c r="BA211" t="n">
        <v>1193.676</v>
      </c>
      <c r="BB211" t="n">
        <v>1443.742</v>
      </c>
      <c r="BC211" t="n">
        <v>1058.895</v>
      </c>
      <c r="BD211" t="n">
        <v>1081.171</v>
      </c>
      <c r="BE211" t="n">
        <v>1108.081</v>
      </c>
      <c r="BF211" t="n">
        <v>1148.432</v>
      </c>
      <c r="BG211" t="n">
        <v>1141.809</v>
      </c>
      <c r="BH211" t="n">
        <v>636.4589999999999</v>
      </c>
      <c r="BI211" t="n">
        <v>607.0549999999999</v>
      </c>
      <c r="BJ211" t="n">
        <v>612.923</v>
      </c>
      <c r="BK211" t="n">
        <v>619.329</v>
      </c>
      <c r="BL211" t="n">
        <v>935.989</v>
      </c>
      <c r="BM211" t="n">
        <v>938.403</v>
      </c>
      <c r="BN211" t="n">
        <v>935.595</v>
      </c>
      <c r="BO211" t="n">
        <v>1018.955</v>
      </c>
      <c r="BP211" t="n">
        <v>1049.507</v>
      </c>
      <c r="BQ211" t="n">
        <v>958.378</v>
      </c>
      <c r="BR211" t="n">
        <v>972.505</v>
      </c>
      <c r="BS211" t="n">
        <v>1012.823</v>
      </c>
      <c r="BT211" t="n">
        <v>931.711</v>
      </c>
      <c r="BU211" t="n">
        <v>882.4400000000001</v>
      </c>
      <c r="BV211" t="n">
        <v>842.109</v>
      </c>
    </row>
    <row r="212">
      <c r="A212" t="inlineStr">
        <is>
          <t>Sillaginidae</t>
        </is>
      </c>
      <c r="B212" t="inlineStr">
        <is>
          <t>Smelt-whitings</t>
        </is>
      </c>
      <c r="C212" t="inlineStr">
        <is>
          <t>Medium demersals (30 - 89 cm)</t>
        </is>
      </c>
      <c r="D212" t="inlineStr">
        <is>
          <t>Perch-likes</t>
        </is>
      </c>
      <c r="E212" t="n">
        <v>84.316</v>
      </c>
      <c r="F212" t="n">
        <v>101.848</v>
      </c>
      <c r="G212" t="n">
        <v>105.119</v>
      </c>
      <c r="H212" t="n">
        <v>103.603</v>
      </c>
      <c r="I212" t="n">
        <v>131.367</v>
      </c>
      <c r="J212" t="n">
        <v>139.441</v>
      </c>
      <c r="K212" t="n">
        <v>150.459</v>
      </c>
      <c r="L212" t="n">
        <v>146.283</v>
      </c>
      <c r="M212" t="n">
        <v>156.349</v>
      </c>
      <c r="N212" t="n">
        <v>160.913</v>
      </c>
      <c r="O212" t="n">
        <v>182.795</v>
      </c>
      <c r="P212" t="n">
        <v>168.677</v>
      </c>
      <c r="Q212" t="n">
        <v>181.232</v>
      </c>
      <c r="R212" t="n">
        <v>287.111</v>
      </c>
      <c r="S212" t="n">
        <v>210.92</v>
      </c>
      <c r="T212" t="n">
        <v>235.669</v>
      </c>
      <c r="U212" t="n">
        <v>249.161</v>
      </c>
      <c r="V212" t="n">
        <v>263.387</v>
      </c>
      <c r="W212" t="n">
        <v>299.015</v>
      </c>
      <c r="X212" t="n">
        <v>288.476</v>
      </c>
      <c r="Y212" t="n">
        <v>327.661</v>
      </c>
      <c r="Z212" t="n">
        <v>329.089</v>
      </c>
      <c r="AA212" t="n">
        <v>379.13</v>
      </c>
      <c r="AB212" t="n">
        <v>946.327</v>
      </c>
      <c r="AC212" t="n">
        <v>420.097</v>
      </c>
      <c r="AD212" t="n">
        <v>506.723</v>
      </c>
      <c r="AE212" t="n">
        <v>456.644</v>
      </c>
      <c r="AF212" t="n">
        <v>630.327</v>
      </c>
      <c r="AG212" t="n">
        <v>663.625</v>
      </c>
      <c r="AH212" t="n">
        <v>612.052</v>
      </c>
      <c r="AI212" t="n">
        <v>600.171</v>
      </c>
      <c r="AJ212" t="n">
        <v>699.847</v>
      </c>
      <c r="AK212" t="n">
        <v>399.975</v>
      </c>
      <c r="AL212" t="n">
        <v>566.53</v>
      </c>
      <c r="AM212" t="n">
        <v>692.568</v>
      </c>
      <c r="AN212" t="n">
        <v>699.128</v>
      </c>
      <c r="AO212" t="n">
        <v>730.0700000000001</v>
      </c>
      <c r="AP212" t="n">
        <v>750.602</v>
      </c>
      <c r="AQ212" t="n">
        <v>769.162</v>
      </c>
      <c r="AR212" t="n">
        <v>2774.17</v>
      </c>
      <c r="AS212" t="n">
        <v>2755.205</v>
      </c>
      <c r="AT212" t="n">
        <v>2984.762</v>
      </c>
      <c r="AU212" t="n">
        <v>1955.225</v>
      </c>
      <c r="AV212" t="n">
        <v>1755.456</v>
      </c>
      <c r="AW212" t="n">
        <v>1190.772</v>
      </c>
      <c r="AX212" t="n">
        <v>1024.174</v>
      </c>
      <c r="AY212" t="n">
        <v>1078.035</v>
      </c>
      <c r="AZ212" t="n">
        <v>1075.546</v>
      </c>
      <c r="BA212" t="n">
        <v>1046.726</v>
      </c>
      <c r="BB212" t="n">
        <v>1001.479</v>
      </c>
      <c r="BC212" t="n">
        <v>1003.008</v>
      </c>
      <c r="BD212" t="n">
        <v>946.5069999999999</v>
      </c>
      <c r="BE212" t="n">
        <v>885.441</v>
      </c>
      <c r="BF212" t="n">
        <v>857.331</v>
      </c>
      <c r="BG212" t="n">
        <v>861.818</v>
      </c>
      <c r="BH212" t="n">
        <v>722.828</v>
      </c>
      <c r="BI212" t="n">
        <v>689.808</v>
      </c>
      <c r="BJ212" t="n">
        <v>780.164</v>
      </c>
      <c r="BK212" t="n">
        <v>757.271</v>
      </c>
      <c r="BL212" t="n">
        <v>772.814</v>
      </c>
      <c r="BM212" t="n">
        <v>789.227</v>
      </c>
      <c r="BN212" t="n">
        <v>996.8150000000001</v>
      </c>
      <c r="BO212" t="n">
        <v>935.033</v>
      </c>
      <c r="BP212" t="n">
        <v>897.147</v>
      </c>
      <c r="BQ212" t="n">
        <v>815.793</v>
      </c>
      <c r="BR212" t="n">
        <v>777.429</v>
      </c>
      <c r="BS212" t="n">
        <v>828.009</v>
      </c>
      <c r="BT212" t="n">
        <v>773.4349999999999</v>
      </c>
      <c r="BU212" t="n">
        <v>752.221</v>
      </c>
      <c r="BV212" t="n">
        <v>1154.929</v>
      </c>
    </row>
    <row r="213">
      <c r="A213" t="inlineStr">
        <is>
          <t>Thryssa</t>
        </is>
      </c>
      <c r="B213" t="inlineStr">
        <is>
          <t>Thryssas</t>
        </is>
      </c>
      <c r="C213" t="inlineStr">
        <is>
          <t>Small pelagics (&lt;30 cm)</t>
        </is>
      </c>
      <c r="D213" t="inlineStr">
        <is>
          <t>Anchovies</t>
        </is>
      </c>
      <c r="E213" t="n">
        <v>101.929</v>
      </c>
      <c r="F213" t="n">
        <v>109.576</v>
      </c>
      <c r="G213" t="n">
        <v>117.956</v>
      </c>
      <c r="H213" t="n">
        <v>125.346</v>
      </c>
      <c r="I213" t="n">
        <v>396.191</v>
      </c>
      <c r="J213" t="n">
        <v>141.058</v>
      </c>
      <c r="K213" t="n">
        <v>148.904</v>
      </c>
      <c r="L213" t="n">
        <v>156.849</v>
      </c>
      <c r="M213" t="n">
        <v>164.992</v>
      </c>
      <c r="N213" t="n">
        <v>173.136</v>
      </c>
      <c r="O213" t="n">
        <v>181.913</v>
      </c>
      <c r="P213" t="n">
        <v>190.612</v>
      </c>
      <c r="Q213" t="n">
        <v>199.728</v>
      </c>
      <c r="R213" t="n">
        <v>210.289</v>
      </c>
      <c r="S213" t="n">
        <v>218.871</v>
      </c>
      <c r="T213" t="n">
        <v>238.227</v>
      </c>
      <c r="U213" t="n">
        <v>257.651</v>
      </c>
      <c r="V213" t="n">
        <v>276.557</v>
      </c>
      <c r="W213" t="n">
        <v>353.077</v>
      </c>
      <c r="X213" t="n">
        <v>695.761</v>
      </c>
      <c r="Y213" t="n">
        <v>670.707</v>
      </c>
      <c r="Z213" t="n">
        <v>171.813</v>
      </c>
      <c r="AA213" t="n">
        <v>658.42</v>
      </c>
      <c r="AB213" t="n">
        <v>916.847</v>
      </c>
      <c r="AC213" t="n">
        <v>1038.609</v>
      </c>
      <c r="AD213" t="n">
        <v>336.949</v>
      </c>
      <c r="AE213" t="n">
        <v>409.55</v>
      </c>
      <c r="AF213" t="n">
        <v>451.607</v>
      </c>
      <c r="AG213" t="n">
        <v>777.018</v>
      </c>
      <c r="AH213" t="n">
        <v>820.004</v>
      </c>
      <c r="AI213" t="n">
        <v>859.894</v>
      </c>
      <c r="AJ213" t="n">
        <v>967.963</v>
      </c>
      <c r="AK213" t="n">
        <v>990.752</v>
      </c>
      <c r="AL213" t="n">
        <v>1194.242</v>
      </c>
      <c r="AM213" t="n">
        <v>1205.576</v>
      </c>
      <c r="AN213" t="n">
        <v>1195.933</v>
      </c>
      <c r="AO213" t="n">
        <v>1222.562</v>
      </c>
      <c r="AP213" t="n">
        <v>1032.121</v>
      </c>
      <c r="AQ213" t="n">
        <v>1177.822</v>
      </c>
      <c r="AR213" t="n">
        <v>1132.165</v>
      </c>
      <c r="AS213" t="n">
        <v>1956.042</v>
      </c>
      <c r="AT213" t="n">
        <v>2766.754</v>
      </c>
      <c r="AU213" t="n">
        <v>2150.563</v>
      </c>
      <c r="AV213" t="n">
        <v>1972.57</v>
      </c>
      <c r="AW213" t="n">
        <v>2053.924</v>
      </c>
      <c r="AX213" t="n">
        <v>50.594</v>
      </c>
      <c r="AY213" t="n">
        <v>44.804</v>
      </c>
      <c r="AZ213" t="n">
        <v>44.312</v>
      </c>
      <c r="BA213" t="n">
        <v>43.994</v>
      </c>
      <c r="BB213" t="n">
        <v>49.488</v>
      </c>
      <c r="BC213" t="n">
        <v>55.445</v>
      </c>
      <c r="BD213" t="n">
        <v>63.623</v>
      </c>
      <c r="BE213" t="n">
        <v>71.46299999999999</v>
      </c>
      <c r="BF213" t="n">
        <v>76.858</v>
      </c>
      <c r="BG213" t="n">
        <v>68.152</v>
      </c>
      <c r="BH213" t="n">
        <v>831.349</v>
      </c>
      <c r="BI213" t="n">
        <v>912.899</v>
      </c>
      <c r="BJ213" t="n">
        <v>957.652</v>
      </c>
      <c r="BK213" t="n">
        <v>995.125</v>
      </c>
      <c r="BL213" t="n">
        <v>829.51</v>
      </c>
      <c r="BM213" t="n">
        <v>1056.49</v>
      </c>
      <c r="BN213" t="n">
        <v>1027.769</v>
      </c>
      <c r="BO213" t="n">
        <v>1156.83</v>
      </c>
      <c r="BP213" t="n">
        <v>1202.871</v>
      </c>
      <c r="BQ213" t="n">
        <v>1102.431</v>
      </c>
      <c r="BR213" t="n">
        <v>1135.196</v>
      </c>
      <c r="BS213" t="n">
        <v>1175.768</v>
      </c>
      <c r="BT213" t="n">
        <v>1090.387</v>
      </c>
      <c r="BU213" t="n">
        <v>1029.22</v>
      </c>
      <c r="BV213" t="n">
        <v>964.64</v>
      </c>
    </row>
    <row r="214">
      <c r="A214" t="inlineStr">
        <is>
          <t>Rachycentridae</t>
        </is>
      </c>
      <c r="B214" t="inlineStr">
        <is>
          <t>Cobias</t>
        </is>
      </c>
      <c r="C214" t="inlineStr">
        <is>
          <t>Large pelagics (&gt;=90 cm)</t>
        </is>
      </c>
      <c r="D214" t="inlineStr">
        <is>
          <t>Perch-likes</t>
        </is>
      </c>
      <c r="E214" t="n">
        <v>0</v>
      </c>
      <c r="F214" t="n">
        <v>0</v>
      </c>
      <c r="G214" t="n">
        <v>0</v>
      </c>
      <c r="H214" t="n">
        <v>0</v>
      </c>
      <c r="I214" t="n">
        <v>22.246</v>
      </c>
      <c r="J214" t="n">
        <v>0</v>
      </c>
      <c r="K214" t="n">
        <v>20.155</v>
      </c>
      <c r="L214" t="n">
        <v>0</v>
      </c>
      <c r="M214" t="n">
        <v>0</v>
      </c>
      <c r="N214" t="n">
        <v>0</v>
      </c>
      <c r="O214" t="n">
        <v>22.183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13.735</v>
      </c>
      <c r="V214" t="n">
        <v>0</v>
      </c>
      <c r="W214" t="n">
        <v>0</v>
      </c>
      <c r="X214" t="n">
        <v>0</v>
      </c>
      <c r="Y214" t="n">
        <v>0</v>
      </c>
      <c r="Z214" t="n">
        <v>49.634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25.777</v>
      </c>
      <c r="AG214" t="n">
        <v>9.048</v>
      </c>
      <c r="AH214" t="n">
        <v>0</v>
      </c>
      <c r="AI214" t="n">
        <v>8.476000000000001</v>
      </c>
      <c r="AJ214" t="n">
        <v>8.835000000000001</v>
      </c>
      <c r="AK214" t="n">
        <v>0</v>
      </c>
      <c r="AL214" t="n">
        <v>6.384</v>
      </c>
      <c r="AM214" t="n">
        <v>0</v>
      </c>
      <c r="AN214" t="n">
        <v>0</v>
      </c>
      <c r="AO214" t="n">
        <v>0</v>
      </c>
      <c r="AP214" t="n">
        <v>32.216</v>
      </c>
      <c r="AQ214" t="n">
        <v>0</v>
      </c>
      <c r="AR214" t="n">
        <v>1968.677</v>
      </c>
      <c r="AS214" t="n">
        <v>966.596</v>
      </c>
      <c r="AT214" t="n">
        <v>56.12</v>
      </c>
      <c r="AU214" t="n">
        <v>78.8</v>
      </c>
      <c r="AV214" t="n">
        <v>2922.638</v>
      </c>
      <c r="AW214" t="n">
        <v>4681.512</v>
      </c>
      <c r="AX214" t="n">
        <v>3498.578</v>
      </c>
      <c r="AY214" t="n">
        <v>4248.529</v>
      </c>
      <c r="AZ214" t="n">
        <v>5100.493</v>
      </c>
      <c r="BA214" t="n">
        <v>3751.884</v>
      </c>
      <c r="BB214" t="n">
        <v>3128.714</v>
      </c>
      <c r="BC214" t="n">
        <v>3826.027</v>
      </c>
      <c r="BD214" t="n">
        <v>1889.95</v>
      </c>
      <c r="BE214" t="n">
        <v>1687.719</v>
      </c>
      <c r="BF214" t="n">
        <v>1063.303</v>
      </c>
      <c r="BG214" t="n">
        <v>1621.928</v>
      </c>
      <c r="BH214" t="n">
        <v>692.535</v>
      </c>
      <c r="BI214" t="n">
        <v>921.294</v>
      </c>
      <c r="BJ214" t="n">
        <v>812.2329999999999</v>
      </c>
      <c r="BK214" t="n">
        <v>397.258</v>
      </c>
      <c r="BL214" t="n">
        <v>246.032</v>
      </c>
      <c r="BM214" t="n">
        <v>594.4690000000001</v>
      </c>
      <c r="BN214" t="n">
        <v>503.453</v>
      </c>
      <c r="BO214" t="n">
        <v>456.089</v>
      </c>
      <c r="BP214" t="n">
        <v>420.79</v>
      </c>
      <c r="BQ214" t="n">
        <v>423.069</v>
      </c>
      <c r="BR214" t="n">
        <v>321.631</v>
      </c>
      <c r="BS214" t="n">
        <v>400.661</v>
      </c>
      <c r="BT214" t="n">
        <v>382.694</v>
      </c>
      <c r="BU214" t="n">
        <v>378.566</v>
      </c>
      <c r="BV214" t="n">
        <v>366.105</v>
      </c>
    </row>
    <row r="215">
      <c r="A215" t="inlineStr">
        <is>
          <t>Tylosurus crocodilus</t>
        </is>
      </c>
      <c r="B215" t="inlineStr">
        <is>
          <t>Hound needlefish</t>
        </is>
      </c>
      <c r="C215" t="inlineStr">
        <is>
          <t>Large pelagics (&gt;=90 cm)</t>
        </is>
      </c>
      <c r="D215" t="inlineStr">
        <is>
          <t>Other fishes &amp; inverts</t>
        </is>
      </c>
      <c r="E215" t="n">
        <v>122.299</v>
      </c>
      <c r="F215" t="n">
        <v>149.505</v>
      </c>
      <c r="G215" t="n">
        <v>153.866</v>
      </c>
      <c r="H215" t="n">
        <v>151.545</v>
      </c>
      <c r="I215" t="n">
        <v>189.892</v>
      </c>
      <c r="J215" t="n">
        <v>202.04</v>
      </c>
      <c r="K215" t="n">
        <v>220.109</v>
      </c>
      <c r="L215" t="n">
        <v>215.216</v>
      </c>
      <c r="M215" t="n">
        <v>228.223</v>
      </c>
      <c r="N215" t="n">
        <v>235.687</v>
      </c>
      <c r="O215" t="n">
        <v>265.851</v>
      </c>
      <c r="P215" t="n">
        <v>246.974</v>
      </c>
      <c r="Q215" t="n">
        <v>267.344</v>
      </c>
      <c r="R215" t="n">
        <v>389.922</v>
      </c>
      <c r="S215" t="n">
        <v>321.459</v>
      </c>
      <c r="T215" t="n">
        <v>360.371</v>
      </c>
      <c r="U215" t="n">
        <v>383.109</v>
      </c>
      <c r="V215" t="n">
        <v>407.144</v>
      </c>
      <c r="W215" t="n">
        <v>463.527</v>
      </c>
      <c r="X215" t="n">
        <v>450.294</v>
      </c>
      <c r="Y215" t="n">
        <v>525.2380000000001</v>
      </c>
      <c r="Z215" t="n">
        <v>529.434</v>
      </c>
      <c r="AA215" t="n">
        <v>584.599</v>
      </c>
      <c r="AB215" t="n">
        <v>633.958</v>
      </c>
      <c r="AC215" t="n">
        <v>652.471</v>
      </c>
      <c r="AD215" t="n">
        <v>732.242</v>
      </c>
      <c r="AE215" t="n">
        <v>659.121</v>
      </c>
      <c r="AF215" t="n">
        <v>707.737</v>
      </c>
      <c r="AG215" t="n">
        <v>755.976</v>
      </c>
      <c r="AH215" t="n">
        <v>707.371</v>
      </c>
      <c r="AI215" t="n">
        <v>737.078</v>
      </c>
      <c r="AJ215" t="n">
        <v>776.042</v>
      </c>
      <c r="AK215" t="n">
        <v>623.424</v>
      </c>
      <c r="AL215" t="n">
        <v>822.11</v>
      </c>
      <c r="AM215" t="n">
        <v>957.3150000000001</v>
      </c>
      <c r="AN215" t="n">
        <v>902.681</v>
      </c>
      <c r="AO215" t="n">
        <v>871.146</v>
      </c>
      <c r="AP215" t="n">
        <v>821.638</v>
      </c>
      <c r="AQ215" t="n">
        <v>785.3049999999999</v>
      </c>
      <c r="AR215" t="n">
        <v>799.977</v>
      </c>
      <c r="AS215" t="n">
        <v>786.897</v>
      </c>
      <c r="AT215" t="n">
        <v>731.557</v>
      </c>
      <c r="AU215" t="n">
        <v>902.604</v>
      </c>
      <c r="AV215" t="n">
        <v>1011.265</v>
      </c>
      <c r="AW215" t="n">
        <v>1007.233</v>
      </c>
      <c r="AX215" t="n">
        <v>939.598</v>
      </c>
      <c r="AY215" t="n">
        <v>820.926</v>
      </c>
      <c r="AZ215" t="n">
        <v>885.91</v>
      </c>
      <c r="BA215" t="n">
        <v>864.724</v>
      </c>
      <c r="BB215" t="n">
        <v>927.817</v>
      </c>
      <c r="BC215" t="n">
        <v>905.338</v>
      </c>
      <c r="BD215" t="n">
        <v>913.287</v>
      </c>
      <c r="BE215" t="n">
        <v>856.925</v>
      </c>
      <c r="BF215" t="n">
        <v>932.304</v>
      </c>
      <c r="BG215" t="n">
        <v>850.308</v>
      </c>
      <c r="BH215" t="n">
        <v>743.901</v>
      </c>
      <c r="BI215" t="n">
        <v>747.6799999999999</v>
      </c>
      <c r="BJ215" t="n">
        <v>881.74</v>
      </c>
      <c r="BK215" t="n">
        <v>855.965</v>
      </c>
      <c r="BL215" t="n">
        <v>860.725</v>
      </c>
      <c r="BM215" t="n">
        <v>895.591</v>
      </c>
      <c r="BN215" t="n">
        <v>1171.645</v>
      </c>
      <c r="BO215" t="n">
        <v>1096.238</v>
      </c>
      <c r="BP215" t="n">
        <v>1020.633</v>
      </c>
      <c r="BQ215" t="n">
        <v>940.079</v>
      </c>
      <c r="BR215" t="n">
        <v>929.782</v>
      </c>
      <c r="BS215" t="n">
        <v>991.766</v>
      </c>
      <c r="BT215" t="n">
        <v>912.256</v>
      </c>
      <c r="BU215" t="n">
        <v>907.201</v>
      </c>
      <c r="BV215" t="n">
        <v>1016.636</v>
      </c>
    </row>
    <row r="216">
      <c r="A216" t="inlineStr">
        <is>
          <t>Acanthuridae</t>
        </is>
      </c>
      <c r="B216" t="inlineStr">
        <is>
          <t>Surgeons, tangs, unicornfishes</t>
        </is>
      </c>
      <c r="C216" t="inlineStr">
        <is>
          <t>Small reef assoc. fish (&lt;30 cm)</t>
        </is>
      </c>
      <c r="D216" t="inlineStr">
        <is>
          <t>Perch-likes</t>
        </is>
      </c>
      <c r="E216" t="n">
        <v>111.692</v>
      </c>
      <c r="F216" t="n">
        <v>126.68</v>
      </c>
      <c r="G216" t="n">
        <v>132.613</v>
      </c>
      <c r="H216" t="n">
        <v>131.317</v>
      </c>
      <c r="I216" t="n">
        <v>176.078</v>
      </c>
      <c r="J216" t="n">
        <v>184.85</v>
      </c>
      <c r="K216" t="n">
        <v>191.616</v>
      </c>
      <c r="L216" t="n">
        <v>176.965</v>
      </c>
      <c r="M216" t="n">
        <v>214.425</v>
      </c>
      <c r="N216" t="n">
        <v>224.298</v>
      </c>
      <c r="O216" t="n">
        <v>236.848</v>
      </c>
      <c r="P216" t="n">
        <v>238.462</v>
      </c>
      <c r="Q216" t="n">
        <v>273.844</v>
      </c>
      <c r="R216" t="n">
        <v>422.199</v>
      </c>
      <c r="S216" t="n">
        <v>538.869</v>
      </c>
      <c r="T216" t="n">
        <v>642.551</v>
      </c>
      <c r="U216" t="n">
        <v>643.874</v>
      </c>
      <c r="V216" t="n">
        <v>644.515</v>
      </c>
      <c r="W216" t="n">
        <v>782.377</v>
      </c>
      <c r="X216" t="n">
        <v>680.227</v>
      </c>
      <c r="Y216" t="n">
        <v>799.361</v>
      </c>
      <c r="Z216" t="n">
        <v>632.61</v>
      </c>
      <c r="AA216" t="n">
        <v>461.094</v>
      </c>
      <c r="AB216" t="n">
        <v>1228.237</v>
      </c>
      <c r="AC216" t="n">
        <v>1002.352</v>
      </c>
      <c r="AD216" t="n">
        <v>567.895</v>
      </c>
      <c r="AE216" t="n">
        <v>267.523</v>
      </c>
      <c r="AF216" t="n">
        <v>271.383</v>
      </c>
      <c r="AG216" t="n">
        <v>377.375</v>
      </c>
      <c r="AH216" t="n">
        <v>420.951</v>
      </c>
      <c r="AI216" t="n">
        <v>500.392</v>
      </c>
      <c r="AJ216" t="n">
        <v>658.821</v>
      </c>
      <c r="AK216" t="n">
        <v>490.191</v>
      </c>
      <c r="AL216" t="n">
        <v>665.506</v>
      </c>
      <c r="AM216" t="n">
        <v>790.48</v>
      </c>
      <c r="AN216" t="n">
        <v>802.556</v>
      </c>
      <c r="AO216" t="n">
        <v>843.098</v>
      </c>
      <c r="AP216" t="n">
        <v>888.689</v>
      </c>
      <c r="AQ216" t="n">
        <v>910.083</v>
      </c>
      <c r="AR216" t="n">
        <v>1036.946</v>
      </c>
      <c r="AS216" t="n">
        <v>562.199</v>
      </c>
      <c r="AT216" t="n">
        <v>649.932</v>
      </c>
      <c r="AU216" t="n">
        <v>479.711</v>
      </c>
      <c r="AV216" t="n">
        <v>746.2859999999999</v>
      </c>
      <c r="AW216" t="n">
        <v>750.5119999999999</v>
      </c>
      <c r="AX216" t="n">
        <v>644.39</v>
      </c>
      <c r="AY216" t="n">
        <v>626.444</v>
      </c>
      <c r="AZ216" t="n">
        <v>1119.211</v>
      </c>
      <c r="BA216" t="n">
        <v>1357.466</v>
      </c>
      <c r="BB216" t="n">
        <v>1145.687</v>
      </c>
      <c r="BC216" t="n">
        <v>1009.448</v>
      </c>
      <c r="BD216" t="n">
        <v>1020.413</v>
      </c>
      <c r="BE216" t="n">
        <v>919.7</v>
      </c>
      <c r="BF216" t="n">
        <v>922.519</v>
      </c>
      <c r="BG216" t="n">
        <v>817.3</v>
      </c>
      <c r="BH216" t="n">
        <v>828.537</v>
      </c>
      <c r="BI216" t="n">
        <v>749.982</v>
      </c>
      <c r="BJ216" t="n">
        <v>862.1609999999999</v>
      </c>
      <c r="BK216" t="n">
        <v>848.597</v>
      </c>
      <c r="BL216" t="n">
        <v>913.373</v>
      </c>
      <c r="BM216" t="n">
        <v>935.9400000000001</v>
      </c>
      <c r="BN216" t="n">
        <v>1043.842</v>
      </c>
      <c r="BO216" t="n">
        <v>977.114</v>
      </c>
      <c r="BP216" t="n">
        <v>961.194</v>
      </c>
      <c r="BQ216" t="n">
        <v>859.753</v>
      </c>
      <c r="BR216" t="n">
        <v>798.772</v>
      </c>
      <c r="BS216" t="n">
        <v>860.966</v>
      </c>
      <c r="BT216" t="n">
        <v>753.135</v>
      </c>
      <c r="BU216" t="n">
        <v>716.799</v>
      </c>
      <c r="BV216" t="n">
        <v>755.8920000000001</v>
      </c>
    </row>
    <row r="217">
      <c r="A217" t="inlineStr">
        <is>
          <t>Trachurus japonicus</t>
        </is>
      </c>
      <c r="B217" t="inlineStr">
        <is>
          <t>Japanese jack mackerel</t>
        </is>
      </c>
      <c r="C217" t="inlineStr">
        <is>
          <t>Medium demersals (30 - 89 cm)</t>
        </is>
      </c>
      <c r="D217" t="inlineStr">
        <is>
          <t>Perch-likes</t>
        </is>
      </c>
      <c r="E217" t="n">
        <v>1.458</v>
      </c>
      <c r="F217" t="n">
        <v>1.792</v>
      </c>
      <c r="G217" t="n">
        <v>2.101</v>
      </c>
      <c r="H217" t="n">
        <v>2.254</v>
      </c>
      <c r="I217" t="n">
        <v>2.296</v>
      </c>
      <c r="J217" t="n">
        <v>2.788</v>
      </c>
      <c r="K217" t="n">
        <v>3.241</v>
      </c>
      <c r="L217" t="n">
        <v>3.553</v>
      </c>
      <c r="M217" t="n">
        <v>3.936</v>
      </c>
      <c r="N217" t="n">
        <v>4.45</v>
      </c>
      <c r="O217" t="n">
        <v>4.762</v>
      </c>
      <c r="P217" t="n">
        <v>5.644</v>
      </c>
      <c r="Q217" t="n">
        <v>6.212</v>
      </c>
      <c r="R217" t="n">
        <v>6.717</v>
      </c>
      <c r="S217" t="n">
        <v>7.564</v>
      </c>
      <c r="T217" t="n">
        <v>8.233000000000001</v>
      </c>
      <c r="U217" t="n">
        <v>9.145</v>
      </c>
      <c r="V217" t="n">
        <v>10.173</v>
      </c>
      <c r="W217" t="n">
        <v>11.752</v>
      </c>
      <c r="X217" t="n">
        <v>13.151</v>
      </c>
      <c r="Y217" t="n">
        <v>13.771</v>
      </c>
      <c r="Z217" t="n">
        <v>14.866</v>
      </c>
      <c r="AA217" t="n">
        <v>14.526</v>
      </c>
      <c r="AB217" t="n">
        <v>15.465</v>
      </c>
      <c r="AC217" t="n">
        <v>15.474</v>
      </c>
      <c r="AD217" t="n">
        <v>19.74</v>
      </c>
      <c r="AE217" t="n">
        <v>20.462</v>
      </c>
      <c r="AF217" t="n">
        <v>21.317</v>
      </c>
      <c r="AG217" t="n">
        <v>23.692</v>
      </c>
      <c r="AH217" t="n">
        <v>25.114</v>
      </c>
      <c r="AI217" t="n">
        <v>25.222</v>
      </c>
      <c r="AJ217" t="n">
        <v>22.134</v>
      </c>
      <c r="AK217" t="n">
        <v>21.854</v>
      </c>
      <c r="AL217" t="n">
        <v>21.846</v>
      </c>
      <c r="AM217" t="n">
        <v>21.49</v>
      </c>
      <c r="AN217" t="n">
        <v>22.153</v>
      </c>
      <c r="AO217" t="n">
        <v>22.213</v>
      </c>
      <c r="AP217" t="n">
        <v>20.481</v>
      </c>
      <c r="AQ217" t="n">
        <v>19.774</v>
      </c>
      <c r="AR217" t="n">
        <v>108.339</v>
      </c>
      <c r="AS217" t="n">
        <v>53.332</v>
      </c>
      <c r="AT217" t="n">
        <v>33.153</v>
      </c>
      <c r="AU217" t="n">
        <v>20.813</v>
      </c>
      <c r="AV217" t="n">
        <v>35.79</v>
      </c>
      <c r="AW217" t="n">
        <v>52.006</v>
      </c>
      <c r="AX217" t="n">
        <v>1191.036</v>
      </c>
      <c r="AY217" t="n">
        <v>1155.653</v>
      </c>
      <c r="AZ217" t="n">
        <v>1283.114</v>
      </c>
      <c r="BA217" t="n">
        <v>1964.6</v>
      </c>
      <c r="BB217" t="n">
        <v>621.4930000000001</v>
      </c>
      <c r="BC217" t="n">
        <v>1333.527</v>
      </c>
      <c r="BD217" t="n">
        <v>896.948</v>
      </c>
      <c r="BE217" t="n">
        <v>2397.035</v>
      </c>
      <c r="BF217" t="n">
        <v>2052.991</v>
      </c>
      <c r="BG217" t="n">
        <v>2028.537</v>
      </c>
      <c r="BH217" t="n">
        <v>1135.772</v>
      </c>
      <c r="BI217" t="n">
        <v>795.842</v>
      </c>
      <c r="BJ217" t="n">
        <v>911.829</v>
      </c>
      <c r="BK217" t="n">
        <v>1304.544</v>
      </c>
      <c r="BL217" t="n">
        <v>1083.935</v>
      </c>
      <c r="BM217" t="n">
        <v>1129.853</v>
      </c>
      <c r="BN217" t="n">
        <v>2024.231</v>
      </c>
      <c r="BO217" t="n">
        <v>2406.639</v>
      </c>
      <c r="BP217" t="n">
        <v>2042.803</v>
      </c>
      <c r="BQ217" t="n">
        <v>2473.329</v>
      </c>
      <c r="BR217" t="n">
        <v>1654.755</v>
      </c>
      <c r="BS217" t="n">
        <v>2464.776</v>
      </c>
      <c r="BT217" t="n">
        <v>3149.447</v>
      </c>
      <c r="BU217" t="n">
        <v>1761.264</v>
      </c>
      <c r="BV217" t="n">
        <v>3967.352</v>
      </c>
    </row>
    <row r="218">
      <c r="A218" t="inlineStr">
        <is>
          <t>Lactarius lactarius</t>
        </is>
      </c>
      <c r="B218" t="inlineStr">
        <is>
          <t>False trevally</t>
        </is>
      </c>
      <c r="C218" t="inlineStr">
        <is>
          <t>Medium pelagics (30 - 89 cm)</t>
        </is>
      </c>
      <c r="D218" t="inlineStr">
        <is>
          <t>Perch-likes</t>
        </is>
      </c>
      <c r="E218" t="n">
        <v>47.144</v>
      </c>
      <c r="F218" t="n">
        <v>50.84</v>
      </c>
      <c r="G218" t="n">
        <v>54.021</v>
      </c>
      <c r="H218" t="n">
        <v>56.073</v>
      </c>
      <c r="I218" t="n">
        <v>139.921</v>
      </c>
      <c r="J218" t="n">
        <v>69.011</v>
      </c>
      <c r="K218" t="n">
        <v>72.238</v>
      </c>
      <c r="L218" t="n">
        <v>72.017</v>
      </c>
      <c r="M218" t="n">
        <v>78.526</v>
      </c>
      <c r="N218" t="n">
        <v>82.273</v>
      </c>
      <c r="O218" t="n">
        <v>85.52800000000001</v>
      </c>
      <c r="P218" t="n">
        <v>88.614</v>
      </c>
      <c r="Q218" t="n">
        <v>97.054</v>
      </c>
      <c r="R218" t="n">
        <v>112.219</v>
      </c>
      <c r="S218" t="n">
        <v>125.338</v>
      </c>
      <c r="T218" t="n">
        <v>154.166</v>
      </c>
      <c r="U218" t="n">
        <v>172.192</v>
      </c>
      <c r="V218" t="n">
        <v>195.595</v>
      </c>
      <c r="W218" t="n">
        <v>249.43</v>
      </c>
      <c r="X218" t="n">
        <v>194.007</v>
      </c>
      <c r="Y218" t="n">
        <v>295.535</v>
      </c>
      <c r="Z218" t="n">
        <v>328.143</v>
      </c>
      <c r="AA218" t="n">
        <v>419.934</v>
      </c>
      <c r="AB218" t="n">
        <v>520.895</v>
      </c>
      <c r="AC218" t="n">
        <v>592.419</v>
      </c>
      <c r="AD218" t="n">
        <v>784.566</v>
      </c>
      <c r="AE218" t="n">
        <v>572.5890000000001</v>
      </c>
      <c r="AF218" t="n">
        <v>625.764</v>
      </c>
      <c r="AG218" t="n">
        <v>1856.071</v>
      </c>
      <c r="AH218" t="n">
        <v>1975.137</v>
      </c>
      <c r="AI218" t="n">
        <v>1775.283</v>
      </c>
      <c r="AJ218" t="n">
        <v>1715.526</v>
      </c>
      <c r="AK218" t="n">
        <v>1538.939</v>
      </c>
      <c r="AL218" t="n">
        <v>1384.541</v>
      </c>
      <c r="AM218" t="n">
        <v>1344.158</v>
      </c>
      <c r="AN218" t="n">
        <v>413.745</v>
      </c>
      <c r="AO218" t="n">
        <v>608.2859999999999</v>
      </c>
      <c r="AP218" t="n">
        <v>729.45</v>
      </c>
      <c r="AQ218" t="n">
        <v>857.639</v>
      </c>
      <c r="AR218" t="n">
        <v>784.7190000000001</v>
      </c>
      <c r="AS218" t="n">
        <v>697.272</v>
      </c>
      <c r="AT218" t="n">
        <v>521.96</v>
      </c>
      <c r="AU218" t="n">
        <v>2224.619</v>
      </c>
      <c r="AV218" t="n">
        <v>762.266</v>
      </c>
      <c r="AW218" t="n">
        <v>688.5069999999999</v>
      </c>
      <c r="AX218" t="n">
        <v>956.8390000000001</v>
      </c>
      <c r="AY218" t="n">
        <v>867.754</v>
      </c>
      <c r="AZ218" t="n">
        <v>921.088</v>
      </c>
      <c r="BA218" t="n">
        <v>773.731</v>
      </c>
      <c r="BB218" t="n">
        <v>1028.017</v>
      </c>
      <c r="BC218" t="n">
        <v>1033.144</v>
      </c>
      <c r="BD218" t="n">
        <v>867.813</v>
      </c>
      <c r="BE218" t="n">
        <v>909.474</v>
      </c>
      <c r="BF218" t="n">
        <v>1031.799</v>
      </c>
      <c r="BG218" t="n">
        <v>1023.735</v>
      </c>
      <c r="BH218" t="n">
        <v>267.231</v>
      </c>
      <c r="BI218" t="n">
        <v>290.795</v>
      </c>
      <c r="BJ218" t="n">
        <v>341.239</v>
      </c>
      <c r="BK218" t="n">
        <v>322.639</v>
      </c>
      <c r="BL218" t="n">
        <v>597.7430000000001</v>
      </c>
      <c r="BM218" t="n">
        <v>569.081</v>
      </c>
      <c r="BN218" t="n">
        <v>623.52</v>
      </c>
      <c r="BO218" t="n">
        <v>589.025</v>
      </c>
      <c r="BP218" t="n">
        <v>668.829</v>
      </c>
      <c r="BQ218" t="n">
        <v>600.854</v>
      </c>
      <c r="BR218" t="n">
        <v>618.183</v>
      </c>
      <c r="BS218" t="n">
        <v>724.414</v>
      </c>
      <c r="BT218" t="n">
        <v>626.352</v>
      </c>
      <c r="BU218" t="n">
        <v>596.583</v>
      </c>
      <c r="BV218" t="n">
        <v>528.948</v>
      </c>
    </row>
    <row r="219">
      <c r="A219" t="inlineStr">
        <is>
          <t>Lethrinus</t>
        </is>
      </c>
      <c r="B219" t="inlineStr">
        <is>
          <t>Emperors</t>
        </is>
      </c>
      <c r="C219" t="inlineStr">
        <is>
          <t>Medium reef assoc. fish (30 - 89 cm)</t>
        </is>
      </c>
      <c r="D219" t="inlineStr">
        <is>
          <t>Perch-likes</t>
        </is>
      </c>
      <c r="E219" t="n">
        <v>57.596</v>
      </c>
      <c r="F219" t="n">
        <v>69.01900000000001</v>
      </c>
      <c r="G219" t="n">
        <v>80.44199999999999</v>
      </c>
      <c r="H219" t="n">
        <v>80.51600000000001</v>
      </c>
      <c r="I219" t="n">
        <v>91.813</v>
      </c>
      <c r="J219" t="n">
        <v>91.89700000000001</v>
      </c>
      <c r="K219" t="n">
        <v>91.94</v>
      </c>
      <c r="L219" t="n">
        <v>91.87</v>
      </c>
      <c r="M219" t="n">
        <v>91.961</v>
      </c>
      <c r="N219" t="n">
        <v>91.831</v>
      </c>
      <c r="O219" t="n">
        <v>91.89400000000001</v>
      </c>
      <c r="P219" t="n">
        <v>114.558</v>
      </c>
      <c r="Q219" t="n">
        <v>114.355</v>
      </c>
      <c r="R219" t="n">
        <v>114.203</v>
      </c>
      <c r="S219" t="n">
        <v>136.515</v>
      </c>
      <c r="T219" t="n">
        <v>147.916</v>
      </c>
      <c r="U219" t="n">
        <v>159.335</v>
      </c>
      <c r="V219" t="n">
        <v>148.284</v>
      </c>
      <c r="W219" t="n">
        <v>159.989</v>
      </c>
      <c r="X219" t="n">
        <v>171.797</v>
      </c>
      <c r="Y219" t="n">
        <v>217.681</v>
      </c>
      <c r="Z219" t="n">
        <v>218.164</v>
      </c>
      <c r="AA219" t="n">
        <v>172.98</v>
      </c>
      <c r="AB219" t="n">
        <v>79.435</v>
      </c>
      <c r="AC219" t="n">
        <v>2.33</v>
      </c>
      <c r="AD219" t="n">
        <v>1171.24</v>
      </c>
      <c r="AE219" t="n">
        <v>163.954</v>
      </c>
      <c r="AF219" t="n">
        <v>280.734</v>
      </c>
      <c r="AG219" t="n">
        <v>355.831</v>
      </c>
      <c r="AH219" t="n">
        <v>401.605</v>
      </c>
      <c r="AI219" t="n">
        <v>484.053</v>
      </c>
      <c r="AJ219" t="n">
        <v>464.369</v>
      </c>
      <c r="AK219" t="n">
        <v>444.125</v>
      </c>
      <c r="AL219" t="n">
        <v>519.563</v>
      </c>
      <c r="AM219" t="n">
        <v>363.025</v>
      </c>
      <c r="AN219" t="n">
        <v>357.521</v>
      </c>
      <c r="AO219" t="n">
        <v>517.393</v>
      </c>
      <c r="AP219" t="n">
        <v>336.734</v>
      </c>
      <c r="AQ219" t="n">
        <v>392.23</v>
      </c>
      <c r="AR219" t="n">
        <v>474.593</v>
      </c>
      <c r="AS219" t="n">
        <v>638.564</v>
      </c>
      <c r="AT219" t="n">
        <v>718.275</v>
      </c>
      <c r="AU219" t="n">
        <v>274.749</v>
      </c>
      <c r="AV219" t="n">
        <v>787.514</v>
      </c>
      <c r="AW219" t="n">
        <v>572.5599999999999</v>
      </c>
      <c r="AX219" t="n">
        <v>2256.168</v>
      </c>
      <c r="AY219" t="n">
        <v>2844.424</v>
      </c>
      <c r="AZ219" t="n">
        <v>1490.345</v>
      </c>
      <c r="BA219" t="n">
        <v>1339.25</v>
      </c>
      <c r="BB219" t="n">
        <v>1380.293</v>
      </c>
      <c r="BC219" t="n">
        <v>1822.173</v>
      </c>
      <c r="BD219" t="n">
        <v>1324.187</v>
      </c>
      <c r="BE219" t="n">
        <v>1405.075</v>
      </c>
      <c r="BF219" t="n">
        <v>1264.798</v>
      </c>
      <c r="BG219" t="n">
        <v>499.767</v>
      </c>
      <c r="BH219" t="n">
        <v>662.677</v>
      </c>
      <c r="BI219" t="n">
        <v>1810.287</v>
      </c>
      <c r="BJ219" t="n">
        <v>2425.808</v>
      </c>
      <c r="BK219" t="n">
        <v>1979.504</v>
      </c>
      <c r="BL219" t="n">
        <v>2300.111</v>
      </c>
      <c r="BM219" t="n">
        <v>4277.915</v>
      </c>
      <c r="BN219" t="n">
        <v>160.965</v>
      </c>
      <c r="BO219" t="n">
        <v>181.175</v>
      </c>
      <c r="BP219" t="n">
        <v>188.382</v>
      </c>
      <c r="BQ219" t="n">
        <v>172.647</v>
      </c>
      <c r="BR219" t="n">
        <v>177.786</v>
      </c>
      <c r="BS219" t="n">
        <v>184.13</v>
      </c>
      <c r="BT219" t="n">
        <v>170.752</v>
      </c>
      <c r="BU219" t="n">
        <v>161.672</v>
      </c>
      <c r="BV219" t="n">
        <v>151.523</v>
      </c>
    </row>
    <row r="220">
      <c r="A220" t="inlineStr">
        <is>
          <t>Balistidae</t>
        </is>
      </c>
      <c r="B220" t="inlineStr">
        <is>
          <t>Triggerfishes</t>
        </is>
      </c>
      <c r="C220" t="inlineStr">
        <is>
          <t>Medium reef assoc. fish (30 - 89 cm)</t>
        </is>
      </c>
      <c r="D220" t="inlineStr">
        <is>
          <t>Other fishes &amp; inverts</t>
        </is>
      </c>
      <c r="E220" t="n">
        <v>26.254</v>
      </c>
      <c r="F220" t="n">
        <v>29.438</v>
      </c>
      <c r="G220" t="n">
        <v>29.33</v>
      </c>
      <c r="H220" t="n">
        <v>28.904</v>
      </c>
      <c r="I220" t="n">
        <v>34.248</v>
      </c>
      <c r="J220" t="n">
        <v>36.203</v>
      </c>
      <c r="K220" t="n">
        <v>38.912</v>
      </c>
      <c r="L220" t="n">
        <v>38.623</v>
      </c>
      <c r="M220" t="n">
        <v>41.273</v>
      </c>
      <c r="N220" t="n">
        <v>42.81</v>
      </c>
      <c r="O220" t="n">
        <v>47.055</v>
      </c>
      <c r="P220" t="n">
        <v>45.956</v>
      </c>
      <c r="Q220" t="n">
        <v>51.003</v>
      </c>
      <c r="R220" t="n">
        <v>59.402</v>
      </c>
      <c r="S220" t="n">
        <v>67.345</v>
      </c>
      <c r="T220" t="n">
        <v>77.288</v>
      </c>
      <c r="U220" t="n">
        <v>82.184</v>
      </c>
      <c r="V220" t="n">
        <v>89.736</v>
      </c>
      <c r="W220" t="n">
        <v>99.232</v>
      </c>
      <c r="X220" t="n">
        <v>93.983</v>
      </c>
      <c r="Y220" t="n">
        <v>102.272</v>
      </c>
      <c r="Z220" t="n">
        <v>103.425</v>
      </c>
      <c r="AA220" t="n">
        <v>110.503</v>
      </c>
      <c r="AB220" t="n">
        <v>119.232</v>
      </c>
      <c r="AC220" t="n">
        <v>121.726</v>
      </c>
      <c r="AD220" t="n">
        <v>128.266</v>
      </c>
      <c r="AE220" t="n">
        <v>190.79</v>
      </c>
      <c r="AF220" t="n">
        <v>207.078</v>
      </c>
      <c r="AG220" t="n">
        <v>234.256</v>
      </c>
      <c r="AH220" t="n">
        <v>232.153</v>
      </c>
      <c r="AI220" t="n">
        <v>242.011</v>
      </c>
      <c r="AJ220" t="n">
        <v>265.244</v>
      </c>
      <c r="AK220" t="n">
        <v>257.958</v>
      </c>
      <c r="AL220" t="n">
        <v>259.347</v>
      </c>
      <c r="AM220" t="n">
        <v>224.744</v>
      </c>
      <c r="AN220" t="n">
        <v>283.151</v>
      </c>
      <c r="AO220" t="n">
        <v>261.257</v>
      </c>
      <c r="AP220" t="n">
        <v>276.468</v>
      </c>
      <c r="AQ220" t="n">
        <v>303.307</v>
      </c>
      <c r="AR220" t="n">
        <v>267.947</v>
      </c>
      <c r="AS220" t="n">
        <v>586.896</v>
      </c>
      <c r="AT220" t="n">
        <v>779.8920000000001</v>
      </c>
      <c r="AU220" t="n">
        <v>559.208</v>
      </c>
      <c r="AV220" t="n">
        <v>8060.99</v>
      </c>
      <c r="AW220" t="n">
        <v>629.337</v>
      </c>
      <c r="AX220" t="n">
        <v>8902.641</v>
      </c>
      <c r="AY220" t="n">
        <v>635.9</v>
      </c>
      <c r="AZ220" t="n">
        <v>463.948</v>
      </c>
      <c r="BA220" t="n">
        <v>485.304</v>
      </c>
      <c r="BB220" t="n">
        <v>564.47</v>
      </c>
      <c r="BC220" t="n">
        <v>572.1559999999999</v>
      </c>
      <c r="BD220" t="n">
        <v>578.992</v>
      </c>
      <c r="BE220" t="n">
        <v>600.854</v>
      </c>
      <c r="BF220" t="n">
        <v>823.439</v>
      </c>
      <c r="BG220" t="n">
        <v>836.727</v>
      </c>
      <c r="BH220" t="n">
        <v>736.4690000000001</v>
      </c>
      <c r="BI220" t="n">
        <v>710.849</v>
      </c>
      <c r="BJ220" t="n">
        <v>724.433</v>
      </c>
      <c r="BK220" t="n">
        <v>747.032</v>
      </c>
      <c r="BL220" t="n">
        <v>800.954</v>
      </c>
      <c r="BM220" t="n">
        <v>823.524</v>
      </c>
      <c r="BN220" t="n">
        <v>948.879</v>
      </c>
      <c r="BO220" t="n">
        <v>991.091</v>
      </c>
      <c r="BP220" t="n">
        <v>978.115</v>
      </c>
      <c r="BQ220" t="n">
        <v>961.26</v>
      </c>
      <c r="BR220" t="n">
        <v>971.556</v>
      </c>
      <c r="BS220" t="n">
        <v>997.2670000000001</v>
      </c>
      <c r="BT220" t="n">
        <v>956.479</v>
      </c>
      <c r="BU220" t="n">
        <v>524.925</v>
      </c>
      <c r="BV220" t="n">
        <v>521.266</v>
      </c>
    </row>
    <row r="221">
      <c r="A221" t="inlineStr">
        <is>
          <t>Gymnocranius</t>
        </is>
      </c>
      <c r="B221" t="inlineStr">
        <is>
          <t>Largeeye breams</t>
        </is>
      </c>
      <c r="C221" t="inlineStr">
        <is>
          <t>Medium reef assoc. fish (30 - 89 cm)</t>
        </is>
      </c>
      <c r="D221" t="inlineStr">
        <is>
          <t>Perch-likes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448.227</v>
      </c>
      <c r="W221" t="n">
        <v>598.569</v>
      </c>
      <c r="X221" t="n">
        <v>749.385</v>
      </c>
      <c r="Y221" t="n">
        <v>600.45</v>
      </c>
      <c r="Z221" t="n">
        <v>601.398</v>
      </c>
      <c r="AA221" t="n">
        <v>602.35</v>
      </c>
      <c r="AB221" t="n">
        <v>754.133</v>
      </c>
      <c r="AC221" t="n">
        <v>947.1900000000001</v>
      </c>
      <c r="AD221" t="n">
        <v>1059.16</v>
      </c>
      <c r="AE221" t="n">
        <v>1328.002</v>
      </c>
      <c r="AF221" t="n">
        <v>1309.255</v>
      </c>
      <c r="AG221" t="n">
        <v>1333.735</v>
      </c>
      <c r="AH221" t="n">
        <v>2441.034</v>
      </c>
      <c r="AI221" t="n">
        <v>1953.357</v>
      </c>
      <c r="AJ221" t="n">
        <v>1680.649</v>
      </c>
      <c r="AK221" t="n">
        <v>1592.998</v>
      </c>
      <c r="AL221" t="n">
        <v>1361.252</v>
      </c>
      <c r="AM221" t="n">
        <v>1347.962</v>
      </c>
      <c r="AN221" t="n">
        <v>1132.362</v>
      </c>
      <c r="AO221" t="n">
        <v>1327.185</v>
      </c>
      <c r="AP221" t="n">
        <v>1776.054</v>
      </c>
      <c r="AQ221" t="n">
        <v>1517.855</v>
      </c>
      <c r="AR221" t="n">
        <v>1557.402</v>
      </c>
      <c r="AS221" t="n">
        <v>1260.753</v>
      </c>
      <c r="AT221" t="n">
        <v>1575.056</v>
      </c>
      <c r="AU221" t="n">
        <v>1712.753</v>
      </c>
      <c r="AV221" t="n">
        <v>576.395</v>
      </c>
      <c r="AW221" t="n">
        <v>461.797</v>
      </c>
      <c r="AX221" t="n">
        <v>440.079</v>
      </c>
      <c r="AY221" t="n">
        <v>479.461</v>
      </c>
      <c r="AZ221" t="n">
        <v>391.773</v>
      </c>
      <c r="BA221" t="n">
        <v>329.55</v>
      </c>
      <c r="BB221" t="n">
        <v>230.454</v>
      </c>
      <c r="BC221" t="n">
        <v>276.545</v>
      </c>
      <c r="BD221" t="n">
        <v>299.591</v>
      </c>
      <c r="BE221" t="n">
        <v>276.545</v>
      </c>
      <c r="BF221" t="n">
        <v>253.5</v>
      </c>
      <c r="BG221" t="n">
        <v>276.545</v>
      </c>
      <c r="BH221" t="n">
        <v>267.327</v>
      </c>
      <c r="BI221" t="n">
        <v>246.586</v>
      </c>
      <c r="BJ221" t="n">
        <v>246.586</v>
      </c>
      <c r="BK221" t="n">
        <v>253.5</v>
      </c>
      <c r="BL221" t="n">
        <v>265.023</v>
      </c>
      <c r="BM221" t="n">
        <v>276.545</v>
      </c>
      <c r="BN221" t="n">
        <v>281.044</v>
      </c>
      <c r="BO221" t="n">
        <v>254.991</v>
      </c>
      <c r="BP221" t="n">
        <v>277.217</v>
      </c>
      <c r="BQ221" t="n">
        <v>262.941</v>
      </c>
      <c r="BR221" t="n">
        <v>237.23</v>
      </c>
      <c r="BS221" t="n">
        <v>233.298</v>
      </c>
      <c r="BT221" t="n">
        <v>208.54</v>
      </c>
      <c r="BU221" t="n">
        <v>203.246</v>
      </c>
      <c r="BV221" t="n">
        <v>200.995</v>
      </c>
    </row>
    <row r="222">
      <c r="A222" t="inlineStr">
        <is>
          <t>Penaeus latisulcatus</t>
        </is>
      </c>
      <c r="B222" t="inlineStr">
        <is>
          <t>Western king prawn</t>
        </is>
      </c>
      <c r="C222" t="inlineStr">
        <is>
          <t>Shrimps</t>
        </is>
      </c>
      <c r="D222" t="inlineStr">
        <is>
          <t>Crustaceans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15.8</v>
      </c>
      <c r="Z222" t="n">
        <v>20.282</v>
      </c>
      <c r="AA222" t="n">
        <v>26.9</v>
      </c>
      <c r="AB222" t="n">
        <v>62.808</v>
      </c>
      <c r="AC222" t="n">
        <v>57.406</v>
      </c>
      <c r="AD222" t="n">
        <v>50.404</v>
      </c>
      <c r="AE222" t="n">
        <v>60.746</v>
      </c>
      <c r="AF222" t="n">
        <v>82.167</v>
      </c>
      <c r="AG222" t="n">
        <v>122.151</v>
      </c>
      <c r="AH222" t="n">
        <v>124.765</v>
      </c>
      <c r="AI222" t="n">
        <v>126.046</v>
      </c>
      <c r="AJ222" t="n">
        <v>114.72</v>
      </c>
      <c r="AK222" t="n">
        <v>77.249</v>
      </c>
      <c r="AL222" t="n">
        <v>101.721</v>
      </c>
      <c r="AM222" t="n">
        <v>91.371</v>
      </c>
      <c r="AN222" t="n">
        <v>93.187</v>
      </c>
      <c r="AO222" t="n">
        <v>118.315</v>
      </c>
      <c r="AP222" t="n">
        <v>127.629</v>
      </c>
      <c r="AQ222" t="n">
        <v>120.242</v>
      </c>
      <c r="AR222" t="n">
        <v>138.667</v>
      </c>
      <c r="AS222" t="n">
        <v>1079.003</v>
      </c>
      <c r="AT222" t="n">
        <v>1168.548</v>
      </c>
      <c r="AU222" t="n">
        <v>1124.633</v>
      </c>
      <c r="AV222" t="n">
        <v>1047.558</v>
      </c>
      <c r="AW222" t="n">
        <v>1053.334</v>
      </c>
      <c r="AX222" t="n">
        <v>223.574</v>
      </c>
      <c r="AY222" t="n">
        <v>243.7</v>
      </c>
      <c r="AZ222" t="n">
        <v>280.416</v>
      </c>
      <c r="BA222" t="n">
        <v>283.424</v>
      </c>
      <c r="BB222" t="n">
        <v>415.439</v>
      </c>
      <c r="BC222" t="n">
        <v>467.422</v>
      </c>
      <c r="BD222" t="n">
        <v>435.267</v>
      </c>
      <c r="BE222" t="n">
        <v>502.429</v>
      </c>
      <c r="BF222" t="n">
        <v>398.101</v>
      </c>
      <c r="BG222" t="n">
        <v>447.889</v>
      </c>
      <c r="BH222" t="n">
        <v>2627.85</v>
      </c>
      <c r="BI222" t="n">
        <v>2484.871</v>
      </c>
      <c r="BJ222" t="n">
        <v>2439.126</v>
      </c>
      <c r="BK222" t="n">
        <v>2368.766</v>
      </c>
      <c r="BL222" t="n">
        <v>1832.004</v>
      </c>
      <c r="BM222" t="n">
        <v>1601.669</v>
      </c>
      <c r="BN222" t="n">
        <v>1556.509</v>
      </c>
      <c r="BO222" t="n">
        <v>1752.547</v>
      </c>
      <c r="BP222" t="n">
        <v>1818.67</v>
      </c>
      <c r="BQ222" t="n">
        <v>1679.103</v>
      </c>
      <c r="BR222" t="n">
        <v>1724.44</v>
      </c>
      <c r="BS222" t="n">
        <v>1782.337</v>
      </c>
      <c r="BT222" t="n">
        <v>1660.652</v>
      </c>
      <c r="BU222" t="n">
        <v>1488.51</v>
      </c>
      <c r="BV222" t="n">
        <v>1395.811</v>
      </c>
    </row>
    <row r="223">
      <c r="A223" t="inlineStr">
        <is>
          <t>Dussumieria elopsoides</t>
        </is>
      </c>
      <c r="B223" t="inlineStr">
        <is>
          <t>Slender rainbow sardine</t>
        </is>
      </c>
      <c r="C223" t="inlineStr">
        <is>
          <t>Small pelagics (&lt;30 cm)</t>
        </is>
      </c>
      <c r="D223" t="inlineStr">
        <is>
          <t>Herring-likes</t>
        </is>
      </c>
      <c r="E223" t="n">
        <v>3.373</v>
      </c>
      <c r="F223" t="n">
        <v>3.373</v>
      </c>
      <c r="G223" t="n">
        <v>4.497</v>
      </c>
      <c r="H223" t="n">
        <v>1639.019</v>
      </c>
      <c r="I223" t="n">
        <v>2623.468</v>
      </c>
      <c r="J223" t="n">
        <v>167.386</v>
      </c>
      <c r="K223" t="n">
        <v>3.373</v>
      </c>
      <c r="L223" t="n">
        <v>825.861</v>
      </c>
      <c r="M223" t="n">
        <v>3.534</v>
      </c>
      <c r="N223" t="n">
        <v>3.373</v>
      </c>
      <c r="O223" t="n">
        <v>4.497</v>
      </c>
      <c r="P223" t="n">
        <v>5.622</v>
      </c>
      <c r="Q223" t="n">
        <v>5.782</v>
      </c>
      <c r="R223" t="n">
        <v>9.154999999999999</v>
      </c>
      <c r="S223" t="n">
        <v>1006.778</v>
      </c>
      <c r="T223" t="n">
        <v>175.161</v>
      </c>
      <c r="U223" t="n">
        <v>177.843</v>
      </c>
      <c r="V223" t="n">
        <v>678.715</v>
      </c>
      <c r="W223" t="n">
        <v>686.7809999999999</v>
      </c>
      <c r="X223" t="n">
        <v>1190.054</v>
      </c>
      <c r="Y223" t="n">
        <v>1363.136</v>
      </c>
      <c r="Z223" t="n">
        <v>1541.804</v>
      </c>
      <c r="AA223" t="n">
        <v>2391.179</v>
      </c>
      <c r="AB223" t="n">
        <v>1735.61</v>
      </c>
      <c r="AC223" t="n">
        <v>677.109</v>
      </c>
      <c r="AD223" t="n">
        <v>1482.158</v>
      </c>
      <c r="AE223" t="n">
        <v>1140.534</v>
      </c>
      <c r="AF223" t="n">
        <v>991.2910000000001</v>
      </c>
      <c r="AG223" t="n">
        <v>1143.619</v>
      </c>
      <c r="AH223" t="n">
        <v>798.148</v>
      </c>
      <c r="AI223" t="n">
        <v>1160.972</v>
      </c>
      <c r="AJ223" t="n">
        <v>934.626</v>
      </c>
      <c r="AK223" t="n">
        <v>432.813</v>
      </c>
      <c r="AL223" t="n">
        <v>457.192</v>
      </c>
      <c r="AM223" t="n">
        <v>563.284</v>
      </c>
      <c r="AN223" t="n">
        <v>476.073</v>
      </c>
      <c r="AO223" t="n">
        <v>387.326</v>
      </c>
      <c r="AP223" t="n">
        <v>491.23</v>
      </c>
      <c r="AQ223" t="n">
        <v>398.565</v>
      </c>
      <c r="AR223" t="n">
        <v>1042.675</v>
      </c>
      <c r="AS223" t="n">
        <v>824.149</v>
      </c>
      <c r="AT223" t="n">
        <v>1405.458</v>
      </c>
      <c r="AU223" t="n">
        <v>1313.284</v>
      </c>
      <c r="AV223" t="n">
        <v>331.077</v>
      </c>
      <c r="AW223" t="n">
        <v>363.525</v>
      </c>
      <c r="AX223" t="n">
        <v>692.765</v>
      </c>
      <c r="AY223" t="n">
        <v>303.812</v>
      </c>
      <c r="AZ223" t="n">
        <v>196.112</v>
      </c>
      <c r="BA223" t="n">
        <v>188.73</v>
      </c>
      <c r="BB223" t="n">
        <v>178.255</v>
      </c>
      <c r="BC223" t="n">
        <v>212.885</v>
      </c>
      <c r="BD223" t="n">
        <v>242.68</v>
      </c>
      <c r="BE223" t="n">
        <v>257.966</v>
      </c>
      <c r="BF223" t="n">
        <v>267.307</v>
      </c>
      <c r="BG223" t="n">
        <v>247.161</v>
      </c>
      <c r="BH223" t="n">
        <v>262.621</v>
      </c>
      <c r="BI223" t="n">
        <v>213.103</v>
      </c>
      <c r="BJ223" t="n">
        <v>224.027</v>
      </c>
      <c r="BK223" t="n">
        <v>193.672</v>
      </c>
      <c r="BL223" t="n">
        <v>185.39</v>
      </c>
      <c r="BM223" t="n">
        <v>195.411</v>
      </c>
      <c r="BN223" t="n">
        <v>192.777</v>
      </c>
      <c r="BO223" t="n">
        <v>204.33</v>
      </c>
      <c r="BP223" t="n">
        <v>196.364</v>
      </c>
      <c r="BQ223" t="n">
        <v>181.191</v>
      </c>
      <c r="BR223" t="n">
        <v>182.732</v>
      </c>
      <c r="BS223" t="n">
        <v>187.754</v>
      </c>
      <c r="BT223" t="n">
        <v>174.175</v>
      </c>
      <c r="BU223" t="n">
        <v>165.562</v>
      </c>
      <c r="BV223" t="n">
        <v>157.095</v>
      </c>
    </row>
    <row r="224">
      <c r="A224" t="inlineStr">
        <is>
          <t>Megalops cyprinoides</t>
        </is>
      </c>
      <c r="B224" t="inlineStr">
        <is>
          <t>Indo-Pacific tarpon</t>
        </is>
      </c>
      <c r="C224" t="inlineStr">
        <is>
          <t>Large pelagics (&gt;=90 cm)</t>
        </is>
      </c>
      <c r="D224" t="inlineStr">
        <is>
          <t>Other fishes &amp; inverts</t>
        </is>
      </c>
      <c r="E224" t="n">
        <v>181.048</v>
      </c>
      <c r="F224" t="n">
        <v>179.837</v>
      </c>
      <c r="G224" t="n">
        <v>189.11</v>
      </c>
      <c r="H224" t="n">
        <v>200.619</v>
      </c>
      <c r="I224" t="n">
        <v>210.301</v>
      </c>
      <c r="J224" t="n">
        <v>220.338</v>
      </c>
      <c r="K224" t="n">
        <v>231.033</v>
      </c>
      <c r="L224" t="n">
        <v>241.785</v>
      </c>
      <c r="M224" t="n">
        <v>255.018</v>
      </c>
      <c r="N224" t="n">
        <v>266.722</v>
      </c>
      <c r="O224" t="n">
        <v>285.928</v>
      </c>
      <c r="P224" t="n">
        <v>295.013</v>
      </c>
      <c r="Q224" t="n">
        <v>306.964</v>
      </c>
      <c r="R224" t="n">
        <v>327.707</v>
      </c>
      <c r="S224" t="n">
        <v>340.232</v>
      </c>
      <c r="T224" t="n">
        <v>532.71</v>
      </c>
      <c r="U224" t="n">
        <v>578.764</v>
      </c>
      <c r="V224" t="n">
        <v>709.171</v>
      </c>
      <c r="W224" t="n">
        <v>699.573</v>
      </c>
      <c r="X224" t="n">
        <v>674.97</v>
      </c>
      <c r="Y224" t="n">
        <v>686.9930000000001</v>
      </c>
      <c r="Z224" t="n">
        <v>703.912</v>
      </c>
      <c r="AA224" t="n">
        <v>677.809</v>
      </c>
      <c r="AB224" t="n">
        <v>691.6900000000001</v>
      </c>
      <c r="AC224" t="n">
        <v>734.809</v>
      </c>
      <c r="AD224" t="n">
        <v>801.12</v>
      </c>
      <c r="AE224" t="n">
        <v>879.63</v>
      </c>
      <c r="AF224" t="n">
        <v>936.175</v>
      </c>
      <c r="AG224" t="n">
        <v>862.63</v>
      </c>
      <c r="AH224" t="n">
        <v>848.321</v>
      </c>
      <c r="AI224" t="n">
        <v>975.482</v>
      </c>
      <c r="AJ224" t="n">
        <v>1107.872</v>
      </c>
      <c r="AK224" t="n">
        <v>1090.632</v>
      </c>
      <c r="AL224" t="n">
        <v>1310.072</v>
      </c>
      <c r="AM224" t="n">
        <v>1463.619</v>
      </c>
      <c r="AN224" t="n">
        <v>1578.89</v>
      </c>
      <c r="AO224" t="n">
        <v>1697.366</v>
      </c>
      <c r="AP224" t="n">
        <v>1704.753</v>
      </c>
      <c r="AQ224" t="n">
        <v>1807.394</v>
      </c>
      <c r="AR224" t="n">
        <v>1720.54</v>
      </c>
      <c r="AS224" t="n">
        <v>1622.99</v>
      </c>
      <c r="AT224" t="n">
        <v>146.009</v>
      </c>
      <c r="AU224" t="n">
        <v>149.619</v>
      </c>
      <c r="AV224" t="n">
        <v>145.572</v>
      </c>
      <c r="AW224" t="n">
        <v>200.051</v>
      </c>
      <c r="AX224" t="n">
        <v>251.732</v>
      </c>
      <c r="AY224" t="n">
        <v>283.846</v>
      </c>
      <c r="AZ224" t="n">
        <v>278.467</v>
      </c>
      <c r="BA224" t="n">
        <v>232.158</v>
      </c>
      <c r="BB224" t="n">
        <v>286.097</v>
      </c>
      <c r="BC224" t="n">
        <v>254.848</v>
      </c>
      <c r="BD224" t="n">
        <v>253.032</v>
      </c>
      <c r="BE224" t="n">
        <v>147.685</v>
      </c>
      <c r="BF224" t="n">
        <v>161.019</v>
      </c>
      <c r="BG224" t="n">
        <v>147.524</v>
      </c>
      <c r="BH224" t="n">
        <v>297.928</v>
      </c>
      <c r="BI224" t="n">
        <v>304.339</v>
      </c>
      <c r="BJ224" t="n">
        <v>301.22</v>
      </c>
      <c r="BK224" t="n">
        <v>320.043</v>
      </c>
      <c r="BL224" t="n">
        <v>183.313</v>
      </c>
      <c r="BM224" t="n">
        <v>187.063</v>
      </c>
      <c r="BN224" t="n">
        <v>192.341</v>
      </c>
      <c r="BO224" t="n">
        <v>206.167</v>
      </c>
      <c r="BP224" t="n">
        <v>209.795</v>
      </c>
      <c r="BQ224" t="n">
        <v>191.922</v>
      </c>
      <c r="BR224" t="n">
        <v>194.878</v>
      </c>
      <c r="BS224" t="n">
        <v>203.18</v>
      </c>
      <c r="BT224" t="n">
        <v>188.22</v>
      </c>
      <c r="BU224" t="n">
        <v>177.529</v>
      </c>
      <c r="BV224" t="n">
        <v>177.536</v>
      </c>
    </row>
    <row r="225">
      <c r="A225" t="inlineStr">
        <is>
          <t>Plectorhinchus</t>
        </is>
      </c>
      <c r="B225" t="inlineStr">
        <is>
          <t>Sweetlips</t>
        </is>
      </c>
      <c r="C225" t="inlineStr">
        <is>
          <t>Medium reef assoc. fish (30 - 89 cm)</t>
        </is>
      </c>
      <c r="D225" t="inlineStr">
        <is>
          <t>Perch-likes</t>
        </is>
      </c>
      <c r="E225" t="n">
        <v>84.43300000000001</v>
      </c>
      <c r="F225" t="n">
        <v>82.994</v>
      </c>
      <c r="G225" t="n">
        <v>84.79300000000001</v>
      </c>
      <c r="H225" t="n">
        <v>86.73399999999999</v>
      </c>
      <c r="I225" t="n">
        <v>90.19</v>
      </c>
      <c r="J225" t="n">
        <v>94.926</v>
      </c>
      <c r="K225" t="n">
        <v>99.148</v>
      </c>
      <c r="L225" t="n">
        <v>103.875</v>
      </c>
      <c r="M225" t="n">
        <v>110.88</v>
      </c>
      <c r="N225" t="n">
        <v>116.446</v>
      </c>
      <c r="O225" t="n">
        <v>124.38</v>
      </c>
      <c r="P225" t="n">
        <v>128.691</v>
      </c>
      <c r="Q225" t="n">
        <v>135.439</v>
      </c>
      <c r="R225" t="n">
        <v>143.477</v>
      </c>
      <c r="S225" t="n">
        <v>153.283</v>
      </c>
      <c r="T225" t="n">
        <v>213.819</v>
      </c>
      <c r="U225" t="n">
        <v>229.643</v>
      </c>
      <c r="V225" t="n">
        <v>275.758</v>
      </c>
      <c r="W225" t="n">
        <v>272.217</v>
      </c>
      <c r="X225" t="n">
        <v>261.058</v>
      </c>
      <c r="Y225" t="n">
        <v>256.714</v>
      </c>
      <c r="Z225" t="n">
        <v>261.267</v>
      </c>
      <c r="AA225" t="n">
        <v>260.405</v>
      </c>
      <c r="AB225" t="n">
        <v>267</v>
      </c>
      <c r="AC225" t="n">
        <v>281.864</v>
      </c>
      <c r="AD225" t="n">
        <v>531.544</v>
      </c>
      <c r="AE225" t="n">
        <v>740.548</v>
      </c>
      <c r="AF225" t="n">
        <v>821.381</v>
      </c>
      <c r="AG225" t="n">
        <v>522.775</v>
      </c>
      <c r="AH225" t="n">
        <v>493.704</v>
      </c>
      <c r="AI225" t="n">
        <v>470.798</v>
      </c>
      <c r="AJ225" t="n">
        <v>562.389</v>
      </c>
      <c r="AK225" t="n">
        <v>494.169</v>
      </c>
      <c r="AL225" t="n">
        <v>589.398</v>
      </c>
      <c r="AM225" t="n">
        <v>633.029</v>
      </c>
      <c r="AN225" t="n">
        <v>732.256</v>
      </c>
      <c r="AO225" t="n">
        <v>810.019</v>
      </c>
      <c r="AP225" t="n">
        <v>775.95</v>
      </c>
      <c r="AQ225" t="n">
        <v>786.443</v>
      </c>
      <c r="AR225" t="n">
        <v>784.73</v>
      </c>
      <c r="AS225" t="n">
        <v>787.381</v>
      </c>
      <c r="AT225" t="n">
        <v>748.7569999999999</v>
      </c>
      <c r="AU225" t="n">
        <v>329.442</v>
      </c>
      <c r="AV225" t="n">
        <v>634.765</v>
      </c>
      <c r="AW225" t="n">
        <v>353.728</v>
      </c>
      <c r="AX225" t="n">
        <v>636.824</v>
      </c>
      <c r="AY225" t="n">
        <v>520.324</v>
      </c>
      <c r="AZ225" t="n">
        <v>574.013</v>
      </c>
      <c r="BA225" t="n">
        <v>561.684</v>
      </c>
      <c r="BB225" t="n">
        <v>690.215</v>
      </c>
      <c r="BC225" t="n">
        <v>1100.12</v>
      </c>
      <c r="BD225" t="n">
        <v>1135.095</v>
      </c>
      <c r="BE225" t="n">
        <v>1168.522</v>
      </c>
      <c r="BF225" t="n">
        <v>1218.821</v>
      </c>
      <c r="BG225" t="n">
        <v>1229.164</v>
      </c>
      <c r="BH225" t="n">
        <v>712.737</v>
      </c>
      <c r="BI225" t="n">
        <v>744.965</v>
      </c>
      <c r="BJ225" t="n">
        <v>743.103</v>
      </c>
      <c r="BK225" t="n">
        <v>773.203</v>
      </c>
      <c r="BL225" t="n">
        <v>685.922</v>
      </c>
      <c r="BM225" t="n">
        <v>718.234</v>
      </c>
      <c r="BN225" t="n">
        <v>698.902</v>
      </c>
      <c r="BO225" t="n">
        <v>771.061</v>
      </c>
      <c r="BP225" t="n">
        <v>821.91</v>
      </c>
      <c r="BQ225" t="n">
        <v>741.12</v>
      </c>
      <c r="BR225" t="n">
        <v>758.321</v>
      </c>
      <c r="BS225" t="n">
        <v>799.116</v>
      </c>
      <c r="BT225" t="n">
        <v>728.419</v>
      </c>
      <c r="BU225" t="n">
        <v>699.179</v>
      </c>
      <c r="BV225" t="n">
        <v>650.265</v>
      </c>
    </row>
    <row r="226">
      <c r="A226" t="inlineStr">
        <is>
          <t>Apostichopus japonicus</t>
        </is>
      </c>
      <c r="B226" t="inlineStr">
        <is>
          <t>Japanese sea cucumber</t>
        </is>
      </c>
      <c r="C226" t="inlineStr">
        <is>
          <t>Other demersal invertebrates</t>
        </is>
      </c>
      <c r="D226" t="inlineStr">
        <is>
          <t>Other fishes &amp; inverts</t>
        </is>
      </c>
      <c r="E226" t="n">
        <v>256.418</v>
      </c>
      <c r="F226" t="n">
        <v>330.744</v>
      </c>
      <c r="G226" t="n">
        <v>395.948</v>
      </c>
      <c r="H226" t="n">
        <v>927.732</v>
      </c>
      <c r="I226" t="n">
        <v>1100.012</v>
      </c>
      <c r="J226" t="n">
        <v>1359.26</v>
      </c>
      <c r="K226" t="n">
        <v>858.679</v>
      </c>
      <c r="L226" t="n">
        <v>909.752</v>
      </c>
      <c r="M226" t="n">
        <v>74.771</v>
      </c>
      <c r="N226" t="n">
        <v>596.973</v>
      </c>
      <c r="O226" t="n">
        <v>798.043</v>
      </c>
      <c r="P226" t="n">
        <v>202.882</v>
      </c>
      <c r="Q226" t="n">
        <v>150.243</v>
      </c>
      <c r="R226" t="n">
        <v>175.706</v>
      </c>
      <c r="S226" t="n">
        <v>390.549</v>
      </c>
      <c r="T226" t="n">
        <v>336.461</v>
      </c>
      <c r="U226" t="n">
        <v>552.197</v>
      </c>
      <c r="V226" t="n">
        <v>514.927</v>
      </c>
      <c r="W226" t="n">
        <v>440.582</v>
      </c>
      <c r="X226" t="n">
        <v>434.452</v>
      </c>
      <c r="Y226" t="n">
        <v>323.098</v>
      </c>
      <c r="Z226" t="n">
        <v>665.581</v>
      </c>
      <c r="AA226" t="n">
        <v>640.582</v>
      </c>
      <c r="AB226" t="n">
        <v>397.057</v>
      </c>
      <c r="AC226" t="n">
        <v>626.2329999999999</v>
      </c>
      <c r="AD226" t="n">
        <v>398.709</v>
      </c>
      <c r="AE226" t="n">
        <v>681.074</v>
      </c>
      <c r="AF226" t="n">
        <v>668.425</v>
      </c>
      <c r="AG226" t="n">
        <v>450.644</v>
      </c>
      <c r="AH226" t="n">
        <v>537.139</v>
      </c>
      <c r="AI226" t="n">
        <v>441.515</v>
      </c>
      <c r="AJ226" t="n">
        <v>484.965</v>
      </c>
      <c r="AK226" t="n">
        <v>582.254</v>
      </c>
      <c r="AL226" t="n">
        <v>656.157</v>
      </c>
      <c r="AM226" t="n">
        <v>557.087</v>
      </c>
      <c r="AN226" t="n">
        <v>416.288</v>
      </c>
      <c r="AO226" t="n">
        <v>431.372</v>
      </c>
      <c r="AP226" t="n">
        <v>530.564</v>
      </c>
      <c r="AQ226" t="n">
        <v>564.462</v>
      </c>
      <c r="AR226" t="n">
        <v>574.218</v>
      </c>
      <c r="AS226" t="n">
        <v>504.617</v>
      </c>
      <c r="AT226" t="n">
        <v>528.106</v>
      </c>
      <c r="AU226" t="n">
        <v>537.862</v>
      </c>
      <c r="AV226" t="n">
        <v>520.001</v>
      </c>
      <c r="AW226" t="n">
        <v>675.585</v>
      </c>
      <c r="AX226" t="n">
        <v>611.407</v>
      </c>
      <c r="AY226" t="n">
        <v>796.5170000000001</v>
      </c>
      <c r="AZ226" t="n">
        <v>797.0839999999999</v>
      </c>
      <c r="BA226" t="n">
        <v>608.3869999999999</v>
      </c>
      <c r="BB226" t="n">
        <v>362.281</v>
      </c>
      <c r="BC226" t="n">
        <v>384.351</v>
      </c>
      <c r="BD226" t="n">
        <v>246.238</v>
      </c>
      <c r="BE226" t="n">
        <v>220.43</v>
      </c>
      <c r="BF226" t="n">
        <v>201.486</v>
      </c>
      <c r="BG226" t="n">
        <v>189.109</v>
      </c>
      <c r="BH226" t="n">
        <v>184.02</v>
      </c>
      <c r="BI226" t="n">
        <v>240.554</v>
      </c>
      <c r="BJ226" t="n">
        <v>404.412</v>
      </c>
      <c r="BK226" t="n">
        <v>313.178</v>
      </c>
      <c r="BL226" t="n">
        <v>497.79</v>
      </c>
      <c r="BM226" t="n">
        <v>724.332</v>
      </c>
      <c r="BN226" t="n">
        <v>452.07</v>
      </c>
      <c r="BO226" t="n">
        <v>392.835</v>
      </c>
      <c r="BP226" t="n">
        <v>442.233</v>
      </c>
      <c r="BQ226" t="n">
        <v>474.53</v>
      </c>
      <c r="BR226" t="n">
        <v>374.888</v>
      </c>
      <c r="BS226" t="n">
        <v>498.984</v>
      </c>
      <c r="BT226" t="n">
        <v>470.847</v>
      </c>
      <c r="BU226" t="n">
        <v>478.496</v>
      </c>
      <c r="BV226" t="n">
        <v>446.697</v>
      </c>
    </row>
    <row r="227">
      <c r="A227" t="inlineStr">
        <is>
          <t>Portunidae</t>
        </is>
      </c>
      <c r="B227" t="inlineStr">
        <is>
          <t>Swimming crabs</t>
        </is>
      </c>
      <c r="C227" t="inlineStr">
        <is>
          <t>Lobsters, crabs</t>
        </is>
      </c>
      <c r="D227" t="inlineStr">
        <is>
          <t>Crustaceans</t>
        </is>
      </c>
      <c r="E227" t="n">
        <v>22.42</v>
      </c>
      <c r="F227" t="n">
        <v>23.912</v>
      </c>
      <c r="G227" t="n">
        <v>25.401</v>
      </c>
      <c r="H227" t="n">
        <v>25.223</v>
      </c>
      <c r="I227" t="n">
        <v>35.789</v>
      </c>
      <c r="J227" t="n">
        <v>37.16</v>
      </c>
      <c r="K227" t="n">
        <v>36.775</v>
      </c>
      <c r="L227" t="n">
        <v>32.767</v>
      </c>
      <c r="M227" t="n">
        <v>38.74</v>
      </c>
      <c r="N227" t="n">
        <v>39.98</v>
      </c>
      <c r="O227" t="n">
        <v>43.293</v>
      </c>
      <c r="P227" t="n">
        <v>42.555</v>
      </c>
      <c r="Q227" t="n">
        <v>47.788</v>
      </c>
      <c r="R227" t="n">
        <v>88.611</v>
      </c>
      <c r="S227" t="n">
        <v>70.334</v>
      </c>
      <c r="T227" t="n">
        <v>77.289</v>
      </c>
      <c r="U227" t="n">
        <v>76.425</v>
      </c>
      <c r="V227" t="n">
        <v>75.411</v>
      </c>
      <c r="W227" t="n">
        <v>86.645</v>
      </c>
      <c r="X227" t="n">
        <v>73.041</v>
      </c>
      <c r="Y227" t="n">
        <v>296.5</v>
      </c>
      <c r="Z227" t="n">
        <v>190.586</v>
      </c>
      <c r="AA227" t="n">
        <v>292.636</v>
      </c>
      <c r="AB227" t="n">
        <v>228.008</v>
      </c>
      <c r="AC227" t="n">
        <v>376.55</v>
      </c>
      <c r="AD227" t="n">
        <v>360.101</v>
      </c>
      <c r="AE227" t="n">
        <v>261.332</v>
      </c>
      <c r="AF227" t="n">
        <v>199.36</v>
      </c>
      <c r="AG227" t="n">
        <v>319.493</v>
      </c>
      <c r="AH227" t="n">
        <v>447.748</v>
      </c>
      <c r="AI227" t="n">
        <v>630.225</v>
      </c>
      <c r="AJ227" t="n">
        <v>1300.777</v>
      </c>
      <c r="AK227" t="n">
        <v>601.528</v>
      </c>
      <c r="AL227" t="n">
        <v>818.557</v>
      </c>
      <c r="AM227" t="n">
        <v>1033.319</v>
      </c>
      <c r="AN227" t="n">
        <v>840.263</v>
      </c>
      <c r="AO227" t="n">
        <v>692.167</v>
      </c>
      <c r="AP227" t="n">
        <v>534.288</v>
      </c>
      <c r="AQ227" t="n">
        <v>315.911</v>
      </c>
      <c r="AR227" t="n">
        <v>158.396</v>
      </c>
      <c r="AS227" t="n">
        <v>369</v>
      </c>
      <c r="AT227" t="n">
        <v>456.853</v>
      </c>
      <c r="AU227" t="n">
        <v>398.127</v>
      </c>
      <c r="AV227" t="n">
        <v>418.814</v>
      </c>
      <c r="AW227" t="n">
        <v>423.621</v>
      </c>
      <c r="AX227" t="n">
        <v>602.491</v>
      </c>
      <c r="AY227" t="n">
        <v>560.123</v>
      </c>
      <c r="AZ227" t="n">
        <v>639.213</v>
      </c>
      <c r="BA227" t="n">
        <v>619.2809999999999</v>
      </c>
      <c r="BB227" t="n">
        <v>656.873</v>
      </c>
      <c r="BC227" t="n">
        <v>652.845</v>
      </c>
      <c r="BD227" t="n">
        <v>550.275</v>
      </c>
      <c r="BE227" t="n">
        <v>685.975</v>
      </c>
      <c r="BF227" t="n">
        <v>811.341</v>
      </c>
      <c r="BG227" t="n">
        <v>874.005</v>
      </c>
      <c r="BH227" t="n">
        <v>931.701</v>
      </c>
      <c r="BI227" t="n">
        <v>896.124</v>
      </c>
      <c r="BJ227" t="n">
        <v>1004.322</v>
      </c>
      <c r="BK227" t="n">
        <v>1069.201</v>
      </c>
      <c r="BL227" t="n">
        <v>1017.999</v>
      </c>
      <c r="BM227" t="n">
        <v>1038.495</v>
      </c>
      <c r="BN227" t="n">
        <v>1214.812</v>
      </c>
      <c r="BO227" t="n">
        <v>1161.138</v>
      </c>
      <c r="BP227" t="n">
        <v>1105.512</v>
      </c>
      <c r="BQ227" t="n">
        <v>1212.157</v>
      </c>
      <c r="BR227" t="n">
        <v>1118.624</v>
      </c>
      <c r="BS227" t="n">
        <v>1196.965</v>
      </c>
      <c r="BT227" t="n">
        <v>1273.574</v>
      </c>
      <c r="BU227" t="n">
        <v>320.486</v>
      </c>
      <c r="BV227" t="n">
        <v>316.867</v>
      </c>
    </row>
    <row r="228">
      <c r="A228" t="inlineStr">
        <is>
          <t>Haliotidae</t>
        </is>
      </c>
      <c r="B228" t="inlineStr">
        <is>
          <t>Abalones, ear shells</t>
        </is>
      </c>
      <c r="C228" t="inlineStr">
        <is>
          <t>Other demersal invertebrates</t>
        </is>
      </c>
      <c r="D228" t="inlineStr">
        <is>
          <t>Molluscs</t>
        </is>
      </c>
      <c r="E228" t="n">
        <v>496.612</v>
      </c>
      <c r="F228" t="n">
        <v>768.925</v>
      </c>
      <c r="G228" t="n">
        <v>921.038</v>
      </c>
      <c r="H228" t="n">
        <v>1144.979</v>
      </c>
      <c r="I228" t="n">
        <v>949.8049999999999</v>
      </c>
      <c r="J228" t="n">
        <v>1219.417</v>
      </c>
      <c r="K228" t="n">
        <v>1114.222</v>
      </c>
      <c r="L228" t="n">
        <v>1089.368</v>
      </c>
      <c r="M228" t="n">
        <v>1602.726</v>
      </c>
      <c r="N228" t="n">
        <v>2212.675</v>
      </c>
      <c r="O228" t="n">
        <v>2715.724</v>
      </c>
      <c r="P228" t="n">
        <v>1501.386</v>
      </c>
      <c r="Q228" t="n">
        <v>2985.976</v>
      </c>
      <c r="R228" t="n">
        <v>1657.997</v>
      </c>
      <c r="S228" t="n">
        <v>1249.016</v>
      </c>
      <c r="T228" t="n">
        <v>341.37</v>
      </c>
      <c r="U228" t="n">
        <v>400.519</v>
      </c>
      <c r="V228" t="n">
        <v>350.43</v>
      </c>
      <c r="W228" t="n">
        <v>347.606</v>
      </c>
      <c r="X228" t="n">
        <v>245.383</v>
      </c>
      <c r="Y228" t="n">
        <v>232.202</v>
      </c>
      <c r="Z228" t="n">
        <v>522.967</v>
      </c>
      <c r="AA228" t="n">
        <v>695.067</v>
      </c>
      <c r="AB228" t="n">
        <v>1397.2</v>
      </c>
      <c r="AC228" t="n">
        <v>392.65</v>
      </c>
      <c r="AD228" t="n">
        <v>390.822</v>
      </c>
      <c r="AE228" t="n">
        <v>374.455</v>
      </c>
      <c r="AF228" t="n">
        <v>334.06</v>
      </c>
      <c r="AG228" t="n">
        <v>188.441</v>
      </c>
      <c r="AH228" t="n">
        <v>188.519</v>
      </c>
      <c r="AI228" t="n">
        <v>197.541</v>
      </c>
      <c r="AJ228" t="n">
        <v>202.759</v>
      </c>
      <c r="AK228" t="n">
        <v>215.765</v>
      </c>
      <c r="AL228" t="n">
        <v>177.734</v>
      </c>
      <c r="AM228" t="n">
        <v>167.146</v>
      </c>
      <c r="AN228" t="n">
        <v>158.921</v>
      </c>
      <c r="AO228" t="n">
        <v>152.053</v>
      </c>
      <c r="AP228" t="n">
        <v>155.111</v>
      </c>
      <c r="AQ228" t="n">
        <v>170.062</v>
      </c>
      <c r="AR228" t="n">
        <v>274.819</v>
      </c>
      <c r="AS228" t="n">
        <v>172.851</v>
      </c>
      <c r="AT228" t="n">
        <v>244.733</v>
      </c>
      <c r="AU228" t="n">
        <v>260.808</v>
      </c>
      <c r="AV228" t="n">
        <v>227.329</v>
      </c>
      <c r="AW228" t="n">
        <v>250.615</v>
      </c>
      <c r="AX228" t="n">
        <v>275.708</v>
      </c>
      <c r="AY228" t="n">
        <v>238.89</v>
      </c>
      <c r="AZ228" t="n">
        <v>206.552</v>
      </c>
      <c r="BA228" t="n">
        <v>108.7</v>
      </c>
      <c r="BB228" t="n">
        <v>87.92</v>
      </c>
      <c r="BC228" t="n">
        <v>173.512</v>
      </c>
      <c r="BD228" t="n">
        <v>73.754</v>
      </c>
      <c r="BE228" t="n">
        <v>64.224</v>
      </c>
      <c r="BF228" t="n">
        <v>57.302</v>
      </c>
      <c r="BG228" t="n">
        <v>56.949</v>
      </c>
      <c r="BH228" t="n">
        <v>91.64</v>
      </c>
      <c r="BI228" t="n">
        <v>74.86199999999999</v>
      </c>
      <c r="BJ228" t="n">
        <v>102.318</v>
      </c>
      <c r="BK228" t="n">
        <v>74.38200000000001</v>
      </c>
      <c r="BL228" t="n">
        <v>113.045</v>
      </c>
      <c r="BM228" t="n">
        <v>126.695</v>
      </c>
      <c r="BN228" t="n">
        <v>106.613</v>
      </c>
      <c r="BO228" t="n">
        <v>110.309</v>
      </c>
      <c r="BP228" t="n">
        <v>86.553</v>
      </c>
      <c r="BQ228" t="n">
        <v>89.652</v>
      </c>
      <c r="BR228" t="n">
        <v>75.20099999999999</v>
      </c>
      <c r="BS228" t="n">
        <v>94.58</v>
      </c>
      <c r="BT228" t="n">
        <v>88.73999999999999</v>
      </c>
      <c r="BU228" t="n">
        <v>89.754</v>
      </c>
      <c r="BV228" t="n">
        <v>87.639</v>
      </c>
    </row>
    <row r="229">
      <c r="A229" t="inlineStr">
        <is>
          <t>Batoidea</t>
        </is>
      </c>
      <c r="B229" t="inlineStr">
        <is>
          <t>Batoids, skates, rays, sawfishes</t>
        </is>
      </c>
      <c r="C229" t="inlineStr">
        <is>
          <t>Large rays (&gt;=90 cm)</t>
        </is>
      </c>
      <c r="D229" t="inlineStr">
        <is>
          <t>Sharks &amp; rays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364.936</v>
      </c>
      <c r="U229" t="n">
        <v>371.65</v>
      </c>
      <c r="V229" t="n">
        <v>133.161</v>
      </c>
      <c r="W229" t="n">
        <v>184.326</v>
      </c>
      <c r="X229" t="n">
        <v>305.812</v>
      </c>
      <c r="Y229" t="n">
        <v>152.817</v>
      </c>
      <c r="Z229" t="n">
        <v>180.233</v>
      </c>
      <c r="AA229" t="n">
        <v>294.634</v>
      </c>
      <c r="AB229" t="n">
        <v>383.832</v>
      </c>
      <c r="AC229" t="n">
        <v>314.382</v>
      </c>
      <c r="AD229" t="n">
        <v>328.905</v>
      </c>
      <c r="AE229" t="n">
        <v>197.319</v>
      </c>
      <c r="AF229" t="n">
        <v>376.685</v>
      </c>
      <c r="AG229" t="n">
        <v>368.733</v>
      </c>
      <c r="AH229" t="n">
        <v>312.546</v>
      </c>
      <c r="AI229" t="n">
        <v>325.081</v>
      </c>
      <c r="AJ229" t="n">
        <v>332.814</v>
      </c>
      <c r="AK229" t="n">
        <v>265.987</v>
      </c>
      <c r="AL229" t="n">
        <v>288.922</v>
      </c>
      <c r="AM229" t="n">
        <v>307.799</v>
      </c>
      <c r="AN229" t="n">
        <v>426.376</v>
      </c>
      <c r="AO229" t="n">
        <v>732.3200000000001</v>
      </c>
      <c r="AP229" t="n">
        <v>836.345</v>
      </c>
      <c r="AQ229" t="n">
        <v>630.984</v>
      </c>
      <c r="AR229" t="n">
        <v>721.909</v>
      </c>
      <c r="AS229" t="n">
        <v>667.182</v>
      </c>
      <c r="AT229" t="n">
        <v>541.756</v>
      </c>
      <c r="AU229" t="n">
        <v>481.733</v>
      </c>
      <c r="AV229" t="n">
        <v>551.752</v>
      </c>
      <c r="AW229" t="n">
        <v>1165.553</v>
      </c>
      <c r="AX229" t="n">
        <v>1000.851</v>
      </c>
      <c r="AY229" t="n">
        <v>779.888</v>
      </c>
      <c r="AZ229" t="n">
        <v>840.816</v>
      </c>
      <c r="BA229" t="n">
        <v>698.732</v>
      </c>
      <c r="BB229" t="n">
        <v>1727.2</v>
      </c>
      <c r="BC229" t="n">
        <v>1700.328</v>
      </c>
      <c r="BD229" t="n">
        <v>1516.297</v>
      </c>
      <c r="BE229" t="n">
        <v>2273.018</v>
      </c>
      <c r="BF229" t="n">
        <v>2607.096</v>
      </c>
      <c r="BG229" t="n">
        <v>2204.536</v>
      </c>
      <c r="BH229" t="n">
        <v>995.651</v>
      </c>
      <c r="BI229" t="n">
        <v>891.615</v>
      </c>
      <c r="BJ229" t="n">
        <v>771.509</v>
      </c>
      <c r="BK229" t="n">
        <v>305.708</v>
      </c>
      <c r="BL229" t="n">
        <v>307.484</v>
      </c>
      <c r="BM229" t="n">
        <v>71.346</v>
      </c>
      <c r="BN229" t="n">
        <v>35.45</v>
      </c>
      <c r="BO229" t="n">
        <v>72.256</v>
      </c>
      <c r="BP229" t="n">
        <v>45.677</v>
      </c>
      <c r="BQ229" t="n">
        <v>59.23</v>
      </c>
      <c r="BR229" t="n">
        <v>27.381</v>
      </c>
      <c r="BS229" t="n">
        <v>13.076</v>
      </c>
      <c r="BT229" t="n">
        <v>15.376</v>
      </c>
      <c r="BU229" t="n">
        <v>8.923999999999999</v>
      </c>
      <c r="BV229" t="n">
        <v>8.224</v>
      </c>
    </row>
    <row r="230">
      <c r="A230" t="inlineStr">
        <is>
          <t>Istiophorus</t>
        </is>
      </c>
      <c r="B230" t="inlineStr">
        <is>
          <t>Sailfishes</t>
        </is>
      </c>
      <c r="C230" t="inlineStr">
        <is>
          <t>Large pelagics (&gt;=90 cm)</t>
        </is>
      </c>
      <c r="D230" t="inlineStr">
        <is>
          <t>Tuna &amp; billfishes</t>
        </is>
      </c>
      <c r="E230" t="n">
        <v>187.11</v>
      </c>
      <c r="F230" t="n">
        <v>184.937</v>
      </c>
      <c r="G230" t="n">
        <v>193.036</v>
      </c>
      <c r="H230" t="n">
        <v>203.68</v>
      </c>
      <c r="I230" t="n">
        <v>213.318</v>
      </c>
      <c r="J230" t="n">
        <v>221.458</v>
      </c>
      <c r="K230" t="n">
        <v>231.639</v>
      </c>
      <c r="L230" t="n">
        <v>243.352</v>
      </c>
      <c r="M230" t="n">
        <v>255.344</v>
      </c>
      <c r="N230" t="n">
        <v>266.936</v>
      </c>
      <c r="O230" t="n">
        <v>284.734</v>
      </c>
      <c r="P230" t="n">
        <v>294.995</v>
      </c>
      <c r="Q230" t="n">
        <v>305.082</v>
      </c>
      <c r="R230" t="n">
        <v>313.244</v>
      </c>
      <c r="S230" t="n">
        <v>325.843</v>
      </c>
      <c r="T230" t="n">
        <v>461.804</v>
      </c>
      <c r="U230" t="n">
        <v>467.722</v>
      </c>
      <c r="V230" t="n">
        <v>504.02</v>
      </c>
      <c r="W230" t="n">
        <v>452.378</v>
      </c>
      <c r="X230" t="n">
        <v>440.444</v>
      </c>
      <c r="Y230" t="n">
        <v>437.34</v>
      </c>
      <c r="Z230" t="n">
        <v>437.957</v>
      </c>
      <c r="AA230" t="n">
        <v>417.436</v>
      </c>
      <c r="AB230" t="n">
        <v>429.824</v>
      </c>
      <c r="AC230" t="n">
        <v>444.584</v>
      </c>
      <c r="AD230" t="n">
        <v>451.529</v>
      </c>
      <c r="AE230" t="n">
        <v>470.282</v>
      </c>
      <c r="AF230" t="n">
        <v>478.334</v>
      </c>
      <c r="AG230" t="n">
        <v>532.55</v>
      </c>
      <c r="AH230" t="n">
        <v>557.777</v>
      </c>
      <c r="AI230" t="n">
        <v>764.643</v>
      </c>
      <c r="AJ230" t="n">
        <v>859.208</v>
      </c>
      <c r="AK230" t="n">
        <v>784.832</v>
      </c>
      <c r="AL230" t="n">
        <v>823.8920000000001</v>
      </c>
      <c r="AM230" t="n">
        <v>855.673</v>
      </c>
      <c r="AN230" t="n">
        <v>704.453</v>
      </c>
      <c r="AO230" t="n">
        <v>715.348</v>
      </c>
      <c r="AP230" t="n">
        <v>713</v>
      </c>
      <c r="AQ230" t="n">
        <v>689.317</v>
      </c>
      <c r="AR230" t="n">
        <v>698.47</v>
      </c>
      <c r="AS230" t="n">
        <v>721.8150000000001</v>
      </c>
      <c r="AT230" t="n">
        <v>423.49</v>
      </c>
      <c r="AU230" t="n">
        <v>513.616</v>
      </c>
      <c r="AV230" t="n">
        <v>422.87</v>
      </c>
      <c r="AW230" t="n">
        <v>265.173</v>
      </c>
      <c r="AX230" t="n">
        <v>267.353</v>
      </c>
      <c r="AY230" t="n">
        <v>325.298</v>
      </c>
      <c r="AZ230" t="n">
        <v>399.086</v>
      </c>
      <c r="BA230" t="n">
        <v>370.31</v>
      </c>
      <c r="BB230" t="n">
        <v>429.98</v>
      </c>
      <c r="BC230" t="n">
        <v>305.998</v>
      </c>
      <c r="BD230" t="n">
        <v>314.702</v>
      </c>
      <c r="BE230" t="n">
        <v>362.009</v>
      </c>
      <c r="BF230" t="n">
        <v>361.882</v>
      </c>
      <c r="BG230" t="n">
        <v>375.673</v>
      </c>
      <c r="BH230" t="n">
        <v>399.655</v>
      </c>
      <c r="BI230" t="n">
        <v>416.414</v>
      </c>
      <c r="BJ230" t="n">
        <v>397.501</v>
      </c>
      <c r="BK230" t="n">
        <v>384.204</v>
      </c>
      <c r="BL230" t="n">
        <v>412.521</v>
      </c>
      <c r="BM230" t="n">
        <v>442.004</v>
      </c>
      <c r="BN230" t="n">
        <v>424.088</v>
      </c>
      <c r="BO230" t="n">
        <v>476.962</v>
      </c>
      <c r="BP230" t="n">
        <v>495.698</v>
      </c>
      <c r="BQ230" t="n">
        <v>454.026</v>
      </c>
      <c r="BR230" t="n">
        <v>467.695</v>
      </c>
      <c r="BS230" t="n">
        <v>483.807</v>
      </c>
      <c r="BT230" t="n">
        <v>448.303</v>
      </c>
      <c r="BU230" t="n">
        <v>417.049</v>
      </c>
      <c r="BV230" t="n">
        <v>390.631</v>
      </c>
    </row>
    <row r="231">
      <c r="A231" t="inlineStr">
        <is>
          <t>Platycaranx malabaricus</t>
        </is>
      </c>
      <c r="B231" t="inlineStr">
        <is>
          <t>Malabar trevally</t>
        </is>
      </c>
      <c r="C231" t="inlineStr">
        <is>
          <t>Medium reef assoc. fish (30 - 89 cm)</t>
        </is>
      </c>
      <c r="D231" t="inlineStr">
        <is>
          <t>Perch-likes</t>
        </is>
      </c>
      <c r="E231" t="n">
        <v>66.07899999999999</v>
      </c>
      <c r="F231" t="n">
        <v>81.008</v>
      </c>
      <c r="G231" t="n">
        <v>95.172</v>
      </c>
      <c r="H231" t="n">
        <v>101.872</v>
      </c>
      <c r="I231" t="n">
        <v>103.308</v>
      </c>
      <c r="J231" t="n">
        <v>125.295</v>
      </c>
      <c r="K231" t="n">
        <v>145.734</v>
      </c>
      <c r="L231" t="n">
        <v>159.662</v>
      </c>
      <c r="M231" t="n">
        <v>176.757</v>
      </c>
      <c r="N231" t="n">
        <v>199.907</v>
      </c>
      <c r="O231" t="n">
        <v>214.681</v>
      </c>
      <c r="P231" t="n">
        <v>255.007</v>
      </c>
      <c r="Q231" t="n">
        <v>280.944</v>
      </c>
      <c r="R231" t="n">
        <v>304.118</v>
      </c>
      <c r="S231" t="n">
        <v>343.335</v>
      </c>
      <c r="T231" t="n">
        <v>374.019</v>
      </c>
      <c r="U231" t="n">
        <v>417.111</v>
      </c>
      <c r="V231" t="n">
        <v>463.694</v>
      </c>
      <c r="W231" t="n">
        <v>537.468</v>
      </c>
      <c r="X231" t="n">
        <v>601.205</v>
      </c>
      <c r="Y231" t="n">
        <v>629.88</v>
      </c>
      <c r="Z231" t="n">
        <v>682.024</v>
      </c>
      <c r="AA231" t="n">
        <v>667.739</v>
      </c>
      <c r="AB231" t="n">
        <v>714.63</v>
      </c>
      <c r="AC231" t="n">
        <v>716.654</v>
      </c>
      <c r="AD231" t="n">
        <v>913.538</v>
      </c>
      <c r="AE231" t="n">
        <v>947.277</v>
      </c>
      <c r="AF231" t="n">
        <v>982.42</v>
      </c>
      <c r="AG231" t="n">
        <v>1002.205</v>
      </c>
      <c r="AH231" t="n">
        <v>1046.745</v>
      </c>
      <c r="AI231" t="n">
        <v>1038.659</v>
      </c>
      <c r="AJ231" t="n">
        <v>912.886</v>
      </c>
      <c r="AK231" t="n">
        <v>899.266</v>
      </c>
      <c r="AL231" t="n">
        <v>898.234</v>
      </c>
      <c r="AM231" t="n">
        <v>882.847</v>
      </c>
      <c r="AN231" t="n">
        <v>909.6609999999999</v>
      </c>
      <c r="AO231" t="n">
        <v>919.457</v>
      </c>
      <c r="AP231" t="n">
        <v>855.0890000000001</v>
      </c>
      <c r="AQ231" t="n">
        <v>824.699</v>
      </c>
      <c r="AR231" t="n">
        <v>757.497</v>
      </c>
      <c r="AS231" t="n">
        <v>616.671</v>
      </c>
      <c r="AT231" t="n">
        <v>553.939</v>
      </c>
      <c r="AU231" t="n">
        <v>571.164</v>
      </c>
      <c r="AV231" t="n">
        <v>510.333</v>
      </c>
      <c r="AW231" t="n">
        <v>503.567</v>
      </c>
      <c r="AX231" t="n">
        <v>591.1799999999999</v>
      </c>
      <c r="AY231" t="n">
        <v>558.478</v>
      </c>
      <c r="AZ231" t="n">
        <v>500.489</v>
      </c>
      <c r="BA231" t="n">
        <v>417.425</v>
      </c>
      <c r="BB231" t="n">
        <v>434.566</v>
      </c>
      <c r="BC231" t="n">
        <v>604.723</v>
      </c>
      <c r="BD231" t="n">
        <v>324.183</v>
      </c>
      <c r="BE231" t="n">
        <v>448.224</v>
      </c>
      <c r="BF231" t="n">
        <v>214.44</v>
      </c>
      <c r="BG231" t="n">
        <v>261.963</v>
      </c>
      <c r="BH231" t="n">
        <v>131.203</v>
      </c>
      <c r="BI231" t="n">
        <v>129.814</v>
      </c>
      <c r="BJ231" t="n">
        <v>113.087</v>
      </c>
      <c r="BK231" t="n">
        <v>66.501</v>
      </c>
      <c r="BL231" t="n">
        <v>48.748</v>
      </c>
      <c r="BM231" t="n">
        <v>53.018</v>
      </c>
      <c r="BN231" t="n">
        <v>56.466</v>
      </c>
      <c r="BO231" t="n">
        <v>60.722</v>
      </c>
      <c r="BP231" t="n">
        <v>58.312</v>
      </c>
      <c r="BQ231" t="n">
        <v>56.665</v>
      </c>
      <c r="BR231" t="n">
        <v>56.939</v>
      </c>
      <c r="BS231" t="n">
        <v>57.688</v>
      </c>
      <c r="BT231" t="n">
        <v>58.097</v>
      </c>
      <c r="BU231" t="n">
        <v>67.61499999999999</v>
      </c>
      <c r="BV231" t="n">
        <v>54.697</v>
      </c>
    </row>
    <row r="232">
      <c r="A232" t="inlineStr">
        <is>
          <t>Nemipterus japonicus</t>
        </is>
      </c>
      <c r="B232" t="inlineStr">
        <is>
          <t>Japanese threadfin bream</t>
        </is>
      </c>
      <c r="C232" t="inlineStr">
        <is>
          <t>Small demersals (&lt;30 cm)</t>
        </is>
      </c>
      <c r="D232" t="inlineStr">
        <is>
          <t>Perch-likes</t>
        </is>
      </c>
      <c r="E232" t="n">
        <v>19.776</v>
      </c>
      <c r="F232" t="n">
        <v>19.776</v>
      </c>
      <c r="G232" t="n">
        <v>26.182</v>
      </c>
      <c r="H232" t="n">
        <v>23.118</v>
      </c>
      <c r="I232" t="n">
        <v>19.776</v>
      </c>
      <c r="J232" t="n">
        <v>19.776</v>
      </c>
      <c r="K232" t="n">
        <v>19.776</v>
      </c>
      <c r="L232" t="n">
        <v>18.94</v>
      </c>
      <c r="M232" t="n">
        <v>20.333</v>
      </c>
      <c r="N232" t="n">
        <v>19.776</v>
      </c>
      <c r="O232" t="n">
        <v>26.6</v>
      </c>
      <c r="P232" t="n">
        <v>33.006</v>
      </c>
      <c r="Q232" t="n">
        <v>33.981</v>
      </c>
      <c r="R232" t="n">
        <v>52.921</v>
      </c>
      <c r="S232" t="n">
        <v>49.161</v>
      </c>
      <c r="T232" t="n">
        <v>48.002</v>
      </c>
      <c r="U232" t="n">
        <v>57.083</v>
      </c>
      <c r="V232" t="n">
        <v>51.551</v>
      </c>
      <c r="W232" t="n">
        <v>94.20099999999999</v>
      </c>
      <c r="X232" t="n">
        <v>89.96899999999999</v>
      </c>
      <c r="Y232" t="n">
        <v>107.108</v>
      </c>
      <c r="Z232" t="n">
        <v>153.195</v>
      </c>
      <c r="AA232" t="n">
        <v>175.437</v>
      </c>
      <c r="AB232" t="n">
        <v>277.627</v>
      </c>
      <c r="AC232" t="n">
        <v>311.155</v>
      </c>
      <c r="AD232" t="n">
        <v>376.756</v>
      </c>
      <c r="AE232" t="n">
        <v>409.956</v>
      </c>
      <c r="AF232" t="n">
        <v>461.403</v>
      </c>
      <c r="AG232" t="n">
        <v>370.838</v>
      </c>
      <c r="AH232" t="n">
        <v>400.175</v>
      </c>
      <c r="AI232" t="n">
        <v>71.56</v>
      </c>
      <c r="AJ232" t="n">
        <v>106.743</v>
      </c>
      <c r="AK232" t="n">
        <v>67.09699999999999</v>
      </c>
      <c r="AL232" t="n">
        <v>66.31699999999999</v>
      </c>
      <c r="AM232" t="n">
        <v>52.717</v>
      </c>
      <c r="AN232" t="n">
        <v>57.384</v>
      </c>
      <c r="AO232" t="n">
        <v>263.397</v>
      </c>
      <c r="AP232" t="n">
        <v>411.747</v>
      </c>
      <c r="AQ232" t="n">
        <v>376.121</v>
      </c>
      <c r="AR232" t="n">
        <v>592.643</v>
      </c>
      <c r="AS232" t="n">
        <v>648.1849999999999</v>
      </c>
      <c r="AT232" t="n">
        <v>621.671</v>
      </c>
      <c r="AU232" t="n">
        <v>556.361</v>
      </c>
      <c r="AV232" t="n">
        <v>574.651</v>
      </c>
      <c r="AW232" t="n">
        <v>723.8920000000001</v>
      </c>
      <c r="AX232" t="n">
        <v>745.604</v>
      </c>
      <c r="AY232" t="n">
        <v>660.2380000000001</v>
      </c>
      <c r="AZ232" t="n">
        <v>663.367</v>
      </c>
      <c r="BA232" t="n">
        <v>630.674</v>
      </c>
      <c r="BB232" t="n">
        <v>709.779</v>
      </c>
      <c r="BC232" t="n">
        <v>808.206</v>
      </c>
      <c r="BD232" t="n">
        <v>946.54</v>
      </c>
      <c r="BE232" t="n">
        <v>1129.494</v>
      </c>
      <c r="BF232" t="n">
        <v>1230.504</v>
      </c>
      <c r="BG232" t="n">
        <v>1096.837</v>
      </c>
      <c r="BH232" t="n">
        <v>1177.002</v>
      </c>
      <c r="BI232" t="n">
        <v>887.948</v>
      </c>
      <c r="BJ232" t="n">
        <v>959.021</v>
      </c>
      <c r="BK232" t="n">
        <v>780.14</v>
      </c>
      <c r="BL232" t="n">
        <v>713.769</v>
      </c>
      <c r="BM232" t="n">
        <v>744.362</v>
      </c>
      <c r="BN232" t="n">
        <v>725.954</v>
      </c>
      <c r="BO232" t="n">
        <v>817.351</v>
      </c>
      <c r="BP232" t="n">
        <v>850.3680000000001</v>
      </c>
      <c r="BQ232" t="n">
        <v>780.0170000000001</v>
      </c>
      <c r="BR232" t="n">
        <v>802.809</v>
      </c>
      <c r="BS232" t="n">
        <v>832.711</v>
      </c>
      <c r="BT232" t="n">
        <v>773.168</v>
      </c>
      <c r="BU232" t="n">
        <v>728.98</v>
      </c>
      <c r="BV232" t="n">
        <v>683.718</v>
      </c>
    </row>
    <row r="233">
      <c r="A233" t="inlineStr">
        <is>
          <t>Bothidae</t>
        </is>
      </c>
      <c r="B233" t="inlineStr">
        <is>
          <t>Lefteye flounders</t>
        </is>
      </c>
      <c r="C233" t="inlineStr">
        <is>
          <t>Small to medium flatfishes (&lt;90 cm)</t>
        </is>
      </c>
      <c r="D233" t="inlineStr">
        <is>
          <t>Flatfishes</t>
        </is>
      </c>
      <c r="E233" t="n">
        <v>17.518</v>
      </c>
      <c r="F233" t="n">
        <v>17.518</v>
      </c>
      <c r="G233" t="n">
        <v>23.259</v>
      </c>
      <c r="H233" t="n">
        <v>20.462</v>
      </c>
      <c r="I233" t="n">
        <v>17.518</v>
      </c>
      <c r="J233" t="n">
        <v>17.518</v>
      </c>
      <c r="K233" t="n">
        <v>17.518</v>
      </c>
      <c r="L233" t="n">
        <v>16.782</v>
      </c>
      <c r="M233" t="n">
        <v>18.106</v>
      </c>
      <c r="N233" t="n">
        <v>17.518</v>
      </c>
      <c r="O233" t="n">
        <v>23.553</v>
      </c>
      <c r="P233" t="n">
        <v>29.294</v>
      </c>
      <c r="Q233" t="n">
        <v>30.177</v>
      </c>
      <c r="R233" t="n">
        <v>46.959</v>
      </c>
      <c r="S233" t="n">
        <v>43.573</v>
      </c>
      <c r="T233" t="n">
        <v>42.954</v>
      </c>
      <c r="U233" t="n">
        <v>51.535</v>
      </c>
      <c r="V233" t="n">
        <v>46.57</v>
      </c>
      <c r="W233" t="n">
        <v>83.068</v>
      </c>
      <c r="X233" t="n">
        <v>79.075</v>
      </c>
      <c r="Y233" t="n">
        <v>94.02200000000001</v>
      </c>
      <c r="Z233" t="n">
        <v>133.817</v>
      </c>
      <c r="AA233" t="n">
        <v>153.514</v>
      </c>
      <c r="AB233" t="n">
        <v>239.941</v>
      </c>
      <c r="AC233" t="n">
        <v>270.749</v>
      </c>
      <c r="AD233" t="n">
        <v>325.656</v>
      </c>
      <c r="AE233" t="n">
        <v>352.885</v>
      </c>
      <c r="AF233" t="n">
        <v>399.018</v>
      </c>
      <c r="AG233" t="n">
        <v>323.153</v>
      </c>
      <c r="AH233" t="n">
        <v>347.591</v>
      </c>
      <c r="AI233" t="n">
        <v>68.39100000000001</v>
      </c>
      <c r="AJ233" t="n">
        <v>101.997</v>
      </c>
      <c r="AK233" t="n">
        <v>64.119</v>
      </c>
      <c r="AL233" t="n">
        <v>63.608</v>
      </c>
      <c r="AM233" t="n">
        <v>51.047</v>
      </c>
      <c r="AN233" t="n">
        <v>55.283</v>
      </c>
      <c r="AO233" t="n">
        <v>229.409</v>
      </c>
      <c r="AP233" t="n">
        <v>366.329</v>
      </c>
      <c r="AQ233" t="n">
        <v>373.537</v>
      </c>
      <c r="AR233" t="n">
        <v>580.192</v>
      </c>
      <c r="AS233" t="n">
        <v>684.025</v>
      </c>
      <c r="AT233" t="n">
        <v>668.087</v>
      </c>
      <c r="AU233" t="n">
        <v>576.26</v>
      </c>
      <c r="AV233" t="n">
        <v>612.982</v>
      </c>
      <c r="AW233" t="n">
        <v>774.547</v>
      </c>
      <c r="AX233" t="n">
        <v>772.184</v>
      </c>
      <c r="AY233" t="n">
        <v>674.756</v>
      </c>
      <c r="AZ233" t="n">
        <v>665.357</v>
      </c>
      <c r="BA233" t="n">
        <v>681.48</v>
      </c>
      <c r="BB233" t="n">
        <v>747.474</v>
      </c>
      <c r="BC233" t="n">
        <v>828.2</v>
      </c>
      <c r="BD233" t="n">
        <v>986.905</v>
      </c>
      <c r="BE233" t="n">
        <v>1120.793</v>
      </c>
      <c r="BF233" t="n">
        <v>1194.345</v>
      </c>
      <c r="BG233" t="n">
        <v>1061.342</v>
      </c>
      <c r="BH233" t="n">
        <v>1147.115</v>
      </c>
      <c r="BI233" t="n">
        <v>890.566</v>
      </c>
      <c r="BJ233" t="n">
        <v>952.833</v>
      </c>
      <c r="BK233" t="n">
        <v>782.895</v>
      </c>
      <c r="BL233" t="n">
        <v>714.658</v>
      </c>
      <c r="BM233" t="n">
        <v>750.881</v>
      </c>
      <c r="BN233" t="n">
        <v>732.311</v>
      </c>
      <c r="BO233" t="n">
        <v>824.513</v>
      </c>
      <c r="BP233" t="n">
        <v>857.831</v>
      </c>
      <c r="BQ233" t="n">
        <v>786.878</v>
      </c>
      <c r="BR233" t="n">
        <v>809.861</v>
      </c>
      <c r="BS233" t="n">
        <v>840.0549999999999</v>
      </c>
      <c r="BT233" t="n">
        <v>780.008</v>
      </c>
      <c r="BU233" t="n">
        <v>735.429</v>
      </c>
      <c r="BV233" t="n">
        <v>689.778</v>
      </c>
    </row>
    <row r="234">
      <c r="A234" t="inlineStr">
        <is>
          <t>Drepane</t>
        </is>
      </c>
      <c r="B234" t="inlineStr">
        <is>
          <t>Sicklefishes</t>
        </is>
      </c>
      <c r="C234" t="inlineStr">
        <is>
          <t>Medium benthopelagics (30 - 89 cm)</t>
        </is>
      </c>
      <c r="D234" t="inlineStr">
        <is>
          <t>Perch-likes</t>
        </is>
      </c>
      <c r="E234" t="n">
        <v>12.424</v>
      </c>
      <c r="F234" t="n">
        <v>12.424</v>
      </c>
      <c r="G234" t="n">
        <v>12.838</v>
      </c>
      <c r="H234" t="n">
        <v>13.666</v>
      </c>
      <c r="I234" t="n">
        <v>14.494</v>
      </c>
      <c r="J234" t="n">
        <v>14.908</v>
      </c>
      <c r="K234" t="n">
        <v>15.737</v>
      </c>
      <c r="L234" t="n">
        <v>16.565</v>
      </c>
      <c r="M234" t="n">
        <v>17.393</v>
      </c>
      <c r="N234" t="n">
        <v>18.221</v>
      </c>
      <c r="O234" t="n">
        <v>19.464</v>
      </c>
      <c r="P234" t="n">
        <v>20.292</v>
      </c>
      <c r="Q234" t="n">
        <v>20.706</v>
      </c>
      <c r="R234" t="n">
        <v>22.337</v>
      </c>
      <c r="S234" t="n">
        <v>23.139</v>
      </c>
      <c r="T234" t="n">
        <v>39.506</v>
      </c>
      <c r="U234" t="n">
        <v>44.571</v>
      </c>
      <c r="V234" t="n">
        <v>57.617</v>
      </c>
      <c r="W234" t="n">
        <v>58.74</v>
      </c>
      <c r="X234" t="n">
        <v>58.433</v>
      </c>
      <c r="Y234" t="n">
        <v>315.526</v>
      </c>
      <c r="Z234" t="n">
        <v>450.507</v>
      </c>
      <c r="AA234" t="n">
        <v>489.635</v>
      </c>
      <c r="AB234" t="n">
        <v>652.968</v>
      </c>
      <c r="AC234" t="n">
        <v>741.568</v>
      </c>
      <c r="AD234" t="n">
        <v>286.333</v>
      </c>
      <c r="AE234" t="n">
        <v>260.458</v>
      </c>
      <c r="AF234" t="n">
        <v>285.42</v>
      </c>
      <c r="AG234" t="n">
        <v>204.089</v>
      </c>
      <c r="AH234" t="n">
        <v>209.279</v>
      </c>
      <c r="AI234" t="n">
        <v>216.073</v>
      </c>
      <c r="AJ234" t="n">
        <v>245.436</v>
      </c>
      <c r="AK234" t="n">
        <v>225.903</v>
      </c>
      <c r="AL234" t="n">
        <v>230.764</v>
      </c>
      <c r="AM234" t="n">
        <v>214.636</v>
      </c>
      <c r="AN234" t="n">
        <v>204.727</v>
      </c>
      <c r="AO234" t="n">
        <v>212.962</v>
      </c>
      <c r="AP234" t="n">
        <v>202.802</v>
      </c>
      <c r="AQ234" t="n">
        <v>216.673</v>
      </c>
      <c r="AR234" t="n">
        <v>214.578</v>
      </c>
      <c r="AS234" t="n">
        <v>182.349</v>
      </c>
      <c r="AT234" t="n">
        <v>182.604</v>
      </c>
      <c r="AU234" t="n">
        <v>186.92</v>
      </c>
      <c r="AV234" t="n">
        <v>183.988</v>
      </c>
      <c r="AW234" t="n">
        <v>141.723</v>
      </c>
      <c r="AX234" t="n">
        <v>629.287</v>
      </c>
      <c r="AY234" t="n">
        <v>903.311</v>
      </c>
      <c r="AZ234" t="n">
        <v>969.838</v>
      </c>
      <c r="BA234" t="n">
        <v>894.606</v>
      </c>
      <c r="BB234" t="n">
        <v>1031.541</v>
      </c>
      <c r="BC234" t="n">
        <v>877.563</v>
      </c>
      <c r="BD234" t="n">
        <v>880.562</v>
      </c>
      <c r="BE234" t="n">
        <v>932.093</v>
      </c>
      <c r="BF234" t="n">
        <v>951.309</v>
      </c>
      <c r="BG234" t="n">
        <v>964.787</v>
      </c>
      <c r="BH234" t="n">
        <v>988.6660000000001</v>
      </c>
      <c r="BI234" t="n">
        <v>961.101</v>
      </c>
      <c r="BJ234" t="n">
        <v>942.449</v>
      </c>
      <c r="BK234" t="n">
        <v>949.002</v>
      </c>
      <c r="BL234" t="n">
        <v>538.201</v>
      </c>
      <c r="BM234" t="n">
        <v>565.174</v>
      </c>
      <c r="BN234" t="n">
        <v>545.722</v>
      </c>
      <c r="BO234" t="n">
        <v>614.128</v>
      </c>
      <c r="BP234" t="n">
        <v>638.3200000000001</v>
      </c>
      <c r="BQ234" t="n">
        <v>584.684</v>
      </c>
      <c r="BR234" t="n">
        <v>602.265</v>
      </c>
      <c r="BS234" t="n">
        <v>623.167</v>
      </c>
      <c r="BT234" t="n">
        <v>577.439</v>
      </c>
      <c r="BU234" t="n">
        <v>544.485</v>
      </c>
      <c r="BV234" t="n">
        <v>510.061</v>
      </c>
    </row>
    <row r="235">
      <c r="A235" t="inlineStr">
        <is>
          <t>Lateolabrax japonicus</t>
        </is>
      </c>
      <c r="B235" t="inlineStr">
        <is>
          <t>Japanese seabass</t>
        </is>
      </c>
      <c r="C235" t="inlineStr">
        <is>
          <t>Medium reef assoc. fish (30 - 89 cm)</t>
        </is>
      </c>
      <c r="D235" t="inlineStr">
        <is>
          <t>Perch-likes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182.461</v>
      </c>
      <c r="AO235" t="n">
        <v>290.49</v>
      </c>
      <c r="AP235" t="n">
        <v>368.091</v>
      </c>
      <c r="AQ235" t="n">
        <v>429.054</v>
      </c>
      <c r="AR235" t="n">
        <v>479.497</v>
      </c>
      <c r="AS235" t="n">
        <v>522.747</v>
      </c>
      <c r="AT235" t="n">
        <v>557.513</v>
      </c>
      <c r="AU235" t="n">
        <v>588.194</v>
      </c>
      <c r="AV235" t="n">
        <v>615.654</v>
      </c>
      <c r="AW235" t="n">
        <v>640.502</v>
      </c>
      <c r="AX235" t="n">
        <v>663.199</v>
      </c>
      <c r="AY235" t="n">
        <v>684.081</v>
      </c>
      <c r="AZ235" t="n">
        <v>703.471</v>
      </c>
      <c r="BA235" t="n">
        <v>721.508</v>
      </c>
      <c r="BB235" t="n">
        <v>738.371</v>
      </c>
      <c r="BC235" t="n">
        <v>754.24</v>
      </c>
      <c r="BD235" t="n">
        <v>769.16</v>
      </c>
      <c r="BE235" t="n">
        <v>783.2430000000001</v>
      </c>
      <c r="BF235" t="n">
        <v>796.609</v>
      </c>
      <c r="BG235" t="n">
        <v>809.326</v>
      </c>
      <c r="BH235" t="n">
        <v>821.455</v>
      </c>
      <c r="BI235" t="n">
        <v>833.114</v>
      </c>
      <c r="BJ235" t="n">
        <v>844.283</v>
      </c>
      <c r="BK235" t="n">
        <v>855.003</v>
      </c>
      <c r="BL235" t="n">
        <v>865.307</v>
      </c>
      <c r="BM235" t="n">
        <v>875.204</v>
      </c>
      <c r="BN235" t="n">
        <v>884.326</v>
      </c>
      <c r="BO235" t="n">
        <v>893.496</v>
      </c>
      <c r="BP235" t="n">
        <v>902.328</v>
      </c>
      <c r="BQ235" t="n">
        <v>927.688</v>
      </c>
      <c r="BR235" t="n">
        <v>933.193</v>
      </c>
      <c r="BS235" t="n">
        <v>931.468</v>
      </c>
      <c r="BT235" t="n">
        <v>924.615</v>
      </c>
      <c r="BU235" t="n">
        <v>922.521</v>
      </c>
      <c r="BV235" t="n">
        <v>931.827</v>
      </c>
    </row>
    <row r="236">
      <c r="A236" t="inlineStr">
        <is>
          <t>Auxis rochei</t>
        </is>
      </c>
      <c r="B236" t="inlineStr">
        <is>
          <t>Bullet tuna</t>
        </is>
      </c>
      <c r="C236" t="inlineStr">
        <is>
          <t>Medium pelagics (30 - 89 cm)</t>
        </is>
      </c>
      <c r="D236" t="inlineStr">
        <is>
          <t>Tuna &amp; billfishes</t>
        </is>
      </c>
      <c r="E236" t="n">
        <v>43.289</v>
      </c>
      <c r="F236" t="n">
        <v>53.188</v>
      </c>
      <c r="G236" t="n">
        <v>62.369</v>
      </c>
      <c r="H236" t="n">
        <v>66.91800000000001</v>
      </c>
      <c r="I236" t="n">
        <v>67.98</v>
      </c>
      <c r="J236" t="n">
        <v>82.56100000000001</v>
      </c>
      <c r="K236" t="n">
        <v>96.111</v>
      </c>
      <c r="L236" t="n">
        <v>105.346</v>
      </c>
      <c r="M236" t="n">
        <v>116.683</v>
      </c>
      <c r="N236" t="n">
        <v>132.031</v>
      </c>
      <c r="O236" t="n">
        <v>141.606</v>
      </c>
      <c r="P236" t="n">
        <v>168.125</v>
      </c>
      <c r="Q236" t="n">
        <v>185.314</v>
      </c>
      <c r="R236" t="n">
        <v>200.157</v>
      </c>
      <c r="S236" t="n">
        <v>226.238</v>
      </c>
      <c r="T236" t="n">
        <v>246.672</v>
      </c>
      <c r="U236" t="n">
        <v>274.739</v>
      </c>
      <c r="V236" t="n">
        <v>305.821</v>
      </c>
      <c r="W236" t="n">
        <v>353.758</v>
      </c>
      <c r="X236" t="n">
        <v>396.031</v>
      </c>
      <c r="Y236" t="n">
        <v>414.725</v>
      </c>
      <c r="Z236" t="n">
        <v>447.874</v>
      </c>
      <c r="AA236" t="n">
        <v>437.861</v>
      </c>
      <c r="AB236" t="n">
        <v>466.451</v>
      </c>
      <c r="AC236" t="n">
        <v>466.76</v>
      </c>
      <c r="AD236" t="n">
        <v>595.679</v>
      </c>
      <c r="AE236" t="n">
        <v>617.307</v>
      </c>
      <c r="AF236" t="n">
        <v>643.182</v>
      </c>
      <c r="AG236" t="n">
        <v>715.2140000000001</v>
      </c>
      <c r="AH236" t="n">
        <v>757.9930000000001</v>
      </c>
      <c r="AI236" t="n">
        <v>761.171</v>
      </c>
      <c r="AJ236" t="n">
        <v>667.467</v>
      </c>
      <c r="AK236" t="n">
        <v>658.829</v>
      </c>
      <c r="AL236" t="n">
        <v>658.035</v>
      </c>
      <c r="AM236" t="n">
        <v>647.249</v>
      </c>
      <c r="AN236" t="n">
        <v>666.8099999999999</v>
      </c>
      <c r="AO236" t="n">
        <v>668.2380000000001</v>
      </c>
      <c r="AP236" t="n">
        <v>616.207</v>
      </c>
      <c r="AQ236" t="n">
        <v>595.0119999999999</v>
      </c>
      <c r="AR236" t="n">
        <v>537.614</v>
      </c>
      <c r="AS236" t="n">
        <v>430.378</v>
      </c>
      <c r="AT236" t="n">
        <v>385.483</v>
      </c>
      <c r="AU236" t="n">
        <v>400.686</v>
      </c>
      <c r="AV236" t="n">
        <v>354.663</v>
      </c>
      <c r="AW236" t="n">
        <v>345.105</v>
      </c>
      <c r="AX236" t="n">
        <v>409.723</v>
      </c>
      <c r="AY236" t="n">
        <v>388.404</v>
      </c>
      <c r="AZ236" t="n">
        <v>346.207</v>
      </c>
      <c r="BA236" t="n">
        <v>284.904</v>
      </c>
      <c r="BB236" t="n">
        <v>294.919</v>
      </c>
      <c r="BC236" t="n">
        <v>201.688</v>
      </c>
      <c r="BD236" t="n">
        <v>97.075</v>
      </c>
      <c r="BE236" t="n">
        <v>166.002</v>
      </c>
      <c r="BF236" t="n">
        <v>170.628</v>
      </c>
      <c r="BG236" t="n">
        <v>418.14</v>
      </c>
      <c r="BH236" t="n">
        <v>372.051</v>
      </c>
      <c r="BI236" t="n">
        <v>301.942</v>
      </c>
      <c r="BJ236" t="n">
        <v>122.627</v>
      </c>
      <c r="BK236" t="n">
        <v>324.256</v>
      </c>
      <c r="BL236" t="n">
        <v>455.521</v>
      </c>
      <c r="BM236" t="n">
        <v>305.902</v>
      </c>
      <c r="BN236" t="n">
        <v>380.221</v>
      </c>
      <c r="BO236" t="n">
        <v>379.654</v>
      </c>
      <c r="BP236" t="n">
        <v>315.403</v>
      </c>
      <c r="BQ236" t="n">
        <v>341.382</v>
      </c>
      <c r="BR236" t="n">
        <v>355.118</v>
      </c>
      <c r="BS236" t="n">
        <v>342.894</v>
      </c>
      <c r="BT236" t="n">
        <v>371.301</v>
      </c>
      <c r="BU236" t="n">
        <v>580.279</v>
      </c>
      <c r="BV236" t="n">
        <v>383.465</v>
      </c>
    </row>
    <row r="237">
      <c r="A237" t="inlineStr">
        <is>
          <t>Nibea mitsukurii</t>
        </is>
      </c>
      <c r="B237" t="inlineStr">
        <is>
          <t>Honnibe croaker</t>
        </is>
      </c>
      <c r="C237" t="inlineStr">
        <is>
          <t>Medium benthopelagics (30 - 89 cm)</t>
        </is>
      </c>
      <c r="D237" t="inlineStr">
        <is>
          <t>Perch-likes</t>
        </is>
      </c>
      <c r="E237" t="n">
        <v>548.583</v>
      </c>
      <c r="F237" t="n">
        <v>714.914</v>
      </c>
      <c r="G237" t="n">
        <v>932.463</v>
      </c>
      <c r="H237" t="n">
        <v>1188.779</v>
      </c>
      <c r="I237" t="n">
        <v>1049.455</v>
      </c>
      <c r="J237" t="n">
        <v>1175.385</v>
      </c>
      <c r="K237" t="n">
        <v>919.977</v>
      </c>
      <c r="L237" t="n">
        <v>937.7670000000001</v>
      </c>
      <c r="M237" t="n">
        <v>599.568</v>
      </c>
      <c r="N237" t="n">
        <v>463.091</v>
      </c>
      <c r="O237" t="n">
        <v>813.647</v>
      </c>
      <c r="P237" t="n">
        <v>594.735</v>
      </c>
      <c r="Q237" t="n">
        <v>778.307</v>
      </c>
      <c r="R237" t="n">
        <v>795.9299999999999</v>
      </c>
      <c r="S237" t="n">
        <v>872.019</v>
      </c>
      <c r="T237" t="n">
        <v>719.679</v>
      </c>
      <c r="U237" t="n">
        <v>586.365</v>
      </c>
      <c r="V237" t="n">
        <v>503.115</v>
      </c>
      <c r="W237" t="n">
        <v>449.262</v>
      </c>
      <c r="X237" t="n">
        <v>230.256</v>
      </c>
      <c r="Y237" t="n">
        <v>34.605</v>
      </c>
      <c r="Z237" t="n">
        <v>213.325</v>
      </c>
      <c r="AA237" t="n">
        <v>188.607</v>
      </c>
      <c r="AB237" t="n">
        <v>164.524</v>
      </c>
      <c r="AC237" t="n">
        <v>420.285</v>
      </c>
      <c r="AD237" t="n">
        <v>328.809</v>
      </c>
      <c r="AE237" t="n">
        <v>268.238</v>
      </c>
      <c r="AF237" t="n">
        <v>184.141</v>
      </c>
      <c r="AG237" t="n">
        <v>163.726</v>
      </c>
      <c r="AH237" t="n">
        <v>230.313</v>
      </c>
      <c r="AI237" t="n">
        <v>167.599</v>
      </c>
      <c r="AJ237" t="n">
        <v>256.592</v>
      </c>
      <c r="AK237" t="n">
        <v>198.976</v>
      </c>
      <c r="AL237" t="n">
        <v>142.539</v>
      </c>
      <c r="AM237" t="n">
        <v>205.726</v>
      </c>
      <c r="AN237" t="n">
        <v>151.354</v>
      </c>
      <c r="AO237" t="n">
        <v>173.239</v>
      </c>
      <c r="AP237" t="n">
        <v>190.187</v>
      </c>
      <c r="AQ237" t="n">
        <v>219.263</v>
      </c>
      <c r="AR237" t="n">
        <v>237.928</v>
      </c>
      <c r="AS237" t="n">
        <v>240.785</v>
      </c>
      <c r="AT237" t="n">
        <v>344.706</v>
      </c>
      <c r="AU237" t="n">
        <v>564.078</v>
      </c>
      <c r="AV237" t="n">
        <v>305.908</v>
      </c>
      <c r="AW237" t="n">
        <v>482.797</v>
      </c>
      <c r="AX237" t="n">
        <v>445.201</v>
      </c>
      <c r="AY237" t="n">
        <v>513.502</v>
      </c>
      <c r="AZ237" t="n">
        <v>281.245</v>
      </c>
      <c r="BA237" t="n">
        <v>361.97</v>
      </c>
      <c r="BB237" t="n">
        <v>310.022</v>
      </c>
      <c r="BC237" t="n">
        <v>357.303</v>
      </c>
      <c r="BD237" t="n">
        <v>391.445</v>
      </c>
      <c r="BE237" t="n">
        <v>202.633</v>
      </c>
      <c r="BF237" t="n">
        <v>136.504</v>
      </c>
      <c r="BG237" t="n">
        <v>106.197</v>
      </c>
      <c r="BH237" t="n">
        <v>144.918</v>
      </c>
      <c r="BI237" t="n">
        <v>203.992</v>
      </c>
      <c r="BJ237" t="n">
        <v>279.806</v>
      </c>
      <c r="BK237" t="n">
        <v>8.669</v>
      </c>
      <c r="BL237" t="n">
        <v>1.441</v>
      </c>
      <c r="BM237" t="n">
        <v>4.206</v>
      </c>
      <c r="BN237" t="n">
        <v>4.254</v>
      </c>
      <c r="BO237" t="n">
        <v>4.292</v>
      </c>
      <c r="BP237" t="n">
        <v>4.27</v>
      </c>
      <c r="BQ237" t="n">
        <v>4.323</v>
      </c>
      <c r="BR237" t="n">
        <v>5.863</v>
      </c>
      <c r="BS237" t="n">
        <v>5.754</v>
      </c>
      <c r="BT237" t="n">
        <v>5.378</v>
      </c>
      <c r="BU237" t="n">
        <v>5.089</v>
      </c>
      <c r="BV237" t="n">
        <v>4.815</v>
      </c>
    </row>
    <row r="238">
      <c r="A238" t="inlineStr">
        <is>
          <t>Meretrix lusoria</t>
        </is>
      </c>
      <c r="B238" t="inlineStr">
        <is>
          <t>Japanese hard clam</t>
        </is>
      </c>
      <c r="C238" t="inlineStr">
        <is>
          <t>Other demersal invertebrates</t>
        </is>
      </c>
      <c r="D238" t="inlineStr">
        <is>
          <t>Molluscs</t>
        </is>
      </c>
      <c r="E238" t="n">
        <v>289.464</v>
      </c>
      <c r="F238" t="n">
        <v>426.852</v>
      </c>
      <c r="G238" t="n">
        <v>378.198</v>
      </c>
      <c r="H238" t="n">
        <v>314.323</v>
      </c>
      <c r="I238" t="n">
        <v>125.947</v>
      </c>
      <c r="J238" t="n">
        <v>213.584</v>
      </c>
      <c r="K238" t="n">
        <v>231.084</v>
      </c>
      <c r="L238" t="n">
        <v>255.139</v>
      </c>
      <c r="M238" t="n">
        <v>366.574</v>
      </c>
      <c r="N238" t="n">
        <v>356.644</v>
      </c>
      <c r="O238" t="n">
        <v>350.007</v>
      </c>
      <c r="P238" t="n">
        <v>189.354</v>
      </c>
      <c r="Q238" t="n">
        <v>77.871</v>
      </c>
      <c r="R238" t="n">
        <v>134.15</v>
      </c>
      <c r="S238" t="n">
        <v>294.596</v>
      </c>
      <c r="T238" t="n">
        <v>270.652</v>
      </c>
      <c r="U238" t="n">
        <v>296.032</v>
      </c>
      <c r="V238" t="n">
        <v>694.509</v>
      </c>
      <c r="W238" t="n">
        <v>615.203</v>
      </c>
      <c r="X238" t="n">
        <v>866.46</v>
      </c>
      <c r="Y238" t="n">
        <v>488.625</v>
      </c>
      <c r="Z238" t="n">
        <v>917.8150000000001</v>
      </c>
      <c r="AA238" t="n">
        <v>474.159</v>
      </c>
      <c r="AB238" t="n">
        <v>195.525</v>
      </c>
      <c r="AC238" t="n">
        <v>184.357</v>
      </c>
      <c r="AD238" t="n">
        <v>329.667</v>
      </c>
      <c r="AE238" t="n">
        <v>230.582</v>
      </c>
      <c r="AF238" t="n">
        <v>157.023</v>
      </c>
      <c r="AG238" t="n">
        <v>241.776</v>
      </c>
      <c r="AH238" t="n">
        <v>269.574</v>
      </c>
      <c r="AI238" t="n">
        <v>191.077</v>
      </c>
      <c r="AJ238" t="n">
        <v>347.33</v>
      </c>
      <c r="AK238" t="n">
        <v>235.934</v>
      </c>
      <c r="AL238" t="n">
        <v>204.746</v>
      </c>
      <c r="AM238" t="n">
        <v>279.056</v>
      </c>
      <c r="AN238" t="n">
        <v>221.168</v>
      </c>
      <c r="AO238" t="n">
        <v>257.229</v>
      </c>
      <c r="AP238" t="n">
        <v>256.866</v>
      </c>
      <c r="AQ238" t="n">
        <v>340.063</v>
      </c>
      <c r="AR238" t="n">
        <v>312.727</v>
      </c>
      <c r="AS238" t="n">
        <v>202.649</v>
      </c>
      <c r="AT238" t="n">
        <v>774.855</v>
      </c>
      <c r="AU238" t="n">
        <v>863.426</v>
      </c>
      <c r="AV238" t="n">
        <v>522.788</v>
      </c>
      <c r="AW238" t="n">
        <v>393.115</v>
      </c>
      <c r="AX238" t="n">
        <v>798.227</v>
      </c>
      <c r="AY238" t="n">
        <v>787.17</v>
      </c>
      <c r="AZ238" t="n">
        <v>664.66</v>
      </c>
      <c r="BA238" t="n">
        <v>1697.613</v>
      </c>
      <c r="BB238" t="n">
        <v>836.747</v>
      </c>
      <c r="BC238" t="n">
        <v>252.153</v>
      </c>
      <c r="BD238" t="n">
        <v>185.408</v>
      </c>
      <c r="BE238" t="n">
        <v>291.683</v>
      </c>
      <c r="BF238" t="n">
        <v>703.15</v>
      </c>
      <c r="BG238" t="n">
        <v>726.7859999999999</v>
      </c>
      <c r="BH238" t="n">
        <v>327.71</v>
      </c>
      <c r="BI238" t="n">
        <v>430.407</v>
      </c>
      <c r="BJ238" t="n">
        <v>235.561</v>
      </c>
      <c r="BK238" t="n">
        <v>126.209</v>
      </c>
      <c r="BL238" t="n">
        <v>160.043</v>
      </c>
      <c r="BM238" t="n">
        <v>143.1</v>
      </c>
      <c r="BN238" t="n">
        <v>105.774</v>
      </c>
      <c r="BO238" t="n">
        <v>77.423</v>
      </c>
      <c r="BP238" t="n">
        <v>21.584</v>
      </c>
      <c r="BQ238" t="n">
        <v>21.825</v>
      </c>
      <c r="BR238" t="n">
        <v>17.09</v>
      </c>
      <c r="BS238" t="n">
        <v>22.705</v>
      </c>
      <c r="BT238" t="n">
        <v>21.483</v>
      </c>
      <c r="BU238" t="n">
        <v>21.804</v>
      </c>
      <c r="BV238" t="n">
        <v>20.321</v>
      </c>
    </row>
    <row r="239">
      <c r="A239" t="inlineStr">
        <is>
          <t>Hemiramphidae</t>
        </is>
      </c>
      <c r="B239" t="inlineStr">
        <is>
          <t>Halfbeaks, garfishes</t>
        </is>
      </c>
      <c r="C239" t="inlineStr">
        <is>
          <t>Medium pelagics (30 - 89 cm)</t>
        </is>
      </c>
      <c r="D239" t="inlineStr">
        <is>
          <t>Other fishes &amp; inverts</t>
        </is>
      </c>
      <c r="E239" t="n">
        <v>71.741</v>
      </c>
      <c r="F239" t="n">
        <v>87.288</v>
      </c>
      <c r="G239" t="n">
        <v>89.913</v>
      </c>
      <c r="H239" t="n">
        <v>89.05800000000001</v>
      </c>
      <c r="I239" t="n">
        <v>109.332</v>
      </c>
      <c r="J239" t="n">
        <v>116.178</v>
      </c>
      <c r="K239" t="n">
        <v>127.207</v>
      </c>
      <c r="L239" t="n">
        <v>124.489</v>
      </c>
      <c r="M239" t="n">
        <v>132.017</v>
      </c>
      <c r="N239" t="n">
        <v>137.976</v>
      </c>
      <c r="O239" t="n">
        <v>149.159</v>
      </c>
      <c r="P239" t="n">
        <v>145.302</v>
      </c>
      <c r="Q239" t="n">
        <v>161.623</v>
      </c>
      <c r="R239" t="n">
        <v>179.553</v>
      </c>
      <c r="S239" t="n">
        <v>227.822</v>
      </c>
      <c r="T239" t="n">
        <v>247.192</v>
      </c>
      <c r="U239" t="n">
        <v>252.211</v>
      </c>
      <c r="V239" t="n">
        <v>258.73</v>
      </c>
      <c r="W239" t="n">
        <v>284.772</v>
      </c>
      <c r="X239" t="n">
        <v>266.487</v>
      </c>
      <c r="Y239" t="n">
        <v>439.003</v>
      </c>
      <c r="Z239" t="n">
        <v>428.816</v>
      </c>
      <c r="AA239" t="n">
        <v>351.611</v>
      </c>
      <c r="AB239" t="n">
        <v>378.821</v>
      </c>
      <c r="AC239" t="n">
        <v>401.446</v>
      </c>
      <c r="AD239" t="n">
        <v>462.448</v>
      </c>
      <c r="AE239" t="n">
        <v>390.032</v>
      </c>
      <c r="AF239" t="n">
        <v>418.187</v>
      </c>
      <c r="AG239" t="n">
        <v>459.317</v>
      </c>
      <c r="AH239" t="n">
        <v>435.535</v>
      </c>
      <c r="AI239" t="n">
        <v>453.749</v>
      </c>
      <c r="AJ239" t="n">
        <v>531.41</v>
      </c>
      <c r="AK239" t="n">
        <v>395.972</v>
      </c>
      <c r="AL239" t="n">
        <v>506.748</v>
      </c>
      <c r="AM239" t="n">
        <v>562.447</v>
      </c>
      <c r="AN239" t="n">
        <v>525.6319999999999</v>
      </c>
      <c r="AO239" t="n">
        <v>500.938</v>
      </c>
      <c r="AP239" t="n">
        <v>467.516</v>
      </c>
      <c r="AQ239" t="n">
        <v>441.711</v>
      </c>
      <c r="AR239" t="n">
        <v>619.702</v>
      </c>
      <c r="AS239" t="n">
        <v>592.299</v>
      </c>
      <c r="AT239" t="n">
        <v>556.206</v>
      </c>
      <c r="AU239" t="n">
        <v>283.316</v>
      </c>
      <c r="AV239" t="n">
        <v>303.032</v>
      </c>
      <c r="AW239" t="n">
        <v>279.578</v>
      </c>
      <c r="AX239" t="n">
        <v>397.257</v>
      </c>
      <c r="AY239" t="n">
        <v>330.817</v>
      </c>
      <c r="AZ239" t="n">
        <v>190.912</v>
      </c>
      <c r="BA239" t="n">
        <v>235.078</v>
      </c>
      <c r="BB239" t="n">
        <v>265.872</v>
      </c>
      <c r="BC239" t="n">
        <v>277.539</v>
      </c>
      <c r="BD239" t="n">
        <v>297.889</v>
      </c>
      <c r="BE239" t="n">
        <v>377.081</v>
      </c>
      <c r="BF239" t="n">
        <v>405.917</v>
      </c>
      <c r="BG239" t="n">
        <v>362.68</v>
      </c>
      <c r="BH239" t="n">
        <v>331.013</v>
      </c>
      <c r="BI239" t="n">
        <v>327.193</v>
      </c>
      <c r="BJ239" t="n">
        <v>389.964</v>
      </c>
      <c r="BK239" t="n">
        <v>377.616</v>
      </c>
      <c r="BL239" t="n">
        <v>381.053</v>
      </c>
      <c r="BM239" t="n">
        <v>390.716</v>
      </c>
      <c r="BN239" t="n">
        <v>493.19</v>
      </c>
      <c r="BO239" t="n">
        <v>462.423</v>
      </c>
      <c r="BP239" t="n">
        <v>435.51</v>
      </c>
      <c r="BQ239" t="n">
        <v>400.312</v>
      </c>
      <c r="BR239" t="n">
        <v>392.179</v>
      </c>
      <c r="BS239" t="n">
        <v>418.183</v>
      </c>
      <c r="BT239" t="n">
        <v>382.851</v>
      </c>
      <c r="BU239" t="n">
        <v>378.413</v>
      </c>
      <c r="BV239" t="n">
        <v>418.719</v>
      </c>
    </row>
    <row r="240">
      <c r="A240" t="inlineStr">
        <is>
          <t>Istiophorus platypterus</t>
        </is>
      </c>
      <c r="B240" t="inlineStr">
        <is>
          <t>Indo-Pacific sailfish</t>
        </is>
      </c>
      <c r="C240" t="inlineStr">
        <is>
          <t>Large pelagics (&gt;=90 cm)</t>
        </is>
      </c>
      <c r="D240" t="inlineStr">
        <is>
          <t>Tuna &amp; billfishes</t>
        </is>
      </c>
      <c r="E240" t="n">
        <v>34.157</v>
      </c>
      <c r="F240" t="n">
        <v>42.455</v>
      </c>
      <c r="G240" t="n">
        <v>43.53</v>
      </c>
      <c r="H240" t="n">
        <v>42.837</v>
      </c>
      <c r="I240" t="n">
        <v>52.604</v>
      </c>
      <c r="J240" t="n">
        <v>56.267</v>
      </c>
      <c r="K240" t="n">
        <v>62.221</v>
      </c>
      <c r="L240" t="n">
        <v>61.307</v>
      </c>
      <c r="M240" t="n">
        <v>64.375</v>
      </c>
      <c r="N240" t="n">
        <v>67.068</v>
      </c>
      <c r="O240" t="n">
        <v>73.836</v>
      </c>
      <c r="P240" t="n">
        <v>70.21899999999999</v>
      </c>
      <c r="Q240" t="n">
        <v>77.43300000000001</v>
      </c>
      <c r="R240" t="n">
        <v>93.602</v>
      </c>
      <c r="S240" t="n">
        <v>102.561</v>
      </c>
      <c r="T240" t="n">
        <v>113.882</v>
      </c>
      <c r="U240" t="n">
        <v>122.108</v>
      </c>
      <c r="V240" t="n">
        <v>128.045</v>
      </c>
      <c r="W240" t="n">
        <v>147.928</v>
      </c>
      <c r="X240" t="n">
        <v>141.522</v>
      </c>
      <c r="Y240" t="n">
        <v>164.853</v>
      </c>
      <c r="Z240" t="n">
        <v>167.3</v>
      </c>
      <c r="AA240" t="n">
        <v>183.999</v>
      </c>
      <c r="AB240" t="n">
        <v>199.35</v>
      </c>
      <c r="AC240" t="n">
        <v>206.618</v>
      </c>
      <c r="AD240" t="n">
        <v>220.567</v>
      </c>
      <c r="AE240" t="n">
        <v>206.518</v>
      </c>
      <c r="AF240" t="n">
        <v>214.073</v>
      </c>
      <c r="AG240" t="n">
        <v>213.759</v>
      </c>
      <c r="AH240" t="n">
        <v>221.617</v>
      </c>
      <c r="AI240" t="n">
        <v>248.099</v>
      </c>
      <c r="AJ240" t="n">
        <v>166.827</v>
      </c>
      <c r="AK240" t="n">
        <v>259.882</v>
      </c>
      <c r="AL240" t="n">
        <v>306.081</v>
      </c>
      <c r="AM240" t="n">
        <v>341.682</v>
      </c>
      <c r="AN240" t="n">
        <v>317.428</v>
      </c>
      <c r="AO240" t="n">
        <v>304.366</v>
      </c>
      <c r="AP240" t="n">
        <v>283.391</v>
      </c>
      <c r="AQ240" t="n">
        <v>267.008</v>
      </c>
      <c r="AR240" t="n">
        <v>338.184</v>
      </c>
      <c r="AS240" t="n">
        <v>305.548</v>
      </c>
      <c r="AT240" t="n">
        <v>319.982</v>
      </c>
      <c r="AU240" t="n">
        <v>456.476</v>
      </c>
      <c r="AV240" t="n">
        <v>625.889</v>
      </c>
      <c r="AW240" t="n">
        <v>323.714</v>
      </c>
      <c r="AX240" t="n">
        <v>663.533</v>
      </c>
      <c r="AY240" t="n">
        <v>620.38</v>
      </c>
      <c r="AZ240" t="n">
        <v>715.967</v>
      </c>
      <c r="BA240" t="n">
        <v>801.582</v>
      </c>
      <c r="BB240" t="n">
        <v>754.876</v>
      </c>
      <c r="BC240" t="n">
        <v>740.736</v>
      </c>
      <c r="BD240" t="n">
        <v>663.508</v>
      </c>
      <c r="BE240" t="n">
        <v>494.929</v>
      </c>
      <c r="BF240" t="n">
        <v>540.898</v>
      </c>
      <c r="BG240" t="n">
        <v>493.559</v>
      </c>
      <c r="BH240" t="n">
        <v>512.294</v>
      </c>
      <c r="BI240" t="n">
        <v>492.043</v>
      </c>
      <c r="BJ240" t="n">
        <v>559.46</v>
      </c>
      <c r="BK240" t="n">
        <v>504.091</v>
      </c>
      <c r="BL240" t="n">
        <v>501.604</v>
      </c>
      <c r="BM240" t="n">
        <v>525.124</v>
      </c>
      <c r="BN240" t="n">
        <v>687.947</v>
      </c>
      <c r="BO240" t="n">
        <v>645.218</v>
      </c>
      <c r="BP240" t="n">
        <v>598.586</v>
      </c>
      <c r="BQ240" t="n">
        <v>552.971</v>
      </c>
      <c r="BR240" t="n">
        <v>547.444</v>
      </c>
      <c r="BS240" t="n">
        <v>583.617</v>
      </c>
      <c r="BT240" t="n">
        <v>538.591</v>
      </c>
      <c r="BU240" t="n">
        <v>539.586</v>
      </c>
      <c r="BV240" t="n">
        <v>601.552</v>
      </c>
    </row>
    <row r="241">
      <c r="A241" t="inlineStr">
        <is>
          <t>Modiolus</t>
        </is>
      </c>
      <c r="B241" t="inlineStr">
        <is>
          <t>Horse mussels</t>
        </is>
      </c>
      <c r="C241" t="inlineStr">
        <is>
          <t>Other demersal invertebrates</t>
        </is>
      </c>
      <c r="D241" t="inlineStr">
        <is>
          <t>Molluscs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1235.7</v>
      </c>
      <c r="Z241" t="n">
        <v>1451.689</v>
      </c>
      <c r="AA241" t="n">
        <v>794.63</v>
      </c>
      <c r="AB241" t="n">
        <v>818.857</v>
      </c>
      <c r="AC241" t="n">
        <v>671.9930000000001</v>
      </c>
      <c r="AD241" t="n">
        <v>1537.407</v>
      </c>
      <c r="AE241" t="n">
        <v>2319.994</v>
      </c>
      <c r="AF241" t="n">
        <v>973.4880000000001</v>
      </c>
      <c r="AG241" t="n">
        <v>1130.398</v>
      </c>
      <c r="AH241" t="n">
        <v>967.318</v>
      </c>
      <c r="AI241" t="n">
        <v>570.895</v>
      </c>
      <c r="AJ241" t="n">
        <v>1163.352</v>
      </c>
      <c r="AK241" t="n">
        <v>2110.519</v>
      </c>
      <c r="AL241" t="n">
        <v>711.381</v>
      </c>
      <c r="AM241" t="n">
        <v>838.287</v>
      </c>
      <c r="AN241" t="n">
        <v>496.006</v>
      </c>
      <c r="AO241" t="n">
        <v>504.172</v>
      </c>
      <c r="AP241" t="n">
        <v>965.278</v>
      </c>
      <c r="AQ241" t="n">
        <v>2076.332</v>
      </c>
      <c r="AR241" t="n">
        <v>561.747</v>
      </c>
      <c r="AS241" t="n">
        <v>270.048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11.35</v>
      </c>
      <c r="BD241" t="n">
        <v>15.682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</row>
    <row r="242">
      <c r="A242" t="inlineStr">
        <is>
          <t>Istiompax indica</t>
        </is>
      </c>
      <c r="B242" t="inlineStr">
        <is>
          <t>Black marlin</t>
        </is>
      </c>
      <c r="C242" t="inlineStr">
        <is>
          <t>Large pelagics (&gt;=90 cm)</t>
        </is>
      </c>
      <c r="D242" t="inlineStr">
        <is>
          <t>Tuna &amp; billfishes</t>
        </is>
      </c>
      <c r="E242" t="n">
        <v>0.448</v>
      </c>
      <c r="F242" t="n">
        <v>0.553</v>
      </c>
      <c r="G242" t="n">
        <v>0.647</v>
      </c>
      <c r="H242" t="n">
        <v>0.694</v>
      </c>
      <c r="I242" t="n">
        <v>0.84</v>
      </c>
      <c r="J242" t="n">
        <v>1.166</v>
      </c>
      <c r="K242" t="n">
        <v>1.34</v>
      </c>
      <c r="L242" t="n">
        <v>1.163</v>
      </c>
      <c r="M242" t="n">
        <v>420.022</v>
      </c>
      <c r="N242" t="n">
        <v>283.026</v>
      </c>
      <c r="O242" t="n">
        <v>300.704</v>
      </c>
      <c r="P242" t="n">
        <v>249.61</v>
      </c>
      <c r="Q242" t="n">
        <v>445.462</v>
      </c>
      <c r="R242" t="n">
        <v>488.072</v>
      </c>
      <c r="S242" t="n">
        <v>365.751</v>
      </c>
      <c r="T242" t="n">
        <v>426.698</v>
      </c>
      <c r="U242" t="n">
        <v>433.964</v>
      </c>
      <c r="V242" t="n">
        <v>609.404</v>
      </c>
      <c r="W242" t="n">
        <v>806.713</v>
      </c>
      <c r="X242" t="n">
        <v>684.172</v>
      </c>
      <c r="Y242" t="n">
        <v>790.016</v>
      </c>
      <c r="Z242" t="n">
        <v>953.401</v>
      </c>
      <c r="AA242" t="n">
        <v>867.675</v>
      </c>
      <c r="AB242" t="n">
        <v>1018.433</v>
      </c>
      <c r="AC242" t="n">
        <v>850.067</v>
      </c>
      <c r="AD242" t="n">
        <v>988.005</v>
      </c>
      <c r="AE242" t="n">
        <v>686.806</v>
      </c>
      <c r="AF242" t="n">
        <v>566.462</v>
      </c>
      <c r="AG242" t="n">
        <v>720.8680000000001</v>
      </c>
      <c r="AH242" t="n">
        <v>637.831</v>
      </c>
      <c r="AI242" t="n">
        <v>245.463</v>
      </c>
      <c r="AJ242" t="n">
        <v>427.439</v>
      </c>
      <c r="AK242" t="n">
        <v>429.453</v>
      </c>
      <c r="AL242" t="n">
        <v>390.34</v>
      </c>
      <c r="AM242" t="n">
        <v>244.15</v>
      </c>
      <c r="AN242" t="n">
        <v>123.048</v>
      </c>
      <c r="AO242" t="n">
        <v>256.629</v>
      </c>
      <c r="AP242" t="n">
        <v>242.239</v>
      </c>
      <c r="AQ242" t="n">
        <v>349.383</v>
      </c>
      <c r="AR242" t="n">
        <v>140.096</v>
      </c>
      <c r="AS242" t="n">
        <v>88.34399999999999</v>
      </c>
      <c r="AT242" t="n">
        <v>214.833</v>
      </c>
      <c r="AU242" t="n">
        <v>272.01</v>
      </c>
      <c r="AV242" t="n">
        <v>121.042</v>
      </c>
      <c r="AW242" t="n">
        <v>215.105</v>
      </c>
      <c r="AX242" t="n">
        <v>96.41</v>
      </c>
      <c r="AY242" t="n">
        <v>131.041</v>
      </c>
      <c r="AZ242" t="n">
        <v>75.846</v>
      </c>
      <c r="BA242" t="n">
        <v>77.51900000000001</v>
      </c>
      <c r="BB242" t="n">
        <v>143.663</v>
      </c>
      <c r="BC242" t="n">
        <v>160.1</v>
      </c>
      <c r="BD242" t="n">
        <v>123.875</v>
      </c>
      <c r="BE242" t="n">
        <v>108.937</v>
      </c>
      <c r="BF242" t="n">
        <v>101.455</v>
      </c>
      <c r="BG242" t="n">
        <v>451.252</v>
      </c>
      <c r="BH242" t="n">
        <v>387.262</v>
      </c>
      <c r="BI242" t="n">
        <v>199.215</v>
      </c>
      <c r="BJ242" t="n">
        <v>132.672</v>
      </c>
      <c r="BK242" t="n">
        <v>192.946</v>
      </c>
      <c r="BL242" t="n">
        <v>473.088</v>
      </c>
      <c r="BM242" t="n">
        <v>364.18</v>
      </c>
      <c r="BN242" t="n">
        <v>171.643</v>
      </c>
      <c r="BO242" t="n">
        <v>108.51</v>
      </c>
      <c r="BP242" t="n">
        <v>242.067</v>
      </c>
      <c r="BQ242" t="n">
        <v>276.663</v>
      </c>
      <c r="BR242" t="n">
        <v>191.603</v>
      </c>
      <c r="BS242" t="n">
        <v>31.036</v>
      </c>
      <c r="BT242" t="n">
        <v>40.822</v>
      </c>
      <c r="BU242" t="n">
        <v>34.68</v>
      </c>
      <c r="BV242" t="n">
        <v>27.867</v>
      </c>
    </row>
    <row r="243">
      <c r="A243" t="inlineStr">
        <is>
          <t>Marine pelagic fishes not identified</t>
        </is>
      </c>
      <c r="B243" t="inlineStr">
        <is>
          <t>Pelagic fishes</t>
        </is>
      </c>
      <c r="C243" t="inlineStr">
        <is>
          <t>Medium pelagics (30 - 89 cm)</t>
        </is>
      </c>
      <c r="D243" t="inlineStr">
        <is>
          <t>Other fishes &amp; inverts</t>
        </is>
      </c>
      <c r="E243" t="n">
        <v>0</v>
      </c>
      <c r="F243" t="n">
        <v>0</v>
      </c>
      <c r="G243" t="n">
        <v>0</v>
      </c>
      <c r="H243" t="n">
        <v>0.002</v>
      </c>
      <c r="I243" t="n">
        <v>0.761</v>
      </c>
      <c r="J243" t="n">
        <v>4.398</v>
      </c>
      <c r="K243" t="n">
        <v>5.716</v>
      </c>
      <c r="L243" t="n">
        <v>0</v>
      </c>
      <c r="M243" t="n">
        <v>16.763</v>
      </c>
      <c r="N243" t="n">
        <v>11.663</v>
      </c>
      <c r="O243" t="n">
        <v>10.327</v>
      </c>
      <c r="P243" t="n">
        <v>14.413</v>
      </c>
      <c r="Q243" t="n">
        <v>41.316</v>
      </c>
      <c r="R243" t="n">
        <v>46.384</v>
      </c>
      <c r="S243" t="n">
        <v>50.667</v>
      </c>
      <c r="T243" t="n">
        <v>81.816</v>
      </c>
      <c r="U243" t="n">
        <v>59.95</v>
      </c>
      <c r="V243" t="n">
        <v>176.344</v>
      </c>
      <c r="W243" t="n">
        <v>136.186</v>
      </c>
      <c r="X243" t="n">
        <v>79.596</v>
      </c>
      <c r="Y243" t="n">
        <v>45.413</v>
      </c>
      <c r="Z243" t="n">
        <v>77.855</v>
      </c>
      <c r="AA243" t="n">
        <v>32.265</v>
      </c>
      <c r="AB243" t="n">
        <v>90.54300000000001</v>
      </c>
      <c r="AC243" t="n">
        <v>56.273</v>
      </c>
      <c r="AD243" t="n">
        <v>76.313</v>
      </c>
      <c r="AE243" t="n">
        <v>101.06</v>
      </c>
      <c r="AF243" t="n">
        <v>44.903</v>
      </c>
      <c r="AG243" t="n">
        <v>39.127</v>
      </c>
      <c r="AH243" t="n">
        <v>19.555</v>
      </c>
      <c r="AI243" t="n">
        <v>60.743</v>
      </c>
      <c r="AJ243" t="n">
        <v>79.38500000000001</v>
      </c>
      <c r="AK243" t="n">
        <v>19.417</v>
      </c>
      <c r="AL243" t="n">
        <v>11.012</v>
      </c>
      <c r="AM243" t="n">
        <v>8.185</v>
      </c>
      <c r="AN243" t="n">
        <v>5.445</v>
      </c>
      <c r="AO243" t="n">
        <v>5.347</v>
      </c>
      <c r="AP243" t="n">
        <v>6.105</v>
      </c>
      <c r="AQ243" t="n">
        <v>5.949</v>
      </c>
      <c r="AR243" t="n">
        <v>5.174</v>
      </c>
      <c r="AS243" t="n">
        <v>26.965</v>
      </c>
      <c r="AT243" t="n">
        <v>52.362</v>
      </c>
      <c r="AU243" t="n">
        <v>157.706</v>
      </c>
      <c r="AV243" t="n">
        <v>170.54</v>
      </c>
      <c r="AW243" t="n">
        <v>5.055</v>
      </c>
      <c r="AX243" t="n">
        <v>5.348</v>
      </c>
      <c r="AY243" t="n">
        <v>6.489</v>
      </c>
      <c r="AZ243" t="n">
        <v>7.138</v>
      </c>
      <c r="BA243" t="n">
        <v>8.576000000000001</v>
      </c>
      <c r="BB243" t="n">
        <v>8.646000000000001</v>
      </c>
      <c r="BC243" t="n">
        <v>5.534</v>
      </c>
      <c r="BD243" t="n">
        <v>11.01</v>
      </c>
      <c r="BE243" t="n">
        <v>8.352</v>
      </c>
      <c r="BF243" t="n">
        <v>9.775</v>
      </c>
      <c r="BG243" t="n">
        <v>6860.686</v>
      </c>
      <c r="BH243" t="n">
        <v>6718.496</v>
      </c>
      <c r="BI243" t="n">
        <v>3635.038</v>
      </c>
      <c r="BJ243" t="n">
        <v>392.782</v>
      </c>
      <c r="BK243" t="n">
        <v>296.878</v>
      </c>
      <c r="BL243" t="n">
        <v>240.283</v>
      </c>
      <c r="BM243" t="n">
        <v>315.009</v>
      </c>
      <c r="BN243" t="n">
        <v>146.607</v>
      </c>
      <c r="BO243" t="n">
        <v>47.381</v>
      </c>
      <c r="BP243" t="n">
        <v>68.258</v>
      </c>
      <c r="BQ243" t="n">
        <v>114.626</v>
      </c>
      <c r="BR243" t="n">
        <v>66.944</v>
      </c>
      <c r="BS243" t="n">
        <v>19.695</v>
      </c>
      <c r="BT243" t="n">
        <v>8.593</v>
      </c>
      <c r="BU243" t="n">
        <v>2.329</v>
      </c>
      <c r="BV243" t="n">
        <v>1.342</v>
      </c>
    </row>
    <row r="244">
      <c r="A244" t="inlineStr">
        <is>
          <t>Sardinella zunasi</t>
        </is>
      </c>
      <c r="B244" t="inlineStr">
        <is>
          <t>Japanese sardinella</t>
        </is>
      </c>
      <c r="C244" t="inlineStr">
        <is>
          <t>Small pelagics (&lt;30 cm)</t>
        </is>
      </c>
      <c r="D244" t="inlineStr">
        <is>
          <t>Herring-likes</t>
        </is>
      </c>
      <c r="E244" t="n">
        <v>0</v>
      </c>
      <c r="F244" t="n">
        <v>0</v>
      </c>
      <c r="G244" t="n">
        <v>8.863</v>
      </c>
      <c r="H244" t="n">
        <v>5.646</v>
      </c>
      <c r="I244" t="n">
        <v>17.443</v>
      </c>
      <c r="J244" t="n">
        <v>0</v>
      </c>
      <c r="K244" t="n">
        <v>0</v>
      </c>
      <c r="L244" t="n">
        <v>96.53700000000001</v>
      </c>
      <c r="M244" t="n">
        <v>2.623</v>
      </c>
      <c r="N244" t="n">
        <v>3.092</v>
      </c>
      <c r="O244" t="n">
        <v>0</v>
      </c>
      <c r="P244" t="n">
        <v>0</v>
      </c>
      <c r="Q244" t="n">
        <v>0</v>
      </c>
      <c r="R244" t="n">
        <v>0</v>
      </c>
      <c r="S244" t="n">
        <v>12.517</v>
      </c>
      <c r="T244" t="n">
        <v>0</v>
      </c>
      <c r="U244" t="n">
        <v>0</v>
      </c>
      <c r="V244" t="n">
        <v>0</v>
      </c>
      <c r="W244" t="n">
        <v>7.636</v>
      </c>
      <c r="X244" t="n">
        <v>0</v>
      </c>
      <c r="Y244" t="n">
        <v>1.625</v>
      </c>
      <c r="Z244" t="n">
        <v>1.474</v>
      </c>
      <c r="AA244" t="n">
        <v>0</v>
      </c>
      <c r="AB244" t="n">
        <v>11.069</v>
      </c>
      <c r="AC244" t="n">
        <v>13.716</v>
      </c>
      <c r="AD244" t="n">
        <v>0</v>
      </c>
      <c r="AE244" t="n">
        <v>344.482</v>
      </c>
      <c r="AF244" t="n">
        <v>662.663</v>
      </c>
      <c r="AG244" t="n">
        <v>765.764</v>
      </c>
      <c r="AH244" t="n">
        <v>408.998</v>
      </c>
      <c r="AI244" t="n">
        <v>304.661</v>
      </c>
      <c r="AJ244" t="n">
        <v>238.759</v>
      </c>
      <c r="AK244" t="n">
        <v>357.658</v>
      </c>
      <c r="AL244" t="n">
        <v>699.177</v>
      </c>
      <c r="AM244" t="n">
        <v>706.175</v>
      </c>
      <c r="AN244" t="n">
        <v>464.802</v>
      </c>
      <c r="AO244" t="n">
        <v>652.7670000000001</v>
      </c>
      <c r="AP244" t="n">
        <v>669.328</v>
      </c>
      <c r="AQ244" t="n">
        <v>750.025</v>
      </c>
      <c r="AR244" t="n">
        <v>564.602</v>
      </c>
      <c r="AS244" t="n">
        <v>287.863</v>
      </c>
      <c r="AT244" t="n">
        <v>393.272</v>
      </c>
      <c r="AU244" t="n">
        <v>396.924</v>
      </c>
      <c r="AV244" t="n">
        <v>1982.67</v>
      </c>
      <c r="AW244" t="n">
        <v>2461.321</v>
      </c>
      <c r="AX244" t="n">
        <v>1923.734</v>
      </c>
      <c r="AY244" t="n">
        <v>1486.913</v>
      </c>
      <c r="AZ244" t="n">
        <v>700.973</v>
      </c>
      <c r="BA244" t="n">
        <v>288.316</v>
      </c>
      <c r="BB244" t="n">
        <v>707.8390000000001</v>
      </c>
      <c r="BC244" t="n">
        <v>472.896</v>
      </c>
      <c r="BD244" t="n">
        <v>73.282</v>
      </c>
      <c r="BE244" t="n">
        <v>73.512</v>
      </c>
      <c r="BF244" t="n">
        <v>76.154</v>
      </c>
      <c r="BG244" t="n">
        <v>43.375</v>
      </c>
      <c r="BH244" t="n">
        <v>101.738</v>
      </c>
      <c r="BI244" t="n">
        <v>50.265</v>
      </c>
      <c r="BJ244" t="n">
        <v>39.174</v>
      </c>
      <c r="BK244" t="n">
        <v>248.503</v>
      </c>
      <c r="BL244" t="n">
        <v>391.404</v>
      </c>
      <c r="BM244" t="n">
        <v>128.878</v>
      </c>
      <c r="BN244" t="n">
        <v>130.09</v>
      </c>
      <c r="BO244" t="n">
        <v>159.711</v>
      </c>
      <c r="BP244" t="n">
        <v>72.494</v>
      </c>
      <c r="BQ244" t="n">
        <v>77.75700000000001</v>
      </c>
      <c r="BR244" t="n">
        <v>61.992</v>
      </c>
      <c r="BS244" t="n">
        <v>82.358</v>
      </c>
      <c r="BT244" t="n">
        <v>77.68600000000001</v>
      </c>
      <c r="BU244" t="n">
        <v>78.87</v>
      </c>
      <c r="BV244" t="n">
        <v>73.584</v>
      </c>
    </row>
    <row r="245">
      <c r="A245" t="inlineStr">
        <is>
          <t>Muraenidae</t>
        </is>
      </c>
      <c r="B245" t="inlineStr">
        <is>
          <t>Moray eels</t>
        </is>
      </c>
      <c r="C245" t="inlineStr">
        <is>
          <t>Large reef assoc. fish (&gt;=90 cm)</t>
        </is>
      </c>
      <c r="D245" t="inlineStr">
        <is>
          <t>Other fishes &amp; inverts</t>
        </is>
      </c>
      <c r="E245" t="n">
        <v>48.716</v>
      </c>
      <c r="F245" t="n">
        <v>59.585</v>
      </c>
      <c r="G245" t="n">
        <v>70.758</v>
      </c>
      <c r="H245" t="n">
        <v>76.22</v>
      </c>
      <c r="I245" t="n">
        <v>78.14100000000001</v>
      </c>
      <c r="J245" t="n">
        <v>95.998</v>
      </c>
      <c r="K245" t="n">
        <v>111.368</v>
      </c>
      <c r="L245" t="n">
        <v>122.315</v>
      </c>
      <c r="M245" t="n">
        <v>134.533</v>
      </c>
      <c r="N245" t="n">
        <v>152.935</v>
      </c>
      <c r="O245" t="n">
        <v>167.501</v>
      </c>
      <c r="P245" t="n">
        <v>200.358</v>
      </c>
      <c r="Q245" t="n">
        <v>217.886</v>
      </c>
      <c r="R245" t="n">
        <v>231.102</v>
      </c>
      <c r="S245" t="n">
        <v>258.075</v>
      </c>
      <c r="T245" t="n">
        <v>288.377</v>
      </c>
      <c r="U245" t="n">
        <v>323.592</v>
      </c>
      <c r="V245" t="n">
        <v>351.255</v>
      </c>
      <c r="W245" t="n">
        <v>396.223</v>
      </c>
      <c r="X245" t="n">
        <v>437.034</v>
      </c>
      <c r="Y245" t="n">
        <v>461.828</v>
      </c>
      <c r="Z245" t="n">
        <v>532.149</v>
      </c>
      <c r="AA245" t="n">
        <v>569.775</v>
      </c>
      <c r="AB245" t="n">
        <v>587.889</v>
      </c>
      <c r="AC245" t="n">
        <v>585.475</v>
      </c>
      <c r="AD245" t="n">
        <v>597.615</v>
      </c>
      <c r="AE245" t="n">
        <v>606.399</v>
      </c>
      <c r="AF245" t="n">
        <v>634.189</v>
      </c>
      <c r="AG245" t="n">
        <v>660.096</v>
      </c>
      <c r="AH245" t="n">
        <v>702.797</v>
      </c>
      <c r="AI245" t="n">
        <v>691.364</v>
      </c>
      <c r="AJ245" t="n">
        <v>621.788</v>
      </c>
      <c r="AK245" t="n">
        <v>580.617</v>
      </c>
      <c r="AL245" t="n">
        <v>589.958</v>
      </c>
      <c r="AM245" t="n">
        <v>616.025</v>
      </c>
      <c r="AN245" t="n">
        <v>558.022</v>
      </c>
      <c r="AO245" t="n">
        <v>569.24</v>
      </c>
      <c r="AP245" t="n">
        <v>546.951</v>
      </c>
      <c r="AQ245" t="n">
        <v>611.503</v>
      </c>
      <c r="AR245" t="n">
        <v>585.3440000000001</v>
      </c>
      <c r="AS245" t="n">
        <v>466.455</v>
      </c>
      <c r="AT245" t="n">
        <v>421.295</v>
      </c>
      <c r="AU245" t="n">
        <v>381.251</v>
      </c>
      <c r="AV245" t="n">
        <v>354.567</v>
      </c>
      <c r="AW245" t="n">
        <v>310.121</v>
      </c>
      <c r="AX245" t="n">
        <v>367.867</v>
      </c>
      <c r="AY245" t="n">
        <v>335.773</v>
      </c>
      <c r="AZ245" t="n">
        <v>314.027</v>
      </c>
      <c r="BA245" t="n">
        <v>189.752</v>
      </c>
      <c r="BB245" t="n">
        <v>196.075</v>
      </c>
      <c r="BC245" t="n">
        <v>131.72</v>
      </c>
      <c r="BD245" t="n">
        <v>107.732</v>
      </c>
      <c r="BE245" t="n">
        <v>88.904</v>
      </c>
      <c r="BF245" t="n">
        <v>125.125</v>
      </c>
      <c r="BG245" t="n">
        <v>173.687</v>
      </c>
      <c r="BH245" t="n">
        <v>176.314</v>
      </c>
      <c r="BI245" t="n">
        <v>123.467</v>
      </c>
      <c r="BJ245" t="n">
        <v>124.793</v>
      </c>
      <c r="BK245" t="n">
        <v>43.338</v>
      </c>
      <c r="BL245" t="n">
        <v>38.69</v>
      </c>
      <c r="BM245" t="n">
        <v>32.636</v>
      </c>
      <c r="BN245" t="n">
        <v>40.4</v>
      </c>
      <c r="BO245" t="n">
        <v>40.394</v>
      </c>
      <c r="BP245" t="n">
        <v>60.366</v>
      </c>
      <c r="BQ245" t="n">
        <v>66.996</v>
      </c>
      <c r="BR245" t="n">
        <v>54.852</v>
      </c>
      <c r="BS245" t="n">
        <v>88.746</v>
      </c>
      <c r="BT245" t="n">
        <v>49.266</v>
      </c>
      <c r="BU245" t="n">
        <v>75.087</v>
      </c>
      <c r="BV245" t="n">
        <v>55.343</v>
      </c>
    </row>
    <row r="246">
      <c r="A246" t="inlineStr">
        <is>
          <t>Rachycentron canadum</t>
        </is>
      </c>
      <c r="B246" t="inlineStr">
        <is>
          <t>Cobia</t>
        </is>
      </c>
      <c r="C246" t="inlineStr">
        <is>
          <t>Large pelagics (&gt;=90 cm)</t>
        </is>
      </c>
      <c r="D246" t="inlineStr">
        <is>
          <t>Perch-likes</t>
        </is>
      </c>
      <c r="E246" t="n">
        <v>44.416</v>
      </c>
      <c r="F246" t="n">
        <v>44.722</v>
      </c>
      <c r="G246" t="n">
        <v>46.384</v>
      </c>
      <c r="H246" t="n">
        <v>48.752</v>
      </c>
      <c r="I246" t="n">
        <v>51.658</v>
      </c>
      <c r="J246" t="n">
        <v>55.083</v>
      </c>
      <c r="K246" t="n">
        <v>58.531</v>
      </c>
      <c r="L246" t="n">
        <v>61.389</v>
      </c>
      <c r="M246" t="n">
        <v>65.61199999999999</v>
      </c>
      <c r="N246" t="n">
        <v>69.28</v>
      </c>
      <c r="O246" t="n">
        <v>74.739</v>
      </c>
      <c r="P246" t="n">
        <v>79.38200000000001</v>
      </c>
      <c r="Q246" t="n">
        <v>83.57299999999999</v>
      </c>
      <c r="R246" t="n">
        <v>88.905</v>
      </c>
      <c r="S246" t="n">
        <v>95.95699999999999</v>
      </c>
      <c r="T246" t="n">
        <v>132.802</v>
      </c>
      <c r="U246" t="n">
        <v>144.938</v>
      </c>
      <c r="V246" t="n">
        <v>170.201</v>
      </c>
      <c r="W246" t="n">
        <v>171.884</v>
      </c>
      <c r="X246" t="n">
        <v>167.506</v>
      </c>
      <c r="Y246" t="n">
        <v>173.969</v>
      </c>
      <c r="Z246" t="n">
        <v>186.528</v>
      </c>
      <c r="AA246" t="n">
        <v>201.907</v>
      </c>
      <c r="AB246" t="n">
        <v>206.9</v>
      </c>
      <c r="AC246" t="n">
        <v>217.256</v>
      </c>
      <c r="AD246" t="n">
        <v>220.24</v>
      </c>
      <c r="AE246" t="n">
        <v>235.633</v>
      </c>
      <c r="AF246" t="n">
        <v>256.848</v>
      </c>
      <c r="AG246" t="n">
        <v>263.179</v>
      </c>
      <c r="AH246" t="n">
        <v>262.356</v>
      </c>
      <c r="AI246" t="n">
        <v>699.129</v>
      </c>
      <c r="AJ246" t="n">
        <v>896.556</v>
      </c>
      <c r="AK246" t="n">
        <v>643.427</v>
      </c>
      <c r="AL246" t="n">
        <v>759.788</v>
      </c>
      <c r="AM246" t="n">
        <v>754.778</v>
      </c>
      <c r="AN246" t="n">
        <v>402.311</v>
      </c>
      <c r="AO246" t="n">
        <v>407.77</v>
      </c>
      <c r="AP246" t="n">
        <v>424.33</v>
      </c>
      <c r="AQ246" t="n">
        <v>474.174</v>
      </c>
      <c r="AR246" t="n">
        <v>453.23</v>
      </c>
      <c r="AS246" t="n">
        <v>584.4829999999999</v>
      </c>
      <c r="AT246" t="n">
        <v>331.265</v>
      </c>
      <c r="AU246" t="n">
        <v>331.384</v>
      </c>
      <c r="AV246" t="n">
        <v>418.21</v>
      </c>
      <c r="AW246" t="n">
        <v>354.584</v>
      </c>
      <c r="AX246" t="n">
        <v>216.68</v>
      </c>
      <c r="AY246" t="n">
        <v>216.292</v>
      </c>
      <c r="AZ246" t="n">
        <v>254.428</v>
      </c>
      <c r="BA246" t="n">
        <v>248.659</v>
      </c>
      <c r="BB246" t="n">
        <v>273.526</v>
      </c>
      <c r="BC246" t="n">
        <v>281.037</v>
      </c>
      <c r="BD246" t="n">
        <v>280.552</v>
      </c>
      <c r="BE246" t="n">
        <v>232.482</v>
      </c>
      <c r="BF246" t="n">
        <v>245.251</v>
      </c>
      <c r="BG246" t="n">
        <v>237.572</v>
      </c>
      <c r="BH246" t="n">
        <v>158.731</v>
      </c>
      <c r="BI246" t="n">
        <v>171.703</v>
      </c>
      <c r="BJ246" t="n">
        <v>183.73</v>
      </c>
      <c r="BK246" t="n">
        <v>186.989</v>
      </c>
      <c r="BL246" t="n">
        <v>452.363</v>
      </c>
      <c r="BM246" t="n">
        <v>452.458</v>
      </c>
      <c r="BN246" t="n">
        <v>455.091</v>
      </c>
      <c r="BO246" t="n">
        <v>639.428</v>
      </c>
      <c r="BP246" t="n">
        <v>659.003</v>
      </c>
      <c r="BQ246" t="n">
        <v>579.734</v>
      </c>
      <c r="BR246" t="n">
        <v>520.151</v>
      </c>
      <c r="BS246" t="n">
        <v>533.888</v>
      </c>
      <c r="BT246" t="n">
        <v>470.994</v>
      </c>
      <c r="BU246" t="n">
        <v>452.795</v>
      </c>
      <c r="BV246" t="n">
        <v>434.676</v>
      </c>
    </row>
    <row r="247">
      <c r="A247" t="inlineStr">
        <is>
          <t>Mierspenaeopsis hardwickii</t>
        </is>
      </c>
      <c r="B247" t="inlineStr">
        <is>
          <t>Spear shrimp</t>
        </is>
      </c>
      <c r="C247" t="inlineStr">
        <is>
          <t>Shrimps</t>
        </is>
      </c>
      <c r="D247" t="inlineStr">
        <is>
          <t>Crustaceans</t>
        </is>
      </c>
      <c r="E247" t="n">
        <v>35.841</v>
      </c>
      <c r="F247" t="n">
        <v>40.51</v>
      </c>
      <c r="G247" t="n">
        <v>45.644</v>
      </c>
      <c r="H247" t="n">
        <v>48.925</v>
      </c>
      <c r="I247" t="n">
        <v>50.601</v>
      </c>
      <c r="J247" t="n">
        <v>58.481</v>
      </c>
      <c r="K247" t="n">
        <v>66.035</v>
      </c>
      <c r="L247" t="n">
        <v>71.617</v>
      </c>
      <c r="M247" t="n">
        <v>77.901</v>
      </c>
      <c r="N247" t="n">
        <v>86.589</v>
      </c>
      <c r="O247" t="n">
        <v>93.797</v>
      </c>
      <c r="P247" t="n">
        <v>108.406</v>
      </c>
      <c r="Q247" t="n">
        <v>116.718</v>
      </c>
      <c r="R247" t="n">
        <v>123.856</v>
      </c>
      <c r="S247" t="n">
        <v>136.905</v>
      </c>
      <c r="T247" t="n">
        <v>160.893</v>
      </c>
      <c r="U247" t="n">
        <v>175.549</v>
      </c>
      <c r="V247" t="n">
        <v>192.083</v>
      </c>
      <c r="W247" t="n">
        <v>208.296</v>
      </c>
      <c r="X247" t="n">
        <v>225.858</v>
      </c>
      <c r="Y247" t="n">
        <v>235.405</v>
      </c>
      <c r="Z247" t="n">
        <v>260.978</v>
      </c>
      <c r="AA247" t="n">
        <v>268.079</v>
      </c>
      <c r="AB247" t="n">
        <v>279.087</v>
      </c>
      <c r="AC247" t="n">
        <v>278.988</v>
      </c>
      <c r="AD247" t="n">
        <v>331.195</v>
      </c>
      <c r="AE247" t="n">
        <v>340.791</v>
      </c>
      <c r="AF247" t="n">
        <v>345.182</v>
      </c>
      <c r="AG247" t="n">
        <v>375.142</v>
      </c>
      <c r="AH247" t="n">
        <v>396.851</v>
      </c>
      <c r="AI247" t="n">
        <v>394.553</v>
      </c>
      <c r="AJ247" t="n">
        <v>357.282</v>
      </c>
      <c r="AK247" t="n">
        <v>348.309</v>
      </c>
      <c r="AL247" t="n">
        <v>351.626</v>
      </c>
      <c r="AM247" t="n">
        <v>358.814</v>
      </c>
      <c r="AN247" t="n">
        <v>969.947</v>
      </c>
      <c r="AO247" t="n">
        <v>873.28</v>
      </c>
      <c r="AP247" t="n">
        <v>829.138</v>
      </c>
      <c r="AQ247" t="n">
        <v>788.153</v>
      </c>
      <c r="AR247" t="n">
        <v>735.6799999999999</v>
      </c>
      <c r="AS247" t="n">
        <v>742.694</v>
      </c>
      <c r="AT247" t="n">
        <v>638.462</v>
      </c>
      <c r="AU247" t="n">
        <v>639.971</v>
      </c>
      <c r="AV247" t="n">
        <v>600.774</v>
      </c>
      <c r="AW247" t="n">
        <v>804.518</v>
      </c>
      <c r="AX247" t="n">
        <v>208.485</v>
      </c>
      <c r="AY247" t="n">
        <v>328.1</v>
      </c>
      <c r="AZ247" t="n">
        <v>274.13</v>
      </c>
      <c r="BA247" t="n">
        <v>227.092</v>
      </c>
      <c r="BB247" t="n">
        <v>248.033</v>
      </c>
      <c r="BC247" t="n">
        <v>214.052</v>
      </c>
      <c r="BD247" t="n">
        <v>202.195</v>
      </c>
      <c r="BE247" t="n">
        <v>128.763</v>
      </c>
      <c r="BF247" t="n">
        <v>127.737</v>
      </c>
      <c r="BG247" t="n">
        <v>148.725</v>
      </c>
      <c r="BH247" t="n">
        <v>376.508</v>
      </c>
      <c r="BI247" t="n">
        <v>415.351</v>
      </c>
      <c r="BJ247" t="n">
        <v>416.052</v>
      </c>
      <c r="BK247" t="n">
        <v>416.404</v>
      </c>
      <c r="BL247" t="n">
        <v>224.418</v>
      </c>
      <c r="BM247" t="n">
        <v>263.121</v>
      </c>
      <c r="BN247" t="n">
        <v>68.791</v>
      </c>
      <c r="BO247" t="n">
        <v>69.504</v>
      </c>
      <c r="BP247" t="n">
        <v>110.726</v>
      </c>
      <c r="BQ247" t="n">
        <v>121.798</v>
      </c>
      <c r="BR247" t="n">
        <v>99.20999999999999</v>
      </c>
      <c r="BS247" t="n">
        <v>164.95</v>
      </c>
      <c r="BT247" t="n">
        <v>86.557</v>
      </c>
      <c r="BU247" t="n">
        <v>128.418</v>
      </c>
      <c r="BV247" t="n">
        <v>97.203</v>
      </c>
    </row>
    <row r="248">
      <c r="A248" t="inlineStr">
        <is>
          <t>Ibacus ciliatus</t>
        </is>
      </c>
      <c r="B248" t="inlineStr">
        <is>
          <t>Sand Crayfish</t>
        </is>
      </c>
      <c r="C248" t="inlineStr">
        <is>
          <t>Lobsters, crabs</t>
        </is>
      </c>
      <c r="D248" t="inlineStr">
        <is>
          <t>Crustaceans</t>
        </is>
      </c>
      <c r="E248" t="n">
        <v>1.44</v>
      </c>
      <c r="F248" t="n">
        <v>1.743</v>
      </c>
      <c r="G248" t="n">
        <v>2.13</v>
      </c>
      <c r="H248" t="n">
        <v>2.314</v>
      </c>
      <c r="I248" t="n">
        <v>2.406</v>
      </c>
      <c r="J248" t="n">
        <v>3.028</v>
      </c>
      <c r="K248" t="n">
        <v>3.497</v>
      </c>
      <c r="L248" t="n">
        <v>3.857</v>
      </c>
      <c r="M248" t="n">
        <v>4.179</v>
      </c>
      <c r="N248" t="n">
        <v>4.804</v>
      </c>
      <c r="O248" t="n">
        <v>5.511</v>
      </c>
      <c r="P248" t="n">
        <v>6.707</v>
      </c>
      <c r="Q248" t="n">
        <v>7.127</v>
      </c>
      <c r="R248" t="n">
        <v>7.276</v>
      </c>
      <c r="S248" t="n">
        <v>7.981</v>
      </c>
      <c r="T248" t="n">
        <v>9.404999999999999</v>
      </c>
      <c r="U248" t="n">
        <v>10.76</v>
      </c>
      <c r="V248" t="n">
        <v>11.13</v>
      </c>
      <c r="W248" t="n">
        <v>11.937</v>
      </c>
      <c r="X248" t="n">
        <v>12.747</v>
      </c>
      <c r="Y248" t="n">
        <v>13.751</v>
      </c>
      <c r="Z248" t="n">
        <v>18.079</v>
      </c>
      <c r="AA248" t="n">
        <v>22.458</v>
      </c>
      <c r="AB248" t="n">
        <v>22.107</v>
      </c>
      <c r="AC248" t="n">
        <v>21.854</v>
      </c>
      <c r="AD248" t="n">
        <v>22.593</v>
      </c>
      <c r="AE248" t="n">
        <v>22.158</v>
      </c>
      <c r="AF248" t="n">
        <v>26.414</v>
      </c>
      <c r="AG248" t="n">
        <v>24.874</v>
      </c>
      <c r="AH248" t="n">
        <v>27.383</v>
      </c>
      <c r="AI248" t="n">
        <v>25.878</v>
      </c>
      <c r="AJ248" t="n">
        <v>24.387</v>
      </c>
      <c r="AK248" t="n">
        <v>20.338</v>
      </c>
      <c r="AL248" t="n">
        <v>21.392</v>
      </c>
      <c r="AM248" t="n">
        <v>25.042</v>
      </c>
      <c r="AN248" t="n">
        <v>17.167</v>
      </c>
      <c r="AO248" t="n">
        <v>18.295</v>
      </c>
      <c r="AP248" t="n">
        <v>19.347</v>
      </c>
      <c r="AQ248" t="n">
        <v>28.041</v>
      </c>
      <c r="AR248" t="n">
        <v>436.541</v>
      </c>
      <c r="AS248" t="n">
        <v>216.997</v>
      </c>
      <c r="AT248" t="n">
        <v>272.945</v>
      </c>
      <c r="AU248" t="n">
        <v>323.11</v>
      </c>
      <c r="AV248" t="n">
        <v>289.761</v>
      </c>
      <c r="AW248" t="n">
        <v>161.936</v>
      </c>
      <c r="AX248" t="n">
        <v>818.009</v>
      </c>
      <c r="AY248" t="n">
        <v>746.628</v>
      </c>
      <c r="AZ248" t="n">
        <v>420.617</v>
      </c>
      <c r="BA248" t="n">
        <v>323.771</v>
      </c>
      <c r="BB248" t="n">
        <v>297.465</v>
      </c>
      <c r="BC248" t="n">
        <v>731.035</v>
      </c>
      <c r="BD248" t="n">
        <v>784.114</v>
      </c>
      <c r="BE248" t="n">
        <v>542.526</v>
      </c>
      <c r="BF248" t="n">
        <v>707.21</v>
      </c>
      <c r="BG248" t="n">
        <v>851.182</v>
      </c>
      <c r="BH248" t="n">
        <v>667.251</v>
      </c>
      <c r="BI248" t="n">
        <v>775.239</v>
      </c>
      <c r="BJ248" t="n">
        <v>563.095</v>
      </c>
      <c r="BK248" t="n">
        <v>532.793</v>
      </c>
      <c r="BL248" t="n">
        <v>312.129</v>
      </c>
      <c r="BM248" t="n">
        <v>2156.091</v>
      </c>
      <c r="BN248" t="n">
        <v>2166.461</v>
      </c>
      <c r="BO248" t="n">
        <v>675.962</v>
      </c>
      <c r="BP248" t="n">
        <v>1134.419</v>
      </c>
      <c r="BQ248" t="n">
        <v>649.8339999999999</v>
      </c>
      <c r="BR248" t="n">
        <v>309.357</v>
      </c>
      <c r="BS248" t="n">
        <v>699.635</v>
      </c>
      <c r="BT248" t="n">
        <v>145.013</v>
      </c>
      <c r="BU248" t="n">
        <v>226.772</v>
      </c>
      <c r="BV248" t="n">
        <v>203.704</v>
      </c>
    </row>
    <row r="249">
      <c r="A249" t="inlineStr">
        <is>
          <t>Istiophoridae</t>
        </is>
      </c>
      <c r="B249" t="inlineStr">
        <is>
          <t>Billfishes</t>
        </is>
      </c>
      <c r="C249" t="inlineStr">
        <is>
          <t>Large pelagics (&gt;=90 cm)</t>
        </is>
      </c>
      <c r="D249" t="inlineStr">
        <is>
          <t>Tuna &amp; billfishes</t>
        </is>
      </c>
      <c r="E249" t="n">
        <v>9.182</v>
      </c>
      <c r="F249" t="n">
        <v>11.414</v>
      </c>
      <c r="G249" t="n">
        <v>11.68</v>
      </c>
      <c r="H249" t="n">
        <v>16.278</v>
      </c>
      <c r="I249" t="n">
        <v>19.249</v>
      </c>
      <c r="J249" t="n">
        <v>17.443</v>
      </c>
      <c r="K249" t="n">
        <v>19.375</v>
      </c>
      <c r="L249" t="n">
        <v>16.742</v>
      </c>
      <c r="M249" t="n">
        <v>33.03</v>
      </c>
      <c r="N249" t="n">
        <v>28.199</v>
      </c>
      <c r="O249" t="n">
        <v>34.214</v>
      </c>
      <c r="P249" t="n">
        <v>40.012</v>
      </c>
      <c r="Q249" t="n">
        <v>50.036</v>
      </c>
      <c r="R249" t="n">
        <v>60.055</v>
      </c>
      <c r="S249" t="n">
        <v>55.08</v>
      </c>
      <c r="T249" t="n">
        <v>65.499</v>
      </c>
      <c r="U249" t="n">
        <v>74.48099999999999</v>
      </c>
      <c r="V249" t="n">
        <v>102.404</v>
      </c>
      <c r="W249" t="n">
        <v>117.499</v>
      </c>
      <c r="X249" t="n">
        <v>112.561</v>
      </c>
      <c r="Y249" t="n">
        <v>121.046</v>
      </c>
      <c r="Z249" t="n">
        <v>135.149</v>
      </c>
      <c r="AA249" t="n">
        <v>132.974</v>
      </c>
      <c r="AB249" t="n">
        <v>172.676</v>
      </c>
      <c r="AC249" t="n">
        <v>156.36</v>
      </c>
      <c r="AD249" t="n">
        <v>211.819</v>
      </c>
      <c r="AE249" t="n">
        <v>215.36</v>
      </c>
      <c r="AF249" t="n">
        <v>195.735</v>
      </c>
      <c r="AG249" t="n">
        <v>192.44</v>
      </c>
      <c r="AH249" t="n">
        <v>188.806</v>
      </c>
      <c r="AI249" t="n">
        <v>179.844</v>
      </c>
      <c r="AJ249" t="n">
        <v>170.628</v>
      </c>
      <c r="AK249" t="n">
        <v>163.68</v>
      </c>
      <c r="AL249" t="n">
        <v>168.587</v>
      </c>
      <c r="AM249" t="n">
        <v>176.275</v>
      </c>
      <c r="AN249" t="n">
        <v>190.456</v>
      </c>
      <c r="AO249" t="n">
        <v>234.401</v>
      </c>
      <c r="AP249" t="n">
        <v>277.066</v>
      </c>
      <c r="AQ249" t="n">
        <v>326.729</v>
      </c>
      <c r="AR249" t="n">
        <v>377.338</v>
      </c>
      <c r="AS249" t="n">
        <v>379.448</v>
      </c>
      <c r="AT249" t="n">
        <v>363.481</v>
      </c>
      <c r="AU249" t="n">
        <v>292.4</v>
      </c>
      <c r="AV249" t="n">
        <v>233.15</v>
      </c>
      <c r="AW249" t="n">
        <v>260.951</v>
      </c>
      <c r="AX249" t="n">
        <v>324.787</v>
      </c>
      <c r="AY249" t="n">
        <v>344.617</v>
      </c>
      <c r="AZ249" t="n">
        <v>366.874</v>
      </c>
      <c r="BA249" t="n">
        <v>417.873</v>
      </c>
      <c r="BB249" t="n">
        <v>557.071</v>
      </c>
      <c r="BC249" t="n">
        <v>564.355</v>
      </c>
      <c r="BD249" t="n">
        <v>1151.595</v>
      </c>
      <c r="BE249" t="n">
        <v>467.493</v>
      </c>
      <c r="BF249" t="n">
        <v>503.628</v>
      </c>
      <c r="BG249" t="n">
        <v>577.824</v>
      </c>
      <c r="BH249" t="n">
        <v>532.34</v>
      </c>
      <c r="BI249" t="n">
        <v>503.599</v>
      </c>
      <c r="BJ249" t="n">
        <v>473.056</v>
      </c>
      <c r="BK249" t="n">
        <v>479.132</v>
      </c>
      <c r="BL249" t="n">
        <v>479.06</v>
      </c>
      <c r="BM249" t="n">
        <v>498.291</v>
      </c>
      <c r="BN249" t="n">
        <v>558.196</v>
      </c>
      <c r="BO249" t="n">
        <v>542.208</v>
      </c>
      <c r="BP249" t="n">
        <v>538.818</v>
      </c>
      <c r="BQ249" t="n">
        <v>495.7</v>
      </c>
      <c r="BR249" t="n">
        <v>496.014</v>
      </c>
      <c r="BS249" t="n">
        <v>520.6369999999999</v>
      </c>
      <c r="BT249" t="n">
        <v>484.287</v>
      </c>
      <c r="BU249" t="n">
        <v>482.981</v>
      </c>
      <c r="BV249" t="n">
        <v>512.237</v>
      </c>
    </row>
    <row r="250">
      <c r="A250" t="inlineStr">
        <is>
          <t>Panulirus polyphagus</t>
        </is>
      </c>
      <c r="B250" t="inlineStr">
        <is>
          <t>Mud spiny lobster</t>
        </is>
      </c>
      <c r="C250" t="inlineStr">
        <is>
          <t>Lobsters, crabs</t>
        </is>
      </c>
      <c r="D250" t="inlineStr">
        <is>
          <t>Crustaceans</t>
        </is>
      </c>
      <c r="E250" t="n">
        <v>109.168</v>
      </c>
      <c r="F250" t="n">
        <v>108.25</v>
      </c>
      <c r="G250" t="n">
        <v>114.213</v>
      </c>
      <c r="H250" t="n">
        <v>121.094</v>
      </c>
      <c r="I250" t="n">
        <v>126.139</v>
      </c>
      <c r="J250" t="n">
        <v>132.102</v>
      </c>
      <c r="K250" t="n">
        <v>138.524</v>
      </c>
      <c r="L250" t="n">
        <v>144.945</v>
      </c>
      <c r="M250" t="n">
        <v>152.743</v>
      </c>
      <c r="N250" t="n">
        <v>160.082</v>
      </c>
      <c r="O250" t="n">
        <v>171.091</v>
      </c>
      <c r="P250" t="n">
        <v>177.512</v>
      </c>
      <c r="Q250" t="n">
        <v>183.475</v>
      </c>
      <c r="R250" t="n">
        <v>188.98</v>
      </c>
      <c r="S250" t="n">
        <v>196.319</v>
      </c>
      <c r="T250" t="n">
        <v>281.635</v>
      </c>
      <c r="U250" t="n">
        <v>285.304</v>
      </c>
      <c r="V250" t="n">
        <v>308.238</v>
      </c>
      <c r="W250" t="n">
        <v>276.13</v>
      </c>
      <c r="X250" t="n">
        <v>268.791</v>
      </c>
      <c r="Y250" t="n">
        <v>267.415</v>
      </c>
      <c r="Z250" t="n">
        <v>267.415</v>
      </c>
      <c r="AA250" t="n">
        <v>255.031</v>
      </c>
      <c r="AB250" t="n">
        <v>262.828</v>
      </c>
      <c r="AC250" t="n">
        <v>272.461</v>
      </c>
      <c r="AD250" t="n">
        <v>277.506</v>
      </c>
      <c r="AE250" t="n">
        <v>290.35</v>
      </c>
      <c r="AF250" t="n">
        <v>295.854</v>
      </c>
      <c r="AG250" t="n">
        <v>330.851</v>
      </c>
      <c r="AH250" t="n">
        <v>346.446</v>
      </c>
      <c r="AI250" t="n">
        <v>349.599</v>
      </c>
      <c r="AJ250" t="n">
        <v>361.565</v>
      </c>
      <c r="AK250" t="n">
        <v>379.29</v>
      </c>
      <c r="AL250" t="n">
        <v>388.254</v>
      </c>
      <c r="AM250" t="n">
        <v>421.613</v>
      </c>
      <c r="AN250" t="n">
        <v>441.136</v>
      </c>
      <c r="AO250" t="n">
        <v>447.543</v>
      </c>
      <c r="AP250" t="n">
        <v>444.777</v>
      </c>
      <c r="AQ250" t="n">
        <v>435.706</v>
      </c>
      <c r="AR250" t="n">
        <v>438.406</v>
      </c>
      <c r="AS250" t="n">
        <v>444.012</v>
      </c>
      <c r="AT250" t="n">
        <v>41.485</v>
      </c>
      <c r="AU250" t="n">
        <v>137.908</v>
      </c>
      <c r="AV250" t="n">
        <v>2717.658</v>
      </c>
      <c r="AW250" t="n">
        <v>20.546</v>
      </c>
      <c r="AX250" t="n">
        <v>3601.136</v>
      </c>
      <c r="AY250" t="n">
        <v>29.915</v>
      </c>
      <c r="AZ250" t="n">
        <v>40.124</v>
      </c>
      <c r="BA250" t="n">
        <v>38.381</v>
      </c>
      <c r="BB250" t="n">
        <v>44.253</v>
      </c>
      <c r="BC250" t="n">
        <v>42.242</v>
      </c>
      <c r="BD250" t="n">
        <v>43.657</v>
      </c>
      <c r="BE250" t="n">
        <v>49.836</v>
      </c>
      <c r="BF250" t="n">
        <v>51.75</v>
      </c>
      <c r="BG250" t="n">
        <v>54.502</v>
      </c>
      <c r="BH250" t="n">
        <v>71.17700000000001</v>
      </c>
      <c r="BI250" t="n">
        <v>76.26300000000001</v>
      </c>
      <c r="BJ250" t="n">
        <v>74.119</v>
      </c>
      <c r="BK250" t="n">
        <v>75.239</v>
      </c>
      <c r="BL250" t="n">
        <v>74.376</v>
      </c>
      <c r="BM250" t="n">
        <v>84.867</v>
      </c>
      <c r="BN250" t="n">
        <v>82.111</v>
      </c>
      <c r="BO250" t="n">
        <v>92.407</v>
      </c>
      <c r="BP250" t="n">
        <v>96.056</v>
      </c>
      <c r="BQ250" t="n">
        <v>87.996</v>
      </c>
      <c r="BR250" t="n">
        <v>90.63500000000001</v>
      </c>
      <c r="BS250" t="n">
        <v>93.80200000000001</v>
      </c>
      <c r="BT250" t="n">
        <v>86.935</v>
      </c>
      <c r="BU250" t="n">
        <v>81.33</v>
      </c>
      <c r="BV250" t="n">
        <v>76.194</v>
      </c>
    </row>
    <row r="251">
      <c r="A251" t="inlineStr">
        <is>
          <t>Mierspenaeopsis sculptilis</t>
        </is>
      </c>
      <c r="B251" t="inlineStr">
        <is>
          <t>Rainbow shrimp</t>
        </is>
      </c>
      <c r="C251" t="inlineStr">
        <is>
          <t>Shrimps</t>
        </is>
      </c>
      <c r="D251" t="inlineStr">
        <is>
          <t>Crustaceans</t>
        </is>
      </c>
      <c r="E251" t="n">
        <v>2.726</v>
      </c>
      <c r="F251" t="n">
        <v>2.726</v>
      </c>
      <c r="G251" t="n">
        <v>2.726</v>
      </c>
      <c r="H251" t="n">
        <v>2.726</v>
      </c>
      <c r="I251" t="n">
        <v>2.726</v>
      </c>
      <c r="J251" t="n">
        <v>2.726</v>
      </c>
      <c r="K251" t="n">
        <v>2.726</v>
      </c>
      <c r="L251" t="n">
        <v>3.18</v>
      </c>
      <c r="M251" t="n">
        <v>3.18</v>
      </c>
      <c r="N251" t="n">
        <v>3.18</v>
      </c>
      <c r="O251" t="n">
        <v>3.635</v>
      </c>
      <c r="P251" t="n">
        <v>4.089</v>
      </c>
      <c r="Q251" t="n">
        <v>4.089</v>
      </c>
      <c r="R251" t="n">
        <v>4.089</v>
      </c>
      <c r="S251" t="n">
        <v>4.089</v>
      </c>
      <c r="T251" t="n">
        <v>5.906</v>
      </c>
      <c r="U251" t="n">
        <v>5.906</v>
      </c>
      <c r="V251" t="n">
        <v>6.361</v>
      </c>
      <c r="W251" t="n">
        <v>5.906</v>
      </c>
      <c r="X251" t="n">
        <v>5.906</v>
      </c>
      <c r="Y251" t="n">
        <v>5.906</v>
      </c>
      <c r="Z251" t="n">
        <v>5.452</v>
      </c>
      <c r="AA251" t="n">
        <v>5.452</v>
      </c>
      <c r="AB251" t="n">
        <v>5.452</v>
      </c>
      <c r="AC251" t="n">
        <v>5.906</v>
      </c>
      <c r="AD251" t="n">
        <v>5.906</v>
      </c>
      <c r="AE251" t="n">
        <v>5.906</v>
      </c>
      <c r="AF251" t="n">
        <v>5.906</v>
      </c>
      <c r="AG251" t="n">
        <v>6.815</v>
      </c>
      <c r="AH251" t="n">
        <v>6.815</v>
      </c>
      <c r="AI251" t="n">
        <v>6.815</v>
      </c>
      <c r="AJ251" t="n">
        <v>7.724</v>
      </c>
      <c r="AK251" t="n">
        <v>8.178000000000001</v>
      </c>
      <c r="AL251" t="n">
        <v>8.632</v>
      </c>
      <c r="AM251" t="n">
        <v>9.087</v>
      </c>
      <c r="AN251" t="n">
        <v>310.022</v>
      </c>
      <c r="AO251" t="n">
        <v>261.325</v>
      </c>
      <c r="AP251" t="n">
        <v>248.51</v>
      </c>
      <c r="AQ251" t="n">
        <v>224.562</v>
      </c>
      <c r="AR251" t="n">
        <v>210.707</v>
      </c>
      <c r="AS251" t="n">
        <v>1689.107</v>
      </c>
      <c r="AT251" t="n">
        <v>1571.494</v>
      </c>
      <c r="AU251" t="n">
        <v>1594.197</v>
      </c>
      <c r="AV251" t="n">
        <v>1526.845</v>
      </c>
      <c r="AW251" t="n">
        <v>1520.995</v>
      </c>
      <c r="AX251" t="n">
        <v>547.048</v>
      </c>
      <c r="AY251" t="n">
        <v>567.2619999999999</v>
      </c>
      <c r="AZ251" t="n">
        <v>828.619</v>
      </c>
      <c r="BA251" t="n">
        <v>473.96</v>
      </c>
      <c r="BB251" t="n">
        <v>573.433</v>
      </c>
      <c r="BC251" t="n">
        <v>606.408</v>
      </c>
      <c r="BD251" t="n">
        <v>627.271</v>
      </c>
      <c r="BE251" t="n">
        <v>611.501</v>
      </c>
      <c r="BF251" t="n">
        <v>682.532</v>
      </c>
      <c r="BG251" t="n">
        <v>727.207</v>
      </c>
      <c r="BH251" t="n">
        <v>243.943</v>
      </c>
      <c r="BI251" t="n">
        <v>253.202</v>
      </c>
      <c r="BJ251" t="n">
        <v>240.358</v>
      </c>
      <c r="BK251" t="n">
        <v>228.238</v>
      </c>
      <c r="BL251" t="n">
        <v>254.512</v>
      </c>
      <c r="BM251" t="n">
        <v>295.137</v>
      </c>
      <c r="BN251" t="n">
        <v>84.684</v>
      </c>
      <c r="BO251" t="n">
        <v>85.887</v>
      </c>
      <c r="BP251" t="n">
        <v>81.52</v>
      </c>
      <c r="BQ251" t="n">
        <v>89.28400000000001</v>
      </c>
      <c r="BR251" t="n">
        <v>89.312</v>
      </c>
      <c r="BS251" t="n">
        <v>89.544</v>
      </c>
      <c r="BT251" t="n">
        <v>89.85899999999999</v>
      </c>
      <c r="BU251" t="n">
        <v>0</v>
      </c>
      <c r="BV251" t="n">
        <v>0</v>
      </c>
    </row>
    <row r="252">
      <c r="A252" t="inlineStr">
        <is>
          <t>Acanthurus</t>
        </is>
      </c>
      <c r="B252" t="inlineStr">
        <is>
          <t>Surgeonfishes</t>
        </is>
      </c>
      <c r="C252" t="inlineStr">
        <is>
          <t>Small reef assoc. fish (&lt;30 cm)</t>
        </is>
      </c>
      <c r="D252" t="inlineStr">
        <is>
          <t>Perch-likes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805.415</v>
      </c>
      <c r="BI252" t="n">
        <v>1066.94</v>
      </c>
      <c r="BJ252" t="n">
        <v>1010.548</v>
      </c>
      <c r="BK252" t="n">
        <v>1179.739</v>
      </c>
      <c r="BL252" t="n">
        <v>1180.178</v>
      </c>
      <c r="BM252" t="n">
        <v>1194.224</v>
      </c>
      <c r="BN252" t="n">
        <v>1161.308</v>
      </c>
      <c r="BO252" t="n">
        <v>1307.143</v>
      </c>
      <c r="BP252" t="n">
        <v>1359.177</v>
      </c>
      <c r="BQ252" t="n">
        <v>1245.7</v>
      </c>
      <c r="BR252" t="n">
        <v>1282.715</v>
      </c>
      <c r="BS252" t="n">
        <v>1328.585</v>
      </c>
      <c r="BT252" t="n">
        <v>1232.127</v>
      </c>
      <c r="BU252" t="n">
        <v>1163.313</v>
      </c>
      <c r="BV252" t="n">
        <v>1090.329</v>
      </c>
    </row>
    <row r="253">
      <c r="A253" t="inlineStr">
        <is>
          <t>Palinuridae</t>
        </is>
      </c>
      <c r="B253" t="inlineStr">
        <is>
          <t>Spiny lobsters</t>
        </is>
      </c>
      <c r="C253" t="inlineStr">
        <is>
          <t>Lobsters, crabs</t>
        </is>
      </c>
      <c r="D253" t="inlineStr">
        <is>
          <t>Crustaceans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27.396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1982.751</v>
      </c>
      <c r="BA253" t="n">
        <v>991.867</v>
      </c>
      <c r="BB253" t="n">
        <v>496.097</v>
      </c>
      <c r="BC253" t="n">
        <v>561.544</v>
      </c>
      <c r="BD253" t="n">
        <v>909.645</v>
      </c>
      <c r="BE253" t="n">
        <v>976.787</v>
      </c>
      <c r="BF253" t="n">
        <v>1008.092</v>
      </c>
      <c r="BG253" t="n">
        <v>906.961</v>
      </c>
      <c r="BH253" t="n">
        <v>952.8630000000001</v>
      </c>
      <c r="BI253" t="n">
        <v>869.046</v>
      </c>
      <c r="BJ253" t="n">
        <v>1088.888</v>
      </c>
      <c r="BK253" t="n">
        <v>1137.927</v>
      </c>
      <c r="BL253" t="n">
        <v>1142.375</v>
      </c>
      <c r="BM253" t="n">
        <v>1185.327</v>
      </c>
      <c r="BN253" t="n">
        <v>368.179</v>
      </c>
      <c r="BO253" t="n">
        <v>361.07</v>
      </c>
      <c r="BP253" t="n">
        <v>365.385</v>
      </c>
      <c r="BQ253" t="n">
        <v>351.309</v>
      </c>
      <c r="BR253" t="n">
        <v>329.546</v>
      </c>
      <c r="BS253" t="n">
        <v>309.753</v>
      </c>
      <c r="BT253" t="n">
        <v>326.274</v>
      </c>
      <c r="BU253" t="n">
        <v>396.71</v>
      </c>
      <c r="BV253" t="n">
        <v>485.254</v>
      </c>
    </row>
    <row r="254">
      <c r="A254" t="inlineStr">
        <is>
          <t>Terapontidae</t>
        </is>
      </c>
      <c r="B254" t="inlineStr">
        <is>
          <t>Grunters, tigerperches</t>
        </is>
      </c>
      <c r="C254" t="inlineStr">
        <is>
          <t>Medium demersals (30 - 89 cm)</t>
        </is>
      </c>
      <c r="D254" t="inlineStr">
        <is>
          <t>Perch-likes</t>
        </is>
      </c>
      <c r="E254" t="n">
        <v>0.408</v>
      </c>
      <c r="F254" t="n">
        <v>0.435</v>
      </c>
      <c r="G254" t="n">
        <v>0.463</v>
      </c>
      <c r="H254" t="n">
        <v>0.458</v>
      </c>
      <c r="I254" t="n">
        <v>0.654</v>
      </c>
      <c r="J254" t="n">
        <v>0.677</v>
      </c>
      <c r="K254" t="n">
        <v>0.66</v>
      </c>
      <c r="L254" t="n">
        <v>0.61</v>
      </c>
      <c r="M254" t="n">
        <v>0.701</v>
      </c>
      <c r="N254" t="n">
        <v>0.6820000000000001</v>
      </c>
      <c r="O254" t="n">
        <v>0.891</v>
      </c>
      <c r="P254" t="n">
        <v>0.703</v>
      </c>
      <c r="Q254" t="n">
        <v>2.822</v>
      </c>
      <c r="R254" t="n">
        <v>13.971</v>
      </c>
      <c r="S254" t="n">
        <v>21.749</v>
      </c>
      <c r="T254" t="n">
        <v>62.152</v>
      </c>
      <c r="U254" t="n">
        <v>80.319</v>
      </c>
      <c r="V254" t="n">
        <v>133.944</v>
      </c>
      <c r="W254" t="n">
        <v>173.636</v>
      </c>
      <c r="X254" t="n">
        <v>183.567</v>
      </c>
      <c r="Y254" t="n">
        <v>191.278</v>
      </c>
      <c r="Z254" t="n">
        <v>219.706</v>
      </c>
      <c r="AA254" t="n">
        <v>257.066</v>
      </c>
      <c r="AB254" t="n">
        <v>278.694</v>
      </c>
      <c r="AC254" t="n">
        <v>326.087</v>
      </c>
      <c r="AD254" t="n">
        <v>317.959</v>
      </c>
      <c r="AE254" t="n">
        <v>344.699</v>
      </c>
      <c r="AF254" t="n">
        <v>408.497</v>
      </c>
      <c r="AG254" t="n">
        <v>339.458</v>
      </c>
      <c r="AH254" t="n">
        <v>297.366</v>
      </c>
      <c r="AI254" t="n">
        <v>249.905</v>
      </c>
      <c r="AJ254" t="n">
        <v>284.256</v>
      </c>
      <c r="AK254" t="n">
        <v>214.428</v>
      </c>
      <c r="AL254" t="n">
        <v>325.75</v>
      </c>
      <c r="AM254" t="n">
        <v>355.778</v>
      </c>
      <c r="AN254" t="n">
        <v>392.931</v>
      </c>
      <c r="AO254" t="n">
        <v>392.456</v>
      </c>
      <c r="AP254" t="n">
        <v>437.774</v>
      </c>
      <c r="AQ254" t="n">
        <v>382.336</v>
      </c>
      <c r="AR254" t="n">
        <v>400.278</v>
      </c>
      <c r="AS254" t="n">
        <v>399.732</v>
      </c>
      <c r="AT254" t="n">
        <v>208.363</v>
      </c>
      <c r="AU254" t="n">
        <v>255.771</v>
      </c>
      <c r="AV254" t="n">
        <v>273.247</v>
      </c>
      <c r="AW254" t="n">
        <v>332.67</v>
      </c>
      <c r="AX254" t="n">
        <v>357.812</v>
      </c>
      <c r="AY254" t="n">
        <v>342.535</v>
      </c>
      <c r="AZ254" t="n">
        <v>271.066</v>
      </c>
      <c r="BA254" t="n">
        <v>328.397</v>
      </c>
      <c r="BB254" t="n">
        <v>333.825</v>
      </c>
      <c r="BC254" t="n">
        <v>349.733</v>
      </c>
      <c r="BD254" t="n">
        <v>324.002</v>
      </c>
      <c r="BE254" t="n">
        <v>339.872</v>
      </c>
      <c r="BF254" t="n">
        <v>315.817</v>
      </c>
      <c r="BG254" t="n">
        <v>344.218</v>
      </c>
      <c r="BH254" t="n">
        <v>424.908</v>
      </c>
      <c r="BI254" t="n">
        <v>297.195</v>
      </c>
      <c r="BJ254" t="n">
        <v>365.35</v>
      </c>
      <c r="BK254" t="n">
        <v>279.212</v>
      </c>
      <c r="BL254" t="n">
        <v>261.779</v>
      </c>
      <c r="BM254" t="n">
        <v>293.403</v>
      </c>
      <c r="BN254" t="n">
        <v>286.147</v>
      </c>
      <c r="BO254" t="n">
        <v>322.143</v>
      </c>
      <c r="BP254" t="n">
        <v>335.133</v>
      </c>
      <c r="BQ254" t="n">
        <v>307.372</v>
      </c>
      <c r="BR254" t="n">
        <v>316.358</v>
      </c>
      <c r="BS254" t="n">
        <v>328.087</v>
      </c>
      <c r="BT254" t="n">
        <v>304.575</v>
      </c>
      <c r="BU254" t="n">
        <v>287.142</v>
      </c>
      <c r="BV254" t="n">
        <v>269.291</v>
      </c>
    </row>
    <row r="255">
      <c r="A255" t="inlineStr">
        <is>
          <t>Octopus vulgaris</t>
        </is>
      </c>
      <c r="B255" t="inlineStr">
        <is>
          <t>Common octopus</t>
        </is>
      </c>
      <c r="C255" t="inlineStr">
        <is>
          <t>Cephalopods</t>
        </is>
      </c>
      <c r="D255" t="inlineStr">
        <is>
          <t>Other fishes &amp; inverts</t>
        </is>
      </c>
      <c r="E255" t="n">
        <v>17.366</v>
      </c>
      <c r="F255" t="n">
        <v>21.629</v>
      </c>
      <c r="G255" t="n">
        <v>22.173</v>
      </c>
      <c r="H255" t="n">
        <v>21.831</v>
      </c>
      <c r="I255" t="n">
        <v>26.853</v>
      </c>
      <c r="J255" t="n">
        <v>28.687</v>
      </c>
      <c r="K255" t="n">
        <v>31.748</v>
      </c>
      <c r="L255" t="n">
        <v>31.261</v>
      </c>
      <c r="M255" t="n">
        <v>32.809</v>
      </c>
      <c r="N255" t="n">
        <v>34.172</v>
      </c>
      <c r="O255" t="n">
        <v>37.746</v>
      </c>
      <c r="P255" t="n">
        <v>35.859</v>
      </c>
      <c r="Q255" t="n">
        <v>39.614</v>
      </c>
      <c r="R255" t="n">
        <v>47.269</v>
      </c>
      <c r="S255" t="n">
        <v>52.299</v>
      </c>
      <c r="T255" t="n">
        <v>58.575</v>
      </c>
      <c r="U255" t="n">
        <v>62.222</v>
      </c>
      <c r="V255" t="n">
        <v>66.075</v>
      </c>
      <c r="W255" t="n">
        <v>75.136</v>
      </c>
      <c r="X255" t="n">
        <v>72.95399999999999</v>
      </c>
      <c r="Y255" t="n">
        <v>84.944</v>
      </c>
      <c r="Z255" t="n">
        <v>85.96299999999999</v>
      </c>
      <c r="AA255" t="n">
        <v>95.203</v>
      </c>
      <c r="AB255" t="n">
        <v>103.254</v>
      </c>
      <c r="AC255" t="n">
        <v>106.586</v>
      </c>
      <c r="AD255" t="n">
        <v>114.782</v>
      </c>
      <c r="AE255" t="n">
        <v>106.861</v>
      </c>
      <c r="AF255" t="n">
        <v>108.956</v>
      </c>
      <c r="AG255" t="n">
        <v>114.637</v>
      </c>
      <c r="AH255" t="n">
        <v>113.771</v>
      </c>
      <c r="AI255" t="n">
        <v>120.726</v>
      </c>
      <c r="AJ255" t="n">
        <v>110.147</v>
      </c>
      <c r="AK255" t="n">
        <v>118.162</v>
      </c>
      <c r="AL255" t="n">
        <v>139.037</v>
      </c>
      <c r="AM255" t="n">
        <v>146.386</v>
      </c>
      <c r="AN255" t="n">
        <v>152.243</v>
      </c>
      <c r="AO255" t="n">
        <v>162.028</v>
      </c>
      <c r="AP255" t="n">
        <v>168.654</v>
      </c>
      <c r="AQ255" t="n">
        <v>178.66</v>
      </c>
      <c r="AR255" t="n">
        <v>204.895</v>
      </c>
      <c r="AS255" t="n">
        <v>199.475</v>
      </c>
      <c r="AT255" t="n">
        <v>204.333</v>
      </c>
      <c r="AU255" t="n">
        <v>261.193</v>
      </c>
      <c r="AV255" t="n">
        <v>709.432</v>
      </c>
      <c r="AW255" t="n">
        <v>572.641</v>
      </c>
      <c r="AX255" t="n">
        <v>762.062</v>
      </c>
      <c r="AY255" t="n">
        <v>711.378</v>
      </c>
      <c r="AZ255" t="n">
        <v>619.249</v>
      </c>
      <c r="BA255" t="n">
        <v>380.769</v>
      </c>
      <c r="BB255" t="n">
        <v>415.32</v>
      </c>
      <c r="BC255" t="n">
        <v>419.589</v>
      </c>
      <c r="BD255" t="n">
        <v>460.647</v>
      </c>
      <c r="BE255" t="n">
        <v>380.315</v>
      </c>
      <c r="BF255" t="n">
        <v>415.392</v>
      </c>
      <c r="BG255" t="n">
        <v>379.355</v>
      </c>
      <c r="BH255" t="n">
        <v>329.494</v>
      </c>
      <c r="BI255" t="n">
        <v>332.899</v>
      </c>
      <c r="BJ255" t="n">
        <v>393.05</v>
      </c>
      <c r="BK255" t="n">
        <v>381.313</v>
      </c>
      <c r="BL255" t="n">
        <v>382.17</v>
      </c>
      <c r="BM255" t="n">
        <v>397.952</v>
      </c>
      <c r="BN255" t="n">
        <v>524.4</v>
      </c>
      <c r="BO255" t="n">
        <v>490.639</v>
      </c>
      <c r="BP255" t="n">
        <v>455.72</v>
      </c>
      <c r="BQ255" t="n">
        <v>420.288</v>
      </c>
      <c r="BR255" t="n">
        <v>416.766</v>
      </c>
      <c r="BS255" t="n">
        <v>444.361</v>
      </c>
      <c r="BT255" t="n">
        <v>409.551</v>
      </c>
      <c r="BU255" t="n">
        <v>407.956</v>
      </c>
      <c r="BV255" t="n">
        <v>458.161</v>
      </c>
    </row>
    <row r="256">
      <c r="A256" t="inlineStr">
        <is>
          <t>Solenocera crassicornis</t>
        </is>
      </c>
      <c r="B256" t="inlineStr">
        <is>
          <t>Coastal mud shrimp</t>
        </is>
      </c>
      <c r="C256" t="inlineStr">
        <is>
          <t>Shrimps</t>
        </is>
      </c>
      <c r="D256" t="inlineStr">
        <is>
          <t>Crustaceans</t>
        </is>
      </c>
      <c r="E256" t="n">
        <v>0.894</v>
      </c>
      <c r="F256" t="n">
        <v>0.894</v>
      </c>
      <c r="G256" t="n">
        <v>0.894</v>
      </c>
      <c r="H256" t="n">
        <v>0.894</v>
      </c>
      <c r="I256" t="n">
        <v>0.894</v>
      </c>
      <c r="J256" t="n">
        <v>1.341</v>
      </c>
      <c r="K256" t="n">
        <v>1.341</v>
      </c>
      <c r="L256" t="n">
        <v>1.788</v>
      </c>
      <c r="M256" t="n">
        <v>1.788</v>
      </c>
      <c r="N256" t="n">
        <v>1.788</v>
      </c>
      <c r="O256" t="n">
        <v>1.788</v>
      </c>
      <c r="P256" t="n">
        <v>1.788</v>
      </c>
      <c r="Q256" t="n">
        <v>1.788</v>
      </c>
      <c r="R256" t="n">
        <v>1.788</v>
      </c>
      <c r="S256" t="n">
        <v>1.788</v>
      </c>
      <c r="T256" t="n">
        <v>3.129</v>
      </c>
      <c r="U256" t="n">
        <v>3.129</v>
      </c>
      <c r="V256" t="n">
        <v>3.129</v>
      </c>
      <c r="W256" t="n">
        <v>3.129</v>
      </c>
      <c r="X256" t="n">
        <v>3.129</v>
      </c>
      <c r="Y256" t="n">
        <v>2.682</v>
      </c>
      <c r="Z256" t="n">
        <v>2.682</v>
      </c>
      <c r="AA256" t="n">
        <v>2.682</v>
      </c>
      <c r="AB256" t="n">
        <v>2.682</v>
      </c>
      <c r="AC256" t="n">
        <v>2.682</v>
      </c>
      <c r="AD256" t="n">
        <v>2.682</v>
      </c>
      <c r="AE256" t="n">
        <v>2.682</v>
      </c>
      <c r="AF256" t="n">
        <v>3.129</v>
      </c>
      <c r="AG256" t="n">
        <v>3.576</v>
      </c>
      <c r="AH256" t="n">
        <v>3.576</v>
      </c>
      <c r="AI256" t="n">
        <v>3.576</v>
      </c>
      <c r="AJ256" t="n">
        <v>3.576</v>
      </c>
      <c r="AK256" t="n">
        <v>3.576</v>
      </c>
      <c r="AL256" t="n">
        <v>3.576</v>
      </c>
      <c r="AM256" t="n">
        <v>4.023</v>
      </c>
      <c r="AN256" t="n">
        <v>566.27</v>
      </c>
      <c r="AO256" t="n">
        <v>474.928</v>
      </c>
      <c r="AP256" t="n">
        <v>450.777</v>
      </c>
      <c r="AQ256" t="n">
        <v>406.871</v>
      </c>
      <c r="AR256" t="n">
        <v>380.9</v>
      </c>
      <c r="AS256" t="n">
        <v>56.223</v>
      </c>
      <c r="AT256" t="n">
        <v>50.721</v>
      </c>
      <c r="AU256" t="n">
        <v>51.158</v>
      </c>
      <c r="AV256" t="n">
        <v>48.379</v>
      </c>
      <c r="AW256" t="n">
        <v>47.385</v>
      </c>
      <c r="AX256" t="n">
        <v>58.003</v>
      </c>
      <c r="AY256" t="n">
        <v>64.41</v>
      </c>
      <c r="AZ256" t="n">
        <v>90.402</v>
      </c>
      <c r="BA256" t="n">
        <v>63.094</v>
      </c>
      <c r="BB256" t="n">
        <v>80.91800000000001</v>
      </c>
      <c r="BC256" t="n">
        <v>9.387</v>
      </c>
      <c r="BD256" t="n">
        <v>9.387</v>
      </c>
      <c r="BE256" t="n">
        <v>15.645</v>
      </c>
      <c r="BF256" t="n">
        <v>15.645</v>
      </c>
      <c r="BG256" t="n">
        <v>16.539</v>
      </c>
      <c r="BH256" t="n">
        <v>619.234</v>
      </c>
      <c r="BI256" t="n">
        <v>711.301</v>
      </c>
      <c r="BJ256" t="n">
        <v>747.134</v>
      </c>
      <c r="BK256" t="n">
        <v>787.087</v>
      </c>
      <c r="BL256" t="n">
        <v>722.385</v>
      </c>
      <c r="BM256" t="n">
        <v>950.284</v>
      </c>
      <c r="BN256" t="n">
        <v>924.155</v>
      </c>
      <c r="BO256" t="n">
        <v>1040.182</v>
      </c>
      <c r="BP256" t="n">
        <v>1081.535</v>
      </c>
      <c r="BQ256" t="n">
        <v>991.165</v>
      </c>
      <c r="BR256" t="n">
        <v>1020.66</v>
      </c>
      <c r="BS256" t="n">
        <v>1057.024</v>
      </c>
      <c r="BT256" t="n">
        <v>980.179</v>
      </c>
      <c r="BU256" t="n">
        <v>925.039</v>
      </c>
      <c r="BV256" t="n">
        <v>866.95</v>
      </c>
    </row>
    <row r="257">
      <c r="A257" t="inlineStr">
        <is>
          <t>Thunnus alalunga</t>
        </is>
      </c>
      <c r="B257" t="inlineStr">
        <is>
          <t>Albacore</t>
        </is>
      </c>
      <c r="C257" t="inlineStr">
        <is>
          <t>Large pelagics (&gt;=90 cm)</t>
        </is>
      </c>
      <c r="D257" t="inlineStr">
        <is>
          <t>Tuna &amp; billfishes</t>
        </is>
      </c>
      <c r="E257" t="n">
        <v>0</v>
      </c>
      <c r="F257" t="n">
        <v>0.002</v>
      </c>
      <c r="G257" t="n">
        <v>0.002</v>
      </c>
      <c r="H257" t="n">
        <v>15.476</v>
      </c>
      <c r="I257" t="n">
        <v>25.559</v>
      </c>
      <c r="J257" t="n">
        <v>4.717</v>
      </c>
      <c r="K257" t="n">
        <v>4.534</v>
      </c>
      <c r="L257" t="n">
        <v>0.639</v>
      </c>
      <c r="M257" t="n">
        <v>51.4</v>
      </c>
      <c r="N257" t="n">
        <v>53.001</v>
      </c>
      <c r="O257" t="n">
        <v>27.768</v>
      </c>
      <c r="P257" t="n">
        <v>53.986</v>
      </c>
      <c r="Q257" t="n">
        <v>80.005</v>
      </c>
      <c r="R257" t="n">
        <v>139.323</v>
      </c>
      <c r="S257" t="n">
        <v>153.81</v>
      </c>
      <c r="T257" t="n">
        <v>153.766</v>
      </c>
      <c r="U257" t="n">
        <v>210.079</v>
      </c>
      <c r="V257" t="n">
        <v>345.18</v>
      </c>
      <c r="W257" t="n">
        <v>458.047</v>
      </c>
      <c r="X257" t="n">
        <v>435.696</v>
      </c>
      <c r="Y257" t="n">
        <v>888.998</v>
      </c>
      <c r="Z257" t="n">
        <v>1023.839</v>
      </c>
      <c r="AA257" t="n">
        <v>2101.64</v>
      </c>
      <c r="AB257" t="n">
        <v>371.342</v>
      </c>
      <c r="AC257" t="n">
        <v>225.812</v>
      </c>
      <c r="AD257" t="n">
        <v>417.616</v>
      </c>
      <c r="AE257" t="n">
        <v>663.225</v>
      </c>
      <c r="AF257" t="n">
        <v>376.647</v>
      </c>
      <c r="AG257" t="n">
        <v>411.035</v>
      </c>
      <c r="AH257" t="n">
        <v>223.585</v>
      </c>
      <c r="AI257" t="n">
        <v>174.204</v>
      </c>
      <c r="AJ257" t="n">
        <v>230.55</v>
      </c>
      <c r="AK257" t="n">
        <v>411.18</v>
      </c>
      <c r="AL257" t="n">
        <v>399.332</v>
      </c>
      <c r="AM257" t="n">
        <v>376.563</v>
      </c>
      <c r="AN257" t="n">
        <v>154.954</v>
      </c>
      <c r="AO257" t="n">
        <v>78.27800000000001</v>
      </c>
      <c r="AP257" t="n">
        <v>93.428</v>
      </c>
      <c r="AQ257" t="n">
        <v>121.607</v>
      </c>
      <c r="AR257" t="n">
        <v>348.97</v>
      </c>
      <c r="AS257" t="n">
        <v>241.653</v>
      </c>
      <c r="AT257" t="n">
        <v>249.771</v>
      </c>
      <c r="AU257" t="n">
        <v>268.606</v>
      </c>
      <c r="AV257" t="n">
        <v>217.841</v>
      </c>
      <c r="AW257" t="n">
        <v>114.899</v>
      </c>
      <c r="AX257" t="n">
        <v>89.039</v>
      </c>
      <c r="AY257" t="n">
        <v>103.071</v>
      </c>
      <c r="AZ257" t="n">
        <v>319.862</v>
      </c>
      <c r="BA257" t="n">
        <v>239.13</v>
      </c>
      <c r="BB257" t="n">
        <v>108.887</v>
      </c>
      <c r="BC257" t="n">
        <v>415.72</v>
      </c>
      <c r="BD257" t="n">
        <v>79.72499999999999</v>
      </c>
      <c r="BE257" t="n">
        <v>54.558</v>
      </c>
      <c r="BF257" t="n">
        <v>19.747</v>
      </c>
      <c r="BG257" t="n">
        <v>349.31</v>
      </c>
      <c r="BH257" t="n">
        <v>315.232</v>
      </c>
      <c r="BI257" t="n">
        <v>283.618</v>
      </c>
      <c r="BJ257" t="n">
        <v>186.022</v>
      </c>
      <c r="BK257" t="n">
        <v>45.098</v>
      </c>
      <c r="BL257" t="n">
        <v>55.575</v>
      </c>
      <c r="BM257" t="n">
        <v>37.071</v>
      </c>
      <c r="BN257" t="n">
        <v>34.251</v>
      </c>
      <c r="BO257" t="n">
        <v>20.924</v>
      </c>
      <c r="BP257" t="n">
        <v>73.376</v>
      </c>
      <c r="BQ257" t="n">
        <v>24.014</v>
      </c>
      <c r="BR257" t="n">
        <v>32.604</v>
      </c>
      <c r="BS257" t="n">
        <v>2.705</v>
      </c>
      <c r="BT257" t="n">
        <v>2.971</v>
      </c>
      <c r="BU257" t="n">
        <v>0.465</v>
      </c>
      <c r="BV257" t="n">
        <v>0.169</v>
      </c>
    </row>
    <row r="258">
      <c r="A258" t="inlineStr">
        <is>
          <t>Scorpaenidae</t>
        </is>
      </c>
      <c r="B258" t="inlineStr">
        <is>
          <t>Scorpionfishes, rockfishes</t>
        </is>
      </c>
      <c r="C258" t="inlineStr">
        <is>
          <t>Large reef assoc. fish (&gt;=90 cm)</t>
        </is>
      </c>
      <c r="D258" t="inlineStr">
        <is>
          <t>Scorpionfishes</t>
        </is>
      </c>
      <c r="E258" t="n">
        <v>10.067</v>
      </c>
      <c r="F258" t="n">
        <v>10.067</v>
      </c>
      <c r="G258" t="n">
        <v>13.367</v>
      </c>
      <c r="H258" t="n">
        <v>11.717</v>
      </c>
      <c r="I258" t="n">
        <v>10.067</v>
      </c>
      <c r="J258" t="n">
        <v>10.067</v>
      </c>
      <c r="K258" t="n">
        <v>10.067</v>
      </c>
      <c r="L258" t="n">
        <v>9.571</v>
      </c>
      <c r="M258" t="n">
        <v>10.397</v>
      </c>
      <c r="N258" t="n">
        <v>10.067</v>
      </c>
      <c r="O258" t="n">
        <v>13.532</v>
      </c>
      <c r="P258" t="n">
        <v>16.668</v>
      </c>
      <c r="Q258" t="n">
        <v>17.328</v>
      </c>
      <c r="R258" t="n">
        <v>26.899</v>
      </c>
      <c r="S258" t="n">
        <v>24.919</v>
      </c>
      <c r="T258" t="n">
        <v>24.57</v>
      </c>
      <c r="U258" t="n">
        <v>29.274</v>
      </c>
      <c r="V258" t="n">
        <v>26.459</v>
      </c>
      <c r="W258" t="n">
        <v>45.231</v>
      </c>
      <c r="X258" t="n">
        <v>42.573</v>
      </c>
      <c r="Y258" t="n">
        <v>49.946</v>
      </c>
      <c r="Z258" t="n">
        <v>70.83199999999999</v>
      </c>
      <c r="AA258" t="n">
        <v>80.76900000000001</v>
      </c>
      <c r="AB258" t="n">
        <v>124.498</v>
      </c>
      <c r="AC258" t="n">
        <v>141.108</v>
      </c>
      <c r="AD258" t="n">
        <v>168.63</v>
      </c>
      <c r="AE258" t="n">
        <v>182.27</v>
      </c>
      <c r="AF258" t="n">
        <v>206.579</v>
      </c>
      <c r="AG258" t="n">
        <v>168.138</v>
      </c>
      <c r="AH258" t="n">
        <v>180.26</v>
      </c>
      <c r="AI258" t="n">
        <v>38.049</v>
      </c>
      <c r="AJ258" t="n">
        <v>56.645</v>
      </c>
      <c r="AK258" t="n">
        <v>35.449</v>
      </c>
      <c r="AL258" t="n">
        <v>35.274</v>
      </c>
      <c r="AM258" t="n">
        <v>28.144</v>
      </c>
      <c r="AN258" t="n">
        <v>30.641</v>
      </c>
      <c r="AO258" t="n">
        <v>119.218</v>
      </c>
      <c r="AP258" t="n">
        <v>192.095</v>
      </c>
      <c r="AQ258" t="n">
        <v>175.297</v>
      </c>
      <c r="AR258" t="n">
        <v>297.745</v>
      </c>
      <c r="AS258" t="n">
        <v>353.499</v>
      </c>
      <c r="AT258" t="n">
        <v>334.537</v>
      </c>
      <c r="AU258" t="n">
        <v>330.949</v>
      </c>
      <c r="AV258" t="n">
        <v>314.358</v>
      </c>
      <c r="AW258" t="n">
        <v>384.421</v>
      </c>
      <c r="AX258" t="n">
        <v>386.796</v>
      </c>
      <c r="AY258" t="n">
        <v>343.602</v>
      </c>
      <c r="AZ258" t="n">
        <v>339.653</v>
      </c>
      <c r="BA258" t="n">
        <v>337.123</v>
      </c>
      <c r="BB258" t="n">
        <v>378.537</v>
      </c>
      <c r="BC258" t="n">
        <v>423.693</v>
      </c>
      <c r="BD258" t="n">
        <v>503.183</v>
      </c>
      <c r="BE258" t="n">
        <v>575.619</v>
      </c>
      <c r="BF258" t="n">
        <v>613.554</v>
      </c>
      <c r="BG258" t="n">
        <v>545.27</v>
      </c>
      <c r="BH258" t="n">
        <v>589.239</v>
      </c>
      <c r="BI258" t="n">
        <v>457.763</v>
      </c>
      <c r="BJ258" t="n">
        <v>489.734</v>
      </c>
      <c r="BK258" t="n">
        <v>402.957</v>
      </c>
      <c r="BL258" t="n">
        <v>367.782</v>
      </c>
      <c r="BM258" t="n">
        <v>386.296</v>
      </c>
      <c r="BN258" t="n">
        <v>376.743</v>
      </c>
      <c r="BO258" t="n">
        <v>424.177</v>
      </c>
      <c r="BP258" t="n">
        <v>441.319</v>
      </c>
      <c r="BQ258" t="n">
        <v>404.817</v>
      </c>
      <c r="BR258" t="n">
        <v>416.641</v>
      </c>
      <c r="BS258" t="n">
        <v>432.176</v>
      </c>
      <c r="BT258" t="n">
        <v>401.286</v>
      </c>
      <c r="BU258" t="n">
        <v>378.354</v>
      </c>
      <c r="BV258" t="n">
        <v>354.869</v>
      </c>
    </row>
    <row r="259">
      <c r="A259" t="inlineStr">
        <is>
          <t>Carcharhinus falciformis</t>
        </is>
      </c>
      <c r="B259" t="inlineStr">
        <is>
          <t>Silky shark</t>
        </is>
      </c>
      <c r="C259" t="inlineStr">
        <is>
          <t>Large sharks (&gt;=90 cm)</t>
        </is>
      </c>
      <c r="D259" t="inlineStr">
        <is>
          <t>Sharks &amp; rays</t>
        </is>
      </c>
      <c r="E259" t="n">
        <v>0</v>
      </c>
      <c r="F259" t="n">
        <v>0</v>
      </c>
      <c r="G259" t="n">
        <v>0</v>
      </c>
      <c r="H259" t="n">
        <v>20.027</v>
      </c>
      <c r="I259" t="n">
        <v>24.081</v>
      </c>
      <c r="J259" t="n">
        <v>12.997</v>
      </c>
      <c r="K259" t="n">
        <v>16.41</v>
      </c>
      <c r="L259" t="n">
        <v>2.62</v>
      </c>
      <c r="M259" t="n">
        <v>91.723</v>
      </c>
      <c r="N259" t="n">
        <v>58.121</v>
      </c>
      <c r="O259" t="n">
        <v>61.742</v>
      </c>
      <c r="P259" t="n">
        <v>94.89100000000001</v>
      </c>
      <c r="Q259" t="n">
        <v>125.238</v>
      </c>
      <c r="R259" t="n">
        <v>163.885</v>
      </c>
      <c r="S259" t="n">
        <v>126.846</v>
      </c>
      <c r="T259" t="n">
        <v>170.786</v>
      </c>
      <c r="U259" t="n">
        <v>197.005</v>
      </c>
      <c r="V259" t="n">
        <v>326.661</v>
      </c>
      <c r="W259" t="n">
        <v>379.568</v>
      </c>
      <c r="X259" t="n">
        <v>332.217</v>
      </c>
      <c r="Y259" t="n">
        <v>262.451</v>
      </c>
      <c r="Z259" t="n">
        <v>332.593</v>
      </c>
      <c r="AA259" t="n">
        <v>295.539</v>
      </c>
      <c r="AB259" t="n">
        <v>432.172</v>
      </c>
      <c r="AC259" t="n">
        <v>311.3</v>
      </c>
      <c r="AD259" t="n">
        <v>507.586</v>
      </c>
      <c r="AE259" t="n">
        <v>460.627</v>
      </c>
      <c r="AF259" t="n">
        <v>405.242</v>
      </c>
      <c r="AG259" t="n">
        <v>409.128</v>
      </c>
      <c r="AH259" t="n">
        <v>412.038</v>
      </c>
      <c r="AI259" t="n">
        <v>354.693</v>
      </c>
      <c r="AJ259" t="n">
        <v>343.015</v>
      </c>
      <c r="AK259" t="n">
        <v>303.329</v>
      </c>
      <c r="AL259" t="n">
        <v>299.836</v>
      </c>
      <c r="AM259" t="n">
        <v>337.011</v>
      </c>
      <c r="AN259" t="n">
        <v>247.827</v>
      </c>
      <c r="AO259" t="n">
        <v>215.572</v>
      </c>
      <c r="AP259" t="n">
        <v>278.083</v>
      </c>
      <c r="AQ259" t="n">
        <v>273.865</v>
      </c>
      <c r="AR259" t="n">
        <v>240.054</v>
      </c>
      <c r="AS259" t="n">
        <v>198.224</v>
      </c>
      <c r="AT259" t="n">
        <v>190.722</v>
      </c>
      <c r="AU259" t="n">
        <v>270.903</v>
      </c>
      <c r="AV259" t="n">
        <v>193.972</v>
      </c>
      <c r="AW259" t="n">
        <v>197.073</v>
      </c>
      <c r="AX259" t="n">
        <v>193.296</v>
      </c>
      <c r="AY259" t="n">
        <v>232.761</v>
      </c>
      <c r="AZ259" t="n">
        <v>283.86</v>
      </c>
      <c r="BA259" t="n">
        <v>267.94</v>
      </c>
      <c r="BB259" t="n">
        <v>270.075</v>
      </c>
      <c r="BC259" t="n">
        <v>228.991</v>
      </c>
      <c r="BD259" t="n">
        <v>294.927</v>
      </c>
      <c r="BE259" t="n">
        <v>213.126</v>
      </c>
      <c r="BF259" t="n">
        <v>228.892</v>
      </c>
      <c r="BG259" t="n">
        <v>617.432</v>
      </c>
      <c r="BH259" t="n">
        <v>645.905</v>
      </c>
      <c r="BI259" t="n">
        <v>419.354</v>
      </c>
      <c r="BJ259" t="n">
        <v>85.733</v>
      </c>
      <c r="BK259" t="n">
        <v>123.196</v>
      </c>
      <c r="BL259" t="n">
        <v>228.229</v>
      </c>
      <c r="BM259" t="n">
        <v>190.413</v>
      </c>
      <c r="BN259" t="n">
        <v>168.943</v>
      </c>
      <c r="BO259" t="n">
        <v>21.801</v>
      </c>
      <c r="BP259" t="n">
        <v>36.099</v>
      </c>
      <c r="BQ259" t="n">
        <v>34.434</v>
      </c>
      <c r="BR259" t="n">
        <v>19.232</v>
      </c>
      <c r="BS259" t="n">
        <v>5.204</v>
      </c>
      <c r="BT259" t="n">
        <v>2.101</v>
      </c>
      <c r="BU259" t="n">
        <v>43.206</v>
      </c>
      <c r="BV259" t="n">
        <v>0.545</v>
      </c>
    </row>
    <row r="260">
      <c r="A260" t="inlineStr">
        <is>
          <t>Metapenaeus affinis</t>
        </is>
      </c>
      <c r="B260" t="inlineStr">
        <is>
          <t>Jinga shrimp</t>
        </is>
      </c>
      <c r="C260" t="inlineStr">
        <is>
          <t>Shrimps</t>
        </is>
      </c>
      <c r="D260" t="inlineStr">
        <is>
          <t>Crustaceans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376.162</v>
      </c>
      <c r="AT260" t="n">
        <v>252.97</v>
      </c>
      <c r="AU260" t="n">
        <v>293.778</v>
      </c>
      <c r="AV260" t="n">
        <v>287.83</v>
      </c>
      <c r="AW260" t="n">
        <v>255.849</v>
      </c>
      <c r="AX260" t="n">
        <v>268.641</v>
      </c>
      <c r="AY260" t="n">
        <v>275.037</v>
      </c>
      <c r="AZ260" t="n">
        <v>262.885</v>
      </c>
      <c r="BA260" t="n">
        <v>283.992</v>
      </c>
      <c r="BB260" t="n">
        <v>335.801</v>
      </c>
      <c r="BC260" t="n">
        <v>319.811</v>
      </c>
      <c r="BD260" t="n">
        <v>562.867</v>
      </c>
      <c r="BE260" t="n">
        <v>639.622</v>
      </c>
      <c r="BF260" t="n">
        <v>786.735</v>
      </c>
      <c r="BG260" t="n">
        <v>805.923</v>
      </c>
      <c r="BH260" t="n">
        <v>863.489</v>
      </c>
      <c r="BI260" t="n">
        <v>869.886</v>
      </c>
      <c r="BJ260" t="n">
        <v>793.131</v>
      </c>
      <c r="BK260" t="n">
        <v>706.1420000000001</v>
      </c>
      <c r="BL260" t="n">
        <v>451.573</v>
      </c>
      <c r="BM260" t="n">
        <v>496.41</v>
      </c>
      <c r="BN260" t="n">
        <v>558.134</v>
      </c>
      <c r="BO260" t="n">
        <v>566.0650000000001</v>
      </c>
      <c r="BP260" t="n">
        <v>537.282</v>
      </c>
      <c r="BQ260" t="n">
        <v>588.452</v>
      </c>
      <c r="BR260" t="n">
        <v>588.638</v>
      </c>
      <c r="BS260" t="n">
        <v>590.165</v>
      </c>
      <c r="BT260" t="n">
        <v>592.245</v>
      </c>
      <c r="BU260" t="n">
        <v>0</v>
      </c>
      <c r="BV260" t="n">
        <v>0</v>
      </c>
    </row>
    <row r="261">
      <c r="A261" t="inlineStr">
        <is>
          <t>Marine groundfishes not identified</t>
        </is>
      </c>
      <c r="B261" t="inlineStr">
        <is>
          <t>Groundfishes</t>
        </is>
      </c>
      <c r="C261" t="inlineStr">
        <is>
          <t>Medium demersals (30 - 89 cm)</t>
        </is>
      </c>
      <c r="D261" t="inlineStr">
        <is>
          <t>Other fishes &amp; inverts</t>
        </is>
      </c>
      <c r="E261" t="n">
        <v>58.524</v>
      </c>
      <c r="F261" t="n">
        <v>62.485</v>
      </c>
      <c r="G261" t="n">
        <v>63.72</v>
      </c>
      <c r="H261" t="n">
        <v>82.964</v>
      </c>
      <c r="I261" t="n">
        <v>59.417</v>
      </c>
      <c r="J261" t="n">
        <v>75.39100000000001</v>
      </c>
      <c r="K261" t="n">
        <v>69.732</v>
      </c>
      <c r="L261" t="n">
        <v>63.72</v>
      </c>
      <c r="M261" t="n">
        <v>70.646</v>
      </c>
      <c r="N261" t="n">
        <v>57.656</v>
      </c>
      <c r="O261" t="n">
        <v>57.051</v>
      </c>
      <c r="P261" t="n">
        <v>66.071</v>
      </c>
      <c r="Q261" t="n">
        <v>78.06699999999999</v>
      </c>
      <c r="R261" t="n">
        <v>88.217</v>
      </c>
      <c r="S261" t="n">
        <v>92.90900000000001</v>
      </c>
      <c r="T261" t="n">
        <v>110.149</v>
      </c>
      <c r="U261" t="n">
        <v>100.29</v>
      </c>
      <c r="V261" t="n">
        <v>112.716</v>
      </c>
      <c r="W261" t="n">
        <v>160.794</v>
      </c>
      <c r="X261" t="n">
        <v>149.134</v>
      </c>
      <c r="Y261" t="n">
        <v>153.028</v>
      </c>
      <c r="Z261" t="n">
        <v>102.829</v>
      </c>
      <c r="AA261" t="n">
        <v>137.539</v>
      </c>
      <c r="AB261" t="n">
        <v>223.232</v>
      </c>
      <c r="AC261" t="n">
        <v>120.995</v>
      </c>
      <c r="AD261" t="n">
        <v>107.255</v>
      </c>
      <c r="AE261" t="n">
        <v>130.248</v>
      </c>
      <c r="AF261" t="n">
        <v>134.709</v>
      </c>
      <c r="AG261" t="n">
        <v>146.481</v>
      </c>
      <c r="AH261" t="n">
        <v>139.763</v>
      </c>
      <c r="AI261" t="n">
        <v>140.862</v>
      </c>
      <c r="AJ261" t="n">
        <v>165.813</v>
      </c>
      <c r="AK261" t="n">
        <v>139.475</v>
      </c>
      <c r="AL261" t="n">
        <v>147.081</v>
      </c>
      <c r="AM261" t="n">
        <v>333.478</v>
      </c>
      <c r="AN261" t="n">
        <v>567.746</v>
      </c>
      <c r="AO261" t="n">
        <v>327.938</v>
      </c>
      <c r="AP261" t="n">
        <v>251.181</v>
      </c>
      <c r="AQ261" t="n">
        <v>97.008</v>
      </c>
      <c r="AR261" t="n">
        <v>112.943</v>
      </c>
      <c r="AS261" t="n">
        <v>246.913</v>
      </c>
      <c r="AT261" t="n">
        <v>761.226</v>
      </c>
      <c r="AU261" t="n">
        <v>519.0410000000001</v>
      </c>
      <c r="AV261" t="n">
        <v>345.568</v>
      </c>
      <c r="AW261" t="n">
        <v>269.288</v>
      </c>
      <c r="AX261" t="n">
        <v>233.554</v>
      </c>
      <c r="AY261" t="n">
        <v>209.628</v>
      </c>
      <c r="AZ261" t="n">
        <v>122.649</v>
      </c>
      <c r="BA261" t="n">
        <v>228.023</v>
      </c>
      <c r="BB261" t="n">
        <v>257.468</v>
      </c>
      <c r="BC261" t="n">
        <v>207.56</v>
      </c>
      <c r="BD261" t="n">
        <v>343.558</v>
      </c>
      <c r="BE261" t="n">
        <v>416.447</v>
      </c>
      <c r="BF261" t="n">
        <v>435.639</v>
      </c>
      <c r="BG261" t="n">
        <v>469.905</v>
      </c>
      <c r="BH261" t="n">
        <v>446.945</v>
      </c>
      <c r="BI261" t="n">
        <v>507.997</v>
      </c>
      <c r="BJ261" t="n">
        <v>433.772</v>
      </c>
      <c r="BK261" t="n">
        <v>468.059</v>
      </c>
      <c r="BL261" t="n">
        <v>516.87</v>
      </c>
      <c r="BM261" t="n">
        <v>564.849</v>
      </c>
      <c r="BN261" t="n">
        <v>88.494</v>
      </c>
      <c r="BO261" t="n">
        <v>92.20099999999999</v>
      </c>
      <c r="BP261" t="n">
        <v>93.539</v>
      </c>
      <c r="BQ261" t="n">
        <v>90.681</v>
      </c>
      <c r="BR261" t="n">
        <v>91.875</v>
      </c>
      <c r="BS261" t="n">
        <v>94.38500000000001</v>
      </c>
      <c r="BT261" t="n">
        <v>90.699</v>
      </c>
      <c r="BU261" t="n">
        <v>90.087</v>
      </c>
      <c r="BV261" t="n">
        <v>87.7</v>
      </c>
    </row>
    <row r="262">
      <c r="A262" t="inlineStr">
        <is>
          <t>Sardinella albella</t>
        </is>
      </c>
      <c r="B262" t="inlineStr">
        <is>
          <t>White sardinella</t>
        </is>
      </c>
      <c r="C262" t="inlineStr">
        <is>
          <t>Small reef assoc. fish (&lt;30 cm)</t>
        </is>
      </c>
      <c r="D262" t="inlineStr">
        <is>
          <t>Herring-likes</t>
        </is>
      </c>
      <c r="E262" t="n">
        <v>25.794</v>
      </c>
      <c r="F262" t="n">
        <v>30.366</v>
      </c>
      <c r="G262" t="n">
        <v>31.517</v>
      </c>
      <c r="H262" t="n">
        <v>31.139</v>
      </c>
      <c r="I262" t="n">
        <v>40.361</v>
      </c>
      <c r="J262" t="n">
        <v>42.654</v>
      </c>
      <c r="K262" t="n">
        <v>45.388</v>
      </c>
      <c r="L262" t="n">
        <v>43.008</v>
      </c>
      <c r="M262" t="n">
        <v>47.156</v>
      </c>
      <c r="N262" t="n">
        <v>49.318</v>
      </c>
      <c r="O262" t="n">
        <v>52.918</v>
      </c>
      <c r="P262" t="n">
        <v>52.06</v>
      </c>
      <c r="Q262" t="n">
        <v>59.242</v>
      </c>
      <c r="R262" t="n">
        <v>75.014</v>
      </c>
      <c r="S262" t="n">
        <v>87.458</v>
      </c>
      <c r="T262" t="n">
        <v>99.61799999999999</v>
      </c>
      <c r="U262" t="n">
        <v>105.232</v>
      </c>
      <c r="V262" t="n">
        <v>111.231</v>
      </c>
      <c r="W262" t="n">
        <v>131.119</v>
      </c>
      <c r="X262" t="n">
        <v>123.307</v>
      </c>
      <c r="Y262" t="n">
        <v>136.398</v>
      </c>
      <c r="Z262" t="n">
        <v>137.295</v>
      </c>
      <c r="AA262" t="n">
        <v>152.307</v>
      </c>
      <c r="AB262" t="n">
        <v>166.348</v>
      </c>
      <c r="AC262" t="n">
        <v>169.455</v>
      </c>
      <c r="AD262" t="n">
        <v>181.989</v>
      </c>
      <c r="AE262" t="n">
        <v>182.498</v>
      </c>
      <c r="AF262" t="n">
        <v>185.051</v>
      </c>
      <c r="AG262" t="n">
        <v>192.265</v>
      </c>
      <c r="AH262" t="n">
        <v>189.373</v>
      </c>
      <c r="AI262" t="n">
        <v>191.591</v>
      </c>
      <c r="AJ262" t="n">
        <v>199.41</v>
      </c>
      <c r="AK262" t="n">
        <v>192.311</v>
      </c>
      <c r="AL262" t="n">
        <v>202.185</v>
      </c>
      <c r="AM262" t="n">
        <v>200.148</v>
      </c>
      <c r="AN262" t="n">
        <v>207.49</v>
      </c>
      <c r="AO262" t="n">
        <v>205.712</v>
      </c>
      <c r="AP262" t="n">
        <v>209.334</v>
      </c>
      <c r="AQ262" t="n">
        <v>256.818</v>
      </c>
      <c r="AR262" t="n">
        <v>202.236</v>
      </c>
      <c r="AS262" t="n">
        <v>229.762</v>
      </c>
      <c r="AT262" t="n">
        <v>1051.536</v>
      </c>
      <c r="AU262" t="n">
        <v>1007.156</v>
      </c>
      <c r="AV262" t="n">
        <v>520.828</v>
      </c>
      <c r="AW262" t="n">
        <v>144.715</v>
      </c>
      <c r="AX262" t="n">
        <v>310.648</v>
      </c>
      <c r="AY262" t="n">
        <v>254.125</v>
      </c>
      <c r="AZ262" t="n">
        <v>357.677</v>
      </c>
      <c r="BA262" t="n">
        <v>446.41</v>
      </c>
      <c r="BB262" t="n">
        <v>502.872</v>
      </c>
      <c r="BC262" t="n">
        <v>370.799</v>
      </c>
      <c r="BD262" t="n">
        <v>461.544</v>
      </c>
      <c r="BE262" t="n">
        <v>201.477</v>
      </c>
      <c r="BF262" t="n">
        <v>193.868</v>
      </c>
      <c r="BG262" t="n">
        <v>169.017</v>
      </c>
      <c r="BH262" t="n">
        <v>184.787</v>
      </c>
      <c r="BI262" t="n">
        <v>158.841</v>
      </c>
      <c r="BJ262" t="n">
        <v>180.091</v>
      </c>
      <c r="BK262" t="n">
        <v>178.62</v>
      </c>
      <c r="BL262" t="n">
        <v>199.144</v>
      </c>
      <c r="BM262" t="n">
        <v>202.523</v>
      </c>
      <c r="BN262" t="n">
        <v>206.267</v>
      </c>
      <c r="BO262" t="n">
        <v>193.145</v>
      </c>
      <c r="BP262" t="n">
        <v>196.56</v>
      </c>
      <c r="BQ262" t="n">
        <v>172.734</v>
      </c>
      <c r="BR262" t="n">
        <v>154.082</v>
      </c>
      <c r="BS262" t="n">
        <v>167.264</v>
      </c>
      <c r="BT262" t="n">
        <v>141.241</v>
      </c>
      <c r="BU262" t="n">
        <v>130.002</v>
      </c>
      <c r="BV262" t="n">
        <v>130.287</v>
      </c>
    </row>
    <row r="263">
      <c r="A263" t="inlineStr">
        <is>
          <t>Placuna placenta</t>
        </is>
      </c>
      <c r="B263" t="inlineStr">
        <is>
          <t>Windowpane oyster</t>
        </is>
      </c>
      <c r="C263" t="inlineStr">
        <is>
          <t>Other demersal invertebrates</t>
        </is>
      </c>
      <c r="D263" t="inlineStr">
        <is>
          <t>Molluscs</t>
        </is>
      </c>
      <c r="E263" t="n">
        <v>27.749</v>
      </c>
      <c r="F263" t="n">
        <v>34.561</v>
      </c>
      <c r="G263" t="n">
        <v>35.431</v>
      </c>
      <c r="H263" t="n">
        <v>34.884</v>
      </c>
      <c r="I263" t="n">
        <v>42.91</v>
      </c>
      <c r="J263" t="n">
        <v>45.841</v>
      </c>
      <c r="K263" t="n">
        <v>50.733</v>
      </c>
      <c r="L263" t="n">
        <v>49.955</v>
      </c>
      <c r="M263" t="n">
        <v>52.429</v>
      </c>
      <c r="N263" t="n">
        <v>54.606</v>
      </c>
      <c r="O263" t="n">
        <v>60.319</v>
      </c>
      <c r="P263" t="n">
        <v>57.302</v>
      </c>
      <c r="Q263" t="n">
        <v>63.305</v>
      </c>
      <c r="R263" t="n">
        <v>75.542</v>
      </c>
      <c r="S263" t="n">
        <v>83.56399999999999</v>
      </c>
      <c r="T263" t="n">
        <v>93.607</v>
      </c>
      <c r="U263" t="n">
        <v>99.459</v>
      </c>
      <c r="V263" t="n">
        <v>105.52</v>
      </c>
      <c r="W263" t="n">
        <v>120.124</v>
      </c>
      <c r="X263" t="n">
        <v>116.7</v>
      </c>
      <c r="Y263" t="n">
        <v>135.272</v>
      </c>
      <c r="Z263" t="n">
        <v>137.894</v>
      </c>
      <c r="AA263" t="n">
        <v>152.547</v>
      </c>
      <c r="AB263" t="n">
        <v>162.215</v>
      </c>
      <c r="AC263" t="n">
        <v>174.678</v>
      </c>
      <c r="AD263" t="n">
        <v>183.303</v>
      </c>
      <c r="AE263" t="n">
        <v>157.853</v>
      </c>
      <c r="AF263" t="n">
        <v>200.498</v>
      </c>
      <c r="AG263" t="n">
        <v>168.349</v>
      </c>
      <c r="AH263" t="n">
        <v>127.65</v>
      </c>
      <c r="AI263" t="n">
        <v>348.3</v>
      </c>
      <c r="AJ263" t="n">
        <v>22.547</v>
      </c>
      <c r="AK263" t="n">
        <v>22.255</v>
      </c>
      <c r="AL263" t="n">
        <v>1129.178</v>
      </c>
      <c r="AM263" t="n">
        <v>2191.026</v>
      </c>
      <c r="AN263" t="n">
        <v>1654.876</v>
      </c>
      <c r="AO263" t="n">
        <v>1122.36</v>
      </c>
      <c r="AP263" t="n">
        <v>566.436</v>
      </c>
      <c r="AQ263" t="n">
        <v>17.778</v>
      </c>
      <c r="AR263" t="n">
        <v>65.584</v>
      </c>
      <c r="AS263" t="n">
        <v>71.292</v>
      </c>
      <c r="AT263" t="n">
        <v>96.63500000000001</v>
      </c>
      <c r="AU263" t="n">
        <v>91.956</v>
      </c>
      <c r="AV263" t="n">
        <v>83</v>
      </c>
      <c r="AW263" t="n">
        <v>82.849</v>
      </c>
      <c r="AX263" t="n">
        <v>55.997</v>
      </c>
      <c r="AY263" t="n">
        <v>53.029</v>
      </c>
      <c r="AZ263" t="n">
        <v>24.116</v>
      </c>
      <c r="BA263" t="n">
        <v>14.214</v>
      </c>
      <c r="BB263" t="n">
        <v>14.323</v>
      </c>
      <c r="BC263" t="n">
        <v>11.962</v>
      </c>
      <c r="BD263" t="n">
        <v>12.007</v>
      </c>
      <c r="BE263" t="n">
        <v>179.084</v>
      </c>
      <c r="BF263" t="n">
        <v>195.522</v>
      </c>
      <c r="BG263" t="n">
        <v>178.516</v>
      </c>
      <c r="BH263" t="n">
        <v>155.021</v>
      </c>
      <c r="BI263" t="n">
        <v>156.59</v>
      </c>
      <c r="BJ263" t="n">
        <v>184.858</v>
      </c>
      <c r="BK263" t="n">
        <v>179.321</v>
      </c>
      <c r="BL263" t="n">
        <v>179.711</v>
      </c>
      <c r="BM263" t="n">
        <v>187.12</v>
      </c>
      <c r="BN263" t="n">
        <v>246.553</v>
      </c>
      <c r="BO263" t="n">
        <v>230.675</v>
      </c>
      <c r="BP263" t="n">
        <v>214.255</v>
      </c>
      <c r="BQ263" t="n">
        <v>197.594</v>
      </c>
      <c r="BR263" t="n">
        <v>110.523</v>
      </c>
      <c r="BS263" t="n">
        <v>125.114</v>
      </c>
      <c r="BT263" t="n">
        <v>121.111</v>
      </c>
      <c r="BU263" t="n">
        <v>0.022</v>
      </c>
      <c r="BV263" t="n">
        <v>0.018</v>
      </c>
    </row>
    <row r="264">
      <c r="A264" t="inlineStr">
        <is>
          <t>Scaridae</t>
        </is>
      </c>
      <c r="B264" t="inlineStr">
        <is>
          <t>Parrotfishes</t>
        </is>
      </c>
      <c r="C264" t="inlineStr">
        <is>
          <t>Medium reef assoc. fish (30 - 89 cm)</t>
        </is>
      </c>
      <c r="D264" t="inlineStr">
        <is>
          <t>Perch-likes</t>
        </is>
      </c>
      <c r="E264" t="n">
        <v>33.154</v>
      </c>
      <c r="F264" t="n">
        <v>35.734</v>
      </c>
      <c r="G264" t="n">
        <v>38.315</v>
      </c>
      <c r="H264" t="n">
        <v>40.995</v>
      </c>
      <c r="I264" t="n">
        <v>130.728</v>
      </c>
      <c r="J264" t="n">
        <v>46.157</v>
      </c>
      <c r="K264" t="n">
        <v>48.638</v>
      </c>
      <c r="L264" t="n">
        <v>51.418</v>
      </c>
      <c r="M264" t="n">
        <v>54.098</v>
      </c>
      <c r="N264" t="n">
        <v>56.877</v>
      </c>
      <c r="O264" t="n">
        <v>59.458</v>
      </c>
      <c r="P264" t="n">
        <v>62.337</v>
      </c>
      <c r="Q264" t="n">
        <v>65.215</v>
      </c>
      <c r="R264" t="n">
        <v>68.193</v>
      </c>
      <c r="S264" t="n">
        <v>71.17100000000001</v>
      </c>
      <c r="T264" t="n">
        <v>77.524</v>
      </c>
      <c r="U264" t="n">
        <v>83.876</v>
      </c>
      <c r="V264" t="n">
        <v>90.13</v>
      </c>
      <c r="W264" t="n">
        <v>114.467</v>
      </c>
      <c r="X264" t="n">
        <v>168.094</v>
      </c>
      <c r="Y264" t="n">
        <v>182.737</v>
      </c>
      <c r="Z264" t="n">
        <v>101.013</v>
      </c>
      <c r="AA264" t="n">
        <v>49.499</v>
      </c>
      <c r="AB264" t="n">
        <v>62.792</v>
      </c>
      <c r="AC264" t="n">
        <v>75.68899999999999</v>
      </c>
      <c r="AD264" t="n">
        <v>73.71899999999999</v>
      </c>
      <c r="AE264" t="n">
        <v>90.31100000000001</v>
      </c>
      <c r="AF264" t="n">
        <v>99.45</v>
      </c>
      <c r="AG264" t="n">
        <v>222.462</v>
      </c>
      <c r="AH264" t="n">
        <v>234.585</v>
      </c>
      <c r="AI264" t="n">
        <v>16.822</v>
      </c>
      <c r="AJ264" t="n">
        <v>12.914</v>
      </c>
      <c r="AK264" t="n">
        <v>11.324</v>
      </c>
      <c r="AL264" t="n">
        <v>11.72</v>
      </c>
      <c r="AM264" t="n">
        <v>11.819</v>
      </c>
      <c r="AN264" t="n">
        <v>513.7619999999999</v>
      </c>
      <c r="AO264" t="n">
        <v>446.607</v>
      </c>
      <c r="AP264" t="n">
        <v>381.883</v>
      </c>
      <c r="AQ264" t="n">
        <v>517.706</v>
      </c>
      <c r="AR264" t="n">
        <v>435.286</v>
      </c>
      <c r="AS264" t="n">
        <v>324.478</v>
      </c>
      <c r="AT264" t="n">
        <v>475.957</v>
      </c>
      <c r="AU264" t="n">
        <v>423.853</v>
      </c>
      <c r="AV264" t="n">
        <v>364.806</v>
      </c>
      <c r="AW264" t="n">
        <v>1905.039</v>
      </c>
      <c r="AX264" t="n">
        <v>26.429</v>
      </c>
      <c r="AY264" t="n">
        <v>51.088</v>
      </c>
      <c r="AZ264" t="n">
        <v>63.683</v>
      </c>
      <c r="BA264" t="n">
        <v>42.206</v>
      </c>
      <c r="BB264" t="n">
        <v>17.363</v>
      </c>
      <c r="BC264" t="n">
        <v>80.443</v>
      </c>
      <c r="BD264" t="n">
        <v>81.441</v>
      </c>
      <c r="BE264" t="n">
        <v>128.437</v>
      </c>
      <c r="BF264" t="n">
        <v>52.112</v>
      </c>
      <c r="BG264" t="n">
        <v>152.542</v>
      </c>
      <c r="BH264" t="n">
        <v>215.946</v>
      </c>
      <c r="BI264" t="n">
        <v>260.846</v>
      </c>
      <c r="BJ264" t="n">
        <v>202.629</v>
      </c>
      <c r="BK264" t="n">
        <v>217.247</v>
      </c>
      <c r="BL264" t="n">
        <v>267.883</v>
      </c>
      <c r="BM264" t="n">
        <v>280.241</v>
      </c>
      <c r="BN264" t="n">
        <v>283.468</v>
      </c>
      <c r="BO264" t="n">
        <v>294.357</v>
      </c>
      <c r="BP264" t="n">
        <v>312.327</v>
      </c>
      <c r="BQ264" t="n">
        <v>293.203</v>
      </c>
      <c r="BR264" t="n">
        <v>299.422</v>
      </c>
      <c r="BS264" t="n">
        <v>324.019</v>
      </c>
      <c r="BT264" t="n">
        <v>296.004</v>
      </c>
      <c r="BU264" t="n">
        <v>267.153</v>
      </c>
      <c r="BV264" t="n">
        <v>259.003</v>
      </c>
    </row>
    <row r="265">
      <c r="A265" t="inlineStr">
        <is>
          <t>Seriolina nigrofasciata</t>
        </is>
      </c>
      <c r="B265" t="inlineStr">
        <is>
          <t>Blackbanded trevally</t>
        </is>
      </c>
      <c r="C265" t="inlineStr">
        <is>
          <t>Medium reef assoc. fish (30 - 89 cm)</t>
        </is>
      </c>
      <c r="D265" t="inlineStr">
        <is>
          <t>Perch-likes</t>
        </is>
      </c>
      <c r="E265" t="n">
        <v>19.496</v>
      </c>
      <c r="F265" t="n">
        <v>18.923</v>
      </c>
      <c r="G265" t="n">
        <v>20.07</v>
      </c>
      <c r="H265" t="n">
        <v>21.217</v>
      </c>
      <c r="I265" t="n">
        <v>21.79</v>
      </c>
      <c r="J265" t="n">
        <v>22.937</v>
      </c>
      <c r="K265" t="n">
        <v>24.084</v>
      </c>
      <c r="L265" t="n">
        <v>24.657</v>
      </c>
      <c r="M265" t="n">
        <v>26.377</v>
      </c>
      <c r="N265" t="n">
        <v>27.524</v>
      </c>
      <c r="O265" t="n">
        <v>29.245</v>
      </c>
      <c r="P265" t="n">
        <v>30.965</v>
      </c>
      <c r="Q265" t="n">
        <v>31.538</v>
      </c>
      <c r="R265" t="n">
        <v>33.261</v>
      </c>
      <c r="S265" t="n">
        <v>35.559</v>
      </c>
      <c r="T265" t="n">
        <v>56.223</v>
      </c>
      <c r="U265" t="n">
        <v>60.825</v>
      </c>
      <c r="V265" t="n">
        <v>74.623</v>
      </c>
      <c r="W265" t="n">
        <v>73.49299999999999</v>
      </c>
      <c r="X265" t="n">
        <v>70.622</v>
      </c>
      <c r="Y265" t="n">
        <v>70.617</v>
      </c>
      <c r="Z265" t="n">
        <v>71.19499999999999</v>
      </c>
      <c r="AA265" t="n">
        <v>70.628</v>
      </c>
      <c r="AB265" t="n">
        <v>72.34999999999999</v>
      </c>
      <c r="AC265" t="n">
        <v>76.373</v>
      </c>
      <c r="AD265" t="n">
        <v>76.369</v>
      </c>
      <c r="AE265" t="n">
        <v>81.542</v>
      </c>
      <c r="AF265" t="n">
        <v>88.44199999999999</v>
      </c>
      <c r="AG265" t="n">
        <v>89.572</v>
      </c>
      <c r="AH265" t="n">
        <v>87.262</v>
      </c>
      <c r="AI265" t="n">
        <v>83.804</v>
      </c>
      <c r="AJ265" t="n">
        <v>95.30800000000001</v>
      </c>
      <c r="AK265" t="n">
        <v>92.998</v>
      </c>
      <c r="AL265" t="n">
        <v>117.737</v>
      </c>
      <c r="AM265" t="n">
        <v>138.435</v>
      </c>
      <c r="AN265" t="n">
        <v>149.944</v>
      </c>
      <c r="AO265" t="n">
        <v>159.146</v>
      </c>
      <c r="AP265" t="n">
        <v>163.175</v>
      </c>
      <c r="AQ265" t="n">
        <v>175.271</v>
      </c>
      <c r="AR265" t="n">
        <v>164.908</v>
      </c>
      <c r="AS265" t="n">
        <v>170.655</v>
      </c>
      <c r="AT265" t="n">
        <v>29.892</v>
      </c>
      <c r="AU265" t="n">
        <v>0</v>
      </c>
      <c r="AV265" t="n">
        <v>0</v>
      </c>
      <c r="AW265" t="n">
        <v>435.872</v>
      </c>
      <c r="AX265" t="n">
        <v>471.885</v>
      </c>
      <c r="AY265" t="n">
        <v>441.25</v>
      </c>
      <c r="AZ265" t="n">
        <v>453.726</v>
      </c>
      <c r="BA265" t="n">
        <v>399.086</v>
      </c>
      <c r="BB265" t="n">
        <v>511.652</v>
      </c>
      <c r="BC265" t="n">
        <v>488.261</v>
      </c>
      <c r="BD265" t="n">
        <v>398.985</v>
      </c>
      <c r="BE265" t="n">
        <v>1082.871</v>
      </c>
      <c r="BF265" t="n">
        <v>1069.424</v>
      </c>
      <c r="BG265" t="n">
        <v>384.991</v>
      </c>
      <c r="BH265" t="n">
        <v>486.796</v>
      </c>
      <c r="BI265" t="n">
        <v>408.634</v>
      </c>
      <c r="BJ265" t="n">
        <v>349.54</v>
      </c>
      <c r="BK265" t="n">
        <v>95.65900000000001</v>
      </c>
      <c r="BL265" t="n">
        <v>173.101</v>
      </c>
      <c r="BM265" t="n">
        <v>192.576</v>
      </c>
      <c r="BN265" t="n">
        <v>177.166</v>
      </c>
      <c r="BO265" t="n">
        <v>255.781</v>
      </c>
      <c r="BP265" t="n">
        <v>237.391</v>
      </c>
      <c r="BQ265" t="n">
        <v>230.395</v>
      </c>
      <c r="BR265" t="n">
        <v>190.535</v>
      </c>
      <c r="BS265" t="n">
        <v>188.646</v>
      </c>
      <c r="BT265" t="n">
        <v>177.717</v>
      </c>
      <c r="BU265" t="n">
        <v>160.074</v>
      </c>
      <c r="BV265" t="n">
        <v>150.05</v>
      </c>
    </row>
    <row r="266">
      <c r="A266" t="inlineStr">
        <is>
          <t>Saurida undosquamis</t>
        </is>
      </c>
      <c r="B266" t="inlineStr">
        <is>
          <t>Brushtooth lizardfish</t>
        </is>
      </c>
      <c r="C266" t="inlineStr">
        <is>
          <t>Medium demersals (30 - 89 cm)</t>
        </is>
      </c>
      <c r="D266" t="inlineStr">
        <is>
          <t>Other fishes &amp; inverts</t>
        </is>
      </c>
      <c r="E266" t="n">
        <v>8.19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9.803000000000001</v>
      </c>
      <c r="M266" t="n">
        <v>0</v>
      </c>
      <c r="N266" t="n">
        <v>0</v>
      </c>
      <c r="O266" t="n">
        <v>0</v>
      </c>
      <c r="P266" t="n">
        <v>8.385</v>
      </c>
      <c r="Q266" t="n">
        <v>0</v>
      </c>
      <c r="R266" t="n">
        <v>0</v>
      </c>
      <c r="S266" t="n">
        <v>7.903</v>
      </c>
      <c r="T266" t="n">
        <v>7.738</v>
      </c>
      <c r="U266" t="n">
        <v>0</v>
      </c>
      <c r="V266" t="n">
        <v>0</v>
      </c>
      <c r="W266" t="n">
        <v>123.989</v>
      </c>
      <c r="X266" t="n">
        <v>299.349</v>
      </c>
      <c r="Y266" t="n">
        <v>273.28</v>
      </c>
      <c r="Z266" t="n">
        <v>286.926</v>
      </c>
      <c r="AA266" t="n">
        <v>383.455</v>
      </c>
      <c r="AB266" t="n">
        <v>520.998</v>
      </c>
      <c r="AC266" t="n">
        <v>710.867</v>
      </c>
      <c r="AD266" t="n">
        <v>855.72</v>
      </c>
      <c r="AE266" t="n">
        <v>408.411</v>
      </c>
      <c r="AF266" t="n">
        <v>540.277</v>
      </c>
      <c r="AG266" t="n">
        <v>165.929</v>
      </c>
      <c r="AH266" t="n">
        <v>621.741</v>
      </c>
      <c r="AI266" t="n">
        <v>594.5309999999999</v>
      </c>
      <c r="AJ266" t="n">
        <v>337.745</v>
      </c>
      <c r="AK266" t="n">
        <v>220.226</v>
      </c>
      <c r="AL266" t="n">
        <v>226.22</v>
      </c>
      <c r="AM266" t="n">
        <v>145.789</v>
      </c>
      <c r="AN266" t="n">
        <v>105.774</v>
      </c>
      <c r="AO266" t="n">
        <v>84.095</v>
      </c>
      <c r="AP266" t="n">
        <v>309.688</v>
      </c>
      <c r="AQ266" t="n">
        <v>312.099</v>
      </c>
      <c r="AR266" t="n">
        <v>90.76900000000001</v>
      </c>
      <c r="AS266" t="n">
        <v>42.077</v>
      </c>
      <c r="AT266" t="n">
        <v>93.825</v>
      </c>
      <c r="AU266" t="n">
        <v>184.26</v>
      </c>
      <c r="AV266" t="n">
        <v>129.116</v>
      </c>
      <c r="AW266" t="n">
        <v>353.326</v>
      </c>
      <c r="AX266" t="n">
        <v>254.219</v>
      </c>
      <c r="AY266" t="n">
        <v>254.701</v>
      </c>
      <c r="AZ266" t="n">
        <v>289.499</v>
      </c>
      <c r="BA266" t="n">
        <v>354.177</v>
      </c>
      <c r="BB266" t="n">
        <v>47.31</v>
      </c>
      <c r="BC266" t="n">
        <v>769.5700000000001</v>
      </c>
      <c r="BD266" t="n">
        <v>744.754</v>
      </c>
      <c r="BE266" t="n">
        <v>31.186</v>
      </c>
      <c r="BF266" t="n">
        <v>363.13</v>
      </c>
      <c r="BG266" t="n">
        <v>22.417</v>
      </c>
      <c r="BH266" t="n">
        <v>47.883</v>
      </c>
      <c r="BI266" t="n">
        <v>25.818</v>
      </c>
      <c r="BJ266" t="n">
        <v>181.208</v>
      </c>
      <c r="BK266" t="n">
        <v>51.459</v>
      </c>
      <c r="BL266" t="n">
        <v>185.806</v>
      </c>
      <c r="BM266" t="n">
        <v>3.031</v>
      </c>
      <c r="BN266" t="n">
        <v>3.066</v>
      </c>
      <c r="BO266" t="n">
        <v>3.093</v>
      </c>
      <c r="BP266" t="n">
        <v>3.077</v>
      </c>
      <c r="BQ266" t="n">
        <v>3.115</v>
      </c>
      <c r="BR266" t="n">
        <v>4.225</v>
      </c>
      <c r="BS266" t="n">
        <v>4.147</v>
      </c>
      <c r="BT266" t="n">
        <v>3.876</v>
      </c>
      <c r="BU266" t="n">
        <v>3.668</v>
      </c>
      <c r="BV266" t="n">
        <v>3.47</v>
      </c>
    </row>
    <row r="267">
      <c r="A267" t="inlineStr">
        <is>
          <t>Atule mate</t>
        </is>
      </c>
      <c r="B267" t="inlineStr">
        <is>
          <t>Yellowtail scad</t>
        </is>
      </c>
      <c r="C267" t="inlineStr">
        <is>
          <t>Small pelagics (&lt;30 cm)</t>
        </is>
      </c>
      <c r="D267" t="inlineStr">
        <is>
          <t>Perch-likes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261.942</v>
      </c>
      <c r="AT267" t="n">
        <v>244.646</v>
      </c>
      <c r="AU267" t="n">
        <v>211.662</v>
      </c>
      <c r="AV267" t="n">
        <v>234.43</v>
      </c>
      <c r="AW267" t="n">
        <v>222.566</v>
      </c>
      <c r="AX267" t="n">
        <v>219.233</v>
      </c>
      <c r="AY267" t="n">
        <v>221.318</v>
      </c>
      <c r="AZ267" t="n">
        <v>208.743</v>
      </c>
      <c r="BA267" t="n">
        <v>222.794</v>
      </c>
      <c r="BB267" t="n">
        <v>260.404</v>
      </c>
      <c r="BC267" t="n">
        <v>226.504</v>
      </c>
      <c r="BD267" t="n">
        <v>217.219</v>
      </c>
      <c r="BE267" t="n">
        <v>237.556</v>
      </c>
      <c r="BF267" t="n">
        <v>264.004</v>
      </c>
      <c r="BG267" t="n">
        <v>251.365</v>
      </c>
      <c r="BH267" t="n">
        <v>265.24</v>
      </c>
      <c r="BI267" t="n">
        <v>286.106</v>
      </c>
      <c r="BJ267" t="n">
        <v>332.083</v>
      </c>
      <c r="BK267" t="n">
        <v>376.461</v>
      </c>
      <c r="BL267" t="n">
        <v>483.458</v>
      </c>
      <c r="BM267" t="n">
        <v>564.2619999999999</v>
      </c>
      <c r="BN267" t="n">
        <v>826.927</v>
      </c>
      <c r="BO267" t="n">
        <v>835.8339999999999</v>
      </c>
      <c r="BP267" t="n">
        <v>792.016</v>
      </c>
      <c r="BQ267" t="n">
        <v>865.457</v>
      </c>
      <c r="BR267" t="n">
        <v>865.73</v>
      </c>
      <c r="BS267" t="n">
        <v>867.976</v>
      </c>
      <c r="BT267" t="n">
        <v>871.035</v>
      </c>
      <c r="BU267" t="n">
        <v>0</v>
      </c>
      <c r="BV267" t="n">
        <v>0</v>
      </c>
    </row>
    <row r="268">
      <c r="A268" t="inlineStr">
        <is>
          <t>Scarus</t>
        </is>
      </c>
      <c r="B268" t="inlineStr">
        <is>
          <t>Parrots</t>
        </is>
      </c>
      <c r="C268" t="inlineStr">
        <is>
          <t>Medium reef assoc. fish (30 - 89 cm)</t>
        </is>
      </c>
      <c r="D268" t="inlineStr">
        <is>
          <t>Perch-likes</t>
        </is>
      </c>
      <c r="E268" t="n">
        <v>16.487</v>
      </c>
      <c r="F268" t="n">
        <v>16.158</v>
      </c>
      <c r="G268" t="n">
        <v>16.061</v>
      </c>
      <c r="H268" t="n">
        <v>16.853</v>
      </c>
      <c r="I268" t="n">
        <v>17.481</v>
      </c>
      <c r="J268" t="n">
        <v>18.206</v>
      </c>
      <c r="K268" t="n">
        <v>19.163</v>
      </c>
      <c r="L268" t="n">
        <v>19.559</v>
      </c>
      <c r="M268" t="n">
        <v>21.24</v>
      </c>
      <c r="N268" t="n">
        <v>22.362</v>
      </c>
      <c r="O268" t="n">
        <v>23.879</v>
      </c>
      <c r="P268" t="n">
        <v>24.835</v>
      </c>
      <c r="Q268" t="n">
        <v>25.889</v>
      </c>
      <c r="R268" t="n">
        <v>27.151</v>
      </c>
      <c r="S268" t="n">
        <v>29.301</v>
      </c>
      <c r="T268" t="n">
        <v>41.005</v>
      </c>
      <c r="U268" t="n">
        <v>43.609</v>
      </c>
      <c r="V268" t="n">
        <v>51.938</v>
      </c>
      <c r="W268" t="n">
        <v>51.398</v>
      </c>
      <c r="X268" t="n">
        <v>49.039</v>
      </c>
      <c r="Y268" t="n">
        <v>48.436</v>
      </c>
      <c r="Z268" t="n">
        <v>49.411</v>
      </c>
      <c r="AA268" t="n">
        <v>48.45</v>
      </c>
      <c r="AB268" t="n">
        <v>49.406</v>
      </c>
      <c r="AC268" t="n">
        <v>51.522</v>
      </c>
      <c r="AD268" t="n">
        <v>50.352</v>
      </c>
      <c r="AE268" t="n">
        <v>50.29</v>
      </c>
      <c r="AF268" t="n">
        <v>53.662</v>
      </c>
      <c r="AG268" t="n">
        <v>170.065</v>
      </c>
      <c r="AH268" t="n">
        <v>176.008</v>
      </c>
      <c r="AI268" t="n">
        <v>94.989</v>
      </c>
      <c r="AJ268" t="n">
        <v>117.68</v>
      </c>
      <c r="AK268" t="n">
        <v>97.194</v>
      </c>
      <c r="AL268" t="n">
        <v>115.308</v>
      </c>
      <c r="AM268" t="n">
        <v>122.178</v>
      </c>
      <c r="AN268" t="n">
        <v>105.086</v>
      </c>
      <c r="AO268" t="n">
        <v>108.045</v>
      </c>
      <c r="AP268" t="n">
        <v>110.12</v>
      </c>
      <c r="AQ268" t="n">
        <v>115.765</v>
      </c>
      <c r="AR268" t="n">
        <v>109.772</v>
      </c>
      <c r="AS268" t="n">
        <v>146.684</v>
      </c>
      <c r="AT268" t="n">
        <v>315.665</v>
      </c>
      <c r="AU268" t="n">
        <v>351.905</v>
      </c>
      <c r="AV268" t="n">
        <v>74.428</v>
      </c>
      <c r="AW268" t="n">
        <v>59.513</v>
      </c>
      <c r="AX268" t="n">
        <v>283.15</v>
      </c>
      <c r="AY268" t="n">
        <v>342.008</v>
      </c>
      <c r="AZ268" t="n">
        <v>316.273</v>
      </c>
      <c r="BA268" t="n">
        <v>331.861</v>
      </c>
      <c r="BB268" t="n">
        <v>358.459</v>
      </c>
      <c r="BC268" t="n">
        <v>367.391</v>
      </c>
      <c r="BD268" t="n">
        <v>352.523</v>
      </c>
      <c r="BE268" t="n">
        <v>331.356</v>
      </c>
      <c r="BF268" t="n">
        <v>324.001</v>
      </c>
      <c r="BG268" t="n">
        <v>343.134</v>
      </c>
      <c r="BH268" t="n">
        <v>327.313</v>
      </c>
      <c r="BI268" t="n">
        <v>317.296</v>
      </c>
      <c r="BJ268" t="n">
        <v>302.934</v>
      </c>
      <c r="BK268" t="n">
        <v>294.839</v>
      </c>
      <c r="BL268" t="n">
        <v>320.893</v>
      </c>
      <c r="BM268" t="n">
        <v>332.903</v>
      </c>
      <c r="BN268" t="n">
        <v>321.143</v>
      </c>
      <c r="BO268" t="n">
        <v>361.388</v>
      </c>
      <c r="BP268" t="n">
        <v>375.601</v>
      </c>
      <c r="BQ268" t="n">
        <v>344.009</v>
      </c>
      <c r="BR268" t="n">
        <v>354.37</v>
      </c>
      <c r="BS268" t="n">
        <v>366.612</v>
      </c>
      <c r="BT268" t="n">
        <v>339.667</v>
      </c>
      <c r="BU268" t="n">
        <v>318.739</v>
      </c>
      <c r="BV268" t="n">
        <v>298.562</v>
      </c>
    </row>
    <row r="269">
      <c r="A269" t="inlineStr">
        <is>
          <t>Thunnus</t>
        </is>
      </c>
      <c r="B269" t="inlineStr">
        <is>
          <t>Tunas</t>
        </is>
      </c>
      <c r="C269" t="inlineStr">
        <is>
          <t>Large pelagics (&gt;=90 cm)</t>
        </is>
      </c>
      <c r="D269" t="inlineStr">
        <is>
          <t>Tuna &amp; billfishes</t>
        </is>
      </c>
      <c r="E269" t="n">
        <v>502.716</v>
      </c>
      <c r="F269" t="n">
        <v>0</v>
      </c>
      <c r="G269" t="n">
        <v>0</v>
      </c>
      <c r="H269" t="n">
        <v>0</v>
      </c>
      <c r="I269" t="n">
        <v>0</v>
      </c>
      <c r="J269" t="n">
        <v>0.002</v>
      </c>
      <c r="K269" t="n">
        <v>0.003</v>
      </c>
      <c r="L269" t="n">
        <v>0</v>
      </c>
      <c r="M269" t="n">
        <v>0.004</v>
      </c>
      <c r="N269" t="n">
        <v>0.018</v>
      </c>
      <c r="O269" t="n">
        <v>0.006</v>
      </c>
      <c r="P269" t="n">
        <v>0.008999999999999999</v>
      </c>
      <c r="Q269" t="n">
        <v>0</v>
      </c>
      <c r="R269" t="n">
        <v>0.007</v>
      </c>
      <c r="S269" t="n">
        <v>0.024</v>
      </c>
      <c r="T269" t="n">
        <v>0</v>
      </c>
      <c r="U269" t="n">
        <v>0.008999999999999999</v>
      </c>
      <c r="V269" t="n">
        <v>0</v>
      </c>
      <c r="W269" t="n">
        <v>0.059</v>
      </c>
      <c r="X269" t="n">
        <v>1.448</v>
      </c>
      <c r="Y269" t="n">
        <v>542.4109999999999</v>
      </c>
      <c r="Z269" t="n">
        <v>378.656</v>
      </c>
      <c r="AA269" t="n">
        <v>433.583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794.388</v>
      </c>
      <c r="AH269" t="n">
        <v>495.377</v>
      </c>
      <c r="AI269" t="n">
        <v>1166.865</v>
      </c>
      <c r="AJ269" t="n">
        <v>496.407</v>
      </c>
      <c r="AK269" t="n">
        <v>400.284</v>
      </c>
      <c r="AL269" t="n">
        <v>850.689</v>
      </c>
      <c r="AM269" t="n">
        <v>975.992</v>
      </c>
      <c r="AN269" t="n">
        <v>1508.445</v>
      </c>
      <c r="AO269" t="n">
        <v>1288.735</v>
      </c>
      <c r="AP269" t="n">
        <v>794.388</v>
      </c>
      <c r="AQ269" t="n">
        <v>0</v>
      </c>
      <c r="AR269" t="n">
        <v>965.006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0.484</v>
      </c>
      <c r="BH269" t="n">
        <v>0.004</v>
      </c>
      <c r="BI269" t="n">
        <v>0.001</v>
      </c>
      <c r="BJ269" t="n">
        <v>0.044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</row>
    <row r="270">
      <c r="A270" t="inlineStr">
        <is>
          <t>Ruditapes philippinarum</t>
        </is>
      </c>
      <c r="B270" t="inlineStr">
        <is>
          <t>Japanese carpet shell</t>
        </is>
      </c>
      <c r="C270" t="inlineStr">
        <is>
          <t>Other demersal invertebrates</t>
        </is>
      </c>
      <c r="D270" t="inlineStr">
        <is>
          <t>Molluscs</t>
        </is>
      </c>
      <c r="E270" t="n">
        <v>0.08400000000000001</v>
      </c>
      <c r="F270" t="n">
        <v>0.181</v>
      </c>
      <c r="G270" t="n">
        <v>0</v>
      </c>
      <c r="H270" t="n">
        <v>0</v>
      </c>
      <c r="I270" t="n">
        <v>0.123</v>
      </c>
      <c r="J270" t="n">
        <v>0</v>
      </c>
      <c r="K270" t="n">
        <v>0.07000000000000001</v>
      </c>
      <c r="L270" t="n">
        <v>0</v>
      </c>
      <c r="M270" t="n">
        <v>0.054</v>
      </c>
      <c r="N270" t="n">
        <v>0</v>
      </c>
      <c r="O270" t="n">
        <v>0.126</v>
      </c>
      <c r="P270" t="n">
        <v>0.082</v>
      </c>
      <c r="Q270" t="n">
        <v>0.052</v>
      </c>
      <c r="R270" t="n">
        <v>0.082</v>
      </c>
      <c r="S270" t="n">
        <v>252.083</v>
      </c>
      <c r="T270" t="n">
        <v>103.931</v>
      </c>
      <c r="U270" t="n">
        <v>187.137</v>
      </c>
      <c r="V270" t="n">
        <v>195.096</v>
      </c>
      <c r="W270" t="n">
        <v>266.905</v>
      </c>
      <c r="X270" t="n">
        <v>328.564</v>
      </c>
      <c r="Y270" t="n">
        <v>86.791</v>
      </c>
      <c r="Z270" t="n">
        <v>174.307</v>
      </c>
      <c r="AA270" t="n">
        <v>130.661</v>
      </c>
      <c r="AB270" t="n">
        <v>116.222</v>
      </c>
      <c r="AC270" t="n">
        <v>193.201</v>
      </c>
      <c r="AD270" t="n">
        <v>415.017</v>
      </c>
      <c r="AE270" t="n">
        <v>271.256</v>
      </c>
      <c r="AF270" t="n">
        <v>210.191</v>
      </c>
      <c r="AG270" t="n">
        <v>131.601</v>
      </c>
      <c r="AH270" t="n">
        <v>83.483</v>
      </c>
      <c r="AI270" t="n">
        <v>118.325</v>
      </c>
      <c r="AJ270" t="n">
        <v>451.251</v>
      </c>
      <c r="AK270" t="n">
        <v>167.028</v>
      </c>
      <c r="AL270" t="n">
        <v>170.44</v>
      </c>
      <c r="AM270" t="n">
        <v>126.375</v>
      </c>
      <c r="AN270" t="n">
        <v>163.3</v>
      </c>
      <c r="AO270" t="n">
        <v>219.785</v>
      </c>
      <c r="AP270" t="n">
        <v>280.04</v>
      </c>
      <c r="AQ270" t="n">
        <v>254.306</v>
      </c>
      <c r="AR270" t="n">
        <v>250.839</v>
      </c>
      <c r="AS270" t="n">
        <v>150.981</v>
      </c>
      <c r="AT270" t="n">
        <v>189.047</v>
      </c>
      <c r="AU270" t="n">
        <v>287.008</v>
      </c>
      <c r="AV270" t="n">
        <v>434.525</v>
      </c>
      <c r="AW270" t="n">
        <v>258.658</v>
      </c>
      <c r="AX270" t="n">
        <v>267.878</v>
      </c>
      <c r="AY270" t="n">
        <v>282.828</v>
      </c>
      <c r="AZ270" t="n">
        <v>342.795</v>
      </c>
      <c r="BA270" t="n">
        <v>347.959</v>
      </c>
      <c r="BB270" t="n">
        <v>236.498</v>
      </c>
      <c r="BC270" t="n">
        <v>319.258</v>
      </c>
      <c r="BD270" t="n">
        <v>306.635</v>
      </c>
      <c r="BE270" t="n">
        <v>217.851</v>
      </c>
      <c r="BF270" t="n">
        <v>115.106</v>
      </c>
      <c r="BG270" t="n">
        <v>117.626</v>
      </c>
      <c r="BH270" t="n">
        <v>129.662</v>
      </c>
      <c r="BI270" t="n">
        <v>62.262</v>
      </c>
      <c r="BJ270" t="n">
        <v>65.572</v>
      </c>
      <c r="BK270" t="n">
        <v>158.439</v>
      </c>
      <c r="BL270" t="n">
        <v>220.567</v>
      </c>
      <c r="BM270" t="n">
        <v>136.77</v>
      </c>
      <c r="BN270" t="n">
        <v>139.053</v>
      </c>
      <c r="BO270" t="n">
        <v>142.691</v>
      </c>
      <c r="BP270" t="n">
        <v>160.699</v>
      </c>
      <c r="BQ270" t="n">
        <v>172.24</v>
      </c>
      <c r="BR270" t="n">
        <v>136.383</v>
      </c>
      <c r="BS270" t="n">
        <v>181.576</v>
      </c>
      <c r="BT270" t="n">
        <v>171.353</v>
      </c>
      <c r="BU270" t="n">
        <v>175.05</v>
      </c>
      <c r="BV270" t="n">
        <v>162.563</v>
      </c>
    </row>
    <row r="271">
      <c r="A271" t="inlineStr">
        <is>
          <t>Metapenaeus tenuipes</t>
        </is>
      </c>
      <c r="B271" t="inlineStr">
        <is>
          <t>Stork shrimp</t>
        </is>
      </c>
      <c r="C271" t="inlineStr">
        <is>
          <t>Shrimps</t>
        </is>
      </c>
      <c r="D271" t="inlineStr">
        <is>
          <t>Crustaceans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295.383</v>
      </c>
      <c r="AT271" t="n">
        <v>198.646</v>
      </c>
      <c r="AU271" t="n">
        <v>230.691</v>
      </c>
      <c r="AV271" t="n">
        <v>226.02</v>
      </c>
      <c r="AW271" t="n">
        <v>200.907</v>
      </c>
      <c r="AX271" t="n">
        <v>210.952</v>
      </c>
      <c r="AY271" t="n">
        <v>215.975</v>
      </c>
      <c r="AZ271" t="n">
        <v>206.432</v>
      </c>
      <c r="BA271" t="n">
        <v>223.006</v>
      </c>
      <c r="BB271" t="n">
        <v>263.69</v>
      </c>
      <c r="BC271" t="n">
        <v>251.133</v>
      </c>
      <c r="BD271" t="n">
        <v>441.995</v>
      </c>
      <c r="BE271" t="n">
        <v>502.266</v>
      </c>
      <c r="BF271" t="n">
        <v>617.788</v>
      </c>
      <c r="BG271" t="n">
        <v>632.856</v>
      </c>
      <c r="BH271" t="n">
        <v>678.0599999999999</v>
      </c>
      <c r="BI271" t="n">
        <v>683.082</v>
      </c>
      <c r="BJ271" t="n">
        <v>622.8099999999999</v>
      </c>
      <c r="BK271" t="n">
        <v>554.502</v>
      </c>
      <c r="BL271" t="n">
        <v>354.6</v>
      </c>
      <c r="BM271" t="n">
        <v>389.809</v>
      </c>
      <c r="BN271" t="n">
        <v>438.278</v>
      </c>
      <c r="BO271" t="n">
        <v>444.506</v>
      </c>
      <c r="BP271" t="n">
        <v>421.904</v>
      </c>
      <c r="BQ271" t="n">
        <v>462.085</v>
      </c>
      <c r="BR271" t="n">
        <v>462.231</v>
      </c>
      <c r="BS271" t="n">
        <v>463.43</v>
      </c>
      <c r="BT271" t="n">
        <v>465.063</v>
      </c>
      <c r="BU271" t="n">
        <v>0</v>
      </c>
      <c r="BV271" t="n">
        <v>0</v>
      </c>
    </row>
    <row r="272">
      <c r="A272" t="inlineStr">
        <is>
          <t>Acanthocybium solandri</t>
        </is>
      </c>
      <c r="B272" t="inlineStr">
        <is>
          <t>Wahoo</t>
        </is>
      </c>
      <c r="C272" t="inlineStr">
        <is>
          <t>Large pelagics (&gt;=90 cm)</t>
        </is>
      </c>
      <c r="D272" t="inlineStr">
        <is>
          <t>Perch-likes</t>
        </is>
      </c>
      <c r="E272" t="n">
        <v>0.647</v>
      </c>
      <c r="F272" t="n">
        <v>1.693</v>
      </c>
      <c r="G272" t="n">
        <v>2.725</v>
      </c>
      <c r="H272" t="n">
        <v>8.569000000000001</v>
      </c>
      <c r="I272" t="n">
        <v>9.784000000000001</v>
      </c>
      <c r="J272" t="n">
        <v>9.074999999999999</v>
      </c>
      <c r="K272" t="n">
        <v>10.282</v>
      </c>
      <c r="L272" t="n">
        <v>10.059</v>
      </c>
      <c r="M272" t="n">
        <v>22.325</v>
      </c>
      <c r="N272" t="n">
        <v>17.621</v>
      </c>
      <c r="O272" t="n">
        <v>23.973</v>
      </c>
      <c r="P272" t="n">
        <v>27.12</v>
      </c>
      <c r="Q272" t="n">
        <v>38.449</v>
      </c>
      <c r="R272" t="n">
        <v>41.806</v>
      </c>
      <c r="S272" t="n">
        <v>34.514</v>
      </c>
      <c r="T272" t="n">
        <v>48.199</v>
      </c>
      <c r="U272" t="n">
        <v>47.839</v>
      </c>
      <c r="V272" t="n">
        <v>75.03</v>
      </c>
      <c r="W272" t="n">
        <v>86.02200000000001</v>
      </c>
      <c r="X272" t="n">
        <v>86.22199999999999</v>
      </c>
      <c r="Y272" t="n">
        <v>79.111</v>
      </c>
      <c r="Z272" t="n">
        <v>3941.464</v>
      </c>
      <c r="AA272" t="n">
        <v>82.85599999999999</v>
      </c>
      <c r="AB272" t="n">
        <v>107.155</v>
      </c>
      <c r="AC272" t="n">
        <v>89.28400000000001</v>
      </c>
      <c r="AD272" t="n">
        <v>359.761</v>
      </c>
      <c r="AE272" t="n">
        <v>122.684</v>
      </c>
      <c r="AF272" t="n">
        <v>114.943</v>
      </c>
      <c r="AG272" t="n">
        <v>1368.177</v>
      </c>
      <c r="AH272" t="n">
        <v>136.122</v>
      </c>
      <c r="AI272" t="n">
        <v>108.564</v>
      </c>
      <c r="AJ272" t="n">
        <v>1280.601</v>
      </c>
      <c r="AK272" t="n">
        <v>135.355</v>
      </c>
      <c r="AL272" t="n">
        <v>220.655</v>
      </c>
      <c r="AM272" t="n">
        <v>118.891</v>
      </c>
      <c r="AN272" t="n">
        <v>122.772</v>
      </c>
      <c r="AO272" t="n">
        <v>107.701</v>
      </c>
      <c r="AP272" t="n">
        <v>102.046</v>
      </c>
      <c r="AQ272" t="n">
        <v>125.647</v>
      </c>
      <c r="AR272" t="n">
        <v>149.887</v>
      </c>
      <c r="AS272" t="n">
        <v>86.91800000000001</v>
      </c>
      <c r="AT272" t="n">
        <v>119.424</v>
      </c>
      <c r="AU272" t="n">
        <v>93.758</v>
      </c>
      <c r="AV272" t="n">
        <v>100.727</v>
      </c>
      <c r="AW272" t="n">
        <v>94.714</v>
      </c>
      <c r="AX272" t="n">
        <v>67.935</v>
      </c>
      <c r="AY272" t="n">
        <v>86.304</v>
      </c>
      <c r="AZ272" t="n">
        <v>66.825</v>
      </c>
      <c r="BA272" t="n">
        <v>53.742</v>
      </c>
      <c r="BB272" t="n">
        <v>52.996</v>
      </c>
      <c r="BC272" t="n">
        <v>36.185</v>
      </c>
      <c r="BD272" t="n">
        <v>44.677</v>
      </c>
      <c r="BE272" t="n">
        <v>41.978</v>
      </c>
      <c r="BF272" t="n">
        <v>43.291</v>
      </c>
      <c r="BG272" t="n">
        <v>128.011</v>
      </c>
      <c r="BH272" t="n">
        <v>98.75700000000001</v>
      </c>
      <c r="BI272" t="n">
        <v>85.70699999999999</v>
      </c>
      <c r="BJ272" t="n">
        <v>14.746</v>
      </c>
      <c r="BK272" t="n">
        <v>21.644</v>
      </c>
      <c r="BL272" t="n">
        <v>31.196</v>
      </c>
      <c r="BM272" t="n">
        <v>27.612</v>
      </c>
      <c r="BN272" t="n">
        <v>26.032</v>
      </c>
      <c r="BO272" t="n">
        <v>4.108</v>
      </c>
      <c r="BP272" t="n">
        <v>8.018000000000001</v>
      </c>
      <c r="BQ272" t="n">
        <v>7.188</v>
      </c>
      <c r="BR272" t="n">
        <v>3.155</v>
      </c>
      <c r="BS272" t="n">
        <v>1.01</v>
      </c>
      <c r="BT272" t="n">
        <v>0.532</v>
      </c>
      <c r="BU272" t="n">
        <v>0.473</v>
      </c>
      <c r="BV272" t="n">
        <v>0.338</v>
      </c>
    </row>
    <row r="273">
      <c r="A273" t="inlineStr">
        <is>
          <t>Acanthopagrus schlegelii</t>
        </is>
      </c>
      <c r="B273" t="inlineStr">
        <is>
          <t>Blackhead seabream</t>
        </is>
      </c>
      <c r="C273" t="inlineStr">
        <is>
          <t>Medium demersals (30 - 89 cm)</t>
        </is>
      </c>
      <c r="D273" t="inlineStr">
        <is>
          <t>Perch-likes</t>
        </is>
      </c>
      <c r="E273" t="n">
        <v>2.245</v>
      </c>
      <c r="F273" t="n">
        <v>11.055</v>
      </c>
      <c r="G273" t="n">
        <v>3.237</v>
      </c>
      <c r="H273" t="n">
        <v>3.472</v>
      </c>
      <c r="I273" t="n">
        <v>3.664</v>
      </c>
      <c r="J273" t="n">
        <v>4.451</v>
      </c>
      <c r="K273" t="n">
        <v>5.083</v>
      </c>
      <c r="L273" t="n">
        <v>5.571</v>
      </c>
      <c r="M273" t="n">
        <v>6.186</v>
      </c>
      <c r="N273" t="n">
        <v>6.927</v>
      </c>
      <c r="O273" t="n">
        <v>7.17</v>
      </c>
      <c r="P273" t="n">
        <v>8.305999999999999</v>
      </c>
      <c r="Q273" t="n">
        <v>12.752</v>
      </c>
      <c r="R273" t="n">
        <v>9.821</v>
      </c>
      <c r="S273" t="n">
        <v>18.898</v>
      </c>
      <c r="T273" t="n">
        <v>24.553</v>
      </c>
      <c r="U273" t="n">
        <v>11.818</v>
      </c>
      <c r="V273" t="n">
        <v>13.005</v>
      </c>
      <c r="W273" t="n">
        <v>14.69</v>
      </c>
      <c r="X273" t="n">
        <v>21.785</v>
      </c>
      <c r="Y273" t="n">
        <v>17.064</v>
      </c>
      <c r="Z273" t="n">
        <v>18.298</v>
      </c>
      <c r="AA273" t="n">
        <v>17.726</v>
      </c>
      <c r="AB273" t="n">
        <v>18.669</v>
      </c>
      <c r="AC273" t="n">
        <v>18.662</v>
      </c>
      <c r="AD273" t="n">
        <v>23.615</v>
      </c>
      <c r="AE273" t="n">
        <v>24.595</v>
      </c>
      <c r="AF273" t="n">
        <v>29.212</v>
      </c>
      <c r="AG273" t="n">
        <v>30.949</v>
      </c>
      <c r="AH273" t="n">
        <v>32.486</v>
      </c>
      <c r="AI273" t="n">
        <v>30.133</v>
      </c>
      <c r="AJ273" t="n">
        <v>26.81</v>
      </c>
      <c r="AK273" t="n">
        <v>26.615</v>
      </c>
      <c r="AL273" t="n">
        <v>29.448</v>
      </c>
      <c r="AM273" t="n">
        <v>26.596</v>
      </c>
      <c r="AN273" t="n">
        <v>32.033</v>
      </c>
      <c r="AO273" t="n">
        <v>33.113</v>
      </c>
      <c r="AP273" t="n">
        <v>35.34</v>
      </c>
      <c r="AQ273" t="n">
        <v>35.22</v>
      </c>
      <c r="AR273" t="n">
        <v>386.906</v>
      </c>
      <c r="AS273" t="n">
        <v>265.781</v>
      </c>
      <c r="AT273" t="n">
        <v>224.099</v>
      </c>
      <c r="AU273" t="n">
        <v>286.568</v>
      </c>
      <c r="AV273" t="n">
        <v>170.603</v>
      </c>
      <c r="AW273" t="n">
        <v>196.652</v>
      </c>
      <c r="AX273" t="n">
        <v>235.212</v>
      </c>
      <c r="AY273" t="n">
        <v>321.526</v>
      </c>
      <c r="AZ273" t="n">
        <v>361.474</v>
      </c>
      <c r="BA273" t="n">
        <v>471.915</v>
      </c>
      <c r="BB273" t="n">
        <v>638.7619999999999</v>
      </c>
      <c r="BC273" t="n">
        <v>624.003</v>
      </c>
      <c r="BD273" t="n">
        <v>798.765</v>
      </c>
      <c r="BE273" t="n">
        <v>691.059</v>
      </c>
      <c r="BF273" t="n">
        <v>383.279</v>
      </c>
      <c r="BG273" t="n">
        <v>546.474</v>
      </c>
      <c r="BH273" t="n">
        <v>342.879</v>
      </c>
      <c r="BI273" t="n">
        <v>354.545</v>
      </c>
      <c r="BJ273" t="n">
        <v>261.093</v>
      </c>
      <c r="BK273" t="n">
        <v>283.089</v>
      </c>
      <c r="BL273" t="n">
        <v>300.832</v>
      </c>
      <c r="BM273" t="n">
        <v>183.086</v>
      </c>
      <c r="BN273" t="n">
        <v>192.084</v>
      </c>
      <c r="BO273" t="n">
        <v>205.239</v>
      </c>
      <c r="BP273" t="n">
        <v>198.877</v>
      </c>
      <c r="BQ273" t="n">
        <v>202.807</v>
      </c>
      <c r="BR273" t="n">
        <v>155.603</v>
      </c>
      <c r="BS273" t="n">
        <v>189.731</v>
      </c>
      <c r="BT273" t="n">
        <v>190.508</v>
      </c>
      <c r="BU273" t="n">
        <v>164.313</v>
      </c>
      <c r="BV273" t="n">
        <v>187.278</v>
      </c>
    </row>
    <row r="274">
      <c r="A274" t="inlineStr">
        <is>
          <t>Lobotes surinamensis</t>
        </is>
      </c>
      <c r="B274" t="inlineStr">
        <is>
          <t>Tripletail</t>
        </is>
      </c>
      <c r="C274" t="inlineStr">
        <is>
          <t>Large benthopelagics (&gt;=90 cm)</t>
        </is>
      </c>
      <c r="D274" t="inlineStr">
        <is>
          <t>Perch-likes</t>
        </is>
      </c>
      <c r="E274" t="n">
        <v>0.044</v>
      </c>
      <c r="F274" t="n">
        <v>0.043</v>
      </c>
      <c r="G274" t="n">
        <v>0.041</v>
      </c>
      <c r="H274" t="n">
        <v>0.041</v>
      </c>
      <c r="I274" t="n">
        <v>0.04</v>
      </c>
      <c r="J274" t="n">
        <v>0.04</v>
      </c>
      <c r="K274" t="n">
        <v>0.038</v>
      </c>
      <c r="L274" t="n">
        <v>0.037</v>
      </c>
      <c r="M274" t="n">
        <v>0.037</v>
      </c>
      <c r="N274" t="n">
        <v>0.036</v>
      </c>
      <c r="O274" t="n">
        <v>0.036</v>
      </c>
      <c r="P274" t="n">
        <v>0.035</v>
      </c>
      <c r="Q274" t="n">
        <v>0.034</v>
      </c>
      <c r="R274" t="n">
        <v>0.034</v>
      </c>
      <c r="S274" t="n">
        <v>0.033</v>
      </c>
      <c r="T274" t="n">
        <v>0.032</v>
      </c>
      <c r="U274" t="n">
        <v>0.032</v>
      </c>
      <c r="V274" t="n">
        <v>0.031</v>
      </c>
      <c r="W274" t="n">
        <v>0.03</v>
      </c>
      <c r="X274" t="n">
        <v>0.029</v>
      </c>
      <c r="Y274" t="n">
        <v>0.029</v>
      </c>
      <c r="Z274" t="n">
        <v>0.028</v>
      </c>
      <c r="AA274" t="n">
        <v>0.028</v>
      </c>
      <c r="AB274" t="n">
        <v>0.027</v>
      </c>
      <c r="AC274" t="n">
        <v>0.027</v>
      </c>
      <c r="AD274" t="n">
        <v>296.774</v>
      </c>
      <c r="AE274" t="n">
        <v>363.94</v>
      </c>
      <c r="AF274" t="n">
        <v>400.413</v>
      </c>
      <c r="AG274" t="n">
        <v>86.486</v>
      </c>
      <c r="AH274" t="n">
        <v>91.184</v>
      </c>
      <c r="AI274" t="n">
        <v>328.782</v>
      </c>
      <c r="AJ274" t="n">
        <v>339.463</v>
      </c>
      <c r="AK274" t="n">
        <v>290.16</v>
      </c>
      <c r="AL274" t="n">
        <v>285.425</v>
      </c>
      <c r="AM274" t="n">
        <v>284.523</v>
      </c>
      <c r="AN274" t="n">
        <v>326.166</v>
      </c>
      <c r="AO274" t="n">
        <v>363.299</v>
      </c>
      <c r="AP274" t="n">
        <v>297.531</v>
      </c>
      <c r="AQ274" t="n">
        <v>306.267</v>
      </c>
      <c r="AR274" t="n">
        <v>313.911</v>
      </c>
      <c r="AS274" t="n">
        <v>518.245</v>
      </c>
      <c r="AT274" t="n">
        <v>724.9589999999999</v>
      </c>
      <c r="AU274" t="n">
        <v>568.67</v>
      </c>
      <c r="AV274" t="n">
        <v>520.884</v>
      </c>
      <c r="AW274" t="n">
        <v>539.8819999999999</v>
      </c>
      <c r="AX274" t="n">
        <v>0.022</v>
      </c>
      <c r="AY274" t="n">
        <v>0.021</v>
      </c>
      <c r="AZ274" t="n">
        <v>0.023</v>
      </c>
      <c r="BA274" t="n">
        <v>0.021</v>
      </c>
      <c r="BB274" t="n">
        <v>0.019</v>
      </c>
      <c r="BC274" t="n">
        <v>0.02</v>
      </c>
      <c r="BD274" t="n">
        <v>0.018</v>
      </c>
      <c r="BE274" t="n">
        <v>0.017</v>
      </c>
      <c r="BF274" t="n">
        <v>0.018</v>
      </c>
      <c r="BG274" t="n">
        <v>0.013</v>
      </c>
      <c r="BH274" t="n">
        <v>321.96</v>
      </c>
      <c r="BI274" t="n">
        <v>346.409</v>
      </c>
      <c r="BJ274" t="n">
        <v>358.587</v>
      </c>
      <c r="BK274" t="n">
        <v>376.563</v>
      </c>
      <c r="BL274" t="n">
        <v>161.589</v>
      </c>
      <c r="BM274" t="n">
        <v>148.082</v>
      </c>
      <c r="BN274" t="n">
        <v>144.106</v>
      </c>
      <c r="BO274" t="n">
        <v>162.205</v>
      </c>
      <c r="BP274" t="n">
        <v>168.672</v>
      </c>
      <c r="BQ274" t="n">
        <v>154.604</v>
      </c>
      <c r="BR274" t="n">
        <v>159.189</v>
      </c>
      <c r="BS274" t="n">
        <v>164.906</v>
      </c>
      <c r="BT274" t="n">
        <v>152.953</v>
      </c>
      <c r="BU274" t="n">
        <v>144.206</v>
      </c>
      <c r="BV274" t="n">
        <v>135.169</v>
      </c>
    </row>
    <row r="275">
      <c r="A275" t="inlineStr">
        <is>
          <t>Sepioteuthis lessoniana</t>
        </is>
      </c>
      <c r="B275" t="inlineStr">
        <is>
          <t>Bigfin reef squid</t>
        </is>
      </c>
      <c r="C275" t="inlineStr">
        <is>
          <t>Cephalopods</t>
        </is>
      </c>
      <c r="D275" t="inlineStr">
        <is>
          <t>Other fishes &amp; inverts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882.735</v>
      </c>
      <c r="AZ275" t="n">
        <v>1126.755</v>
      </c>
      <c r="BA275" t="n">
        <v>473.216</v>
      </c>
      <c r="BB275" t="n">
        <v>724.36</v>
      </c>
      <c r="BC275" t="n">
        <v>1035.325</v>
      </c>
      <c r="BD275" t="n">
        <v>813.526</v>
      </c>
      <c r="BE275" t="n">
        <v>905.165</v>
      </c>
      <c r="BF275" t="n">
        <v>940.3339999999999</v>
      </c>
      <c r="BG275" t="n">
        <v>831.705</v>
      </c>
      <c r="BH275" t="n">
        <v>573.3</v>
      </c>
      <c r="BI275" t="n">
        <v>512.255</v>
      </c>
      <c r="BJ275" t="n">
        <v>528.511</v>
      </c>
      <c r="BK275" t="n">
        <v>127.386</v>
      </c>
      <c r="BL275" t="n">
        <v>119.831</v>
      </c>
      <c r="BM275" t="n">
        <v>154.32</v>
      </c>
      <c r="BN275" t="n">
        <v>75.65000000000001</v>
      </c>
      <c r="BO275" t="n">
        <v>127.736</v>
      </c>
      <c r="BP275" t="n">
        <v>84.60599999999999</v>
      </c>
      <c r="BQ275" t="n">
        <v>62.08</v>
      </c>
      <c r="BR275" t="n">
        <v>46.89</v>
      </c>
      <c r="BS275" t="n">
        <v>30.618</v>
      </c>
      <c r="BT275" t="n">
        <v>38.745</v>
      </c>
      <c r="BU275" t="n">
        <v>52.114</v>
      </c>
      <c r="BV275" t="n">
        <v>44.248</v>
      </c>
    </row>
    <row r="276">
      <c r="A276" t="inlineStr">
        <is>
          <t>Eleutheronema tetradactylum</t>
        </is>
      </c>
      <c r="B276" t="inlineStr">
        <is>
          <t>Fourfinger threadfin</t>
        </is>
      </c>
      <c r="C276" t="inlineStr">
        <is>
          <t>Large demersals (&gt;=90 cm)</t>
        </is>
      </c>
      <c r="D276" t="inlineStr">
        <is>
          <t>Perch-likes</t>
        </is>
      </c>
      <c r="E276" t="n">
        <v>13.324</v>
      </c>
      <c r="F276" t="n">
        <v>16.293</v>
      </c>
      <c r="G276" t="n">
        <v>16.77</v>
      </c>
      <c r="H276" t="n">
        <v>16.522</v>
      </c>
      <c r="I276" t="n">
        <v>20.697</v>
      </c>
      <c r="J276" t="n">
        <v>22.025</v>
      </c>
      <c r="K276" t="n">
        <v>24.009</v>
      </c>
      <c r="L276" t="n">
        <v>23.457</v>
      </c>
      <c r="M276" t="n">
        <v>24.892</v>
      </c>
      <c r="N276" t="n">
        <v>25.752</v>
      </c>
      <c r="O276" t="n">
        <v>28.889</v>
      </c>
      <c r="P276" t="n">
        <v>27.014</v>
      </c>
      <c r="Q276" t="n">
        <v>29.386</v>
      </c>
      <c r="R276" t="n">
        <v>41.52</v>
      </c>
      <c r="S276" t="n">
        <v>36.36</v>
      </c>
      <c r="T276" t="n">
        <v>40.568</v>
      </c>
      <c r="U276" t="n">
        <v>42.85</v>
      </c>
      <c r="V276" t="n">
        <v>45.256</v>
      </c>
      <c r="W276" t="n">
        <v>51.272</v>
      </c>
      <c r="X276" t="n">
        <v>49.443</v>
      </c>
      <c r="Y276" t="n">
        <v>183.932</v>
      </c>
      <c r="Z276" t="n">
        <v>199.931</v>
      </c>
      <c r="AA276" t="n">
        <v>407.988</v>
      </c>
      <c r="AB276" t="n">
        <v>383.667</v>
      </c>
      <c r="AC276" t="n">
        <v>221.609</v>
      </c>
      <c r="AD276" t="n">
        <v>111.172</v>
      </c>
      <c r="AE276" t="n">
        <v>72.79300000000001</v>
      </c>
      <c r="AF276" t="n">
        <v>73.30800000000001</v>
      </c>
      <c r="AG276" t="n">
        <v>77.038</v>
      </c>
      <c r="AH276" t="n">
        <v>84.48999999999999</v>
      </c>
      <c r="AI276" t="n">
        <v>87.274</v>
      </c>
      <c r="AJ276" t="n">
        <v>73.39100000000001</v>
      </c>
      <c r="AK276" t="n">
        <v>106.818</v>
      </c>
      <c r="AL276" t="n">
        <v>83.66</v>
      </c>
      <c r="AM276" t="n">
        <v>48.55</v>
      </c>
      <c r="AN276" t="n">
        <v>60.621</v>
      </c>
      <c r="AO276" t="n">
        <v>76.053</v>
      </c>
      <c r="AP276" t="n">
        <v>94.87</v>
      </c>
      <c r="AQ276" t="n">
        <v>111.104</v>
      </c>
      <c r="AR276" t="n">
        <v>60.271</v>
      </c>
      <c r="AS276" t="n">
        <v>73.495</v>
      </c>
      <c r="AT276" t="n">
        <v>91.54000000000001</v>
      </c>
      <c r="AU276" t="n">
        <v>87.842</v>
      </c>
      <c r="AV276" t="n">
        <v>132.826</v>
      </c>
      <c r="AW276" t="n">
        <v>1246.663</v>
      </c>
      <c r="AX276" t="n">
        <v>215.759</v>
      </c>
      <c r="AY276" t="n">
        <v>205.549</v>
      </c>
      <c r="AZ276" t="n">
        <v>243.607</v>
      </c>
      <c r="BA276" t="n">
        <v>258.242</v>
      </c>
      <c r="BB276" t="n">
        <v>218.779</v>
      </c>
      <c r="BC276" t="n">
        <v>206.983</v>
      </c>
      <c r="BD276" t="n">
        <v>208.659</v>
      </c>
      <c r="BE276" t="n">
        <v>186.799</v>
      </c>
      <c r="BF276" t="n">
        <v>192.647</v>
      </c>
      <c r="BG276" t="n">
        <v>172.435</v>
      </c>
      <c r="BH276" t="n">
        <v>166.207</v>
      </c>
      <c r="BI276" t="n">
        <v>155.845</v>
      </c>
      <c r="BJ276" t="n">
        <v>180.766</v>
      </c>
      <c r="BK276" t="n">
        <v>177.052</v>
      </c>
      <c r="BL276" t="n">
        <v>186.158</v>
      </c>
      <c r="BM276" t="n">
        <v>191.742</v>
      </c>
      <c r="BN276" t="n">
        <v>226.408</v>
      </c>
      <c r="BO276" t="n">
        <v>211.898</v>
      </c>
      <c r="BP276" t="n">
        <v>204.248</v>
      </c>
      <c r="BQ276" t="n">
        <v>184.666</v>
      </c>
      <c r="BR276" t="n">
        <v>175.666</v>
      </c>
      <c r="BS276" t="n">
        <v>188.586</v>
      </c>
      <c r="BT276" t="n">
        <v>179.198</v>
      </c>
      <c r="BU276" t="n">
        <v>162.932</v>
      </c>
      <c r="BV276" t="n">
        <v>192.094</v>
      </c>
    </row>
    <row r="277">
      <c r="A277" t="inlineStr">
        <is>
          <t>Scatophagus</t>
        </is>
      </c>
      <c r="B277" t="inlineStr">
        <is>
          <t>Scats</t>
        </is>
      </c>
      <c r="C277" t="inlineStr">
        <is>
          <t>Medium demersals (30 - 89 cm)</t>
        </is>
      </c>
      <c r="D277" t="inlineStr">
        <is>
          <t>Perch-likes</t>
        </is>
      </c>
      <c r="E277" t="n">
        <v>13.505</v>
      </c>
      <c r="F277" t="n">
        <v>16.353</v>
      </c>
      <c r="G277" t="n">
        <v>16.867</v>
      </c>
      <c r="H277" t="n">
        <v>16.626</v>
      </c>
      <c r="I277" t="n">
        <v>21.017</v>
      </c>
      <c r="J277" t="n">
        <v>22.324</v>
      </c>
      <c r="K277" t="n">
        <v>24.167</v>
      </c>
      <c r="L277" t="n">
        <v>23.458</v>
      </c>
      <c r="M277" t="n">
        <v>25.083</v>
      </c>
      <c r="N277" t="n">
        <v>25.953</v>
      </c>
      <c r="O277" t="n">
        <v>28.992</v>
      </c>
      <c r="P277" t="n">
        <v>27.275</v>
      </c>
      <c r="Q277" t="n">
        <v>29.75</v>
      </c>
      <c r="R277" t="n">
        <v>42.978</v>
      </c>
      <c r="S277" t="n">
        <v>38.545</v>
      </c>
      <c r="T277" t="n">
        <v>45.419</v>
      </c>
      <c r="U277" t="n">
        <v>48.901</v>
      </c>
      <c r="V277" t="n">
        <v>55.438</v>
      </c>
      <c r="W277" t="n">
        <v>62.628</v>
      </c>
      <c r="X277" t="n">
        <v>59.489</v>
      </c>
      <c r="Y277" t="n">
        <v>64.81699999999999</v>
      </c>
      <c r="Z277" t="n">
        <v>66.669</v>
      </c>
      <c r="AA277" t="n">
        <v>73.684</v>
      </c>
      <c r="AB277" t="n">
        <v>78.88500000000001</v>
      </c>
      <c r="AC277" t="n">
        <v>82.708</v>
      </c>
      <c r="AD277" t="n">
        <v>88.13200000000001</v>
      </c>
      <c r="AE277" t="n">
        <v>84.054</v>
      </c>
      <c r="AF277" t="n">
        <v>90.46299999999999</v>
      </c>
      <c r="AG277" t="n">
        <v>86.511</v>
      </c>
      <c r="AH277" t="n">
        <v>92.539</v>
      </c>
      <c r="AI277" t="n">
        <v>99.92400000000001</v>
      </c>
      <c r="AJ277" t="n">
        <v>66.235</v>
      </c>
      <c r="AK277" t="n">
        <v>116.987</v>
      </c>
      <c r="AL277" t="n">
        <v>137.563</v>
      </c>
      <c r="AM277" t="n">
        <v>143.192</v>
      </c>
      <c r="AN277" t="n">
        <v>141.564</v>
      </c>
      <c r="AO277" t="n">
        <v>141.267</v>
      </c>
      <c r="AP277" t="n">
        <v>137.707</v>
      </c>
      <c r="AQ277" t="n">
        <v>139.871</v>
      </c>
      <c r="AR277" t="n">
        <v>159.187</v>
      </c>
      <c r="AS277" t="n">
        <v>150.529</v>
      </c>
      <c r="AT277" t="n">
        <v>130.89</v>
      </c>
      <c r="AU277" t="n">
        <v>125.711</v>
      </c>
      <c r="AV277" t="n">
        <v>215.801</v>
      </c>
      <c r="AW277" t="n">
        <v>259.134</v>
      </c>
      <c r="AX277" t="n">
        <v>358.6</v>
      </c>
      <c r="AY277" t="n">
        <v>316.229</v>
      </c>
      <c r="AZ277" t="n">
        <v>166.284</v>
      </c>
      <c r="BA277" t="n">
        <v>201.356</v>
      </c>
      <c r="BB277" t="n">
        <v>201.346</v>
      </c>
      <c r="BC277" t="n">
        <v>213.107</v>
      </c>
      <c r="BD277" t="n">
        <v>219.279</v>
      </c>
      <c r="BE277" t="n">
        <v>173.728</v>
      </c>
      <c r="BF277" t="n">
        <v>189.303</v>
      </c>
      <c r="BG277" t="n">
        <v>172.743</v>
      </c>
      <c r="BH277" t="n">
        <v>152.472</v>
      </c>
      <c r="BI277" t="n">
        <v>153.452</v>
      </c>
      <c r="BJ277" t="n">
        <v>180.65</v>
      </c>
      <c r="BK277" t="n">
        <v>175.469</v>
      </c>
      <c r="BL277" t="n">
        <v>222.882</v>
      </c>
      <c r="BM277" t="n">
        <v>232.439</v>
      </c>
      <c r="BN277" t="n">
        <v>287.727</v>
      </c>
      <c r="BO277" t="n">
        <v>278.591</v>
      </c>
      <c r="BP277" t="n">
        <v>265.232</v>
      </c>
      <c r="BQ277" t="n">
        <v>244.135</v>
      </c>
      <c r="BR277" t="n">
        <v>243.81</v>
      </c>
      <c r="BS277" t="n">
        <v>258.349</v>
      </c>
      <c r="BT277" t="n">
        <v>238.217</v>
      </c>
      <c r="BU277" t="n">
        <v>234.299</v>
      </c>
      <c r="BV277" t="n">
        <v>253.683</v>
      </c>
    </row>
    <row r="278">
      <c r="A278" t="inlineStr">
        <is>
          <t>Thunnus orientalis</t>
        </is>
      </c>
      <c r="B278" t="inlineStr">
        <is>
          <t>Pacific bluefin tuna</t>
        </is>
      </c>
      <c r="C278" t="inlineStr">
        <is>
          <t>Large pelagics (&gt;=90 cm)</t>
        </is>
      </c>
      <c r="D278" t="inlineStr">
        <is>
          <t>Tuna &amp; billfishes</t>
        </is>
      </c>
      <c r="E278" t="n">
        <v>0</v>
      </c>
      <c r="F278" t="n">
        <v>0</v>
      </c>
      <c r="G278" t="n">
        <v>0</v>
      </c>
      <c r="H278" t="n">
        <v>0.752</v>
      </c>
      <c r="I278" t="n">
        <v>1.343</v>
      </c>
      <c r="J278" t="n">
        <v>1.055</v>
      </c>
      <c r="K278" t="n">
        <v>1.043</v>
      </c>
      <c r="L278" t="n">
        <v>0.031</v>
      </c>
      <c r="M278" t="n">
        <v>1.044</v>
      </c>
      <c r="N278" t="n">
        <v>1.921</v>
      </c>
      <c r="O278" t="n">
        <v>2.156</v>
      </c>
      <c r="P278" t="n">
        <v>2.764</v>
      </c>
      <c r="Q278" t="n">
        <v>3.301</v>
      </c>
      <c r="R278" t="n">
        <v>3.5</v>
      </c>
      <c r="S278" t="n">
        <v>80.86499999999999</v>
      </c>
      <c r="T278" t="n">
        <v>98.072</v>
      </c>
      <c r="U278" t="n">
        <v>41.93</v>
      </c>
      <c r="V278" t="n">
        <v>396.916</v>
      </c>
      <c r="W278" t="n">
        <v>548.08</v>
      </c>
      <c r="X278" t="n">
        <v>341.957</v>
      </c>
      <c r="Y278" t="n">
        <v>88.80800000000001</v>
      </c>
      <c r="Z278" t="n">
        <v>140.077</v>
      </c>
      <c r="AA278" t="n">
        <v>94.58499999999999</v>
      </c>
      <c r="AB278" t="n">
        <v>233.494</v>
      </c>
      <c r="AC278" t="n">
        <v>501.7</v>
      </c>
      <c r="AD278" t="n">
        <v>301.873</v>
      </c>
      <c r="AE278" t="n">
        <v>206.695</v>
      </c>
      <c r="AF278" t="n">
        <v>147.103</v>
      </c>
      <c r="AG278" t="n">
        <v>162.274</v>
      </c>
      <c r="AH278" t="n">
        <v>252.793</v>
      </c>
      <c r="AI278" t="n">
        <v>82.20399999999999</v>
      </c>
      <c r="AJ278" t="n">
        <v>85.104</v>
      </c>
      <c r="AK278" t="n">
        <v>83.89100000000001</v>
      </c>
      <c r="AL278" t="n">
        <v>51.739</v>
      </c>
      <c r="AM278" t="n">
        <v>83.474</v>
      </c>
      <c r="AN278" t="n">
        <v>49.544</v>
      </c>
      <c r="AO278" t="n">
        <v>43.853</v>
      </c>
      <c r="AP278" t="n">
        <v>66.304</v>
      </c>
      <c r="AQ278" t="n">
        <v>22.212</v>
      </c>
      <c r="AR278" t="n">
        <v>29.545</v>
      </c>
      <c r="AS278" t="n">
        <v>21.635</v>
      </c>
      <c r="AT278" t="n">
        <v>40.978</v>
      </c>
      <c r="AU278" t="n">
        <v>52.81</v>
      </c>
      <c r="AV278" t="n">
        <v>30.776</v>
      </c>
      <c r="AW278" t="n">
        <v>43.371</v>
      </c>
      <c r="AX278" t="n">
        <v>103.519</v>
      </c>
      <c r="AY278" t="n">
        <v>110.874</v>
      </c>
      <c r="AZ278" t="n">
        <v>189.268</v>
      </c>
      <c r="BA278" t="n">
        <v>128.686</v>
      </c>
      <c r="BB278" t="n">
        <v>183.597</v>
      </c>
      <c r="BC278" t="n">
        <v>244.273</v>
      </c>
      <c r="BD278" t="n">
        <v>1.094</v>
      </c>
      <c r="BE278" t="n">
        <v>0.583</v>
      </c>
      <c r="BF278" t="n">
        <v>0.79</v>
      </c>
      <c r="BG278" t="n">
        <v>982.8200000000001</v>
      </c>
      <c r="BH278" t="n">
        <v>1728.929</v>
      </c>
      <c r="BI278" t="n">
        <v>485.332</v>
      </c>
      <c r="BJ278" t="n">
        <v>95.843</v>
      </c>
      <c r="BK278" t="n">
        <v>101.809</v>
      </c>
      <c r="BL278" t="n">
        <v>129.861</v>
      </c>
      <c r="BM278" t="n">
        <v>86.416</v>
      </c>
      <c r="BN278" t="n">
        <v>33.232</v>
      </c>
      <c r="BO278" t="n">
        <v>11.52</v>
      </c>
      <c r="BP278" t="n">
        <v>21.606</v>
      </c>
      <c r="BQ278" t="n">
        <v>30.156</v>
      </c>
      <c r="BR278" t="n">
        <v>12.846</v>
      </c>
      <c r="BS278" t="n">
        <v>1.537</v>
      </c>
      <c r="BT278" t="n">
        <v>1.771</v>
      </c>
      <c r="BU278" t="n">
        <v>0.165</v>
      </c>
      <c r="BV278" t="n">
        <v>0.169</v>
      </c>
    </row>
    <row r="279">
      <c r="A279" t="inlineStr">
        <is>
          <t>Siganus canaliculatus</t>
        </is>
      </c>
      <c r="B279" t="inlineStr">
        <is>
          <t>White-spotted spinefoot</t>
        </is>
      </c>
      <c r="C279" t="inlineStr">
        <is>
          <t>Small reef assoc. fish (&lt;30 cm)</t>
        </is>
      </c>
      <c r="D279" t="inlineStr">
        <is>
          <t>Perch-likes</t>
        </is>
      </c>
      <c r="E279" t="n">
        <v>19.744</v>
      </c>
      <c r="F279" t="n">
        <v>19.744</v>
      </c>
      <c r="G279" t="n">
        <v>26.156</v>
      </c>
      <c r="H279" t="n">
        <v>23.119</v>
      </c>
      <c r="I279" t="n">
        <v>19.744</v>
      </c>
      <c r="J279" t="n">
        <v>19.744</v>
      </c>
      <c r="K279" t="n">
        <v>19.744</v>
      </c>
      <c r="L279" t="n">
        <v>18.9</v>
      </c>
      <c r="M279" t="n">
        <v>20.419</v>
      </c>
      <c r="N279" t="n">
        <v>19.744</v>
      </c>
      <c r="O279" t="n">
        <v>26.494</v>
      </c>
      <c r="P279" t="n">
        <v>32.906</v>
      </c>
      <c r="Q279" t="n">
        <v>33.919</v>
      </c>
      <c r="R279" t="n">
        <v>52.819</v>
      </c>
      <c r="S279" t="n">
        <v>48.937</v>
      </c>
      <c r="T279" t="n">
        <v>47.367</v>
      </c>
      <c r="U279" t="n">
        <v>55.579</v>
      </c>
      <c r="V279" t="n">
        <v>48.066</v>
      </c>
      <c r="W279" t="n">
        <v>80.60299999999999</v>
      </c>
      <c r="X279" t="n">
        <v>74.441</v>
      </c>
      <c r="Y279" t="n">
        <v>84.34399999999999</v>
      </c>
      <c r="Z279" t="n">
        <v>114.137</v>
      </c>
      <c r="AA279" t="n">
        <v>112.942</v>
      </c>
      <c r="AB279" t="n">
        <v>128.543</v>
      </c>
      <c r="AC279" t="n">
        <v>106.035</v>
      </c>
      <c r="AD279" t="n">
        <v>150.907</v>
      </c>
      <c r="AE279" t="n">
        <v>135.76</v>
      </c>
      <c r="AF279" t="n">
        <v>171.044</v>
      </c>
      <c r="AG279" t="n">
        <v>108.487</v>
      </c>
      <c r="AH279" t="n">
        <v>106.565</v>
      </c>
      <c r="AI279" t="n">
        <v>31.96</v>
      </c>
      <c r="AJ279" t="n">
        <v>48.37</v>
      </c>
      <c r="AK279" t="n">
        <v>29.266</v>
      </c>
      <c r="AL279" t="n">
        <v>26.222</v>
      </c>
      <c r="AM279" t="n">
        <v>21.271</v>
      </c>
      <c r="AN279" t="n">
        <v>21.753</v>
      </c>
      <c r="AO279" t="n">
        <v>81.099</v>
      </c>
      <c r="AP279" t="n">
        <v>133.295</v>
      </c>
      <c r="AQ279" t="n">
        <v>137.608</v>
      </c>
      <c r="AR279" t="n">
        <v>166.866</v>
      </c>
      <c r="AS279" t="n">
        <v>189.988</v>
      </c>
      <c r="AT279" t="n">
        <v>166.188</v>
      </c>
      <c r="AU279" t="n">
        <v>154.198</v>
      </c>
      <c r="AV279" t="n">
        <v>167.774</v>
      </c>
      <c r="AW279" t="n">
        <v>205.785</v>
      </c>
      <c r="AX279" t="n">
        <v>269.37</v>
      </c>
      <c r="AY279" t="n">
        <v>238.19</v>
      </c>
      <c r="AZ279" t="n">
        <v>284.998</v>
      </c>
      <c r="BA279" t="n">
        <v>174.744</v>
      </c>
      <c r="BB279" t="n">
        <v>198.643</v>
      </c>
      <c r="BC279" t="n">
        <v>190.494</v>
      </c>
      <c r="BD279" t="n">
        <v>201.014</v>
      </c>
      <c r="BE279" t="n">
        <v>183.04</v>
      </c>
      <c r="BF279" t="n">
        <v>212.196</v>
      </c>
      <c r="BG279" t="n">
        <v>208.404</v>
      </c>
      <c r="BH279" t="n">
        <v>214.771</v>
      </c>
      <c r="BI279" t="n">
        <v>191.28</v>
      </c>
      <c r="BJ279" t="n">
        <v>214.178</v>
      </c>
      <c r="BK279" t="n">
        <v>178.294</v>
      </c>
      <c r="BL279" t="n">
        <v>177.237</v>
      </c>
      <c r="BM279" t="n">
        <v>214.268</v>
      </c>
      <c r="BN279" t="n">
        <v>208.964</v>
      </c>
      <c r="BO279" t="n">
        <v>235.294</v>
      </c>
      <c r="BP279" t="n">
        <v>244.843</v>
      </c>
      <c r="BQ279" t="n">
        <v>224.646</v>
      </c>
      <c r="BR279" t="n">
        <v>231.175</v>
      </c>
      <c r="BS279" t="n">
        <v>239.895</v>
      </c>
      <c r="BT279" t="n">
        <v>222.825</v>
      </c>
      <c r="BU279" t="n">
        <v>210.131</v>
      </c>
      <c r="BV279" t="n">
        <v>197.127</v>
      </c>
    </row>
    <row r="280">
      <c r="A280" t="inlineStr">
        <is>
          <t>Polydactylus sexfilis</t>
        </is>
      </c>
      <c r="B280" t="inlineStr">
        <is>
          <t>Sixfinger threadfin</t>
        </is>
      </c>
      <c r="C280" t="inlineStr">
        <is>
          <t>Medium demersals (30 - 89 cm)</t>
        </is>
      </c>
      <c r="D280" t="inlineStr">
        <is>
          <t>Perch-likes</t>
        </is>
      </c>
      <c r="E280" t="n">
        <v>15.948</v>
      </c>
      <c r="F280" t="n">
        <v>19.474</v>
      </c>
      <c r="G280" t="n">
        <v>23.255</v>
      </c>
      <c r="H280" t="n">
        <v>25.093</v>
      </c>
      <c r="I280" t="n">
        <v>26.066</v>
      </c>
      <c r="J280" t="n">
        <v>32.183</v>
      </c>
      <c r="K280" t="n">
        <v>37.112</v>
      </c>
      <c r="L280" t="n">
        <v>40.795</v>
      </c>
      <c r="M280" t="n">
        <v>44.76</v>
      </c>
      <c r="N280" t="n">
        <v>50.86</v>
      </c>
      <c r="O280" t="n">
        <v>55.762</v>
      </c>
      <c r="P280" t="n">
        <v>66.56100000000001</v>
      </c>
      <c r="Q280" t="n">
        <v>71.61</v>
      </c>
      <c r="R280" t="n">
        <v>75.57599999999999</v>
      </c>
      <c r="S280" t="n">
        <v>82.85299999999999</v>
      </c>
      <c r="T280" t="n">
        <v>93.137</v>
      </c>
      <c r="U280" t="n">
        <v>103.922</v>
      </c>
      <c r="V280" t="n">
        <v>111.144</v>
      </c>
      <c r="W280" t="n">
        <v>123.136</v>
      </c>
      <c r="X280" t="n">
        <v>134.499</v>
      </c>
      <c r="Y280" t="n">
        <v>142.804</v>
      </c>
      <c r="Z280" t="n">
        <v>169.962</v>
      </c>
      <c r="AA280" t="n">
        <v>189.552</v>
      </c>
      <c r="AB280" t="n">
        <v>192.436</v>
      </c>
      <c r="AC280" t="n">
        <v>191.19</v>
      </c>
      <c r="AD280" t="n">
        <v>217.258</v>
      </c>
      <c r="AE280" t="n">
        <v>219.18</v>
      </c>
      <c r="AF280" t="n">
        <v>228.184</v>
      </c>
      <c r="AG280" t="n">
        <v>234.081</v>
      </c>
      <c r="AH280" t="n">
        <v>255.239</v>
      </c>
      <c r="AI280" t="n">
        <v>249.401</v>
      </c>
      <c r="AJ280" t="n">
        <v>226.905</v>
      </c>
      <c r="AK280" t="n">
        <v>208.096</v>
      </c>
      <c r="AL280" t="n">
        <v>213.394</v>
      </c>
      <c r="AM280" t="n">
        <v>227.392</v>
      </c>
      <c r="AN280" t="n">
        <v>197.485</v>
      </c>
      <c r="AO280" t="n">
        <v>203.241</v>
      </c>
      <c r="AP280" t="n">
        <v>198.065</v>
      </c>
      <c r="AQ280" t="n">
        <v>231.715</v>
      </c>
      <c r="AR280" t="n">
        <v>216.921</v>
      </c>
      <c r="AS280" t="n">
        <v>173.647</v>
      </c>
      <c r="AT280" t="n">
        <v>156.927</v>
      </c>
      <c r="AU280" t="n">
        <v>137.78</v>
      </c>
      <c r="AV280" t="n">
        <v>128.892</v>
      </c>
      <c r="AW280" t="n">
        <v>110.054</v>
      </c>
      <c r="AX280" t="n">
        <v>130.145</v>
      </c>
      <c r="AY280" t="n">
        <v>111.935</v>
      </c>
      <c r="AZ280" t="n">
        <v>107.078</v>
      </c>
      <c r="BA280" t="n">
        <v>62.72</v>
      </c>
      <c r="BB280" t="n">
        <v>64.206</v>
      </c>
      <c r="BC280" t="n">
        <v>593.0309999999999</v>
      </c>
      <c r="BD280" t="n">
        <v>78.048</v>
      </c>
      <c r="BE280" t="n">
        <v>56.833</v>
      </c>
      <c r="BF280" t="n">
        <v>38.9</v>
      </c>
      <c r="BG280" t="n">
        <v>63.786</v>
      </c>
      <c r="BH280" t="n">
        <v>71.018</v>
      </c>
      <c r="BI280" t="n">
        <v>58.469</v>
      </c>
      <c r="BJ280" t="n">
        <v>55.066</v>
      </c>
      <c r="BK280" t="n">
        <v>52.116</v>
      </c>
      <c r="BL280" t="n">
        <v>41.651</v>
      </c>
      <c r="BM280" t="n">
        <v>34.145</v>
      </c>
      <c r="BN280" t="n">
        <v>40.409</v>
      </c>
      <c r="BO280" t="n">
        <v>41.018</v>
      </c>
      <c r="BP280" t="n">
        <v>46.419</v>
      </c>
      <c r="BQ280" t="n">
        <v>50.949</v>
      </c>
      <c r="BR280" t="n">
        <v>44.271</v>
      </c>
      <c r="BS280" t="n">
        <v>59.503</v>
      </c>
      <c r="BT280" t="n">
        <v>43.978</v>
      </c>
      <c r="BU280" t="n">
        <v>66.488</v>
      </c>
      <c r="BV280" t="n">
        <v>47.071</v>
      </c>
    </row>
    <row r="281">
      <c r="A281" t="inlineStr">
        <is>
          <t>Hilsa kelee</t>
        </is>
      </c>
      <c r="B281" t="inlineStr">
        <is>
          <t>Kelee shad</t>
        </is>
      </c>
      <c r="C281" t="inlineStr">
        <is>
          <t>Small pelagics (&lt;30 cm)</t>
        </is>
      </c>
      <c r="D281" t="inlineStr">
        <is>
          <t>Herring-likes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25.376</v>
      </c>
      <c r="X281" t="n">
        <v>52.178</v>
      </c>
      <c r="Y281" t="n">
        <v>121.351</v>
      </c>
      <c r="Z281" t="n">
        <v>80.047</v>
      </c>
      <c r="AA281" t="n">
        <v>143.753</v>
      </c>
      <c r="AB281" t="n">
        <v>122.523</v>
      </c>
      <c r="AC281" t="n">
        <v>137.333</v>
      </c>
      <c r="AD281" t="n">
        <v>125.031</v>
      </c>
      <c r="AE281" t="n">
        <v>144.964</v>
      </c>
      <c r="AF281" t="n">
        <v>49.25</v>
      </c>
      <c r="AG281" t="n">
        <v>48.852</v>
      </c>
      <c r="AH281" t="n">
        <v>107.339</v>
      </c>
      <c r="AI281" t="n">
        <v>474.383</v>
      </c>
      <c r="AJ281" t="n">
        <v>418.221</v>
      </c>
      <c r="AK281" t="n">
        <v>835.3819999999999</v>
      </c>
      <c r="AL281" t="n">
        <v>505.869</v>
      </c>
      <c r="AM281" t="n">
        <v>272.982</v>
      </c>
      <c r="AN281" t="n">
        <v>184.549</v>
      </c>
      <c r="AO281" t="n">
        <v>37.523</v>
      </c>
      <c r="AP281" t="n">
        <v>0</v>
      </c>
      <c r="AQ281" t="n">
        <v>0</v>
      </c>
      <c r="AR281" t="n">
        <v>0</v>
      </c>
      <c r="AS281" t="n">
        <v>0</v>
      </c>
      <c r="AT281" t="n">
        <v>72.35599999999999</v>
      </c>
      <c r="AU281" t="n">
        <v>109.006</v>
      </c>
      <c r="AV281" t="n">
        <v>140.15</v>
      </c>
      <c r="AW281" t="n">
        <v>291.253</v>
      </c>
      <c r="AX281" t="n">
        <v>117.828</v>
      </c>
      <c r="AY281" t="n">
        <v>250.656</v>
      </c>
      <c r="AZ281" t="n">
        <v>53.362</v>
      </c>
      <c r="BA281" t="n">
        <v>149.917</v>
      </c>
      <c r="BB281" t="n">
        <v>174.379</v>
      </c>
      <c r="BC281" t="n">
        <v>137.358</v>
      </c>
      <c r="BD281" t="n">
        <v>223.129</v>
      </c>
      <c r="BE281" t="n">
        <v>158.842</v>
      </c>
      <c r="BF281" t="n">
        <v>193.73</v>
      </c>
      <c r="BG281" t="n">
        <v>232.773</v>
      </c>
      <c r="BH281" t="n">
        <v>215.92</v>
      </c>
      <c r="BI281" t="n">
        <v>271.373</v>
      </c>
      <c r="BJ281" t="n">
        <v>259.809</v>
      </c>
      <c r="BK281" t="n">
        <v>150.861</v>
      </c>
      <c r="BL281" t="n">
        <v>255.331</v>
      </c>
      <c r="BM281" t="n">
        <v>75.613</v>
      </c>
      <c r="BN281" t="n">
        <v>73.541</v>
      </c>
      <c r="BO281" t="n">
        <v>82.77800000000001</v>
      </c>
      <c r="BP281" t="n">
        <v>86.07599999999999</v>
      </c>
      <c r="BQ281" t="n">
        <v>78.893</v>
      </c>
      <c r="BR281" t="n">
        <v>81.235</v>
      </c>
      <c r="BS281" t="n">
        <v>84.14700000000001</v>
      </c>
      <c r="BT281" t="n">
        <v>78.04300000000001</v>
      </c>
      <c r="BU281" t="n">
        <v>73.84</v>
      </c>
      <c r="BV281" t="n">
        <v>69.20999999999999</v>
      </c>
    </row>
    <row r="282">
      <c r="A282" t="inlineStr">
        <is>
          <t>Thenus orientalis</t>
        </is>
      </c>
      <c r="B282" t="inlineStr">
        <is>
          <t>Flathead lobster</t>
        </is>
      </c>
      <c r="C282" t="inlineStr">
        <is>
          <t>Lobsters, crabs</t>
        </is>
      </c>
      <c r="D282" t="inlineStr">
        <is>
          <t>Crustaceans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53.407</v>
      </c>
      <c r="Z282" t="n">
        <v>60.937</v>
      </c>
      <c r="AA282" t="n">
        <v>75.76900000000001</v>
      </c>
      <c r="AB282" t="n">
        <v>55.601</v>
      </c>
      <c r="AC282" t="n">
        <v>75.458</v>
      </c>
      <c r="AD282" t="n">
        <v>96.126</v>
      </c>
      <c r="AE282" t="n">
        <v>95.774</v>
      </c>
      <c r="AF282" t="n">
        <v>181.839</v>
      </c>
      <c r="AG282" t="n">
        <v>169.205</v>
      </c>
      <c r="AH282" t="n">
        <v>141.088</v>
      </c>
      <c r="AI282" t="n">
        <v>100.324</v>
      </c>
      <c r="AJ282" t="n">
        <v>140.066</v>
      </c>
      <c r="AK282" t="n">
        <v>99.98</v>
      </c>
      <c r="AL282" t="n">
        <v>73.65300000000001</v>
      </c>
      <c r="AM282" t="n">
        <v>101.792</v>
      </c>
      <c r="AN282" t="n">
        <v>112.019</v>
      </c>
      <c r="AO282" t="n">
        <v>125.72</v>
      </c>
      <c r="AP282" t="n">
        <v>171.593</v>
      </c>
      <c r="AQ282" t="n">
        <v>133.496</v>
      </c>
      <c r="AR282" t="n">
        <v>116.965</v>
      </c>
      <c r="AS282" t="n">
        <v>130.887</v>
      </c>
      <c r="AT282" t="n">
        <v>144.641</v>
      </c>
      <c r="AU282" t="n">
        <v>117.849</v>
      </c>
      <c r="AV282" t="n">
        <v>167.387</v>
      </c>
      <c r="AW282" t="n">
        <v>117.327</v>
      </c>
      <c r="AX282" t="n">
        <v>243.998</v>
      </c>
      <c r="AY282" t="n">
        <v>392.55</v>
      </c>
      <c r="AZ282" t="n">
        <v>415.983</v>
      </c>
      <c r="BA282" t="n">
        <v>464.882</v>
      </c>
      <c r="BB282" t="n">
        <v>287.004</v>
      </c>
      <c r="BC282" t="n">
        <v>364.239</v>
      </c>
      <c r="BD282" t="n">
        <v>306.82</v>
      </c>
      <c r="BE282" t="n">
        <v>361.984</v>
      </c>
      <c r="BF282" t="n">
        <v>426.272</v>
      </c>
      <c r="BG282" t="n">
        <v>395.475</v>
      </c>
      <c r="BH282" t="n">
        <v>364.041</v>
      </c>
      <c r="BI282" t="n">
        <v>308.825</v>
      </c>
      <c r="BJ282" t="n">
        <v>292.608</v>
      </c>
      <c r="BK282" t="n">
        <v>128.029</v>
      </c>
      <c r="BL282" t="n">
        <v>61.542</v>
      </c>
      <c r="BM282" t="n">
        <v>17.221</v>
      </c>
      <c r="BN282" t="n">
        <v>16.722</v>
      </c>
      <c r="BO282" t="n">
        <v>25.989</v>
      </c>
      <c r="BP282" t="n">
        <v>8.66</v>
      </c>
      <c r="BQ282" t="n">
        <v>9.762</v>
      </c>
      <c r="BR282" t="n">
        <v>5.976</v>
      </c>
      <c r="BS282" t="n">
        <v>3.406</v>
      </c>
      <c r="BT282" t="n">
        <v>5.098</v>
      </c>
      <c r="BU282" t="n">
        <v>4.104</v>
      </c>
      <c r="BV282" t="n">
        <v>9.375999999999999</v>
      </c>
    </row>
    <row r="283">
      <c r="A283" t="inlineStr">
        <is>
          <t>Acetes sibogae</t>
        </is>
      </c>
      <c r="B283" t="inlineStr">
        <is>
          <t>Alamang shrimp</t>
        </is>
      </c>
      <c r="C283" t="inlineStr">
        <is>
          <t>Shrimps</t>
        </is>
      </c>
      <c r="D283" t="inlineStr">
        <is>
          <t>Crustaceans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1469.87</v>
      </c>
      <c r="BO283" t="n">
        <v>1392.683</v>
      </c>
      <c r="BP283" t="n">
        <v>1086.735</v>
      </c>
      <c r="BQ283" t="n">
        <v>1596.957</v>
      </c>
      <c r="BR283" t="n">
        <v>833.678</v>
      </c>
      <c r="BS283" t="n">
        <v>536.889</v>
      </c>
      <c r="BT283" t="n">
        <v>718.099</v>
      </c>
      <c r="BU283" t="n">
        <v>0</v>
      </c>
      <c r="BV283" t="n">
        <v>0</v>
      </c>
    </row>
    <row r="284">
      <c r="A284" t="inlineStr">
        <is>
          <t>Kajikia audax</t>
        </is>
      </c>
      <c r="B284" t="inlineStr">
        <is>
          <t>Striped marlin</t>
        </is>
      </c>
      <c r="C284" t="inlineStr">
        <is>
          <t>Large pelagics (&gt;=90 cm)</t>
        </is>
      </c>
      <c r="D284" t="inlineStr">
        <is>
          <t>Tuna &amp; billfishes</t>
        </is>
      </c>
      <c r="E284" t="n">
        <v>0.08699999999999999</v>
      </c>
      <c r="F284" t="n">
        <v>0.107</v>
      </c>
      <c r="G284" t="n">
        <v>0.126</v>
      </c>
      <c r="H284" t="n">
        <v>0.135</v>
      </c>
      <c r="I284" t="n">
        <v>0.211</v>
      </c>
      <c r="J284" t="n">
        <v>0.362</v>
      </c>
      <c r="K284" t="n">
        <v>0.446</v>
      </c>
      <c r="L284" t="n">
        <v>0.226</v>
      </c>
      <c r="M284" t="n">
        <v>9.483000000000001</v>
      </c>
      <c r="N284" t="n">
        <v>5.28</v>
      </c>
      <c r="O284" t="n">
        <v>5.566</v>
      </c>
      <c r="P284" t="n">
        <v>3.96</v>
      </c>
      <c r="Q284" t="n">
        <v>175.748</v>
      </c>
      <c r="R284" t="n">
        <v>279.417</v>
      </c>
      <c r="S284" t="n">
        <v>199.584</v>
      </c>
      <c r="T284" t="n">
        <v>222.279</v>
      </c>
      <c r="U284" t="n">
        <v>180.308</v>
      </c>
      <c r="V284" t="n">
        <v>295.756</v>
      </c>
      <c r="W284" t="n">
        <v>231.155</v>
      </c>
      <c r="X284" t="n">
        <v>433.59</v>
      </c>
      <c r="Y284" t="n">
        <v>153.948</v>
      </c>
      <c r="Z284" t="n">
        <v>184.196</v>
      </c>
      <c r="AA284" t="n">
        <v>153.608</v>
      </c>
      <c r="AB284" t="n">
        <v>358.036</v>
      </c>
      <c r="AC284" t="n">
        <v>249.712</v>
      </c>
      <c r="AD284" t="n">
        <v>603.139</v>
      </c>
      <c r="AE284" t="n">
        <v>268.748</v>
      </c>
      <c r="AF284" t="n">
        <v>440.671</v>
      </c>
      <c r="AG284" t="n">
        <v>206.952</v>
      </c>
      <c r="AH284" t="n">
        <v>133.823</v>
      </c>
      <c r="AI284" t="n">
        <v>67.523</v>
      </c>
      <c r="AJ284" t="n">
        <v>132.326</v>
      </c>
      <c r="AK284" t="n">
        <v>131.274</v>
      </c>
      <c r="AL284" t="n">
        <v>198.669</v>
      </c>
      <c r="AM284" t="n">
        <v>307.075</v>
      </c>
      <c r="AN284" t="n">
        <v>140.849</v>
      </c>
      <c r="AO284" t="n">
        <v>45.478</v>
      </c>
      <c r="AP284" t="n">
        <v>124.964</v>
      </c>
      <c r="AQ284" t="n">
        <v>125.597</v>
      </c>
      <c r="AR284" t="n">
        <v>78.184</v>
      </c>
      <c r="AS284" t="n">
        <v>71.794</v>
      </c>
      <c r="AT284" t="n">
        <v>99.84099999999999</v>
      </c>
      <c r="AU284" t="n">
        <v>103.371</v>
      </c>
      <c r="AV284" t="n">
        <v>145.865</v>
      </c>
      <c r="AW284" t="n">
        <v>59.724</v>
      </c>
      <c r="AX284" t="n">
        <v>36.932</v>
      </c>
      <c r="AY284" t="n">
        <v>92.063</v>
      </c>
      <c r="AZ284" t="n">
        <v>152.673</v>
      </c>
      <c r="BA284" t="n">
        <v>127.133</v>
      </c>
      <c r="BB284" t="n">
        <v>71.643</v>
      </c>
      <c r="BC284" t="n">
        <v>99.038</v>
      </c>
      <c r="BD284" t="n">
        <v>0.333</v>
      </c>
      <c r="BE284" t="n">
        <v>0.155</v>
      </c>
      <c r="BF284" t="n">
        <v>0.168</v>
      </c>
      <c r="BG284" t="n">
        <v>64.72799999999999</v>
      </c>
      <c r="BH284" t="n">
        <v>63.241</v>
      </c>
      <c r="BI284" t="n">
        <v>6.231</v>
      </c>
      <c r="BJ284" t="n">
        <v>4.71</v>
      </c>
      <c r="BK284" t="n">
        <v>7.989</v>
      </c>
      <c r="BL284" t="n">
        <v>14.483</v>
      </c>
      <c r="BM284" t="n">
        <v>13.167</v>
      </c>
      <c r="BN284" t="n">
        <v>10.099</v>
      </c>
      <c r="BO284" t="n">
        <v>3.938</v>
      </c>
      <c r="BP284" t="n">
        <v>6.294</v>
      </c>
      <c r="BQ284" t="n">
        <v>7.528</v>
      </c>
      <c r="BR284" t="n">
        <v>6.791</v>
      </c>
      <c r="BS284" t="n">
        <v>2.263</v>
      </c>
      <c r="BT284" t="n">
        <v>3.513</v>
      </c>
      <c r="BU284" t="n">
        <v>2.372</v>
      </c>
      <c r="BV284" t="n">
        <v>1.665</v>
      </c>
    </row>
    <row r="285">
      <c r="A285" t="inlineStr">
        <is>
          <t>Penaeus semisulcatus</t>
        </is>
      </c>
      <c r="B285" t="inlineStr">
        <is>
          <t>Green tiger prawn</t>
        </is>
      </c>
      <c r="C285" t="inlineStr">
        <is>
          <t>Shrimps</t>
        </is>
      </c>
      <c r="D285" t="inlineStr">
        <is>
          <t>Crustaceans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55.034</v>
      </c>
      <c r="Z285" t="n">
        <v>62.794</v>
      </c>
      <c r="AA285" t="n">
        <v>83.28400000000001</v>
      </c>
      <c r="AB285" t="n">
        <v>156.26</v>
      </c>
      <c r="AC285" t="n">
        <v>138.853</v>
      </c>
      <c r="AD285" t="n">
        <v>120.473</v>
      </c>
      <c r="AE285" t="n">
        <v>73.369</v>
      </c>
      <c r="AF285" t="n">
        <v>184.213</v>
      </c>
      <c r="AG285" t="n">
        <v>79.425</v>
      </c>
      <c r="AH285" t="n">
        <v>116.231</v>
      </c>
      <c r="AI285" t="n">
        <v>120.508</v>
      </c>
      <c r="AJ285" t="n">
        <v>88.71899999999999</v>
      </c>
      <c r="AK285" t="n">
        <v>75.26000000000001</v>
      </c>
      <c r="AL285" t="n">
        <v>70.104</v>
      </c>
      <c r="AM285" t="n">
        <v>58.917</v>
      </c>
      <c r="AN285" t="n">
        <v>58.103</v>
      </c>
      <c r="AO285" t="n">
        <v>40.03</v>
      </c>
      <c r="AP285" t="n">
        <v>42.685</v>
      </c>
      <c r="AQ285" t="n">
        <v>38.245</v>
      </c>
      <c r="AR285" t="n">
        <v>32.602</v>
      </c>
      <c r="AS285" t="n">
        <v>89.27500000000001</v>
      </c>
      <c r="AT285" t="n">
        <v>75.75</v>
      </c>
      <c r="AU285" t="n">
        <v>84.545</v>
      </c>
      <c r="AV285" t="n">
        <v>86.373</v>
      </c>
      <c r="AW285" t="n">
        <v>126.859</v>
      </c>
      <c r="AX285" t="n">
        <v>141.879</v>
      </c>
      <c r="AY285" t="n">
        <v>194.655</v>
      </c>
      <c r="AZ285" t="n">
        <v>202.103</v>
      </c>
      <c r="BA285" t="n">
        <v>174.499</v>
      </c>
      <c r="BB285" t="n">
        <v>150.517</v>
      </c>
      <c r="BC285" t="n">
        <v>162.965</v>
      </c>
      <c r="BD285" t="n">
        <v>188.261</v>
      </c>
      <c r="BE285" t="n">
        <v>258.759</v>
      </c>
      <c r="BF285" t="n">
        <v>395.365</v>
      </c>
      <c r="BG285" t="n">
        <v>443.114</v>
      </c>
      <c r="BH285" t="n">
        <v>498.724</v>
      </c>
      <c r="BI285" t="n">
        <v>468.654</v>
      </c>
      <c r="BJ285" t="n">
        <v>415.469</v>
      </c>
      <c r="BK285" t="n">
        <v>281.059</v>
      </c>
      <c r="BL285" t="n">
        <v>201.083</v>
      </c>
      <c r="BM285" t="n">
        <v>93.749</v>
      </c>
      <c r="BN285" t="n">
        <v>85.858</v>
      </c>
      <c r="BO285" t="n">
        <v>87.124</v>
      </c>
      <c r="BP285" t="n">
        <v>78.883</v>
      </c>
      <c r="BQ285" t="n">
        <v>88.236</v>
      </c>
      <c r="BR285" t="n">
        <v>89.02200000000001</v>
      </c>
      <c r="BS285" t="n">
        <v>89.506</v>
      </c>
      <c r="BT285" t="n">
        <v>131.356</v>
      </c>
      <c r="BU285" t="n">
        <v>3.477</v>
      </c>
      <c r="BV285" t="n">
        <v>32.183</v>
      </c>
    </row>
    <row r="286">
      <c r="A286" t="inlineStr">
        <is>
          <t>Siganidae</t>
        </is>
      </c>
      <c r="B286" t="inlineStr">
        <is>
          <t>Rabbitfishes</t>
        </is>
      </c>
      <c r="C286" t="inlineStr">
        <is>
          <t>Medium reef assoc. fish (30 - 89 cm)</t>
        </is>
      </c>
      <c r="D286" t="inlineStr">
        <is>
          <t>Perch-likes</t>
        </is>
      </c>
      <c r="E286" t="n">
        <v>156.965</v>
      </c>
      <c r="F286" t="n">
        <v>127.545</v>
      </c>
      <c r="G286" t="n">
        <v>137.145</v>
      </c>
      <c r="H286" t="n">
        <v>144.203</v>
      </c>
      <c r="I286" t="n">
        <v>166.156</v>
      </c>
      <c r="J286" t="n">
        <v>166.087</v>
      </c>
      <c r="K286" t="n">
        <v>39.655</v>
      </c>
      <c r="L286" t="n">
        <v>40.554</v>
      </c>
      <c r="M286" t="n">
        <v>41.763</v>
      </c>
      <c r="N286" t="n">
        <v>42.373</v>
      </c>
      <c r="O286" t="n">
        <v>43.16</v>
      </c>
      <c r="P286" t="n">
        <v>45.017</v>
      </c>
      <c r="Q286" t="n">
        <v>46.167</v>
      </c>
      <c r="R286" t="n">
        <v>47.773</v>
      </c>
      <c r="S286" t="n">
        <v>49.745</v>
      </c>
      <c r="T286" t="n">
        <v>51.972</v>
      </c>
      <c r="U286" t="n">
        <v>54.236</v>
      </c>
      <c r="V286" t="n">
        <v>55.387</v>
      </c>
      <c r="W286" t="n">
        <v>57.35</v>
      </c>
      <c r="X286" t="n">
        <v>59.056</v>
      </c>
      <c r="Y286" t="n">
        <v>66.041</v>
      </c>
      <c r="Z286" t="n">
        <v>67.97499999999999</v>
      </c>
      <c r="AA286" t="n">
        <v>64.724</v>
      </c>
      <c r="AB286" t="n">
        <v>58.006</v>
      </c>
      <c r="AC286" t="n">
        <v>57.687</v>
      </c>
      <c r="AD286" t="n">
        <v>51.828</v>
      </c>
      <c r="AE286" t="n">
        <v>53.509</v>
      </c>
      <c r="AF286" t="n">
        <v>46.118</v>
      </c>
      <c r="AG286" t="n">
        <v>63.194</v>
      </c>
      <c r="AH286" t="n">
        <v>67.43600000000001</v>
      </c>
      <c r="AI286" t="n">
        <v>79.032</v>
      </c>
      <c r="AJ286" t="n">
        <v>77.592</v>
      </c>
      <c r="AK286" t="n">
        <v>83.68000000000001</v>
      </c>
      <c r="AL286" t="n">
        <v>112.891</v>
      </c>
      <c r="AM286" t="n">
        <v>212.803</v>
      </c>
      <c r="AN286" t="n">
        <v>166.38</v>
      </c>
      <c r="AO286" t="n">
        <v>136.616</v>
      </c>
      <c r="AP286" t="n">
        <v>110.283</v>
      </c>
      <c r="AQ286" t="n">
        <v>83.697</v>
      </c>
      <c r="AR286" t="n">
        <v>83.303</v>
      </c>
      <c r="AS286" t="n">
        <v>90.864</v>
      </c>
      <c r="AT286" t="n">
        <v>112.206</v>
      </c>
      <c r="AU286" t="n">
        <v>100.822</v>
      </c>
      <c r="AV286" t="n">
        <v>90.09399999999999</v>
      </c>
      <c r="AW286" t="n">
        <v>58.552</v>
      </c>
      <c r="AX286" t="n">
        <v>77.815</v>
      </c>
      <c r="AY286" t="n">
        <v>81.88</v>
      </c>
      <c r="AZ286" t="n">
        <v>85.73699999999999</v>
      </c>
      <c r="BA286" t="n">
        <v>92.771</v>
      </c>
      <c r="BB286" t="n">
        <v>108.002</v>
      </c>
      <c r="BC286" t="n">
        <v>88.999</v>
      </c>
      <c r="BD286" t="n">
        <v>86.321</v>
      </c>
      <c r="BE286" t="n">
        <v>91.90900000000001</v>
      </c>
      <c r="BF286" t="n">
        <v>100.391</v>
      </c>
      <c r="BG286" t="n">
        <v>45.031</v>
      </c>
      <c r="BH286" t="n">
        <v>51.553</v>
      </c>
      <c r="BI286" t="n">
        <v>115.449</v>
      </c>
      <c r="BJ286" t="n">
        <v>122.167</v>
      </c>
      <c r="BK286" t="n">
        <v>151.666</v>
      </c>
      <c r="BL286" t="n">
        <v>158.453</v>
      </c>
      <c r="BM286" t="n">
        <v>112.136</v>
      </c>
      <c r="BN286" t="n">
        <v>132.625</v>
      </c>
      <c r="BO286" t="n">
        <v>133.877</v>
      </c>
      <c r="BP286" t="n">
        <v>165.966</v>
      </c>
      <c r="BQ286" t="n">
        <v>206.662</v>
      </c>
      <c r="BR286" t="n">
        <v>191.094</v>
      </c>
      <c r="BS286" t="n">
        <v>187.518</v>
      </c>
      <c r="BT286" t="n">
        <v>187.172</v>
      </c>
      <c r="BU286" t="n">
        <v>78.488</v>
      </c>
      <c r="BV286" t="n">
        <v>92.431</v>
      </c>
    </row>
    <row r="287">
      <c r="A287" t="inlineStr">
        <is>
          <t>Gerres</t>
        </is>
      </c>
      <c r="B287" t="inlineStr">
        <is>
          <t>Silver biddies</t>
        </is>
      </c>
      <c r="C287" t="inlineStr">
        <is>
          <t>Small benthopelagics (&lt;30 cm)</t>
        </is>
      </c>
      <c r="D287" t="inlineStr">
        <is>
          <t>Perch-likes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131.274</v>
      </c>
      <c r="AT287" t="n">
        <v>132.385</v>
      </c>
      <c r="AU287" t="n">
        <v>127.901</v>
      </c>
      <c r="AV287" t="n">
        <v>119.851</v>
      </c>
      <c r="AW287" t="n">
        <v>122.336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7.844</v>
      </c>
      <c r="BH287" t="n">
        <v>755.082</v>
      </c>
      <c r="BI287" t="n">
        <v>721.779</v>
      </c>
      <c r="BJ287" t="n">
        <v>710.326</v>
      </c>
      <c r="BK287" t="n">
        <v>749.926</v>
      </c>
      <c r="BL287" t="n">
        <v>244.488</v>
      </c>
      <c r="BM287" t="n">
        <v>237.654</v>
      </c>
      <c r="BN287" t="n">
        <v>231.243</v>
      </c>
      <c r="BO287" t="n">
        <v>260.29</v>
      </c>
      <c r="BP287" t="n">
        <v>270.667</v>
      </c>
      <c r="BQ287" t="n">
        <v>248.091</v>
      </c>
      <c r="BR287" t="n">
        <v>255.452</v>
      </c>
      <c r="BS287" t="n">
        <v>264.626</v>
      </c>
      <c r="BT287" t="n">
        <v>245.444</v>
      </c>
      <c r="BU287" t="n">
        <v>231.423</v>
      </c>
      <c r="BV287" t="n">
        <v>216.92</v>
      </c>
    </row>
    <row r="288">
      <c r="A288" t="inlineStr">
        <is>
          <t>Gnathanodon speciosus</t>
        </is>
      </c>
      <c r="B288" t="inlineStr">
        <is>
          <t>Golden trevally</t>
        </is>
      </c>
      <c r="C288" t="inlineStr">
        <is>
          <t>Large reef assoc. fish (&gt;=90 cm)</t>
        </is>
      </c>
      <c r="D288" t="inlineStr">
        <is>
          <t>Perch-likes</t>
        </is>
      </c>
      <c r="E288" t="n">
        <v>34.684</v>
      </c>
      <c r="F288" t="n">
        <v>34.286</v>
      </c>
      <c r="G288" t="n">
        <v>35.88</v>
      </c>
      <c r="H288" t="n">
        <v>38.27</v>
      </c>
      <c r="I288" t="n">
        <v>39.465</v>
      </c>
      <c r="J288" t="n">
        <v>41.668</v>
      </c>
      <c r="K288" t="n">
        <v>44.059</v>
      </c>
      <c r="L288" t="n">
        <v>46.051</v>
      </c>
      <c r="M288" t="n">
        <v>48.652</v>
      </c>
      <c r="N288" t="n">
        <v>50.644</v>
      </c>
      <c r="O288" t="n">
        <v>54.23</v>
      </c>
      <c r="P288" t="n">
        <v>56.222</v>
      </c>
      <c r="Q288" t="n">
        <v>58.19</v>
      </c>
      <c r="R288" t="n">
        <v>61.307</v>
      </c>
      <c r="S288" t="n">
        <v>64.63500000000001</v>
      </c>
      <c r="T288" t="n">
        <v>100.492</v>
      </c>
      <c r="U288" t="n">
        <v>108.813</v>
      </c>
      <c r="V288" t="n">
        <v>133.258</v>
      </c>
      <c r="W288" t="n">
        <v>130.025</v>
      </c>
      <c r="X288" t="n">
        <v>125.759</v>
      </c>
      <c r="Y288" t="n">
        <v>123.884</v>
      </c>
      <c r="Z288" t="n">
        <v>126.509</v>
      </c>
      <c r="AA288" t="n">
        <v>125.842</v>
      </c>
      <c r="AB288" t="n">
        <v>128.374</v>
      </c>
      <c r="AC288" t="n">
        <v>136.061</v>
      </c>
      <c r="AD288" t="n">
        <v>135.006</v>
      </c>
      <c r="AE288" t="n">
        <v>144.064</v>
      </c>
      <c r="AF288" t="n">
        <v>154.306</v>
      </c>
      <c r="AG288" t="n">
        <v>157.164</v>
      </c>
      <c r="AH288" t="n">
        <v>154.07</v>
      </c>
      <c r="AI288" t="n">
        <v>147.39</v>
      </c>
      <c r="AJ288" t="n">
        <v>167.874</v>
      </c>
      <c r="AK288" t="n">
        <v>166.326</v>
      </c>
      <c r="AL288" t="n">
        <v>205.843</v>
      </c>
      <c r="AM288" t="n">
        <v>241.35</v>
      </c>
      <c r="AN288" t="n">
        <v>260.898</v>
      </c>
      <c r="AO288" t="n">
        <v>276.038</v>
      </c>
      <c r="AP288" t="n">
        <v>283.515</v>
      </c>
      <c r="AQ288" t="n">
        <v>303.509</v>
      </c>
      <c r="AR288" t="n">
        <v>286.75</v>
      </c>
      <c r="AS288" t="n">
        <v>295.609</v>
      </c>
      <c r="AT288" t="n">
        <v>15.304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25.304</v>
      </c>
      <c r="BI288" t="n">
        <v>27.118</v>
      </c>
      <c r="BJ288" t="n">
        <v>26.28</v>
      </c>
      <c r="BK288" t="n">
        <v>29.742</v>
      </c>
      <c r="BL288" t="n">
        <v>45.675</v>
      </c>
      <c r="BM288" t="n">
        <v>45.282</v>
      </c>
      <c r="BN288" t="n">
        <v>44.027</v>
      </c>
      <c r="BO288" t="n">
        <v>49.555</v>
      </c>
      <c r="BP288" t="n">
        <v>51.526</v>
      </c>
      <c r="BQ288" t="n">
        <v>47.221</v>
      </c>
      <c r="BR288" t="n">
        <v>48.626</v>
      </c>
      <c r="BS288" t="n">
        <v>50.36</v>
      </c>
      <c r="BT288" t="n">
        <v>46.701</v>
      </c>
      <c r="BU288" t="n">
        <v>44.153</v>
      </c>
      <c r="BV288" t="n">
        <v>41.381</v>
      </c>
    </row>
    <row r="289">
      <c r="A289" t="inlineStr">
        <is>
          <t>Epinephelus malabaricus</t>
        </is>
      </c>
      <c r="B289" t="inlineStr">
        <is>
          <t>Malabar grouper</t>
        </is>
      </c>
      <c r="C289" t="inlineStr">
        <is>
          <t>Large reef assoc. fish (&gt;=90 cm)</t>
        </is>
      </c>
      <c r="D289" t="inlineStr">
        <is>
          <t>Perch-likes</t>
        </is>
      </c>
      <c r="E289" t="n">
        <v>10.644</v>
      </c>
      <c r="F289" t="n">
        <v>12.996</v>
      </c>
      <c r="G289" t="n">
        <v>15.518</v>
      </c>
      <c r="H289" t="n">
        <v>16.744</v>
      </c>
      <c r="I289" t="n">
        <v>17.347</v>
      </c>
      <c r="J289" t="n">
        <v>21.416</v>
      </c>
      <c r="K289" t="n">
        <v>24.728</v>
      </c>
      <c r="L289" t="n">
        <v>27.182</v>
      </c>
      <c r="M289" t="n">
        <v>29.821</v>
      </c>
      <c r="N289" t="n">
        <v>33.907</v>
      </c>
      <c r="O289" t="n">
        <v>37.252</v>
      </c>
      <c r="P289" t="n">
        <v>44.529</v>
      </c>
      <c r="Q289" t="n">
        <v>47.981</v>
      </c>
      <c r="R289" t="n">
        <v>50.606</v>
      </c>
      <c r="S289" t="n">
        <v>55.693</v>
      </c>
      <c r="T289" t="n">
        <v>62.677</v>
      </c>
      <c r="U289" t="n">
        <v>70.10899999999999</v>
      </c>
      <c r="V289" t="n">
        <v>75.08499999999999</v>
      </c>
      <c r="W289" t="n">
        <v>83.369</v>
      </c>
      <c r="X289" t="n">
        <v>91.154</v>
      </c>
      <c r="Y289" t="n">
        <v>96.759</v>
      </c>
      <c r="Z289" t="n">
        <v>114.959</v>
      </c>
      <c r="AA289" t="n">
        <v>127.93</v>
      </c>
      <c r="AB289" t="n">
        <v>130.064</v>
      </c>
      <c r="AC289" t="n">
        <v>129.247</v>
      </c>
      <c r="AD289" t="n">
        <v>147.301</v>
      </c>
      <c r="AE289" t="n">
        <v>148.66</v>
      </c>
      <c r="AF289" t="n">
        <v>150.72</v>
      </c>
      <c r="AG289" t="n">
        <v>155.486</v>
      </c>
      <c r="AH289" t="n">
        <v>168.012</v>
      </c>
      <c r="AI289" t="n">
        <v>164.489</v>
      </c>
      <c r="AJ289" t="n">
        <v>149.171</v>
      </c>
      <c r="AK289" t="n">
        <v>137.521</v>
      </c>
      <c r="AL289" t="n">
        <v>140.662</v>
      </c>
      <c r="AM289" t="n">
        <v>149.023</v>
      </c>
      <c r="AN289" t="n">
        <v>131.015</v>
      </c>
      <c r="AO289" t="n">
        <v>134.496</v>
      </c>
      <c r="AP289" t="n">
        <v>130.533</v>
      </c>
      <c r="AQ289" t="n">
        <v>150.755</v>
      </c>
      <c r="AR289" t="n">
        <v>137.11</v>
      </c>
      <c r="AS289" t="n">
        <v>109.688</v>
      </c>
      <c r="AT289" t="n">
        <v>99.06</v>
      </c>
      <c r="AU289" t="n">
        <v>88.401</v>
      </c>
      <c r="AV289" t="n">
        <v>82.56</v>
      </c>
      <c r="AW289" t="n">
        <v>71.405</v>
      </c>
      <c r="AX289" t="n">
        <v>84.505</v>
      </c>
      <c r="AY289" t="n">
        <v>73.449</v>
      </c>
      <c r="AZ289" t="n">
        <v>70.91500000000001</v>
      </c>
      <c r="BA289" t="n">
        <v>42.511</v>
      </c>
      <c r="BB289" t="n">
        <v>43.634</v>
      </c>
      <c r="BC289" t="n">
        <v>58.562</v>
      </c>
      <c r="BD289" t="n">
        <v>50.578</v>
      </c>
      <c r="BE289" t="n">
        <v>52.886</v>
      </c>
      <c r="BF289" t="n">
        <v>37.204</v>
      </c>
      <c r="BG289" t="n">
        <v>51.046</v>
      </c>
      <c r="BH289" t="n">
        <v>32.71</v>
      </c>
      <c r="BI289" t="n">
        <v>36.043</v>
      </c>
      <c r="BJ289" t="n">
        <v>28.902</v>
      </c>
      <c r="BK289" t="n">
        <v>19.457</v>
      </c>
      <c r="BL289" t="n">
        <v>22.778</v>
      </c>
      <c r="BM289" t="n">
        <v>16.528</v>
      </c>
      <c r="BN289" t="n">
        <v>19.935</v>
      </c>
      <c r="BO289" t="n">
        <v>20.106</v>
      </c>
      <c r="BP289" t="n">
        <v>30.511</v>
      </c>
      <c r="BQ289" t="n">
        <v>33.862</v>
      </c>
      <c r="BR289" t="n">
        <v>27.522</v>
      </c>
      <c r="BS289" t="n">
        <v>45.073</v>
      </c>
      <c r="BT289" t="n">
        <v>24.522</v>
      </c>
      <c r="BU289" t="n">
        <v>37.233</v>
      </c>
      <c r="BV289" t="n">
        <v>27.441</v>
      </c>
    </row>
    <row r="290">
      <c r="A290" t="inlineStr">
        <is>
          <t>Hyporhamphus</t>
        </is>
      </c>
      <c r="B290" t="inlineStr">
        <is>
          <t>Sea garfishes</t>
        </is>
      </c>
      <c r="C290" t="inlineStr">
        <is>
          <t>Small reef assoc. fish (&lt;30 cm)</t>
        </is>
      </c>
      <c r="D290" t="inlineStr">
        <is>
          <t>Other fishes &amp; inverts</t>
        </is>
      </c>
      <c r="E290" t="n">
        <v>26.345</v>
      </c>
      <c r="F290" t="n">
        <v>26.345</v>
      </c>
      <c r="G290" t="n">
        <v>27.543</v>
      </c>
      <c r="H290" t="n">
        <v>29.539</v>
      </c>
      <c r="I290" t="n">
        <v>30.736</v>
      </c>
      <c r="J290" t="n">
        <v>31.934</v>
      </c>
      <c r="K290" t="n">
        <v>33.93</v>
      </c>
      <c r="L290" t="n">
        <v>35.127</v>
      </c>
      <c r="M290" t="n">
        <v>37.123</v>
      </c>
      <c r="N290" t="n">
        <v>38.72</v>
      </c>
      <c r="O290" t="n">
        <v>41.514</v>
      </c>
      <c r="P290" t="n">
        <v>43.111</v>
      </c>
      <c r="Q290" t="n">
        <v>45.082</v>
      </c>
      <c r="R290" t="n">
        <v>47.029</v>
      </c>
      <c r="S290" t="n">
        <v>49.375</v>
      </c>
      <c r="T290" t="n">
        <v>77.623</v>
      </c>
      <c r="U290" t="n">
        <v>84.065</v>
      </c>
      <c r="V290" t="n">
        <v>103.139</v>
      </c>
      <c r="W290" t="n">
        <v>101.174</v>
      </c>
      <c r="X290" t="n">
        <v>97.28</v>
      </c>
      <c r="Y290" t="n">
        <v>95.407</v>
      </c>
      <c r="Z290" t="n">
        <v>97.655</v>
      </c>
      <c r="AA290" t="n">
        <v>96.709</v>
      </c>
      <c r="AB290" t="n">
        <v>99.08</v>
      </c>
      <c r="AC290" t="n">
        <v>105.221</v>
      </c>
      <c r="AD290" t="n">
        <v>104.545</v>
      </c>
      <c r="AE290" t="n">
        <v>112.234</v>
      </c>
      <c r="AF290" t="n">
        <v>120.174</v>
      </c>
      <c r="AG290" t="n">
        <v>122.189</v>
      </c>
      <c r="AH290" t="n">
        <v>119.788</v>
      </c>
      <c r="AI290" t="n">
        <v>114.592</v>
      </c>
      <c r="AJ290" t="n">
        <v>130.522</v>
      </c>
      <c r="AK290" t="n">
        <v>128.895</v>
      </c>
      <c r="AL290" t="n">
        <v>160.508</v>
      </c>
      <c r="AM290" t="n">
        <v>187.596</v>
      </c>
      <c r="AN290" t="n">
        <v>203.004</v>
      </c>
      <c r="AO290" t="n">
        <v>215.513</v>
      </c>
      <c r="AP290" t="n">
        <v>220.334</v>
      </c>
      <c r="AQ290" t="n">
        <v>237.019</v>
      </c>
      <c r="AR290" t="n">
        <v>223.232</v>
      </c>
      <c r="AS290" t="n">
        <v>242.293</v>
      </c>
      <c r="AT290" t="n">
        <v>399.847</v>
      </c>
      <c r="AU290" t="n">
        <v>14.411</v>
      </c>
      <c r="AV290" t="n">
        <v>13.12</v>
      </c>
      <c r="AW290" t="n">
        <v>13.716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23.81</v>
      </c>
      <c r="BI290" t="n">
        <v>27.131</v>
      </c>
      <c r="BJ290" t="n">
        <v>28.042</v>
      </c>
      <c r="BK290" t="n">
        <v>30.137</v>
      </c>
      <c r="BL290" t="n">
        <v>13.959</v>
      </c>
      <c r="BM290" t="n">
        <v>14.601</v>
      </c>
      <c r="BN290" t="n">
        <v>14.199</v>
      </c>
      <c r="BO290" t="n">
        <v>15.982</v>
      </c>
      <c r="BP290" t="n">
        <v>16.618</v>
      </c>
      <c r="BQ290" t="n">
        <v>15.231</v>
      </c>
      <c r="BR290" t="n">
        <v>15.683</v>
      </c>
      <c r="BS290" t="n">
        <v>16.244</v>
      </c>
      <c r="BT290" t="n">
        <v>15.065</v>
      </c>
      <c r="BU290" t="n">
        <v>14.218</v>
      </c>
      <c r="BV290" t="n">
        <v>13.326</v>
      </c>
    </row>
    <row r="291">
      <c r="A291" t="inlineStr">
        <is>
          <t>Makaira mazara</t>
        </is>
      </c>
      <c r="B291" t="inlineStr">
        <is>
          <t>Indo-Pacific blue marlin</t>
        </is>
      </c>
      <c r="C291" t="inlineStr">
        <is>
          <t>Large pelagics (&gt;=90 cm)</t>
        </is>
      </c>
      <c r="D291" t="inlineStr">
        <is>
          <t>Tuna &amp; billfishes</t>
        </is>
      </c>
      <c r="E291" t="n">
        <v>0.439</v>
      </c>
      <c r="F291" t="n">
        <v>0.543</v>
      </c>
      <c r="G291" t="n">
        <v>0.635</v>
      </c>
      <c r="H291" t="n">
        <v>0.68</v>
      </c>
      <c r="I291" t="n">
        <v>0.782</v>
      </c>
      <c r="J291" t="n">
        <v>0.95</v>
      </c>
      <c r="K291" t="n">
        <v>1.041</v>
      </c>
      <c r="L291" t="n">
        <v>1.14</v>
      </c>
      <c r="M291" t="n">
        <v>1.273</v>
      </c>
      <c r="N291" t="n">
        <v>1.393</v>
      </c>
      <c r="O291" t="n">
        <v>1.321</v>
      </c>
      <c r="P291" t="n">
        <v>1.432</v>
      </c>
      <c r="Q291" t="n">
        <v>1.446</v>
      </c>
      <c r="R291" t="n">
        <v>1.66</v>
      </c>
      <c r="S291" t="n">
        <v>1.463</v>
      </c>
      <c r="T291" t="n">
        <v>1.387</v>
      </c>
      <c r="U291" t="n">
        <v>1.174</v>
      </c>
      <c r="V291" t="n">
        <v>1.207</v>
      </c>
      <c r="W291" t="n">
        <v>1.162</v>
      </c>
      <c r="X291" t="n">
        <v>1.213</v>
      </c>
      <c r="Y291" t="n">
        <v>1.257</v>
      </c>
      <c r="Z291" t="n">
        <v>1.271</v>
      </c>
      <c r="AA291" t="n">
        <v>1.134</v>
      </c>
      <c r="AB291" t="n">
        <v>1.066</v>
      </c>
      <c r="AC291" t="n">
        <v>1.054</v>
      </c>
      <c r="AD291" t="n">
        <v>1.211</v>
      </c>
      <c r="AE291" t="n">
        <v>1.337</v>
      </c>
      <c r="AF291" t="n">
        <v>1.361</v>
      </c>
      <c r="AG291" t="n">
        <v>1.319</v>
      </c>
      <c r="AH291" t="n">
        <v>1.477</v>
      </c>
      <c r="AI291" t="n">
        <v>1.519</v>
      </c>
      <c r="AJ291" t="n">
        <v>1.589</v>
      </c>
      <c r="AK291" t="n">
        <v>1.67</v>
      </c>
      <c r="AL291" t="n">
        <v>1.931</v>
      </c>
      <c r="AM291" t="n">
        <v>1.938</v>
      </c>
      <c r="AN291" t="n">
        <v>2.205</v>
      </c>
      <c r="AO291" t="n">
        <v>2.391</v>
      </c>
      <c r="AP291" t="n">
        <v>2.174</v>
      </c>
      <c r="AQ291" t="n">
        <v>2.05</v>
      </c>
      <c r="AR291" t="n">
        <v>1.933</v>
      </c>
      <c r="AS291" t="n">
        <v>1.918</v>
      </c>
      <c r="AT291" t="n">
        <v>1.649</v>
      </c>
      <c r="AU291" t="n">
        <v>1.76</v>
      </c>
      <c r="AV291" t="n">
        <v>1.701</v>
      </c>
      <c r="AW291" t="n">
        <v>1.648</v>
      </c>
      <c r="AX291" t="n">
        <v>1.812</v>
      </c>
      <c r="AY291" t="n">
        <v>1.655</v>
      </c>
      <c r="AZ291" t="n">
        <v>1.603</v>
      </c>
      <c r="BA291" t="n">
        <v>1.754</v>
      </c>
      <c r="BB291" t="n">
        <v>1.597</v>
      </c>
      <c r="BC291" t="n">
        <v>268.101</v>
      </c>
      <c r="BD291" t="n">
        <v>265.764</v>
      </c>
      <c r="BE291" t="n">
        <v>258.637</v>
      </c>
      <c r="BF291" t="n">
        <v>241.088</v>
      </c>
      <c r="BG291" t="n">
        <v>301.565</v>
      </c>
      <c r="BH291" t="n">
        <v>295</v>
      </c>
      <c r="BI291" t="n">
        <v>282.876</v>
      </c>
      <c r="BJ291" t="n">
        <v>275.401</v>
      </c>
      <c r="BK291" t="n">
        <v>237.361</v>
      </c>
      <c r="BL291" t="n">
        <v>190.148</v>
      </c>
      <c r="BM291" t="n">
        <v>93.58799999999999</v>
      </c>
      <c r="BN291" t="n">
        <v>154.714</v>
      </c>
      <c r="BO291" t="n">
        <v>145.309</v>
      </c>
      <c r="BP291" t="n">
        <v>253.423</v>
      </c>
      <c r="BQ291" t="n">
        <v>228.873</v>
      </c>
      <c r="BR291" t="n">
        <v>201.138</v>
      </c>
      <c r="BS291" t="n">
        <v>553.856</v>
      </c>
      <c r="BT291" t="n">
        <v>149.272</v>
      </c>
      <c r="BU291" t="n">
        <v>128.102</v>
      </c>
      <c r="BV291" t="n">
        <v>106.538</v>
      </c>
    </row>
    <row r="292">
      <c r="A292" t="inlineStr">
        <is>
          <t>Hyporhamphus sajori</t>
        </is>
      </c>
      <c r="B292" t="inlineStr">
        <is>
          <t>Japanese halfbeak</t>
        </is>
      </c>
      <c r="C292" t="inlineStr">
        <is>
          <t>Medium pelagics (30 - 89 cm)</t>
        </is>
      </c>
      <c r="D292" t="inlineStr">
        <is>
          <t>Other fishes &amp; inverts</t>
        </is>
      </c>
      <c r="E292" t="n">
        <v>2.862</v>
      </c>
      <c r="F292" t="n">
        <v>3.94</v>
      </c>
      <c r="G292" t="n">
        <v>1.245</v>
      </c>
      <c r="H292" t="n">
        <v>3.37</v>
      </c>
      <c r="I292" t="n">
        <v>0</v>
      </c>
      <c r="J292" t="n">
        <v>0</v>
      </c>
      <c r="K292" t="n">
        <v>2.795</v>
      </c>
      <c r="L292" t="n">
        <v>0.07000000000000001</v>
      </c>
      <c r="M292" t="n">
        <v>29.585</v>
      </c>
      <c r="N292" t="n">
        <v>3.925</v>
      </c>
      <c r="O292" t="n">
        <v>0.07099999999999999</v>
      </c>
      <c r="P292" t="n">
        <v>22.088</v>
      </c>
      <c r="Q292" t="n">
        <v>0.049</v>
      </c>
      <c r="R292" t="n">
        <v>37</v>
      </c>
      <c r="S292" t="n">
        <v>29.905</v>
      </c>
      <c r="T292" t="n">
        <v>144.264</v>
      </c>
      <c r="U292" t="n">
        <v>29.809</v>
      </c>
      <c r="V292" t="n">
        <v>81.926</v>
      </c>
      <c r="W292" t="n">
        <v>66.2</v>
      </c>
      <c r="X292" t="n">
        <v>88.07899999999999</v>
      </c>
      <c r="Y292" t="n">
        <v>18.419</v>
      </c>
      <c r="Z292" t="n">
        <v>144.924</v>
      </c>
      <c r="AA292" t="n">
        <v>148.831</v>
      </c>
      <c r="AB292" t="n">
        <v>154.261</v>
      </c>
      <c r="AC292" t="n">
        <v>683.354</v>
      </c>
      <c r="AD292" t="n">
        <v>120.575</v>
      </c>
      <c r="AE292" t="n">
        <v>71.372</v>
      </c>
      <c r="AF292" t="n">
        <v>69.187</v>
      </c>
      <c r="AG292" t="n">
        <v>77.32599999999999</v>
      </c>
      <c r="AH292" t="n">
        <v>65.80500000000001</v>
      </c>
      <c r="AI292" t="n">
        <v>50.657</v>
      </c>
      <c r="AJ292" t="n">
        <v>52.292</v>
      </c>
      <c r="AK292" t="n">
        <v>40.787</v>
      </c>
      <c r="AL292" t="n">
        <v>74.63500000000001</v>
      </c>
      <c r="AM292" t="n">
        <v>86.843</v>
      </c>
      <c r="AN292" t="n">
        <v>88.348</v>
      </c>
      <c r="AO292" t="n">
        <v>101.403</v>
      </c>
      <c r="AP292" t="n">
        <v>90.48099999999999</v>
      </c>
      <c r="AQ292" t="n">
        <v>96.95999999999999</v>
      </c>
      <c r="AR292" t="n">
        <v>209.8</v>
      </c>
      <c r="AS292" t="n">
        <v>97.01600000000001</v>
      </c>
      <c r="AT292" t="n">
        <v>64.788</v>
      </c>
      <c r="AU292" t="n">
        <v>129.589</v>
      </c>
      <c r="AV292" t="n">
        <v>115.115</v>
      </c>
      <c r="AW292" t="n">
        <v>109.088</v>
      </c>
      <c r="AX292" t="n">
        <v>114.051</v>
      </c>
      <c r="AY292" t="n">
        <v>98.21899999999999</v>
      </c>
      <c r="AZ292" t="n">
        <v>106.328</v>
      </c>
      <c r="BA292" t="n">
        <v>122.981</v>
      </c>
      <c r="BB292" t="n">
        <v>71.45399999999999</v>
      </c>
      <c r="BC292" t="n">
        <v>64.53700000000001</v>
      </c>
      <c r="BD292" t="n">
        <v>41.715</v>
      </c>
      <c r="BE292" t="n">
        <v>45.795</v>
      </c>
      <c r="BF292" t="n">
        <v>16.9</v>
      </c>
      <c r="BG292" t="n">
        <v>46.871</v>
      </c>
      <c r="BH292" t="n">
        <v>25.162</v>
      </c>
      <c r="BI292" t="n">
        <v>13.86</v>
      </c>
      <c r="BJ292" t="n">
        <v>10.306</v>
      </c>
      <c r="BK292" t="n">
        <v>17.452</v>
      </c>
      <c r="BL292" t="n">
        <v>24.729</v>
      </c>
      <c r="BM292" t="n">
        <v>0</v>
      </c>
      <c r="BN292" t="n">
        <v>21.945</v>
      </c>
      <c r="BO292" t="n">
        <v>21.461</v>
      </c>
      <c r="BP292" t="n">
        <v>39.18</v>
      </c>
      <c r="BQ292" t="n">
        <v>41.965</v>
      </c>
      <c r="BR292" t="n">
        <v>33.443</v>
      </c>
      <c r="BS292" t="n">
        <v>44.545</v>
      </c>
      <c r="BT292" t="n">
        <v>42.088</v>
      </c>
      <c r="BU292" t="n">
        <v>42.796</v>
      </c>
      <c r="BV292" t="n">
        <v>39.994</v>
      </c>
    </row>
    <row r="293">
      <c r="A293" t="inlineStr">
        <is>
          <t>Carcharhinus longimanus</t>
        </is>
      </c>
      <c r="B293" t="inlineStr">
        <is>
          <t>Oceanic whitetip shark</t>
        </is>
      </c>
      <c r="C293" t="inlineStr">
        <is>
          <t>Large sharks (&gt;=90 cm)</t>
        </is>
      </c>
      <c r="D293" t="inlineStr">
        <is>
          <t>Sharks &amp; rays</t>
        </is>
      </c>
      <c r="E293" t="n">
        <v>0</v>
      </c>
      <c r="F293" t="n">
        <v>0</v>
      </c>
      <c r="G293" t="n">
        <v>0</v>
      </c>
      <c r="H293" t="n">
        <v>7.115</v>
      </c>
      <c r="I293" t="n">
        <v>7.869</v>
      </c>
      <c r="J293" t="n">
        <v>2.19</v>
      </c>
      <c r="K293" t="n">
        <v>2.077</v>
      </c>
      <c r="L293" t="n">
        <v>0.181</v>
      </c>
      <c r="M293" t="n">
        <v>17.419</v>
      </c>
      <c r="N293" t="n">
        <v>12.178</v>
      </c>
      <c r="O293" t="n">
        <v>15.598</v>
      </c>
      <c r="P293" t="n">
        <v>28.732</v>
      </c>
      <c r="Q293" t="n">
        <v>40.004</v>
      </c>
      <c r="R293" t="n">
        <v>42.58</v>
      </c>
      <c r="S293" t="n">
        <v>32.309</v>
      </c>
      <c r="T293" t="n">
        <v>54.212</v>
      </c>
      <c r="U293" t="n">
        <v>51.828</v>
      </c>
      <c r="V293" t="n">
        <v>100.789</v>
      </c>
      <c r="W293" t="n">
        <v>94.28</v>
      </c>
      <c r="X293" t="n">
        <v>106.601</v>
      </c>
      <c r="Y293" t="n">
        <v>97.02</v>
      </c>
      <c r="Z293" t="n">
        <v>114.4</v>
      </c>
      <c r="AA293" t="n">
        <v>105.257</v>
      </c>
      <c r="AB293" t="n">
        <v>146.439</v>
      </c>
      <c r="AC293" t="n">
        <v>107.453</v>
      </c>
      <c r="AD293" t="n">
        <v>172.48</v>
      </c>
      <c r="AE293" t="n">
        <v>154.813</v>
      </c>
      <c r="AF293" t="n">
        <v>130.846</v>
      </c>
      <c r="AG293" t="n">
        <v>129.343</v>
      </c>
      <c r="AH293" t="n">
        <v>130.796</v>
      </c>
      <c r="AI293" t="n">
        <v>108.369</v>
      </c>
      <c r="AJ293" t="n">
        <v>94.733</v>
      </c>
      <c r="AK293" t="n">
        <v>94.072</v>
      </c>
      <c r="AL293" t="n">
        <v>97.67400000000001</v>
      </c>
      <c r="AM293" t="n">
        <v>95.33199999999999</v>
      </c>
      <c r="AN293" t="n">
        <v>69.05</v>
      </c>
      <c r="AO293" t="n">
        <v>56.67</v>
      </c>
      <c r="AP293" t="n">
        <v>95.822</v>
      </c>
      <c r="AQ293" t="n">
        <v>89.084</v>
      </c>
      <c r="AR293" t="n">
        <v>76.88</v>
      </c>
      <c r="AS293" t="n">
        <v>62.451</v>
      </c>
      <c r="AT293" t="n">
        <v>59.405</v>
      </c>
      <c r="AU293" t="n">
        <v>81.36</v>
      </c>
      <c r="AV293" t="n">
        <v>60.256</v>
      </c>
      <c r="AW293" t="n">
        <v>62.288</v>
      </c>
      <c r="AX293" t="n">
        <v>60.843</v>
      </c>
      <c r="AY293" t="n">
        <v>67.70399999999999</v>
      </c>
      <c r="AZ293" t="n">
        <v>81.82299999999999</v>
      </c>
      <c r="BA293" t="n">
        <v>77.497</v>
      </c>
      <c r="BB293" t="n">
        <v>76.251</v>
      </c>
      <c r="BC293" t="n">
        <v>58.359</v>
      </c>
      <c r="BD293" t="n">
        <v>96.342</v>
      </c>
      <c r="BE293" t="n">
        <v>59.195</v>
      </c>
      <c r="BF293" t="n">
        <v>63.284</v>
      </c>
      <c r="BG293" t="n">
        <v>153.001</v>
      </c>
      <c r="BH293" t="n">
        <v>168.601</v>
      </c>
      <c r="BI293" t="n">
        <v>120.441</v>
      </c>
      <c r="BJ293" t="n">
        <v>18.874</v>
      </c>
      <c r="BK293" t="n">
        <v>30.803</v>
      </c>
      <c r="BL293" t="n">
        <v>70.858</v>
      </c>
      <c r="BM293" t="n">
        <v>81.791</v>
      </c>
      <c r="BN293" t="n">
        <v>40.13</v>
      </c>
      <c r="BO293" t="n">
        <v>5.384</v>
      </c>
      <c r="BP293" t="n">
        <v>9.366</v>
      </c>
      <c r="BQ293" t="n">
        <v>7.018</v>
      </c>
      <c r="BR293" t="n">
        <v>3.372</v>
      </c>
      <c r="BS293" t="n">
        <v>0.5620000000000001</v>
      </c>
      <c r="BT293" t="n">
        <v>0.294</v>
      </c>
      <c r="BU293" t="n">
        <v>2.046</v>
      </c>
      <c r="BV293" t="n">
        <v>1.745</v>
      </c>
    </row>
    <row r="294">
      <c r="A294" t="inlineStr">
        <is>
          <t>Ambassidae</t>
        </is>
      </c>
      <c r="B294" t="inlineStr">
        <is>
          <t>Asiatic glassfishes</t>
        </is>
      </c>
      <c r="C294" t="inlineStr">
        <is>
          <t>Small demersals (&lt;30 cm)</t>
        </is>
      </c>
      <c r="D294" t="inlineStr">
        <is>
          <t>Perch-likes</t>
        </is>
      </c>
      <c r="E294" t="n">
        <v>2.818</v>
      </c>
      <c r="F294" t="n">
        <v>3.317</v>
      </c>
      <c r="G294" t="n">
        <v>3.447</v>
      </c>
      <c r="H294" t="n">
        <v>3.406</v>
      </c>
      <c r="I294" t="n">
        <v>4.427</v>
      </c>
      <c r="J294" t="n">
        <v>4.679</v>
      </c>
      <c r="K294" t="n">
        <v>4.959</v>
      </c>
      <c r="L294" t="n">
        <v>4.733</v>
      </c>
      <c r="M294" t="n">
        <v>5.174</v>
      </c>
      <c r="N294" t="n">
        <v>5.338</v>
      </c>
      <c r="O294" t="n">
        <v>5.961</v>
      </c>
      <c r="P294" t="n">
        <v>5.639</v>
      </c>
      <c r="Q294" t="n">
        <v>6.124</v>
      </c>
      <c r="R294" t="n">
        <v>9.728</v>
      </c>
      <c r="S294" t="n">
        <v>7.95</v>
      </c>
      <c r="T294" t="n">
        <v>8.428000000000001</v>
      </c>
      <c r="U294" t="n">
        <v>8.303000000000001</v>
      </c>
      <c r="V294" t="n">
        <v>8.145</v>
      </c>
      <c r="W294" t="n">
        <v>8.603</v>
      </c>
      <c r="X294" t="n">
        <v>7.565</v>
      </c>
      <c r="Y294" t="n">
        <v>103.026</v>
      </c>
      <c r="Z294" t="n">
        <v>8.9</v>
      </c>
      <c r="AA294" t="n">
        <v>277.625</v>
      </c>
      <c r="AB294" t="n">
        <v>15.29</v>
      </c>
      <c r="AC294" t="n">
        <v>11.863</v>
      </c>
      <c r="AD294" t="n">
        <v>14.669</v>
      </c>
      <c r="AE294" t="n">
        <v>73.462</v>
      </c>
      <c r="AF294" t="n">
        <v>105.969</v>
      </c>
      <c r="AG294" t="n">
        <v>104.578</v>
      </c>
      <c r="AH294" t="n">
        <v>104.007</v>
      </c>
      <c r="AI294" t="n">
        <v>104.985</v>
      </c>
      <c r="AJ294" t="n">
        <v>103.048</v>
      </c>
      <c r="AK294" t="n">
        <v>151.17</v>
      </c>
      <c r="AL294" t="n">
        <v>112.081</v>
      </c>
      <c r="AM294" t="n">
        <v>72.59099999999999</v>
      </c>
      <c r="AN294" t="n">
        <v>69.261</v>
      </c>
      <c r="AO294" t="n">
        <v>69.17100000000001</v>
      </c>
      <c r="AP294" t="n">
        <v>69.922</v>
      </c>
      <c r="AQ294" t="n">
        <v>67.297</v>
      </c>
      <c r="AR294" t="n">
        <v>100.29</v>
      </c>
      <c r="AS294" t="n">
        <v>108.767</v>
      </c>
      <c r="AT294" t="n">
        <v>85.78700000000001</v>
      </c>
      <c r="AU294" t="n">
        <v>161.081</v>
      </c>
      <c r="AV294" t="n">
        <v>134.079</v>
      </c>
      <c r="AW294" t="n">
        <v>110.455</v>
      </c>
      <c r="AX294" t="n">
        <v>96.60599999999999</v>
      </c>
      <c r="AY294" t="n">
        <v>80.048</v>
      </c>
      <c r="AZ294" t="n">
        <v>76.065</v>
      </c>
      <c r="BA294" t="n">
        <v>56.833</v>
      </c>
      <c r="BB294" t="n">
        <v>44.924</v>
      </c>
      <c r="BC294" t="n">
        <v>40.543</v>
      </c>
      <c r="BD294" t="n">
        <v>41.075</v>
      </c>
      <c r="BE294" t="n">
        <v>77.474</v>
      </c>
      <c r="BF294" t="n">
        <v>78.464</v>
      </c>
      <c r="BG294" t="n">
        <v>69.768</v>
      </c>
      <c r="BH294" t="n">
        <v>69.515</v>
      </c>
      <c r="BI294" t="n">
        <v>63.69</v>
      </c>
      <c r="BJ294" t="n">
        <v>73.447</v>
      </c>
      <c r="BK294" t="n">
        <v>72.17</v>
      </c>
      <c r="BL294" t="n">
        <v>77.056</v>
      </c>
      <c r="BM294" t="n">
        <v>79.09999999999999</v>
      </c>
      <c r="BN294" t="n">
        <v>90.001</v>
      </c>
      <c r="BO294" t="n">
        <v>84.24299999999999</v>
      </c>
      <c r="BP294" t="n">
        <v>82.277</v>
      </c>
      <c r="BQ294" t="n">
        <v>73.874</v>
      </c>
      <c r="BR294" t="n">
        <v>69.215</v>
      </c>
      <c r="BS294" t="n">
        <v>74.497</v>
      </c>
      <c r="BT294" t="n">
        <v>65.627</v>
      </c>
      <c r="BU294" t="n">
        <v>62.862</v>
      </c>
      <c r="BV294" t="n">
        <v>66.908</v>
      </c>
    </row>
    <row r="295">
      <c r="A295" t="inlineStr">
        <is>
          <t>Gazza minuta</t>
        </is>
      </c>
      <c r="B295" t="inlineStr">
        <is>
          <t>Toothpony</t>
        </is>
      </c>
      <c r="C295" t="inlineStr">
        <is>
          <t>Small demersals (&lt;30 cm)</t>
        </is>
      </c>
      <c r="D295" t="inlineStr">
        <is>
          <t>Perch-likes</t>
        </is>
      </c>
      <c r="E295" t="n">
        <v>2.579</v>
      </c>
      <c r="F295" t="n">
        <v>2.579</v>
      </c>
      <c r="G295" t="n">
        <v>3.385</v>
      </c>
      <c r="H295" t="n">
        <v>3.063</v>
      </c>
      <c r="I295" t="n">
        <v>2.579</v>
      </c>
      <c r="J295" t="n">
        <v>2.579</v>
      </c>
      <c r="K295" t="n">
        <v>2.579</v>
      </c>
      <c r="L295" t="n">
        <v>2.418</v>
      </c>
      <c r="M295" t="n">
        <v>2.579</v>
      </c>
      <c r="N295" t="n">
        <v>2.579</v>
      </c>
      <c r="O295" t="n">
        <v>3.385</v>
      </c>
      <c r="P295" t="n">
        <v>4.191</v>
      </c>
      <c r="Q295" t="n">
        <v>4.352</v>
      </c>
      <c r="R295" t="n">
        <v>6.77</v>
      </c>
      <c r="S295" t="n">
        <v>6.448</v>
      </c>
      <c r="T295" t="n">
        <v>6.186</v>
      </c>
      <c r="U295" t="n">
        <v>7.567</v>
      </c>
      <c r="V295" t="n">
        <v>6.791</v>
      </c>
      <c r="W295" t="n">
        <v>11.599</v>
      </c>
      <c r="X295" t="n">
        <v>11.016</v>
      </c>
      <c r="Y295" t="n">
        <v>12.951</v>
      </c>
      <c r="Z295" t="n">
        <v>18.303</v>
      </c>
      <c r="AA295" t="n">
        <v>21.054</v>
      </c>
      <c r="AB295" t="n">
        <v>32.355</v>
      </c>
      <c r="AC295" t="n">
        <v>36.424</v>
      </c>
      <c r="AD295" t="n">
        <v>43.93</v>
      </c>
      <c r="AE295" t="n">
        <v>47.358</v>
      </c>
      <c r="AF295" t="n">
        <v>53.704</v>
      </c>
      <c r="AG295" t="n">
        <v>43.605</v>
      </c>
      <c r="AH295" t="n">
        <v>46.935</v>
      </c>
      <c r="AI295" t="n">
        <v>9.707000000000001</v>
      </c>
      <c r="AJ295" t="n">
        <v>14.384</v>
      </c>
      <c r="AK295" t="n">
        <v>9.002000000000001</v>
      </c>
      <c r="AL295" t="n">
        <v>9.061999999999999</v>
      </c>
      <c r="AM295" t="n">
        <v>7.137</v>
      </c>
      <c r="AN295" t="n">
        <v>7.682</v>
      </c>
      <c r="AO295" t="n">
        <v>30.905</v>
      </c>
      <c r="AP295" t="n">
        <v>49.651</v>
      </c>
      <c r="AQ295" t="n">
        <v>45.083</v>
      </c>
      <c r="AR295" t="n">
        <v>77.59999999999999</v>
      </c>
      <c r="AS295" t="n">
        <v>92.72799999999999</v>
      </c>
      <c r="AT295" t="n">
        <v>87.563</v>
      </c>
      <c r="AU295" t="n">
        <v>77.759</v>
      </c>
      <c r="AV295" t="n">
        <v>82.249</v>
      </c>
      <c r="AW295" t="n">
        <v>100.857</v>
      </c>
      <c r="AX295" t="n">
        <v>101.062</v>
      </c>
      <c r="AY295" t="n">
        <v>89.925</v>
      </c>
      <c r="AZ295" t="n">
        <v>88.73999999999999</v>
      </c>
      <c r="BA295" t="n">
        <v>88.154</v>
      </c>
      <c r="BB295" t="n">
        <v>99.05800000000001</v>
      </c>
      <c r="BC295" t="n">
        <v>110.882</v>
      </c>
      <c r="BD295" t="n">
        <v>132.004</v>
      </c>
      <c r="BE295" t="n">
        <v>151.269</v>
      </c>
      <c r="BF295" t="n">
        <v>160.933</v>
      </c>
      <c r="BG295" t="n">
        <v>142.969</v>
      </c>
      <c r="BH295" t="n">
        <v>154.522</v>
      </c>
      <c r="BI295" t="n">
        <v>120.441</v>
      </c>
      <c r="BJ295" t="n">
        <v>128.753</v>
      </c>
      <c r="BK295" t="n">
        <v>105.787</v>
      </c>
      <c r="BL295" t="n">
        <v>96.60299999999999</v>
      </c>
      <c r="BM295" t="n">
        <v>101.667</v>
      </c>
      <c r="BN295" t="n">
        <v>99.152</v>
      </c>
      <c r="BO295" t="n">
        <v>111.637</v>
      </c>
      <c r="BP295" t="n">
        <v>116.148</v>
      </c>
      <c r="BQ295" t="n">
        <v>106.542</v>
      </c>
      <c r="BR295" t="n">
        <v>109.653</v>
      </c>
      <c r="BS295" t="n">
        <v>113.743</v>
      </c>
      <c r="BT295" t="n">
        <v>105.613</v>
      </c>
      <c r="BU295" t="n">
        <v>99.58</v>
      </c>
      <c r="BV295" t="n">
        <v>93.40000000000001</v>
      </c>
    </row>
    <row r="296">
      <c r="A296" t="inlineStr">
        <is>
          <t>Aluterus</t>
        </is>
      </c>
      <c r="B296" t="inlineStr">
        <is>
          <t>Aluterid filefishes</t>
        </is>
      </c>
      <c r="C296" t="inlineStr">
        <is>
          <t>Large reef assoc. fish (&gt;=90 cm)</t>
        </is>
      </c>
      <c r="D296" t="inlineStr">
        <is>
          <t>Other fishes &amp; inverts</t>
        </is>
      </c>
      <c r="E296" t="n">
        <v>6.679</v>
      </c>
      <c r="F296" t="n">
        <v>8.071999999999999</v>
      </c>
      <c r="G296" t="n">
        <v>9.670999999999999</v>
      </c>
      <c r="H296" t="n">
        <v>10.138</v>
      </c>
      <c r="I296" t="n">
        <v>10.582</v>
      </c>
      <c r="J296" t="n">
        <v>12.716</v>
      </c>
      <c r="K296" t="n">
        <v>14.366</v>
      </c>
      <c r="L296" t="n">
        <v>15.682</v>
      </c>
      <c r="M296" t="n">
        <v>17.352</v>
      </c>
      <c r="N296" t="n">
        <v>19.304</v>
      </c>
      <c r="O296" t="n">
        <v>20.109</v>
      </c>
      <c r="P296" t="n">
        <v>23.161</v>
      </c>
      <c r="Q296" t="n">
        <v>24.74</v>
      </c>
      <c r="R296" t="n">
        <v>27.78</v>
      </c>
      <c r="S296" t="n">
        <v>29.074</v>
      </c>
      <c r="T296" t="n">
        <v>30.155</v>
      </c>
      <c r="U296" t="n">
        <v>32.088</v>
      </c>
      <c r="V296" t="n">
        <v>34.82</v>
      </c>
      <c r="W296" t="n">
        <v>40.101</v>
      </c>
      <c r="X296" t="n">
        <v>43.765</v>
      </c>
      <c r="Y296" t="n">
        <v>46.158</v>
      </c>
      <c r="Z296" t="n">
        <v>50.58</v>
      </c>
      <c r="AA296" t="n">
        <v>49.815</v>
      </c>
      <c r="AB296" t="n">
        <v>54.92</v>
      </c>
      <c r="AC296" t="n">
        <v>56.169</v>
      </c>
      <c r="AD296" t="n">
        <v>70.01900000000001</v>
      </c>
      <c r="AE296" t="n">
        <v>73.56699999999999</v>
      </c>
      <c r="AF296" t="n">
        <v>77.661</v>
      </c>
      <c r="AG296" t="n">
        <v>81.331</v>
      </c>
      <c r="AH296" t="n">
        <v>86.56699999999999</v>
      </c>
      <c r="AI296" t="n">
        <v>77.24299999999999</v>
      </c>
      <c r="AJ296" t="n">
        <v>70.627</v>
      </c>
      <c r="AK296" t="n">
        <v>68.85599999999999</v>
      </c>
      <c r="AL296" t="n">
        <v>69.94799999999999</v>
      </c>
      <c r="AM296" t="n">
        <v>68.327</v>
      </c>
      <c r="AN296" t="n">
        <v>71.753</v>
      </c>
      <c r="AO296" t="n">
        <v>79.09999999999999</v>
      </c>
      <c r="AP296" t="n">
        <v>78.28</v>
      </c>
      <c r="AQ296" t="n">
        <v>74.607</v>
      </c>
      <c r="AR296" t="n">
        <v>77.51900000000001</v>
      </c>
      <c r="AS296" t="n">
        <v>71.913</v>
      </c>
      <c r="AT296" t="n">
        <v>65.45099999999999</v>
      </c>
      <c r="AU296" t="n">
        <v>64.502</v>
      </c>
      <c r="AV296" t="n">
        <v>61.298</v>
      </c>
      <c r="AW296" t="n">
        <v>65.149</v>
      </c>
      <c r="AX296" t="n">
        <v>72.089</v>
      </c>
      <c r="AY296" t="n">
        <v>66.20999999999999</v>
      </c>
      <c r="AZ296" t="n">
        <v>61.82</v>
      </c>
      <c r="BA296" t="n">
        <v>56.932</v>
      </c>
      <c r="BB296" t="n">
        <v>60.219</v>
      </c>
      <c r="BC296" t="n">
        <v>64.288</v>
      </c>
      <c r="BD296" t="n">
        <v>74.54000000000001</v>
      </c>
      <c r="BE296" t="n">
        <v>87.792</v>
      </c>
      <c r="BF296" t="n">
        <v>161.762</v>
      </c>
      <c r="BG296" t="n">
        <v>193.305</v>
      </c>
      <c r="BH296" t="n">
        <v>231.118</v>
      </c>
      <c r="BI296" t="n">
        <v>133.714</v>
      </c>
      <c r="BJ296" t="n">
        <v>70.81100000000001</v>
      </c>
      <c r="BK296" t="n">
        <v>62.352</v>
      </c>
      <c r="BL296" t="n">
        <v>42.851</v>
      </c>
      <c r="BM296" t="n">
        <v>36.849</v>
      </c>
      <c r="BN296" t="n">
        <v>37.629</v>
      </c>
      <c r="BO296" t="n">
        <v>41.229</v>
      </c>
      <c r="BP296" t="n">
        <v>40.413</v>
      </c>
      <c r="BQ296" t="n">
        <v>38.671</v>
      </c>
      <c r="BR296" t="n">
        <v>38.914</v>
      </c>
      <c r="BS296" t="n">
        <v>39.798</v>
      </c>
      <c r="BT296" t="n">
        <v>39.055</v>
      </c>
      <c r="BU296" t="n">
        <v>43.191</v>
      </c>
      <c r="BV296" t="n">
        <v>36.088</v>
      </c>
    </row>
    <row r="297">
      <c r="A297" t="inlineStr">
        <is>
          <t>Hemitriakis japanica</t>
        </is>
      </c>
      <c r="B297" t="inlineStr">
        <is>
          <t>Japanese topeshark</t>
        </is>
      </c>
      <c r="C297" t="inlineStr">
        <is>
          <t>Large sharks (&gt;=90 cm)</t>
        </is>
      </c>
      <c r="D297" t="inlineStr">
        <is>
          <t>Sharks &amp; rays</t>
        </is>
      </c>
      <c r="E297" t="n">
        <v>7.712</v>
      </c>
      <c r="F297" t="n">
        <v>9.451000000000001</v>
      </c>
      <c r="G297" t="n">
        <v>11.181</v>
      </c>
      <c r="H297" t="n">
        <v>12.029</v>
      </c>
      <c r="I297" t="n">
        <v>12.5</v>
      </c>
      <c r="J297" t="n">
        <v>15.31</v>
      </c>
      <c r="K297" t="n">
        <v>17.636</v>
      </c>
      <c r="L297" t="n">
        <v>19.358</v>
      </c>
      <c r="M297" t="n">
        <v>21.355</v>
      </c>
      <c r="N297" t="n">
        <v>24.14</v>
      </c>
      <c r="O297" t="n">
        <v>25.915</v>
      </c>
      <c r="P297" t="n">
        <v>30.641</v>
      </c>
      <c r="Q297" t="n">
        <v>33.143</v>
      </c>
      <c r="R297" t="n">
        <v>35.523</v>
      </c>
      <c r="S297" t="n">
        <v>38.887</v>
      </c>
      <c r="T297" t="n">
        <v>42.752</v>
      </c>
      <c r="U297" t="n">
        <v>47.084</v>
      </c>
      <c r="V297" t="n">
        <v>51.159</v>
      </c>
      <c r="W297" t="n">
        <v>57.501</v>
      </c>
      <c r="X297" t="n">
        <v>63.426</v>
      </c>
      <c r="Y297" t="n">
        <v>66.872</v>
      </c>
      <c r="Z297" t="n">
        <v>75.887</v>
      </c>
      <c r="AA297" t="n">
        <v>79.675</v>
      </c>
      <c r="AB297" t="n">
        <v>82.361</v>
      </c>
      <c r="AC297" t="n">
        <v>82.06399999999999</v>
      </c>
      <c r="AD297" t="n">
        <v>98.059</v>
      </c>
      <c r="AE297" t="n">
        <v>100.305</v>
      </c>
      <c r="AF297" t="n">
        <v>128.339</v>
      </c>
      <c r="AG297" t="n">
        <v>118.534</v>
      </c>
      <c r="AH297" t="n">
        <v>132.404</v>
      </c>
      <c r="AI297" t="n">
        <v>129.352</v>
      </c>
      <c r="AJ297" t="n">
        <v>117.907</v>
      </c>
      <c r="AK297" t="n">
        <v>108.104</v>
      </c>
      <c r="AL297" t="n">
        <v>111.06</v>
      </c>
      <c r="AM297" t="n">
        <v>118.458</v>
      </c>
      <c r="AN297" t="n">
        <v>102.845</v>
      </c>
      <c r="AO297" t="n">
        <v>105.984</v>
      </c>
      <c r="AP297" t="n">
        <v>103.308</v>
      </c>
      <c r="AQ297" t="n">
        <v>120.986</v>
      </c>
      <c r="AR297" t="n">
        <v>109.078</v>
      </c>
      <c r="AS297" t="n">
        <v>87.607</v>
      </c>
      <c r="AT297" t="n">
        <v>79.089</v>
      </c>
      <c r="AU297" t="n">
        <v>69.977</v>
      </c>
      <c r="AV297" t="n">
        <v>63.588</v>
      </c>
      <c r="AW297" t="n">
        <v>54.964</v>
      </c>
      <c r="AX297" t="n">
        <v>64.89400000000001</v>
      </c>
      <c r="AY297" t="n">
        <v>59.905</v>
      </c>
      <c r="AZ297" t="n">
        <v>59.461</v>
      </c>
      <c r="BA297" t="n">
        <v>33.084</v>
      </c>
      <c r="BB297" t="n">
        <v>33.728</v>
      </c>
      <c r="BC297" t="n">
        <v>44.511</v>
      </c>
      <c r="BD297" t="n">
        <v>28.092</v>
      </c>
      <c r="BE297" t="n">
        <v>24.567</v>
      </c>
      <c r="BF297" t="n">
        <v>24.966</v>
      </c>
      <c r="BG297" t="n">
        <v>24.739</v>
      </c>
      <c r="BH297" t="n">
        <v>18.94</v>
      </c>
      <c r="BI297" t="n">
        <v>26.522</v>
      </c>
      <c r="BJ297" t="n">
        <v>18.925</v>
      </c>
      <c r="BK297" t="n">
        <v>12.024</v>
      </c>
      <c r="BL297" t="n">
        <v>16.978</v>
      </c>
      <c r="BM297" t="n">
        <v>15.151</v>
      </c>
      <c r="BN297" t="n">
        <v>121.592</v>
      </c>
      <c r="BO297" t="n">
        <v>16.342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0.064</v>
      </c>
      <c r="BV297" t="n">
        <v>0</v>
      </c>
    </row>
    <row r="298">
      <c r="A298" t="inlineStr">
        <is>
          <t>Echinodermata</t>
        </is>
      </c>
      <c r="B298" t="inlineStr">
        <is>
          <t>Sea urchins, stars, cucumbers</t>
        </is>
      </c>
      <c r="C298" t="inlineStr">
        <is>
          <t>Other demersal invertebrates</t>
        </is>
      </c>
      <c r="D298" t="inlineStr">
        <is>
          <t>Other fishes &amp; inverts</t>
        </is>
      </c>
      <c r="E298" t="n">
        <v>0.485</v>
      </c>
      <c r="F298" t="n">
        <v>0.485</v>
      </c>
      <c r="G298" t="n">
        <v>0.485</v>
      </c>
      <c r="H298" t="n">
        <v>0.485</v>
      </c>
      <c r="I298" t="n">
        <v>0.485</v>
      </c>
      <c r="J298" t="n">
        <v>0.485</v>
      </c>
      <c r="K298" t="n">
        <v>0.485</v>
      </c>
      <c r="L298" t="n">
        <v>0.485</v>
      </c>
      <c r="M298" t="n">
        <v>0.485</v>
      </c>
      <c r="N298" t="n">
        <v>0.485</v>
      </c>
      <c r="O298" t="n">
        <v>0.727</v>
      </c>
      <c r="P298" t="n">
        <v>0.727</v>
      </c>
      <c r="Q298" t="n">
        <v>0.727</v>
      </c>
      <c r="R298" t="n">
        <v>0.727</v>
      </c>
      <c r="S298" t="n">
        <v>0.727</v>
      </c>
      <c r="T298" t="n">
        <v>1.212</v>
      </c>
      <c r="U298" t="n">
        <v>1.992</v>
      </c>
      <c r="V298" t="n">
        <v>2.772</v>
      </c>
      <c r="W298" t="n">
        <v>4.158</v>
      </c>
      <c r="X298" t="n">
        <v>3.428</v>
      </c>
      <c r="Y298" t="n">
        <v>2.53</v>
      </c>
      <c r="Z298" t="n">
        <v>2.53</v>
      </c>
      <c r="AA298" t="n">
        <v>2.287</v>
      </c>
      <c r="AB298" t="n">
        <v>2.287</v>
      </c>
      <c r="AC298" t="n">
        <v>3.068</v>
      </c>
      <c r="AD298" t="n">
        <v>3.068</v>
      </c>
      <c r="AE298" t="n">
        <v>3.552</v>
      </c>
      <c r="AF298" t="n">
        <v>3.552</v>
      </c>
      <c r="AG298" t="n">
        <v>4.479</v>
      </c>
      <c r="AH298" t="n">
        <v>5.524</v>
      </c>
      <c r="AI298" t="n">
        <v>13.394</v>
      </c>
      <c r="AJ298" t="n">
        <v>7.513</v>
      </c>
      <c r="AK298" t="n">
        <v>16.805</v>
      </c>
      <c r="AL298" t="n">
        <v>15.995</v>
      </c>
      <c r="AM298" t="n">
        <v>15.852</v>
      </c>
      <c r="AN298" t="n">
        <v>37.153</v>
      </c>
      <c r="AO298" t="n">
        <v>11.22</v>
      </c>
      <c r="AP298" t="n">
        <v>8.022</v>
      </c>
      <c r="AQ298" t="n">
        <v>10.993</v>
      </c>
      <c r="AR298" t="n">
        <v>9.134</v>
      </c>
      <c r="AS298" t="n">
        <v>10.063</v>
      </c>
      <c r="AT298" t="n">
        <v>8.407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734.003</v>
      </c>
      <c r="BI298" t="n">
        <v>846.3200000000001</v>
      </c>
      <c r="BJ298" t="n">
        <v>890.947</v>
      </c>
      <c r="BK298" t="n">
        <v>940.367</v>
      </c>
      <c r="BL298" t="n">
        <v>2.886</v>
      </c>
      <c r="BM298" t="n">
        <v>2.886</v>
      </c>
      <c r="BN298" t="n">
        <v>2.808</v>
      </c>
      <c r="BO298" t="n">
        <v>3.31</v>
      </c>
      <c r="BP298" t="n">
        <v>3.489</v>
      </c>
      <c r="BQ298" t="n">
        <v>3.198</v>
      </c>
      <c r="BR298" t="n">
        <v>3.293</v>
      </c>
      <c r="BS298" t="n">
        <v>3.411</v>
      </c>
      <c r="BT298" t="n">
        <v>3.164</v>
      </c>
      <c r="BU298" t="n">
        <v>2.982</v>
      </c>
      <c r="BV298" t="n">
        <v>2.795</v>
      </c>
    </row>
    <row r="299">
      <c r="A299" t="inlineStr">
        <is>
          <t>Dasyatidae</t>
        </is>
      </c>
      <c r="B299" t="inlineStr">
        <is>
          <t>Whiptail stingrays</t>
        </is>
      </c>
      <c r="C299" t="inlineStr">
        <is>
          <t>Large rays (&gt;=90 cm)</t>
        </is>
      </c>
      <c r="D299" t="inlineStr">
        <is>
          <t>Sharks &amp; rays</t>
        </is>
      </c>
      <c r="E299" t="n">
        <v>9.44</v>
      </c>
      <c r="F299" t="n">
        <v>9.534000000000001</v>
      </c>
      <c r="G299" t="n">
        <v>9.654</v>
      </c>
      <c r="H299" t="n">
        <v>9.555</v>
      </c>
      <c r="I299" t="n">
        <v>9.785</v>
      </c>
      <c r="J299" t="n">
        <v>10.079</v>
      </c>
      <c r="K299" t="n">
        <v>10.143</v>
      </c>
      <c r="L299" t="n">
        <v>10.626</v>
      </c>
      <c r="M299" t="n">
        <v>10.532</v>
      </c>
      <c r="N299" t="n">
        <v>10.717</v>
      </c>
      <c r="O299" t="n">
        <v>11.299</v>
      </c>
      <c r="P299" t="n">
        <v>11.54</v>
      </c>
      <c r="Q299" t="n">
        <v>11.529</v>
      </c>
      <c r="R299" t="n">
        <v>11.4</v>
      </c>
      <c r="S299" t="n">
        <v>10.809</v>
      </c>
      <c r="T299" t="n">
        <v>9.941000000000001</v>
      </c>
      <c r="U299" t="n">
        <v>8.779999999999999</v>
      </c>
      <c r="V299" t="n">
        <v>9.018000000000001</v>
      </c>
      <c r="W299" t="n">
        <v>9.255000000000001</v>
      </c>
      <c r="X299" t="n">
        <v>9.738</v>
      </c>
      <c r="Y299" t="n">
        <v>7.569</v>
      </c>
      <c r="Z299" t="n">
        <v>7.872</v>
      </c>
      <c r="AA299" t="n">
        <v>7.6</v>
      </c>
      <c r="AB299" t="n">
        <v>14.493</v>
      </c>
      <c r="AC299" t="n">
        <v>14.49</v>
      </c>
      <c r="AD299" t="n">
        <v>25.819</v>
      </c>
      <c r="AE299" t="n">
        <v>35.77</v>
      </c>
      <c r="AF299" t="n">
        <v>30.454</v>
      </c>
      <c r="AG299" t="n">
        <v>28.132</v>
      </c>
      <c r="AH299" t="n">
        <v>25.959</v>
      </c>
      <c r="AI299" t="n">
        <v>53.391</v>
      </c>
      <c r="AJ299" t="n">
        <v>48.241</v>
      </c>
      <c r="AK299" t="n">
        <v>42.221</v>
      </c>
      <c r="AL299" t="n">
        <v>35.599</v>
      </c>
      <c r="AM299" t="n">
        <v>37.495</v>
      </c>
      <c r="AN299" t="n">
        <v>43.813</v>
      </c>
      <c r="AO299" t="n">
        <v>37.301</v>
      </c>
      <c r="AP299" t="n">
        <v>49.496</v>
      </c>
      <c r="AQ299" t="n">
        <v>48.353</v>
      </c>
      <c r="AR299" t="n">
        <v>52.898</v>
      </c>
      <c r="AS299" t="n">
        <v>49.862</v>
      </c>
      <c r="AT299" t="n">
        <v>61.437</v>
      </c>
      <c r="AU299" t="n">
        <v>56.376</v>
      </c>
      <c r="AV299" t="n">
        <v>58.56</v>
      </c>
      <c r="AW299" t="n">
        <v>58.346</v>
      </c>
      <c r="AX299" t="n">
        <v>62.739</v>
      </c>
      <c r="AY299" t="n">
        <v>70.038</v>
      </c>
      <c r="AZ299" t="n">
        <v>75.69199999999999</v>
      </c>
      <c r="BA299" t="n">
        <v>81.928</v>
      </c>
      <c r="BB299" t="n">
        <v>87.759</v>
      </c>
      <c r="BC299" t="n">
        <v>81.17400000000001</v>
      </c>
      <c r="BD299" t="n">
        <v>66.15600000000001</v>
      </c>
      <c r="BE299" t="n">
        <v>91.90000000000001</v>
      </c>
      <c r="BF299" t="n">
        <v>108.392</v>
      </c>
      <c r="BG299" t="n">
        <v>134.188</v>
      </c>
      <c r="BH299" t="n">
        <v>89.899</v>
      </c>
      <c r="BI299" t="n">
        <v>87.79000000000001</v>
      </c>
      <c r="BJ299" t="n">
        <v>112.04</v>
      </c>
      <c r="BK299" t="n">
        <v>107.219</v>
      </c>
      <c r="BL299" t="n">
        <v>139.282</v>
      </c>
      <c r="BM299" t="n">
        <v>109.398</v>
      </c>
      <c r="BN299" t="n">
        <v>110.112</v>
      </c>
      <c r="BO299" t="n">
        <v>110.825</v>
      </c>
      <c r="BP299" t="n">
        <v>111.539</v>
      </c>
      <c r="BQ299" t="n">
        <v>112.252</v>
      </c>
      <c r="BR299" t="n">
        <v>112.966</v>
      </c>
      <c r="BS299" t="n">
        <v>113.68</v>
      </c>
      <c r="BT299" t="n">
        <v>114.393</v>
      </c>
      <c r="BU299" t="n">
        <v>115.107</v>
      </c>
      <c r="BV299" t="n">
        <v>115.107</v>
      </c>
    </row>
    <row r="300">
      <c r="A300" t="inlineStr">
        <is>
          <t>Chanos chanos</t>
        </is>
      </c>
      <c r="B300" t="inlineStr">
        <is>
          <t>Milkfish</t>
        </is>
      </c>
      <c r="C300" t="inlineStr">
        <is>
          <t>Large benthopelagics (&gt;=90 cm)</t>
        </is>
      </c>
      <c r="D300" t="inlineStr">
        <is>
          <t>Other fishes &amp; inverts</t>
        </is>
      </c>
      <c r="E300" t="n">
        <v>1.526</v>
      </c>
      <c r="F300" t="n">
        <v>1.876</v>
      </c>
      <c r="G300" t="n">
        <v>1.929</v>
      </c>
      <c r="H300" t="n">
        <v>1.901</v>
      </c>
      <c r="I300" t="n">
        <v>2.366</v>
      </c>
      <c r="J300" t="n">
        <v>7.441</v>
      </c>
      <c r="K300" t="n">
        <v>2.766</v>
      </c>
      <c r="L300" t="n">
        <v>2.701</v>
      </c>
      <c r="M300" t="n">
        <v>2.862</v>
      </c>
      <c r="N300" t="n">
        <v>2.984</v>
      </c>
      <c r="O300" t="n">
        <v>3.275</v>
      </c>
      <c r="P300" t="n">
        <v>3.136</v>
      </c>
      <c r="Q300" t="n">
        <v>3.487</v>
      </c>
      <c r="R300" t="n">
        <v>14.594</v>
      </c>
      <c r="S300" t="n">
        <v>4.732</v>
      </c>
      <c r="T300" t="n">
        <v>5.317</v>
      </c>
      <c r="U300" t="n">
        <v>5.647</v>
      </c>
      <c r="V300" t="n">
        <v>5.996</v>
      </c>
      <c r="W300" t="n">
        <v>6.839</v>
      </c>
      <c r="X300" t="n">
        <v>6.644</v>
      </c>
      <c r="Y300" t="n">
        <v>7.637</v>
      </c>
      <c r="Z300" t="n">
        <v>9.260999999999999</v>
      </c>
      <c r="AA300" t="n">
        <v>8.744999999999999</v>
      </c>
      <c r="AB300" t="n">
        <v>18.88</v>
      </c>
      <c r="AC300" t="n">
        <v>8.667</v>
      </c>
      <c r="AD300" t="n">
        <v>16.093</v>
      </c>
      <c r="AE300" t="n">
        <v>12.865</v>
      </c>
      <c r="AF300" t="n">
        <v>21.255</v>
      </c>
      <c r="AG300" t="n">
        <v>21.748</v>
      </c>
      <c r="AH300" t="n">
        <v>17.765</v>
      </c>
      <c r="AI300" t="n">
        <v>252.035</v>
      </c>
      <c r="AJ300" t="n">
        <v>96.559</v>
      </c>
      <c r="AK300" t="n">
        <v>18.269</v>
      </c>
      <c r="AL300" t="n">
        <v>27.521</v>
      </c>
      <c r="AM300" t="n">
        <v>42.674</v>
      </c>
      <c r="AN300" t="n">
        <v>59.18</v>
      </c>
      <c r="AO300" t="n">
        <v>53.587</v>
      </c>
      <c r="AP300" t="n">
        <v>27.534</v>
      </c>
      <c r="AQ300" t="n">
        <v>38.712</v>
      </c>
      <c r="AR300" t="n">
        <v>57.061</v>
      </c>
      <c r="AS300" t="n">
        <v>42.268</v>
      </c>
      <c r="AT300" t="n">
        <v>52.947</v>
      </c>
      <c r="AU300" t="n">
        <v>78.57599999999999</v>
      </c>
      <c r="AV300" t="n">
        <v>81.699</v>
      </c>
      <c r="AW300" t="n">
        <v>117.921</v>
      </c>
      <c r="AX300" t="n">
        <v>262.991</v>
      </c>
      <c r="AY300" t="n">
        <v>268.034</v>
      </c>
      <c r="AZ300" t="n">
        <v>52.53</v>
      </c>
      <c r="BA300" t="n">
        <v>12.683</v>
      </c>
      <c r="BB300" t="n">
        <v>18.503</v>
      </c>
      <c r="BC300" t="n">
        <v>20.411</v>
      </c>
      <c r="BD300" t="n">
        <v>24.046</v>
      </c>
      <c r="BE300" t="n">
        <v>64.563</v>
      </c>
      <c r="BF300" t="n">
        <v>102.845</v>
      </c>
      <c r="BG300" t="n">
        <v>63.906</v>
      </c>
      <c r="BH300" t="n">
        <v>54.594</v>
      </c>
      <c r="BI300" t="n">
        <v>57.896</v>
      </c>
      <c r="BJ300" t="n">
        <v>67.053</v>
      </c>
      <c r="BK300" t="n">
        <v>69.187</v>
      </c>
      <c r="BL300" t="n">
        <v>90.599</v>
      </c>
      <c r="BM300" t="n">
        <v>87.512</v>
      </c>
      <c r="BN300" t="n">
        <v>90.684</v>
      </c>
      <c r="BO300" t="n">
        <v>96.29300000000001</v>
      </c>
      <c r="BP300" t="n">
        <v>89.72499999999999</v>
      </c>
      <c r="BQ300" t="n">
        <v>89.485</v>
      </c>
      <c r="BR300" t="n">
        <v>93.748</v>
      </c>
      <c r="BS300" t="n">
        <v>104.539</v>
      </c>
      <c r="BT300" t="n">
        <v>88.395</v>
      </c>
      <c r="BU300" t="n">
        <v>105.142</v>
      </c>
      <c r="BV300" t="n">
        <v>102.401</v>
      </c>
    </row>
    <row r="301">
      <c r="A301" t="inlineStr">
        <is>
          <t>Sphyraena obtusata</t>
        </is>
      </c>
      <c r="B301" t="inlineStr">
        <is>
          <t>Obtuse barracuda</t>
        </is>
      </c>
      <c r="C301" t="inlineStr">
        <is>
          <t>Medium reef assoc. fish (30 - 89 cm)</t>
        </is>
      </c>
      <c r="D301" t="inlineStr">
        <is>
          <t>Perch-likes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71.25</v>
      </c>
      <c r="AY301" t="n">
        <v>71.928</v>
      </c>
      <c r="AZ301" t="n">
        <v>67.84099999999999</v>
      </c>
      <c r="BA301" t="n">
        <v>72.407</v>
      </c>
      <c r="BB301" t="n">
        <v>84.63</v>
      </c>
      <c r="BC301" t="n">
        <v>73.613</v>
      </c>
      <c r="BD301" t="n">
        <v>70.595</v>
      </c>
      <c r="BE301" t="n">
        <v>77.205</v>
      </c>
      <c r="BF301" t="n">
        <v>85.8</v>
      </c>
      <c r="BG301" t="n">
        <v>81.693</v>
      </c>
      <c r="BH301" t="n">
        <v>86.202</v>
      </c>
      <c r="BI301" t="n">
        <v>92.983</v>
      </c>
      <c r="BJ301" t="n">
        <v>107.926</v>
      </c>
      <c r="BK301" t="n">
        <v>122.349</v>
      </c>
      <c r="BL301" t="n">
        <v>157.122</v>
      </c>
      <c r="BM301" t="n">
        <v>183.383</v>
      </c>
      <c r="BN301" t="n">
        <v>268.748</v>
      </c>
      <c r="BO301" t="n">
        <v>271.643</v>
      </c>
      <c r="BP301" t="n">
        <v>257.402</v>
      </c>
      <c r="BQ301" t="n">
        <v>281.27</v>
      </c>
      <c r="BR301" t="n">
        <v>281.359</v>
      </c>
      <c r="BS301" t="n">
        <v>282.089</v>
      </c>
      <c r="BT301" t="n">
        <v>283.083</v>
      </c>
      <c r="BU301" t="n">
        <v>0</v>
      </c>
      <c r="BV301" t="n">
        <v>0</v>
      </c>
    </row>
    <row r="302">
      <c r="A302" t="inlineStr">
        <is>
          <t>Parupeneus barberinus</t>
        </is>
      </c>
      <c r="B302" t="inlineStr">
        <is>
          <t>Dash-and-dot goatfish</t>
        </is>
      </c>
      <c r="C302" t="inlineStr">
        <is>
          <t>Medium reef assoc. fish (30 - 89 cm)</t>
        </is>
      </c>
      <c r="D302" t="inlineStr">
        <is>
          <t>Perch-likes</t>
        </is>
      </c>
      <c r="E302" t="n">
        <v>6.977</v>
      </c>
      <c r="F302" t="n">
        <v>8.571999999999999</v>
      </c>
      <c r="G302" t="n">
        <v>10.054</v>
      </c>
      <c r="H302" t="n">
        <v>10.788</v>
      </c>
      <c r="I302" t="n">
        <v>10.948</v>
      </c>
      <c r="J302" t="n">
        <v>13.298</v>
      </c>
      <c r="K302" t="n">
        <v>15.489</v>
      </c>
      <c r="L302" t="n">
        <v>16.978</v>
      </c>
      <c r="M302" t="n">
        <v>18.802</v>
      </c>
      <c r="N302" t="n">
        <v>21.283</v>
      </c>
      <c r="O302" t="n">
        <v>22.859</v>
      </c>
      <c r="P302" t="n">
        <v>27.163</v>
      </c>
      <c r="Q302" t="n">
        <v>29.952</v>
      </c>
      <c r="R302" t="n">
        <v>32.327</v>
      </c>
      <c r="S302" t="n">
        <v>36.59</v>
      </c>
      <c r="T302" t="n">
        <v>39.941</v>
      </c>
      <c r="U302" t="n">
        <v>44.543</v>
      </c>
      <c r="V302" t="n">
        <v>49.576</v>
      </c>
      <c r="W302" t="n">
        <v>57.356</v>
      </c>
      <c r="X302" t="n">
        <v>64.20699999999999</v>
      </c>
      <c r="Y302" t="n">
        <v>67.249</v>
      </c>
      <c r="Z302" t="n">
        <v>72.715</v>
      </c>
      <c r="AA302" t="n">
        <v>71.22199999999999</v>
      </c>
      <c r="AB302" t="n">
        <v>75.84699999999999</v>
      </c>
      <c r="AC302" t="n">
        <v>75.892</v>
      </c>
      <c r="AD302" t="n">
        <v>96.74299999999999</v>
      </c>
      <c r="AE302" t="n">
        <v>100.214</v>
      </c>
      <c r="AF302" t="n">
        <v>104.39</v>
      </c>
      <c r="AG302" t="n">
        <v>116.02</v>
      </c>
      <c r="AH302" t="n">
        <v>122.467</v>
      </c>
      <c r="AI302" t="n">
        <v>122.943</v>
      </c>
      <c r="AJ302" t="n">
        <v>107.807</v>
      </c>
      <c r="AK302" t="n">
        <v>106.324</v>
      </c>
      <c r="AL302" t="n">
        <v>106.181</v>
      </c>
      <c r="AM302" t="n">
        <v>104.514</v>
      </c>
      <c r="AN302" t="n">
        <v>107.473</v>
      </c>
      <c r="AO302" t="n">
        <v>107.7</v>
      </c>
      <c r="AP302" t="n">
        <v>99.36799999999999</v>
      </c>
      <c r="AQ302" t="n">
        <v>96.142</v>
      </c>
      <c r="AR302" t="n">
        <v>86.872</v>
      </c>
      <c r="AS302" t="n">
        <v>69.488</v>
      </c>
      <c r="AT302" t="n">
        <v>62.256</v>
      </c>
      <c r="AU302" t="n">
        <v>64.593</v>
      </c>
      <c r="AV302" t="n">
        <v>57.185</v>
      </c>
      <c r="AW302" t="n">
        <v>55.576</v>
      </c>
      <c r="AX302" t="n">
        <v>66.002</v>
      </c>
      <c r="AY302" t="n">
        <v>62.527</v>
      </c>
      <c r="AZ302" t="n">
        <v>55.752</v>
      </c>
      <c r="BA302" t="n">
        <v>45.697</v>
      </c>
      <c r="BB302" t="n">
        <v>47.334</v>
      </c>
      <c r="BC302" t="n">
        <v>51.95</v>
      </c>
      <c r="BD302" t="n">
        <v>31.84</v>
      </c>
      <c r="BE302" t="n">
        <v>35.334</v>
      </c>
      <c r="BF302" t="n">
        <v>17.832</v>
      </c>
      <c r="BG302" t="n">
        <v>27.793</v>
      </c>
      <c r="BH302" t="n">
        <v>25.681</v>
      </c>
      <c r="BI302" t="n">
        <v>21.313</v>
      </c>
      <c r="BJ302" t="n">
        <v>12.303</v>
      </c>
      <c r="BK302" t="n">
        <v>4.397</v>
      </c>
      <c r="BL302" t="n">
        <v>8.721</v>
      </c>
      <c r="BM302" t="n">
        <v>3.577</v>
      </c>
      <c r="BN302" t="n">
        <v>4.453</v>
      </c>
      <c r="BO302" t="n">
        <v>4.444</v>
      </c>
      <c r="BP302" t="n">
        <v>4.892</v>
      </c>
      <c r="BQ302" t="n">
        <v>5.37</v>
      </c>
      <c r="BR302" t="n">
        <v>4.748</v>
      </c>
      <c r="BS302" t="n">
        <v>6.188</v>
      </c>
      <c r="BT302" t="n">
        <v>4.788</v>
      </c>
      <c r="BU302" t="n">
        <v>7.253</v>
      </c>
      <c r="BV302" t="n">
        <v>5.135</v>
      </c>
    </row>
    <row r="303">
      <c r="A303" t="inlineStr">
        <is>
          <t>Psettodidae</t>
        </is>
      </c>
      <c r="B303" t="inlineStr">
        <is>
          <t>Turbots, Indian halibuts</t>
        </is>
      </c>
      <c r="C303" t="inlineStr">
        <is>
          <t>Small to medium flatfishes (&lt;90 cm)</t>
        </is>
      </c>
      <c r="D303" t="inlineStr">
        <is>
          <t>Flatfishes</t>
        </is>
      </c>
      <c r="E303" t="n">
        <v>1.908</v>
      </c>
      <c r="F303" t="n">
        <v>1.908</v>
      </c>
      <c r="G303" t="n">
        <v>2.641</v>
      </c>
      <c r="H303" t="n">
        <v>2.201</v>
      </c>
      <c r="I303" t="n">
        <v>1.908</v>
      </c>
      <c r="J303" t="n">
        <v>1.908</v>
      </c>
      <c r="K303" t="n">
        <v>1.908</v>
      </c>
      <c r="L303" t="n">
        <v>1.908</v>
      </c>
      <c r="M303" t="n">
        <v>2.054</v>
      </c>
      <c r="N303" t="n">
        <v>1.908</v>
      </c>
      <c r="O303" t="n">
        <v>2.641</v>
      </c>
      <c r="P303" t="n">
        <v>3.228</v>
      </c>
      <c r="Q303" t="n">
        <v>3.375</v>
      </c>
      <c r="R303" t="n">
        <v>5.136</v>
      </c>
      <c r="S303" t="n">
        <v>4.843</v>
      </c>
      <c r="T303" t="n">
        <v>4.748</v>
      </c>
      <c r="U303" t="n">
        <v>5.68</v>
      </c>
      <c r="V303" t="n">
        <v>4.972</v>
      </c>
      <c r="W303" t="n">
        <v>9.016999999999999</v>
      </c>
      <c r="X303" t="n">
        <v>8.553000000000001</v>
      </c>
      <c r="Y303" t="n">
        <v>10.461</v>
      </c>
      <c r="Z303" t="n">
        <v>14.692</v>
      </c>
      <c r="AA303" t="n">
        <v>16.837</v>
      </c>
      <c r="AB303" t="n">
        <v>26.205</v>
      </c>
      <c r="AC303" t="n">
        <v>29.642</v>
      </c>
      <c r="AD303" t="n">
        <v>35.625</v>
      </c>
      <c r="AE303" t="n">
        <v>38.578</v>
      </c>
      <c r="AF303" t="n">
        <v>43.634</v>
      </c>
      <c r="AG303" t="n">
        <v>35.396</v>
      </c>
      <c r="AH303" t="n">
        <v>38.135</v>
      </c>
      <c r="AI303" t="n">
        <v>7.473</v>
      </c>
      <c r="AJ303" t="n">
        <v>10.864</v>
      </c>
      <c r="AK303" t="n">
        <v>7.007</v>
      </c>
      <c r="AL303" t="n">
        <v>6.713</v>
      </c>
      <c r="AM303" t="n">
        <v>5.462</v>
      </c>
      <c r="AN303" t="n">
        <v>5.781</v>
      </c>
      <c r="AO303" t="n">
        <v>25.161</v>
      </c>
      <c r="AP303" t="n">
        <v>39.745</v>
      </c>
      <c r="AQ303" t="n">
        <v>36.425</v>
      </c>
      <c r="AR303" t="n">
        <v>62.901</v>
      </c>
      <c r="AS303" t="n">
        <v>74.895</v>
      </c>
      <c r="AT303" t="n">
        <v>71.09</v>
      </c>
      <c r="AU303" t="n">
        <v>63.045</v>
      </c>
      <c r="AV303" t="n">
        <v>66.446</v>
      </c>
      <c r="AW303" t="n">
        <v>81.581</v>
      </c>
      <c r="AX303" t="n">
        <v>82.19</v>
      </c>
      <c r="AY303" t="n">
        <v>72.959</v>
      </c>
      <c r="AZ303" t="n">
        <v>72.294</v>
      </c>
      <c r="BA303" t="n">
        <v>71.48999999999999</v>
      </c>
      <c r="BB303" t="n">
        <v>80.31</v>
      </c>
      <c r="BC303" t="n">
        <v>89.992</v>
      </c>
      <c r="BD303" t="n">
        <v>107.85</v>
      </c>
      <c r="BE303" t="n">
        <v>123.859</v>
      </c>
      <c r="BF303" t="n">
        <v>132.203</v>
      </c>
      <c r="BG303" t="n">
        <v>117.364</v>
      </c>
      <c r="BH303" t="n">
        <v>126.873</v>
      </c>
      <c r="BI303" t="n">
        <v>98.64</v>
      </c>
      <c r="BJ303" t="n">
        <v>105.695</v>
      </c>
      <c r="BK303" t="n">
        <v>86.566</v>
      </c>
      <c r="BL303" t="n">
        <v>79.301</v>
      </c>
      <c r="BM303" t="n">
        <v>83.087</v>
      </c>
      <c r="BN303" t="n">
        <v>81.032</v>
      </c>
      <c r="BO303" t="n">
        <v>91.23399999999999</v>
      </c>
      <c r="BP303" t="n">
        <v>94.92100000000001</v>
      </c>
      <c r="BQ303" t="n">
        <v>87.06999999999999</v>
      </c>
      <c r="BR303" t="n">
        <v>89.613</v>
      </c>
      <c r="BS303" t="n">
        <v>92.955</v>
      </c>
      <c r="BT303" t="n">
        <v>86.31100000000001</v>
      </c>
      <c r="BU303" t="n">
        <v>81.378</v>
      </c>
      <c r="BV303" t="n">
        <v>76.327</v>
      </c>
    </row>
    <row r="304">
      <c r="A304" t="inlineStr">
        <is>
          <t>Panulirus</t>
        </is>
      </c>
      <c r="B304" t="inlineStr">
        <is>
          <t>Spiny lobsters</t>
        </is>
      </c>
      <c r="C304" t="inlineStr">
        <is>
          <t>Lobsters, crabs</t>
        </is>
      </c>
      <c r="D304" t="inlineStr">
        <is>
          <t>Crustaceans</t>
        </is>
      </c>
      <c r="E304" t="n">
        <v>34.004</v>
      </c>
      <c r="F304" t="n">
        <v>9.927</v>
      </c>
      <c r="G304" t="n">
        <v>10.176</v>
      </c>
      <c r="H304" t="n">
        <v>10.019</v>
      </c>
      <c r="I304" t="n">
        <v>12.324</v>
      </c>
      <c r="J304" t="n">
        <v>13.166</v>
      </c>
      <c r="K304" t="n">
        <v>14.571</v>
      </c>
      <c r="L304" t="n">
        <v>14.347</v>
      </c>
      <c r="M304" t="n">
        <v>15.058</v>
      </c>
      <c r="N304" t="n">
        <v>15.683</v>
      </c>
      <c r="O304" t="n">
        <v>17.323</v>
      </c>
      <c r="P304" t="n">
        <v>16.457</v>
      </c>
      <c r="Q304" t="n">
        <v>18.181</v>
      </c>
      <c r="R304" t="n">
        <v>21.694</v>
      </c>
      <c r="S304" t="n">
        <v>24.002</v>
      </c>
      <c r="T304" t="n">
        <v>26.884</v>
      </c>
      <c r="U304" t="n">
        <v>28.556</v>
      </c>
      <c r="V304" t="n">
        <v>30.322</v>
      </c>
      <c r="W304" t="n">
        <v>34.49</v>
      </c>
      <c r="X304" t="n">
        <v>33.477</v>
      </c>
      <c r="Y304" t="n">
        <v>38.972</v>
      </c>
      <c r="Z304" t="n">
        <v>39.493</v>
      </c>
      <c r="AA304" t="n">
        <v>43.647</v>
      </c>
      <c r="AB304" t="n">
        <v>47.342</v>
      </c>
      <c r="AC304" t="n">
        <v>49.167</v>
      </c>
      <c r="AD304" t="n">
        <v>52.29</v>
      </c>
      <c r="AE304" t="n">
        <v>49.011</v>
      </c>
      <c r="AF304" t="n">
        <v>51.163</v>
      </c>
      <c r="AG304" t="n">
        <v>50.209</v>
      </c>
      <c r="AH304" t="n">
        <v>95.13</v>
      </c>
      <c r="AI304" t="n">
        <v>224.047</v>
      </c>
      <c r="AJ304" t="n">
        <v>36.406</v>
      </c>
      <c r="AK304" t="n">
        <v>64.752</v>
      </c>
      <c r="AL304" t="n">
        <v>81.883</v>
      </c>
      <c r="AM304" t="n">
        <v>91.723</v>
      </c>
      <c r="AN304" t="n">
        <v>76.98999999999999</v>
      </c>
      <c r="AO304" t="n">
        <v>63.897</v>
      </c>
      <c r="AP304" t="n">
        <v>49.15</v>
      </c>
      <c r="AQ304" t="n">
        <v>35.016</v>
      </c>
      <c r="AR304" t="n">
        <v>46.47</v>
      </c>
      <c r="AS304" t="n">
        <v>43.426</v>
      </c>
      <c r="AT304" t="n">
        <v>70.795</v>
      </c>
      <c r="AU304" t="n">
        <v>46.076</v>
      </c>
      <c r="AV304" t="n">
        <v>68.28700000000001</v>
      </c>
      <c r="AW304" t="n">
        <v>68.673</v>
      </c>
      <c r="AX304" t="n">
        <v>42.301</v>
      </c>
      <c r="AY304" t="n">
        <v>39.423</v>
      </c>
      <c r="AZ304" t="n">
        <v>32.844</v>
      </c>
      <c r="BA304" t="n">
        <v>16.55</v>
      </c>
      <c r="BB304" t="n">
        <v>19.062</v>
      </c>
      <c r="BC304" t="n">
        <v>19.118</v>
      </c>
      <c r="BD304" t="n">
        <v>18.373</v>
      </c>
      <c r="BE304" t="n">
        <v>45.578</v>
      </c>
      <c r="BF304" t="n">
        <v>49.782</v>
      </c>
      <c r="BG304" t="n">
        <v>45.463</v>
      </c>
      <c r="BH304" t="n">
        <v>39.488</v>
      </c>
      <c r="BI304" t="n">
        <v>39.896</v>
      </c>
      <c r="BJ304" t="n">
        <v>47.105</v>
      </c>
      <c r="BK304" t="n">
        <v>45.698</v>
      </c>
      <c r="BL304" t="n">
        <v>45.801</v>
      </c>
      <c r="BM304" t="n">
        <v>47.692</v>
      </c>
      <c r="BN304" t="n">
        <v>62.846</v>
      </c>
      <c r="BO304" t="n">
        <v>58.8</v>
      </c>
      <c r="BP304" t="n">
        <v>54.615</v>
      </c>
      <c r="BQ304" t="n">
        <v>50.369</v>
      </c>
      <c r="BR304" t="n">
        <v>49.947</v>
      </c>
      <c r="BS304" t="n">
        <v>53.254</v>
      </c>
      <c r="BT304" t="n">
        <v>49.082</v>
      </c>
      <c r="BU304" t="n">
        <v>48.891</v>
      </c>
      <c r="BV304" t="n">
        <v>54.908</v>
      </c>
    </row>
    <row r="305">
      <c r="A305" t="inlineStr">
        <is>
          <t>Rhincodon typus</t>
        </is>
      </c>
      <c r="B305" t="inlineStr">
        <is>
          <t>Whale shark</t>
        </is>
      </c>
      <c r="C305" t="inlineStr">
        <is>
          <t>Large sharks (&gt;=90 cm)</t>
        </is>
      </c>
      <c r="D305" t="inlineStr">
        <is>
          <t>Sharks &amp; rays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179.599</v>
      </c>
      <c r="AT305" t="n">
        <v>179.599</v>
      </c>
      <c r="AU305" t="n">
        <v>179.599</v>
      </c>
      <c r="AV305" t="n">
        <v>179.599</v>
      </c>
      <c r="AW305" t="n">
        <v>179.599</v>
      </c>
      <c r="AX305" t="n">
        <v>179.599</v>
      </c>
      <c r="AY305" t="n">
        <v>179.599</v>
      </c>
      <c r="AZ305" t="n">
        <v>179.599</v>
      </c>
      <c r="BA305" t="n">
        <v>179.599</v>
      </c>
      <c r="BB305" t="n">
        <v>179.599</v>
      </c>
      <c r="BC305" t="n">
        <v>179.599</v>
      </c>
      <c r="BD305" t="n">
        <v>81.10899999999999</v>
      </c>
      <c r="BE305" t="n">
        <v>81.10899999999999</v>
      </c>
      <c r="BF305" t="n">
        <v>81.10899999999999</v>
      </c>
      <c r="BG305" t="n">
        <v>81.10899999999999</v>
      </c>
      <c r="BH305" t="n">
        <v>81.10899999999999</v>
      </c>
      <c r="BI305" t="n">
        <v>81.10899999999999</v>
      </c>
      <c r="BJ305" t="n">
        <v>81.10899999999999</v>
      </c>
      <c r="BK305" t="n">
        <v>81.10899999999999</v>
      </c>
      <c r="BL305" t="n">
        <v>81.10899999999999</v>
      </c>
      <c r="BM305" t="n">
        <v>81.10899999999999</v>
      </c>
      <c r="BN305" t="n">
        <v>81.10899999999999</v>
      </c>
      <c r="BO305" t="n">
        <v>81.10899999999999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</row>
    <row r="306">
      <c r="A306" t="inlineStr">
        <is>
          <t>Cheilopogon unicolor</t>
        </is>
      </c>
      <c r="B306" t="inlineStr">
        <is>
          <t>Limpidwing flyingfish</t>
        </is>
      </c>
      <c r="C306" t="inlineStr">
        <is>
          <t>Medium pelagics (30 - 89 cm)</t>
        </is>
      </c>
      <c r="D306" t="inlineStr">
        <is>
          <t>Other fishes &amp; inverts</t>
        </is>
      </c>
      <c r="E306" t="n">
        <v>6.163</v>
      </c>
      <c r="F306" t="n">
        <v>7.575</v>
      </c>
      <c r="G306" t="n">
        <v>8.881</v>
      </c>
      <c r="H306" t="n">
        <v>9.528</v>
      </c>
      <c r="I306" t="n">
        <v>9.747999999999999</v>
      </c>
      <c r="J306" t="n">
        <v>11.84</v>
      </c>
      <c r="K306" t="n">
        <v>13.733</v>
      </c>
      <c r="L306" t="n">
        <v>15.053</v>
      </c>
      <c r="M306" t="n">
        <v>16.68</v>
      </c>
      <c r="N306" t="n">
        <v>18.838</v>
      </c>
      <c r="O306" t="n">
        <v>20.072</v>
      </c>
      <c r="P306" t="n">
        <v>23.727</v>
      </c>
      <c r="Q306" t="n">
        <v>26.052</v>
      </c>
      <c r="R306" t="n">
        <v>28.213</v>
      </c>
      <c r="S306" t="n">
        <v>31.575</v>
      </c>
      <c r="T306" t="n">
        <v>34.268</v>
      </c>
      <c r="U306" t="n">
        <v>37.885</v>
      </c>
      <c r="V306" t="n">
        <v>42.094</v>
      </c>
      <c r="W306" t="n">
        <v>48.514</v>
      </c>
      <c r="X306" t="n">
        <v>54.245</v>
      </c>
      <c r="Y306" t="n">
        <v>56.795</v>
      </c>
      <c r="Z306" t="n">
        <v>61.269</v>
      </c>
      <c r="AA306" t="n">
        <v>59.816</v>
      </c>
      <c r="AB306" t="n">
        <v>63.614</v>
      </c>
      <c r="AC306" t="n">
        <v>63.646</v>
      </c>
      <c r="AD306" t="n">
        <v>81.123</v>
      </c>
      <c r="AE306" t="n">
        <v>84.131</v>
      </c>
      <c r="AF306" t="n">
        <v>87.633</v>
      </c>
      <c r="AG306" t="n">
        <v>97.29900000000001</v>
      </c>
      <c r="AH306" t="n">
        <v>103.179</v>
      </c>
      <c r="AI306" t="n">
        <v>103.639</v>
      </c>
      <c r="AJ306" t="n">
        <v>91.07599999999999</v>
      </c>
      <c r="AK306" t="n">
        <v>89.97499999999999</v>
      </c>
      <c r="AL306" t="n">
        <v>90.06699999999999</v>
      </c>
      <c r="AM306" t="n">
        <v>88.62</v>
      </c>
      <c r="AN306" t="n">
        <v>91.45699999999999</v>
      </c>
      <c r="AO306" t="n">
        <v>91.791</v>
      </c>
      <c r="AP306" t="n">
        <v>84.62</v>
      </c>
      <c r="AQ306" t="n">
        <v>81.672</v>
      </c>
      <c r="AR306" t="n">
        <v>73.855</v>
      </c>
      <c r="AS306" t="n">
        <v>59.406</v>
      </c>
      <c r="AT306" t="n">
        <v>53.157</v>
      </c>
      <c r="AU306" t="n">
        <v>55.288</v>
      </c>
      <c r="AV306" t="n">
        <v>49.047</v>
      </c>
      <c r="AW306" t="n">
        <v>47.72</v>
      </c>
      <c r="AX306" t="n">
        <v>56.545</v>
      </c>
      <c r="AY306" t="n">
        <v>53.554</v>
      </c>
      <c r="AZ306" t="n">
        <v>47.834</v>
      </c>
      <c r="BA306" t="n">
        <v>39.695</v>
      </c>
      <c r="BB306" t="n">
        <v>40.924</v>
      </c>
      <c r="BC306" t="n">
        <v>14.322</v>
      </c>
      <c r="BD306" t="n">
        <v>20.304</v>
      </c>
      <c r="BE306" t="n">
        <v>33.214</v>
      </c>
      <c r="BF306" t="n">
        <v>25.06</v>
      </c>
      <c r="BG306" t="n">
        <v>87.785</v>
      </c>
      <c r="BH306" t="n">
        <v>42.505</v>
      </c>
      <c r="BI306" t="n">
        <v>11.673</v>
      </c>
      <c r="BJ306" t="n">
        <v>2.384</v>
      </c>
      <c r="BK306" t="n">
        <v>2.123</v>
      </c>
      <c r="BL306" t="n">
        <v>5.349</v>
      </c>
      <c r="BM306" t="n">
        <v>2.706</v>
      </c>
      <c r="BN306" t="n">
        <v>3.114</v>
      </c>
      <c r="BO306" t="n">
        <v>3.191</v>
      </c>
      <c r="BP306" t="n">
        <v>2.653</v>
      </c>
      <c r="BQ306" t="n">
        <v>2.865</v>
      </c>
      <c r="BR306" t="n">
        <v>2.715</v>
      </c>
      <c r="BS306" t="n">
        <v>2.661</v>
      </c>
      <c r="BT306" t="n">
        <v>3.041</v>
      </c>
      <c r="BU306" t="n">
        <v>4.584</v>
      </c>
      <c r="BV306" t="n">
        <v>3.11</v>
      </c>
    </row>
    <row r="307">
      <c r="A307" t="inlineStr">
        <is>
          <t>Mizuhopecten yessoensis</t>
        </is>
      </c>
      <c r="B307" t="inlineStr">
        <is>
          <t>Yesso scallop</t>
        </is>
      </c>
      <c r="C307" t="inlineStr">
        <is>
          <t>Other demersal invertebrates</t>
        </is>
      </c>
      <c r="D307" t="inlineStr">
        <is>
          <t>Molluscs</t>
        </is>
      </c>
      <c r="E307" t="n">
        <v>0</v>
      </c>
      <c r="F307" t="n">
        <v>0.001</v>
      </c>
      <c r="G307" t="n">
        <v>0</v>
      </c>
      <c r="H307" t="n">
        <v>0</v>
      </c>
      <c r="I307" t="n">
        <v>0</v>
      </c>
      <c r="J307" t="n">
        <v>0</v>
      </c>
      <c r="K307" t="n">
        <v>0.001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17.564</v>
      </c>
      <c r="Z307" t="n">
        <v>2.553</v>
      </c>
      <c r="AA307" t="n">
        <v>178.269</v>
      </c>
      <c r="AB307" t="n">
        <v>63.443</v>
      </c>
      <c r="AC307" t="n">
        <v>134.539</v>
      </c>
      <c r="AD307" t="n">
        <v>27.58</v>
      </c>
      <c r="AE307" t="n">
        <v>401.713</v>
      </c>
      <c r="AF307" t="n">
        <v>215.96</v>
      </c>
      <c r="AG307" t="n">
        <v>223.611</v>
      </c>
      <c r="AH307" t="n">
        <v>10.594</v>
      </c>
      <c r="AI307" t="n">
        <v>55.112</v>
      </c>
      <c r="AJ307" t="n">
        <v>62.17</v>
      </c>
      <c r="AK307" t="n">
        <v>49.843</v>
      </c>
      <c r="AL307" t="n">
        <v>18.167</v>
      </c>
      <c r="AM307" t="n">
        <v>4.717</v>
      </c>
      <c r="AN307" t="n">
        <v>109.924</v>
      </c>
      <c r="AO307" t="n">
        <v>32.004</v>
      </c>
      <c r="AP307" t="n">
        <v>90.708</v>
      </c>
      <c r="AQ307" t="n">
        <v>86.018</v>
      </c>
      <c r="AR307" t="n">
        <v>71.62</v>
      </c>
      <c r="AS307" t="n">
        <v>72.303</v>
      </c>
      <c r="AT307" t="n">
        <v>62.138</v>
      </c>
      <c r="AU307" t="n">
        <v>43.074</v>
      </c>
      <c r="AV307" t="n">
        <v>51.43</v>
      </c>
      <c r="AW307" t="n">
        <v>60.264</v>
      </c>
      <c r="AX307" t="n">
        <v>32.883</v>
      </c>
      <c r="AY307" t="n">
        <v>114.963</v>
      </c>
      <c r="AZ307" t="n">
        <v>103.546</v>
      </c>
      <c r="BA307" t="n">
        <v>107.137</v>
      </c>
      <c r="BB307" t="n">
        <v>96.855</v>
      </c>
      <c r="BC307" t="n">
        <v>62.224</v>
      </c>
      <c r="BD307" t="n">
        <v>35.804</v>
      </c>
      <c r="BE307" t="n">
        <v>17.21</v>
      </c>
      <c r="BF307" t="n">
        <v>16.178</v>
      </c>
      <c r="BG307" t="n">
        <v>18.199</v>
      </c>
      <c r="BH307" t="n">
        <v>1.356</v>
      </c>
      <c r="BI307" t="n">
        <v>7.795</v>
      </c>
      <c r="BJ307" t="n">
        <v>23.803</v>
      </c>
      <c r="BK307" t="n">
        <v>1.283</v>
      </c>
      <c r="BL307" t="n">
        <v>5.507</v>
      </c>
      <c r="BM307" t="n">
        <v>15.787</v>
      </c>
      <c r="BN307" t="n">
        <v>6.908</v>
      </c>
      <c r="BO307" t="n">
        <v>21.266</v>
      </c>
      <c r="BP307" t="n">
        <v>5.971</v>
      </c>
      <c r="BQ307" t="n">
        <v>6.342</v>
      </c>
      <c r="BR307" t="n">
        <v>4.955</v>
      </c>
      <c r="BS307" t="n">
        <v>6.57</v>
      </c>
      <c r="BT307" t="n">
        <v>6.193</v>
      </c>
      <c r="BU307" t="n">
        <v>6.304</v>
      </c>
      <c r="BV307" t="n">
        <v>5.873</v>
      </c>
    </row>
    <row r="308">
      <c r="A308" t="inlineStr">
        <is>
          <t>Evynnis tumifrons</t>
        </is>
      </c>
      <c r="B308" t="inlineStr">
        <is>
          <t>Yellowback seabream</t>
        </is>
      </c>
      <c r="C308" t="inlineStr">
        <is>
          <t>Medium demersals (30 - 89 cm)</t>
        </is>
      </c>
      <c r="D308" t="inlineStr">
        <is>
          <t>Perch-likes</t>
        </is>
      </c>
      <c r="E308" t="n">
        <v>7.712</v>
      </c>
      <c r="F308" t="n">
        <v>9.487</v>
      </c>
      <c r="G308" t="n">
        <v>11.119</v>
      </c>
      <c r="H308" t="n">
        <v>11.926</v>
      </c>
      <c r="I308" t="n">
        <v>12.471</v>
      </c>
      <c r="J308" t="n">
        <v>15.149</v>
      </c>
      <c r="K308" t="n">
        <v>17.38</v>
      </c>
      <c r="L308" t="n">
        <v>19.049</v>
      </c>
      <c r="M308" t="n">
        <v>21.139</v>
      </c>
      <c r="N308" t="n">
        <v>23.731</v>
      </c>
      <c r="O308" t="n">
        <v>24.775</v>
      </c>
      <c r="P308" t="n">
        <v>28.878</v>
      </c>
      <c r="Q308" t="n">
        <v>31.31</v>
      </c>
      <c r="R308" t="n">
        <v>34.204</v>
      </c>
      <c r="S308" t="n">
        <v>37.04</v>
      </c>
      <c r="T308" t="n">
        <v>39.567</v>
      </c>
      <c r="U308" t="n">
        <v>42.615</v>
      </c>
      <c r="V308" t="n">
        <v>47.044</v>
      </c>
      <c r="W308" t="n">
        <v>53.499</v>
      </c>
      <c r="X308" t="n">
        <v>59.548</v>
      </c>
      <c r="Y308" t="n">
        <v>62.307</v>
      </c>
      <c r="Z308" t="n">
        <v>66.94799999999999</v>
      </c>
      <c r="AA308" t="n">
        <v>65.026</v>
      </c>
      <c r="AB308" t="n">
        <v>68.71299999999999</v>
      </c>
      <c r="AC308" t="n">
        <v>68.709</v>
      </c>
      <c r="AD308" t="n">
        <v>68.937</v>
      </c>
      <c r="AE308" t="n">
        <v>57.558</v>
      </c>
      <c r="AF308" t="n">
        <v>59.843</v>
      </c>
      <c r="AG308" t="n">
        <v>57.917</v>
      </c>
      <c r="AH308" t="n">
        <v>59.868</v>
      </c>
      <c r="AI308" t="n">
        <v>60.265</v>
      </c>
      <c r="AJ308" t="n">
        <v>53.869</v>
      </c>
      <c r="AK308" t="n">
        <v>53.574</v>
      </c>
      <c r="AL308" t="n">
        <v>54.558</v>
      </c>
      <c r="AM308" t="n">
        <v>53.818</v>
      </c>
      <c r="AN308" t="n">
        <v>56.274</v>
      </c>
      <c r="AO308" t="n">
        <v>57.114</v>
      </c>
      <c r="AP308" t="n">
        <v>52.545</v>
      </c>
      <c r="AQ308" t="n">
        <v>50.542</v>
      </c>
      <c r="AR308" t="n">
        <v>45.988</v>
      </c>
      <c r="AS308" t="n">
        <v>38.291</v>
      </c>
      <c r="AT308" t="n">
        <v>34.021</v>
      </c>
      <c r="AU308" t="n">
        <v>35.546</v>
      </c>
      <c r="AV308" t="n">
        <v>32.032</v>
      </c>
      <c r="AW308" t="n">
        <v>31.143</v>
      </c>
      <c r="AX308" t="n">
        <v>36.398</v>
      </c>
      <c r="AY308" t="n">
        <v>34.252</v>
      </c>
      <c r="AZ308" t="n">
        <v>31.043</v>
      </c>
      <c r="BA308" t="n">
        <v>27.276</v>
      </c>
      <c r="BB308" t="n">
        <v>27.364</v>
      </c>
      <c r="BC308" t="n">
        <v>42.686</v>
      </c>
      <c r="BD308" t="n">
        <v>57.842</v>
      </c>
      <c r="BE308" t="n">
        <v>51.947</v>
      </c>
      <c r="BF308" t="n">
        <v>24.279</v>
      </c>
      <c r="BG308" t="n">
        <v>32.383</v>
      </c>
      <c r="BH308" t="n">
        <v>25.492</v>
      </c>
      <c r="BI308" t="n">
        <v>27.346</v>
      </c>
      <c r="BJ308" t="n">
        <v>26.457</v>
      </c>
      <c r="BK308" t="n">
        <v>20.587</v>
      </c>
      <c r="BL308" t="n">
        <v>17.88</v>
      </c>
      <c r="BM308" t="n">
        <v>13.905</v>
      </c>
      <c r="BN308" t="n">
        <v>15.969</v>
      </c>
      <c r="BO308" t="n">
        <v>16.378</v>
      </c>
      <c r="BP308" t="n">
        <v>13.618</v>
      </c>
      <c r="BQ308" t="n">
        <v>14.702</v>
      </c>
      <c r="BR308" t="n">
        <v>13.927</v>
      </c>
      <c r="BS308" t="n">
        <v>13.653</v>
      </c>
      <c r="BT308" t="n">
        <v>15.598</v>
      </c>
      <c r="BU308" t="n">
        <v>23.509</v>
      </c>
      <c r="BV308" t="n">
        <v>15.948</v>
      </c>
    </row>
    <row r="309">
      <c r="A309" t="inlineStr">
        <is>
          <t>Ephippidae</t>
        </is>
      </c>
      <c r="B309" t="inlineStr">
        <is>
          <t>Spade-, batfishes, scats</t>
        </is>
      </c>
      <c r="C309" t="inlineStr">
        <is>
          <t>Medium reef assoc. fish (30 - 89 cm)</t>
        </is>
      </c>
      <c r="D309" t="inlineStr">
        <is>
          <t>Perch-likes</t>
        </is>
      </c>
      <c r="E309" t="n">
        <v>5.992</v>
      </c>
      <c r="F309" t="n">
        <v>7.192</v>
      </c>
      <c r="G309" t="n">
        <v>7.431</v>
      </c>
      <c r="H309" t="n">
        <v>7.332</v>
      </c>
      <c r="I309" t="n">
        <v>9.345000000000001</v>
      </c>
      <c r="J309" t="n">
        <v>9.895</v>
      </c>
      <c r="K309" t="n">
        <v>10.673</v>
      </c>
      <c r="L309" t="n">
        <v>10.288</v>
      </c>
      <c r="M309" t="n">
        <v>11.016</v>
      </c>
      <c r="N309" t="n">
        <v>11.565</v>
      </c>
      <c r="O309" t="n">
        <v>12.722</v>
      </c>
      <c r="P309" t="n">
        <v>11.791</v>
      </c>
      <c r="Q309" t="n">
        <v>13.961</v>
      </c>
      <c r="R309" t="n">
        <v>18.342</v>
      </c>
      <c r="S309" t="n">
        <v>15.101</v>
      </c>
      <c r="T309" t="n">
        <v>26.853</v>
      </c>
      <c r="U309" t="n">
        <v>38.732</v>
      </c>
      <c r="V309" t="n">
        <v>51.77</v>
      </c>
      <c r="W309" t="n">
        <v>75.45399999999999</v>
      </c>
      <c r="X309" t="n">
        <v>81.762</v>
      </c>
      <c r="Y309" t="n">
        <v>54.799</v>
      </c>
      <c r="Z309" t="n">
        <v>59.058</v>
      </c>
      <c r="AA309" t="n">
        <v>110.691</v>
      </c>
      <c r="AB309" t="n">
        <v>27.422</v>
      </c>
      <c r="AC309" t="n">
        <v>75.854</v>
      </c>
      <c r="AD309" t="n">
        <v>40.715</v>
      </c>
      <c r="AE309" t="n">
        <v>38.013</v>
      </c>
      <c r="AF309" t="n">
        <v>30.421</v>
      </c>
      <c r="AG309" t="n">
        <v>30.411</v>
      </c>
      <c r="AH309" t="n">
        <v>29.26</v>
      </c>
      <c r="AI309" t="n">
        <v>37.492</v>
      </c>
      <c r="AJ309" t="n">
        <v>24.388</v>
      </c>
      <c r="AK309" t="n">
        <v>30.988</v>
      </c>
      <c r="AL309" t="n">
        <v>72.074</v>
      </c>
      <c r="AM309" t="n">
        <v>110.676</v>
      </c>
      <c r="AN309" t="n">
        <v>86.32599999999999</v>
      </c>
      <c r="AO309" t="n">
        <v>64.05</v>
      </c>
      <c r="AP309" t="n">
        <v>39.789</v>
      </c>
      <c r="AQ309" t="n">
        <v>14.898</v>
      </c>
      <c r="AR309" t="n">
        <v>26.012</v>
      </c>
      <c r="AS309" t="n">
        <v>25.258</v>
      </c>
      <c r="AT309" t="n">
        <v>31.804</v>
      </c>
      <c r="AU309" t="n">
        <v>75.20999999999999</v>
      </c>
      <c r="AV309" t="n">
        <v>74.036</v>
      </c>
      <c r="AW309" t="n">
        <v>41.911</v>
      </c>
      <c r="AX309" t="n">
        <v>57.474</v>
      </c>
      <c r="AY309" t="n">
        <v>51.468</v>
      </c>
      <c r="AZ309" t="n">
        <v>22.229</v>
      </c>
      <c r="BA309" t="n">
        <v>35.181</v>
      </c>
      <c r="BB309" t="n">
        <v>29.238</v>
      </c>
      <c r="BC309" t="n">
        <v>12.101</v>
      </c>
      <c r="BD309" t="n">
        <v>14.325</v>
      </c>
      <c r="BE309" t="n">
        <v>33.503</v>
      </c>
      <c r="BF309" t="n">
        <v>35.008</v>
      </c>
      <c r="BG309" t="n">
        <v>31.485</v>
      </c>
      <c r="BH309" t="n">
        <v>29.648</v>
      </c>
      <c r="BI309" t="n">
        <v>28.267</v>
      </c>
      <c r="BJ309" t="n">
        <v>32.924</v>
      </c>
      <c r="BK309" t="n">
        <v>32.178</v>
      </c>
      <c r="BL309" t="n">
        <v>33.469</v>
      </c>
      <c r="BM309" t="n">
        <v>34.558</v>
      </c>
      <c r="BN309" t="n">
        <v>41.867</v>
      </c>
      <c r="BO309" t="n">
        <v>39.181</v>
      </c>
      <c r="BP309" t="n">
        <v>37.433</v>
      </c>
      <c r="BQ309" t="n">
        <v>34.005</v>
      </c>
      <c r="BR309" t="n">
        <v>32.677</v>
      </c>
      <c r="BS309" t="n">
        <v>35.022</v>
      </c>
      <c r="BT309" t="n">
        <v>31.495</v>
      </c>
      <c r="BU309" t="n">
        <v>30.725</v>
      </c>
      <c r="BV309" t="n">
        <v>33.554</v>
      </c>
    </row>
    <row r="310">
      <c r="A310" t="inlineStr">
        <is>
          <t>Mola mola</t>
        </is>
      </c>
      <c r="B310" t="inlineStr">
        <is>
          <t>Ocean sunfish</t>
        </is>
      </c>
      <c r="C310" t="inlineStr">
        <is>
          <t>Large pelagics (&gt;=90 cm)</t>
        </is>
      </c>
      <c r="D310" t="inlineStr">
        <is>
          <t>Other fishes &amp; inverts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0.9409999999999999</v>
      </c>
      <c r="BI310" t="n">
        <v>3.632</v>
      </c>
      <c r="BJ310" t="n">
        <v>3.433</v>
      </c>
      <c r="BK310" t="n">
        <v>3.796</v>
      </c>
      <c r="BL310" t="n">
        <v>2.66</v>
      </c>
      <c r="BM310" t="n">
        <v>5.979</v>
      </c>
      <c r="BN310" t="n">
        <v>236.666</v>
      </c>
      <c r="BO310" t="n">
        <v>306.321</v>
      </c>
      <c r="BP310" t="n">
        <v>4.746</v>
      </c>
      <c r="BQ310" t="n">
        <v>394.912</v>
      </c>
      <c r="BR310" t="n">
        <v>562.715</v>
      </c>
      <c r="BS310" t="n">
        <v>226.461</v>
      </c>
      <c r="BT310" t="n">
        <v>284.697</v>
      </c>
      <c r="BU310" t="n">
        <v>151.25</v>
      </c>
      <c r="BV310" t="n">
        <v>281.74</v>
      </c>
    </row>
    <row r="311">
      <c r="A311" t="inlineStr">
        <is>
          <t>Latidae</t>
        </is>
      </c>
      <c r="B311" t="inlineStr">
        <is>
          <t>Lates perches</t>
        </is>
      </c>
      <c r="C311" t="inlineStr">
        <is>
          <t>Large demersals (&gt;=90 cm)</t>
        </is>
      </c>
      <c r="D311" t="inlineStr">
        <is>
          <t>Perch-likes</t>
        </is>
      </c>
      <c r="E311" t="n">
        <v>22.734</v>
      </c>
      <c r="F311" t="n">
        <v>22.666</v>
      </c>
      <c r="G311" t="n">
        <v>22.718</v>
      </c>
      <c r="H311" t="n">
        <v>23.404</v>
      </c>
      <c r="I311" t="n">
        <v>24.041</v>
      </c>
      <c r="J311" t="n">
        <v>24.398</v>
      </c>
      <c r="K311" t="n">
        <v>24.991</v>
      </c>
      <c r="L311" t="n">
        <v>25.722</v>
      </c>
      <c r="M311" t="n">
        <v>25.947</v>
      </c>
      <c r="N311" t="n">
        <v>26.332</v>
      </c>
      <c r="O311" t="n">
        <v>27.349</v>
      </c>
      <c r="P311" t="n">
        <v>26.464</v>
      </c>
      <c r="Q311" t="n">
        <v>25.494</v>
      </c>
      <c r="R311" t="n">
        <v>23.539</v>
      </c>
      <c r="S311" t="n">
        <v>20.621</v>
      </c>
      <c r="T311" t="n">
        <v>16.113</v>
      </c>
      <c r="U311" t="n">
        <v>8.414</v>
      </c>
      <c r="V311" t="n">
        <v>8.693</v>
      </c>
      <c r="W311" t="n">
        <v>8.961</v>
      </c>
      <c r="X311" t="n">
        <v>9.239000000000001</v>
      </c>
      <c r="Y311" t="n">
        <v>14.822</v>
      </c>
      <c r="Z311" t="n">
        <v>15.246</v>
      </c>
      <c r="AA311" t="n">
        <v>17.425</v>
      </c>
      <c r="AB311" t="n">
        <v>22.204</v>
      </c>
      <c r="AC311" t="n">
        <v>24.539</v>
      </c>
      <c r="AD311" t="n">
        <v>20.876</v>
      </c>
      <c r="AE311" t="n">
        <v>21.366</v>
      </c>
      <c r="AF311" t="n">
        <v>15.967</v>
      </c>
      <c r="AG311" t="n">
        <v>18.03</v>
      </c>
      <c r="AH311" t="n">
        <v>15.903</v>
      </c>
      <c r="AI311" t="n">
        <v>29.721</v>
      </c>
      <c r="AJ311" t="n">
        <v>27.179</v>
      </c>
      <c r="AK311" t="n">
        <v>23.895</v>
      </c>
      <c r="AL311" t="n">
        <v>25.349</v>
      </c>
      <c r="AM311" t="n">
        <v>19.733</v>
      </c>
      <c r="AN311" t="n">
        <v>23.208</v>
      </c>
      <c r="AO311" t="n">
        <v>25.461</v>
      </c>
      <c r="AP311" t="n">
        <v>25.093</v>
      </c>
      <c r="AQ311" t="n">
        <v>25.388</v>
      </c>
      <c r="AR311" t="n">
        <v>32.452</v>
      </c>
      <c r="AS311" t="n">
        <v>35.212</v>
      </c>
      <c r="AT311" t="n">
        <v>31.751</v>
      </c>
      <c r="AU311" t="n">
        <v>31.412</v>
      </c>
      <c r="AV311" t="n">
        <v>35.112</v>
      </c>
      <c r="AW311" t="n">
        <v>35.838</v>
      </c>
      <c r="AX311" t="n">
        <v>43.979</v>
      </c>
      <c r="AY311" t="n">
        <v>40.785</v>
      </c>
      <c r="AZ311" t="n">
        <v>41.769</v>
      </c>
      <c r="BA311" t="n">
        <v>48.016</v>
      </c>
      <c r="BB311" t="n">
        <v>51.049</v>
      </c>
      <c r="BC311" t="n">
        <v>51.946</v>
      </c>
      <c r="BD311" t="n">
        <v>54.996</v>
      </c>
      <c r="BE311" t="n">
        <v>57.821</v>
      </c>
      <c r="BF311" t="n">
        <v>52.775</v>
      </c>
      <c r="BG311" t="n">
        <v>61.069</v>
      </c>
      <c r="BH311" t="n">
        <v>87.414</v>
      </c>
      <c r="BI311" t="n">
        <v>66.068</v>
      </c>
      <c r="BJ311" t="n">
        <v>75.376</v>
      </c>
      <c r="BK311" t="n">
        <v>84.78700000000001</v>
      </c>
      <c r="BL311" t="n">
        <v>88.863</v>
      </c>
      <c r="BM311" t="n">
        <v>83.75700000000001</v>
      </c>
      <c r="BN311" t="n">
        <v>46.531</v>
      </c>
      <c r="BO311" t="n">
        <v>47.161</v>
      </c>
      <c r="BP311" t="n">
        <v>56.792</v>
      </c>
      <c r="BQ311" t="n">
        <v>48.214</v>
      </c>
      <c r="BR311" t="n">
        <v>48.782</v>
      </c>
      <c r="BS311" t="n">
        <v>49.356</v>
      </c>
      <c r="BT311" t="n">
        <v>49.835</v>
      </c>
      <c r="BU311" t="n">
        <v>49.186</v>
      </c>
      <c r="BV311" t="n">
        <v>48.827</v>
      </c>
    </row>
    <row r="312">
      <c r="A312" t="inlineStr">
        <is>
          <t>Ranina ranina</t>
        </is>
      </c>
      <c r="B312" t="inlineStr">
        <is>
          <t xml:space="preserve">Kona crab </t>
        </is>
      </c>
      <c r="C312" t="inlineStr">
        <is>
          <t>Lobsters, crabs</t>
        </is>
      </c>
      <c r="D312" t="inlineStr">
        <is>
          <t>Crustaceans</t>
        </is>
      </c>
      <c r="E312" t="n">
        <v>5.105</v>
      </c>
      <c r="F312" t="n">
        <v>6.301</v>
      </c>
      <c r="G312" t="n">
        <v>7.078</v>
      </c>
      <c r="H312" t="n">
        <v>7.402</v>
      </c>
      <c r="I312" t="n">
        <v>7.971</v>
      </c>
      <c r="J312" t="n">
        <v>9.297000000000001</v>
      </c>
      <c r="K312" t="n">
        <v>10.667</v>
      </c>
      <c r="L312" t="n">
        <v>11.346</v>
      </c>
      <c r="M312" t="n">
        <v>12.388</v>
      </c>
      <c r="N312" t="n">
        <v>13.732</v>
      </c>
      <c r="O312" t="n">
        <v>14.847</v>
      </c>
      <c r="P312" t="n">
        <v>16.761</v>
      </c>
      <c r="Q312" t="n">
        <v>18.492</v>
      </c>
      <c r="R312" t="n">
        <v>20.405</v>
      </c>
      <c r="S312" t="n">
        <v>22.981</v>
      </c>
      <c r="T312" t="n">
        <v>25.222</v>
      </c>
      <c r="U312" t="n">
        <v>28.769</v>
      </c>
      <c r="V312" t="n">
        <v>31.72</v>
      </c>
      <c r="W312" t="n">
        <v>36.58</v>
      </c>
      <c r="X312" t="n">
        <v>42.499</v>
      </c>
      <c r="Y312" t="n">
        <v>45.344</v>
      </c>
      <c r="Z312" t="n">
        <v>48.407</v>
      </c>
      <c r="AA312" t="n">
        <v>48.426</v>
      </c>
      <c r="AB312" t="n">
        <v>53</v>
      </c>
      <c r="AC312" t="n">
        <v>53.333</v>
      </c>
      <c r="AD312" t="n">
        <v>70.252</v>
      </c>
      <c r="AE312" t="n">
        <v>73.611</v>
      </c>
      <c r="AF312" t="n">
        <v>78.122</v>
      </c>
      <c r="AG312" t="n">
        <v>88.748</v>
      </c>
      <c r="AH312" t="n">
        <v>94.748</v>
      </c>
      <c r="AI312" t="n">
        <v>95.163</v>
      </c>
      <c r="AJ312" t="n">
        <v>84.84699999999999</v>
      </c>
      <c r="AK312" t="n">
        <v>84.40900000000001</v>
      </c>
      <c r="AL312" t="n">
        <v>84.384</v>
      </c>
      <c r="AM312" t="n">
        <v>80.642</v>
      </c>
      <c r="AN312" t="n">
        <v>80.52500000000001</v>
      </c>
      <c r="AO312" t="n">
        <v>78.455</v>
      </c>
      <c r="AP312" t="n">
        <v>70.413</v>
      </c>
      <c r="AQ312" t="n">
        <v>65.79300000000001</v>
      </c>
      <c r="AR312" t="n">
        <v>61.024</v>
      </c>
      <c r="AS312" t="n">
        <v>49.461</v>
      </c>
      <c r="AT312" t="n">
        <v>44.958</v>
      </c>
      <c r="AU312" t="n">
        <v>45.925</v>
      </c>
      <c r="AV312" t="n">
        <v>40.155</v>
      </c>
      <c r="AW312" t="n">
        <v>38.488</v>
      </c>
      <c r="AX312" t="n">
        <v>47.157</v>
      </c>
      <c r="AY312" t="n">
        <v>44.462</v>
      </c>
      <c r="AZ312" t="n">
        <v>39.783</v>
      </c>
      <c r="BA312" t="n">
        <v>32.855</v>
      </c>
      <c r="BB312" t="n">
        <v>33.919</v>
      </c>
      <c r="BC312" t="n">
        <v>30.664</v>
      </c>
      <c r="BD312" t="n">
        <v>20.101</v>
      </c>
      <c r="BE312" t="n">
        <v>18.154</v>
      </c>
      <c r="BF312" t="n">
        <v>10.927</v>
      </c>
      <c r="BG312" t="n">
        <v>8.81</v>
      </c>
      <c r="BH312" t="n">
        <v>11.472</v>
      </c>
      <c r="BI312" t="n">
        <v>13.133</v>
      </c>
      <c r="BJ312" t="n">
        <v>7.145</v>
      </c>
      <c r="BK312" t="n">
        <v>2.154</v>
      </c>
      <c r="BL312" t="n">
        <v>1.429</v>
      </c>
      <c r="BM312" t="n">
        <v>1.488</v>
      </c>
      <c r="BN312" t="n">
        <v>1.961</v>
      </c>
      <c r="BO312" t="n">
        <v>1.835</v>
      </c>
      <c r="BP312" t="n">
        <v>1.704</v>
      </c>
      <c r="BQ312" t="n">
        <v>1.571</v>
      </c>
      <c r="BR312" t="n">
        <v>1.558</v>
      </c>
      <c r="BS312" t="n">
        <v>1.661</v>
      </c>
      <c r="BT312" t="n">
        <v>1.531</v>
      </c>
      <c r="BU312" t="n">
        <v>1.525</v>
      </c>
      <c r="BV312" t="n">
        <v>1.713</v>
      </c>
    </row>
    <row r="313">
      <c r="A313" t="inlineStr">
        <is>
          <t>Ozius guttatus</t>
        </is>
      </c>
      <c r="B313" t="inlineStr">
        <is>
          <t>Spottedbelly rock crab</t>
        </is>
      </c>
      <c r="C313" t="inlineStr">
        <is>
          <t>Lobsters, crabs</t>
        </is>
      </c>
      <c r="D313" t="inlineStr">
        <is>
          <t>Crustaceans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51.272</v>
      </c>
      <c r="AT313" t="n">
        <v>49.672</v>
      </c>
      <c r="AU313" t="n">
        <v>46.574</v>
      </c>
      <c r="AV313" t="n">
        <v>47.189</v>
      </c>
      <c r="AW313" t="n">
        <v>45.137</v>
      </c>
      <c r="AX313" t="n">
        <v>47.189</v>
      </c>
      <c r="AY313" t="n">
        <v>48.215</v>
      </c>
      <c r="AZ313" t="n">
        <v>45.958</v>
      </c>
      <c r="BA313" t="n">
        <v>49.651</v>
      </c>
      <c r="BB313" t="n">
        <v>58.473</v>
      </c>
      <c r="BC313" t="n">
        <v>73.717</v>
      </c>
      <c r="BD313" t="n">
        <v>71.809</v>
      </c>
      <c r="BE313" t="n">
        <v>77.964</v>
      </c>
      <c r="BF313" t="n">
        <v>94.378</v>
      </c>
      <c r="BG313" t="n">
        <v>96.43000000000001</v>
      </c>
      <c r="BH313" t="n">
        <v>104.637</v>
      </c>
      <c r="BI313" t="n">
        <v>104.637</v>
      </c>
      <c r="BJ313" t="n">
        <v>98.48099999999999</v>
      </c>
      <c r="BK313" t="n">
        <v>93.968</v>
      </c>
      <c r="BL313" t="n">
        <v>102.852</v>
      </c>
      <c r="BM313" t="n">
        <v>93.51600000000001</v>
      </c>
      <c r="BN313" t="n">
        <v>86.78700000000001</v>
      </c>
      <c r="BO313" t="n">
        <v>87.813</v>
      </c>
      <c r="BP313" t="n">
        <v>83.09399999999999</v>
      </c>
      <c r="BQ313" t="n">
        <v>90.89</v>
      </c>
      <c r="BR313" t="n">
        <v>90.919</v>
      </c>
      <c r="BS313" t="n">
        <v>91.155</v>
      </c>
      <c r="BT313" t="n">
        <v>91.476</v>
      </c>
      <c r="BU313" t="n">
        <v>0</v>
      </c>
      <c r="BV313" t="n">
        <v>0</v>
      </c>
    </row>
    <row r="314">
      <c r="A314" t="inlineStr">
        <is>
          <t>Sphyraena barracuda</t>
        </is>
      </c>
      <c r="B314" t="inlineStr">
        <is>
          <t>Great barracuda</t>
        </is>
      </c>
      <c r="C314" t="inlineStr">
        <is>
          <t>Large pelagics (&gt;=90 cm)</t>
        </is>
      </c>
      <c r="D314" t="inlineStr">
        <is>
          <t>Perch-likes</t>
        </is>
      </c>
      <c r="E314" t="n">
        <v>30.404</v>
      </c>
      <c r="F314" t="n">
        <v>4.9</v>
      </c>
      <c r="G314" t="n">
        <v>5.765</v>
      </c>
      <c r="H314" t="n">
        <v>6.191</v>
      </c>
      <c r="I314" t="n">
        <v>6.422</v>
      </c>
      <c r="J314" t="n">
        <v>7.826</v>
      </c>
      <c r="K314" t="n">
        <v>9.018000000000001</v>
      </c>
      <c r="L314" t="n">
        <v>9.890000000000001</v>
      </c>
      <c r="M314" t="n">
        <v>10.946</v>
      </c>
      <c r="N314" t="n">
        <v>12.34</v>
      </c>
      <c r="O314" t="n">
        <v>13.097</v>
      </c>
      <c r="P314" t="n">
        <v>15.409</v>
      </c>
      <c r="Q314" t="n">
        <v>16.747</v>
      </c>
      <c r="R314" t="n">
        <v>18.114</v>
      </c>
      <c r="S314" t="n">
        <v>19.875</v>
      </c>
      <c r="T314" t="n">
        <v>21.567</v>
      </c>
      <c r="U314" t="n">
        <v>23.604</v>
      </c>
      <c r="V314" t="n">
        <v>25.938</v>
      </c>
      <c r="W314" t="n">
        <v>29.47</v>
      </c>
      <c r="X314" t="n">
        <v>32.727</v>
      </c>
      <c r="Y314" t="n">
        <v>34.352</v>
      </c>
      <c r="Z314" t="n">
        <v>37.768</v>
      </c>
      <c r="AA314" t="n">
        <v>37.942</v>
      </c>
      <c r="AB314" t="n">
        <v>39.792</v>
      </c>
      <c r="AC314" t="n">
        <v>39.737</v>
      </c>
      <c r="AD314" t="n">
        <v>49.251</v>
      </c>
      <c r="AE314" t="n">
        <v>50.842</v>
      </c>
      <c r="AF314" t="n">
        <v>54.913</v>
      </c>
      <c r="AG314" t="n">
        <v>59.482</v>
      </c>
      <c r="AH314" t="n">
        <v>63.755</v>
      </c>
      <c r="AI314" t="n">
        <v>63.57</v>
      </c>
      <c r="AJ314" t="n">
        <v>56.604</v>
      </c>
      <c r="AK314" t="n">
        <v>54.852</v>
      </c>
      <c r="AL314" t="n">
        <v>57.071</v>
      </c>
      <c r="AM314" t="n">
        <v>57.79</v>
      </c>
      <c r="AN314" t="n">
        <v>56.35</v>
      </c>
      <c r="AO314" t="n">
        <v>57.145</v>
      </c>
      <c r="AP314" t="n">
        <v>53.648</v>
      </c>
      <c r="AQ314" t="n">
        <v>55.49</v>
      </c>
      <c r="AR314" t="n">
        <v>51.069</v>
      </c>
      <c r="AS314" t="n">
        <v>41.253</v>
      </c>
      <c r="AT314" t="n">
        <v>37.006</v>
      </c>
      <c r="AU314" t="n">
        <v>36.136</v>
      </c>
      <c r="AV314" t="n">
        <v>32.631</v>
      </c>
      <c r="AW314" t="n">
        <v>30.348</v>
      </c>
      <c r="AX314" t="n">
        <v>35.837</v>
      </c>
      <c r="AY314" t="n">
        <v>32.934</v>
      </c>
      <c r="AZ314" t="n">
        <v>30.118</v>
      </c>
      <c r="BA314" t="n">
        <v>23.337</v>
      </c>
      <c r="BB314" t="n">
        <v>23.411</v>
      </c>
      <c r="BC314" t="n">
        <v>14.946</v>
      </c>
      <c r="BD314" t="n">
        <v>23.222</v>
      </c>
      <c r="BE314" t="n">
        <v>20.094</v>
      </c>
      <c r="BF314" t="n">
        <v>13.832</v>
      </c>
      <c r="BG314" t="n">
        <v>19.4</v>
      </c>
      <c r="BH314" t="n">
        <v>17.366</v>
      </c>
      <c r="BI314" t="n">
        <v>15.463</v>
      </c>
      <c r="BJ314" t="n">
        <v>12.53</v>
      </c>
      <c r="BK314" t="n">
        <v>12.697</v>
      </c>
      <c r="BL314" t="n">
        <v>21.674</v>
      </c>
      <c r="BM314" t="n">
        <v>17.747</v>
      </c>
      <c r="BN314" t="n">
        <v>20.812</v>
      </c>
      <c r="BO314" t="n">
        <v>21.192</v>
      </c>
      <c r="BP314" t="n">
        <v>18.424</v>
      </c>
      <c r="BQ314" t="n">
        <v>20.075</v>
      </c>
      <c r="BR314" t="n">
        <v>18.72</v>
      </c>
      <c r="BS314" t="n">
        <v>19.352</v>
      </c>
      <c r="BT314" t="n">
        <v>20.598</v>
      </c>
      <c r="BU314" t="n">
        <v>31.118</v>
      </c>
      <c r="BV314" t="n">
        <v>21.273</v>
      </c>
    </row>
    <row r="315">
      <c r="A315" t="inlineStr">
        <is>
          <t>Melicertus canaliculatus</t>
        </is>
      </c>
      <c r="B315" t="inlineStr">
        <is>
          <t>Witch prawn</t>
        </is>
      </c>
      <c r="C315" t="inlineStr">
        <is>
          <t>Shrimps</t>
        </is>
      </c>
      <c r="D315" t="inlineStr">
        <is>
          <t>Crustaceans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51.605</v>
      </c>
      <c r="AT315" t="n">
        <v>34.705</v>
      </c>
      <c r="AU315" t="n">
        <v>40.303</v>
      </c>
      <c r="AV315" t="n">
        <v>39.487</v>
      </c>
      <c r="AW315" t="n">
        <v>35.1</v>
      </c>
      <c r="AX315" t="n">
        <v>36.855</v>
      </c>
      <c r="AY315" t="n">
        <v>37.732</v>
      </c>
      <c r="AZ315" t="n">
        <v>36.065</v>
      </c>
      <c r="BA315" t="n">
        <v>38.96</v>
      </c>
      <c r="BB315" t="n">
        <v>46.068</v>
      </c>
      <c r="BC315" t="n">
        <v>43.874</v>
      </c>
      <c r="BD315" t="n">
        <v>77.21899999999999</v>
      </c>
      <c r="BE315" t="n">
        <v>87.749</v>
      </c>
      <c r="BF315" t="n">
        <v>107.931</v>
      </c>
      <c r="BG315" t="n">
        <v>110.564</v>
      </c>
      <c r="BH315" t="n">
        <v>118.461</v>
      </c>
      <c r="BI315" t="n">
        <v>119.338</v>
      </c>
      <c r="BJ315" t="n">
        <v>108.809</v>
      </c>
      <c r="BK315" t="n">
        <v>96.875</v>
      </c>
      <c r="BL315" t="n">
        <v>61.951</v>
      </c>
      <c r="BM315" t="n">
        <v>68.102</v>
      </c>
      <c r="BN315" t="n">
        <v>76.56999999999999</v>
      </c>
      <c r="BO315" t="n">
        <v>77.658</v>
      </c>
      <c r="BP315" t="n">
        <v>73.709</v>
      </c>
      <c r="BQ315" t="n">
        <v>80.729</v>
      </c>
      <c r="BR315" t="n">
        <v>80.754</v>
      </c>
      <c r="BS315" t="n">
        <v>80.964</v>
      </c>
      <c r="BT315" t="n">
        <v>81.249</v>
      </c>
      <c r="BU315" t="n">
        <v>0</v>
      </c>
      <c r="BV315" t="n">
        <v>0</v>
      </c>
    </row>
    <row r="316">
      <c r="A316" t="inlineStr">
        <is>
          <t>Seriola dumerili</t>
        </is>
      </c>
      <c r="B316" t="inlineStr">
        <is>
          <t>Greater amberjack</t>
        </is>
      </c>
      <c r="C316" t="inlineStr">
        <is>
          <t>Large reef assoc. fish (&gt;=90 cm)</t>
        </is>
      </c>
      <c r="D316" t="inlineStr">
        <is>
          <t>Perch-likes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40.148</v>
      </c>
      <c r="BO316" t="n">
        <v>105.212</v>
      </c>
      <c r="BP316" t="n">
        <v>133.139</v>
      </c>
      <c r="BQ316" t="n">
        <v>263.338</v>
      </c>
      <c r="BR316" t="n">
        <v>290.068</v>
      </c>
      <c r="BS316" t="n">
        <v>369.861</v>
      </c>
      <c r="BT316" t="n">
        <v>217.044</v>
      </c>
      <c r="BU316" t="n">
        <v>226.156</v>
      </c>
      <c r="BV316" t="n">
        <v>273.349</v>
      </c>
    </row>
    <row r="317">
      <c r="A317" t="inlineStr">
        <is>
          <t>Labridae</t>
        </is>
      </c>
      <c r="B317" t="inlineStr">
        <is>
          <t>Wrasses, gropers, tuskfishes</t>
        </is>
      </c>
      <c r="C317" t="inlineStr">
        <is>
          <t>Medium reef assoc. fish (30 - 89 cm)</t>
        </is>
      </c>
      <c r="D317" t="inlineStr">
        <is>
          <t>Perch-likes</t>
        </is>
      </c>
      <c r="E317" t="n">
        <v>4.26</v>
      </c>
      <c r="F317" t="n">
        <v>4.26</v>
      </c>
      <c r="G317" t="n">
        <v>4.26</v>
      </c>
      <c r="H317" t="n">
        <v>4.792</v>
      </c>
      <c r="I317" t="n">
        <v>5.325</v>
      </c>
      <c r="J317" t="n">
        <v>5.325</v>
      </c>
      <c r="K317" t="n">
        <v>5.325</v>
      </c>
      <c r="L317" t="n">
        <v>5.857</v>
      </c>
      <c r="M317" t="n">
        <v>5.857</v>
      </c>
      <c r="N317" t="n">
        <v>6.39</v>
      </c>
      <c r="O317" t="n">
        <v>6.922</v>
      </c>
      <c r="P317" t="n">
        <v>6.922</v>
      </c>
      <c r="Q317" t="n">
        <v>7.455</v>
      </c>
      <c r="R317" t="n">
        <v>7.455</v>
      </c>
      <c r="S317" t="n">
        <v>7.992</v>
      </c>
      <c r="T317" t="n">
        <v>12.795</v>
      </c>
      <c r="U317" t="n">
        <v>13.87</v>
      </c>
      <c r="V317" t="n">
        <v>17.084</v>
      </c>
      <c r="W317" t="n">
        <v>16.562</v>
      </c>
      <c r="X317" t="n">
        <v>16.024</v>
      </c>
      <c r="Y317" t="n">
        <v>17.23</v>
      </c>
      <c r="Z317" t="n">
        <v>16.562</v>
      </c>
      <c r="AA317" t="n">
        <v>16.029</v>
      </c>
      <c r="AB317" t="n">
        <v>16.567</v>
      </c>
      <c r="AC317" t="n">
        <v>21.436</v>
      </c>
      <c r="AD317" t="n">
        <v>17.632</v>
      </c>
      <c r="AE317" t="n">
        <v>18.169</v>
      </c>
      <c r="AF317" t="n">
        <v>20.314</v>
      </c>
      <c r="AG317" t="n">
        <v>20.304</v>
      </c>
      <c r="AH317" t="n">
        <v>22.494</v>
      </c>
      <c r="AI317" t="n">
        <v>36.472</v>
      </c>
      <c r="AJ317" t="n">
        <v>39.648</v>
      </c>
      <c r="AK317" t="n">
        <v>46.52</v>
      </c>
      <c r="AL317" t="n">
        <v>36.579</v>
      </c>
      <c r="AM317" t="n">
        <v>42.546</v>
      </c>
      <c r="AN317" t="n">
        <v>45.499</v>
      </c>
      <c r="AO317" t="n">
        <v>38.763</v>
      </c>
      <c r="AP317" t="n">
        <v>37.462</v>
      </c>
      <c r="AQ317" t="n">
        <v>39.622</v>
      </c>
      <c r="AR317" t="n">
        <v>37.467</v>
      </c>
      <c r="AS317" t="n">
        <v>39.07</v>
      </c>
      <c r="AT317" t="n">
        <v>525.116</v>
      </c>
      <c r="AU317" t="n">
        <v>3.283</v>
      </c>
      <c r="AV317" t="n">
        <v>0</v>
      </c>
      <c r="AW317" t="n">
        <v>0</v>
      </c>
      <c r="AX317" t="n">
        <v>1.026</v>
      </c>
      <c r="AY317" t="n">
        <v>2.199</v>
      </c>
      <c r="AZ317" t="n">
        <v>6.479</v>
      </c>
      <c r="BA317" t="n">
        <v>15.829</v>
      </c>
      <c r="BB317" t="n">
        <v>18.105</v>
      </c>
      <c r="BC317" t="n">
        <v>17.584</v>
      </c>
      <c r="BD317" t="n">
        <v>20.78</v>
      </c>
      <c r="BE317" t="n">
        <v>2.196</v>
      </c>
      <c r="BF317" t="n">
        <v>2.468</v>
      </c>
      <c r="BG317" t="n">
        <v>3.513</v>
      </c>
      <c r="BH317" t="n">
        <v>3.46</v>
      </c>
      <c r="BI317" t="n">
        <v>20.852</v>
      </c>
      <c r="BJ317" t="n">
        <v>2.736</v>
      </c>
      <c r="BK317" t="n">
        <v>4.279</v>
      </c>
      <c r="BL317" t="n">
        <v>17.133</v>
      </c>
      <c r="BM317" t="n">
        <v>19.376</v>
      </c>
      <c r="BN317" t="n">
        <v>18.897</v>
      </c>
      <c r="BO317" t="n">
        <v>21.276</v>
      </c>
      <c r="BP317" t="n">
        <v>22.134</v>
      </c>
      <c r="BQ317" t="n">
        <v>20.3</v>
      </c>
      <c r="BR317" t="n">
        <v>20.901</v>
      </c>
      <c r="BS317" t="n">
        <v>21.675</v>
      </c>
      <c r="BT317" t="n">
        <v>20.123</v>
      </c>
      <c r="BU317" t="n">
        <v>18.966</v>
      </c>
      <c r="BV317" t="n">
        <v>17.787</v>
      </c>
    </row>
    <row r="318">
      <c r="A318" t="inlineStr">
        <is>
          <t>Octopus</t>
        </is>
      </c>
      <c r="B318" t="inlineStr">
        <is>
          <t>Octopuses, pikas</t>
        </is>
      </c>
      <c r="C318" t="inlineStr">
        <is>
          <t>Cephalopods</t>
        </is>
      </c>
      <c r="D318" t="inlineStr">
        <is>
          <t>Other fishes &amp; inverts</t>
        </is>
      </c>
      <c r="E318" t="n">
        <v>1.027</v>
      </c>
      <c r="F318" t="n">
        <v>1.027</v>
      </c>
      <c r="G318" t="n">
        <v>1.369</v>
      </c>
      <c r="H318" t="n">
        <v>1.198</v>
      </c>
      <c r="I318" t="n">
        <v>1.027</v>
      </c>
      <c r="J318" t="n">
        <v>1.027</v>
      </c>
      <c r="K318" t="n">
        <v>1.027</v>
      </c>
      <c r="L318" t="n">
        <v>1.027</v>
      </c>
      <c r="M318" t="n">
        <v>1.198</v>
      </c>
      <c r="N318" t="n">
        <v>1.027</v>
      </c>
      <c r="O318" t="n">
        <v>1.541</v>
      </c>
      <c r="P318" t="n">
        <v>1.883</v>
      </c>
      <c r="Q318" t="n">
        <v>1.883</v>
      </c>
      <c r="R318" t="n">
        <v>2.91</v>
      </c>
      <c r="S318" t="n">
        <v>2.739</v>
      </c>
      <c r="T318" t="n">
        <v>2.599</v>
      </c>
      <c r="U318" t="n">
        <v>3.315</v>
      </c>
      <c r="V318" t="n">
        <v>2.802</v>
      </c>
      <c r="W318" t="n">
        <v>4.913</v>
      </c>
      <c r="X318" t="n">
        <v>4.67</v>
      </c>
      <c r="Y318" t="n">
        <v>5.42</v>
      </c>
      <c r="Z318" t="n">
        <v>7.454</v>
      </c>
      <c r="AA318" t="n">
        <v>8.439</v>
      </c>
      <c r="AB318" t="n">
        <v>13.254</v>
      </c>
      <c r="AC318" t="n">
        <v>14.966</v>
      </c>
      <c r="AD318" t="n">
        <v>17.83</v>
      </c>
      <c r="AE318" t="n">
        <v>19.06</v>
      </c>
      <c r="AF318" t="n">
        <v>21.752</v>
      </c>
      <c r="AG318" t="n">
        <v>17.756</v>
      </c>
      <c r="AH318" t="n">
        <v>18.927</v>
      </c>
      <c r="AI318" t="n">
        <v>4.174</v>
      </c>
      <c r="AJ318" t="n">
        <v>5.903</v>
      </c>
      <c r="AK318" t="n">
        <v>3.8</v>
      </c>
      <c r="AL318" t="n">
        <v>3.832</v>
      </c>
      <c r="AM318" t="n">
        <v>3.287</v>
      </c>
      <c r="AN318" t="n">
        <v>3.458</v>
      </c>
      <c r="AO318" t="n">
        <v>12.253</v>
      </c>
      <c r="AP318" t="n">
        <v>20.358</v>
      </c>
      <c r="AQ318" t="n">
        <v>18.623</v>
      </c>
      <c r="AR318" t="n">
        <v>31.509</v>
      </c>
      <c r="AS318" t="n">
        <v>37.36</v>
      </c>
      <c r="AT318" t="n">
        <v>35.407</v>
      </c>
      <c r="AU318" t="n">
        <v>31.138</v>
      </c>
      <c r="AV318" t="n">
        <v>33.241</v>
      </c>
      <c r="AW318" t="n">
        <v>40.705</v>
      </c>
      <c r="AX318" t="n">
        <v>41.012</v>
      </c>
      <c r="AY318" t="n">
        <v>36.298</v>
      </c>
      <c r="AZ318" t="n">
        <v>36.008</v>
      </c>
      <c r="BA318" t="n">
        <v>35.504</v>
      </c>
      <c r="BB318" t="n">
        <v>39.877</v>
      </c>
      <c r="BC318" t="n">
        <v>44.642</v>
      </c>
      <c r="BD318" t="n">
        <v>53.208</v>
      </c>
      <c r="BE318" t="n">
        <v>60.562</v>
      </c>
      <c r="BF318" t="n">
        <v>64.724</v>
      </c>
      <c r="BG318" t="n">
        <v>57.252</v>
      </c>
      <c r="BH318" t="n">
        <v>62.01</v>
      </c>
      <c r="BI318" t="n">
        <v>48.03</v>
      </c>
      <c r="BJ318" t="n">
        <v>51.786</v>
      </c>
      <c r="BK318" t="n">
        <v>42.678</v>
      </c>
      <c r="BL318" t="n">
        <v>38.677</v>
      </c>
      <c r="BM318" t="n">
        <v>40.943</v>
      </c>
      <c r="BN318" t="n">
        <v>39.931</v>
      </c>
      <c r="BO318" t="n">
        <v>44.958</v>
      </c>
      <c r="BP318" t="n">
        <v>46.775</v>
      </c>
      <c r="BQ318" t="n">
        <v>42.906</v>
      </c>
      <c r="BR318" t="n">
        <v>44.159</v>
      </c>
      <c r="BS318" t="n">
        <v>45.805</v>
      </c>
      <c r="BT318" t="n">
        <v>42.531</v>
      </c>
      <c r="BU318" t="n">
        <v>40.099</v>
      </c>
      <c r="BV318" t="n">
        <v>37.61</v>
      </c>
    </row>
    <row r="319">
      <c r="A319" t="inlineStr">
        <is>
          <t>Plotosidae</t>
        </is>
      </c>
      <c r="B319" t="inlineStr">
        <is>
          <t>Eeltail catfishes</t>
        </is>
      </c>
      <c r="C319" t="inlineStr">
        <is>
          <t>Medium reef assoc. fish (30 - 89 cm)</t>
        </is>
      </c>
      <c r="D319" t="inlineStr">
        <is>
          <t>Other fishes &amp; inverts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1.053</v>
      </c>
      <c r="X319" t="n">
        <v>1.53</v>
      </c>
      <c r="Y319" t="n">
        <v>1.429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2.575</v>
      </c>
      <c r="AV319" t="n">
        <v>6.802</v>
      </c>
      <c r="AW319" t="n">
        <v>100.801</v>
      </c>
      <c r="AX319" t="n">
        <v>70.258</v>
      </c>
      <c r="AY319" t="n">
        <v>97.739</v>
      </c>
      <c r="AZ319" t="n">
        <v>85.20399999999999</v>
      </c>
      <c r="BA319" t="n">
        <v>149.959</v>
      </c>
      <c r="BB319" t="n">
        <v>79.93899999999999</v>
      </c>
      <c r="BC319" t="n">
        <v>174.53</v>
      </c>
      <c r="BD319" t="n">
        <v>163.182</v>
      </c>
      <c r="BE319" t="n">
        <v>161.38</v>
      </c>
      <c r="BF319" t="n">
        <v>22.483</v>
      </c>
      <c r="BG319" t="n">
        <v>33.444</v>
      </c>
      <c r="BH319" t="n">
        <v>24.693</v>
      </c>
      <c r="BI319" t="n">
        <v>25.531</v>
      </c>
      <c r="BJ319" t="n">
        <v>25.5</v>
      </c>
      <c r="BK319" t="n">
        <v>9.988</v>
      </c>
      <c r="BL319" t="n">
        <v>27.88</v>
      </c>
      <c r="BM319" t="n">
        <v>24.268</v>
      </c>
      <c r="BN319" t="n">
        <v>21.984</v>
      </c>
      <c r="BO319" t="n">
        <v>27.473</v>
      </c>
      <c r="BP319" t="n">
        <v>23.947</v>
      </c>
      <c r="BQ319" t="n">
        <v>24.287</v>
      </c>
      <c r="BR319" t="n">
        <v>22.809</v>
      </c>
      <c r="BS319" t="n">
        <v>21.937</v>
      </c>
      <c r="BT319" t="n">
        <v>27.843</v>
      </c>
      <c r="BU319" t="n">
        <v>21.162</v>
      </c>
      <c r="BV319" t="n">
        <v>19.902</v>
      </c>
    </row>
    <row r="320">
      <c r="A320" t="inlineStr">
        <is>
          <t>Alopias</t>
        </is>
      </c>
      <c r="B320" t="inlineStr">
        <is>
          <t>Thresher sharks</t>
        </is>
      </c>
      <c r="C320" t="inlineStr">
        <is>
          <t>Large sharks (&gt;=90 cm)</t>
        </is>
      </c>
      <c r="D320" t="inlineStr">
        <is>
          <t>Sharks &amp; rays</t>
        </is>
      </c>
      <c r="E320" t="n">
        <v>0</v>
      </c>
      <c r="F320" t="n">
        <v>0</v>
      </c>
      <c r="G320" t="n">
        <v>0</v>
      </c>
      <c r="H320" t="n">
        <v>2.39</v>
      </c>
      <c r="I320" t="n">
        <v>2.932</v>
      </c>
      <c r="J320" t="n">
        <v>0.659</v>
      </c>
      <c r="K320" t="n">
        <v>0.6909999999999999</v>
      </c>
      <c r="L320" t="n">
        <v>0.051</v>
      </c>
      <c r="M320" t="n">
        <v>5.118</v>
      </c>
      <c r="N320" t="n">
        <v>4.876</v>
      </c>
      <c r="O320" t="n">
        <v>4.407</v>
      </c>
      <c r="P320" t="n">
        <v>8.544</v>
      </c>
      <c r="Q320" t="n">
        <v>11.609</v>
      </c>
      <c r="R320" t="n">
        <v>12.122</v>
      </c>
      <c r="S320" t="n">
        <v>9.173</v>
      </c>
      <c r="T320" t="n">
        <v>15.891</v>
      </c>
      <c r="U320" t="n">
        <v>12.359</v>
      </c>
      <c r="V320" t="n">
        <v>23.388</v>
      </c>
      <c r="W320" t="n">
        <v>26.485</v>
      </c>
      <c r="X320" t="n">
        <v>18.291</v>
      </c>
      <c r="Y320" t="n">
        <v>23.308</v>
      </c>
      <c r="Z320" t="n">
        <v>31.239</v>
      </c>
      <c r="AA320" t="n">
        <v>30.305</v>
      </c>
      <c r="AB320" t="n">
        <v>36.571</v>
      </c>
      <c r="AC320" t="n">
        <v>28.916</v>
      </c>
      <c r="AD320" t="n">
        <v>46.707</v>
      </c>
      <c r="AE320" t="n">
        <v>48.353</v>
      </c>
      <c r="AF320" t="n">
        <v>38.242</v>
      </c>
      <c r="AG320" t="n">
        <v>37.748</v>
      </c>
      <c r="AH320" t="n">
        <v>38.919</v>
      </c>
      <c r="AI320" t="n">
        <v>35.792</v>
      </c>
      <c r="AJ320" t="n">
        <v>26.375</v>
      </c>
      <c r="AK320" t="n">
        <v>28.405</v>
      </c>
      <c r="AL320" t="n">
        <v>27.021</v>
      </c>
      <c r="AM320" t="n">
        <v>29.574</v>
      </c>
      <c r="AN320" t="n">
        <v>20.591</v>
      </c>
      <c r="AO320" t="n">
        <v>12.062</v>
      </c>
      <c r="AP320" t="n">
        <v>25.931</v>
      </c>
      <c r="AQ320" t="n">
        <v>26.023</v>
      </c>
      <c r="AR320" t="n">
        <v>18.508</v>
      </c>
      <c r="AS320" t="n">
        <v>14.266</v>
      </c>
      <c r="AT320" t="n">
        <v>13.644</v>
      </c>
      <c r="AU320" t="n">
        <v>21.375</v>
      </c>
      <c r="AV320" t="n">
        <v>12.482</v>
      </c>
      <c r="AW320" t="n">
        <v>11.269</v>
      </c>
      <c r="AX320" t="n">
        <v>11.682</v>
      </c>
      <c r="AY320" t="n">
        <v>16.207</v>
      </c>
      <c r="AZ320" t="n">
        <v>17.946</v>
      </c>
      <c r="BA320" t="n">
        <v>14.251</v>
      </c>
      <c r="BB320" t="n">
        <v>13.111</v>
      </c>
      <c r="BC320" t="n">
        <v>14.792</v>
      </c>
      <c r="BD320" t="n">
        <v>20.944</v>
      </c>
      <c r="BE320" t="n">
        <v>8.885</v>
      </c>
      <c r="BF320" t="n">
        <v>11.796</v>
      </c>
      <c r="BG320" t="n">
        <v>35.977</v>
      </c>
      <c r="BH320" t="n">
        <v>32.93</v>
      </c>
      <c r="BI320" t="n">
        <v>21.523</v>
      </c>
      <c r="BJ320" t="n">
        <v>2.825</v>
      </c>
      <c r="BK320" t="n">
        <v>8.220000000000001</v>
      </c>
      <c r="BL320" t="n">
        <v>20.933</v>
      </c>
      <c r="BM320" t="n">
        <v>16.354</v>
      </c>
      <c r="BN320" t="n">
        <v>17.561</v>
      </c>
      <c r="BO320" t="n">
        <v>2.131</v>
      </c>
      <c r="BP320" t="n">
        <v>4.265</v>
      </c>
      <c r="BQ320" t="n">
        <v>3.03</v>
      </c>
      <c r="BR320" t="n">
        <v>1.118</v>
      </c>
      <c r="BS320" t="n">
        <v>0.648</v>
      </c>
      <c r="BT320" t="n">
        <v>0.171</v>
      </c>
      <c r="BU320" t="n">
        <v>43.195</v>
      </c>
      <c r="BV320" t="n">
        <v>278.961</v>
      </c>
    </row>
    <row r="321">
      <c r="A321" t="inlineStr">
        <is>
          <t>Elops machnata</t>
        </is>
      </c>
      <c r="B321" t="inlineStr">
        <is>
          <t>Tenpounder</t>
        </is>
      </c>
      <c r="C321" t="inlineStr">
        <is>
          <t>Large pelagics (&gt;=90 cm)</t>
        </is>
      </c>
      <c r="D321" t="inlineStr">
        <is>
          <t>Other fishes &amp; inverts</t>
        </is>
      </c>
      <c r="E321" t="n">
        <v>5.413</v>
      </c>
      <c r="F321" t="n">
        <v>5.96</v>
      </c>
      <c r="G321" t="n">
        <v>6.279</v>
      </c>
      <c r="H321" t="n">
        <v>6.227</v>
      </c>
      <c r="I321" t="n">
        <v>8.567</v>
      </c>
      <c r="J321" t="n">
        <v>8.949999999999999</v>
      </c>
      <c r="K321" t="n">
        <v>9.098000000000001</v>
      </c>
      <c r="L321" t="n">
        <v>8.196999999999999</v>
      </c>
      <c r="M321" t="n">
        <v>9.526999999999999</v>
      </c>
      <c r="N321" t="n">
        <v>9.986000000000001</v>
      </c>
      <c r="O321" t="n">
        <v>10.281</v>
      </c>
      <c r="P321" t="n">
        <v>10.753</v>
      </c>
      <c r="Q321" t="n">
        <v>12.391</v>
      </c>
      <c r="R321" t="n">
        <v>16.403</v>
      </c>
      <c r="S321" t="n">
        <v>22.152</v>
      </c>
      <c r="T321" t="n">
        <v>21.988</v>
      </c>
      <c r="U321" t="n">
        <v>19.314</v>
      </c>
      <c r="V321" t="n">
        <v>16.341</v>
      </c>
      <c r="W321" t="n">
        <v>14.801</v>
      </c>
      <c r="X321" t="n">
        <v>9.252000000000001</v>
      </c>
      <c r="Y321" t="n">
        <v>5.522</v>
      </c>
      <c r="Z321" t="n">
        <v>22.488</v>
      </c>
      <c r="AA321" t="n">
        <v>16.056</v>
      </c>
      <c r="AB321" t="n">
        <v>13.458</v>
      </c>
      <c r="AC321" t="n">
        <v>34.546</v>
      </c>
      <c r="AD321" t="n">
        <v>13.601</v>
      </c>
      <c r="AE321" t="n">
        <v>12.723</v>
      </c>
      <c r="AF321" t="n">
        <v>12.031</v>
      </c>
      <c r="AG321" t="n">
        <v>12.258</v>
      </c>
      <c r="AH321" t="n">
        <v>9.93</v>
      </c>
      <c r="AI321" t="n">
        <v>9.827999999999999</v>
      </c>
      <c r="AJ321" t="n">
        <v>11.983</v>
      </c>
      <c r="AK321" t="n">
        <v>12.907</v>
      </c>
      <c r="AL321" t="n">
        <v>15.729</v>
      </c>
      <c r="AM321" t="n">
        <v>18.984</v>
      </c>
      <c r="AN321" t="n">
        <v>17.278</v>
      </c>
      <c r="AO321" t="n">
        <v>16.319</v>
      </c>
      <c r="AP321" t="n">
        <v>15.22</v>
      </c>
      <c r="AQ321" t="n">
        <v>13.861</v>
      </c>
      <c r="AR321" t="n">
        <v>11.957</v>
      </c>
      <c r="AS321" t="n">
        <v>8.712</v>
      </c>
      <c r="AT321" t="n">
        <v>10.494</v>
      </c>
      <c r="AU321" t="n">
        <v>19.531</v>
      </c>
      <c r="AV321" t="n">
        <v>34.369</v>
      </c>
      <c r="AW321" t="n">
        <v>37.232</v>
      </c>
      <c r="AX321" t="n">
        <v>16.033</v>
      </c>
      <c r="AY321" t="n">
        <v>14.44</v>
      </c>
      <c r="AZ321" t="n">
        <v>28.102</v>
      </c>
      <c r="BA321" t="n">
        <v>61.044</v>
      </c>
      <c r="BB321" t="n">
        <v>58.436</v>
      </c>
      <c r="BC321" t="n">
        <v>55.342</v>
      </c>
      <c r="BD321" t="n">
        <v>58.076</v>
      </c>
      <c r="BE321" t="n">
        <v>28.462</v>
      </c>
      <c r="BF321" t="n">
        <v>30.18</v>
      </c>
      <c r="BG321" t="n">
        <v>27.285</v>
      </c>
      <c r="BH321" t="n">
        <v>25.028</v>
      </c>
      <c r="BI321" t="n">
        <v>24.317</v>
      </c>
      <c r="BJ321" t="n">
        <v>28.452</v>
      </c>
      <c r="BK321" t="n">
        <v>27.741</v>
      </c>
      <c r="BL321" t="n">
        <v>28.507</v>
      </c>
      <c r="BM321" t="n">
        <v>29.516</v>
      </c>
      <c r="BN321" t="n">
        <v>36.78</v>
      </c>
      <c r="BO321" t="n">
        <v>34.418</v>
      </c>
      <c r="BP321" t="n">
        <v>32.568</v>
      </c>
      <c r="BQ321" t="n">
        <v>29.738</v>
      </c>
      <c r="BR321" t="n">
        <v>28.888</v>
      </c>
      <c r="BS321" t="n">
        <v>30.905</v>
      </c>
      <c r="BT321" t="n">
        <v>28.033</v>
      </c>
      <c r="BU321" t="n">
        <v>27.55</v>
      </c>
      <c r="BV321" t="n">
        <v>30.392</v>
      </c>
    </row>
    <row r="322">
      <c r="A322" t="inlineStr">
        <is>
          <t>Pellona ditchela</t>
        </is>
      </c>
      <c r="B322" t="inlineStr">
        <is>
          <t>Indian pellona</t>
        </is>
      </c>
      <c r="C322" t="inlineStr">
        <is>
          <t>Small pelagics (&lt;30 cm)</t>
        </is>
      </c>
      <c r="D322" t="inlineStr">
        <is>
          <t>Herring-likes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8.106999999999999</v>
      </c>
      <c r="Z322" t="n">
        <v>6.714</v>
      </c>
      <c r="AA322" t="n">
        <v>10.956</v>
      </c>
      <c r="AB322" t="n">
        <v>12.294</v>
      </c>
      <c r="AC322" t="n">
        <v>9.617000000000001</v>
      </c>
      <c r="AD322" t="n">
        <v>13.32</v>
      </c>
      <c r="AE322" t="n">
        <v>8.23</v>
      </c>
      <c r="AF322" t="n">
        <v>3.955</v>
      </c>
      <c r="AG322" t="n">
        <v>5.075</v>
      </c>
      <c r="AH322" t="n">
        <v>25.453</v>
      </c>
      <c r="AI322" t="n">
        <v>94.04000000000001</v>
      </c>
      <c r="AJ322" t="n">
        <v>41.964</v>
      </c>
      <c r="AK322" t="n">
        <v>63.225</v>
      </c>
      <c r="AL322" t="n">
        <v>51.947</v>
      </c>
      <c r="AM322" t="n">
        <v>22.966</v>
      </c>
      <c r="AN322" t="n">
        <v>20.882</v>
      </c>
      <c r="AO322" t="n">
        <v>5.019</v>
      </c>
      <c r="AP322" t="n">
        <v>0</v>
      </c>
      <c r="AQ322" t="n">
        <v>0</v>
      </c>
      <c r="AR322" t="n">
        <v>0</v>
      </c>
      <c r="AS322" t="n">
        <v>0</v>
      </c>
      <c r="AT322" t="n">
        <v>20.557</v>
      </c>
      <c r="AU322" t="n">
        <v>22.326</v>
      </c>
      <c r="AV322" t="n">
        <v>18.376</v>
      </c>
      <c r="AW322" t="n">
        <v>45.282</v>
      </c>
      <c r="AX322" t="n">
        <v>16.515</v>
      </c>
      <c r="AY322" t="n">
        <v>32.541</v>
      </c>
      <c r="AZ322" t="n">
        <v>5.525</v>
      </c>
      <c r="BA322" t="n">
        <v>15.592</v>
      </c>
      <c r="BB322" t="n">
        <v>24.918</v>
      </c>
      <c r="BC322" t="n">
        <v>32.287</v>
      </c>
      <c r="BD322" t="n">
        <v>42.966</v>
      </c>
      <c r="BE322" t="n">
        <v>25.27</v>
      </c>
      <c r="BF322" t="n">
        <v>31.841</v>
      </c>
      <c r="BG322" t="n">
        <v>45.93</v>
      </c>
      <c r="BH322" t="n">
        <v>41.16</v>
      </c>
      <c r="BI322" t="n">
        <v>41.664</v>
      </c>
      <c r="BJ322" t="n">
        <v>54.042</v>
      </c>
      <c r="BK322" t="n">
        <v>29.163</v>
      </c>
      <c r="BL322" t="n">
        <v>23.17</v>
      </c>
      <c r="BM322" t="n">
        <v>42.05</v>
      </c>
      <c r="BN322" t="n">
        <v>41.011</v>
      </c>
      <c r="BO322" t="n">
        <v>46.172</v>
      </c>
      <c r="BP322" t="n">
        <v>48.034</v>
      </c>
      <c r="BQ322" t="n">
        <v>44.056</v>
      </c>
      <c r="BR322" t="n">
        <v>45.346</v>
      </c>
      <c r="BS322" t="n">
        <v>47.026</v>
      </c>
      <c r="BT322" t="n">
        <v>43.657</v>
      </c>
      <c r="BU322" t="n">
        <v>41.159</v>
      </c>
      <c r="BV322" t="n">
        <v>38.6</v>
      </c>
    </row>
    <row r="323">
      <c r="A323" t="inlineStr">
        <is>
          <t>Chaetodontidae</t>
        </is>
      </c>
      <c r="B323" t="inlineStr">
        <is>
          <t>Butterflyfishes</t>
        </is>
      </c>
      <c r="C323" t="inlineStr">
        <is>
          <t>Small reef assoc. fish (&lt;30 cm)</t>
        </is>
      </c>
      <c r="D323" t="inlineStr">
        <is>
          <t>Perch-likes</t>
        </is>
      </c>
      <c r="E323" t="n">
        <v>1.831</v>
      </c>
      <c r="F323" t="n">
        <v>2.259</v>
      </c>
      <c r="G323" t="n">
        <v>2.32</v>
      </c>
      <c r="H323" t="n">
        <v>2.285</v>
      </c>
      <c r="I323" t="n">
        <v>2.838</v>
      </c>
      <c r="J323" t="n">
        <v>3.026</v>
      </c>
      <c r="K323" t="n">
        <v>3.322</v>
      </c>
      <c r="L323" t="n">
        <v>3.257</v>
      </c>
      <c r="M323" t="n">
        <v>3.438</v>
      </c>
      <c r="N323" t="n">
        <v>3.57</v>
      </c>
      <c r="O323" t="n">
        <v>3.973</v>
      </c>
      <c r="P323" t="n">
        <v>3.74</v>
      </c>
      <c r="Q323" t="n">
        <v>4.114</v>
      </c>
      <c r="R323" t="n">
        <v>5.354</v>
      </c>
      <c r="S323" t="n">
        <v>5.216</v>
      </c>
      <c r="T323" t="n">
        <v>5.97</v>
      </c>
      <c r="U323" t="n">
        <v>6.469</v>
      </c>
      <c r="V323" t="n">
        <v>7.004</v>
      </c>
      <c r="W323" t="n">
        <v>8.178000000000001</v>
      </c>
      <c r="X323" t="n">
        <v>8.042999999999999</v>
      </c>
      <c r="Y323" t="n">
        <v>10.092</v>
      </c>
      <c r="Z323" t="n">
        <v>20.849</v>
      </c>
      <c r="AA323" t="n">
        <v>11.892</v>
      </c>
      <c r="AB323" t="n">
        <v>10.868</v>
      </c>
      <c r="AC323" t="n">
        <v>30.627</v>
      </c>
      <c r="AD323" t="n">
        <v>16.007</v>
      </c>
      <c r="AE323" t="n">
        <v>12.744</v>
      </c>
      <c r="AF323" t="n">
        <v>12.297</v>
      </c>
      <c r="AG323" t="n">
        <v>13.828</v>
      </c>
      <c r="AH323" t="n">
        <v>13.726</v>
      </c>
      <c r="AI323" t="n">
        <v>14.168</v>
      </c>
      <c r="AJ323" t="n">
        <v>16.582</v>
      </c>
      <c r="AK323" t="n">
        <v>11.94</v>
      </c>
      <c r="AL323" t="n">
        <v>11.59</v>
      </c>
      <c r="AM323" t="n">
        <v>10.104</v>
      </c>
      <c r="AN323" t="n">
        <v>16.429</v>
      </c>
      <c r="AO323" t="n">
        <v>23.789</v>
      </c>
      <c r="AP323" t="n">
        <v>32.239</v>
      </c>
      <c r="AQ323" t="n">
        <v>40.026</v>
      </c>
      <c r="AR323" t="n">
        <v>59.567</v>
      </c>
      <c r="AS323" t="n">
        <v>14.874</v>
      </c>
      <c r="AT323" t="n">
        <v>21.141</v>
      </c>
      <c r="AU323" t="n">
        <v>72.917</v>
      </c>
      <c r="AV323" t="n">
        <v>18.38</v>
      </c>
      <c r="AW323" t="n">
        <v>17.487</v>
      </c>
      <c r="AX323" t="n">
        <v>12.243</v>
      </c>
      <c r="AY323" t="n">
        <v>13.145</v>
      </c>
      <c r="AZ323" t="n">
        <v>36.597</v>
      </c>
      <c r="BA323" t="n">
        <v>41.226</v>
      </c>
      <c r="BB323" t="n">
        <v>38.939</v>
      </c>
      <c r="BC323" t="n">
        <v>40.874</v>
      </c>
      <c r="BD323" t="n">
        <v>48.927</v>
      </c>
      <c r="BE323" t="n">
        <v>27.929</v>
      </c>
      <c r="BF323" t="n">
        <v>29.874</v>
      </c>
      <c r="BG323" t="n">
        <v>27.089</v>
      </c>
      <c r="BH323" t="n">
        <v>24.445</v>
      </c>
      <c r="BI323" t="n">
        <v>24.026</v>
      </c>
      <c r="BJ323" t="n">
        <v>28.188</v>
      </c>
      <c r="BK323" t="n">
        <v>27.44</v>
      </c>
      <c r="BL323" t="n">
        <v>27.987</v>
      </c>
      <c r="BM323" t="n">
        <v>29.026</v>
      </c>
      <c r="BN323" t="n">
        <v>36.788</v>
      </c>
      <c r="BO323" t="n">
        <v>34.423</v>
      </c>
      <c r="BP323" t="n">
        <v>32.387</v>
      </c>
      <c r="BQ323" t="n">
        <v>29.663</v>
      </c>
      <c r="BR323" t="n">
        <v>29</v>
      </c>
      <c r="BS323" t="n">
        <v>30.992</v>
      </c>
      <c r="BT323" t="n">
        <v>28.252</v>
      </c>
      <c r="BU323" t="n">
        <v>27.885</v>
      </c>
      <c r="BV323" t="n">
        <v>30.937</v>
      </c>
    </row>
    <row r="324">
      <c r="A324" t="inlineStr">
        <is>
          <t>Congridae</t>
        </is>
      </c>
      <c r="B324" t="inlineStr">
        <is>
          <t>Conger, garden eels</t>
        </is>
      </c>
      <c r="C324" t="inlineStr">
        <is>
          <t>Large demersals (&gt;=90 cm)</t>
        </is>
      </c>
      <c r="D324" t="inlineStr">
        <is>
          <t>Other fishes &amp; inverts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67.995</v>
      </c>
      <c r="AT324" t="n">
        <v>331.976</v>
      </c>
      <c r="AU324" t="n">
        <v>56.869</v>
      </c>
      <c r="AV324" t="n">
        <v>10.02</v>
      </c>
      <c r="AW324" t="n">
        <v>142.172</v>
      </c>
      <c r="AX324" t="n">
        <v>86.116</v>
      </c>
      <c r="AY324" t="n">
        <v>18.686</v>
      </c>
      <c r="AZ324" t="n">
        <v>15.436</v>
      </c>
      <c r="BA324" t="n">
        <v>0</v>
      </c>
      <c r="BB324" t="n">
        <v>7.999</v>
      </c>
      <c r="BC324" t="n">
        <v>48.996</v>
      </c>
      <c r="BD324" t="n">
        <v>77.994</v>
      </c>
      <c r="BE324" t="n">
        <v>6</v>
      </c>
      <c r="BF324" t="n">
        <v>8.999000000000001</v>
      </c>
      <c r="BG324" t="n">
        <v>5.8</v>
      </c>
      <c r="BH324" t="n">
        <v>74.995</v>
      </c>
      <c r="BI324" t="n">
        <v>140.99</v>
      </c>
      <c r="BJ324" t="n">
        <v>31.998</v>
      </c>
      <c r="BK324" t="n">
        <v>0</v>
      </c>
      <c r="BL324" t="n">
        <v>0</v>
      </c>
      <c r="BM324" t="n">
        <v>50.999</v>
      </c>
      <c r="BN324" t="n">
        <v>76.998</v>
      </c>
      <c r="BO324" t="n">
        <v>22</v>
      </c>
      <c r="BP324" t="n">
        <v>4</v>
      </c>
      <c r="BQ324" t="n">
        <v>88.998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</row>
    <row r="325">
      <c r="A325" t="inlineStr">
        <is>
          <t>Lethrinus miniatus</t>
        </is>
      </c>
      <c r="B325" t="inlineStr">
        <is>
          <t>Trumpet emperor</t>
        </is>
      </c>
      <c r="C325" t="inlineStr">
        <is>
          <t>Medium reef assoc. fish (30 - 89 cm)</t>
        </is>
      </c>
      <c r="D325" t="inlineStr">
        <is>
          <t>Perch-likes</t>
        </is>
      </c>
      <c r="E325" t="n">
        <v>2.078</v>
      </c>
      <c r="F325" t="n">
        <v>2.541</v>
      </c>
      <c r="G325" t="n">
        <v>3.017</v>
      </c>
      <c r="H325" t="n">
        <v>3.25</v>
      </c>
      <c r="I325" t="n">
        <v>3.323</v>
      </c>
      <c r="J325" t="n">
        <v>4.082</v>
      </c>
      <c r="K325" t="n">
        <v>4.742</v>
      </c>
      <c r="L325" t="n">
        <v>5.208</v>
      </c>
      <c r="M325" t="n">
        <v>5.727</v>
      </c>
      <c r="N325" t="n">
        <v>6.515</v>
      </c>
      <c r="O325" t="n">
        <v>7.149</v>
      </c>
      <c r="P325" t="n">
        <v>8.563000000000001</v>
      </c>
      <c r="Q325" t="n">
        <v>9.326000000000001</v>
      </c>
      <c r="R325" t="n">
        <v>9.885999999999999</v>
      </c>
      <c r="S325" t="n">
        <v>11.08</v>
      </c>
      <c r="T325" t="n">
        <v>12.394</v>
      </c>
      <c r="U325" t="n">
        <v>13.939</v>
      </c>
      <c r="V325" t="n">
        <v>15.149</v>
      </c>
      <c r="W325" t="n">
        <v>17.121</v>
      </c>
      <c r="X325" t="n">
        <v>18.9</v>
      </c>
      <c r="Y325" t="n">
        <v>19.969</v>
      </c>
      <c r="Z325" t="n">
        <v>22.977</v>
      </c>
      <c r="AA325" t="n">
        <v>24.555</v>
      </c>
      <c r="AB325" t="n">
        <v>25.369</v>
      </c>
      <c r="AC325" t="n">
        <v>25.269</v>
      </c>
      <c r="AD325" t="n">
        <v>29.94</v>
      </c>
      <c r="AE325" t="n">
        <v>30.476</v>
      </c>
      <c r="AF325" t="n">
        <v>31.066</v>
      </c>
      <c r="AG325" t="n">
        <v>33.015</v>
      </c>
      <c r="AH325" t="n">
        <v>35.706</v>
      </c>
      <c r="AI325" t="n">
        <v>35.275</v>
      </c>
      <c r="AJ325" t="n">
        <v>31.532</v>
      </c>
      <c r="AK325" t="n">
        <v>29.785</v>
      </c>
      <c r="AL325" t="n">
        <v>30.127</v>
      </c>
      <c r="AM325" t="n">
        <v>31.064</v>
      </c>
      <c r="AN325" t="n">
        <v>28.908</v>
      </c>
      <c r="AO325" t="n">
        <v>29.355</v>
      </c>
      <c r="AP325" t="n">
        <v>27.957</v>
      </c>
      <c r="AQ325" t="n">
        <v>30.345</v>
      </c>
      <c r="AR325" t="n">
        <v>27.694</v>
      </c>
      <c r="AS325" t="n">
        <v>22.062</v>
      </c>
      <c r="AT325" t="n">
        <v>19.891</v>
      </c>
      <c r="AU325" t="n">
        <v>18.653</v>
      </c>
      <c r="AV325" t="n">
        <v>16.968</v>
      </c>
      <c r="AW325" t="n">
        <v>15.309</v>
      </c>
      <c r="AX325" t="n">
        <v>18.177</v>
      </c>
      <c r="AY325" t="n">
        <v>16.351</v>
      </c>
      <c r="AZ325" t="n">
        <v>15.187</v>
      </c>
      <c r="BA325" t="n">
        <v>10.322</v>
      </c>
      <c r="BB325" t="n">
        <v>10.691</v>
      </c>
      <c r="BC325" t="n">
        <v>18.459</v>
      </c>
      <c r="BD325" t="n">
        <v>16.448</v>
      </c>
      <c r="BE325" t="n">
        <v>18.92</v>
      </c>
      <c r="BF325" t="n">
        <v>13.439</v>
      </c>
      <c r="BG325" t="n">
        <v>13.602</v>
      </c>
      <c r="BH325" t="n">
        <v>12.25</v>
      </c>
      <c r="BI325" t="n">
        <v>13.001</v>
      </c>
      <c r="BJ325" t="n">
        <v>11.534</v>
      </c>
      <c r="BK325" t="n">
        <v>2.246</v>
      </c>
      <c r="BL325" t="n">
        <v>1.793</v>
      </c>
      <c r="BM325" t="n">
        <v>1.559</v>
      </c>
      <c r="BN325" t="n">
        <v>19.751</v>
      </c>
      <c r="BO325" t="n">
        <v>36.199</v>
      </c>
      <c r="BP325" t="n">
        <v>36.89</v>
      </c>
      <c r="BQ325" t="n">
        <v>58.956</v>
      </c>
      <c r="BR325" t="n">
        <v>57.576</v>
      </c>
      <c r="BS325" t="n">
        <v>20.831</v>
      </c>
      <c r="BT325" t="n">
        <v>41.467</v>
      </c>
      <c r="BU325" t="n">
        <v>31.861</v>
      </c>
      <c r="BV325" t="n">
        <v>27.644</v>
      </c>
    </row>
    <row r="326">
      <c r="A326" t="inlineStr">
        <is>
          <t>Scylla</t>
        </is>
      </c>
      <c r="B326" t="inlineStr">
        <is>
          <t>Mud crabs</t>
        </is>
      </c>
      <c r="C326" t="inlineStr">
        <is>
          <t>Lobsters, crabs</t>
        </is>
      </c>
      <c r="D326" t="inlineStr">
        <is>
          <t>Crustaceans</t>
        </is>
      </c>
      <c r="E326" t="n">
        <v>0.655</v>
      </c>
      <c r="F326" t="n">
        <v>0.8080000000000001</v>
      </c>
      <c r="G326" t="n">
        <v>0.946</v>
      </c>
      <c r="H326" t="n">
        <v>1.014</v>
      </c>
      <c r="I326" t="n">
        <v>1.15</v>
      </c>
      <c r="J326" t="n">
        <v>1.397</v>
      </c>
      <c r="K326" t="n">
        <v>1.54</v>
      </c>
      <c r="L326" t="n">
        <v>1.688</v>
      </c>
      <c r="M326" t="n">
        <v>1.883</v>
      </c>
      <c r="N326" t="n">
        <v>2.067</v>
      </c>
      <c r="O326" t="n">
        <v>1.989</v>
      </c>
      <c r="P326" t="n">
        <v>2.181</v>
      </c>
      <c r="Q326" t="n">
        <v>2.228</v>
      </c>
      <c r="R326" t="n">
        <v>2.537</v>
      </c>
      <c r="S326" t="n">
        <v>2.321</v>
      </c>
      <c r="T326" t="n">
        <v>2.255</v>
      </c>
      <c r="U326" t="n">
        <v>2.021</v>
      </c>
      <c r="V326" t="n">
        <v>2.118</v>
      </c>
      <c r="W326" t="n">
        <v>2.14</v>
      </c>
      <c r="X326" t="n">
        <v>2.28</v>
      </c>
      <c r="Y326" t="n">
        <v>2.37</v>
      </c>
      <c r="Z326" t="n">
        <v>2.445</v>
      </c>
      <c r="AA326" t="n">
        <v>2.247</v>
      </c>
      <c r="AB326" t="n">
        <v>2.205</v>
      </c>
      <c r="AC326" t="n">
        <v>2.19</v>
      </c>
      <c r="AD326" t="n">
        <v>2.617</v>
      </c>
      <c r="AE326" t="n">
        <v>2.821</v>
      </c>
      <c r="AF326" t="n">
        <v>2.897</v>
      </c>
      <c r="AG326" t="n">
        <v>2.964</v>
      </c>
      <c r="AH326" t="n">
        <v>3.245</v>
      </c>
      <c r="AI326" t="n">
        <v>3.307</v>
      </c>
      <c r="AJ326" t="n">
        <v>3.24</v>
      </c>
      <c r="AK326" t="n">
        <v>3.332</v>
      </c>
      <c r="AL326" t="n">
        <v>3.676</v>
      </c>
      <c r="AM326" t="n">
        <v>3.667</v>
      </c>
      <c r="AN326" t="n">
        <v>4.054</v>
      </c>
      <c r="AO326" t="n">
        <v>4.301</v>
      </c>
      <c r="AP326" t="n">
        <v>163.598</v>
      </c>
      <c r="AQ326" t="n">
        <v>183.339</v>
      </c>
      <c r="AR326" t="n">
        <v>108.438</v>
      </c>
      <c r="AS326" t="n">
        <v>111.611</v>
      </c>
      <c r="AT326" t="n">
        <v>103.017</v>
      </c>
      <c r="AU326" t="n">
        <v>130.46</v>
      </c>
      <c r="AV326" t="n">
        <v>106.693</v>
      </c>
      <c r="AW326" t="n">
        <v>90.95699999999999</v>
      </c>
      <c r="AX326" t="n">
        <v>39.072</v>
      </c>
      <c r="AY326" t="n">
        <v>2.851</v>
      </c>
      <c r="AZ326" t="n">
        <v>2.711</v>
      </c>
      <c r="BA326" t="n">
        <v>2.806</v>
      </c>
      <c r="BB326" t="n">
        <v>2.615</v>
      </c>
      <c r="BC326" t="n">
        <v>12.719</v>
      </c>
      <c r="BD326" t="n">
        <v>3.953</v>
      </c>
      <c r="BE326" t="n">
        <v>17.772</v>
      </c>
      <c r="BF326" t="n">
        <v>10.75</v>
      </c>
      <c r="BG326" t="n">
        <v>0.144</v>
      </c>
      <c r="BH326" t="n">
        <v>0.268</v>
      </c>
      <c r="BI326" t="n">
        <v>30.235</v>
      </c>
      <c r="BJ326" t="n">
        <v>31.125</v>
      </c>
      <c r="BK326" t="n">
        <v>17.224</v>
      </c>
      <c r="BL326" t="n">
        <v>7.469</v>
      </c>
      <c r="BM326" t="n">
        <v>5.805</v>
      </c>
      <c r="BN326" t="n">
        <v>7.222</v>
      </c>
      <c r="BO326" t="n">
        <v>7.209</v>
      </c>
      <c r="BP326" t="n">
        <v>5.989</v>
      </c>
      <c r="BQ326" t="n">
        <v>6.482</v>
      </c>
      <c r="BR326" t="n">
        <v>6.263</v>
      </c>
      <c r="BS326" t="n">
        <v>6.054</v>
      </c>
      <c r="BT326" t="n">
        <v>7.052</v>
      </c>
      <c r="BU326" t="n">
        <v>10.659</v>
      </c>
      <c r="BV326" t="n">
        <v>7.284</v>
      </c>
    </row>
    <row r="327">
      <c r="A327" t="inlineStr">
        <is>
          <t>Hemitrygon akajei</t>
        </is>
      </c>
      <c r="B327" t="inlineStr">
        <is>
          <t>Whip stingray</t>
        </is>
      </c>
      <c r="C327" t="inlineStr">
        <is>
          <t>Large rays (&gt;=90 cm)</t>
        </is>
      </c>
      <c r="D327" t="inlineStr">
        <is>
          <t>Sharks &amp; rays</t>
        </is>
      </c>
      <c r="E327" t="n">
        <v>2.373</v>
      </c>
      <c r="F327" t="n">
        <v>2.918</v>
      </c>
      <c r="G327" t="n">
        <v>3.42</v>
      </c>
      <c r="H327" t="n">
        <v>3.669</v>
      </c>
      <c r="I327" t="n">
        <v>3.788</v>
      </c>
      <c r="J327" t="n">
        <v>4.601</v>
      </c>
      <c r="K327" t="n">
        <v>5.312</v>
      </c>
      <c r="L327" t="n">
        <v>5.823</v>
      </c>
      <c r="M327" t="n">
        <v>6.456</v>
      </c>
      <c r="N327" t="n">
        <v>7.273</v>
      </c>
      <c r="O327" t="n">
        <v>7.685</v>
      </c>
      <c r="P327" t="n">
        <v>9.032</v>
      </c>
      <c r="Q327" t="n">
        <v>9.867000000000001</v>
      </c>
      <c r="R327" t="n">
        <v>10.723</v>
      </c>
      <c r="S327" t="n">
        <v>11.843</v>
      </c>
      <c r="T327" t="n">
        <v>12.773</v>
      </c>
      <c r="U327" t="n">
        <v>13.978</v>
      </c>
      <c r="V327" t="n">
        <v>15.492</v>
      </c>
      <c r="W327" t="n">
        <v>17.764</v>
      </c>
      <c r="X327" t="n">
        <v>19.828</v>
      </c>
      <c r="Y327" t="n">
        <v>20.755</v>
      </c>
      <c r="Z327" t="n">
        <v>22.355</v>
      </c>
      <c r="AA327" t="n">
        <v>21.783</v>
      </c>
      <c r="AB327" t="n">
        <v>23.11</v>
      </c>
      <c r="AC327" t="n">
        <v>23.117</v>
      </c>
      <c r="AD327" t="n">
        <v>29.412</v>
      </c>
      <c r="AE327" t="n">
        <v>30.534</v>
      </c>
      <c r="AF327" t="n">
        <v>31.793</v>
      </c>
      <c r="AG327" t="n">
        <v>35.223</v>
      </c>
      <c r="AH327" t="n">
        <v>37.382</v>
      </c>
      <c r="AI327" t="n">
        <v>37.564</v>
      </c>
      <c r="AJ327" t="n">
        <v>33.112</v>
      </c>
      <c r="AK327" t="n">
        <v>32.751</v>
      </c>
      <c r="AL327" t="n">
        <v>32.888</v>
      </c>
      <c r="AM327" t="n">
        <v>32.375</v>
      </c>
      <c r="AN327" t="n">
        <v>33.493</v>
      </c>
      <c r="AO327" t="n">
        <v>33.686</v>
      </c>
      <c r="AP327" t="n">
        <v>31.043</v>
      </c>
      <c r="AQ327" t="n">
        <v>29.942</v>
      </c>
      <c r="AR327" t="n">
        <v>27.108</v>
      </c>
      <c r="AS327" t="n">
        <v>21.95</v>
      </c>
      <c r="AT327" t="n">
        <v>19.613</v>
      </c>
      <c r="AU327" t="n">
        <v>20.418</v>
      </c>
      <c r="AV327" t="n">
        <v>18.168</v>
      </c>
      <c r="AW327" t="n">
        <v>17.674</v>
      </c>
      <c r="AX327" t="n">
        <v>20.887</v>
      </c>
      <c r="AY327" t="n">
        <v>19.757</v>
      </c>
      <c r="AZ327" t="n">
        <v>17.697</v>
      </c>
      <c r="BA327" t="n">
        <v>14.855</v>
      </c>
      <c r="BB327" t="n">
        <v>15.231</v>
      </c>
      <c r="BC327" t="n">
        <v>28.808</v>
      </c>
      <c r="BD327" t="n">
        <v>13.105</v>
      </c>
      <c r="BE327" t="n">
        <v>14.26</v>
      </c>
      <c r="BF327" t="n">
        <v>8.586</v>
      </c>
      <c r="BG327" t="n">
        <v>13.097</v>
      </c>
      <c r="BH327" t="n">
        <v>9.664</v>
      </c>
      <c r="BI327" t="n">
        <v>9.603</v>
      </c>
      <c r="BJ327" t="n">
        <v>7.755</v>
      </c>
      <c r="BK327" t="n">
        <v>8.630000000000001</v>
      </c>
      <c r="BL327" t="n">
        <v>17.002</v>
      </c>
      <c r="BM327" t="n">
        <v>8.442</v>
      </c>
      <c r="BN327" t="n">
        <v>10.033</v>
      </c>
      <c r="BO327" t="n">
        <v>10.169</v>
      </c>
      <c r="BP327" t="n">
        <v>8.597</v>
      </c>
      <c r="BQ327" t="n">
        <v>9.301</v>
      </c>
      <c r="BR327" t="n">
        <v>8.835000000000001</v>
      </c>
      <c r="BS327" t="n">
        <v>8.800000000000001</v>
      </c>
      <c r="BT327" t="n">
        <v>9.851000000000001</v>
      </c>
      <c r="BU327" t="n">
        <v>14.87</v>
      </c>
      <c r="BV327" t="n">
        <v>10.143</v>
      </c>
    </row>
    <row r="328">
      <c r="A328" t="inlineStr">
        <is>
          <t>Lepidocybium flavobrunneum</t>
        </is>
      </c>
      <c r="B328" t="inlineStr">
        <is>
          <t>Escolar</t>
        </is>
      </c>
      <c r="C328" t="inlineStr">
        <is>
          <t>Large bathypelagics (&gt;=90 cm)</t>
        </is>
      </c>
      <c r="D328" t="inlineStr">
        <is>
          <t>Perch-likes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189.03</v>
      </c>
      <c r="AG328" t="n">
        <v>205.127</v>
      </c>
      <c r="AH328" t="n">
        <v>42.257</v>
      </c>
      <c r="AI328" t="n">
        <v>30.172</v>
      </c>
      <c r="AJ328" t="n">
        <v>17.593</v>
      </c>
      <c r="AK328" t="n">
        <v>20.202</v>
      </c>
      <c r="AL328" t="n">
        <v>36.673</v>
      </c>
      <c r="AM328" t="n">
        <v>32.779</v>
      </c>
      <c r="AN328" t="n">
        <v>0</v>
      </c>
      <c r="AO328" t="n">
        <v>63.597</v>
      </c>
      <c r="AP328" t="n">
        <v>82.557</v>
      </c>
      <c r="AQ328" t="n">
        <v>28.159</v>
      </c>
      <c r="AR328" t="n">
        <v>86.48</v>
      </c>
      <c r="AS328" t="n">
        <v>83.20699999999999</v>
      </c>
      <c r="AT328" t="n">
        <v>99.02200000000001</v>
      </c>
      <c r="AU328" t="n">
        <v>42.304</v>
      </c>
      <c r="AV328" t="n">
        <v>0</v>
      </c>
      <c r="AW328" t="n">
        <v>0</v>
      </c>
      <c r="AX328" t="n">
        <v>54.919</v>
      </c>
      <c r="AY328" t="n">
        <v>56.452</v>
      </c>
      <c r="AZ328" t="n">
        <v>3.137</v>
      </c>
      <c r="BA328" t="n">
        <v>12.55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</row>
    <row r="329">
      <c r="A329" t="inlineStr">
        <is>
          <t>Charybdis feriatus</t>
        </is>
      </c>
      <c r="B329" t="inlineStr">
        <is>
          <t>Crucifix crab</t>
        </is>
      </c>
      <c r="C329" t="inlineStr">
        <is>
          <t>Lobsters, crabs</t>
        </is>
      </c>
      <c r="D329" t="inlineStr">
        <is>
          <t>Crustaceans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27.884</v>
      </c>
      <c r="AT329" t="n">
        <v>27.014</v>
      </c>
      <c r="AU329" t="n">
        <v>25.329</v>
      </c>
      <c r="AV329" t="n">
        <v>25.664</v>
      </c>
      <c r="AW329" t="n">
        <v>24.548</v>
      </c>
      <c r="AX329" t="n">
        <v>25.664</v>
      </c>
      <c r="AY329" t="n">
        <v>26.222</v>
      </c>
      <c r="AZ329" t="n">
        <v>24.994</v>
      </c>
      <c r="BA329" t="n">
        <v>27.003</v>
      </c>
      <c r="BB329" t="n">
        <v>31.801</v>
      </c>
      <c r="BC329" t="n">
        <v>40.091</v>
      </c>
      <c r="BD329" t="n">
        <v>39.053</v>
      </c>
      <c r="BE329" t="n">
        <v>42.401</v>
      </c>
      <c r="BF329" t="n">
        <v>51.327</v>
      </c>
      <c r="BG329" t="n">
        <v>52.443</v>
      </c>
      <c r="BH329" t="n">
        <v>56.906</v>
      </c>
      <c r="BI329" t="n">
        <v>56.906</v>
      </c>
      <c r="BJ329" t="n">
        <v>53.559</v>
      </c>
      <c r="BK329" t="n">
        <v>51.104</v>
      </c>
      <c r="BL329" t="n">
        <v>55.936</v>
      </c>
      <c r="BM329" t="n">
        <v>50.859</v>
      </c>
      <c r="BN329" t="n">
        <v>47.199</v>
      </c>
      <c r="BO329" t="n">
        <v>47.739</v>
      </c>
      <c r="BP329" t="n">
        <v>45.256</v>
      </c>
      <c r="BQ329" t="n">
        <v>49.477</v>
      </c>
      <c r="BR329" t="n">
        <v>49.493</v>
      </c>
      <c r="BS329" t="n">
        <v>49.621</v>
      </c>
      <c r="BT329" t="n">
        <v>49.796</v>
      </c>
      <c r="BU329" t="n">
        <v>0</v>
      </c>
      <c r="BV329" t="n">
        <v>0</v>
      </c>
    </row>
    <row r="330">
      <c r="A330" t="inlineStr">
        <is>
          <t>Encrasicholina punctifer</t>
        </is>
      </c>
      <c r="B330" t="inlineStr">
        <is>
          <t>Buccaneer anchovy</t>
        </is>
      </c>
      <c r="C330" t="inlineStr">
        <is>
          <t>Small pelagics (&lt;30 cm)</t>
        </is>
      </c>
      <c r="D330" t="inlineStr">
        <is>
          <t>Anchovies</t>
        </is>
      </c>
      <c r="E330" t="n">
        <v>3.52</v>
      </c>
      <c r="F330" t="n">
        <v>4.343</v>
      </c>
      <c r="G330" t="n">
        <v>5.082</v>
      </c>
      <c r="H330" t="n">
        <v>5.448</v>
      </c>
      <c r="I330" t="n">
        <v>6.096</v>
      </c>
      <c r="J330" t="n">
        <v>7.409</v>
      </c>
      <c r="K330" t="n">
        <v>8.221</v>
      </c>
      <c r="L330" t="n">
        <v>9.009</v>
      </c>
      <c r="M330" t="n">
        <v>10.042</v>
      </c>
      <c r="N330" t="n">
        <v>11.065</v>
      </c>
      <c r="O330" t="n">
        <v>10.799</v>
      </c>
      <c r="P330" t="n">
        <v>11.973</v>
      </c>
      <c r="Q330" t="n">
        <v>12.376</v>
      </c>
      <c r="R330" t="n">
        <v>13.977</v>
      </c>
      <c r="S330" t="n">
        <v>13.24</v>
      </c>
      <c r="T330" t="n">
        <v>13.144</v>
      </c>
      <c r="U330" t="n">
        <v>12.343</v>
      </c>
      <c r="V330" t="n">
        <v>13.12</v>
      </c>
      <c r="W330" t="n">
        <v>13.726</v>
      </c>
      <c r="X330" t="n">
        <v>14.824</v>
      </c>
      <c r="Y330" t="n">
        <v>15.441</v>
      </c>
      <c r="Z330" t="n">
        <v>16.139</v>
      </c>
      <c r="AA330" t="n">
        <v>15.107</v>
      </c>
      <c r="AB330" t="n">
        <v>15.211</v>
      </c>
      <c r="AC330" t="n">
        <v>15.143</v>
      </c>
      <c r="AD330" t="n">
        <v>18.496</v>
      </c>
      <c r="AE330" t="n">
        <v>19.674</v>
      </c>
      <c r="AF330" t="n">
        <v>20.3</v>
      </c>
      <c r="AG330" t="n">
        <v>21.371</v>
      </c>
      <c r="AH330" t="n">
        <v>23.135</v>
      </c>
      <c r="AI330" t="n">
        <v>23.459</v>
      </c>
      <c r="AJ330" t="n">
        <v>22.163</v>
      </c>
      <c r="AK330" t="n">
        <v>22.502</v>
      </c>
      <c r="AL330" t="n">
        <v>24.107</v>
      </c>
      <c r="AM330" t="n">
        <v>23.951</v>
      </c>
      <c r="AN330" t="n">
        <v>25.966</v>
      </c>
      <c r="AO330" t="n">
        <v>27.142</v>
      </c>
      <c r="AP330" t="n">
        <v>24.838</v>
      </c>
      <c r="AQ330" t="n">
        <v>23.679</v>
      </c>
      <c r="AR330" t="n">
        <v>21.896</v>
      </c>
      <c r="AS330" t="n">
        <v>19.825</v>
      </c>
      <c r="AT330" t="n">
        <v>17.329</v>
      </c>
      <c r="AU330" t="n">
        <v>18.297</v>
      </c>
      <c r="AV330" t="n">
        <v>17.08</v>
      </c>
      <c r="AW330" t="n">
        <v>16.58</v>
      </c>
      <c r="AX330" t="n">
        <v>18.787</v>
      </c>
      <c r="AY330" t="n">
        <v>17.417</v>
      </c>
      <c r="AZ330" t="n">
        <v>16.322</v>
      </c>
      <c r="BA330" t="n">
        <v>16.125</v>
      </c>
      <c r="BB330" t="n">
        <v>15.335</v>
      </c>
      <c r="BC330" t="n">
        <v>17.089</v>
      </c>
      <c r="BD330" t="n">
        <v>10.708</v>
      </c>
      <c r="BE330" t="n">
        <v>26.857</v>
      </c>
      <c r="BF330" t="n">
        <v>24.581</v>
      </c>
      <c r="BG330" t="n">
        <v>29.258</v>
      </c>
      <c r="BH330" t="n">
        <v>46.28</v>
      </c>
      <c r="BI330" t="n">
        <v>32.965</v>
      </c>
      <c r="BJ330" t="n">
        <v>8.448</v>
      </c>
      <c r="BK330" t="n">
        <v>8.273</v>
      </c>
      <c r="BL330" t="n">
        <v>16.24</v>
      </c>
      <c r="BM330" t="n">
        <v>10.031</v>
      </c>
      <c r="BN330" t="n">
        <v>8.118</v>
      </c>
      <c r="BO330" t="n">
        <v>9.539</v>
      </c>
      <c r="BP330" t="n">
        <v>7.962</v>
      </c>
      <c r="BQ330" t="n">
        <v>8.494</v>
      </c>
      <c r="BR330" t="n">
        <v>7.297</v>
      </c>
      <c r="BS330" t="n">
        <v>7.677</v>
      </c>
      <c r="BT330" t="n">
        <v>7.94</v>
      </c>
      <c r="BU330" t="n">
        <v>11.781</v>
      </c>
      <c r="BV330" t="n">
        <v>7.667</v>
      </c>
    </row>
    <row r="331">
      <c r="A331" t="inlineStr">
        <is>
          <t>Spongia</t>
        </is>
      </c>
      <c r="B331" t="inlineStr">
        <is>
          <t>Bathing sponges</t>
        </is>
      </c>
      <c r="C331" t="inlineStr">
        <is>
          <t>Other demersal invertebrates</t>
        </is>
      </c>
      <c r="D331" t="inlineStr">
        <is>
          <t>Other fishes &amp; inverts</t>
        </is>
      </c>
      <c r="E331" t="n">
        <v>6.83</v>
      </c>
      <c r="F331" t="n">
        <v>6.83</v>
      </c>
      <c r="G331" t="n">
        <v>6.83</v>
      </c>
      <c r="H331" t="n">
        <v>6.83</v>
      </c>
      <c r="I331" t="n">
        <v>6.83</v>
      </c>
      <c r="J331" t="n">
        <v>6.83</v>
      </c>
      <c r="K331" t="n">
        <v>6.83</v>
      </c>
      <c r="L331" t="n">
        <v>6.83</v>
      </c>
      <c r="M331" t="n">
        <v>6.83</v>
      </c>
      <c r="N331" t="n">
        <v>6.83</v>
      </c>
      <c r="O331" t="n">
        <v>6.83</v>
      </c>
      <c r="P331" t="n">
        <v>6.83</v>
      </c>
      <c r="Q331" t="n">
        <v>6.83</v>
      </c>
      <c r="R331" t="n">
        <v>6.83</v>
      </c>
      <c r="S331" t="n">
        <v>6.83</v>
      </c>
      <c r="T331" t="n">
        <v>6.83</v>
      </c>
      <c r="U331" t="n">
        <v>6.83</v>
      </c>
      <c r="V331" t="n">
        <v>6.83</v>
      </c>
      <c r="W331" t="n">
        <v>6.83</v>
      </c>
      <c r="X331" t="n">
        <v>6.83</v>
      </c>
      <c r="Y331" t="n">
        <v>6.83</v>
      </c>
      <c r="Z331" t="n">
        <v>6.83</v>
      </c>
      <c r="AA331" t="n">
        <v>6.83</v>
      </c>
      <c r="AB331" t="n">
        <v>6.83</v>
      </c>
      <c r="AC331" t="n">
        <v>6.83</v>
      </c>
      <c r="AD331" t="n">
        <v>6.83</v>
      </c>
      <c r="AE331" t="n">
        <v>6.83</v>
      </c>
      <c r="AF331" t="n">
        <v>8.538</v>
      </c>
      <c r="AG331" t="n">
        <v>27.32</v>
      </c>
      <c r="AH331" t="n">
        <v>83.66800000000001</v>
      </c>
      <c r="AI331" t="n">
        <v>126.355</v>
      </c>
      <c r="AJ331" t="n">
        <v>64.88500000000001</v>
      </c>
      <c r="AK331" t="n">
        <v>81.95999999999999</v>
      </c>
      <c r="AL331" t="n">
        <v>61.47</v>
      </c>
      <c r="AM331" t="n">
        <v>35.858</v>
      </c>
      <c r="AN331" t="n">
        <v>17.075</v>
      </c>
      <c r="AO331" t="n">
        <v>17.075</v>
      </c>
      <c r="AP331" t="n">
        <v>10.245</v>
      </c>
      <c r="AQ331" t="n">
        <v>8.538</v>
      </c>
      <c r="AR331" t="n">
        <v>10.245</v>
      </c>
      <c r="AS331" t="n">
        <v>11.953</v>
      </c>
      <c r="AT331" t="n">
        <v>17.075</v>
      </c>
      <c r="AU331" t="n">
        <v>10.245</v>
      </c>
      <c r="AV331" t="n">
        <v>5.123</v>
      </c>
      <c r="AW331" t="n">
        <v>1.708</v>
      </c>
      <c r="AX331" t="n">
        <v>39.273</v>
      </c>
      <c r="AY331" t="n">
        <v>34.15</v>
      </c>
      <c r="AZ331" t="n">
        <v>27.32</v>
      </c>
      <c r="BA331" t="n">
        <v>11.953</v>
      </c>
      <c r="BB331" t="n">
        <v>13.66</v>
      </c>
      <c r="BC331" t="n">
        <v>1.708</v>
      </c>
      <c r="BD331" t="n">
        <v>11.953</v>
      </c>
      <c r="BE331" t="n">
        <v>13.66</v>
      </c>
      <c r="BF331" t="n">
        <v>13.66</v>
      </c>
      <c r="BG331" t="n">
        <v>11.953</v>
      </c>
      <c r="BH331" t="n">
        <v>8.538</v>
      </c>
      <c r="BI331" t="n">
        <v>10.143</v>
      </c>
      <c r="BJ331" t="n">
        <v>10.245</v>
      </c>
      <c r="BK331" t="n">
        <v>8.538</v>
      </c>
      <c r="BL331" t="n">
        <v>10.245</v>
      </c>
      <c r="BM331" t="n">
        <v>11.953</v>
      </c>
      <c r="BN331" t="n">
        <v>10.245</v>
      </c>
      <c r="BO331" t="n">
        <v>8.538</v>
      </c>
      <c r="BP331" t="n">
        <v>8.538</v>
      </c>
      <c r="BQ331" t="n">
        <v>6.83</v>
      </c>
      <c r="BR331" t="n">
        <v>6.83</v>
      </c>
      <c r="BS331" t="n">
        <v>7.496</v>
      </c>
      <c r="BT331" t="n">
        <v>7.018</v>
      </c>
      <c r="BU331" t="n">
        <v>6.95</v>
      </c>
      <c r="BV331" t="n">
        <v>7.684</v>
      </c>
    </row>
    <row r="332">
      <c r="A332" t="inlineStr">
        <is>
          <t>Amusium pleuronectes</t>
        </is>
      </c>
      <c r="B332" t="inlineStr">
        <is>
          <t>Asian moon scallop</t>
        </is>
      </c>
      <c r="C332" t="inlineStr">
        <is>
          <t>Other demersal invertebrates</t>
        </is>
      </c>
      <c r="D332" t="inlineStr">
        <is>
          <t>Molluscs</t>
        </is>
      </c>
      <c r="E332" t="n">
        <v>3.672</v>
      </c>
      <c r="F332" t="n">
        <v>4.573</v>
      </c>
      <c r="G332" t="n">
        <v>4.688</v>
      </c>
      <c r="H332" t="n">
        <v>4.615</v>
      </c>
      <c r="I332" t="n">
        <v>5.677</v>
      </c>
      <c r="J332" t="n">
        <v>6.064</v>
      </c>
      <c r="K332" t="n">
        <v>6.711</v>
      </c>
      <c r="L332" t="n">
        <v>6.608</v>
      </c>
      <c r="M332" t="n">
        <v>6.935</v>
      </c>
      <c r="N332" t="n">
        <v>7.223</v>
      </c>
      <c r="O332" t="n">
        <v>7.978</v>
      </c>
      <c r="P332" t="n">
        <v>7.579</v>
      </c>
      <c r="Q332" t="n">
        <v>8.372999999999999</v>
      </c>
      <c r="R332" t="n">
        <v>9.991</v>
      </c>
      <c r="S332" t="n">
        <v>11.055</v>
      </c>
      <c r="T332" t="n">
        <v>12.38</v>
      </c>
      <c r="U332" t="n">
        <v>13.153</v>
      </c>
      <c r="V332" t="n">
        <v>13.971</v>
      </c>
      <c r="W332" t="n">
        <v>15.87</v>
      </c>
      <c r="X332" t="n">
        <v>15.43</v>
      </c>
      <c r="Y332" t="n">
        <v>17.975</v>
      </c>
      <c r="Z332" t="n">
        <v>18.097</v>
      </c>
      <c r="AA332" t="n">
        <v>20.223</v>
      </c>
      <c r="AB332" t="n">
        <v>21.878</v>
      </c>
      <c r="AC332" t="n">
        <v>22.093</v>
      </c>
      <c r="AD332" t="n">
        <v>25.039</v>
      </c>
      <c r="AE332" t="n">
        <v>22.468</v>
      </c>
      <c r="AF332" t="n">
        <v>21.093</v>
      </c>
      <c r="AG332" t="n">
        <v>28.825</v>
      </c>
      <c r="AH332" t="n">
        <v>21.258</v>
      </c>
      <c r="AI332" t="n">
        <v>17.58</v>
      </c>
      <c r="AJ332" t="n">
        <v>49.352</v>
      </c>
      <c r="AK332" t="n">
        <v>1.543</v>
      </c>
      <c r="AL332" t="n">
        <v>5.043</v>
      </c>
      <c r="AM332" t="n">
        <v>8.43</v>
      </c>
      <c r="AN332" t="n">
        <v>14.439</v>
      </c>
      <c r="AO332" t="n">
        <v>20.935</v>
      </c>
      <c r="AP332" t="n">
        <v>27.15</v>
      </c>
      <c r="AQ332" t="n">
        <v>34.025</v>
      </c>
      <c r="AR332" t="n">
        <v>48.718</v>
      </c>
      <c r="AS332" t="n">
        <v>38.162</v>
      </c>
      <c r="AT332" t="n">
        <v>29.756</v>
      </c>
      <c r="AU332" t="n">
        <v>2.168</v>
      </c>
      <c r="AV332" t="n">
        <v>2.22</v>
      </c>
      <c r="AW332" t="n">
        <v>9.071999999999999</v>
      </c>
      <c r="AX332" t="n">
        <v>12.48</v>
      </c>
      <c r="AY332" t="n">
        <v>11.174</v>
      </c>
      <c r="AZ332" t="n">
        <v>5.21</v>
      </c>
      <c r="BA332" t="n">
        <v>3.435</v>
      </c>
      <c r="BB332" t="n">
        <v>5.271</v>
      </c>
      <c r="BC332" t="n">
        <v>4.519</v>
      </c>
      <c r="BD332" t="n">
        <v>1.856</v>
      </c>
      <c r="BE332" t="n">
        <v>15.786</v>
      </c>
      <c r="BF332" t="n">
        <v>17.242</v>
      </c>
      <c r="BG332" t="n">
        <v>15.747</v>
      </c>
      <c r="BH332" t="n">
        <v>13.677</v>
      </c>
      <c r="BI332" t="n">
        <v>13.818</v>
      </c>
      <c r="BJ332" t="n">
        <v>16.315</v>
      </c>
      <c r="BK332" t="n">
        <v>15.828</v>
      </c>
      <c r="BL332" t="n">
        <v>15.864</v>
      </c>
      <c r="BM332" t="n">
        <v>16.519</v>
      </c>
      <c r="BN332" t="n">
        <v>21.768</v>
      </c>
      <c r="BO332" t="n">
        <v>20.366</v>
      </c>
      <c r="BP332" t="n">
        <v>18.917</v>
      </c>
      <c r="BQ332" t="n">
        <v>17.446</v>
      </c>
      <c r="BR332" t="n">
        <v>9.757999999999999</v>
      </c>
      <c r="BS332" t="n">
        <v>11.047</v>
      </c>
      <c r="BT332" t="n">
        <v>10.693</v>
      </c>
      <c r="BU332" t="n">
        <v>0.001</v>
      </c>
      <c r="BV332" t="n">
        <v>0.001</v>
      </c>
    </row>
    <row r="333">
      <c r="A333" t="inlineStr">
        <is>
          <t>Scatophagus argus</t>
        </is>
      </c>
      <c r="B333" t="inlineStr">
        <is>
          <t>Spotted scat</t>
        </is>
      </c>
      <c r="C333" t="inlineStr">
        <is>
          <t>Medium demersals (30 - 89 cm)</t>
        </is>
      </c>
      <c r="D333" t="inlineStr">
        <is>
          <t>Perch-likes</t>
        </is>
      </c>
      <c r="E333" t="n">
        <v>6.726</v>
      </c>
      <c r="F333" t="n">
        <v>6.726</v>
      </c>
      <c r="G333" t="n">
        <v>7.286</v>
      </c>
      <c r="H333" t="n">
        <v>7.566</v>
      </c>
      <c r="I333" t="n">
        <v>8.127000000000001</v>
      </c>
      <c r="J333" t="n">
        <v>8.407</v>
      </c>
      <c r="K333" t="n">
        <v>8.967000000000001</v>
      </c>
      <c r="L333" t="n">
        <v>9.247999999999999</v>
      </c>
      <c r="M333" t="n">
        <v>9.808</v>
      </c>
      <c r="N333" t="n">
        <v>10.088</v>
      </c>
      <c r="O333" t="n">
        <v>10.649</v>
      </c>
      <c r="P333" t="n">
        <v>11.209</v>
      </c>
      <c r="Q333" t="n">
        <v>11.49</v>
      </c>
      <c r="R333" t="n">
        <v>12.05</v>
      </c>
      <c r="S333" t="n">
        <v>12.33</v>
      </c>
      <c r="T333" t="n">
        <v>17.655</v>
      </c>
      <c r="U333" t="n">
        <v>18.215</v>
      </c>
      <c r="V333" t="n">
        <v>19.336</v>
      </c>
      <c r="W333" t="n">
        <v>17.655</v>
      </c>
      <c r="X333" t="n">
        <v>17.094</v>
      </c>
      <c r="Y333" t="n">
        <v>16.814</v>
      </c>
      <c r="Z333" t="n">
        <v>16.814</v>
      </c>
      <c r="AA333" t="n">
        <v>16.253</v>
      </c>
      <c r="AB333" t="n">
        <v>16.534</v>
      </c>
      <c r="AC333" t="n">
        <v>17.374</v>
      </c>
      <c r="AD333" t="n">
        <v>17.655</v>
      </c>
      <c r="AE333" t="n">
        <v>18.495</v>
      </c>
      <c r="AF333" t="n">
        <v>18.776</v>
      </c>
      <c r="AG333" t="n">
        <v>20.737</v>
      </c>
      <c r="AH333" t="n">
        <v>21.858</v>
      </c>
      <c r="AI333" t="n">
        <v>22.138</v>
      </c>
      <c r="AJ333" t="n">
        <v>22.699</v>
      </c>
      <c r="AK333" t="n">
        <v>23.82</v>
      </c>
      <c r="AL333" t="n">
        <v>24.38</v>
      </c>
      <c r="AM333" t="n">
        <v>26.622</v>
      </c>
      <c r="AN333" t="n">
        <v>26.902</v>
      </c>
      <c r="AO333" t="n">
        <v>27.463</v>
      </c>
      <c r="AP333" t="n">
        <v>27.183</v>
      </c>
      <c r="AQ333" t="n">
        <v>26.342</v>
      </c>
      <c r="AR333" t="n">
        <v>26.902</v>
      </c>
      <c r="AS333" t="n">
        <v>27.463</v>
      </c>
      <c r="AT333" t="n">
        <v>13.451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43.02</v>
      </c>
      <c r="BI333" t="n">
        <v>49.832</v>
      </c>
      <c r="BJ333" t="n">
        <v>52.286</v>
      </c>
      <c r="BK333" t="n">
        <v>55.559</v>
      </c>
      <c r="BL333" t="n">
        <v>3.933</v>
      </c>
      <c r="BM333" t="n">
        <v>3.726</v>
      </c>
      <c r="BN333" t="n">
        <v>3.62</v>
      </c>
      <c r="BO333" t="n">
        <v>4.074</v>
      </c>
      <c r="BP333" t="n">
        <v>4.236</v>
      </c>
      <c r="BQ333" t="n">
        <v>3.881</v>
      </c>
      <c r="BR333" t="n">
        <v>3.997</v>
      </c>
      <c r="BS333" t="n">
        <v>4.138</v>
      </c>
      <c r="BT333" t="n">
        <v>3.837</v>
      </c>
      <c r="BU333" t="n">
        <v>3.645</v>
      </c>
      <c r="BV333" t="n">
        <v>3.416</v>
      </c>
    </row>
    <row r="334">
      <c r="A334" t="inlineStr">
        <is>
          <t>Podophthalmus vigil</t>
        </is>
      </c>
      <c r="B334" t="inlineStr">
        <is>
          <t>Periscope crab</t>
        </is>
      </c>
      <c r="C334" t="inlineStr">
        <is>
          <t>Lobsters, crabs</t>
        </is>
      </c>
      <c r="D334" t="inlineStr">
        <is>
          <t>Crustaceans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22.058</v>
      </c>
      <c r="AT334" t="n">
        <v>21.369</v>
      </c>
      <c r="AU334" t="n">
        <v>20.037</v>
      </c>
      <c r="AV334" t="n">
        <v>20.301</v>
      </c>
      <c r="AW334" t="n">
        <v>19.419</v>
      </c>
      <c r="AX334" t="n">
        <v>20.301</v>
      </c>
      <c r="AY334" t="n">
        <v>20.743</v>
      </c>
      <c r="AZ334" t="n">
        <v>19.772</v>
      </c>
      <c r="BA334" t="n">
        <v>21.361</v>
      </c>
      <c r="BB334" t="n">
        <v>25.156</v>
      </c>
      <c r="BC334" t="n">
        <v>31.714</v>
      </c>
      <c r="BD334" t="n">
        <v>30.893</v>
      </c>
      <c r="BE334" t="n">
        <v>33.541</v>
      </c>
      <c r="BF334" t="n">
        <v>40.603</v>
      </c>
      <c r="BG334" t="n">
        <v>41.485</v>
      </c>
      <c r="BH334" t="n">
        <v>45.016</v>
      </c>
      <c r="BI334" t="n">
        <v>45.016</v>
      </c>
      <c r="BJ334" t="n">
        <v>42.368</v>
      </c>
      <c r="BK334" t="n">
        <v>40.426</v>
      </c>
      <c r="BL334" t="n">
        <v>44.248</v>
      </c>
      <c r="BM334" t="n">
        <v>49.67</v>
      </c>
      <c r="BN334" t="n">
        <v>37.337</v>
      </c>
      <c r="BO334" t="n">
        <v>37.764</v>
      </c>
      <c r="BP334" t="n">
        <v>35.8</v>
      </c>
      <c r="BQ334" t="n">
        <v>39.139</v>
      </c>
      <c r="BR334" t="n">
        <v>39.152</v>
      </c>
      <c r="BS334" t="n">
        <v>39.253</v>
      </c>
      <c r="BT334" t="n">
        <v>39.392</v>
      </c>
      <c r="BU334" t="n">
        <v>0</v>
      </c>
      <c r="BV334" t="n">
        <v>0</v>
      </c>
    </row>
    <row r="335">
      <c r="A335" t="inlineStr">
        <is>
          <t>Drepane punctata</t>
        </is>
      </c>
      <c r="B335" t="inlineStr">
        <is>
          <t>Spotted sicklefish</t>
        </is>
      </c>
      <c r="C335" t="inlineStr">
        <is>
          <t>Medium reef assoc. fish (30 - 89 cm)</t>
        </is>
      </c>
      <c r="D335" t="inlineStr">
        <is>
          <t>Perch-likes</t>
        </is>
      </c>
      <c r="E335" t="n">
        <v>1.89</v>
      </c>
      <c r="F335" t="n">
        <v>2.201</v>
      </c>
      <c r="G335" t="n">
        <v>2.29</v>
      </c>
      <c r="H335" t="n">
        <v>2.264</v>
      </c>
      <c r="I335" t="n">
        <v>2.963</v>
      </c>
      <c r="J335" t="n">
        <v>3.126</v>
      </c>
      <c r="K335" t="n">
        <v>3.302</v>
      </c>
      <c r="L335" t="n">
        <v>3.105</v>
      </c>
      <c r="M335" t="n">
        <v>3.434</v>
      </c>
      <c r="N335" t="n">
        <v>3.594</v>
      </c>
      <c r="O335" t="n">
        <v>3.835</v>
      </c>
      <c r="P335" t="n">
        <v>3.798</v>
      </c>
      <c r="Q335" t="n">
        <v>4.346</v>
      </c>
      <c r="R335" t="n">
        <v>5.56</v>
      </c>
      <c r="S335" t="n">
        <v>6.539</v>
      </c>
      <c r="T335" t="n">
        <v>7.468</v>
      </c>
      <c r="U335" t="n">
        <v>7.881</v>
      </c>
      <c r="V335" t="n">
        <v>8.324</v>
      </c>
      <c r="W335" t="n">
        <v>9.871</v>
      </c>
      <c r="X335" t="n">
        <v>9.231</v>
      </c>
      <c r="Y335" t="n">
        <v>10.127</v>
      </c>
      <c r="Z335" t="n">
        <v>10.206</v>
      </c>
      <c r="AA335" t="n">
        <v>11.277</v>
      </c>
      <c r="AB335" t="n">
        <v>12.356</v>
      </c>
      <c r="AC335" t="n">
        <v>12.666</v>
      </c>
      <c r="AD335" t="n">
        <v>13.285</v>
      </c>
      <c r="AE335" t="n">
        <v>14.168</v>
      </c>
      <c r="AF335" t="n">
        <v>14.743</v>
      </c>
      <c r="AG335" t="n">
        <v>13.546</v>
      </c>
      <c r="AH335" t="n">
        <v>15.543</v>
      </c>
      <c r="AI335" t="n">
        <v>16.297</v>
      </c>
      <c r="AJ335" t="n">
        <v>8.843999999999999</v>
      </c>
      <c r="AK335" t="n">
        <v>24.529</v>
      </c>
      <c r="AL335" t="n">
        <v>20.765</v>
      </c>
      <c r="AM335" t="n">
        <v>15.808</v>
      </c>
      <c r="AN335" t="n">
        <v>15.453</v>
      </c>
      <c r="AO335" t="n">
        <v>15.611</v>
      </c>
      <c r="AP335" t="n">
        <v>15.449</v>
      </c>
      <c r="AQ335" t="n">
        <v>15.183</v>
      </c>
      <c r="AR335" t="n">
        <v>24.42</v>
      </c>
      <c r="AS335" t="n">
        <v>16.657</v>
      </c>
      <c r="AT335" t="n">
        <v>50.663</v>
      </c>
      <c r="AU335" t="n">
        <v>16.982</v>
      </c>
      <c r="AV335" t="n">
        <v>14.144</v>
      </c>
      <c r="AW335" t="n">
        <v>33.557</v>
      </c>
      <c r="AX335" t="n">
        <v>5.493</v>
      </c>
      <c r="AY335" t="n">
        <v>5.611</v>
      </c>
      <c r="AZ335" t="n">
        <v>15.604</v>
      </c>
      <c r="BA335" t="n">
        <v>8.699999999999999</v>
      </c>
      <c r="BB335" t="n">
        <v>11.783</v>
      </c>
      <c r="BC335" t="n">
        <v>10.051</v>
      </c>
      <c r="BD335" t="n">
        <v>10.176</v>
      </c>
      <c r="BE335" t="n">
        <v>15.58</v>
      </c>
      <c r="BF335" t="n">
        <v>16.569</v>
      </c>
      <c r="BG335" t="n">
        <v>14.993</v>
      </c>
      <c r="BH335" t="n">
        <v>13.667</v>
      </c>
      <c r="BI335" t="n">
        <v>13.333</v>
      </c>
      <c r="BJ335" t="n">
        <v>15.615</v>
      </c>
      <c r="BK335" t="n">
        <v>15.214</v>
      </c>
      <c r="BL335" t="n">
        <v>15.59</v>
      </c>
      <c r="BM335" t="n">
        <v>16.151</v>
      </c>
      <c r="BN335" t="n">
        <v>20.252</v>
      </c>
      <c r="BO335" t="n">
        <v>18.951</v>
      </c>
      <c r="BP335" t="n">
        <v>17.894</v>
      </c>
      <c r="BQ335" t="n">
        <v>16.357</v>
      </c>
      <c r="BR335" t="n">
        <v>15.927</v>
      </c>
      <c r="BS335" t="n">
        <v>17.032</v>
      </c>
      <c r="BT335" t="n">
        <v>41.418</v>
      </c>
      <c r="BU335" t="n">
        <v>15.237</v>
      </c>
      <c r="BV335" t="n">
        <v>24.497</v>
      </c>
    </row>
    <row r="336">
      <c r="A336" t="inlineStr">
        <is>
          <t>Charybdis anisodon</t>
        </is>
      </c>
      <c r="B336" t="inlineStr">
        <is>
          <t>Twospined arm swimming crab</t>
        </is>
      </c>
      <c r="C336" t="inlineStr">
        <is>
          <t>Lobsters, crabs</t>
        </is>
      </c>
      <c r="D336" t="inlineStr">
        <is>
          <t>Crustaceans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22.072</v>
      </c>
      <c r="AT336" t="n">
        <v>21.383</v>
      </c>
      <c r="AU336" t="n">
        <v>20.05</v>
      </c>
      <c r="AV336" t="n">
        <v>20.315</v>
      </c>
      <c r="AW336" t="n">
        <v>19.431</v>
      </c>
      <c r="AX336" t="n">
        <v>20.315</v>
      </c>
      <c r="AY336" t="n">
        <v>20.756</v>
      </c>
      <c r="AZ336" t="n">
        <v>19.785</v>
      </c>
      <c r="BA336" t="n">
        <v>21.375</v>
      </c>
      <c r="BB336" t="n">
        <v>25.172</v>
      </c>
      <c r="BC336" t="n">
        <v>31.735</v>
      </c>
      <c r="BD336" t="n">
        <v>30.914</v>
      </c>
      <c r="BE336" t="n">
        <v>33.563</v>
      </c>
      <c r="BF336" t="n">
        <v>40.629</v>
      </c>
      <c r="BG336" t="n">
        <v>41.513</v>
      </c>
      <c r="BH336" t="n">
        <v>45.045</v>
      </c>
      <c r="BI336" t="n">
        <v>45.045</v>
      </c>
      <c r="BJ336" t="n">
        <v>42.396</v>
      </c>
      <c r="BK336" t="n">
        <v>40.453</v>
      </c>
      <c r="BL336" t="n">
        <v>44.277</v>
      </c>
      <c r="BM336" t="n">
        <v>40.258</v>
      </c>
      <c r="BN336" t="n">
        <v>37.361</v>
      </c>
      <c r="BO336" t="n">
        <v>37.789</v>
      </c>
      <c r="BP336" t="n">
        <v>35.823</v>
      </c>
      <c r="BQ336" t="n">
        <v>39.165</v>
      </c>
      <c r="BR336" t="n">
        <v>39.177</v>
      </c>
      <c r="BS336" t="n">
        <v>39.279</v>
      </c>
      <c r="BT336" t="n">
        <v>39.417</v>
      </c>
      <c r="BU336" t="n">
        <v>0</v>
      </c>
      <c r="BV336" t="n">
        <v>0</v>
      </c>
    </row>
    <row r="337">
      <c r="A337" t="inlineStr">
        <is>
          <t>Beryx</t>
        </is>
      </c>
      <c r="B337" t="inlineStr">
        <is>
          <t>Alfonsinos</t>
        </is>
      </c>
      <c r="C337" t="inlineStr">
        <is>
          <t>Medium benthopelagics (30 - 89 cm)</t>
        </is>
      </c>
      <c r="D337" t="inlineStr">
        <is>
          <t>Other fishes &amp; inverts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3.334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463.98</v>
      </c>
      <c r="BI337" t="n">
        <v>0</v>
      </c>
      <c r="BJ337" t="n">
        <v>236.99</v>
      </c>
      <c r="BK337" t="n">
        <v>104.996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</row>
    <row r="338">
      <c r="A338" t="inlineStr">
        <is>
          <t>Magallana gigas</t>
        </is>
      </c>
      <c r="B338" t="inlineStr">
        <is>
          <t>Pacific cupped oyster</t>
        </is>
      </c>
      <c r="C338" t="inlineStr">
        <is>
          <t>Other demersal invertebrates</t>
        </is>
      </c>
      <c r="D338" t="inlineStr">
        <is>
          <t>Molluscs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3.505</v>
      </c>
      <c r="Q338" t="n">
        <v>13.111</v>
      </c>
      <c r="R338" t="n">
        <v>21.729</v>
      </c>
      <c r="S338" t="n">
        <v>13.404</v>
      </c>
      <c r="T338" t="n">
        <v>14.916</v>
      </c>
      <c r="U338" t="n">
        <v>0</v>
      </c>
      <c r="V338" t="n">
        <v>8.259</v>
      </c>
      <c r="W338" t="n">
        <v>18.374</v>
      </c>
      <c r="X338" t="n">
        <v>22.04</v>
      </c>
      <c r="Y338" t="n">
        <v>10.946</v>
      </c>
      <c r="Z338" t="n">
        <v>15.573</v>
      </c>
      <c r="AA338" t="n">
        <v>18.01</v>
      </c>
      <c r="AB338" t="n">
        <v>8.898999999999999</v>
      </c>
      <c r="AC338" t="n">
        <v>4.878</v>
      </c>
      <c r="AD338" t="n">
        <v>2.535</v>
      </c>
      <c r="AE338" t="n">
        <v>6.839</v>
      </c>
      <c r="AF338" t="n">
        <v>11.985</v>
      </c>
      <c r="AG338" t="n">
        <v>11.049</v>
      </c>
      <c r="AH338" t="n">
        <v>10.61</v>
      </c>
      <c r="AI338" t="n">
        <v>13.176</v>
      </c>
      <c r="AJ338" t="n">
        <v>15.2</v>
      </c>
      <c r="AK338" t="n">
        <v>13.806</v>
      </c>
      <c r="AL338" t="n">
        <v>14.559</v>
      </c>
      <c r="AM338" t="n">
        <v>15.112</v>
      </c>
      <c r="AN338" t="n">
        <v>8.912000000000001</v>
      </c>
      <c r="AO338" t="n">
        <v>15.663</v>
      </c>
      <c r="AP338" t="n">
        <v>13.952</v>
      </c>
      <c r="AQ338" t="n">
        <v>10.492</v>
      </c>
      <c r="AR338" t="n">
        <v>14.286</v>
      </c>
      <c r="AS338" t="n">
        <v>7.584</v>
      </c>
      <c r="AT338" t="n">
        <v>7.363</v>
      </c>
      <c r="AU338" t="n">
        <v>6.519</v>
      </c>
      <c r="AV338" t="n">
        <v>4.128</v>
      </c>
      <c r="AW338" t="n">
        <v>1.095</v>
      </c>
      <c r="AX338" t="n">
        <v>3.927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1.601</v>
      </c>
      <c r="BE338" t="n">
        <v>0</v>
      </c>
      <c r="BF338" t="n">
        <v>0</v>
      </c>
      <c r="BG338" t="n">
        <v>0</v>
      </c>
      <c r="BH338" t="n">
        <v>222.737</v>
      </c>
      <c r="BI338" t="n">
        <v>0</v>
      </c>
      <c r="BJ338" t="n">
        <v>0</v>
      </c>
      <c r="BK338" t="n">
        <v>0</v>
      </c>
      <c r="BL338" t="n">
        <v>52.44</v>
      </c>
      <c r="BM338" t="n">
        <v>0</v>
      </c>
      <c r="BN338" t="n">
        <v>0</v>
      </c>
      <c r="BO338" t="n">
        <v>0.16</v>
      </c>
      <c r="BP338" t="n">
        <v>0</v>
      </c>
      <c r="BQ338" t="n">
        <v>0.111</v>
      </c>
      <c r="BR338" t="n">
        <v>0</v>
      </c>
      <c r="BS338" t="n">
        <v>0</v>
      </c>
      <c r="BT338" t="n">
        <v>39.422</v>
      </c>
      <c r="BU338" t="n">
        <v>32.602</v>
      </c>
      <c r="BV338" t="n">
        <v>65.761</v>
      </c>
    </row>
    <row r="339">
      <c r="A339" t="inlineStr">
        <is>
          <t>Sillago sihama</t>
        </is>
      </c>
      <c r="B339" t="inlineStr">
        <is>
          <t>Silver sillago</t>
        </is>
      </c>
      <c r="C339" t="inlineStr">
        <is>
          <t>Medium demersals (30 - 89 cm)</t>
        </is>
      </c>
      <c r="D339" t="inlineStr">
        <is>
          <t>Perch-likes</t>
        </is>
      </c>
      <c r="E339" t="n">
        <v>1.507</v>
      </c>
      <c r="F339" t="n">
        <v>1.849</v>
      </c>
      <c r="G339" t="n">
        <v>2.179</v>
      </c>
      <c r="H339" t="n">
        <v>2.341</v>
      </c>
      <c r="I339" t="n">
        <v>2.423</v>
      </c>
      <c r="J339" t="n">
        <v>2.957</v>
      </c>
      <c r="K339" t="n">
        <v>3.412</v>
      </c>
      <c r="L339" t="n">
        <v>3.742</v>
      </c>
      <c r="M339" t="n">
        <v>4.137</v>
      </c>
      <c r="N339" t="n">
        <v>4.671</v>
      </c>
      <c r="O339" t="n">
        <v>4.984</v>
      </c>
      <c r="P339" t="n">
        <v>5.881</v>
      </c>
      <c r="Q339" t="n">
        <v>6.392</v>
      </c>
      <c r="R339" t="n">
        <v>6.891</v>
      </c>
      <c r="S339" t="n">
        <v>7.584</v>
      </c>
      <c r="T339" t="n">
        <v>8.272</v>
      </c>
      <c r="U339" t="n">
        <v>9.093999999999999</v>
      </c>
      <c r="V339" t="n">
        <v>9.972</v>
      </c>
      <c r="W339" t="n">
        <v>11.315</v>
      </c>
      <c r="X339" t="n">
        <v>12.551</v>
      </c>
      <c r="Y339" t="n">
        <v>13.19</v>
      </c>
      <c r="Z339" t="n">
        <v>14.625</v>
      </c>
      <c r="AA339" t="n">
        <v>14.87</v>
      </c>
      <c r="AB339" t="n">
        <v>15.546</v>
      </c>
      <c r="AC339" t="n">
        <v>15.517</v>
      </c>
      <c r="AD339" t="n">
        <v>19.062</v>
      </c>
      <c r="AE339" t="n">
        <v>19.627</v>
      </c>
      <c r="AF339" t="n">
        <v>20.56</v>
      </c>
      <c r="AG339" t="n">
        <v>22.261</v>
      </c>
      <c r="AH339" t="n">
        <v>23.825</v>
      </c>
      <c r="AI339" t="n">
        <v>23.751</v>
      </c>
      <c r="AJ339" t="n">
        <v>21.133</v>
      </c>
      <c r="AK339" t="n">
        <v>20.466</v>
      </c>
      <c r="AL339" t="n">
        <v>20.678</v>
      </c>
      <c r="AM339" t="n">
        <v>20.823</v>
      </c>
      <c r="AN339" t="n">
        <v>20.53</v>
      </c>
      <c r="AO339" t="n">
        <v>20.778</v>
      </c>
      <c r="AP339" t="n">
        <v>19.437</v>
      </c>
      <c r="AQ339" t="n">
        <v>19.842</v>
      </c>
      <c r="AR339" t="n">
        <v>18.344</v>
      </c>
      <c r="AS339" t="n">
        <v>14.805</v>
      </c>
      <c r="AT339" t="n">
        <v>13.279</v>
      </c>
      <c r="AU339" t="n">
        <v>13.089</v>
      </c>
      <c r="AV339" t="n">
        <v>11.844</v>
      </c>
      <c r="AW339" t="n">
        <v>11.077</v>
      </c>
      <c r="AX339" t="n">
        <v>13.09</v>
      </c>
      <c r="AY339" t="n">
        <v>12.116</v>
      </c>
      <c r="AZ339" t="n">
        <v>11.027</v>
      </c>
      <c r="BA339" t="n">
        <v>8.457000000000001</v>
      </c>
      <c r="BB339" t="n">
        <v>8.663</v>
      </c>
      <c r="BC339" t="n">
        <v>6.394</v>
      </c>
      <c r="BD339" t="n">
        <v>4.769</v>
      </c>
      <c r="BE339" t="n">
        <v>8.550000000000001</v>
      </c>
      <c r="BF339" t="n">
        <v>4.23</v>
      </c>
      <c r="BG339" t="n">
        <v>5.507</v>
      </c>
      <c r="BH339" t="n">
        <v>6.116</v>
      </c>
      <c r="BI339" t="n">
        <v>5.641</v>
      </c>
      <c r="BJ339" t="n">
        <v>4.277</v>
      </c>
      <c r="BK339" t="n">
        <v>4.749</v>
      </c>
      <c r="BL339" t="n">
        <v>2.307</v>
      </c>
      <c r="BM339" t="n">
        <v>1.134</v>
      </c>
      <c r="BN339" t="n">
        <v>1.242</v>
      </c>
      <c r="BO339" t="n">
        <v>1.295</v>
      </c>
      <c r="BP339" t="n">
        <v>2.077</v>
      </c>
      <c r="BQ339" t="n">
        <v>2.305</v>
      </c>
      <c r="BR339" t="n">
        <v>1.825</v>
      </c>
      <c r="BS339" t="n">
        <v>3.12</v>
      </c>
      <c r="BT339" t="n">
        <v>1.579</v>
      </c>
      <c r="BU339" t="n">
        <v>2.395</v>
      </c>
      <c r="BV339" t="n">
        <v>1.771</v>
      </c>
    </row>
    <row r="340">
      <c r="A340" t="inlineStr">
        <is>
          <t>Pteriomorphia</t>
        </is>
      </c>
      <c r="B340" t="inlineStr">
        <is>
          <t>Clams, cockles, arkshells</t>
        </is>
      </c>
      <c r="C340" t="inlineStr">
        <is>
          <t>Other demersal invertebrates</t>
        </is>
      </c>
      <c r="D340" t="inlineStr">
        <is>
          <t>Molluscs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88.964</v>
      </c>
      <c r="BS340" t="n">
        <v>87.274</v>
      </c>
      <c r="BT340" t="n">
        <v>74.396</v>
      </c>
      <c r="BU340" t="n">
        <v>199.743</v>
      </c>
      <c r="BV340" t="n">
        <v>224.327</v>
      </c>
    </row>
    <row r="341">
      <c r="A341" t="inlineStr">
        <is>
          <t>Metapenaeus ensis</t>
        </is>
      </c>
      <c r="B341" t="inlineStr">
        <is>
          <t>Greasyback shrimp</t>
        </is>
      </c>
      <c r="C341" t="inlineStr">
        <is>
          <t>Shrimps</t>
        </is>
      </c>
      <c r="D341" t="inlineStr">
        <is>
          <t>Crustaceans</t>
        </is>
      </c>
      <c r="E341" t="n">
        <v>1.237</v>
      </c>
      <c r="F341" t="n">
        <v>1.521</v>
      </c>
      <c r="G341" t="n">
        <v>1.783</v>
      </c>
      <c r="H341" t="n">
        <v>1.912</v>
      </c>
      <c r="I341" t="n">
        <v>1.97</v>
      </c>
      <c r="J341" t="n">
        <v>2.392</v>
      </c>
      <c r="K341" t="n">
        <v>2.766</v>
      </c>
      <c r="L341" t="n">
        <v>3.031</v>
      </c>
      <c r="M341" t="n">
        <v>3.361</v>
      </c>
      <c r="N341" t="n">
        <v>3.788</v>
      </c>
      <c r="O341" t="n">
        <v>4.012</v>
      </c>
      <c r="P341" t="n">
        <v>4.723</v>
      </c>
      <c r="Q341" t="n">
        <v>5.166</v>
      </c>
      <c r="R341" t="n">
        <v>5.609</v>
      </c>
      <c r="S341" t="n">
        <v>6.218</v>
      </c>
      <c r="T341" t="n">
        <v>6.718</v>
      </c>
      <c r="U341" t="n">
        <v>7.209</v>
      </c>
      <c r="V341" t="n">
        <v>7.995</v>
      </c>
      <c r="W341" t="n">
        <v>9.179</v>
      </c>
      <c r="X341" t="n">
        <v>10.25</v>
      </c>
      <c r="Y341" t="n">
        <v>11.139</v>
      </c>
      <c r="Z341" t="n">
        <v>12.003</v>
      </c>
      <c r="AA341" t="n">
        <v>11.703</v>
      </c>
      <c r="AB341" t="n">
        <v>12.425</v>
      </c>
      <c r="AC341" t="n">
        <v>12.43</v>
      </c>
      <c r="AD341" t="n">
        <v>16.388</v>
      </c>
      <c r="AE341" t="n">
        <v>17.369</v>
      </c>
      <c r="AF341" t="n">
        <v>18.431</v>
      </c>
      <c r="AG341" t="n">
        <v>21.36</v>
      </c>
      <c r="AH341" t="n">
        <v>23.219</v>
      </c>
      <c r="AI341" t="n">
        <v>23.327</v>
      </c>
      <c r="AJ341" t="n">
        <v>20.53</v>
      </c>
      <c r="AK341" t="n">
        <v>20.294</v>
      </c>
      <c r="AL341" t="n">
        <v>20.347</v>
      </c>
      <c r="AM341" t="n">
        <v>20.024</v>
      </c>
      <c r="AN341" t="n">
        <v>20.69</v>
      </c>
      <c r="AO341" t="n">
        <v>20.787</v>
      </c>
      <c r="AP341" t="n">
        <v>19.16</v>
      </c>
      <c r="AQ341" t="n">
        <v>18.487</v>
      </c>
      <c r="AR341" t="n">
        <v>16.727</v>
      </c>
      <c r="AS341" t="n">
        <v>13.499</v>
      </c>
      <c r="AT341" t="n">
        <v>12.07</v>
      </c>
      <c r="AU341" t="n">
        <v>12.56</v>
      </c>
      <c r="AV341" t="n">
        <v>11.159</v>
      </c>
      <c r="AW341" t="n">
        <v>10.856</v>
      </c>
      <c r="AX341" t="n">
        <v>12.847</v>
      </c>
      <c r="AY341" t="n">
        <v>12.16</v>
      </c>
      <c r="AZ341" t="n">
        <v>10.876</v>
      </c>
      <c r="BA341" t="n">
        <v>9.077</v>
      </c>
      <c r="BB341" t="n">
        <v>9.333</v>
      </c>
      <c r="BC341" t="n">
        <v>11.376</v>
      </c>
      <c r="BD341" t="n">
        <v>11.503</v>
      </c>
      <c r="BE341" t="n">
        <v>11.293</v>
      </c>
      <c r="BF341" t="n">
        <v>9</v>
      </c>
      <c r="BG341" t="n">
        <v>10.516</v>
      </c>
      <c r="BH341" t="n">
        <v>7.405</v>
      </c>
      <c r="BI341" t="n">
        <v>6.74</v>
      </c>
      <c r="BJ341" t="n">
        <v>5.888</v>
      </c>
      <c r="BK341" t="n">
        <v>0.439</v>
      </c>
      <c r="BL341" t="n">
        <v>0.536</v>
      </c>
      <c r="BM341" t="n">
        <v>0.957</v>
      </c>
      <c r="BN341" t="n">
        <v>1.17</v>
      </c>
      <c r="BO341" t="n">
        <v>1.174</v>
      </c>
      <c r="BP341" t="n">
        <v>0.976</v>
      </c>
      <c r="BQ341" t="n">
        <v>1.056</v>
      </c>
      <c r="BR341" t="n">
        <v>1.015</v>
      </c>
      <c r="BS341" t="n">
        <v>0.985</v>
      </c>
      <c r="BT341" t="n">
        <v>1.142</v>
      </c>
      <c r="BU341" t="n">
        <v>1.725</v>
      </c>
      <c r="BV341" t="n">
        <v>1.177</v>
      </c>
    </row>
    <row r="342">
      <c r="A342" t="inlineStr">
        <is>
          <t>Macolor</t>
        </is>
      </c>
      <c r="B342" t="inlineStr">
        <is>
          <t>Snappers</t>
        </is>
      </c>
      <c r="C342" t="inlineStr">
        <is>
          <t>Medium reef assoc. fish (30 - 89 cm)</t>
        </is>
      </c>
      <c r="D342" t="inlineStr">
        <is>
          <t>Perch-likes</t>
        </is>
      </c>
      <c r="E342" t="n">
        <v>5.658</v>
      </c>
      <c r="F342" t="n">
        <v>6.029</v>
      </c>
      <c r="G342" t="n">
        <v>6.404</v>
      </c>
      <c r="H342" t="n">
        <v>6.377</v>
      </c>
      <c r="I342" t="n">
        <v>9</v>
      </c>
      <c r="J342" t="n">
        <v>9.366</v>
      </c>
      <c r="K342" t="n">
        <v>9.379</v>
      </c>
      <c r="L342" t="n">
        <v>8.106999999999999</v>
      </c>
      <c r="M342" t="n">
        <v>9.829000000000001</v>
      </c>
      <c r="N342" t="n">
        <v>10.564</v>
      </c>
      <c r="O342" t="n">
        <v>9.765000000000001</v>
      </c>
      <c r="P342" t="n">
        <v>11.625</v>
      </c>
      <c r="Q342" t="n">
        <v>14.272</v>
      </c>
      <c r="R342" t="n">
        <v>11.807</v>
      </c>
      <c r="S342" t="n">
        <v>32.588</v>
      </c>
      <c r="T342" t="n">
        <v>30.878</v>
      </c>
      <c r="U342" t="n">
        <v>25.057</v>
      </c>
      <c r="V342" t="n">
        <v>18.617</v>
      </c>
      <c r="W342" t="n">
        <v>13.393</v>
      </c>
      <c r="X342" t="n">
        <v>3.537</v>
      </c>
      <c r="Y342" t="n">
        <v>9.016999999999999</v>
      </c>
      <c r="Z342" t="n">
        <v>10.313</v>
      </c>
      <c r="AA342" t="n">
        <v>62.602</v>
      </c>
      <c r="AB342" t="n">
        <v>54.617</v>
      </c>
      <c r="AC342" t="n">
        <v>54.355</v>
      </c>
      <c r="AD342" t="n">
        <v>6.795</v>
      </c>
      <c r="AE342" t="n">
        <v>9.492000000000001</v>
      </c>
      <c r="AF342" t="n">
        <v>1.348</v>
      </c>
      <c r="AG342" t="n">
        <v>1.476</v>
      </c>
      <c r="AH342" t="n">
        <v>1.63</v>
      </c>
      <c r="AI342" t="n">
        <v>1.765</v>
      </c>
      <c r="AJ342" t="n">
        <v>1.937</v>
      </c>
      <c r="AK342" t="n">
        <v>3.723</v>
      </c>
      <c r="AL342" t="n">
        <v>2.615</v>
      </c>
      <c r="AM342" t="n">
        <v>1.543</v>
      </c>
      <c r="AN342" t="n">
        <v>2.157</v>
      </c>
      <c r="AO342" t="n">
        <v>2.954</v>
      </c>
      <c r="AP342" t="n">
        <v>3.941</v>
      </c>
      <c r="AQ342" t="n">
        <v>4.697</v>
      </c>
      <c r="AR342" t="n">
        <v>2.881</v>
      </c>
      <c r="AS342" t="n">
        <v>2.926</v>
      </c>
      <c r="AT342" t="n">
        <v>0.8139999999999999</v>
      </c>
      <c r="AU342" t="n">
        <v>0.703</v>
      </c>
      <c r="AV342" t="n">
        <v>0.671</v>
      </c>
      <c r="AW342" t="n">
        <v>0.891</v>
      </c>
      <c r="AX342" t="n">
        <v>1.236</v>
      </c>
      <c r="AY342" t="n">
        <v>5.311</v>
      </c>
      <c r="AZ342" t="n">
        <v>3.186</v>
      </c>
      <c r="BA342" t="n">
        <v>1.037</v>
      </c>
      <c r="BB342" t="n">
        <v>0.898</v>
      </c>
      <c r="BC342" t="n">
        <v>0.766</v>
      </c>
      <c r="BD342" t="n">
        <v>0.867</v>
      </c>
      <c r="BE342" t="n">
        <v>7.696</v>
      </c>
      <c r="BF342" t="n">
        <v>7.185</v>
      </c>
      <c r="BG342" t="n">
        <v>6.188</v>
      </c>
      <c r="BH342" t="n">
        <v>7.145</v>
      </c>
      <c r="BI342" t="n">
        <v>5.921</v>
      </c>
      <c r="BJ342" t="n">
        <v>6.644</v>
      </c>
      <c r="BK342" t="n">
        <v>6.628</v>
      </c>
      <c r="BL342" t="n">
        <v>7.581</v>
      </c>
      <c r="BM342" t="n">
        <v>7.668</v>
      </c>
      <c r="BN342" t="n">
        <v>7.28</v>
      </c>
      <c r="BO342" t="n">
        <v>6.819</v>
      </c>
      <c r="BP342" t="n">
        <v>7.133</v>
      </c>
      <c r="BQ342" t="n">
        <v>6.181</v>
      </c>
      <c r="BR342" t="n">
        <v>5.327</v>
      </c>
      <c r="BS342" t="n">
        <v>5.819</v>
      </c>
      <c r="BT342" t="n">
        <v>4.761</v>
      </c>
      <c r="BU342" t="n">
        <v>4.244</v>
      </c>
      <c r="BV342" t="n">
        <v>4.034</v>
      </c>
    </row>
    <row r="343">
      <c r="A343" t="inlineStr">
        <is>
          <t>Haliotis</t>
        </is>
      </c>
      <c r="B343" t="inlineStr">
        <is>
          <t>Abalones</t>
        </is>
      </c>
      <c r="C343" t="inlineStr">
        <is>
          <t>Other demersal invertebrates</t>
        </is>
      </c>
      <c r="D343" t="inlineStr">
        <is>
          <t>Molluscs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22.566</v>
      </c>
      <c r="Z343" t="n">
        <v>32.848</v>
      </c>
      <c r="AA343" t="n">
        <v>7.861</v>
      </c>
      <c r="AB343" t="n">
        <v>6.324</v>
      </c>
      <c r="AC343" t="n">
        <v>8.983000000000001</v>
      </c>
      <c r="AD343" t="n">
        <v>16.726</v>
      </c>
      <c r="AE343" t="n">
        <v>18.463</v>
      </c>
      <c r="AF343" t="n">
        <v>27.933</v>
      </c>
      <c r="AG343" t="n">
        <v>16.374</v>
      </c>
      <c r="AH343" t="n">
        <v>22.621</v>
      </c>
      <c r="AI343" t="n">
        <v>28.977</v>
      </c>
      <c r="AJ343" t="n">
        <v>26.627</v>
      </c>
      <c r="AK343" t="n">
        <v>37.51</v>
      </c>
      <c r="AL343" t="n">
        <v>33.967</v>
      </c>
      <c r="AM343" t="n">
        <v>45.98</v>
      </c>
      <c r="AN343" t="n">
        <v>29.271</v>
      </c>
      <c r="AO343" t="n">
        <v>15.377</v>
      </c>
      <c r="AP343" t="n">
        <v>13.833</v>
      </c>
      <c r="AQ343" t="n">
        <v>22.228</v>
      </c>
      <c r="AR343" t="n">
        <v>56.85</v>
      </c>
      <c r="AS343" t="n">
        <v>9.795</v>
      </c>
      <c r="AT343" t="n">
        <v>14.958</v>
      </c>
      <c r="AU343" t="n">
        <v>6.803</v>
      </c>
      <c r="AV343" t="n">
        <v>6.506</v>
      </c>
      <c r="AW343" t="n">
        <v>7.304</v>
      </c>
      <c r="AX343" t="n">
        <v>6.989</v>
      </c>
      <c r="AY343" t="n">
        <v>3.967</v>
      </c>
      <c r="AZ343" t="n">
        <v>2.803</v>
      </c>
      <c r="BA343" t="n">
        <v>0.677</v>
      </c>
      <c r="BB343" t="n">
        <v>0.637</v>
      </c>
      <c r="BC343" t="n">
        <v>13.037</v>
      </c>
      <c r="BD343" t="n">
        <v>0.344</v>
      </c>
      <c r="BE343" t="n">
        <v>0</v>
      </c>
      <c r="BF343" t="n">
        <v>1.247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0.083</v>
      </c>
      <c r="BV343" t="n">
        <v>0</v>
      </c>
    </row>
    <row r="344">
      <c r="A344" t="inlineStr">
        <is>
          <t>Berycidae</t>
        </is>
      </c>
      <c r="B344" t="inlineStr">
        <is>
          <t>Alfonsinos, redfishes</t>
        </is>
      </c>
      <c r="C344" t="inlineStr">
        <is>
          <t>Medium benthopelagics (30 - 89 cm)</t>
        </is>
      </c>
      <c r="D344" t="inlineStr">
        <is>
          <t>Other fishes &amp; inverts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0.001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5.375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52.756</v>
      </c>
      <c r="BN344" t="n">
        <v>22.889</v>
      </c>
      <c r="BO344" t="n">
        <v>18.712</v>
      </c>
      <c r="BP344" t="n">
        <v>56.008</v>
      </c>
      <c r="BQ344" t="n">
        <v>58.279</v>
      </c>
      <c r="BR344" t="n">
        <v>46.251</v>
      </c>
      <c r="BS344" t="n">
        <v>64.999</v>
      </c>
      <c r="BT344" t="n">
        <v>61.35</v>
      </c>
      <c r="BU344" t="n">
        <v>62.333</v>
      </c>
      <c r="BV344" t="n">
        <v>58.193</v>
      </c>
    </row>
    <row r="345">
      <c r="A345" t="inlineStr">
        <is>
          <t>Makaira</t>
        </is>
      </c>
      <c r="B345" t="inlineStr">
        <is>
          <t>Blue marlins</t>
        </is>
      </c>
      <c r="C345" t="inlineStr">
        <is>
          <t>Large pelagics (&gt;=90 cm)</t>
        </is>
      </c>
      <c r="D345" t="inlineStr">
        <is>
          <t>Tuna &amp; billfishes</t>
        </is>
      </c>
      <c r="E345" t="n">
        <v>1.979</v>
      </c>
      <c r="F345" t="n">
        <v>2.087</v>
      </c>
      <c r="G345" t="n">
        <v>2.139</v>
      </c>
      <c r="H345" t="n">
        <v>2.229</v>
      </c>
      <c r="I345" t="n">
        <v>2.33</v>
      </c>
      <c r="J345" t="n">
        <v>2.423</v>
      </c>
      <c r="K345" t="n">
        <v>2.44</v>
      </c>
      <c r="L345" t="n">
        <v>2.516</v>
      </c>
      <c r="M345" t="n">
        <v>2.583</v>
      </c>
      <c r="N345" t="n">
        <v>2.668</v>
      </c>
      <c r="O345" t="n">
        <v>2.719</v>
      </c>
      <c r="P345" t="n">
        <v>2.788</v>
      </c>
      <c r="Q345" t="n">
        <v>2.849</v>
      </c>
      <c r="R345" t="n">
        <v>2.903</v>
      </c>
      <c r="S345" t="n">
        <v>2.948</v>
      </c>
      <c r="T345" t="n">
        <v>2.983</v>
      </c>
      <c r="U345" t="n">
        <v>3.01</v>
      </c>
      <c r="V345" t="n">
        <v>3.026</v>
      </c>
      <c r="W345" t="n">
        <v>3.079</v>
      </c>
      <c r="X345" t="n">
        <v>3.077</v>
      </c>
      <c r="Y345" t="n">
        <v>3.115</v>
      </c>
      <c r="Z345" t="n">
        <v>3.145</v>
      </c>
      <c r="AA345" t="n">
        <v>3.169</v>
      </c>
      <c r="AB345" t="n">
        <v>3.19</v>
      </c>
      <c r="AC345" t="n">
        <v>3.199</v>
      </c>
      <c r="AD345" t="n">
        <v>3.259</v>
      </c>
      <c r="AE345" t="n">
        <v>3.252</v>
      </c>
      <c r="AF345" t="n">
        <v>3.236</v>
      </c>
      <c r="AG345" t="n">
        <v>3.213</v>
      </c>
      <c r="AH345" t="n">
        <v>3.233</v>
      </c>
      <c r="AI345" t="n">
        <v>3.265</v>
      </c>
      <c r="AJ345" t="n">
        <v>3.221</v>
      </c>
      <c r="AK345" t="n">
        <v>3.294</v>
      </c>
      <c r="AL345" t="n">
        <v>3.223</v>
      </c>
      <c r="AM345" t="n">
        <v>3.305</v>
      </c>
      <c r="AN345" t="n">
        <v>3.281</v>
      </c>
      <c r="AO345" t="n">
        <v>3.228</v>
      </c>
      <c r="AP345" t="n">
        <v>3.333</v>
      </c>
      <c r="AQ345" t="n">
        <v>2.139</v>
      </c>
      <c r="AR345" t="n">
        <v>0.652</v>
      </c>
      <c r="AS345" t="n">
        <v>0.875</v>
      </c>
      <c r="AT345" t="n">
        <v>1.15</v>
      </c>
      <c r="AU345" t="n">
        <v>1.693</v>
      </c>
      <c r="AV345" t="n">
        <v>2.381</v>
      </c>
      <c r="AW345" t="n">
        <v>1.996</v>
      </c>
      <c r="AX345" t="n">
        <v>2.1</v>
      </c>
      <c r="AY345" t="n">
        <v>2.17</v>
      </c>
      <c r="AZ345" t="n">
        <v>2.415</v>
      </c>
      <c r="BA345" t="n">
        <v>2.331</v>
      </c>
      <c r="BB345" t="n">
        <v>2.329</v>
      </c>
      <c r="BC345" t="n">
        <v>2.025</v>
      </c>
      <c r="BD345" t="n">
        <v>1.76</v>
      </c>
      <c r="BE345" t="n">
        <v>14.432</v>
      </c>
      <c r="BF345" t="n">
        <v>32.623</v>
      </c>
      <c r="BG345" t="n">
        <v>16.636</v>
      </c>
      <c r="BH345" t="n">
        <v>75.77800000000001</v>
      </c>
      <c r="BI345" t="n">
        <v>57.138</v>
      </c>
      <c r="BJ345" t="n">
        <v>82.679</v>
      </c>
      <c r="BK345" t="n">
        <v>0.613</v>
      </c>
      <c r="BL345" t="n">
        <v>1.749</v>
      </c>
      <c r="BM345" t="n">
        <v>1.686</v>
      </c>
      <c r="BN345" t="n">
        <v>1.851</v>
      </c>
      <c r="BO345" t="n">
        <v>2.15</v>
      </c>
      <c r="BP345" t="n">
        <v>4.717</v>
      </c>
      <c r="BQ345" t="n">
        <v>4.417</v>
      </c>
      <c r="BR345" t="n">
        <v>4.53</v>
      </c>
      <c r="BS345" t="n">
        <v>4.384</v>
      </c>
      <c r="BT345" t="n">
        <v>4.348</v>
      </c>
      <c r="BU345" t="n">
        <v>4.343</v>
      </c>
      <c r="BV345" t="n">
        <v>4.072</v>
      </c>
    </row>
    <row r="346">
      <c r="A346" t="inlineStr">
        <is>
          <t>Lutjanus bohar</t>
        </is>
      </c>
      <c r="B346" t="inlineStr">
        <is>
          <t>Two-spot red snapper</t>
        </is>
      </c>
      <c r="C346" t="inlineStr">
        <is>
          <t>Medium reef assoc. fish (30 - 89 cm)</t>
        </is>
      </c>
      <c r="D346" t="inlineStr">
        <is>
          <t>Perch-likes</t>
        </is>
      </c>
      <c r="E346" t="n">
        <v>0.867</v>
      </c>
      <c r="F346" t="n">
        <v>1.046</v>
      </c>
      <c r="G346" t="n">
        <v>1.29</v>
      </c>
      <c r="H346" t="n">
        <v>1.405</v>
      </c>
      <c r="I346" t="n">
        <v>1.469</v>
      </c>
      <c r="J346" t="n">
        <v>1.861</v>
      </c>
      <c r="K346" t="n">
        <v>2.146</v>
      </c>
      <c r="L346" t="n">
        <v>2.37</v>
      </c>
      <c r="M346" t="n">
        <v>2.557</v>
      </c>
      <c r="N346" t="n">
        <v>2.948</v>
      </c>
      <c r="O346" t="n">
        <v>3.426</v>
      </c>
      <c r="P346" t="n">
        <v>4.187</v>
      </c>
      <c r="Q346" t="n">
        <v>4.419</v>
      </c>
      <c r="R346" t="n">
        <v>4.463</v>
      </c>
      <c r="S346" t="n">
        <v>4.864</v>
      </c>
      <c r="T346" t="n">
        <v>5.82</v>
      </c>
      <c r="U346" t="n">
        <v>6.69</v>
      </c>
      <c r="V346" t="n">
        <v>6.824</v>
      </c>
      <c r="W346" t="n">
        <v>7.202</v>
      </c>
      <c r="X346" t="n">
        <v>7.609</v>
      </c>
      <c r="Y346" t="n">
        <v>8.265000000000001</v>
      </c>
      <c r="Z346" t="n">
        <v>11.301</v>
      </c>
      <c r="AA346" t="n">
        <v>14.568</v>
      </c>
      <c r="AB346" t="n">
        <v>14.181</v>
      </c>
      <c r="AC346" t="n">
        <v>13.993</v>
      </c>
      <c r="AD346" t="n">
        <v>13.96</v>
      </c>
      <c r="AE346" t="n">
        <v>13.543</v>
      </c>
      <c r="AF346" t="n">
        <v>13.1</v>
      </c>
      <c r="AG346" t="n">
        <v>11.948</v>
      </c>
      <c r="AH346" t="n">
        <v>13.298</v>
      </c>
      <c r="AI346" t="n">
        <v>12.408</v>
      </c>
      <c r="AJ346" t="n">
        <v>11.871</v>
      </c>
      <c r="AK346" t="n">
        <v>9.538</v>
      </c>
      <c r="AL346" t="n">
        <v>10.156</v>
      </c>
      <c r="AM346" t="n">
        <v>12.327</v>
      </c>
      <c r="AN346" t="n">
        <v>7.659</v>
      </c>
      <c r="AO346" t="n">
        <v>8.313000000000001</v>
      </c>
      <c r="AP346" t="n">
        <v>9.112</v>
      </c>
      <c r="AQ346" t="n">
        <v>14.264</v>
      </c>
      <c r="AR346" t="n">
        <v>13.742</v>
      </c>
      <c r="AS346" t="n">
        <v>10.838</v>
      </c>
      <c r="AT346" t="n">
        <v>9.923999999999999</v>
      </c>
      <c r="AU346" t="n">
        <v>6.918</v>
      </c>
      <c r="AV346" t="n">
        <v>7.101</v>
      </c>
      <c r="AW346" t="n">
        <v>4.83</v>
      </c>
      <c r="AX346" t="n">
        <v>5.729</v>
      </c>
      <c r="AY346" t="n">
        <v>3.908</v>
      </c>
      <c r="AZ346" t="n">
        <v>4.488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46.207</v>
      </c>
      <c r="BO346" t="n">
        <v>0</v>
      </c>
      <c r="BP346" t="n">
        <v>3.016</v>
      </c>
      <c r="BQ346" t="n">
        <v>3.451</v>
      </c>
      <c r="BR346" t="n">
        <v>2.228</v>
      </c>
      <c r="BS346" t="n">
        <v>6.169</v>
      </c>
      <c r="BT346" t="n">
        <v>1.104</v>
      </c>
      <c r="BU346" t="n">
        <v>1.727</v>
      </c>
      <c r="BV346" t="n">
        <v>1.633</v>
      </c>
    </row>
    <row r="347">
      <c r="A347" t="inlineStr">
        <is>
          <t>Pomadasys argenteus</t>
        </is>
      </c>
      <c r="B347" t="inlineStr">
        <is>
          <t>Silver grunt</t>
        </is>
      </c>
      <c r="C347" t="inlineStr">
        <is>
          <t>Medium demersals (30 - 89 cm)</t>
        </is>
      </c>
      <c r="D347" t="inlineStr">
        <is>
          <t>Perch-likes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0.297</v>
      </c>
      <c r="AU347" t="n">
        <v>5.168</v>
      </c>
      <c r="AV347" t="n">
        <v>3.642</v>
      </c>
      <c r="AW347" t="n">
        <v>4.597</v>
      </c>
      <c r="AX347" t="n">
        <v>2.747</v>
      </c>
      <c r="AY347" t="n">
        <v>4.959</v>
      </c>
      <c r="AZ347" t="n">
        <v>0</v>
      </c>
      <c r="BA347" t="n">
        <v>6.567</v>
      </c>
      <c r="BB347" t="n">
        <v>6.197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6.416</v>
      </c>
      <c r="BI347" t="n">
        <v>6.974</v>
      </c>
      <c r="BJ347" t="n">
        <v>4.662</v>
      </c>
      <c r="BK347" t="n">
        <v>6.8</v>
      </c>
      <c r="BL347" t="n">
        <v>9.484</v>
      </c>
      <c r="BM347" t="n">
        <v>26.76</v>
      </c>
      <c r="BN347" t="n">
        <v>26.098</v>
      </c>
      <c r="BO347" t="n">
        <v>29.383</v>
      </c>
      <c r="BP347" t="n">
        <v>30.568</v>
      </c>
      <c r="BQ347" t="n">
        <v>28.036</v>
      </c>
      <c r="BR347" t="n">
        <v>28.864</v>
      </c>
      <c r="BS347" t="n">
        <v>29.934</v>
      </c>
      <c r="BT347" t="n">
        <v>27.79</v>
      </c>
      <c r="BU347" t="n">
        <v>26.193</v>
      </c>
      <c r="BV347" t="n">
        <v>24.564</v>
      </c>
    </row>
    <row r="348">
      <c r="A348" t="inlineStr">
        <is>
          <t>Caranx sexfasciatus</t>
        </is>
      </c>
      <c r="B348" t="inlineStr">
        <is>
          <t>Bigeye trevally</t>
        </is>
      </c>
      <c r="C348" t="inlineStr">
        <is>
          <t>Large reef assoc. fish (&gt;=90 cm)</t>
        </is>
      </c>
      <c r="D348" t="inlineStr">
        <is>
          <t>Perch-likes</t>
        </is>
      </c>
      <c r="E348" t="n">
        <v>0.326</v>
      </c>
      <c r="F348" t="n">
        <v>0.326</v>
      </c>
      <c r="G348" t="n">
        <v>0.326</v>
      </c>
      <c r="H348" t="n">
        <v>0.326</v>
      </c>
      <c r="I348" t="n">
        <v>0.488</v>
      </c>
      <c r="J348" t="n">
        <v>0.651</v>
      </c>
      <c r="K348" t="n">
        <v>0.651</v>
      </c>
      <c r="L348" t="n">
        <v>0.651</v>
      </c>
      <c r="M348" t="n">
        <v>0.651</v>
      </c>
      <c r="N348" t="n">
        <v>0.651</v>
      </c>
      <c r="O348" t="n">
        <v>0.651</v>
      </c>
      <c r="P348" t="n">
        <v>0.651</v>
      </c>
      <c r="Q348" t="n">
        <v>0.8139999999999999</v>
      </c>
      <c r="R348" t="n">
        <v>0.8139999999999999</v>
      </c>
      <c r="S348" t="n">
        <v>0.977</v>
      </c>
      <c r="T348" t="n">
        <v>0.8139999999999999</v>
      </c>
      <c r="U348" t="n">
        <v>0.8139999999999999</v>
      </c>
      <c r="V348" t="n">
        <v>0.8139999999999999</v>
      </c>
      <c r="W348" t="n">
        <v>0.8139999999999999</v>
      </c>
      <c r="X348" t="n">
        <v>0.651</v>
      </c>
      <c r="Y348" t="n">
        <v>0.651</v>
      </c>
      <c r="Z348" t="n">
        <v>0.651</v>
      </c>
      <c r="AA348" t="n">
        <v>0.651</v>
      </c>
      <c r="AB348" t="n">
        <v>0.8139999999999999</v>
      </c>
      <c r="AC348" t="n">
        <v>0.651</v>
      </c>
      <c r="AD348" t="n">
        <v>0.488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25.122</v>
      </c>
      <c r="BI348" t="n">
        <v>26.377</v>
      </c>
      <c r="BJ348" t="n">
        <v>25.563</v>
      </c>
      <c r="BK348" t="n">
        <v>28.855</v>
      </c>
      <c r="BL348" t="n">
        <v>16.846</v>
      </c>
      <c r="BM348" t="n">
        <v>14.787</v>
      </c>
      <c r="BN348" t="n">
        <v>14.39</v>
      </c>
      <c r="BO348" t="n">
        <v>16.285</v>
      </c>
      <c r="BP348" t="n">
        <v>16.978</v>
      </c>
      <c r="BQ348" t="n">
        <v>15.562</v>
      </c>
      <c r="BR348" t="n">
        <v>16.024</v>
      </c>
      <c r="BS348" t="n">
        <v>16.6</v>
      </c>
      <c r="BT348" t="n">
        <v>15.397</v>
      </c>
      <c r="BU348" t="n">
        <v>14.516</v>
      </c>
      <c r="BV348" t="n">
        <v>13.606</v>
      </c>
    </row>
    <row r="349">
      <c r="A349" t="inlineStr">
        <is>
          <t>Spratelloides</t>
        </is>
      </c>
      <c r="B349" t="inlineStr">
        <is>
          <t>Round herrings</t>
        </is>
      </c>
      <c r="C349" t="inlineStr">
        <is>
          <t>Small reef assoc. fish (&lt;30 cm)</t>
        </is>
      </c>
      <c r="D349" t="inlineStr">
        <is>
          <t>Herring-likes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26.502</v>
      </c>
      <c r="AW349" t="n">
        <v>34.232</v>
      </c>
      <c r="AX349" t="n">
        <v>25.402</v>
      </c>
      <c r="AY349" t="n">
        <v>44.277</v>
      </c>
      <c r="AZ349" t="n">
        <v>39.683</v>
      </c>
      <c r="BA349" t="n">
        <v>33.549</v>
      </c>
      <c r="BB349" t="n">
        <v>21.965</v>
      </c>
      <c r="BC349" t="n">
        <v>8.119</v>
      </c>
      <c r="BD349" t="n">
        <v>15.721</v>
      </c>
      <c r="BE349" t="n">
        <v>7.52</v>
      </c>
      <c r="BF349" t="n">
        <v>2.302</v>
      </c>
      <c r="BG349" t="n">
        <v>1.217</v>
      </c>
      <c r="BH349" t="n">
        <v>0.586</v>
      </c>
      <c r="BI349" t="n">
        <v>1.053</v>
      </c>
      <c r="BJ349" t="n">
        <v>0.352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</row>
    <row r="350">
      <c r="A350" t="inlineStr">
        <is>
          <t>Nibea albiflora</t>
        </is>
      </c>
      <c r="B350" t="inlineStr">
        <is>
          <t>Yellow drum</t>
        </is>
      </c>
      <c r="C350" t="inlineStr">
        <is>
          <t>Medium benthopelagics (30 - 89 cm)</t>
        </is>
      </c>
      <c r="D350" t="inlineStr">
        <is>
          <t>Perch-likes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1.155</v>
      </c>
      <c r="AO350" t="n">
        <v>2.334</v>
      </c>
      <c r="AP350" t="n">
        <v>3.54</v>
      </c>
      <c r="AQ350" t="n">
        <v>4.774</v>
      </c>
      <c r="AR350" t="n">
        <v>6.028</v>
      </c>
      <c r="AS350" t="n">
        <v>7.322</v>
      </c>
      <c r="AT350" t="n">
        <v>7.395</v>
      </c>
      <c r="AU350" t="n">
        <v>7.466</v>
      </c>
      <c r="AV350" t="n">
        <v>7.535</v>
      </c>
      <c r="AW350" t="n">
        <v>7.601</v>
      </c>
      <c r="AX350" t="n">
        <v>7.665</v>
      </c>
      <c r="AY350" t="n">
        <v>7.725</v>
      </c>
      <c r="AZ350" t="n">
        <v>7.803</v>
      </c>
      <c r="BA350" t="n">
        <v>7.87</v>
      </c>
      <c r="BB350" t="n">
        <v>7.929</v>
      </c>
      <c r="BC350" t="n">
        <v>7.995</v>
      </c>
      <c r="BD350" t="n">
        <v>8.041</v>
      </c>
      <c r="BE350" t="n">
        <v>8.074</v>
      </c>
      <c r="BF350" t="n">
        <v>8.106</v>
      </c>
      <c r="BG350" t="n">
        <v>8.138</v>
      </c>
      <c r="BH350" t="n">
        <v>8.170999999999999</v>
      </c>
      <c r="BI350" t="n">
        <v>8.228</v>
      </c>
      <c r="BJ350" t="n">
        <v>8.286</v>
      </c>
      <c r="BK350" t="n">
        <v>8.343999999999999</v>
      </c>
      <c r="BL350" t="n">
        <v>8.401999999999999</v>
      </c>
      <c r="BM350" t="n">
        <v>8.460000000000001</v>
      </c>
      <c r="BN350" t="n">
        <v>8.335000000000001</v>
      </c>
      <c r="BO350" t="n">
        <v>8.368</v>
      </c>
      <c r="BP350" t="n">
        <v>8.388999999999999</v>
      </c>
      <c r="BQ350" t="n">
        <v>8.41</v>
      </c>
      <c r="BR350" t="n">
        <v>8.448</v>
      </c>
      <c r="BS350" t="n">
        <v>8.460000000000001</v>
      </c>
      <c r="BT350" t="n">
        <v>8.465999999999999</v>
      </c>
      <c r="BU350" t="n">
        <v>1.121</v>
      </c>
      <c r="BV350" t="n">
        <v>8.465999999999999</v>
      </c>
    </row>
    <row r="351">
      <c r="A351" t="inlineStr">
        <is>
          <t>Bramidae</t>
        </is>
      </c>
      <c r="B351" t="inlineStr">
        <is>
          <t>Pomfrets</t>
        </is>
      </c>
      <c r="C351" t="inlineStr">
        <is>
          <t>Medium pelagics (30 - 89 cm)</t>
        </is>
      </c>
      <c r="D351" t="inlineStr">
        <is>
          <t>Perch-likes</t>
        </is>
      </c>
      <c r="E351" t="n">
        <v>0.458</v>
      </c>
      <c r="F351" t="n">
        <v>0.553</v>
      </c>
      <c r="G351" t="n">
        <v>0.6820000000000001</v>
      </c>
      <c r="H351" t="n">
        <v>0.743</v>
      </c>
      <c r="I351" t="n">
        <v>0.776</v>
      </c>
      <c r="J351" t="n">
        <v>0.984</v>
      </c>
      <c r="K351" t="n">
        <v>1.134</v>
      </c>
      <c r="L351" t="n">
        <v>1.252</v>
      </c>
      <c r="M351" t="n">
        <v>1.351</v>
      </c>
      <c r="N351" t="n">
        <v>1.558</v>
      </c>
      <c r="O351" t="n">
        <v>1.81</v>
      </c>
      <c r="P351" t="n">
        <v>2.212</v>
      </c>
      <c r="Q351" t="n">
        <v>2.335</v>
      </c>
      <c r="R351" t="n">
        <v>2.358</v>
      </c>
      <c r="S351" t="n">
        <v>2.57</v>
      </c>
      <c r="T351" t="n">
        <v>3.076</v>
      </c>
      <c r="U351" t="n">
        <v>3.535</v>
      </c>
      <c r="V351" t="n">
        <v>3.606</v>
      </c>
      <c r="W351" t="n">
        <v>3.806</v>
      </c>
      <c r="X351" t="n">
        <v>4.021</v>
      </c>
      <c r="Y351" t="n">
        <v>4.367</v>
      </c>
      <c r="Z351" t="n">
        <v>5.972</v>
      </c>
      <c r="AA351" t="n">
        <v>7.698</v>
      </c>
      <c r="AB351" t="n">
        <v>7.494</v>
      </c>
      <c r="AC351" t="n">
        <v>7.394</v>
      </c>
      <c r="AD351" t="n">
        <v>7.377</v>
      </c>
      <c r="AE351" t="n">
        <v>7.156</v>
      </c>
      <c r="AF351" t="n">
        <v>8.635</v>
      </c>
      <c r="AG351" t="n">
        <v>7.876</v>
      </c>
      <c r="AH351" t="n">
        <v>8.689</v>
      </c>
      <c r="AI351" t="n">
        <v>8.106999999999999</v>
      </c>
      <c r="AJ351" t="n">
        <v>7.756</v>
      </c>
      <c r="AK351" t="n">
        <v>6.232</v>
      </c>
      <c r="AL351" t="n">
        <v>6.636</v>
      </c>
      <c r="AM351" t="n">
        <v>8.054</v>
      </c>
      <c r="AN351" t="n">
        <v>5.004</v>
      </c>
      <c r="AO351" t="n">
        <v>5.432</v>
      </c>
      <c r="AP351" t="n">
        <v>5.954</v>
      </c>
      <c r="AQ351" t="n">
        <v>9.32</v>
      </c>
      <c r="AR351" t="n">
        <v>9.880000000000001</v>
      </c>
      <c r="AS351" t="n">
        <v>7.792</v>
      </c>
      <c r="AT351" t="n">
        <v>6.288</v>
      </c>
      <c r="AU351" t="n">
        <v>4.383</v>
      </c>
      <c r="AV351" t="n">
        <v>5.133</v>
      </c>
      <c r="AW351" t="n">
        <v>3.492</v>
      </c>
      <c r="AX351" t="n">
        <v>4.141</v>
      </c>
      <c r="AY351" t="n">
        <v>3.531</v>
      </c>
      <c r="AZ351" t="n">
        <v>3.789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3.237</v>
      </c>
      <c r="BQ351" t="n">
        <v>3.717</v>
      </c>
      <c r="BR351" t="n">
        <v>2.392</v>
      </c>
      <c r="BS351" t="n">
        <v>6.622</v>
      </c>
      <c r="BT351" t="n">
        <v>1.177</v>
      </c>
      <c r="BU351" t="n">
        <v>1.87</v>
      </c>
      <c r="BV351" t="n">
        <v>1.767</v>
      </c>
    </row>
    <row r="352">
      <c r="A352" t="inlineStr">
        <is>
          <t>Anguilliformes</t>
        </is>
      </c>
      <c r="B352" t="inlineStr">
        <is>
          <t>Eels, morays</t>
        </is>
      </c>
      <c r="C352" t="inlineStr">
        <is>
          <t>Large demersals (&gt;=90 cm)</t>
        </is>
      </c>
      <c r="D352" t="inlineStr">
        <is>
          <t>Other fishes &amp; inverts</t>
        </is>
      </c>
      <c r="E352" t="n">
        <v>0.152</v>
      </c>
      <c r="F352" t="n">
        <v>0.162</v>
      </c>
      <c r="G352" t="n">
        <v>0.172</v>
      </c>
      <c r="H352" t="n">
        <v>0.171</v>
      </c>
      <c r="I352" t="n">
        <v>0.242</v>
      </c>
      <c r="J352" t="n">
        <v>0.252</v>
      </c>
      <c r="K352" t="n">
        <v>0.251</v>
      </c>
      <c r="L352" t="n">
        <v>0.22</v>
      </c>
      <c r="M352" t="n">
        <v>0.263</v>
      </c>
      <c r="N352" t="n">
        <v>0.277</v>
      </c>
      <c r="O352" t="n">
        <v>0.278</v>
      </c>
      <c r="P352" t="n">
        <v>0.301</v>
      </c>
      <c r="Q352" t="n">
        <v>0.353</v>
      </c>
      <c r="R352" t="n">
        <v>0.46</v>
      </c>
      <c r="S352" t="n">
        <v>0.678</v>
      </c>
      <c r="T352" t="n">
        <v>0.667</v>
      </c>
      <c r="U352" t="n">
        <v>0.574</v>
      </c>
      <c r="V352" t="n">
        <v>0.47</v>
      </c>
      <c r="W352" t="n">
        <v>0.414</v>
      </c>
      <c r="X352" t="n">
        <v>0.227</v>
      </c>
      <c r="Y352" t="n">
        <v>4.683</v>
      </c>
      <c r="Z352" t="n">
        <v>5.247</v>
      </c>
      <c r="AA352" t="n">
        <v>1.741</v>
      </c>
      <c r="AB352" t="n">
        <v>1.559</v>
      </c>
      <c r="AC352" t="n">
        <v>6.176</v>
      </c>
      <c r="AD352" t="n">
        <v>5.342</v>
      </c>
      <c r="AE352" t="n">
        <v>2.312</v>
      </c>
      <c r="AF352" t="n">
        <v>0.761</v>
      </c>
      <c r="AG352" t="n">
        <v>8.928000000000001</v>
      </c>
      <c r="AH352" t="n">
        <v>17.222</v>
      </c>
      <c r="AI352" t="n">
        <v>25.32</v>
      </c>
      <c r="AJ352" t="n">
        <v>47.072</v>
      </c>
      <c r="AK352" t="n">
        <v>1.264</v>
      </c>
      <c r="AL352" t="n">
        <v>0.888</v>
      </c>
      <c r="AM352" t="n">
        <v>0.524</v>
      </c>
      <c r="AN352" t="n">
        <v>0.732</v>
      </c>
      <c r="AO352" t="n">
        <v>1.003</v>
      </c>
      <c r="AP352" t="n">
        <v>1.338</v>
      </c>
      <c r="AQ352" t="n">
        <v>1.594</v>
      </c>
      <c r="AR352" t="n">
        <v>0.978</v>
      </c>
      <c r="AS352" t="n">
        <v>0.993</v>
      </c>
      <c r="AT352" t="n">
        <v>0.276</v>
      </c>
      <c r="AU352" t="n">
        <v>0.238</v>
      </c>
      <c r="AV352" t="n">
        <v>0.228</v>
      </c>
      <c r="AW352" t="n">
        <v>0.302</v>
      </c>
      <c r="AX352" t="n">
        <v>0.42</v>
      </c>
      <c r="AY352" t="n">
        <v>1.803</v>
      </c>
      <c r="AZ352" t="n">
        <v>1.082</v>
      </c>
      <c r="BA352" t="n">
        <v>0.352</v>
      </c>
      <c r="BB352" t="n">
        <v>0.305</v>
      </c>
      <c r="BC352" t="n">
        <v>0.26</v>
      </c>
      <c r="BD352" t="n">
        <v>0.294</v>
      </c>
      <c r="BE352" t="n">
        <v>2.612</v>
      </c>
      <c r="BF352" t="n">
        <v>2.439</v>
      </c>
      <c r="BG352" t="n">
        <v>2.1</v>
      </c>
      <c r="BH352" t="n">
        <v>2.425</v>
      </c>
      <c r="BI352" t="n">
        <v>2.01</v>
      </c>
      <c r="BJ352" t="n">
        <v>2.255</v>
      </c>
      <c r="BK352" t="n">
        <v>2.25</v>
      </c>
      <c r="BL352" t="n">
        <v>2.573</v>
      </c>
      <c r="BM352" t="n">
        <v>2.603</v>
      </c>
      <c r="BN352" t="n">
        <v>2.471</v>
      </c>
      <c r="BO352" t="n">
        <v>2.315</v>
      </c>
      <c r="BP352" t="n">
        <v>2.421</v>
      </c>
      <c r="BQ352" t="n">
        <v>2.098</v>
      </c>
      <c r="BR352" t="n">
        <v>1.808</v>
      </c>
      <c r="BS352" t="n">
        <v>1.975</v>
      </c>
      <c r="BT352" t="n">
        <v>1.616</v>
      </c>
      <c r="BU352" t="n">
        <v>1.441</v>
      </c>
      <c r="BV352" t="n">
        <v>1.369</v>
      </c>
    </row>
    <row r="353">
      <c r="A353" t="inlineStr">
        <is>
          <t>Crassostrea</t>
        </is>
      </c>
      <c r="B353" t="inlineStr">
        <is>
          <t>Cupped oysters</t>
        </is>
      </c>
      <c r="C353" t="inlineStr">
        <is>
          <t>Other demersal invertebrates</t>
        </is>
      </c>
      <c r="D353" t="inlineStr">
        <is>
          <t>Molluscs</t>
        </is>
      </c>
      <c r="E353" t="n">
        <v>26.028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20.377</v>
      </c>
      <c r="AK353" t="n">
        <v>9.868</v>
      </c>
      <c r="AL353" t="n">
        <v>13.918</v>
      </c>
      <c r="AM353" t="n">
        <v>9.911</v>
      </c>
      <c r="AN353" t="n">
        <v>8.630000000000001</v>
      </c>
      <c r="AO353" t="n">
        <v>20.219</v>
      </c>
      <c r="AP353" t="n">
        <v>15.568</v>
      </c>
      <c r="AQ353" t="n">
        <v>11.204</v>
      </c>
      <c r="AR353" t="n">
        <v>23.622</v>
      </c>
      <c r="AS353" t="n">
        <v>0.113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</row>
    <row r="354">
      <c r="A354" t="inlineStr">
        <is>
          <t>Hippocampus</t>
        </is>
      </c>
      <c r="B354" t="inlineStr">
        <is>
          <t>Seahorses</t>
        </is>
      </c>
      <c r="C354" t="inlineStr">
        <is>
          <t>Small reef assoc. fish (&lt;30 cm)</t>
        </is>
      </c>
      <c r="D354" t="inlineStr">
        <is>
          <t>Other fishes &amp; inverts</t>
        </is>
      </c>
      <c r="E354" t="n">
        <v>0.34</v>
      </c>
      <c r="F354" t="n">
        <v>0.364</v>
      </c>
      <c r="G354" t="n">
        <v>0.386</v>
      </c>
      <c r="H354" t="n">
        <v>0.384</v>
      </c>
      <c r="I354" t="n">
        <v>0.542</v>
      </c>
      <c r="J354" t="n">
        <v>0.5639999999999999</v>
      </c>
      <c r="K354" t="n">
        <v>0.5620000000000001</v>
      </c>
      <c r="L354" t="n">
        <v>0.496</v>
      </c>
      <c r="M354" t="n">
        <v>0.589</v>
      </c>
      <c r="N354" t="n">
        <v>0.621</v>
      </c>
      <c r="O354" t="n">
        <v>0.633</v>
      </c>
      <c r="P354" t="n">
        <v>0.662</v>
      </c>
      <c r="Q354" t="n">
        <v>0.79</v>
      </c>
      <c r="R354" t="n">
        <v>1.089</v>
      </c>
      <c r="S354" t="n">
        <v>1.357</v>
      </c>
      <c r="T354" t="n">
        <v>1.577</v>
      </c>
      <c r="U354" t="n">
        <v>1.655</v>
      </c>
      <c r="V354" t="n">
        <v>1.74</v>
      </c>
      <c r="W354" t="n">
        <v>2.136</v>
      </c>
      <c r="X354" t="n">
        <v>1.938</v>
      </c>
      <c r="Y354" t="n">
        <v>2.012</v>
      </c>
      <c r="Z354" t="n">
        <v>2.012</v>
      </c>
      <c r="AA354" t="n">
        <v>2.235</v>
      </c>
      <c r="AB354" t="n">
        <v>2.463</v>
      </c>
      <c r="AC354" t="n">
        <v>2.474</v>
      </c>
      <c r="AD354" t="n">
        <v>2.63</v>
      </c>
      <c r="AE354" t="n">
        <v>2.901</v>
      </c>
      <c r="AF354" t="n">
        <v>2.956</v>
      </c>
      <c r="AG354" t="n">
        <v>2.929</v>
      </c>
      <c r="AH354" t="n">
        <v>2.949</v>
      </c>
      <c r="AI354" t="n">
        <v>2.921</v>
      </c>
      <c r="AJ354" t="n">
        <v>2.989</v>
      </c>
      <c r="AK354" t="n">
        <v>3.167</v>
      </c>
      <c r="AL354" t="n">
        <v>3.068</v>
      </c>
      <c r="AM354" t="n">
        <v>3.17</v>
      </c>
      <c r="AN354" t="n">
        <v>3.076</v>
      </c>
      <c r="AO354" t="n">
        <v>3.03</v>
      </c>
      <c r="AP354" t="n">
        <v>4.274</v>
      </c>
      <c r="AQ354" t="n">
        <v>3.286</v>
      </c>
      <c r="AR354" t="n">
        <v>5.265</v>
      </c>
      <c r="AS354" t="n">
        <v>34.561</v>
      </c>
      <c r="AT354" t="n">
        <v>0.699</v>
      </c>
      <c r="AU354" t="n">
        <v>0.237</v>
      </c>
      <c r="AV354" t="n">
        <v>0.307</v>
      </c>
      <c r="AW354" t="n">
        <v>1.072</v>
      </c>
      <c r="AX354" t="n">
        <v>1.06</v>
      </c>
      <c r="AY354" t="n">
        <v>1.634</v>
      </c>
      <c r="AZ354" t="n">
        <v>0.946</v>
      </c>
      <c r="BA354" t="n">
        <v>0.681</v>
      </c>
      <c r="BB354" t="n">
        <v>0.516</v>
      </c>
      <c r="BC354" t="n">
        <v>0.393</v>
      </c>
      <c r="BD354" t="n">
        <v>0.406</v>
      </c>
      <c r="BE354" t="n">
        <v>1.692</v>
      </c>
      <c r="BF354" t="n">
        <v>1.657</v>
      </c>
      <c r="BG354" t="n">
        <v>1.454</v>
      </c>
      <c r="BH354" t="n">
        <v>1.539</v>
      </c>
      <c r="BI354" t="n">
        <v>1.352</v>
      </c>
      <c r="BJ354" t="n">
        <v>1.542</v>
      </c>
      <c r="BK354" t="n">
        <v>1.525</v>
      </c>
      <c r="BL354" t="n">
        <v>1.674</v>
      </c>
      <c r="BM354" t="n">
        <v>1.708</v>
      </c>
      <c r="BN354" t="n">
        <v>1.81</v>
      </c>
      <c r="BO354" t="n">
        <v>1.694</v>
      </c>
      <c r="BP354" t="n">
        <v>1.699</v>
      </c>
      <c r="BQ354" t="n">
        <v>1.504</v>
      </c>
      <c r="BR354" t="n">
        <v>1.366</v>
      </c>
      <c r="BS354" t="n">
        <v>1.478</v>
      </c>
      <c r="BT354" t="n">
        <v>1.269</v>
      </c>
      <c r="BU354" t="n">
        <v>1.186</v>
      </c>
      <c r="BV354" t="n">
        <v>1.217</v>
      </c>
    </row>
    <row r="355">
      <c r="A355" t="inlineStr">
        <is>
          <t>Holothuriidae</t>
        </is>
      </c>
      <c r="B355" t="inlineStr">
        <is>
          <t>Fleshy sea cucumbers</t>
        </is>
      </c>
      <c r="C355" t="inlineStr">
        <is>
          <t>Other demersal invertebrates</t>
        </is>
      </c>
      <c r="D355" t="inlineStr">
        <is>
          <t>Other fishes &amp; inverts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5.962</v>
      </c>
      <c r="AT355" t="n">
        <v>11.925</v>
      </c>
      <c r="AU355" t="n">
        <v>17.224</v>
      </c>
      <c r="AV355" t="n">
        <v>15.237</v>
      </c>
      <c r="AW355" t="n">
        <v>11.925</v>
      </c>
      <c r="AX355" t="n">
        <v>9.936999999999999</v>
      </c>
      <c r="AY355" t="n">
        <v>9.275</v>
      </c>
      <c r="AZ355" t="n">
        <v>9.275</v>
      </c>
      <c r="BA355" t="n">
        <v>8.612</v>
      </c>
      <c r="BB355" t="n">
        <v>6.625</v>
      </c>
      <c r="BC355" t="n">
        <v>4.637</v>
      </c>
      <c r="BD355" t="n">
        <v>0</v>
      </c>
      <c r="BE355" t="n">
        <v>0</v>
      </c>
      <c r="BF355" t="n">
        <v>0.662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</row>
    <row r="356">
      <c r="A356" t="inlineStr">
        <is>
          <t>Isurus oxyrinchus</t>
        </is>
      </c>
      <c r="B356" t="inlineStr">
        <is>
          <t>Shortfin mako</t>
        </is>
      </c>
      <c r="C356" t="inlineStr">
        <is>
          <t>Large sharks (&gt;=90 cm)</t>
        </is>
      </c>
      <c r="D356" t="inlineStr">
        <is>
          <t>Sharks &amp; rays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0.005</v>
      </c>
      <c r="BL356" t="n">
        <v>10.944</v>
      </c>
      <c r="BM356" t="n">
        <v>3.71</v>
      </c>
      <c r="BN356" t="n">
        <v>0.023</v>
      </c>
      <c r="BO356" t="n">
        <v>14.039</v>
      </c>
      <c r="BP356" t="n">
        <v>0.415</v>
      </c>
      <c r="BQ356" t="n">
        <v>0.025</v>
      </c>
      <c r="BR356" t="n">
        <v>0.235</v>
      </c>
      <c r="BS356" t="n">
        <v>0.774</v>
      </c>
      <c r="BT356" t="n">
        <v>0.005</v>
      </c>
      <c r="BU356" t="n">
        <v>76.78100000000001</v>
      </c>
      <c r="BV356" t="n">
        <v>0.303</v>
      </c>
    </row>
    <row r="357">
      <c r="A357" t="inlineStr">
        <is>
          <t>Amblygaster sirm</t>
        </is>
      </c>
      <c r="B357" t="inlineStr">
        <is>
          <t>Spotted sardinella</t>
        </is>
      </c>
      <c r="C357" t="inlineStr">
        <is>
          <t>Small pelagics (&lt;30 cm)</t>
        </is>
      </c>
      <c r="D357" t="inlineStr">
        <is>
          <t>Herring-likes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21.861</v>
      </c>
      <c r="BU357" t="n">
        <v>0</v>
      </c>
      <c r="BV357" t="n">
        <v>81.21299999999999</v>
      </c>
    </row>
    <row r="358">
      <c r="A358" t="inlineStr">
        <is>
          <t>Lampris guttatus</t>
        </is>
      </c>
      <c r="B358" t="inlineStr">
        <is>
          <t>Opah</t>
        </is>
      </c>
      <c r="C358" t="inlineStr">
        <is>
          <t>Large bathypelagics (&gt;=90 cm)</t>
        </is>
      </c>
      <c r="D358" t="inlineStr">
        <is>
          <t>Other fishes &amp; inverts</t>
        </is>
      </c>
      <c r="E358" t="n">
        <v>0.111</v>
      </c>
      <c r="F358" t="n">
        <v>0.122</v>
      </c>
      <c r="G358" t="n">
        <v>0.129</v>
      </c>
      <c r="H358" t="n">
        <v>0.128</v>
      </c>
      <c r="I358" t="n">
        <v>0.177</v>
      </c>
      <c r="J358" t="n">
        <v>0.184</v>
      </c>
      <c r="K358" t="n">
        <v>0.187</v>
      </c>
      <c r="L358" t="n">
        <v>0.168</v>
      </c>
      <c r="M358" t="n">
        <v>0.196</v>
      </c>
      <c r="N358" t="n">
        <v>0.206</v>
      </c>
      <c r="O358" t="n">
        <v>0.213</v>
      </c>
      <c r="P358" t="n">
        <v>0.219</v>
      </c>
      <c r="Q358" t="n">
        <v>0.258</v>
      </c>
      <c r="R358" t="n">
        <v>0.348</v>
      </c>
      <c r="S358" t="n">
        <v>0.427</v>
      </c>
      <c r="T358" t="n">
        <v>0.494</v>
      </c>
      <c r="U358" t="n">
        <v>0.519</v>
      </c>
      <c r="V358" t="n">
        <v>0.546</v>
      </c>
      <c r="W358" t="n">
        <v>0.665</v>
      </c>
      <c r="X358" t="n">
        <v>0.608</v>
      </c>
      <c r="Y358" t="n">
        <v>0.641</v>
      </c>
      <c r="Z358" t="n">
        <v>0.642</v>
      </c>
      <c r="AA358" t="n">
        <v>0.712</v>
      </c>
      <c r="AB358" t="n">
        <v>0.783</v>
      </c>
      <c r="AC358" t="n">
        <v>0.79</v>
      </c>
      <c r="AD358" t="n">
        <v>0.841</v>
      </c>
      <c r="AE358" t="n">
        <v>0.907</v>
      </c>
      <c r="AF358" t="n">
        <v>0.926</v>
      </c>
      <c r="AG358" t="n">
        <v>0.924</v>
      </c>
      <c r="AH358" t="n">
        <v>0.925</v>
      </c>
      <c r="AI358" t="n">
        <v>0.9340000000000001</v>
      </c>
      <c r="AJ358" t="n">
        <v>0.9379999999999999</v>
      </c>
      <c r="AK358" t="n">
        <v>0.975</v>
      </c>
      <c r="AL358" t="n">
        <v>1.036</v>
      </c>
      <c r="AM358" t="n">
        <v>0.917</v>
      </c>
      <c r="AN358" t="n">
        <v>0.973</v>
      </c>
      <c r="AO358" t="n">
        <v>1.238</v>
      </c>
      <c r="AP358" t="n">
        <v>1.195</v>
      </c>
      <c r="AQ358" t="n">
        <v>1.285</v>
      </c>
      <c r="AR358" t="n">
        <v>2.157</v>
      </c>
      <c r="AS358" t="n">
        <v>0.929</v>
      </c>
      <c r="AT358" t="n">
        <v>1.953</v>
      </c>
      <c r="AU358" t="n">
        <v>0.156</v>
      </c>
      <c r="AV358" t="n">
        <v>3.719</v>
      </c>
      <c r="AW358" t="n">
        <v>8.861000000000001</v>
      </c>
      <c r="AX358" t="n">
        <v>15.228</v>
      </c>
      <c r="AY358" t="n">
        <v>2.721</v>
      </c>
      <c r="AZ358" t="n">
        <v>1.284</v>
      </c>
      <c r="BA358" t="n">
        <v>1.367</v>
      </c>
      <c r="BB358" t="n">
        <v>1.243</v>
      </c>
      <c r="BC358" t="n">
        <v>1.233</v>
      </c>
      <c r="BD358" t="n">
        <v>1.421</v>
      </c>
      <c r="BE358" t="n">
        <v>1.369</v>
      </c>
      <c r="BF358" t="n">
        <v>1.374</v>
      </c>
      <c r="BG358" t="n">
        <v>1.218</v>
      </c>
      <c r="BH358" t="n">
        <v>1.233</v>
      </c>
      <c r="BI358" t="n">
        <v>1.117</v>
      </c>
      <c r="BJ358" t="n">
        <v>1.284</v>
      </c>
      <c r="BK358" t="n">
        <v>1.264</v>
      </c>
      <c r="BL358" t="n">
        <v>1.36</v>
      </c>
      <c r="BM358" t="n">
        <v>1.394</v>
      </c>
      <c r="BN358" t="n">
        <v>1.556</v>
      </c>
      <c r="BO358" t="n">
        <v>1.457</v>
      </c>
      <c r="BP358" t="n">
        <v>1.432</v>
      </c>
      <c r="BQ358" t="n">
        <v>1.281</v>
      </c>
      <c r="BR358" t="n">
        <v>1.191</v>
      </c>
      <c r="BS358" t="n">
        <v>1.284</v>
      </c>
      <c r="BT358" t="n">
        <v>1.124</v>
      </c>
      <c r="BU358" t="n">
        <v>1.07</v>
      </c>
      <c r="BV358" t="n">
        <v>1.129</v>
      </c>
    </row>
    <row r="359">
      <c r="A359" t="inlineStr">
        <is>
          <t>Pectinidae</t>
        </is>
      </c>
      <c r="B359" t="inlineStr">
        <is>
          <t>Scallops</t>
        </is>
      </c>
      <c r="C359" t="inlineStr">
        <is>
          <t>Other demersal invertebrates</t>
        </is>
      </c>
      <c r="D359" t="inlineStr">
        <is>
          <t>Molluscs</t>
        </is>
      </c>
      <c r="E359" t="n">
        <v>0.181</v>
      </c>
      <c r="F359" t="n">
        <v>0.218</v>
      </c>
      <c r="G359" t="n">
        <v>0.269</v>
      </c>
      <c r="H359" t="n">
        <v>0.293</v>
      </c>
      <c r="I359" t="n">
        <v>0.306</v>
      </c>
      <c r="J359" t="n">
        <v>0.388</v>
      </c>
      <c r="K359" t="n">
        <v>0.447</v>
      </c>
      <c r="L359" t="n">
        <v>0.494</v>
      </c>
      <c r="M359" t="n">
        <v>0.533</v>
      </c>
      <c r="N359" t="n">
        <v>0.615</v>
      </c>
      <c r="O359" t="n">
        <v>0.714</v>
      </c>
      <c r="P359" t="n">
        <v>0.873</v>
      </c>
      <c r="Q359" t="n">
        <v>0.921</v>
      </c>
      <c r="R359" t="n">
        <v>0.93</v>
      </c>
      <c r="S359" t="n">
        <v>1.014</v>
      </c>
      <c r="T359" t="n">
        <v>1.213</v>
      </c>
      <c r="U359" t="n">
        <v>1.395</v>
      </c>
      <c r="V359" t="n">
        <v>1.423</v>
      </c>
      <c r="W359" t="n">
        <v>1.502</v>
      </c>
      <c r="X359" t="n">
        <v>1.586</v>
      </c>
      <c r="Y359" t="n">
        <v>1.723</v>
      </c>
      <c r="Z359" t="n">
        <v>2.356</v>
      </c>
      <c r="AA359" t="n">
        <v>3.037</v>
      </c>
      <c r="AB359" t="n">
        <v>2.956</v>
      </c>
      <c r="AC359" t="n">
        <v>2.917</v>
      </c>
      <c r="AD359" t="n">
        <v>2.91</v>
      </c>
      <c r="AE359" t="n">
        <v>2.823</v>
      </c>
      <c r="AF359" t="n">
        <v>3.25</v>
      </c>
      <c r="AG359" t="n">
        <v>2.964</v>
      </c>
      <c r="AH359" t="n">
        <v>3.253</v>
      </c>
      <c r="AI359" t="n">
        <v>3.035</v>
      </c>
      <c r="AJ359" t="n">
        <v>2.904</v>
      </c>
      <c r="AK359" t="n">
        <v>2.333</v>
      </c>
      <c r="AL359" t="n">
        <v>2.484</v>
      </c>
      <c r="AM359" t="n">
        <v>3.015</v>
      </c>
      <c r="AN359" t="n">
        <v>1.873</v>
      </c>
      <c r="AO359" t="n">
        <v>2.033</v>
      </c>
      <c r="AP359" t="n">
        <v>2.229</v>
      </c>
      <c r="AQ359" t="n">
        <v>3.489</v>
      </c>
      <c r="AR359" t="n">
        <v>3.757</v>
      </c>
      <c r="AS359" t="n">
        <v>2.963</v>
      </c>
      <c r="AT359" t="n">
        <v>2.438</v>
      </c>
      <c r="AU359" t="n">
        <v>1.699</v>
      </c>
      <c r="AV359" t="n">
        <v>1.961</v>
      </c>
      <c r="AW359" t="n">
        <v>1.334</v>
      </c>
      <c r="AX359" t="n">
        <v>1.582</v>
      </c>
      <c r="AY359" t="n">
        <v>1.337</v>
      </c>
      <c r="AZ359" t="n">
        <v>1.411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</row>
    <row r="360">
      <c r="A360" t="inlineStr">
        <is>
          <t>Gymnosarda unicolor</t>
        </is>
      </c>
      <c r="B360" t="inlineStr">
        <is>
          <t>Dogtooth tuna</t>
        </is>
      </c>
      <c r="C360" t="inlineStr">
        <is>
          <t>Large reef assoc. fish (&gt;=90 cm)</t>
        </is>
      </c>
      <c r="D360" t="inlineStr">
        <is>
          <t>Tuna &amp; billfishes</t>
        </is>
      </c>
      <c r="E360" t="n">
        <v>1.003</v>
      </c>
      <c r="F360" t="n">
        <v>0.99</v>
      </c>
      <c r="G360" t="n">
        <v>0.953</v>
      </c>
      <c r="H360" t="n">
        <v>0.9370000000000001</v>
      </c>
      <c r="I360" t="n">
        <v>0.927</v>
      </c>
      <c r="J360" t="n">
        <v>0.914</v>
      </c>
      <c r="K360" t="n">
        <v>0.876</v>
      </c>
      <c r="L360" t="n">
        <v>0.862</v>
      </c>
      <c r="M360" t="n">
        <v>0.845</v>
      </c>
      <c r="N360" t="n">
        <v>0.836</v>
      </c>
      <c r="O360" t="n">
        <v>0.8169999999999999</v>
      </c>
      <c r="P360" t="n">
        <v>0.805</v>
      </c>
      <c r="Q360" t="n">
        <v>0.792</v>
      </c>
      <c r="R360" t="n">
        <v>0.778</v>
      </c>
      <c r="S360" t="n">
        <v>0.762</v>
      </c>
      <c r="T360" t="n">
        <v>0.745</v>
      </c>
      <c r="U360" t="n">
        <v>0.727</v>
      </c>
      <c r="V360" t="n">
        <v>0.708</v>
      </c>
      <c r="W360" t="n">
        <v>0.698</v>
      </c>
      <c r="X360" t="n">
        <v>0.677</v>
      </c>
      <c r="Y360" t="n">
        <v>0.666</v>
      </c>
      <c r="Z360" t="n">
        <v>0.653</v>
      </c>
      <c r="AA360" t="n">
        <v>0.64</v>
      </c>
      <c r="AB360" t="n">
        <v>0.627</v>
      </c>
      <c r="AC360" t="n">
        <v>0.613</v>
      </c>
      <c r="AD360" t="n">
        <v>0.608</v>
      </c>
      <c r="AE360" t="n">
        <v>0.592</v>
      </c>
      <c r="AF360" t="n">
        <v>0.575</v>
      </c>
      <c r="AG360" t="n">
        <v>0.5580000000000001</v>
      </c>
      <c r="AH360" t="n">
        <v>0.548</v>
      </c>
      <c r="AI360" t="n">
        <v>0.541</v>
      </c>
      <c r="AJ360" t="n">
        <v>0.522</v>
      </c>
      <c r="AK360" t="n">
        <v>0.522</v>
      </c>
      <c r="AL360" t="n">
        <v>0.501</v>
      </c>
      <c r="AM360" t="n">
        <v>0.503</v>
      </c>
      <c r="AN360" t="n">
        <v>0.486</v>
      </c>
      <c r="AO360" t="n">
        <v>0.476</v>
      </c>
      <c r="AP360" t="n">
        <v>0.478</v>
      </c>
      <c r="AQ360" t="n">
        <v>0.519</v>
      </c>
      <c r="AR360" t="n">
        <v>0.681</v>
      </c>
      <c r="AS360" t="n">
        <v>0.539</v>
      </c>
      <c r="AT360" t="n">
        <v>0.463</v>
      </c>
      <c r="AU360" t="n">
        <v>0.806</v>
      </c>
      <c r="AV360" t="n">
        <v>0.479</v>
      </c>
      <c r="AW360" t="n">
        <v>0.283</v>
      </c>
      <c r="AX360" t="n">
        <v>0.186</v>
      </c>
      <c r="AY360" t="n">
        <v>0.041</v>
      </c>
      <c r="AZ360" t="n">
        <v>0.333</v>
      </c>
      <c r="BA360" t="n">
        <v>0.572</v>
      </c>
      <c r="BB360" t="n">
        <v>0.799</v>
      </c>
      <c r="BC360" t="n">
        <v>1.013</v>
      </c>
      <c r="BD360" t="n">
        <v>1.224</v>
      </c>
      <c r="BE360" t="n">
        <v>1.543</v>
      </c>
      <c r="BF360" t="n">
        <v>2.072</v>
      </c>
      <c r="BG360" t="n">
        <v>1.967</v>
      </c>
      <c r="BH360" t="n">
        <v>2.134</v>
      </c>
      <c r="BI360" t="n">
        <v>0.044</v>
      </c>
      <c r="BJ360" t="n">
        <v>0.039</v>
      </c>
      <c r="BK360" t="n">
        <v>0.033</v>
      </c>
      <c r="BL360" t="n">
        <v>0.024</v>
      </c>
      <c r="BM360" t="n">
        <v>0.144</v>
      </c>
      <c r="BN360" t="n">
        <v>0.238</v>
      </c>
      <c r="BO360" t="n">
        <v>0.118</v>
      </c>
      <c r="BP360" t="n">
        <v>0.156</v>
      </c>
      <c r="BQ360" t="n">
        <v>0.147</v>
      </c>
      <c r="BR360" t="n">
        <v>0.151</v>
      </c>
      <c r="BS360" t="n">
        <v>0.141</v>
      </c>
      <c r="BT360" t="n">
        <v>0.145</v>
      </c>
      <c r="BU360" t="n">
        <v>0.147</v>
      </c>
      <c r="BV360" t="n">
        <v>0.138</v>
      </c>
    </row>
    <row r="361">
      <c r="A361" t="inlineStr">
        <is>
          <t>Tenualosa toli</t>
        </is>
      </c>
      <c r="B361" t="inlineStr">
        <is>
          <t>Toli shad</t>
        </is>
      </c>
      <c r="C361" t="inlineStr">
        <is>
          <t>Medium pelagics (30 - 89 cm)</t>
        </is>
      </c>
      <c r="D361" t="inlineStr">
        <is>
          <t>Herring-likes</t>
        </is>
      </c>
      <c r="E361" t="n">
        <v>35.53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</row>
    <row r="362">
      <c r="A362" t="inlineStr">
        <is>
          <t>Sphyrna</t>
        </is>
      </c>
      <c r="B362" t="inlineStr">
        <is>
          <t>Hammerhead sharks</t>
        </is>
      </c>
      <c r="C362" t="inlineStr">
        <is>
          <t>Large sharks (&gt;=90 cm)</t>
        </is>
      </c>
      <c r="D362" t="inlineStr">
        <is>
          <t>Sharks &amp; rays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5.733</v>
      </c>
      <c r="BN362" t="n">
        <v>4.713</v>
      </c>
      <c r="BO362" t="n">
        <v>0.5570000000000001</v>
      </c>
      <c r="BP362" t="n">
        <v>0.798</v>
      </c>
      <c r="BQ362" t="n">
        <v>0.636</v>
      </c>
      <c r="BR362" t="n">
        <v>0.231</v>
      </c>
      <c r="BS362" t="n">
        <v>0.158</v>
      </c>
      <c r="BT362" t="n">
        <v>0.047</v>
      </c>
      <c r="BU362" t="n">
        <v>20.4</v>
      </c>
      <c r="BV362" t="n">
        <v>0.013</v>
      </c>
    </row>
    <row r="363">
      <c r="A363" t="inlineStr">
        <is>
          <t>Ostreidae</t>
        </is>
      </c>
      <c r="B363" t="inlineStr">
        <is>
          <t>True oysters</t>
        </is>
      </c>
      <c r="C363" t="inlineStr">
        <is>
          <t>Other demersal invertebrates</t>
        </is>
      </c>
      <c r="D363" t="inlineStr">
        <is>
          <t>Molluscs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2.879</v>
      </c>
      <c r="BM363" t="n">
        <v>2.559</v>
      </c>
      <c r="BN363" t="n">
        <v>2.487</v>
      </c>
      <c r="BO363" t="n">
        <v>2.799</v>
      </c>
      <c r="BP363" t="n">
        <v>2.91</v>
      </c>
      <c r="BQ363" t="n">
        <v>2.666</v>
      </c>
      <c r="BR363" t="n">
        <v>2.746</v>
      </c>
      <c r="BS363" t="n">
        <v>2.843</v>
      </c>
      <c r="BT363" t="n">
        <v>2.636</v>
      </c>
      <c r="BU363" t="n">
        <v>2.503</v>
      </c>
      <c r="BV363" t="n">
        <v>2.345</v>
      </c>
    </row>
    <row r="364">
      <c r="A364" t="inlineStr">
        <is>
          <t>Tripneustes gratilla</t>
        </is>
      </c>
      <c r="B364" t="inlineStr">
        <is>
          <t>Shortspine urchin</t>
        </is>
      </c>
      <c r="C364" t="inlineStr">
        <is>
          <t>Other demersal invertebrates</t>
        </is>
      </c>
      <c r="D364" t="inlineStr">
        <is>
          <t>Other fishes &amp; inverts</t>
        </is>
      </c>
      <c r="E364" t="n">
        <v>0.106</v>
      </c>
      <c r="F364" t="n">
        <v>0.13</v>
      </c>
      <c r="G364" t="n">
        <v>0.153</v>
      </c>
      <c r="H364" t="n">
        <v>0.163</v>
      </c>
      <c r="I364" t="n">
        <v>0.188</v>
      </c>
      <c r="J364" t="n">
        <v>0.228</v>
      </c>
      <c r="K364" t="n">
        <v>0.25</v>
      </c>
      <c r="L364" t="n">
        <v>0.274</v>
      </c>
      <c r="M364" t="n">
        <v>0.306</v>
      </c>
      <c r="N364" t="n">
        <v>0.335</v>
      </c>
      <c r="O364" t="n">
        <v>0.318</v>
      </c>
      <c r="P364" t="n">
        <v>0.344</v>
      </c>
      <c r="Q364" t="n">
        <v>0.348</v>
      </c>
      <c r="R364" t="n">
        <v>0.399</v>
      </c>
      <c r="S364" t="n">
        <v>0.352</v>
      </c>
      <c r="T364" t="n">
        <v>0.333</v>
      </c>
      <c r="U364" t="n">
        <v>0.282</v>
      </c>
      <c r="V364" t="n">
        <v>0.29</v>
      </c>
      <c r="W364" t="n">
        <v>0.279</v>
      </c>
      <c r="X364" t="n">
        <v>0.292</v>
      </c>
      <c r="Y364" t="n">
        <v>0.302</v>
      </c>
      <c r="Z364" t="n">
        <v>0.306</v>
      </c>
      <c r="AA364" t="n">
        <v>0.273</v>
      </c>
      <c r="AB364" t="n">
        <v>0.256</v>
      </c>
      <c r="AC364" t="n">
        <v>0.253</v>
      </c>
      <c r="AD364" t="n">
        <v>0.291</v>
      </c>
      <c r="AE364" t="n">
        <v>0.321</v>
      </c>
      <c r="AF364" t="n">
        <v>0.327</v>
      </c>
      <c r="AG364" t="n">
        <v>0.317</v>
      </c>
      <c r="AH364" t="n">
        <v>0.355</v>
      </c>
      <c r="AI364" t="n">
        <v>0.365</v>
      </c>
      <c r="AJ364" t="n">
        <v>0.382</v>
      </c>
      <c r="AK364" t="n">
        <v>0.401</v>
      </c>
      <c r="AL364" t="n">
        <v>0.464</v>
      </c>
      <c r="AM364" t="n">
        <v>0.466</v>
      </c>
      <c r="AN364" t="n">
        <v>0.53</v>
      </c>
      <c r="AO364" t="n">
        <v>0.575</v>
      </c>
      <c r="AP364" t="n">
        <v>0.523</v>
      </c>
      <c r="AQ364" t="n">
        <v>0.493</v>
      </c>
      <c r="AR364" t="n">
        <v>0.465</v>
      </c>
      <c r="AS364" t="n">
        <v>0.461</v>
      </c>
      <c r="AT364" t="n">
        <v>0.396</v>
      </c>
      <c r="AU364" t="n">
        <v>0.423</v>
      </c>
      <c r="AV364" t="n">
        <v>0.409</v>
      </c>
      <c r="AW364" t="n">
        <v>0.396</v>
      </c>
      <c r="AX364" t="n">
        <v>0.436</v>
      </c>
      <c r="AY364" t="n">
        <v>0.398</v>
      </c>
      <c r="AZ364" t="n">
        <v>0.385</v>
      </c>
      <c r="BA364" t="n">
        <v>0.422</v>
      </c>
      <c r="BB364" t="n">
        <v>0.384</v>
      </c>
      <c r="BC364" t="n">
        <v>0.497</v>
      </c>
      <c r="BD364" t="n">
        <v>0.625</v>
      </c>
      <c r="BE364" t="n">
        <v>0.857</v>
      </c>
      <c r="BF364" t="n">
        <v>1.025</v>
      </c>
      <c r="BG364" t="n">
        <v>0.969</v>
      </c>
      <c r="BH364" t="n">
        <v>0.26</v>
      </c>
      <c r="BI364" t="n">
        <v>0.67</v>
      </c>
      <c r="BJ364" t="n">
        <v>0.627</v>
      </c>
      <c r="BK364" t="n">
        <v>0.105</v>
      </c>
      <c r="BL364" t="n">
        <v>0.078</v>
      </c>
      <c r="BM364" t="n">
        <v>0.105</v>
      </c>
      <c r="BN364" t="n">
        <v>0.08500000000000001</v>
      </c>
      <c r="BO364" t="n">
        <v>0.099</v>
      </c>
      <c r="BP364" t="n">
        <v>0.083</v>
      </c>
      <c r="BQ364" t="n">
        <v>0.089</v>
      </c>
      <c r="BR364" t="n">
        <v>0.076</v>
      </c>
      <c r="BS364" t="n">
        <v>0.08</v>
      </c>
      <c r="BT364" t="n">
        <v>0.083</v>
      </c>
      <c r="BU364" t="n">
        <v>0.123</v>
      </c>
      <c r="BV364" t="n">
        <v>0.08</v>
      </c>
    </row>
    <row r="365">
      <c r="A365" t="inlineStr">
        <is>
          <t>Lutjanus argentimaculatus</t>
        </is>
      </c>
      <c r="B365" t="inlineStr">
        <is>
          <t>Mangrove red snapper</t>
        </is>
      </c>
      <c r="C365" t="inlineStr">
        <is>
          <t>Large reef assoc. fish (&gt;=90 cm)</t>
        </is>
      </c>
      <c r="D365" t="inlineStr">
        <is>
          <t>Perch-likes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2.099</v>
      </c>
      <c r="Y365" t="n">
        <v>1.225</v>
      </c>
      <c r="Z365" t="n">
        <v>0.848</v>
      </c>
      <c r="AA365" t="n">
        <v>1.789</v>
      </c>
      <c r="AB365" t="n">
        <v>1.998</v>
      </c>
      <c r="AC365" t="n">
        <v>0</v>
      </c>
      <c r="AD365" t="n">
        <v>1.356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0.539</v>
      </c>
      <c r="AU365" t="n">
        <v>1.694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</row>
    <row r="366">
      <c r="A366" t="inlineStr">
        <is>
          <t>Pomatomus saltatrix</t>
        </is>
      </c>
      <c r="B366" t="inlineStr">
        <is>
          <t>Bluefish</t>
        </is>
      </c>
      <c r="C366" t="inlineStr">
        <is>
          <t>Large pelagics (&gt;=90 cm)</t>
        </is>
      </c>
      <c r="D366" t="inlineStr">
        <is>
          <t>Perch-likes</t>
        </is>
      </c>
      <c r="E366" t="n">
        <v>0.262</v>
      </c>
      <c r="F366" t="n">
        <v>0.259</v>
      </c>
      <c r="G366" t="n">
        <v>0.249</v>
      </c>
      <c r="H366" t="n">
        <v>0.245</v>
      </c>
      <c r="I366" t="n">
        <v>0.242</v>
      </c>
      <c r="J366" t="n">
        <v>0.239</v>
      </c>
      <c r="K366" t="n">
        <v>0.229</v>
      </c>
      <c r="L366" t="n">
        <v>0.225</v>
      </c>
      <c r="M366" t="n">
        <v>0.221</v>
      </c>
      <c r="N366" t="n">
        <v>0.218</v>
      </c>
      <c r="O366" t="n">
        <v>0.214</v>
      </c>
      <c r="P366" t="n">
        <v>0.21</v>
      </c>
      <c r="Q366" t="n">
        <v>0.207</v>
      </c>
      <c r="R366" t="n">
        <v>0.203</v>
      </c>
      <c r="S366" t="n">
        <v>0.199</v>
      </c>
      <c r="T366" t="n">
        <v>0.195</v>
      </c>
      <c r="U366" t="n">
        <v>0.19</v>
      </c>
      <c r="V366" t="n">
        <v>0.185</v>
      </c>
      <c r="W366" t="n">
        <v>0.182</v>
      </c>
      <c r="X366" t="n">
        <v>0.177</v>
      </c>
      <c r="Y366" t="n">
        <v>0.174</v>
      </c>
      <c r="Z366" t="n">
        <v>0.171</v>
      </c>
      <c r="AA366" t="n">
        <v>0.167</v>
      </c>
      <c r="AB366" t="n">
        <v>0.164</v>
      </c>
      <c r="AC366" t="n">
        <v>0.16</v>
      </c>
      <c r="AD366" t="n">
        <v>0.159</v>
      </c>
      <c r="AE366" t="n">
        <v>0.155</v>
      </c>
      <c r="AF366" t="n">
        <v>0.15</v>
      </c>
      <c r="AG366" t="n">
        <v>0.146</v>
      </c>
      <c r="AH366" t="n">
        <v>0.143</v>
      </c>
      <c r="AI366" t="n">
        <v>0.141</v>
      </c>
      <c r="AJ366" t="n">
        <v>0.136</v>
      </c>
      <c r="AK366" t="n">
        <v>0.137</v>
      </c>
      <c r="AL366" t="n">
        <v>0.131</v>
      </c>
      <c r="AM366" t="n">
        <v>0.131</v>
      </c>
      <c r="AN366" t="n">
        <v>0.128</v>
      </c>
      <c r="AO366" t="n">
        <v>0.122</v>
      </c>
      <c r="AP366" t="n">
        <v>0.126</v>
      </c>
      <c r="AQ366" t="n">
        <v>0.142</v>
      </c>
      <c r="AR366" t="n">
        <v>0.159</v>
      </c>
      <c r="AS366" t="n">
        <v>0.153</v>
      </c>
      <c r="AT366" t="n">
        <v>0.144</v>
      </c>
      <c r="AU366" t="n">
        <v>0.115</v>
      </c>
      <c r="AV366" t="n">
        <v>0.241</v>
      </c>
      <c r="AW366" t="n">
        <v>0.126</v>
      </c>
      <c r="AX366" t="n">
        <v>0.063</v>
      </c>
      <c r="AY366" t="n">
        <v>0.047</v>
      </c>
      <c r="AZ366" t="n">
        <v>0.035</v>
      </c>
      <c r="BA366" t="n">
        <v>0.018</v>
      </c>
      <c r="BB366" t="n">
        <v>0.018</v>
      </c>
      <c r="BC366" t="n">
        <v>0.018</v>
      </c>
      <c r="BD366" t="n">
        <v>0.018</v>
      </c>
      <c r="BE366" t="n">
        <v>0.019</v>
      </c>
      <c r="BF366" t="n">
        <v>0.023</v>
      </c>
      <c r="BG366" t="n">
        <v>0.02</v>
      </c>
      <c r="BH366" t="n">
        <v>0.019</v>
      </c>
      <c r="BI366" t="n">
        <v>0.029</v>
      </c>
      <c r="BJ366" t="n">
        <v>0.033</v>
      </c>
      <c r="BK366" t="n">
        <v>0.04</v>
      </c>
      <c r="BL366" t="n">
        <v>0.052</v>
      </c>
      <c r="BM366" t="n">
        <v>0.053</v>
      </c>
      <c r="BN366" t="n">
        <v>0.049</v>
      </c>
      <c r="BO366" t="n">
        <v>0.044</v>
      </c>
      <c r="BP366" t="n">
        <v>0.046</v>
      </c>
      <c r="BQ366" t="n">
        <v>0.043</v>
      </c>
      <c r="BR366" t="n">
        <v>0.044</v>
      </c>
      <c r="BS366" t="n">
        <v>0.042</v>
      </c>
      <c r="BT366" t="n">
        <v>0.043</v>
      </c>
      <c r="BU366" t="n">
        <v>0.043</v>
      </c>
      <c r="BV366" t="n">
        <v>0.041</v>
      </c>
    </row>
    <row r="367">
      <c r="A367" t="inlineStr">
        <is>
          <t>Sphyraena jello</t>
        </is>
      </c>
      <c r="B367" t="inlineStr">
        <is>
          <t>Pickhandle barracuda</t>
        </is>
      </c>
      <c r="C367" t="inlineStr">
        <is>
          <t>Large reef assoc. fish (&gt;=90 cm)</t>
        </is>
      </c>
      <c r="D367" t="inlineStr">
        <is>
          <t>Perch-likes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5.97</v>
      </c>
      <c r="BU367" t="n">
        <v>0</v>
      </c>
      <c r="BV367" t="n">
        <v>0.01</v>
      </c>
    </row>
    <row r="368">
      <c r="A368" t="inlineStr">
        <is>
          <t>Echinozoa</t>
        </is>
      </c>
      <c r="B368" t="inlineStr">
        <is>
          <t>Sea urchins and sea cucumbers</t>
        </is>
      </c>
      <c r="C368" t="inlineStr">
        <is>
          <t>Other demersal invertebrates</t>
        </is>
      </c>
      <c r="D368" t="inlineStr">
        <is>
          <t>Other fishes &amp; inverts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3.307</v>
      </c>
      <c r="BP368" t="n">
        <v>0.974</v>
      </c>
      <c r="BQ368" t="n">
        <v>0.399</v>
      </c>
      <c r="BR368" t="n">
        <v>0.043</v>
      </c>
      <c r="BS368" t="n">
        <v>0.042</v>
      </c>
      <c r="BT368" t="n">
        <v>0</v>
      </c>
      <c r="BU368" t="n">
        <v>0</v>
      </c>
      <c r="BV368" t="n">
        <v>0</v>
      </c>
    </row>
    <row r="369">
      <c r="A369" t="inlineStr">
        <is>
          <t>Tetrapturus angustirostris</t>
        </is>
      </c>
      <c r="B369" t="inlineStr">
        <is>
          <t>Shortbill spearfish</t>
        </is>
      </c>
      <c r="C369" t="inlineStr">
        <is>
          <t>Large pelagics (&gt;=90 cm)</t>
        </is>
      </c>
      <c r="D369" t="inlineStr">
        <is>
          <t>Tuna &amp; billfishes</t>
        </is>
      </c>
      <c r="E369" t="n">
        <v>0</v>
      </c>
      <c r="F369" t="n">
        <v>0</v>
      </c>
      <c r="G369" t="n">
        <v>0</v>
      </c>
      <c r="H369" t="n">
        <v>0</v>
      </c>
      <c r="I369" t="n">
        <v>0.005</v>
      </c>
      <c r="J369" t="n">
        <v>0.037</v>
      </c>
      <c r="K369" t="n">
        <v>0.042</v>
      </c>
      <c r="L369" t="n">
        <v>0</v>
      </c>
      <c r="M369" t="n">
        <v>0.067</v>
      </c>
      <c r="N369" t="n">
        <v>0.081</v>
      </c>
      <c r="O369" t="n">
        <v>0.126</v>
      </c>
      <c r="P369" t="n">
        <v>0.131</v>
      </c>
      <c r="Q369" t="n">
        <v>0</v>
      </c>
      <c r="R369" t="n">
        <v>0.154</v>
      </c>
      <c r="S369" t="n">
        <v>0.09</v>
      </c>
      <c r="T369" t="n">
        <v>0</v>
      </c>
      <c r="U369" t="n">
        <v>0.194</v>
      </c>
      <c r="V369" t="n">
        <v>0</v>
      </c>
      <c r="W369" t="n">
        <v>0.317</v>
      </c>
      <c r="X369" t="n">
        <v>0.04</v>
      </c>
      <c r="Y369" t="n">
        <v>0.059</v>
      </c>
      <c r="Z369" t="n">
        <v>0.108</v>
      </c>
      <c r="AA369" t="n">
        <v>0.016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0.095</v>
      </c>
      <c r="BH369" t="n">
        <v>0</v>
      </c>
      <c r="BI369" t="n">
        <v>0.043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</row>
    <row r="370">
      <c r="A370" t="inlineStr">
        <is>
          <t>Sphyrna lewini</t>
        </is>
      </c>
      <c r="B370" t="inlineStr">
        <is>
          <t>Scalloped hammerhead</t>
        </is>
      </c>
      <c r="C370" t="inlineStr">
        <is>
          <t>Large sharks (&gt;=90 cm)</t>
        </is>
      </c>
      <c r="D370" t="inlineStr">
        <is>
          <t>Sharks &amp; rays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0.173</v>
      </c>
      <c r="BJ370" t="n">
        <v>0</v>
      </c>
      <c r="BK370" t="n">
        <v>0</v>
      </c>
      <c r="BL370" t="n">
        <v>0</v>
      </c>
      <c r="BM370" t="n">
        <v>0.797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</row>
    <row r="371">
      <c r="A371" t="inlineStr">
        <is>
          <t>Trochus niloticus</t>
        </is>
      </c>
      <c r="B371" t="inlineStr">
        <is>
          <t>Commercial top</t>
        </is>
      </c>
      <c r="C371" t="inlineStr">
        <is>
          <t>Other demersal invertebrates</t>
        </is>
      </c>
      <c r="D371" t="inlineStr">
        <is>
          <t>Molluscs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0.034</v>
      </c>
      <c r="AP371" t="n">
        <v>0.053</v>
      </c>
      <c r="AQ371" t="n">
        <v>0</v>
      </c>
      <c r="AR371" t="n">
        <v>0</v>
      </c>
      <c r="AS371" t="n">
        <v>0.868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</row>
    <row r="372">
      <c r="A372" t="inlineStr">
        <is>
          <t>Holothuroidea</t>
        </is>
      </c>
      <c r="B372" t="inlineStr">
        <is>
          <t>Sea cucumbers</t>
        </is>
      </c>
      <c r="C372" t="inlineStr">
        <is>
          <t>Other demersal invertebrates</t>
        </is>
      </c>
      <c r="D372" t="inlineStr">
        <is>
          <t>Other fishes &amp; inverts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0.704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0.057</v>
      </c>
      <c r="BV372" t="n">
        <v>0</v>
      </c>
    </row>
    <row r="373">
      <c r="A373" t="inlineStr">
        <is>
          <t>Pinctada</t>
        </is>
      </c>
      <c r="B373" t="inlineStr">
        <is>
          <t>Mother of pearl oysters</t>
        </is>
      </c>
      <c r="C373" t="inlineStr">
        <is>
          <t>Other demersal invertebrates</t>
        </is>
      </c>
      <c r="D373" t="inlineStr">
        <is>
          <t>Molluscs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0.106</v>
      </c>
      <c r="BV373" t="n">
        <v>0</v>
      </c>
    </row>
    <row r="374">
      <c r="A374" t="inlineStr">
        <is>
          <t>Carcharhinus amblyrhynchos</t>
        </is>
      </c>
      <c r="B374" t="inlineStr">
        <is>
          <t>Blacktail reef shark</t>
        </is>
      </c>
      <c r="C374" t="inlineStr">
        <is>
          <t>Large sharks (&gt;=90 cm)</t>
        </is>
      </c>
      <c r="D374" t="inlineStr">
        <is>
          <t>Sharks &amp; rays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0.002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</row>
    <row r="375">
      <c r="A375" t="inlineStr">
        <is>
          <t>Sphyrnidae</t>
        </is>
      </c>
      <c r="B375" t="inlineStr">
        <is>
          <t>Hammer, bonnet, scoophead sharks</t>
        </is>
      </c>
      <c r="C375" t="inlineStr">
        <is>
          <t>Large sharks (&gt;=90 cm)</t>
        </is>
      </c>
      <c r="D375" t="inlineStr">
        <is>
          <t>Sharks &amp; rays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7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28" customWidth="1" min="3" max="3"/>
    <col width="20" customWidth="1" min="4" max="4"/>
    <col width="40" customWidth="1" min="5" max="5"/>
    <col width="18" customWidth="1" min="6" max="6"/>
    <col width="18" customWidth="1" min="7" max="7"/>
    <col width="12" customWidth="1" min="8" max="8"/>
    <col width="20" customWidth="1" min="9" max="9"/>
    <col width="14" customWidth="1" min="10" max="10"/>
    <col width="10" customWidth="1" min="11" max="11"/>
    <col width="110" customWidth="1" min="12" max="12"/>
  </cols>
  <sheetData>
    <row r="1">
      <c r="A1" s="1" t="inlineStr">
        <is>
          <t>Which Ecopath group each catch taxon belongs to, and on what evidence.</t>
        </is>
      </c>
    </row>
    <row r="2">
      <c r="A2" t="inlineStr">
        <is>
          <t>Several groups separated by | means the taxon spans them and its catch is apportioned; the weights used are in the next two columns.</t>
        </is>
      </c>
    </row>
    <row r="4">
      <c r="A4" s="4" t="inlineStr">
        <is>
          <t>taxon</t>
        </is>
      </c>
      <c r="B4" s="4" t="inlineStr">
        <is>
          <t>common_name</t>
        </is>
      </c>
      <c r="C4" s="4" t="inlineStr">
        <is>
          <t>SAU functional group</t>
        </is>
      </c>
      <c r="D4" s="4" t="inlineStr">
        <is>
          <t>SAU commercial group</t>
        </is>
      </c>
      <c r="E4" s="4" t="inlineStr">
        <is>
          <t>Ecopath group</t>
        </is>
      </c>
      <c r="F4" s="4" t="inlineStr">
        <is>
          <t>weights</t>
        </is>
      </c>
      <c r="G4" s="4" t="inlineStr">
        <is>
          <t>weight basis</t>
        </is>
      </c>
      <c r="H4" s="4" t="inlineStr">
        <is>
          <t>confidence</t>
        </is>
      </c>
      <c r="I4" s="4" t="inlineStr">
        <is>
          <t>evidence</t>
        </is>
      </c>
      <c r="J4" s="4" t="inlineStr">
        <is>
          <t>catch tonnes</t>
        </is>
      </c>
      <c r="K4" s="4" t="inlineStr">
        <is>
          <t>% of catch</t>
        </is>
      </c>
      <c r="L4" s="4" t="inlineStr">
        <is>
          <t>explanation</t>
        </is>
      </c>
    </row>
    <row r="5">
      <c r="A5" t="inlineStr">
        <is>
          <t>Marine fishes not identified</t>
        </is>
      </c>
      <c r="B5" t="inlineStr">
        <is>
          <t>Marine fishes nei</t>
        </is>
      </c>
      <c r="C5" t="inlineStr">
        <is>
          <t>Medium demersals (30 - 89 cm)</t>
        </is>
      </c>
      <c r="D5" t="inlineStr">
        <is>
          <t>Other fishes &amp; inverts</t>
        </is>
      </c>
      <c r="E5" s="5" t="inlineStr">
        <is>
          <t>Demesral fish (≤ 30 cm) | Juvenile demersal fish (&gt; 30 cm) | Adult demersal fish (&gt; 30 cm)</t>
        </is>
      </c>
      <c r="F5" t="inlineStr">
        <is>
          <t>0.386 | 0.123 | 0.491</t>
        </is>
      </c>
      <c r="G5" t="inlineStr">
        <is>
          <t>model_catch</t>
        </is>
      </c>
      <c r="H5" t="inlineStr">
        <is>
          <t>low</t>
        </is>
      </c>
      <c r="I5" t="inlineStr">
        <is>
          <t>composite_split</t>
        </is>
      </c>
      <c r="J5" t="n">
        <v>36494986.294</v>
      </c>
      <c r="K5" t="n">
        <v>9.4161</v>
      </c>
      <c r="L5" s="6" t="inlineStr">
        <is>
          <t>Analyst coarse-catch inference from SAU Medium demersals (30 - 89 cm) to residual habitat/size pools in Appendix 6.1 pp.335-339, excluding dedicated named taxa; period model catch weights preserve stanza selectivity.</t>
        </is>
      </c>
    </row>
    <row r="6">
      <c r="A6" t="inlineStr">
        <is>
          <t>Trichiurus lepturus</t>
        </is>
      </c>
      <c r="B6" t="inlineStr">
        <is>
          <t>Largehead hairtail</t>
        </is>
      </c>
      <c r="C6" t="inlineStr">
        <is>
          <t>Large benthopelagics (&gt;=90 cm)</t>
        </is>
      </c>
      <c r="D6" t="inlineStr">
        <is>
          <t>Perch-likes</t>
        </is>
      </c>
      <c r="E6" s="7" t="inlineStr">
        <is>
          <t>Juvenile Hairtail (trichiurids) | Adult hairtail (trichiurids)</t>
        </is>
      </c>
      <c r="F6" t="inlineStr">
        <is>
          <t>0.200 | 0.800</t>
        </is>
      </c>
      <c r="G6" t="inlineStr">
        <is>
          <t>model_catch</t>
        </is>
      </c>
      <c r="H6" t="inlineStr">
        <is>
          <t>medium</t>
        </is>
      </c>
      <c r="I6" t="inlineStr">
        <is>
          <t>composite_split</t>
        </is>
      </c>
      <c r="J6" t="n">
        <v>20943613.088</v>
      </c>
      <c r="K6" t="n">
        <v>5.4037</v>
      </c>
      <c r="L6" s="6" t="inlineStr">
        <is>
          <t>Appendix 6.1.12 pp.329-330 divides Trichiuridae at 18 months. Catch has no life-stage field; fixed juvenile/adult weights use this period model catch, retaining its reported selectivity.</t>
        </is>
      </c>
    </row>
    <row r="7">
      <c r="A7" t="inlineStr">
        <is>
          <t>Scyphozoa</t>
        </is>
      </c>
      <c r="B7" t="inlineStr">
        <is>
          <t>True jellyfishes</t>
        </is>
      </c>
      <c r="C7" t="inlineStr">
        <is>
          <t>Jellyfish</t>
        </is>
      </c>
      <c r="D7" t="inlineStr">
        <is>
          <t>Other fishes &amp; inverts</t>
        </is>
      </c>
      <c r="E7" s="8" t="inlineStr">
        <is>
          <t>Jellyfish</t>
        </is>
      </c>
      <c r="F7" t="inlineStr"/>
      <c r="G7" t="inlineStr"/>
      <c r="H7" t="inlineStr">
        <is>
          <t>high</t>
        </is>
      </c>
      <c r="I7" t="inlineStr">
        <is>
          <t>taxonomic_containment</t>
        </is>
      </c>
      <c r="J7" t="n">
        <v>19842389.932</v>
      </c>
      <c r="K7" t="n">
        <v>5.1195</v>
      </c>
      <c r="L7" s="6" t="inlineStr">
        <is>
          <t>Appendix 6.1.4 p.324 defines jellyfish as cnidarian medusae.</t>
        </is>
      </c>
    </row>
    <row r="8">
      <c r="A8" t="inlineStr">
        <is>
          <t>Synodontidae</t>
        </is>
      </c>
      <c r="B8" t="inlineStr">
        <is>
          <t>Lizardfishes, sauries</t>
        </is>
      </c>
      <c r="C8" t="inlineStr">
        <is>
          <t>Medium demersals (30 - 89 cm)</t>
        </is>
      </c>
      <c r="D8" t="inlineStr">
        <is>
          <t>Other fishes &amp; inverts</t>
        </is>
      </c>
      <c r="E8" s="8" t="inlineStr">
        <is>
          <t>Lizard fish (synodontids)</t>
        </is>
      </c>
      <c r="F8" t="inlineStr"/>
      <c r="G8" t="inlineStr"/>
      <c r="H8" t="inlineStr">
        <is>
          <t>high</t>
        </is>
      </c>
      <c r="I8" t="inlineStr">
        <is>
          <t>taxonomic_containment</t>
        </is>
      </c>
      <c r="J8" t="n">
        <v>13852255.834</v>
      </c>
      <c r="K8" t="n">
        <v>3.574</v>
      </c>
      <c r="L8" s="6" t="inlineStr">
        <is>
          <t>Appendix 6.1 pp.327-335 defines Lizard fish (synodontids) by this family or explicitly names Synodontidae; dedicated source placement overrides the SAU class Medium demersals (30 - 89 cm).</t>
        </is>
      </c>
    </row>
    <row r="9">
      <c r="A9" t="inlineStr">
        <is>
          <t>Alepes</t>
        </is>
      </c>
      <c r="B9" t="inlineStr">
        <is>
          <t>Crevalles</t>
        </is>
      </c>
      <c r="C9" t="inlineStr">
        <is>
          <t>Medium reef assoc. fish (30 - 89 cm)</t>
        </is>
      </c>
      <c r="D9" t="inlineStr">
        <is>
          <t>Perch-likes</t>
        </is>
      </c>
      <c r="E9" s="7" t="inlineStr">
        <is>
          <t>Juvenile large pelagic fish | Pelagic fish (&gt; 30 cm)</t>
        </is>
      </c>
      <c r="F9" t="inlineStr">
        <is>
          <t>0.202 | 0.798</t>
        </is>
      </c>
      <c r="G9" t="inlineStr">
        <is>
          <t>model_catch</t>
        </is>
      </c>
      <c r="H9" t="inlineStr">
        <is>
          <t>medium</t>
        </is>
      </c>
      <c r="I9" t="inlineStr">
        <is>
          <t>composite_split</t>
        </is>
      </c>
      <c r="J9" t="n">
        <v>13356624.376</v>
      </c>
      <c r="K9" t="n">
        <v>3.4461</v>
      </c>
      <c r="L9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</row>
    <row r="10">
      <c r="A10" t="inlineStr">
        <is>
          <t>Carangidae</t>
        </is>
      </c>
      <c r="B10" t="inlineStr">
        <is>
          <t>Jacks, pompanos</t>
        </is>
      </c>
      <c r="C10" t="inlineStr">
        <is>
          <t>Medium pelagics (30 - 89 cm)</t>
        </is>
      </c>
      <c r="D10" t="inlineStr">
        <is>
          <t>Perch-likes</t>
        </is>
      </c>
      <c r="E10" s="5" t="inlineStr">
        <is>
          <t>Pelagic fish (≤ 30 cm) | Juvenile large pelagic fish | Pelagic fish (&gt; 30 cm)</t>
        </is>
      </c>
      <c r="F10" t="inlineStr">
        <is>
          <t>0.754 | 0.050 | 0.196</t>
        </is>
      </c>
      <c r="G10" t="inlineStr">
        <is>
          <t>model_catch</t>
        </is>
      </c>
      <c r="H10" t="inlineStr">
        <is>
          <t>low</t>
        </is>
      </c>
      <c r="I10" t="inlineStr">
        <is>
          <t>composite_split</t>
        </is>
      </c>
      <c r="J10" t="n">
        <v>11518481.788</v>
      </c>
      <c r="K10" t="n">
        <v>2.9719</v>
      </c>
      <c r="L10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</row>
    <row r="11">
      <c r="A11" t="inlineStr">
        <is>
          <t>Mollusca</t>
        </is>
      </c>
      <c r="B11" t="inlineStr">
        <is>
          <t>Clams, seasnails, squids, octopuses</t>
        </is>
      </c>
      <c r="C11" t="inlineStr">
        <is>
          <t>Other demersal invertebrates</t>
        </is>
      </c>
      <c r="D11" t="inlineStr">
        <is>
          <t>Molluscs</t>
        </is>
      </c>
      <c r="E11" s="8" t="inlineStr">
        <is>
          <t>Non-ceph molluscs</t>
        </is>
      </c>
      <c r="F11" t="inlineStr"/>
      <c r="G11" t="inlineStr"/>
      <c r="H11" t="inlineStr">
        <is>
          <t>high</t>
        </is>
      </c>
      <c r="I11" t="inlineStr">
        <is>
          <t>taxonomic_containment</t>
        </is>
      </c>
      <c r="J11" t="n">
        <v>10987962.459</v>
      </c>
      <c r="K11" t="n">
        <v>2.835</v>
      </c>
      <c r="L11" s="6" t="inlineStr">
        <is>
          <t>Taxonomic containment in the source benthos subdivision (Appendix 6.1.5 pp.324-325), keeping non-cephalopod molluscs separate from echinoderms and sessile invertebrates.</t>
        </is>
      </c>
    </row>
    <row r="12">
      <c r="A12" t="inlineStr">
        <is>
          <t>Acetes japonicus</t>
        </is>
      </c>
      <c r="B12" t="inlineStr">
        <is>
          <t>Akiami paste shrimp</t>
        </is>
      </c>
      <c r="C12" t="inlineStr">
        <is>
          <t>Shrimps</t>
        </is>
      </c>
      <c r="D12" t="inlineStr">
        <is>
          <t>Crustaceans</t>
        </is>
      </c>
      <c r="E12" s="8" t="inlineStr">
        <is>
          <t>Zooplankton</t>
        </is>
      </c>
      <c r="F12" t="inlineStr"/>
      <c r="G12" t="inlineStr"/>
      <c r="H12" t="inlineStr">
        <is>
          <t>high</t>
        </is>
      </c>
      <c r="I12" t="inlineStr">
        <is>
          <t>explicit_member</t>
        </is>
      </c>
      <c r="J12" t="n">
        <v>9781314.523</v>
      </c>
      <c r="K12" t="n">
        <v>2.5237</v>
      </c>
      <c r="L12" s="6" t="inlineStr">
        <is>
          <t>Appendix 6.1.3 p.323 explicitly records Acetes spp. (Mo shrimp) catch in Zooplankton, overriding the SAU shrimp class.</t>
        </is>
      </c>
    </row>
    <row r="13">
      <c r="A13" t="inlineStr">
        <is>
          <t>Perciformes</t>
        </is>
      </c>
      <c r="B13" t="inlineStr">
        <is>
          <t>Perch-likes</t>
        </is>
      </c>
      <c r="C13" t="inlineStr">
        <is>
          <t>Medium demersals (30 - 89 cm)</t>
        </is>
      </c>
      <c r="D13" t="inlineStr">
        <is>
          <t>Perch-likes</t>
        </is>
      </c>
      <c r="E13" s="5" t="inlineStr">
        <is>
          <t>Demesral fish (≤ 30 cm) | Juvenile demersal fish (&gt; 30 cm) | Adult demersal fish (&gt; 30 cm)</t>
        </is>
      </c>
      <c r="F13" t="inlineStr">
        <is>
          <t>0.386 | 0.123 | 0.491</t>
        </is>
      </c>
      <c r="G13" t="inlineStr">
        <is>
          <t>model_catch</t>
        </is>
      </c>
      <c r="H13" t="inlineStr">
        <is>
          <t>low</t>
        </is>
      </c>
      <c r="I13" t="inlineStr">
        <is>
          <t>composite_split</t>
        </is>
      </c>
      <c r="J13" t="n">
        <v>9772010.148</v>
      </c>
      <c r="K13" t="n">
        <v>2.5213</v>
      </c>
      <c r="L13" s="6" t="inlineStr">
        <is>
          <t>Analyst coarse-catch inference from SAU Medium demersals (30 - 89 cm) to residual habitat/size pools in Appendix 6.1 pp.335-339, excluding dedicated named taxa; period model catch weights preserve stanza selectivity.</t>
        </is>
      </c>
    </row>
    <row r="14">
      <c r="A14" t="inlineStr">
        <is>
          <t>Nemipterus</t>
        </is>
      </c>
      <c r="B14" t="inlineStr">
        <is>
          <t>Threadfin breams</t>
        </is>
      </c>
      <c r="C14" t="inlineStr">
        <is>
          <t>Small demersals (&lt;30 cm)</t>
        </is>
      </c>
      <c r="D14" t="inlineStr">
        <is>
          <t>Perch-likes</t>
        </is>
      </c>
      <c r="E14" s="8" t="inlineStr">
        <is>
          <t>Threadfin bream (nemipterids)</t>
        </is>
      </c>
      <c r="F14" t="inlineStr"/>
      <c r="G14" t="inlineStr"/>
      <c r="H14" t="inlineStr">
        <is>
          <t>high</t>
        </is>
      </c>
      <c r="I14" t="inlineStr">
        <is>
          <t>taxonomic_containment</t>
        </is>
      </c>
      <c r="J14" t="n">
        <v>9101609.18</v>
      </c>
      <c r="K14" t="n">
        <v>2.3483</v>
      </c>
      <c r="L14" s="6" t="inlineStr">
        <is>
          <t>Appendix 6.1 pp.327-335 defines Threadfin bream (nemipterids) by this family or explicitly names Nemipterus; dedicated source placement overrides the SAU class Small demersals (&lt;30 cm).</t>
        </is>
      </c>
    </row>
    <row r="15">
      <c r="A15" t="inlineStr">
        <is>
          <t>Miscellaneous marine crustaceans</t>
        </is>
      </c>
      <c r="B15" t="inlineStr">
        <is>
          <t>Marine crabs, shrimps, lobsters nei</t>
        </is>
      </c>
      <c r="C15" t="inlineStr">
        <is>
          <t>Shrimps</t>
        </is>
      </c>
      <c r="D15" t="inlineStr">
        <is>
          <t>Crustaceans</t>
        </is>
      </c>
      <c r="E15" s="5" t="inlineStr">
        <is>
          <t>Zooplankton | Benthic crustaceans | Shrimps | Crabs</t>
        </is>
      </c>
      <c r="F15" t="inlineStr">
        <is>
          <t>0.257 | 0.052 | 0.486 | 0.205</t>
        </is>
      </c>
      <c r="G15" t="inlineStr">
        <is>
          <t>catch_composition</t>
        </is>
      </c>
      <c r="H15" t="inlineStr">
        <is>
          <t>low</t>
        </is>
      </c>
      <c r="I15" t="inlineStr">
        <is>
          <t>composite_split</t>
        </is>
      </c>
      <c r="J15" t="n">
        <v>8992342.448000001</v>
      </c>
      <c r="K15" t="n">
        <v>2.3201</v>
      </c>
      <c r="L15" s="6" t="inlineStr">
        <is>
          <t>Coarse crustacean label spans source Acetes in Zooplankton, other shrimps, crabs and residual benthic crustaceans (Appendix 6.1 pp.323-326); Sergestidae is restricted to the first two. Source membership precedes SAU habitat class.</t>
        </is>
      </c>
    </row>
    <row r="16">
      <c r="A16" t="inlineStr">
        <is>
          <t>Leiognathidae</t>
        </is>
      </c>
      <c r="B16" t="inlineStr">
        <is>
          <t>Slipmouths, ponyfishes</t>
        </is>
      </c>
      <c r="C16" t="inlineStr">
        <is>
          <t>Small benthopelagics (&lt;30 cm)</t>
        </is>
      </c>
      <c r="D16" t="inlineStr">
        <is>
          <t>Perch-likes</t>
        </is>
      </c>
      <c r="E16" s="5" t="inlineStr">
        <is>
          <t>Benthopelagic fish</t>
        </is>
      </c>
      <c r="F16" t="inlineStr"/>
      <c r="G16" t="inlineStr"/>
      <c r="H16" t="inlineStr">
        <is>
          <t>low</t>
        </is>
      </c>
      <c r="I16" t="inlineStr">
        <is>
          <t>habitat_size_guild</t>
        </is>
      </c>
      <c r="J16" t="n">
        <v>8732446.540999999</v>
      </c>
      <c r="K16" t="n">
        <v>2.2531</v>
      </c>
      <c r="L16" s="6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</row>
    <row r="17">
      <c r="A17" t="inlineStr">
        <is>
          <t>Engraulis japonicus</t>
        </is>
      </c>
      <c r="B17" t="inlineStr">
        <is>
          <t>Japanese anchovy</t>
        </is>
      </c>
      <c r="C17" t="inlineStr">
        <is>
          <t>Small pelagics (&lt;30 cm)</t>
        </is>
      </c>
      <c r="D17" t="inlineStr">
        <is>
          <t>Anchovies</t>
        </is>
      </c>
      <c r="E17" s="7" t="inlineStr">
        <is>
          <t>Pelagic fish (≤ 30 cm)</t>
        </is>
      </c>
      <c r="F17" t="inlineStr"/>
      <c r="G17" t="inlineStr"/>
      <c r="H17" t="inlineStr">
        <is>
          <t>medium</t>
        </is>
      </c>
      <c r="I17" t="inlineStr">
        <is>
          <t>habitat_size_guild</t>
        </is>
      </c>
      <c r="J17" t="n">
        <v>8554508.117000001</v>
      </c>
      <c r="K17" t="n">
        <v>2.2071</v>
      </c>
      <c r="L17" s="6" t="inlineStr">
        <is>
          <t>Source small-pelagic pool explicitly includes sardines, thryssa and anchovies (Appendix 6.1.23 p.338); extension to the catch lineage uses SAU size as a proxy and is not a full species list.</t>
        </is>
      </c>
    </row>
    <row r="18">
      <c r="A18" t="inlineStr">
        <is>
          <t>Scomberomorus</t>
        </is>
      </c>
      <c r="B18" t="inlineStr">
        <is>
          <t>Spanish mackerels</t>
        </is>
      </c>
      <c r="C18" t="inlineStr">
        <is>
          <t>Large pelagics (&gt;=90 cm)</t>
        </is>
      </c>
      <c r="D18" t="inlineStr">
        <is>
          <t>Perch-likes</t>
        </is>
      </c>
      <c r="E18" s="7" t="inlineStr">
        <is>
          <t>Juvenile large pelagic fish | Pelagic fish (&gt; 30 cm)</t>
        </is>
      </c>
      <c r="F18" t="inlineStr">
        <is>
          <t>0.202 | 0.798</t>
        </is>
      </c>
      <c r="G18" t="inlineStr">
        <is>
          <t>model_catch</t>
        </is>
      </c>
      <c r="H18" t="inlineStr">
        <is>
          <t>medium</t>
        </is>
      </c>
      <c r="I18" t="inlineStr">
        <is>
          <t>composite_split</t>
        </is>
      </c>
      <c r="J18" t="n">
        <v>7754915.997</v>
      </c>
      <c r="K18" t="n">
        <v>2.0008</v>
      </c>
      <c r="L18" s="6" t="inlineStr">
        <is>
          <t>Analyst habitat/size inference to source &gt;30 cm pelagic fish (Appendix 6.1.24 p.339); no age data, so split juvenile/adult using the period model catch.</t>
        </is>
      </c>
    </row>
    <row r="19">
      <c r="A19" t="inlineStr">
        <is>
          <t>Scombridae</t>
        </is>
      </c>
      <c r="B19" t="inlineStr">
        <is>
          <t>Mackerels, tunas, bonitos</t>
        </is>
      </c>
      <c r="C19" t="inlineStr">
        <is>
          <t>Medium pelagics (30 - 89 cm)</t>
        </is>
      </c>
      <c r="D19" t="inlineStr">
        <is>
          <t>Perch-likes</t>
        </is>
      </c>
      <c r="E19" s="7" t="inlineStr">
        <is>
          <t>Juvenile large pelagic fish | Pelagic fish (&gt; 30 cm)</t>
        </is>
      </c>
      <c r="F19" t="inlineStr">
        <is>
          <t>0.202 | 0.798</t>
        </is>
      </c>
      <c r="G19" t="inlineStr">
        <is>
          <t>model_catch</t>
        </is>
      </c>
      <c r="H19" t="inlineStr">
        <is>
          <t>medium</t>
        </is>
      </c>
      <c r="I19" t="inlineStr">
        <is>
          <t>composite_split</t>
        </is>
      </c>
      <c r="J19" t="n">
        <v>7594397.678</v>
      </c>
      <c r="K19" t="n">
        <v>1.9594</v>
      </c>
      <c r="L19" s="6" t="inlineStr">
        <is>
          <t>Analyst habitat/size inference to source &gt;30 cm pelagic fish (Appendix 6.1.24 p.339); no age data, so split juvenile/adult using the period model catch.</t>
        </is>
      </c>
    </row>
    <row r="20">
      <c r="A20" t="inlineStr">
        <is>
          <t>Sparidae</t>
        </is>
      </c>
      <c r="B20" t="inlineStr">
        <is>
          <t>Porgies, seabreams</t>
        </is>
      </c>
      <c r="C20" t="inlineStr">
        <is>
          <t>Medium benthopelagics (30 - 89 cm)</t>
        </is>
      </c>
      <c r="D20" t="inlineStr">
        <is>
          <t>Perch-likes</t>
        </is>
      </c>
      <c r="E20" s="5" t="inlineStr">
        <is>
          <t>Benthopelagic fish</t>
        </is>
      </c>
      <c r="F20" t="inlineStr"/>
      <c r="G20" t="inlineStr"/>
      <c r="H20" t="inlineStr">
        <is>
          <t>low</t>
        </is>
      </c>
      <c r="I20" t="inlineStr">
        <is>
          <t>habitat_size_guild</t>
        </is>
      </c>
      <c r="J20" t="n">
        <v>7364108.588</v>
      </c>
      <c r="K20" t="n">
        <v>1.9</v>
      </c>
      <c r="L20" s="6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</row>
    <row r="21">
      <c r="A21" t="inlineStr">
        <is>
          <t>Sciaenidae</t>
        </is>
      </c>
      <c r="B21" t="inlineStr">
        <is>
          <t>Drums, croakers</t>
        </is>
      </c>
      <c r="C21" t="inlineStr">
        <is>
          <t>Medium demersals (30 - 89 cm)</t>
        </is>
      </c>
      <c r="D21" t="inlineStr">
        <is>
          <t>Perch-likes</t>
        </is>
      </c>
      <c r="E21" s="5" t="inlineStr">
        <is>
          <t>Croakers (≤ 30 cm) | Juvenile large croakers | Croakers (&gt; 30 cm)</t>
        </is>
      </c>
      <c r="F21" t="inlineStr">
        <is>
          <t>0.225 | 0.155 | 0.620</t>
        </is>
      </c>
      <c r="G21" t="inlineStr">
        <is>
          <t>model_catch</t>
        </is>
      </c>
      <c r="H21" t="inlineStr">
        <is>
          <t>low</t>
        </is>
      </c>
      <c r="I21" t="inlineStr">
        <is>
          <t>composite_split</t>
        </is>
      </c>
      <c r="J21" t="n">
        <v>6844598.676</v>
      </c>
      <c r="K21" t="n">
        <v>1.766</v>
      </c>
      <c r="L21" s="6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</row>
    <row r="22">
      <c r="A22" t="inlineStr">
        <is>
          <t>Dendrobranchiata</t>
        </is>
      </c>
      <c r="B22" t="inlineStr">
        <is>
          <t>Shrimps and prawns</t>
        </is>
      </c>
      <c r="C22" t="inlineStr">
        <is>
          <t>Shrimps</t>
        </is>
      </c>
      <c r="D22" t="inlineStr">
        <is>
          <t>Crustaceans</t>
        </is>
      </c>
      <c r="E22" s="8" t="inlineStr">
        <is>
          <t>Shrimps</t>
        </is>
      </c>
      <c r="F22" t="inlineStr"/>
      <c r="G22" t="inlineStr"/>
      <c r="H22" t="inlineStr">
        <is>
          <t>high</t>
        </is>
      </c>
      <c r="I22" t="inlineStr">
        <is>
          <t>taxonomic_containment</t>
        </is>
      </c>
      <c r="J22" t="n">
        <v>5867364.45</v>
      </c>
      <c r="K22" t="n">
        <v>1.5138</v>
      </c>
      <c r="L22" s="6" t="inlineStr">
        <is>
          <t>Stomatopods belong to the residual benthic crustaceans; other shrimp taxa belong to Shrimps after the explicitly separated Acetes records (Appendix 6.1 pp.323-326).</t>
        </is>
      </c>
    </row>
    <row r="23">
      <c r="A23" t="inlineStr">
        <is>
          <t>Sardinella</t>
        </is>
      </c>
      <c r="B23" t="inlineStr">
        <is>
          <t>Sardinellas</t>
        </is>
      </c>
      <c r="C23" t="inlineStr">
        <is>
          <t>Small pelagics (&lt;30 cm)</t>
        </is>
      </c>
      <c r="D23" t="inlineStr">
        <is>
          <t>Herring-likes</t>
        </is>
      </c>
      <c r="E23" s="7" t="inlineStr">
        <is>
          <t>Pelagic fish (≤ 30 cm)</t>
        </is>
      </c>
      <c r="F23" t="inlineStr"/>
      <c r="G23" t="inlineStr"/>
      <c r="H23" t="inlineStr">
        <is>
          <t>medium</t>
        </is>
      </c>
      <c r="I23" t="inlineStr">
        <is>
          <t>habitat_size_guild</t>
        </is>
      </c>
      <c r="J23" t="n">
        <v>5559746.225</v>
      </c>
      <c r="K23" t="n">
        <v>1.4345</v>
      </c>
      <c r="L23" s="6" t="inlineStr">
        <is>
          <t>Source small-pelagic pool explicitly includes sardines, thryssa and anchovies (Appendix 6.1.23 p.338); extension to the catch lineage uses SAU size as a proxy and is not a full species list.</t>
        </is>
      </c>
    </row>
    <row r="24">
      <c r="A24" t="inlineStr">
        <is>
          <t>Marine finfishes not identified</t>
        </is>
      </c>
      <c r="B24" t="inlineStr">
        <is>
          <t>Finfishes</t>
        </is>
      </c>
      <c r="C24" t="inlineStr">
        <is>
          <t>Medium demersals (30 - 89 cm)</t>
        </is>
      </c>
      <c r="D24" t="inlineStr">
        <is>
          <t>Other fishes &amp; inverts</t>
        </is>
      </c>
      <c r="E24" s="5" t="inlineStr">
        <is>
          <t>Demesral fish (≤ 30 cm) | Juvenile demersal fish (&gt; 30 cm) | Adult demersal fish (&gt; 30 cm)</t>
        </is>
      </c>
      <c r="F24" t="inlineStr">
        <is>
          <t>0.386 | 0.123 | 0.491</t>
        </is>
      </c>
      <c r="G24" t="inlineStr">
        <is>
          <t>model_catch</t>
        </is>
      </c>
      <c r="H24" t="inlineStr">
        <is>
          <t>low</t>
        </is>
      </c>
      <c r="I24" t="inlineStr">
        <is>
          <t>composite_split</t>
        </is>
      </c>
      <c r="J24" t="n">
        <v>5351658.523</v>
      </c>
      <c r="K24" t="n">
        <v>1.3808</v>
      </c>
      <c r="L24" s="6" t="inlineStr">
        <is>
          <t>Analyst coarse-catch inference from SAU Medium demersals (30 - 89 cm) to residual habitat/size pools in Appendix 6.1 pp.335-339, excluding dedicated named taxa; period model catch weights preserve stanza selectivity.</t>
        </is>
      </c>
    </row>
    <row r="25">
      <c r="A25" t="inlineStr">
        <is>
          <t>Priacanthus</t>
        </is>
      </c>
      <c r="B25" t="inlineStr">
        <is>
          <t>Bigeyes</t>
        </is>
      </c>
      <c r="C25" t="inlineStr">
        <is>
          <t>Medium reef assoc. fish (30 - 89 cm)</t>
        </is>
      </c>
      <c r="D25" t="inlineStr">
        <is>
          <t>Perch-likes</t>
        </is>
      </c>
      <c r="E25" s="8" t="inlineStr">
        <is>
          <t>Bigeyes (priacanthids)</t>
        </is>
      </c>
      <c r="F25" t="inlineStr"/>
      <c r="G25" t="inlineStr"/>
      <c r="H25" t="inlineStr">
        <is>
          <t>high</t>
        </is>
      </c>
      <c r="I25" t="inlineStr">
        <is>
          <t>taxonomic_containment</t>
        </is>
      </c>
      <c r="J25" t="n">
        <v>4439431.951</v>
      </c>
      <c r="K25" t="n">
        <v>1.1454</v>
      </c>
      <c r="L25" s="6" t="inlineStr">
        <is>
          <t>Appendix 6.1 pp.327-335 defines Bigeyes (priacanthids) by this family or explicitly names Priacanthus; dedicated source placement overrides the SAU class Medium reef assoc. fish (30 - 89 cm).</t>
        </is>
      </c>
    </row>
    <row r="26">
      <c r="A26" t="inlineStr">
        <is>
          <t>Penaeidae</t>
        </is>
      </c>
      <c r="B26" t="inlineStr">
        <is>
          <t>Commercial shrimps and prawns</t>
        </is>
      </c>
      <c r="C26" t="inlineStr">
        <is>
          <t>Shrimps</t>
        </is>
      </c>
      <c r="D26" t="inlineStr">
        <is>
          <t>Crustaceans</t>
        </is>
      </c>
      <c r="E26" s="8" t="inlineStr">
        <is>
          <t>Shrimps</t>
        </is>
      </c>
      <c r="F26" t="inlineStr"/>
      <c r="G26" t="inlineStr"/>
      <c r="H26" t="inlineStr">
        <is>
          <t>high</t>
        </is>
      </c>
      <c r="I26" t="inlineStr">
        <is>
          <t>taxonomic_containment</t>
        </is>
      </c>
      <c r="J26" t="n">
        <v>4293768.542</v>
      </c>
      <c r="K26" t="n">
        <v>1.1078</v>
      </c>
      <c r="L26" s="6" t="inlineStr">
        <is>
          <t>Stomatopods belong to the residual benthic crustaceans; other shrimp taxa belong to Shrimps after the explicitly separated Acetes records (Appendix 6.1 pp.323-326).</t>
        </is>
      </c>
    </row>
    <row r="27">
      <c r="A27" t="inlineStr">
        <is>
          <t>Loliginidae</t>
        </is>
      </c>
      <c r="B27" t="inlineStr">
        <is>
          <t>Common pencil squids</t>
        </is>
      </c>
      <c r="C27" t="inlineStr">
        <is>
          <t>Cephalopods</t>
        </is>
      </c>
      <c r="D27" t="inlineStr">
        <is>
          <t>Other fishes &amp; inverts</t>
        </is>
      </c>
      <c r="E27" s="8" t="inlineStr">
        <is>
          <t>Cephalopods</t>
        </is>
      </c>
      <c r="F27" t="inlineStr"/>
      <c r="G27" t="inlineStr"/>
      <c r="H27" t="inlineStr">
        <is>
          <t>high</t>
        </is>
      </c>
      <c r="I27" t="inlineStr">
        <is>
          <t>taxonomic_containment</t>
        </is>
      </c>
      <c r="J27" t="n">
        <v>4279272.653</v>
      </c>
      <c r="K27" t="n">
        <v>1.1041</v>
      </c>
      <c r="L27" s="6" t="inlineStr">
        <is>
          <t>Cephalopoda is contained by the single source Cephalopods group, Appendix 6.1.8 pp.326-327.</t>
        </is>
      </c>
    </row>
    <row r="28">
      <c r="A28" t="inlineStr">
        <is>
          <t>Scomber japonicus</t>
        </is>
      </c>
      <c r="B28" t="inlineStr">
        <is>
          <t>Pacific chub mackerel</t>
        </is>
      </c>
      <c r="C28" t="inlineStr">
        <is>
          <t>Medium pelagics (30 - 89 cm)</t>
        </is>
      </c>
      <c r="D28" t="inlineStr">
        <is>
          <t>Perch-likes</t>
        </is>
      </c>
      <c r="E28" s="7" t="inlineStr">
        <is>
          <t>Juvenile large pelagic fish | Pelagic fish (&gt; 30 cm)</t>
        </is>
      </c>
      <c r="F28" t="inlineStr">
        <is>
          <t>0.202 | 0.798</t>
        </is>
      </c>
      <c r="G28" t="inlineStr">
        <is>
          <t>model_catch</t>
        </is>
      </c>
      <c r="H28" t="inlineStr">
        <is>
          <t>medium</t>
        </is>
      </c>
      <c r="I28" t="inlineStr">
        <is>
          <t>composite_split</t>
        </is>
      </c>
      <c r="J28" t="n">
        <v>4253440.103</v>
      </c>
      <c r="K28" t="n">
        <v>1.0974</v>
      </c>
      <c r="L28" s="6" t="inlineStr">
        <is>
          <t>Analyst habitat/size inference to source &gt;30 cm pelagic fish (Appendix 6.1.24 p.339); no age data, so split juvenile/adult using the period model catch.</t>
        </is>
      </c>
    </row>
    <row r="29">
      <c r="A29" t="inlineStr">
        <is>
          <t>Portunus trituberculatus</t>
        </is>
      </c>
      <c r="B29" t="inlineStr">
        <is>
          <t>Gazami crab</t>
        </is>
      </c>
      <c r="C29" t="inlineStr">
        <is>
          <t>Lobsters, crabs</t>
        </is>
      </c>
      <c r="D29" t="inlineStr">
        <is>
          <t>Crustaceans</t>
        </is>
      </c>
      <c r="E29" s="8" t="inlineStr">
        <is>
          <t>Crabs</t>
        </is>
      </c>
      <c r="F29" t="inlineStr"/>
      <c r="G29" t="inlineStr"/>
      <c r="H29" t="inlineStr">
        <is>
          <t>high</t>
        </is>
      </c>
      <c r="I29" t="inlineStr">
        <is>
          <t>taxonomic_containment</t>
        </is>
      </c>
      <c r="J29" t="n">
        <v>3963780.828</v>
      </c>
      <c r="K29" t="n">
        <v>1.0227</v>
      </c>
      <c r="L29" s="6" t="inlineStr">
        <is>
          <t>Source benthic crustaceans exclude shrimps and crabs (Appendix 6.1.5 p.324); lobsters remain in that residual, while true crabs use Crabs.</t>
        </is>
      </c>
    </row>
    <row r="30">
      <c r="A30" t="inlineStr">
        <is>
          <t>Monacanthidae</t>
        </is>
      </c>
      <c r="B30" t="inlineStr">
        <is>
          <t>Filefishes</t>
        </is>
      </c>
      <c r="C30" t="inlineStr">
        <is>
          <t>Medium reef assoc. fish (30 - 89 cm)</t>
        </is>
      </c>
      <c r="D30" t="inlineStr">
        <is>
          <t>Other fishes &amp; inverts</t>
        </is>
      </c>
      <c r="E30" s="7" t="inlineStr">
        <is>
          <t>Juvenile demersal fish (&gt; 30 cm) | Adult demersal fish (&gt; 30 cm)</t>
        </is>
      </c>
      <c r="F30" t="inlineStr">
        <is>
          <t>0.200 | 0.800</t>
        </is>
      </c>
      <c r="G30" t="inlineStr">
        <is>
          <t>model_catch</t>
        </is>
      </c>
      <c r="H30" t="inlineStr">
        <is>
          <t>medium</t>
        </is>
      </c>
      <c r="I30" t="inlineStr">
        <is>
          <t>composite_split</t>
        </is>
      </c>
      <c r="J30" t="n">
        <v>3962408.345</v>
      </c>
      <c r="K30" t="n">
        <v>1.0223</v>
      </c>
      <c r="L30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31">
      <c r="A31" t="inlineStr">
        <is>
          <t>Trachysalambria curvirostris</t>
        </is>
      </c>
      <c r="B31" t="inlineStr">
        <is>
          <t>Southern rough shrimp</t>
        </is>
      </c>
      <c r="C31" t="inlineStr">
        <is>
          <t>Shrimps</t>
        </is>
      </c>
      <c r="D31" t="inlineStr">
        <is>
          <t>Crustaceans</t>
        </is>
      </c>
      <c r="E31" s="8" t="inlineStr">
        <is>
          <t>Shrimps</t>
        </is>
      </c>
      <c r="F31" t="inlineStr"/>
      <c r="G31" t="inlineStr"/>
      <c r="H31" t="inlineStr">
        <is>
          <t>high</t>
        </is>
      </c>
      <c r="I31" t="inlineStr">
        <is>
          <t>taxonomic_containment</t>
        </is>
      </c>
      <c r="J31" t="n">
        <v>3907800.117</v>
      </c>
      <c r="K31" t="n">
        <v>1.0083</v>
      </c>
      <c r="L31" s="6" t="inlineStr">
        <is>
          <t>Stomatopods belong to the residual benthic crustaceans; other shrimp taxa belong to Shrimps after the explicitly separated Acetes records (Appendix 6.1 pp.323-326).</t>
        </is>
      </c>
    </row>
    <row r="32">
      <c r="A32" t="inlineStr">
        <is>
          <t>Larimichthys crocea</t>
        </is>
      </c>
      <c r="B32" t="inlineStr">
        <is>
          <t>Large yellow croaker</t>
        </is>
      </c>
      <c r="C32" t="inlineStr">
        <is>
          <t>Medium benthopelagics (30 - 89 cm)</t>
        </is>
      </c>
      <c r="D32" t="inlineStr">
        <is>
          <t>Perch-likes</t>
        </is>
      </c>
      <c r="E32" s="7" t="inlineStr">
        <is>
          <t>Juvenile large croakers | Croakers (&gt; 30 cm)</t>
        </is>
      </c>
      <c r="F32" t="inlineStr">
        <is>
          <t>0.200 | 0.800</t>
        </is>
      </c>
      <c r="G32" t="inlineStr">
        <is>
          <t>model_catch</t>
        </is>
      </c>
      <c r="H32" t="inlineStr">
        <is>
          <t>medium</t>
        </is>
      </c>
      <c r="I32" t="inlineStr">
        <is>
          <t>composite_split</t>
        </is>
      </c>
      <c r="J32" t="n">
        <v>3769190.843</v>
      </c>
      <c r="K32" t="n">
        <v>0.9725</v>
      </c>
      <c r="L32" s="6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</row>
    <row r="33">
      <c r="A33" t="inlineStr">
        <is>
          <t>Clupeidae</t>
        </is>
      </c>
      <c r="B33" t="inlineStr">
        <is>
          <t>Herrings, sardines, menhadens</t>
        </is>
      </c>
      <c r="C33" t="inlineStr">
        <is>
          <t>Small pelagics (&lt;30 cm)</t>
        </is>
      </c>
      <c r="D33" t="inlineStr">
        <is>
          <t>Herring-likes</t>
        </is>
      </c>
      <c r="E33" s="5" t="inlineStr">
        <is>
          <t>Pelagic fish (≤ 30 cm) | Juvenile large pelagic fish | Pelagic fish (&gt; 30 cm)</t>
        </is>
      </c>
      <c r="F33" t="inlineStr">
        <is>
          <t>0.754 | 0.050 | 0.196</t>
        </is>
      </c>
      <c r="G33" t="inlineStr">
        <is>
          <t>model_catch</t>
        </is>
      </c>
      <c r="H33" t="inlineStr">
        <is>
          <t>low</t>
        </is>
      </c>
      <c r="I33" t="inlineStr">
        <is>
          <t>composite_split</t>
        </is>
      </c>
      <c r="J33" t="n">
        <v>3540793.614</v>
      </c>
      <c r="K33" t="n">
        <v>0.9136</v>
      </c>
      <c r="L33" s="6" t="inlineStr">
        <is>
          <t>Coarse clupeiform/clupeid catch can include species below and above the source 30 cm boundary; its SAU small-pelagic class does not prove all fish belong to small species. The large-species portion is split across source stanzas by period model catch.</t>
        </is>
      </c>
    </row>
    <row r="34">
      <c r="A34" t="inlineStr">
        <is>
          <t>Muraenesox cinereus</t>
        </is>
      </c>
      <c r="B34" t="inlineStr">
        <is>
          <t>Daggertooth pike conger</t>
        </is>
      </c>
      <c r="C34" t="inlineStr">
        <is>
          <t>Large demersals (&gt;=90 cm)</t>
        </is>
      </c>
      <c r="D34" t="inlineStr">
        <is>
          <t>Other fishes &amp; inverts</t>
        </is>
      </c>
      <c r="E34" s="7" t="inlineStr">
        <is>
          <t>Juvenile demersal fish (&gt; 30 cm) | Adult demersal fish (&gt; 30 cm)</t>
        </is>
      </c>
      <c r="F34" t="inlineStr">
        <is>
          <t>0.200 | 0.800</t>
        </is>
      </c>
      <c r="G34" t="inlineStr">
        <is>
          <t>model_catch</t>
        </is>
      </c>
      <c r="H34" t="inlineStr">
        <is>
          <t>medium</t>
        </is>
      </c>
      <c r="I34" t="inlineStr">
        <is>
          <t>composite_split</t>
        </is>
      </c>
      <c r="J34" t="n">
        <v>3307959.703</v>
      </c>
      <c r="K34" t="n">
        <v>0.8535</v>
      </c>
      <c r="L34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35">
      <c r="A35" t="inlineStr">
        <is>
          <t>Portunus pelagicus</t>
        </is>
      </c>
      <c r="B35" t="inlineStr">
        <is>
          <t>Blue swimming crab</t>
        </is>
      </c>
      <c r="C35" t="inlineStr">
        <is>
          <t>Lobsters, crabs</t>
        </is>
      </c>
      <c r="D35" t="inlineStr">
        <is>
          <t>Crustaceans</t>
        </is>
      </c>
      <c r="E35" s="8" t="inlineStr">
        <is>
          <t>Crabs</t>
        </is>
      </c>
      <c r="F35" t="inlineStr"/>
      <c r="G35" t="inlineStr"/>
      <c r="H35" t="inlineStr">
        <is>
          <t>high</t>
        </is>
      </c>
      <c r="I35" t="inlineStr">
        <is>
          <t>taxonomic_containment</t>
        </is>
      </c>
      <c r="J35" t="n">
        <v>3288014.824</v>
      </c>
      <c r="K35" t="n">
        <v>0.8483000000000001</v>
      </c>
      <c r="L35" s="6" t="inlineStr">
        <is>
          <t>Source benthic crustaceans exclude shrimps and crabs (Appendix 6.1.5 p.324); lobsters remain in that residual, while true crabs use Crabs.</t>
        </is>
      </c>
    </row>
    <row r="36">
      <c r="A36" t="inlineStr">
        <is>
          <t>Engraulidae</t>
        </is>
      </c>
      <c r="B36" t="inlineStr">
        <is>
          <t>Anchovies, round herrings</t>
        </is>
      </c>
      <c r="C36" t="inlineStr">
        <is>
          <t>Small pelagics (&lt;30 cm)</t>
        </is>
      </c>
      <c r="D36" t="inlineStr">
        <is>
          <t>Anchovies</t>
        </is>
      </c>
      <c r="E36" s="7" t="inlineStr">
        <is>
          <t>Pelagic fish (≤ 30 cm)</t>
        </is>
      </c>
      <c r="F36" t="inlineStr"/>
      <c r="G36" t="inlineStr"/>
      <c r="H36" t="inlineStr">
        <is>
          <t>medium</t>
        </is>
      </c>
      <c r="I36" t="inlineStr">
        <is>
          <t>habitat_size_guild</t>
        </is>
      </c>
      <c r="J36" t="n">
        <v>3259139.244</v>
      </c>
      <c r="K36" t="n">
        <v>0.8409</v>
      </c>
      <c r="L36" s="6" t="inlineStr">
        <is>
          <t>Source small-pelagic pool explicitly includes sardines, thryssa and anchovies (Appendix 6.1.23 p.338); extension to the catch lineage uses SAU size as a proxy and is not a full species list.</t>
        </is>
      </c>
    </row>
    <row r="37">
      <c r="A37" t="inlineStr">
        <is>
          <t>Pampus</t>
        </is>
      </c>
      <c r="B37" t="inlineStr">
        <is>
          <t>Silver pomfrets</t>
        </is>
      </c>
      <c r="C37" t="inlineStr">
        <is>
          <t>Medium benthopelagics (30 - 89 cm)</t>
        </is>
      </c>
      <c r="D37" t="inlineStr">
        <is>
          <t>Perch-likes</t>
        </is>
      </c>
      <c r="E37" s="8" t="inlineStr">
        <is>
          <t>Pomfret (stromateids)</t>
        </is>
      </c>
      <c r="F37" t="inlineStr"/>
      <c r="G37" t="inlineStr"/>
      <c r="H37" t="inlineStr">
        <is>
          <t>high</t>
        </is>
      </c>
      <c r="I37" t="inlineStr">
        <is>
          <t>taxonomic_containment</t>
        </is>
      </c>
      <c r="J37" t="n">
        <v>3141062.387</v>
      </c>
      <c r="K37" t="n">
        <v>0.8104</v>
      </c>
      <c r="L37" s="6" t="inlineStr">
        <is>
          <t>Appendix 6.1 pp.327-335 defines Pomfret (stromateids) by this family or explicitly names Pampus; dedicated source placement overrides the SAU class Medium benthopelagics (30 - 89 cm).</t>
        </is>
      </c>
    </row>
    <row r="38">
      <c r="A38" t="inlineStr">
        <is>
          <t>Nemipteridae</t>
        </is>
      </c>
      <c r="B38" t="inlineStr">
        <is>
          <t>Threadfins, whiptail breams</t>
        </is>
      </c>
      <c r="C38" t="inlineStr">
        <is>
          <t>Small demersals (&lt;30 cm)</t>
        </is>
      </c>
      <c r="D38" t="inlineStr">
        <is>
          <t>Perch-likes</t>
        </is>
      </c>
      <c r="E38" s="8" t="inlineStr">
        <is>
          <t>Threadfin bream (nemipterids)</t>
        </is>
      </c>
      <c r="F38" t="inlineStr"/>
      <c r="G38" t="inlineStr"/>
      <c r="H38" t="inlineStr">
        <is>
          <t>high</t>
        </is>
      </c>
      <c r="I38" t="inlineStr">
        <is>
          <t>taxonomic_containment</t>
        </is>
      </c>
      <c r="J38" t="n">
        <v>3102945.198</v>
      </c>
      <c r="K38" t="n">
        <v>0.8006</v>
      </c>
      <c r="L38" s="6" t="inlineStr">
        <is>
          <t>Appendix 6.1 pp.327-335 defines Threadfin bream (nemipterids) by this family or explicitly names Nemipteridae; dedicated source placement overrides the SAU class Small demersals (&lt;30 cm).</t>
        </is>
      </c>
    </row>
    <row r="39">
      <c r="A39" t="inlineStr">
        <is>
          <t>Sepiidae</t>
        </is>
      </c>
      <c r="B39" t="inlineStr">
        <is>
          <t>Cuttlefishes</t>
        </is>
      </c>
      <c r="C39" t="inlineStr">
        <is>
          <t>Cephalopods</t>
        </is>
      </c>
      <c r="D39" t="inlineStr">
        <is>
          <t>Other fishes &amp; inverts</t>
        </is>
      </c>
      <c r="E39" s="8" t="inlineStr">
        <is>
          <t>Cephalopods</t>
        </is>
      </c>
      <c r="F39" t="inlineStr"/>
      <c r="G39" t="inlineStr"/>
      <c r="H39" t="inlineStr">
        <is>
          <t>high</t>
        </is>
      </c>
      <c r="I39" t="inlineStr">
        <is>
          <t>taxonomic_containment</t>
        </is>
      </c>
      <c r="J39" t="n">
        <v>2938421.515</v>
      </c>
      <c r="K39" t="n">
        <v>0.7581</v>
      </c>
      <c r="L39" s="6" t="inlineStr">
        <is>
          <t>Cephalopoda is contained by the single source Cephalopods group, Appendix 6.1.8 pp.326-327.</t>
        </is>
      </c>
    </row>
    <row r="40">
      <c r="A40" t="inlineStr">
        <is>
          <t>Decapterus</t>
        </is>
      </c>
      <c r="B40" t="inlineStr">
        <is>
          <t>Scads</t>
        </is>
      </c>
      <c r="C40" t="inlineStr">
        <is>
          <t>Medium pelagics (30 - 89 cm)</t>
        </is>
      </c>
      <c r="D40" t="inlineStr">
        <is>
          <t>Perch-likes</t>
        </is>
      </c>
      <c r="E40" s="7" t="inlineStr">
        <is>
          <t>Juvenile large pelagic fish | Pelagic fish (&gt; 30 cm)</t>
        </is>
      </c>
      <c r="F40" t="inlineStr">
        <is>
          <t>0.202 | 0.798</t>
        </is>
      </c>
      <c r="G40" t="inlineStr">
        <is>
          <t>model_catch</t>
        </is>
      </c>
      <c r="H40" t="inlineStr">
        <is>
          <t>medium</t>
        </is>
      </c>
      <c r="I40" t="inlineStr">
        <is>
          <t>composite_split</t>
        </is>
      </c>
      <c r="J40" t="n">
        <v>2787864.256</v>
      </c>
      <c r="K40" t="n">
        <v>0.7193000000000001</v>
      </c>
      <c r="L40" s="6" t="inlineStr">
        <is>
          <t>Analyst habitat/size inference to source &gt;30 cm pelagic fish (Appendix 6.1.24 p.339); no age data, so split juvenile/adult using the period model catch.</t>
        </is>
      </c>
    </row>
    <row r="41">
      <c r="A41" t="inlineStr">
        <is>
          <t>Teuthida</t>
        </is>
      </c>
      <c r="B41" t="inlineStr">
        <is>
          <t>Squids</t>
        </is>
      </c>
      <c r="C41" t="inlineStr">
        <is>
          <t>Cephalopods</t>
        </is>
      </c>
      <c r="D41" t="inlineStr">
        <is>
          <t>Other fishes &amp; inverts</t>
        </is>
      </c>
      <c r="E41" s="8" t="inlineStr">
        <is>
          <t>Cephalopods</t>
        </is>
      </c>
      <c r="F41" t="inlineStr"/>
      <c r="G41" t="inlineStr"/>
      <c r="H41" t="inlineStr">
        <is>
          <t>high</t>
        </is>
      </c>
      <c r="I41" t="inlineStr">
        <is>
          <t>taxonomic_containment</t>
        </is>
      </c>
      <c r="J41" t="n">
        <v>2520688.549</v>
      </c>
      <c r="K41" t="n">
        <v>0.6504</v>
      </c>
      <c r="L41" s="6" t="inlineStr">
        <is>
          <t>Cephalopoda is contained by the single source Cephalopods group, Appendix 6.1.8 pp.326-327.</t>
        </is>
      </c>
    </row>
    <row r="42">
      <c r="A42" t="inlineStr">
        <is>
          <t>Saurida tumbil</t>
        </is>
      </c>
      <c r="B42" t="inlineStr">
        <is>
          <t>Greater lizardfish</t>
        </is>
      </c>
      <c r="C42" t="inlineStr">
        <is>
          <t>Medium demersals (30 - 89 cm)</t>
        </is>
      </c>
      <c r="D42" t="inlineStr">
        <is>
          <t>Other fishes &amp; inverts</t>
        </is>
      </c>
      <c r="E42" s="8" t="inlineStr">
        <is>
          <t>Lizard fish (synodontids)</t>
        </is>
      </c>
      <c r="F42" t="inlineStr"/>
      <c r="G42" t="inlineStr"/>
      <c r="H42" t="inlineStr">
        <is>
          <t>high</t>
        </is>
      </c>
      <c r="I42" t="inlineStr">
        <is>
          <t>explicit_member</t>
        </is>
      </c>
      <c r="J42" t="n">
        <v>2376467.307</v>
      </c>
      <c r="K42" t="n">
        <v>0.6132</v>
      </c>
      <c r="L42" s="6" t="inlineStr">
        <is>
          <t>Appendix 6.1 pp.327-335 defines Lizard fish (synodontids) by this family or explicitly names Saurida tumbil; dedicated source placement overrides the SAU class Medium demersals (30 - 89 cm).</t>
        </is>
      </c>
    </row>
    <row r="43">
      <c r="A43" t="inlineStr">
        <is>
          <t>Scombroidei</t>
        </is>
      </c>
      <c r="B43" t="inlineStr">
        <is>
          <t>Tunas, bonitos, billfishes</t>
        </is>
      </c>
      <c r="C43" t="inlineStr">
        <is>
          <t>Large pelagics (&gt;=90 cm)</t>
        </is>
      </c>
      <c r="D43" t="inlineStr">
        <is>
          <t>Tuna &amp; billfishes</t>
        </is>
      </c>
      <c r="E43" s="7" t="inlineStr">
        <is>
          <t>Juvenile large pelagic fish | Pelagic fish (&gt; 30 cm)</t>
        </is>
      </c>
      <c r="F43" t="inlineStr">
        <is>
          <t>0.202 | 0.798</t>
        </is>
      </c>
      <c r="G43" t="inlineStr">
        <is>
          <t>model_catch</t>
        </is>
      </c>
      <c r="H43" t="inlineStr">
        <is>
          <t>medium</t>
        </is>
      </c>
      <c r="I43" t="inlineStr">
        <is>
          <t>composite_split</t>
        </is>
      </c>
      <c r="J43" t="n">
        <v>2367798.338</v>
      </c>
      <c r="K43" t="n">
        <v>0.6109</v>
      </c>
      <c r="L43" s="6" t="inlineStr">
        <is>
          <t>Analyst habitat/size inference to source &gt;30 cm pelagic fish (Appendix 6.1.24 p.339); no age data, so split juvenile/adult using the period model catch.</t>
        </is>
      </c>
    </row>
    <row r="44">
      <c r="A44" t="inlineStr">
        <is>
          <t>Decapoda</t>
        </is>
      </c>
      <c r="B44" t="inlineStr">
        <is>
          <t>Crabs, lobsters, shrimps</t>
        </is>
      </c>
      <c r="C44" t="inlineStr">
        <is>
          <t>Lobsters, crabs</t>
        </is>
      </c>
      <c r="D44" t="inlineStr">
        <is>
          <t>Crustaceans</t>
        </is>
      </c>
      <c r="E44" s="5" t="inlineStr">
        <is>
          <t>Zooplankton | Benthic crustaceans | Shrimps | Crabs</t>
        </is>
      </c>
      <c r="F44" t="inlineStr">
        <is>
          <t>0.257 | 0.052 | 0.486 | 0.205</t>
        </is>
      </c>
      <c r="G44" t="inlineStr">
        <is>
          <t>catch_composition</t>
        </is>
      </c>
      <c r="H44" t="inlineStr">
        <is>
          <t>low</t>
        </is>
      </c>
      <c r="I44" t="inlineStr">
        <is>
          <t>composite_split</t>
        </is>
      </c>
      <c r="J44" t="n">
        <v>2362914.419</v>
      </c>
      <c r="K44" t="n">
        <v>0.6097</v>
      </c>
      <c r="L44" s="6" t="inlineStr">
        <is>
          <t>Coarse crustacean label spans source Acetes in Zooplankton, other shrimps, crabs and residual benthic crustaceans (Appendix 6.1 pp.323-326); Sergestidae is restricted to the first two. Source membership precedes SAU habitat class.</t>
        </is>
      </c>
    </row>
    <row r="45">
      <c r="A45" t="inlineStr">
        <is>
          <t>Auxis thazard</t>
        </is>
      </c>
      <c r="B45" t="inlineStr">
        <is>
          <t>Frigate tuna</t>
        </is>
      </c>
      <c r="C45" t="inlineStr">
        <is>
          <t>Medium pelagics (30 - 89 cm)</t>
        </is>
      </c>
      <c r="D45" t="inlineStr">
        <is>
          <t>Tuna &amp; billfishes</t>
        </is>
      </c>
      <c r="E45" s="7" t="inlineStr">
        <is>
          <t>Juvenile large pelagic fish | Pelagic fish (&gt; 30 cm)</t>
        </is>
      </c>
      <c r="F45" t="inlineStr">
        <is>
          <t>0.202 | 0.798</t>
        </is>
      </c>
      <c r="G45" t="inlineStr">
        <is>
          <t>model_catch</t>
        </is>
      </c>
      <c r="H45" t="inlineStr">
        <is>
          <t>medium</t>
        </is>
      </c>
      <c r="I45" t="inlineStr">
        <is>
          <t>composite_split</t>
        </is>
      </c>
      <c r="J45" t="n">
        <v>2320946.733</v>
      </c>
      <c r="K45" t="n">
        <v>0.5988</v>
      </c>
      <c r="L45" s="6" t="inlineStr">
        <is>
          <t>Analyst habitat/size inference to source &gt;30 cm pelagic fish (Appendix 6.1.24 p.339); no age data, so split juvenile/adult using the period model catch.</t>
        </is>
      </c>
    </row>
    <row r="46">
      <c r="A46" t="inlineStr">
        <is>
          <t>Priacanthidae</t>
        </is>
      </c>
      <c r="B46" t="inlineStr">
        <is>
          <t>Bigeyes, catalufas</t>
        </is>
      </c>
      <c r="C46" t="inlineStr">
        <is>
          <t>Medium reef assoc. fish (30 - 89 cm)</t>
        </is>
      </c>
      <c r="D46" t="inlineStr">
        <is>
          <t>Perch-likes</t>
        </is>
      </c>
      <c r="E46" s="8" t="inlineStr">
        <is>
          <t>Bigeyes (priacanthids)</t>
        </is>
      </c>
      <c r="F46" t="inlineStr"/>
      <c r="G46" t="inlineStr"/>
      <c r="H46" t="inlineStr">
        <is>
          <t>high</t>
        </is>
      </c>
      <c r="I46" t="inlineStr">
        <is>
          <t>taxonomic_containment</t>
        </is>
      </c>
      <c r="J46" t="n">
        <v>2037784.634</v>
      </c>
      <c r="K46" t="n">
        <v>0.5258</v>
      </c>
      <c r="L46" s="6" t="inlineStr">
        <is>
          <t>Appendix 6.1 pp.327-335 defines Bigeyes (priacanthids) by this family or explicitly names Priacanthidae; dedicated source placement overrides the SAU class Medium reef assoc. fish (30 - 89 cm).</t>
        </is>
      </c>
    </row>
    <row r="47">
      <c r="A47" t="inlineStr">
        <is>
          <t>Ariidae</t>
        </is>
      </c>
      <c r="B47" t="inlineStr">
        <is>
          <t>Sea catfishes, coblers</t>
        </is>
      </c>
      <c r="C47" t="inlineStr">
        <is>
          <t>Medium demersals (30 - 89 cm)</t>
        </is>
      </c>
      <c r="D47" t="inlineStr">
        <is>
          <t>Other fishes &amp; inverts</t>
        </is>
      </c>
      <c r="E47" s="7" t="inlineStr">
        <is>
          <t>Juvenile demersal fish (&gt; 30 cm) | Adult demersal fish (&gt; 30 cm)</t>
        </is>
      </c>
      <c r="F47" t="inlineStr">
        <is>
          <t>0.200 | 0.800</t>
        </is>
      </c>
      <c r="G47" t="inlineStr">
        <is>
          <t>model_catch</t>
        </is>
      </c>
      <c r="H47" t="inlineStr">
        <is>
          <t>medium</t>
        </is>
      </c>
      <c r="I47" t="inlineStr">
        <is>
          <t>composite_split</t>
        </is>
      </c>
      <c r="J47" t="n">
        <v>2011554.05</v>
      </c>
      <c r="K47" t="n">
        <v>0.519</v>
      </c>
      <c r="L47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48">
      <c r="A48" t="inlineStr">
        <is>
          <t>Sepiida</t>
        </is>
      </c>
      <c r="B48" t="inlineStr">
        <is>
          <t>Cuttlefishes, bobtail squids</t>
        </is>
      </c>
      <c r="C48" t="inlineStr">
        <is>
          <t>Cephalopods</t>
        </is>
      </c>
      <c r="D48" t="inlineStr">
        <is>
          <t>Other fishes &amp; inverts</t>
        </is>
      </c>
      <c r="E48" s="8" t="inlineStr">
        <is>
          <t>Cephalopods</t>
        </is>
      </c>
      <c r="F48" t="inlineStr"/>
      <c r="G48" t="inlineStr"/>
      <c r="H48" t="inlineStr">
        <is>
          <t>high</t>
        </is>
      </c>
      <c r="I48" t="inlineStr">
        <is>
          <t>taxonomic_containment</t>
        </is>
      </c>
      <c r="J48" t="n">
        <v>1933877.398</v>
      </c>
      <c r="K48" t="n">
        <v>0.499</v>
      </c>
      <c r="L48" s="6" t="inlineStr">
        <is>
          <t>Cephalopoda is contained by the single source Cephalopods group, Appendix 6.1.8 pp.326-327.</t>
        </is>
      </c>
    </row>
    <row r="49">
      <c r="A49" t="inlineStr">
        <is>
          <t>Harpadon nehereus</t>
        </is>
      </c>
      <c r="B49" t="inlineStr">
        <is>
          <t>Bombay-duck</t>
        </is>
      </c>
      <c r="C49" t="inlineStr">
        <is>
          <t>Medium benthopelagics (30 - 89 cm)</t>
        </is>
      </c>
      <c r="D49" t="inlineStr">
        <is>
          <t>Other fishes &amp; inverts</t>
        </is>
      </c>
      <c r="E49" s="8" t="inlineStr">
        <is>
          <t>Lizard fish (synodontids)</t>
        </is>
      </c>
      <c r="F49" t="inlineStr"/>
      <c r="G49" t="inlineStr"/>
      <c r="H49" t="inlineStr">
        <is>
          <t>high</t>
        </is>
      </c>
      <c r="I49" t="inlineStr">
        <is>
          <t>taxonomic_containment</t>
        </is>
      </c>
      <c r="J49" t="n">
        <v>1914727.921</v>
      </c>
      <c r="K49" t="n">
        <v>0.494</v>
      </c>
      <c r="L49" s="6" t="inlineStr">
        <is>
          <t>Appendix 6.1 pp.327-335 defines Lizard fish (synodontids) by this family or explicitly names Harpadon nehereus; dedicated source placement overrides the SAU class Medium benthopelagics (30 - 89 cm).</t>
        </is>
      </c>
    </row>
    <row r="50">
      <c r="A50" t="inlineStr">
        <is>
          <t>Squillidae</t>
        </is>
      </c>
      <c r="B50" t="inlineStr">
        <is>
          <t>Squilla mantis shrimps</t>
        </is>
      </c>
      <c r="C50" t="inlineStr">
        <is>
          <t>Shrimps</t>
        </is>
      </c>
      <c r="D50" t="inlineStr">
        <is>
          <t>Crustaceans</t>
        </is>
      </c>
      <c r="E50" s="8" t="inlineStr">
        <is>
          <t>Benthic crustaceans</t>
        </is>
      </c>
      <c r="F50" t="inlineStr"/>
      <c r="G50" t="inlineStr"/>
      <c r="H50" t="inlineStr">
        <is>
          <t>high</t>
        </is>
      </c>
      <c r="I50" t="inlineStr">
        <is>
          <t>taxonomic_containment</t>
        </is>
      </c>
      <c r="J50" t="n">
        <v>1800383.614</v>
      </c>
      <c r="K50" t="n">
        <v>0.4645</v>
      </c>
      <c r="L50" s="6" t="inlineStr">
        <is>
          <t>Stomatopods belong to the residual benthic crustaceans; other shrimp taxa belong to Shrimps after the explicitly separated Acetes records (Appendix 6.1 pp.323-326).</t>
        </is>
      </c>
    </row>
    <row r="51">
      <c r="A51" t="inlineStr">
        <is>
          <t>Todarodes pacificus</t>
        </is>
      </c>
      <c r="B51" t="inlineStr">
        <is>
          <t>Japanese flying squid</t>
        </is>
      </c>
      <c r="C51" t="inlineStr">
        <is>
          <t>Cephalopods</t>
        </is>
      </c>
      <c r="D51" t="inlineStr">
        <is>
          <t>Other fishes &amp; inverts</t>
        </is>
      </c>
      <c r="E51" s="8" t="inlineStr">
        <is>
          <t>Cephalopods</t>
        </is>
      </c>
      <c r="F51" t="inlineStr"/>
      <c r="G51" t="inlineStr"/>
      <c r="H51" t="inlineStr">
        <is>
          <t>high</t>
        </is>
      </c>
      <c r="I51" t="inlineStr">
        <is>
          <t>taxonomic_containment</t>
        </is>
      </c>
      <c r="J51" t="n">
        <v>1752301.258</v>
      </c>
      <c r="K51" t="n">
        <v>0.4521</v>
      </c>
      <c r="L51" s="6" t="inlineStr">
        <is>
          <t>Cephalopoda is contained by the single source Cephalopods group, Appendix 6.1.8 pp.326-327.</t>
        </is>
      </c>
    </row>
    <row r="52">
      <c r="A52" t="inlineStr">
        <is>
          <t>Elasmobranchii</t>
        </is>
      </c>
      <c r="B52" t="inlineStr">
        <is>
          <t>Sharks, rays, skates</t>
        </is>
      </c>
      <c r="C52" t="inlineStr">
        <is>
          <t>Large sharks (&gt;=90 cm)</t>
        </is>
      </c>
      <c r="D52" t="inlineStr">
        <is>
          <t>Sharks &amp; rays</t>
        </is>
      </c>
      <c r="E52" s="5" t="inlineStr">
        <is>
          <t>Demersal sharks and rays | Pelagic sharks and rays</t>
        </is>
      </c>
      <c r="F52" t="inlineStr">
        <is>
          <t>0.813 | 0.187</t>
        </is>
      </c>
      <c r="G52" t="inlineStr">
        <is>
          <t>catch_composition</t>
        </is>
      </c>
      <c r="H52" t="inlineStr">
        <is>
          <t>low</t>
        </is>
      </c>
      <c r="I52" t="inlineStr">
        <is>
          <t>composite_split</t>
        </is>
      </c>
      <c r="J52" t="n">
        <v>1751877.718</v>
      </c>
      <c r="K52" t="n">
        <v>0.452</v>
      </c>
      <c r="L52" s="6" t="inlineStr">
        <is>
          <t>Coarse or habitat-ambiguous elasmobranch record spans the two source habitat compartments; SAU shark/ray size is insufficient to select one.</t>
        </is>
      </c>
    </row>
    <row r="53">
      <c r="A53" t="inlineStr">
        <is>
          <t>Rastrelliger brachysoma</t>
        </is>
      </c>
      <c r="B53" t="inlineStr">
        <is>
          <t>Short mackerel</t>
        </is>
      </c>
      <c r="C53" t="inlineStr">
        <is>
          <t>Medium pelagics (30 - 89 cm)</t>
        </is>
      </c>
      <c r="D53" t="inlineStr">
        <is>
          <t>Perch-likes</t>
        </is>
      </c>
      <c r="E53" s="7" t="inlineStr">
        <is>
          <t>Juvenile large pelagic fish | Pelagic fish (&gt; 30 cm)</t>
        </is>
      </c>
      <c r="F53" t="inlineStr">
        <is>
          <t>0.202 | 0.798</t>
        </is>
      </c>
      <c r="G53" t="inlineStr">
        <is>
          <t>model_catch</t>
        </is>
      </c>
      <c r="H53" t="inlineStr">
        <is>
          <t>medium</t>
        </is>
      </c>
      <c r="I53" t="inlineStr">
        <is>
          <t>composite_split</t>
        </is>
      </c>
      <c r="J53" t="n">
        <v>1719985.069</v>
      </c>
      <c r="K53" t="n">
        <v>0.4438</v>
      </c>
      <c r="L53" s="6" t="inlineStr">
        <is>
          <t>Analyst habitat/size inference to source &gt;30 cm pelagic fish (Appendix 6.1.24 p.339); no age data, so split juvenile/adult using the period model catch.</t>
        </is>
      </c>
    </row>
    <row r="54">
      <c r="A54" t="inlineStr">
        <is>
          <t>Chondrichthyes</t>
        </is>
      </c>
      <c r="B54" t="inlineStr">
        <is>
          <t>Sharks, rays, chimaeras</t>
        </is>
      </c>
      <c r="C54" t="inlineStr">
        <is>
          <t>Large sharks (&gt;=90 cm)</t>
        </is>
      </c>
      <c r="D54" t="inlineStr">
        <is>
          <t>Sharks &amp; rays</t>
        </is>
      </c>
      <c r="E54" s="5" t="inlineStr">
        <is>
          <t>Demersal sharks and rays | Pelagic sharks and rays</t>
        </is>
      </c>
      <c r="F54" t="inlineStr">
        <is>
          <t>0.813 | 0.187</t>
        </is>
      </c>
      <c r="G54" t="inlineStr">
        <is>
          <t>catch_composition</t>
        </is>
      </c>
      <c r="H54" t="inlineStr">
        <is>
          <t>low</t>
        </is>
      </c>
      <c r="I54" t="inlineStr">
        <is>
          <t>composite_split</t>
        </is>
      </c>
      <c r="J54" t="n">
        <v>1707091.817</v>
      </c>
      <c r="K54" t="n">
        <v>0.4404</v>
      </c>
      <c r="L54" s="6" t="inlineStr">
        <is>
          <t>Coarse or habitat-ambiguous elasmobranch record spans the two source habitat compartments; SAU shark/ray size is insufficient to select one.</t>
        </is>
      </c>
    </row>
    <row r="55">
      <c r="A55" t="inlineStr">
        <is>
          <t>Thunnus albacares</t>
        </is>
      </c>
      <c r="B55" t="inlineStr">
        <is>
          <t>Yellowfin tuna</t>
        </is>
      </c>
      <c r="C55" t="inlineStr">
        <is>
          <t>Large pelagics (&gt;=90 cm)</t>
        </is>
      </c>
      <c r="D55" t="inlineStr">
        <is>
          <t>Tuna &amp; billfishes</t>
        </is>
      </c>
      <c r="E55" s="7" t="inlineStr">
        <is>
          <t>Juvenile large pelagic fish | Pelagic fish (&gt; 30 cm)</t>
        </is>
      </c>
      <c r="F55" t="inlineStr">
        <is>
          <t>0.202 | 0.798</t>
        </is>
      </c>
      <c r="G55" t="inlineStr">
        <is>
          <t>model_catch</t>
        </is>
      </c>
      <c r="H55" t="inlineStr">
        <is>
          <t>medium</t>
        </is>
      </c>
      <c r="I55" t="inlineStr">
        <is>
          <t>composite_split</t>
        </is>
      </c>
      <c r="J55" t="n">
        <v>1626326.169</v>
      </c>
      <c r="K55" t="n">
        <v>0.4196</v>
      </c>
      <c r="L55" s="6" t="inlineStr">
        <is>
          <t>Analyst habitat/size inference to source &gt;30 cm pelagic fish (Appendix 6.1.24 p.339); no age data, so split juvenile/adult using the period model catch.</t>
        </is>
      </c>
    </row>
    <row r="56">
      <c r="A56" t="inlineStr">
        <is>
          <t>Stolephorus</t>
        </is>
      </c>
      <c r="B56" t="inlineStr">
        <is>
          <t>Garment anchovies</t>
        </is>
      </c>
      <c r="C56" t="inlineStr">
        <is>
          <t>Small pelagics (&lt;30 cm)</t>
        </is>
      </c>
      <c r="D56" t="inlineStr">
        <is>
          <t>Anchovies</t>
        </is>
      </c>
      <c r="E56" s="7" t="inlineStr">
        <is>
          <t>Pelagic fish (≤ 30 cm)</t>
        </is>
      </c>
      <c r="F56" t="inlineStr"/>
      <c r="G56" t="inlineStr"/>
      <c r="H56" t="inlineStr">
        <is>
          <t>medium</t>
        </is>
      </c>
      <c r="I56" t="inlineStr">
        <is>
          <t>habitat_size_guild</t>
        </is>
      </c>
      <c r="J56" t="n">
        <v>1518853.453</v>
      </c>
      <c r="K56" t="n">
        <v>0.3919</v>
      </c>
      <c r="L56" s="6" t="inlineStr">
        <is>
          <t>Source small-pelagic pool explicitly includes sardines, thryssa and anchovies (Appendix 6.1.23 p.338); extension to the catch lineage uses SAU size as a proxy and is not a full species list.</t>
        </is>
      </c>
    </row>
    <row r="57">
      <c r="A57" t="inlineStr">
        <is>
          <t>Scomberomorus commerson</t>
        </is>
      </c>
      <c r="B57" t="inlineStr">
        <is>
          <t>Narrow-barred Spanish mackerel</t>
        </is>
      </c>
      <c r="C57" t="inlineStr">
        <is>
          <t>Large pelagics (&gt;=90 cm)</t>
        </is>
      </c>
      <c r="D57" t="inlineStr">
        <is>
          <t>Perch-likes</t>
        </is>
      </c>
      <c r="E57" s="7" t="inlineStr">
        <is>
          <t>Juvenile large pelagic fish | Pelagic fish (&gt; 30 cm)</t>
        </is>
      </c>
      <c r="F57" t="inlineStr">
        <is>
          <t>0.202 | 0.798</t>
        </is>
      </c>
      <c r="G57" t="inlineStr">
        <is>
          <t>model_catch</t>
        </is>
      </c>
      <c r="H57" t="inlineStr">
        <is>
          <t>medium</t>
        </is>
      </c>
      <c r="I57" t="inlineStr">
        <is>
          <t>composite_split</t>
        </is>
      </c>
      <c r="J57" t="n">
        <v>1502865.98</v>
      </c>
      <c r="K57" t="n">
        <v>0.3878</v>
      </c>
      <c r="L57" s="6" t="inlineStr">
        <is>
          <t>Analyst habitat/size inference to source &gt;30 cm pelagic fish (Appendix 6.1.24 p.339); no age data, so split juvenile/adult using the period model catch.</t>
        </is>
      </c>
    </row>
    <row r="58">
      <c r="A58" t="inlineStr">
        <is>
          <t>Rastrelliger kanagurta</t>
        </is>
      </c>
      <c r="B58" t="inlineStr">
        <is>
          <t>Indian mackerel</t>
        </is>
      </c>
      <c r="C58" t="inlineStr">
        <is>
          <t>Medium pelagics (30 - 89 cm)</t>
        </is>
      </c>
      <c r="D58" t="inlineStr">
        <is>
          <t>Perch-likes</t>
        </is>
      </c>
      <c r="E58" s="7" t="inlineStr">
        <is>
          <t>Juvenile large pelagic fish | Pelagic fish (&gt; 30 cm)</t>
        </is>
      </c>
      <c r="F58" t="inlineStr">
        <is>
          <t>0.202 | 0.798</t>
        </is>
      </c>
      <c r="G58" t="inlineStr">
        <is>
          <t>model_catch</t>
        </is>
      </c>
      <c r="H58" t="inlineStr">
        <is>
          <t>medium</t>
        </is>
      </c>
      <c r="I58" t="inlineStr">
        <is>
          <t>composite_split</t>
        </is>
      </c>
      <c r="J58" t="n">
        <v>1469580.931</v>
      </c>
      <c r="K58" t="n">
        <v>0.3792</v>
      </c>
      <c r="L58" s="6" t="inlineStr">
        <is>
          <t>Analyst habitat/size inference to source &gt;30 cm pelagic fish (Appendix 6.1.24 p.339); no age data, so split juvenile/adult using the period model catch.</t>
        </is>
      </c>
    </row>
    <row r="59">
      <c r="A59" t="inlineStr">
        <is>
          <t>Rastrelliger</t>
        </is>
      </c>
      <c r="B59" t="inlineStr">
        <is>
          <t>Indian mackerels</t>
        </is>
      </c>
      <c r="C59" t="inlineStr">
        <is>
          <t>Medium pelagics (30 - 89 cm)</t>
        </is>
      </c>
      <c r="D59" t="inlineStr">
        <is>
          <t>Perch-likes</t>
        </is>
      </c>
      <c r="E59" s="7" t="inlineStr">
        <is>
          <t>Juvenile large pelagic fish | Pelagic fish (&gt; 30 cm)</t>
        </is>
      </c>
      <c r="F59" t="inlineStr">
        <is>
          <t>0.202 | 0.798</t>
        </is>
      </c>
      <c r="G59" t="inlineStr">
        <is>
          <t>model_catch</t>
        </is>
      </c>
      <c r="H59" t="inlineStr">
        <is>
          <t>medium</t>
        </is>
      </c>
      <c r="I59" t="inlineStr">
        <is>
          <t>composite_split</t>
        </is>
      </c>
      <c r="J59" t="n">
        <v>1441250.177</v>
      </c>
      <c r="K59" t="n">
        <v>0.3719</v>
      </c>
      <c r="L59" s="6" t="inlineStr">
        <is>
          <t>Analyst habitat/size inference to source &gt;30 cm pelagic fish (Appendix 6.1.24 p.339); no age data, so split juvenile/adult using the period model catch.</t>
        </is>
      </c>
    </row>
    <row r="60">
      <c r="A60" t="inlineStr">
        <is>
          <t>Epinephelus</t>
        </is>
      </c>
      <c r="B60" t="inlineStr">
        <is>
          <t>Seabasses, hinds</t>
        </is>
      </c>
      <c r="C60" t="inlineStr">
        <is>
          <t>Medium reef assoc. fish (30 - 89 cm)</t>
        </is>
      </c>
      <c r="D60" t="inlineStr">
        <is>
          <t>Perch-likes</t>
        </is>
      </c>
      <c r="E60" s="8" t="inlineStr">
        <is>
          <t>Adult groupers</t>
        </is>
      </c>
      <c r="F60" t="inlineStr"/>
      <c r="G60" t="inlineStr"/>
      <c r="H60" t="inlineStr">
        <is>
          <t>high</t>
        </is>
      </c>
      <c r="I60" t="inlineStr">
        <is>
          <t>taxonomic_containment</t>
        </is>
      </c>
      <c r="J60" t="n">
        <v>1384242.323</v>
      </c>
      <c r="K60" t="n">
        <v>0.3571</v>
      </c>
      <c r="L60" s="6" t="inlineStr">
        <is>
          <t>Appendix 6.1 pp.327-335 defines Adult groupers by this family or explicitly names Epinephelus; dedicated source placement overrides the SAU class Medium reef assoc. fish (30 - 89 cm).</t>
        </is>
      </c>
    </row>
    <row r="61">
      <c r="A61" t="inlineStr">
        <is>
          <t>Mullidae</t>
        </is>
      </c>
      <c r="B61" t="inlineStr">
        <is>
          <t>Goatfishes</t>
        </is>
      </c>
      <c r="C61" t="inlineStr">
        <is>
          <t>Medium reef assoc. fish (30 - 89 cm)</t>
        </is>
      </c>
      <c r="D61" t="inlineStr">
        <is>
          <t>Perch-likes</t>
        </is>
      </c>
      <c r="E61" s="7" t="inlineStr">
        <is>
          <t>Juvenile demersal fish (&gt; 30 cm) | Adult demersal fish (&gt; 30 cm)</t>
        </is>
      </c>
      <c r="F61" t="inlineStr">
        <is>
          <t>0.200 | 0.800</t>
        </is>
      </c>
      <c r="G61" t="inlineStr">
        <is>
          <t>model_catch</t>
        </is>
      </c>
      <c r="H61" t="inlineStr">
        <is>
          <t>medium</t>
        </is>
      </c>
      <c r="I61" t="inlineStr">
        <is>
          <t>composite_split</t>
        </is>
      </c>
      <c r="J61" t="n">
        <v>1371662.314</v>
      </c>
      <c r="K61" t="n">
        <v>0.3539</v>
      </c>
      <c r="L61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62">
      <c r="A62" t="inlineStr">
        <is>
          <t>Decapterus macrosoma</t>
        </is>
      </c>
      <c r="B62" t="inlineStr">
        <is>
          <t>Shortfin scad</t>
        </is>
      </c>
      <c r="C62" t="inlineStr">
        <is>
          <t>Medium pelagics (30 - 89 cm)</t>
        </is>
      </c>
      <c r="D62" t="inlineStr">
        <is>
          <t>Perch-likes</t>
        </is>
      </c>
      <c r="E62" s="7" t="inlineStr">
        <is>
          <t>Juvenile large pelagic fish | Pelagic fish (&gt; 30 cm)</t>
        </is>
      </c>
      <c r="F62" t="inlineStr">
        <is>
          <t>0.202 | 0.798</t>
        </is>
      </c>
      <c r="G62" t="inlineStr">
        <is>
          <t>model_catch</t>
        </is>
      </c>
      <c r="H62" t="inlineStr">
        <is>
          <t>medium</t>
        </is>
      </c>
      <c r="I62" t="inlineStr">
        <is>
          <t>composite_split</t>
        </is>
      </c>
      <c r="J62" t="n">
        <v>1347860.293</v>
      </c>
      <c r="K62" t="n">
        <v>0.3478</v>
      </c>
      <c r="L62" s="6" t="inlineStr">
        <is>
          <t>Analyst habitat/size inference to source &gt;30 cm pelagic fish (Appendix 6.1.24 p.339); no age data, so split juvenile/adult using the period model catch.</t>
        </is>
      </c>
    </row>
    <row r="63">
      <c r="A63" t="inlineStr">
        <is>
          <t>Katsuwonus pelamis</t>
        </is>
      </c>
      <c r="B63" t="inlineStr">
        <is>
          <t>Skipjack tuna</t>
        </is>
      </c>
      <c r="C63" t="inlineStr">
        <is>
          <t>Large pelagics (&gt;=90 cm)</t>
        </is>
      </c>
      <c r="D63" t="inlineStr">
        <is>
          <t>Tuna &amp; billfishes</t>
        </is>
      </c>
      <c r="E63" s="7" t="inlineStr">
        <is>
          <t>Juvenile large pelagic fish | Pelagic fish (&gt; 30 cm)</t>
        </is>
      </c>
      <c r="F63" t="inlineStr">
        <is>
          <t>0.202 | 0.798</t>
        </is>
      </c>
      <c r="G63" t="inlineStr">
        <is>
          <t>model_catch</t>
        </is>
      </c>
      <c r="H63" t="inlineStr">
        <is>
          <t>medium</t>
        </is>
      </c>
      <c r="I63" t="inlineStr">
        <is>
          <t>composite_split</t>
        </is>
      </c>
      <c r="J63" t="n">
        <v>1285182</v>
      </c>
      <c r="K63" t="n">
        <v>0.3316</v>
      </c>
      <c r="L63" s="6" t="inlineStr">
        <is>
          <t>Analyst habitat/size inference to source &gt;30 cm pelagic fish (Appendix 6.1.24 p.339); no age data, so split juvenile/adult using the period model catch.</t>
        </is>
      </c>
    </row>
    <row r="64">
      <c r="A64" t="inlineStr">
        <is>
          <t>Penaeus chinensis</t>
        </is>
      </c>
      <c r="B64" t="inlineStr">
        <is>
          <t>Fleshy prawn</t>
        </is>
      </c>
      <c r="C64" t="inlineStr">
        <is>
          <t>Shrimps</t>
        </is>
      </c>
      <c r="D64" t="inlineStr">
        <is>
          <t>Crustaceans</t>
        </is>
      </c>
      <c r="E64" s="8" t="inlineStr">
        <is>
          <t>Shrimps</t>
        </is>
      </c>
      <c r="F64" t="inlineStr"/>
      <c r="G64" t="inlineStr"/>
      <c r="H64" t="inlineStr">
        <is>
          <t>high</t>
        </is>
      </c>
      <c r="I64" t="inlineStr">
        <is>
          <t>taxonomic_containment</t>
        </is>
      </c>
      <c r="J64" t="n">
        <v>1236075.23</v>
      </c>
      <c r="K64" t="n">
        <v>0.3189</v>
      </c>
      <c r="L64" s="6" t="inlineStr">
        <is>
          <t>Stomatopods belong to the residual benthic crustaceans; other shrimp taxa belong to Shrimps after the explicitly separated Acetes records (Appendix 6.1 pp.323-326).</t>
        </is>
      </c>
    </row>
    <row r="65">
      <c r="A65" t="inlineStr">
        <is>
          <t>Selaroides leptolepis</t>
        </is>
      </c>
      <c r="B65" t="inlineStr">
        <is>
          <t>Yellowstripe scad</t>
        </is>
      </c>
      <c r="C65" t="inlineStr">
        <is>
          <t>Small pelagics (&lt;30 cm)</t>
        </is>
      </c>
      <c r="D65" t="inlineStr">
        <is>
          <t>Perch-likes</t>
        </is>
      </c>
      <c r="E65" s="7" t="inlineStr">
        <is>
          <t>Pelagic fish (≤ 30 cm)</t>
        </is>
      </c>
      <c r="F65" t="inlineStr"/>
      <c r="G65" t="inlineStr"/>
      <c r="H65" t="inlineStr">
        <is>
          <t>medium</t>
        </is>
      </c>
      <c r="I65" t="inlineStr">
        <is>
          <t>habitat_size_guild</t>
        </is>
      </c>
      <c r="J65" t="n">
        <v>1185036.56</v>
      </c>
      <c r="K65" t="n">
        <v>0.3058</v>
      </c>
      <c r="L65" s="6" t="inlineStr">
        <is>
          <t>Analyst habitat/size inference: SAU small-pelagic class matches the source &lt;=30 cm pelagic pool after dedicated source taxa were handled (Appendix 6.1.23 p.338).</t>
        </is>
      </c>
    </row>
    <row r="66">
      <c r="A66" t="inlineStr">
        <is>
          <t>Mugilidae</t>
        </is>
      </c>
      <c r="B66" t="inlineStr">
        <is>
          <t>Mullets, grey mullets</t>
        </is>
      </c>
      <c r="C66" t="inlineStr">
        <is>
          <t>Medium reef assoc. fish (30 - 89 cm)</t>
        </is>
      </c>
      <c r="D66" t="inlineStr">
        <is>
          <t>Perch-likes</t>
        </is>
      </c>
      <c r="E66" s="7" t="inlineStr">
        <is>
          <t>Juvenile demersal fish (&gt; 30 cm) | Adult demersal fish (&gt; 30 cm)</t>
        </is>
      </c>
      <c r="F66" t="inlineStr">
        <is>
          <t>0.200 | 0.800</t>
        </is>
      </c>
      <c r="G66" t="inlineStr">
        <is>
          <t>model_catch</t>
        </is>
      </c>
      <c r="H66" t="inlineStr">
        <is>
          <t>medium</t>
        </is>
      </c>
      <c r="I66" t="inlineStr">
        <is>
          <t>composite_split</t>
        </is>
      </c>
      <c r="J66" t="n">
        <v>1175466.212</v>
      </c>
      <c r="K66" t="n">
        <v>0.3033</v>
      </c>
      <c r="L66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67">
      <c r="A67" t="inlineStr">
        <is>
          <t>Ilisha elongata</t>
        </is>
      </c>
      <c r="B67" t="inlineStr">
        <is>
          <t>Elongate ilisha</t>
        </is>
      </c>
      <c r="C67" t="inlineStr">
        <is>
          <t>Medium pelagics (30 - 89 cm)</t>
        </is>
      </c>
      <c r="D67" t="inlineStr">
        <is>
          <t>Herring-likes</t>
        </is>
      </c>
      <c r="E67" s="7" t="inlineStr">
        <is>
          <t>Juvenile large pelagic fish | Pelagic fish (&gt; 30 cm)</t>
        </is>
      </c>
      <c r="F67" t="inlineStr">
        <is>
          <t>0.202 | 0.798</t>
        </is>
      </c>
      <c r="G67" t="inlineStr">
        <is>
          <t>model_catch</t>
        </is>
      </c>
      <c r="H67" t="inlineStr">
        <is>
          <t>medium</t>
        </is>
      </c>
      <c r="I67" t="inlineStr">
        <is>
          <t>composite_split</t>
        </is>
      </c>
      <c r="J67" t="n">
        <v>1163810.882</v>
      </c>
      <c r="K67" t="n">
        <v>0.3003</v>
      </c>
      <c r="L67" s="6" t="inlineStr">
        <is>
          <t>Analyst habitat/size inference to source &gt;30 cm pelagic fish (Appendix 6.1.24 p.339); no age data, so split juvenile/adult using the period model catch.</t>
        </is>
      </c>
    </row>
    <row r="68">
      <c r="A68" t="inlineStr">
        <is>
          <t>Sardinops sagax</t>
        </is>
      </c>
      <c r="B68" t="inlineStr">
        <is>
          <t>South American pilchard</t>
        </is>
      </c>
      <c r="C68" t="inlineStr">
        <is>
          <t>Medium pelagics (30 - 89 cm)</t>
        </is>
      </c>
      <c r="D68" t="inlineStr">
        <is>
          <t>Herring-likes</t>
        </is>
      </c>
      <c r="E68" s="7" t="inlineStr">
        <is>
          <t>Juvenile large pelagic fish | Pelagic fish (&gt; 30 cm)</t>
        </is>
      </c>
      <c r="F68" t="inlineStr">
        <is>
          <t>0.202 | 0.798</t>
        </is>
      </c>
      <c r="G68" t="inlineStr">
        <is>
          <t>model_catch</t>
        </is>
      </c>
      <c r="H68" t="inlineStr">
        <is>
          <t>medium</t>
        </is>
      </c>
      <c r="I68" t="inlineStr">
        <is>
          <t>composite_split</t>
        </is>
      </c>
      <c r="J68" t="n">
        <v>1101836.203</v>
      </c>
      <c r="K68" t="n">
        <v>0.2843</v>
      </c>
      <c r="L68" s="6" t="inlineStr">
        <is>
          <t>Analyst habitat/size inference to source &gt;30 cm pelagic fish (Appendix 6.1.24 p.339); no age data, so split juvenile/adult using the period model catch.</t>
        </is>
      </c>
    </row>
    <row r="69">
      <c r="A69" t="inlineStr">
        <is>
          <t>Sardinella lemuru</t>
        </is>
      </c>
      <c r="B69" t="inlineStr">
        <is>
          <t>Bali sardinella</t>
        </is>
      </c>
      <c r="C69" t="inlineStr">
        <is>
          <t>Small pelagics (&lt;30 cm)</t>
        </is>
      </c>
      <c r="D69" t="inlineStr">
        <is>
          <t>Herring-likes</t>
        </is>
      </c>
      <c r="E69" s="7" t="inlineStr">
        <is>
          <t>Pelagic fish (≤ 30 cm)</t>
        </is>
      </c>
      <c r="F69" t="inlineStr"/>
      <c r="G69" t="inlineStr"/>
      <c r="H69" t="inlineStr">
        <is>
          <t>medium</t>
        </is>
      </c>
      <c r="I69" t="inlineStr">
        <is>
          <t>habitat_size_guild</t>
        </is>
      </c>
      <c r="J69" t="n">
        <v>1092321.186</v>
      </c>
      <c r="K69" t="n">
        <v>0.2818</v>
      </c>
      <c r="L69" s="6" t="inlineStr">
        <is>
          <t>Source small-pelagic pool explicitly includes sardines, thryssa and anchovies (Appendix 6.1.23 p.338); extension to the catch lineage uses SAU size as a proxy and is not a full species list.</t>
        </is>
      </c>
    </row>
    <row r="70">
      <c r="A70" t="inlineStr">
        <is>
          <t>Coryphaena hippurus</t>
        </is>
      </c>
      <c r="B70" t="inlineStr">
        <is>
          <t>Common dolphinfish</t>
        </is>
      </c>
      <c r="C70" t="inlineStr">
        <is>
          <t>Large pelagics (&gt;=90 cm)</t>
        </is>
      </c>
      <c r="D70" t="inlineStr">
        <is>
          <t>Perch-likes</t>
        </is>
      </c>
      <c r="E70" s="7" t="inlineStr">
        <is>
          <t>Juvenile large pelagic fish | Pelagic fish (&gt; 30 cm)</t>
        </is>
      </c>
      <c r="F70" t="inlineStr">
        <is>
          <t>0.202 | 0.798</t>
        </is>
      </c>
      <c r="G70" t="inlineStr">
        <is>
          <t>model_catch</t>
        </is>
      </c>
      <c r="H70" t="inlineStr">
        <is>
          <t>medium</t>
        </is>
      </c>
      <c r="I70" t="inlineStr">
        <is>
          <t>composite_split</t>
        </is>
      </c>
      <c r="J70" t="n">
        <v>1078982.717</v>
      </c>
      <c r="K70" t="n">
        <v>0.2784</v>
      </c>
      <c r="L70" s="6" t="inlineStr">
        <is>
          <t>Analyst habitat/size inference to source &gt;30 cm pelagic fish (Appendix 6.1.24 p.339); no age data, so split juvenile/adult using the period model catch.</t>
        </is>
      </c>
    </row>
    <row r="71">
      <c r="A71" t="inlineStr">
        <is>
          <t>Cololabis saira</t>
        </is>
      </c>
      <c r="B71" t="inlineStr">
        <is>
          <t>Pacific saury</t>
        </is>
      </c>
      <c r="C71" t="inlineStr">
        <is>
          <t>Medium pelagics (30 - 89 cm)</t>
        </is>
      </c>
      <c r="D71" t="inlineStr">
        <is>
          <t>Other fishes &amp; inverts</t>
        </is>
      </c>
      <c r="E71" s="7" t="inlineStr">
        <is>
          <t>Juvenile large pelagic fish | Pelagic fish (&gt; 30 cm)</t>
        </is>
      </c>
      <c r="F71" t="inlineStr">
        <is>
          <t>0.202 | 0.798</t>
        </is>
      </c>
      <c r="G71" t="inlineStr">
        <is>
          <t>model_catch</t>
        </is>
      </c>
      <c r="H71" t="inlineStr">
        <is>
          <t>medium</t>
        </is>
      </c>
      <c r="I71" t="inlineStr">
        <is>
          <t>composite_split</t>
        </is>
      </c>
      <c r="J71" t="n">
        <v>1035519.84</v>
      </c>
      <c r="K71" t="n">
        <v>0.2672</v>
      </c>
      <c r="L71" s="6" t="inlineStr">
        <is>
          <t>Analyst habitat/size inference to source &gt;30 cm pelagic fish (Appendix 6.1.24 p.339); no age data, so split juvenile/adult using the period model catch.</t>
        </is>
      </c>
    </row>
    <row r="72">
      <c r="A72" t="inlineStr">
        <is>
          <t>Netuma thalassina</t>
        </is>
      </c>
      <c r="B72" t="inlineStr">
        <is>
          <t>Giant catfish</t>
        </is>
      </c>
      <c r="C72" t="inlineStr">
        <is>
          <t>Large demersals (&gt;=90 cm)</t>
        </is>
      </c>
      <c r="D72" t="inlineStr">
        <is>
          <t>Other fishes &amp; inverts</t>
        </is>
      </c>
      <c r="E72" s="7" t="inlineStr">
        <is>
          <t>Juvenile demersal fish (&gt; 30 cm) | Adult demersal fish (&gt; 30 cm)</t>
        </is>
      </c>
      <c r="F72" t="inlineStr">
        <is>
          <t>0.200 | 0.800</t>
        </is>
      </c>
      <c r="G72" t="inlineStr">
        <is>
          <t>model_catch</t>
        </is>
      </c>
      <c r="H72" t="inlineStr">
        <is>
          <t>medium</t>
        </is>
      </c>
      <c r="I72" t="inlineStr">
        <is>
          <t>composite_split</t>
        </is>
      </c>
      <c r="J72" t="n">
        <v>1021214.891</v>
      </c>
      <c r="K72" t="n">
        <v>0.2635</v>
      </c>
      <c r="L72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73">
      <c r="A73" t="inlineStr">
        <is>
          <t>Priacanthus macracanthus</t>
        </is>
      </c>
      <c r="B73" t="inlineStr">
        <is>
          <t>Red bigeye</t>
        </is>
      </c>
      <c r="C73" t="inlineStr">
        <is>
          <t>Medium reef assoc. fish (30 - 89 cm)</t>
        </is>
      </c>
      <c r="D73" t="inlineStr">
        <is>
          <t>Perch-likes</t>
        </is>
      </c>
      <c r="E73" s="8" t="inlineStr">
        <is>
          <t>Bigeyes (priacanthids)</t>
        </is>
      </c>
      <c r="F73" t="inlineStr"/>
      <c r="G73" t="inlineStr"/>
      <c r="H73" t="inlineStr">
        <is>
          <t>high</t>
        </is>
      </c>
      <c r="I73" t="inlineStr">
        <is>
          <t>taxonomic_containment</t>
        </is>
      </c>
      <c r="J73" t="n">
        <v>991701.4620000001</v>
      </c>
      <c r="K73" t="n">
        <v>0.2559</v>
      </c>
      <c r="L73" s="6" t="inlineStr">
        <is>
          <t>Appendix 6.1 pp.327-335 defines Bigeyes (priacanthids) by this family or explicitly names Priacanthus macracanthus; dedicated source placement overrides the SAU class Medium reef assoc. fish (30 - 89 cm).</t>
        </is>
      </c>
    </row>
    <row r="74">
      <c r="A74" t="inlineStr">
        <is>
          <t>Nemipterus virgatus</t>
        </is>
      </c>
      <c r="B74" t="inlineStr">
        <is>
          <t>Golden threadfin bream</t>
        </is>
      </c>
      <c r="C74" t="inlineStr">
        <is>
          <t>Medium demersals (30 - 89 cm)</t>
        </is>
      </c>
      <c r="D74" t="inlineStr">
        <is>
          <t>Perch-likes</t>
        </is>
      </c>
      <c r="E74" s="8" t="inlineStr">
        <is>
          <t>Threadfin bream (nemipterids)</t>
        </is>
      </c>
      <c r="F74" t="inlineStr"/>
      <c r="G74" t="inlineStr"/>
      <c r="H74" t="inlineStr">
        <is>
          <t>high</t>
        </is>
      </c>
      <c r="I74" t="inlineStr">
        <is>
          <t>explicit_member</t>
        </is>
      </c>
      <c r="J74" t="n">
        <v>970413.986</v>
      </c>
      <c r="K74" t="n">
        <v>0.2504</v>
      </c>
      <c r="L74" s="6" t="inlineStr">
        <is>
          <t>Appendix 6.1 pp.327-335 defines Threadfin bream (nemipterids) by this family or explicitly names Nemipterus virgatus; dedicated source placement overrides the SAU class Medium demersals (30 - 89 cm).</t>
        </is>
      </c>
    </row>
    <row r="75">
      <c r="A75" t="inlineStr">
        <is>
          <t>Parastromateus niger</t>
        </is>
      </c>
      <c r="B75" t="inlineStr">
        <is>
          <t>Black pomfret</t>
        </is>
      </c>
      <c r="C75" t="inlineStr">
        <is>
          <t>Medium benthopelagics (30 - 89 cm)</t>
        </is>
      </c>
      <c r="D75" t="inlineStr">
        <is>
          <t>Perch-likes</t>
        </is>
      </c>
      <c r="E75" s="5" t="inlineStr">
        <is>
          <t>Benthopelagic fish</t>
        </is>
      </c>
      <c r="F75" t="inlineStr"/>
      <c r="G75" t="inlineStr"/>
      <c r="H75" t="inlineStr">
        <is>
          <t>low</t>
        </is>
      </c>
      <c r="I75" t="inlineStr">
        <is>
          <t>habitat_size_guild</t>
        </is>
      </c>
      <c r="J75" t="n">
        <v>961636.33</v>
      </c>
      <c r="K75" t="n">
        <v>0.2481</v>
      </c>
      <c r="L75" s="6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</row>
    <row r="76">
      <c r="A76" t="inlineStr">
        <is>
          <t>Mugil cephalus</t>
        </is>
      </c>
      <c r="B76" t="inlineStr">
        <is>
          <t>Flathead grey mullet</t>
        </is>
      </c>
      <c r="C76" t="inlineStr">
        <is>
          <t>Large benthopelagics (&gt;=90 cm)</t>
        </is>
      </c>
      <c r="D76" t="inlineStr">
        <is>
          <t>Perch-likes</t>
        </is>
      </c>
      <c r="E76" s="5" t="inlineStr">
        <is>
          <t>Benthopelagic fish</t>
        </is>
      </c>
      <c r="F76" t="inlineStr"/>
      <c r="G76" t="inlineStr"/>
      <c r="H76" t="inlineStr">
        <is>
          <t>low</t>
        </is>
      </c>
      <c r="I76" t="inlineStr">
        <is>
          <t>habitat_size_guild</t>
        </is>
      </c>
      <c r="J76" t="n">
        <v>949666.595</v>
      </c>
      <c r="K76" t="n">
        <v>0.245</v>
      </c>
      <c r="L76" s="6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</row>
    <row r="77">
      <c r="A77" t="inlineStr">
        <is>
          <t>Cephalopoda</t>
        </is>
      </c>
      <c r="B77" t="inlineStr">
        <is>
          <t>Squids, cuttlefishes, octopuses</t>
        </is>
      </c>
      <c r="C77" t="inlineStr">
        <is>
          <t>Cephalopods</t>
        </is>
      </c>
      <c r="D77" t="inlineStr">
        <is>
          <t>Other fishes &amp; inverts</t>
        </is>
      </c>
      <c r="E77" s="8" t="inlineStr">
        <is>
          <t>Cephalopods</t>
        </is>
      </c>
      <c r="F77" t="inlineStr"/>
      <c r="G77" t="inlineStr"/>
      <c r="H77" t="inlineStr">
        <is>
          <t>high</t>
        </is>
      </c>
      <c r="I77" t="inlineStr">
        <is>
          <t>taxonomic_containment</t>
        </is>
      </c>
      <c r="J77" t="n">
        <v>945101.13</v>
      </c>
      <c r="K77" t="n">
        <v>0.2438</v>
      </c>
      <c r="L77" s="6" t="inlineStr">
        <is>
          <t>Cephalopoda is contained by the single source Cephalopods group, Appendix 6.1.8 pp.326-327.</t>
        </is>
      </c>
    </row>
    <row r="78">
      <c r="A78" t="inlineStr">
        <is>
          <t>Leiognathus</t>
        </is>
      </c>
      <c r="B78" t="inlineStr">
        <is>
          <t>Ponyfishes</t>
        </is>
      </c>
      <c r="C78" t="inlineStr">
        <is>
          <t>Small benthopelagics (&lt;30 cm)</t>
        </is>
      </c>
      <c r="D78" t="inlineStr">
        <is>
          <t>Perch-likes</t>
        </is>
      </c>
      <c r="E78" s="5" t="inlineStr">
        <is>
          <t>Benthopelagic fish</t>
        </is>
      </c>
      <c r="F78" t="inlineStr"/>
      <c r="G78" t="inlineStr"/>
      <c r="H78" t="inlineStr">
        <is>
          <t>low</t>
        </is>
      </c>
      <c r="I78" t="inlineStr">
        <is>
          <t>habitat_size_guild</t>
        </is>
      </c>
      <c r="J78" t="n">
        <v>891413.643</v>
      </c>
      <c r="K78" t="n">
        <v>0.23</v>
      </c>
      <c r="L78" s="6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</row>
    <row r="79">
      <c r="A79" t="inlineStr">
        <is>
          <t>Octopodidae</t>
        </is>
      </c>
      <c r="B79" t="inlineStr">
        <is>
          <t>Octopuses</t>
        </is>
      </c>
      <c r="C79" t="inlineStr">
        <is>
          <t>Cephalopods</t>
        </is>
      </c>
      <c r="D79" t="inlineStr">
        <is>
          <t>Other fishes &amp; inverts</t>
        </is>
      </c>
      <c r="E79" s="8" t="inlineStr">
        <is>
          <t>Cephalopods</t>
        </is>
      </c>
      <c r="F79" t="inlineStr"/>
      <c r="G79" t="inlineStr"/>
      <c r="H79" t="inlineStr">
        <is>
          <t>high</t>
        </is>
      </c>
      <c r="I79" t="inlineStr">
        <is>
          <t>taxonomic_containment</t>
        </is>
      </c>
      <c r="J79" t="n">
        <v>841025.851</v>
      </c>
      <c r="K79" t="n">
        <v>0.217</v>
      </c>
      <c r="L79" s="6" t="inlineStr">
        <is>
          <t>Cephalopoda is contained by the single source Cephalopods group, Appendix 6.1.8 pp.326-327.</t>
        </is>
      </c>
    </row>
    <row r="80">
      <c r="A80" t="inlineStr">
        <is>
          <t>Dasyatis</t>
        </is>
      </c>
      <c r="B80" t="inlineStr">
        <is>
          <t>Rough whip stingrays</t>
        </is>
      </c>
      <c r="C80" t="inlineStr">
        <is>
          <t>Large rays (&gt;=90 cm)</t>
        </is>
      </c>
      <c r="D80" t="inlineStr">
        <is>
          <t>Sharks &amp; rays</t>
        </is>
      </c>
      <c r="E80" s="7" t="inlineStr">
        <is>
          <t>Demersal sharks and rays</t>
        </is>
      </c>
      <c r="F80" t="inlineStr"/>
      <c r="G80" t="inlineStr"/>
      <c r="H80" t="inlineStr">
        <is>
          <t>medium</t>
        </is>
      </c>
      <c r="I80" t="inlineStr">
        <is>
          <t>habitat_size_guild</t>
        </is>
      </c>
      <c r="J80" t="n">
        <v>824451.936</v>
      </c>
      <c r="K80" t="n">
        <v>0.2127</v>
      </c>
      <c r="L80" s="6" t="inlineStr">
        <is>
          <t>Demersal/benthic ray or houndshark lineage matches the demersal elasmobranch definition, Appendix 6.1.25 p.340; species placement is analyst inference.</t>
        </is>
      </c>
    </row>
    <row r="81">
      <c r="A81" t="inlineStr">
        <is>
          <t>Euthynnus affinis</t>
        </is>
      </c>
      <c r="B81" t="inlineStr">
        <is>
          <t>Kawakawa</t>
        </is>
      </c>
      <c r="C81" t="inlineStr">
        <is>
          <t>Large pelagics (&gt;=90 cm)</t>
        </is>
      </c>
      <c r="D81" t="inlineStr">
        <is>
          <t>Tuna &amp; billfishes</t>
        </is>
      </c>
      <c r="E81" s="7" t="inlineStr">
        <is>
          <t>Juvenile large pelagic fish | Pelagic fish (&gt; 30 cm)</t>
        </is>
      </c>
      <c r="F81" t="inlineStr">
        <is>
          <t>0.202 | 0.798</t>
        </is>
      </c>
      <c r="G81" t="inlineStr">
        <is>
          <t>model_catch</t>
        </is>
      </c>
      <c r="H81" t="inlineStr">
        <is>
          <t>medium</t>
        </is>
      </c>
      <c r="I81" t="inlineStr">
        <is>
          <t>composite_split</t>
        </is>
      </c>
      <c r="J81" t="n">
        <v>816087.965</v>
      </c>
      <c r="K81" t="n">
        <v>0.2106</v>
      </c>
      <c r="L81" s="6" t="inlineStr">
        <is>
          <t>Analyst habitat/size inference to source &gt;30 cm pelagic fish (Appendix 6.1.24 p.339); no age data, so split juvenile/adult using the period model catch.</t>
        </is>
      </c>
    </row>
    <row r="82">
      <c r="A82" t="inlineStr">
        <is>
          <t>Auxis</t>
        </is>
      </c>
      <c r="B82" t="inlineStr">
        <is>
          <t>Bullet and frigate tunas</t>
        </is>
      </c>
      <c r="C82" t="inlineStr">
        <is>
          <t>Medium pelagics (30 - 89 cm)</t>
        </is>
      </c>
      <c r="D82" t="inlineStr">
        <is>
          <t>Tuna &amp; billfishes</t>
        </is>
      </c>
      <c r="E82" s="7" t="inlineStr">
        <is>
          <t>Juvenile large pelagic fish | Pelagic fish (&gt; 30 cm)</t>
        </is>
      </c>
      <c r="F82" t="inlineStr">
        <is>
          <t>0.202 | 0.798</t>
        </is>
      </c>
      <c r="G82" t="inlineStr">
        <is>
          <t>model_catch</t>
        </is>
      </c>
      <c r="H82" t="inlineStr">
        <is>
          <t>medium</t>
        </is>
      </c>
      <c r="I82" t="inlineStr">
        <is>
          <t>composite_split</t>
        </is>
      </c>
      <c r="J82" t="n">
        <v>803741.611</v>
      </c>
      <c r="K82" t="n">
        <v>0.2074</v>
      </c>
      <c r="L82" s="6" t="inlineStr">
        <is>
          <t>Analyst habitat/size inference to source &gt;30 cm pelagic fish (Appendix 6.1.24 p.339); no age data, so split juvenile/adult using the period model catch.</t>
        </is>
      </c>
    </row>
    <row r="83">
      <c r="A83" t="inlineStr">
        <is>
          <t>Pampus argenteus</t>
        </is>
      </c>
      <c r="B83" t="inlineStr">
        <is>
          <t>Silver pomfret</t>
        </is>
      </c>
      <c r="C83" t="inlineStr">
        <is>
          <t>Medium benthopelagics (30 - 89 cm)</t>
        </is>
      </c>
      <c r="D83" t="inlineStr">
        <is>
          <t>Perch-likes</t>
        </is>
      </c>
      <c r="E83" s="8" t="inlineStr">
        <is>
          <t>Pomfret (stromateids)</t>
        </is>
      </c>
      <c r="F83" t="inlineStr"/>
      <c r="G83" t="inlineStr"/>
      <c r="H83" t="inlineStr">
        <is>
          <t>high</t>
        </is>
      </c>
      <c r="I83" t="inlineStr">
        <is>
          <t>taxonomic_containment</t>
        </is>
      </c>
      <c r="J83" t="n">
        <v>794370.862</v>
      </c>
      <c r="K83" t="n">
        <v>0.205</v>
      </c>
      <c r="L83" s="6" t="inlineStr">
        <is>
          <t>Appendix 6.1 pp.327-335 defines Pomfret (stromateids) by this family or explicitly names Pampus argenteus; dedicated source placement overrides the SAU class Medium benthopelagics (30 - 89 cm).</t>
        </is>
      </c>
    </row>
    <row r="84">
      <c r="A84" t="inlineStr">
        <is>
          <t>Spratelloides gracilis</t>
        </is>
      </c>
      <c r="B84" t="inlineStr">
        <is>
          <t>Silver-stripe round herring</t>
        </is>
      </c>
      <c r="C84" t="inlineStr">
        <is>
          <t>Small pelagics (&lt;30 cm)</t>
        </is>
      </c>
      <c r="D84" t="inlineStr">
        <is>
          <t>Herring-likes</t>
        </is>
      </c>
      <c r="E84" s="7" t="inlineStr">
        <is>
          <t>Pelagic fish (≤ 30 cm)</t>
        </is>
      </c>
      <c r="F84" t="inlineStr"/>
      <c r="G84" t="inlineStr"/>
      <c r="H84" t="inlineStr">
        <is>
          <t>medium</t>
        </is>
      </c>
      <c r="I84" t="inlineStr">
        <is>
          <t>habitat_size_guild</t>
        </is>
      </c>
      <c r="J84" t="n">
        <v>757719.1850000001</v>
      </c>
      <c r="K84" t="n">
        <v>0.1955</v>
      </c>
      <c r="L84" s="6" t="inlineStr">
        <is>
          <t>Source small-pelagic pool explicitly includes sardines, thryssa and anchovies (Appendix 6.1.23 p.338); extension to the catch lineage uses SAU size as a proxy and is not a full species list.</t>
        </is>
      </c>
    </row>
    <row r="85">
      <c r="A85" t="inlineStr">
        <is>
          <t>Bivalvia</t>
        </is>
      </c>
      <c r="B85" t="inlineStr">
        <is>
          <t>Clams</t>
        </is>
      </c>
      <c r="C85" t="inlineStr">
        <is>
          <t>Other demersal invertebrates</t>
        </is>
      </c>
      <c r="D85" t="inlineStr">
        <is>
          <t>Molluscs</t>
        </is>
      </c>
      <c r="E85" s="8" t="inlineStr">
        <is>
          <t>Non-ceph molluscs</t>
        </is>
      </c>
      <c r="F85" t="inlineStr"/>
      <c r="G85" t="inlineStr"/>
      <c r="H85" t="inlineStr">
        <is>
          <t>high</t>
        </is>
      </c>
      <c r="I85" t="inlineStr">
        <is>
          <t>taxonomic_containment</t>
        </is>
      </c>
      <c r="J85" t="n">
        <v>749929.762</v>
      </c>
      <c r="K85" t="n">
        <v>0.1935</v>
      </c>
      <c r="L85" s="6" t="inlineStr">
        <is>
          <t>Taxonomic containment in the source benthos subdivision (Appendix 6.1.5 pp.324-325), keeping non-cephalopod molluscs separate from echinoderms and sessile invertebrates.</t>
        </is>
      </c>
    </row>
    <row r="86">
      <c r="A86" t="inlineStr">
        <is>
          <t>Dussumieria</t>
        </is>
      </c>
      <c r="B86" t="inlineStr">
        <is>
          <t>Rainbow sardines</t>
        </is>
      </c>
      <c r="C86" t="inlineStr">
        <is>
          <t>Small pelagics (&lt;30 cm)</t>
        </is>
      </c>
      <c r="D86" t="inlineStr">
        <is>
          <t>Herring-likes</t>
        </is>
      </c>
      <c r="E86" s="7" t="inlineStr">
        <is>
          <t>Pelagic fish (≤ 30 cm)</t>
        </is>
      </c>
      <c r="F86" t="inlineStr"/>
      <c r="G86" t="inlineStr"/>
      <c r="H86" t="inlineStr">
        <is>
          <t>medium</t>
        </is>
      </c>
      <c r="I86" t="inlineStr">
        <is>
          <t>habitat_size_guild</t>
        </is>
      </c>
      <c r="J86" t="n">
        <v>697208.687</v>
      </c>
      <c r="K86" t="n">
        <v>0.1799</v>
      </c>
      <c r="L86" s="6" t="inlineStr">
        <is>
          <t>Source small-pelagic pool explicitly includes sardines, thryssa and anchovies (Appendix 6.1.23 p.338); extension to the catch lineage uses SAU size as a proxy and is not a full species list.</t>
        </is>
      </c>
    </row>
    <row r="87">
      <c r="A87" t="inlineStr">
        <is>
          <t>Carcharhinus</t>
        </is>
      </c>
      <c r="B87" t="inlineStr">
        <is>
          <t>Sharp-nosed sharks</t>
        </is>
      </c>
      <c r="C87" t="inlineStr">
        <is>
          <t>Large sharks (&gt;=90 cm)</t>
        </is>
      </c>
      <c r="D87" t="inlineStr">
        <is>
          <t>Sharks &amp; rays</t>
        </is>
      </c>
      <c r="E87" s="5" t="inlineStr">
        <is>
          <t>Demersal sharks and rays | Pelagic sharks and rays</t>
        </is>
      </c>
      <c r="F87" t="inlineStr">
        <is>
          <t>0.813 | 0.187</t>
        </is>
      </c>
      <c r="G87" t="inlineStr">
        <is>
          <t>catch_composition</t>
        </is>
      </c>
      <c r="H87" t="inlineStr">
        <is>
          <t>low</t>
        </is>
      </c>
      <c r="I87" t="inlineStr">
        <is>
          <t>composite_split</t>
        </is>
      </c>
      <c r="J87" t="n">
        <v>685947.922</v>
      </c>
      <c r="K87" t="n">
        <v>0.177</v>
      </c>
      <c r="L87" s="6" t="inlineStr">
        <is>
          <t>Coarse or habitat-ambiguous elasmobranch record spans the two source habitat compartments; SAU shark/ray size is insufficient to select one.</t>
        </is>
      </c>
    </row>
    <row r="88">
      <c r="A88" t="inlineStr">
        <is>
          <t>Lutjanus</t>
        </is>
      </c>
      <c r="B88" t="inlineStr">
        <is>
          <t>Snappers</t>
        </is>
      </c>
      <c r="C88" t="inlineStr">
        <is>
          <t>Medium reef assoc. fish (30 - 89 cm)</t>
        </is>
      </c>
      <c r="D88" t="inlineStr">
        <is>
          <t>Perch-likes</t>
        </is>
      </c>
      <c r="E88" s="8" t="inlineStr">
        <is>
          <t>Snappers</t>
        </is>
      </c>
      <c r="F88" t="inlineStr"/>
      <c r="G88" t="inlineStr"/>
      <c r="H88" t="inlineStr">
        <is>
          <t>high</t>
        </is>
      </c>
      <c r="I88" t="inlineStr">
        <is>
          <t>taxonomic_containment</t>
        </is>
      </c>
      <c r="J88" t="n">
        <v>665694.576</v>
      </c>
      <c r="K88" t="n">
        <v>0.1718</v>
      </c>
      <c r="L88" s="6" t="inlineStr">
        <is>
          <t>Appendix 6.1 pp.327-335 defines Snappers by this family or explicitly names Lutjanus; dedicated source placement overrides the SAU class Medium reef assoc. fish (30 - 89 cm).</t>
        </is>
      </c>
    </row>
    <row r="89">
      <c r="A89" t="inlineStr">
        <is>
          <t>Penaeus merguiensis</t>
        </is>
      </c>
      <c r="B89" t="inlineStr">
        <is>
          <t>Banana prawn</t>
        </is>
      </c>
      <c r="C89" t="inlineStr">
        <is>
          <t>Shrimps</t>
        </is>
      </c>
      <c r="D89" t="inlineStr">
        <is>
          <t>Crustaceans</t>
        </is>
      </c>
      <c r="E89" s="8" t="inlineStr">
        <is>
          <t>Shrimps</t>
        </is>
      </c>
      <c r="F89" t="inlineStr"/>
      <c r="G89" t="inlineStr"/>
      <c r="H89" t="inlineStr">
        <is>
          <t>high</t>
        </is>
      </c>
      <c r="I89" t="inlineStr">
        <is>
          <t>taxonomic_containment</t>
        </is>
      </c>
      <c r="J89" t="n">
        <v>664922.307</v>
      </c>
      <c r="K89" t="n">
        <v>0.1716</v>
      </c>
      <c r="L89" s="6" t="inlineStr">
        <is>
          <t>Stomatopods belong to the residual benthic crustaceans; other shrimp taxa belong to Shrimps after the explicitly separated Acetes records (Appendix 6.1 pp.323-326).</t>
        </is>
      </c>
    </row>
    <row r="90">
      <c r="A90" t="inlineStr">
        <is>
          <t>Octopoda</t>
        </is>
      </c>
      <c r="B90" t="inlineStr">
        <is>
          <t>Octopuses, argonauts</t>
        </is>
      </c>
      <c r="C90" t="inlineStr">
        <is>
          <t>Cephalopods</t>
        </is>
      </c>
      <c r="D90" t="inlineStr">
        <is>
          <t>Other fishes &amp; inverts</t>
        </is>
      </c>
      <c r="E90" s="8" t="inlineStr">
        <is>
          <t>Cephalopods</t>
        </is>
      </c>
      <c r="F90" t="inlineStr"/>
      <c r="G90" t="inlineStr"/>
      <c r="H90" t="inlineStr">
        <is>
          <t>high</t>
        </is>
      </c>
      <c r="I90" t="inlineStr">
        <is>
          <t>taxonomic_containment</t>
        </is>
      </c>
      <c r="J90" t="n">
        <v>662621.716</v>
      </c>
      <c r="K90" t="n">
        <v>0.171</v>
      </c>
      <c r="L90" s="6" t="inlineStr">
        <is>
          <t>Cephalopoda is contained by the single source Cephalopods group, Appendix 6.1.8 pp.326-327.</t>
        </is>
      </c>
    </row>
    <row r="91">
      <c r="A91" t="inlineStr">
        <is>
          <t>Clupanodon thrissa</t>
        </is>
      </c>
      <c r="B91" t="inlineStr">
        <is>
          <t>Chinese gizzard shad</t>
        </is>
      </c>
      <c r="C91" t="inlineStr">
        <is>
          <t>Small pelagics (&lt;30 cm)</t>
        </is>
      </c>
      <c r="D91" t="inlineStr">
        <is>
          <t>Herring-likes</t>
        </is>
      </c>
      <c r="E91" s="7" t="inlineStr">
        <is>
          <t>Pelagic fish (≤ 30 cm)</t>
        </is>
      </c>
      <c r="F91" t="inlineStr"/>
      <c r="G91" t="inlineStr"/>
      <c r="H91" t="inlineStr">
        <is>
          <t>medium</t>
        </is>
      </c>
      <c r="I91" t="inlineStr">
        <is>
          <t>habitat_size_guild</t>
        </is>
      </c>
      <c r="J91" t="n">
        <v>647036.927</v>
      </c>
      <c r="K91" t="n">
        <v>0.1669</v>
      </c>
      <c r="L91" s="6" t="inlineStr">
        <is>
          <t>Source small-pelagic pool explicitly includes sardines, thryssa and anchovies (Appendix 6.1.23 p.338); extension to the catch lineage uses SAU size as a proxy and is not a full species list.</t>
        </is>
      </c>
    </row>
    <row r="92">
      <c r="A92" t="inlineStr">
        <is>
          <t>Sardinella fimbriata</t>
        </is>
      </c>
      <c r="B92" t="inlineStr">
        <is>
          <t>Fringescale sardinella</t>
        </is>
      </c>
      <c r="C92" t="inlineStr">
        <is>
          <t>Small pelagics (&lt;30 cm)</t>
        </is>
      </c>
      <c r="D92" t="inlineStr">
        <is>
          <t>Herring-likes</t>
        </is>
      </c>
      <c r="E92" s="7" t="inlineStr">
        <is>
          <t>Pelagic fish (≤ 30 cm)</t>
        </is>
      </c>
      <c r="F92" t="inlineStr"/>
      <c r="G92" t="inlineStr"/>
      <c r="H92" t="inlineStr">
        <is>
          <t>medium</t>
        </is>
      </c>
      <c r="I92" t="inlineStr">
        <is>
          <t>habitat_size_guild</t>
        </is>
      </c>
      <c r="J92" t="n">
        <v>639879.15</v>
      </c>
      <c r="K92" t="n">
        <v>0.1651</v>
      </c>
      <c r="L92" s="6" t="inlineStr">
        <is>
          <t>Source small-pelagic pool explicitly includes sardines, thryssa and anchovies (Appendix 6.1.23 p.338); extension to the catch lineage uses SAU size as a proxy and is not a full species list.</t>
        </is>
      </c>
    </row>
    <row r="93">
      <c r="A93" t="inlineStr">
        <is>
          <t>Ruvettus pretiosus</t>
        </is>
      </c>
      <c r="B93" t="inlineStr">
        <is>
          <t>Oilfish</t>
        </is>
      </c>
      <c r="C93" t="inlineStr">
        <is>
          <t>Large benthopelagics (&gt;=90 cm)</t>
        </is>
      </c>
      <c r="D93" t="inlineStr">
        <is>
          <t>Perch-likes</t>
        </is>
      </c>
      <c r="E93" s="9" t="inlineStr">
        <is>
          <t>Unresolved</t>
        </is>
      </c>
      <c r="F93" t="inlineStr"/>
      <c r="G93" t="inlineStr"/>
      <c r="H93" t="inlineStr">
        <is>
          <t>unresolved</t>
        </is>
      </c>
      <c r="I93" t="inlineStr">
        <is>
          <t>none</t>
        </is>
      </c>
      <c r="J93" t="n">
        <v>635369.554</v>
      </c>
      <c r="K93" t="n">
        <v>0.1639</v>
      </c>
      <c r="L93" s="6" t="inlineStr">
        <is>
          <t>Northern continental-shelf model lacks a documented oceanic billfish or deep-pelagic compartment; assigning coastal juvenile/adult pelagic SPPR would be unsupported.</t>
        </is>
      </c>
    </row>
    <row r="94">
      <c r="A94" t="inlineStr">
        <is>
          <t>Lates calcarifer</t>
        </is>
      </c>
      <c r="B94" t="inlineStr">
        <is>
          <t>Barramundi</t>
        </is>
      </c>
      <c r="C94" t="inlineStr">
        <is>
          <t>Large demersals (&gt;=90 cm)</t>
        </is>
      </c>
      <c r="D94" t="inlineStr">
        <is>
          <t>Perch-likes</t>
        </is>
      </c>
      <c r="E94" s="7" t="inlineStr">
        <is>
          <t>Juvenile demersal fish (&gt; 30 cm) | Adult demersal fish (&gt; 30 cm)</t>
        </is>
      </c>
      <c r="F94" t="inlineStr">
        <is>
          <t>0.200 | 0.800</t>
        </is>
      </c>
      <c r="G94" t="inlineStr">
        <is>
          <t>model_catch</t>
        </is>
      </c>
      <c r="H94" t="inlineStr">
        <is>
          <t>medium</t>
        </is>
      </c>
      <c r="I94" t="inlineStr">
        <is>
          <t>composite_split</t>
        </is>
      </c>
      <c r="J94" t="n">
        <v>632668.965</v>
      </c>
      <c r="K94" t="n">
        <v>0.1632</v>
      </c>
      <c r="L94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95">
      <c r="A95" t="inlineStr">
        <is>
          <t>Carangoides</t>
        </is>
      </c>
      <c r="B95" t="inlineStr">
        <is>
          <t>Trevallies</t>
        </is>
      </c>
      <c r="C95" t="inlineStr">
        <is>
          <t>Medium reef assoc. fish (30 - 89 cm)</t>
        </is>
      </c>
      <c r="D95" t="inlineStr">
        <is>
          <t>Perch-likes</t>
        </is>
      </c>
      <c r="E95" s="7" t="inlineStr">
        <is>
          <t>Juvenile large pelagic fish | Pelagic fish (&gt; 30 cm)</t>
        </is>
      </c>
      <c r="F95" t="inlineStr">
        <is>
          <t>0.202 | 0.798</t>
        </is>
      </c>
      <c r="G95" t="inlineStr">
        <is>
          <t>model_catch</t>
        </is>
      </c>
      <c r="H95" t="inlineStr">
        <is>
          <t>medium</t>
        </is>
      </c>
      <c r="I95" t="inlineStr">
        <is>
          <t>composite_split</t>
        </is>
      </c>
      <c r="J95" t="n">
        <v>616681.8</v>
      </c>
      <c r="K95" t="n">
        <v>0.1591</v>
      </c>
      <c r="L95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</row>
    <row r="96">
      <c r="A96" t="inlineStr">
        <is>
          <t>Scomberomorus niphonius</t>
        </is>
      </c>
      <c r="B96" t="inlineStr">
        <is>
          <t>Japanese Spanish mackerel</t>
        </is>
      </c>
      <c r="C96" t="inlineStr">
        <is>
          <t>Large pelagics (&gt;=90 cm)</t>
        </is>
      </c>
      <c r="D96" t="inlineStr">
        <is>
          <t>Perch-likes</t>
        </is>
      </c>
      <c r="E96" s="7" t="inlineStr">
        <is>
          <t>Juvenile large pelagic fish | Pelagic fish (&gt; 30 cm)</t>
        </is>
      </c>
      <c r="F96" t="inlineStr">
        <is>
          <t>0.202 | 0.798</t>
        </is>
      </c>
      <c r="G96" t="inlineStr">
        <is>
          <t>model_catch</t>
        </is>
      </c>
      <c r="H96" t="inlineStr">
        <is>
          <t>medium</t>
        </is>
      </c>
      <c r="I96" t="inlineStr">
        <is>
          <t>composite_split</t>
        </is>
      </c>
      <c r="J96" t="n">
        <v>615678.066</v>
      </c>
      <c r="K96" t="n">
        <v>0.1589</v>
      </c>
      <c r="L96" s="6" t="inlineStr">
        <is>
          <t>Analyst habitat/size inference to source &gt;30 cm pelagic fish (Appendix 6.1.24 p.339); no age data, so split juvenile/adult using the period model catch.</t>
        </is>
      </c>
    </row>
    <row r="97">
      <c r="A97" t="inlineStr">
        <is>
          <t>Megalaspis cordyla</t>
        </is>
      </c>
      <c r="B97" t="inlineStr">
        <is>
          <t>Torpedo scad</t>
        </is>
      </c>
      <c r="C97" t="inlineStr">
        <is>
          <t>Medium pelagics (30 - 89 cm)</t>
        </is>
      </c>
      <c r="D97" t="inlineStr">
        <is>
          <t>Perch-likes</t>
        </is>
      </c>
      <c r="E97" s="7" t="inlineStr">
        <is>
          <t>Juvenile large pelagic fish | Pelagic fish (&gt; 30 cm)</t>
        </is>
      </c>
      <c r="F97" t="inlineStr">
        <is>
          <t>0.202 | 0.798</t>
        </is>
      </c>
      <c r="G97" t="inlineStr">
        <is>
          <t>model_catch</t>
        </is>
      </c>
      <c r="H97" t="inlineStr">
        <is>
          <t>medium</t>
        </is>
      </c>
      <c r="I97" t="inlineStr">
        <is>
          <t>composite_split</t>
        </is>
      </c>
      <c r="J97" t="n">
        <v>612069.759</v>
      </c>
      <c r="K97" t="n">
        <v>0.1579</v>
      </c>
      <c r="L97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</row>
    <row r="98">
      <c r="A98" t="inlineStr">
        <is>
          <t>Scomberomorus guttatus</t>
        </is>
      </c>
      <c r="B98" t="inlineStr">
        <is>
          <t>Indo-Pacific king mackerel</t>
        </is>
      </c>
      <c r="C98" t="inlineStr">
        <is>
          <t>Medium pelagics (30 - 89 cm)</t>
        </is>
      </c>
      <c r="D98" t="inlineStr">
        <is>
          <t>Perch-likes</t>
        </is>
      </c>
      <c r="E98" s="7" t="inlineStr">
        <is>
          <t>Juvenile large pelagic fish | Pelagic fish (&gt; 30 cm)</t>
        </is>
      </c>
      <c r="F98" t="inlineStr">
        <is>
          <t>0.202 | 0.798</t>
        </is>
      </c>
      <c r="G98" t="inlineStr">
        <is>
          <t>model_catch</t>
        </is>
      </c>
      <c r="H98" t="inlineStr">
        <is>
          <t>medium</t>
        </is>
      </c>
      <c r="I98" t="inlineStr">
        <is>
          <t>composite_split</t>
        </is>
      </c>
      <c r="J98" t="n">
        <v>588900.767</v>
      </c>
      <c r="K98" t="n">
        <v>0.1519</v>
      </c>
      <c r="L98" s="6" t="inlineStr">
        <is>
          <t>Analyst habitat/size inference to source &gt;30 cm pelagic fish (Appendix 6.1.24 p.339); no age data, so split juvenile/adult using the period model catch.</t>
        </is>
      </c>
    </row>
    <row r="99">
      <c r="A99" t="inlineStr">
        <is>
          <t>Atrobucca nibe</t>
        </is>
      </c>
      <c r="B99" t="inlineStr">
        <is>
          <t>Blackmouth croaker</t>
        </is>
      </c>
      <c r="C99" t="inlineStr">
        <is>
          <t>Medium demersals (30 - 89 cm)</t>
        </is>
      </c>
      <c r="D99" t="inlineStr">
        <is>
          <t>Perch-likes</t>
        </is>
      </c>
      <c r="E99" s="5" t="inlineStr">
        <is>
          <t>Juvenile large croakers | Croakers (&gt; 30 cm)</t>
        </is>
      </c>
      <c r="F99" t="inlineStr">
        <is>
          <t>0.200 | 0.800</t>
        </is>
      </c>
      <c r="G99" t="inlineStr">
        <is>
          <t>model_catch</t>
        </is>
      </c>
      <c r="H99" t="inlineStr">
        <is>
          <t>low</t>
        </is>
      </c>
      <c r="I99" t="inlineStr">
        <is>
          <t>composite_split</t>
        </is>
      </c>
      <c r="J99" t="n">
        <v>588586.829</v>
      </c>
      <c r="K99" t="n">
        <v>0.1519</v>
      </c>
      <c r="L99" s="6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</row>
    <row r="100">
      <c r="A100" t="inlineStr">
        <is>
          <t>Trichiuridae</t>
        </is>
      </c>
      <c r="B100" t="inlineStr">
        <is>
          <t>Cutlassfishes</t>
        </is>
      </c>
      <c r="C100" t="inlineStr">
        <is>
          <t>Large benthopelagics (&gt;=90 cm)</t>
        </is>
      </c>
      <c r="D100" t="inlineStr">
        <is>
          <t>Perch-likes</t>
        </is>
      </c>
      <c r="E100" s="7" t="inlineStr">
        <is>
          <t>Juvenile Hairtail (trichiurids) | Adult hairtail (trichiurids)</t>
        </is>
      </c>
      <c r="F100" t="inlineStr">
        <is>
          <t>0.200 | 0.800</t>
        </is>
      </c>
      <c r="G100" t="inlineStr">
        <is>
          <t>model_catch</t>
        </is>
      </c>
      <c r="H100" t="inlineStr">
        <is>
          <t>medium</t>
        </is>
      </c>
      <c r="I100" t="inlineStr">
        <is>
          <t>composite_split</t>
        </is>
      </c>
      <c r="J100" t="n">
        <v>577893.819</v>
      </c>
      <c r="K100" t="n">
        <v>0.1491</v>
      </c>
      <c r="L100" s="6" t="inlineStr">
        <is>
          <t>Appendix 6.1.12 pp.329-330 divides Trichiuridae at 18 months. Catch has no life-stage field; fixed juvenile/adult weights use this period model catch, retaining its reported selectivity.</t>
        </is>
      </c>
    </row>
    <row r="101">
      <c r="A101" t="inlineStr">
        <is>
          <t>Thunnus tonggol</t>
        </is>
      </c>
      <c r="B101" t="inlineStr">
        <is>
          <t>Longtail tuna</t>
        </is>
      </c>
      <c r="C101" t="inlineStr">
        <is>
          <t>Large pelagics (&gt;=90 cm)</t>
        </is>
      </c>
      <c r="D101" t="inlineStr">
        <is>
          <t>Tuna &amp; billfishes</t>
        </is>
      </c>
      <c r="E101" s="7" t="inlineStr">
        <is>
          <t>Juvenile large pelagic fish | Pelagic fish (&gt; 30 cm)</t>
        </is>
      </c>
      <c r="F101" t="inlineStr">
        <is>
          <t>0.202 | 0.798</t>
        </is>
      </c>
      <c r="G101" t="inlineStr">
        <is>
          <t>model_catch</t>
        </is>
      </c>
      <c r="H101" t="inlineStr">
        <is>
          <t>medium</t>
        </is>
      </c>
      <c r="I101" t="inlineStr">
        <is>
          <t>composite_split</t>
        </is>
      </c>
      <c r="J101" t="n">
        <v>559808.0919999999</v>
      </c>
      <c r="K101" t="n">
        <v>0.1444</v>
      </c>
      <c r="L101" s="6" t="inlineStr">
        <is>
          <t>Analyst habitat/size inference to source &gt;30 cm pelagic fish (Appendix 6.1.24 p.339); no age data, so split juvenile/adult using the period model catch.</t>
        </is>
      </c>
    </row>
    <row r="102">
      <c r="A102" t="inlineStr">
        <is>
          <t>Penaeus indicus</t>
        </is>
      </c>
      <c r="B102" t="inlineStr">
        <is>
          <t>Indian white prawn</t>
        </is>
      </c>
      <c r="C102" t="inlineStr">
        <is>
          <t>Shrimps</t>
        </is>
      </c>
      <c r="D102" t="inlineStr">
        <is>
          <t>Crustaceans</t>
        </is>
      </c>
      <c r="E102" s="8" t="inlineStr">
        <is>
          <t>Shrimps</t>
        </is>
      </c>
      <c r="F102" t="inlineStr"/>
      <c r="G102" t="inlineStr"/>
      <c r="H102" t="inlineStr">
        <is>
          <t>high</t>
        </is>
      </c>
      <c r="I102" t="inlineStr">
        <is>
          <t>taxonomic_containment</t>
        </is>
      </c>
      <c r="J102" t="n">
        <v>555200.22</v>
      </c>
      <c r="K102" t="n">
        <v>0.1432</v>
      </c>
      <c r="L102" s="6" t="inlineStr">
        <is>
          <t>Stomatopods belong to the residual benthic crustaceans; other shrimp taxa belong to Shrimps after the explicitly separated Acetes records (Appendix 6.1 pp.323-326).</t>
        </is>
      </c>
    </row>
    <row r="103">
      <c r="A103" t="inlineStr">
        <is>
          <t>Rhopilema esculentum</t>
        </is>
      </c>
      <c r="B103" t="inlineStr">
        <is>
          <t>Flame jellyfish</t>
        </is>
      </c>
      <c r="C103" t="inlineStr">
        <is>
          <t>Jellyfish</t>
        </is>
      </c>
      <c r="D103" t="inlineStr">
        <is>
          <t>Other fishes &amp; inverts</t>
        </is>
      </c>
      <c r="E103" s="8" t="inlineStr">
        <is>
          <t>Jellyfish</t>
        </is>
      </c>
      <c r="F103" t="inlineStr"/>
      <c r="G103" t="inlineStr"/>
      <c r="H103" t="inlineStr">
        <is>
          <t>high</t>
        </is>
      </c>
      <c r="I103" t="inlineStr">
        <is>
          <t>taxonomic_containment</t>
        </is>
      </c>
      <c r="J103" t="n">
        <v>548978.368</v>
      </c>
      <c r="K103" t="n">
        <v>0.1416</v>
      </c>
      <c r="L103" s="6" t="inlineStr">
        <is>
          <t>Appendix 6.1.4 p.324 defines jellyfish as cnidarian medusae.</t>
        </is>
      </c>
    </row>
    <row r="104">
      <c r="A104" t="inlineStr">
        <is>
          <t>Clupeiformes</t>
        </is>
      </c>
      <c r="B104" t="inlineStr">
        <is>
          <t>Herrings, shads, anchovies</t>
        </is>
      </c>
      <c r="C104" t="inlineStr">
        <is>
          <t>Small pelagics (&lt;30 cm)</t>
        </is>
      </c>
      <c r="D104" t="inlineStr">
        <is>
          <t>Other fishes &amp; inverts</t>
        </is>
      </c>
      <c r="E104" s="5" t="inlineStr">
        <is>
          <t>Pelagic fish (≤ 30 cm) | Juvenile large pelagic fish | Pelagic fish (&gt; 30 cm)</t>
        </is>
      </c>
      <c r="F104" t="inlineStr">
        <is>
          <t>0.754 | 0.050 | 0.196</t>
        </is>
      </c>
      <c r="G104" t="inlineStr">
        <is>
          <t>model_catch</t>
        </is>
      </c>
      <c r="H104" t="inlineStr">
        <is>
          <t>low</t>
        </is>
      </c>
      <c r="I104" t="inlineStr">
        <is>
          <t>composite_split</t>
        </is>
      </c>
      <c r="J104" t="n">
        <v>539337.373</v>
      </c>
      <c r="K104" t="n">
        <v>0.1392</v>
      </c>
      <c r="L104" s="6" t="inlineStr">
        <is>
          <t>Coarse clupeiform/clupeid catch can include species below and above the source 30 cm boundary; its SAU small-pelagic class does not prove all fish belong to small species. The large-species portion is split across source stanzas by period model catch.</t>
        </is>
      </c>
    </row>
    <row r="105">
      <c r="A105" t="inlineStr">
        <is>
          <t>Miichthys miiuy</t>
        </is>
      </c>
      <c r="B105" t="inlineStr">
        <is>
          <t>Mi-iuy croaker</t>
        </is>
      </c>
      <c r="C105" t="inlineStr">
        <is>
          <t>Medium demersals (30 - 89 cm)</t>
        </is>
      </c>
      <c r="D105" t="inlineStr">
        <is>
          <t>Perch-likes</t>
        </is>
      </c>
      <c r="E105" s="5" t="inlineStr">
        <is>
          <t>Juvenile large croakers | Croakers (&gt; 30 cm)</t>
        </is>
      </c>
      <c r="F105" t="inlineStr">
        <is>
          <t>0.200 | 0.800</t>
        </is>
      </c>
      <c r="G105" t="inlineStr">
        <is>
          <t>model_catch</t>
        </is>
      </c>
      <c r="H105" t="inlineStr">
        <is>
          <t>low</t>
        </is>
      </c>
      <c r="I105" t="inlineStr">
        <is>
          <t>composite_split</t>
        </is>
      </c>
      <c r="J105" t="n">
        <v>538900.161</v>
      </c>
      <c r="K105" t="n">
        <v>0.139</v>
      </c>
      <c r="L105" s="6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</row>
    <row r="106">
      <c r="A106" t="inlineStr">
        <is>
          <t>Platycephalidae</t>
        </is>
      </c>
      <c r="B106" t="inlineStr">
        <is>
          <t>Flatheads</t>
        </is>
      </c>
      <c r="C106" t="inlineStr">
        <is>
          <t>Medium demersals (30 - 89 cm)</t>
        </is>
      </c>
      <c r="D106" t="inlineStr">
        <is>
          <t>Scorpionfishes</t>
        </is>
      </c>
      <c r="E106" s="7" t="inlineStr">
        <is>
          <t>Juvenile demersal fish (&gt; 30 cm) | Adult demersal fish (&gt; 30 cm)</t>
        </is>
      </c>
      <c r="F106" t="inlineStr">
        <is>
          <t>0.200 | 0.800</t>
        </is>
      </c>
      <c r="G106" t="inlineStr">
        <is>
          <t>model_catch</t>
        </is>
      </c>
      <c r="H106" t="inlineStr">
        <is>
          <t>medium</t>
        </is>
      </c>
      <c r="I106" t="inlineStr">
        <is>
          <t>composite_split</t>
        </is>
      </c>
      <c r="J106" t="n">
        <v>533637.836</v>
      </c>
      <c r="K106" t="n">
        <v>0.1377</v>
      </c>
      <c r="L106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107">
      <c r="A107" t="inlineStr">
        <is>
          <t>Lutjanidae</t>
        </is>
      </c>
      <c r="B107" t="inlineStr">
        <is>
          <t>Snappers</t>
        </is>
      </c>
      <c r="C107" t="inlineStr">
        <is>
          <t>Medium reef assoc. fish (30 - 89 cm)</t>
        </is>
      </c>
      <c r="D107" t="inlineStr">
        <is>
          <t>Perch-likes</t>
        </is>
      </c>
      <c r="E107" s="8" t="inlineStr">
        <is>
          <t>Snappers</t>
        </is>
      </c>
      <c r="F107" t="inlineStr"/>
      <c r="G107" t="inlineStr"/>
      <c r="H107" t="inlineStr">
        <is>
          <t>high</t>
        </is>
      </c>
      <c r="I107" t="inlineStr">
        <is>
          <t>taxonomic_containment</t>
        </is>
      </c>
      <c r="J107" t="n">
        <v>517939.381</v>
      </c>
      <c r="K107" t="n">
        <v>0.1336</v>
      </c>
      <c r="L107" s="6" t="inlineStr">
        <is>
          <t>Appendix 6.1 pp.327-335 defines Snappers by this family or explicitly names Lutjanidae; dedicated source placement overrides the SAU class Medium reef assoc. fish (30 - 89 cm).</t>
        </is>
      </c>
    </row>
    <row r="108">
      <c r="A108" t="inlineStr">
        <is>
          <t>Chelidonichthys kumu</t>
        </is>
      </c>
      <c r="B108" t="inlineStr">
        <is>
          <t>Bluefin gurnard</t>
        </is>
      </c>
      <c r="C108" t="inlineStr">
        <is>
          <t>Medium demersals (30 - 89 cm)</t>
        </is>
      </c>
      <c r="D108" t="inlineStr">
        <is>
          <t>Scorpionfishes</t>
        </is>
      </c>
      <c r="E108" s="7" t="inlineStr">
        <is>
          <t>Juvenile demersal fish (&gt; 30 cm) | Adult demersal fish (&gt; 30 cm)</t>
        </is>
      </c>
      <c r="F108" t="inlineStr">
        <is>
          <t>0.200 | 0.800</t>
        </is>
      </c>
      <c r="G108" t="inlineStr">
        <is>
          <t>model_catch</t>
        </is>
      </c>
      <c r="H108" t="inlineStr">
        <is>
          <t>medium</t>
        </is>
      </c>
      <c r="I108" t="inlineStr">
        <is>
          <t>composite_split</t>
        </is>
      </c>
      <c r="J108" t="n">
        <v>511849.701</v>
      </c>
      <c r="K108" t="n">
        <v>0.1321</v>
      </c>
      <c r="L108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109">
      <c r="A109" t="inlineStr">
        <is>
          <t>Chirocentrus dorab</t>
        </is>
      </c>
      <c r="B109" t="inlineStr">
        <is>
          <t>Dorab wolf-herring</t>
        </is>
      </c>
      <c r="C109" t="inlineStr">
        <is>
          <t>Large benthopelagics (&gt;=90 cm)</t>
        </is>
      </c>
      <c r="D109" t="inlineStr">
        <is>
          <t>Herring-likes</t>
        </is>
      </c>
      <c r="E109" s="5" t="inlineStr">
        <is>
          <t>Benthopelagic fish</t>
        </is>
      </c>
      <c r="F109" t="inlineStr"/>
      <c r="G109" t="inlineStr"/>
      <c r="H109" t="inlineStr">
        <is>
          <t>low</t>
        </is>
      </c>
      <c r="I109" t="inlineStr">
        <is>
          <t>habitat_size_guild</t>
        </is>
      </c>
      <c r="J109" t="n">
        <v>505880.763</v>
      </c>
      <c r="K109" t="n">
        <v>0.1305</v>
      </c>
      <c r="L109" s="6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</row>
    <row r="110">
      <c r="A110" t="inlineStr">
        <is>
          <t>Parapenaeopsis</t>
        </is>
      </c>
      <c r="B110" t="inlineStr">
        <is>
          <t>Leafy-legged shrimps</t>
        </is>
      </c>
      <c r="C110" t="inlineStr">
        <is>
          <t>Shrimps</t>
        </is>
      </c>
      <c r="D110" t="inlineStr">
        <is>
          <t>Crustaceans</t>
        </is>
      </c>
      <c r="E110" s="8" t="inlineStr">
        <is>
          <t>Shrimps</t>
        </is>
      </c>
      <c r="F110" t="inlineStr"/>
      <c r="G110" t="inlineStr"/>
      <c r="H110" t="inlineStr">
        <is>
          <t>high</t>
        </is>
      </c>
      <c r="I110" t="inlineStr">
        <is>
          <t>taxonomic_containment</t>
        </is>
      </c>
      <c r="J110" t="n">
        <v>502329.698</v>
      </c>
      <c r="K110" t="n">
        <v>0.1296</v>
      </c>
      <c r="L110" s="6" t="inlineStr">
        <is>
          <t>Stomatopods belong to the residual benthic crustaceans; other shrimp taxa belong to Shrimps after the explicitly separated Acetes records (Appendix 6.1 pp.323-326).</t>
        </is>
      </c>
    </row>
    <row r="111">
      <c r="A111" t="inlineStr">
        <is>
          <t>Lutjanus malabaricus</t>
        </is>
      </c>
      <c r="B111" t="inlineStr">
        <is>
          <t>Malabar blood snapper</t>
        </is>
      </c>
      <c r="C111" t="inlineStr">
        <is>
          <t>Medium reef assoc. fish (30 - 89 cm)</t>
        </is>
      </c>
      <c r="D111" t="inlineStr">
        <is>
          <t>Perch-likes</t>
        </is>
      </c>
      <c r="E111" s="8" t="inlineStr">
        <is>
          <t>Snappers</t>
        </is>
      </c>
      <c r="F111" t="inlineStr"/>
      <c r="G111" t="inlineStr"/>
      <c r="H111" t="inlineStr">
        <is>
          <t>high</t>
        </is>
      </c>
      <c r="I111" t="inlineStr">
        <is>
          <t>taxonomic_containment</t>
        </is>
      </c>
      <c r="J111" t="n">
        <v>484204.484</v>
      </c>
      <c r="K111" t="n">
        <v>0.1249</v>
      </c>
      <c r="L111" s="6" t="inlineStr">
        <is>
          <t>Appendix 6.1 pp.327-335 defines Snappers by this family or explicitly names Lutjanus malabaricus; dedicated source placement overrides the SAU class Medium reef assoc. fish (30 - 89 cm).</t>
        </is>
      </c>
    </row>
    <row r="112">
      <c r="A112" t="inlineStr">
        <is>
          <t>Charybdis</t>
        </is>
      </c>
      <c r="B112" t="inlineStr">
        <is>
          <t>Whirlpool swimming crabs</t>
        </is>
      </c>
      <c r="C112" t="inlineStr">
        <is>
          <t>Lobsters, crabs</t>
        </is>
      </c>
      <c r="D112" t="inlineStr">
        <is>
          <t>Crustaceans</t>
        </is>
      </c>
      <c r="E112" s="8" t="inlineStr">
        <is>
          <t>Crabs</t>
        </is>
      </c>
      <c r="F112" t="inlineStr"/>
      <c r="G112" t="inlineStr"/>
      <c r="H112" t="inlineStr">
        <is>
          <t>high</t>
        </is>
      </c>
      <c r="I112" t="inlineStr">
        <is>
          <t>taxonomic_containment</t>
        </is>
      </c>
      <c r="J112" t="n">
        <v>478310.795</v>
      </c>
      <c r="K112" t="n">
        <v>0.1234</v>
      </c>
      <c r="L112" s="6" t="inlineStr">
        <is>
          <t>Source benthic crustaceans exclude shrimps and crabs (Appendix 6.1.5 p.324); lobsters remain in that residual, while true crabs use Crabs.</t>
        </is>
      </c>
    </row>
    <row r="113">
      <c r="A113" t="inlineStr">
        <is>
          <t>Penaeus japonicus</t>
        </is>
      </c>
      <c r="B113" t="inlineStr">
        <is>
          <t>Kuruma prawn</t>
        </is>
      </c>
      <c r="C113" t="inlineStr">
        <is>
          <t>Shrimps</t>
        </is>
      </c>
      <c r="D113" t="inlineStr">
        <is>
          <t>Crustaceans</t>
        </is>
      </c>
      <c r="E113" s="8" t="inlineStr">
        <is>
          <t>Shrimps</t>
        </is>
      </c>
      <c r="F113" t="inlineStr"/>
      <c r="G113" t="inlineStr"/>
      <c r="H113" t="inlineStr">
        <is>
          <t>high</t>
        </is>
      </c>
      <c r="I113" t="inlineStr">
        <is>
          <t>taxonomic_containment</t>
        </is>
      </c>
      <c r="J113" t="n">
        <v>464825.23</v>
      </c>
      <c r="K113" t="n">
        <v>0.1199</v>
      </c>
      <c r="L113" s="6" t="inlineStr">
        <is>
          <t>Stomatopods belong to the residual benthic crustaceans; other shrimp taxa belong to Shrimps after the explicitly separated Acetes records (Appendix 6.1 pp.323-326).</t>
        </is>
      </c>
    </row>
    <row r="114">
      <c r="A114" t="inlineStr">
        <is>
          <t>Caesionidae</t>
        </is>
      </c>
      <c r="B114" t="inlineStr">
        <is>
          <t>Fusiliers</t>
        </is>
      </c>
      <c r="C114" t="inlineStr">
        <is>
          <t>Medium reef assoc. fish (30 - 89 cm)</t>
        </is>
      </c>
      <c r="D114" t="inlineStr">
        <is>
          <t>Perch-likes</t>
        </is>
      </c>
      <c r="E114" s="7" t="inlineStr">
        <is>
          <t>Juvenile demersal fish (&gt; 30 cm) | Adult demersal fish (&gt; 30 cm)</t>
        </is>
      </c>
      <c r="F114" t="inlineStr">
        <is>
          <t>0.200 | 0.800</t>
        </is>
      </c>
      <c r="G114" t="inlineStr">
        <is>
          <t>model_catch</t>
        </is>
      </c>
      <c r="H114" t="inlineStr">
        <is>
          <t>medium</t>
        </is>
      </c>
      <c r="I114" t="inlineStr">
        <is>
          <t>composite_split</t>
        </is>
      </c>
      <c r="J114" t="n">
        <v>463221.115</v>
      </c>
      <c r="K114" t="n">
        <v>0.1195</v>
      </c>
      <c r="L114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115">
      <c r="A115" t="inlineStr">
        <is>
          <t>Trichiurus</t>
        </is>
      </c>
      <c r="B115" t="inlineStr">
        <is>
          <t>Hairtails</t>
        </is>
      </c>
      <c r="C115" t="inlineStr">
        <is>
          <t>Large benthopelagics (&gt;=90 cm)</t>
        </is>
      </c>
      <c r="D115" t="inlineStr">
        <is>
          <t>Perch-likes</t>
        </is>
      </c>
      <c r="E115" s="7" t="inlineStr">
        <is>
          <t>Juvenile Hairtail (trichiurids) | Adult hairtail (trichiurids)</t>
        </is>
      </c>
      <c r="F115" t="inlineStr">
        <is>
          <t>0.200 | 0.800</t>
        </is>
      </c>
      <c r="G115" t="inlineStr">
        <is>
          <t>model_catch</t>
        </is>
      </c>
      <c r="H115" t="inlineStr">
        <is>
          <t>medium</t>
        </is>
      </c>
      <c r="I115" t="inlineStr">
        <is>
          <t>composite_split</t>
        </is>
      </c>
      <c r="J115" t="n">
        <v>448520.701</v>
      </c>
      <c r="K115" t="n">
        <v>0.1157</v>
      </c>
      <c r="L115" s="6" t="inlineStr">
        <is>
          <t>Appendix 6.1.12 pp.329-330 divides Trichiuridae at 18 months. Catch has no life-stage field; fixed juvenile/adult weights use this period model catch, retaining its reported selectivity.</t>
        </is>
      </c>
    </row>
    <row r="116">
      <c r="A116" t="inlineStr">
        <is>
          <t>Sphyraena</t>
        </is>
      </c>
      <c r="B116" t="inlineStr">
        <is>
          <t>Barracudas, sennets</t>
        </is>
      </c>
      <c r="C116" t="inlineStr">
        <is>
          <t>Large pelagics (&gt;=90 cm)</t>
        </is>
      </c>
      <c r="D116" t="inlineStr">
        <is>
          <t>Perch-likes</t>
        </is>
      </c>
      <c r="E116" s="7" t="inlineStr">
        <is>
          <t>Juvenile large pelagic fish | Pelagic fish (&gt; 30 cm)</t>
        </is>
      </c>
      <c r="F116" t="inlineStr">
        <is>
          <t>0.202 | 0.798</t>
        </is>
      </c>
      <c r="G116" t="inlineStr">
        <is>
          <t>model_catch</t>
        </is>
      </c>
      <c r="H116" t="inlineStr">
        <is>
          <t>medium</t>
        </is>
      </c>
      <c r="I116" t="inlineStr">
        <is>
          <t>composite_split</t>
        </is>
      </c>
      <c r="J116" t="n">
        <v>444174.863</v>
      </c>
      <c r="K116" t="n">
        <v>0.1146</v>
      </c>
      <c r="L116" s="6" t="inlineStr">
        <is>
          <t>Analyst habitat/size inference to source &gt;30 cm pelagic fish (Appendix 6.1.24 p.339); no age data, so split juvenile/adult using the period model catch.</t>
        </is>
      </c>
    </row>
    <row r="117">
      <c r="A117" t="inlineStr">
        <is>
          <t>Metapenaeus</t>
        </is>
      </c>
      <c r="B117" t="inlineStr">
        <is>
          <t>Indo-Pacific prawns</t>
        </is>
      </c>
      <c r="C117" t="inlineStr">
        <is>
          <t>Shrimps</t>
        </is>
      </c>
      <c r="D117" t="inlineStr">
        <is>
          <t>Crustaceans</t>
        </is>
      </c>
      <c r="E117" s="8" t="inlineStr">
        <is>
          <t>Shrimps</t>
        </is>
      </c>
      <c r="F117" t="inlineStr"/>
      <c r="G117" t="inlineStr"/>
      <c r="H117" t="inlineStr">
        <is>
          <t>high</t>
        </is>
      </c>
      <c r="I117" t="inlineStr">
        <is>
          <t>taxonomic_containment</t>
        </is>
      </c>
      <c r="J117" t="n">
        <v>443125.392</v>
      </c>
      <c r="K117" t="n">
        <v>0.1143</v>
      </c>
      <c r="L117" s="6" t="inlineStr">
        <is>
          <t>Stomatopods belong to the residual benthic crustaceans; other shrimp taxa belong to Shrimps after the explicitly separated Acetes records (Appendix 6.1 pp.323-326).</t>
        </is>
      </c>
    </row>
    <row r="118">
      <c r="A118" t="inlineStr">
        <is>
          <t>Pennahia</t>
        </is>
      </c>
      <c r="B118" t="inlineStr">
        <is>
          <t>Pennah croakers</t>
        </is>
      </c>
      <c r="C118" t="inlineStr">
        <is>
          <t>Medium benthopelagics (30 - 89 cm)</t>
        </is>
      </c>
      <c r="D118" t="inlineStr">
        <is>
          <t>Perch-likes</t>
        </is>
      </c>
      <c r="E118" s="8" t="inlineStr">
        <is>
          <t>Croakers (≤ 30 cm)</t>
        </is>
      </c>
      <c r="F118" t="inlineStr"/>
      <c r="G118" t="inlineStr"/>
      <c r="H118" t="inlineStr">
        <is>
          <t>high</t>
        </is>
      </c>
      <c r="I118" t="inlineStr">
        <is>
          <t>explicit_member</t>
        </is>
      </c>
      <c r="J118" t="n">
        <v>433578.719</v>
      </c>
      <c r="K118" t="n">
        <v>0.1119</v>
      </c>
      <c r="L118" s="6" t="inlineStr">
        <is>
          <t>Appendix 6.1 pp.327-335 defines Croakers (≤ 30 cm) by this family or explicitly names Pennahia; dedicated source placement overrides the SAU class Medium benthopelagics (30 - 89 cm).</t>
        </is>
      </c>
    </row>
    <row r="119">
      <c r="A119" t="inlineStr">
        <is>
          <t>Selar crumenophthalmus</t>
        </is>
      </c>
      <c r="B119" t="inlineStr">
        <is>
          <t>Bigeye scad</t>
        </is>
      </c>
      <c r="C119" t="inlineStr">
        <is>
          <t>Medium pelagics (30 - 89 cm)</t>
        </is>
      </c>
      <c r="D119" t="inlineStr">
        <is>
          <t>Perch-likes</t>
        </is>
      </c>
      <c r="E119" s="7" t="inlineStr">
        <is>
          <t>Juvenile large pelagic fish | Pelagic fish (&gt; 30 cm)</t>
        </is>
      </c>
      <c r="F119" t="inlineStr">
        <is>
          <t>0.202 | 0.798</t>
        </is>
      </c>
      <c r="G119" t="inlineStr">
        <is>
          <t>model_catch</t>
        </is>
      </c>
      <c r="H119" t="inlineStr">
        <is>
          <t>medium</t>
        </is>
      </c>
      <c r="I119" t="inlineStr">
        <is>
          <t>composite_split</t>
        </is>
      </c>
      <c r="J119" t="n">
        <v>421913.755</v>
      </c>
      <c r="K119" t="n">
        <v>0.1089</v>
      </c>
      <c r="L119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</row>
    <row r="120">
      <c r="A120" t="inlineStr">
        <is>
          <t>Penaeus</t>
        </is>
      </c>
      <c r="B120" t="inlineStr">
        <is>
          <t>Tiger prawns</t>
        </is>
      </c>
      <c r="C120" t="inlineStr">
        <is>
          <t>Shrimps</t>
        </is>
      </c>
      <c r="D120" t="inlineStr">
        <is>
          <t>Crustaceans</t>
        </is>
      </c>
      <c r="E120" s="8" t="inlineStr">
        <is>
          <t>Shrimps</t>
        </is>
      </c>
      <c r="F120" t="inlineStr"/>
      <c r="G120" t="inlineStr"/>
      <c r="H120" t="inlineStr">
        <is>
          <t>high</t>
        </is>
      </c>
      <c r="I120" t="inlineStr">
        <is>
          <t>taxonomic_containment</t>
        </is>
      </c>
      <c r="J120" t="n">
        <v>403968.297</v>
      </c>
      <c r="K120" t="n">
        <v>0.1042</v>
      </c>
      <c r="L120" s="6" t="inlineStr">
        <is>
          <t>Stomatopods belong to the residual benthic crustaceans; other shrimp taxa belong to Shrimps after the explicitly separated Acetes records (Appendix 6.1 pp.323-326).</t>
        </is>
      </c>
    </row>
    <row r="121">
      <c r="A121" t="inlineStr">
        <is>
          <t>Himantura</t>
        </is>
      </c>
      <c r="B121" t="inlineStr">
        <is>
          <t>Whiprays</t>
        </is>
      </c>
      <c r="C121" t="inlineStr">
        <is>
          <t>Large rays (&gt;=90 cm)</t>
        </is>
      </c>
      <c r="D121" t="inlineStr">
        <is>
          <t>Sharks &amp; rays</t>
        </is>
      </c>
      <c r="E121" s="7" t="inlineStr">
        <is>
          <t>Demersal sharks and rays</t>
        </is>
      </c>
      <c r="F121" t="inlineStr"/>
      <c r="G121" t="inlineStr"/>
      <c r="H121" t="inlineStr">
        <is>
          <t>medium</t>
        </is>
      </c>
      <c r="I121" t="inlineStr">
        <is>
          <t>habitat_size_guild</t>
        </is>
      </c>
      <c r="J121" t="n">
        <v>379841.387</v>
      </c>
      <c r="K121" t="n">
        <v>0.098</v>
      </c>
      <c r="L121" s="6" t="inlineStr">
        <is>
          <t>Demersal/benthic ray or houndshark lineage matches the demersal elasmobranch definition, Appendix 6.1.25 p.340; species placement is analyst inference.</t>
        </is>
      </c>
    </row>
    <row r="122">
      <c r="A122" t="inlineStr">
        <is>
          <t>Menidae</t>
        </is>
      </c>
      <c r="B122" t="inlineStr">
        <is>
          <t>Moonfishes</t>
        </is>
      </c>
      <c r="C122" t="inlineStr">
        <is>
          <t>Medium reef assoc. fish (30 - 89 cm)</t>
        </is>
      </c>
      <c r="D122" t="inlineStr">
        <is>
          <t>Perch-likes</t>
        </is>
      </c>
      <c r="E122" s="5" t="inlineStr">
        <is>
          <t>Benthopelagic fish</t>
        </is>
      </c>
      <c r="F122" t="inlineStr"/>
      <c r="G122" t="inlineStr"/>
      <c r="H122" t="inlineStr">
        <is>
          <t>low</t>
        </is>
      </c>
      <c r="I122" t="inlineStr">
        <is>
          <t>habitat_size_guild</t>
        </is>
      </c>
      <c r="J122" t="n">
        <v>371399.477</v>
      </c>
      <c r="K122" t="n">
        <v>0.0958</v>
      </c>
      <c r="L122" s="6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</row>
    <row r="123">
      <c r="A123" t="inlineStr">
        <is>
          <t>Scolopsis</t>
        </is>
      </c>
      <c r="B123" t="inlineStr">
        <is>
          <t>Monocle breams</t>
        </is>
      </c>
      <c r="C123" t="inlineStr">
        <is>
          <t>Small reef assoc. fish (&lt;30 cm)</t>
        </is>
      </c>
      <c r="D123" t="inlineStr">
        <is>
          <t>Perch-likes</t>
        </is>
      </c>
      <c r="E123" s="8" t="inlineStr">
        <is>
          <t>Threadfin bream (nemipterids)</t>
        </is>
      </c>
      <c r="F123" t="inlineStr"/>
      <c r="G123" t="inlineStr"/>
      <c r="H123" t="inlineStr">
        <is>
          <t>high</t>
        </is>
      </c>
      <c r="I123" t="inlineStr">
        <is>
          <t>taxonomic_containment</t>
        </is>
      </c>
      <c r="J123" t="n">
        <v>364074.701</v>
      </c>
      <c r="K123" t="n">
        <v>0.0939</v>
      </c>
      <c r="L123" s="6" t="inlineStr">
        <is>
          <t>Appendix 6.1 pp.327-335 defines Threadfin bream (nemipterids) by this family or explicitly names Scolopsis; dedicated source placement overrides the SAU class Small reef assoc. fish (&lt;30 cm).</t>
        </is>
      </c>
    </row>
    <row r="124">
      <c r="A124" t="inlineStr">
        <is>
          <t>Siganus</t>
        </is>
      </c>
      <c r="B124" t="inlineStr">
        <is>
          <t>Spinefoots</t>
        </is>
      </c>
      <c r="C124" t="inlineStr">
        <is>
          <t>Medium reef assoc. fish (30 - 89 cm)</t>
        </is>
      </c>
      <c r="D124" t="inlineStr">
        <is>
          <t>Perch-likes</t>
        </is>
      </c>
      <c r="E124" s="7" t="inlineStr">
        <is>
          <t>Juvenile demersal fish (&gt; 30 cm) | Adult demersal fish (&gt; 30 cm)</t>
        </is>
      </c>
      <c r="F124" t="inlineStr">
        <is>
          <t>0.200 | 0.800</t>
        </is>
      </c>
      <c r="G124" t="inlineStr">
        <is>
          <t>model_catch</t>
        </is>
      </c>
      <c r="H124" t="inlineStr">
        <is>
          <t>medium</t>
        </is>
      </c>
      <c r="I124" t="inlineStr">
        <is>
          <t>composite_split</t>
        </is>
      </c>
      <c r="J124" t="n">
        <v>362007.933</v>
      </c>
      <c r="K124" t="n">
        <v>0.0934</v>
      </c>
      <c r="L124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125">
      <c r="A125" t="inlineStr">
        <is>
          <t>Pagrus auratus</t>
        </is>
      </c>
      <c r="B125" t="inlineStr">
        <is>
          <t>Silver seabream</t>
        </is>
      </c>
      <c r="C125" t="inlineStr">
        <is>
          <t>Large demersals (&gt;=90 cm)</t>
        </is>
      </c>
      <c r="D125" t="inlineStr">
        <is>
          <t>Perch-likes</t>
        </is>
      </c>
      <c r="E125" s="7" t="inlineStr">
        <is>
          <t>Juvenile demersal fish (&gt; 30 cm) | Adult demersal fish (&gt; 30 cm)</t>
        </is>
      </c>
      <c r="F125" t="inlineStr">
        <is>
          <t>0.200 | 0.800</t>
        </is>
      </c>
      <c r="G125" t="inlineStr">
        <is>
          <t>model_catch</t>
        </is>
      </c>
      <c r="H125" t="inlineStr">
        <is>
          <t>medium</t>
        </is>
      </c>
      <c r="I125" t="inlineStr">
        <is>
          <t>composite_split</t>
        </is>
      </c>
      <c r="J125" t="n">
        <v>354062.162</v>
      </c>
      <c r="K125" t="n">
        <v>0.0914</v>
      </c>
      <c r="L125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126">
      <c r="A126" t="inlineStr">
        <is>
          <t>Nemipterus hexodon</t>
        </is>
      </c>
      <c r="B126" t="inlineStr">
        <is>
          <t>Ornate threadfin bream</t>
        </is>
      </c>
      <c r="C126" t="inlineStr">
        <is>
          <t>Small demersals (&lt;30 cm)</t>
        </is>
      </c>
      <c r="D126" t="inlineStr">
        <is>
          <t>Perch-likes</t>
        </is>
      </c>
      <c r="E126" s="8" t="inlineStr">
        <is>
          <t>Threadfin bream (nemipterids)</t>
        </is>
      </c>
      <c r="F126" t="inlineStr"/>
      <c r="G126" t="inlineStr"/>
      <c r="H126" t="inlineStr">
        <is>
          <t>high</t>
        </is>
      </c>
      <c r="I126" t="inlineStr">
        <is>
          <t>taxonomic_containment</t>
        </is>
      </c>
      <c r="J126" t="n">
        <v>353362.395</v>
      </c>
      <c r="K126" t="n">
        <v>0.0912</v>
      </c>
      <c r="L126" s="6" t="inlineStr">
        <is>
          <t>Appendix 6.1 pp.327-335 defines Threadfin bream (nemipterids) by this family or explicitly names Nemipterus hexodon; dedicated source placement overrides the SAU class Small demersals (&lt;30 cm).</t>
        </is>
      </c>
    </row>
    <row r="127">
      <c r="A127" t="inlineStr">
        <is>
          <t>Penaeus penicillatus</t>
        </is>
      </c>
      <c r="B127" t="inlineStr">
        <is>
          <t>Redtail prawn</t>
        </is>
      </c>
      <c r="C127" t="inlineStr">
        <is>
          <t>Shrimps</t>
        </is>
      </c>
      <c r="D127" t="inlineStr">
        <is>
          <t>Crustaceans</t>
        </is>
      </c>
      <c r="E127" s="8" t="inlineStr">
        <is>
          <t>Shrimps</t>
        </is>
      </c>
      <c r="F127" t="inlineStr"/>
      <c r="G127" t="inlineStr"/>
      <c r="H127" t="inlineStr">
        <is>
          <t>high</t>
        </is>
      </c>
      <c r="I127" t="inlineStr">
        <is>
          <t>taxonomic_containment</t>
        </is>
      </c>
      <c r="J127" t="n">
        <v>343865.889</v>
      </c>
      <c r="K127" t="n">
        <v>0.0887</v>
      </c>
      <c r="L127" s="6" t="inlineStr">
        <is>
          <t>Stomatopods belong to the residual benthic crustaceans; other shrimp taxa belong to Shrimps after the explicitly separated Acetes records (Appendix 6.1 pp.323-326).</t>
        </is>
      </c>
    </row>
    <row r="128">
      <c r="A128" t="inlineStr">
        <is>
          <t>Thunnus obesus</t>
        </is>
      </c>
      <c r="B128" t="inlineStr">
        <is>
          <t>Bigeye tuna</t>
        </is>
      </c>
      <c r="C128" t="inlineStr">
        <is>
          <t>Large pelagics (&gt;=90 cm)</t>
        </is>
      </c>
      <c r="D128" t="inlineStr">
        <is>
          <t>Tuna &amp; billfishes</t>
        </is>
      </c>
      <c r="E128" s="7" t="inlineStr">
        <is>
          <t>Juvenile large pelagic fish | Pelagic fish (&gt; 30 cm)</t>
        </is>
      </c>
      <c r="F128" t="inlineStr">
        <is>
          <t>0.202 | 0.798</t>
        </is>
      </c>
      <c r="G128" t="inlineStr">
        <is>
          <t>model_catch</t>
        </is>
      </c>
      <c r="H128" t="inlineStr">
        <is>
          <t>medium</t>
        </is>
      </c>
      <c r="I128" t="inlineStr">
        <is>
          <t>composite_split</t>
        </is>
      </c>
      <c r="J128" t="n">
        <v>339239.903</v>
      </c>
      <c r="K128" t="n">
        <v>0.08749999999999999</v>
      </c>
      <c r="L128" s="6" t="inlineStr">
        <is>
          <t>Analyst habitat/size inference to source &gt;30 cm pelagic fish (Appendix 6.1.24 p.339); no age data, so split juvenile/adult using the period model catch.</t>
        </is>
      </c>
    </row>
    <row r="129">
      <c r="A129" t="inlineStr">
        <is>
          <t>Muraenesocidae</t>
        </is>
      </c>
      <c r="B129" t="inlineStr">
        <is>
          <t>Pike congers</t>
        </is>
      </c>
      <c r="C129" t="inlineStr">
        <is>
          <t>Large demersals (&gt;=90 cm)</t>
        </is>
      </c>
      <c r="D129" t="inlineStr">
        <is>
          <t>Other fishes &amp; inverts</t>
        </is>
      </c>
      <c r="E129" s="7" t="inlineStr">
        <is>
          <t>Juvenile demersal fish (&gt; 30 cm) | Adult demersal fish (&gt; 30 cm)</t>
        </is>
      </c>
      <c r="F129" t="inlineStr">
        <is>
          <t>0.200 | 0.800</t>
        </is>
      </c>
      <c r="G129" t="inlineStr">
        <is>
          <t>model_catch</t>
        </is>
      </c>
      <c r="H129" t="inlineStr">
        <is>
          <t>medium</t>
        </is>
      </c>
      <c r="I129" t="inlineStr">
        <is>
          <t>composite_split</t>
        </is>
      </c>
      <c r="J129" t="n">
        <v>332602.937</v>
      </c>
      <c r="K129" t="n">
        <v>0.0858</v>
      </c>
      <c r="L129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130">
      <c r="A130" t="inlineStr">
        <is>
          <t>Dussumieria acuta</t>
        </is>
      </c>
      <c r="B130" t="inlineStr">
        <is>
          <t>Rainbow sardine</t>
        </is>
      </c>
      <c r="C130" t="inlineStr">
        <is>
          <t>Small pelagics (&lt;30 cm)</t>
        </is>
      </c>
      <c r="D130" t="inlineStr">
        <is>
          <t>Herring-likes</t>
        </is>
      </c>
      <c r="E130" s="7" t="inlineStr">
        <is>
          <t>Pelagic fish (≤ 30 cm)</t>
        </is>
      </c>
      <c r="F130" t="inlineStr"/>
      <c r="G130" t="inlineStr"/>
      <c r="H130" t="inlineStr">
        <is>
          <t>medium</t>
        </is>
      </c>
      <c r="I130" t="inlineStr">
        <is>
          <t>habitat_size_guild</t>
        </is>
      </c>
      <c r="J130" t="n">
        <v>321622.662</v>
      </c>
      <c r="K130" t="n">
        <v>0.083</v>
      </c>
      <c r="L130" s="6" t="inlineStr">
        <is>
          <t>Source small-pelagic pool explicitly includes sardines, thryssa and anchovies (Appendix 6.1.23 p.338); extension to the catch lineage uses SAU size as a proxy and is not a full species list.</t>
        </is>
      </c>
    </row>
    <row r="131">
      <c r="A131" t="inlineStr">
        <is>
          <t>Pennahia argentata</t>
        </is>
      </c>
      <c r="B131" t="inlineStr">
        <is>
          <t>Silver croaker</t>
        </is>
      </c>
      <c r="C131" t="inlineStr">
        <is>
          <t>Medium benthopelagics (30 - 89 cm)</t>
        </is>
      </c>
      <c r="D131" t="inlineStr">
        <is>
          <t>Perch-likes</t>
        </is>
      </c>
      <c r="E131" s="8" t="inlineStr">
        <is>
          <t>Croakers (≤ 30 cm)</t>
        </is>
      </c>
      <c r="F131" t="inlineStr"/>
      <c r="G131" t="inlineStr"/>
      <c r="H131" t="inlineStr">
        <is>
          <t>high</t>
        </is>
      </c>
      <c r="I131" t="inlineStr">
        <is>
          <t>explicit_member</t>
        </is>
      </c>
      <c r="J131" t="n">
        <v>317044.811</v>
      </c>
      <c r="K131" t="n">
        <v>0.0818</v>
      </c>
      <c r="L131" s="6" t="inlineStr">
        <is>
          <t>Appendix 6.1 pp.327-335 defines Croakers (≤ 30 cm) by this family or explicitly names Pennahia argentata; dedicated source placement overrides the SAU class Medium benthopelagics (30 - 89 cm).</t>
        </is>
      </c>
    </row>
    <row r="132">
      <c r="A132" t="inlineStr">
        <is>
          <t>Stephanolepis cirrhifer</t>
        </is>
      </c>
      <c r="B132" t="inlineStr">
        <is>
          <t>Threadsail filefish</t>
        </is>
      </c>
      <c r="C132" t="inlineStr">
        <is>
          <t>Small demersals (&lt;30 cm)</t>
        </is>
      </c>
      <c r="D132" t="inlineStr">
        <is>
          <t>Other fishes &amp; inverts</t>
        </is>
      </c>
      <c r="E132" s="7" t="inlineStr">
        <is>
          <t>Demesral fish (≤ 30 cm)</t>
        </is>
      </c>
      <c r="F132" t="inlineStr"/>
      <c r="G132" t="inlineStr"/>
      <c r="H132" t="inlineStr">
        <is>
          <t>medium</t>
        </is>
      </c>
      <c r="I132" t="inlineStr">
        <is>
          <t>habitat_size_guild</t>
        </is>
      </c>
      <c r="J132" t="n">
        <v>314941.948</v>
      </c>
      <c r="K132" t="n">
        <v>0.0813</v>
      </c>
      <c r="L132" s="6" t="inlineStr">
        <is>
          <t>Analyst habitat/size inference: small demersal or reef-associated fish after excluding dedicated taxonomic groups, matching Appendix 6.1.19 &lt;=30 cm residual demersal pool.</t>
        </is>
      </c>
    </row>
    <row r="133">
      <c r="A133" t="inlineStr">
        <is>
          <t>Stromateidae</t>
        </is>
      </c>
      <c r="B133" t="inlineStr">
        <is>
          <t>Butterfishes</t>
        </is>
      </c>
      <c r="C133" t="inlineStr">
        <is>
          <t>Small benthopelagics (&lt;30 cm)</t>
        </is>
      </c>
      <c r="D133" t="inlineStr">
        <is>
          <t>Perch-likes</t>
        </is>
      </c>
      <c r="E133" s="8" t="inlineStr">
        <is>
          <t>Pomfret (stromateids)</t>
        </is>
      </c>
      <c r="F133" t="inlineStr"/>
      <c r="G133" t="inlineStr"/>
      <c r="H133" t="inlineStr">
        <is>
          <t>high</t>
        </is>
      </c>
      <c r="I133" t="inlineStr">
        <is>
          <t>taxonomic_containment</t>
        </is>
      </c>
      <c r="J133" t="n">
        <v>314846.403</v>
      </c>
      <c r="K133" t="n">
        <v>0.08119999999999999</v>
      </c>
      <c r="L133" s="6" t="inlineStr">
        <is>
          <t>Appendix 6.1 pp.327-335 defines Pomfret (stromateids) by this family or explicitly names Stromateidae; dedicated source placement overrides the SAU class Small benthopelagics (&lt;30 cm).</t>
        </is>
      </c>
    </row>
    <row r="134">
      <c r="A134" t="inlineStr">
        <is>
          <t>Lutjanus johnii</t>
        </is>
      </c>
      <c r="B134" t="inlineStr">
        <is>
          <t>John's snapper</t>
        </is>
      </c>
      <c r="C134" t="inlineStr">
        <is>
          <t>Medium reef assoc. fish (30 - 89 cm)</t>
        </is>
      </c>
      <c r="D134" t="inlineStr">
        <is>
          <t>Perch-likes</t>
        </is>
      </c>
      <c r="E134" s="8" t="inlineStr">
        <is>
          <t>Snappers</t>
        </is>
      </c>
      <c r="F134" t="inlineStr"/>
      <c r="G134" t="inlineStr"/>
      <c r="H134" t="inlineStr">
        <is>
          <t>high</t>
        </is>
      </c>
      <c r="I134" t="inlineStr">
        <is>
          <t>taxonomic_containment</t>
        </is>
      </c>
      <c r="J134" t="n">
        <v>313146.66</v>
      </c>
      <c r="K134" t="n">
        <v>0.0808</v>
      </c>
      <c r="L134" s="6" t="inlineStr">
        <is>
          <t>Appendix 6.1 pp.327-335 defines Snappers by this family or explicitly names Lutjanus johnii; dedicated source placement overrides the SAU class Medium reef assoc. fish (30 - 89 cm).</t>
        </is>
      </c>
    </row>
    <row r="135">
      <c r="A135" t="inlineStr">
        <is>
          <t>Elagatis bipinnulata</t>
        </is>
      </c>
      <c r="B135" t="inlineStr">
        <is>
          <t>Rainbow runner</t>
        </is>
      </c>
      <c r="C135" t="inlineStr">
        <is>
          <t>Large pelagics (&gt;=90 cm)</t>
        </is>
      </c>
      <c r="D135" t="inlineStr">
        <is>
          <t>Perch-likes</t>
        </is>
      </c>
      <c r="E135" s="7" t="inlineStr">
        <is>
          <t>Juvenile large pelagic fish | Pelagic fish (&gt; 30 cm)</t>
        </is>
      </c>
      <c r="F135" t="inlineStr">
        <is>
          <t>0.202 | 0.798</t>
        </is>
      </c>
      <c r="G135" t="inlineStr">
        <is>
          <t>model_catch</t>
        </is>
      </c>
      <c r="H135" t="inlineStr">
        <is>
          <t>medium</t>
        </is>
      </c>
      <c r="I135" t="inlineStr">
        <is>
          <t>composite_split</t>
        </is>
      </c>
      <c r="J135" t="n">
        <v>311414.499</v>
      </c>
      <c r="K135" t="n">
        <v>0.0803</v>
      </c>
      <c r="L135" s="6" t="inlineStr">
        <is>
          <t>Analyst habitat/size inference to source &gt;30 cm pelagic fish (Appendix 6.1.24 p.339); no age data, so split juvenile/adult using the period model catch.</t>
        </is>
      </c>
    </row>
    <row r="136">
      <c r="A136" t="inlineStr">
        <is>
          <t>Saurida</t>
        </is>
      </c>
      <c r="B136" t="inlineStr">
        <is>
          <t>Lizardfishes</t>
        </is>
      </c>
      <c r="C136" t="inlineStr">
        <is>
          <t>Medium demersals (30 - 89 cm)</t>
        </is>
      </c>
      <c r="D136" t="inlineStr">
        <is>
          <t>Other fishes &amp; inverts</t>
        </is>
      </c>
      <c r="E136" s="8" t="inlineStr">
        <is>
          <t>Lizard fish (synodontids)</t>
        </is>
      </c>
      <c r="F136" t="inlineStr"/>
      <c r="G136" t="inlineStr"/>
      <c r="H136" t="inlineStr">
        <is>
          <t>high</t>
        </is>
      </c>
      <c r="I136" t="inlineStr">
        <is>
          <t>taxonomic_containment</t>
        </is>
      </c>
      <c r="J136" t="n">
        <v>306283.862</v>
      </c>
      <c r="K136" t="n">
        <v>0.079</v>
      </c>
      <c r="L136" s="6" t="inlineStr">
        <is>
          <t>Appendix 6.1 pp.327-335 defines Lizard fish (synodontids) by this family or explicitly names Saurida; dedicated source placement overrides the SAU class Medium demersals (30 - 89 cm).</t>
        </is>
      </c>
    </row>
    <row r="137">
      <c r="A137" t="inlineStr">
        <is>
          <t>Serranidae</t>
        </is>
      </c>
      <c r="B137" t="inlineStr">
        <is>
          <t>Basses, groupers, hinds</t>
        </is>
      </c>
      <c r="C137" t="inlineStr">
        <is>
          <t>Medium reef assoc. fish (30 - 89 cm)</t>
        </is>
      </c>
      <c r="D137" t="inlineStr">
        <is>
          <t>Perch-likes</t>
        </is>
      </c>
      <c r="E137" s="8" t="inlineStr">
        <is>
          <t>Adult groupers</t>
        </is>
      </c>
      <c r="F137" t="inlineStr"/>
      <c r="G137" t="inlineStr"/>
      <c r="H137" t="inlineStr">
        <is>
          <t>high</t>
        </is>
      </c>
      <c r="I137" t="inlineStr">
        <is>
          <t>taxonomic_containment</t>
        </is>
      </c>
      <c r="J137" t="n">
        <v>301377.47</v>
      </c>
      <c r="K137" t="n">
        <v>0.07779999999999999</v>
      </c>
      <c r="L137" s="6" t="inlineStr">
        <is>
          <t>Appendix 6.1 pp.327-335 defines Adult groupers by this family or explicitly names Serranidae; dedicated source placement overrides the SAU class Medium reef assoc. fish (30 - 89 cm).</t>
        </is>
      </c>
    </row>
    <row r="138">
      <c r="A138" t="inlineStr">
        <is>
          <t>Tegillarca granosa</t>
        </is>
      </c>
      <c r="B138" t="inlineStr">
        <is>
          <t>Granular ark</t>
        </is>
      </c>
      <c r="C138" t="inlineStr">
        <is>
          <t>Other demersal invertebrates</t>
        </is>
      </c>
      <c r="D138" t="inlineStr">
        <is>
          <t>Molluscs</t>
        </is>
      </c>
      <c r="E138" s="8" t="inlineStr">
        <is>
          <t>Non-ceph molluscs</t>
        </is>
      </c>
      <c r="F138" t="inlineStr"/>
      <c r="G138" t="inlineStr"/>
      <c r="H138" t="inlineStr">
        <is>
          <t>high</t>
        </is>
      </c>
      <c r="I138" t="inlineStr">
        <is>
          <t>taxonomic_containment</t>
        </is>
      </c>
      <c r="J138" t="n">
        <v>300639.32</v>
      </c>
      <c r="K138" t="n">
        <v>0.0776</v>
      </c>
      <c r="L138" s="6" t="inlineStr">
        <is>
          <t>Taxonomic containment in the source benthos subdivision (Appendix 6.1.5 pp.324-325), keeping non-cephalopod molluscs separate from echinoderms and sessile invertebrates.</t>
        </is>
      </c>
    </row>
    <row r="139">
      <c r="A139" t="inlineStr">
        <is>
          <t>Pristipomoides</t>
        </is>
      </c>
      <c r="B139" t="inlineStr">
        <is>
          <t>Jobfishes</t>
        </is>
      </c>
      <c r="C139" t="inlineStr">
        <is>
          <t>Medium demersals (30 - 89 cm)</t>
        </is>
      </c>
      <c r="D139" t="inlineStr">
        <is>
          <t>Perch-likes</t>
        </is>
      </c>
      <c r="E139" s="8" t="inlineStr">
        <is>
          <t>Snappers</t>
        </is>
      </c>
      <c r="F139" t="inlineStr"/>
      <c r="G139" t="inlineStr"/>
      <c r="H139" t="inlineStr">
        <is>
          <t>high</t>
        </is>
      </c>
      <c r="I139" t="inlineStr">
        <is>
          <t>taxonomic_containment</t>
        </is>
      </c>
      <c r="J139" t="n">
        <v>297656.63</v>
      </c>
      <c r="K139" t="n">
        <v>0.07679999999999999</v>
      </c>
      <c r="L139" s="6" t="inlineStr">
        <is>
          <t>Appendix 6.1 pp.327-335 defines Snappers by this family or explicitly names Pristipomoides; dedicated source placement overrides the SAU class Medium demersals (30 - 89 cm).</t>
        </is>
      </c>
    </row>
    <row r="140">
      <c r="A140" t="inlineStr">
        <is>
          <t>Apogonidae</t>
        </is>
      </c>
      <c r="B140" t="inlineStr">
        <is>
          <t>Cardinalfishes</t>
        </is>
      </c>
      <c r="C140" t="inlineStr">
        <is>
          <t>Small reef assoc. fish (&lt;30 cm)</t>
        </is>
      </c>
      <c r="D140" t="inlineStr">
        <is>
          <t>Perch-likes</t>
        </is>
      </c>
      <c r="E140" s="7" t="inlineStr">
        <is>
          <t>Demesral fish (≤ 30 cm)</t>
        </is>
      </c>
      <c r="F140" t="inlineStr"/>
      <c r="G140" t="inlineStr"/>
      <c r="H140" t="inlineStr">
        <is>
          <t>medium</t>
        </is>
      </c>
      <c r="I140" t="inlineStr">
        <is>
          <t>habitat_size_guild</t>
        </is>
      </c>
      <c r="J140" t="n">
        <v>284226.152</v>
      </c>
      <c r="K140" t="n">
        <v>0.0733</v>
      </c>
      <c r="L140" s="6" t="inlineStr">
        <is>
          <t>Analyst habitat/size inference: small demersal or reef-associated fish after excluding dedicated taxonomic groups, matching Appendix 6.1.19 &lt;=30 cm residual demersal pool.</t>
        </is>
      </c>
    </row>
    <row r="141">
      <c r="A141" t="inlineStr">
        <is>
          <t>Miscellaneous aquatic invertebrates</t>
        </is>
      </c>
      <c r="B141" t="inlineStr">
        <is>
          <t>Aquatic invertebrates</t>
        </is>
      </c>
      <c r="C141" t="inlineStr">
        <is>
          <t>Other demersal invertebrates</t>
        </is>
      </c>
      <c r="D141" t="inlineStr">
        <is>
          <t>Other fishes &amp; inverts</t>
        </is>
      </c>
      <c r="E141" s="5" t="inlineStr">
        <is>
          <t>Polychaetes | Echinoderms | Benthic crustaceans | Non-ceph molluscs | Sessile/other invertebrates</t>
        </is>
      </c>
      <c r="F141" t="inlineStr">
        <is>
          <t>0.000 | 0.009 | 0.136 | 0.855 | 0.000</t>
        </is>
      </c>
      <c r="G141" t="inlineStr">
        <is>
          <t>catch_composition</t>
        </is>
      </c>
      <c r="H141" t="inlineStr">
        <is>
          <t>low</t>
        </is>
      </c>
      <c r="I141" t="inlineStr">
        <is>
          <t>composite_split</t>
        </is>
      </c>
      <c r="J141" t="n">
        <v>281172.914</v>
      </c>
      <c r="K141" t="n">
        <v>0.0725</v>
      </c>
      <c r="L141" s="6" t="inlineStr">
        <is>
          <t>Unidentified benthic invertebrates span the five benthos pools in Appendix 6.1.5 pp.324-325; the source does not establish narrower composition.</t>
        </is>
      </c>
    </row>
    <row r="142">
      <c r="A142" t="inlineStr">
        <is>
          <t>Scomber australasicus</t>
        </is>
      </c>
      <c r="B142" t="inlineStr">
        <is>
          <t>Blue mackerel</t>
        </is>
      </c>
      <c r="C142" t="inlineStr">
        <is>
          <t>Medium pelagics (30 - 89 cm)</t>
        </is>
      </c>
      <c r="D142" t="inlineStr">
        <is>
          <t>Perch-likes</t>
        </is>
      </c>
      <c r="E142" s="7" t="inlineStr">
        <is>
          <t>Juvenile large pelagic fish | Pelagic fish (&gt; 30 cm)</t>
        </is>
      </c>
      <c r="F142" t="inlineStr">
        <is>
          <t>0.202 | 0.798</t>
        </is>
      </c>
      <c r="G142" t="inlineStr">
        <is>
          <t>model_catch</t>
        </is>
      </c>
      <c r="H142" t="inlineStr">
        <is>
          <t>medium</t>
        </is>
      </c>
      <c r="I142" t="inlineStr">
        <is>
          <t>composite_split</t>
        </is>
      </c>
      <c r="J142" t="n">
        <v>273604.383</v>
      </c>
      <c r="K142" t="n">
        <v>0.0706</v>
      </c>
      <c r="L142" s="6" t="inlineStr">
        <is>
          <t>Analyst habitat/size inference to source &gt;30 cm pelagic fish (Appendix 6.1.24 p.339); no age data, so split juvenile/adult using the period model catch.</t>
        </is>
      </c>
    </row>
    <row r="143">
      <c r="A143" t="inlineStr">
        <is>
          <t>Sepia</t>
        </is>
      </c>
      <c r="B143" t="inlineStr">
        <is>
          <t>Sepia cuttlefishes</t>
        </is>
      </c>
      <c r="C143" t="inlineStr">
        <is>
          <t>Cephalopods</t>
        </is>
      </c>
      <c r="D143" t="inlineStr">
        <is>
          <t>Other fishes &amp; inverts</t>
        </is>
      </c>
      <c r="E143" s="8" t="inlineStr">
        <is>
          <t>Cephalopods</t>
        </is>
      </c>
      <c r="F143" t="inlineStr"/>
      <c r="G143" t="inlineStr"/>
      <c r="H143" t="inlineStr">
        <is>
          <t>high</t>
        </is>
      </c>
      <c r="I143" t="inlineStr">
        <is>
          <t>taxonomic_containment</t>
        </is>
      </c>
      <c r="J143" t="n">
        <v>265683.914</v>
      </c>
      <c r="K143" t="n">
        <v>0.06850000000000001</v>
      </c>
      <c r="L143" s="6" t="inlineStr">
        <is>
          <t>Cephalopoda is contained by the single source Cephalopods group, Appendix 6.1.8 pp.326-327.</t>
        </is>
      </c>
    </row>
    <row r="144">
      <c r="A144" t="inlineStr">
        <is>
          <t>Epinephelus coioides</t>
        </is>
      </c>
      <c r="B144" t="inlineStr">
        <is>
          <t>Orange-spotted grouper</t>
        </is>
      </c>
      <c r="C144" t="inlineStr">
        <is>
          <t>Large reef assoc. fish (&gt;=90 cm)</t>
        </is>
      </c>
      <c r="D144" t="inlineStr">
        <is>
          <t>Perch-likes</t>
        </is>
      </c>
      <c r="E144" s="8" t="inlineStr">
        <is>
          <t>Adult groupers</t>
        </is>
      </c>
      <c r="F144" t="inlineStr"/>
      <c r="G144" t="inlineStr"/>
      <c r="H144" t="inlineStr">
        <is>
          <t>high</t>
        </is>
      </c>
      <c r="I144" t="inlineStr">
        <is>
          <t>taxonomic_containment</t>
        </is>
      </c>
      <c r="J144" t="n">
        <v>264464.845</v>
      </c>
      <c r="K144" t="n">
        <v>0.0682</v>
      </c>
      <c r="L144" s="6" t="inlineStr">
        <is>
          <t>Appendix 6.1 pp.327-335 defines Adult groupers by this family or explicitly names Epinephelus coioides; dedicated source placement overrides the SAU class Large reef assoc. fish (&gt;=90 cm).</t>
        </is>
      </c>
    </row>
    <row r="145">
      <c r="A145" t="inlineStr">
        <is>
          <t>Larimichthys polyactis</t>
        </is>
      </c>
      <c r="B145" t="inlineStr">
        <is>
          <t>Yellow croaker</t>
        </is>
      </c>
      <c r="C145" t="inlineStr">
        <is>
          <t>Medium benthopelagics (30 - 89 cm)</t>
        </is>
      </c>
      <c r="D145" t="inlineStr">
        <is>
          <t>Perch-likes</t>
        </is>
      </c>
      <c r="E145" s="5" t="inlineStr">
        <is>
          <t>Croakers (≤ 30 cm) | Juvenile large croakers | Croakers (&gt; 30 cm)</t>
        </is>
      </c>
      <c r="F145" t="inlineStr">
        <is>
          <t>0.225 | 0.155 | 0.620</t>
        </is>
      </c>
      <c r="G145" t="inlineStr">
        <is>
          <t>model_catch</t>
        </is>
      </c>
      <c r="H145" t="inlineStr">
        <is>
          <t>low</t>
        </is>
      </c>
      <c r="I145" t="inlineStr">
        <is>
          <t>composite_split</t>
        </is>
      </c>
      <c r="J145" t="n">
        <v>263763.118</v>
      </c>
      <c r="K145" t="n">
        <v>0.06809999999999999</v>
      </c>
      <c r="L145" s="6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</row>
    <row r="146">
      <c r="A146" t="inlineStr">
        <is>
          <t>Tetraodontidae</t>
        </is>
      </c>
      <c r="B146" t="inlineStr">
        <is>
          <t>Puffers, tobies</t>
        </is>
      </c>
      <c r="C146" t="inlineStr">
        <is>
          <t>Large reef assoc. fish (&gt;=90 cm)</t>
        </is>
      </c>
      <c r="D146" t="inlineStr">
        <is>
          <t>Other fishes &amp; inverts</t>
        </is>
      </c>
      <c r="E146" s="7" t="inlineStr">
        <is>
          <t>Juvenile demersal fish (&gt; 30 cm) | Adult demersal fish (&gt; 30 cm)</t>
        </is>
      </c>
      <c r="F146" t="inlineStr">
        <is>
          <t>0.200 | 0.800</t>
        </is>
      </c>
      <c r="G146" t="inlineStr">
        <is>
          <t>model_catch</t>
        </is>
      </c>
      <c r="H146" t="inlineStr">
        <is>
          <t>medium</t>
        </is>
      </c>
      <c r="I146" t="inlineStr">
        <is>
          <t>composite_split</t>
        </is>
      </c>
      <c r="J146" t="n">
        <v>263264.128</v>
      </c>
      <c r="K146" t="n">
        <v>0.0679</v>
      </c>
      <c r="L146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147">
      <c r="A147" t="inlineStr">
        <is>
          <t>Exocoetidae</t>
        </is>
      </c>
      <c r="B147" t="inlineStr">
        <is>
          <t>Flyingfishes</t>
        </is>
      </c>
      <c r="C147" t="inlineStr">
        <is>
          <t>Small pelagics (&lt;30 cm)</t>
        </is>
      </c>
      <c r="D147" t="inlineStr">
        <is>
          <t>Other fishes &amp; inverts</t>
        </is>
      </c>
      <c r="E147" s="7" t="inlineStr">
        <is>
          <t>Pelagic fish (≤ 30 cm)</t>
        </is>
      </c>
      <c r="F147" t="inlineStr"/>
      <c r="G147" t="inlineStr"/>
      <c r="H147" t="inlineStr">
        <is>
          <t>medium</t>
        </is>
      </c>
      <c r="I147" t="inlineStr">
        <is>
          <t>habitat_size_guild</t>
        </is>
      </c>
      <c r="J147" t="n">
        <v>259369.398</v>
      </c>
      <c r="K147" t="n">
        <v>0.0669</v>
      </c>
      <c r="L147" s="6" t="inlineStr">
        <is>
          <t>Analyst habitat/size inference: SAU small-pelagic class matches the source &lt;=30 cm pelagic pool after dedicated source taxa were handled (Appendix 6.1.23 p.338).</t>
        </is>
      </c>
    </row>
    <row r="148">
      <c r="A148" t="inlineStr">
        <is>
          <t>Upeneus</t>
        </is>
      </c>
      <c r="B148" t="inlineStr">
        <is>
          <t>Upeneid goatfishes</t>
        </is>
      </c>
      <c r="C148" t="inlineStr">
        <is>
          <t>Small reef assoc. fish (&lt;30 cm)</t>
        </is>
      </c>
      <c r="D148" t="inlineStr">
        <is>
          <t>Perch-likes</t>
        </is>
      </c>
      <c r="E148" s="7" t="inlineStr">
        <is>
          <t>Demesral fish (≤ 30 cm)</t>
        </is>
      </c>
      <c r="F148" t="inlineStr"/>
      <c r="G148" t="inlineStr"/>
      <c r="H148" t="inlineStr">
        <is>
          <t>medium</t>
        </is>
      </c>
      <c r="I148" t="inlineStr">
        <is>
          <t>habitat_size_guild</t>
        </is>
      </c>
      <c r="J148" t="n">
        <v>257735.526</v>
      </c>
      <c r="K148" t="n">
        <v>0.0665</v>
      </c>
      <c r="L148" s="6" t="inlineStr">
        <is>
          <t>Analyst habitat/size inference: small demersal or reef-associated fish after excluding dedicated taxonomic groups, matching Appendix 6.1.19 &lt;=30 cm residual demersal pool.</t>
        </is>
      </c>
    </row>
    <row r="149">
      <c r="A149" t="inlineStr">
        <is>
          <t>Seriola</t>
        </is>
      </c>
      <c r="B149" t="inlineStr">
        <is>
          <t>Amberjacks</t>
        </is>
      </c>
      <c r="C149" t="inlineStr">
        <is>
          <t>Large benthopelagics (&gt;=90 cm)</t>
        </is>
      </c>
      <c r="D149" t="inlineStr">
        <is>
          <t>Perch-likes</t>
        </is>
      </c>
      <c r="E149" s="7" t="inlineStr">
        <is>
          <t>Juvenile large pelagic fish | Pelagic fish (&gt; 30 cm)</t>
        </is>
      </c>
      <c r="F149" t="inlineStr">
        <is>
          <t>0.202 | 0.798</t>
        </is>
      </c>
      <c r="G149" t="inlineStr">
        <is>
          <t>model_catch</t>
        </is>
      </c>
      <c r="H149" t="inlineStr">
        <is>
          <t>medium</t>
        </is>
      </c>
      <c r="I149" t="inlineStr">
        <is>
          <t>composite_split</t>
        </is>
      </c>
      <c r="J149" t="n">
        <v>256610.285</v>
      </c>
      <c r="K149" t="n">
        <v>0.06619999999999999</v>
      </c>
      <c r="L149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</row>
    <row r="150">
      <c r="A150" t="inlineStr">
        <is>
          <t>Conger myriaster</t>
        </is>
      </c>
      <c r="B150" t="inlineStr">
        <is>
          <t>Whitespotted conger</t>
        </is>
      </c>
      <c r="C150" t="inlineStr">
        <is>
          <t>Medium demersals (30 - 89 cm)</t>
        </is>
      </c>
      <c r="D150" t="inlineStr">
        <is>
          <t>Other fishes &amp; inverts</t>
        </is>
      </c>
      <c r="E150" s="7" t="inlineStr">
        <is>
          <t>Juvenile demersal fish (&gt; 30 cm) | Adult demersal fish (&gt; 30 cm)</t>
        </is>
      </c>
      <c r="F150" t="inlineStr">
        <is>
          <t>0.200 | 0.800</t>
        </is>
      </c>
      <c r="G150" t="inlineStr">
        <is>
          <t>model_catch</t>
        </is>
      </c>
      <c r="H150" t="inlineStr">
        <is>
          <t>medium</t>
        </is>
      </c>
      <c r="I150" t="inlineStr">
        <is>
          <t>composite_split</t>
        </is>
      </c>
      <c r="J150" t="n">
        <v>251358.773</v>
      </c>
      <c r="K150" t="n">
        <v>0.0649</v>
      </c>
      <c r="L150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151">
      <c r="A151" t="inlineStr">
        <is>
          <t>Mugil</t>
        </is>
      </c>
      <c r="B151" t="inlineStr">
        <is>
          <t>Grey mullets</t>
        </is>
      </c>
      <c r="C151" t="inlineStr">
        <is>
          <t>Medium demersals (30 - 89 cm)</t>
        </is>
      </c>
      <c r="D151" t="inlineStr">
        <is>
          <t>Perch-likes</t>
        </is>
      </c>
      <c r="E151" s="7" t="inlineStr">
        <is>
          <t>Juvenile demersal fish (&gt; 30 cm) | Adult demersal fish (&gt; 30 cm)</t>
        </is>
      </c>
      <c r="F151" t="inlineStr">
        <is>
          <t>0.200 | 0.800</t>
        </is>
      </c>
      <c r="G151" t="inlineStr">
        <is>
          <t>model_catch</t>
        </is>
      </c>
      <c r="H151" t="inlineStr">
        <is>
          <t>medium</t>
        </is>
      </c>
      <c r="I151" t="inlineStr">
        <is>
          <t>composite_split</t>
        </is>
      </c>
      <c r="J151" t="n">
        <v>250541.412</v>
      </c>
      <c r="K151" t="n">
        <v>0.0646</v>
      </c>
      <c r="L151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152">
      <c r="A152" t="inlineStr">
        <is>
          <t>Psettodes erumei</t>
        </is>
      </c>
      <c r="B152" t="inlineStr">
        <is>
          <t>Indian halibut</t>
        </is>
      </c>
      <c r="C152" t="inlineStr">
        <is>
          <t>Small to medium flatfishes (&lt;90 cm)</t>
        </is>
      </c>
      <c r="D152" t="inlineStr">
        <is>
          <t>Flatfishes</t>
        </is>
      </c>
      <c r="E152" s="5" t="inlineStr">
        <is>
          <t>Demesral fish (≤ 30 cm) | Juvenile demersal fish (&gt; 30 cm) | Adult demersal fish (&gt; 30 cm)</t>
        </is>
      </c>
      <c r="F152" t="inlineStr">
        <is>
          <t>0.386 | 0.123 | 0.491</t>
        </is>
      </c>
      <c r="G152" t="inlineStr">
        <is>
          <t>model_catch</t>
        </is>
      </c>
      <c r="H152" t="inlineStr">
        <is>
          <t>low</t>
        </is>
      </c>
      <c r="I152" t="inlineStr">
        <is>
          <t>composite_split</t>
        </is>
      </c>
      <c r="J152" t="n">
        <v>243309.877</v>
      </c>
      <c r="K152" t="n">
        <v>0.06279999999999999</v>
      </c>
      <c r="L152" s="6" t="inlineStr">
        <is>
          <t>Flatfishes are demersal, but SAU &lt;90 cm band does not distinguish the source &lt;=30 cm species pool from &gt;30 cm juvenile/adult fish; all three residual demersal pools remain candidates.</t>
        </is>
      </c>
    </row>
    <row r="153">
      <c r="A153" t="inlineStr">
        <is>
          <t>Acetes</t>
        </is>
      </c>
      <c r="B153" t="inlineStr">
        <is>
          <t>Acetes shrimps</t>
        </is>
      </c>
      <c r="C153" t="inlineStr">
        <is>
          <t>Shrimps</t>
        </is>
      </c>
      <c r="D153" t="inlineStr">
        <is>
          <t>Crustaceans</t>
        </is>
      </c>
      <c r="E153" s="8" t="inlineStr">
        <is>
          <t>Zooplankton</t>
        </is>
      </c>
      <c r="F153" t="inlineStr"/>
      <c r="G153" t="inlineStr"/>
      <c r="H153" t="inlineStr">
        <is>
          <t>high</t>
        </is>
      </c>
      <c r="I153" t="inlineStr">
        <is>
          <t>explicit_member</t>
        </is>
      </c>
      <c r="J153" t="n">
        <v>228664.177</v>
      </c>
      <c r="K153" t="n">
        <v>0.059</v>
      </c>
      <c r="L153" s="6" t="inlineStr">
        <is>
          <t>Appendix 6.1.3 p.323 explicitly records Acetes spp. (Mo shrimp) catch in Zooplankton, overriding the SAU shrimp class.</t>
        </is>
      </c>
    </row>
    <row r="154">
      <c r="A154" t="inlineStr">
        <is>
          <t>Cypselurus poecilopterus</t>
        </is>
      </c>
      <c r="B154" t="inlineStr">
        <is>
          <t>Yellowing flyingfish</t>
        </is>
      </c>
      <c r="C154" t="inlineStr">
        <is>
          <t>Small pelagics (&lt;30 cm)</t>
        </is>
      </c>
      <c r="D154" t="inlineStr">
        <is>
          <t>Other fishes &amp; inverts</t>
        </is>
      </c>
      <c r="E154" s="7" t="inlineStr">
        <is>
          <t>Pelagic fish (≤ 30 cm)</t>
        </is>
      </c>
      <c r="F154" t="inlineStr"/>
      <c r="G154" t="inlineStr"/>
      <c r="H154" t="inlineStr">
        <is>
          <t>medium</t>
        </is>
      </c>
      <c r="I154" t="inlineStr">
        <is>
          <t>habitat_size_guild</t>
        </is>
      </c>
      <c r="J154" t="n">
        <v>227463.169</v>
      </c>
      <c r="K154" t="n">
        <v>0.0587</v>
      </c>
      <c r="L154" s="6" t="inlineStr">
        <is>
          <t>Analyst habitat/size inference: SAU small-pelagic class matches the source &lt;=30 cm pelagic pool after dedicated source taxa were handled (Appendix 6.1.23 p.338).</t>
        </is>
      </c>
    </row>
    <row r="155">
      <c r="A155" t="inlineStr">
        <is>
          <t>Decapterus russelli</t>
        </is>
      </c>
      <c r="B155" t="inlineStr">
        <is>
          <t>Indian scad</t>
        </is>
      </c>
      <c r="C155" t="inlineStr">
        <is>
          <t>Medium pelagics (30 - 89 cm)</t>
        </is>
      </c>
      <c r="D155" t="inlineStr">
        <is>
          <t>Perch-likes</t>
        </is>
      </c>
      <c r="E155" s="7" t="inlineStr">
        <is>
          <t>Juvenile large pelagic fish | Pelagic fish (&gt; 30 cm)</t>
        </is>
      </c>
      <c r="F155" t="inlineStr">
        <is>
          <t>0.202 | 0.798</t>
        </is>
      </c>
      <c r="G155" t="inlineStr">
        <is>
          <t>model_catch</t>
        </is>
      </c>
      <c r="H155" t="inlineStr">
        <is>
          <t>medium</t>
        </is>
      </c>
      <c r="I155" t="inlineStr">
        <is>
          <t>composite_split</t>
        </is>
      </c>
      <c r="J155" t="n">
        <v>223374.635</v>
      </c>
      <c r="K155" t="n">
        <v>0.0576</v>
      </c>
      <c r="L155" s="6" t="inlineStr">
        <is>
          <t>Analyst habitat/size inference to source &gt;30 cm pelagic fish (Appendix 6.1.24 p.339); no age data, so split juvenile/adult using the period model catch.</t>
        </is>
      </c>
    </row>
    <row r="156">
      <c r="A156" t="inlineStr">
        <is>
          <t>Lethrinidae</t>
        </is>
      </c>
      <c r="B156" t="inlineStr">
        <is>
          <t>Emperors, scavengers</t>
        </is>
      </c>
      <c r="C156" t="inlineStr">
        <is>
          <t>Medium reef assoc. fish (30 - 89 cm)</t>
        </is>
      </c>
      <c r="D156" t="inlineStr">
        <is>
          <t>Perch-likes</t>
        </is>
      </c>
      <c r="E156" s="7" t="inlineStr">
        <is>
          <t>Juvenile demersal fish (&gt; 30 cm) | Adult demersal fish (&gt; 30 cm)</t>
        </is>
      </c>
      <c r="F156" t="inlineStr">
        <is>
          <t>0.200 | 0.800</t>
        </is>
      </c>
      <c r="G156" t="inlineStr">
        <is>
          <t>model_catch</t>
        </is>
      </c>
      <c r="H156" t="inlineStr">
        <is>
          <t>medium</t>
        </is>
      </c>
      <c r="I156" t="inlineStr">
        <is>
          <t>composite_split</t>
        </is>
      </c>
      <c r="J156" t="n">
        <v>223228.683</v>
      </c>
      <c r="K156" t="n">
        <v>0.0576</v>
      </c>
      <c r="L156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157">
      <c r="A157" t="inlineStr">
        <is>
          <t>Scomberoides</t>
        </is>
      </c>
      <c r="B157" t="inlineStr">
        <is>
          <t>Queenfishes</t>
        </is>
      </c>
      <c r="C157" t="inlineStr">
        <is>
          <t>Medium pelagics (30 - 89 cm)</t>
        </is>
      </c>
      <c r="D157" t="inlineStr">
        <is>
          <t>Perch-likes</t>
        </is>
      </c>
      <c r="E157" s="7" t="inlineStr">
        <is>
          <t>Juvenile large pelagic fish | Pelagic fish (&gt; 30 cm)</t>
        </is>
      </c>
      <c r="F157" t="inlineStr">
        <is>
          <t>0.202 | 0.798</t>
        </is>
      </c>
      <c r="G157" t="inlineStr">
        <is>
          <t>model_catch</t>
        </is>
      </c>
      <c r="H157" t="inlineStr">
        <is>
          <t>medium</t>
        </is>
      </c>
      <c r="I157" t="inlineStr">
        <is>
          <t>composite_split</t>
        </is>
      </c>
      <c r="J157" t="n">
        <v>213902.867</v>
      </c>
      <c r="K157" t="n">
        <v>0.0552</v>
      </c>
      <c r="L157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</row>
    <row r="158">
      <c r="A158" t="inlineStr">
        <is>
          <t>Caranx</t>
        </is>
      </c>
      <c r="B158" t="inlineStr">
        <is>
          <t>Jacks</t>
        </is>
      </c>
      <c r="C158" t="inlineStr">
        <is>
          <t>Medium reef assoc. fish (30 - 89 cm)</t>
        </is>
      </c>
      <c r="D158" t="inlineStr">
        <is>
          <t>Perch-likes</t>
        </is>
      </c>
      <c r="E158" s="7" t="inlineStr">
        <is>
          <t>Juvenile large pelagic fish | Pelagic fish (&gt; 30 cm)</t>
        </is>
      </c>
      <c r="F158" t="inlineStr">
        <is>
          <t>0.202 | 0.798</t>
        </is>
      </c>
      <c r="G158" t="inlineStr">
        <is>
          <t>model_catch</t>
        </is>
      </c>
      <c r="H158" t="inlineStr">
        <is>
          <t>medium</t>
        </is>
      </c>
      <c r="I158" t="inlineStr">
        <is>
          <t>composite_split</t>
        </is>
      </c>
      <c r="J158" t="n">
        <v>208223.393</v>
      </c>
      <c r="K158" t="n">
        <v>0.0537</v>
      </c>
      <c r="L158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</row>
    <row r="159">
      <c r="A159" t="inlineStr">
        <is>
          <t>Muraenesox</t>
        </is>
      </c>
      <c r="B159" t="inlineStr">
        <is>
          <t>Congers</t>
        </is>
      </c>
      <c r="C159" t="inlineStr">
        <is>
          <t>Large demersals (&gt;=90 cm)</t>
        </is>
      </c>
      <c r="D159" t="inlineStr">
        <is>
          <t>Other fishes &amp; inverts</t>
        </is>
      </c>
      <c r="E159" s="7" t="inlineStr">
        <is>
          <t>Juvenile demersal fish (&gt; 30 cm) | Adult demersal fish (&gt; 30 cm)</t>
        </is>
      </c>
      <c r="F159" t="inlineStr">
        <is>
          <t>0.200 | 0.800</t>
        </is>
      </c>
      <c r="G159" t="inlineStr">
        <is>
          <t>model_catch</t>
        </is>
      </c>
      <c r="H159" t="inlineStr">
        <is>
          <t>medium</t>
        </is>
      </c>
      <c r="I159" t="inlineStr">
        <is>
          <t>composite_split</t>
        </is>
      </c>
      <c r="J159" t="n">
        <v>206325.739</v>
      </c>
      <c r="K159" t="n">
        <v>0.0532</v>
      </c>
      <c r="L159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160">
      <c r="A160" t="inlineStr">
        <is>
          <t>Cephalopholis boenak</t>
        </is>
      </c>
      <c r="B160" t="inlineStr">
        <is>
          <t>Chocolate hind</t>
        </is>
      </c>
      <c r="C160" t="inlineStr">
        <is>
          <t>Small reef assoc. fish (&lt;30 cm)</t>
        </is>
      </c>
      <c r="D160" t="inlineStr">
        <is>
          <t>Perch-likes</t>
        </is>
      </c>
      <c r="E160" s="8" t="inlineStr">
        <is>
          <t>Adult groupers</t>
        </is>
      </c>
      <c r="F160" t="inlineStr"/>
      <c r="G160" t="inlineStr"/>
      <c r="H160" t="inlineStr">
        <is>
          <t>high</t>
        </is>
      </c>
      <c r="I160" t="inlineStr">
        <is>
          <t>taxonomic_containment</t>
        </is>
      </c>
      <c r="J160" t="n">
        <v>195009.722</v>
      </c>
      <c r="K160" t="n">
        <v>0.0503</v>
      </c>
      <c r="L160" s="6" t="inlineStr">
        <is>
          <t>Appendix 6.1 pp.327-335 defines Adult groupers by this family or explicitly names Cephalopholis boenak; dedicated source placement overrides the SAU class Small reef assoc. fish (&lt;30 cm).</t>
        </is>
      </c>
    </row>
    <row r="161">
      <c r="A161" t="inlineStr">
        <is>
          <t>Decapterus maruadsi</t>
        </is>
      </c>
      <c r="B161" t="inlineStr">
        <is>
          <t>Japanese scad</t>
        </is>
      </c>
      <c r="C161" t="inlineStr">
        <is>
          <t>Small pelagics (&lt;30 cm)</t>
        </is>
      </c>
      <c r="D161" t="inlineStr">
        <is>
          <t>Perch-likes</t>
        </is>
      </c>
      <c r="E161" s="7" t="inlineStr">
        <is>
          <t>Pelagic fish (≤ 30 cm)</t>
        </is>
      </c>
      <c r="F161" t="inlineStr"/>
      <c r="G161" t="inlineStr"/>
      <c r="H161" t="inlineStr">
        <is>
          <t>medium</t>
        </is>
      </c>
      <c r="I161" t="inlineStr">
        <is>
          <t>habitat_size_guild</t>
        </is>
      </c>
      <c r="J161" t="n">
        <v>185635.069</v>
      </c>
      <c r="K161" t="n">
        <v>0.0479</v>
      </c>
      <c r="L161" s="6" t="inlineStr">
        <is>
          <t>Analyst habitat/size inference: SAU small-pelagic class matches the source &lt;=30 cm pelagic pool after dedicated source taxa were handled (Appendix 6.1.23 p.338).</t>
        </is>
      </c>
    </row>
    <row r="162">
      <c r="A162" t="inlineStr">
        <is>
          <t>Veneridae</t>
        </is>
      </c>
      <c r="B162" t="inlineStr">
        <is>
          <t>Venus clams</t>
        </is>
      </c>
      <c r="C162" t="inlineStr">
        <is>
          <t>Other demersal invertebrates</t>
        </is>
      </c>
      <c r="D162" t="inlineStr">
        <is>
          <t>Molluscs</t>
        </is>
      </c>
      <c r="E162" s="8" t="inlineStr">
        <is>
          <t>Non-ceph molluscs</t>
        </is>
      </c>
      <c r="F162" t="inlineStr"/>
      <c r="G162" t="inlineStr"/>
      <c r="H162" t="inlineStr">
        <is>
          <t>high</t>
        </is>
      </c>
      <c r="I162" t="inlineStr">
        <is>
          <t>taxonomic_containment</t>
        </is>
      </c>
      <c r="J162" t="n">
        <v>185556.572</v>
      </c>
      <c r="K162" t="n">
        <v>0.0479</v>
      </c>
      <c r="L162" s="6" t="inlineStr">
        <is>
          <t>Taxonomic containment in the source benthos subdivision (Appendix 6.1.5 pp.324-325), keeping non-cephalopod molluscs separate from echinoderms and sessile invertebrates.</t>
        </is>
      </c>
    </row>
    <row r="163">
      <c r="A163" t="inlineStr">
        <is>
          <t>Isurus</t>
        </is>
      </c>
      <c r="B163" t="inlineStr">
        <is>
          <t>Mako sharks</t>
        </is>
      </c>
      <c r="C163" t="inlineStr">
        <is>
          <t>Large sharks (&gt;=90 cm)</t>
        </is>
      </c>
      <c r="D163" t="inlineStr">
        <is>
          <t>Sharks &amp; rays</t>
        </is>
      </c>
      <c r="E163" s="7" t="inlineStr">
        <is>
          <t>Pelagic sharks and rays</t>
        </is>
      </c>
      <c r="F163" t="inlineStr"/>
      <c r="G163" t="inlineStr"/>
      <c r="H163" t="inlineStr">
        <is>
          <t>medium</t>
        </is>
      </c>
      <c r="I163" t="inlineStr">
        <is>
          <t>habitat_size_guild</t>
        </is>
      </c>
      <c r="J163" t="n">
        <v>177314.833</v>
      </c>
      <c r="K163" t="n">
        <v>0.0457</v>
      </c>
      <c r="L163" s="6" t="inlineStr">
        <is>
          <t>Pelagic shark lineage matches the pelagic elasmobranch definition, Appendix 6.1.25 p.340; species placement is analyst inference.</t>
        </is>
      </c>
    </row>
    <row r="164">
      <c r="A164" t="inlineStr">
        <is>
          <t>Sphyraenidae</t>
        </is>
      </c>
      <c r="B164" t="inlineStr">
        <is>
          <t>Barracudas</t>
        </is>
      </c>
      <c r="C164" t="inlineStr">
        <is>
          <t>Medium reef assoc. fish (30 - 89 cm)</t>
        </is>
      </c>
      <c r="D164" t="inlineStr">
        <is>
          <t>Perch-likes</t>
        </is>
      </c>
      <c r="E164" s="7" t="inlineStr">
        <is>
          <t>Juvenile large pelagic fish | Pelagic fish (&gt; 30 cm)</t>
        </is>
      </c>
      <c r="F164" t="inlineStr">
        <is>
          <t>0.202 | 0.798</t>
        </is>
      </c>
      <c r="G164" t="inlineStr">
        <is>
          <t>model_catch</t>
        </is>
      </c>
      <c r="H164" t="inlineStr">
        <is>
          <t>medium</t>
        </is>
      </c>
      <c r="I164" t="inlineStr">
        <is>
          <t>composite_split</t>
        </is>
      </c>
      <c r="J164" t="n">
        <v>173833.433</v>
      </c>
      <c r="K164" t="n">
        <v>0.0449</v>
      </c>
      <c r="L164" s="6" t="inlineStr">
        <is>
          <t>Analyst habitat/size inference to source &gt;30 cm pelagic fish (Appendix 6.1.24 p.339); no age data, so split juvenile/adult using the period model catch.</t>
        </is>
      </c>
    </row>
    <row r="165">
      <c r="A165" t="inlineStr">
        <is>
          <t>Mene maculata</t>
        </is>
      </c>
      <c r="B165" t="inlineStr">
        <is>
          <t>Moonfish</t>
        </is>
      </c>
      <c r="C165" t="inlineStr">
        <is>
          <t>Medium reef assoc. fish (30 - 89 cm)</t>
        </is>
      </c>
      <c r="D165" t="inlineStr">
        <is>
          <t>Perch-likes</t>
        </is>
      </c>
      <c r="E165" s="5" t="inlineStr">
        <is>
          <t>Benthopelagic fish</t>
        </is>
      </c>
      <c r="F165" t="inlineStr"/>
      <c r="G165" t="inlineStr"/>
      <c r="H165" t="inlineStr">
        <is>
          <t>low</t>
        </is>
      </c>
      <c r="I165" t="inlineStr">
        <is>
          <t>habitat_size_guild</t>
        </is>
      </c>
      <c r="J165" t="n">
        <v>172674.819</v>
      </c>
      <c r="K165" t="n">
        <v>0.0446</v>
      </c>
      <c r="L165" s="6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</row>
    <row r="166">
      <c r="A166" t="inlineStr">
        <is>
          <t>Chirocentrus</t>
        </is>
      </c>
      <c r="B166" t="inlineStr">
        <is>
          <t>Wolf herrings</t>
        </is>
      </c>
      <c r="C166" t="inlineStr">
        <is>
          <t>Large pelagics (&gt;=90 cm)</t>
        </is>
      </c>
      <c r="D166" t="inlineStr">
        <is>
          <t>Herring-likes</t>
        </is>
      </c>
      <c r="E166" s="7" t="inlineStr">
        <is>
          <t>Juvenile large pelagic fish | Pelagic fish (&gt; 30 cm)</t>
        </is>
      </c>
      <c r="F166" t="inlineStr">
        <is>
          <t>0.202 | 0.798</t>
        </is>
      </c>
      <c r="G166" t="inlineStr">
        <is>
          <t>model_catch</t>
        </is>
      </c>
      <c r="H166" t="inlineStr">
        <is>
          <t>medium</t>
        </is>
      </c>
      <c r="I166" t="inlineStr">
        <is>
          <t>composite_split</t>
        </is>
      </c>
      <c r="J166" t="n">
        <v>164669.443</v>
      </c>
      <c r="K166" t="n">
        <v>0.0425</v>
      </c>
      <c r="L166" s="6" t="inlineStr">
        <is>
          <t>Analyst habitat/size inference to source &gt;30 cm pelagic fish (Appendix 6.1.24 p.339); no age data, so split juvenile/adult using the period model catch.</t>
        </is>
      </c>
    </row>
    <row r="167">
      <c r="A167" t="inlineStr">
        <is>
          <t>Portunus</t>
        </is>
      </c>
      <c r="B167" t="inlineStr">
        <is>
          <t>Swimmer crabs</t>
        </is>
      </c>
      <c r="C167" t="inlineStr">
        <is>
          <t>Lobsters, crabs</t>
        </is>
      </c>
      <c r="D167" t="inlineStr">
        <is>
          <t>Crustaceans</t>
        </is>
      </c>
      <c r="E167" s="8" t="inlineStr">
        <is>
          <t>Crabs</t>
        </is>
      </c>
      <c r="F167" t="inlineStr"/>
      <c r="G167" t="inlineStr"/>
      <c r="H167" t="inlineStr">
        <is>
          <t>high</t>
        </is>
      </c>
      <c r="I167" t="inlineStr">
        <is>
          <t>taxonomic_containment</t>
        </is>
      </c>
      <c r="J167" t="n">
        <v>163445.867</v>
      </c>
      <c r="K167" t="n">
        <v>0.0422</v>
      </c>
      <c r="L167" s="6" t="inlineStr">
        <is>
          <t>Source benthic crustaceans exclude shrimps and crabs (Appendix 6.1.5 p.324); lobsters remain in that residual, while true crabs use Crabs.</t>
        </is>
      </c>
    </row>
    <row r="168">
      <c r="A168" t="inlineStr">
        <is>
          <t>Pleuronectiformes</t>
        </is>
      </c>
      <c r="B168" t="inlineStr">
        <is>
          <t>Flatfishes</t>
        </is>
      </c>
      <c r="C168" t="inlineStr">
        <is>
          <t>Small to medium flatfishes (&lt;90 cm)</t>
        </is>
      </c>
      <c r="D168" t="inlineStr">
        <is>
          <t>Flatfishes</t>
        </is>
      </c>
      <c r="E168" s="5" t="inlineStr">
        <is>
          <t>Demesral fish (≤ 30 cm) | Juvenile demersal fish (&gt; 30 cm) | Adult demersal fish (&gt; 30 cm)</t>
        </is>
      </c>
      <c r="F168" t="inlineStr">
        <is>
          <t>0.386 | 0.123 | 0.491</t>
        </is>
      </c>
      <c r="G168" t="inlineStr">
        <is>
          <t>model_catch</t>
        </is>
      </c>
      <c r="H168" t="inlineStr">
        <is>
          <t>low</t>
        </is>
      </c>
      <c r="I168" t="inlineStr">
        <is>
          <t>composite_split</t>
        </is>
      </c>
      <c r="J168" t="n">
        <v>161684.721</v>
      </c>
      <c r="K168" t="n">
        <v>0.0417</v>
      </c>
      <c r="L168" s="6" t="inlineStr">
        <is>
          <t>Flatfishes are demersal, but SAU &lt;90 cm band does not distinguish the source &lt;=30 cm species pool from &gt;30 cm juvenile/adult fish; all three residual demersal pools remain candidates.</t>
        </is>
      </c>
    </row>
    <row r="169">
      <c r="A169" t="inlineStr">
        <is>
          <t>Paralichthys olivaceus</t>
        </is>
      </c>
      <c r="B169" t="inlineStr">
        <is>
          <t>Bastard halibut</t>
        </is>
      </c>
      <c r="C169" t="inlineStr">
        <is>
          <t>Large flatfishes (&gt;=90 cm)</t>
        </is>
      </c>
      <c r="D169" t="inlineStr">
        <is>
          <t>Flatfishes</t>
        </is>
      </c>
      <c r="E169" s="5" t="inlineStr">
        <is>
          <t>Demesral fish (≤ 30 cm) | Juvenile demersal fish (&gt; 30 cm) | Adult demersal fish (&gt; 30 cm)</t>
        </is>
      </c>
      <c r="F169" t="inlineStr">
        <is>
          <t>0.386 | 0.123 | 0.491</t>
        </is>
      </c>
      <c r="G169" t="inlineStr">
        <is>
          <t>model_catch</t>
        </is>
      </c>
      <c r="H169" t="inlineStr">
        <is>
          <t>low</t>
        </is>
      </c>
      <c r="I169" t="inlineStr">
        <is>
          <t>composite_split</t>
        </is>
      </c>
      <c r="J169" t="n">
        <v>146826.077</v>
      </c>
      <c r="K169" t="n">
        <v>0.0379</v>
      </c>
      <c r="L169" s="6" t="inlineStr">
        <is>
          <t>Flatfishes are demersal, but SAU &lt;90 cm band does not distinguish the source &lt;=30 cm species pool from &gt;30 cm juvenile/adult fish; all three residual demersal pools remain candidates.</t>
        </is>
      </c>
    </row>
    <row r="170">
      <c r="A170" t="inlineStr">
        <is>
          <t>Polynemidae</t>
        </is>
      </c>
      <c r="B170" t="inlineStr">
        <is>
          <t>Threadfins</t>
        </is>
      </c>
      <c r="C170" t="inlineStr">
        <is>
          <t>Small demersals (&lt;30 cm)</t>
        </is>
      </c>
      <c r="D170" t="inlineStr">
        <is>
          <t>Perch-likes</t>
        </is>
      </c>
      <c r="E170" s="7" t="inlineStr">
        <is>
          <t>Demesral fish (≤ 30 cm)</t>
        </is>
      </c>
      <c r="F170" t="inlineStr"/>
      <c r="G170" t="inlineStr"/>
      <c r="H170" t="inlineStr">
        <is>
          <t>medium</t>
        </is>
      </c>
      <c r="I170" t="inlineStr">
        <is>
          <t>habitat_size_guild</t>
        </is>
      </c>
      <c r="J170" t="n">
        <v>140604.644</v>
      </c>
      <c r="K170" t="n">
        <v>0.0363</v>
      </c>
      <c r="L170" s="6" t="inlineStr">
        <is>
          <t>Analyst habitat/size inference: small demersal or reef-associated fish after excluding dedicated taxonomic groups, matching Appendix 6.1.19 &lt;=30 cm residual demersal pool.</t>
        </is>
      </c>
    </row>
    <row r="171">
      <c r="A171" t="inlineStr">
        <is>
          <t>Caranx ignobilis</t>
        </is>
      </c>
      <c r="B171" t="inlineStr">
        <is>
          <t>Giant trevally</t>
        </is>
      </c>
      <c r="C171" t="inlineStr">
        <is>
          <t>Large reef assoc. fish (&gt;=90 cm)</t>
        </is>
      </c>
      <c r="D171" t="inlineStr">
        <is>
          <t>Perch-likes</t>
        </is>
      </c>
      <c r="E171" s="7" t="inlineStr">
        <is>
          <t>Juvenile large pelagic fish | Pelagic fish (&gt; 30 cm)</t>
        </is>
      </c>
      <c r="F171" t="inlineStr">
        <is>
          <t>0.202 | 0.798</t>
        </is>
      </c>
      <c r="G171" t="inlineStr">
        <is>
          <t>model_catch</t>
        </is>
      </c>
      <c r="H171" t="inlineStr">
        <is>
          <t>medium</t>
        </is>
      </c>
      <c r="I171" t="inlineStr">
        <is>
          <t>composite_split</t>
        </is>
      </c>
      <c r="J171" t="n">
        <v>138824.233</v>
      </c>
      <c r="K171" t="n">
        <v>0.0358</v>
      </c>
      <c r="L171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</row>
    <row r="172">
      <c r="A172" t="inlineStr">
        <is>
          <t>Pomadasys</t>
        </is>
      </c>
      <c r="B172" t="inlineStr">
        <is>
          <t>Grunters</t>
        </is>
      </c>
      <c r="C172" t="inlineStr">
        <is>
          <t>Medium demersals (30 - 89 cm)</t>
        </is>
      </c>
      <c r="D172" t="inlineStr">
        <is>
          <t>Perch-likes</t>
        </is>
      </c>
      <c r="E172" s="7" t="inlineStr">
        <is>
          <t>Juvenile demersal fish (&gt; 30 cm) | Adult demersal fish (&gt; 30 cm)</t>
        </is>
      </c>
      <c r="F172" t="inlineStr">
        <is>
          <t>0.200 | 0.800</t>
        </is>
      </c>
      <c r="G172" t="inlineStr">
        <is>
          <t>model_catch</t>
        </is>
      </c>
      <c r="H172" t="inlineStr">
        <is>
          <t>medium</t>
        </is>
      </c>
      <c r="I172" t="inlineStr">
        <is>
          <t>composite_split</t>
        </is>
      </c>
      <c r="J172" t="n">
        <v>133963.582</v>
      </c>
      <c r="K172" t="n">
        <v>0.0346</v>
      </c>
      <c r="L172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173">
      <c r="A173" t="inlineStr">
        <is>
          <t>Gastropoda</t>
        </is>
      </c>
      <c r="B173" t="inlineStr">
        <is>
          <t>Sea snails</t>
        </is>
      </c>
      <c r="C173" t="inlineStr">
        <is>
          <t>Other demersal invertebrates</t>
        </is>
      </c>
      <c r="D173" t="inlineStr">
        <is>
          <t>Molluscs</t>
        </is>
      </c>
      <c r="E173" s="8" t="inlineStr">
        <is>
          <t>Non-ceph molluscs</t>
        </is>
      </c>
      <c r="F173" t="inlineStr"/>
      <c r="G173" t="inlineStr"/>
      <c r="H173" t="inlineStr">
        <is>
          <t>high</t>
        </is>
      </c>
      <c r="I173" t="inlineStr">
        <is>
          <t>taxonomic_containment</t>
        </is>
      </c>
      <c r="J173" t="n">
        <v>133445.785</v>
      </c>
      <c r="K173" t="n">
        <v>0.0344</v>
      </c>
      <c r="L173" s="6" t="inlineStr">
        <is>
          <t>Taxonomic containment in the source benthos subdivision (Appendix 6.1.5 pp.324-325), keeping non-cephalopod molluscs separate from echinoderms and sessile invertebrates.</t>
        </is>
      </c>
    </row>
    <row r="174">
      <c r="A174" t="inlineStr">
        <is>
          <t>Psenopsis anomala</t>
        </is>
      </c>
      <c r="B174" t="inlineStr">
        <is>
          <t>Pacific rudderfish</t>
        </is>
      </c>
      <c r="C174" t="inlineStr">
        <is>
          <t>Small benthopelagics (&lt;30 cm)</t>
        </is>
      </c>
      <c r="D174" t="inlineStr">
        <is>
          <t>Perch-likes</t>
        </is>
      </c>
      <c r="E174" s="8" t="inlineStr">
        <is>
          <t>Melon seed</t>
        </is>
      </c>
      <c r="F174" t="inlineStr"/>
      <c r="G174" t="inlineStr"/>
      <c r="H174" t="inlineStr">
        <is>
          <t>high</t>
        </is>
      </c>
      <c r="I174" t="inlineStr">
        <is>
          <t>explicit_member</t>
        </is>
      </c>
      <c r="J174" t="n">
        <v>132192.441</v>
      </c>
      <c r="K174" t="n">
        <v>0.0341</v>
      </c>
      <c r="L174" s="6" t="inlineStr">
        <is>
          <t>Appendix 6.1 pp.327-335 defines Melon seed by this family or explicitly names Psenopsis anomala; dedicated source placement overrides the SAU class Small benthopelagics (&lt;30 cm).</t>
        </is>
      </c>
    </row>
    <row r="175">
      <c r="A175" t="inlineStr">
        <is>
          <t>Platycephalus indicus</t>
        </is>
      </c>
      <c r="B175" t="inlineStr">
        <is>
          <t>Bartail flathead</t>
        </is>
      </c>
      <c r="C175" t="inlineStr">
        <is>
          <t>Medium demersals (30 - 89 cm)</t>
        </is>
      </c>
      <c r="D175" t="inlineStr">
        <is>
          <t>Scorpionfishes</t>
        </is>
      </c>
      <c r="E175" s="7" t="inlineStr">
        <is>
          <t>Juvenile demersal fish (&gt; 30 cm) | Adult demersal fish (&gt; 30 cm)</t>
        </is>
      </c>
      <c r="F175" t="inlineStr">
        <is>
          <t>0.200 | 0.800</t>
        </is>
      </c>
      <c r="G175" t="inlineStr">
        <is>
          <t>model_catch</t>
        </is>
      </c>
      <c r="H175" t="inlineStr">
        <is>
          <t>medium</t>
        </is>
      </c>
      <c r="I175" t="inlineStr">
        <is>
          <t>composite_split</t>
        </is>
      </c>
      <c r="J175" t="n">
        <v>128648.431</v>
      </c>
      <c r="K175" t="n">
        <v>0.0332</v>
      </c>
      <c r="L175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176">
      <c r="A176" t="inlineStr">
        <is>
          <t>Ommastrephidae</t>
        </is>
      </c>
      <c r="B176" t="inlineStr">
        <is>
          <t>Arrow squids</t>
        </is>
      </c>
      <c r="C176" t="inlineStr">
        <is>
          <t>Cephalopods</t>
        </is>
      </c>
      <c r="D176" t="inlineStr">
        <is>
          <t>Other fishes &amp; inverts</t>
        </is>
      </c>
      <c r="E176" s="8" t="inlineStr">
        <is>
          <t>Cephalopods</t>
        </is>
      </c>
      <c r="F176" t="inlineStr"/>
      <c r="G176" t="inlineStr"/>
      <c r="H176" t="inlineStr">
        <is>
          <t>high</t>
        </is>
      </c>
      <c r="I176" t="inlineStr">
        <is>
          <t>taxonomic_containment</t>
        </is>
      </c>
      <c r="J176" t="n">
        <v>125296.493</v>
      </c>
      <c r="K176" t="n">
        <v>0.0323</v>
      </c>
      <c r="L176" s="6" t="inlineStr">
        <is>
          <t>Cephalopoda is contained by the single source Cephalopods group, Appendix 6.1.8 pp.326-327.</t>
        </is>
      </c>
    </row>
    <row r="177">
      <c r="A177" t="inlineStr">
        <is>
          <t>Gobiidae</t>
        </is>
      </c>
      <c r="B177" t="inlineStr">
        <is>
          <t>Gobies</t>
        </is>
      </c>
      <c r="C177" t="inlineStr">
        <is>
          <t>Small reef assoc. fish (&lt;30 cm)</t>
        </is>
      </c>
      <c r="D177" t="inlineStr">
        <is>
          <t>Perch-likes</t>
        </is>
      </c>
      <c r="E177" s="7" t="inlineStr">
        <is>
          <t>Demesral fish (≤ 30 cm)</t>
        </is>
      </c>
      <c r="F177" t="inlineStr"/>
      <c r="G177" t="inlineStr"/>
      <c r="H177" t="inlineStr">
        <is>
          <t>medium</t>
        </is>
      </c>
      <c r="I177" t="inlineStr">
        <is>
          <t>habitat_size_guild</t>
        </is>
      </c>
      <c r="J177" t="n">
        <v>123268.174</v>
      </c>
      <c r="K177" t="n">
        <v>0.0318</v>
      </c>
      <c r="L177" s="6" t="inlineStr">
        <is>
          <t>Analyst habitat/size inference: small demersal or reef-associated fish after excluding dedicated taxonomic groups, matching Appendix 6.1.19 &lt;=30 cm residual demersal pool.</t>
        </is>
      </c>
    </row>
    <row r="178">
      <c r="A178" t="inlineStr">
        <is>
          <t>Cephea</t>
        </is>
      </c>
      <c r="B178" t="inlineStr">
        <is>
          <t>Cepheid jellyfishes</t>
        </is>
      </c>
      <c r="C178" t="inlineStr">
        <is>
          <t>Jellyfish</t>
        </is>
      </c>
      <c r="D178" t="inlineStr">
        <is>
          <t>Other fishes &amp; inverts</t>
        </is>
      </c>
      <c r="E178" s="8" t="inlineStr">
        <is>
          <t>Jellyfish</t>
        </is>
      </c>
      <c r="F178" t="inlineStr"/>
      <c r="G178" t="inlineStr"/>
      <c r="H178" t="inlineStr">
        <is>
          <t>high</t>
        </is>
      </c>
      <c r="I178" t="inlineStr">
        <is>
          <t>taxonomic_containment</t>
        </is>
      </c>
      <c r="J178" t="n">
        <v>120878.508</v>
      </c>
      <c r="K178" t="n">
        <v>0.0312</v>
      </c>
      <c r="L178" s="6" t="inlineStr">
        <is>
          <t>Appendix 6.1.4 p.324 defines jellyfish as cnidarian medusae.</t>
        </is>
      </c>
    </row>
    <row r="179">
      <c r="A179" t="inlineStr">
        <is>
          <t>Haemulidae</t>
        </is>
      </c>
      <c r="B179" t="inlineStr">
        <is>
          <t>Grunts, sweetlips, bonnetmouths</t>
        </is>
      </c>
      <c r="C179" t="inlineStr">
        <is>
          <t>Medium demersals (30 - 89 cm)</t>
        </is>
      </c>
      <c r="D179" t="inlineStr">
        <is>
          <t>Perch-likes</t>
        </is>
      </c>
      <c r="E179" s="7" t="inlineStr">
        <is>
          <t>Juvenile demersal fish (&gt; 30 cm) | Adult demersal fish (&gt; 30 cm)</t>
        </is>
      </c>
      <c r="F179" t="inlineStr">
        <is>
          <t>0.200 | 0.800</t>
        </is>
      </c>
      <c r="G179" t="inlineStr">
        <is>
          <t>model_catch</t>
        </is>
      </c>
      <c r="H179" t="inlineStr">
        <is>
          <t>medium</t>
        </is>
      </c>
      <c r="I179" t="inlineStr">
        <is>
          <t>composite_split</t>
        </is>
      </c>
      <c r="J179" t="n">
        <v>117050.836</v>
      </c>
      <c r="K179" t="n">
        <v>0.0302</v>
      </c>
      <c r="L179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180">
      <c r="A180" t="inlineStr">
        <is>
          <t>Mytilidae</t>
        </is>
      </c>
      <c r="B180" t="inlineStr">
        <is>
          <t>Sea mussels</t>
        </is>
      </c>
      <c r="C180" t="inlineStr">
        <is>
          <t>Other demersal invertebrates</t>
        </is>
      </c>
      <c r="D180" t="inlineStr">
        <is>
          <t>Molluscs</t>
        </is>
      </c>
      <c r="E180" s="8" t="inlineStr">
        <is>
          <t>Non-ceph molluscs</t>
        </is>
      </c>
      <c r="F180" t="inlineStr"/>
      <c r="G180" t="inlineStr"/>
      <c r="H180" t="inlineStr">
        <is>
          <t>high</t>
        </is>
      </c>
      <c r="I180" t="inlineStr">
        <is>
          <t>taxonomic_containment</t>
        </is>
      </c>
      <c r="J180" t="n">
        <v>115007.309</v>
      </c>
      <c r="K180" t="n">
        <v>0.0297</v>
      </c>
      <c r="L180" s="6" t="inlineStr">
        <is>
          <t>Taxonomic containment in the source benthos subdivision (Appendix 6.1.5 pp.324-325), keeping non-cephalopod molluscs separate from echinoderms and sessile invertebrates.</t>
        </is>
      </c>
    </row>
    <row r="181">
      <c r="A181" t="inlineStr">
        <is>
          <t>Upeneus moluccensis</t>
        </is>
      </c>
      <c r="B181" t="inlineStr">
        <is>
          <t>Goldband goatfish</t>
        </is>
      </c>
      <c r="C181" t="inlineStr">
        <is>
          <t>Small reef assoc. fish (&lt;30 cm)</t>
        </is>
      </c>
      <c r="D181" t="inlineStr">
        <is>
          <t>Perch-likes</t>
        </is>
      </c>
      <c r="E181" s="7" t="inlineStr">
        <is>
          <t>Demesral fish (≤ 30 cm)</t>
        </is>
      </c>
      <c r="F181" t="inlineStr"/>
      <c r="G181" t="inlineStr"/>
      <c r="H181" t="inlineStr">
        <is>
          <t>medium</t>
        </is>
      </c>
      <c r="I181" t="inlineStr">
        <is>
          <t>habitat_size_guild</t>
        </is>
      </c>
      <c r="J181" t="n">
        <v>108216.654</v>
      </c>
      <c r="K181" t="n">
        <v>0.0279</v>
      </c>
      <c r="L181" s="6" t="inlineStr">
        <is>
          <t>Analyst habitat/size inference: small demersal or reef-associated fish after excluding dedicated taxonomic groups, matching Appendix 6.1.19 &lt;=30 cm residual demersal pool.</t>
        </is>
      </c>
    </row>
    <row r="182">
      <c r="A182" t="inlineStr">
        <is>
          <t>Perna viridis</t>
        </is>
      </c>
      <c r="B182" t="inlineStr">
        <is>
          <t>Brown mussel</t>
        </is>
      </c>
      <c r="C182" t="inlineStr">
        <is>
          <t>Other demersal invertebrates</t>
        </is>
      </c>
      <c r="D182" t="inlineStr">
        <is>
          <t>Molluscs</t>
        </is>
      </c>
      <c r="E182" s="8" t="inlineStr">
        <is>
          <t>Non-ceph molluscs</t>
        </is>
      </c>
      <c r="F182" t="inlineStr"/>
      <c r="G182" t="inlineStr"/>
      <c r="H182" t="inlineStr">
        <is>
          <t>high</t>
        </is>
      </c>
      <c r="I182" t="inlineStr">
        <is>
          <t>taxonomic_containment</t>
        </is>
      </c>
      <c r="J182" t="n">
        <v>102837.253</v>
      </c>
      <c r="K182" t="n">
        <v>0.0265</v>
      </c>
      <c r="L182" s="6" t="inlineStr">
        <is>
          <t>Taxonomic containment in the source benthos subdivision (Appendix 6.1.5 pp.324-325), keeping non-cephalopod molluscs separate from echinoderms and sessile invertebrates.</t>
        </is>
      </c>
    </row>
    <row r="183">
      <c r="A183" t="inlineStr">
        <is>
          <t>Terapon</t>
        </is>
      </c>
      <c r="B183" t="inlineStr">
        <is>
          <t>Terapons</t>
        </is>
      </c>
      <c r="C183" t="inlineStr">
        <is>
          <t>Medium demersals (30 - 89 cm)</t>
        </is>
      </c>
      <c r="D183" t="inlineStr">
        <is>
          <t>Perch-likes</t>
        </is>
      </c>
      <c r="E183" s="7" t="inlineStr">
        <is>
          <t>Juvenile demersal fish (&gt; 30 cm) | Adult demersal fish (&gt; 30 cm)</t>
        </is>
      </c>
      <c r="F183" t="inlineStr">
        <is>
          <t>0.200 | 0.800</t>
        </is>
      </c>
      <c r="G183" t="inlineStr">
        <is>
          <t>model_catch</t>
        </is>
      </c>
      <c r="H183" t="inlineStr">
        <is>
          <t>medium</t>
        </is>
      </c>
      <c r="I183" t="inlineStr">
        <is>
          <t>composite_split</t>
        </is>
      </c>
      <c r="J183" t="n">
        <v>101597.254</v>
      </c>
      <c r="K183" t="n">
        <v>0.0262</v>
      </c>
      <c r="L183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184">
      <c r="A184" t="inlineStr">
        <is>
          <t>Pampus chinensis</t>
        </is>
      </c>
      <c r="B184" t="inlineStr">
        <is>
          <t>Chinese silver pomfret</t>
        </is>
      </c>
      <c r="C184" t="inlineStr">
        <is>
          <t>Medium benthopelagics (30 - 89 cm)</t>
        </is>
      </c>
      <c r="D184" t="inlineStr">
        <is>
          <t>Perch-likes</t>
        </is>
      </c>
      <c r="E184" s="8" t="inlineStr">
        <is>
          <t>Pomfret (stromateids)</t>
        </is>
      </c>
      <c r="F184" t="inlineStr"/>
      <c r="G184" t="inlineStr"/>
      <c r="H184" t="inlineStr">
        <is>
          <t>high</t>
        </is>
      </c>
      <c r="I184" t="inlineStr">
        <is>
          <t>taxonomic_containment</t>
        </is>
      </c>
      <c r="J184" t="n">
        <v>100274.619</v>
      </c>
      <c r="K184" t="n">
        <v>0.0259</v>
      </c>
      <c r="L184" s="6" t="inlineStr">
        <is>
          <t>Appendix 6.1 pp.327-335 defines Pomfret (stromateids) by this family or explicitly names Pampus chinensis; dedicated source placement overrides the SAU class Medium benthopelagics (30 - 89 cm).</t>
        </is>
      </c>
    </row>
    <row r="185">
      <c r="A185" t="inlineStr">
        <is>
          <t>Rhizostomeae</t>
        </is>
      </c>
      <c r="B185" t="inlineStr">
        <is>
          <t>Oral arm jellyfishes</t>
        </is>
      </c>
      <c r="C185" t="inlineStr">
        <is>
          <t>Jellyfish</t>
        </is>
      </c>
      <c r="D185" t="inlineStr">
        <is>
          <t>Other fishes &amp; inverts</t>
        </is>
      </c>
      <c r="E185" s="8" t="inlineStr">
        <is>
          <t>Jellyfish</t>
        </is>
      </c>
      <c r="F185" t="inlineStr"/>
      <c r="G185" t="inlineStr"/>
      <c r="H185" t="inlineStr">
        <is>
          <t>high</t>
        </is>
      </c>
      <c r="I185" t="inlineStr">
        <is>
          <t>taxonomic_containment</t>
        </is>
      </c>
      <c r="J185" t="n">
        <v>98320.45699999999</v>
      </c>
      <c r="K185" t="n">
        <v>0.0254</v>
      </c>
      <c r="L185" s="6" t="inlineStr">
        <is>
          <t>Appendix 6.1.4 p.324 defines jellyfish as cnidarian medusae.</t>
        </is>
      </c>
    </row>
    <row r="186">
      <c r="A186" t="inlineStr">
        <is>
          <t>Sillago</t>
        </is>
      </c>
      <c r="B186" t="inlineStr">
        <is>
          <t>Smelt-whitings</t>
        </is>
      </c>
      <c r="C186" t="inlineStr">
        <is>
          <t>Medium demersals (30 - 89 cm)</t>
        </is>
      </c>
      <c r="D186" t="inlineStr">
        <is>
          <t>Perch-likes</t>
        </is>
      </c>
      <c r="E186" s="7" t="inlineStr">
        <is>
          <t>Juvenile demersal fish (&gt; 30 cm) | Adult demersal fish (&gt; 30 cm)</t>
        </is>
      </c>
      <c r="F186" t="inlineStr">
        <is>
          <t>0.200 | 0.800</t>
        </is>
      </c>
      <c r="G186" t="inlineStr">
        <is>
          <t>model_catch</t>
        </is>
      </c>
      <c r="H186" t="inlineStr">
        <is>
          <t>medium</t>
        </is>
      </c>
      <c r="I186" t="inlineStr">
        <is>
          <t>composite_split</t>
        </is>
      </c>
      <c r="J186" t="n">
        <v>91698.603</v>
      </c>
      <c r="K186" t="n">
        <v>0.0237</v>
      </c>
      <c r="L186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187">
      <c r="A187" t="inlineStr">
        <is>
          <t>Scyllaridae</t>
        </is>
      </c>
      <c r="B187" t="inlineStr">
        <is>
          <t>Slipper lobsters</t>
        </is>
      </c>
      <c r="C187" t="inlineStr">
        <is>
          <t>Lobsters, crabs</t>
        </is>
      </c>
      <c r="D187" t="inlineStr">
        <is>
          <t>Crustaceans</t>
        </is>
      </c>
      <c r="E187" s="8" t="inlineStr">
        <is>
          <t>Benthic crustaceans</t>
        </is>
      </c>
      <c r="F187" t="inlineStr"/>
      <c r="G187" t="inlineStr"/>
      <c r="H187" t="inlineStr">
        <is>
          <t>high</t>
        </is>
      </c>
      <c r="I187" t="inlineStr">
        <is>
          <t>taxonomic_containment</t>
        </is>
      </c>
      <c r="J187" t="n">
        <v>91368.08100000001</v>
      </c>
      <c r="K187" t="n">
        <v>0.0236</v>
      </c>
      <c r="L187" s="6" t="inlineStr">
        <is>
          <t>Source benthic crustaceans exclude shrimps and crabs (Appendix 6.1.5 p.324); lobsters remain in that residual, while true crabs use Crabs.</t>
        </is>
      </c>
    </row>
    <row r="188">
      <c r="A188" t="inlineStr">
        <is>
          <t>Anodontostoma chacunda</t>
        </is>
      </c>
      <c r="B188" t="inlineStr">
        <is>
          <t>Chacunda gizzard shad</t>
        </is>
      </c>
      <c r="C188" t="inlineStr">
        <is>
          <t>Small pelagics (&lt;30 cm)</t>
        </is>
      </c>
      <c r="D188" t="inlineStr">
        <is>
          <t>Herring-likes</t>
        </is>
      </c>
      <c r="E188" s="7" t="inlineStr">
        <is>
          <t>Pelagic fish (≤ 30 cm)</t>
        </is>
      </c>
      <c r="F188" t="inlineStr"/>
      <c r="G188" t="inlineStr"/>
      <c r="H188" t="inlineStr">
        <is>
          <t>medium</t>
        </is>
      </c>
      <c r="I188" t="inlineStr">
        <is>
          <t>habitat_size_guild</t>
        </is>
      </c>
      <c r="J188" t="n">
        <v>90336.00900000001</v>
      </c>
      <c r="K188" t="n">
        <v>0.0233</v>
      </c>
      <c r="L188" s="6" t="inlineStr">
        <is>
          <t>Source small-pelagic pool explicitly includes sardines, thryssa and anchovies (Appendix 6.1.23 p.338); extension to the catch lineage uses SAU size as a proxy and is not a full species list.</t>
        </is>
      </c>
    </row>
    <row r="189">
      <c r="A189" t="inlineStr">
        <is>
          <t>Echinoidea</t>
        </is>
      </c>
      <c r="B189" t="inlineStr">
        <is>
          <t>Sea urchins, sea hedgehogs</t>
        </is>
      </c>
      <c r="C189" t="inlineStr">
        <is>
          <t>Other demersal invertebrates</t>
        </is>
      </c>
      <c r="D189" t="inlineStr">
        <is>
          <t>Other fishes &amp; inverts</t>
        </is>
      </c>
      <c r="E189" s="8" t="inlineStr">
        <is>
          <t>Echinoderms</t>
        </is>
      </c>
      <c r="F189" t="inlineStr"/>
      <c r="G189" t="inlineStr"/>
      <c r="H189" t="inlineStr">
        <is>
          <t>high</t>
        </is>
      </c>
      <c r="I189" t="inlineStr">
        <is>
          <t>taxonomic_containment</t>
        </is>
      </c>
      <c r="J189" t="n">
        <v>87912.766</v>
      </c>
      <c r="K189" t="n">
        <v>0.0227</v>
      </c>
      <c r="L189" s="6" t="inlineStr">
        <is>
          <t>Taxonomic containment in the source benthos subdivision (Appendix 6.1.5 pp.324-325), keeping non-cephalopod molluscs separate from echinoderms and sessile invertebrates.</t>
        </is>
      </c>
    </row>
    <row r="190">
      <c r="A190" t="inlineStr">
        <is>
          <t>Ariomma indica</t>
        </is>
      </c>
      <c r="B190" t="inlineStr">
        <is>
          <t>Indian driftfish</t>
        </is>
      </c>
      <c r="C190" t="inlineStr">
        <is>
          <t>Small benthopelagics (&lt;30 cm)</t>
        </is>
      </c>
      <c r="D190" t="inlineStr">
        <is>
          <t>Perch-likes</t>
        </is>
      </c>
      <c r="E190" s="5" t="inlineStr">
        <is>
          <t>Benthopelagic fish</t>
        </is>
      </c>
      <c r="F190" t="inlineStr"/>
      <c r="G190" t="inlineStr"/>
      <c r="H190" t="inlineStr">
        <is>
          <t>low</t>
        </is>
      </c>
      <c r="I190" t="inlineStr">
        <is>
          <t>habitat_size_guild</t>
        </is>
      </c>
      <c r="J190" t="n">
        <v>86849.351</v>
      </c>
      <c r="K190" t="n">
        <v>0.0224</v>
      </c>
      <c r="L190" s="6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</row>
    <row r="191">
      <c r="A191" t="inlineStr">
        <is>
          <t>Lutjanus quinquelineatus</t>
        </is>
      </c>
      <c r="B191" t="inlineStr">
        <is>
          <t>Five-lined snapper</t>
        </is>
      </c>
      <c r="C191" t="inlineStr">
        <is>
          <t>Medium reef assoc. fish (30 - 89 cm)</t>
        </is>
      </c>
      <c r="D191" t="inlineStr">
        <is>
          <t>Perch-likes</t>
        </is>
      </c>
      <c r="E191" s="8" t="inlineStr">
        <is>
          <t>Snappers</t>
        </is>
      </c>
      <c r="F191" t="inlineStr"/>
      <c r="G191" t="inlineStr"/>
      <c r="H191" t="inlineStr">
        <is>
          <t>high</t>
        </is>
      </c>
      <c r="I191" t="inlineStr">
        <is>
          <t>taxonomic_containment</t>
        </is>
      </c>
      <c r="J191" t="n">
        <v>85439.462</v>
      </c>
      <c r="K191" t="n">
        <v>0.022</v>
      </c>
      <c r="L191" s="6" t="inlineStr">
        <is>
          <t>Appendix 6.1 pp.327-335 defines Snappers by this family or explicitly names Lutjanus quinquelineatus; dedicated source placement overrides the SAU class Medium reef assoc. fish (30 - 89 cm).</t>
        </is>
      </c>
    </row>
    <row r="192">
      <c r="A192" t="inlineStr">
        <is>
          <t>Platycaranx talamparoides</t>
        </is>
      </c>
      <c r="B192" t="inlineStr">
        <is>
          <t>Imposter trevally</t>
        </is>
      </c>
      <c r="C192" t="inlineStr">
        <is>
          <t>Medium pelagics (30 - 89 cm)</t>
        </is>
      </c>
      <c r="D192" t="inlineStr">
        <is>
          <t>Perch-likes</t>
        </is>
      </c>
      <c r="E192" s="7" t="inlineStr">
        <is>
          <t>Juvenile large pelagic fish | Pelagic fish (&gt; 30 cm)</t>
        </is>
      </c>
      <c r="F192" t="inlineStr">
        <is>
          <t>0.202 | 0.798</t>
        </is>
      </c>
      <c r="G192" t="inlineStr">
        <is>
          <t>model_catch</t>
        </is>
      </c>
      <c r="H192" t="inlineStr">
        <is>
          <t>medium</t>
        </is>
      </c>
      <c r="I192" t="inlineStr">
        <is>
          <t>composite_split</t>
        </is>
      </c>
      <c r="J192" t="n">
        <v>85261.257</v>
      </c>
      <c r="K192" t="n">
        <v>0.022</v>
      </c>
      <c r="L192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</row>
    <row r="193">
      <c r="A193" t="inlineStr">
        <is>
          <t>Planiliza haematocheilus</t>
        </is>
      </c>
      <c r="B193" t="inlineStr">
        <is>
          <t>So-iny mullet</t>
        </is>
      </c>
      <c r="C193" t="inlineStr">
        <is>
          <t>Medium demersals (30 - 89 cm)</t>
        </is>
      </c>
      <c r="D193" t="inlineStr">
        <is>
          <t>Perch-likes</t>
        </is>
      </c>
      <c r="E193" s="7" t="inlineStr">
        <is>
          <t>Juvenile demersal fish (&gt; 30 cm) | Adult demersal fish (&gt; 30 cm)</t>
        </is>
      </c>
      <c r="F193" t="inlineStr">
        <is>
          <t>0.200 | 0.800</t>
        </is>
      </c>
      <c r="G193" t="inlineStr">
        <is>
          <t>model_catch</t>
        </is>
      </c>
      <c r="H193" t="inlineStr">
        <is>
          <t>medium</t>
        </is>
      </c>
      <c r="I193" t="inlineStr">
        <is>
          <t>composite_split</t>
        </is>
      </c>
      <c r="J193" t="n">
        <v>83320.213</v>
      </c>
      <c r="K193" t="n">
        <v>0.0215</v>
      </c>
      <c r="L193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194">
      <c r="A194" t="inlineStr">
        <is>
          <t>Plotosus</t>
        </is>
      </c>
      <c r="B194" t="inlineStr">
        <is>
          <t>Eel catfishes</t>
        </is>
      </c>
      <c r="C194" t="inlineStr">
        <is>
          <t>Medium reef assoc. fish (30 - 89 cm)</t>
        </is>
      </c>
      <c r="D194" t="inlineStr">
        <is>
          <t>Other fishes &amp; inverts</t>
        </is>
      </c>
      <c r="E194" s="7" t="inlineStr">
        <is>
          <t>Juvenile demersal fish (&gt; 30 cm) | Adult demersal fish (&gt; 30 cm)</t>
        </is>
      </c>
      <c r="F194" t="inlineStr">
        <is>
          <t>0.200 | 0.800</t>
        </is>
      </c>
      <c r="G194" t="inlineStr">
        <is>
          <t>model_catch</t>
        </is>
      </c>
      <c r="H194" t="inlineStr">
        <is>
          <t>medium</t>
        </is>
      </c>
      <c r="I194" t="inlineStr">
        <is>
          <t>composite_split</t>
        </is>
      </c>
      <c r="J194" t="n">
        <v>82892.16800000001</v>
      </c>
      <c r="K194" t="n">
        <v>0.0214</v>
      </c>
      <c r="L194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195">
      <c r="A195" t="inlineStr">
        <is>
          <t>Hemiramphus</t>
        </is>
      </c>
      <c r="B195" t="inlineStr">
        <is>
          <t>Halfbeaks</t>
        </is>
      </c>
      <c r="C195" t="inlineStr">
        <is>
          <t>Medium pelagics (30 - 89 cm)</t>
        </is>
      </c>
      <c r="D195" t="inlineStr">
        <is>
          <t>Other fishes &amp; inverts</t>
        </is>
      </c>
      <c r="E195" s="7" t="inlineStr">
        <is>
          <t>Juvenile large pelagic fish | Pelagic fish (&gt; 30 cm)</t>
        </is>
      </c>
      <c r="F195" t="inlineStr">
        <is>
          <t>0.202 | 0.798</t>
        </is>
      </c>
      <c r="G195" t="inlineStr">
        <is>
          <t>model_catch</t>
        </is>
      </c>
      <c r="H195" t="inlineStr">
        <is>
          <t>medium</t>
        </is>
      </c>
      <c r="I195" t="inlineStr">
        <is>
          <t>composite_split</t>
        </is>
      </c>
      <c r="J195" t="n">
        <v>82219.06299999999</v>
      </c>
      <c r="K195" t="n">
        <v>0.0212</v>
      </c>
      <c r="L195" s="6" t="inlineStr">
        <is>
          <t>Analyst habitat/size inference to source &gt;30 cm pelagic fish (Appendix 6.1.24 p.339); no age data, so split juvenile/adult using the period model catch.</t>
        </is>
      </c>
    </row>
    <row r="196">
      <c r="A196" t="inlineStr">
        <is>
          <t>Scomber</t>
        </is>
      </c>
      <c r="B196" t="inlineStr">
        <is>
          <t>Chub mackerels</t>
        </is>
      </c>
      <c r="C196" t="inlineStr">
        <is>
          <t>Medium pelagics (30 - 89 cm)</t>
        </is>
      </c>
      <c r="D196" t="inlineStr">
        <is>
          <t>Perch-likes</t>
        </is>
      </c>
      <c r="E196" s="7" t="inlineStr">
        <is>
          <t>Juvenile large pelagic fish | Pelagic fish (&gt; 30 cm)</t>
        </is>
      </c>
      <c r="F196" t="inlineStr">
        <is>
          <t>0.202 | 0.798</t>
        </is>
      </c>
      <c r="G196" t="inlineStr">
        <is>
          <t>model_catch</t>
        </is>
      </c>
      <c r="H196" t="inlineStr">
        <is>
          <t>medium</t>
        </is>
      </c>
      <c r="I196" t="inlineStr">
        <is>
          <t>composite_split</t>
        </is>
      </c>
      <c r="J196" t="n">
        <v>80523.34299999999</v>
      </c>
      <c r="K196" t="n">
        <v>0.0208</v>
      </c>
      <c r="L196" s="6" t="inlineStr">
        <is>
          <t>Analyst habitat/size inference to source &gt;30 cm pelagic fish (Appendix 6.1.24 p.339); no age data, so split juvenile/adult using the period model catch.</t>
        </is>
      </c>
    </row>
    <row r="197">
      <c r="A197" t="inlineStr">
        <is>
          <t>Cypselurus</t>
        </is>
      </c>
      <c r="B197" t="inlineStr">
        <is>
          <t>Cypselurid flyingfishes</t>
        </is>
      </c>
      <c r="C197" t="inlineStr">
        <is>
          <t>Small pelagics (&lt;30 cm)</t>
        </is>
      </c>
      <c r="D197" t="inlineStr">
        <is>
          <t>Other fishes &amp; inverts</t>
        </is>
      </c>
      <c r="E197" s="7" t="inlineStr">
        <is>
          <t>Pelagic fish (≤ 30 cm)</t>
        </is>
      </c>
      <c r="F197" t="inlineStr"/>
      <c r="G197" t="inlineStr"/>
      <c r="H197" t="inlineStr">
        <is>
          <t>medium</t>
        </is>
      </c>
      <c r="I197" t="inlineStr">
        <is>
          <t>habitat_size_guild</t>
        </is>
      </c>
      <c r="J197" t="n">
        <v>78674.91099999999</v>
      </c>
      <c r="K197" t="n">
        <v>0.0203</v>
      </c>
      <c r="L197" s="6" t="inlineStr">
        <is>
          <t>Analyst habitat/size inference: SAU small-pelagic class matches the source &lt;=30 cm pelagic pool after dedicated source taxa were handled (Appendix 6.1.23 p.338).</t>
        </is>
      </c>
    </row>
    <row r="198">
      <c r="A198" t="inlineStr">
        <is>
          <t>Sergestidae</t>
        </is>
      </c>
      <c r="B198" t="inlineStr">
        <is>
          <t>Sergestid shrimp</t>
        </is>
      </c>
      <c r="C198" t="inlineStr">
        <is>
          <t>Shrimps</t>
        </is>
      </c>
      <c r="D198" t="inlineStr">
        <is>
          <t>Crustaceans</t>
        </is>
      </c>
      <c r="E198" s="5" t="inlineStr">
        <is>
          <t>Zooplankton | Shrimps</t>
        </is>
      </c>
      <c r="F198" t="inlineStr">
        <is>
          <t>0.346 | 0.654</t>
        </is>
      </c>
      <c r="G198" t="inlineStr">
        <is>
          <t>catch_composition</t>
        </is>
      </c>
      <c r="H198" t="inlineStr">
        <is>
          <t>low</t>
        </is>
      </c>
      <c r="I198" t="inlineStr">
        <is>
          <t>composite_split</t>
        </is>
      </c>
      <c r="J198" t="n">
        <v>77708.344</v>
      </c>
      <c r="K198" t="n">
        <v>0.02</v>
      </c>
      <c r="L198" s="6" t="inlineStr">
        <is>
          <t>Coarse crustacean label spans source Acetes in Zooplankton, other shrimps, crabs and residual benthic crustaceans (Appendix 6.1 pp.323-326); Sergestidae is restricted to the first two. Source membership precedes SAU habitat class.</t>
        </is>
      </c>
    </row>
    <row r="199">
      <c r="A199" t="inlineStr">
        <is>
          <t>Prionace glauca</t>
        </is>
      </c>
      <c r="B199" t="inlineStr">
        <is>
          <t>Blue shark</t>
        </is>
      </c>
      <c r="C199" t="inlineStr">
        <is>
          <t>Large sharks (&gt;=90 cm)</t>
        </is>
      </c>
      <c r="D199" t="inlineStr">
        <is>
          <t>Sharks &amp; rays</t>
        </is>
      </c>
      <c r="E199" s="7" t="inlineStr">
        <is>
          <t>Pelagic sharks and rays</t>
        </is>
      </c>
      <c r="F199" t="inlineStr"/>
      <c r="G199" t="inlineStr"/>
      <c r="H199" t="inlineStr">
        <is>
          <t>medium</t>
        </is>
      </c>
      <c r="I199" t="inlineStr">
        <is>
          <t>habitat_size_guild</t>
        </is>
      </c>
      <c r="J199" t="n">
        <v>76937.868</v>
      </c>
      <c r="K199" t="n">
        <v>0.0199</v>
      </c>
      <c r="L199" s="6" t="inlineStr">
        <is>
          <t>Pelagic shark lineage matches the pelagic elasmobranch definition, Appendix 6.1.25 p.340; species placement is analyst inference.</t>
        </is>
      </c>
    </row>
    <row r="200">
      <c r="A200" t="inlineStr">
        <is>
          <t>Xiphias gladius</t>
        </is>
      </c>
      <c r="B200" t="inlineStr">
        <is>
          <t>Swordfish</t>
        </is>
      </c>
      <c r="C200" t="inlineStr">
        <is>
          <t>Large pelagics (&gt;=90 cm)</t>
        </is>
      </c>
      <c r="D200" t="inlineStr">
        <is>
          <t>Tuna &amp; billfishes</t>
        </is>
      </c>
      <c r="E200" s="9" t="inlineStr">
        <is>
          <t>Unresolved</t>
        </is>
      </c>
      <c r="F200" t="inlineStr"/>
      <c r="G200" t="inlineStr"/>
      <c r="H200" t="inlineStr">
        <is>
          <t>unresolved</t>
        </is>
      </c>
      <c r="I200" t="inlineStr">
        <is>
          <t>none</t>
        </is>
      </c>
      <c r="J200" t="n">
        <v>75931.501</v>
      </c>
      <c r="K200" t="n">
        <v>0.0196</v>
      </c>
      <c r="L200" s="6" t="inlineStr">
        <is>
          <t>Northern continental-shelf model lacks a documented oceanic billfish or deep-pelagic compartment; assigning coastal juvenile/adult pelagic SPPR would be unsupported.</t>
        </is>
      </c>
    </row>
    <row r="201">
      <c r="A201" t="inlineStr">
        <is>
          <t>Scylla serrata</t>
        </is>
      </c>
      <c r="B201" t="inlineStr">
        <is>
          <t>Indo-Pacific swamp crab</t>
        </is>
      </c>
      <c r="C201" t="inlineStr">
        <is>
          <t>Lobsters, crabs</t>
        </is>
      </c>
      <c r="D201" t="inlineStr">
        <is>
          <t>Crustaceans</t>
        </is>
      </c>
      <c r="E201" s="8" t="inlineStr">
        <is>
          <t>Crabs</t>
        </is>
      </c>
      <c r="F201" t="inlineStr"/>
      <c r="G201" t="inlineStr"/>
      <c r="H201" t="inlineStr">
        <is>
          <t>high</t>
        </is>
      </c>
      <c r="I201" t="inlineStr">
        <is>
          <t>taxonomic_containment</t>
        </is>
      </c>
      <c r="J201" t="n">
        <v>73959.967</v>
      </c>
      <c r="K201" t="n">
        <v>0.0191</v>
      </c>
      <c r="L201" s="6" t="inlineStr">
        <is>
          <t>Source benthic crustaceans exclude shrimps and crabs (Appendix 6.1.5 p.324); lobsters remain in that residual, while true crabs use Crabs.</t>
        </is>
      </c>
    </row>
    <row r="202">
      <c r="A202" t="inlineStr">
        <is>
          <t>Malacostraca</t>
        </is>
      </c>
      <c r="B202" t="inlineStr">
        <is>
          <t>Lobsters, crabs, shrimps, krill</t>
        </is>
      </c>
      <c r="C202" t="inlineStr">
        <is>
          <t>Shrimps</t>
        </is>
      </c>
      <c r="D202" t="inlineStr">
        <is>
          <t>Crustaceans</t>
        </is>
      </c>
      <c r="E202" s="5" t="inlineStr">
        <is>
          <t>Zooplankton | Benthic crustaceans | Shrimps | Crabs</t>
        </is>
      </c>
      <c r="F202" t="inlineStr">
        <is>
          <t>0.257 | 0.052 | 0.486 | 0.205</t>
        </is>
      </c>
      <c r="G202" t="inlineStr">
        <is>
          <t>catch_composition</t>
        </is>
      </c>
      <c r="H202" t="inlineStr">
        <is>
          <t>low</t>
        </is>
      </c>
      <c r="I202" t="inlineStr">
        <is>
          <t>composite_split</t>
        </is>
      </c>
      <c r="J202" t="n">
        <v>72517.89</v>
      </c>
      <c r="K202" t="n">
        <v>0.0187</v>
      </c>
      <c r="L202" s="6" t="inlineStr">
        <is>
          <t>Coarse crustacean label spans source Acetes in Zooplankton, other shrimps, crabs and residual benthic crustaceans (Appendix 6.1 pp.323-326); Sergestidae is restricted to the first two. Source membership precedes SAU habitat class.</t>
        </is>
      </c>
    </row>
    <row r="203">
      <c r="A203" t="inlineStr">
        <is>
          <t>Scyris indica</t>
        </is>
      </c>
      <c r="B203" t="inlineStr">
        <is>
          <t>Indian threadfish</t>
        </is>
      </c>
      <c r="C203" t="inlineStr">
        <is>
          <t>Large reef assoc. fish (&gt;=90 cm)</t>
        </is>
      </c>
      <c r="D203" t="inlineStr">
        <is>
          <t>Perch-likes</t>
        </is>
      </c>
      <c r="E203" s="7" t="inlineStr">
        <is>
          <t>Juvenile large pelagic fish | Pelagic fish (&gt; 30 cm)</t>
        </is>
      </c>
      <c r="F203" t="inlineStr">
        <is>
          <t>0.202 | 0.798</t>
        </is>
      </c>
      <c r="G203" t="inlineStr">
        <is>
          <t>model_catch</t>
        </is>
      </c>
      <c r="H203" t="inlineStr">
        <is>
          <t>medium</t>
        </is>
      </c>
      <c r="I203" t="inlineStr">
        <is>
          <t>composite_split</t>
        </is>
      </c>
      <c r="J203" t="n">
        <v>67627.495</v>
      </c>
      <c r="K203" t="n">
        <v>0.0174</v>
      </c>
      <c r="L203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</row>
    <row r="204">
      <c r="A204" t="inlineStr">
        <is>
          <t>Metapenaeus joyneri</t>
        </is>
      </c>
      <c r="B204" t="inlineStr">
        <is>
          <t>Shiba shrimp</t>
        </is>
      </c>
      <c r="C204" t="inlineStr">
        <is>
          <t>Shrimps</t>
        </is>
      </c>
      <c r="D204" t="inlineStr">
        <is>
          <t>Crustaceans</t>
        </is>
      </c>
      <c r="E204" s="8" t="inlineStr">
        <is>
          <t>Shrimps</t>
        </is>
      </c>
      <c r="F204" t="inlineStr"/>
      <c r="G204" t="inlineStr"/>
      <c r="H204" t="inlineStr">
        <is>
          <t>high</t>
        </is>
      </c>
      <c r="I204" t="inlineStr">
        <is>
          <t>taxonomic_containment</t>
        </is>
      </c>
      <c r="J204" t="n">
        <v>67586.25999999999</v>
      </c>
      <c r="K204" t="n">
        <v>0.0174</v>
      </c>
      <c r="L204" s="6" t="inlineStr">
        <is>
          <t>Stomatopods belong to the residual benthic crustaceans; other shrimp taxa belong to Shrimps after the explicitly separated Acetes records (Appendix 6.1 pp.323-326).</t>
        </is>
      </c>
    </row>
    <row r="205">
      <c r="A205" t="inlineStr">
        <is>
          <t>Gadiformes</t>
        </is>
      </c>
      <c r="B205" t="inlineStr">
        <is>
          <t>Cods</t>
        </is>
      </c>
      <c r="C205" t="inlineStr">
        <is>
          <t>Medium benthopelagics (30 - 89 cm)</t>
        </is>
      </c>
      <c r="D205" t="inlineStr">
        <is>
          <t>Cod-likes</t>
        </is>
      </c>
      <c r="E205" s="5" t="inlineStr">
        <is>
          <t>Demesral fish (≤ 30 cm) | Juvenile demersal fish (&gt; 30 cm) | Adult demersal fish (&gt; 30 cm)</t>
        </is>
      </c>
      <c r="F205" t="inlineStr">
        <is>
          <t>0.386 | 0.123 | 0.491</t>
        </is>
      </c>
      <c r="G205" t="inlineStr">
        <is>
          <t>model_catch</t>
        </is>
      </c>
      <c r="H205" t="inlineStr">
        <is>
          <t>low</t>
        </is>
      </c>
      <c r="I205" t="inlineStr">
        <is>
          <t>composite_split</t>
        </is>
      </c>
      <c r="J205" t="n">
        <v>64264.466</v>
      </c>
      <c r="K205" t="n">
        <v>0.0166</v>
      </c>
      <c r="L205" s="6" t="inlineStr">
        <is>
          <t>Analyst coarse-catch inference from SAU Medium benthopelagics (30 - 89 cm) to residual habitat/size pools in Appendix 6.1 pp.335-339, excluding dedicated named taxa; period model catch weights preserve stanza selectivity.</t>
        </is>
      </c>
    </row>
    <row r="206">
      <c r="A206" t="inlineStr">
        <is>
          <t>Cynoglossus</t>
        </is>
      </c>
      <c r="B206" t="inlineStr">
        <is>
          <t>Tonguesoles</t>
        </is>
      </c>
      <c r="C206" t="inlineStr">
        <is>
          <t>Small to medium flatfishes (&lt;90 cm)</t>
        </is>
      </c>
      <c r="D206" t="inlineStr">
        <is>
          <t>Flatfishes</t>
        </is>
      </c>
      <c r="E206" s="5" t="inlineStr">
        <is>
          <t>Demesral fish (≤ 30 cm) | Juvenile demersal fish (&gt; 30 cm) | Adult demersal fish (&gt; 30 cm)</t>
        </is>
      </c>
      <c r="F206" t="inlineStr">
        <is>
          <t>0.386 | 0.123 | 0.491</t>
        </is>
      </c>
      <c r="G206" t="inlineStr">
        <is>
          <t>model_catch</t>
        </is>
      </c>
      <c r="H206" t="inlineStr">
        <is>
          <t>low</t>
        </is>
      </c>
      <c r="I206" t="inlineStr">
        <is>
          <t>composite_split</t>
        </is>
      </c>
      <c r="J206" t="n">
        <v>63100.538</v>
      </c>
      <c r="K206" t="n">
        <v>0.0163</v>
      </c>
      <c r="L206" s="6" t="inlineStr">
        <is>
          <t>Flatfishes are demersal, but SAU &lt;90 cm band does not distinguish the source &lt;=30 cm species pool from &gt;30 cm juvenile/adult fish; all three residual demersal pools remain candidates.</t>
        </is>
      </c>
    </row>
    <row r="207">
      <c r="A207" t="inlineStr">
        <is>
          <t>Gerreidae</t>
        </is>
      </c>
      <c r="B207" t="inlineStr">
        <is>
          <t>Mojarras, silverbellies</t>
        </is>
      </c>
      <c r="C207" t="inlineStr">
        <is>
          <t>Small benthopelagics (&lt;30 cm)</t>
        </is>
      </c>
      <c r="D207" t="inlineStr">
        <is>
          <t>Perch-likes</t>
        </is>
      </c>
      <c r="E207" s="5" t="inlineStr">
        <is>
          <t>Benthopelagic fish</t>
        </is>
      </c>
      <c r="F207" t="inlineStr"/>
      <c r="G207" t="inlineStr"/>
      <c r="H207" t="inlineStr">
        <is>
          <t>low</t>
        </is>
      </c>
      <c r="I207" t="inlineStr">
        <is>
          <t>habitat_size_guild</t>
        </is>
      </c>
      <c r="J207" t="n">
        <v>61206.386</v>
      </c>
      <c r="K207" t="n">
        <v>0.0158</v>
      </c>
      <c r="L207" s="6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</row>
    <row r="208">
      <c r="A208" t="inlineStr">
        <is>
          <t>Panulirus longipes</t>
        </is>
      </c>
      <c r="B208" t="inlineStr">
        <is>
          <t>Longlegged spiny lobster</t>
        </is>
      </c>
      <c r="C208" t="inlineStr">
        <is>
          <t>Lobsters, crabs</t>
        </is>
      </c>
      <c r="D208" t="inlineStr">
        <is>
          <t>Crustaceans</t>
        </is>
      </c>
      <c r="E208" s="8" t="inlineStr">
        <is>
          <t>Benthic crustaceans</t>
        </is>
      </c>
      <c r="F208" t="inlineStr"/>
      <c r="G208" t="inlineStr"/>
      <c r="H208" t="inlineStr">
        <is>
          <t>high</t>
        </is>
      </c>
      <c r="I208" t="inlineStr">
        <is>
          <t>taxonomic_containment</t>
        </is>
      </c>
      <c r="J208" t="n">
        <v>61158.427</v>
      </c>
      <c r="K208" t="n">
        <v>0.0158</v>
      </c>
      <c r="L208" s="6" t="inlineStr">
        <is>
          <t>Source benthic crustaceans exclude shrimps and crabs (Appendix 6.1.5 p.324); lobsters remain in that residual, while true crabs use Crabs.</t>
        </is>
      </c>
    </row>
    <row r="209">
      <c r="A209" t="inlineStr">
        <is>
          <t>Epinephelus maculatus</t>
        </is>
      </c>
      <c r="B209" t="inlineStr">
        <is>
          <t>Highfin grouper</t>
        </is>
      </c>
      <c r="C209" t="inlineStr">
        <is>
          <t>Medium reef assoc. fish (30 - 89 cm)</t>
        </is>
      </c>
      <c r="D209" t="inlineStr">
        <is>
          <t>Perch-likes</t>
        </is>
      </c>
      <c r="E209" s="8" t="inlineStr">
        <is>
          <t>Adult groupers</t>
        </is>
      </c>
      <c r="F209" t="inlineStr"/>
      <c r="G209" t="inlineStr"/>
      <c r="H209" t="inlineStr">
        <is>
          <t>high</t>
        </is>
      </c>
      <c r="I209" t="inlineStr">
        <is>
          <t>taxonomic_containment</t>
        </is>
      </c>
      <c r="J209" t="n">
        <v>60882.607</v>
      </c>
      <c r="K209" t="n">
        <v>0.0157</v>
      </c>
      <c r="L209" s="6" t="inlineStr">
        <is>
          <t>Appendix 6.1 pp.327-335 defines Adult groupers by this family or explicitly names Epinephelus maculatus; dedicated source placement overrides the SAU class Medium reef assoc. fish (30 - 89 cm).</t>
        </is>
      </c>
    </row>
    <row r="210">
      <c r="A210" t="inlineStr">
        <is>
          <t>Pagrus major</t>
        </is>
      </c>
      <c r="B210" t="inlineStr">
        <is>
          <t>Japanese seabream</t>
        </is>
      </c>
      <c r="C210" t="inlineStr">
        <is>
          <t>Large demersals (&gt;=90 cm)</t>
        </is>
      </c>
      <c r="D210" t="inlineStr">
        <is>
          <t>Perch-likes</t>
        </is>
      </c>
      <c r="E210" s="7" t="inlineStr">
        <is>
          <t>Juvenile demersal fish (&gt; 30 cm) | Adult demersal fish (&gt; 30 cm)</t>
        </is>
      </c>
      <c r="F210" t="inlineStr">
        <is>
          <t>0.200 | 0.800</t>
        </is>
      </c>
      <c r="G210" t="inlineStr">
        <is>
          <t>model_catch</t>
        </is>
      </c>
      <c r="H210" t="inlineStr">
        <is>
          <t>medium</t>
        </is>
      </c>
      <c r="I210" t="inlineStr">
        <is>
          <t>composite_split</t>
        </is>
      </c>
      <c r="J210" t="n">
        <v>60001.739</v>
      </c>
      <c r="K210" t="n">
        <v>0.0155</v>
      </c>
      <c r="L210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211">
      <c r="A211" t="inlineStr">
        <is>
          <t>Caesio</t>
        </is>
      </c>
      <c r="B211" t="inlineStr">
        <is>
          <t>Caesios</t>
        </is>
      </c>
      <c r="C211" t="inlineStr">
        <is>
          <t>Medium reef assoc. fish (30 - 89 cm)</t>
        </is>
      </c>
      <c r="D211" t="inlineStr">
        <is>
          <t>Perch-likes</t>
        </is>
      </c>
      <c r="E211" s="7" t="inlineStr">
        <is>
          <t>Juvenile demersal fish (&gt; 30 cm) | Adult demersal fish (&gt; 30 cm)</t>
        </is>
      </c>
      <c r="F211" t="inlineStr">
        <is>
          <t>0.200 | 0.800</t>
        </is>
      </c>
      <c r="G211" t="inlineStr">
        <is>
          <t>model_catch</t>
        </is>
      </c>
      <c r="H211" t="inlineStr">
        <is>
          <t>medium</t>
        </is>
      </c>
      <c r="I211" t="inlineStr">
        <is>
          <t>composite_split</t>
        </is>
      </c>
      <c r="J211" t="n">
        <v>58951.688</v>
      </c>
      <c r="K211" t="n">
        <v>0.0152</v>
      </c>
      <c r="L211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212">
      <c r="A212" t="inlineStr">
        <is>
          <t>Penaeus monodon</t>
        </is>
      </c>
      <c r="B212" t="inlineStr">
        <is>
          <t>Giant tiger prawn</t>
        </is>
      </c>
      <c r="C212" t="inlineStr">
        <is>
          <t>Shrimps</t>
        </is>
      </c>
      <c r="D212" t="inlineStr">
        <is>
          <t>Crustaceans</t>
        </is>
      </c>
      <c r="E212" s="8" t="inlineStr">
        <is>
          <t>Shrimps</t>
        </is>
      </c>
      <c r="F212" t="inlineStr"/>
      <c r="G212" t="inlineStr"/>
      <c r="H212" t="inlineStr">
        <is>
          <t>high</t>
        </is>
      </c>
      <c r="I212" t="inlineStr">
        <is>
          <t>taxonomic_containment</t>
        </is>
      </c>
      <c r="J212" t="n">
        <v>56190.894</v>
      </c>
      <c r="K212" t="n">
        <v>0.0145</v>
      </c>
      <c r="L212" s="6" t="inlineStr">
        <is>
          <t>Stomatopods belong to the residual benthic crustaceans; other shrimp taxa belong to Shrimps after the explicitly separated Acetes records (Appendix 6.1 pp.323-326).</t>
        </is>
      </c>
    </row>
    <row r="213">
      <c r="A213" t="inlineStr">
        <is>
          <t>Carcharhinidae</t>
        </is>
      </c>
      <c r="B213" t="inlineStr">
        <is>
          <t>Requiem sharks</t>
        </is>
      </c>
      <c r="C213" t="inlineStr">
        <is>
          <t>Large sharks (&gt;=90 cm)</t>
        </is>
      </c>
      <c r="D213" t="inlineStr">
        <is>
          <t>Sharks &amp; rays</t>
        </is>
      </c>
      <c r="E213" s="5" t="inlineStr">
        <is>
          <t>Demersal sharks and rays | Pelagic sharks and rays</t>
        </is>
      </c>
      <c r="F213" t="inlineStr">
        <is>
          <t>0.813 | 0.187</t>
        </is>
      </c>
      <c r="G213" t="inlineStr">
        <is>
          <t>catch_composition</t>
        </is>
      </c>
      <c r="H213" t="inlineStr">
        <is>
          <t>low</t>
        </is>
      </c>
      <c r="I213" t="inlineStr">
        <is>
          <t>composite_split</t>
        </is>
      </c>
      <c r="J213" t="n">
        <v>55100.053</v>
      </c>
      <c r="K213" t="n">
        <v>0.0142</v>
      </c>
      <c r="L213" s="6" t="inlineStr">
        <is>
          <t>Coarse or habitat-ambiguous elasmobranch record spans the two source habitat compartments; SAU shark/ray size is insufficient to select one.</t>
        </is>
      </c>
    </row>
    <row r="214">
      <c r="A214" t="inlineStr">
        <is>
          <t>Paralichthyidae</t>
        </is>
      </c>
      <c r="B214" t="inlineStr">
        <is>
          <t>Largetooth flounders</t>
        </is>
      </c>
      <c r="C214" t="inlineStr">
        <is>
          <t>Small to medium flatfishes (&lt;90 cm)</t>
        </is>
      </c>
      <c r="D214" t="inlineStr">
        <is>
          <t>Flatfishes</t>
        </is>
      </c>
      <c r="E214" s="5" t="inlineStr">
        <is>
          <t>Demesral fish (≤ 30 cm) | Juvenile demersal fish (&gt; 30 cm) | Adult demersal fish (&gt; 30 cm)</t>
        </is>
      </c>
      <c r="F214" t="inlineStr">
        <is>
          <t>0.386 | 0.123 | 0.491</t>
        </is>
      </c>
      <c r="G214" t="inlineStr">
        <is>
          <t>model_catch</t>
        </is>
      </c>
      <c r="H214" t="inlineStr">
        <is>
          <t>low</t>
        </is>
      </c>
      <c r="I214" t="inlineStr">
        <is>
          <t>composite_split</t>
        </is>
      </c>
      <c r="J214" t="n">
        <v>52148.543</v>
      </c>
      <c r="K214" t="n">
        <v>0.0135</v>
      </c>
      <c r="L214" s="6" t="inlineStr">
        <is>
          <t>Flatfishes are demersal, but SAU &lt;90 cm band does not distinguish the source &lt;=30 cm species pool from &gt;30 cm juvenile/adult fish; all three residual demersal pools remain candidates.</t>
        </is>
      </c>
    </row>
    <row r="215">
      <c r="A215" t="inlineStr">
        <is>
          <t>Sillaginidae</t>
        </is>
      </c>
      <c r="B215" t="inlineStr">
        <is>
          <t>Smelt-whitings</t>
        </is>
      </c>
      <c r="C215" t="inlineStr">
        <is>
          <t>Medium demersals (30 - 89 cm)</t>
        </is>
      </c>
      <c r="D215" t="inlineStr">
        <is>
          <t>Perch-likes</t>
        </is>
      </c>
      <c r="E215" s="7" t="inlineStr">
        <is>
          <t>Juvenile demersal fish (&gt; 30 cm) | Adult demersal fish (&gt; 30 cm)</t>
        </is>
      </c>
      <c r="F215" t="inlineStr">
        <is>
          <t>0.200 | 0.800</t>
        </is>
      </c>
      <c r="G215" t="inlineStr">
        <is>
          <t>model_catch</t>
        </is>
      </c>
      <c r="H215" t="inlineStr">
        <is>
          <t>medium</t>
        </is>
      </c>
      <c r="I215" t="inlineStr">
        <is>
          <t>composite_split</t>
        </is>
      </c>
      <c r="J215" t="n">
        <v>50464.447</v>
      </c>
      <c r="K215" t="n">
        <v>0.013</v>
      </c>
      <c r="L215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216">
      <c r="A216" t="inlineStr">
        <is>
          <t>Thryssa</t>
        </is>
      </c>
      <c r="B216" t="inlineStr">
        <is>
          <t>Thryssas</t>
        </is>
      </c>
      <c r="C216" t="inlineStr">
        <is>
          <t>Small pelagics (&lt;30 cm)</t>
        </is>
      </c>
      <c r="D216" t="inlineStr">
        <is>
          <t>Anchovies</t>
        </is>
      </c>
      <c r="E216" s="7" t="inlineStr">
        <is>
          <t>Pelagic fish (≤ 30 cm)</t>
        </is>
      </c>
      <c r="F216" t="inlineStr"/>
      <c r="G216" t="inlineStr"/>
      <c r="H216" t="inlineStr">
        <is>
          <t>medium</t>
        </is>
      </c>
      <c r="I216" t="inlineStr">
        <is>
          <t>habitat_size_guild</t>
        </is>
      </c>
      <c r="J216" t="n">
        <v>48625.9</v>
      </c>
      <c r="K216" t="n">
        <v>0.0125</v>
      </c>
      <c r="L216" s="6" t="inlineStr">
        <is>
          <t>Source small-pelagic pool explicitly includes sardines, thryssa and anchovies (Appendix 6.1.23 p.338); extension to the catch lineage uses SAU size as a proxy and is not a full species list.</t>
        </is>
      </c>
    </row>
    <row r="217">
      <c r="A217" t="inlineStr">
        <is>
          <t>Rachycentridae</t>
        </is>
      </c>
      <c r="B217" t="inlineStr">
        <is>
          <t>Cobias</t>
        </is>
      </c>
      <c r="C217" t="inlineStr">
        <is>
          <t>Large pelagics (&gt;=90 cm)</t>
        </is>
      </c>
      <c r="D217" t="inlineStr">
        <is>
          <t>Perch-likes</t>
        </is>
      </c>
      <c r="E217" s="7" t="inlineStr">
        <is>
          <t>Juvenile large pelagic fish | Pelagic fish (&gt; 30 cm)</t>
        </is>
      </c>
      <c r="F217" t="inlineStr">
        <is>
          <t>0.202 | 0.798</t>
        </is>
      </c>
      <c r="G217" t="inlineStr">
        <is>
          <t>model_catch</t>
        </is>
      </c>
      <c r="H217" t="inlineStr">
        <is>
          <t>medium</t>
        </is>
      </c>
      <c r="I217" t="inlineStr">
        <is>
          <t>composite_split</t>
        </is>
      </c>
      <c r="J217" t="n">
        <v>48027.036</v>
      </c>
      <c r="K217" t="n">
        <v>0.0124</v>
      </c>
      <c r="L217" s="6" t="inlineStr">
        <is>
          <t>Analyst habitat/size inference to source &gt;30 cm pelagic fish (Appendix 6.1.24 p.339); no age data, so split juvenile/adult using the period model catch.</t>
        </is>
      </c>
    </row>
    <row r="218">
      <c r="A218" t="inlineStr">
        <is>
          <t>Tylosurus crocodilus</t>
        </is>
      </c>
      <c r="B218" t="inlineStr">
        <is>
          <t>Hound needlefish</t>
        </is>
      </c>
      <c r="C218" t="inlineStr">
        <is>
          <t>Large pelagics (&gt;=90 cm)</t>
        </is>
      </c>
      <c r="D218" t="inlineStr">
        <is>
          <t>Other fishes &amp; inverts</t>
        </is>
      </c>
      <c r="E218" s="7" t="inlineStr">
        <is>
          <t>Juvenile large pelagic fish | Pelagic fish (&gt; 30 cm)</t>
        </is>
      </c>
      <c r="F218" t="inlineStr">
        <is>
          <t>0.202 | 0.798</t>
        </is>
      </c>
      <c r="G218" t="inlineStr">
        <is>
          <t>model_catch</t>
        </is>
      </c>
      <c r="H218" t="inlineStr">
        <is>
          <t>medium</t>
        </is>
      </c>
      <c r="I218" t="inlineStr">
        <is>
          <t>composite_split</t>
        </is>
      </c>
      <c r="J218" t="n">
        <v>47317.771</v>
      </c>
      <c r="K218" t="n">
        <v>0.0122</v>
      </c>
      <c r="L218" s="6" t="inlineStr">
        <is>
          <t>Analyst habitat/size inference to source &gt;30 cm pelagic fish (Appendix 6.1.24 p.339); no age data, so split juvenile/adult using the period model catch.</t>
        </is>
      </c>
    </row>
    <row r="219">
      <c r="A219" t="inlineStr">
        <is>
          <t>Acanthuridae</t>
        </is>
      </c>
      <c r="B219" t="inlineStr">
        <is>
          <t>Surgeons, tangs, unicornfishes</t>
        </is>
      </c>
      <c r="C219" t="inlineStr">
        <is>
          <t>Small reef assoc. fish (&lt;30 cm)</t>
        </is>
      </c>
      <c r="D219" t="inlineStr">
        <is>
          <t>Perch-likes</t>
        </is>
      </c>
      <c r="E219" s="7" t="inlineStr">
        <is>
          <t>Demesral fish (≤ 30 cm)</t>
        </is>
      </c>
      <c r="F219" t="inlineStr"/>
      <c r="G219" t="inlineStr"/>
      <c r="H219" t="inlineStr">
        <is>
          <t>medium</t>
        </is>
      </c>
      <c r="I219" t="inlineStr">
        <is>
          <t>habitat_size_guild</t>
        </is>
      </c>
      <c r="J219" t="n">
        <v>46027.118</v>
      </c>
      <c r="K219" t="n">
        <v>0.0119</v>
      </c>
      <c r="L219" s="6" t="inlineStr">
        <is>
          <t>Analyst habitat/size inference: small demersal or reef-associated fish after excluding dedicated taxonomic groups, matching Appendix 6.1.19 &lt;=30 cm residual demersal pool.</t>
        </is>
      </c>
    </row>
    <row r="220">
      <c r="A220" t="inlineStr">
        <is>
          <t>Trachurus japonicus</t>
        </is>
      </c>
      <c r="B220" t="inlineStr">
        <is>
          <t>Japanese jack mackerel</t>
        </is>
      </c>
      <c r="C220" t="inlineStr">
        <is>
          <t>Medium demersals (30 - 89 cm)</t>
        </is>
      </c>
      <c r="D220" t="inlineStr">
        <is>
          <t>Perch-likes</t>
        </is>
      </c>
      <c r="E220" s="7" t="inlineStr">
        <is>
          <t>Juvenile large pelagic fish | Pelagic fish (&gt; 30 cm)</t>
        </is>
      </c>
      <c r="F220" t="inlineStr">
        <is>
          <t>0.202 | 0.798</t>
        </is>
      </c>
      <c r="G220" t="inlineStr">
        <is>
          <t>model_catch</t>
        </is>
      </c>
      <c r="H220" t="inlineStr">
        <is>
          <t>medium</t>
        </is>
      </c>
      <c r="I220" t="inlineStr">
        <is>
          <t>composite_split</t>
        </is>
      </c>
      <c r="J220" t="n">
        <v>44027.554</v>
      </c>
      <c r="K220" t="n">
        <v>0.0114</v>
      </c>
      <c r="L220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</row>
    <row r="221">
      <c r="A221" t="inlineStr">
        <is>
          <t>Lactarius lactarius</t>
        </is>
      </c>
      <c r="B221" t="inlineStr">
        <is>
          <t>False trevally</t>
        </is>
      </c>
      <c r="C221" t="inlineStr">
        <is>
          <t>Medium pelagics (30 - 89 cm)</t>
        </is>
      </c>
      <c r="D221" t="inlineStr">
        <is>
          <t>Perch-likes</t>
        </is>
      </c>
      <c r="E221" s="7" t="inlineStr">
        <is>
          <t>Juvenile large pelagic fish | Pelagic fish (&gt; 30 cm)</t>
        </is>
      </c>
      <c r="F221" t="inlineStr">
        <is>
          <t>0.202 | 0.798</t>
        </is>
      </c>
      <c r="G221" t="inlineStr">
        <is>
          <t>model_catch</t>
        </is>
      </c>
      <c r="H221" t="inlineStr">
        <is>
          <t>medium</t>
        </is>
      </c>
      <c r="I221" t="inlineStr">
        <is>
          <t>composite_split</t>
        </is>
      </c>
      <c r="J221" t="n">
        <v>43593</v>
      </c>
      <c r="K221" t="n">
        <v>0.0112</v>
      </c>
      <c r="L221" s="6" t="inlineStr">
        <is>
          <t>Analyst habitat/size inference to source &gt;30 cm pelagic fish (Appendix 6.1.24 p.339); no age data, so split juvenile/adult using the period model catch.</t>
        </is>
      </c>
    </row>
    <row r="222">
      <c r="A222" t="inlineStr">
        <is>
          <t>Lethrinus</t>
        </is>
      </c>
      <c r="B222" t="inlineStr">
        <is>
          <t>Emperors</t>
        </is>
      </c>
      <c r="C222" t="inlineStr">
        <is>
          <t>Medium reef assoc. fish (30 - 89 cm)</t>
        </is>
      </c>
      <c r="D222" t="inlineStr">
        <is>
          <t>Perch-likes</t>
        </is>
      </c>
      <c r="E222" s="7" t="inlineStr">
        <is>
          <t>Juvenile demersal fish (&gt; 30 cm) | Adult demersal fish (&gt; 30 cm)</t>
        </is>
      </c>
      <c r="F222" t="inlineStr">
        <is>
          <t>0.200 | 0.800</t>
        </is>
      </c>
      <c r="G222" t="inlineStr">
        <is>
          <t>model_catch</t>
        </is>
      </c>
      <c r="H222" t="inlineStr">
        <is>
          <t>medium</t>
        </is>
      </c>
      <c r="I222" t="inlineStr">
        <is>
          <t>composite_split</t>
        </is>
      </c>
      <c r="J222" t="n">
        <v>43238.767</v>
      </c>
      <c r="K222" t="n">
        <v>0.0112</v>
      </c>
      <c r="L222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223">
      <c r="A223" t="inlineStr">
        <is>
          <t>Balistidae</t>
        </is>
      </c>
      <c r="B223" t="inlineStr">
        <is>
          <t>Triggerfishes</t>
        </is>
      </c>
      <c r="C223" t="inlineStr">
        <is>
          <t>Medium reef assoc. fish (30 - 89 cm)</t>
        </is>
      </c>
      <c r="D223" t="inlineStr">
        <is>
          <t>Other fishes &amp; inverts</t>
        </is>
      </c>
      <c r="E223" s="7" t="inlineStr">
        <is>
          <t>Juvenile demersal fish (&gt; 30 cm) | Adult demersal fish (&gt; 30 cm)</t>
        </is>
      </c>
      <c r="F223" t="inlineStr">
        <is>
          <t>0.200 | 0.800</t>
        </is>
      </c>
      <c r="G223" t="inlineStr">
        <is>
          <t>model_catch</t>
        </is>
      </c>
      <c r="H223" t="inlineStr">
        <is>
          <t>medium</t>
        </is>
      </c>
      <c r="I223" t="inlineStr">
        <is>
          <t>composite_split</t>
        </is>
      </c>
      <c r="J223" t="n">
        <v>42725.167</v>
      </c>
      <c r="K223" t="n">
        <v>0.011</v>
      </c>
      <c r="L223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224">
      <c r="A224" t="inlineStr">
        <is>
          <t>Gymnocranius</t>
        </is>
      </c>
      <c r="B224" t="inlineStr">
        <is>
          <t>Largeeye breams</t>
        </is>
      </c>
      <c r="C224" t="inlineStr">
        <is>
          <t>Medium reef assoc. fish (30 - 89 cm)</t>
        </is>
      </c>
      <c r="D224" t="inlineStr">
        <is>
          <t>Perch-likes</t>
        </is>
      </c>
      <c r="E224" s="7" t="inlineStr">
        <is>
          <t>Juvenile demersal fish (&gt; 30 cm) | Adult demersal fish (&gt; 30 cm)</t>
        </is>
      </c>
      <c r="F224" t="inlineStr">
        <is>
          <t>0.200 | 0.800</t>
        </is>
      </c>
      <c r="G224" t="inlineStr">
        <is>
          <t>model_catch</t>
        </is>
      </c>
      <c r="H224" t="inlineStr">
        <is>
          <t>medium</t>
        </is>
      </c>
      <c r="I224" t="inlineStr">
        <is>
          <t>composite_split</t>
        </is>
      </c>
      <c r="J224" t="n">
        <v>40575.83</v>
      </c>
      <c r="K224" t="n">
        <v>0.0105</v>
      </c>
      <c r="L224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225">
      <c r="A225" t="inlineStr">
        <is>
          <t>Penaeus latisulcatus</t>
        </is>
      </c>
      <c r="B225" t="inlineStr">
        <is>
          <t>Western king prawn</t>
        </is>
      </c>
      <c r="C225" t="inlineStr">
        <is>
          <t>Shrimps</t>
        </is>
      </c>
      <c r="D225" t="inlineStr">
        <is>
          <t>Crustaceans</t>
        </is>
      </c>
      <c r="E225" s="8" t="inlineStr">
        <is>
          <t>Shrimps</t>
        </is>
      </c>
      <c r="F225" t="inlineStr"/>
      <c r="G225" t="inlineStr"/>
      <c r="H225" t="inlineStr">
        <is>
          <t>high</t>
        </is>
      </c>
      <c r="I225" t="inlineStr">
        <is>
          <t>taxonomic_containment</t>
        </is>
      </c>
      <c r="J225" t="n">
        <v>39116.178</v>
      </c>
      <c r="K225" t="n">
        <v>0.0101</v>
      </c>
      <c r="L225" s="6" t="inlineStr">
        <is>
          <t>Stomatopods belong to the residual benthic crustaceans; other shrimp taxa belong to Shrimps after the explicitly separated Acetes records (Appendix 6.1 pp.323-326).</t>
        </is>
      </c>
    </row>
    <row r="226">
      <c r="A226" t="inlineStr">
        <is>
          <t>Dussumieria elopsoides</t>
        </is>
      </c>
      <c r="B226" t="inlineStr">
        <is>
          <t>Slender rainbow sardine</t>
        </is>
      </c>
      <c r="C226" t="inlineStr">
        <is>
          <t>Small pelagics (&lt;30 cm)</t>
        </is>
      </c>
      <c r="D226" t="inlineStr">
        <is>
          <t>Herring-likes</t>
        </is>
      </c>
      <c r="E226" s="7" t="inlineStr">
        <is>
          <t>Pelagic fish (≤ 30 cm)</t>
        </is>
      </c>
      <c r="F226" t="inlineStr"/>
      <c r="G226" t="inlineStr"/>
      <c r="H226" t="inlineStr">
        <is>
          <t>medium</t>
        </is>
      </c>
      <c r="I226" t="inlineStr">
        <is>
          <t>habitat_size_guild</t>
        </is>
      </c>
      <c r="J226" t="n">
        <v>38768.359</v>
      </c>
      <c r="K226" t="n">
        <v>0.01</v>
      </c>
      <c r="L226" s="6" t="inlineStr">
        <is>
          <t>Source small-pelagic pool explicitly includes sardines, thryssa and anchovies (Appendix 6.1.23 p.338); extension to the catch lineage uses SAU size as a proxy and is not a full species list.</t>
        </is>
      </c>
    </row>
    <row r="227">
      <c r="A227" t="inlineStr">
        <is>
          <t>Megalops cyprinoides</t>
        </is>
      </c>
      <c r="B227" t="inlineStr">
        <is>
          <t>Indo-Pacific tarpon</t>
        </is>
      </c>
      <c r="C227" t="inlineStr">
        <is>
          <t>Large pelagics (&gt;=90 cm)</t>
        </is>
      </c>
      <c r="D227" t="inlineStr">
        <is>
          <t>Other fishes &amp; inverts</t>
        </is>
      </c>
      <c r="E227" s="7" t="inlineStr">
        <is>
          <t>Juvenile large pelagic fish | Pelagic fish (&gt; 30 cm)</t>
        </is>
      </c>
      <c r="F227" t="inlineStr">
        <is>
          <t>0.202 | 0.798</t>
        </is>
      </c>
      <c r="G227" t="inlineStr">
        <is>
          <t>model_catch</t>
        </is>
      </c>
      <c r="H227" t="inlineStr">
        <is>
          <t>medium</t>
        </is>
      </c>
      <c r="I227" t="inlineStr">
        <is>
          <t>composite_split</t>
        </is>
      </c>
      <c r="J227" t="n">
        <v>37102.675</v>
      </c>
      <c r="K227" t="n">
        <v>0.009599999999999999</v>
      </c>
      <c r="L227" s="6" t="inlineStr">
        <is>
          <t>Analyst habitat/size inference to source &gt;30 cm pelagic fish (Appendix 6.1.24 p.339); no age data, so split juvenile/adult using the period model catch.</t>
        </is>
      </c>
    </row>
    <row r="228">
      <c r="A228" t="inlineStr">
        <is>
          <t>Plectorhinchus</t>
        </is>
      </c>
      <c r="B228" t="inlineStr">
        <is>
          <t>Sweetlips</t>
        </is>
      </c>
      <c r="C228" t="inlineStr">
        <is>
          <t>Medium reef assoc. fish (30 - 89 cm)</t>
        </is>
      </c>
      <c r="D228" t="inlineStr">
        <is>
          <t>Perch-likes</t>
        </is>
      </c>
      <c r="E228" s="7" t="inlineStr">
        <is>
          <t>Juvenile demersal fish (&gt; 30 cm) | Adult demersal fish (&gt; 30 cm)</t>
        </is>
      </c>
      <c r="F228" t="inlineStr">
        <is>
          <t>0.200 | 0.800</t>
        </is>
      </c>
      <c r="G228" t="inlineStr">
        <is>
          <t>model_catch</t>
        </is>
      </c>
      <c r="H228" t="inlineStr">
        <is>
          <t>medium</t>
        </is>
      </c>
      <c r="I228" t="inlineStr">
        <is>
          <t>composite_split</t>
        </is>
      </c>
      <c r="J228" t="n">
        <v>36703.879</v>
      </c>
      <c r="K228" t="n">
        <v>0.0095</v>
      </c>
      <c r="L228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229">
      <c r="A229" t="inlineStr">
        <is>
          <t>Apostichopus japonicus</t>
        </is>
      </c>
      <c r="B229" t="inlineStr">
        <is>
          <t>Japanese sea cucumber</t>
        </is>
      </c>
      <c r="C229" t="inlineStr">
        <is>
          <t>Other demersal invertebrates</t>
        </is>
      </c>
      <c r="D229" t="inlineStr">
        <is>
          <t>Other fishes &amp; inverts</t>
        </is>
      </c>
      <c r="E229" s="8" t="inlineStr">
        <is>
          <t>Echinoderms</t>
        </is>
      </c>
      <c r="F229" t="inlineStr"/>
      <c r="G229" t="inlineStr"/>
      <c r="H229" t="inlineStr">
        <is>
          <t>high</t>
        </is>
      </c>
      <c r="I229" t="inlineStr">
        <is>
          <t>taxonomic_containment</t>
        </is>
      </c>
      <c r="J229" t="n">
        <v>35013.082</v>
      </c>
      <c r="K229" t="n">
        <v>0.008999999999999999</v>
      </c>
      <c r="L229" s="6" t="inlineStr">
        <is>
          <t>Taxonomic containment in the source benthos subdivision (Appendix 6.1.5 pp.324-325), keeping non-cephalopod molluscs separate from echinoderms and sessile invertebrates.</t>
        </is>
      </c>
    </row>
    <row r="230">
      <c r="A230" t="inlineStr">
        <is>
          <t>Portunidae</t>
        </is>
      </c>
      <c r="B230" t="inlineStr">
        <is>
          <t>Swimming crabs</t>
        </is>
      </c>
      <c r="C230" t="inlineStr">
        <is>
          <t>Lobsters, crabs</t>
        </is>
      </c>
      <c r="D230" t="inlineStr">
        <is>
          <t>Crustaceans</t>
        </is>
      </c>
      <c r="E230" s="8" t="inlineStr">
        <is>
          <t>Crabs</t>
        </is>
      </c>
      <c r="F230" t="inlineStr"/>
      <c r="G230" t="inlineStr"/>
      <c r="H230" t="inlineStr">
        <is>
          <t>high</t>
        </is>
      </c>
      <c r="I230" t="inlineStr">
        <is>
          <t>taxonomic_containment</t>
        </is>
      </c>
      <c r="J230" t="n">
        <v>34494.118</v>
      </c>
      <c r="K230" t="n">
        <v>0.0089</v>
      </c>
      <c r="L230" s="6" t="inlineStr">
        <is>
          <t>Source benthic crustaceans exclude shrimps and crabs (Appendix 6.1.5 p.324); lobsters remain in that residual, while true crabs use Crabs.</t>
        </is>
      </c>
    </row>
    <row r="231">
      <c r="A231" t="inlineStr">
        <is>
          <t>Haliotidae</t>
        </is>
      </c>
      <c r="B231" t="inlineStr">
        <is>
          <t>Abalones, ear shells</t>
        </is>
      </c>
      <c r="C231" t="inlineStr">
        <is>
          <t>Other demersal invertebrates</t>
        </is>
      </c>
      <c r="D231" t="inlineStr">
        <is>
          <t>Molluscs</t>
        </is>
      </c>
      <c r="E231" s="8" t="inlineStr">
        <is>
          <t>Non-ceph molluscs</t>
        </is>
      </c>
      <c r="F231" t="inlineStr"/>
      <c r="G231" t="inlineStr"/>
      <c r="H231" t="inlineStr">
        <is>
          <t>high</t>
        </is>
      </c>
      <c r="I231" t="inlineStr">
        <is>
          <t>taxonomic_containment</t>
        </is>
      </c>
      <c r="J231" t="n">
        <v>33815.298</v>
      </c>
      <c r="K231" t="n">
        <v>0.008699999999999999</v>
      </c>
      <c r="L231" s="6" t="inlineStr">
        <is>
          <t>Taxonomic containment in the source benthos subdivision (Appendix 6.1.5 pp.324-325), keeping non-cephalopod molluscs separate from echinoderms and sessile invertebrates.</t>
        </is>
      </c>
    </row>
    <row r="232">
      <c r="A232" t="inlineStr">
        <is>
          <t>Batoidea</t>
        </is>
      </c>
      <c r="B232" t="inlineStr">
        <is>
          <t>Batoids, skates, rays, sawfishes</t>
        </is>
      </c>
      <c r="C232" t="inlineStr">
        <is>
          <t>Large rays (&gt;=90 cm)</t>
        </is>
      </c>
      <c r="D232" t="inlineStr">
        <is>
          <t>Sharks &amp; rays</t>
        </is>
      </c>
      <c r="E232" s="5" t="inlineStr">
        <is>
          <t>Demersal sharks and rays | Pelagic sharks and rays</t>
        </is>
      </c>
      <c r="F232" t="inlineStr">
        <is>
          <t>0.813 | 0.187</t>
        </is>
      </c>
      <c r="G232" t="inlineStr">
        <is>
          <t>catch_composition</t>
        </is>
      </c>
      <c r="H232" t="inlineStr">
        <is>
          <t>low</t>
        </is>
      </c>
      <c r="I232" t="inlineStr">
        <is>
          <t>composite_split</t>
        </is>
      </c>
      <c r="J232" t="n">
        <v>31524.153</v>
      </c>
      <c r="K232" t="n">
        <v>0.0081</v>
      </c>
      <c r="L232" s="6" t="inlineStr">
        <is>
          <t>Coarse or habitat-ambiguous elasmobranch record spans the two source habitat compartments; SAU shark/ray size is insufficient to select one.</t>
        </is>
      </c>
    </row>
    <row r="233">
      <c r="A233" t="inlineStr">
        <is>
          <t>Istiophorus</t>
        </is>
      </c>
      <c r="B233" t="inlineStr">
        <is>
          <t>Sailfishes</t>
        </is>
      </c>
      <c r="C233" t="inlineStr">
        <is>
          <t>Large pelagics (&gt;=90 cm)</t>
        </is>
      </c>
      <c r="D233" t="inlineStr">
        <is>
          <t>Tuna &amp; billfishes</t>
        </is>
      </c>
      <c r="E233" s="9" t="inlineStr">
        <is>
          <t>Unresolved</t>
        </is>
      </c>
      <c r="F233" t="inlineStr"/>
      <c r="G233" t="inlineStr"/>
      <c r="H233" t="inlineStr">
        <is>
          <t>unresolved</t>
        </is>
      </c>
      <c r="I233" t="inlineStr">
        <is>
          <t>none</t>
        </is>
      </c>
      <c r="J233" t="n">
        <v>30687.338</v>
      </c>
      <c r="K233" t="n">
        <v>0.007900000000000001</v>
      </c>
      <c r="L233" s="6" t="inlineStr">
        <is>
          <t>Northern continental-shelf model lacks a documented oceanic billfish or deep-pelagic compartment; assigning coastal juvenile/adult pelagic SPPR would be unsupported.</t>
        </is>
      </c>
    </row>
    <row r="234">
      <c r="A234" t="inlineStr">
        <is>
          <t>Platycaranx malabaricus</t>
        </is>
      </c>
      <c r="B234" t="inlineStr">
        <is>
          <t>Malabar trevally</t>
        </is>
      </c>
      <c r="C234" t="inlineStr">
        <is>
          <t>Medium reef assoc. fish (30 - 89 cm)</t>
        </is>
      </c>
      <c r="D234" t="inlineStr">
        <is>
          <t>Perch-likes</t>
        </is>
      </c>
      <c r="E234" s="7" t="inlineStr">
        <is>
          <t>Juvenile large pelagic fish | Pelagic fish (&gt; 30 cm)</t>
        </is>
      </c>
      <c r="F234" t="inlineStr">
        <is>
          <t>0.202 | 0.798</t>
        </is>
      </c>
      <c r="G234" t="inlineStr">
        <is>
          <t>model_catch</t>
        </is>
      </c>
      <c r="H234" t="inlineStr">
        <is>
          <t>medium</t>
        </is>
      </c>
      <c r="I234" t="inlineStr">
        <is>
          <t>composite_split</t>
        </is>
      </c>
      <c r="J234" t="n">
        <v>30428.7</v>
      </c>
      <c r="K234" t="n">
        <v>0.007900000000000001</v>
      </c>
      <c r="L234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</row>
    <row r="235">
      <c r="A235" t="inlineStr">
        <is>
          <t>Nemipterus japonicus</t>
        </is>
      </c>
      <c r="B235" t="inlineStr">
        <is>
          <t>Japanese threadfin bream</t>
        </is>
      </c>
      <c r="C235" t="inlineStr">
        <is>
          <t>Small demersals (&lt;30 cm)</t>
        </is>
      </c>
      <c r="D235" t="inlineStr">
        <is>
          <t>Perch-likes</t>
        </is>
      </c>
      <c r="E235" s="8" t="inlineStr">
        <is>
          <t>Threadfin bream (nemipterids)</t>
        </is>
      </c>
      <c r="F235" t="inlineStr"/>
      <c r="G235" t="inlineStr"/>
      <c r="H235" t="inlineStr">
        <is>
          <t>high</t>
        </is>
      </c>
      <c r="I235" t="inlineStr">
        <is>
          <t>explicit_member</t>
        </is>
      </c>
      <c r="J235" t="n">
        <v>29856.401</v>
      </c>
      <c r="K235" t="n">
        <v>0.0077</v>
      </c>
      <c r="L235" s="6" t="inlineStr">
        <is>
          <t>Appendix 6.1 pp.327-335 defines Threadfin bream (nemipterids) by this family or explicitly names Nemipterus japonicus; dedicated source placement overrides the SAU class Small demersals (&lt;30 cm).</t>
        </is>
      </c>
    </row>
    <row r="236">
      <c r="A236" t="inlineStr">
        <is>
          <t>Bothidae</t>
        </is>
      </c>
      <c r="B236" t="inlineStr">
        <is>
          <t>Lefteye flounders</t>
        </is>
      </c>
      <c r="C236" t="inlineStr">
        <is>
          <t>Small to medium flatfishes (&lt;90 cm)</t>
        </is>
      </c>
      <c r="D236" t="inlineStr">
        <is>
          <t>Flatfishes</t>
        </is>
      </c>
      <c r="E236" s="5" t="inlineStr">
        <is>
          <t>Demesral fish (≤ 30 cm) | Juvenile demersal fish (&gt; 30 cm) | Adult demersal fish (&gt; 30 cm)</t>
        </is>
      </c>
      <c r="F236" t="inlineStr">
        <is>
          <t>0.386 | 0.123 | 0.491</t>
        </is>
      </c>
      <c r="G236" t="inlineStr">
        <is>
          <t>model_catch</t>
        </is>
      </c>
      <c r="H236" t="inlineStr">
        <is>
          <t>low</t>
        </is>
      </c>
      <c r="I236" t="inlineStr">
        <is>
          <t>composite_split</t>
        </is>
      </c>
      <c r="J236" t="n">
        <v>29599.082</v>
      </c>
      <c r="K236" t="n">
        <v>0.0076</v>
      </c>
      <c r="L236" s="6" t="inlineStr">
        <is>
          <t>Flatfishes are demersal, but SAU &lt;90 cm band does not distinguish the source &lt;=30 cm species pool from &gt;30 cm juvenile/adult fish; all three residual demersal pools remain candidates.</t>
        </is>
      </c>
    </row>
    <row r="237">
      <c r="A237" t="inlineStr">
        <is>
          <t>Drepane</t>
        </is>
      </c>
      <c r="B237" t="inlineStr">
        <is>
          <t>Sicklefishes</t>
        </is>
      </c>
      <c r="C237" t="inlineStr">
        <is>
          <t>Medium benthopelagics (30 - 89 cm)</t>
        </is>
      </c>
      <c r="D237" t="inlineStr">
        <is>
          <t>Perch-likes</t>
        </is>
      </c>
      <c r="E237" s="5" t="inlineStr">
        <is>
          <t>Benthopelagic fish</t>
        </is>
      </c>
      <c r="F237" t="inlineStr"/>
      <c r="G237" t="inlineStr"/>
      <c r="H237" t="inlineStr">
        <is>
          <t>low</t>
        </is>
      </c>
      <c r="I237" t="inlineStr">
        <is>
          <t>habitat_size_guild</t>
        </is>
      </c>
      <c r="J237" t="n">
        <v>26691.157</v>
      </c>
      <c r="K237" t="n">
        <v>0.0069</v>
      </c>
      <c r="L237" s="6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</row>
    <row r="238">
      <c r="A238" t="inlineStr">
        <is>
          <t>Lateolabrax japonicus</t>
        </is>
      </c>
      <c r="B238" t="inlineStr">
        <is>
          <t>Japanese seabass</t>
        </is>
      </c>
      <c r="C238" t="inlineStr">
        <is>
          <t>Medium reef assoc. fish (30 - 89 cm)</t>
        </is>
      </c>
      <c r="D238" t="inlineStr">
        <is>
          <t>Perch-likes</t>
        </is>
      </c>
      <c r="E238" s="7" t="inlineStr">
        <is>
          <t>Juvenile demersal fish (&gt; 30 cm) | Adult demersal fish (&gt; 30 cm)</t>
        </is>
      </c>
      <c r="F238" t="inlineStr">
        <is>
          <t>0.200 | 0.800</t>
        </is>
      </c>
      <c r="G238" t="inlineStr">
        <is>
          <t>model_catch</t>
        </is>
      </c>
      <c r="H238" t="inlineStr">
        <is>
          <t>medium</t>
        </is>
      </c>
      <c r="I238" t="inlineStr">
        <is>
          <t>composite_split</t>
        </is>
      </c>
      <c r="J238" t="n">
        <v>25443.239</v>
      </c>
      <c r="K238" t="n">
        <v>0.0066</v>
      </c>
      <c r="L238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239">
      <c r="A239" t="inlineStr">
        <is>
          <t>Auxis rochei</t>
        </is>
      </c>
      <c r="B239" t="inlineStr">
        <is>
          <t>Bullet tuna</t>
        </is>
      </c>
      <c r="C239" t="inlineStr">
        <is>
          <t>Medium pelagics (30 - 89 cm)</t>
        </is>
      </c>
      <c r="D239" t="inlineStr">
        <is>
          <t>Tuna &amp; billfishes</t>
        </is>
      </c>
      <c r="E239" s="7" t="inlineStr">
        <is>
          <t>Juvenile large pelagic fish | Pelagic fish (&gt; 30 cm)</t>
        </is>
      </c>
      <c r="F239" t="inlineStr">
        <is>
          <t>0.202 | 0.798</t>
        </is>
      </c>
      <c r="G239" t="inlineStr">
        <is>
          <t>model_catch</t>
        </is>
      </c>
      <c r="H239" t="inlineStr">
        <is>
          <t>medium</t>
        </is>
      </c>
      <c r="I239" t="inlineStr">
        <is>
          <t>composite_split</t>
        </is>
      </c>
      <c r="J239" t="n">
        <v>25390.636</v>
      </c>
      <c r="K239" t="n">
        <v>0.0066</v>
      </c>
      <c r="L239" s="6" t="inlineStr">
        <is>
          <t>Analyst habitat/size inference to source &gt;30 cm pelagic fish (Appendix 6.1.24 p.339); no age data, so split juvenile/adult using the period model catch.</t>
        </is>
      </c>
    </row>
    <row r="240">
      <c r="A240" t="inlineStr">
        <is>
          <t>Nibea mitsukurii</t>
        </is>
      </c>
      <c r="B240" t="inlineStr">
        <is>
          <t>Honnibe croaker</t>
        </is>
      </c>
      <c r="C240" t="inlineStr">
        <is>
          <t>Medium benthopelagics (30 - 89 cm)</t>
        </is>
      </c>
      <c r="D240" t="inlineStr">
        <is>
          <t>Perch-likes</t>
        </is>
      </c>
      <c r="E240" s="5" t="inlineStr">
        <is>
          <t>Juvenile large croakers | Croakers (&gt; 30 cm)</t>
        </is>
      </c>
      <c r="F240" t="inlineStr">
        <is>
          <t>0.200 | 0.800</t>
        </is>
      </c>
      <c r="G240" t="inlineStr">
        <is>
          <t>model_catch</t>
        </is>
      </c>
      <c r="H240" t="inlineStr">
        <is>
          <t>low</t>
        </is>
      </c>
      <c r="I240" t="inlineStr">
        <is>
          <t>composite_split</t>
        </is>
      </c>
      <c r="J240" t="n">
        <v>24744.639</v>
      </c>
      <c r="K240" t="n">
        <v>0.0064</v>
      </c>
      <c r="L240" s="6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</row>
    <row r="241">
      <c r="A241" t="inlineStr">
        <is>
          <t>Meretrix lusoria</t>
        </is>
      </c>
      <c r="B241" t="inlineStr">
        <is>
          <t>Japanese hard clam</t>
        </is>
      </c>
      <c r="C241" t="inlineStr">
        <is>
          <t>Other demersal invertebrates</t>
        </is>
      </c>
      <c r="D241" t="inlineStr">
        <is>
          <t>Molluscs</t>
        </is>
      </c>
      <c r="E241" s="8" t="inlineStr">
        <is>
          <t>Non-ceph molluscs</t>
        </is>
      </c>
      <c r="F241" t="inlineStr"/>
      <c r="G241" t="inlineStr"/>
      <c r="H241" t="inlineStr">
        <is>
          <t>high</t>
        </is>
      </c>
      <c r="I241" t="inlineStr">
        <is>
          <t>taxonomic_containment</t>
        </is>
      </c>
      <c r="J241" t="n">
        <v>24335.411</v>
      </c>
      <c r="K241" t="n">
        <v>0.0063</v>
      </c>
      <c r="L241" s="6" t="inlineStr">
        <is>
          <t>Taxonomic containment in the source benthos subdivision (Appendix 6.1.5 pp.324-325), keeping non-cephalopod molluscs separate from echinoderms and sessile invertebrates.</t>
        </is>
      </c>
    </row>
    <row r="242">
      <c r="A242" t="inlineStr">
        <is>
          <t>Hemiramphidae</t>
        </is>
      </c>
      <c r="B242" t="inlineStr">
        <is>
          <t>Halfbeaks, garfishes</t>
        </is>
      </c>
      <c r="C242" t="inlineStr">
        <is>
          <t>Medium pelagics (30 - 89 cm)</t>
        </is>
      </c>
      <c r="D242" t="inlineStr">
        <is>
          <t>Other fishes &amp; inverts</t>
        </is>
      </c>
      <c r="E242" s="7" t="inlineStr">
        <is>
          <t>Juvenile large pelagic fish | Pelagic fish (&gt; 30 cm)</t>
        </is>
      </c>
      <c r="F242" t="inlineStr">
        <is>
          <t>0.202 | 0.798</t>
        </is>
      </c>
      <c r="G242" t="inlineStr">
        <is>
          <t>model_catch</t>
        </is>
      </c>
      <c r="H242" t="inlineStr">
        <is>
          <t>medium</t>
        </is>
      </c>
      <c r="I242" t="inlineStr">
        <is>
          <t>composite_split</t>
        </is>
      </c>
      <c r="J242" t="n">
        <v>23563.899</v>
      </c>
      <c r="K242" t="n">
        <v>0.0061</v>
      </c>
      <c r="L242" s="6" t="inlineStr">
        <is>
          <t>Analyst habitat/size inference to source &gt;30 cm pelagic fish (Appendix 6.1.24 p.339); no age data, so split juvenile/adult using the period model catch.</t>
        </is>
      </c>
    </row>
    <row r="243">
      <c r="A243" t="inlineStr">
        <is>
          <t>Istiophorus platypterus</t>
        </is>
      </c>
      <c r="B243" t="inlineStr">
        <is>
          <t>Indo-Pacific sailfish</t>
        </is>
      </c>
      <c r="C243" t="inlineStr">
        <is>
          <t>Large pelagics (&gt;=90 cm)</t>
        </is>
      </c>
      <c r="D243" t="inlineStr">
        <is>
          <t>Tuna &amp; billfishes</t>
        </is>
      </c>
      <c r="E243" s="9" t="inlineStr">
        <is>
          <t>Unresolved</t>
        </is>
      </c>
      <c r="F243" t="inlineStr"/>
      <c r="G243" t="inlineStr"/>
      <c r="H243" t="inlineStr">
        <is>
          <t>unresolved</t>
        </is>
      </c>
      <c r="I243" t="inlineStr">
        <is>
          <t>none</t>
        </is>
      </c>
      <c r="J243" t="n">
        <v>23341.264</v>
      </c>
      <c r="K243" t="n">
        <v>0.006</v>
      </c>
      <c r="L243" s="6" t="inlineStr">
        <is>
          <t>Northern continental-shelf model lacks a documented oceanic billfish or deep-pelagic compartment; assigning coastal juvenile/adult pelagic SPPR would be unsupported.</t>
        </is>
      </c>
    </row>
    <row r="244">
      <c r="A244" t="inlineStr">
        <is>
          <t>Modiolus</t>
        </is>
      </c>
      <c r="B244" t="inlineStr">
        <is>
          <t>Horse mussels</t>
        </is>
      </c>
      <c r="C244" t="inlineStr">
        <is>
          <t>Other demersal invertebrates</t>
        </is>
      </c>
      <c r="D244" t="inlineStr">
        <is>
          <t>Molluscs</t>
        </is>
      </c>
      <c r="E244" s="8" t="inlineStr">
        <is>
          <t>Non-ceph molluscs</t>
        </is>
      </c>
      <c r="F244" t="inlineStr"/>
      <c r="G244" t="inlineStr"/>
      <c r="H244" t="inlineStr">
        <is>
          <t>high</t>
        </is>
      </c>
      <c r="I244" t="inlineStr">
        <is>
          <t>taxonomic_containment</t>
        </is>
      </c>
      <c r="J244" t="n">
        <v>22196.523</v>
      </c>
      <c r="K244" t="n">
        <v>0.0057</v>
      </c>
      <c r="L244" s="6" t="inlineStr">
        <is>
          <t>Taxonomic containment in the source benthos subdivision (Appendix 6.1.5 pp.324-325), keeping non-cephalopod molluscs separate from echinoderms and sessile invertebrates.</t>
        </is>
      </c>
    </row>
    <row r="245">
      <c r="A245" t="inlineStr">
        <is>
          <t>Istiompax indica</t>
        </is>
      </c>
      <c r="B245" t="inlineStr">
        <is>
          <t>Black marlin</t>
        </is>
      </c>
      <c r="C245" t="inlineStr">
        <is>
          <t>Large pelagics (&gt;=90 cm)</t>
        </is>
      </c>
      <c r="D245" t="inlineStr">
        <is>
          <t>Tuna &amp; billfishes</t>
        </is>
      </c>
      <c r="E245" s="9" t="inlineStr">
        <is>
          <t>Unresolved</t>
        </is>
      </c>
      <c r="F245" t="inlineStr"/>
      <c r="G245" t="inlineStr"/>
      <c r="H245" t="inlineStr">
        <is>
          <t>unresolved</t>
        </is>
      </c>
      <c r="I245" t="inlineStr">
        <is>
          <t>none</t>
        </is>
      </c>
      <c r="J245" t="n">
        <v>21703.939</v>
      </c>
      <c r="K245" t="n">
        <v>0.0056</v>
      </c>
      <c r="L245" s="6" t="inlineStr">
        <is>
          <t>Northern continental-shelf model lacks a documented oceanic billfish or deep-pelagic compartment; assigning coastal juvenile/adult pelagic SPPR would be unsupported.</t>
        </is>
      </c>
    </row>
    <row r="246">
      <c r="A246" t="inlineStr">
        <is>
          <t>Marine pelagic fishes not identified</t>
        </is>
      </c>
      <c r="B246" t="inlineStr">
        <is>
          <t>Pelagic fishes</t>
        </is>
      </c>
      <c r="C246" t="inlineStr">
        <is>
          <t>Medium pelagics (30 - 89 cm)</t>
        </is>
      </c>
      <c r="D246" t="inlineStr">
        <is>
          <t>Other fishes &amp; inverts</t>
        </is>
      </c>
      <c r="E246" s="5" t="inlineStr">
        <is>
          <t>Pelagic fish (≤ 30 cm) | Juvenile large pelagic fish | Pelagic fish (&gt; 30 cm)</t>
        </is>
      </c>
      <c r="F246" t="inlineStr">
        <is>
          <t>0.754 | 0.050 | 0.196</t>
        </is>
      </c>
      <c r="G246" t="inlineStr">
        <is>
          <t>model_catch</t>
        </is>
      </c>
      <c r="H246" t="inlineStr">
        <is>
          <t>low</t>
        </is>
      </c>
      <c r="I246" t="inlineStr">
        <is>
          <t>composite_split</t>
        </is>
      </c>
      <c r="J246" t="n">
        <v>20944.814</v>
      </c>
      <c r="K246" t="n">
        <v>0.0054</v>
      </c>
      <c r="L246" s="6" t="inlineStr">
        <is>
          <t>Analyst coarse-catch inference from SAU Medium pelagics (30 - 89 cm) to residual habitat/size pools in Appendix 6.1 pp.335-339, excluding dedicated named taxa; period model catch weights preserve stanza selectivity.</t>
        </is>
      </c>
    </row>
    <row r="247">
      <c r="A247" t="inlineStr">
        <is>
          <t>Sardinella zunasi</t>
        </is>
      </c>
      <c r="B247" t="inlineStr">
        <is>
          <t>Japanese sardinella</t>
        </is>
      </c>
      <c r="C247" t="inlineStr">
        <is>
          <t>Small pelagics (&lt;30 cm)</t>
        </is>
      </c>
      <c r="D247" t="inlineStr">
        <is>
          <t>Herring-likes</t>
        </is>
      </c>
      <c r="E247" s="7" t="inlineStr">
        <is>
          <t>Pelagic fish (≤ 30 cm)</t>
        </is>
      </c>
      <c r="F247" t="inlineStr"/>
      <c r="G247" t="inlineStr"/>
      <c r="H247" t="inlineStr">
        <is>
          <t>medium</t>
        </is>
      </c>
      <c r="I247" t="inlineStr">
        <is>
          <t>habitat_size_guild</t>
        </is>
      </c>
      <c r="J247" t="n">
        <v>20915.65</v>
      </c>
      <c r="K247" t="n">
        <v>0.0054</v>
      </c>
      <c r="L247" s="6" t="inlineStr">
        <is>
          <t>Source small-pelagic pool explicitly includes sardines, thryssa and anchovies (Appendix 6.1.23 p.338); extension to the catch lineage uses SAU size as a proxy and is not a full species list.</t>
        </is>
      </c>
    </row>
    <row r="248">
      <c r="A248" t="inlineStr">
        <is>
          <t>Muraenidae</t>
        </is>
      </c>
      <c r="B248" t="inlineStr">
        <is>
          <t>Moray eels</t>
        </is>
      </c>
      <c r="C248" t="inlineStr">
        <is>
          <t>Large reef assoc. fish (&gt;=90 cm)</t>
        </is>
      </c>
      <c r="D248" t="inlineStr">
        <is>
          <t>Other fishes &amp; inverts</t>
        </is>
      </c>
      <c r="E248" s="7" t="inlineStr">
        <is>
          <t>Juvenile demersal fish (&gt; 30 cm) | Adult demersal fish (&gt; 30 cm)</t>
        </is>
      </c>
      <c r="F248" t="inlineStr">
        <is>
          <t>0.200 | 0.800</t>
        </is>
      </c>
      <c r="G248" t="inlineStr">
        <is>
          <t>model_catch</t>
        </is>
      </c>
      <c r="H248" t="inlineStr">
        <is>
          <t>medium</t>
        </is>
      </c>
      <c r="I248" t="inlineStr">
        <is>
          <t>composite_split</t>
        </is>
      </c>
      <c r="J248" t="n">
        <v>20766.035</v>
      </c>
      <c r="K248" t="n">
        <v>0.0054</v>
      </c>
      <c r="L248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249">
      <c r="A249" t="inlineStr">
        <is>
          <t>Rachycentron canadum</t>
        </is>
      </c>
      <c r="B249" t="inlineStr">
        <is>
          <t>Cobia</t>
        </is>
      </c>
      <c r="C249" t="inlineStr">
        <is>
          <t>Large pelagics (&gt;=90 cm)</t>
        </is>
      </c>
      <c r="D249" t="inlineStr">
        <is>
          <t>Perch-likes</t>
        </is>
      </c>
      <c r="E249" s="7" t="inlineStr">
        <is>
          <t>Juvenile large pelagic fish | Pelagic fish (&gt; 30 cm)</t>
        </is>
      </c>
      <c r="F249" t="inlineStr">
        <is>
          <t>0.202 | 0.798</t>
        </is>
      </c>
      <c r="G249" t="inlineStr">
        <is>
          <t>model_catch</t>
        </is>
      </c>
      <c r="H249" t="inlineStr">
        <is>
          <t>medium</t>
        </is>
      </c>
      <c r="I249" t="inlineStr">
        <is>
          <t>composite_split</t>
        </is>
      </c>
      <c r="J249" t="n">
        <v>20754.162</v>
      </c>
      <c r="K249" t="n">
        <v>0.0054</v>
      </c>
      <c r="L249" s="6" t="inlineStr">
        <is>
          <t>Analyst habitat/size inference to source &gt;30 cm pelagic fish (Appendix 6.1.24 p.339); no age data, so split juvenile/adult using the period model catch.</t>
        </is>
      </c>
    </row>
    <row r="250">
      <c r="A250" t="inlineStr">
        <is>
          <t>Mierspenaeopsis hardwickii</t>
        </is>
      </c>
      <c r="B250" t="inlineStr">
        <is>
          <t>Spear shrimp</t>
        </is>
      </c>
      <c r="C250" t="inlineStr">
        <is>
          <t>Shrimps</t>
        </is>
      </c>
      <c r="D250" t="inlineStr">
        <is>
          <t>Crustaceans</t>
        </is>
      </c>
      <c r="E250" s="8" t="inlineStr">
        <is>
          <t>Shrimps</t>
        </is>
      </c>
      <c r="F250" t="inlineStr"/>
      <c r="G250" t="inlineStr"/>
      <c r="H250" t="inlineStr">
        <is>
          <t>high</t>
        </is>
      </c>
      <c r="I250" t="inlineStr">
        <is>
          <t>taxonomic_containment</t>
        </is>
      </c>
      <c r="J250" t="n">
        <v>19835.727</v>
      </c>
      <c r="K250" t="n">
        <v>0.0051</v>
      </c>
      <c r="L250" s="6" t="inlineStr">
        <is>
          <t>Stomatopods belong to the residual benthic crustaceans; other shrimp taxa belong to Shrimps after the explicitly separated Acetes records (Appendix 6.1 pp.323-326).</t>
        </is>
      </c>
    </row>
    <row r="251">
      <c r="A251" t="inlineStr">
        <is>
          <t>Ibacus ciliatus</t>
        </is>
      </c>
      <c r="B251" t="inlineStr">
        <is>
          <t>Sand Crayfish</t>
        </is>
      </c>
      <c r="C251" t="inlineStr">
        <is>
          <t>Lobsters, crabs</t>
        </is>
      </c>
      <c r="D251" t="inlineStr">
        <is>
          <t>Crustaceans</t>
        </is>
      </c>
      <c r="E251" s="8" t="inlineStr">
        <is>
          <t>Benthic crustaceans</t>
        </is>
      </c>
      <c r="F251" t="inlineStr"/>
      <c r="G251" t="inlineStr"/>
      <c r="H251" t="inlineStr">
        <is>
          <t>high</t>
        </is>
      </c>
      <c r="I251" t="inlineStr">
        <is>
          <t>taxonomic_containment</t>
        </is>
      </c>
      <c r="J251" t="n">
        <v>19683.139</v>
      </c>
      <c r="K251" t="n">
        <v>0.0051</v>
      </c>
      <c r="L251" s="6" t="inlineStr">
        <is>
          <t>Source benthic crustaceans exclude shrimps and crabs (Appendix 6.1.5 p.324); lobsters remain in that residual, while true crabs use Crabs.</t>
        </is>
      </c>
    </row>
    <row r="252">
      <c r="A252" t="inlineStr">
        <is>
          <t>Istiophoridae</t>
        </is>
      </c>
      <c r="B252" t="inlineStr">
        <is>
          <t>Billfishes</t>
        </is>
      </c>
      <c r="C252" t="inlineStr">
        <is>
          <t>Large pelagics (&gt;=90 cm)</t>
        </is>
      </c>
      <c r="D252" t="inlineStr">
        <is>
          <t>Tuna &amp; billfishes</t>
        </is>
      </c>
      <c r="E252" s="9" t="inlineStr">
        <is>
          <t>Unresolved</t>
        </is>
      </c>
      <c r="F252" t="inlineStr"/>
      <c r="G252" t="inlineStr"/>
      <c r="H252" t="inlineStr">
        <is>
          <t>unresolved</t>
        </is>
      </c>
      <c r="I252" t="inlineStr">
        <is>
          <t>none</t>
        </is>
      </c>
      <c r="J252" t="n">
        <v>19283.905</v>
      </c>
      <c r="K252" t="n">
        <v>0.005</v>
      </c>
      <c r="L252" s="6" t="inlineStr">
        <is>
          <t>Northern continental-shelf model lacks a documented oceanic billfish or deep-pelagic compartment; assigning coastal juvenile/adult pelagic SPPR would be unsupported.</t>
        </is>
      </c>
    </row>
    <row r="253">
      <c r="A253" t="inlineStr">
        <is>
          <t>Panulirus polyphagus</t>
        </is>
      </c>
      <c r="B253" t="inlineStr">
        <is>
          <t>Mud spiny lobster</t>
        </is>
      </c>
      <c r="C253" t="inlineStr">
        <is>
          <t>Lobsters, crabs</t>
        </is>
      </c>
      <c r="D253" t="inlineStr">
        <is>
          <t>Crustaceans</t>
        </is>
      </c>
      <c r="E253" s="8" t="inlineStr">
        <is>
          <t>Benthic crustaceans</t>
        </is>
      </c>
      <c r="F253" t="inlineStr"/>
      <c r="G253" t="inlineStr"/>
      <c r="H253" t="inlineStr">
        <is>
          <t>high</t>
        </is>
      </c>
      <c r="I253" t="inlineStr">
        <is>
          <t>taxonomic_containment</t>
        </is>
      </c>
      <c r="J253" t="n">
        <v>19219.693</v>
      </c>
      <c r="K253" t="n">
        <v>0.005</v>
      </c>
      <c r="L253" s="6" t="inlineStr">
        <is>
          <t>Source benthic crustaceans exclude shrimps and crabs (Appendix 6.1.5 p.324); lobsters remain in that residual, while true crabs use Crabs.</t>
        </is>
      </c>
    </row>
    <row r="254">
      <c r="A254" t="inlineStr">
        <is>
          <t>Mierspenaeopsis sculptilis</t>
        </is>
      </c>
      <c r="B254" t="inlineStr">
        <is>
          <t>Rainbow shrimp</t>
        </is>
      </c>
      <c r="C254" t="inlineStr">
        <is>
          <t>Shrimps</t>
        </is>
      </c>
      <c r="D254" t="inlineStr">
        <is>
          <t>Crustaceans</t>
        </is>
      </c>
      <c r="E254" s="8" t="inlineStr">
        <is>
          <t>Shrimps</t>
        </is>
      </c>
      <c r="F254" t="inlineStr"/>
      <c r="G254" t="inlineStr"/>
      <c r="H254" t="inlineStr">
        <is>
          <t>high</t>
        </is>
      </c>
      <c r="I254" t="inlineStr">
        <is>
          <t>taxonomic_containment</t>
        </is>
      </c>
      <c r="J254" t="n">
        <v>17707.035</v>
      </c>
      <c r="K254" t="n">
        <v>0.0046</v>
      </c>
      <c r="L254" s="6" t="inlineStr">
        <is>
          <t>Stomatopods belong to the residual benthic crustaceans; other shrimp taxa belong to Shrimps after the explicitly separated Acetes records (Appendix 6.1 pp.323-326).</t>
        </is>
      </c>
    </row>
    <row r="255">
      <c r="A255" t="inlineStr">
        <is>
          <t>Acanthurus</t>
        </is>
      </c>
      <c r="B255" t="inlineStr">
        <is>
          <t>Surgeonfishes</t>
        </is>
      </c>
      <c r="C255" t="inlineStr">
        <is>
          <t>Small reef assoc. fish (&lt;30 cm)</t>
        </is>
      </c>
      <c r="D255" t="inlineStr">
        <is>
          <t>Perch-likes</t>
        </is>
      </c>
      <c r="E255" s="7" t="inlineStr">
        <is>
          <t>Demesral fish (≤ 30 cm)</t>
        </is>
      </c>
      <c r="F255" t="inlineStr"/>
      <c r="G255" t="inlineStr"/>
      <c r="H255" t="inlineStr">
        <is>
          <t>medium</t>
        </is>
      </c>
      <c r="I255" t="inlineStr">
        <is>
          <t>habitat_size_guild</t>
        </is>
      </c>
      <c r="J255" t="n">
        <v>17607.441</v>
      </c>
      <c r="K255" t="n">
        <v>0.0045</v>
      </c>
      <c r="L255" s="6" t="inlineStr">
        <is>
          <t>Analyst habitat/size inference: small demersal or reef-associated fish after excluding dedicated taxonomic groups, matching Appendix 6.1.19 &lt;=30 cm residual demersal pool.</t>
        </is>
      </c>
    </row>
    <row r="256">
      <c r="A256" t="inlineStr">
        <is>
          <t>Palinuridae</t>
        </is>
      </c>
      <c r="B256" t="inlineStr">
        <is>
          <t>Spiny lobsters</t>
        </is>
      </c>
      <c r="C256" t="inlineStr">
        <is>
          <t>Lobsters, crabs</t>
        </is>
      </c>
      <c r="D256" t="inlineStr">
        <is>
          <t>Crustaceans</t>
        </is>
      </c>
      <c r="E256" s="8" t="inlineStr">
        <is>
          <t>Benthic crustaceans</t>
        </is>
      </c>
      <c r="F256" t="inlineStr"/>
      <c r="G256" t="inlineStr"/>
      <c r="H256" t="inlineStr">
        <is>
          <t>high</t>
        </is>
      </c>
      <c r="I256" t="inlineStr">
        <is>
          <t>taxonomic_containment</t>
        </is>
      </c>
      <c r="J256" t="n">
        <v>17531.046</v>
      </c>
      <c r="K256" t="n">
        <v>0.0045</v>
      </c>
      <c r="L256" s="6" t="inlineStr">
        <is>
          <t>Source benthic crustaceans exclude shrimps and crabs (Appendix 6.1.5 p.324); lobsters remain in that residual, while true crabs use Crabs.</t>
        </is>
      </c>
    </row>
    <row r="257">
      <c r="A257" t="inlineStr">
        <is>
          <t>Terapontidae</t>
        </is>
      </c>
      <c r="B257" t="inlineStr">
        <is>
          <t>Grunters, tigerperches</t>
        </is>
      </c>
      <c r="C257" t="inlineStr">
        <is>
          <t>Medium demersals (30 - 89 cm)</t>
        </is>
      </c>
      <c r="D257" t="inlineStr">
        <is>
          <t>Perch-likes</t>
        </is>
      </c>
      <c r="E257" s="7" t="inlineStr">
        <is>
          <t>Juvenile demersal fish (&gt; 30 cm) | Adult demersal fish (&gt; 30 cm)</t>
        </is>
      </c>
      <c r="F257" t="inlineStr">
        <is>
          <t>0.200 | 0.800</t>
        </is>
      </c>
      <c r="G257" t="inlineStr">
        <is>
          <t>model_catch</t>
        </is>
      </c>
      <c r="H257" t="inlineStr">
        <is>
          <t>medium</t>
        </is>
      </c>
      <c r="I257" t="inlineStr">
        <is>
          <t>composite_split</t>
        </is>
      </c>
      <c r="J257" t="n">
        <v>16551.359</v>
      </c>
      <c r="K257" t="n">
        <v>0.0043</v>
      </c>
      <c r="L257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258">
      <c r="A258" t="inlineStr">
        <is>
          <t>Octopus vulgaris</t>
        </is>
      </c>
      <c r="B258" t="inlineStr">
        <is>
          <t>Common octopus</t>
        </is>
      </c>
      <c r="C258" t="inlineStr">
        <is>
          <t>Cephalopods</t>
        </is>
      </c>
      <c r="D258" t="inlineStr">
        <is>
          <t>Other fishes &amp; inverts</t>
        </is>
      </c>
      <c r="E258" s="8" t="inlineStr">
        <is>
          <t>Cephalopods</t>
        </is>
      </c>
      <c r="F258" t="inlineStr"/>
      <c r="G258" t="inlineStr"/>
      <c r="H258" t="inlineStr">
        <is>
          <t>high</t>
        </is>
      </c>
      <c r="I258" t="inlineStr">
        <is>
          <t>taxonomic_containment</t>
        </is>
      </c>
      <c r="J258" t="n">
        <v>16488.043</v>
      </c>
      <c r="K258" t="n">
        <v>0.0043</v>
      </c>
      <c r="L258" s="6" t="inlineStr">
        <is>
          <t>Cephalopoda is contained by the single source Cephalopods group, Appendix 6.1.8 pp.326-327.</t>
        </is>
      </c>
    </row>
    <row r="259">
      <c r="A259" t="inlineStr">
        <is>
          <t>Solenocera crassicornis</t>
        </is>
      </c>
      <c r="B259" t="inlineStr">
        <is>
          <t>Coastal mud shrimp</t>
        </is>
      </c>
      <c r="C259" t="inlineStr">
        <is>
          <t>Shrimps</t>
        </is>
      </c>
      <c r="D259" t="inlineStr">
        <is>
          <t>Crustaceans</t>
        </is>
      </c>
      <c r="E259" s="8" t="inlineStr">
        <is>
          <t>Shrimps</t>
        </is>
      </c>
      <c r="F259" t="inlineStr"/>
      <c r="G259" t="inlineStr"/>
      <c r="H259" t="inlineStr">
        <is>
          <t>high</t>
        </is>
      </c>
      <c r="I259" t="inlineStr">
        <is>
          <t>taxonomic_containment</t>
        </is>
      </c>
      <c r="J259" t="n">
        <v>16465.839</v>
      </c>
      <c r="K259" t="n">
        <v>0.0042</v>
      </c>
      <c r="L259" s="6" t="inlineStr">
        <is>
          <t>Stomatopods belong to the residual benthic crustaceans; other shrimp taxa belong to Shrimps after the explicitly separated Acetes records (Appendix 6.1 pp.323-326).</t>
        </is>
      </c>
    </row>
    <row r="260">
      <c r="A260" t="inlineStr">
        <is>
          <t>Thunnus alalunga</t>
        </is>
      </c>
      <c r="B260" t="inlineStr">
        <is>
          <t>Albacore</t>
        </is>
      </c>
      <c r="C260" t="inlineStr">
        <is>
          <t>Large pelagics (&gt;=90 cm)</t>
        </is>
      </c>
      <c r="D260" t="inlineStr">
        <is>
          <t>Tuna &amp; billfishes</t>
        </is>
      </c>
      <c r="E260" s="7" t="inlineStr">
        <is>
          <t>Juvenile large pelagic fish | Pelagic fish (&gt; 30 cm)</t>
        </is>
      </c>
      <c r="F260" t="inlineStr">
        <is>
          <t>0.202 | 0.798</t>
        </is>
      </c>
      <c r="G260" t="inlineStr">
        <is>
          <t>model_catch</t>
        </is>
      </c>
      <c r="H260" t="inlineStr">
        <is>
          <t>medium</t>
        </is>
      </c>
      <c r="I260" t="inlineStr">
        <is>
          <t>composite_split</t>
        </is>
      </c>
      <c r="J260" t="n">
        <v>15291.709</v>
      </c>
      <c r="K260" t="n">
        <v>0.0039</v>
      </c>
      <c r="L260" s="6" t="inlineStr">
        <is>
          <t>Analyst habitat/size inference to source &gt;30 cm pelagic fish (Appendix 6.1.24 p.339); no age data, so split juvenile/adult using the period model catch.</t>
        </is>
      </c>
    </row>
    <row r="261">
      <c r="A261" t="inlineStr">
        <is>
          <t>Scorpaenidae</t>
        </is>
      </c>
      <c r="B261" t="inlineStr">
        <is>
          <t>Scorpionfishes, rockfishes</t>
        </is>
      </c>
      <c r="C261" t="inlineStr">
        <is>
          <t>Large reef assoc. fish (&gt;=90 cm)</t>
        </is>
      </c>
      <c r="D261" t="inlineStr">
        <is>
          <t>Scorpionfishes</t>
        </is>
      </c>
      <c r="E261" s="7" t="inlineStr">
        <is>
          <t>Juvenile demersal fish (&gt; 30 cm) | Adult demersal fish (&gt; 30 cm)</t>
        </is>
      </c>
      <c r="F261" t="inlineStr">
        <is>
          <t>0.200 | 0.800</t>
        </is>
      </c>
      <c r="G261" t="inlineStr">
        <is>
          <t>model_catch</t>
        </is>
      </c>
      <c r="H261" t="inlineStr">
        <is>
          <t>medium</t>
        </is>
      </c>
      <c r="I261" t="inlineStr">
        <is>
          <t>composite_split</t>
        </is>
      </c>
      <c r="J261" t="n">
        <v>15243.441</v>
      </c>
      <c r="K261" t="n">
        <v>0.0039</v>
      </c>
      <c r="L261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262">
      <c r="A262" t="inlineStr">
        <is>
          <t>Carcharhinus falciformis</t>
        </is>
      </c>
      <c r="B262" t="inlineStr">
        <is>
          <t>Silky shark</t>
        </is>
      </c>
      <c r="C262" t="inlineStr">
        <is>
          <t>Large sharks (&gt;=90 cm)</t>
        </is>
      </c>
      <c r="D262" t="inlineStr">
        <is>
          <t>Sharks &amp; rays</t>
        </is>
      </c>
      <c r="E262" s="7" t="inlineStr">
        <is>
          <t>Pelagic sharks and rays</t>
        </is>
      </c>
      <c r="F262" t="inlineStr"/>
      <c r="G262" t="inlineStr"/>
      <c r="H262" t="inlineStr">
        <is>
          <t>medium</t>
        </is>
      </c>
      <c r="I262" t="inlineStr">
        <is>
          <t>habitat_size_guild</t>
        </is>
      </c>
      <c r="J262" t="n">
        <v>14833.368</v>
      </c>
      <c r="K262" t="n">
        <v>0.0038</v>
      </c>
      <c r="L262" s="6" t="inlineStr">
        <is>
          <t>Pelagic shark lineage matches the pelagic elasmobranch definition, Appendix 6.1.25 p.340; species placement is analyst inference.</t>
        </is>
      </c>
    </row>
    <row r="263">
      <c r="A263" t="inlineStr">
        <is>
          <t>Metapenaeus affinis</t>
        </is>
      </c>
      <c r="B263" t="inlineStr">
        <is>
          <t>Jinga shrimp</t>
        </is>
      </c>
      <c r="C263" t="inlineStr">
        <is>
          <t>Shrimps</t>
        </is>
      </c>
      <c r="D263" t="inlineStr">
        <is>
          <t>Crustaceans</t>
        </is>
      </c>
      <c r="E263" s="8" t="inlineStr">
        <is>
          <t>Shrimps</t>
        </is>
      </c>
      <c r="F263" t="inlineStr"/>
      <c r="G263" t="inlineStr"/>
      <c r="H263" t="inlineStr">
        <is>
          <t>high</t>
        </is>
      </c>
      <c r="I263" t="inlineStr">
        <is>
          <t>taxonomic_containment</t>
        </is>
      </c>
      <c r="J263" t="n">
        <v>14209.515</v>
      </c>
      <c r="K263" t="n">
        <v>0.0037</v>
      </c>
      <c r="L263" s="6" t="inlineStr">
        <is>
          <t>Stomatopods belong to the residual benthic crustaceans; other shrimp taxa belong to Shrimps after the explicitly separated Acetes records (Appendix 6.1 pp.323-326).</t>
        </is>
      </c>
    </row>
    <row r="264">
      <c r="A264" t="inlineStr">
        <is>
          <t>Marine groundfishes not identified</t>
        </is>
      </c>
      <c r="B264" t="inlineStr">
        <is>
          <t>Groundfishes</t>
        </is>
      </c>
      <c r="C264" t="inlineStr">
        <is>
          <t>Medium demersals (30 - 89 cm)</t>
        </is>
      </c>
      <c r="D264" t="inlineStr">
        <is>
          <t>Other fishes &amp; inverts</t>
        </is>
      </c>
      <c r="E264" s="5" t="inlineStr">
        <is>
          <t>Demesral fish (≤ 30 cm) | Juvenile demersal fish (&gt; 30 cm) | Adult demersal fish (&gt; 30 cm)</t>
        </is>
      </c>
      <c r="F264" t="inlineStr">
        <is>
          <t>0.386 | 0.123 | 0.491</t>
        </is>
      </c>
      <c r="G264" t="inlineStr">
        <is>
          <t>model_catch</t>
        </is>
      </c>
      <c r="H264" t="inlineStr">
        <is>
          <t>low</t>
        </is>
      </c>
      <c r="I264" t="inlineStr">
        <is>
          <t>composite_split</t>
        </is>
      </c>
      <c r="J264" t="n">
        <v>14183.877</v>
      </c>
      <c r="K264" t="n">
        <v>0.0037</v>
      </c>
      <c r="L264" s="6" t="inlineStr">
        <is>
          <t>Analyst coarse-catch inference from SAU Medium demersals (30 - 89 cm) to residual habitat/size pools in Appendix 6.1 pp.335-339, excluding dedicated named taxa; period model catch weights preserve stanza selectivity.</t>
        </is>
      </c>
    </row>
    <row r="265">
      <c r="A265" t="inlineStr">
        <is>
          <t>Sardinella albella</t>
        </is>
      </c>
      <c r="B265" t="inlineStr">
        <is>
          <t>White sardinella</t>
        </is>
      </c>
      <c r="C265" t="inlineStr">
        <is>
          <t>Small reef assoc. fish (&lt;30 cm)</t>
        </is>
      </c>
      <c r="D265" t="inlineStr">
        <is>
          <t>Herring-likes</t>
        </is>
      </c>
      <c r="E265" s="7" t="inlineStr">
        <is>
          <t>Pelagic fish (≤ 30 cm)</t>
        </is>
      </c>
      <c r="F265" t="inlineStr"/>
      <c r="G265" t="inlineStr"/>
      <c r="H265" t="inlineStr">
        <is>
          <t>medium</t>
        </is>
      </c>
      <c r="I265" t="inlineStr">
        <is>
          <t>habitat_size_guild</t>
        </is>
      </c>
      <c r="J265" t="n">
        <v>13862.136</v>
      </c>
      <c r="K265" t="n">
        <v>0.0036</v>
      </c>
      <c r="L265" s="6" t="inlineStr">
        <is>
          <t>Source small-pelagic pool explicitly includes sardines, thryssa and anchovies (Appendix 6.1.23 p.338); extension to the catch lineage uses SAU size as a proxy and is not a full species list.</t>
        </is>
      </c>
    </row>
    <row r="266">
      <c r="A266" t="inlineStr">
        <is>
          <t>Placuna placenta</t>
        </is>
      </c>
      <c r="B266" t="inlineStr">
        <is>
          <t>Windowpane oyster</t>
        </is>
      </c>
      <c r="C266" t="inlineStr">
        <is>
          <t>Other demersal invertebrates</t>
        </is>
      </c>
      <c r="D266" t="inlineStr">
        <is>
          <t>Molluscs</t>
        </is>
      </c>
      <c r="E266" s="8" t="inlineStr">
        <is>
          <t>Non-ceph molluscs</t>
        </is>
      </c>
      <c r="F266" t="inlineStr"/>
      <c r="G266" t="inlineStr"/>
      <c r="H266" t="inlineStr">
        <is>
          <t>high</t>
        </is>
      </c>
      <c r="I266" t="inlineStr">
        <is>
          <t>taxonomic_containment</t>
        </is>
      </c>
      <c r="J266" t="n">
        <v>13498.128</v>
      </c>
      <c r="K266" t="n">
        <v>0.0035</v>
      </c>
      <c r="L266" s="6" t="inlineStr">
        <is>
          <t>Taxonomic containment in the source benthos subdivision (Appendix 6.1.5 pp.324-325), keeping non-cephalopod molluscs separate from echinoderms and sessile invertebrates.</t>
        </is>
      </c>
    </row>
    <row r="267">
      <c r="A267" t="inlineStr">
        <is>
          <t>Scaridae</t>
        </is>
      </c>
      <c r="B267" t="inlineStr">
        <is>
          <t>Parrotfishes</t>
        </is>
      </c>
      <c r="C267" t="inlineStr">
        <is>
          <t>Medium reef assoc. fish (30 - 89 cm)</t>
        </is>
      </c>
      <c r="D267" t="inlineStr">
        <is>
          <t>Perch-likes</t>
        </is>
      </c>
      <c r="E267" s="7" t="inlineStr">
        <is>
          <t>Juvenile demersal fish (&gt; 30 cm) | Adult demersal fish (&gt; 30 cm)</t>
        </is>
      </c>
      <c r="F267" t="inlineStr">
        <is>
          <t>0.200 | 0.800</t>
        </is>
      </c>
      <c r="G267" t="inlineStr">
        <is>
          <t>model_catch</t>
        </is>
      </c>
      <c r="H267" t="inlineStr">
        <is>
          <t>medium</t>
        </is>
      </c>
      <c r="I267" t="inlineStr">
        <is>
          <t>composite_split</t>
        </is>
      </c>
      <c r="J267" t="n">
        <v>13212.304</v>
      </c>
      <c r="K267" t="n">
        <v>0.0034</v>
      </c>
      <c r="L267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268">
      <c r="A268" t="inlineStr">
        <is>
          <t>Seriolina nigrofasciata</t>
        </is>
      </c>
      <c r="B268" t="inlineStr">
        <is>
          <t>Blackbanded trevally</t>
        </is>
      </c>
      <c r="C268" t="inlineStr">
        <is>
          <t>Medium reef assoc. fish (30 - 89 cm)</t>
        </is>
      </c>
      <c r="D268" t="inlineStr">
        <is>
          <t>Perch-likes</t>
        </is>
      </c>
      <c r="E268" s="7" t="inlineStr">
        <is>
          <t>Juvenile large pelagic fish | Pelagic fish (&gt; 30 cm)</t>
        </is>
      </c>
      <c r="F268" t="inlineStr">
        <is>
          <t>0.202 | 0.798</t>
        </is>
      </c>
      <c r="G268" t="inlineStr">
        <is>
          <t>model_catch</t>
        </is>
      </c>
      <c r="H268" t="inlineStr">
        <is>
          <t>medium</t>
        </is>
      </c>
      <c r="I268" t="inlineStr">
        <is>
          <t>composite_split</t>
        </is>
      </c>
      <c r="J268" t="n">
        <v>12661.116</v>
      </c>
      <c r="K268" t="n">
        <v>0.0033</v>
      </c>
      <c r="L268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</row>
    <row r="269">
      <c r="A269" t="inlineStr">
        <is>
          <t>Saurida undosquamis</t>
        </is>
      </c>
      <c r="B269" t="inlineStr">
        <is>
          <t>Brushtooth lizardfish</t>
        </is>
      </c>
      <c r="C269" t="inlineStr">
        <is>
          <t>Medium demersals (30 - 89 cm)</t>
        </is>
      </c>
      <c r="D269" t="inlineStr">
        <is>
          <t>Other fishes &amp; inverts</t>
        </is>
      </c>
      <c r="E269" s="8" t="inlineStr">
        <is>
          <t>Lizard fish (synodontids)</t>
        </is>
      </c>
      <c r="F269" t="inlineStr"/>
      <c r="G269" t="inlineStr"/>
      <c r="H269" t="inlineStr">
        <is>
          <t>high</t>
        </is>
      </c>
      <c r="I269" t="inlineStr">
        <is>
          <t>explicit_member</t>
        </is>
      </c>
      <c r="J269" t="n">
        <v>12120.406</v>
      </c>
      <c r="K269" t="n">
        <v>0.0031</v>
      </c>
      <c r="L269" s="6" t="inlineStr">
        <is>
          <t>Appendix 6.1 pp.327-335 defines Lizard fish (synodontids) by this family or explicitly names Saurida undosquamis; dedicated source placement overrides the SAU class Medium demersals (30 - 89 cm).</t>
        </is>
      </c>
    </row>
    <row r="270">
      <c r="A270" t="inlineStr">
        <is>
          <t>Atule mate</t>
        </is>
      </c>
      <c r="B270" t="inlineStr">
        <is>
          <t>Yellowtail scad</t>
        </is>
      </c>
      <c r="C270" t="inlineStr">
        <is>
          <t>Small pelagics (&lt;30 cm)</t>
        </is>
      </c>
      <c r="D270" t="inlineStr">
        <is>
          <t>Perch-likes</t>
        </is>
      </c>
      <c r="E270" s="7" t="inlineStr">
        <is>
          <t>Pelagic fish (≤ 30 cm)</t>
        </is>
      </c>
      <c r="F270" t="inlineStr"/>
      <c r="G270" t="inlineStr"/>
      <c r="H270" t="inlineStr">
        <is>
          <t>medium</t>
        </is>
      </c>
      <c r="I270" t="inlineStr">
        <is>
          <t>habitat_size_guild</t>
        </is>
      </c>
      <c r="J270" t="n">
        <v>11736.971</v>
      </c>
      <c r="K270" t="n">
        <v>0.003</v>
      </c>
      <c r="L270" s="6" t="inlineStr">
        <is>
          <t>Analyst habitat/size inference: SAU small-pelagic class matches the source &lt;=30 cm pelagic pool after dedicated source taxa were handled (Appendix 6.1.23 p.338).</t>
        </is>
      </c>
    </row>
    <row r="271">
      <c r="A271" t="inlineStr">
        <is>
          <t>Scarus</t>
        </is>
      </c>
      <c r="B271" t="inlineStr">
        <is>
          <t>Parrots</t>
        </is>
      </c>
      <c r="C271" t="inlineStr">
        <is>
          <t>Medium reef assoc. fish (30 - 89 cm)</t>
        </is>
      </c>
      <c r="D271" t="inlineStr">
        <is>
          <t>Perch-likes</t>
        </is>
      </c>
      <c r="E271" s="7" t="inlineStr">
        <is>
          <t>Juvenile demersal fish (&gt; 30 cm) | Adult demersal fish (&gt; 30 cm)</t>
        </is>
      </c>
      <c r="F271" t="inlineStr">
        <is>
          <t>0.200 | 0.800</t>
        </is>
      </c>
      <c r="G271" t="inlineStr">
        <is>
          <t>model_catch</t>
        </is>
      </c>
      <c r="H271" t="inlineStr">
        <is>
          <t>medium</t>
        </is>
      </c>
      <c r="I271" t="inlineStr">
        <is>
          <t>composite_split</t>
        </is>
      </c>
      <c r="J271" t="n">
        <v>11669.973</v>
      </c>
      <c r="K271" t="n">
        <v>0.003</v>
      </c>
      <c r="L271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272">
      <c r="A272" t="inlineStr">
        <is>
          <t>Thunnus</t>
        </is>
      </c>
      <c r="B272" t="inlineStr">
        <is>
          <t>Tunas</t>
        </is>
      </c>
      <c r="C272" t="inlineStr">
        <is>
          <t>Large pelagics (&gt;=90 cm)</t>
        </is>
      </c>
      <c r="D272" t="inlineStr">
        <is>
          <t>Tuna &amp; billfishes</t>
        </is>
      </c>
      <c r="E272" s="7" t="inlineStr">
        <is>
          <t>Juvenile large pelagic fish | Pelagic fish (&gt; 30 cm)</t>
        </is>
      </c>
      <c r="F272" t="inlineStr">
        <is>
          <t>0.202 | 0.798</t>
        </is>
      </c>
      <c r="G272" t="inlineStr">
        <is>
          <t>model_catch</t>
        </is>
      </c>
      <c r="H272" t="inlineStr">
        <is>
          <t>medium</t>
        </is>
      </c>
      <c r="I272" t="inlineStr">
        <is>
          <t>composite_split</t>
        </is>
      </c>
      <c r="J272" t="n">
        <v>11596.064</v>
      </c>
      <c r="K272" t="n">
        <v>0.003</v>
      </c>
      <c r="L272" s="6" t="inlineStr">
        <is>
          <t>Analyst habitat/size inference to source &gt;30 cm pelagic fish (Appendix 6.1.24 p.339); no age data, so split juvenile/adult using the period model catch.</t>
        </is>
      </c>
    </row>
    <row r="273">
      <c r="A273" t="inlineStr">
        <is>
          <t>Ruditapes philippinarum</t>
        </is>
      </c>
      <c r="B273" t="inlineStr">
        <is>
          <t>Japanese carpet shell</t>
        </is>
      </c>
      <c r="C273" t="inlineStr">
        <is>
          <t>Other demersal invertebrates</t>
        </is>
      </c>
      <c r="D273" t="inlineStr">
        <is>
          <t>Molluscs</t>
        </is>
      </c>
      <c r="E273" s="8" t="inlineStr">
        <is>
          <t>Non-ceph molluscs</t>
        </is>
      </c>
      <c r="F273" t="inlineStr"/>
      <c r="G273" t="inlineStr"/>
      <c r="H273" t="inlineStr">
        <is>
          <t>high</t>
        </is>
      </c>
      <c r="I273" t="inlineStr">
        <is>
          <t>taxonomic_containment</t>
        </is>
      </c>
      <c r="J273" t="n">
        <v>11438.522</v>
      </c>
      <c r="K273" t="n">
        <v>0.003</v>
      </c>
      <c r="L273" s="6" t="inlineStr">
        <is>
          <t>Taxonomic containment in the source benthos subdivision (Appendix 6.1.5 pp.324-325), keeping non-cephalopod molluscs separate from echinoderms and sessile invertebrates.</t>
        </is>
      </c>
    </row>
    <row r="274">
      <c r="A274" t="inlineStr">
        <is>
          <t>Metapenaeus tenuipes</t>
        </is>
      </c>
      <c r="B274" t="inlineStr">
        <is>
          <t>Stork shrimp</t>
        </is>
      </c>
      <c r="C274" t="inlineStr">
        <is>
          <t>Shrimps</t>
        </is>
      </c>
      <c r="D274" t="inlineStr">
        <is>
          <t>Crustaceans</t>
        </is>
      </c>
      <c r="E274" s="8" t="inlineStr">
        <is>
          <t>Shrimps</t>
        </is>
      </c>
      <c r="F274" t="inlineStr"/>
      <c r="G274" t="inlineStr"/>
      <c r="H274" t="inlineStr">
        <is>
          <t>high</t>
        </is>
      </c>
      <c r="I274" t="inlineStr">
        <is>
          <t>taxonomic_containment</t>
        </is>
      </c>
      <c r="J274" t="n">
        <v>11158.1</v>
      </c>
      <c r="K274" t="n">
        <v>0.0029</v>
      </c>
      <c r="L274" s="6" t="inlineStr">
        <is>
          <t>Stomatopods belong to the residual benthic crustaceans; other shrimp taxa belong to Shrimps after the explicitly separated Acetes records (Appendix 6.1 pp.323-326).</t>
        </is>
      </c>
    </row>
    <row r="275">
      <c r="A275" t="inlineStr">
        <is>
          <t>Acanthocybium solandri</t>
        </is>
      </c>
      <c r="B275" t="inlineStr">
        <is>
          <t>Wahoo</t>
        </is>
      </c>
      <c r="C275" t="inlineStr">
        <is>
          <t>Large pelagics (&gt;=90 cm)</t>
        </is>
      </c>
      <c r="D275" t="inlineStr">
        <is>
          <t>Perch-likes</t>
        </is>
      </c>
      <c r="E275" s="7" t="inlineStr">
        <is>
          <t>Juvenile large pelagic fish | Pelagic fish (&gt; 30 cm)</t>
        </is>
      </c>
      <c r="F275" t="inlineStr">
        <is>
          <t>0.202 | 0.798</t>
        </is>
      </c>
      <c r="G275" t="inlineStr">
        <is>
          <t>model_catch</t>
        </is>
      </c>
      <c r="H275" t="inlineStr">
        <is>
          <t>medium</t>
        </is>
      </c>
      <c r="I275" t="inlineStr">
        <is>
          <t>composite_split</t>
        </is>
      </c>
      <c r="J275" t="n">
        <v>10923.631</v>
      </c>
      <c r="K275" t="n">
        <v>0.0028</v>
      </c>
      <c r="L275" s="6" t="inlineStr">
        <is>
          <t>Analyst habitat/size inference to source &gt;30 cm pelagic fish (Appendix 6.1.24 p.339); no age data, so split juvenile/adult using the period model catch.</t>
        </is>
      </c>
    </row>
    <row r="276">
      <c r="A276" t="inlineStr">
        <is>
          <t>Acanthopagrus schlegelii</t>
        </is>
      </c>
      <c r="B276" t="inlineStr">
        <is>
          <t>Blackhead seabream</t>
        </is>
      </c>
      <c r="C276" t="inlineStr">
        <is>
          <t>Medium demersals (30 - 89 cm)</t>
        </is>
      </c>
      <c r="D276" t="inlineStr">
        <is>
          <t>Perch-likes</t>
        </is>
      </c>
      <c r="E276" s="7" t="inlineStr">
        <is>
          <t>Juvenile demersal fish (&gt; 30 cm) | Adult demersal fish (&gt; 30 cm)</t>
        </is>
      </c>
      <c r="F276" t="inlineStr">
        <is>
          <t>0.200 | 0.800</t>
        </is>
      </c>
      <c r="G276" t="inlineStr">
        <is>
          <t>model_catch</t>
        </is>
      </c>
      <c r="H276" t="inlineStr">
        <is>
          <t>medium</t>
        </is>
      </c>
      <c r="I276" t="inlineStr">
        <is>
          <t>composite_split</t>
        </is>
      </c>
      <c r="J276" t="n">
        <v>10716.315</v>
      </c>
      <c r="K276" t="n">
        <v>0.0028</v>
      </c>
      <c r="L276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277">
      <c r="A277" t="inlineStr">
        <is>
          <t>Lobotes surinamensis</t>
        </is>
      </c>
      <c r="B277" t="inlineStr">
        <is>
          <t>Tripletail</t>
        </is>
      </c>
      <c r="C277" t="inlineStr">
        <is>
          <t>Large benthopelagics (&gt;=90 cm)</t>
        </is>
      </c>
      <c r="D277" t="inlineStr">
        <is>
          <t>Perch-likes</t>
        </is>
      </c>
      <c r="E277" s="5" t="inlineStr">
        <is>
          <t>Benthopelagic fish</t>
        </is>
      </c>
      <c r="F277" t="inlineStr"/>
      <c r="G277" t="inlineStr"/>
      <c r="H277" t="inlineStr">
        <is>
          <t>low</t>
        </is>
      </c>
      <c r="I277" t="inlineStr">
        <is>
          <t>habitat_size_guild</t>
        </is>
      </c>
      <c r="J277" t="n">
        <v>10347.218</v>
      </c>
      <c r="K277" t="n">
        <v>0.0027</v>
      </c>
      <c r="L277" s="6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</row>
    <row r="278">
      <c r="A278" t="inlineStr">
        <is>
          <t>Sepioteuthis lessoniana</t>
        </is>
      </c>
      <c r="B278" t="inlineStr">
        <is>
          <t>Bigfin reef squid</t>
        </is>
      </c>
      <c r="C278" t="inlineStr">
        <is>
          <t>Cephalopods</t>
        </is>
      </c>
      <c r="D278" t="inlineStr">
        <is>
          <t>Other fishes &amp; inverts</t>
        </is>
      </c>
      <c r="E278" s="8" t="inlineStr">
        <is>
          <t>Cephalopods</t>
        </is>
      </c>
      <c r="F278" t="inlineStr"/>
      <c r="G278" t="inlineStr"/>
      <c r="H278" t="inlineStr">
        <is>
          <t>high</t>
        </is>
      </c>
      <c r="I278" t="inlineStr">
        <is>
          <t>taxonomic_containment</t>
        </is>
      </c>
      <c r="J278" t="n">
        <v>10311.411</v>
      </c>
      <c r="K278" t="n">
        <v>0.0027</v>
      </c>
      <c r="L278" s="6" t="inlineStr">
        <is>
          <t>Cephalopoda is contained by the single source Cephalopods group, Appendix 6.1.8 pp.326-327.</t>
        </is>
      </c>
    </row>
    <row r="279">
      <c r="A279" t="inlineStr">
        <is>
          <t>Eleutheronema tetradactylum</t>
        </is>
      </c>
      <c r="B279" t="inlineStr">
        <is>
          <t>Fourfinger threadfin</t>
        </is>
      </c>
      <c r="C279" t="inlineStr">
        <is>
          <t>Large demersals (&gt;=90 cm)</t>
        </is>
      </c>
      <c r="D279" t="inlineStr">
        <is>
          <t>Perch-likes</t>
        </is>
      </c>
      <c r="E279" s="7" t="inlineStr">
        <is>
          <t>Juvenile demersal fish (&gt; 30 cm) | Adult demersal fish (&gt; 30 cm)</t>
        </is>
      </c>
      <c r="F279" t="inlineStr">
        <is>
          <t>0.200 | 0.800</t>
        </is>
      </c>
      <c r="G279" t="inlineStr">
        <is>
          <t>model_catch</t>
        </is>
      </c>
      <c r="H279" t="inlineStr">
        <is>
          <t>medium</t>
        </is>
      </c>
      <c r="I279" t="inlineStr">
        <is>
          <t>composite_split</t>
        </is>
      </c>
      <c r="J279" t="n">
        <v>9740.129999999999</v>
      </c>
      <c r="K279" t="n">
        <v>0.0025</v>
      </c>
      <c r="L279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280">
      <c r="A280" t="inlineStr">
        <is>
          <t>Scatophagus</t>
        </is>
      </c>
      <c r="B280" t="inlineStr">
        <is>
          <t>Scats</t>
        </is>
      </c>
      <c r="C280" t="inlineStr">
        <is>
          <t>Medium demersals (30 - 89 cm)</t>
        </is>
      </c>
      <c r="D280" t="inlineStr">
        <is>
          <t>Perch-likes</t>
        </is>
      </c>
      <c r="E280" s="7" t="inlineStr">
        <is>
          <t>Juvenile demersal fish (&gt; 30 cm) | Adult demersal fish (&gt; 30 cm)</t>
        </is>
      </c>
      <c r="F280" t="inlineStr">
        <is>
          <t>0.200 | 0.800</t>
        </is>
      </c>
      <c r="G280" t="inlineStr">
        <is>
          <t>model_catch</t>
        </is>
      </c>
      <c r="H280" t="inlineStr">
        <is>
          <t>medium</t>
        </is>
      </c>
      <c r="I280" t="inlineStr">
        <is>
          <t>composite_split</t>
        </is>
      </c>
      <c r="J280" t="n">
        <v>9252.174000000001</v>
      </c>
      <c r="K280" t="n">
        <v>0.0024</v>
      </c>
      <c r="L280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281">
      <c r="A281" t="inlineStr">
        <is>
          <t>Thunnus orientalis</t>
        </is>
      </c>
      <c r="B281" t="inlineStr">
        <is>
          <t>Pacific bluefin tuna</t>
        </is>
      </c>
      <c r="C281" t="inlineStr">
        <is>
          <t>Large pelagics (&gt;=90 cm)</t>
        </is>
      </c>
      <c r="D281" t="inlineStr">
        <is>
          <t>Tuna &amp; billfishes</t>
        </is>
      </c>
      <c r="E281" s="7" t="inlineStr">
        <is>
          <t>Juvenile large pelagic fish | Pelagic fish (&gt; 30 cm)</t>
        </is>
      </c>
      <c r="F281" t="inlineStr">
        <is>
          <t>0.202 | 0.798</t>
        </is>
      </c>
      <c r="G281" t="inlineStr">
        <is>
          <t>model_catch</t>
        </is>
      </c>
      <c r="H281" t="inlineStr">
        <is>
          <t>medium</t>
        </is>
      </c>
      <c r="I281" t="inlineStr">
        <is>
          <t>composite_split</t>
        </is>
      </c>
      <c r="J281" t="n">
        <v>9130.268</v>
      </c>
      <c r="K281" t="n">
        <v>0.0024</v>
      </c>
      <c r="L281" s="6" t="inlineStr">
        <is>
          <t>Analyst habitat/size inference to source &gt;30 cm pelagic fish (Appendix 6.1.24 p.339); no age data, so split juvenile/adult using the period model catch.</t>
        </is>
      </c>
    </row>
    <row r="282">
      <c r="A282" t="inlineStr">
        <is>
          <t>Siganus canaliculatus</t>
        </is>
      </c>
      <c r="B282" t="inlineStr">
        <is>
          <t>White-spotted spinefoot</t>
        </is>
      </c>
      <c r="C282" t="inlineStr">
        <is>
          <t>Small reef assoc. fish (&lt;30 cm)</t>
        </is>
      </c>
      <c r="D282" t="inlineStr">
        <is>
          <t>Perch-likes</t>
        </is>
      </c>
      <c r="E282" s="7" t="inlineStr">
        <is>
          <t>Demesral fish (≤ 30 cm)</t>
        </is>
      </c>
      <c r="F282" t="inlineStr"/>
      <c r="G282" t="inlineStr"/>
      <c r="H282" t="inlineStr">
        <is>
          <t>medium</t>
        </is>
      </c>
      <c r="I282" t="inlineStr">
        <is>
          <t>habitat_size_guild</t>
        </is>
      </c>
      <c r="J282" t="n">
        <v>8874.617</v>
      </c>
      <c r="K282" t="n">
        <v>0.0023</v>
      </c>
      <c r="L282" s="6" t="inlineStr">
        <is>
          <t>Analyst habitat/size inference: small demersal or reef-associated fish after excluding dedicated taxonomic groups, matching Appendix 6.1.19 &lt;=30 cm residual demersal pool.</t>
        </is>
      </c>
    </row>
    <row r="283">
      <c r="A283" t="inlineStr">
        <is>
          <t>Polydactylus sexfilis</t>
        </is>
      </c>
      <c r="B283" t="inlineStr">
        <is>
          <t>Sixfinger threadfin</t>
        </is>
      </c>
      <c r="C283" t="inlineStr">
        <is>
          <t>Medium demersals (30 - 89 cm)</t>
        </is>
      </c>
      <c r="D283" t="inlineStr">
        <is>
          <t>Perch-likes</t>
        </is>
      </c>
      <c r="E283" s="7" t="inlineStr">
        <is>
          <t>Juvenile demersal fish (&gt; 30 cm) | Adult demersal fish (&gt; 30 cm)</t>
        </is>
      </c>
      <c r="F283" t="inlineStr">
        <is>
          <t>0.200 | 0.800</t>
        </is>
      </c>
      <c r="G283" t="inlineStr">
        <is>
          <t>model_catch</t>
        </is>
      </c>
      <c r="H283" t="inlineStr">
        <is>
          <t>medium</t>
        </is>
      </c>
      <c r="I283" t="inlineStr">
        <is>
          <t>composite_split</t>
        </is>
      </c>
      <c r="J283" t="n">
        <v>8212.799999999999</v>
      </c>
      <c r="K283" t="n">
        <v>0.0021</v>
      </c>
      <c r="L283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284">
      <c r="A284" t="inlineStr">
        <is>
          <t>Hilsa kelee</t>
        </is>
      </c>
      <c r="B284" t="inlineStr">
        <is>
          <t>Kelee shad</t>
        </is>
      </c>
      <c r="C284" t="inlineStr">
        <is>
          <t>Small pelagics (&lt;30 cm)</t>
        </is>
      </c>
      <c r="D284" t="inlineStr">
        <is>
          <t>Herring-likes</t>
        </is>
      </c>
      <c r="E284" s="7" t="inlineStr">
        <is>
          <t>Pelagic fish (≤ 30 cm)</t>
        </is>
      </c>
      <c r="F284" t="inlineStr"/>
      <c r="G284" t="inlineStr"/>
      <c r="H284" t="inlineStr">
        <is>
          <t>medium</t>
        </is>
      </c>
      <c r="I284" t="inlineStr">
        <is>
          <t>habitat_size_guild</t>
        </is>
      </c>
      <c r="J284" t="n">
        <v>8128.315</v>
      </c>
      <c r="K284" t="n">
        <v>0.0021</v>
      </c>
      <c r="L284" s="6" t="inlineStr">
        <is>
          <t>Analyst habitat/size inference: SAU small-pelagic class matches the source &lt;=30 cm pelagic pool after dedicated source taxa were handled (Appendix 6.1.23 p.338).</t>
        </is>
      </c>
    </row>
    <row r="285">
      <c r="A285" t="inlineStr">
        <is>
          <t>Thenus orientalis</t>
        </is>
      </c>
      <c r="B285" t="inlineStr">
        <is>
          <t>Flathead lobster</t>
        </is>
      </c>
      <c r="C285" t="inlineStr">
        <is>
          <t>Lobsters, crabs</t>
        </is>
      </c>
      <c r="D285" t="inlineStr">
        <is>
          <t>Crustaceans</t>
        </is>
      </c>
      <c r="E285" s="8" t="inlineStr">
        <is>
          <t>Benthic crustaceans</t>
        </is>
      </c>
      <c r="F285" t="inlineStr"/>
      <c r="G285" t="inlineStr"/>
      <c r="H285" t="inlineStr">
        <is>
          <t>high</t>
        </is>
      </c>
      <c r="I285" t="inlineStr">
        <is>
          <t>taxonomic_containment</t>
        </is>
      </c>
      <c r="J285" t="n">
        <v>7779.469</v>
      </c>
      <c r="K285" t="n">
        <v>0.002</v>
      </c>
      <c r="L285" s="6" t="inlineStr">
        <is>
          <t>Source benthic crustaceans exclude shrimps and crabs (Appendix 6.1.5 p.324); lobsters remain in that residual, while true crabs use Crabs.</t>
        </is>
      </c>
    </row>
    <row r="286">
      <c r="A286" t="inlineStr">
        <is>
          <t>Acetes sibogae</t>
        </is>
      </c>
      <c r="B286" t="inlineStr">
        <is>
          <t>Alamang shrimp</t>
        </is>
      </c>
      <c r="C286" t="inlineStr">
        <is>
          <t>Shrimps</t>
        </is>
      </c>
      <c r="D286" t="inlineStr">
        <is>
          <t>Crustaceans</t>
        </is>
      </c>
      <c r="E286" s="8" t="inlineStr">
        <is>
          <t>Zooplankton</t>
        </is>
      </c>
      <c r="F286" t="inlineStr"/>
      <c r="G286" t="inlineStr"/>
      <c r="H286" t="inlineStr">
        <is>
          <t>high</t>
        </is>
      </c>
      <c r="I286" t="inlineStr">
        <is>
          <t>explicit_member</t>
        </is>
      </c>
      <c r="J286" t="n">
        <v>7634.911</v>
      </c>
      <c r="K286" t="n">
        <v>0.002</v>
      </c>
      <c r="L286" s="6" t="inlineStr">
        <is>
          <t>Appendix 6.1.3 p.323 explicitly records Acetes spp. (Mo shrimp) catch in Zooplankton, overriding the SAU shrimp class.</t>
        </is>
      </c>
    </row>
    <row r="287">
      <c r="A287" t="inlineStr">
        <is>
          <t>Kajikia audax</t>
        </is>
      </c>
      <c r="B287" t="inlineStr">
        <is>
          <t>Striped marlin</t>
        </is>
      </c>
      <c r="C287" t="inlineStr">
        <is>
          <t>Large pelagics (&gt;=90 cm)</t>
        </is>
      </c>
      <c r="D287" t="inlineStr">
        <is>
          <t>Tuna &amp; billfishes</t>
        </is>
      </c>
      <c r="E287" s="9" t="inlineStr">
        <is>
          <t>Unresolved</t>
        </is>
      </c>
      <c r="F287" t="inlineStr"/>
      <c r="G287" t="inlineStr"/>
      <c r="H287" t="inlineStr">
        <is>
          <t>unresolved</t>
        </is>
      </c>
      <c r="I287" t="inlineStr">
        <is>
          <t>none</t>
        </is>
      </c>
      <c r="J287" t="n">
        <v>7428.343</v>
      </c>
      <c r="K287" t="n">
        <v>0.0019</v>
      </c>
      <c r="L287" s="6" t="inlineStr">
        <is>
          <t>Northern continental-shelf model lacks a documented oceanic billfish or deep-pelagic compartment; assigning coastal juvenile/adult pelagic SPPR would be unsupported.</t>
        </is>
      </c>
    </row>
    <row r="288">
      <c r="A288" t="inlineStr">
        <is>
          <t>Penaeus semisulcatus</t>
        </is>
      </c>
      <c r="B288" t="inlineStr">
        <is>
          <t>Green tiger prawn</t>
        </is>
      </c>
      <c r="C288" t="inlineStr">
        <is>
          <t>Shrimps</t>
        </is>
      </c>
      <c r="D288" t="inlineStr">
        <is>
          <t>Crustaceans</t>
        </is>
      </c>
      <c r="E288" s="8" t="inlineStr">
        <is>
          <t>Shrimps</t>
        </is>
      </c>
      <c r="F288" t="inlineStr"/>
      <c r="G288" t="inlineStr"/>
      <c r="H288" t="inlineStr">
        <is>
          <t>high</t>
        </is>
      </c>
      <c r="I288" t="inlineStr">
        <is>
          <t>taxonomic_containment</t>
        </is>
      </c>
      <c r="J288" t="n">
        <v>7114.411</v>
      </c>
      <c r="K288" t="n">
        <v>0.0018</v>
      </c>
      <c r="L288" s="6" t="inlineStr">
        <is>
          <t>Stomatopods belong to the residual benthic crustaceans; other shrimp taxa belong to Shrimps after the explicitly separated Acetes records (Appendix 6.1 pp.323-326).</t>
        </is>
      </c>
    </row>
    <row r="289">
      <c r="A289" t="inlineStr">
        <is>
          <t>Siganidae</t>
        </is>
      </c>
      <c r="B289" t="inlineStr">
        <is>
          <t>Rabbitfishes</t>
        </is>
      </c>
      <c r="C289" t="inlineStr">
        <is>
          <t>Medium reef assoc. fish (30 - 89 cm)</t>
        </is>
      </c>
      <c r="D289" t="inlineStr">
        <is>
          <t>Perch-likes</t>
        </is>
      </c>
      <c r="E289" s="7" t="inlineStr">
        <is>
          <t>Juvenile demersal fish (&gt; 30 cm) | Adult demersal fish (&gt; 30 cm)</t>
        </is>
      </c>
      <c r="F289" t="inlineStr">
        <is>
          <t>0.200 | 0.800</t>
        </is>
      </c>
      <c r="G289" t="inlineStr">
        <is>
          <t>model_catch</t>
        </is>
      </c>
      <c r="H289" t="inlineStr">
        <is>
          <t>medium</t>
        </is>
      </c>
      <c r="I289" t="inlineStr">
        <is>
          <t>composite_split</t>
        </is>
      </c>
      <c r="J289" t="n">
        <v>6713.755</v>
      </c>
      <c r="K289" t="n">
        <v>0.0017</v>
      </c>
      <c r="L289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290">
      <c r="A290" t="inlineStr">
        <is>
          <t>Gerres</t>
        </is>
      </c>
      <c r="B290" t="inlineStr">
        <is>
          <t>Silver biddies</t>
        </is>
      </c>
      <c r="C290" t="inlineStr">
        <is>
          <t>Small benthopelagics (&lt;30 cm)</t>
        </is>
      </c>
      <c r="D290" t="inlineStr">
        <is>
          <t>Perch-likes</t>
        </is>
      </c>
      <c r="E290" s="5" t="inlineStr">
        <is>
          <t>Benthopelagic fish</t>
        </is>
      </c>
      <c r="F290" t="inlineStr"/>
      <c r="G290" t="inlineStr"/>
      <c r="H290" t="inlineStr">
        <is>
          <t>low</t>
        </is>
      </c>
      <c r="I290" t="inlineStr">
        <is>
          <t>habitat_size_guild</t>
        </is>
      </c>
      <c r="J290" t="n">
        <v>6285.002</v>
      </c>
      <c r="K290" t="n">
        <v>0.0016</v>
      </c>
      <c r="L290" s="6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</row>
    <row r="291">
      <c r="A291" t="inlineStr">
        <is>
          <t>Gnathanodon speciosus</t>
        </is>
      </c>
      <c r="B291" t="inlineStr">
        <is>
          <t>Golden trevally</t>
        </is>
      </c>
      <c r="C291" t="inlineStr">
        <is>
          <t>Large reef assoc. fish (&gt;=90 cm)</t>
        </is>
      </c>
      <c r="D291" t="inlineStr">
        <is>
          <t>Perch-likes</t>
        </is>
      </c>
      <c r="E291" s="7" t="inlineStr">
        <is>
          <t>Juvenile large pelagic fish | Pelagic fish (&gt; 30 cm)</t>
        </is>
      </c>
      <c r="F291" t="inlineStr">
        <is>
          <t>0.202 | 0.798</t>
        </is>
      </c>
      <c r="G291" t="inlineStr">
        <is>
          <t>model_catch</t>
        </is>
      </c>
      <c r="H291" t="inlineStr">
        <is>
          <t>medium</t>
        </is>
      </c>
      <c r="I291" t="inlineStr">
        <is>
          <t>composite_split</t>
        </is>
      </c>
      <c r="J291" t="n">
        <v>5965.227</v>
      </c>
      <c r="K291" t="n">
        <v>0.0015</v>
      </c>
      <c r="L291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</row>
    <row r="292">
      <c r="A292" t="inlineStr">
        <is>
          <t>Epinephelus malabaricus</t>
        </is>
      </c>
      <c r="B292" t="inlineStr">
        <is>
          <t>Malabar grouper</t>
        </is>
      </c>
      <c r="C292" t="inlineStr">
        <is>
          <t>Large reef assoc. fish (&gt;=90 cm)</t>
        </is>
      </c>
      <c r="D292" t="inlineStr">
        <is>
          <t>Perch-likes</t>
        </is>
      </c>
      <c r="E292" s="8" t="inlineStr">
        <is>
          <t>Adult groupers</t>
        </is>
      </c>
      <c r="F292" t="inlineStr"/>
      <c r="G292" t="inlineStr"/>
      <c r="H292" t="inlineStr">
        <is>
          <t>high</t>
        </is>
      </c>
      <c r="I292" t="inlineStr">
        <is>
          <t>taxonomic_containment</t>
        </is>
      </c>
      <c r="J292" t="n">
        <v>5061.698</v>
      </c>
      <c r="K292" t="n">
        <v>0.0013</v>
      </c>
      <c r="L292" s="6" t="inlineStr">
        <is>
          <t>Appendix 6.1 pp.327-335 defines Adult groupers by this family or explicitly names Epinephelus malabaricus; dedicated source placement overrides the SAU class Large reef assoc. fish (&gt;=90 cm).</t>
        </is>
      </c>
    </row>
    <row r="293">
      <c r="A293" t="inlineStr">
        <is>
          <t>Hyporhamphus</t>
        </is>
      </c>
      <c r="B293" t="inlineStr">
        <is>
          <t>Sea garfishes</t>
        </is>
      </c>
      <c r="C293" t="inlineStr">
        <is>
          <t>Small reef assoc. fish (&lt;30 cm)</t>
        </is>
      </c>
      <c r="D293" t="inlineStr">
        <is>
          <t>Other fishes &amp; inverts</t>
        </is>
      </c>
      <c r="E293" s="7" t="inlineStr">
        <is>
          <t>Juvenile large pelagic fish | Pelagic fish (&gt; 30 cm)</t>
        </is>
      </c>
      <c r="F293" t="inlineStr">
        <is>
          <t>0.202 | 0.798</t>
        </is>
      </c>
      <c r="G293" t="inlineStr">
        <is>
          <t>model_catch</t>
        </is>
      </c>
      <c r="H293" t="inlineStr">
        <is>
          <t>medium</t>
        </is>
      </c>
      <c r="I293" t="inlineStr">
        <is>
          <t>composite_split</t>
        </is>
      </c>
      <c r="J293" t="n">
        <v>4858.584</v>
      </c>
      <c r="K293" t="n">
        <v>0.0013</v>
      </c>
      <c r="L293" s="6" t="inlineStr">
        <is>
          <t>Analyst habitat/size inference to source &gt;30 cm pelagic fish (Appendix 6.1.24 p.339); no age data, so split juvenile/adult using the period model catch.</t>
        </is>
      </c>
    </row>
    <row r="294">
      <c r="A294" t="inlineStr">
        <is>
          <t>Makaira mazara</t>
        </is>
      </c>
      <c r="B294" t="inlineStr">
        <is>
          <t>Indo-Pacific blue marlin</t>
        </is>
      </c>
      <c r="C294" t="inlineStr">
        <is>
          <t>Large pelagics (&gt;=90 cm)</t>
        </is>
      </c>
      <c r="D294" t="inlineStr">
        <is>
          <t>Tuna &amp; billfishes</t>
        </is>
      </c>
      <c r="E294" s="9" t="inlineStr">
        <is>
          <t>Unresolved</t>
        </is>
      </c>
      <c r="F294" t="inlineStr"/>
      <c r="G294" t="inlineStr"/>
      <c r="H294" t="inlineStr">
        <is>
          <t>unresolved</t>
        </is>
      </c>
      <c r="I294" t="inlineStr">
        <is>
          <t>none</t>
        </is>
      </c>
      <c r="J294" t="n">
        <v>4702.079</v>
      </c>
      <c r="K294" t="n">
        <v>0.0012</v>
      </c>
      <c r="L294" s="6" t="inlineStr">
        <is>
          <t>Northern continental-shelf model lacks a documented oceanic billfish or deep-pelagic compartment; assigning coastal juvenile/adult pelagic SPPR would be unsupported.</t>
        </is>
      </c>
    </row>
    <row r="295">
      <c r="A295" t="inlineStr">
        <is>
          <t>Hyporhamphus sajori</t>
        </is>
      </c>
      <c r="B295" t="inlineStr">
        <is>
          <t>Japanese halfbeak</t>
        </is>
      </c>
      <c r="C295" t="inlineStr">
        <is>
          <t>Medium pelagics (30 - 89 cm)</t>
        </is>
      </c>
      <c r="D295" t="inlineStr">
        <is>
          <t>Other fishes &amp; inverts</t>
        </is>
      </c>
      <c r="E295" s="7" t="inlineStr">
        <is>
          <t>Juvenile large pelagic fish | Pelagic fish (&gt; 30 cm)</t>
        </is>
      </c>
      <c r="F295" t="inlineStr">
        <is>
          <t>0.202 | 0.798</t>
        </is>
      </c>
      <c r="G295" t="inlineStr">
        <is>
          <t>model_catch</t>
        </is>
      </c>
      <c r="H295" t="inlineStr">
        <is>
          <t>medium</t>
        </is>
      </c>
      <c r="I295" t="inlineStr">
        <is>
          <t>composite_split</t>
        </is>
      </c>
      <c r="J295" t="n">
        <v>4656.816</v>
      </c>
      <c r="K295" t="n">
        <v>0.0012</v>
      </c>
      <c r="L295" s="6" t="inlineStr">
        <is>
          <t>Analyst habitat/size inference to source &gt;30 cm pelagic fish (Appendix 6.1.24 p.339); no age data, so split juvenile/adult using the period model catch.</t>
        </is>
      </c>
    </row>
    <row r="296">
      <c r="A296" t="inlineStr">
        <is>
          <t>Carcharhinus longimanus</t>
        </is>
      </c>
      <c r="B296" t="inlineStr">
        <is>
          <t>Oceanic whitetip shark</t>
        </is>
      </c>
      <c r="C296" t="inlineStr">
        <is>
          <t>Large sharks (&gt;=90 cm)</t>
        </is>
      </c>
      <c r="D296" t="inlineStr">
        <is>
          <t>Sharks &amp; rays</t>
        </is>
      </c>
      <c r="E296" s="7" t="inlineStr">
        <is>
          <t>Pelagic sharks and rays</t>
        </is>
      </c>
      <c r="F296" t="inlineStr"/>
      <c r="G296" t="inlineStr"/>
      <c r="H296" t="inlineStr">
        <is>
          <t>medium</t>
        </is>
      </c>
      <c r="I296" t="inlineStr">
        <is>
          <t>habitat_size_guild</t>
        </is>
      </c>
      <c r="J296" t="n">
        <v>4463.839</v>
      </c>
      <c r="K296" t="n">
        <v>0.0012</v>
      </c>
      <c r="L296" s="6" t="inlineStr">
        <is>
          <t>Pelagic shark lineage matches the pelagic elasmobranch definition, Appendix 6.1.25 p.340; species placement is analyst inference.</t>
        </is>
      </c>
    </row>
    <row r="297">
      <c r="A297" t="inlineStr">
        <is>
          <t>Ambassidae</t>
        </is>
      </c>
      <c r="B297" t="inlineStr">
        <is>
          <t>Asiatic glassfishes</t>
        </is>
      </c>
      <c r="C297" t="inlineStr">
        <is>
          <t>Small demersals (&lt;30 cm)</t>
        </is>
      </c>
      <c r="D297" t="inlineStr">
        <is>
          <t>Perch-likes</t>
        </is>
      </c>
      <c r="E297" s="7" t="inlineStr">
        <is>
          <t>Demesral fish (≤ 30 cm)</t>
        </is>
      </c>
      <c r="F297" t="inlineStr"/>
      <c r="G297" t="inlineStr"/>
      <c r="H297" t="inlineStr">
        <is>
          <t>medium</t>
        </is>
      </c>
      <c r="I297" t="inlineStr">
        <is>
          <t>habitat_size_guild</t>
        </is>
      </c>
      <c r="J297" t="n">
        <v>4224.4</v>
      </c>
      <c r="K297" t="n">
        <v>0.0011</v>
      </c>
      <c r="L297" s="6" t="inlineStr">
        <is>
          <t>Analyst habitat/size inference: small demersal or reef-associated fish after excluding dedicated taxonomic groups, matching Appendix 6.1.19 &lt;=30 cm residual demersal pool.</t>
        </is>
      </c>
    </row>
    <row r="298">
      <c r="A298" t="inlineStr">
        <is>
          <t>Gazza minuta</t>
        </is>
      </c>
      <c r="B298" t="inlineStr">
        <is>
          <t>Toothpony</t>
        </is>
      </c>
      <c r="C298" t="inlineStr">
        <is>
          <t>Small demersals (&lt;30 cm)</t>
        </is>
      </c>
      <c r="D298" t="inlineStr">
        <is>
          <t>Perch-likes</t>
        </is>
      </c>
      <c r="E298" s="7" t="inlineStr">
        <is>
          <t>Demesral fish (≤ 30 cm)</t>
        </is>
      </c>
      <c r="F298" t="inlineStr"/>
      <c r="G298" t="inlineStr"/>
      <c r="H298" t="inlineStr">
        <is>
          <t>medium</t>
        </is>
      </c>
      <c r="I298" t="inlineStr">
        <is>
          <t>habitat_size_guild</t>
        </is>
      </c>
      <c r="J298" t="n">
        <v>3981.449</v>
      </c>
      <c r="K298" t="n">
        <v>0.001</v>
      </c>
      <c r="L298" s="6" t="inlineStr">
        <is>
          <t>Analyst habitat/size inference: small demersal or reef-associated fish after excluding dedicated taxonomic groups, matching Appendix 6.1.19 &lt;=30 cm residual demersal pool.</t>
        </is>
      </c>
    </row>
    <row r="299">
      <c r="A299" t="inlineStr">
        <is>
          <t>Aluterus</t>
        </is>
      </c>
      <c r="B299" t="inlineStr">
        <is>
          <t>Aluterid filefishes</t>
        </is>
      </c>
      <c r="C299" t="inlineStr">
        <is>
          <t>Large reef assoc. fish (&gt;=90 cm)</t>
        </is>
      </c>
      <c r="D299" t="inlineStr">
        <is>
          <t>Other fishes &amp; inverts</t>
        </is>
      </c>
      <c r="E299" s="7" t="inlineStr">
        <is>
          <t>Juvenile demersal fish (&gt; 30 cm) | Adult demersal fish (&gt; 30 cm)</t>
        </is>
      </c>
      <c r="F299" t="inlineStr">
        <is>
          <t>0.200 | 0.800</t>
        </is>
      </c>
      <c r="G299" t="inlineStr">
        <is>
          <t>model_catch</t>
        </is>
      </c>
      <c r="H299" t="inlineStr">
        <is>
          <t>medium</t>
        </is>
      </c>
      <c r="I299" t="inlineStr">
        <is>
          <t>composite_split</t>
        </is>
      </c>
      <c r="J299" t="n">
        <v>3973.355</v>
      </c>
      <c r="K299" t="n">
        <v>0.001</v>
      </c>
      <c r="L299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300">
      <c r="A300" t="inlineStr">
        <is>
          <t>Hemitriakis japanica</t>
        </is>
      </c>
      <c r="B300" t="inlineStr">
        <is>
          <t>Japanese topeshark</t>
        </is>
      </c>
      <c r="C300" t="inlineStr">
        <is>
          <t>Large sharks (&gt;=90 cm)</t>
        </is>
      </c>
      <c r="D300" t="inlineStr">
        <is>
          <t>Sharks &amp; rays</t>
        </is>
      </c>
      <c r="E300" s="7" t="inlineStr">
        <is>
          <t>Demersal sharks and rays</t>
        </is>
      </c>
      <c r="F300" t="inlineStr"/>
      <c r="G300" t="inlineStr"/>
      <c r="H300" t="inlineStr">
        <is>
          <t>medium</t>
        </is>
      </c>
      <c r="I300" t="inlineStr">
        <is>
          <t>habitat_size_guild</t>
        </is>
      </c>
      <c r="J300" t="n">
        <v>3667.995</v>
      </c>
      <c r="K300" t="n">
        <v>0.0009</v>
      </c>
      <c r="L300" s="6" t="inlineStr">
        <is>
          <t>Demersal/benthic ray or houndshark lineage matches the demersal elasmobranch definition, Appendix 6.1.25 p.340; species placement is analyst inference.</t>
        </is>
      </c>
    </row>
    <row r="301">
      <c r="A301" t="inlineStr">
        <is>
          <t>Echinodermata</t>
        </is>
      </c>
      <c r="B301" t="inlineStr">
        <is>
          <t>Sea urchins, stars, cucumbers</t>
        </is>
      </c>
      <c r="C301" t="inlineStr">
        <is>
          <t>Other demersal invertebrates</t>
        </is>
      </c>
      <c r="D301" t="inlineStr">
        <is>
          <t>Other fishes &amp; inverts</t>
        </is>
      </c>
      <c r="E301" s="8" t="inlineStr">
        <is>
          <t>Echinoderms</t>
        </is>
      </c>
      <c r="F301" t="inlineStr"/>
      <c r="G301" t="inlineStr"/>
      <c r="H301" t="inlineStr">
        <is>
          <t>high</t>
        </is>
      </c>
      <c r="I301" t="inlineStr">
        <is>
          <t>taxonomic_containment</t>
        </is>
      </c>
      <c r="J301" t="n">
        <v>3665.334</v>
      </c>
      <c r="K301" t="n">
        <v>0.0009</v>
      </c>
      <c r="L301" s="6" t="inlineStr">
        <is>
          <t>Taxonomic containment in the source benthos subdivision (Appendix 6.1.5 pp.324-325), keeping non-cephalopod molluscs separate from echinoderms and sessile invertebrates.</t>
        </is>
      </c>
    </row>
    <row r="302">
      <c r="A302" t="inlineStr">
        <is>
          <t>Dasyatidae</t>
        </is>
      </c>
      <c r="B302" t="inlineStr">
        <is>
          <t>Whiptail stingrays</t>
        </is>
      </c>
      <c r="C302" t="inlineStr">
        <is>
          <t>Large rays (&gt;=90 cm)</t>
        </is>
      </c>
      <c r="D302" t="inlineStr">
        <is>
          <t>Sharks &amp; rays</t>
        </is>
      </c>
      <c r="E302" s="7" t="inlineStr">
        <is>
          <t>Demersal sharks and rays</t>
        </is>
      </c>
      <c r="F302" t="inlineStr"/>
      <c r="G302" t="inlineStr"/>
      <c r="H302" t="inlineStr">
        <is>
          <t>medium</t>
        </is>
      </c>
      <c r="I302" t="inlineStr">
        <is>
          <t>habitat_size_guild</t>
        </is>
      </c>
      <c r="J302" t="n">
        <v>3656.496</v>
      </c>
      <c r="K302" t="n">
        <v>0.0009</v>
      </c>
      <c r="L302" s="6" t="inlineStr">
        <is>
          <t>Demersal/benthic ray or houndshark lineage matches the demersal elasmobranch definition, Appendix 6.1.25 p.340; species placement is analyst inference.</t>
        </is>
      </c>
    </row>
    <row r="303">
      <c r="A303" t="inlineStr">
        <is>
          <t>Chanos chanos</t>
        </is>
      </c>
      <c r="B303" t="inlineStr">
        <is>
          <t>Milkfish</t>
        </is>
      </c>
      <c r="C303" t="inlineStr">
        <is>
          <t>Large benthopelagics (&gt;=90 cm)</t>
        </is>
      </c>
      <c r="D303" t="inlineStr">
        <is>
          <t>Other fishes &amp; inverts</t>
        </is>
      </c>
      <c r="E303" s="5" t="inlineStr">
        <is>
          <t>Benthopelagic fish</t>
        </is>
      </c>
      <c r="F303" t="inlineStr"/>
      <c r="G303" t="inlineStr"/>
      <c r="H303" t="inlineStr">
        <is>
          <t>low</t>
        </is>
      </c>
      <c r="I303" t="inlineStr">
        <is>
          <t>habitat_size_guild</t>
        </is>
      </c>
      <c r="J303" t="n">
        <v>3455.243</v>
      </c>
      <c r="K303" t="n">
        <v>0.0009</v>
      </c>
      <c r="L303" s="6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</row>
    <row r="304">
      <c r="A304" t="inlineStr">
        <is>
          <t>Sphyraena obtusata</t>
        </is>
      </c>
      <c r="B304" t="inlineStr">
        <is>
          <t>Obtuse barracuda</t>
        </is>
      </c>
      <c r="C304" t="inlineStr">
        <is>
          <t>Medium reef assoc. fish (30 - 89 cm)</t>
        </is>
      </c>
      <c r="D304" t="inlineStr">
        <is>
          <t>Perch-likes</t>
        </is>
      </c>
      <c r="E304" s="7" t="inlineStr">
        <is>
          <t>Juvenile large pelagic fish | Pelagic fish (&gt; 30 cm)</t>
        </is>
      </c>
      <c r="F304" t="inlineStr">
        <is>
          <t>0.202 | 0.798</t>
        </is>
      </c>
      <c r="G304" t="inlineStr">
        <is>
          <t>model_catch</t>
        </is>
      </c>
      <c r="H304" t="inlineStr">
        <is>
          <t>medium</t>
        </is>
      </c>
      <c r="I304" t="inlineStr">
        <is>
          <t>composite_split</t>
        </is>
      </c>
      <c r="J304" t="n">
        <v>3432.521</v>
      </c>
      <c r="K304" t="n">
        <v>0.0009</v>
      </c>
      <c r="L304" s="6" t="inlineStr">
        <is>
          <t>Analyst habitat/size inference to source &gt;30 cm pelagic fish (Appendix 6.1.24 p.339); no age data, so split juvenile/adult using the period model catch.</t>
        </is>
      </c>
    </row>
    <row r="305">
      <c r="A305" t="inlineStr">
        <is>
          <t>Parupeneus barberinus</t>
        </is>
      </c>
      <c r="B305" t="inlineStr">
        <is>
          <t>Dash-and-dot goatfish</t>
        </is>
      </c>
      <c r="C305" t="inlineStr">
        <is>
          <t>Medium reef assoc. fish (30 - 89 cm)</t>
        </is>
      </c>
      <c r="D305" t="inlineStr">
        <is>
          <t>Perch-likes</t>
        </is>
      </c>
      <c r="E305" s="7" t="inlineStr">
        <is>
          <t>Juvenile demersal fish (&gt; 30 cm) | Adult demersal fish (&gt; 30 cm)</t>
        </is>
      </c>
      <c r="F305" t="inlineStr">
        <is>
          <t>0.200 | 0.800</t>
        </is>
      </c>
      <c r="G305" t="inlineStr">
        <is>
          <t>model_catch</t>
        </is>
      </c>
      <c r="H305" t="inlineStr">
        <is>
          <t>medium</t>
        </is>
      </c>
      <c r="I305" t="inlineStr">
        <is>
          <t>composite_split</t>
        </is>
      </c>
      <c r="J305" t="n">
        <v>3360.208</v>
      </c>
      <c r="K305" t="n">
        <v>0.0009</v>
      </c>
      <c r="L305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306">
      <c r="A306" t="inlineStr">
        <is>
          <t>Psettodidae</t>
        </is>
      </c>
      <c r="B306" t="inlineStr">
        <is>
          <t>Turbots, Indian halibuts</t>
        </is>
      </c>
      <c r="C306" t="inlineStr">
        <is>
          <t>Small to medium flatfishes (&lt;90 cm)</t>
        </is>
      </c>
      <c r="D306" t="inlineStr">
        <is>
          <t>Flatfishes</t>
        </is>
      </c>
      <c r="E306" s="5" t="inlineStr">
        <is>
          <t>Demesral fish (≤ 30 cm) | Juvenile demersal fish (&gt; 30 cm) | Adult demersal fish (&gt; 30 cm)</t>
        </is>
      </c>
      <c r="F306" t="inlineStr">
        <is>
          <t>0.386 | 0.123 | 0.491</t>
        </is>
      </c>
      <c r="G306" t="inlineStr">
        <is>
          <t>model_catch</t>
        </is>
      </c>
      <c r="H306" t="inlineStr">
        <is>
          <t>low</t>
        </is>
      </c>
      <c r="I306" t="inlineStr">
        <is>
          <t>composite_split</t>
        </is>
      </c>
      <c r="J306" t="n">
        <v>3237.753</v>
      </c>
      <c r="K306" t="n">
        <v>0.0008</v>
      </c>
      <c r="L306" s="6" t="inlineStr">
        <is>
          <t>Flatfishes are demersal, but SAU &lt;90 cm band does not distinguish the source &lt;=30 cm species pool from &gt;30 cm juvenile/adult fish; all three residual demersal pools remain candidates.</t>
        </is>
      </c>
    </row>
    <row r="307">
      <c r="A307" t="inlineStr">
        <is>
          <t>Panulirus</t>
        </is>
      </c>
      <c r="B307" t="inlineStr">
        <is>
          <t>Spiny lobsters</t>
        </is>
      </c>
      <c r="C307" t="inlineStr">
        <is>
          <t>Lobsters, crabs</t>
        </is>
      </c>
      <c r="D307" t="inlineStr">
        <is>
          <t>Crustaceans</t>
        </is>
      </c>
      <c r="E307" s="8" t="inlineStr">
        <is>
          <t>Benthic crustaceans</t>
        </is>
      </c>
      <c r="F307" t="inlineStr"/>
      <c r="G307" t="inlineStr"/>
      <c r="H307" t="inlineStr">
        <is>
          <t>high</t>
        </is>
      </c>
      <c r="I307" t="inlineStr">
        <is>
          <t>taxonomic_containment</t>
        </is>
      </c>
      <c r="J307" t="n">
        <v>3061.562</v>
      </c>
      <c r="K307" t="n">
        <v>0.0008</v>
      </c>
      <c r="L307" s="6" t="inlineStr">
        <is>
          <t>Source benthic crustaceans exclude shrimps and crabs (Appendix 6.1.5 p.324); lobsters remain in that residual, while true crabs use Crabs.</t>
        </is>
      </c>
    </row>
    <row r="308">
      <c r="A308" t="inlineStr">
        <is>
          <t>Rhincodon typus</t>
        </is>
      </c>
      <c r="B308" t="inlineStr">
        <is>
          <t>Whale shark</t>
        </is>
      </c>
      <c r="C308" t="inlineStr">
        <is>
          <t>Large sharks (&gt;=90 cm)</t>
        </is>
      </c>
      <c r="D308" t="inlineStr">
        <is>
          <t>Sharks &amp; rays</t>
        </is>
      </c>
      <c r="E308" s="7" t="inlineStr">
        <is>
          <t>Pelagic sharks and rays</t>
        </is>
      </c>
      <c r="F308" t="inlineStr"/>
      <c r="G308" t="inlineStr"/>
      <c r="H308" t="inlineStr">
        <is>
          <t>medium</t>
        </is>
      </c>
      <c r="I308" t="inlineStr">
        <is>
          <t>habitat_size_guild</t>
        </is>
      </c>
      <c r="J308" t="n">
        <v>2948.897</v>
      </c>
      <c r="K308" t="n">
        <v>0.0008</v>
      </c>
      <c r="L308" s="6" t="inlineStr">
        <is>
          <t>Pelagic shark lineage matches the pelagic elasmobranch definition, Appendix 6.1.25 p.340; species placement is analyst inference.</t>
        </is>
      </c>
    </row>
    <row r="309">
      <c r="A309" t="inlineStr">
        <is>
          <t>Cheilopogon unicolor</t>
        </is>
      </c>
      <c r="B309" t="inlineStr">
        <is>
          <t>Limpidwing flyingfish</t>
        </is>
      </c>
      <c r="C309" t="inlineStr">
        <is>
          <t>Medium pelagics (30 - 89 cm)</t>
        </is>
      </c>
      <c r="D309" t="inlineStr">
        <is>
          <t>Other fishes &amp; inverts</t>
        </is>
      </c>
      <c r="E309" s="7" t="inlineStr">
        <is>
          <t>Juvenile large pelagic fish | Pelagic fish (&gt; 30 cm)</t>
        </is>
      </c>
      <c r="F309" t="inlineStr">
        <is>
          <t>0.202 | 0.798</t>
        </is>
      </c>
      <c r="G309" t="inlineStr">
        <is>
          <t>model_catch</t>
        </is>
      </c>
      <c r="H309" t="inlineStr">
        <is>
          <t>medium</t>
        </is>
      </c>
      <c r="I309" t="inlineStr">
        <is>
          <t>composite_split</t>
        </is>
      </c>
      <c r="J309" t="n">
        <v>2888.49</v>
      </c>
      <c r="K309" t="n">
        <v>0.0007</v>
      </c>
      <c r="L309" s="6" t="inlineStr">
        <is>
          <t>Analyst habitat/size inference to source &gt;30 cm pelagic fish (Appendix 6.1.24 p.339); no age data, so split juvenile/adult using the period model catch.</t>
        </is>
      </c>
    </row>
    <row r="310">
      <c r="A310" t="inlineStr">
        <is>
          <t>Mizuhopecten yessoensis</t>
        </is>
      </c>
      <c r="B310" t="inlineStr">
        <is>
          <t>Yesso scallop</t>
        </is>
      </c>
      <c r="C310" t="inlineStr">
        <is>
          <t>Other demersal invertebrates</t>
        </is>
      </c>
      <c r="D310" t="inlineStr">
        <is>
          <t>Molluscs</t>
        </is>
      </c>
      <c r="E310" s="8" t="inlineStr">
        <is>
          <t>Non-ceph molluscs</t>
        </is>
      </c>
      <c r="F310" t="inlineStr"/>
      <c r="G310" t="inlineStr"/>
      <c r="H310" t="inlineStr">
        <is>
          <t>high</t>
        </is>
      </c>
      <c r="I310" t="inlineStr">
        <is>
          <t>taxonomic_containment</t>
        </is>
      </c>
      <c r="J310" t="n">
        <v>2876.232</v>
      </c>
      <c r="K310" t="n">
        <v>0.0007</v>
      </c>
      <c r="L310" s="6" t="inlineStr">
        <is>
          <t>Taxonomic containment in the source benthos subdivision (Appendix 6.1.5 pp.324-325), keeping non-cephalopod molluscs separate from echinoderms and sessile invertebrates.</t>
        </is>
      </c>
    </row>
    <row r="311">
      <c r="A311" t="inlineStr">
        <is>
          <t>Evynnis tumifrons</t>
        </is>
      </c>
      <c r="B311" t="inlineStr">
        <is>
          <t>Yellowback seabream</t>
        </is>
      </c>
      <c r="C311" t="inlineStr">
        <is>
          <t>Medium demersals (30 - 89 cm)</t>
        </is>
      </c>
      <c r="D311" t="inlineStr">
        <is>
          <t>Perch-likes</t>
        </is>
      </c>
      <c r="E311" s="7" t="inlineStr">
        <is>
          <t>Juvenile demersal fish (&gt; 30 cm) | Adult demersal fish (&gt; 30 cm)</t>
        </is>
      </c>
      <c r="F311" t="inlineStr">
        <is>
          <t>0.200 | 0.800</t>
        </is>
      </c>
      <c r="G311" t="inlineStr">
        <is>
          <t>model_catch</t>
        </is>
      </c>
      <c r="H311" t="inlineStr">
        <is>
          <t>medium</t>
        </is>
      </c>
      <c r="I311" t="inlineStr">
        <is>
          <t>composite_split</t>
        </is>
      </c>
      <c r="J311" t="n">
        <v>2533.488</v>
      </c>
      <c r="K311" t="n">
        <v>0.0007</v>
      </c>
      <c r="L311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312">
      <c r="A312" t="inlineStr">
        <is>
          <t>Ephippidae</t>
        </is>
      </c>
      <c r="B312" t="inlineStr">
        <is>
          <t>Spade-, batfishes, scats</t>
        </is>
      </c>
      <c r="C312" t="inlineStr">
        <is>
          <t>Medium reef assoc. fish (30 - 89 cm)</t>
        </is>
      </c>
      <c r="D312" t="inlineStr">
        <is>
          <t>Perch-likes</t>
        </is>
      </c>
      <c r="E312" s="7" t="inlineStr">
        <is>
          <t>Juvenile demersal fish (&gt; 30 cm) | Adult demersal fish (&gt; 30 cm)</t>
        </is>
      </c>
      <c r="F312" t="inlineStr">
        <is>
          <t>0.200 | 0.800</t>
        </is>
      </c>
      <c r="G312" t="inlineStr">
        <is>
          <t>model_catch</t>
        </is>
      </c>
      <c r="H312" t="inlineStr">
        <is>
          <t>medium</t>
        </is>
      </c>
      <c r="I312" t="inlineStr">
        <is>
          <t>composite_split</t>
        </is>
      </c>
      <c r="J312" t="n">
        <v>2517.788</v>
      </c>
      <c r="K312" t="n">
        <v>0.0005999999999999999</v>
      </c>
      <c r="L312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313">
      <c r="A313" t="inlineStr">
        <is>
          <t>Mola mola</t>
        </is>
      </c>
      <c r="B313" t="inlineStr">
        <is>
          <t>Ocean sunfish</t>
        </is>
      </c>
      <c r="C313" t="inlineStr">
        <is>
          <t>Large pelagics (&gt;=90 cm)</t>
        </is>
      </c>
      <c r="D313" t="inlineStr">
        <is>
          <t>Other fishes &amp; inverts</t>
        </is>
      </c>
      <c r="E313" s="7" t="inlineStr">
        <is>
          <t>Juvenile large pelagic fish | Pelagic fish (&gt; 30 cm)</t>
        </is>
      </c>
      <c r="F313" t="inlineStr">
        <is>
          <t>0.202 | 0.798</t>
        </is>
      </c>
      <c r="G313" t="inlineStr">
        <is>
          <t>model_catch</t>
        </is>
      </c>
      <c r="H313" t="inlineStr">
        <is>
          <t>medium</t>
        </is>
      </c>
      <c r="I313" t="inlineStr">
        <is>
          <t>composite_split</t>
        </is>
      </c>
      <c r="J313" t="n">
        <v>2469.949</v>
      </c>
      <c r="K313" t="n">
        <v>0.0005999999999999999</v>
      </c>
      <c r="L313" s="6" t="inlineStr">
        <is>
          <t>Analyst habitat/size inference to source &gt;30 cm pelagic fish (Appendix 6.1.24 p.339); no age data, so split juvenile/adult using the period model catch.</t>
        </is>
      </c>
    </row>
    <row r="314">
      <c r="A314" t="inlineStr">
        <is>
          <t>Latidae</t>
        </is>
      </c>
      <c r="B314" t="inlineStr">
        <is>
          <t>Lates perches</t>
        </is>
      </c>
      <c r="C314" t="inlineStr">
        <is>
          <t>Large demersals (&gt;=90 cm)</t>
        </is>
      </c>
      <c r="D314" t="inlineStr">
        <is>
          <t>Perch-likes</t>
        </is>
      </c>
      <c r="E314" s="7" t="inlineStr">
        <is>
          <t>Juvenile demersal fish (&gt; 30 cm) | Adult demersal fish (&gt; 30 cm)</t>
        </is>
      </c>
      <c r="F314" t="inlineStr">
        <is>
          <t>0.200 | 0.800</t>
        </is>
      </c>
      <c r="G314" t="inlineStr">
        <is>
          <t>model_catch</t>
        </is>
      </c>
      <c r="H314" t="inlineStr">
        <is>
          <t>medium</t>
        </is>
      </c>
      <c r="I314" t="inlineStr">
        <is>
          <t>composite_split</t>
        </is>
      </c>
      <c r="J314" t="n">
        <v>2466.176</v>
      </c>
      <c r="K314" t="n">
        <v>0.0005999999999999999</v>
      </c>
      <c r="L314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315">
      <c r="A315" t="inlineStr">
        <is>
          <t>Ranina ranina</t>
        </is>
      </c>
      <c r="B315" t="inlineStr">
        <is>
          <t xml:space="preserve">Kona crab </t>
        </is>
      </c>
      <c r="C315" t="inlineStr">
        <is>
          <t>Lobsters, crabs</t>
        </is>
      </c>
      <c r="D315" t="inlineStr">
        <is>
          <t>Crustaceans</t>
        </is>
      </c>
      <c r="E315" s="8" t="inlineStr">
        <is>
          <t>Crabs</t>
        </is>
      </c>
      <c r="F315" t="inlineStr"/>
      <c r="G315" t="inlineStr"/>
      <c r="H315" t="inlineStr">
        <is>
          <t>high</t>
        </is>
      </c>
      <c r="I315" t="inlineStr">
        <is>
          <t>taxonomic_containment</t>
        </is>
      </c>
      <c r="J315" t="n">
        <v>2346.908</v>
      </c>
      <c r="K315" t="n">
        <v>0.0005999999999999999</v>
      </c>
      <c r="L315" s="6" t="inlineStr">
        <is>
          <t>Source benthic crustaceans exclude shrimps and crabs (Appendix 6.1.5 p.324); lobsters remain in that residual, while true crabs use Crabs.</t>
        </is>
      </c>
    </row>
    <row r="316">
      <c r="A316" t="inlineStr">
        <is>
          <t>Ozius guttatus</t>
        </is>
      </c>
      <c r="B316" t="inlineStr">
        <is>
          <t>Spottedbelly rock crab</t>
        </is>
      </c>
      <c r="C316" t="inlineStr">
        <is>
          <t>Lobsters, crabs</t>
        </is>
      </c>
      <c r="D316" t="inlineStr">
        <is>
          <t>Crustaceans</t>
        </is>
      </c>
      <c r="E316" s="8" t="inlineStr">
        <is>
          <t>Crabs</t>
        </is>
      </c>
      <c r="F316" t="inlineStr"/>
      <c r="G316" t="inlineStr"/>
      <c r="H316" t="inlineStr">
        <is>
          <t>high</t>
        </is>
      </c>
      <c r="I316" t="inlineStr">
        <is>
          <t>taxonomic_containment</t>
        </is>
      </c>
      <c r="J316" t="n">
        <v>2123.853</v>
      </c>
      <c r="K316" t="n">
        <v>0.0005</v>
      </c>
      <c r="L316" s="6" t="inlineStr">
        <is>
          <t>Source benthic crustaceans exclude shrimps and crabs (Appendix 6.1.5 p.324); lobsters remain in that residual, while true crabs use Crabs.</t>
        </is>
      </c>
    </row>
    <row r="317">
      <c r="A317" t="inlineStr">
        <is>
          <t>Sphyraena barracuda</t>
        </is>
      </c>
      <c r="B317" t="inlineStr">
        <is>
          <t>Great barracuda</t>
        </is>
      </c>
      <c r="C317" t="inlineStr">
        <is>
          <t>Large pelagics (&gt;=90 cm)</t>
        </is>
      </c>
      <c r="D317" t="inlineStr">
        <is>
          <t>Perch-likes</t>
        </is>
      </c>
      <c r="E317" s="7" t="inlineStr">
        <is>
          <t>Juvenile large pelagic fish | Pelagic fish (&gt; 30 cm)</t>
        </is>
      </c>
      <c r="F317" t="inlineStr">
        <is>
          <t>0.202 | 0.798</t>
        </is>
      </c>
      <c r="G317" t="inlineStr">
        <is>
          <t>model_catch</t>
        </is>
      </c>
      <c r="H317" t="inlineStr">
        <is>
          <t>medium</t>
        </is>
      </c>
      <c r="I317" t="inlineStr">
        <is>
          <t>composite_split</t>
        </is>
      </c>
      <c r="J317" t="n">
        <v>2055.219</v>
      </c>
      <c r="K317" t="n">
        <v>0.0005</v>
      </c>
      <c r="L317" s="6" t="inlineStr">
        <is>
          <t>Analyst habitat/size inference to source &gt;30 cm pelagic fish (Appendix 6.1.24 p.339); no age data, so split juvenile/adult using the period model catch.</t>
        </is>
      </c>
    </row>
    <row r="318">
      <c r="A318" t="inlineStr">
        <is>
          <t>Melicertus canaliculatus</t>
        </is>
      </c>
      <c r="B318" t="inlineStr">
        <is>
          <t>Witch prawn</t>
        </is>
      </c>
      <c r="C318" t="inlineStr">
        <is>
          <t>Shrimps</t>
        </is>
      </c>
      <c r="D318" t="inlineStr">
        <is>
          <t>Crustaceans</t>
        </is>
      </c>
      <c r="E318" s="8" t="inlineStr">
        <is>
          <t>Shrimps</t>
        </is>
      </c>
      <c r="F318" t="inlineStr"/>
      <c r="G318" t="inlineStr"/>
      <c r="H318" t="inlineStr">
        <is>
          <t>high</t>
        </is>
      </c>
      <c r="I318" t="inlineStr">
        <is>
          <t>taxonomic_containment</t>
        </is>
      </c>
      <c r="J318" t="n">
        <v>1949.386</v>
      </c>
      <c r="K318" t="n">
        <v>0.0005</v>
      </c>
      <c r="L318" s="6" t="inlineStr">
        <is>
          <t>Stomatopods belong to the residual benthic crustaceans; other shrimp taxa belong to Shrimps after the explicitly separated Acetes records (Appendix 6.1 pp.323-326).</t>
        </is>
      </c>
    </row>
    <row r="319">
      <c r="A319" t="inlineStr">
        <is>
          <t>Seriola dumerili</t>
        </is>
      </c>
      <c r="B319" t="inlineStr">
        <is>
          <t>Greater amberjack</t>
        </is>
      </c>
      <c r="C319" t="inlineStr">
        <is>
          <t>Large reef assoc. fish (&gt;=90 cm)</t>
        </is>
      </c>
      <c r="D319" t="inlineStr">
        <is>
          <t>Perch-likes</t>
        </is>
      </c>
      <c r="E319" s="7" t="inlineStr">
        <is>
          <t>Juvenile large pelagic fish | Pelagic fish (&gt; 30 cm)</t>
        </is>
      </c>
      <c r="F319" t="inlineStr">
        <is>
          <t>0.202 | 0.798</t>
        </is>
      </c>
      <c r="G319" t="inlineStr">
        <is>
          <t>model_catch</t>
        </is>
      </c>
      <c r="H319" t="inlineStr">
        <is>
          <t>medium</t>
        </is>
      </c>
      <c r="I319" t="inlineStr">
        <is>
          <t>composite_split</t>
        </is>
      </c>
      <c r="J319" t="n">
        <v>1918.315</v>
      </c>
      <c r="K319" t="n">
        <v>0.0005</v>
      </c>
      <c r="L319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</row>
    <row r="320">
      <c r="A320" t="inlineStr">
        <is>
          <t>Labridae</t>
        </is>
      </c>
      <c r="B320" t="inlineStr">
        <is>
          <t>Wrasses, gropers, tuskfishes</t>
        </is>
      </c>
      <c r="C320" t="inlineStr">
        <is>
          <t>Medium reef assoc. fish (30 - 89 cm)</t>
        </is>
      </c>
      <c r="D320" t="inlineStr">
        <is>
          <t>Perch-likes</t>
        </is>
      </c>
      <c r="E320" s="7" t="inlineStr">
        <is>
          <t>Juvenile demersal fish (&gt; 30 cm) | Adult demersal fish (&gt; 30 cm)</t>
        </is>
      </c>
      <c r="F320" t="inlineStr">
        <is>
          <t>0.200 | 0.800</t>
        </is>
      </c>
      <c r="G320" t="inlineStr">
        <is>
          <t>model_catch</t>
        </is>
      </c>
      <c r="H320" t="inlineStr">
        <is>
          <t>medium</t>
        </is>
      </c>
      <c r="I320" t="inlineStr">
        <is>
          <t>composite_split</t>
        </is>
      </c>
      <c r="J320" t="n">
        <v>1659.59</v>
      </c>
      <c r="K320" t="n">
        <v>0.0004</v>
      </c>
      <c r="L320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321">
      <c r="A321" t="inlineStr">
        <is>
          <t>Octopus</t>
        </is>
      </c>
      <c r="B321" t="inlineStr">
        <is>
          <t>Octopuses, pikas</t>
        </is>
      </c>
      <c r="C321" t="inlineStr">
        <is>
          <t>Cephalopods</t>
        </is>
      </c>
      <c r="D321" t="inlineStr">
        <is>
          <t>Other fishes &amp; inverts</t>
        </is>
      </c>
      <c r="E321" s="8" t="inlineStr">
        <is>
          <t>Cephalopods</t>
        </is>
      </c>
      <c r="F321" t="inlineStr"/>
      <c r="G321" t="inlineStr"/>
      <c r="H321" t="inlineStr">
        <is>
          <t>high</t>
        </is>
      </c>
      <c r="I321" t="inlineStr">
        <is>
          <t>taxonomic_containment</t>
        </is>
      </c>
      <c r="J321" t="n">
        <v>1608.1</v>
      </c>
      <c r="K321" t="n">
        <v>0.0004</v>
      </c>
      <c r="L321" s="6" t="inlineStr">
        <is>
          <t>Cephalopoda is contained by the single source Cephalopods group, Appendix 6.1.8 pp.326-327.</t>
        </is>
      </c>
    </row>
    <row r="322">
      <c r="A322" t="inlineStr">
        <is>
          <t>Plotosidae</t>
        </is>
      </c>
      <c r="B322" t="inlineStr">
        <is>
          <t>Eeltail catfishes</t>
        </is>
      </c>
      <c r="C322" t="inlineStr">
        <is>
          <t>Medium reef assoc. fish (30 - 89 cm)</t>
        </is>
      </c>
      <c r="D322" t="inlineStr">
        <is>
          <t>Other fishes &amp; inverts</t>
        </is>
      </c>
      <c r="E322" s="7" t="inlineStr">
        <is>
          <t>Juvenile demersal fish (&gt; 30 cm) | Adult demersal fish (&gt; 30 cm)</t>
        </is>
      </c>
      <c r="F322" t="inlineStr">
        <is>
          <t>0.200 | 0.800</t>
        </is>
      </c>
      <c r="G322" t="inlineStr">
        <is>
          <t>model_catch</t>
        </is>
      </c>
      <c r="H322" t="inlineStr">
        <is>
          <t>medium</t>
        </is>
      </c>
      <c r="I322" t="inlineStr">
        <is>
          <t>composite_split</t>
        </is>
      </c>
      <c r="J322" t="n">
        <v>1501.512</v>
      </c>
      <c r="K322" t="n">
        <v>0.0004</v>
      </c>
      <c r="L322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323">
      <c r="A323" t="inlineStr">
        <is>
          <t>Alopias</t>
        </is>
      </c>
      <c r="B323" t="inlineStr">
        <is>
          <t>Thresher sharks</t>
        </is>
      </c>
      <c r="C323" t="inlineStr">
        <is>
          <t>Large sharks (&gt;=90 cm)</t>
        </is>
      </c>
      <c r="D323" t="inlineStr">
        <is>
          <t>Sharks &amp; rays</t>
        </is>
      </c>
      <c r="E323" s="7" t="inlineStr">
        <is>
          <t>Pelagic sharks and rays</t>
        </is>
      </c>
      <c r="F323" t="inlineStr"/>
      <c r="G323" t="inlineStr"/>
      <c r="H323" t="inlineStr">
        <is>
          <t>medium</t>
        </is>
      </c>
      <c r="I323" t="inlineStr">
        <is>
          <t>habitat_size_guild</t>
        </is>
      </c>
      <c r="J323" t="n">
        <v>1462.068</v>
      </c>
      <c r="K323" t="n">
        <v>0.0004</v>
      </c>
      <c r="L323" s="6" t="inlineStr">
        <is>
          <t>Pelagic shark lineage matches the pelagic elasmobranch definition, Appendix 6.1.25 p.340; species placement is analyst inference.</t>
        </is>
      </c>
    </row>
    <row r="324">
      <c r="A324" t="inlineStr">
        <is>
          <t>Elops machnata</t>
        </is>
      </c>
      <c r="B324" t="inlineStr">
        <is>
          <t>Tenpounder</t>
        </is>
      </c>
      <c r="C324" t="inlineStr">
        <is>
          <t>Large pelagics (&gt;=90 cm)</t>
        </is>
      </c>
      <c r="D324" t="inlineStr">
        <is>
          <t>Other fishes &amp; inverts</t>
        </is>
      </c>
      <c r="E324" s="7" t="inlineStr">
        <is>
          <t>Juvenile large pelagic fish | Pelagic fish (&gt; 30 cm)</t>
        </is>
      </c>
      <c r="F324" t="inlineStr">
        <is>
          <t>0.202 | 0.798</t>
        </is>
      </c>
      <c r="G324" t="inlineStr">
        <is>
          <t>model_catch</t>
        </is>
      </c>
      <c r="H324" t="inlineStr">
        <is>
          <t>medium</t>
        </is>
      </c>
      <c r="I324" t="inlineStr">
        <is>
          <t>composite_split</t>
        </is>
      </c>
      <c r="J324" t="n">
        <v>1459.13</v>
      </c>
      <c r="K324" t="n">
        <v>0.0004</v>
      </c>
      <c r="L324" s="6" t="inlineStr">
        <is>
          <t>Analyst habitat/size inference to source &gt;30 cm pelagic fish (Appendix 6.1.24 p.339); no age data, so split juvenile/adult using the period model catch.</t>
        </is>
      </c>
    </row>
    <row r="325">
      <c r="A325" t="inlineStr">
        <is>
          <t>Pellona ditchela</t>
        </is>
      </c>
      <c r="B325" t="inlineStr">
        <is>
          <t>Indian pellona</t>
        </is>
      </c>
      <c r="C325" t="inlineStr">
        <is>
          <t>Small pelagics (&lt;30 cm)</t>
        </is>
      </c>
      <c r="D325" t="inlineStr">
        <is>
          <t>Herring-likes</t>
        </is>
      </c>
      <c r="E325" s="7" t="inlineStr">
        <is>
          <t>Pelagic fish (≤ 30 cm)</t>
        </is>
      </c>
      <c r="F325" t="inlineStr"/>
      <c r="G325" t="inlineStr"/>
      <c r="H325" t="inlineStr">
        <is>
          <t>medium</t>
        </is>
      </c>
      <c r="I325" t="inlineStr">
        <is>
          <t>habitat_size_guild</t>
        </is>
      </c>
      <c r="J325" t="n">
        <v>1410</v>
      </c>
      <c r="K325" t="n">
        <v>0.0004</v>
      </c>
      <c r="L325" s="6" t="inlineStr">
        <is>
          <t>Source small-pelagic pool explicitly includes sardines, thryssa and anchovies (Appendix 6.1.23 p.338); extension to the catch lineage uses SAU size as a proxy and is not a full species list.</t>
        </is>
      </c>
    </row>
    <row r="326">
      <c r="A326" t="inlineStr">
        <is>
          <t>Chaetodontidae</t>
        </is>
      </c>
      <c r="B326" t="inlineStr">
        <is>
          <t>Butterflyfishes</t>
        </is>
      </c>
      <c r="C326" t="inlineStr">
        <is>
          <t>Small reef assoc. fish (&lt;30 cm)</t>
        </is>
      </c>
      <c r="D326" t="inlineStr">
        <is>
          <t>Perch-likes</t>
        </is>
      </c>
      <c r="E326" s="7" t="inlineStr">
        <is>
          <t>Demesral fish (≤ 30 cm)</t>
        </is>
      </c>
      <c r="F326" t="inlineStr"/>
      <c r="G326" t="inlineStr"/>
      <c r="H326" t="inlineStr">
        <is>
          <t>medium</t>
        </is>
      </c>
      <c r="I326" t="inlineStr">
        <is>
          <t>habitat_size_guild</t>
        </is>
      </c>
      <c r="J326" t="n">
        <v>1378.652</v>
      </c>
      <c r="K326" t="n">
        <v>0.0004</v>
      </c>
      <c r="L326" s="6" t="inlineStr">
        <is>
          <t>Analyst habitat/size inference: small demersal or reef-associated fish after excluding dedicated taxonomic groups, matching Appendix 6.1.19 &lt;=30 cm residual demersal pool.</t>
        </is>
      </c>
    </row>
    <row r="327">
      <c r="A327" t="inlineStr">
        <is>
          <t>Congridae</t>
        </is>
      </c>
      <c r="B327" t="inlineStr">
        <is>
          <t>Conger, garden eels</t>
        </is>
      </c>
      <c r="C327" t="inlineStr">
        <is>
          <t>Large demersals (&gt;=90 cm)</t>
        </is>
      </c>
      <c r="D327" t="inlineStr">
        <is>
          <t>Other fishes &amp; inverts</t>
        </is>
      </c>
      <c r="E327" s="7" t="inlineStr">
        <is>
          <t>Juvenile demersal fish (&gt; 30 cm) | Adult demersal fish (&gt; 30 cm)</t>
        </is>
      </c>
      <c r="F327" t="inlineStr">
        <is>
          <t>0.200 | 0.800</t>
        </is>
      </c>
      <c r="G327" t="inlineStr">
        <is>
          <t>model_catch</t>
        </is>
      </c>
      <c r="H327" t="inlineStr">
        <is>
          <t>medium</t>
        </is>
      </c>
      <c r="I327" t="inlineStr">
        <is>
          <t>composite_split</t>
        </is>
      </c>
      <c r="J327" t="n">
        <v>1376.036</v>
      </c>
      <c r="K327" t="n">
        <v>0.0004</v>
      </c>
      <c r="L327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328">
      <c r="A328" t="inlineStr">
        <is>
          <t>Lethrinus miniatus</t>
        </is>
      </c>
      <c r="B328" t="inlineStr">
        <is>
          <t>Trumpet emperor</t>
        </is>
      </c>
      <c r="C328" t="inlineStr">
        <is>
          <t>Medium reef assoc. fish (30 - 89 cm)</t>
        </is>
      </c>
      <c r="D328" t="inlineStr">
        <is>
          <t>Perch-likes</t>
        </is>
      </c>
      <c r="E328" s="7" t="inlineStr">
        <is>
          <t>Juvenile demersal fish (&gt; 30 cm) | Adult demersal fish (&gt; 30 cm)</t>
        </is>
      </c>
      <c r="F328" t="inlineStr">
        <is>
          <t>0.200 | 0.800</t>
        </is>
      </c>
      <c r="G328" t="inlineStr">
        <is>
          <t>model_catch</t>
        </is>
      </c>
      <c r="H328" t="inlineStr">
        <is>
          <t>medium</t>
        </is>
      </c>
      <c r="I328" t="inlineStr">
        <is>
          <t>composite_split</t>
        </is>
      </c>
      <c r="J328" t="n">
        <v>1362.411</v>
      </c>
      <c r="K328" t="n">
        <v>0.0004</v>
      </c>
      <c r="L328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329">
      <c r="A329" t="inlineStr">
        <is>
          <t>Scylla</t>
        </is>
      </c>
      <c r="B329" t="inlineStr">
        <is>
          <t>Mud crabs</t>
        </is>
      </c>
      <c r="C329" t="inlineStr">
        <is>
          <t>Lobsters, crabs</t>
        </is>
      </c>
      <c r="D329" t="inlineStr">
        <is>
          <t>Crustaceans</t>
        </is>
      </c>
      <c r="E329" s="8" t="inlineStr">
        <is>
          <t>Crabs</t>
        </is>
      </c>
      <c r="F329" t="inlineStr"/>
      <c r="G329" t="inlineStr"/>
      <c r="H329" t="inlineStr">
        <is>
          <t>high</t>
        </is>
      </c>
      <c r="I329" t="inlineStr">
        <is>
          <t>taxonomic_containment</t>
        </is>
      </c>
      <c r="J329" t="n">
        <v>1336.642</v>
      </c>
      <c r="K329" t="n">
        <v>0.0003</v>
      </c>
      <c r="L329" s="6" t="inlineStr">
        <is>
          <t>Source benthic crustaceans exclude shrimps and crabs (Appendix 6.1.5 p.324); lobsters remain in that residual, while true crabs use Crabs.</t>
        </is>
      </c>
    </row>
    <row r="330">
      <c r="A330" t="inlineStr">
        <is>
          <t>Hemitrygon akajei</t>
        </is>
      </c>
      <c r="B330" t="inlineStr">
        <is>
          <t>Whip stingray</t>
        </is>
      </c>
      <c r="C330" t="inlineStr">
        <is>
          <t>Large rays (&gt;=90 cm)</t>
        </is>
      </c>
      <c r="D330" t="inlineStr">
        <is>
          <t>Sharks &amp; rays</t>
        </is>
      </c>
      <c r="E330" s="7" t="inlineStr">
        <is>
          <t>Demersal sharks and rays</t>
        </is>
      </c>
      <c r="F330" t="inlineStr"/>
      <c r="G330" t="inlineStr"/>
      <c r="H330" t="inlineStr">
        <is>
          <t>medium</t>
        </is>
      </c>
      <c r="I330" t="inlineStr">
        <is>
          <t>habitat_size_guild</t>
        </is>
      </c>
      <c r="J330" t="n">
        <v>1189.845</v>
      </c>
      <c r="K330" t="n">
        <v>0.0003</v>
      </c>
      <c r="L330" s="6" t="inlineStr">
        <is>
          <t>Demersal/benthic ray or houndshark lineage matches the demersal elasmobranch definition, Appendix 6.1.25 p.340; species placement is analyst inference.</t>
        </is>
      </c>
    </row>
    <row r="331">
      <c r="A331" t="inlineStr">
        <is>
          <t>Lepidocybium flavobrunneum</t>
        </is>
      </c>
      <c r="B331" t="inlineStr">
        <is>
          <t>Escolar</t>
        </is>
      </c>
      <c r="C331" t="inlineStr">
        <is>
          <t>Large bathypelagics (&gt;=90 cm)</t>
        </is>
      </c>
      <c r="D331" t="inlineStr">
        <is>
          <t>Perch-likes</t>
        </is>
      </c>
      <c r="E331" s="9" t="inlineStr">
        <is>
          <t>Unresolved</t>
        </is>
      </c>
      <c r="F331" t="inlineStr"/>
      <c r="G331" t="inlineStr"/>
      <c r="H331" t="inlineStr">
        <is>
          <t>unresolved</t>
        </is>
      </c>
      <c r="I331" t="inlineStr">
        <is>
          <t>none</t>
        </is>
      </c>
      <c r="J331" t="n">
        <v>1186.217</v>
      </c>
      <c r="K331" t="n">
        <v>0.0003</v>
      </c>
      <c r="L331" s="6" t="inlineStr">
        <is>
          <t>Northern continental-shelf model lacks a documented oceanic billfish or deep-pelagic compartment; assigning coastal juvenile/adult pelagic SPPR would be unsupported.</t>
        </is>
      </c>
    </row>
    <row r="332">
      <c r="A332" t="inlineStr">
        <is>
          <t>Charybdis feriatus</t>
        </is>
      </c>
      <c r="B332" t="inlineStr">
        <is>
          <t>Crucifix crab</t>
        </is>
      </c>
      <c r="C332" t="inlineStr">
        <is>
          <t>Lobsters, crabs</t>
        </is>
      </c>
      <c r="D332" t="inlineStr">
        <is>
          <t>Crustaceans</t>
        </is>
      </c>
      <c r="E332" s="8" t="inlineStr">
        <is>
          <t>Crabs</t>
        </is>
      </c>
      <c r="F332" t="inlineStr"/>
      <c r="G332" t="inlineStr"/>
      <c r="H332" t="inlineStr">
        <is>
          <t>high</t>
        </is>
      </c>
      <c r="I332" t="inlineStr">
        <is>
          <t>taxonomic_containment</t>
        </is>
      </c>
      <c r="J332" t="n">
        <v>1155.289</v>
      </c>
      <c r="K332" t="n">
        <v>0.0003</v>
      </c>
      <c r="L332" s="6" t="inlineStr">
        <is>
          <t>Source benthic crustaceans exclude shrimps and crabs (Appendix 6.1.5 p.324); lobsters remain in that residual, while true crabs use Crabs.</t>
        </is>
      </c>
    </row>
    <row r="333">
      <c r="A333" t="inlineStr">
        <is>
          <t>Encrasicholina punctifer</t>
        </is>
      </c>
      <c r="B333" t="inlineStr">
        <is>
          <t>Buccaneer anchovy</t>
        </is>
      </c>
      <c r="C333" t="inlineStr">
        <is>
          <t>Small pelagics (&lt;30 cm)</t>
        </is>
      </c>
      <c r="D333" t="inlineStr">
        <is>
          <t>Anchovies</t>
        </is>
      </c>
      <c r="E333" s="7" t="inlineStr">
        <is>
          <t>Pelagic fish (≤ 30 cm)</t>
        </is>
      </c>
      <c r="F333" t="inlineStr"/>
      <c r="G333" t="inlineStr"/>
      <c r="H333" t="inlineStr">
        <is>
          <t>medium</t>
        </is>
      </c>
      <c r="I333" t="inlineStr">
        <is>
          <t>habitat_size_guild</t>
        </is>
      </c>
      <c r="J333" t="n">
        <v>1099.779</v>
      </c>
      <c r="K333" t="n">
        <v>0.0003</v>
      </c>
      <c r="L333" s="6" t="inlineStr">
        <is>
          <t>Source small-pelagic pool explicitly includes sardines, thryssa and anchovies (Appendix 6.1.23 p.338); extension to the catch lineage uses SAU size as a proxy and is not a full species list.</t>
        </is>
      </c>
    </row>
    <row r="334">
      <c r="A334" t="inlineStr">
        <is>
          <t>Spongia</t>
        </is>
      </c>
      <c r="B334" t="inlineStr">
        <is>
          <t>Bathing sponges</t>
        </is>
      </c>
      <c r="C334" t="inlineStr">
        <is>
          <t>Other demersal invertebrates</t>
        </is>
      </c>
      <c r="D334" t="inlineStr">
        <is>
          <t>Other fishes &amp; inverts</t>
        </is>
      </c>
      <c r="E334" s="8" t="inlineStr">
        <is>
          <t>Sessile/other invertebrates</t>
        </is>
      </c>
      <c r="F334" t="inlineStr"/>
      <c r="G334" t="inlineStr"/>
      <c r="H334" t="inlineStr">
        <is>
          <t>high</t>
        </is>
      </c>
      <c r="I334" t="inlineStr">
        <is>
          <t>taxonomic_containment</t>
        </is>
      </c>
      <c r="J334" t="n">
        <v>1092.827</v>
      </c>
      <c r="K334" t="n">
        <v>0.0003</v>
      </c>
      <c r="L334" s="6" t="inlineStr">
        <is>
          <t>Taxonomic containment in the source benthos subdivision (Appendix 6.1.5 pp.324-325), keeping non-cephalopod molluscs separate from echinoderms and sessile invertebrates.</t>
        </is>
      </c>
    </row>
    <row r="335">
      <c r="A335" t="inlineStr">
        <is>
          <t>Amusium pleuronectes</t>
        </is>
      </c>
      <c r="B335" t="inlineStr">
        <is>
          <t>Asian moon scallop</t>
        </is>
      </c>
      <c r="C335" t="inlineStr">
        <is>
          <t>Other demersal invertebrates</t>
        </is>
      </c>
      <c r="D335" t="inlineStr">
        <is>
          <t>Molluscs</t>
        </is>
      </c>
      <c r="E335" s="8" t="inlineStr">
        <is>
          <t>Non-ceph molluscs</t>
        </is>
      </c>
      <c r="F335" t="inlineStr"/>
      <c r="G335" t="inlineStr"/>
      <c r="H335" t="inlineStr">
        <is>
          <t>high</t>
        </is>
      </c>
      <c r="I335" t="inlineStr">
        <is>
          <t>taxonomic_containment</t>
        </is>
      </c>
      <c r="J335" t="n">
        <v>994.826</v>
      </c>
      <c r="K335" t="n">
        <v>0.0003</v>
      </c>
      <c r="L335" s="6" t="inlineStr">
        <is>
          <t>Taxonomic containment in the source benthos subdivision (Appendix 6.1.5 pp.324-325), keeping non-cephalopod molluscs separate from echinoderms and sessile invertebrates.</t>
        </is>
      </c>
    </row>
    <row r="336">
      <c r="A336" t="inlineStr">
        <is>
          <t>Scatophagus argus</t>
        </is>
      </c>
      <c r="B336" t="inlineStr">
        <is>
          <t>Spotted scat</t>
        </is>
      </c>
      <c r="C336" t="inlineStr">
        <is>
          <t>Medium demersals (30 - 89 cm)</t>
        </is>
      </c>
      <c r="D336" t="inlineStr">
        <is>
          <t>Perch-likes</t>
        </is>
      </c>
      <c r="E336" s="7" t="inlineStr">
        <is>
          <t>Juvenile demersal fish (&gt; 30 cm) | Adult demersal fish (&gt; 30 cm)</t>
        </is>
      </c>
      <c r="F336" t="inlineStr">
        <is>
          <t>0.200 | 0.800</t>
        </is>
      </c>
      <c r="G336" t="inlineStr">
        <is>
          <t>model_catch</t>
        </is>
      </c>
      <c r="H336" t="inlineStr">
        <is>
          <t>medium</t>
        </is>
      </c>
      <c r="I336" t="inlineStr">
        <is>
          <t>composite_split</t>
        </is>
      </c>
      <c r="J336" t="n">
        <v>950.5069999999999</v>
      </c>
      <c r="K336" t="n">
        <v>0.0002</v>
      </c>
      <c r="L336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337">
      <c r="A337" t="inlineStr">
        <is>
          <t>Podophthalmus vigil</t>
        </is>
      </c>
      <c r="B337" t="inlineStr">
        <is>
          <t>Periscope crab</t>
        </is>
      </c>
      <c r="C337" t="inlineStr">
        <is>
          <t>Lobsters, crabs</t>
        </is>
      </c>
      <c r="D337" t="inlineStr">
        <is>
          <t>Crustaceans</t>
        </is>
      </c>
      <c r="E337" s="8" t="inlineStr">
        <is>
          <t>Crabs</t>
        </is>
      </c>
      <c r="F337" t="inlineStr"/>
      <c r="G337" t="inlineStr"/>
      <c r="H337" t="inlineStr">
        <is>
          <t>high</t>
        </is>
      </c>
      <c r="I337" t="inlineStr">
        <is>
          <t>taxonomic_containment</t>
        </is>
      </c>
      <c r="J337" t="n">
        <v>923.3339999999999</v>
      </c>
      <c r="K337" t="n">
        <v>0.0002</v>
      </c>
      <c r="L337" s="6" t="inlineStr">
        <is>
          <t>Source benthic crustaceans exclude shrimps and crabs (Appendix 6.1.5 p.324); lobsters remain in that residual, while true crabs use Crabs.</t>
        </is>
      </c>
    </row>
    <row r="338">
      <c r="A338" t="inlineStr">
        <is>
          <t>Drepane punctata</t>
        </is>
      </c>
      <c r="B338" t="inlineStr">
        <is>
          <t>Spotted sicklefish</t>
        </is>
      </c>
      <c r="C338" t="inlineStr">
        <is>
          <t>Medium reef assoc. fish (30 - 89 cm)</t>
        </is>
      </c>
      <c r="D338" t="inlineStr">
        <is>
          <t>Perch-likes</t>
        </is>
      </c>
      <c r="E338" s="7" t="inlineStr">
        <is>
          <t>Juvenile demersal fish (&gt; 30 cm) | Adult demersal fish (&gt; 30 cm)</t>
        </is>
      </c>
      <c r="F338" t="inlineStr">
        <is>
          <t>0.200 | 0.800</t>
        </is>
      </c>
      <c r="G338" t="inlineStr">
        <is>
          <t>model_catch</t>
        </is>
      </c>
      <c r="H338" t="inlineStr">
        <is>
          <t>medium</t>
        </is>
      </c>
      <c r="I338" t="inlineStr">
        <is>
          <t>composite_split</t>
        </is>
      </c>
      <c r="J338" t="n">
        <v>918.996</v>
      </c>
      <c r="K338" t="n">
        <v>0.0002</v>
      </c>
      <c r="L338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339">
      <c r="A339" t="inlineStr">
        <is>
          <t>Charybdis anisodon</t>
        </is>
      </c>
      <c r="B339" t="inlineStr">
        <is>
          <t>Twospined arm swimming crab</t>
        </is>
      </c>
      <c r="C339" t="inlineStr">
        <is>
          <t>Lobsters, crabs</t>
        </is>
      </c>
      <c r="D339" t="inlineStr">
        <is>
          <t>Crustaceans</t>
        </is>
      </c>
      <c r="E339" s="8" t="inlineStr">
        <is>
          <t>Crabs</t>
        </is>
      </c>
      <c r="F339" t="inlineStr"/>
      <c r="G339" t="inlineStr"/>
      <c r="H339" t="inlineStr">
        <is>
          <t>high</t>
        </is>
      </c>
      <c r="I339" t="inlineStr">
        <is>
          <t>taxonomic_containment</t>
        </is>
      </c>
      <c r="J339" t="n">
        <v>914.4930000000001</v>
      </c>
      <c r="K339" t="n">
        <v>0.0002</v>
      </c>
      <c r="L339" s="6" t="inlineStr">
        <is>
          <t>Source benthic crustaceans exclude shrimps and crabs (Appendix 6.1.5 p.324); lobsters remain in that residual, while true crabs use Crabs.</t>
        </is>
      </c>
    </row>
    <row r="340">
      <c r="A340" t="inlineStr">
        <is>
          <t>Beryx</t>
        </is>
      </c>
      <c r="B340" t="inlineStr">
        <is>
          <t>Alfonsinos</t>
        </is>
      </c>
      <c r="C340" t="inlineStr">
        <is>
          <t>Medium benthopelagics (30 - 89 cm)</t>
        </is>
      </c>
      <c r="D340" t="inlineStr">
        <is>
          <t>Other fishes &amp; inverts</t>
        </is>
      </c>
      <c r="E340" s="5" t="inlineStr">
        <is>
          <t>Benthopelagic fish</t>
        </is>
      </c>
      <c r="F340" t="inlineStr"/>
      <c r="G340" t="inlineStr"/>
      <c r="H340" t="inlineStr">
        <is>
          <t>low</t>
        </is>
      </c>
      <c r="I340" t="inlineStr">
        <is>
          <t>habitat_size_guild</t>
        </is>
      </c>
      <c r="J340" t="n">
        <v>809.3</v>
      </c>
      <c r="K340" t="n">
        <v>0.0002</v>
      </c>
      <c r="L340" s="6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</row>
    <row r="341">
      <c r="A341" t="inlineStr">
        <is>
          <t>Magallana gigas</t>
        </is>
      </c>
      <c r="B341" t="inlineStr">
        <is>
          <t>Pacific cupped oyster</t>
        </is>
      </c>
      <c r="C341" t="inlineStr">
        <is>
          <t>Other demersal invertebrates</t>
        </is>
      </c>
      <c r="D341" t="inlineStr">
        <is>
          <t>Molluscs</t>
        </is>
      </c>
      <c r="E341" s="8" t="inlineStr">
        <is>
          <t>Non-ceph molluscs</t>
        </is>
      </c>
      <c r="F341" t="inlineStr"/>
      <c r="G341" t="inlineStr"/>
      <c r="H341" t="inlineStr">
        <is>
          <t>high</t>
        </is>
      </c>
      <c r="I341" t="inlineStr">
        <is>
          <t>taxonomic_containment</t>
        </is>
      </c>
      <c r="J341" t="n">
        <v>797.27</v>
      </c>
      <c r="K341" t="n">
        <v>0.0002</v>
      </c>
      <c r="L341" s="6" t="inlineStr">
        <is>
          <t>Taxonomic containment in the source benthos subdivision (Appendix 6.1.5 pp.324-325), keeping non-cephalopod molluscs separate from echinoderms and sessile invertebrates.</t>
        </is>
      </c>
    </row>
    <row r="342">
      <c r="A342" t="inlineStr">
        <is>
          <t>Sillago sihama</t>
        </is>
      </c>
      <c r="B342" t="inlineStr">
        <is>
          <t>Silver sillago</t>
        </is>
      </c>
      <c r="C342" t="inlineStr">
        <is>
          <t>Medium demersals (30 - 89 cm)</t>
        </is>
      </c>
      <c r="D342" t="inlineStr">
        <is>
          <t>Perch-likes</t>
        </is>
      </c>
      <c r="E342" s="7" t="inlineStr">
        <is>
          <t>Juvenile demersal fish (&gt; 30 cm) | Adult demersal fish (&gt; 30 cm)</t>
        </is>
      </c>
      <c r="F342" t="inlineStr">
        <is>
          <t>0.200 | 0.800</t>
        </is>
      </c>
      <c r="G342" t="inlineStr">
        <is>
          <t>model_catch</t>
        </is>
      </c>
      <c r="H342" t="inlineStr">
        <is>
          <t>medium</t>
        </is>
      </c>
      <c r="I342" t="inlineStr">
        <is>
          <t>composite_split</t>
        </is>
      </c>
      <c r="J342" t="n">
        <v>685.749</v>
      </c>
      <c r="K342" t="n">
        <v>0.0002</v>
      </c>
      <c r="L342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343">
      <c r="A343" t="inlineStr">
        <is>
          <t>Pteriomorphia</t>
        </is>
      </c>
      <c r="B343" t="inlineStr">
        <is>
          <t>Clams, cockles, arkshells</t>
        </is>
      </c>
      <c r="C343" t="inlineStr">
        <is>
          <t>Other demersal invertebrates</t>
        </is>
      </c>
      <c r="D343" t="inlineStr">
        <is>
          <t>Molluscs</t>
        </is>
      </c>
      <c r="E343" s="8" t="inlineStr">
        <is>
          <t>Non-ceph molluscs</t>
        </is>
      </c>
      <c r="F343" t="inlineStr"/>
      <c r="G343" t="inlineStr"/>
      <c r="H343" t="inlineStr">
        <is>
          <t>high</t>
        </is>
      </c>
      <c r="I343" t="inlineStr">
        <is>
          <t>taxonomic_containment</t>
        </is>
      </c>
      <c r="J343" t="n">
        <v>674.704</v>
      </c>
      <c r="K343" t="n">
        <v>0.0002</v>
      </c>
      <c r="L343" s="6" t="inlineStr">
        <is>
          <t>Taxonomic containment in the source benthos subdivision (Appendix 6.1.5 pp.324-325), keeping non-cephalopod molluscs separate from echinoderms and sessile invertebrates.</t>
        </is>
      </c>
    </row>
    <row r="344">
      <c r="A344" t="inlineStr">
        <is>
          <t>Metapenaeus ensis</t>
        </is>
      </c>
      <c r="B344" t="inlineStr">
        <is>
          <t>Greasyback shrimp</t>
        </is>
      </c>
      <c r="C344" t="inlineStr">
        <is>
          <t>Shrimps</t>
        </is>
      </c>
      <c r="D344" t="inlineStr">
        <is>
          <t>Crustaceans</t>
        </is>
      </c>
      <c r="E344" s="8" t="inlineStr">
        <is>
          <t>Shrimps</t>
        </is>
      </c>
      <c r="F344" t="inlineStr"/>
      <c r="G344" t="inlineStr"/>
      <c r="H344" t="inlineStr">
        <is>
          <t>high</t>
        </is>
      </c>
      <c r="I344" t="inlineStr">
        <is>
          <t>taxonomic_containment</t>
        </is>
      </c>
      <c r="J344" t="n">
        <v>648.1900000000001</v>
      </c>
      <c r="K344" t="n">
        <v>0.0002</v>
      </c>
      <c r="L344" s="6" t="inlineStr">
        <is>
          <t>Stomatopods belong to the residual benthic crustaceans; other shrimp taxa belong to Shrimps after the explicitly separated Acetes records (Appendix 6.1 pp.323-326).</t>
        </is>
      </c>
    </row>
    <row r="345">
      <c r="A345" t="inlineStr">
        <is>
          <t>Macolor</t>
        </is>
      </c>
      <c r="B345" t="inlineStr">
        <is>
          <t>Snappers</t>
        </is>
      </c>
      <c r="C345" t="inlineStr">
        <is>
          <t>Medium reef assoc. fish (30 - 89 cm)</t>
        </is>
      </c>
      <c r="D345" t="inlineStr">
        <is>
          <t>Perch-likes</t>
        </is>
      </c>
      <c r="E345" s="8" t="inlineStr">
        <is>
          <t>Snappers</t>
        </is>
      </c>
      <c r="F345" t="inlineStr"/>
      <c r="G345" t="inlineStr"/>
      <c r="H345" t="inlineStr">
        <is>
          <t>high</t>
        </is>
      </c>
      <c r="I345" t="inlineStr">
        <is>
          <t>taxonomic_containment</t>
        </is>
      </c>
      <c r="J345" t="n">
        <v>625.67</v>
      </c>
      <c r="K345" t="n">
        <v>0.0002</v>
      </c>
      <c r="L345" s="6" t="inlineStr">
        <is>
          <t>Appendix 6.1 pp.327-335 defines Snappers by this family or explicitly names Macolor; dedicated source placement overrides the SAU class Medium reef assoc. fish (30 - 89 cm).</t>
        </is>
      </c>
    </row>
    <row r="346">
      <c r="A346" t="inlineStr">
        <is>
          <t>Haliotis</t>
        </is>
      </c>
      <c r="B346" t="inlineStr">
        <is>
          <t>Abalones</t>
        </is>
      </c>
      <c r="C346" t="inlineStr">
        <is>
          <t>Other demersal invertebrates</t>
        </is>
      </c>
      <c r="D346" t="inlineStr">
        <is>
          <t>Molluscs</t>
        </is>
      </c>
      <c r="E346" s="8" t="inlineStr">
        <is>
          <t>Non-ceph molluscs</t>
        </is>
      </c>
      <c r="F346" t="inlineStr"/>
      <c r="G346" t="inlineStr"/>
      <c r="H346" t="inlineStr">
        <is>
          <t>high</t>
        </is>
      </c>
      <c r="I346" t="inlineStr">
        <is>
          <t>taxonomic_containment</t>
        </is>
      </c>
      <c r="J346" t="n">
        <v>566.4690000000001</v>
      </c>
      <c r="K346" t="n">
        <v>0.0001</v>
      </c>
      <c r="L346" s="6" t="inlineStr">
        <is>
          <t>Taxonomic containment in the source benthos subdivision (Appendix 6.1.5 pp.324-325), keeping non-cephalopod molluscs separate from echinoderms and sessile invertebrates.</t>
        </is>
      </c>
    </row>
    <row r="347">
      <c r="A347" t="inlineStr">
        <is>
          <t>Berycidae</t>
        </is>
      </c>
      <c r="B347" t="inlineStr">
        <is>
          <t>Alfonsinos, redfishes</t>
        </is>
      </c>
      <c r="C347" t="inlineStr">
        <is>
          <t>Medium benthopelagics (30 - 89 cm)</t>
        </is>
      </c>
      <c r="D347" t="inlineStr">
        <is>
          <t>Other fishes &amp; inverts</t>
        </is>
      </c>
      <c r="E347" s="5" t="inlineStr">
        <is>
          <t>Benthopelagic fish</t>
        </is>
      </c>
      <c r="F347" t="inlineStr"/>
      <c r="G347" t="inlineStr"/>
      <c r="H347" t="inlineStr">
        <is>
          <t>low</t>
        </is>
      </c>
      <c r="I347" t="inlineStr">
        <is>
          <t>habitat_size_guild</t>
        </is>
      </c>
      <c r="J347" t="n">
        <v>507.146</v>
      </c>
      <c r="K347" t="n">
        <v>0.0001</v>
      </c>
      <c r="L347" s="6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</row>
    <row r="348">
      <c r="A348" t="inlineStr">
        <is>
          <t>Makaira</t>
        </is>
      </c>
      <c r="B348" t="inlineStr">
        <is>
          <t>Blue marlins</t>
        </is>
      </c>
      <c r="C348" t="inlineStr">
        <is>
          <t>Large pelagics (&gt;=90 cm)</t>
        </is>
      </c>
      <c r="D348" t="inlineStr">
        <is>
          <t>Tuna &amp; billfishes</t>
        </is>
      </c>
      <c r="E348" s="9" t="inlineStr">
        <is>
          <t>Unresolved</t>
        </is>
      </c>
      <c r="F348" t="inlineStr"/>
      <c r="G348" t="inlineStr"/>
      <c r="H348" t="inlineStr">
        <is>
          <t>unresolved</t>
        </is>
      </c>
      <c r="I348" t="inlineStr">
        <is>
          <t>none</t>
        </is>
      </c>
      <c r="J348" t="n">
        <v>455.099</v>
      </c>
      <c r="K348" t="n">
        <v>0.0001</v>
      </c>
      <c r="L348" s="6" t="inlineStr">
        <is>
          <t>Northern continental-shelf model lacks a documented oceanic billfish or deep-pelagic compartment; assigning coastal juvenile/adult pelagic SPPR would be unsupported.</t>
        </is>
      </c>
    </row>
    <row r="349">
      <c r="A349" t="inlineStr">
        <is>
          <t>Lutjanus bohar</t>
        </is>
      </c>
      <c r="B349" t="inlineStr">
        <is>
          <t>Two-spot red snapper</t>
        </is>
      </c>
      <c r="C349" t="inlineStr">
        <is>
          <t>Medium reef assoc. fish (30 - 89 cm)</t>
        </is>
      </c>
      <c r="D349" t="inlineStr">
        <is>
          <t>Perch-likes</t>
        </is>
      </c>
      <c r="E349" s="8" t="inlineStr">
        <is>
          <t>Snappers</t>
        </is>
      </c>
      <c r="F349" t="inlineStr"/>
      <c r="G349" t="inlineStr"/>
      <c r="H349" t="inlineStr">
        <is>
          <t>high</t>
        </is>
      </c>
      <c r="I349" t="inlineStr">
        <is>
          <t>taxonomic_containment</t>
        </is>
      </c>
      <c r="J349" t="n">
        <v>430.281</v>
      </c>
      <c r="K349" t="n">
        <v>0.0001</v>
      </c>
      <c r="L349" s="6" t="inlineStr">
        <is>
          <t>Appendix 6.1 pp.327-335 defines Snappers by this family or explicitly names Lutjanus bohar; dedicated source placement overrides the SAU class Medium reef assoc. fish (30 - 89 cm).</t>
        </is>
      </c>
    </row>
    <row r="350">
      <c r="A350" t="inlineStr">
        <is>
          <t>Pomadasys argenteus</t>
        </is>
      </c>
      <c r="B350" t="inlineStr">
        <is>
          <t>Silver grunt</t>
        </is>
      </c>
      <c r="C350" t="inlineStr">
        <is>
          <t>Medium demersals (30 - 89 cm)</t>
        </is>
      </c>
      <c r="D350" t="inlineStr">
        <is>
          <t>Perch-likes</t>
        </is>
      </c>
      <c r="E350" s="7" t="inlineStr">
        <is>
          <t>Juvenile demersal fish (&gt; 30 cm) | Adult demersal fish (&gt; 30 cm)</t>
        </is>
      </c>
      <c r="F350" t="inlineStr">
        <is>
          <t>0.200 | 0.800</t>
        </is>
      </c>
      <c r="G350" t="inlineStr">
        <is>
          <t>model_catch</t>
        </is>
      </c>
      <c r="H350" t="inlineStr">
        <is>
          <t>medium</t>
        </is>
      </c>
      <c r="I350" t="inlineStr">
        <is>
          <t>composite_split</t>
        </is>
      </c>
      <c r="J350" t="n">
        <v>346.7</v>
      </c>
      <c r="K350" t="n">
        <v>0.0001</v>
      </c>
      <c r="L350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351">
      <c r="A351" t="inlineStr">
        <is>
          <t>Caranx sexfasciatus</t>
        </is>
      </c>
      <c r="B351" t="inlineStr">
        <is>
          <t>Bigeye trevally</t>
        </is>
      </c>
      <c r="C351" t="inlineStr">
        <is>
          <t>Large reef assoc. fish (&gt;=90 cm)</t>
        </is>
      </c>
      <c r="D351" t="inlineStr">
        <is>
          <t>Perch-likes</t>
        </is>
      </c>
      <c r="E351" s="7" t="inlineStr">
        <is>
          <t>Juvenile large pelagic fish | Pelagic fish (&gt; 30 cm)</t>
        </is>
      </c>
      <c r="F351" t="inlineStr">
        <is>
          <t>0.202 | 0.798</t>
        </is>
      </c>
      <c r="G351" t="inlineStr">
        <is>
          <t>model_catch</t>
        </is>
      </c>
      <c r="H351" t="inlineStr">
        <is>
          <t>medium</t>
        </is>
      </c>
      <c r="I351" t="inlineStr">
        <is>
          <t>composite_split</t>
        </is>
      </c>
      <c r="J351" t="n">
        <v>293.675</v>
      </c>
      <c r="K351" t="n">
        <v>0.0001</v>
      </c>
      <c r="L351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</row>
    <row r="352">
      <c r="A352" t="inlineStr">
        <is>
          <t>Spratelloides</t>
        </is>
      </c>
      <c r="B352" t="inlineStr">
        <is>
          <t>Round herrings</t>
        </is>
      </c>
      <c r="C352" t="inlineStr">
        <is>
          <t>Small reef assoc. fish (&lt;30 cm)</t>
        </is>
      </c>
      <c r="D352" t="inlineStr">
        <is>
          <t>Herring-likes</t>
        </is>
      </c>
      <c r="E352" s="7" t="inlineStr">
        <is>
          <t>Pelagic fish (≤ 30 cm)</t>
        </is>
      </c>
      <c r="F352" t="inlineStr"/>
      <c r="G352" t="inlineStr"/>
      <c r="H352" t="inlineStr">
        <is>
          <t>medium</t>
        </is>
      </c>
      <c r="I352" t="inlineStr">
        <is>
          <t>habitat_size_guild</t>
        </is>
      </c>
      <c r="J352" t="n">
        <v>262.48</v>
      </c>
      <c r="K352" t="n">
        <v>0.0001</v>
      </c>
      <c r="L352" s="6" t="inlineStr">
        <is>
          <t>Source small-pelagic pool explicitly includes sardines, thryssa and anchovies (Appendix 6.1.23 p.338); extension to the catch lineage uses SAU size as a proxy and is not a full species list.</t>
        </is>
      </c>
    </row>
    <row r="353">
      <c r="A353" t="inlineStr">
        <is>
          <t>Nibea albiflora</t>
        </is>
      </c>
      <c r="B353" t="inlineStr">
        <is>
          <t>Yellow drum</t>
        </is>
      </c>
      <c r="C353" t="inlineStr">
        <is>
          <t>Medium benthopelagics (30 - 89 cm)</t>
        </is>
      </c>
      <c r="D353" t="inlineStr">
        <is>
          <t>Perch-likes</t>
        </is>
      </c>
      <c r="E353" s="5" t="inlineStr">
        <is>
          <t>Juvenile large croakers | Croakers (&gt; 30 cm)</t>
        </is>
      </c>
      <c r="F353" t="inlineStr">
        <is>
          <t>0.200 | 0.800</t>
        </is>
      </c>
      <c r="G353" t="inlineStr">
        <is>
          <t>model_catch</t>
        </is>
      </c>
      <c r="H353" t="inlineStr">
        <is>
          <t>low</t>
        </is>
      </c>
      <c r="I353" t="inlineStr">
        <is>
          <t>composite_split</t>
        </is>
      </c>
      <c r="J353" t="n">
        <v>252.85</v>
      </c>
      <c r="K353" t="n">
        <v>0.0001</v>
      </c>
      <c r="L353" s="6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</row>
    <row r="354">
      <c r="A354" t="inlineStr">
        <is>
          <t>Bramidae</t>
        </is>
      </c>
      <c r="B354" t="inlineStr">
        <is>
          <t>Pomfrets</t>
        </is>
      </c>
      <c r="C354" t="inlineStr">
        <is>
          <t>Medium pelagics (30 - 89 cm)</t>
        </is>
      </c>
      <c r="D354" t="inlineStr">
        <is>
          <t>Perch-likes</t>
        </is>
      </c>
      <c r="E354" s="7" t="inlineStr">
        <is>
          <t>Juvenile large pelagic fish | Pelagic fish (&gt; 30 cm)</t>
        </is>
      </c>
      <c r="F354" t="inlineStr">
        <is>
          <t>0.202 | 0.798</t>
        </is>
      </c>
      <c r="G354" t="inlineStr">
        <is>
          <t>model_catch</t>
        </is>
      </c>
      <c r="H354" t="inlineStr">
        <is>
          <t>medium</t>
        </is>
      </c>
      <c r="I354" t="inlineStr">
        <is>
          <t>composite_split</t>
        </is>
      </c>
      <c r="J354" t="n">
        <v>243.184</v>
      </c>
      <c r="K354" t="n">
        <v>0.0001</v>
      </c>
      <c r="L354" s="6" t="inlineStr">
        <is>
          <t>Analyst habitat/size inference to source &gt;30 cm pelagic fish (Appendix 6.1.24 p.339); no age data, so split juvenile/adult using the period model catch.</t>
        </is>
      </c>
    </row>
    <row r="355">
      <c r="A355" t="inlineStr">
        <is>
          <t>Anguilliformes</t>
        </is>
      </c>
      <c r="B355" t="inlineStr">
        <is>
          <t>Eels, morays</t>
        </is>
      </c>
      <c r="C355" t="inlineStr">
        <is>
          <t>Large demersals (&gt;=90 cm)</t>
        </is>
      </c>
      <c r="D355" t="inlineStr">
        <is>
          <t>Other fishes &amp; inverts</t>
        </is>
      </c>
      <c r="E355" s="7" t="inlineStr">
        <is>
          <t>Juvenile demersal fish (&gt; 30 cm) | Adult demersal fish (&gt; 30 cm)</t>
        </is>
      </c>
      <c r="F355" t="inlineStr">
        <is>
          <t>0.200 | 0.800</t>
        </is>
      </c>
      <c r="G355" t="inlineStr">
        <is>
          <t>model_catch</t>
        </is>
      </c>
      <c r="H355" t="inlineStr">
        <is>
          <t>medium</t>
        </is>
      </c>
      <c r="I355" t="inlineStr">
        <is>
          <t>composite_split</t>
        </is>
      </c>
      <c r="J355" t="n">
        <v>186.602</v>
      </c>
      <c r="K355" t="n">
        <v>0</v>
      </c>
      <c r="L355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356">
      <c r="A356" t="inlineStr">
        <is>
          <t>Crassostrea</t>
        </is>
      </c>
      <c r="B356" t="inlineStr">
        <is>
          <t>Cupped oysters</t>
        </is>
      </c>
      <c r="C356" t="inlineStr">
        <is>
          <t>Other demersal invertebrates</t>
        </is>
      </c>
      <c r="D356" t="inlineStr">
        <is>
          <t>Molluscs</t>
        </is>
      </c>
      <c r="E356" s="8" t="inlineStr">
        <is>
          <t>Non-ceph molluscs</t>
        </is>
      </c>
      <c r="F356" t="inlineStr"/>
      <c r="G356" t="inlineStr"/>
      <c r="H356" t="inlineStr">
        <is>
          <t>high</t>
        </is>
      </c>
      <c r="I356" t="inlineStr">
        <is>
          <t>taxonomic_containment</t>
        </is>
      </c>
      <c r="J356" t="n">
        <v>159.458</v>
      </c>
      <c r="K356" t="n">
        <v>0</v>
      </c>
      <c r="L356" s="6" t="inlineStr">
        <is>
          <t>Taxonomic containment in the source benthos subdivision (Appendix 6.1.5 pp.324-325), keeping non-cephalopod molluscs separate from echinoderms and sessile invertebrates.</t>
        </is>
      </c>
    </row>
    <row r="357">
      <c r="A357" t="inlineStr">
        <is>
          <t>Hippocampus</t>
        </is>
      </c>
      <c r="B357" t="inlineStr">
        <is>
          <t>Seahorses</t>
        </is>
      </c>
      <c r="C357" t="inlineStr">
        <is>
          <t>Small reef assoc. fish (&lt;30 cm)</t>
        </is>
      </c>
      <c r="D357" t="inlineStr">
        <is>
          <t>Other fishes &amp; inverts</t>
        </is>
      </c>
      <c r="E357" s="7" t="inlineStr">
        <is>
          <t>Demesral fish (≤ 30 cm)</t>
        </is>
      </c>
      <c r="F357" t="inlineStr"/>
      <c r="G357" t="inlineStr"/>
      <c r="H357" t="inlineStr">
        <is>
          <t>medium</t>
        </is>
      </c>
      <c r="I357" t="inlineStr">
        <is>
          <t>habitat_size_guild</t>
        </is>
      </c>
      <c r="J357" t="n">
        <v>148.11</v>
      </c>
      <c r="K357" t="n">
        <v>0</v>
      </c>
      <c r="L357" s="6" t="inlineStr">
        <is>
          <t>Analyst habitat/size inference: small demersal or reef-associated fish after excluding dedicated taxonomic groups, matching Appendix 6.1.19 &lt;=30 cm residual demersal pool.</t>
        </is>
      </c>
    </row>
    <row r="358">
      <c r="A358" t="inlineStr">
        <is>
          <t>Holothuriidae</t>
        </is>
      </c>
      <c r="B358" t="inlineStr">
        <is>
          <t>Fleshy sea cucumbers</t>
        </is>
      </c>
      <c r="C358" t="inlineStr">
        <is>
          <t>Other demersal invertebrates</t>
        </is>
      </c>
      <c r="D358" t="inlineStr">
        <is>
          <t>Other fishes &amp; inverts</t>
        </is>
      </c>
      <c r="E358" s="8" t="inlineStr">
        <is>
          <t>Echinoderms</t>
        </is>
      </c>
      <c r="F358" t="inlineStr"/>
      <c r="G358" t="inlineStr"/>
      <c r="H358" t="inlineStr">
        <is>
          <t>high</t>
        </is>
      </c>
      <c r="I358" t="inlineStr">
        <is>
          <t>taxonomic_containment</t>
        </is>
      </c>
      <c r="J358" t="n">
        <v>111.296</v>
      </c>
      <c r="K358" t="n">
        <v>0</v>
      </c>
      <c r="L358" s="6" t="inlineStr">
        <is>
          <t>Taxonomic containment in the source benthos subdivision (Appendix 6.1.5 pp.324-325), keeping non-cephalopod molluscs separate from echinoderms and sessile invertebrates.</t>
        </is>
      </c>
    </row>
    <row r="359">
      <c r="A359" t="inlineStr">
        <is>
          <t>Isurus oxyrinchus</t>
        </is>
      </c>
      <c r="B359" t="inlineStr">
        <is>
          <t>Shortfin mako</t>
        </is>
      </c>
      <c r="C359" t="inlineStr">
        <is>
          <t>Large sharks (&gt;=90 cm)</t>
        </is>
      </c>
      <c r="D359" t="inlineStr">
        <is>
          <t>Sharks &amp; rays</t>
        </is>
      </c>
      <c r="E359" s="7" t="inlineStr">
        <is>
          <t>Pelagic sharks and rays</t>
        </is>
      </c>
      <c r="F359" t="inlineStr"/>
      <c r="G359" t="inlineStr"/>
      <c r="H359" t="inlineStr">
        <is>
          <t>medium</t>
        </is>
      </c>
      <c r="I359" t="inlineStr">
        <is>
          <t>habitat_size_guild</t>
        </is>
      </c>
      <c r="J359" t="n">
        <v>107.259</v>
      </c>
      <c r="K359" t="n">
        <v>0</v>
      </c>
      <c r="L359" s="6" t="inlineStr">
        <is>
          <t>Pelagic shark lineage matches the pelagic elasmobranch definition, Appendix 6.1.25 p.340; species placement is analyst inference.</t>
        </is>
      </c>
    </row>
    <row r="360">
      <c r="A360" t="inlineStr">
        <is>
          <t>Amblygaster sirm</t>
        </is>
      </c>
      <c r="B360" t="inlineStr">
        <is>
          <t>Spotted sardinella</t>
        </is>
      </c>
      <c r="C360" t="inlineStr">
        <is>
          <t>Small pelagics (&lt;30 cm)</t>
        </is>
      </c>
      <c r="D360" t="inlineStr">
        <is>
          <t>Herring-likes</t>
        </is>
      </c>
      <c r="E360" s="7" t="inlineStr">
        <is>
          <t>Pelagic fish (≤ 30 cm)</t>
        </is>
      </c>
      <c r="F360" t="inlineStr"/>
      <c r="G360" t="inlineStr"/>
      <c r="H360" t="inlineStr">
        <is>
          <t>medium</t>
        </is>
      </c>
      <c r="I360" t="inlineStr">
        <is>
          <t>habitat_size_guild</t>
        </is>
      </c>
      <c r="J360" t="n">
        <v>103.074</v>
      </c>
      <c r="K360" t="n">
        <v>0</v>
      </c>
      <c r="L360" s="6" t="inlineStr">
        <is>
          <t>Source small-pelagic pool explicitly includes sardines, thryssa and anchovies (Appendix 6.1.23 p.338); extension to the catch lineage uses SAU size as a proxy and is not a full species list.</t>
        </is>
      </c>
    </row>
    <row r="361">
      <c r="A361" t="inlineStr">
        <is>
          <t>Lampris guttatus</t>
        </is>
      </c>
      <c r="B361" t="inlineStr">
        <is>
          <t>Opah</t>
        </is>
      </c>
      <c r="C361" t="inlineStr">
        <is>
          <t>Large bathypelagics (&gt;=90 cm)</t>
        </is>
      </c>
      <c r="D361" t="inlineStr">
        <is>
          <t>Other fishes &amp; inverts</t>
        </is>
      </c>
      <c r="E361" s="9" t="inlineStr">
        <is>
          <t>Unresolved</t>
        </is>
      </c>
      <c r="F361" t="inlineStr"/>
      <c r="G361" t="inlineStr"/>
      <c r="H361" t="inlineStr">
        <is>
          <t>unresolved</t>
        </is>
      </c>
      <c r="I361" t="inlineStr">
        <is>
          <t>none</t>
        </is>
      </c>
      <c r="J361" t="n">
        <v>88.896</v>
      </c>
      <c r="K361" t="n">
        <v>0</v>
      </c>
      <c r="L361" s="6" t="inlineStr">
        <is>
          <t>Northern continental-shelf model lacks a documented oceanic billfish or deep-pelagic compartment; assigning coastal juvenile/adult pelagic SPPR would be unsupported.</t>
        </is>
      </c>
    </row>
    <row r="362">
      <c r="A362" t="inlineStr">
        <is>
          <t>Pectinidae</t>
        </is>
      </c>
      <c r="B362" t="inlineStr">
        <is>
          <t>Scallops</t>
        </is>
      </c>
      <c r="C362" t="inlineStr">
        <is>
          <t>Other demersal invertebrates</t>
        </is>
      </c>
      <c r="D362" t="inlineStr">
        <is>
          <t>Molluscs</t>
        </is>
      </c>
      <c r="E362" s="8" t="inlineStr">
        <is>
          <t>Non-ceph molluscs</t>
        </is>
      </c>
      <c r="F362" t="inlineStr"/>
      <c r="G362" t="inlineStr"/>
      <c r="H362" t="inlineStr">
        <is>
          <t>high</t>
        </is>
      </c>
      <c r="I362" t="inlineStr">
        <is>
          <t>taxonomic_containment</t>
        </is>
      </c>
      <c r="J362" t="n">
        <v>85.381</v>
      </c>
      <c r="K362" t="n">
        <v>0</v>
      </c>
      <c r="L362" s="6" t="inlineStr">
        <is>
          <t>Taxonomic containment in the source benthos subdivision (Appendix 6.1.5 pp.324-325), keeping non-cephalopod molluscs separate from echinoderms and sessile invertebrates.</t>
        </is>
      </c>
    </row>
    <row r="363">
      <c r="A363" t="inlineStr">
        <is>
          <t>Gymnosarda unicolor</t>
        </is>
      </c>
      <c r="B363" t="inlineStr">
        <is>
          <t>Dogtooth tuna</t>
        </is>
      </c>
      <c r="C363" t="inlineStr">
        <is>
          <t>Large reef assoc. fish (&gt;=90 cm)</t>
        </is>
      </c>
      <c r="D363" t="inlineStr">
        <is>
          <t>Tuna &amp; billfishes</t>
        </is>
      </c>
      <c r="E363" s="7" t="inlineStr">
        <is>
          <t>Juvenile large pelagic fish | Pelagic fish (&gt; 30 cm)</t>
        </is>
      </c>
      <c r="F363" t="inlineStr">
        <is>
          <t>0.202 | 0.798</t>
        </is>
      </c>
      <c r="G363" t="inlineStr">
        <is>
          <t>model_catch</t>
        </is>
      </c>
      <c r="H363" t="inlineStr">
        <is>
          <t>medium</t>
        </is>
      </c>
      <c r="I363" t="inlineStr">
        <is>
          <t>composite_split</t>
        </is>
      </c>
      <c r="J363" t="n">
        <v>44.08</v>
      </c>
      <c r="K363" t="n">
        <v>0</v>
      </c>
      <c r="L363" s="6" t="inlineStr">
        <is>
          <t>Analyst habitat/size inference to source &gt;30 cm pelagic fish (Appendix 6.1.24 p.339); no age data, so split juvenile/adult using the period model catch.</t>
        </is>
      </c>
    </row>
    <row r="364">
      <c r="A364" t="inlineStr">
        <is>
          <t>Tenualosa toli</t>
        </is>
      </c>
      <c r="B364" t="inlineStr">
        <is>
          <t>Toli shad</t>
        </is>
      </c>
      <c r="C364" t="inlineStr">
        <is>
          <t>Medium pelagics (30 - 89 cm)</t>
        </is>
      </c>
      <c r="D364" t="inlineStr">
        <is>
          <t>Herring-likes</t>
        </is>
      </c>
      <c r="E364" s="7" t="inlineStr">
        <is>
          <t>Juvenile large pelagic fish | Pelagic fish (&gt; 30 cm)</t>
        </is>
      </c>
      <c r="F364" t="inlineStr">
        <is>
          <t>0.202 | 0.798</t>
        </is>
      </c>
      <c r="G364" t="inlineStr">
        <is>
          <t>model_catch</t>
        </is>
      </c>
      <c r="H364" t="inlineStr">
        <is>
          <t>medium</t>
        </is>
      </c>
      <c r="I364" t="inlineStr">
        <is>
          <t>composite_split</t>
        </is>
      </c>
      <c r="J364" t="n">
        <v>35.53</v>
      </c>
      <c r="K364" t="n">
        <v>0</v>
      </c>
      <c r="L364" s="6" t="inlineStr">
        <is>
          <t>Analyst habitat/size inference to source &gt;30 cm pelagic fish (Appendix 6.1.24 p.339); no age data, so split juvenile/adult using the period model catch.</t>
        </is>
      </c>
    </row>
    <row r="365">
      <c r="A365" t="inlineStr">
        <is>
          <t>Sphyrna</t>
        </is>
      </c>
      <c r="B365" t="inlineStr">
        <is>
          <t>Hammerhead sharks</t>
        </is>
      </c>
      <c r="C365" t="inlineStr">
        <is>
          <t>Large sharks (&gt;=90 cm)</t>
        </is>
      </c>
      <c r="D365" t="inlineStr">
        <is>
          <t>Sharks &amp; rays</t>
        </is>
      </c>
      <c r="E365" s="7" t="inlineStr">
        <is>
          <t>Pelagic sharks and rays</t>
        </is>
      </c>
      <c r="F365" t="inlineStr"/>
      <c r="G365" t="inlineStr"/>
      <c r="H365" t="inlineStr">
        <is>
          <t>medium</t>
        </is>
      </c>
      <c r="I365" t="inlineStr">
        <is>
          <t>habitat_size_guild</t>
        </is>
      </c>
      <c r="J365" t="n">
        <v>33.286</v>
      </c>
      <c r="K365" t="n">
        <v>0</v>
      </c>
      <c r="L365" s="6" t="inlineStr">
        <is>
          <t>Pelagic shark lineage matches the pelagic elasmobranch definition, Appendix 6.1.25 p.340; species placement is analyst inference.</t>
        </is>
      </c>
    </row>
    <row r="366">
      <c r="A366" t="inlineStr">
        <is>
          <t>Ostreidae</t>
        </is>
      </c>
      <c r="B366" t="inlineStr">
        <is>
          <t>True oysters</t>
        </is>
      </c>
      <c r="C366" t="inlineStr">
        <is>
          <t>Other demersal invertebrates</t>
        </is>
      </c>
      <c r="D366" t="inlineStr">
        <is>
          <t>Molluscs</t>
        </is>
      </c>
      <c r="E366" s="8" t="inlineStr">
        <is>
          <t>Non-ceph molluscs</t>
        </is>
      </c>
      <c r="F366" t="inlineStr"/>
      <c r="G366" t="inlineStr"/>
      <c r="H366" t="inlineStr">
        <is>
          <t>high</t>
        </is>
      </c>
      <c r="I366" t="inlineStr">
        <is>
          <t>taxonomic_containment</t>
        </is>
      </c>
      <c r="J366" t="n">
        <v>29.373</v>
      </c>
      <c r="K366" t="n">
        <v>0</v>
      </c>
      <c r="L366" s="6" t="inlineStr">
        <is>
          <t>Taxonomic containment in the source benthos subdivision (Appendix 6.1.5 pp.324-325), keeping non-cephalopod molluscs separate from echinoderms and sessile invertebrates.</t>
        </is>
      </c>
    </row>
    <row r="367">
      <c r="A367" t="inlineStr">
        <is>
          <t>Tripneustes gratilla</t>
        </is>
      </c>
      <c r="B367" t="inlineStr">
        <is>
          <t>Shortspine urchin</t>
        </is>
      </c>
      <c r="C367" t="inlineStr">
        <is>
          <t>Other demersal invertebrates</t>
        </is>
      </c>
      <c r="D367" t="inlineStr">
        <is>
          <t>Other fishes &amp; inverts</t>
        </is>
      </c>
      <c r="E367" s="8" t="inlineStr">
        <is>
          <t>Echinoderms</t>
        </is>
      </c>
      <c r="F367" t="inlineStr"/>
      <c r="G367" t="inlineStr"/>
      <c r="H367" t="inlineStr">
        <is>
          <t>high</t>
        </is>
      </c>
      <c r="I367" t="inlineStr">
        <is>
          <t>taxonomic_containment</t>
        </is>
      </c>
      <c r="J367" t="n">
        <v>23.761</v>
      </c>
      <c r="K367" t="n">
        <v>0</v>
      </c>
      <c r="L367" s="6" t="inlineStr">
        <is>
          <t>Taxonomic containment in the source benthos subdivision (Appendix 6.1.5 pp.324-325), keeping non-cephalopod molluscs separate from echinoderms and sessile invertebrates.</t>
        </is>
      </c>
    </row>
    <row r="368">
      <c r="A368" t="inlineStr">
        <is>
          <t>Lutjanus argentimaculatus</t>
        </is>
      </c>
      <c r="B368" t="inlineStr">
        <is>
          <t>Mangrove red snapper</t>
        </is>
      </c>
      <c r="C368" t="inlineStr">
        <is>
          <t>Large reef assoc. fish (&gt;=90 cm)</t>
        </is>
      </c>
      <c r="D368" t="inlineStr">
        <is>
          <t>Perch-likes</t>
        </is>
      </c>
      <c r="E368" s="8" t="inlineStr">
        <is>
          <t>Snappers</t>
        </is>
      </c>
      <c r="F368" t="inlineStr"/>
      <c r="G368" t="inlineStr"/>
      <c r="H368" t="inlineStr">
        <is>
          <t>high</t>
        </is>
      </c>
      <c r="I368" t="inlineStr">
        <is>
          <t>taxonomic_containment</t>
        </is>
      </c>
      <c r="J368" t="n">
        <v>11.548</v>
      </c>
      <c r="K368" t="n">
        <v>0</v>
      </c>
      <c r="L368" s="6" t="inlineStr">
        <is>
          <t>Appendix 6.1 pp.327-335 defines Snappers by this family or explicitly names Lutjanus argentimaculatus; dedicated source placement overrides the SAU class Large reef assoc. fish (&gt;=90 cm).</t>
        </is>
      </c>
    </row>
    <row r="369">
      <c r="A369" t="inlineStr">
        <is>
          <t>Pomatomus saltatrix</t>
        </is>
      </c>
      <c r="B369" t="inlineStr">
        <is>
          <t>Bluefish</t>
        </is>
      </c>
      <c r="C369" t="inlineStr">
        <is>
          <t>Large pelagics (&gt;=90 cm)</t>
        </is>
      </c>
      <c r="D369" t="inlineStr">
        <is>
          <t>Perch-likes</t>
        </is>
      </c>
      <c r="E369" s="7" t="inlineStr">
        <is>
          <t>Juvenile large pelagic fish | Pelagic fish (&gt; 30 cm)</t>
        </is>
      </c>
      <c r="F369" t="inlineStr">
        <is>
          <t>0.202 | 0.798</t>
        </is>
      </c>
      <c r="G369" t="inlineStr">
        <is>
          <t>model_catch</t>
        </is>
      </c>
      <c r="H369" t="inlineStr">
        <is>
          <t>medium</t>
        </is>
      </c>
      <c r="I369" t="inlineStr">
        <is>
          <t>composite_split</t>
        </is>
      </c>
      <c r="J369" t="n">
        <v>8.972</v>
      </c>
      <c r="K369" t="n">
        <v>0</v>
      </c>
      <c r="L369" s="6" t="inlineStr">
        <is>
          <t>Analyst habitat/size inference to source &gt;30 cm pelagic fish (Appendix 6.1.24 p.339); no age data, so split juvenile/adult using the period model catch.</t>
        </is>
      </c>
    </row>
    <row r="370">
      <c r="A370" t="inlineStr">
        <is>
          <t>Sphyraena jello</t>
        </is>
      </c>
      <c r="B370" t="inlineStr">
        <is>
          <t>Pickhandle barracuda</t>
        </is>
      </c>
      <c r="C370" t="inlineStr">
        <is>
          <t>Large reef assoc. fish (&gt;=90 cm)</t>
        </is>
      </c>
      <c r="D370" t="inlineStr">
        <is>
          <t>Perch-likes</t>
        </is>
      </c>
      <c r="E370" s="7" t="inlineStr">
        <is>
          <t>Juvenile large pelagic fish | Pelagic fish (&gt; 30 cm)</t>
        </is>
      </c>
      <c r="F370" t="inlineStr">
        <is>
          <t>0.202 | 0.798</t>
        </is>
      </c>
      <c r="G370" t="inlineStr">
        <is>
          <t>model_catch</t>
        </is>
      </c>
      <c r="H370" t="inlineStr">
        <is>
          <t>medium</t>
        </is>
      </c>
      <c r="I370" t="inlineStr">
        <is>
          <t>composite_split</t>
        </is>
      </c>
      <c r="J370" t="n">
        <v>5.98</v>
      </c>
      <c r="K370" t="n">
        <v>0</v>
      </c>
      <c r="L370" s="6" t="inlineStr">
        <is>
          <t>Analyst habitat/size inference to source &gt;30 cm pelagic fish (Appendix 6.1.24 p.339); no age data, so split juvenile/adult using the period model catch.</t>
        </is>
      </c>
    </row>
    <row r="371">
      <c r="A371" t="inlineStr">
        <is>
          <t>Echinozoa</t>
        </is>
      </c>
      <c r="B371" t="inlineStr">
        <is>
          <t>Sea urchins and sea cucumbers</t>
        </is>
      </c>
      <c r="C371" t="inlineStr">
        <is>
          <t>Other demersal invertebrates</t>
        </is>
      </c>
      <c r="D371" t="inlineStr">
        <is>
          <t>Other fishes &amp; inverts</t>
        </is>
      </c>
      <c r="E371" s="8" t="inlineStr">
        <is>
          <t>Echinoderms</t>
        </is>
      </c>
      <c r="F371" t="inlineStr"/>
      <c r="G371" t="inlineStr"/>
      <c r="H371" t="inlineStr">
        <is>
          <t>high</t>
        </is>
      </c>
      <c r="I371" t="inlineStr">
        <is>
          <t>taxonomic_containment</t>
        </is>
      </c>
      <c r="J371" t="n">
        <v>4.765</v>
      </c>
      <c r="K371" t="n">
        <v>0</v>
      </c>
      <c r="L371" s="6" t="inlineStr">
        <is>
          <t>Taxonomic containment in the source benthos subdivision (Appendix 6.1.5 pp.324-325), keeping non-cephalopod molluscs separate from echinoderms and sessile invertebrates.</t>
        </is>
      </c>
    </row>
    <row r="372">
      <c r="A372" t="inlineStr">
        <is>
          <t>Tetrapturus angustirostris</t>
        </is>
      </c>
      <c r="B372" t="inlineStr">
        <is>
          <t>Shortbill spearfish</t>
        </is>
      </c>
      <c r="C372" t="inlineStr">
        <is>
          <t>Large pelagics (&gt;=90 cm)</t>
        </is>
      </c>
      <c r="D372" t="inlineStr">
        <is>
          <t>Tuna &amp; billfishes</t>
        </is>
      </c>
      <c r="E372" s="9" t="inlineStr">
        <is>
          <t>Unresolved</t>
        </is>
      </c>
      <c r="F372" t="inlineStr"/>
      <c r="G372" t="inlineStr"/>
      <c r="H372" t="inlineStr">
        <is>
          <t>unresolved</t>
        </is>
      </c>
      <c r="I372" t="inlineStr">
        <is>
          <t>none</t>
        </is>
      </c>
      <c r="J372" t="n">
        <v>1.605</v>
      </c>
      <c r="K372" t="n">
        <v>0</v>
      </c>
      <c r="L372" s="6" t="inlineStr">
        <is>
          <t>Northern continental-shelf model lacks a documented oceanic billfish or deep-pelagic compartment; assigning coastal juvenile/adult pelagic SPPR would be unsupported.</t>
        </is>
      </c>
    </row>
    <row r="373">
      <c r="A373" t="inlineStr">
        <is>
          <t>Sphyrna lewini</t>
        </is>
      </c>
      <c r="B373" t="inlineStr">
        <is>
          <t>Scalloped hammerhead</t>
        </is>
      </c>
      <c r="C373" t="inlineStr">
        <is>
          <t>Large sharks (&gt;=90 cm)</t>
        </is>
      </c>
      <c r="D373" t="inlineStr">
        <is>
          <t>Sharks &amp; rays</t>
        </is>
      </c>
      <c r="E373" s="7" t="inlineStr">
        <is>
          <t>Pelagic sharks and rays</t>
        </is>
      </c>
      <c r="F373" t="inlineStr"/>
      <c r="G373" t="inlineStr"/>
      <c r="H373" t="inlineStr">
        <is>
          <t>medium</t>
        </is>
      </c>
      <c r="I373" t="inlineStr">
        <is>
          <t>habitat_size_guild</t>
        </is>
      </c>
      <c r="J373" t="n">
        <v>0.97</v>
      </c>
      <c r="K373" t="n">
        <v>0</v>
      </c>
      <c r="L373" s="6" t="inlineStr">
        <is>
          <t>Pelagic shark lineage matches the pelagic elasmobranch definition, Appendix 6.1.25 p.340; species placement is analyst inference.</t>
        </is>
      </c>
    </row>
    <row r="374">
      <c r="A374" t="inlineStr">
        <is>
          <t>Trochus niloticus</t>
        </is>
      </c>
      <c r="B374" t="inlineStr">
        <is>
          <t>Commercial top</t>
        </is>
      </c>
      <c r="C374" t="inlineStr">
        <is>
          <t>Other demersal invertebrates</t>
        </is>
      </c>
      <c r="D374" t="inlineStr">
        <is>
          <t>Molluscs</t>
        </is>
      </c>
      <c r="E374" s="8" t="inlineStr">
        <is>
          <t>Non-ceph molluscs</t>
        </is>
      </c>
      <c r="F374" t="inlineStr"/>
      <c r="G374" t="inlineStr"/>
      <c r="H374" t="inlineStr">
        <is>
          <t>high</t>
        </is>
      </c>
      <c r="I374" t="inlineStr">
        <is>
          <t>taxonomic_containment</t>
        </is>
      </c>
      <c r="J374" t="n">
        <v>0.955</v>
      </c>
      <c r="K374" t="n">
        <v>0</v>
      </c>
      <c r="L374" s="6" t="inlineStr">
        <is>
          <t>Taxonomic containment in the source benthos subdivision (Appendix 6.1.5 pp.324-325), keeping non-cephalopod molluscs separate from echinoderms and sessile invertebrates.</t>
        </is>
      </c>
    </row>
    <row r="375">
      <c r="A375" t="inlineStr">
        <is>
          <t>Holothuroidea</t>
        </is>
      </c>
      <c r="B375" t="inlineStr">
        <is>
          <t>Sea cucumbers</t>
        </is>
      </c>
      <c r="C375" t="inlineStr">
        <is>
          <t>Other demersal invertebrates</t>
        </is>
      </c>
      <c r="D375" t="inlineStr">
        <is>
          <t>Other fishes &amp; inverts</t>
        </is>
      </c>
      <c r="E375" s="8" t="inlineStr">
        <is>
          <t>Echinoderms</t>
        </is>
      </c>
      <c r="F375" t="inlineStr"/>
      <c r="G375" t="inlineStr"/>
      <c r="H375" t="inlineStr">
        <is>
          <t>high</t>
        </is>
      </c>
      <c r="I375" t="inlineStr">
        <is>
          <t>taxonomic_containment</t>
        </is>
      </c>
      <c r="J375" t="n">
        <v>0.761</v>
      </c>
      <c r="K375" t="n">
        <v>0</v>
      </c>
      <c r="L375" s="6" t="inlineStr">
        <is>
          <t>Taxonomic containment in the source benthos subdivision (Appendix 6.1.5 pp.324-325), keeping non-cephalopod molluscs separate from echinoderms and sessile invertebrates.</t>
        </is>
      </c>
    </row>
    <row r="376">
      <c r="A376" t="inlineStr">
        <is>
          <t>Pinctada</t>
        </is>
      </c>
      <c r="B376" t="inlineStr">
        <is>
          <t>Mother of pearl oysters</t>
        </is>
      </c>
      <c r="C376" t="inlineStr">
        <is>
          <t>Other demersal invertebrates</t>
        </is>
      </c>
      <c r="D376" t="inlineStr">
        <is>
          <t>Molluscs</t>
        </is>
      </c>
      <c r="E376" s="8" t="inlineStr">
        <is>
          <t>Non-ceph molluscs</t>
        </is>
      </c>
      <c r="F376" t="inlineStr"/>
      <c r="G376" t="inlineStr"/>
      <c r="H376" t="inlineStr">
        <is>
          <t>high</t>
        </is>
      </c>
      <c r="I376" t="inlineStr">
        <is>
          <t>taxonomic_containment</t>
        </is>
      </c>
      <c r="J376" t="n">
        <v>0.106</v>
      </c>
      <c r="K376" t="n">
        <v>0</v>
      </c>
      <c r="L376" s="6" t="inlineStr">
        <is>
          <t>Taxonomic containment in the source benthos subdivision (Appendix 6.1.5 pp.324-325), keeping non-cephalopod molluscs separate from echinoderms and sessile invertebrates.</t>
        </is>
      </c>
    </row>
    <row r="377">
      <c r="A377" t="inlineStr">
        <is>
          <t>Carcharhinus amblyrhynchos</t>
        </is>
      </c>
      <c r="B377" t="inlineStr">
        <is>
          <t>Blacktail reef shark</t>
        </is>
      </c>
      <c r="C377" t="inlineStr">
        <is>
          <t>Large sharks (&gt;=90 cm)</t>
        </is>
      </c>
      <c r="D377" t="inlineStr">
        <is>
          <t>Sharks &amp; rays</t>
        </is>
      </c>
      <c r="E377" s="7" t="inlineStr">
        <is>
          <t>Demersal sharks and rays</t>
        </is>
      </c>
      <c r="F377" t="inlineStr"/>
      <c r="G377" t="inlineStr"/>
      <c r="H377" t="inlineStr">
        <is>
          <t>medium</t>
        </is>
      </c>
      <c r="I377" t="inlineStr">
        <is>
          <t>habitat_size_guild</t>
        </is>
      </c>
      <c r="J377" t="n">
        <v>0.002</v>
      </c>
      <c r="K377" t="n">
        <v>0</v>
      </c>
      <c r="L377" s="6" t="inlineStr">
        <is>
          <t>Reef-associated shark inferred to the demersal rather than pelagic elasmobranch pool (Appendix 6.1.25 p.340).</t>
        </is>
      </c>
    </row>
    <row r="378">
      <c r="A378" t="inlineStr">
        <is>
          <t>Sphyrnidae</t>
        </is>
      </c>
      <c r="B378" t="inlineStr">
        <is>
          <t>Hammer, bonnet, scoophead sharks</t>
        </is>
      </c>
      <c r="C378" t="inlineStr">
        <is>
          <t>Large sharks (&gt;=90 cm)</t>
        </is>
      </c>
      <c r="D378" t="inlineStr">
        <is>
          <t>Sharks &amp; rays</t>
        </is>
      </c>
      <c r="E378" s="7" t="inlineStr">
        <is>
          <t>Pelagic sharks and rays</t>
        </is>
      </c>
      <c r="F378" t="inlineStr"/>
      <c r="G378" t="inlineStr"/>
      <c r="H378" t="inlineStr">
        <is>
          <t>medium</t>
        </is>
      </c>
      <c r="I378" t="inlineStr">
        <is>
          <t>habitat_size_guild</t>
        </is>
      </c>
      <c r="J378" t="n">
        <v>0</v>
      </c>
      <c r="K378" t="n">
        <v>0</v>
      </c>
      <c r="L378" s="6" t="inlineStr">
        <is>
          <t>Pelagic shark lineage matches the pelagic elasmobranch definition, Appendix 6.1.25 p.340; species placement is analyst inference.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68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6" customWidth="1" min="2" max="2"/>
    <col width="30" customWidth="1" min="3" max="3"/>
    <col width="23" customWidth="1" min="4" max="4"/>
    <col width="27" customWidth="1" min="5" max="5"/>
    <col width="24" customWidth="1" min="6" max="6"/>
    <col width="35" customWidth="1" min="7" max="7"/>
    <col width="23" customWidth="1" min="8" max="8"/>
    <col width="22" customWidth="1" min="9" max="9"/>
    <col width="14" customWidth="1" min="10" max="10"/>
    <col width="24" customWidth="1" min="11" max="11"/>
    <col width="95" customWidth="1" min="12" max="12"/>
    <col width="18" customWidth="1" min="13" max="13"/>
  </cols>
  <sheetData>
    <row r="1">
      <c r="A1" s="1" t="inlineStr">
        <is>
          <t>Final taxon-to-group mappings, identified separately for each Ecopath model</t>
        </is>
      </c>
    </row>
    <row r="2">
      <c r="A2" t="inlineStr">
        <is>
          <t>One row per taxon/group assignment; numeric weights are the exact values used to calculate SPPR.</t>
        </is>
      </c>
    </row>
    <row r="3">
      <c r="A3" t="inlineStr">
        <is>
          <t>Unresolved taxa retain a row with a blank weight. Catch tonnes repeat across a taxon's assignments; do not sum these rows.</t>
        </is>
      </c>
    </row>
    <row r="4">
      <c r="A4" s="2" t="inlineStr">
        <is>
          <t>unit_id</t>
        </is>
      </c>
      <c r="B4" s="2" t="inlineStr">
        <is>
          <t>model_id</t>
        </is>
      </c>
      <c r="C4" s="2" t="inlineStr">
        <is>
          <t>taxon</t>
        </is>
      </c>
      <c r="D4" s="2" t="inlineStr">
        <is>
          <t>common_name</t>
        </is>
      </c>
      <c r="E4" s="2" t="inlineStr">
        <is>
          <t>SAU functional group</t>
        </is>
      </c>
      <c r="F4" s="2" t="inlineStr">
        <is>
          <t>SAU commercial group</t>
        </is>
      </c>
      <c r="G4" s="2" t="inlineStr">
        <is>
          <t>group</t>
        </is>
      </c>
      <c r="H4" s="2" t="inlineStr">
        <is>
          <t>weight</t>
        </is>
      </c>
      <c r="I4" s="2" t="inlineStr">
        <is>
          <t>weight_basis</t>
        </is>
      </c>
      <c r="J4" s="2" t="inlineStr">
        <is>
          <t>confidence</t>
        </is>
      </c>
      <c r="K4" s="2" t="inlineStr">
        <is>
          <t>evidence</t>
        </is>
      </c>
      <c r="L4" s="2" t="inlineStr">
        <is>
          <t>explanation</t>
        </is>
      </c>
      <c r="M4" s="2" t="inlineStr">
        <is>
          <t>catch_tonnes</t>
        </is>
      </c>
    </row>
    <row r="5" ht="51" customHeight="1">
      <c r="A5" s="10" t="inlineStr">
        <is>
          <t>LME_036</t>
        </is>
      </c>
      <c r="B5" s="11" t="inlineStr">
        <is>
          <t>36_2_South_China_Sea_SCS-2007_Northern_South_China_Sea_(1970s)</t>
        </is>
      </c>
      <c r="C5" s="11" t="inlineStr">
        <is>
          <t>Marine fishes not identified</t>
        </is>
      </c>
      <c r="D5" s="10" t="inlineStr">
        <is>
          <t>Marine fishes nei</t>
        </is>
      </c>
      <c r="E5" s="10" t="inlineStr">
        <is>
          <t>Medium demersals (30 - 89 cm)</t>
        </is>
      </c>
      <c r="F5" s="10" t="inlineStr">
        <is>
          <t>Other fishes &amp; inverts</t>
        </is>
      </c>
      <c r="G5" s="11" t="inlineStr">
        <is>
          <t>Demesral fish (≤ 30 cm)</t>
        </is>
      </c>
      <c r="H5" s="12" t="n">
        <v>0.3854700854700854</v>
      </c>
      <c r="I5" s="10" t="inlineStr">
        <is>
          <t>model_catch</t>
        </is>
      </c>
      <c r="J5" s="13" t="inlineStr">
        <is>
          <t>low</t>
        </is>
      </c>
      <c r="K5" s="10" t="inlineStr">
        <is>
          <t>composite_split</t>
        </is>
      </c>
      <c r="L5" s="11" t="inlineStr">
        <is>
          <t>Analyst coarse-catch inference from SAU Medium demersals (30 - 89 cm) to residual habitat/size pools in Appendix 6.1 pp.335-339, excluding dedicated named taxa; period model catch weights preserve stanza selectivity.</t>
        </is>
      </c>
      <c r="M5" s="10" t="n">
        <v>36494986.294</v>
      </c>
    </row>
    <row r="6" ht="51" customHeight="1">
      <c r="A6" s="10" t="inlineStr">
        <is>
          <t>LME_036</t>
        </is>
      </c>
      <c r="B6" s="11" t="inlineStr">
        <is>
          <t>36_2_South_China_Sea_SCS-2007_Northern_South_China_Sea_(1970s)</t>
        </is>
      </c>
      <c r="C6" s="11" t="inlineStr">
        <is>
          <t>Marine fishes not identified</t>
        </is>
      </c>
      <c r="D6" s="10" t="inlineStr">
        <is>
          <t>Marine fishes nei</t>
        </is>
      </c>
      <c r="E6" s="10" t="inlineStr">
        <is>
          <t>Medium demersals (30 - 89 cm)</t>
        </is>
      </c>
      <c r="F6" s="10" t="inlineStr">
        <is>
          <t>Other fishes &amp; inverts</t>
        </is>
      </c>
      <c r="G6" s="11" t="inlineStr">
        <is>
          <t>Juvenile demersal fish (&gt; 30 cm)</t>
        </is>
      </c>
      <c r="H6" s="12" t="n">
        <v>0.1230769230769231</v>
      </c>
      <c r="I6" s="10" t="inlineStr">
        <is>
          <t>model_catch</t>
        </is>
      </c>
      <c r="J6" s="13" t="inlineStr">
        <is>
          <t>low</t>
        </is>
      </c>
      <c r="K6" s="10" t="inlineStr">
        <is>
          <t>composite_split</t>
        </is>
      </c>
      <c r="L6" s="11" t="inlineStr">
        <is>
          <t>Analyst coarse-catch inference from SAU Medium demersals (30 - 89 cm) to residual habitat/size pools in Appendix 6.1 pp.335-339, excluding dedicated named taxa; period model catch weights preserve stanza selectivity.</t>
        </is>
      </c>
      <c r="M6" s="10" t="n">
        <v>36494986.294</v>
      </c>
    </row>
    <row r="7" ht="51" customHeight="1">
      <c r="A7" s="10" t="inlineStr">
        <is>
          <t>LME_036</t>
        </is>
      </c>
      <c r="B7" s="11" t="inlineStr">
        <is>
          <t>36_2_South_China_Sea_SCS-2007_Northern_South_China_Sea_(1970s)</t>
        </is>
      </c>
      <c r="C7" s="11" t="inlineStr">
        <is>
          <t>Marine fishes not identified</t>
        </is>
      </c>
      <c r="D7" s="10" t="inlineStr">
        <is>
          <t>Marine fishes nei</t>
        </is>
      </c>
      <c r="E7" s="10" t="inlineStr">
        <is>
          <t>Medium demersals (30 - 89 cm)</t>
        </is>
      </c>
      <c r="F7" s="10" t="inlineStr">
        <is>
          <t>Other fishes &amp; inverts</t>
        </is>
      </c>
      <c r="G7" s="11" t="inlineStr">
        <is>
          <t>Adult demersal fish (&gt; 30 cm)</t>
        </is>
      </c>
      <c r="H7" s="12" t="n">
        <v>0.4914529914529914</v>
      </c>
      <c r="I7" s="10" t="inlineStr">
        <is>
          <t>model_catch</t>
        </is>
      </c>
      <c r="J7" s="13" t="inlineStr">
        <is>
          <t>low</t>
        </is>
      </c>
      <c r="K7" s="10" t="inlineStr">
        <is>
          <t>composite_split</t>
        </is>
      </c>
      <c r="L7" s="11" t="inlineStr">
        <is>
          <t>Analyst coarse-catch inference from SAU Medium demersals (30 - 89 cm) to residual habitat/size pools in Appendix 6.1 pp.335-339, excluding dedicated named taxa; period model catch weights preserve stanza selectivity.</t>
        </is>
      </c>
      <c r="M7" s="10" t="n">
        <v>36494986.294</v>
      </c>
    </row>
    <row r="8" ht="36" customHeight="1">
      <c r="A8" s="10" t="inlineStr">
        <is>
          <t>LME_036</t>
        </is>
      </c>
      <c r="B8" s="11" t="inlineStr">
        <is>
          <t>36_2_South_China_Sea_SCS-2007_Northern_South_China_Sea_(1970s)</t>
        </is>
      </c>
      <c r="C8" s="11" t="inlineStr">
        <is>
          <t>Trichiurus lepturus</t>
        </is>
      </c>
      <c r="D8" s="10" t="inlineStr">
        <is>
          <t>Largehead hairtail</t>
        </is>
      </c>
      <c r="E8" s="10" t="inlineStr">
        <is>
          <t>Large benthopelagics (&gt;=90 cm)</t>
        </is>
      </c>
      <c r="F8" s="10" t="inlineStr">
        <is>
          <t>Perch-likes</t>
        </is>
      </c>
      <c r="G8" s="11" t="inlineStr">
        <is>
          <t>Juvenile Hairtail (trichiurids)</t>
        </is>
      </c>
      <c r="H8" s="12" t="n">
        <v>0.2</v>
      </c>
      <c r="I8" s="10" t="inlineStr">
        <is>
          <t>model_catch</t>
        </is>
      </c>
      <c r="J8" s="14" t="inlineStr">
        <is>
          <t>medium</t>
        </is>
      </c>
      <c r="K8" s="10" t="inlineStr">
        <is>
          <t>composite_split</t>
        </is>
      </c>
      <c r="L8" s="11" t="inlineStr">
        <is>
          <t>Appendix 6.1.12 pp.329-330 divides Trichiuridae at 18 months. Catch has no life-stage field; fixed juvenile/adult weights use this period model catch, retaining its reported selectivity.</t>
        </is>
      </c>
      <c r="M8" s="10" t="n">
        <v>20943613.088</v>
      </c>
    </row>
    <row r="9" ht="36" customHeight="1">
      <c r="A9" s="10" t="inlineStr">
        <is>
          <t>LME_036</t>
        </is>
      </c>
      <c r="B9" s="11" t="inlineStr">
        <is>
          <t>36_2_South_China_Sea_SCS-2007_Northern_South_China_Sea_(1970s)</t>
        </is>
      </c>
      <c r="C9" s="11" t="inlineStr">
        <is>
          <t>Trichiurus lepturus</t>
        </is>
      </c>
      <c r="D9" s="10" t="inlineStr">
        <is>
          <t>Largehead hairtail</t>
        </is>
      </c>
      <c r="E9" s="10" t="inlineStr">
        <is>
          <t>Large benthopelagics (&gt;=90 cm)</t>
        </is>
      </c>
      <c r="F9" s="10" t="inlineStr">
        <is>
          <t>Perch-likes</t>
        </is>
      </c>
      <c r="G9" s="11" t="inlineStr">
        <is>
          <t>Adult hairtail (trichiurids)</t>
        </is>
      </c>
      <c r="H9" s="12" t="n">
        <v>0.8</v>
      </c>
      <c r="I9" s="10" t="inlineStr">
        <is>
          <t>model_catch</t>
        </is>
      </c>
      <c r="J9" s="14" t="inlineStr">
        <is>
          <t>medium</t>
        </is>
      </c>
      <c r="K9" s="10" t="inlineStr">
        <is>
          <t>composite_split</t>
        </is>
      </c>
      <c r="L9" s="11" t="inlineStr">
        <is>
          <t>Appendix 6.1.12 pp.329-330 divides Trichiuridae at 18 months. Catch has no life-stage field; fixed juvenile/adult weights use this period model catch, retaining its reported selectivity.</t>
        </is>
      </c>
      <c r="M9" s="10" t="n">
        <v>20943613.088</v>
      </c>
    </row>
    <row r="10" ht="36" customHeight="1">
      <c r="A10" s="10" t="inlineStr">
        <is>
          <t>LME_036</t>
        </is>
      </c>
      <c r="B10" s="11" t="inlineStr">
        <is>
          <t>36_2_South_China_Sea_SCS-2007_Northern_South_China_Sea_(1970s)</t>
        </is>
      </c>
      <c r="C10" s="11" t="inlineStr">
        <is>
          <t>Scyphozoa</t>
        </is>
      </c>
      <c r="D10" s="10" t="inlineStr">
        <is>
          <t>True jellyfishes</t>
        </is>
      </c>
      <c r="E10" s="10" t="inlineStr">
        <is>
          <t>Jellyfish</t>
        </is>
      </c>
      <c r="F10" s="10" t="inlineStr">
        <is>
          <t>Other fishes &amp; inverts</t>
        </is>
      </c>
      <c r="G10" s="11" t="inlineStr">
        <is>
          <t>Jellyfish</t>
        </is>
      </c>
      <c r="H10" s="12" t="n">
        <v>1</v>
      </c>
      <c r="I10" s="10" t="inlineStr">
        <is>
          <t>single</t>
        </is>
      </c>
      <c r="J10" s="15" t="inlineStr">
        <is>
          <t>high</t>
        </is>
      </c>
      <c r="K10" s="10" t="inlineStr">
        <is>
          <t>taxonomic_containment</t>
        </is>
      </c>
      <c r="L10" s="11" t="inlineStr">
        <is>
          <t>Appendix 6.1.4 p.324 defines jellyfish as cnidarian medusae.</t>
        </is>
      </c>
      <c r="M10" s="10" t="n">
        <v>19842389.932</v>
      </c>
    </row>
    <row r="11" ht="51" customHeight="1">
      <c r="A11" s="10" t="inlineStr">
        <is>
          <t>LME_036</t>
        </is>
      </c>
      <c r="B11" s="11" t="inlineStr">
        <is>
          <t>36_2_South_China_Sea_SCS-2007_Northern_South_China_Sea_(1970s)</t>
        </is>
      </c>
      <c r="C11" s="11" t="inlineStr">
        <is>
          <t>Synodontidae</t>
        </is>
      </c>
      <c r="D11" s="10" t="inlineStr">
        <is>
          <t>Lizardfishes, sauries</t>
        </is>
      </c>
      <c r="E11" s="10" t="inlineStr">
        <is>
          <t>Medium demersals (30 - 89 cm)</t>
        </is>
      </c>
      <c r="F11" s="10" t="inlineStr">
        <is>
          <t>Other fishes &amp; inverts</t>
        </is>
      </c>
      <c r="G11" s="11" t="inlineStr">
        <is>
          <t>Lizard fish (synodontids)</t>
        </is>
      </c>
      <c r="H11" s="12" t="n">
        <v>1</v>
      </c>
      <c r="I11" s="10" t="inlineStr">
        <is>
          <t>single</t>
        </is>
      </c>
      <c r="J11" s="15" t="inlineStr">
        <is>
          <t>high</t>
        </is>
      </c>
      <c r="K11" s="10" t="inlineStr">
        <is>
          <t>taxonomic_containment</t>
        </is>
      </c>
      <c r="L11" s="11" t="inlineStr">
        <is>
          <t>Appendix 6.1 pp.327-335 defines Lizard fish (synodontids) by this family or explicitly names Synodontidae; dedicated source placement overrides the SAU class Medium demersals (30 - 89 cm).</t>
        </is>
      </c>
      <c r="M11" s="10" t="n">
        <v>13852255.834</v>
      </c>
    </row>
    <row r="12" ht="51" customHeight="1">
      <c r="A12" s="10" t="inlineStr">
        <is>
          <t>LME_036</t>
        </is>
      </c>
      <c r="B12" s="11" t="inlineStr">
        <is>
          <t>36_2_South_China_Sea_SCS-2007_Northern_South_China_Sea_(1970s)</t>
        </is>
      </c>
      <c r="C12" s="11" t="inlineStr">
        <is>
          <t>Alepes</t>
        </is>
      </c>
      <c r="D12" s="10" t="inlineStr">
        <is>
          <t>Crevalles</t>
        </is>
      </c>
      <c r="E12" s="10" t="inlineStr">
        <is>
          <t>Medium reef assoc. fish (30 - 89 cm)</t>
        </is>
      </c>
      <c r="F12" s="10" t="inlineStr">
        <is>
          <t>Perch-likes</t>
        </is>
      </c>
      <c r="G12" s="11" t="inlineStr">
        <is>
          <t>Juvenile large pelagic fish</t>
        </is>
      </c>
      <c r="H12" s="12" t="n">
        <v>0.2016806722689076</v>
      </c>
      <c r="I12" s="10" t="inlineStr">
        <is>
          <t>model_catch</t>
        </is>
      </c>
      <c r="J12" s="14" t="inlineStr">
        <is>
          <t>medium</t>
        </is>
      </c>
      <c r="K12" s="10" t="inlineStr">
        <is>
          <t>composite_split</t>
        </is>
      </c>
      <c r="L12" s="11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12" s="10" t="n">
        <v>13356624.376</v>
      </c>
    </row>
    <row r="13" ht="51" customHeight="1">
      <c r="A13" s="10" t="inlineStr">
        <is>
          <t>LME_036</t>
        </is>
      </c>
      <c r="B13" s="11" t="inlineStr">
        <is>
          <t>36_2_South_China_Sea_SCS-2007_Northern_South_China_Sea_(1970s)</t>
        </is>
      </c>
      <c r="C13" s="11" t="inlineStr">
        <is>
          <t>Alepes</t>
        </is>
      </c>
      <c r="D13" s="10" t="inlineStr">
        <is>
          <t>Crevalles</t>
        </is>
      </c>
      <c r="E13" s="10" t="inlineStr">
        <is>
          <t>Medium reef assoc. fish (30 - 89 cm)</t>
        </is>
      </c>
      <c r="F13" s="10" t="inlineStr">
        <is>
          <t>Perch-likes</t>
        </is>
      </c>
      <c r="G13" s="11" t="inlineStr">
        <is>
          <t>Pelagic fish (&gt; 30 cm)</t>
        </is>
      </c>
      <c r="H13" s="12" t="n">
        <v>0.7983193277310925</v>
      </c>
      <c r="I13" s="10" t="inlineStr">
        <is>
          <t>model_catch</t>
        </is>
      </c>
      <c r="J13" s="14" t="inlineStr">
        <is>
          <t>medium</t>
        </is>
      </c>
      <c r="K13" s="10" t="inlineStr">
        <is>
          <t>composite_split</t>
        </is>
      </c>
      <c r="L13" s="11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13" s="10" t="n">
        <v>13356624.376</v>
      </c>
    </row>
    <row r="14" ht="51" customHeight="1">
      <c r="A14" s="10" t="inlineStr">
        <is>
          <t>LME_036</t>
        </is>
      </c>
      <c r="B14" s="11" t="inlineStr">
        <is>
          <t>36_2_South_China_Sea_SCS-2007_Northern_South_China_Sea_(1970s)</t>
        </is>
      </c>
      <c r="C14" s="11" t="inlineStr">
        <is>
          <t>Carangidae</t>
        </is>
      </c>
      <c r="D14" s="10" t="inlineStr">
        <is>
          <t>Jacks, pompanos</t>
        </is>
      </c>
      <c r="E14" s="10" t="inlineStr">
        <is>
          <t>Medium pelagics (30 - 89 cm)</t>
        </is>
      </c>
      <c r="F14" s="10" t="inlineStr">
        <is>
          <t>Perch-likes</t>
        </is>
      </c>
      <c r="G14" s="11" t="inlineStr">
        <is>
          <t>Pelagic fish (≤ 30 cm)</t>
        </is>
      </c>
      <c r="H14" s="12" t="n">
        <v>0.7541322314049587</v>
      </c>
      <c r="I14" s="10" t="inlineStr">
        <is>
          <t>model_catch</t>
        </is>
      </c>
      <c r="J14" s="13" t="inlineStr">
        <is>
          <t>low</t>
        </is>
      </c>
      <c r="K14" s="10" t="inlineStr">
        <is>
          <t>composite_split</t>
        </is>
      </c>
      <c r="L14" s="11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14" s="10" t="n">
        <v>11518481.788</v>
      </c>
    </row>
    <row r="15" ht="51" customHeight="1">
      <c r="A15" s="10" t="inlineStr">
        <is>
          <t>LME_036</t>
        </is>
      </c>
      <c r="B15" s="11" t="inlineStr">
        <is>
          <t>36_2_South_China_Sea_SCS-2007_Northern_South_China_Sea_(1970s)</t>
        </is>
      </c>
      <c r="C15" s="11" t="inlineStr">
        <is>
          <t>Carangidae</t>
        </is>
      </c>
      <c r="D15" s="10" t="inlineStr">
        <is>
          <t>Jacks, pompanos</t>
        </is>
      </c>
      <c r="E15" s="10" t="inlineStr">
        <is>
          <t>Medium pelagics (30 - 89 cm)</t>
        </is>
      </c>
      <c r="F15" s="10" t="inlineStr">
        <is>
          <t>Perch-likes</t>
        </is>
      </c>
      <c r="G15" s="11" t="inlineStr">
        <is>
          <t>Juvenile large pelagic fish</t>
        </is>
      </c>
      <c r="H15" s="12" t="n">
        <v>0.04958677685950413</v>
      </c>
      <c r="I15" s="10" t="inlineStr">
        <is>
          <t>model_catch</t>
        </is>
      </c>
      <c r="J15" s="13" t="inlineStr">
        <is>
          <t>low</t>
        </is>
      </c>
      <c r="K15" s="10" t="inlineStr">
        <is>
          <t>composite_split</t>
        </is>
      </c>
      <c r="L15" s="11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15" s="10" t="n">
        <v>11518481.788</v>
      </c>
    </row>
    <row r="16" ht="51" customHeight="1">
      <c r="A16" s="10" t="inlineStr">
        <is>
          <t>LME_036</t>
        </is>
      </c>
      <c r="B16" s="11" t="inlineStr">
        <is>
          <t>36_2_South_China_Sea_SCS-2007_Northern_South_China_Sea_(1970s)</t>
        </is>
      </c>
      <c r="C16" s="11" t="inlineStr">
        <is>
          <t>Carangidae</t>
        </is>
      </c>
      <c r="D16" s="10" t="inlineStr">
        <is>
          <t>Jacks, pompanos</t>
        </is>
      </c>
      <c r="E16" s="10" t="inlineStr">
        <is>
          <t>Medium pelagics (30 - 89 cm)</t>
        </is>
      </c>
      <c r="F16" s="10" t="inlineStr">
        <is>
          <t>Perch-likes</t>
        </is>
      </c>
      <c r="G16" s="11" t="inlineStr">
        <is>
          <t>Pelagic fish (&gt; 30 cm)</t>
        </is>
      </c>
      <c r="H16" s="12" t="n">
        <v>0.1962809917355372</v>
      </c>
      <c r="I16" s="10" t="inlineStr">
        <is>
          <t>model_catch</t>
        </is>
      </c>
      <c r="J16" s="13" t="inlineStr">
        <is>
          <t>low</t>
        </is>
      </c>
      <c r="K16" s="10" t="inlineStr">
        <is>
          <t>composite_split</t>
        </is>
      </c>
      <c r="L16" s="11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16" s="10" t="n">
        <v>11518481.788</v>
      </c>
    </row>
    <row r="17" ht="36" customHeight="1">
      <c r="A17" s="10" t="inlineStr">
        <is>
          <t>LME_036</t>
        </is>
      </c>
      <c r="B17" s="11" t="inlineStr">
        <is>
          <t>36_2_South_China_Sea_SCS-2007_Northern_South_China_Sea_(1970s)</t>
        </is>
      </c>
      <c r="C17" s="11" t="inlineStr">
        <is>
          <t>Mollusca</t>
        </is>
      </c>
      <c r="D17" s="10" t="inlineStr">
        <is>
          <t>Clams, seasnails, squids, octopuses</t>
        </is>
      </c>
      <c r="E17" s="10" t="inlineStr">
        <is>
          <t>Other demersal invertebrates</t>
        </is>
      </c>
      <c r="F17" s="10" t="inlineStr">
        <is>
          <t>Molluscs</t>
        </is>
      </c>
      <c r="G17" s="11" t="inlineStr">
        <is>
          <t>Non-ceph molluscs</t>
        </is>
      </c>
      <c r="H17" s="12" t="n">
        <v>1</v>
      </c>
      <c r="I17" s="10" t="inlineStr">
        <is>
          <t>single</t>
        </is>
      </c>
      <c r="J17" s="15" t="inlineStr">
        <is>
          <t>high</t>
        </is>
      </c>
      <c r="K17" s="10" t="inlineStr">
        <is>
          <t>taxonomic_containment</t>
        </is>
      </c>
      <c r="L17" s="11" t="inlineStr">
        <is>
          <t>Taxonomic containment in the source benthos subdivision (Appendix 6.1.5 pp.324-325), keeping non-cephalopod molluscs separate from echinoderms and sessile invertebrates.</t>
        </is>
      </c>
      <c r="M17" s="10" t="n">
        <v>10987962.459</v>
      </c>
    </row>
    <row r="18" ht="36" customHeight="1">
      <c r="A18" s="10" t="inlineStr">
        <is>
          <t>LME_036</t>
        </is>
      </c>
      <c r="B18" s="11" t="inlineStr">
        <is>
          <t>36_2_South_China_Sea_SCS-2007_Northern_South_China_Sea_(1970s)</t>
        </is>
      </c>
      <c r="C18" s="11" t="inlineStr">
        <is>
          <t>Acetes japonicus</t>
        </is>
      </c>
      <c r="D18" s="10" t="inlineStr">
        <is>
          <t>Akiami paste shrimp</t>
        </is>
      </c>
      <c r="E18" s="10" t="inlineStr">
        <is>
          <t>Shrimps</t>
        </is>
      </c>
      <c r="F18" s="10" t="inlineStr">
        <is>
          <t>Crustaceans</t>
        </is>
      </c>
      <c r="G18" s="11" t="inlineStr">
        <is>
          <t>Zooplankton</t>
        </is>
      </c>
      <c r="H18" s="12" t="n">
        <v>1</v>
      </c>
      <c r="I18" s="10" t="inlineStr">
        <is>
          <t>single</t>
        </is>
      </c>
      <c r="J18" s="15" t="inlineStr">
        <is>
          <t>high</t>
        </is>
      </c>
      <c r="K18" s="10" t="inlineStr">
        <is>
          <t>explicit_member</t>
        </is>
      </c>
      <c r="L18" s="11" t="inlineStr">
        <is>
          <t>Appendix 6.1.3 p.323 explicitly records Acetes spp. (Mo shrimp) catch in Zooplankton, overriding the SAU shrimp class.</t>
        </is>
      </c>
      <c r="M18" s="10" t="n">
        <v>9781314.523</v>
      </c>
    </row>
    <row r="19" ht="51" customHeight="1">
      <c r="A19" s="10" t="inlineStr">
        <is>
          <t>LME_036</t>
        </is>
      </c>
      <c r="B19" s="11" t="inlineStr">
        <is>
          <t>36_2_South_China_Sea_SCS-2007_Northern_South_China_Sea_(1970s)</t>
        </is>
      </c>
      <c r="C19" s="11" t="inlineStr">
        <is>
          <t>Perciformes</t>
        </is>
      </c>
      <c r="D19" s="10" t="inlineStr">
        <is>
          <t>Perch-likes</t>
        </is>
      </c>
      <c r="E19" s="10" t="inlineStr">
        <is>
          <t>Medium demersals (30 - 89 cm)</t>
        </is>
      </c>
      <c r="F19" s="10" t="inlineStr">
        <is>
          <t>Perch-likes</t>
        </is>
      </c>
      <c r="G19" s="11" t="inlineStr">
        <is>
          <t>Demesral fish (≤ 30 cm)</t>
        </is>
      </c>
      <c r="H19" s="12" t="n">
        <v>0.3854700854700854</v>
      </c>
      <c r="I19" s="10" t="inlineStr">
        <is>
          <t>model_catch</t>
        </is>
      </c>
      <c r="J19" s="13" t="inlineStr">
        <is>
          <t>low</t>
        </is>
      </c>
      <c r="K19" s="10" t="inlineStr">
        <is>
          <t>composite_split</t>
        </is>
      </c>
      <c r="L19" s="11" t="inlineStr">
        <is>
          <t>Analyst coarse-catch inference from SAU Medium demersals (30 - 89 cm) to residual habitat/size pools in Appendix 6.1 pp.335-339, excluding dedicated named taxa; period model catch weights preserve stanza selectivity.</t>
        </is>
      </c>
      <c r="M19" s="10" t="n">
        <v>9772010.148</v>
      </c>
    </row>
    <row r="20" ht="51" customHeight="1">
      <c r="A20" s="10" t="inlineStr">
        <is>
          <t>LME_036</t>
        </is>
      </c>
      <c r="B20" s="11" t="inlineStr">
        <is>
          <t>36_2_South_China_Sea_SCS-2007_Northern_South_China_Sea_(1970s)</t>
        </is>
      </c>
      <c r="C20" s="11" t="inlineStr">
        <is>
          <t>Perciformes</t>
        </is>
      </c>
      <c r="D20" s="10" t="inlineStr">
        <is>
          <t>Perch-likes</t>
        </is>
      </c>
      <c r="E20" s="10" t="inlineStr">
        <is>
          <t>Medium demersals (30 - 89 cm)</t>
        </is>
      </c>
      <c r="F20" s="10" t="inlineStr">
        <is>
          <t>Perch-likes</t>
        </is>
      </c>
      <c r="G20" s="11" t="inlineStr">
        <is>
          <t>Juvenile demersal fish (&gt; 30 cm)</t>
        </is>
      </c>
      <c r="H20" s="12" t="n">
        <v>0.1230769230769231</v>
      </c>
      <c r="I20" s="10" t="inlineStr">
        <is>
          <t>model_catch</t>
        </is>
      </c>
      <c r="J20" s="13" t="inlineStr">
        <is>
          <t>low</t>
        </is>
      </c>
      <c r="K20" s="10" t="inlineStr">
        <is>
          <t>composite_split</t>
        </is>
      </c>
      <c r="L20" s="11" t="inlineStr">
        <is>
          <t>Analyst coarse-catch inference from SAU Medium demersals (30 - 89 cm) to residual habitat/size pools in Appendix 6.1 pp.335-339, excluding dedicated named taxa; period model catch weights preserve stanza selectivity.</t>
        </is>
      </c>
      <c r="M20" s="10" t="n">
        <v>9772010.148</v>
      </c>
    </row>
    <row r="21" ht="51" customHeight="1">
      <c r="A21" s="10" t="inlineStr">
        <is>
          <t>LME_036</t>
        </is>
      </c>
      <c r="B21" s="11" t="inlineStr">
        <is>
          <t>36_2_South_China_Sea_SCS-2007_Northern_South_China_Sea_(1970s)</t>
        </is>
      </c>
      <c r="C21" s="11" t="inlineStr">
        <is>
          <t>Perciformes</t>
        </is>
      </c>
      <c r="D21" s="10" t="inlineStr">
        <is>
          <t>Perch-likes</t>
        </is>
      </c>
      <c r="E21" s="10" t="inlineStr">
        <is>
          <t>Medium demersals (30 - 89 cm)</t>
        </is>
      </c>
      <c r="F21" s="10" t="inlineStr">
        <is>
          <t>Perch-likes</t>
        </is>
      </c>
      <c r="G21" s="11" t="inlineStr">
        <is>
          <t>Adult demersal fish (&gt; 30 cm)</t>
        </is>
      </c>
      <c r="H21" s="12" t="n">
        <v>0.4914529914529914</v>
      </c>
      <c r="I21" s="10" t="inlineStr">
        <is>
          <t>model_catch</t>
        </is>
      </c>
      <c r="J21" s="13" t="inlineStr">
        <is>
          <t>low</t>
        </is>
      </c>
      <c r="K21" s="10" t="inlineStr">
        <is>
          <t>composite_split</t>
        </is>
      </c>
      <c r="L21" s="11" t="inlineStr">
        <is>
          <t>Analyst coarse-catch inference from SAU Medium demersals (30 - 89 cm) to residual habitat/size pools in Appendix 6.1 pp.335-339, excluding dedicated named taxa; period model catch weights preserve stanza selectivity.</t>
        </is>
      </c>
      <c r="M21" s="10" t="n">
        <v>9772010.148</v>
      </c>
    </row>
    <row r="22" ht="51" customHeight="1">
      <c r="A22" s="10" t="inlineStr">
        <is>
          <t>LME_036</t>
        </is>
      </c>
      <c r="B22" s="11" t="inlineStr">
        <is>
          <t>36_2_South_China_Sea_SCS-2007_Northern_South_China_Sea_(1970s)</t>
        </is>
      </c>
      <c r="C22" s="11" t="inlineStr">
        <is>
          <t>Nemipterus</t>
        </is>
      </c>
      <c r="D22" s="10" t="inlineStr">
        <is>
          <t>Threadfin breams</t>
        </is>
      </c>
      <c r="E22" s="10" t="inlineStr">
        <is>
          <t>Small demersals (&lt;30 cm)</t>
        </is>
      </c>
      <c r="F22" s="10" t="inlineStr">
        <is>
          <t>Perch-likes</t>
        </is>
      </c>
      <c r="G22" s="11" t="inlineStr">
        <is>
          <t>Threadfin bream (nemipterids)</t>
        </is>
      </c>
      <c r="H22" s="12" t="n">
        <v>1</v>
      </c>
      <c r="I22" s="10" t="inlineStr">
        <is>
          <t>single</t>
        </is>
      </c>
      <c r="J22" s="15" t="inlineStr">
        <is>
          <t>high</t>
        </is>
      </c>
      <c r="K22" s="10" t="inlineStr">
        <is>
          <t>taxonomic_containment</t>
        </is>
      </c>
      <c r="L22" s="11" t="inlineStr">
        <is>
          <t>Appendix 6.1 pp.327-335 defines Threadfin bream (nemipterids) by this family or explicitly names Nemipterus; dedicated source placement overrides the SAU class Small demersals (&lt;30 cm).</t>
        </is>
      </c>
      <c r="M22" s="10" t="n">
        <v>9101609.18</v>
      </c>
    </row>
    <row r="23" ht="51" customHeight="1">
      <c r="A23" s="10" t="inlineStr">
        <is>
          <t>LME_036</t>
        </is>
      </c>
      <c r="B23" s="11" t="inlineStr">
        <is>
          <t>36_2_South_China_Sea_SCS-2007_Northern_South_China_Sea_(1970s)</t>
        </is>
      </c>
      <c r="C23" s="11" t="inlineStr">
        <is>
          <t>Miscellaneous marine crustaceans</t>
        </is>
      </c>
      <c r="D23" s="10" t="inlineStr">
        <is>
          <t>Marine crabs, shrimps, lobsters nei</t>
        </is>
      </c>
      <c r="E23" s="10" t="inlineStr">
        <is>
          <t>Shrimps</t>
        </is>
      </c>
      <c r="F23" s="10" t="inlineStr">
        <is>
          <t>Crustaceans</t>
        </is>
      </c>
      <c r="G23" s="11" t="inlineStr">
        <is>
          <t>Zooplankton</t>
        </is>
      </c>
      <c r="H23" s="12" t="n">
        <v>0.2569684142645532</v>
      </c>
      <c r="I23" s="10" t="inlineStr">
        <is>
          <t>catch_composition</t>
        </is>
      </c>
      <c r="J23" s="13" t="inlineStr">
        <is>
          <t>low</t>
        </is>
      </c>
      <c r="K23" s="10" t="inlineStr">
        <is>
          <t>composite_split</t>
        </is>
      </c>
      <c r="L23" s="11" t="inlineStr">
        <is>
          <t>Coarse crustacean label spans source Acetes in Zooplankton, other shrimps, crabs and residual benthic crustaceans (Appendix 6.1 pp.323-326); Sergestidae is restricted to the first two. Source membership precedes SAU habitat class.</t>
        </is>
      </c>
      <c r="M23" s="10" t="n">
        <v>8992342.448000001</v>
      </c>
    </row>
    <row r="24" ht="51" customHeight="1">
      <c r="A24" s="10" t="inlineStr">
        <is>
          <t>LME_036</t>
        </is>
      </c>
      <c r="B24" s="11" t="inlineStr">
        <is>
          <t>36_2_South_China_Sea_SCS-2007_Northern_South_China_Sea_(1970s)</t>
        </is>
      </c>
      <c r="C24" s="11" t="inlineStr">
        <is>
          <t>Miscellaneous marine crustaceans</t>
        </is>
      </c>
      <c r="D24" s="10" t="inlineStr">
        <is>
          <t>Marine crabs, shrimps, lobsters nei</t>
        </is>
      </c>
      <c r="E24" s="10" t="inlineStr">
        <is>
          <t>Shrimps</t>
        </is>
      </c>
      <c r="F24" s="10" t="inlineStr">
        <is>
          <t>Crustaceans</t>
        </is>
      </c>
      <c r="G24" s="11" t="inlineStr">
        <is>
          <t>Benthic crustaceans</t>
        </is>
      </c>
      <c r="H24" s="12" t="n">
        <v>0.05182109872625006</v>
      </c>
      <c r="I24" s="10" t="inlineStr">
        <is>
          <t>catch_composition</t>
        </is>
      </c>
      <c r="J24" s="13" t="inlineStr">
        <is>
          <t>low</t>
        </is>
      </c>
      <c r="K24" s="10" t="inlineStr">
        <is>
          <t>composite_split</t>
        </is>
      </c>
      <c r="L24" s="11" t="inlineStr">
        <is>
          <t>Coarse crustacean label spans source Acetes in Zooplankton, other shrimps, crabs and residual benthic crustaceans (Appendix 6.1 pp.323-326); Sergestidae is restricted to the first two. Source membership precedes SAU habitat class.</t>
        </is>
      </c>
      <c r="M24" s="10" t="n">
        <v>8992342.448000001</v>
      </c>
    </row>
    <row r="25" ht="51" customHeight="1">
      <c r="A25" s="10" t="inlineStr">
        <is>
          <t>LME_036</t>
        </is>
      </c>
      <c r="B25" s="11" t="inlineStr">
        <is>
          <t>36_2_South_China_Sea_SCS-2007_Northern_South_China_Sea_(1970s)</t>
        </is>
      </c>
      <c r="C25" s="11" t="inlineStr">
        <is>
          <t>Miscellaneous marine crustaceans</t>
        </is>
      </c>
      <c r="D25" s="10" t="inlineStr">
        <is>
          <t>Marine crabs, shrimps, lobsters nei</t>
        </is>
      </c>
      <c r="E25" s="10" t="inlineStr">
        <is>
          <t>Shrimps</t>
        </is>
      </c>
      <c r="F25" s="10" t="inlineStr">
        <is>
          <t>Crustaceans</t>
        </is>
      </c>
      <c r="G25" s="11" t="inlineStr">
        <is>
          <t>Shrimps</t>
        </is>
      </c>
      <c r="H25" s="12" t="n">
        <v>0.4857199948986228</v>
      </c>
      <c r="I25" s="10" t="inlineStr">
        <is>
          <t>catch_composition</t>
        </is>
      </c>
      <c r="J25" s="13" t="inlineStr">
        <is>
          <t>low</t>
        </is>
      </c>
      <c r="K25" s="10" t="inlineStr">
        <is>
          <t>composite_split</t>
        </is>
      </c>
      <c r="L25" s="11" t="inlineStr">
        <is>
          <t>Coarse crustacean label spans source Acetes in Zooplankton, other shrimps, crabs and residual benthic crustaceans (Appendix 6.1 pp.323-326); Sergestidae is restricted to the first two. Source membership precedes SAU habitat class.</t>
        </is>
      </c>
      <c r="M25" s="10" t="n">
        <v>8992342.448000001</v>
      </c>
    </row>
    <row r="26" ht="51" customHeight="1">
      <c r="A26" s="10" t="inlineStr">
        <is>
          <t>LME_036</t>
        </is>
      </c>
      <c r="B26" s="11" t="inlineStr">
        <is>
          <t>36_2_South_China_Sea_SCS-2007_Northern_South_China_Sea_(1970s)</t>
        </is>
      </c>
      <c r="C26" s="11" t="inlineStr">
        <is>
          <t>Miscellaneous marine crustaceans</t>
        </is>
      </c>
      <c r="D26" s="10" t="inlineStr">
        <is>
          <t>Marine crabs, shrimps, lobsters nei</t>
        </is>
      </c>
      <c r="E26" s="10" t="inlineStr">
        <is>
          <t>Shrimps</t>
        </is>
      </c>
      <c r="F26" s="10" t="inlineStr">
        <is>
          <t>Crustaceans</t>
        </is>
      </c>
      <c r="G26" s="11" t="inlineStr">
        <is>
          <t>Crabs</t>
        </is>
      </c>
      <c r="H26" s="12" t="n">
        <v>0.2054904921105739</v>
      </c>
      <c r="I26" s="10" t="inlineStr">
        <is>
          <t>catch_composition</t>
        </is>
      </c>
      <c r="J26" s="13" t="inlineStr">
        <is>
          <t>low</t>
        </is>
      </c>
      <c r="K26" s="10" t="inlineStr">
        <is>
          <t>composite_split</t>
        </is>
      </c>
      <c r="L26" s="11" t="inlineStr">
        <is>
          <t>Coarse crustacean label spans source Acetes in Zooplankton, other shrimps, crabs and residual benthic crustaceans (Appendix 6.1 pp.323-326); Sergestidae is restricted to the first two. Source membership precedes SAU habitat class.</t>
        </is>
      </c>
      <c r="M26" s="10" t="n">
        <v>8992342.448000001</v>
      </c>
    </row>
    <row r="27" ht="51" customHeight="1">
      <c r="A27" s="10" t="inlineStr">
        <is>
          <t>LME_036</t>
        </is>
      </c>
      <c r="B27" s="11" t="inlineStr">
        <is>
          <t>36_2_South_China_Sea_SCS-2007_Northern_South_China_Sea_(1970s)</t>
        </is>
      </c>
      <c r="C27" s="11" t="inlineStr">
        <is>
          <t>Leiognathidae</t>
        </is>
      </c>
      <c r="D27" s="10" t="inlineStr">
        <is>
          <t>Slipmouths, ponyfishes</t>
        </is>
      </c>
      <c r="E27" s="10" t="inlineStr">
        <is>
          <t>Small benthopelagics (&lt;30 cm)</t>
        </is>
      </c>
      <c r="F27" s="10" t="inlineStr">
        <is>
          <t>Perch-likes</t>
        </is>
      </c>
      <c r="G27" s="11" t="inlineStr">
        <is>
          <t>Benthopelagic fish</t>
        </is>
      </c>
      <c r="H27" s="12" t="n">
        <v>1</v>
      </c>
      <c r="I27" s="10" t="inlineStr">
        <is>
          <t>single</t>
        </is>
      </c>
      <c r="J27" s="13" t="inlineStr">
        <is>
          <t>low</t>
        </is>
      </c>
      <c r="K27" s="10" t="inlineStr">
        <is>
          <t>habitat_size_guild</t>
        </is>
      </c>
      <c r="L27" s="11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  <c r="M27" s="10" t="n">
        <v>8732446.540999999</v>
      </c>
    </row>
    <row r="28" ht="51" customHeight="1">
      <c r="A28" s="10" t="inlineStr">
        <is>
          <t>LME_036</t>
        </is>
      </c>
      <c r="B28" s="11" t="inlineStr">
        <is>
          <t>36_2_South_China_Sea_SCS-2007_Northern_South_China_Sea_(1970s)</t>
        </is>
      </c>
      <c r="C28" s="11" t="inlineStr">
        <is>
          <t>Engraulis japonicus</t>
        </is>
      </c>
      <c r="D28" s="10" t="inlineStr">
        <is>
          <t>Japanese anchovy</t>
        </is>
      </c>
      <c r="E28" s="10" t="inlineStr">
        <is>
          <t>Small pelagics (&lt;30 cm)</t>
        </is>
      </c>
      <c r="F28" s="10" t="inlineStr">
        <is>
          <t>Anchovies</t>
        </is>
      </c>
      <c r="G28" s="11" t="inlineStr">
        <is>
          <t>Pelagic fish (≤ 30 cm)</t>
        </is>
      </c>
      <c r="H28" s="12" t="n">
        <v>1</v>
      </c>
      <c r="I28" s="10" t="inlineStr">
        <is>
          <t>single</t>
        </is>
      </c>
      <c r="J28" s="14" t="inlineStr">
        <is>
          <t>medium</t>
        </is>
      </c>
      <c r="K28" s="10" t="inlineStr">
        <is>
          <t>habitat_size_guild</t>
        </is>
      </c>
      <c r="L28" s="11" t="inlineStr">
        <is>
          <t>Source small-pelagic pool explicitly includes sardines, thryssa and anchovies (Appendix 6.1.23 p.338); extension to the catch lineage uses SAU size as a proxy and is not a full species list.</t>
        </is>
      </c>
      <c r="M28" s="10" t="n">
        <v>8554508.117000001</v>
      </c>
    </row>
    <row r="29" ht="36" customHeight="1">
      <c r="A29" s="10" t="inlineStr">
        <is>
          <t>LME_036</t>
        </is>
      </c>
      <c r="B29" s="11" t="inlineStr">
        <is>
          <t>36_2_South_China_Sea_SCS-2007_Northern_South_China_Sea_(1970s)</t>
        </is>
      </c>
      <c r="C29" s="11" t="inlineStr">
        <is>
          <t>Scomberomorus</t>
        </is>
      </c>
      <c r="D29" s="10" t="inlineStr">
        <is>
          <t>Spanish mackerels</t>
        </is>
      </c>
      <c r="E29" s="10" t="inlineStr">
        <is>
          <t>Large pelagics (&gt;=90 cm)</t>
        </is>
      </c>
      <c r="F29" s="10" t="inlineStr">
        <is>
          <t>Perch-likes</t>
        </is>
      </c>
      <c r="G29" s="11" t="inlineStr">
        <is>
          <t>Juvenile large pelagic fish</t>
        </is>
      </c>
      <c r="H29" s="12" t="n">
        <v>0.2016806722689076</v>
      </c>
      <c r="I29" s="10" t="inlineStr">
        <is>
          <t>model_catch</t>
        </is>
      </c>
      <c r="J29" s="14" t="inlineStr">
        <is>
          <t>medium</t>
        </is>
      </c>
      <c r="K29" s="10" t="inlineStr">
        <is>
          <t>composite_split</t>
        </is>
      </c>
      <c r="L29" s="11" t="inlineStr">
        <is>
          <t>Analyst habitat/size inference to source &gt;30 cm pelagic fish (Appendix 6.1.24 p.339); no age data, so split juvenile/adult using the period model catch.</t>
        </is>
      </c>
      <c r="M29" s="10" t="n">
        <v>7754915.997</v>
      </c>
    </row>
    <row r="30" ht="36" customHeight="1">
      <c r="A30" s="10" t="inlineStr">
        <is>
          <t>LME_036</t>
        </is>
      </c>
      <c r="B30" s="11" t="inlineStr">
        <is>
          <t>36_2_South_China_Sea_SCS-2007_Northern_South_China_Sea_(1970s)</t>
        </is>
      </c>
      <c r="C30" s="11" t="inlineStr">
        <is>
          <t>Scomberomorus</t>
        </is>
      </c>
      <c r="D30" s="10" t="inlineStr">
        <is>
          <t>Spanish mackerels</t>
        </is>
      </c>
      <c r="E30" s="10" t="inlineStr">
        <is>
          <t>Large pelagics (&gt;=90 cm)</t>
        </is>
      </c>
      <c r="F30" s="10" t="inlineStr">
        <is>
          <t>Perch-likes</t>
        </is>
      </c>
      <c r="G30" s="11" t="inlineStr">
        <is>
          <t>Pelagic fish (&gt; 30 cm)</t>
        </is>
      </c>
      <c r="H30" s="12" t="n">
        <v>0.7983193277310925</v>
      </c>
      <c r="I30" s="10" t="inlineStr">
        <is>
          <t>model_catch</t>
        </is>
      </c>
      <c r="J30" s="14" t="inlineStr">
        <is>
          <t>medium</t>
        </is>
      </c>
      <c r="K30" s="10" t="inlineStr">
        <is>
          <t>composite_split</t>
        </is>
      </c>
      <c r="L30" s="11" t="inlineStr">
        <is>
          <t>Analyst habitat/size inference to source &gt;30 cm pelagic fish (Appendix 6.1.24 p.339); no age data, so split juvenile/adult using the period model catch.</t>
        </is>
      </c>
      <c r="M30" s="10" t="n">
        <v>7754915.997</v>
      </c>
    </row>
    <row r="31" ht="36" customHeight="1">
      <c r="A31" s="10" t="inlineStr">
        <is>
          <t>LME_036</t>
        </is>
      </c>
      <c r="B31" s="11" t="inlineStr">
        <is>
          <t>36_2_South_China_Sea_SCS-2007_Northern_South_China_Sea_(1970s)</t>
        </is>
      </c>
      <c r="C31" s="11" t="inlineStr">
        <is>
          <t>Scombridae</t>
        </is>
      </c>
      <c r="D31" s="10" t="inlineStr">
        <is>
          <t>Mackerels, tunas, bonitos</t>
        </is>
      </c>
      <c r="E31" s="10" t="inlineStr">
        <is>
          <t>Medium pelagics (30 - 89 cm)</t>
        </is>
      </c>
      <c r="F31" s="10" t="inlineStr">
        <is>
          <t>Perch-likes</t>
        </is>
      </c>
      <c r="G31" s="11" t="inlineStr">
        <is>
          <t>Juvenile large pelagic fish</t>
        </is>
      </c>
      <c r="H31" s="12" t="n">
        <v>0.2016806722689076</v>
      </c>
      <c r="I31" s="10" t="inlineStr">
        <is>
          <t>model_catch</t>
        </is>
      </c>
      <c r="J31" s="14" t="inlineStr">
        <is>
          <t>medium</t>
        </is>
      </c>
      <c r="K31" s="10" t="inlineStr">
        <is>
          <t>composite_split</t>
        </is>
      </c>
      <c r="L31" s="11" t="inlineStr">
        <is>
          <t>Analyst habitat/size inference to source &gt;30 cm pelagic fish (Appendix 6.1.24 p.339); no age data, so split juvenile/adult using the period model catch.</t>
        </is>
      </c>
      <c r="M31" s="10" t="n">
        <v>7594397.678</v>
      </c>
    </row>
    <row r="32" ht="36" customHeight="1">
      <c r="A32" s="10" t="inlineStr">
        <is>
          <t>LME_036</t>
        </is>
      </c>
      <c r="B32" s="11" t="inlineStr">
        <is>
          <t>36_2_South_China_Sea_SCS-2007_Northern_South_China_Sea_(1970s)</t>
        </is>
      </c>
      <c r="C32" s="11" t="inlineStr">
        <is>
          <t>Scombridae</t>
        </is>
      </c>
      <c r="D32" s="10" t="inlineStr">
        <is>
          <t>Mackerels, tunas, bonitos</t>
        </is>
      </c>
      <c r="E32" s="10" t="inlineStr">
        <is>
          <t>Medium pelagics (30 - 89 cm)</t>
        </is>
      </c>
      <c r="F32" s="10" t="inlineStr">
        <is>
          <t>Perch-likes</t>
        </is>
      </c>
      <c r="G32" s="11" t="inlineStr">
        <is>
          <t>Pelagic fish (&gt; 30 cm)</t>
        </is>
      </c>
      <c r="H32" s="12" t="n">
        <v>0.7983193277310925</v>
      </c>
      <c r="I32" s="10" t="inlineStr">
        <is>
          <t>model_catch</t>
        </is>
      </c>
      <c r="J32" s="14" t="inlineStr">
        <is>
          <t>medium</t>
        </is>
      </c>
      <c r="K32" s="10" t="inlineStr">
        <is>
          <t>composite_split</t>
        </is>
      </c>
      <c r="L32" s="11" t="inlineStr">
        <is>
          <t>Analyst habitat/size inference to source &gt;30 cm pelagic fish (Appendix 6.1.24 p.339); no age data, so split juvenile/adult using the period model catch.</t>
        </is>
      </c>
      <c r="M32" s="10" t="n">
        <v>7594397.678</v>
      </c>
    </row>
    <row r="33" ht="51" customHeight="1">
      <c r="A33" s="10" t="inlineStr">
        <is>
          <t>LME_036</t>
        </is>
      </c>
      <c r="B33" s="11" t="inlineStr">
        <is>
          <t>36_2_South_China_Sea_SCS-2007_Northern_South_China_Sea_(1970s)</t>
        </is>
      </c>
      <c r="C33" s="11" t="inlineStr">
        <is>
          <t>Sparidae</t>
        </is>
      </c>
      <c r="D33" s="10" t="inlineStr">
        <is>
          <t>Porgies, seabreams</t>
        </is>
      </c>
      <c r="E33" s="10" t="inlineStr">
        <is>
          <t>Medium benthopelagics (30 - 89 cm)</t>
        </is>
      </c>
      <c r="F33" s="10" t="inlineStr">
        <is>
          <t>Perch-likes</t>
        </is>
      </c>
      <c r="G33" s="11" t="inlineStr">
        <is>
          <t>Benthopelagic fish</t>
        </is>
      </c>
      <c r="H33" s="12" t="n">
        <v>1</v>
      </c>
      <c r="I33" s="10" t="inlineStr">
        <is>
          <t>single</t>
        </is>
      </c>
      <c r="J33" s="13" t="inlineStr">
        <is>
          <t>low</t>
        </is>
      </c>
      <c r="K33" s="10" t="inlineStr">
        <is>
          <t>habitat_size_guild</t>
        </is>
      </c>
      <c r="L33" s="11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  <c r="M33" s="10" t="n">
        <v>7364108.588</v>
      </c>
    </row>
    <row r="34" ht="51" customHeight="1">
      <c r="A34" s="10" t="inlineStr">
        <is>
          <t>LME_036</t>
        </is>
      </c>
      <c r="B34" s="11" t="inlineStr">
        <is>
          <t>36_2_South_China_Sea_SCS-2007_Northern_South_China_Sea_(1970s)</t>
        </is>
      </c>
      <c r="C34" s="11" t="inlineStr">
        <is>
          <t>Sciaenidae</t>
        </is>
      </c>
      <c r="D34" s="10" t="inlineStr">
        <is>
          <t>Drums, croakers</t>
        </is>
      </c>
      <c r="E34" s="10" t="inlineStr">
        <is>
          <t>Medium demersals (30 - 89 cm)</t>
        </is>
      </c>
      <c r="F34" s="10" t="inlineStr">
        <is>
          <t>Perch-likes</t>
        </is>
      </c>
      <c r="G34" s="11" t="inlineStr">
        <is>
          <t>Croakers (≤ 30 cm)</t>
        </is>
      </c>
      <c r="H34" s="12" t="n">
        <v>0.2253521126760564</v>
      </c>
      <c r="I34" s="10" t="inlineStr">
        <is>
          <t>model_catch</t>
        </is>
      </c>
      <c r="J34" s="13" t="inlineStr">
        <is>
          <t>low</t>
        </is>
      </c>
      <c r="K34" s="10" t="inlineStr">
        <is>
          <t>composite_split</t>
        </is>
      </c>
      <c r="L34" s="11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  <c r="M34" s="10" t="n">
        <v>6844598.676</v>
      </c>
    </row>
    <row r="35" ht="51" customHeight="1">
      <c r="A35" s="10" t="inlineStr">
        <is>
          <t>LME_036</t>
        </is>
      </c>
      <c r="B35" s="11" t="inlineStr">
        <is>
          <t>36_2_South_China_Sea_SCS-2007_Northern_South_China_Sea_(1970s)</t>
        </is>
      </c>
      <c r="C35" s="11" t="inlineStr">
        <is>
          <t>Sciaenidae</t>
        </is>
      </c>
      <c r="D35" s="10" t="inlineStr">
        <is>
          <t>Drums, croakers</t>
        </is>
      </c>
      <c r="E35" s="10" t="inlineStr">
        <is>
          <t>Medium demersals (30 - 89 cm)</t>
        </is>
      </c>
      <c r="F35" s="10" t="inlineStr">
        <is>
          <t>Perch-likes</t>
        </is>
      </c>
      <c r="G35" s="11" t="inlineStr">
        <is>
          <t>Juvenile large croakers</t>
        </is>
      </c>
      <c r="H35" s="12" t="n">
        <v>0.1549295774647887</v>
      </c>
      <c r="I35" s="10" t="inlineStr">
        <is>
          <t>model_catch</t>
        </is>
      </c>
      <c r="J35" s="13" t="inlineStr">
        <is>
          <t>low</t>
        </is>
      </c>
      <c r="K35" s="10" t="inlineStr">
        <is>
          <t>composite_split</t>
        </is>
      </c>
      <c r="L35" s="11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  <c r="M35" s="10" t="n">
        <v>6844598.676</v>
      </c>
    </row>
    <row r="36" ht="51" customHeight="1">
      <c r="A36" s="10" t="inlineStr">
        <is>
          <t>LME_036</t>
        </is>
      </c>
      <c r="B36" s="11" t="inlineStr">
        <is>
          <t>36_2_South_China_Sea_SCS-2007_Northern_South_China_Sea_(1970s)</t>
        </is>
      </c>
      <c r="C36" s="11" t="inlineStr">
        <is>
          <t>Sciaenidae</t>
        </is>
      </c>
      <c r="D36" s="10" t="inlineStr">
        <is>
          <t>Drums, croakers</t>
        </is>
      </c>
      <c r="E36" s="10" t="inlineStr">
        <is>
          <t>Medium demersals (30 - 89 cm)</t>
        </is>
      </c>
      <c r="F36" s="10" t="inlineStr">
        <is>
          <t>Perch-likes</t>
        </is>
      </c>
      <c r="G36" s="11" t="inlineStr">
        <is>
          <t>Croakers (&gt; 30 cm)</t>
        </is>
      </c>
      <c r="H36" s="12" t="n">
        <v>0.619718309859155</v>
      </c>
      <c r="I36" s="10" t="inlineStr">
        <is>
          <t>model_catch</t>
        </is>
      </c>
      <c r="J36" s="13" t="inlineStr">
        <is>
          <t>low</t>
        </is>
      </c>
      <c r="K36" s="10" t="inlineStr">
        <is>
          <t>composite_split</t>
        </is>
      </c>
      <c r="L36" s="11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  <c r="M36" s="10" t="n">
        <v>6844598.676</v>
      </c>
    </row>
    <row r="37" ht="36" customHeight="1">
      <c r="A37" s="10" t="inlineStr">
        <is>
          <t>LME_036</t>
        </is>
      </c>
      <c r="B37" s="11" t="inlineStr">
        <is>
          <t>36_2_South_China_Sea_SCS-2007_Northern_South_China_Sea_(1970s)</t>
        </is>
      </c>
      <c r="C37" s="11" t="inlineStr">
        <is>
          <t>Dendrobranchiata</t>
        </is>
      </c>
      <c r="D37" s="10" t="inlineStr">
        <is>
          <t>Shrimps and prawns</t>
        </is>
      </c>
      <c r="E37" s="10" t="inlineStr">
        <is>
          <t>Shrimps</t>
        </is>
      </c>
      <c r="F37" s="10" t="inlineStr">
        <is>
          <t>Crustaceans</t>
        </is>
      </c>
      <c r="G37" s="11" t="inlineStr">
        <is>
          <t>Shrimps</t>
        </is>
      </c>
      <c r="H37" s="12" t="n">
        <v>1</v>
      </c>
      <c r="I37" s="10" t="inlineStr">
        <is>
          <t>single</t>
        </is>
      </c>
      <c r="J37" s="15" t="inlineStr">
        <is>
          <t>high</t>
        </is>
      </c>
      <c r="K37" s="10" t="inlineStr">
        <is>
          <t>taxonomic_containment</t>
        </is>
      </c>
      <c r="L37" s="11" t="inlineStr">
        <is>
          <t>Stomatopods belong to the residual benthic crustaceans; other shrimp taxa belong to Shrimps after the explicitly separated Acetes records (Appendix 6.1 pp.323-326).</t>
        </is>
      </c>
      <c r="M37" s="10" t="n">
        <v>5867364.45</v>
      </c>
    </row>
    <row r="38" ht="51" customHeight="1">
      <c r="A38" s="10" t="inlineStr">
        <is>
          <t>LME_036</t>
        </is>
      </c>
      <c r="B38" s="11" t="inlineStr">
        <is>
          <t>36_2_South_China_Sea_SCS-2007_Northern_South_China_Sea_(1970s)</t>
        </is>
      </c>
      <c r="C38" s="11" t="inlineStr">
        <is>
          <t>Sardinella</t>
        </is>
      </c>
      <c r="D38" s="10" t="inlineStr">
        <is>
          <t>Sardinellas</t>
        </is>
      </c>
      <c r="E38" s="10" t="inlineStr">
        <is>
          <t>Small pelagics (&lt;30 cm)</t>
        </is>
      </c>
      <c r="F38" s="10" t="inlineStr">
        <is>
          <t>Herring-likes</t>
        </is>
      </c>
      <c r="G38" s="11" t="inlineStr">
        <is>
          <t>Pelagic fish (≤ 30 cm)</t>
        </is>
      </c>
      <c r="H38" s="12" t="n">
        <v>1</v>
      </c>
      <c r="I38" s="10" t="inlineStr">
        <is>
          <t>single</t>
        </is>
      </c>
      <c r="J38" s="14" t="inlineStr">
        <is>
          <t>medium</t>
        </is>
      </c>
      <c r="K38" s="10" t="inlineStr">
        <is>
          <t>habitat_size_guild</t>
        </is>
      </c>
      <c r="L38" s="11" t="inlineStr">
        <is>
          <t>Source small-pelagic pool explicitly includes sardines, thryssa and anchovies (Appendix 6.1.23 p.338); extension to the catch lineage uses SAU size as a proxy and is not a full species list.</t>
        </is>
      </c>
      <c r="M38" s="10" t="n">
        <v>5559746.225</v>
      </c>
    </row>
    <row r="39" ht="51" customHeight="1">
      <c r="A39" s="10" t="inlineStr">
        <is>
          <t>LME_036</t>
        </is>
      </c>
      <c r="B39" s="11" t="inlineStr">
        <is>
          <t>36_2_South_China_Sea_SCS-2007_Northern_South_China_Sea_(1970s)</t>
        </is>
      </c>
      <c r="C39" s="11" t="inlineStr">
        <is>
          <t>Marine finfishes not identified</t>
        </is>
      </c>
      <c r="D39" s="10" t="inlineStr">
        <is>
          <t>Finfishes</t>
        </is>
      </c>
      <c r="E39" s="10" t="inlineStr">
        <is>
          <t>Medium demersals (30 - 89 cm)</t>
        </is>
      </c>
      <c r="F39" s="10" t="inlineStr">
        <is>
          <t>Other fishes &amp; inverts</t>
        </is>
      </c>
      <c r="G39" s="11" t="inlineStr">
        <is>
          <t>Demesral fish (≤ 30 cm)</t>
        </is>
      </c>
      <c r="H39" s="12" t="n">
        <v>0.3854700854700854</v>
      </c>
      <c r="I39" s="10" t="inlineStr">
        <is>
          <t>model_catch</t>
        </is>
      </c>
      <c r="J39" s="13" t="inlineStr">
        <is>
          <t>low</t>
        </is>
      </c>
      <c r="K39" s="10" t="inlineStr">
        <is>
          <t>composite_split</t>
        </is>
      </c>
      <c r="L39" s="11" t="inlineStr">
        <is>
          <t>Analyst coarse-catch inference from SAU Medium demersals (30 - 89 cm) to residual habitat/size pools in Appendix 6.1 pp.335-339, excluding dedicated named taxa; period model catch weights preserve stanza selectivity.</t>
        </is>
      </c>
      <c r="M39" s="10" t="n">
        <v>5351658.523</v>
      </c>
    </row>
    <row r="40" ht="51" customHeight="1">
      <c r="A40" s="10" t="inlineStr">
        <is>
          <t>LME_036</t>
        </is>
      </c>
      <c r="B40" s="11" t="inlineStr">
        <is>
          <t>36_2_South_China_Sea_SCS-2007_Northern_South_China_Sea_(1970s)</t>
        </is>
      </c>
      <c r="C40" s="11" t="inlineStr">
        <is>
          <t>Marine finfishes not identified</t>
        </is>
      </c>
      <c r="D40" s="10" t="inlineStr">
        <is>
          <t>Finfishes</t>
        </is>
      </c>
      <c r="E40" s="10" t="inlineStr">
        <is>
          <t>Medium demersals (30 - 89 cm)</t>
        </is>
      </c>
      <c r="F40" s="10" t="inlineStr">
        <is>
          <t>Other fishes &amp; inverts</t>
        </is>
      </c>
      <c r="G40" s="11" t="inlineStr">
        <is>
          <t>Juvenile demersal fish (&gt; 30 cm)</t>
        </is>
      </c>
      <c r="H40" s="12" t="n">
        <v>0.1230769230769231</v>
      </c>
      <c r="I40" s="10" t="inlineStr">
        <is>
          <t>model_catch</t>
        </is>
      </c>
      <c r="J40" s="13" t="inlineStr">
        <is>
          <t>low</t>
        </is>
      </c>
      <c r="K40" s="10" t="inlineStr">
        <is>
          <t>composite_split</t>
        </is>
      </c>
      <c r="L40" s="11" t="inlineStr">
        <is>
          <t>Analyst coarse-catch inference from SAU Medium demersals (30 - 89 cm) to residual habitat/size pools in Appendix 6.1 pp.335-339, excluding dedicated named taxa; period model catch weights preserve stanza selectivity.</t>
        </is>
      </c>
      <c r="M40" s="10" t="n">
        <v>5351658.523</v>
      </c>
    </row>
    <row r="41" ht="51" customHeight="1">
      <c r="A41" s="10" t="inlineStr">
        <is>
          <t>LME_036</t>
        </is>
      </c>
      <c r="B41" s="11" t="inlineStr">
        <is>
          <t>36_2_South_China_Sea_SCS-2007_Northern_South_China_Sea_(1970s)</t>
        </is>
      </c>
      <c r="C41" s="11" t="inlineStr">
        <is>
          <t>Marine finfishes not identified</t>
        </is>
      </c>
      <c r="D41" s="10" t="inlineStr">
        <is>
          <t>Finfishes</t>
        </is>
      </c>
      <c r="E41" s="10" t="inlineStr">
        <is>
          <t>Medium demersals (30 - 89 cm)</t>
        </is>
      </c>
      <c r="F41" s="10" t="inlineStr">
        <is>
          <t>Other fishes &amp; inverts</t>
        </is>
      </c>
      <c r="G41" s="11" t="inlineStr">
        <is>
          <t>Adult demersal fish (&gt; 30 cm)</t>
        </is>
      </c>
      <c r="H41" s="12" t="n">
        <v>0.4914529914529914</v>
      </c>
      <c r="I41" s="10" t="inlineStr">
        <is>
          <t>model_catch</t>
        </is>
      </c>
      <c r="J41" s="13" t="inlineStr">
        <is>
          <t>low</t>
        </is>
      </c>
      <c r="K41" s="10" t="inlineStr">
        <is>
          <t>composite_split</t>
        </is>
      </c>
      <c r="L41" s="11" t="inlineStr">
        <is>
          <t>Analyst coarse-catch inference from SAU Medium demersals (30 - 89 cm) to residual habitat/size pools in Appendix 6.1 pp.335-339, excluding dedicated named taxa; period model catch weights preserve stanza selectivity.</t>
        </is>
      </c>
      <c r="M41" s="10" t="n">
        <v>5351658.523</v>
      </c>
    </row>
    <row r="42" ht="51" customHeight="1">
      <c r="A42" s="10" t="inlineStr">
        <is>
          <t>LME_036</t>
        </is>
      </c>
      <c r="B42" s="11" t="inlineStr">
        <is>
          <t>36_2_South_China_Sea_SCS-2007_Northern_South_China_Sea_(1970s)</t>
        </is>
      </c>
      <c r="C42" s="11" t="inlineStr">
        <is>
          <t>Priacanthus</t>
        </is>
      </c>
      <c r="D42" s="10" t="inlineStr">
        <is>
          <t>Bigeyes</t>
        </is>
      </c>
      <c r="E42" s="10" t="inlineStr">
        <is>
          <t>Medium reef assoc. fish (30 - 89 cm)</t>
        </is>
      </c>
      <c r="F42" s="10" t="inlineStr">
        <is>
          <t>Perch-likes</t>
        </is>
      </c>
      <c r="G42" s="11" t="inlineStr">
        <is>
          <t>Bigeyes (priacanthids)</t>
        </is>
      </c>
      <c r="H42" s="12" t="n">
        <v>1</v>
      </c>
      <c r="I42" s="10" t="inlineStr">
        <is>
          <t>single</t>
        </is>
      </c>
      <c r="J42" s="15" t="inlineStr">
        <is>
          <t>high</t>
        </is>
      </c>
      <c r="K42" s="10" t="inlineStr">
        <is>
          <t>taxonomic_containment</t>
        </is>
      </c>
      <c r="L42" s="11" t="inlineStr">
        <is>
          <t>Appendix 6.1 pp.327-335 defines Bigeyes (priacanthids) by this family or explicitly names Priacanthus; dedicated source placement overrides the SAU class Medium reef assoc. fish (30 - 89 cm).</t>
        </is>
      </c>
      <c r="M42" s="10" t="n">
        <v>4439431.951</v>
      </c>
    </row>
    <row r="43" ht="36" customHeight="1">
      <c r="A43" s="10" t="inlineStr">
        <is>
          <t>LME_036</t>
        </is>
      </c>
      <c r="B43" s="11" t="inlineStr">
        <is>
          <t>36_2_South_China_Sea_SCS-2007_Northern_South_China_Sea_(1970s)</t>
        </is>
      </c>
      <c r="C43" s="11" t="inlineStr">
        <is>
          <t>Penaeidae</t>
        </is>
      </c>
      <c r="D43" s="10" t="inlineStr">
        <is>
          <t>Commercial shrimps and prawns</t>
        </is>
      </c>
      <c r="E43" s="10" t="inlineStr">
        <is>
          <t>Shrimps</t>
        </is>
      </c>
      <c r="F43" s="10" t="inlineStr">
        <is>
          <t>Crustaceans</t>
        </is>
      </c>
      <c r="G43" s="11" t="inlineStr">
        <is>
          <t>Shrimps</t>
        </is>
      </c>
      <c r="H43" s="12" t="n">
        <v>1</v>
      </c>
      <c r="I43" s="10" t="inlineStr">
        <is>
          <t>single</t>
        </is>
      </c>
      <c r="J43" s="15" t="inlineStr">
        <is>
          <t>high</t>
        </is>
      </c>
      <c r="K43" s="10" t="inlineStr">
        <is>
          <t>taxonomic_containment</t>
        </is>
      </c>
      <c r="L43" s="11" t="inlineStr">
        <is>
          <t>Stomatopods belong to the residual benthic crustaceans; other shrimp taxa belong to Shrimps after the explicitly separated Acetes records (Appendix 6.1 pp.323-326).</t>
        </is>
      </c>
      <c r="M43" s="10" t="n">
        <v>4293768.542</v>
      </c>
    </row>
    <row r="44" ht="36" customHeight="1">
      <c r="A44" s="10" t="inlineStr">
        <is>
          <t>LME_036</t>
        </is>
      </c>
      <c r="B44" s="11" t="inlineStr">
        <is>
          <t>36_2_South_China_Sea_SCS-2007_Northern_South_China_Sea_(1970s)</t>
        </is>
      </c>
      <c r="C44" s="11" t="inlineStr">
        <is>
          <t>Loliginidae</t>
        </is>
      </c>
      <c r="D44" s="10" t="inlineStr">
        <is>
          <t>Common pencil squids</t>
        </is>
      </c>
      <c r="E44" s="10" t="inlineStr">
        <is>
          <t>Cephalopods</t>
        </is>
      </c>
      <c r="F44" s="10" t="inlineStr">
        <is>
          <t>Other fishes &amp; inverts</t>
        </is>
      </c>
      <c r="G44" s="11" t="inlineStr">
        <is>
          <t>Cephalopods</t>
        </is>
      </c>
      <c r="H44" s="12" t="n">
        <v>1</v>
      </c>
      <c r="I44" s="10" t="inlineStr">
        <is>
          <t>single</t>
        </is>
      </c>
      <c r="J44" s="15" t="inlineStr">
        <is>
          <t>high</t>
        </is>
      </c>
      <c r="K44" s="10" t="inlineStr">
        <is>
          <t>taxonomic_containment</t>
        </is>
      </c>
      <c r="L44" s="11" t="inlineStr">
        <is>
          <t>Cephalopoda is contained by the single source Cephalopods group, Appendix 6.1.8 pp.326-327.</t>
        </is>
      </c>
      <c r="M44" s="10" t="n">
        <v>4279272.653</v>
      </c>
    </row>
    <row r="45" ht="36" customHeight="1">
      <c r="A45" s="10" t="inlineStr">
        <is>
          <t>LME_036</t>
        </is>
      </c>
      <c r="B45" s="11" t="inlineStr">
        <is>
          <t>36_2_South_China_Sea_SCS-2007_Northern_South_China_Sea_(1970s)</t>
        </is>
      </c>
      <c r="C45" s="11" t="inlineStr">
        <is>
          <t>Scomber japonicus</t>
        </is>
      </c>
      <c r="D45" s="10" t="inlineStr">
        <is>
          <t>Pacific chub mackerel</t>
        </is>
      </c>
      <c r="E45" s="10" t="inlineStr">
        <is>
          <t>Medium pelagics (30 - 89 cm)</t>
        </is>
      </c>
      <c r="F45" s="10" t="inlineStr">
        <is>
          <t>Perch-likes</t>
        </is>
      </c>
      <c r="G45" s="11" t="inlineStr">
        <is>
          <t>Juvenile large pelagic fish</t>
        </is>
      </c>
      <c r="H45" s="12" t="n">
        <v>0.2016806722689076</v>
      </c>
      <c r="I45" s="10" t="inlineStr">
        <is>
          <t>model_catch</t>
        </is>
      </c>
      <c r="J45" s="14" t="inlineStr">
        <is>
          <t>medium</t>
        </is>
      </c>
      <c r="K45" s="10" t="inlineStr">
        <is>
          <t>composite_split</t>
        </is>
      </c>
      <c r="L45" s="11" t="inlineStr">
        <is>
          <t>Analyst habitat/size inference to source &gt;30 cm pelagic fish (Appendix 6.1.24 p.339); no age data, so split juvenile/adult using the period model catch.</t>
        </is>
      </c>
      <c r="M45" s="10" t="n">
        <v>4253440.103</v>
      </c>
    </row>
    <row r="46" ht="36" customHeight="1">
      <c r="A46" s="10" t="inlineStr">
        <is>
          <t>LME_036</t>
        </is>
      </c>
      <c r="B46" s="11" t="inlineStr">
        <is>
          <t>36_2_South_China_Sea_SCS-2007_Northern_South_China_Sea_(1970s)</t>
        </is>
      </c>
      <c r="C46" s="11" t="inlineStr">
        <is>
          <t>Scomber japonicus</t>
        </is>
      </c>
      <c r="D46" s="10" t="inlineStr">
        <is>
          <t>Pacific chub mackerel</t>
        </is>
      </c>
      <c r="E46" s="10" t="inlineStr">
        <is>
          <t>Medium pelagics (30 - 89 cm)</t>
        </is>
      </c>
      <c r="F46" s="10" t="inlineStr">
        <is>
          <t>Perch-likes</t>
        </is>
      </c>
      <c r="G46" s="11" t="inlineStr">
        <is>
          <t>Pelagic fish (&gt; 30 cm)</t>
        </is>
      </c>
      <c r="H46" s="12" t="n">
        <v>0.7983193277310925</v>
      </c>
      <c r="I46" s="10" t="inlineStr">
        <is>
          <t>model_catch</t>
        </is>
      </c>
      <c r="J46" s="14" t="inlineStr">
        <is>
          <t>medium</t>
        </is>
      </c>
      <c r="K46" s="10" t="inlineStr">
        <is>
          <t>composite_split</t>
        </is>
      </c>
      <c r="L46" s="11" t="inlineStr">
        <is>
          <t>Analyst habitat/size inference to source &gt;30 cm pelagic fish (Appendix 6.1.24 p.339); no age data, so split juvenile/adult using the period model catch.</t>
        </is>
      </c>
      <c r="M46" s="10" t="n">
        <v>4253440.103</v>
      </c>
    </row>
    <row r="47" ht="36" customHeight="1">
      <c r="A47" s="10" t="inlineStr">
        <is>
          <t>LME_036</t>
        </is>
      </c>
      <c r="B47" s="11" t="inlineStr">
        <is>
          <t>36_2_South_China_Sea_SCS-2007_Northern_South_China_Sea_(1970s)</t>
        </is>
      </c>
      <c r="C47" s="11" t="inlineStr">
        <is>
          <t>Portunus trituberculatus</t>
        </is>
      </c>
      <c r="D47" s="10" t="inlineStr">
        <is>
          <t>Gazami crab</t>
        </is>
      </c>
      <c r="E47" s="10" t="inlineStr">
        <is>
          <t>Lobsters, crabs</t>
        </is>
      </c>
      <c r="F47" s="10" t="inlineStr">
        <is>
          <t>Crustaceans</t>
        </is>
      </c>
      <c r="G47" s="11" t="inlineStr">
        <is>
          <t>Crabs</t>
        </is>
      </c>
      <c r="H47" s="12" t="n">
        <v>1</v>
      </c>
      <c r="I47" s="10" t="inlineStr">
        <is>
          <t>single</t>
        </is>
      </c>
      <c r="J47" s="15" t="inlineStr">
        <is>
          <t>high</t>
        </is>
      </c>
      <c r="K47" s="10" t="inlineStr">
        <is>
          <t>taxonomic_containment</t>
        </is>
      </c>
      <c r="L47" s="11" t="inlineStr">
        <is>
          <t>Source benthic crustaceans exclude shrimps and crabs (Appendix 6.1.5 p.324); lobsters remain in that residual, while true crabs use Crabs.</t>
        </is>
      </c>
      <c r="M47" s="10" t="n">
        <v>3963780.828</v>
      </c>
    </row>
    <row r="48" ht="51" customHeight="1">
      <c r="A48" s="10" t="inlineStr">
        <is>
          <t>LME_036</t>
        </is>
      </c>
      <c r="B48" s="11" t="inlineStr">
        <is>
          <t>36_2_South_China_Sea_SCS-2007_Northern_South_China_Sea_(1970s)</t>
        </is>
      </c>
      <c r="C48" s="11" t="inlineStr">
        <is>
          <t>Monacanthidae</t>
        </is>
      </c>
      <c r="D48" s="10" t="inlineStr">
        <is>
          <t>Filefishes</t>
        </is>
      </c>
      <c r="E48" s="10" t="inlineStr">
        <is>
          <t>Medium reef assoc. fish (30 - 89 cm)</t>
        </is>
      </c>
      <c r="F48" s="10" t="inlineStr">
        <is>
          <t>Other fishes &amp; inverts</t>
        </is>
      </c>
      <c r="G48" s="11" t="inlineStr">
        <is>
          <t>Juvenile demersal fish (&gt; 30 cm)</t>
        </is>
      </c>
      <c r="H48" s="12" t="n">
        <v>0.2002781641168289</v>
      </c>
      <c r="I48" s="10" t="inlineStr">
        <is>
          <t>model_catch</t>
        </is>
      </c>
      <c r="J48" s="14" t="inlineStr">
        <is>
          <t>medium</t>
        </is>
      </c>
      <c r="K48" s="10" t="inlineStr">
        <is>
          <t>composite_split</t>
        </is>
      </c>
      <c r="L48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8" s="10" t="n">
        <v>3962408.345</v>
      </c>
    </row>
    <row r="49" ht="51" customHeight="1">
      <c r="A49" s="10" t="inlineStr">
        <is>
          <t>LME_036</t>
        </is>
      </c>
      <c r="B49" s="11" t="inlineStr">
        <is>
          <t>36_2_South_China_Sea_SCS-2007_Northern_South_China_Sea_(1970s)</t>
        </is>
      </c>
      <c r="C49" s="11" t="inlineStr">
        <is>
          <t>Monacanthidae</t>
        </is>
      </c>
      <c r="D49" s="10" t="inlineStr">
        <is>
          <t>Filefishes</t>
        </is>
      </c>
      <c r="E49" s="10" t="inlineStr">
        <is>
          <t>Medium reef assoc. fish (30 - 89 cm)</t>
        </is>
      </c>
      <c r="F49" s="10" t="inlineStr">
        <is>
          <t>Other fishes &amp; inverts</t>
        </is>
      </c>
      <c r="G49" s="11" t="inlineStr">
        <is>
          <t>Adult demersal fish (&gt; 30 cm)</t>
        </is>
      </c>
      <c r="H49" s="12" t="n">
        <v>0.799721835883171</v>
      </c>
      <c r="I49" s="10" t="inlineStr">
        <is>
          <t>model_catch</t>
        </is>
      </c>
      <c r="J49" s="14" t="inlineStr">
        <is>
          <t>medium</t>
        </is>
      </c>
      <c r="K49" s="10" t="inlineStr">
        <is>
          <t>composite_split</t>
        </is>
      </c>
      <c r="L49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9" s="10" t="n">
        <v>3962408.345</v>
      </c>
    </row>
    <row r="50" ht="36" customHeight="1">
      <c r="A50" s="10" t="inlineStr">
        <is>
          <t>LME_036</t>
        </is>
      </c>
      <c r="B50" s="11" t="inlineStr">
        <is>
          <t>36_2_South_China_Sea_SCS-2007_Northern_South_China_Sea_(1970s)</t>
        </is>
      </c>
      <c r="C50" s="11" t="inlineStr">
        <is>
          <t>Trachysalambria curvirostris</t>
        </is>
      </c>
      <c r="D50" s="10" t="inlineStr">
        <is>
          <t>Southern rough shrimp</t>
        </is>
      </c>
      <c r="E50" s="10" t="inlineStr">
        <is>
          <t>Shrimps</t>
        </is>
      </c>
      <c r="F50" s="10" t="inlineStr">
        <is>
          <t>Crustaceans</t>
        </is>
      </c>
      <c r="G50" s="11" t="inlineStr">
        <is>
          <t>Shrimps</t>
        </is>
      </c>
      <c r="H50" s="12" t="n">
        <v>1</v>
      </c>
      <c r="I50" s="10" t="inlineStr">
        <is>
          <t>single</t>
        </is>
      </c>
      <c r="J50" s="15" t="inlineStr">
        <is>
          <t>high</t>
        </is>
      </c>
      <c r="K50" s="10" t="inlineStr">
        <is>
          <t>taxonomic_containment</t>
        </is>
      </c>
      <c r="L50" s="11" t="inlineStr">
        <is>
          <t>Stomatopods belong to the residual benthic crustaceans; other shrimp taxa belong to Shrimps after the explicitly separated Acetes records (Appendix 6.1 pp.323-326).</t>
        </is>
      </c>
      <c r="M50" s="10" t="n">
        <v>3907800.117</v>
      </c>
    </row>
    <row r="51" ht="51" customHeight="1">
      <c r="A51" s="10" t="inlineStr">
        <is>
          <t>LME_036</t>
        </is>
      </c>
      <c r="B51" s="11" t="inlineStr">
        <is>
          <t>36_2_South_China_Sea_SCS-2007_Northern_South_China_Sea_(1970s)</t>
        </is>
      </c>
      <c r="C51" s="11" t="inlineStr">
        <is>
          <t>Larimichthys crocea</t>
        </is>
      </c>
      <c r="D51" s="10" t="inlineStr">
        <is>
          <t>Large yellow croaker</t>
        </is>
      </c>
      <c r="E51" s="10" t="inlineStr">
        <is>
          <t>Medium benthopelagics (30 - 89 cm)</t>
        </is>
      </c>
      <c r="F51" s="10" t="inlineStr">
        <is>
          <t>Perch-likes</t>
        </is>
      </c>
      <c r="G51" s="11" t="inlineStr">
        <is>
          <t>Juvenile large croakers</t>
        </is>
      </c>
      <c r="H51" s="12" t="n">
        <v>0.2</v>
      </c>
      <c r="I51" s="10" t="inlineStr">
        <is>
          <t>model_catch</t>
        </is>
      </c>
      <c r="J51" s="14" t="inlineStr">
        <is>
          <t>medium</t>
        </is>
      </c>
      <c r="K51" s="10" t="inlineStr">
        <is>
          <t>composite_split</t>
        </is>
      </c>
      <c r="L51" s="11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  <c r="M51" s="10" t="n">
        <v>3769190.843</v>
      </c>
    </row>
    <row r="52" ht="51" customHeight="1">
      <c r="A52" s="10" t="inlineStr">
        <is>
          <t>LME_036</t>
        </is>
      </c>
      <c r="B52" s="11" t="inlineStr">
        <is>
          <t>36_2_South_China_Sea_SCS-2007_Northern_South_China_Sea_(1970s)</t>
        </is>
      </c>
      <c r="C52" s="11" t="inlineStr">
        <is>
          <t>Larimichthys crocea</t>
        </is>
      </c>
      <c r="D52" s="10" t="inlineStr">
        <is>
          <t>Large yellow croaker</t>
        </is>
      </c>
      <c r="E52" s="10" t="inlineStr">
        <is>
          <t>Medium benthopelagics (30 - 89 cm)</t>
        </is>
      </c>
      <c r="F52" s="10" t="inlineStr">
        <is>
          <t>Perch-likes</t>
        </is>
      </c>
      <c r="G52" s="11" t="inlineStr">
        <is>
          <t>Croakers (&gt; 30 cm)</t>
        </is>
      </c>
      <c r="H52" s="12" t="n">
        <v>0.8</v>
      </c>
      <c r="I52" s="10" t="inlineStr">
        <is>
          <t>model_catch</t>
        </is>
      </c>
      <c r="J52" s="14" t="inlineStr">
        <is>
          <t>medium</t>
        </is>
      </c>
      <c r="K52" s="10" t="inlineStr">
        <is>
          <t>composite_split</t>
        </is>
      </c>
      <c r="L52" s="11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  <c r="M52" s="10" t="n">
        <v>3769190.843</v>
      </c>
    </row>
    <row r="53" ht="51" customHeight="1">
      <c r="A53" s="10" t="inlineStr">
        <is>
          <t>LME_036</t>
        </is>
      </c>
      <c r="B53" s="11" t="inlineStr">
        <is>
          <t>36_2_South_China_Sea_SCS-2007_Northern_South_China_Sea_(1970s)</t>
        </is>
      </c>
      <c r="C53" s="11" t="inlineStr">
        <is>
          <t>Clupeidae</t>
        </is>
      </c>
      <c r="D53" s="10" t="inlineStr">
        <is>
          <t>Herrings, sardines, menhadens</t>
        </is>
      </c>
      <c r="E53" s="10" t="inlineStr">
        <is>
          <t>Small pelagics (&lt;30 cm)</t>
        </is>
      </c>
      <c r="F53" s="10" t="inlineStr">
        <is>
          <t>Herring-likes</t>
        </is>
      </c>
      <c r="G53" s="11" t="inlineStr">
        <is>
          <t>Pelagic fish (≤ 30 cm)</t>
        </is>
      </c>
      <c r="H53" s="12" t="n">
        <v>0.7541322314049587</v>
      </c>
      <c r="I53" s="10" t="inlineStr">
        <is>
          <t>model_catch</t>
        </is>
      </c>
      <c r="J53" s="13" t="inlineStr">
        <is>
          <t>low</t>
        </is>
      </c>
      <c r="K53" s="10" t="inlineStr">
        <is>
          <t>composite_split</t>
        </is>
      </c>
      <c r="L53" s="11" t="inlineStr">
        <is>
          <t>Coarse clupeiform/clupeid catch can include species below and above the source 30 cm boundary; its SAU small-pelagic class does not prove all fish belong to small species. The large-species portion is split across source stanzas by period model catch.</t>
        </is>
      </c>
      <c r="M53" s="10" t="n">
        <v>3540793.614</v>
      </c>
    </row>
    <row r="54" ht="51" customHeight="1">
      <c r="A54" s="10" t="inlineStr">
        <is>
          <t>LME_036</t>
        </is>
      </c>
      <c r="B54" s="11" t="inlineStr">
        <is>
          <t>36_2_South_China_Sea_SCS-2007_Northern_South_China_Sea_(1970s)</t>
        </is>
      </c>
      <c r="C54" s="11" t="inlineStr">
        <is>
          <t>Clupeidae</t>
        </is>
      </c>
      <c r="D54" s="10" t="inlineStr">
        <is>
          <t>Herrings, sardines, menhadens</t>
        </is>
      </c>
      <c r="E54" s="10" t="inlineStr">
        <is>
          <t>Small pelagics (&lt;30 cm)</t>
        </is>
      </c>
      <c r="F54" s="10" t="inlineStr">
        <is>
          <t>Herring-likes</t>
        </is>
      </c>
      <c r="G54" s="11" t="inlineStr">
        <is>
          <t>Juvenile large pelagic fish</t>
        </is>
      </c>
      <c r="H54" s="12" t="n">
        <v>0.04958677685950413</v>
      </c>
      <c r="I54" s="10" t="inlineStr">
        <is>
          <t>model_catch</t>
        </is>
      </c>
      <c r="J54" s="13" t="inlineStr">
        <is>
          <t>low</t>
        </is>
      </c>
      <c r="K54" s="10" t="inlineStr">
        <is>
          <t>composite_split</t>
        </is>
      </c>
      <c r="L54" s="11" t="inlineStr">
        <is>
          <t>Coarse clupeiform/clupeid catch can include species below and above the source 30 cm boundary; its SAU small-pelagic class does not prove all fish belong to small species. The large-species portion is split across source stanzas by period model catch.</t>
        </is>
      </c>
      <c r="M54" s="10" t="n">
        <v>3540793.614</v>
      </c>
    </row>
    <row r="55" ht="51" customHeight="1">
      <c r="A55" s="10" t="inlineStr">
        <is>
          <t>LME_036</t>
        </is>
      </c>
      <c r="B55" s="11" t="inlineStr">
        <is>
          <t>36_2_South_China_Sea_SCS-2007_Northern_South_China_Sea_(1970s)</t>
        </is>
      </c>
      <c r="C55" s="11" t="inlineStr">
        <is>
          <t>Clupeidae</t>
        </is>
      </c>
      <c r="D55" s="10" t="inlineStr">
        <is>
          <t>Herrings, sardines, menhadens</t>
        </is>
      </c>
      <c r="E55" s="10" t="inlineStr">
        <is>
          <t>Small pelagics (&lt;30 cm)</t>
        </is>
      </c>
      <c r="F55" s="10" t="inlineStr">
        <is>
          <t>Herring-likes</t>
        </is>
      </c>
      <c r="G55" s="11" t="inlineStr">
        <is>
          <t>Pelagic fish (&gt; 30 cm)</t>
        </is>
      </c>
      <c r="H55" s="12" t="n">
        <v>0.1962809917355372</v>
      </c>
      <c r="I55" s="10" t="inlineStr">
        <is>
          <t>model_catch</t>
        </is>
      </c>
      <c r="J55" s="13" t="inlineStr">
        <is>
          <t>low</t>
        </is>
      </c>
      <c r="K55" s="10" t="inlineStr">
        <is>
          <t>composite_split</t>
        </is>
      </c>
      <c r="L55" s="11" t="inlineStr">
        <is>
          <t>Coarse clupeiform/clupeid catch can include species below and above the source 30 cm boundary; its SAU small-pelagic class does not prove all fish belong to small species. The large-species portion is split across source stanzas by period model catch.</t>
        </is>
      </c>
      <c r="M55" s="10" t="n">
        <v>3540793.614</v>
      </c>
    </row>
    <row r="56" ht="51" customHeight="1">
      <c r="A56" s="10" t="inlineStr">
        <is>
          <t>LME_036</t>
        </is>
      </c>
      <c r="B56" s="11" t="inlineStr">
        <is>
          <t>36_2_South_China_Sea_SCS-2007_Northern_South_China_Sea_(1970s)</t>
        </is>
      </c>
      <c r="C56" s="11" t="inlineStr">
        <is>
          <t>Muraenesox cinereus</t>
        </is>
      </c>
      <c r="D56" s="10" t="inlineStr">
        <is>
          <t>Daggertooth pike conger</t>
        </is>
      </c>
      <c r="E56" s="10" t="inlineStr">
        <is>
          <t>Large demersals (&gt;=90 cm)</t>
        </is>
      </c>
      <c r="F56" s="10" t="inlineStr">
        <is>
          <t>Other fishes &amp; inverts</t>
        </is>
      </c>
      <c r="G56" s="11" t="inlineStr">
        <is>
          <t>Juvenile demersal fish (&gt; 30 cm)</t>
        </is>
      </c>
      <c r="H56" s="12" t="n">
        <v>0.2002781641168289</v>
      </c>
      <c r="I56" s="10" t="inlineStr">
        <is>
          <t>model_catch</t>
        </is>
      </c>
      <c r="J56" s="14" t="inlineStr">
        <is>
          <t>medium</t>
        </is>
      </c>
      <c r="K56" s="10" t="inlineStr">
        <is>
          <t>composite_split</t>
        </is>
      </c>
      <c r="L56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56" s="10" t="n">
        <v>3307959.703</v>
      </c>
    </row>
    <row r="57" ht="51" customHeight="1">
      <c r="A57" s="10" t="inlineStr">
        <is>
          <t>LME_036</t>
        </is>
      </c>
      <c r="B57" s="11" t="inlineStr">
        <is>
          <t>36_2_South_China_Sea_SCS-2007_Northern_South_China_Sea_(1970s)</t>
        </is>
      </c>
      <c r="C57" s="11" t="inlineStr">
        <is>
          <t>Muraenesox cinereus</t>
        </is>
      </c>
      <c r="D57" s="10" t="inlineStr">
        <is>
          <t>Daggertooth pike conger</t>
        </is>
      </c>
      <c r="E57" s="10" t="inlineStr">
        <is>
          <t>Large demersals (&gt;=90 cm)</t>
        </is>
      </c>
      <c r="F57" s="10" t="inlineStr">
        <is>
          <t>Other fishes &amp; inverts</t>
        </is>
      </c>
      <c r="G57" s="11" t="inlineStr">
        <is>
          <t>Adult demersal fish (&gt; 30 cm)</t>
        </is>
      </c>
      <c r="H57" s="12" t="n">
        <v>0.799721835883171</v>
      </c>
      <c r="I57" s="10" t="inlineStr">
        <is>
          <t>model_catch</t>
        </is>
      </c>
      <c r="J57" s="14" t="inlineStr">
        <is>
          <t>medium</t>
        </is>
      </c>
      <c r="K57" s="10" t="inlineStr">
        <is>
          <t>composite_split</t>
        </is>
      </c>
      <c r="L57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57" s="10" t="n">
        <v>3307959.703</v>
      </c>
    </row>
    <row r="58" ht="36" customHeight="1">
      <c r="A58" s="10" t="inlineStr">
        <is>
          <t>LME_036</t>
        </is>
      </c>
      <c r="B58" s="11" t="inlineStr">
        <is>
          <t>36_2_South_China_Sea_SCS-2007_Northern_South_China_Sea_(1970s)</t>
        </is>
      </c>
      <c r="C58" s="11" t="inlineStr">
        <is>
          <t>Portunus pelagicus</t>
        </is>
      </c>
      <c r="D58" s="10" t="inlineStr">
        <is>
          <t>Blue swimming crab</t>
        </is>
      </c>
      <c r="E58" s="10" t="inlineStr">
        <is>
          <t>Lobsters, crabs</t>
        </is>
      </c>
      <c r="F58" s="10" t="inlineStr">
        <is>
          <t>Crustaceans</t>
        </is>
      </c>
      <c r="G58" s="11" t="inlineStr">
        <is>
          <t>Crabs</t>
        </is>
      </c>
      <c r="H58" s="12" t="n">
        <v>1</v>
      </c>
      <c r="I58" s="10" t="inlineStr">
        <is>
          <t>single</t>
        </is>
      </c>
      <c r="J58" s="15" t="inlineStr">
        <is>
          <t>high</t>
        </is>
      </c>
      <c r="K58" s="10" t="inlineStr">
        <is>
          <t>taxonomic_containment</t>
        </is>
      </c>
      <c r="L58" s="11" t="inlineStr">
        <is>
          <t>Source benthic crustaceans exclude shrimps and crabs (Appendix 6.1.5 p.324); lobsters remain in that residual, while true crabs use Crabs.</t>
        </is>
      </c>
      <c r="M58" s="10" t="n">
        <v>3288014.824</v>
      </c>
    </row>
    <row r="59" ht="51" customHeight="1">
      <c r="A59" s="10" t="inlineStr">
        <is>
          <t>LME_036</t>
        </is>
      </c>
      <c r="B59" s="11" t="inlineStr">
        <is>
          <t>36_2_South_China_Sea_SCS-2007_Northern_South_China_Sea_(1970s)</t>
        </is>
      </c>
      <c r="C59" s="11" t="inlineStr">
        <is>
          <t>Engraulidae</t>
        </is>
      </c>
      <c r="D59" s="10" t="inlineStr">
        <is>
          <t>Anchovies, round herrings</t>
        </is>
      </c>
      <c r="E59" s="10" t="inlineStr">
        <is>
          <t>Small pelagics (&lt;30 cm)</t>
        </is>
      </c>
      <c r="F59" s="10" t="inlineStr">
        <is>
          <t>Anchovies</t>
        </is>
      </c>
      <c r="G59" s="11" t="inlineStr">
        <is>
          <t>Pelagic fish (≤ 30 cm)</t>
        </is>
      </c>
      <c r="H59" s="12" t="n">
        <v>1</v>
      </c>
      <c r="I59" s="10" t="inlineStr">
        <is>
          <t>single</t>
        </is>
      </c>
      <c r="J59" s="14" t="inlineStr">
        <is>
          <t>medium</t>
        </is>
      </c>
      <c r="K59" s="10" t="inlineStr">
        <is>
          <t>habitat_size_guild</t>
        </is>
      </c>
      <c r="L59" s="11" t="inlineStr">
        <is>
          <t>Source small-pelagic pool explicitly includes sardines, thryssa and anchovies (Appendix 6.1.23 p.338); extension to the catch lineage uses SAU size as a proxy and is not a full species list.</t>
        </is>
      </c>
      <c r="M59" s="10" t="n">
        <v>3259139.244</v>
      </c>
    </row>
    <row r="60" ht="51" customHeight="1">
      <c r="A60" s="10" t="inlineStr">
        <is>
          <t>LME_036</t>
        </is>
      </c>
      <c r="B60" s="11" t="inlineStr">
        <is>
          <t>36_2_South_China_Sea_SCS-2007_Northern_South_China_Sea_(1970s)</t>
        </is>
      </c>
      <c r="C60" s="11" t="inlineStr">
        <is>
          <t>Pampus</t>
        </is>
      </c>
      <c r="D60" s="10" t="inlineStr">
        <is>
          <t>Silver pomfrets</t>
        </is>
      </c>
      <c r="E60" s="10" t="inlineStr">
        <is>
          <t>Medium benthopelagics (30 - 89 cm)</t>
        </is>
      </c>
      <c r="F60" s="10" t="inlineStr">
        <is>
          <t>Perch-likes</t>
        </is>
      </c>
      <c r="G60" s="11" t="inlineStr">
        <is>
          <t>Pomfret (stromateids)</t>
        </is>
      </c>
      <c r="H60" s="12" t="n">
        <v>1</v>
      </c>
      <c r="I60" s="10" t="inlineStr">
        <is>
          <t>single</t>
        </is>
      </c>
      <c r="J60" s="15" t="inlineStr">
        <is>
          <t>high</t>
        </is>
      </c>
      <c r="K60" s="10" t="inlineStr">
        <is>
          <t>taxonomic_containment</t>
        </is>
      </c>
      <c r="L60" s="11" t="inlineStr">
        <is>
          <t>Appendix 6.1 pp.327-335 defines Pomfret (stromateids) by this family or explicitly names Pampus; dedicated source placement overrides the SAU class Medium benthopelagics (30 - 89 cm).</t>
        </is>
      </c>
      <c r="M60" s="10" t="n">
        <v>3141062.387</v>
      </c>
    </row>
    <row r="61" ht="51" customHeight="1">
      <c r="A61" s="10" t="inlineStr">
        <is>
          <t>LME_036</t>
        </is>
      </c>
      <c r="B61" s="11" t="inlineStr">
        <is>
          <t>36_2_South_China_Sea_SCS-2007_Northern_South_China_Sea_(1970s)</t>
        </is>
      </c>
      <c r="C61" s="11" t="inlineStr">
        <is>
          <t>Nemipteridae</t>
        </is>
      </c>
      <c r="D61" s="10" t="inlineStr">
        <is>
          <t>Threadfins, whiptail breams</t>
        </is>
      </c>
      <c r="E61" s="10" t="inlineStr">
        <is>
          <t>Small demersals (&lt;30 cm)</t>
        </is>
      </c>
      <c r="F61" s="10" t="inlineStr">
        <is>
          <t>Perch-likes</t>
        </is>
      </c>
      <c r="G61" s="11" t="inlineStr">
        <is>
          <t>Threadfin bream (nemipterids)</t>
        </is>
      </c>
      <c r="H61" s="12" t="n">
        <v>1</v>
      </c>
      <c r="I61" s="10" t="inlineStr">
        <is>
          <t>single</t>
        </is>
      </c>
      <c r="J61" s="15" t="inlineStr">
        <is>
          <t>high</t>
        </is>
      </c>
      <c r="K61" s="10" t="inlineStr">
        <is>
          <t>taxonomic_containment</t>
        </is>
      </c>
      <c r="L61" s="11" t="inlineStr">
        <is>
          <t>Appendix 6.1 pp.327-335 defines Threadfin bream (nemipterids) by this family or explicitly names Nemipteridae; dedicated source placement overrides the SAU class Small demersals (&lt;30 cm).</t>
        </is>
      </c>
      <c r="M61" s="10" t="n">
        <v>3102945.198</v>
      </c>
    </row>
    <row r="62" ht="36" customHeight="1">
      <c r="A62" s="10" t="inlineStr">
        <is>
          <t>LME_036</t>
        </is>
      </c>
      <c r="B62" s="11" t="inlineStr">
        <is>
          <t>36_2_South_China_Sea_SCS-2007_Northern_South_China_Sea_(1970s)</t>
        </is>
      </c>
      <c r="C62" s="11" t="inlineStr">
        <is>
          <t>Sepiidae</t>
        </is>
      </c>
      <c r="D62" s="10" t="inlineStr">
        <is>
          <t>Cuttlefishes</t>
        </is>
      </c>
      <c r="E62" s="10" t="inlineStr">
        <is>
          <t>Cephalopods</t>
        </is>
      </c>
      <c r="F62" s="10" t="inlineStr">
        <is>
          <t>Other fishes &amp; inverts</t>
        </is>
      </c>
      <c r="G62" s="11" t="inlineStr">
        <is>
          <t>Cephalopods</t>
        </is>
      </c>
      <c r="H62" s="12" t="n">
        <v>1</v>
      </c>
      <c r="I62" s="10" t="inlineStr">
        <is>
          <t>single</t>
        </is>
      </c>
      <c r="J62" s="15" t="inlineStr">
        <is>
          <t>high</t>
        </is>
      </c>
      <c r="K62" s="10" t="inlineStr">
        <is>
          <t>taxonomic_containment</t>
        </is>
      </c>
      <c r="L62" s="11" t="inlineStr">
        <is>
          <t>Cephalopoda is contained by the single source Cephalopods group, Appendix 6.1.8 pp.326-327.</t>
        </is>
      </c>
      <c r="M62" s="10" t="n">
        <v>2938421.515</v>
      </c>
    </row>
    <row r="63" ht="36" customHeight="1">
      <c r="A63" s="10" t="inlineStr">
        <is>
          <t>LME_036</t>
        </is>
      </c>
      <c r="B63" s="11" t="inlineStr">
        <is>
          <t>36_2_South_China_Sea_SCS-2007_Northern_South_China_Sea_(1970s)</t>
        </is>
      </c>
      <c r="C63" s="11" t="inlineStr">
        <is>
          <t>Decapterus</t>
        </is>
      </c>
      <c r="D63" s="10" t="inlineStr">
        <is>
          <t>Scads</t>
        </is>
      </c>
      <c r="E63" s="10" t="inlineStr">
        <is>
          <t>Medium pelagics (30 - 89 cm)</t>
        </is>
      </c>
      <c r="F63" s="10" t="inlineStr">
        <is>
          <t>Perch-likes</t>
        </is>
      </c>
      <c r="G63" s="11" t="inlineStr">
        <is>
          <t>Juvenile large pelagic fish</t>
        </is>
      </c>
      <c r="H63" s="12" t="n">
        <v>0.2016806722689076</v>
      </c>
      <c r="I63" s="10" t="inlineStr">
        <is>
          <t>model_catch</t>
        </is>
      </c>
      <c r="J63" s="14" t="inlineStr">
        <is>
          <t>medium</t>
        </is>
      </c>
      <c r="K63" s="10" t="inlineStr">
        <is>
          <t>composite_split</t>
        </is>
      </c>
      <c r="L63" s="11" t="inlineStr">
        <is>
          <t>Analyst habitat/size inference to source &gt;30 cm pelagic fish (Appendix 6.1.24 p.339); no age data, so split juvenile/adult using the period model catch.</t>
        </is>
      </c>
      <c r="M63" s="10" t="n">
        <v>2787864.256</v>
      </c>
    </row>
    <row r="64" ht="36" customHeight="1">
      <c r="A64" s="10" t="inlineStr">
        <is>
          <t>LME_036</t>
        </is>
      </c>
      <c r="B64" s="11" t="inlineStr">
        <is>
          <t>36_2_South_China_Sea_SCS-2007_Northern_South_China_Sea_(1970s)</t>
        </is>
      </c>
      <c r="C64" s="11" t="inlineStr">
        <is>
          <t>Decapterus</t>
        </is>
      </c>
      <c r="D64" s="10" t="inlineStr">
        <is>
          <t>Scads</t>
        </is>
      </c>
      <c r="E64" s="10" t="inlineStr">
        <is>
          <t>Medium pelagics (30 - 89 cm)</t>
        </is>
      </c>
      <c r="F64" s="10" t="inlineStr">
        <is>
          <t>Perch-likes</t>
        </is>
      </c>
      <c r="G64" s="11" t="inlineStr">
        <is>
          <t>Pelagic fish (&gt; 30 cm)</t>
        </is>
      </c>
      <c r="H64" s="12" t="n">
        <v>0.7983193277310925</v>
      </c>
      <c r="I64" s="10" t="inlineStr">
        <is>
          <t>model_catch</t>
        </is>
      </c>
      <c r="J64" s="14" t="inlineStr">
        <is>
          <t>medium</t>
        </is>
      </c>
      <c r="K64" s="10" t="inlineStr">
        <is>
          <t>composite_split</t>
        </is>
      </c>
      <c r="L64" s="11" t="inlineStr">
        <is>
          <t>Analyst habitat/size inference to source &gt;30 cm pelagic fish (Appendix 6.1.24 p.339); no age data, so split juvenile/adult using the period model catch.</t>
        </is>
      </c>
      <c r="M64" s="10" t="n">
        <v>2787864.256</v>
      </c>
    </row>
    <row r="65" ht="36" customHeight="1">
      <c r="A65" s="10" t="inlineStr">
        <is>
          <t>LME_036</t>
        </is>
      </c>
      <c r="B65" s="11" t="inlineStr">
        <is>
          <t>36_2_South_China_Sea_SCS-2007_Northern_South_China_Sea_(1970s)</t>
        </is>
      </c>
      <c r="C65" s="11" t="inlineStr">
        <is>
          <t>Teuthida</t>
        </is>
      </c>
      <c r="D65" s="10" t="inlineStr">
        <is>
          <t>Squids</t>
        </is>
      </c>
      <c r="E65" s="10" t="inlineStr">
        <is>
          <t>Cephalopods</t>
        </is>
      </c>
      <c r="F65" s="10" t="inlineStr">
        <is>
          <t>Other fishes &amp; inverts</t>
        </is>
      </c>
      <c r="G65" s="11" t="inlineStr">
        <is>
          <t>Cephalopods</t>
        </is>
      </c>
      <c r="H65" s="12" t="n">
        <v>1</v>
      </c>
      <c r="I65" s="10" t="inlineStr">
        <is>
          <t>single</t>
        </is>
      </c>
      <c r="J65" s="15" t="inlineStr">
        <is>
          <t>high</t>
        </is>
      </c>
      <c r="K65" s="10" t="inlineStr">
        <is>
          <t>taxonomic_containment</t>
        </is>
      </c>
      <c r="L65" s="11" t="inlineStr">
        <is>
          <t>Cephalopoda is contained by the single source Cephalopods group, Appendix 6.1.8 pp.326-327.</t>
        </is>
      </c>
      <c r="M65" s="10" t="n">
        <v>2520688.549</v>
      </c>
    </row>
    <row r="66" ht="51" customHeight="1">
      <c r="A66" s="10" t="inlineStr">
        <is>
          <t>LME_036</t>
        </is>
      </c>
      <c r="B66" s="11" t="inlineStr">
        <is>
          <t>36_2_South_China_Sea_SCS-2007_Northern_South_China_Sea_(1970s)</t>
        </is>
      </c>
      <c r="C66" s="11" t="inlineStr">
        <is>
          <t>Saurida tumbil</t>
        </is>
      </c>
      <c r="D66" s="10" t="inlineStr">
        <is>
          <t>Greater lizardfish</t>
        </is>
      </c>
      <c r="E66" s="10" t="inlineStr">
        <is>
          <t>Medium demersals (30 - 89 cm)</t>
        </is>
      </c>
      <c r="F66" s="10" t="inlineStr">
        <is>
          <t>Other fishes &amp; inverts</t>
        </is>
      </c>
      <c r="G66" s="11" t="inlineStr">
        <is>
          <t>Lizard fish (synodontids)</t>
        </is>
      </c>
      <c r="H66" s="12" t="n">
        <v>1</v>
      </c>
      <c r="I66" s="10" t="inlineStr">
        <is>
          <t>single</t>
        </is>
      </c>
      <c r="J66" s="15" t="inlineStr">
        <is>
          <t>high</t>
        </is>
      </c>
      <c r="K66" s="10" t="inlineStr">
        <is>
          <t>explicit_member</t>
        </is>
      </c>
      <c r="L66" s="11" t="inlineStr">
        <is>
          <t>Appendix 6.1 pp.327-335 defines Lizard fish (synodontids) by this family or explicitly names Saurida tumbil; dedicated source placement overrides the SAU class Medium demersals (30 - 89 cm).</t>
        </is>
      </c>
      <c r="M66" s="10" t="n">
        <v>2376467.307</v>
      </c>
    </row>
    <row r="67" ht="36" customHeight="1">
      <c r="A67" s="10" t="inlineStr">
        <is>
          <t>LME_036</t>
        </is>
      </c>
      <c r="B67" s="11" t="inlineStr">
        <is>
          <t>36_2_South_China_Sea_SCS-2007_Northern_South_China_Sea_(1970s)</t>
        </is>
      </c>
      <c r="C67" s="11" t="inlineStr">
        <is>
          <t>Scombroidei</t>
        </is>
      </c>
      <c r="D67" s="10" t="inlineStr">
        <is>
          <t>Tunas, bonitos, billfishes</t>
        </is>
      </c>
      <c r="E67" s="10" t="inlineStr">
        <is>
          <t>Large pelagics (&gt;=90 cm)</t>
        </is>
      </c>
      <c r="F67" s="10" t="inlineStr">
        <is>
          <t>Tuna &amp; billfishes</t>
        </is>
      </c>
      <c r="G67" s="11" t="inlineStr">
        <is>
          <t>Juvenile large pelagic fish</t>
        </is>
      </c>
      <c r="H67" s="12" t="n">
        <v>0.2016806722689076</v>
      </c>
      <c r="I67" s="10" t="inlineStr">
        <is>
          <t>model_catch</t>
        </is>
      </c>
      <c r="J67" s="14" t="inlineStr">
        <is>
          <t>medium</t>
        </is>
      </c>
      <c r="K67" s="10" t="inlineStr">
        <is>
          <t>composite_split</t>
        </is>
      </c>
      <c r="L67" s="11" t="inlineStr">
        <is>
          <t>Analyst habitat/size inference to source &gt;30 cm pelagic fish (Appendix 6.1.24 p.339); no age data, so split juvenile/adult using the period model catch.</t>
        </is>
      </c>
      <c r="M67" s="10" t="n">
        <v>2367798.338</v>
      </c>
    </row>
    <row r="68" ht="36" customHeight="1">
      <c r="A68" s="10" t="inlineStr">
        <is>
          <t>LME_036</t>
        </is>
      </c>
      <c r="B68" s="11" t="inlineStr">
        <is>
          <t>36_2_South_China_Sea_SCS-2007_Northern_South_China_Sea_(1970s)</t>
        </is>
      </c>
      <c r="C68" s="11" t="inlineStr">
        <is>
          <t>Scombroidei</t>
        </is>
      </c>
      <c r="D68" s="10" t="inlineStr">
        <is>
          <t>Tunas, bonitos, billfishes</t>
        </is>
      </c>
      <c r="E68" s="10" t="inlineStr">
        <is>
          <t>Large pelagics (&gt;=90 cm)</t>
        </is>
      </c>
      <c r="F68" s="10" t="inlineStr">
        <is>
          <t>Tuna &amp; billfishes</t>
        </is>
      </c>
      <c r="G68" s="11" t="inlineStr">
        <is>
          <t>Pelagic fish (&gt; 30 cm)</t>
        </is>
      </c>
      <c r="H68" s="12" t="n">
        <v>0.7983193277310925</v>
      </c>
      <c r="I68" s="10" t="inlineStr">
        <is>
          <t>model_catch</t>
        </is>
      </c>
      <c r="J68" s="14" t="inlineStr">
        <is>
          <t>medium</t>
        </is>
      </c>
      <c r="K68" s="10" t="inlineStr">
        <is>
          <t>composite_split</t>
        </is>
      </c>
      <c r="L68" s="11" t="inlineStr">
        <is>
          <t>Analyst habitat/size inference to source &gt;30 cm pelagic fish (Appendix 6.1.24 p.339); no age data, so split juvenile/adult using the period model catch.</t>
        </is>
      </c>
      <c r="M68" s="10" t="n">
        <v>2367798.338</v>
      </c>
    </row>
    <row r="69" ht="51" customHeight="1">
      <c r="A69" s="10" t="inlineStr">
        <is>
          <t>LME_036</t>
        </is>
      </c>
      <c r="B69" s="11" t="inlineStr">
        <is>
          <t>36_2_South_China_Sea_SCS-2007_Northern_South_China_Sea_(1970s)</t>
        </is>
      </c>
      <c r="C69" s="11" t="inlineStr">
        <is>
          <t>Decapoda</t>
        </is>
      </c>
      <c r="D69" s="10" t="inlineStr">
        <is>
          <t>Crabs, lobsters, shrimps</t>
        </is>
      </c>
      <c r="E69" s="10" t="inlineStr">
        <is>
          <t>Lobsters, crabs</t>
        </is>
      </c>
      <c r="F69" s="10" t="inlineStr">
        <is>
          <t>Crustaceans</t>
        </is>
      </c>
      <c r="G69" s="11" t="inlineStr">
        <is>
          <t>Zooplankton</t>
        </is>
      </c>
      <c r="H69" s="12" t="n">
        <v>0.2569684142645532</v>
      </c>
      <c r="I69" s="10" t="inlineStr">
        <is>
          <t>catch_composition</t>
        </is>
      </c>
      <c r="J69" s="13" t="inlineStr">
        <is>
          <t>low</t>
        </is>
      </c>
      <c r="K69" s="10" t="inlineStr">
        <is>
          <t>composite_split</t>
        </is>
      </c>
      <c r="L69" s="11" t="inlineStr">
        <is>
          <t>Coarse crustacean label spans source Acetes in Zooplankton, other shrimps, crabs and residual benthic crustaceans (Appendix 6.1 pp.323-326); Sergestidae is restricted to the first two. Source membership precedes SAU habitat class.</t>
        </is>
      </c>
      <c r="M69" s="10" t="n">
        <v>2362914.419</v>
      </c>
    </row>
    <row r="70" ht="51" customHeight="1">
      <c r="A70" s="10" t="inlineStr">
        <is>
          <t>LME_036</t>
        </is>
      </c>
      <c r="B70" s="11" t="inlineStr">
        <is>
          <t>36_2_South_China_Sea_SCS-2007_Northern_South_China_Sea_(1970s)</t>
        </is>
      </c>
      <c r="C70" s="11" t="inlineStr">
        <is>
          <t>Decapoda</t>
        </is>
      </c>
      <c r="D70" s="10" t="inlineStr">
        <is>
          <t>Crabs, lobsters, shrimps</t>
        </is>
      </c>
      <c r="E70" s="10" t="inlineStr">
        <is>
          <t>Lobsters, crabs</t>
        </is>
      </c>
      <c r="F70" s="10" t="inlineStr">
        <is>
          <t>Crustaceans</t>
        </is>
      </c>
      <c r="G70" s="11" t="inlineStr">
        <is>
          <t>Benthic crustaceans</t>
        </is>
      </c>
      <c r="H70" s="12" t="n">
        <v>0.05182109872625006</v>
      </c>
      <c r="I70" s="10" t="inlineStr">
        <is>
          <t>catch_composition</t>
        </is>
      </c>
      <c r="J70" s="13" t="inlineStr">
        <is>
          <t>low</t>
        </is>
      </c>
      <c r="K70" s="10" t="inlineStr">
        <is>
          <t>composite_split</t>
        </is>
      </c>
      <c r="L70" s="11" t="inlineStr">
        <is>
          <t>Coarse crustacean label spans source Acetes in Zooplankton, other shrimps, crabs and residual benthic crustaceans (Appendix 6.1 pp.323-326); Sergestidae is restricted to the first two. Source membership precedes SAU habitat class.</t>
        </is>
      </c>
      <c r="M70" s="10" t="n">
        <v>2362914.419</v>
      </c>
    </row>
    <row r="71" ht="51" customHeight="1">
      <c r="A71" s="10" t="inlineStr">
        <is>
          <t>LME_036</t>
        </is>
      </c>
      <c r="B71" s="11" t="inlineStr">
        <is>
          <t>36_2_South_China_Sea_SCS-2007_Northern_South_China_Sea_(1970s)</t>
        </is>
      </c>
      <c r="C71" s="11" t="inlineStr">
        <is>
          <t>Decapoda</t>
        </is>
      </c>
      <c r="D71" s="10" t="inlineStr">
        <is>
          <t>Crabs, lobsters, shrimps</t>
        </is>
      </c>
      <c r="E71" s="10" t="inlineStr">
        <is>
          <t>Lobsters, crabs</t>
        </is>
      </c>
      <c r="F71" s="10" t="inlineStr">
        <is>
          <t>Crustaceans</t>
        </is>
      </c>
      <c r="G71" s="11" t="inlineStr">
        <is>
          <t>Shrimps</t>
        </is>
      </c>
      <c r="H71" s="12" t="n">
        <v>0.4857199948986228</v>
      </c>
      <c r="I71" s="10" t="inlineStr">
        <is>
          <t>catch_composition</t>
        </is>
      </c>
      <c r="J71" s="13" t="inlineStr">
        <is>
          <t>low</t>
        </is>
      </c>
      <c r="K71" s="10" t="inlineStr">
        <is>
          <t>composite_split</t>
        </is>
      </c>
      <c r="L71" s="11" t="inlineStr">
        <is>
          <t>Coarse crustacean label spans source Acetes in Zooplankton, other shrimps, crabs and residual benthic crustaceans (Appendix 6.1 pp.323-326); Sergestidae is restricted to the first two. Source membership precedes SAU habitat class.</t>
        </is>
      </c>
      <c r="M71" s="10" t="n">
        <v>2362914.419</v>
      </c>
    </row>
    <row r="72" ht="51" customHeight="1">
      <c r="A72" s="10" t="inlineStr">
        <is>
          <t>LME_036</t>
        </is>
      </c>
      <c r="B72" s="11" t="inlineStr">
        <is>
          <t>36_2_South_China_Sea_SCS-2007_Northern_South_China_Sea_(1970s)</t>
        </is>
      </c>
      <c r="C72" s="11" t="inlineStr">
        <is>
          <t>Decapoda</t>
        </is>
      </c>
      <c r="D72" s="10" t="inlineStr">
        <is>
          <t>Crabs, lobsters, shrimps</t>
        </is>
      </c>
      <c r="E72" s="10" t="inlineStr">
        <is>
          <t>Lobsters, crabs</t>
        </is>
      </c>
      <c r="F72" s="10" t="inlineStr">
        <is>
          <t>Crustaceans</t>
        </is>
      </c>
      <c r="G72" s="11" t="inlineStr">
        <is>
          <t>Crabs</t>
        </is>
      </c>
      <c r="H72" s="12" t="n">
        <v>0.2054904921105739</v>
      </c>
      <c r="I72" s="10" t="inlineStr">
        <is>
          <t>catch_composition</t>
        </is>
      </c>
      <c r="J72" s="13" t="inlineStr">
        <is>
          <t>low</t>
        </is>
      </c>
      <c r="K72" s="10" t="inlineStr">
        <is>
          <t>composite_split</t>
        </is>
      </c>
      <c r="L72" s="11" t="inlineStr">
        <is>
          <t>Coarse crustacean label spans source Acetes in Zooplankton, other shrimps, crabs and residual benthic crustaceans (Appendix 6.1 pp.323-326); Sergestidae is restricted to the first two. Source membership precedes SAU habitat class.</t>
        </is>
      </c>
      <c r="M72" s="10" t="n">
        <v>2362914.419</v>
      </c>
    </row>
    <row r="73" ht="36" customHeight="1">
      <c r="A73" s="10" t="inlineStr">
        <is>
          <t>LME_036</t>
        </is>
      </c>
      <c r="B73" s="11" t="inlineStr">
        <is>
          <t>36_2_South_China_Sea_SCS-2007_Northern_South_China_Sea_(1970s)</t>
        </is>
      </c>
      <c r="C73" s="11" t="inlineStr">
        <is>
          <t>Auxis thazard</t>
        </is>
      </c>
      <c r="D73" s="10" t="inlineStr">
        <is>
          <t>Frigate tuna</t>
        </is>
      </c>
      <c r="E73" s="10" t="inlineStr">
        <is>
          <t>Medium pelagics (30 - 89 cm)</t>
        </is>
      </c>
      <c r="F73" s="10" t="inlineStr">
        <is>
          <t>Tuna &amp; billfishes</t>
        </is>
      </c>
      <c r="G73" s="11" t="inlineStr">
        <is>
          <t>Juvenile large pelagic fish</t>
        </is>
      </c>
      <c r="H73" s="12" t="n">
        <v>0.2016806722689076</v>
      </c>
      <c r="I73" s="10" t="inlineStr">
        <is>
          <t>model_catch</t>
        </is>
      </c>
      <c r="J73" s="14" t="inlineStr">
        <is>
          <t>medium</t>
        </is>
      </c>
      <c r="K73" s="10" t="inlineStr">
        <is>
          <t>composite_split</t>
        </is>
      </c>
      <c r="L73" s="11" t="inlineStr">
        <is>
          <t>Analyst habitat/size inference to source &gt;30 cm pelagic fish (Appendix 6.1.24 p.339); no age data, so split juvenile/adult using the period model catch.</t>
        </is>
      </c>
      <c r="M73" s="10" t="n">
        <v>2320946.733</v>
      </c>
    </row>
    <row r="74" ht="36" customHeight="1">
      <c r="A74" s="10" t="inlineStr">
        <is>
          <t>LME_036</t>
        </is>
      </c>
      <c r="B74" s="11" t="inlineStr">
        <is>
          <t>36_2_South_China_Sea_SCS-2007_Northern_South_China_Sea_(1970s)</t>
        </is>
      </c>
      <c r="C74" s="11" t="inlineStr">
        <is>
          <t>Auxis thazard</t>
        </is>
      </c>
      <c r="D74" s="10" t="inlineStr">
        <is>
          <t>Frigate tuna</t>
        </is>
      </c>
      <c r="E74" s="10" t="inlineStr">
        <is>
          <t>Medium pelagics (30 - 89 cm)</t>
        </is>
      </c>
      <c r="F74" s="10" t="inlineStr">
        <is>
          <t>Tuna &amp; billfishes</t>
        </is>
      </c>
      <c r="G74" s="11" t="inlineStr">
        <is>
          <t>Pelagic fish (&gt; 30 cm)</t>
        </is>
      </c>
      <c r="H74" s="12" t="n">
        <v>0.7983193277310925</v>
      </c>
      <c r="I74" s="10" t="inlineStr">
        <is>
          <t>model_catch</t>
        </is>
      </c>
      <c r="J74" s="14" t="inlineStr">
        <is>
          <t>medium</t>
        </is>
      </c>
      <c r="K74" s="10" t="inlineStr">
        <is>
          <t>composite_split</t>
        </is>
      </c>
      <c r="L74" s="11" t="inlineStr">
        <is>
          <t>Analyst habitat/size inference to source &gt;30 cm pelagic fish (Appendix 6.1.24 p.339); no age data, so split juvenile/adult using the period model catch.</t>
        </is>
      </c>
      <c r="M74" s="10" t="n">
        <v>2320946.733</v>
      </c>
    </row>
    <row r="75" ht="51" customHeight="1">
      <c r="A75" s="10" t="inlineStr">
        <is>
          <t>LME_036</t>
        </is>
      </c>
      <c r="B75" s="11" t="inlineStr">
        <is>
          <t>36_2_South_China_Sea_SCS-2007_Northern_South_China_Sea_(1970s)</t>
        </is>
      </c>
      <c r="C75" s="11" t="inlineStr">
        <is>
          <t>Priacanthidae</t>
        </is>
      </c>
      <c r="D75" s="10" t="inlineStr">
        <is>
          <t>Bigeyes, catalufas</t>
        </is>
      </c>
      <c r="E75" s="10" t="inlineStr">
        <is>
          <t>Medium reef assoc. fish (30 - 89 cm)</t>
        </is>
      </c>
      <c r="F75" s="10" t="inlineStr">
        <is>
          <t>Perch-likes</t>
        </is>
      </c>
      <c r="G75" s="11" t="inlineStr">
        <is>
          <t>Bigeyes (priacanthids)</t>
        </is>
      </c>
      <c r="H75" s="12" t="n">
        <v>1</v>
      </c>
      <c r="I75" s="10" t="inlineStr">
        <is>
          <t>single</t>
        </is>
      </c>
      <c r="J75" s="15" t="inlineStr">
        <is>
          <t>high</t>
        </is>
      </c>
      <c r="K75" s="10" t="inlineStr">
        <is>
          <t>taxonomic_containment</t>
        </is>
      </c>
      <c r="L75" s="11" t="inlineStr">
        <is>
          <t>Appendix 6.1 pp.327-335 defines Bigeyes (priacanthids) by this family or explicitly names Priacanthidae; dedicated source placement overrides the SAU class Medium reef assoc. fish (30 - 89 cm).</t>
        </is>
      </c>
      <c r="M75" s="10" t="n">
        <v>2037784.634</v>
      </c>
    </row>
    <row r="76" ht="51" customHeight="1">
      <c r="A76" s="10" t="inlineStr">
        <is>
          <t>LME_036</t>
        </is>
      </c>
      <c r="B76" s="11" t="inlineStr">
        <is>
          <t>36_2_South_China_Sea_SCS-2007_Northern_South_China_Sea_(1970s)</t>
        </is>
      </c>
      <c r="C76" s="11" t="inlineStr">
        <is>
          <t>Ariidae</t>
        </is>
      </c>
      <c r="D76" s="10" t="inlineStr">
        <is>
          <t>Sea catfishes, coblers</t>
        </is>
      </c>
      <c r="E76" s="10" t="inlineStr">
        <is>
          <t>Medium demersals (30 - 89 cm)</t>
        </is>
      </c>
      <c r="F76" s="10" t="inlineStr">
        <is>
          <t>Other fishes &amp; inverts</t>
        </is>
      </c>
      <c r="G76" s="11" t="inlineStr">
        <is>
          <t>Juvenile demersal fish (&gt; 30 cm)</t>
        </is>
      </c>
      <c r="H76" s="12" t="n">
        <v>0.2002781641168289</v>
      </c>
      <c r="I76" s="10" t="inlineStr">
        <is>
          <t>model_catch</t>
        </is>
      </c>
      <c r="J76" s="14" t="inlineStr">
        <is>
          <t>medium</t>
        </is>
      </c>
      <c r="K76" s="10" t="inlineStr">
        <is>
          <t>composite_split</t>
        </is>
      </c>
      <c r="L76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76" s="10" t="n">
        <v>2011554.05</v>
      </c>
    </row>
    <row r="77" ht="51" customHeight="1">
      <c r="A77" s="10" t="inlineStr">
        <is>
          <t>LME_036</t>
        </is>
      </c>
      <c r="B77" s="11" t="inlineStr">
        <is>
          <t>36_2_South_China_Sea_SCS-2007_Northern_South_China_Sea_(1970s)</t>
        </is>
      </c>
      <c r="C77" s="11" t="inlineStr">
        <is>
          <t>Ariidae</t>
        </is>
      </c>
      <c r="D77" s="10" t="inlineStr">
        <is>
          <t>Sea catfishes, coblers</t>
        </is>
      </c>
      <c r="E77" s="10" t="inlineStr">
        <is>
          <t>Medium demersals (30 - 89 cm)</t>
        </is>
      </c>
      <c r="F77" s="10" t="inlineStr">
        <is>
          <t>Other fishes &amp; inverts</t>
        </is>
      </c>
      <c r="G77" s="11" t="inlineStr">
        <is>
          <t>Adult demersal fish (&gt; 30 cm)</t>
        </is>
      </c>
      <c r="H77" s="12" t="n">
        <v>0.799721835883171</v>
      </c>
      <c r="I77" s="10" t="inlineStr">
        <is>
          <t>model_catch</t>
        </is>
      </c>
      <c r="J77" s="14" t="inlineStr">
        <is>
          <t>medium</t>
        </is>
      </c>
      <c r="K77" s="10" t="inlineStr">
        <is>
          <t>composite_split</t>
        </is>
      </c>
      <c r="L77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77" s="10" t="n">
        <v>2011554.05</v>
      </c>
    </row>
    <row r="78" ht="36" customHeight="1">
      <c r="A78" s="10" t="inlineStr">
        <is>
          <t>LME_036</t>
        </is>
      </c>
      <c r="B78" s="11" t="inlineStr">
        <is>
          <t>36_2_South_China_Sea_SCS-2007_Northern_South_China_Sea_(1970s)</t>
        </is>
      </c>
      <c r="C78" s="11" t="inlineStr">
        <is>
          <t>Sepiida</t>
        </is>
      </c>
      <c r="D78" s="10" t="inlineStr">
        <is>
          <t>Cuttlefishes, bobtail squids</t>
        </is>
      </c>
      <c r="E78" s="10" t="inlineStr">
        <is>
          <t>Cephalopods</t>
        </is>
      </c>
      <c r="F78" s="10" t="inlineStr">
        <is>
          <t>Other fishes &amp; inverts</t>
        </is>
      </c>
      <c r="G78" s="11" t="inlineStr">
        <is>
          <t>Cephalopods</t>
        </is>
      </c>
      <c r="H78" s="12" t="n">
        <v>1</v>
      </c>
      <c r="I78" s="10" t="inlineStr">
        <is>
          <t>single</t>
        </is>
      </c>
      <c r="J78" s="15" t="inlineStr">
        <is>
          <t>high</t>
        </is>
      </c>
      <c r="K78" s="10" t="inlineStr">
        <is>
          <t>taxonomic_containment</t>
        </is>
      </c>
      <c r="L78" s="11" t="inlineStr">
        <is>
          <t>Cephalopoda is contained by the single source Cephalopods group, Appendix 6.1.8 pp.326-327.</t>
        </is>
      </c>
      <c r="M78" s="10" t="n">
        <v>1933877.398</v>
      </c>
    </row>
    <row r="79" ht="51" customHeight="1">
      <c r="A79" s="10" t="inlineStr">
        <is>
          <t>LME_036</t>
        </is>
      </c>
      <c r="B79" s="11" t="inlineStr">
        <is>
          <t>36_2_South_China_Sea_SCS-2007_Northern_South_China_Sea_(1970s)</t>
        </is>
      </c>
      <c r="C79" s="11" t="inlineStr">
        <is>
          <t>Harpadon nehereus</t>
        </is>
      </c>
      <c r="D79" s="10" t="inlineStr">
        <is>
          <t>Bombay-duck</t>
        </is>
      </c>
      <c r="E79" s="10" t="inlineStr">
        <is>
          <t>Medium benthopelagics (30 - 89 cm)</t>
        </is>
      </c>
      <c r="F79" s="10" t="inlineStr">
        <is>
          <t>Other fishes &amp; inverts</t>
        </is>
      </c>
      <c r="G79" s="11" t="inlineStr">
        <is>
          <t>Lizard fish (synodontids)</t>
        </is>
      </c>
      <c r="H79" s="12" t="n">
        <v>1</v>
      </c>
      <c r="I79" s="10" t="inlineStr">
        <is>
          <t>single</t>
        </is>
      </c>
      <c r="J79" s="15" t="inlineStr">
        <is>
          <t>high</t>
        </is>
      </c>
      <c r="K79" s="10" t="inlineStr">
        <is>
          <t>taxonomic_containment</t>
        </is>
      </c>
      <c r="L79" s="11" t="inlineStr">
        <is>
          <t>Appendix 6.1 pp.327-335 defines Lizard fish (synodontids) by this family or explicitly names Harpadon nehereus; dedicated source placement overrides the SAU class Medium benthopelagics (30 - 89 cm).</t>
        </is>
      </c>
      <c r="M79" s="10" t="n">
        <v>1914727.921</v>
      </c>
    </row>
    <row r="80" ht="36" customHeight="1">
      <c r="A80" s="10" t="inlineStr">
        <is>
          <t>LME_036</t>
        </is>
      </c>
      <c r="B80" s="11" t="inlineStr">
        <is>
          <t>36_2_South_China_Sea_SCS-2007_Northern_South_China_Sea_(1970s)</t>
        </is>
      </c>
      <c r="C80" s="11" t="inlineStr">
        <is>
          <t>Squillidae</t>
        </is>
      </c>
      <c r="D80" s="10" t="inlineStr">
        <is>
          <t>Squilla mantis shrimps</t>
        </is>
      </c>
      <c r="E80" s="10" t="inlineStr">
        <is>
          <t>Shrimps</t>
        </is>
      </c>
      <c r="F80" s="10" t="inlineStr">
        <is>
          <t>Crustaceans</t>
        </is>
      </c>
      <c r="G80" s="11" t="inlineStr">
        <is>
          <t>Benthic crustaceans</t>
        </is>
      </c>
      <c r="H80" s="12" t="n">
        <v>1</v>
      </c>
      <c r="I80" s="10" t="inlineStr">
        <is>
          <t>single</t>
        </is>
      </c>
      <c r="J80" s="15" t="inlineStr">
        <is>
          <t>high</t>
        </is>
      </c>
      <c r="K80" s="10" t="inlineStr">
        <is>
          <t>taxonomic_containment</t>
        </is>
      </c>
      <c r="L80" s="11" t="inlineStr">
        <is>
          <t>Stomatopods belong to the residual benthic crustaceans; other shrimp taxa belong to Shrimps after the explicitly separated Acetes records (Appendix 6.1 pp.323-326).</t>
        </is>
      </c>
      <c r="M80" s="10" t="n">
        <v>1800383.614</v>
      </c>
    </row>
    <row r="81" ht="36" customHeight="1">
      <c r="A81" s="10" t="inlineStr">
        <is>
          <t>LME_036</t>
        </is>
      </c>
      <c r="B81" s="11" t="inlineStr">
        <is>
          <t>36_2_South_China_Sea_SCS-2007_Northern_South_China_Sea_(1970s)</t>
        </is>
      </c>
      <c r="C81" s="11" t="inlineStr">
        <is>
          <t>Todarodes pacificus</t>
        </is>
      </c>
      <c r="D81" s="10" t="inlineStr">
        <is>
          <t>Japanese flying squid</t>
        </is>
      </c>
      <c r="E81" s="10" t="inlineStr">
        <is>
          <t>Cephalopods</t>
        </is>
      </c>
      <c r="F81" s="10" t="inlineStr">
        <is>
          <t>Other fishes &amp; inverts</t>
        </is>
      </c>
      <c r="G81" s="11" t="inlineStr">
        <is>
          <t>Cephalopods</t>
        </is>
      </c>
      <c r="H81" s="12" t="n">
        <v>1</v>
      </c>
      <c r="I81" s="10" t="inlineStr">
        <is>
          <t>single</t>
        </is>
      </c>
      <c r="J81" s="15" t="inlineStr">
        <is>
          <t>high</t>
        </is>
      </c>
      <c r="K81" s="10" t="inlineStr">
        <is>
          <t>taxonomic_containment</t>
        </is>
      </c>
      <c r="L81" s="11" t="inlineStr">
        <is>
          <t>Cephalopoda is contained by the single source Cephalopods group, Appendix 6.1.8 pp.326-327.</t>
        </is>
      </c>
      <c r="M81" s="10" t="n">
        <v>1752301.258</v>
      </c>
    </row>
    <row r="82" ht="36" customHeight="1">
      <c r="A82" s="10" t="inlineStr">
        <is>
          <t>LME_036</t>
        </is>
      </c>
      <c r="B82" s="11" t="inlineStr">
        <is>
          <t>36_2_South_China_Sea_SCS-2007_Northern_South_China_Sea_(1970s)</t>
        </is>
      </c>
      <c r="C82" s="11" t="inlineStr">
        <is>
          <t>Elasmobranchii</t>
        </is>
      </c>
      <c r="D82" s="10" t="inlineStr">
        <is>
          <t>Sharks, rays, skates</t>
        </is>
      </c>
      <c r="E82" s="10" t="inlineStr">
        <is>
          <t>Large sharks (&gt;=90 cm)</t>
        </is>
      </c>
      <c r="F82" s="10" t="inlineStr">
        <is>
          <t>Sharks &amp; rays</t>
        </is>
      </c>
      <c r="G82" s="11" t="inlineStr">
        <is>
          <t>Demersal sharks and rays</t>
        </is>
      </c>
      <c r="H82" s="12" t="n">
        <v>0.8134680303573432</v>
      </c>
      <c r="I82" s="10" t="inlineStr">
        <is>
          <t>catch_composition</t>
        </is>
      </c>
      <c r="J82" s="13" t="inlineStr">
        <is>
          <t>low</t>
        </is>
      </c>
      <c r="K82" s="10" t="inlineStr">
        <is>
          <t>composite_split</t>
        </is>
      </c>
      <c r="L82" s="11" t="inlineStr">
        <is>
          <t>Coarse or habitat-ambiguous elasmobranch record spans the two source habitat compartments; SAU shark/ray size is insufficient to select one.</t>
        </is>
      </c>
      <c r="M82" s="10" t="n">
        <v>1751877.718</v>
      </c>
    </row>
    <row r="83" ht="36" customHeight="1">
      <c r="A83" s="10" t="inlineStr">
        <is>
          <t>LME_036</t>
        </is>
      </c>
      <c r="B83" s="11" t="inlineStr">
        <is>
          <t>36_2_South_China_Sea_SCS-2007_Northern_South_China_Sea_(1970s)</t>
        </is>
      </c>
      <c r="C83" s="11" t="inlineStr">
        <is>
          <t>Elasmobranchii</t>
        </is>
      </c>
      <c r="D83" s="10" t="inlineStr">
        <is>
          <t>Sharks, rays, skates</t>
        </is>
      </c>
      <c r="E83" s="10" t="inlineStr">
        <is>
          <t>Large sharks (&gt;=90 cm)</t>
        </is>
      </c>
      <c r="F83" s="10" t="inlineStr">
        <is>
          <t>Sharks &amp; rays</t>
        </is>
      </c>
      <c r="G83" s="11" t="inlineStr">
        <is>
          <t>Pelagic sharks and rays</t>
        </is>
      </c>
      <c r="H83" s="12" t="n">
        <v>0.1865319696426568</v>
      </c>
      <c r="I83" s="10" t="inlineStr">
        <is>
          <t>catch_composition</t>
        </is>
      </c>
      <c r="J83" s="13" t="inlineStr">
        <is>
          <t>low</t>
        </is>
      </c>
      <c r="K83" s="10" t="inlineStr">
        <is>
          <t>composite_split</t>
        </is>
      </c>
      <c r="L83" s="11" t="inlineStr">
        <is>
          <t>Coarse or habitat-ambiguous elasmobranch record spans the two source habitat compartments; SAU shark/ray size is insufficient to select one.</t>
        </is>
      </c>
      <c r="M83" s="10" t="n">
        <v>1751877.718</v>
      </c>
    </row>
    <row r="84" ht="36" customHeight="1">
      <c r="A84" s="10" t="inlineStr">
        <is>
          <t>LME_036</t>
        </is>
      </c>
      <c r="B84" s="11" t="inlineStr">
        <is>
          <t>36_2_South_China_Sea_SCS-2007_Northern_South_China_Sea_(1970s)</t>
        </is>
      </c>
      <c r="C84" s="11" t="inlineStr">
        <is>
          <t>Rastrelliger brachysoma</t>
        </is>
      </c>
      <c r="D84" s="10" t="inlineStr">
        <is>
          <t>Short mackerel</t>
        </is>
      </c>
      <c r="E84" s="10" t="inlineStr">
        <is>
          <t>Medium pelagics (30 - 89 cm)</t>
        </is>
      </c>
      <c r="F84" s="10" t="inlineStr">
        <is>
          <t>Perch-likes</t>
        </is>
      </c>
      <c r="G84" s="11" t="inlineStr">
        <is>
          <t>Juvenile large pelagic fish</t>
        </is>
      </c>
      <c r="H84" s="12" t="n">
        <v>0.2016806722689076</v>
      </c>
      <c r="I84" s="10" t="inlineStr">
        <is>
          <t>model_catch</t>
        </is>
      </c>
      <c r="J84" s="14" t="inlineStr">
        <is>
          <t>medium</t>
        </is>
      </c>
      <c r="K84" s="10" t="inlineStr">
        <is>
          <t>composite_split</t>
        </is>
      </c>
      <c r="L84" s="11" t="inlineStr">
        <is>
          <t>Analyst habitat/size inference to source &gt;30 cm pelagic fish (Appendix 6.1.24 p.339); no age data, so split juvenile/adult using the period model catch.</t>
        </is>
      </c>
      <c r="M84" s="10" t="n">
        <v>1719985.069</v>
      </c>
    </row>
    <row r="85" ht="36" customHeight="1">
      <c r="A85" s="10" t="inlineStr">
        <is>
          <t>LME_036</t>
        </is>
      </c>
      <c r="B85" s="11" t="inlineStr">
        <is>
          <t>36_2_South_China_Sea_SCS-2007_Northern_South_China_Sea_(1970s)</t>
        </is>
      </c>
      <c r="C85" s="11" t="inlineStr">
        <is>
          <t>Rastrelliger brachysoma</t>
        </is>
      </c>
      <c r="D85" s="10" t="inlineStr">
        <is>
          <t>Short mackerel</t>
        </is>
      </c>
      <c r="E85" s="10" t="inlineStr">
        <is>
          <t>Medium pelagics (30 - 89 cm)</t>
        </is>
      </c>
      <c r="F85" s="10" t="inlineStr">
        <is>
          <t>Perch-likes</t>
        </is>
      </c>
      <c r="G85" s="11" t="inlineStr">
        <is>
          <t>Pelagic fish (&gt; 30 cm)</t>
        </is>
      </c>
      <c r="H85" s="12" t="n">
        <v>0.7983193277310925</v>
      </c>
      <c r="I85" s="10" t="inlineStr">
        <is>
          <t>model_catch</t>
        </is>
      </c>
      <c r="J85" s="14" t="inlineStr">
        <is>
          <t>medium</t>
        </is>
      </c>
      <c r="K85" s="10" t="inlineStr">
        <is>
          <t>composite_split</t>
        </is>
      </c>
      <c r="L85" s="11" t="inlineStr">
        <is>
          <t>Analyst habitat/size inference to source &gt;30 cm pelagic fish (Appendix 6.1.24 p.339); no age data, so split juvenile/adult using the period model catch.</t>
        </is>
      </c>
      <c r="M85" s="10" t="n">
        <v>1719985.069</v>
      </c>
    </row>
    <row r="86" ht="36" customHeight="1">
      <c r="A86" s="10" t="inlineStr">
        <is>
          <t>LME_036</t>
        </is>
      </c>
      <c r="B86" s="11" t="inlineStr">
        <is>
          <t>36_2_South_China_Sea_SCS-2007_Northern_South_China_Sea_(1970s)</t>
        </is>
      </c>
      <c r="C86" s="11" t="inlineStr">
        <is>
          <t>Chondrichthyes</t>
        </is>
      </c>
      <c r="D86" s="10" t="inlineStr">
        <is>
          <t>Sharks, rays, chimaeras</t>
        </is>
      </c>
      <c r="E86" s="10" t="inlineStr">
        <is>
          <t>Large sharks (&gt;=90 cm)</t>
        </is>
      </c>
      <c r="F86" s="10" t="inlineStr">
        <is>
          <t>Sharks &amp; rays</t>
        </is>
      </c>
      <c r="G86" s="11" t="inlineStr">
        <is>
          <t>Demersal sharks and rays</t>
        </is>
      </c>
      <c r="H86" s="12" t="n">
        <v>0.8134680303573432</v>
      </c>
      <c r="I86" s="10" t="inlineStr">
        <is>
          <t>catch_composition</t>
        </is>
      </c>
      <c r="J86" s="13" t="inlineStr">
        <is>
          <t>low</t>
        </is>
      </c>
      <c r="K86" s="10" t="inlineStr">
        <is>
          <t>composite_split</t>
        </is>
      </c>
      <c r="L86" s="11" t="inlineStr">
        <is>
          <t>Coarse or habitat-ambiguous elasmobranch record spans the two source habitat compartments; SAU shark/ray size is insufficient to select one.</t>
        </is>
      </c>
      <c r="M86" s="10" t="n">
        <v>1707091.817</v>
      </c>
    </row>
    <row r="87" ht="36" customHeight="1">
      <c r="A87" s="10" t="inlineStr">
        <is>
          <t>LME_036</t>
        </is>
      </c>
      <c r="B87" s="11" t="inlineStr">
        <is>
          <t>36_2_South_China_Sea_SCS-2007_Northern_South_China_Sea_(1970s)</t>
        </is>
      </c>
      <c r="C87" s="11" t="inlineStr">
        <is>
          <t>Chondrichthyes</t>
        </is>
      </c>
      <c r="D87" s="10" t="inlineStr">
        <is>
          <t>Sharks, rays, chimaeras</t>
        </is>
      </c>
      <c r="E87" s="10" t="inlineStr">
        <is>
          <t>Large sharks (&gt;=90 cm)</t>
        </is>
      </c>
      <c r="F87" s="10" t="inlineStr">
        <is>
          <t>Sharks &amp; rays</t>
        </is>
      </c>
      <c r="G87" s="11" t="inlineStr">
        <is>
          <t>Pelagic sharks and rays</t>
        </is>
      </c>
      <c r="H87" s="12" t="n">
        <v>0.1865319696426568</v>
      </c>
      <c r="I87" s="10" t="inlineStr">
        <is>
          <t>catch_composition</t>
        </is>
      </c>
      <c r="J87" s="13" t="inlineStr">
        <is>
          <t>low</t>
        </is>
      </c>
      <c r="K87" s="10" t="inlineStr">
        <is>
          <t>composite_split</t>
        </is>
      </c>
      <c r="L87" s="11" t="inlineStr">
        <is>
          <t>Coarse or habitat-ambiguous elasmobranch record spans the two source habitat compartments; SAU shark/ray size is insufficient to select one.</t>
        </is>
      </c>
      <c r="M87" s="10" t="n">
        <v>1707091.817</v>
      </c>
    </row>
    <row r="88" ht="36" customHeight="1">
      <c r="A88" s="10" t="inlineStr">
        <is>
          <t>LME_036</t>
        </is>
      </c>
      <c r="B88" s="11" t="inlineStr">
        <is>
          <t>36_2_South_China_Sea_SCS-2007_Northern_South_China_Sea_(1970s)</t>
        </is>
      </c>
      <c r="C88" s="11" t="inlineStr">
        <is>
          <t>Thunnus albacares</t>
        </is>
      </c>
      <c r="D88" s="10" t="inlineStr">
        <is>
          <t>Yellowfin tuna</t>
        </is>
      </c>
      <c r="E88" s="10" t="inlineStr">
        <is>
          <t>Large pelagics (&gt;=90 cm)</t>
        </is>
      </c>
      <c r="F88" s="10" t="inlineStr">
        <is>
          <t>Tuna &amp; billfishes</t>
        </is>
      </c>
      <c r="G88" s="11" t="inlineStr">
        <is>
          <t>Juvenile large pelagic fish</t>
        </is>
      </c>
      <c r="H88" s="12" t="n">
        <v>0.2016806722689076</v>
      </c>
      <c r="I88" s="10" t="inlineStr">
        <is>
          <t>model_catch</t>
        </is>
      </c>
      <c r="J88" s="14" t="inlineStr">
        <is>
          <t>medium</t>
        </is>
      </c>
      <c r="K88" s="10" t="inlineStr">
        <is>
          <t>composite_split</t>
        </is>
      </c>
      <c r="L88" s="11" t="inlineStr">
        <is>
          <t>Analyst habitat/size inference to source &gt;30 cm pelagic fish (Appendix 6.1.24 p.339); no age data, so split juvenile/adult using the period model catch.</t>
        </is>
      </c>
      <c r="M88" s="10" t="n">
        <v>1626326.169</v>
      </c>
    </row>
    <row r="89" ht="36" customHeight="1">
      <c r="A89" s="10" t="inlineStr">
        <is>
          <t>LME_036</t>
        </is>
      </c>
      <c r="B89" s="11" t="inlineStr">
        <is>
          <t>36_2_South_China_Sea_SCS-2007_Northern_South_China_Sea_(1970s)</t>
        </is>
      </c>
      <c r="C89" s="11" t="inlineStr">
        <is>
          <t>Thunnus albacares</t>
        </is>
      </c>
      <c r="D89" s="10" t="inlineStr">
        <is>
          <t>Yellowfin tuna</t>
        </is>
      </c>
      <c r="E89" s="10" t="inlineStr">
        <is>
          <t>Large pelagics (&gt;=90 cm)</t>
        </is>
      </c>
      <c r="F89" s="10" t="inlineStr">
        <is>
          <t>Tuna &amp; billfishes</t>
        </is>
      </c>
      <c r="G89" s="11" t="inlineStr">
        <is>
          <t>Pelagic fish (&gt; 30 cm)</t>
        </is>
      </c>
      <c r="H89" s="12" t="n">
        <v>0.7983193277310925</v>
      </c>
      <c r="I89" s="10" t="inlineStr">
        <is>
          <t>model_catch</t>
        </is>
      </c>
      <c r="J89" s="14" t="inlineStr">
        <is>
          <t>medium</t>
        </is>
      </c>
      <c r="K89" s="10" t="inlineStr">
        <is>
          <t>composite_split</t>
        </is>
      </c>
      <c r="L89" s="11" t="inlineStr">
        <is>
          <t>Analyst habitat/size inference to source &gt;30 cm pelagic fish (Appendix 6.1.24 p.339); no age data, so split juvenile/adult using the period model catch.</t>
        </is>
      </c>
      <c r="M89" s="10" t="n">
        <v>1626326.169</v>
      </c>
    </row>
    <row r="90" ht="51" customHeight="1">
      <c r="A90" s="10" t="inlineStr">
        <is>
          <t>LME_036</t>
        </is>
      </c>
      <c r="B90" s="11" t="inlineStr">
        <is>
          <t>36_2_South_China_Sea_SCS-2007_Northern_South_China_Sea_(1970s)</t>
        </is>
      </c>
      <c r="C90" s="11" t="inlineStr">
        <is>
          <t>Stolephorus</t>
        </is>
      </c>
      <c r="D90" s="10" t="inlineStr">
        <is>
          <t>Garment anchovies</t>
        </is>
      </c>
      <c r="E90" s="10" t="inlineStr">
        <is>
          <t>Small pelagics (&lt;30 cm)</t>
        </is>
      </c>
      <c r="F90" s="10" t="inlineStr">
        <is>
          <t>Anchovies</t>
        </is>
      </c>
      <c r="G90" s="11" t="inlineStr">
        <is>
          <t>Pelagic fish (≤ 30 cm)</t>
        </is>
      </c>
      <c r="H90" s="12" t="n">
        <v>1</v>
      </c>
      <c r="I90" s="10" t="inlineStr">
        <is>
          <t>single</t>
        </is>
      </c>
      <c r="J90" s="14" t="inlineStr">
        <is>
          <t>medium</t>
        </is>
      </c>
      <c r="K90" s="10" t="inlineStr">
        <is>
          <t>habitat_size_guild</t>
        </is>
      </c>
      <c r="L90" s="11" t="inlineStr">
        <is>
          <t>Source small-pelagic pool explicitly includes sardines, thryssa and anchovies (Appendix 6.1.23 p.338); extension to the catch lineage uses SAU size as a proxy and is not a full species list.</t>
        </is>
      </c>
      <c r="M90" s="10" t="n">
        <v>1518853.453</v>
      </c>
    </row>
    <row r="91" ht="36" customHeight="1">
      <c r="A91" s="10" t="inlineStr">
        <is>
          <t>LME_036</t>
        </is>
      </c>
      <c r="B91" s="11" t="inlineStr">
        <is>
          <t>36_2_South_China_Sea_SCS-2007_Northern_South_China_Sea_(1970s)</t>
        </is>
      </c>
      <c r="C91" s="11" t="inlineStr">
        <is>
          <t>Scomberomorus commerson</t>
        </is>
      </c>
      <c r="D91" s="10" t="inlineStr">
        <is>
          <t>Narrow-barred Spanish mackerel</t>
        </is>
      </c>
      <c r="E91" s="10" t="inlineStr">
        <is>
          <t>Large pelagics (&gt;=90 cm)</t>
        </is>
      </c>
      <c r="F91" s="10" t="inlineStr">
        <is>
          <t>Perch-likes</t>
        </is>
      </c>
      <c r="G91" s="11" t="inlineStr">
        <is>
          <t>Juvenile large pelagic fish</t>
        </is>
      </c>
      <c r="H91" s="12" t="n">
        <v>0.2016806722689076</v>
      </c>
      <c r="I91" s="10" t="inlineStr">
        <is>
          <t>model_catch</t>
        </is>
      </c>
      <c r="J91" s="14" t="inlineStr">
        <is>
          <t>medium</t>
        </is>
      </c>
      <c r="K91" s="10" t="inlineStr">
        <is>
          <t>composite_split</t>
        </is>
      </c>
      <c r="L91" s="11" t="inlineStr">
        <is>
          <t>Analyst habitat/size inference to source &gt;30 cm pelagic fish (Appendix 6.1.24 p.339); no age data, so split juvenile/adult using the period model catch.</t>
        </is>
      </c>
      <c r="M91" s="10" t="n">
        <v>1502865.98</v>
      </c>
    </row>
    <row r="92" ht="36" customHeight="1">
      <c r="A92" s="10" t="inlineStr">
        <is>
          <t>LME_036</t>
        </is>
      </c>
      <c r="B92" s="11" t="inlineStr">
        <is>
          <t>36_2_South_China_Sea_SCS-2007_Northern_South_China_Sea_(1970s)</t>
        </is>
      </c>
      <c r="C92" s="11" t="inlineStr">
        <is>
          <t>Scomberomorus commerson</t>
        </is>
      </c>
      <c r="D92" s="10" t="inlineStr">
        <is>
          <t>Narrow-barred Spanish mackerel</t>
        </is>
      </c>
      <c r="E92" s="10" t="inlineStr">
        <is>
          <t>Large pelagics (&gt;=90 cm)</t>
        </is>
      </c>
      <c r="F92" s="10" t="inlineStr">
        <is>
          <t>Perch-likes</t>
        </is>
      </c>
      <c r="G92" s="11" t="inlineStr">
        <is>
          <t>Pelagic fish (&gt; 30 cm)</t>
        </is>
      </c>
      <c r="H92" s="12" t="n">
        <v>0.7983193277310925</v>
      </c>
      <c r="I92" s="10" t="inlineStr">
        <is>
          <t>model_catch</t>
        </is>
      </c>
      <c r="J92" s="14" t="inlineStr">
        <is>
          <t>medium</t>
        </is>
      </c>
      <c r="K92" s="10" t="inlineStr">
        <is>
          <t>composite_split</t>
        </is>
      </c>
      <c r="L92" s="11" t="inlineStr">
        <is>
          <t>Analyst habitat/size inference to source &gt;30 cm pelagic fish (Appendix 6.1.24 p.339); no age data, so split juvenile/adult using the period model catch.</t>
        </is>
      </c>
      <c r="M92" s="10" t="n">
        <v>1502865.98</v>
      </c>
    </row>
    <row r="93" ht="36" customHeight="1">
      <c r="A93" s="10" t="inlineStr">
        <is>
          <t>LME_036</t>
        </is>
      </c>
      <c r="B93" s="11" t="inlineStr">
        <is>
          <t>36_2_South_China_Sea_SCS-2007_Northern_South_China_Sea_(1970s)</t>
        </is>
      </c>
      <c r="C93" s="11" t="inlineStr">
        <is>
          <t>Rastrelliger kanagurta</t>
        </is>
      </c>
      <c r="D93" s="10" t="inlineStr">
        <is>
          <t>Indian mackerel</t>
        </is>
      </c>
      <c r="E93" s="10" t="inlineStr">
        <is>
          <t>Medium pelagics (30 - 89 cm)</t>
        </is>
      </c>
      <c r="F93" s="10" t="inlineStr">
        <is>
          <t>Perch-likes</t>
        </is>
      </c>
      <c r="G93" s="11" t="inlineStr">
        <is>
          <t>Juvenile large pelagic fish</t>
        </is>
      </c>
      <c r="H93" s="12" t="n">
        <v>0.2016806722689076</v>
      </c>
      <c r="I93" s="10" t="inlineStr">
        <is>
          <t>model_catch</t>
        </is>
      </c>
      <c r="J93" s="14" t="inlineStr">
        <is>
          <t>medium</t>
        </is>
      </c>
      <c r="K93" s="10" t="inlineStr">
        <is>
          <t>composite_split</t>
        </is>
      </c>
      <c r="L93" s="11" t="inlineStr">
        <is>
          <t>Analyst habitat/size inference to source &gt;30 cm pelagic fish (Appendix 6.1.24 p.339); no age data, so split juvenile/adult using the period model catch.</t>
        </is>
      </c>
      <c r="M93" s="10" t="n">
        <v>1469580.931</v>
      </c>
    </row>
    <row r="94" ht="36" customHeight="1">
      <c r="A94" s="10" t="inlineStr">
        <is>
          <t>LME_036</t>
        </is>
      </c>
      <c r="B94" s="11" t="inlineStr">
        <is>
          <t>36_2_South_China_Sea_SCS-2007_Northern_South_China_Sea_(1970s)</t>
        </is>
      </c>
      <c r="C94" s="11" t="inlineStr">
        <is>
          <t>Rastrelliger kanagurta</t>
        </is>
      </c>
      <c r="D94" s="10" t="inlineStr">
        <is>
          <t>Indian mackerel</t>
        </is>
      </c>
      <c r="E94" s="10" t="inlineStr">
        <is>
          <t>Medium pelagics (30 - 89 cm)</t>
        </is>
      </c>
      <c r="F94" s="10" t="inlineStr">
        <is>
          <t>Perch-likes</t>
        </is>
      </c>
      <c r="G94" s="11" t="inlineStr">
        <is>
          <t>Pelagic fish (&gt; 30 cm)</t>
        </is>
      </c>
      <c r="H94" s="12" t="n">
        <v>0.7983193277310925</v>
      </c>
      <c r="I94" s="10" t="inlineStr">
        <is>
          <t>model_catch</t>
        </is>
      </c>
      <c r="J94" s="14" t="inlineStr">
        <is>
          <t>medium</t>
        </is>
      </c>
      <c r="K94" s="10" t="inlineStr">
        <is>
          <t>composite_split</t>
        </is>
      </c>
      <c r="L94" s="11" t="inlineStr">
        <is>
          <t>Analyst habitat/size inference to source &gt;30 cm pelagic fish (Appendix 6.1.24 p.339); no age data, so split juvenile/adult using the period model catch.</t>
        </is>
      </c>
      <c r="M94" s="10" t="n">
        <v>1469580.931</v>
      </c>
    </row>
    <row r="95" ht="36" customHeight="1">
      <c r="A95" s="10" t="inlineStr">
        <is>
          <t>LME_036</t>
        </is>
      </c>
      <c r="B95" s="11" t="inlineStr">
        <is>
          <t>36_2_South_China_Sea_SCS-2007_Northern_South_China_Sea_(1970s)</t>
        </is>
      </c>
      <c r="C95" s="11" t="inlineStr">
        <is>
          <t>Rastrelliger</t>
        </is>
      </c>
      <c r="D95" s="10" t="inlineStr">
        <is>
          <t>Indian mackerels</t>
        </is>
      </c>
      <c r="E95" s="10" t="inlineStr">
        <is>
          <t>Medium pelagics (30 - 89 cm)</t>
        </is>
      </c>
      <c r="F95" s="10" t="inlineStr">
        <is>
          <t>Perch-likes</t>
        </is>
      </c>
      <c r="G95" s="11" t="inlineStr">
        <is>
          <t>Juvenile large pelagic fish</t>
        </is>
      </c>
      <c r="H95" s="12" t="n">
        <v>0.2016806722689076</v>
      </c>
      <c r="I95" s="10" t="inlineStr">
        <is>
          <t>model_catch</t>
        </is>
      </c>
      <c r="J95" s="14" t="inlineStr">
        <is>
          <t>medium</t>
        </is>
      </c>
      <c r="K95" s="10" t="inlineStr">
        <is>
          <t>composite_split</t>
        </is>
      </c>
      <c r="L95" s="11" t="inlineStr">
        <is>
          <t>Analyst habitat/size inference to source &gt;30 cm pelagic fish (Appendix 6.1.24 p.339); no age data, so split juvenile/adult using the period model catch.</t>
        </is>
      </c>
      <c r="M95" s="10" t="n">
        <v>1441250.177</v>
      </c>
    </row>
    <row r="96" ht="36" customHeight="1">
      <c r="A96" s="10" t="inlineStr">
        <is>
          <t>LME_036</t>
        </is>
      </c>
      <c r="B96" s="11" t="inlineStr">
        <is>
          <t>36_2_South_China_Sea_SCS-2007_Northern_South_China_Sea_(1970s)</t>
        </is>
      </c>
      <c r="C96" s="11" t="inlineStr">
        <is>
          <t>Rastrelliger</t>
        </is>
      </c>
      <c r="D96" s="10" t="inlineStr">
        <is>
          <t>Indian mackerels</t>
        </is>
      </c>
      <c r="E96" s="10" t="inlineStr">
        <is>
          <t>Medium pelagics (30 - 89 cm)</t>
        </is>
      </c>
      <c r="F96" s="10" t="inlineStr">
        <is>
          <t>Perch-likes</t>
        </is>
      </c>
      <c r="G96" s="11" t="inlineStr">
        <is>
          <t>Pelagic fish (&gt; 30 cm)</t>
        </is>
      </c>
      <c r="H96" s="12" t="n">
        <v>0.7983193277310925</v>
      </c>
      <c r="I96" s="10" t="inlineStr">
        <is>
          <t>model_catch</t>
        </is>
      </c>
      <c r="J96" s="14" t="inlineStr">
        <is>
          <t>medium</t>
        </is>
      </c>
      <c r="K96" s="10" t="inlineStr">
        <is>
          <t>composite_split</t>
        </is>
      </c>
      <c r="L96" s="11" t="inlineStr">
        <is>
          <t>Analyst habitat/size inference to source &gt;30 cm pelagic fish (Appendix 6.1.24 p.339); no age data, so split juvenile/adult using the period model catch.</t>
        </is>
      </c>
      <c r="M96" s="10" t="n">
        <v>1441250.177</v>
      </c>
    </row>
    <row r="97" ht="51" customHeight="1">
      <c r="A97" s="10" t="inlineStr">
        <is>
          <t>LME_036</t>
        </is>
      </c>
      <c r="B97" s="11" t="inlineStr">
        <is>
          <t>36_2_South_China_Sea_SCS-2007_Northern_South_China_Sea_(1970s)</t>
        </is>
      </c>
      <c r="C97" s="11" t="inlineStr">
        <is>
          <t>Epinephelus</t>
        </is>
      </c>
      <c r="D97" s="10" t="inlineStr">
        <is>
          <t>Seabasses, hinds</t>
        </is>
      </c>
      <c r="E97" s="10" t="inlineStr">
        <is>
          <t>Medium reef assoc. fish (30 - 89 cm)</t>
        </is>
      </c>
      <c r="F97" s="10" t="inlineStr">
        <is>
          <t>Perch-likes</t>
        </is>
      </c>
      <c r="G97" s="11" t="inlineStr">
        <is>
          <t>Adult groupers</t>
        </is>
      </c>
      <c r="H97" s="12" t="n">
        <v>1</v>
      </c>
      <c r="I97" s="10" t="inlineStr">
        <is>
          <t>single</t>
        </is>
      </c>
      <c r="J97" s="15" t="inlineStr">
        <is>
          <t>high</t>
        </is>
      </c>
      <c r="K97" s="10" t="inlineStr">
        <is>
          <t>taxonomic_containment</t>
        </is>
      </c>
      <c r="L97" s="11" t="inlineStr">
        <is>
          <t>Appendix 6.1 pp.327-335 defines Adult groupers by this family or explicitly names Epinephelus; dedicated source placement overrides the SAU class Medium reef assoc. fish (30 - 89 cm).</t>
        </is>
      </c>
      <c r="M97" s="10" t="n">
        <v>1384242.323</v>
      </c>
    </row>
    <row r="98" ht="51" customHeight="1">
      <c r="A98" s="10" t="inlineStr">
        <is>
          <t>LME_036</t>
        </is>
      </c>
      <c r="B98" s="11" t="inlineStr">
        <is>
          <t>36_2_South_China_Sea_SCS-2007_Northern_South_China_Sea_(1970s)</t>
        </is>
      </c>
      <c r="C98" s="11" t="inlineStr">
        <is>
          <t>Mullidae</t>
        </is>
      </c>
      <c r="D98" s="10" t="inlineStr">
        <is>
          <t>Goatfishes</t>
        </is>
      </c>
      <c r="E98" s="10" t="inlineStr">
        <is>
          <t>Medium reef assoc. fish (30 - 89 cm)</t>
        </is>
      </c>
      <c r="F98" s="10" t="inlineStr">
        <is>
          <t>Perch-likes</t>
        </is>
      </c>
      <c r="G98" s="11" t="inlineStr">
        <is>
          <t>Juvenile demersal fish (&gt; 30 cm)</t>
        </is>
      </c>
      <c r="H98" s="12" t="n">
        <v>0.2002781641168289</v>
      </c>
      <c r="I98" s="10" t="inlineStr">
        <is>
          <t>model_catch</t>
        </is>
      </c>
      <c r="J98" s="14" t="inlineStr">
        <is>
          <t>medium</t>
        </is>
      </c>
      <c r="K98" s="10" t="inlineStr">
        <is>
          <t>composite_split</t>
        </is>
      </c>
      <c r="L98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98" s="10" t="n">
        <v>1371662.314</v>
      </c>
    </row>
    <row r="99" ht="51" customHeight="1">
      <c r="A99" s="10" t="inlineStr">
        <is>
          <t>LME_036</t>
        </is>
      </c>
      <c r="B99" s="11" t="inlineStr">
        <is>
          <t>36_2_South_China_Sea_SCS-2007_Northern_South_China_Sea_(1970s)</t>
        </is>
      </c>
      <c r="C99" s="11" t="inlineStr">
        <is>
          <t>Mullidae</t>
        </is>
      </c>
      <c r="D99" s="10" t="inlineStr">
        <is>
          <t>Goatfishes</t>
        </is>
      </c>
      <c r="E99" s="10" t="inlineStr">
        <is>
          <t>Medium reef assoc. fish (30 - 89 cm)</t>
        </is>
      </c>
      <c r="F99" s="10" t="inlineStr">
        <is>
          <t>Perch-likes</t>
        </is>
      </c>
      <c r="G99" s="11" t="inlineStr">
        <is>
          <t>Adult demersal fish (&gt; 30 cm)</t>
        </is>
      </c>
      <c r="H99" s="12" t="n">
        <v>0.799721835883171</v>
      </c>
      <c r="I99" s="10" t="inlineStr">
        <is>
          <t>model_catch</t>
        </is>
      </c>
      <c r="J99" s="14" t="inlineStr">
        <is>
          <t>medium</t>
        </is>
      </c>
      <c r="K99" s="10" t="inlineStr">
        <is>
          <t>composite_split</t>
        </is>
      </c>
      <c r="L99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99" s="10" t="n">
        <v>1371662.314</v>
      </c>
    </row>
    <row r="100" ht="36" customHeight="1">
      <c r="A100" s="10" t="inlineStr">
        <is>
          <t>LME_036</t>
        </is>
      </c>
      <c r="B100" s="11" t="inlineStr">
        <is>
          <t>36_2_South_China_Sea_SCS-2007_Northern_South_China_Sea_(1970s)</t>
        </is>
      </c>
      <c r="C100" s="11" t="inlineStr">
        <is>
          <t>Decapterus macrosoma</t>
        </is>
      </c>
      <c r="D100" s="10" t="inlineStr">
        <is>
          <t>Shortfin scad</t>
        </is>
      </c>
      <c r="E100" s="10" t="inlineStr">
        <is>
          <t>Medium pelagics (30 - 89 cm)</t>
        </is>
      </c>
      <c r="F100" s="10" t="inlineStr">
        <is>
          <t>Perch-likes</t>
        </is>
      </c>
      <c r="G100" s="11" t="inlineStr">
        <is>
          <t>Juvenile large pelagic fish</t>
        </is>
      </c>
      <c r="H100" s="12" t="n">
        <v>0.2016806722689076</v>
      </c>
      <c r="I100" s="10" t="inlineStr">
        <is>
          <t>model_catch</t>
        </is>
      </c>
      <c r="J100" s="14" t="inlineStr">
        <is>
          <t>medium</t>
        </is>
      </c>
      <c r="K100" s="10" t="inlineStr">
        <is>
          <t>composite_split</t>
        </is>
      </c>
      <c r="L100" s="11" t="inlineStr">
        <is>
          <t>Analyst habitat/size inference to source &gt;30 cm pelagic fish (Appendix 6.1.24 p.339); no age data, so split juvenile/adult using the period model catch.</t>
        </is>
      </c>
      <c r="M100" s="10" t="n">
        <v>1347860.293</v>
      </c>
    </row>
    <row r="101" ht="36" customHeight="1">
      <c r="A101" s="10" t="inlineStr">
        <is>
          <t>LME_036</t>
        </is>
      </c>
      <c r="B101" s="11" t="inlineStr">
        <is>
          <t>36_2_South_China_Sea_SCS-2007_Northern_South_China_Sea_(1970s)</t>
        </is>
      </c>
      <c r="C101" s="11" t="inlineStr">
        <is>
          <t>Decapterus macrosoma</t>
        </is>
      </c>
      <c r="D101" s="10" t="inlineStr">
        <is>
          <t>Shortfin scad</t>
        </is>
      </c>
      <c r="E101" s="10" t="inlineStr">
        <is>
          <t>Medium pelagics (30 - 89 cm)</t>
        </is>
      </c>
      <c r="F101" s="10" t="inlineStr">
        <is>
          <t>Perch-likes</t>
        </is>
      </c>
      <c r="G101" s="11" t="inlineStr">
        <is>
          <t>Pelagic fish (&gt; 30 cm)</t>
        </is>
      </c>
      <c r="H101" s="12" t="n">
        <v>0.7983193277310925</v>
      </c>
      <c r="I101" s="10" t="inlineStr">
        <is>
          <t>model_catch</t>
        </is>
      </c>
      <c r="J101" s="14" t="inlineStr">
        <is>
          <t>medium</t>
        </is>
      </c>
      <c r="K101" s="10" t="inlineStr">
        <is>
          <t>composite_split</t>
        </is>
      </c>
      <c r="L101" s="11" t="inlineStr">
        <is>
          <t>Analyst habitat/size inference to source &gt;30 cm pelagic fish (Appendix 6.1.24 p.339); no age data, so split juvenile/adult using the period model catch.</t>
        </is>
      </c>
      <c r="M101" s="10" t="n">
        <v>1347860.293</v>
      </c>
    </row>
    <row r="102" ht="36" customHeight="1">
      <c r="A102" s="10" t="inlineStr">
        <is>
          <t>LME_036</t>
        </is>
      </c>
      <c r="B102" s="11" t="inlineStr">
        <is>
          <t>36_2_South_China_Sea_SCS-2007_Northern_South_China_Sea_(1970s)</t>
        </is>
      </c>
      <c r="C102" s="11" t="inlineStr">
        <is>
          <t>Katsuwonus pelamis</t>
        </is>
      </c>
      <c r="D102" s="10" t="inlineStr">
        <is>
          <t>Skipjack tuna</t>
        </is>
      </c>
      <c r="E102" s="10" t="inlineStr">
        <is>
          <t>Large pelagics (&gt;=90 cm)</t>
        </is>
      </c>
      <c r="F102" s="10" t="inlineStr">
        <is>
          <t>Tuna &amp; billfishes</t>
        </is>
      </c>
      <c r="G102" s="11" t="inlineStr">
        <is>
          <t>Juvenile large pelagic fish</t>
        </is>
      </c>
      <c r="H102" s="12" t="n">
        <v>0.2016806722689076</v>
      </c>
      <c r="I102" s="10" t="inlineStr">
        <is>
          <t>model_catch</t>
        </is>
      </c>
      <c r="J102" s="14" t="inlineStr">
        <is>
          <t>medium</t>
        </is>
      </c>
      <c r="K102" s="10" t="inlineStr">
        <is>
          <t>composite_split</t>
        </is>
      </c>
      <c r="L102" s="11" t="inlineStr">
        <is>
          <t>Analyst habitat/size inference to source &gt;30 cm pelagic fish (Appendix 6.1.24 p.339); no age data, so split juvenile/adult using the period model catch.</t>
        </is>
      </c>
      <c r="M102" s="10" t="n">
        <v>1285182</v>
      </c>
    </row>
    <row r="103" ht="36" customHeight="1">
      <c r="A103" s="10" t="inlineStr">
        <is>
          <t>LME_036</t>
        </is>
      </c>
      <c r="B103" s="11" t="inlineStr">
        <is>
          <t>36_2_South_China_Sea_SCS-2007_Northern_South_China_Sea_(1970s)</t>
        </is>
      </c>
      <c r="C103" s="11" t="inlineStr">
        <is>
          <t>Katsuwonus pelamis</t>
        </is>
      </c>
      <c r="D103" s="10" t="inlineStr">
        <is>
          <t>Skipjack tuna</t>
        </is>
      </c>
      <c r="E103" s="10" t="inlineStr">
        <is>
          <t>Large pelagics (&gt;=90 cm)</t>
        </is>
      </c>
      <c r="F103" s="10" t="inlineStr">
        <is>
          <t>Tuna &amp; billfishes</t>
        </is>
      </c>
      <c r="G103" s="11" t="inlineStr">
        <is>
          <t>Pelagic fish (&gt; 30 cm)</t>
        </is>
      </c>
      <c r="H103" s="12" t="n">
        <v>0.7983193277310925</v>
      </c>
      <c r="I103" s="10" t="inlineStr">
        <is>
          <t>model_catch</t>
        </is>
      </c>
      <c r="J103" s="14" t="inlineStr">
        <is>
          <t>medium</t>
        </is>
      </c>
      <c r="K103" s="10" t="inlineStr">
        <is>
          <t>composite_split</t>
        </is>
      </c>
      <c r="L103" s="11" t="inlineStr">
        <is>
          <t>Analyst habitat/size inference to source &gt;30 cm pelagic fish (Appendix 6.1.24 p.339); no age data, so split juvenile/adult using the period model catch.</t>
        </is>
      </c>
      <c r="M103" s="10" t="n">
        <v>1285182</v>
      </c>
    </row>
    <row r="104" ht="36" customHeight="1">
      <c r="A104" s="10" t="inlineStr">
        <is>
          <t>LME_036</t>
        </is>
      </c>
      <c r="B104" s="11" t="inlineStr">
        <is>
          <t>36_2_South_China_Sea_SCS-2007_Northern_South_China_Sea_(1970s)</t>
        </is>
      </c>
      <c r="C104" s="11" t="inlineStr">
        <is>
          <t>Penaeus chinensis</t>
        </is>
      </c>
      <c r="D104" s="10" t="inlineStr">
        <is>
          <t>Fleshy prawn</t>
        </is>
      </c>
      <c r="E104" s="10" t="inlineStr">
        <is>
          <t>Shrimps</t>
        </is>
      </c>
      <c r="F104" s="10" t="inlineStr">
        <is>
          <t>Crustaceans</t>
        </is>
      </c>
      <c r="G104" s="11" t="inlineStr">
        <is>
          <t>Shrimps</t>
        </is>
      </c>
      <c r="H104" s="12" t="n">
        <v>1</v>
      </c>
      <c r="I104" s="10" t="inlineStr">
        <is>
          <t>single</t>
        </is>
      </c>
      <c r="J104" s="15" t="inlineStr">
        <is>
          <t>high</t>
        </is>
      </c>
      <c r="K104" s="10" t="inlineStr">
        <is>
          <t>taxonomic_containment</t>
        </is>
      </c>
      <c r="L104" s="11" t="inlineStr">
        <is>
          <t>Stomatopods belong to the residual benthic crustaceans; other shrimp taxa belong to Shrimps after the explicitly separated Acetes records (Appendix 6.1 pp.323-326).</t>
        </is>
      </c>
      <c r="M104" s="10" t="n">
        <v>1236075.23</v>
      </c>
    </row>
    <row r="105" ht="36" customHeight="1">
      <c r="A105" s="10" t="inlineStr">
        <is>
          <t>LME_036</t>
        </is>
      </c>
      <c r="B105" s="11" t="inlineStr">
        <is>
          <t>36_2_South_China_Sea_SCS-2007_Northern_South_China_Sea_(1970s)</t>
        </is>
      </c>
      <c r="C105" s="11" t="inlineStr">
        <is>
          <t>Selaroides leptolepis</t>
        </is>
      </c>
      <c r="D105" s="10" t="inlineStr">
        <is>
          <t>Yellowstripe scad</t>
        </is>
      </c>
      <c r="E105" s="10" t="inlineStr">
        <is>
          <t>Small pelagics (&lt;30 cm)</t>
        </is>
      </c>
      <c r="F105" s="10" t="inlineStr">
        <is>
          <t>Perch-likes</t>
        </is>
      </c>
      <c r="G105" s="11" t="inlineStr">
        <is>
          <t>Pelagic fish (≤ 30 cm)</t>
        </is>
      </c>
      <c r="H105" s="12" t="n">
        <v>1</v>
      </c>
      <c r="I105" s="10" t="inlineStr">
        <is>
          <t>single</t>
        </is>
      </c>
      <c r="J105" s="14" t="inlineStr">
        <is>
          <t>medium</t>
        </is>
      </c>
      <c r="K105" s="10" t="inlineStr">
        <is>
          <t>habitat_size_guild</t>
        </is>
      </c>
      <c r="L105" s="11" t="inlineStr">
        <is>
          <t>Analyst habitat/size inference: SAU small-pelagic class matches the source &lt;=30 cm pelagic pool after dedicated source taxa were handled (Appendix 6.1.23 p.338).</t>
        </is>
      </c>
      <c r="M105" s="10" t="n">
        <v>1185036.56</v>
      </c>
    </row>
    <row r="106" ht="51" customHeight="1">
      <c r="A106" s="10" t="inlineStr">
        <is>
          <t>LME_036</t>
        </is>
      </c>
      <c r="B106" s="11" t="inlineStr">
        <is>
          <t>36_2_South_China_Sea_SCS-2007_Northern_South_China_Sea_(1970s)</t>
        </is>
      </c>
      <c r="C106" s="11" t="inlineStr">
        <is>
          <t>Mugilidae</t>
        </is>
      </c>
      <c r="D106" s="10" t="inlineStr">
        <is>
          <t>Mullets, grey mullets</t>
        </is>
      </c>
      <c r="E106" s="10" t="inlineStr">
        <is>
          <t>Medium reef assoc. fish (30 - 89 cm)</t>
        </is>
      </c>
      <c r="F106" s="10" t="inlineStr">
        <is>
          <t>Perch-likes</t>
        </is>
      </c>
      <c r="G106" s="11" t="inlineStr">
        <is>
          <t>Juvenile demersal fish (&gt; 30 cm)</t>
        </is>
      </c>
      <c r="H106" s="12" t="n">
        <v>0.2002781641168289</v>
      </c>
      <c r="I106" s="10" t="inlineStr">
        <is>
          <t>model_catch</t>
        </is>
      </c>
      <c r="J106" s="14" t="inlineStr">
        <is>
          <t>medium</t>
        </is>
      </c>
      <c r="K106" s="10" t="inlineStr">
        <is>
          <t>composite_split</t>
        </is>
      </c>
      <c r="L106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106" s="10" t="n">
        <v>1175466.212</v>
      </c>
    </row>
    <row r="107" ht="51" customHeight="1">
      <c r="A107" s="10" t="inlineStr">
        <is>
          <t>LME_036</t>
        </is>
      </c>
      <c r="B107" s="11" t="inlineStr">
        <is>
          <t>36_2_South_China_Sea_SCS-2007_Northern_South_China_Sea_(1970s)</t>
        </is>
      </c>
      <c r="C107" s="11" t="inlineStr">
        <is>
          <t>Mugilidae</t>
        </is>
      </c>
      <c r="D107" s="10" t="inlineStr">
        <is>
          <t>Mullets, grey mullets</t>
        </is>
      </c>
      <c r="E107" s="10" t="inlineStr">
        <is>
          <t>Medium reef assoc. fish (30 - 89 cm)</t>
        </is>
      </c>
      <c r="F107" s="10" t="inlineStr">
        <is>
          <t>Perch-likes</t>
        </is>
      </c>
      <c r="G107" s="11" t="inlineStr">
        <is>
          <t>Adult demersal fish (&gt; 30 cm)</t>
        </is>
      </c>
      <c r="H107" s="12" t="n">
        <v>0.799721835883171</v>
      </c>
      <c r="I107" s="10" t="inlineStr">
        <is>
          <t>model_catch</t>
        </is>
      </c>
      <c r="J107" s="14" t="inlineStr">
        <is>
          <t>medium</t>
        </is>
      </c>
      <c r="K107" s="10" t="inlineStr">
        <is>
          <t>composite_split</t>
        </is>
      </c>
      <c r="L107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107" s="10" t="n">
        <v>1175466.212</v>
      </c>
    </row>
    <row r="108" ht="36" customHeight="1">
      <c r="A108" s="10" t="inlineStr">
        <is>
          <t>LME_036</t>
        </is>
      </c>
      <c r="B108" s="11" t="inlineStr">
        <is>
          <t>36_2_South_China_Sea_SCS-2007_Northern_South_China_Sea_(1970s)</t>
        </is>
      </c>
      <c r="C108" s="11" t="inlineStr">
        <is>
          <t>Ilisha elongata</t>
        </is>
      </c>
      <c r="D108" s="10" t="inlineStr">
        <is>
          <t>Elongate ilisha</t>
        </is>
      </c>
      <c r="E108" s="10" t="inlineStr">
        <is>
          <t>Medium pelagics (30 - 89 cm)</t>
        </is>
      </c>
      <c r="F108" s="10" t="inlineStr">
        <is>
          <t>Herring-likes</t>
        </is>
      </c>
      <c r="G108" s="11" t="inlineStr">
        <is>
          <t>Juvenile large pelagic fish</t>
        </is>
      </c>
      <c r="H108" s="12" t="n">
        <v>0.2016806722689076</v>
      </c>
      <c r="I108" s="10" t="inlineStr">
        <is>
          <t>model_catch</t>
        </is>
      </c>
      <c r="J108" s="14" t="inlineStr">
        <is>
          <t>medium</t>
        </is>
      </c>
      <c r="K108" s="10" t="inlineStr">
        <is>
          <t>composite_split</t>
        </is>
      </c>
      <c r="L108" s="11" t="inlineStr">
        <is>
          <t>Analyst habitat/size inference to source &gt;30 cm pelagic fish (Appendix 6.1.24 p.339); no age data, so split juvenile/adult using the period model catch.</t>
        </is>
      </c>
      <c r="M108" s="10" t="n">
        <v>1163810.882</v>
      </c>
    </row>
    <row r="109" ht="36" customHeight="1">
      <c r="A109" s="10" t="inlineStr">
        <is>
          <t>LME_036</t>
        </is>
      </c>
      <c r="B109" s="11" t="inlineStr">
        <is>
          <t>36_2_South_China_Sea_SCS-2007_Northern_South_China_Sea_(1970s)</t>
        </is>
      </c>
      <c r="C109" s="11" t="inlineStr">
        <is>
          <t>Ilisha elongata</t>
        </is>
      </c>
      <c r="D109" s="10" t="inlineStr">
        <is>
          <t>Elongate ilisha</t>
        </is>
      </c>
      <c r="E109" s="10" t="inlineStr">
        <is>
          <t>Medium pelagics (30 - 89 cm)</t>
        </is>
      </c>
      <c r="F109" s="10" t="inlineStr">
        <is>
          <t>Herring-likes</t>
        </is>
      </c>
      <c r="G109" s="11" t="inlineStr">
        <is>
          <t>Pelagic fish (&gt; 30 cm)</t>
        </is>
      </c>
      <c r="H109" s="12" t="n">
        <v>0.7983193277310925</v>
      </c>
      <c r="I109" s="10" t="inlineStr">
        <is>
          <t>model_catch</t>
        </is>
      </c>
      <c r="J109" s="14" t="inlineStr">
        <is>
          <t>medium</t>
        </is>
      </c>
      <c r="K109" s="10" t="inlineStr">
        <is>
          <t>composite_split</t>
        </is>
      </c>
      <c r="L109" s="11" t="inlineStr">
        <is>
          <t>Analyst habitat/size inference to source &gt;30 cm pelagic fish (Appendix 6.1.24 p.339); no age data, so split juvenile/adult using the period model catch.</t>
        </is>
      </c>
      <c r="M109" s="10" t="n">
        <v>1163810.882</v>
      </c>
    </row>
    <row r="110" ht="36" customHeight="1">
      <c r="A110" s="10" t="inlineStr">
        <is>
          <t>LME_036</t>
        </is>
      </c>
      <c r="B110" s="11" t="inlineStr">
        <is>
          <t>36_2_South_China_Sea_SCS-2007_Northern_South_China_Sea_(1970s)</t>
        </is>
      </c>
      <c r="C110" s="11" t="inlineStr">
        <is>
          <t>Sardinops sagax</t>
        </is>
      </c>
      <c r="D110" s="10" t="inlineStr">
        <is>
          <t>South American pilchard</t>
        </is>
      </c>
      <c r="E110" s="10" t="inlineStr">
        <is>
          <t>Medium pelagics (30 - 89 cm)</t>
        </is>
      </c>
      <c r="F110" s="10" t="inlineStr">
        <is>
          <t>Herring-likes</t>
        </is>
      </c>
      <c r="G110" s="11" t="inlineStr">
        <is>
          <t>Juvenile large pelagic fish</t>
        </is>
      </c>
      <c r="H110" s="12" t="n">
        <v>0.2016806722689076</v>
      </c>
      <c r="I110" s="10" t="inlineStr">
        <is>
          <t>model_catch</t>
        </is>
      </c>
      <c r="J110" s="14" t="inlineStr">
        <is>
          <t>medium</t>
        </is>
      </c>
      <c r="K110" s="10" t="inlineStr">
        <is>
          <t>composite_split</t>
        </is>
      </c>
      <c r="L110" s="11" t="inlineStr">
        <is>
          <t>Analyst habitat/size inference to source &gt;30 cm pelagic fish (Appendix 6.1.24 p.339); no age data, so split juvenile/adult using the period model catch.</t>
        </is>
      </c>
      <c r="M110" s="10" t="n">
        <v>1101836.203</v>
      </c>
    </row>
    <row r="111" ht="36" customHeight="1">
      <c r="A111" s="10" t="inlineStr">
        <is>
          <t>LME_036</t>
        </is>
      </c>
      <c r="B111" s="11" t="inlineStr">
        <is>
          <t>36_2_South_China_Sea_SCS-2007_Northern_South_China_Sea_(1970s)</t>
        </is>
      </c>
      <c r="C111" s="11" t="inlineStr">
        <is>
          <t>Sardinops sagax</t>
        </is>
      </c>
      <c r="D111" s="10" t="inlineStr">
        <is>
          <t>South American pilchard</t>
        </is>
      </c>
      <c r="E111" s="10" t="inlineStr">
        <is>
          <t>Medium pelagics (30 - 89 cm)</t>
        </is>
      </c>
      <c r="F111" s="10" t="inlineStr">
        <is>
          <t>Herring-likes</t>
        </is>
      </c>
      <c r="G111" s="11" t="inlineStr">
        <is>
          <t>Pelagic fish (&gt; 30 cm)</t>
        </is>
      </c>
      <c r="H111" s="12" t="n">
        <v>0.7983193277310925</v>
      </c>
      <c r="I111" s="10" t="inlineStr">
        <is>
          <t>model_catch</t>
        </is>
      </c>
      <c r="J111" s="14" t="inlineStr">
        <is>
          <t>medium</t>
        </is>
      </c>
      <c r="K111" s="10" t="inlineStr">
        <is>
          <t>composite_split</t>
        </is>
      </c>
      <c r="L111" s="11" t="inlineStr">
        <is>
          <t>Analyst habitat/size inference to source &gt;30 cm pelagic fish (Appendix 6.1.24 p.339); no age data, so split juvenile/adult using the period model catch.</t>
        </is>
      </c>
      <c r="M111" s="10" t="n">
        <v>1101836.203</v>
      </c>
    </row>
    <row r="112" ht="51" customHeight="1">
      <c r="A112" s="10" t="inlineStr">
        <is>
          <t>LME_036</t>
        </is>
      </c>
      <c r="B112" s="11" t="inlineStr">
        <is>
          <t>36_2_South_China_Sea_SCS-2007_Northern_South_China_Sea_(1970s)</t>
        </is>
      </c>
      <c r="C112" s="11" t="inlineStr">
        <is>
          <t>Sardinella lemuru</t>
        </is>
      </c>
      <c r="D112" s="10" t="inlineStr">
        <is>
          <t>Bali sardinella</t>
        </is>
      </c>
      <c r="E112" s="10" t="inlineStr">
        <is>
          <t>Small pelagics (&lt;30 cm)</t>
        </is>
      </c>
      <c r="F112" s="10" t="inlineStr">
        <is>
          <t>Herring-likes</t>
        </is>
      </c>
      <c r="G112" s="11" t="inlineStr">
        <is>
          <t>Pelagic fish (≤ 30 cm)</t>
        </is>
      </c>
      <c r="H112" s="12" t="n">
        <v>1</v>
      </c>
      <c r="I112" s="10" t="inlineStr">
        <is>
          <t>single</t>
        </is>
      </c>
      <c r="J112" s="14" t="inlineStr">
        <is>
          <t>medium</t>
        </is>
      </c>
      <c r="K112" s="10" t="inlineStr">
        <is>
          <t>habitat_size_guild</t>
        </is>
      </c>
      <c r="L112" s="11" t="inlineStr">
        <is>
          <t>Source small-pelagic pool explicitly includes sardines, thryssa and anchovies (Appendix 6.1.23 p.338); extension to the catch lineage uses SAU size as a proxy and is not a full species list.</t>
        </is>
      </c>
      <c r="M112" s="10" t="n">
        <v>1092321.186</v>
      </c>
    </row>
    <row r="113" ht="36" customHeight="1">
      <c r="A113" s="10" t="inlineStr">
        <is>
          <t>LME_036</t>
        </is>
      </c>
      <c r="B113" s="11" t="inlineStr">
        <is>
          <t>36_2_South_China_Sea_SCS-2007_Northern_South_China_Sea_(1970s)</t>
        </is>
      </c>
      <c r="C113" s="11" t="inlineStr">
        <is>
          <t>Coryphaena hippurus</t>
        </is>
      </c>
      <c r="D113" s="10" t="inlineStr">
        <is>
          <t>Common dolphinfish</t>
        </is>
      </c>
      <c r="E113" s="10" t="inlineStr">
        <is>
          <t>Large pelagics (&gt;=90 cm)</t>
        </is>
      </c>
      <c r="F113" s="10" t="inlineStr">
        <is>
          <t>Perch-likes</t>
        </is>
      </c>
      <c r="G113" s="11" t="inlineStr">
        <is>
          <t>Juvenile large pelagic fish</t>
        </is>
      </c>
      <c r="H113" s="12" t="n">
        <v>0.2016806722689076</v>
      </c>
      <c r="I113" s="10" t="inlineStr">
        <is>
          <t>model_catch</t>
        </is>
      </c>
      <c r="J113" s="14" t="inlineStr">
        <is>
          <t>medium</t>
        </is>
      </c>
      <c r="K113" s="10" t="inlineStr">
        <is>
          <t>composite_split</t>
        </is>
      </c>
      <c r="L113" s="11" t="inlineStr">
        <is>
          <t>Analyst habitat/size inference to source &gt;30 cm pelagic fish (Appendix 6.1.24 p.339); no age data, so split juvenile/adult using the period model catch.</t>
        </is>
      </c>
      <c r="M113" s="10" t="n">
        <v>1078982.717</v>
      </c>
    </row>
    <row r="114" ht="36" customHeight="1">
      <c r="A114" s="10" t="inlineStr">
        <is>
          <t>LME_036</t>
        </is>
      </c>
      <c r="B114" s="11" t="inlineStr">
        <is>
          <t>36_2_South_China_Sea_SCS-2007_Northern_South_China_Sea_(1970s)</t>
        </is>
      </c>
      <c r="C114" s="11" t="inlineStr">
        <is>
          <t>Coryphaena hippurus</t>
        </is>
      </c>
      <c r="D114" s="10" t="inlineStr">
        <is>
          <t>Common dolphinfish</t>
        </is>
      </c>
      <c r="E114" s="10" t="inlineStr">
        <is>
          <t>Large pelagics (&gt;=90 cm)</t>
        </is>
      </c>
      <c r="F114" s="10" t="inlineStr">
        <is>
          <t>Perch-likes</t>
        </is>
      </c>
      <c r="G114" s="11" t="inlineStr">
        <is>
          <t>Pelagic fish (&gt; 30 cm)</t>
        </is>
      </c>
      <c r="H114" s="12" t="n">
        <v>0.7983193277310925</v>
      </c>
      <c r="I114" s="10" t="inlineStr">
        <is>
          <t>model_catch</t>
        </is>
      </c>
      <c r="J114" s="14" t="inlineStr">
        <is>
          <t>medium</t>
        </is>
      </c>
      <c r="K114" s="10" t="inlineStr">
        <is>
          <t>composite_split</t>
        </is>
      </c>
      <c r="L114" s="11" t="inlineStr">
        <is>
          <t>Analyst habitat/size inference to source &gt;30 cm pelagic fish (Appendix 6.1.24 p.339); no age data, so split juvenile/adult using the period model catch.</t>
        </is>
      </c>
      <c r="M114" s="10" t="n">
        <v>1078982.717</v>
      </c>
    </row>
    <row r="115" ht="36" customHeight="1">
      <c r="A115" s="10" t="inlineStr">
        <is>
          <t>LME_036</t>
        </is>
      </c>
      <c r="B115" s="11" t="inlineStr">
        <is>
          <t>36_2_South_China_Sea_SCS-2007_Northern_South_China_Sea_(1970s)</t>
        </is>
      </c>
      <c r="C115" s="11" t="inlineStr">
        <is>
          <t>Cololabis saira</t>
        </is>
      </c>
      <c r="D115" s="10" t="inlineStr">
        <is>
          <t>Pacific saury</t>
        </is>
      </c>
      <c r="E115" s="10" t="inlineStr">
        <is>
          <t>Medium pelagics (30 - 89 cm)</t>
        </is>
      </c>
      <c r="F115" s="10" t="inlineStr">
        <is>
          <t>Other fishes &amp; inverts</t>
        </is>
      </c>
      <c r="G115" s="11" t="inlineStr">
        <is>
          <t>Juvenile large pelagic fish</t>
        </is>
      </c>
      <c r="H115" s="12" t="n">
        <v>0.2016806722689076</v>
      </c>
      <c r="I115" s="10" t="inlineStr">
        <is>
          <t>model_catch</t>
        </is>
      </c>
      <c r="J115" s="14" t="inlineStr">
        <is>
          <t>medium</t>
        </is>
      </c>
      <c r="K115" s="10" t="inlineStr">
        <is>
          <t>composite_split</t>
        </is>
      </c>
      <c r="L115" s="11" t="inlineStr">
        <is>
          <t>Analyst habitat/size inference to source &gt;30 cm pelagic fish (Appendix 6.1.24 p.339); no age data, so split juvenile/adult using the period model catch.</t>
        </is>
      </c>
      <c r="M115" s="10" t="n">
        <v>1035519.84</v>
      </c>
    </row>
    <row r="116" ht="36" customHeight="1">
      <c r="A116" s="10" t="inlineStr">
        <is>
          <t>LME_036</t>
        </is>
      </c>
      <c r="B116" s="11" t="inlineStr">
        <is>
          <t>36_2_South_China_Sea_SCS-2007_Northern_South_China_Sea_(1970s)</t>
        </is>
      </c>
      <c r="C116" s="11" t="inlineStr">
        <is>
          <t>Cololabis saira</t>
        </is>
      </c>
      <c r="D116" s="10" t="inlineStr">
        <is>
          <t>Pacific saury</t>
        </is>
      </c>
      <c r="E116" s="10" t="inlineStr">
        <is>
          <t>Medium pelagics (30 - 89 cm)</t>
        </is>
      </c>
      <c r="F116" s="10" t="inlineStr">
        <is>
          <t>Other fishes &amp; inverts</t>
        </is>
      </c>
      <c r="G116" s="11" t="inlineStr">
        <is>
          <t>Pelagic fish (&gt; 30 cm)</t>
        </is>
      </c>
      <c r="H116" s="12" t="n">
        <v>0.7983193277310925</v>
      </c>
      <c r="I116" s="10" t="inlineStr">
        <is>
          <t>model_catch</t>
        </is>
      </c>
      <c r="J116" s="14" t="inlineStr">
        <is>
          <t>medium</t>
        </is>
      </c>
      <c r="K116" s="10" t="inlineStr">
        <is>
          <t>composite_split</t>
        </is>
      </c>
      <c r="L116" s="11" t="inlineStr">
        <is>
          <t>Analyst habitat/size inference to source &gt;30 cm pelagic fish (Appendix 6.1.24 p.339); no age data, so split juvenile/adult using the period model catch.</t>
        </is>
      </c>
      <c r="M116" s="10" t="n">
        <v>1035519.84</v>
      </c>
    </row>
    <row r="117" ht="51" customHeight="1">
      <c r="A117" s="10" t="inlineStr">
        <is>
          <t>LME_036</t>
        </is>
      </c>
      <c r="B117" s="11" t="inlineStr">
        <is>
          <t>36_2_South_China_Sea_SCS-2007_Northern_South_China_Sea_(1970s)</t>
        </is>
      </c>
      <c r="C117" s="11" t="inlineStr">
        <is>
          <t>Netuma thalassina</t>
        </is>
      </c>
      <c r="D117" s="10" t="inlineStr">
        <is>
          <t>Giant catfish</t>
        </is>
      </c>
      <c r="E117" s="10" t="inlineStr">
        <is>
          <t>Large demersals (&gt;=90 cm)</t>
        </is>
      </c>
      <c r="F117" s="10" t="inlineStr">
        <is>
          <t>Other fishes &amp; inverts</t>
        </is>
      </c>
      <c r="G117" s="11" t="inlineStr">
        <is>
          <t>Juvenile demersal fish (&gt; 30 cm)</t>
        </is>
      </c>
      <c r="H117" s="12" t="n">
        <v>0.2002781641168289</v>
      </c>
      <c r="I117" s="10" t="inlineStr">
        <is>
          <t>model_catch</t>
        </is>
      </c>
      <c r="J117" s="14" t="inlineStr">
        <is>
          <t>medium</t>
        </is>
      </c>
      <c r="K117" s="10" t="inlineStr">
        <is>
          <t>composite_split</t>
        </is>
      </c>
      <c r="L117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117" s="10" t="n">
        <v>1021214.891</v>
      </c>
    </row>
    <row r="118" ht="51" customHeight="1">
      <c r="A118" s="10" t="inlineStr">
        <is>
          <t>LME_036</t>
        </is>
      </c>
      <c r="B118" s="11" t="inlineStr">
        <is>
          <t>36_2_South_China_Sea_SCS-2007_Northern_South_China_Sea_(1970s)</t>
        </is>
      </c>
      <c r="C118" s="11" t="inlineStr">
        <is>
          <t>Netuma thalassina</t>
        </is>
      </c>
      <c r="D118" s="10" t="inlineStr">
        <is>
          <t>Giant catfish</t>
        </is>
      </c>
      <c r="E118" s="10" t="inlineStr">
        <is>
          <t>Large demersals (&gt;=90 cm)</t>
        </is>
      </c>
      <c r="F118" s="10" t="inlineStr">
        <is>
          <t>Other fishes &amp; inverts</t>
        </is>
      </c>
      <c r="G118" s="11" t="inlineStr">
        <is>
          <t>Adult demersal fish (&gt; 30 cm)</t>
        </is>
      </c>
      <c r="H118" s="12" t="n">
        <v>0.799721835883171</v>
      </c>
      <c r="I118" s="10" t="inlineStr">
        <is>
          <t>model_catch</t>
        </is>
      </c>
      <c r="J118" s="14" t="inlineStr">
        <is>
          <t>medium</t>
        </is>
      </c>
      <c r="K118" s="10" t="inlineStr">
        <is>
          <t>composite_split</t>
        </is>
      </c>
      <c r="L118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118" s="10" t="n">
        <v>1021214.891</v>
      </c>
    </row>
    <row r="119" ht="51" customHeight="1">
      <c r="A119" s="10" t="inlineStr">
        <is>
          <t>LME_036</t>
        </is>
      </c>
      <c r="B119" s="11" t="inlineStr">
        <is>
          <t>36_2_South_China_Sea_SCS-2007_Northern_South_China_Sea_(1970s)</t>
        </is>
      </c>
      <c r="C119" s="11" t="inlineStr">
        <is>
          <t>Priacanthus macracanthus</t>
        </is>
      </c>
      <c r="D119" s="10" t="inlineStr">
        <is>
          <t>Red bigeye</t>
        </is>
      </c>
      <c r="E119" s="10" t="inlineStr">
        <is>
          <t>Medium reef assoc. fish (30 - 89 cm)</t>
        </is>
      </c>
      <c r="F119" s="10" t="inlineStr">
        <is>
          <t>Perch-likes</t>
        </is>
      </c>
      <c r="G119" s="11" t="inlineStr">
        <is>
          <t>Bigeyes (priacanthids)</t>
        </is>
      </c>
      <c r="H119" s="12" t="n">
        <v>1</v>
      </c>
      <c r="I119" s="10" t="inlineStr">
        <is>
          <t>single</t>
        </is>
      </c>
      <c r="J119" s="15" t="inlineStr">
        <is>
          <t>high</t>
        </is>
      </c>
      <c r="K119" s="10" t="inlineStr">
        <is>
          <t>taxonomic_containment</t>
        </is>
      </c>
      <c r="L119" s="11" t="inlineStr">
        <is>
          <t>Appendix 6.1 pp.327-335 defines Bigeyes (priacanthids) by this family or explicitly names Priacanthus macracanthus; dedicated source placement overrides the SAU class Medium reef assoc. fish (30 - 89 cm).</t>
        </is>
      </c>
      <c r="M119" s="10" t="n">
        <v>991701.4620000001</v>
      </c>
    </row>
    <row r="120" ht="51" customHeight="1">
      <c r="A120" s="10" t="inlineStr">
        <is>
          <t>LME_036</t>
        </is>
      </c>
      <c r="B120" s="11" t="inlineStr">
        <is>
          <t>36_2_South_China_Sea_SCS-2007_Northern_South_China_Sea_(1970s)</t>
        </is>
      </c>
      <c r="C120" s="11" t="inlineStr">
        <is>
          <t>Nemipterus virgatus</t>
        </is>
      </c>
      <c r="D120" s="10" t="inlineStr">
        <is>
          <t>Golden threadfin bream</t>
        </is>
      </c>
      <c r="E120" s="10" t="inlineStr">
        <is>
          <t>Medium demersals (30 - 89 cm)</t>
        </is>
      </c>
      <c r="F120" s="10" t="inlineStr">
        <is>
          <t>Perch-likes</t>
        </is>
      </c>
      <c r="G120" s="11" t="inlineStr">
        <is>
          <t>Threadfin bream (nemipterids)</t>
        </is>
      </c>
      <c r="H120" s="12" t="n">
        <v>1</v>
      </c>
      <c r="I120" s="10" t="inlineStr">
        <is>
          <t>single</t>
        </is>
      </c>
      <c r="J120" s="15" t="inlineStr">
        <is>
          <t>high</t>
        </is>
      </c>
      <c r="K120" s="10" t="inlineStr">
        <is>
          <t>explicit_member</t>
        </is>
      </c>
      <c r="L120" s="11" t="inlineStr">
        <is>
          <t>Appendix 6.1 pp.327-335 defines Threadfin bream (nemipterids) by this family or explicitly names Nemipterus virgatus; dedicated source placement overrides the SAU class Medium demersals (30 - 89 cm).</t>
        </is>
      </c>
      <c r="M120" s="10" t="n">
        <v>970413.986</v>
      </c>
    </row>
    <row r="121" ht="51" customHeight="1">
      <c r="A121" s="10" t="inlineStr">
        <is>
          <t>LME_036</t>
        </is>
      </c>
      <c r="B121" s="11" t="inlineStr">
        <is>
          <t>36_2_South_China_Sea_SCS-2007_Northern_South_China_Sea_(1970s)</t>
        </is>
      </c>
      <c r="C121" s="11" t="inlineStr">
        <is>
          <t>Parastromateus niger</t>
        </is>
      </c>
      <c r="D121" s="10" t="inlineStr">
        <is>
          <t>Black pomfret</t>
        </is>
      </c>
      <c r="E121" s="10" t="inlineStr">
        <is>
          <t>Medium benthopelagics (30 - 89 cm)</t>
        </is>
      </c>
      <c r="F121" s="10" t="inlineStr">
        <is>
          <t>Perch-likes</t>
        </is>
      </c>
      <c r="G121" s="11" t="inlineStr">
        <is>
          <t>Benthopelagic fish</t>
        </is>
      </c>
      <c r="H121" s="12" t="n">
        <v>1</v>
      </c>
      <c r="I121" s="10" t="inlineStr">
        <is>
          <t>single</t>
        </is>
      </c>
      <c r="J121" s="13" t="inlineStr">
        <is>
          <t>low</t>
        </is>
      </c>
      <c r="K121" s="10" t="inlineStr">
        <is>
          <t>habitat_size_guild</t>
        </is>
      </c>
      <c r="L121" s="11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  <c r="M121" s="10" t="n">
        <v>961636.33</v>
      </c>
    </row>
    <row r="122" ht="51" customHeight="1">
      <c r="A122" s="10" t="inlineStr">
        <is>
          <t>LME_036</t>
        </is>
      </c>
      <c r="B122" s="11" t="inlineStr">
        <is>
          <t>36_2_South_China_Sea_SCS-2007_Northern_South_China_Sea_(1970s)</t>
        </is>
      </c>
      <c r="C122" s="11" t="inlineStr">
        <is>
          <t>Mugil cephalus</t>
        </is>
      </c>
      <c r="D122" s="10" t="inlineStr">
        <is>
          <t>Flathead grey mullet</t>
        </is>
      </c>
      <c r="E122" s="10" t="inlineStr">
        <is>
          <t>Large benthopelagics (&gt;=90 cm)</t>
        </is>
      </c>
      <c r="F122" s="10" t="inlineStr">
        <is>
          <t>Perch-likes</t>
        </is>
      </c>
      <c r="G122" s="11" t="inlineStr">
        <is>
          <t>Benthopelagic fish</t>
        </is>
      </c>
      <c r="H122" s="12" t="n">
        <v>1</v>
      </c>
      <c r="I122" s="10" t="inlineStr">
        <is>
          <t>single</t>
        </is>
      </c>
      <c r="J122" s="13" t="inlineStr">
        <is>
          <t>low</t>
        </is>
      </c>
      <c r="K122" s="10" t="inlineStr">
        <is>
          <t>habitat_size_guild</t>
        </is>
      </c>
      <c r="L122" s="11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  <c r="M122" s="10" t="n">
        <v>949666.595</v>
      </c>
    </row>
    <row r="123" ht="36" customHeight="1">
      <c r="A123" s="10" t="inlineStr">
        <is>
          <t>LME_036</t>
        </is>
      </c>
      <c r="B123" s="11" t="inlineStr">
        <is>
          <t>36_2_South_China_Sea_SCS-2007_Northern_South_China_Sea_(1970s)</t>
        </is>
      </c>
      <c r="C123" s="11" t="inlineStr">
        <is>
          <t>Cephalopoda</t>
        </is>
      </c>
      <c r="D123" s="10" t="inlineStr">
        <is>
          <t>Squids, cuttlefishes, octopuses</t>
        </is>
      </c>
      <c r="E123" s="10" t="inlineStr">
        <is>
          <t>Cephalopods</t>
        </is>
      </c>
      <c r="F123" s="10" t="inlineStr">
        <is>
          <t>Other fishes &amp; inverts</t>
        </is>
      </c>
      <c r="G123" s="11" t="inlineStr">
        <is>
          <t>Cephalopods</t>
        </is>
      </c>
      <c r="H123" s="12" t="n">
        <v>1</v>
      </c>
      <c r="I123" s="10" t="inlineStr">
        <is>
          <t>single</t>
        </is>
      </c>
      <c r="J123" s="15" t="inlineStr">
        <is>
          <t>high</t>
        </is>
      </c>
      <c r="K123" s="10" t="inlineStr">
        <is>
          <t>taxonomic_containment</t>
        </is>
      </c>
      <c r="L123" s="11" t="inlineStr">
        <is>
          <t>Cephalopoda is contained by the single source Cephalopods group, Appendix 6.1.8 pp.326-327.</t>
        </is>
      </c>
      <c r="M123" s="10" t="n">
        <v>945101.13</v>
      </c>
    </row>
    <row r="124" ht="51" customHeight="1">
      <c r="A124" s="10" t="inlineStr">
        <is>
          <t>LME_036</t>
        </is>
      </c>
      <c r="B124" s="11" t="inlineStr">
        <is>
          <t>36_2_South_China_Sea_SCS-2007_Northern_South_China_Sea_(1970s)</t>
        </is>
      </c>
      <c r="C124" s="11" t="inlineStr">
        <is>
          <t>Leiognathus</t>
        </is>
      </c>
      <c r="D124" s="10" t="inlineStr">
        <is>
          <t>Ponyfishes</t>
        </is>
      </c>
      <c r="E124" s="10" t="inlineStr">
        <is>
          <t>Small benthopelagics (&lt;30 cm)</t>
        </is>
      </c>
      <c r="F124" s="10" t="inlineStr">
        <is>
          <t>Perch-likes</t>
        </is>
      </c>
      <c r="G124" s="11" t="inlineStr">
        <is>
          <t>Benthopelagic fish</t>
        </is>
      </c>
      <c r="H124" s="12" t="n">
        <v>1</v>
      </c>
      <c r="I124" s="10" t="inlineStr">
        <is>
          <t>single</t>
        </is>
      </c>
      <c r="J124" s="13" t="inlineStr">
        <is>
          <t>low</t>
        </is>
      </c>
      <c r="K124" s="10" t="inlineStr">
        <is>
          <t>habitat_size_guild</t>
        </is>
      </c>
      <c r="L124" s="11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  <c r="M124" s="10" t="n">
        <v>891413.643</v>
      </c>
    </row>
    <row r="125" ht="36" customHeight="1">
      <c r="A125" s="10" t="inlineStr">
        <is>
          <t>LME_036</t>
        </is>
      </c>
      <c r="B125" s="11" t="inlineStr">
        <is>
          <t>36_2_South_China_Sea_SCS-2007_Northern_South_China_Sea_(1970s)</t>
        </is>
      </c>
      <c r="C125" s="11" t="inlineStr">
        <is>
          <t>Octopodidae</t>
        </is>
      </c>
      <c r="D125" s="10" t="inlineStr">
        <is>
          <t>Octopuses</t>
        </is>
      </c>
      <c r="E125" s="10" t="inlineStr">
        <is>
          <t>Cephalopods</t>
        </is>
      </c>
      <c r="F125" s="10" t="inlineStr">
        <is>
          <t>Other fishes &amp; inverts</t>
        </is>
      </c>
      <c r="G125" s="11" t="inlineStr">
        <is>
          <t>Cephalopods</t>
        </is>
      </c>
      <c r="H125" s="12" t="n">
        <v>1</v>
      </c>
      <c r="I125" s="10" t="inlineStr">
        <is>
          <t>single</t>
        </is>
      </c>
      <c r="J125" s="15" t="inlineStr">
        <is>
          <t>high</t>
        </is>
      </c>
      <c r="K125" s="10" t="inlineStr">
        <is>
          <t>taxonomic_containment</t>
        </is>
      </c>
      <c r="L125" s="11" t="inlineStr">
        <is>
          <t>Cephalopoda is contained by the single source Cephalopods group, Appendix 6.1.8 pp.326-327.</t>
        </is>
      </c>
      <c r="M125" s="10" t="n">
        <v>841025.851</v>
      </c>
    </row>
    <row r="126" ht="36" customHeight="1">
      <c r="A126" s="10" t="inlineStr">
        <is>
          <t>LME_036</t>
        </is>
      </c>
      <c r="B126" s="11" t="inlineStr">
        <is>
          <t>36_2_South_China_Sea_SCS-2007_Northern_South_China_Sea_(1970s)</t>
        </is>
      </c>
      <c r="C126" s="11" t="inlineStr">
        <is>
          <t>Dasyatis</t>
        </is>
      </c>
      <c r="D126" s="10" t="inlineStr">
        <is>
          <t>Rough whip stingrays</t>
        </is>
      </c>
      <c r="E126" s="10" t="inlineStr">
        <is>
          <t>Large rays (&gt;=90 cm)</t>
        </is>
      </c>
      <c r="F126" s="10" t="inlineStr">
        <is>
          <t>Sharks &amp; rays</t>
        </is>
      </c>
      <c r="G126" s="11" t="inlineStr">
        <is>
          <t>Demersal sharks and rays</t>
        </is>
      </c>
      <c r="H126" s="12" t="n">
        <v>1</v>
      </c>
      <c r="I126" s="10" t="inlineStr">
        <is>
          <t>single</t>
        </is>
      </c>
      <c r="J126" s="14" t="inlineStr">
        <is>
          <t>medium</t>
        </is>
      </c>
      <c r="K126" s="10" t="inlineStr">
        <is>
          <t>habitat_size_guild</t>
        </is>
      </c>
      <c r="L126" s="11" t="inlineStr">
        <is>
          <t>Demersal/benthic ray or houndshark lineage matches the demersal elasmobranch definition, Appendix 6.1.25 p.340; species placement is analyst inference.</t>
        </is>
      </c>
      <c r="M126" s="10" t="n">
        <v>824451.936</v>
      </c>
    </row>
    <row r="127" ht="36" customHeight="1">
      <c r="A127" s="10" t="inlineStr">
        <is>
          <t>LME_036</t>
        </is>
      </c>
      <c r="B127" s="11" t="inlineStr">
        <is>
          <t>36_2_South_China_Sea_SCS-2007_Northern_South_China_Sea_(1970s)</t>
        </is>
      </c>
      <c r="C127" s="11" t="inlineStr">
        <is>
          <t>Euthynnus affinis</t>
        </is>
      </c>
      <c r="D127" s="10" t="inlineStr">
        <is>
          <t>Kawakawa</t>
        </is>
      </c>
      <c r="E127" s="10" t="inlineStr">
        <is>
          <t>Large pelagics (&gt;=90 cm)</t>
        </is>
      </c>
      <c r="F127" s="10" t="inlineStr">
        <is>
          <t>Tuna &amp; billfishes</t>
        </is>
      </c>
      <c r="G127" s="11" t="inlineStr">
        <is>
          <t>Juvenile large pelagic fish</t>
        </is>
      </c>
      <c r="H127" s="12" t="n">
        <v>0.2016806722689076</v>
      </c>
      <c r="I127" s="10" t="inlineStr">
        <is>
          <t>model_catch</t>
        </is>
      </c>
      <c r="J127" s="14" t="inlineStr">
        <is>
          <t>medium</t>
        </is>
      </c>
      <c r="K127" s="10" t="inlineStr">
        <is>
          <t>composite_split</t>
        </is>
      </c>
      <c r="L127" s="11" t="inlineStr">
        <is>
          <t>Analyst habitat/size inference to source &gt;30 cm pelagic fish (Appendix 6.1.24 p.339); no age data, so split juvenile/adult using the period model catch.</t>
        </is>
      </c>
      <c r="M127" s="10" t="n">
        <v>816087.965</v>
      </c>
    </row>
    <row r="128" ht="36" customHeight="1">
      <c r="A128" s="10" t="inlineStr">
        <is>
          <t>LME_036</t>
        </is>
      </c>
      <c r="B128" s="11" t="inlineStr">
        <is>
          <t>36_2_South_China_Sea_SCS-2007_Northern_South_China_Sea_(1970s)</t>
        </is>
      </c>
      <c r="C128" s="11" t="inlineStr">
        <is>
          <t>Euthynnus affinis</t>
        </is>
      </c>
      <c r="D128" s="10" t="inlineStr">
        <is>
          <t>Kawakawa</t>
        </is>
      </c>
      <c r="E128" s="10" t="inlineStr">
        <is>
          <t>Large pelagics (&gt;=90 cm)</t>
        </is>
      </c>
      <c r="F128" s="10" t="inlineStr">
        <is>
          <t>Tuna &amp; billfishes</t>
        </is>
      </c>
      <c r="G128" s="11" t="inlineStr">
        <is>
          <t>Pelagic fish (&gt; 30 cm)</t>
        </is>
      </c>
      <c r="H128" s="12" t="n">
        <v>0.7983193277310925</v>
      </c>
      <c r="I128" s="10" t="inlineStr">
        <is>
          <t>model_catch</t>
        </is>
      </c>
      <c r="J128" s="14" t="inlineStr">
        <is>
          <t>medium</t>
        </is>
      </c>
      <c r="K128" s="10" t="inlineStr">
        <is>
          <t>composite_split</t>
        </is>
      </c>
      <c r="L128" s="11" t="inlineStr">
        <is>
          <t>Analyst habitat/size inference to source &gt;30 cm pelagic fish (Appendix 6.1.24 p.339); no age data, so split juvenile/adult using the period model catch.</t>
        </is>
      </c>
      <c r="M128" s="10" t="n">
        <v>816087.965</v>
      </c>
    </row>
    <row r="129" ht="36" customHeight="1">
      <c r="A129" s="10" t="inlineStr">
        <is>
          <t>LME_036</t>
        </is>
      </c>
      <c r="B129" s="11" t="inlineStr">
        <is>
          <t>36_2_South_China_Sea_SCS-2007_Northern_South_China_Sea_(1970s)</t>
        </is>
      </c>
      <c r="C129" s="11" t="inlineStr">
        <is>
          <t>Auxis</t>
        </is>
      </c>
      <c r="D129" s="10" t="inlineStr">
        <is>
          <t>Bullet and frigate tunas</t>
        </is>
      </c>
      <c r="E129" s="10" t="inlineStr">
        <is>
          <t>Medium pelagics (30 - 89 cm)</t>
        </is>
      </c>
      <c r="F129" s="10" t="inlineStr">
        <is>
          <t>Tuna &amp; billfishes</t>
        </is>
      </c>
      <c r="G129" s="11" t="inlineStr">
        <is>
          <t>Juvenile large pelagic fish</t>
        </is>
      </c>
      <c r="H129" s="12" t="n">
        <v>0.2016806722689076</v>
      </c>
      <c r="I129" s="10" t="inlineStr">
        <is>
          <t>model_catch</t>
        </is>
      </c>
      <c r="J129" s="14" t="inlineStr">
        <is>
          <t>medium</t>
        </is>
      </c>
      <c r="K129" s="10" t="inlineStr">
        <is>
          <t>composite_split</t>
        </is>
      </c>
      <c r="L129" s="11" t="inlineStr">
        <is>
          <t>Analyst habitat/size inference to source &gt;30 cm pelagic fish (Appendix 6.1.24 p.339); no age data, so split juvenile/adult using the period model catch.</t>
        </is>
      </c>
      <c r="M129" s="10" t="n">
        <v>803741.611</v>
      </c>
    </row>
    <row r="130" ht="36" customHeight="1">
      <c r="A130" s="10" t="inlineStr">
        <is>
          <t>LME_036</t>
        </is>
      </c>
      <c r="B130" s="11" t="inlineStr">
        <is>
          <t>36_2_South_China_Sea_SCS-2007_Northern_South_China_Sea_(1970s)</t>
        </is>
      </c>
      <c r="C130" s="11" t="inlineStr">
        <is>
          <t>Auxis</t>
        </is>
      </c>
      <c r="D130" s="10" t="inlineStr">
        <is>
          <t>Bullet and frigate tunas</t>
        </is>
      </c>
      <c r="E130" s="10" t="inlineStr">
        <is>
          <t>Medium pelagics (30 - 89 cm)</t>
        </is>
      </c>
      <c r="F130" s="10" t="inlineStr">
        <is>
          <t>Tuna &amp; billfishes</t>
        </is>
      </c>
      <c r="G130" s="11" t="inlineStr">
        <is>
          <t>Pelagic fish (&gt; 30 cm)</t>
        </is>
      </c>
      <c r="H130" s="12" t="n">
        <v>0.7983193277310925</v>
      </c>
      <c r="I130" s="10" t="inlineStr">
        <is>
          <t>model_catch</t>
        </is>
      </c>
      <c r="J130" s="14" t="inlineStr">
        <is>
          <t>medium</t>
        </is>
      </c>
      <c r="K130" s="10" t="inlineStr">
        <is>
          <t>composite_split</t>
        </is>
      </c>
      <c r="L130" s="11" t="inlineStr">
        <is>
          <t>Analyst habitat/size inference to source &gt;30 cm pelagic fish (Appendix 6.1.24 p.339); no age data, so split juvenile/adult using the period model catch.</t>
        </is>
      </c>
      <c r="M130" s="10" t="n">
        <v>803741.611</v>
      </c>
    </row>
    <row r="131" ht="51" customHeight="1">
      <c r="A131" s="10" t="inlineStr">
        <is>
          <t>LME_036</t>
        </is>
      </c>
      <c r="B131" s="11" t="inlineStr">
        <is>
          <t>36_2_South_China_Sea_SCS-2007_Northern_South_China_Sea_(1970s)</t>
        </is>
      </c>
      <c r="C131" s="11" t="inlineStr">
        <is>
          <t>Pampus argenteus</t>
        </is>
      </c>
      <c r="D131" s="10" t="inlineStr">
        <is>
          <t>Silver pomfret</t>
        </is>
      </c>
      <c r="E131" s="10" t="inlineStr">
        <is>
          <t>Medium benthopelagics (30 - 89 cm)</t>
        </is>
      </c>
      <c r="F131" s="10" t="inlineStr">
        <is>
          <t>Perch-likes</t>
        </is>
      </c>
      <c r="G131" s="11" t="inlineStr">
        <is>
          <t>Pomfret (stromateids)</t>
        </is>
      </c>
      <c r="H131" s="12" t="n">
        <v>1</v>
      </c>
      <c r="I131" s="10" t="inlineStr">
        <is>
          <t>single</t>
        </is>
      </c>
      <c r="J131" s="15" t="inlineStr">
        <is>
          <t>high</t>
        </is>
      </c>
      <c r="K131" s="10" t="inlineStr">
        <is>
          <t>taxonomic_containment</t>
        </is>
      </c>
      <c r="L131" s="11" t="inlineStr">
        <is>
          <t>Appendix 6.1 pp.327-335 defines Pomfret (stromateids) by this family or explicitly names Pampus argenteus; dedicated source placement overrides the SAU class Medium benthopelagics (30 - 89 cm).</t>
        </is>
      </c>
      <c r="M131" s="10" t="n">
        <v>794370.862</v>
      </c>
    </row>
    <row r="132" ht="51" customHeight="1">
      <c r="A132" s="10" t="inlineStr">
        <is>
          <t>LME_036</t>
        </is>
      </c>
      <c r="B132" s="11" t="inlineStr">
        <is>
          <t>36_2_South_China_Sea_SCS-2007_Northern_South_China_Sea_(1970s)</t>
        </is>
      </c>
      <c r="C132" s="11" t="inlineStr">
        <is>
          <t>Spratelloides gracilis</t>
        </is>
      </c>
      <c r="D132" s="10" t="inlineStr">
        <is>
          <t>Silver-stripe round herring</t>
        </is>
      </c>
      <c r="E132" s="10" t="inlineStr">
        <is>
          <t>Small pelagics (&lt;30 cm)</t>
        </is>
      </c>
      <c r="F132" s="10" t="inlineStr">
        <is>
          <t>Herring-likes</t>
        </is>
      </c>
      <c r="G132" s="11" t="inlineStr">
        <is>
          <t>Pelagic fish (≤ 30 cm)</t>
        </is>
      </c>
      <c r="H132" s="12" t="n">
        <v>1</v>
      </c>
      <c r="I132" s="10" t="inlineStr">
        <is>
          <t>single</t>
        </is>
      </c>
      <c r="J132" s="14" t="inlineStr">
        <is>
          <t>medium</t>
        </is>
      </c>
      <c r="K132" s="10" t="inlineStr">
        <is>
          <t>habitat_size_guild</t>
        </is>
      </c>
      <c r="L132" s="11" t="inlineStr">
        <is>
          <t>Source small-pelagic pool explicitly includes sardines, thryssa and anchovies (Appendix 6.1.23 p.338); extension to the catch lineage uses SAU size as a proxy and is not a full species list.</t>
        </is>
      </c>
      <c r="M132" s="10" t="n">
        <v>757719.1850000001</v>
      </c>
    </row>
    <row r="133" ht="36" customHeight="1">
      <c r="A133" s="10" t="inlineStr">
        <is>
          <t>LME_036</t>
        </is>
      </c>
      <c r="B133" s="11" t="inlineStr">
        <is>
          <t>36_2_South_China_Sea_SCS-2007_Northern_South_China_Sea_(1970s)</t>
        </is>
      </c>
      <c r="C133" s="11" t="inlineStr">
        <is>
          <t>Bivalvia</t>
        </is>
      </c>
      <c r="D133" s="10" t="inlineStr">
        <is>
          <t>Clams</t>
        </is>
      </c>
      <c r="E133" s="10" t="inlineStr">
        <is>
          <t>Other demersal invertebrates</t>
        </is>
      </c>
      <c r="F133" s="10" t="inlineStr">
        <is>
          <t>Molluscs</t>
        </is>
      </c>
      <c r="G133" s="11" t="inlineStr">
        <is>
          <t>Non-ceph molluscs</t>
        </is>
      </c>
      <c r="H133" s="12" t="n">
        <v>1</v>
      </c>
      <c r="I133" s="10" t="inlineStr">
        <is>
          <t>single</t>
        </is>
      </c>
      <c r="J133" s="15" t="inlineStr">
        <is>
          <t>high</t>
        </is>
      </c>
      <c r="K133" s="10" t="inlineStr">
        <is>
          <t>taxonomic_containment</t>
        </is>
      </c>
      <c r="L133" s="11" t="inlineStr">
        <is>
          <t>Taxonomic containment in the source benthos subdivision (Appendix 6.1.5 pp.324-325), keeping non-cephalopod molluscs separate from echinoderms and sessile invertebrates.</t>
        </is>
      </c>
      <c r="M133" s="10" t="n">
        <v>749929.762</v>
      </c>
    </row>
    <row r="134" ht="51" customHeight="1">
      <c r="A134" s="10" t="inlineStr">
        <is>
          <t>LME_036</t>
        </is>
      </c>
      <c r="B134" s="11" t="inlineStr">
        <is>
          <t>36_2_South_China_Sea_SCS-2007_Northern_South_China_Sea_(1970s)</t>
        </is>
      </c>
      <c r="C134" s="11" t="inlineStr">
        <is>
          <t>Dussumieria</t>
        </is>
      </c>
      <c r="D134" s="10" t="inlineStr">
        <is>
          <t>Rainbow sardines</t>
        </is>
      </c>
      <c r="E134" s="10" t="inlineStr">
        <is>
          <t>Small pelagics (&lt;30 cm)</t>
        </is>
      </c>
      <c r="F134" s="10" t="inlineStr">
        <is>
          <t>Herring-likes</t>
        </is>
      </c>
      <c r="G134" s="11" t="inlineStr">
        <is>
          <t>Pelagic fish (≤ 30 cm)</t>
        </is>
      </c>
      <c r="H134" s="12" t="n">
        <v>1</v>
      </c>
      <c r="I134" s="10" t="inlineStr">
        <is>
          <t>single</t>
        </is>
      </c>
      <c r="J134" s="14" t="inlineStr">
        <is>
          <t>medium</t>
        </is>
      </c>
      <c r="K134" s="10" t="inlineStr">
        <is>
          <t>habitat_size_guild</t>
        </is>
      </c>
      <c r="L134" s="11" t="inlineStr">
        <is>
          <t>Source small-pelagic pool explicitly includes sardines, thryssa and anchovies (Appendix 6.1.23 p.338); extension to the catch lineage uses SAU size as a proxy and is not a full species list.</t>
        </is>
      </c>
      <c r="M134" s="10" t="n">
        <v>697208.687</v>
      </c>
    </row>
    <row r="135" ht="36" customHeight="1">
      <c r="A135" s="10" t="inlineStr">
        <is>
          <t>LME_036</t>
        </is>
      </c>
      <c r="B135" s="11" t="inlineStr">
        <is>
          <t>36_2_South_China_Sea_SCS-2007_Northern_South_China_Sea_(1970s)</t>
        </is>
      </c>
      <c r="C135" s="11" t="inlineStr">
        <is>
          <t>Carcharhinus</t>
        </is>
      </c>
      <c r="D135" s="10" t="inlineStr">
        <is>
          <t>Sharp-nosed sharks</t>
        </is>
      </c>
      <c r="E135" s="10" t="inlineStr">
        <is>
          <t>Large sharks (&gt;=90 cm)</t>
        </is>
      </c>
      <c r="F135" s="10" t="inlineStr">
        <is>
          <t>Sharks &amp; rays</t>
        </is>
      </c>
      <c r="G135" s="11" t="inlineStr">
        <is>
          <t>Demersal sharks and rays</t>
        </is>
      </c>
      <c r="H135" s="12" t="n">
        <v>0.8134680303573432</v>
      </c>
      <c r="I135" s="10" t="inlineStr">
        <is>
          <t>catch_composition</t>
        </is>
      </c>
      <c r="J135" s="13" t="inlineStr">
        <is>
          <t>low</t>
        </is>
      </c>
      <c r="K135" s="10" t="inlineStr">
        <is>
          <t>composite_split</t>
        </is>
      </c>
      <c r="L135" s="11" t="inlineStr">
        <is>
          <t>Coarse or habitat-ambiguous elasmobranch record spans the two source habitat compartments; SAU shark/ray size is insufficient to select one.</t>
        </is>
      </c>
      <c r="M135" s="10" t="n">
        <v>685947.922</v>
      </c>
    </row>
    <row r="136" ht="36" customHeight="1">
      <c r="A136" s="10" t="inlineStr">
        <is>
          <t>LME_036</t>
        </is>
      </c>
      <c r="B136" s="11" t="inlineStr">
        <is>
          <t>36_2_South_China_Sea_SCS-2007_Northern_South_China_Sea_(1970s)</t>
        </is>
      </c>
      <c r="C136" s="11" t="inlineStr">
        <is>
          <t>Carcharhinus</t>
        </is>
      </c>
      <c r="D136" s="10" t="inlineStr">
        <is>
          <t>Sharp-nosed sharks</t>
        </is>
      </c>
      <c r="E136" s="10" t="inlineStr">
        <is>
          <t>Large sharks (&gt;=90 cm)</t>
        </is>
      </c>
      <c r="F136" s="10" t="inlineStr">
        <is>
          <t>Sharks &amp; rays</t>
        </is>
      </c>
      <c r="G136" s="11" t="inlineStr">
        <is>
          <t>Pelagic sharks and rays</t>
        </is>
      </c>
      <c r="H136" s="12" t="n">
        <v>0.1865319696426568</v>
      </c>
      <c r="I136" s="10" t="inlineStr">
        <is>
          <t>catch_composition</t>
        </is>
      </c>
      <c r="J136" s="13" t="inlineStr">
        <is>
          <t>low</t>
        </is>
      </c>
      <c r="K136" s="10" t="inlineStr">
        <is>
          <t>composite_split</t>
        </is>
      </c>
      <c r="L136" s="11" t="inlineStr">
        <is>
          <t>Coarse or habitat-ambiguous elasmobranch record spans the two source habitat compartments; SAU shark/ray size is insufficient to select one.</t>
        </is>
      </c>
      <c r="M136" s="10" t="n">
        <v>685947.922</v>
      </c>
    </row>
    <row r="137" ht="36" customHeight="1">
      <c r="A137" s="10" t="inlineStr">
        <is>
          <t>LME_036</t>
        </is>
      </c>
      <c r="B137" s="11" t="inlineStr">
        <is>
          <t>36_2_South_China_Sea_SCS-2007_Northern_South_China_Sea_(1970s)</t>
        </is>
      </c>
      <c r="C137" s="11" t="inlineStr">
        <is>
          <t>Lutjanus</t>
        </is>
      </c>
      <c r="D137" s="10" t="inlineStr">
        <is>
          <t>Snappers</t>
        </is>
      </c>
      <c r="E137" s="10" t="inlineStr">
        <is>
          <t>Medium reef assoc. fish (30 - 89 cm)</t>
        </is>
      </c>
      <c r="F137" s="10" t="inlineStr">
        <is>
          <t>Perch-likes</t>
        </is>
      </c>
      <c r="G137" s="11" t="inlineStr">
        <is>
          <t>Snappers</t>
        </is>
      </c>
      <c r="H137" s="12" t="n">
        <v>1</v>
      </c>
      <c r="I137" s="10" t="inlineStr">
        <is>
          <t>single</t>
        </is>
      </c>
      <c r="J137" s="15" t="inlineStr">
        <is>
          <t>high</t>
        </is>
      </c>
      <c r="K137" s="10" t="inlineStr">
        <is>
          <t>taxonomic_containment</t>
        </is>
      </c>
      <c r="L137" s="11" t="inlineStr">
        <is>
          <t>Appendix 6.1 pp.327-335 defines Snappers by this family or explicitly names Lutjanus; dedicated source placement overrides the SAU class Medium reef assoc. fish (30 - 89 cm).</t>
        </is>
      </c>
      <c r="M137" s="10" t="n">
        <v>665694.576</v>
      </c>
    </row>
    <row r="138" ht="36" customHeight="1">
      <c r="A138" s="10" t="inlineStr">
        <is>
          <t>LME_036</t>
        </is>
      </c>
      <c r="B138" s="11" t="inlineStr">
        <is>
          <t>36_2_South_China_Sea_SCS-2007_Northern_South_China_Sea_(1970s)</t>
        </is>
      </c>
      <c r="C138" s="11" t="inlineStr">
        <is>
          <t>Penaeus merguiensis</t>
        </is>
      </c>
      <c r="D138" s="10" t="inlineStr">
        <is>
          <t>Banana prawn</t>
        </is>
      </c>
      <c r="E138" s="10" t="inlineStr">
        <is>
          <t>Shrimps</t>
        </is>
      </c>
      <c r="F138" s="10" t="inlineStr">
        <is>
          <t>Crustaceans</t>
        </is>
      </c>
      <c r="G138" s="11" t="inlineStr">
        <is>
          <t>Shrimps</t>
        </is>
      </c>
      <c r="H138" s="12" t="n">
        <v>1</v>
      </c>
      <c r="I138" s="10" t="inlineStr">
        <is>
          <t>single</t>
        </is>
      </c>
      <c r="J138" s="15" t="inlineStr">
        <is>
          <t>high</t>
        </is>
      </c>
      <c r="K138" s="10" t="inlineStr">
        <is>
          <t>taxonomic_containment</t>
        </is>
      </c>
      <c r="L138" s="11" t="inlineStr">
        <is>
          <t>Stomatopods belong to the residual benthic crustaceans; other shrimp taxa belong to Shrimps after the explicitly separated Acetes records (Appendix 6.1 pp.323-326).</t>
        </is>
      </c>
      <c r="M138" s="10" t="n">
        <v>664922.307</v>
      </c>
    </row>
    <row r="139" ht="36" customHeight="1">
      <c r="A139" s="10" t="inlineStr">
        <is>
          <t>LME_036</t>
        </is>
      </c>
      <c r="B139" s="11" t="inlineStr">
        <is>
          <t>36_2_South_China_Sea_SCS-2007_Northern_South_China_Sea_(1970s)</t>
        </is>
      </c>
      <c r="C139" s="11" t="inlineStr">
        <is>
          <t>Octopoda</t>
        </is>
      </c>
      <c r="D139" s="10" t="inlineStr">
        <is>
          <t>Octopuses, argonauts</t>
        </is>
      </c>
      <c r="E139" s="10" t="inlineStr">
        <is>
          <t>Cephalopods</t>
        </is>
      </c>
      <c r="F139" s="10" t="inlineStr">
        <is>
          <t>Other fishes &amp; inverts</t>
        </is>
      </c>
      <c r="G139" s="11" t="inlineStr">
        <is>
          <t>Cephalopods</t>
        </is>
      </c>
      <c r="H139" s="12" t="n">
        <v>1</v>
      </c>
      <c r="I139" s="10" t="inlineStr">
        <is>
          <t>single</t>
        </is>
      </c>
      <c r="J139" s="15" t="inlineStr">
        <is>
          <t>high</t>
        </is>
      </c>
      <c r="K139" s="10" t="inlineStr">
        <is>
          <t>taxonomic_containment</t>
        </is>
      </c>
      <c r="L139" s="11" t="inlineStr">
        <is>
          <t>Cephalopoda is contained by the single source Cephalopods group, Appendix 6.1.8 pp.326-327.</t>
        </is>
      </c>
      <c r="M139" s="10" t="n">
        <v>662621.716</v>
      </c>
    </row>
    <row r="140" ht="51" customHeight="1">
      <c r="A140" s="10" t="inlineStr">
        <is>
          <t>LME_036</t>
        </is>
      </c>
      <c r="B140" s="11" t="inlineStr">
        <is>
          <t>36_2_South_China_Sea_SCS-2007_Northern_South_China_Sea_(1970s)</t>
        </is>
      </c>
      <c r="C140" s="11" t="inlineStr">
        <is>
          <t>Clupanodon thrissa</t>
        </is>
      </c>
      <c r="D140" s="10" t="inlineStr">
        <is>
          <t>Chinese gizzard shad</t>
        </is>
      </c>
      <c r="E140" s="10" t="inlineStr">
        <is>
          <t>Small pelagics (&lt;30 cm)</t>
        </is>
      </c>
      <c r="F140" s="10" t="inlineStr">
        <is>
          <t>Herring-likes</t>
        </is>
      </c>
      <c r="G140" s="11" t="inlineStr">
        <is>
          <t>Pelagic fish (≤ 30 cm)</t>
        </is>
      </c>
      <c r="H140" s="12" t="n">
        <v>1</v>
      </c>
      <c r="I140" s="10" t="inlineStr">
        <is>
          <t>single</t>
        </is>
      </c>
      <c r="J140" s="14" t="inlineStr">
        <is>
          <t>medium</t>
        </is>
      </c>
      <c r="K140" s="10" t="inlineStr">
        <is>
          <t>habitat_size_guild</t>
        </is>
      </c>
      <c r="L140" s="11" t="inlineStr">
        <is>
          <t>Source small-pelagic pool explicitly includes sardines, thryssa and anchovies (Appendix 6.1.23 p.338); extension to the catch lineage uses SAU size as a proxy and is not a full species list.</t>
        </is>
      </c>
      <c r="M140" s="10" t="n">
        <v>647036.927</v>
      </c>
    </row>
    <row r="141" ht="51" customHeight="1">
      <c r="A141" s="10" t="inlineStr">
        <is>
          <t>LME_036</t>
        </is>
      </c>
      <c r="B141" s="11" t="inlineStr">
        <is>
          <t>36_2_South_China_Sea_SCS-2007_Northern_South_China_Sea_(1970s)</t>
        </is>
      </c>
      <c r="C141" s="11" t="inlineStr">
        <is>
          <t>Sardinella fimbriata</t>
        </is>
      </c>
      <c r="D141" s="10" t="inlineStr">
        <is>
          <t>Fringescale sardinella</t>
        </is>
      </c>
      <c r="E141" s="10" t="inlineStr">
        <is>
          <t>Small pelagics (&lt;30 cm)</t>
        </is>
      </c>
      <c r="F141" s="10" t="inlineStr">
        <is>
          <t>Herring-likes</t>
        </is>
      </c>
      <c r="G141" s="11" t="inlineStr">
        <is>
          <t>Pelagic fish (≤ 30 cm)</t>
        </is>
      </c>
      <c r="H141" s="12" t="n">
        <v>1</v>
      </c>
      <c r="I141" s="10" t="inlineStr">
        <is>
          <t>single</t>
        </is>
      </c>
      <c r="J141" s="14" t="inlineStr">
        <is>
          <t>medium</t>
        </is>
      </c>
      <c r="K141" s="10" t="inlineStr">
        <is>
          <t>habitat_size_guild</t>
        </is>
      </c>
      <c r="L141" s="11" t="inlineStr">
        <is>
          <t>Source small-pelagic pool explicitly includes sardines, thryssa and anchovies (Appendix 6.1.23 p.338); extension to the catch lineage uses SAU size as a proxy and is not a full species list.</t>
        </is>
      </c>
      <c r="M141" s="10" t="n">
        <v>639879.15</v>
      </c>
    </row>
    <row r="142" ht="36" customHeight="1">
      <c r="A142" s="10" t="inlineStr">
        <is>
          <t>LME_036</t>
        </is>
      </c>
      <c r="B142" s="11" t="inlineStr">
        <is>
          <t>36_2_South_China_Sea_SCS-2007_Northern_South_China_Sea_(1970s)</t>
        </is>
      </c>
      <c r="C142" s="11" t="inlineStr">
        <is>
          <t>Ruvettus pretiosus</t>
        </is>
      </c>
      <c r="D142" s="10" t="inlineStr">
        <is>
          <t>Oilfish</t>
        </is>
      </c>
      <c r="E142" s="10" t="inlineStr">
        <is>
          <t>Large benthopelagics (&gt;=90 cm)</t>
        </is>
      </c>
      <c r="F142" s="10" t="inlineStr">
        <is>
          <t>Perch-likes</t>
        </is>
      </c>
      <c r="G142" s="11" t="inlineStr">
        <is>
          <t>Unresolved</t>
        </is>
      </c>
      <c r="H142" s="12" t="n"/>
      <c r="I142" s="10" t="inlineStr"/>
      <c r="J142" s="16" t="inlineStr">
        <is>
          <t>unresolved</t>
        </is>
      </c>
      <c r="K142" s="10" t="inlineStr">
        <is>
          <t>none</t>
        </is>
      </c>
      <c r="L142" s="11" t="inlineStr">
        <is>
          <t>Northern continental-shelf model lacks a documented oceanic billfish or deep-pelagic compartment; assigning coastal juvenile/adult pelagic SPPR would be unsupported.</t>
        </is>
      </c>
      <c r="M142" s="10" t="n">
        <v>635369.554</v>
      </c>
    </row>
    <row r="143" ht="51" customHeight="1">
      <c r="A143" s="10" t="inlineStr">
        <is>
          <t>LME_036</t>
        </is>
      </c>
      <c r="B143" s="11" t="inlineStr">
        <is>
          <t>36_2_South_China_Sea_SCS-2007_Northern_South_China_Sea_(1970s)</t>
        </is>
      </c>
      <c r="C143" s="11" t="inlineStr">
        <is>
          <t>Lates calcarifer</t>
        </is>
      </c>
      <c r="D143" s="10" t="inlineStr">
        <is>
          <t>Barramundi</t>
        </is>
      </c>
      <c r="E143" s="10" t="inlineStr">
        <is>
          <t>Large demersals (&gt;=90 cm)</t>
        </is>
      </c>
      <c r="F143" s="10" t="inlineStr">
        <is>
          <t>Perch-likes</t>
        </is>
      </c>
      <c r="G143" s="11" t="inlineStr">
        <is>
          <t>Juvenile demersal fish (&gt; 30 cm)</t>
        </is>
      </c>
      <c r="H143" s="12" t="n">
        <v>0.2002781641168289</v>
      </c>
      <c r="I143" s="10" t="inlineStr">
        <is>
          <t>model_catch</t>
        </is>
      </c>
      <c r="J143" s="14" t="inlineStr">
        <is>
          <t>medium</t>
        </is>
      </c>
      <c r="K143" s="10" t="inlineStr">
        <is>
          <t>composite_split</t>
        </is>
      </c>
      <c r="L143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143" s="10" t="n">
        <v>632668.965</v>
      </c>
    </row>
    <row r="144" ht="51" customHeight="1">
      <c r="A144" s="10" t="inlineStr">
        <is>
          <t>LME_036</t>
        </is>
      </c>
      <c r="B144" s="11" t="inlineStr">
        <is>
          <t>36_2_South_China_Sea_SCS-2007_Northern_South_China_Sea_(1970s)</t>
        </is>
      </c>
      <c r="C144" s="11" t="inlineStr">
        <is>
          <t>Lates calcarifer</t>
        </is>
      </c>
      <c r="D144" s="10" t="inlineStr">
        <is>
          <t>Barramundi</t>
        </is>
      </c>
      <c r="E144" s="10" t="inlineStr">
        <is>
          <t>Large demersals (&gt;=90 cm)</t>
        </is>
      </c>
      <c r="F144" s="10" t="inlineStr">
        <is>
          <t>Perch-likes</t>
        </is>
      </c>
      <c r="G144" s="11" t="inlineStr">
        <is>
          <t>Adult demersal fish (&gt; 30 cm)</t>
        </is>
      </c>
      <c r="H144" s="12" t="n">
        <v>0.799721835883171</v>
      </c>
      <c r="I144" s="10" t="inlineStr">
        <is>
          <t>model_catch</t>
        </is>
      </c>
      <c r="J144" s="14" t="inlineStr">
        <is>
          <t>medium</t>
        </is>
      </c>
      <c r="K144" s="10" t="inlineStr">
        <is>
          <t>composite_split</t>
        </is>
      </c>
      <c r="L144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144" s="10" t="n">
        <v>632668.965</v>
      </c>
    </row>
    <row r="145" ht="51" customHeight="1">
      <c r="A145" s="10" t="inlineStr">
        <is>
          <t>LME_036</t>
        </is>
      </c>
      <c r="B145" s="11" t="inlineStr">
        <is>
          <t>36_2_South_China_Sea_SCS-2007_Northern_South_China_Sea_(1970s)</t>
        </is>
      </c>
      <c r="C145" s="11" t="inlineStr">
        <is>
          <t>Carangoides</t>
        </is>
      </c>
      <c r="D145" s="10" t="inlineStr">
        <is>
          <t>Trevallies</t>
        </is>
      </c>
      <c r="E145" s="10" t="inlineStr">
        <is>
          <t>Medium reef assoc. fish (30 - 89 cm)</t>
        </is>
      </c>
      <c r="F145" s="10" t="inlineStr">
        <is>
          <t>Perch-likes</t>
        </is>
      </c>
      <c r="G145" s="11" t="inlineStr">
        <is>
          <t>Juvenile large pelagic fish</t>
        </is>
      </c>
      <c r="H145" s="12" t="n">
        <v>0.2016806722689076</v>
      </c>
      <c r="I145" s="10" t="inlineStr">
        <is>
          <t>model_catch</t>
        </is>
      </c>
      <c r="J145" s="14" t="inlineStr">
        <is>
          <t>medium</t>
        </is>
      </c>
      <c r="K145" s="10" t="inlineStr">
        <is>
          <t>composite_split</t>
        </is>
      </c>
      <c r="L145" s="11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145" s="10" t="n">
        <v>616681.8</v>
      </c>
    </row>
    <row r="146" ht="51" customHeight="1">
      <c r="A146" s="10" t="inlineStr">
        <is>
          <t>LME_036</t>
        </is>
      </c>
      <c r="B146" s="11" t="inlineStr">
        <is>
          <t>36_2_South_China_Sea_SCS-2007_Northern_South_China_Sea_(1970s)</t>
        </is>
      </c>
      <c r="C146" s="11" t="inlineStr">
        <is>
          <t>Carangoides</t>
        </is>
      </c>
      <c r="D146" s="10" t="inlineStr">
        <is>
          <t>Trevallies</t>
        </is>
      </c>
      <c r="E146" s="10" t="inlineStr">
        <is>
          <t>Medium reef assoc. fish (30 - 89 cm)</t>
        </is>
      </c>
      <c r="F146" s="10" t="inlineStr">
        <is>
          <t>Perch-likes</t>
        </is>
      </c>
      <c r="G146" s="11" t="inlineStr">
        <is>
          <t>Pelagic fish (&gt; 30 cm)</t>
        </is>
      </c>
      <c r="H146" s="12" t="n">
        <v>0.7983193277310925</v>
      </c>
      <c r="I146" s="10" t="inlineStr">
        <is>
          <t>model_catch</t>
        </is>
      </c>
      <c r="J146" s="14" t="inlineStr">
        <is>
          <t>medium</t>
        </is>
      </c>
      <c r="K146" s="10" t="inlineStr">
        <is>
          <t>composite_split</t>
        </is>
      </c>
      <c r="L146" s="11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146" s="10" t="n">
        <v>616681.8</v>
      </c>
    </row>
    <row r="147" ht="36" customHeight="1">
      <c r="A147" s="10" t="inlineStr">
        <is>
          <t>LME_036</t>
        </is>
      </c>
      <c r="B147" s="11" t="inlineStr">
        <is>
          <t>36_2_South_China_Sea_SCS-2007_Northern_South_China_Sea_(1970s)</t>
        </is>
      </c>
      <c r="C147" s="11" t="inlineStr">
        <is>
          <t>Scomberomorus niphonius</t>
        </is>
      </c>
      <c r="D147" s="10" t="inlineStr">
        <is>
          <t>Japanese Spanish mackerel</t>
        </is>
      </c>
      <c r="E147" s="10" t="inlineStr">
        <is>
          <t>Large pelagics (&gt;=90 cm)</t>
        </is>
      </c>
      <c r="F147" s="10" t="inlineStr">
        <is>
          <t>Perch-likes</t>
        </is>
      </c>
      <c r="G147" s="11" t="inlineStr">
        <is>
          <t>Juvenile large pelagic fish</t>
        </is>
      </c>
      <c r="H147" s="12" t="n">
        <v>0.2016806722689076</v>
      </c>
      <c r="I147" s="10" t="inlineStr">
        <is>
          <t>model_catch</t>
        </is>
      </c>
      <c r="J147" s="14" t="inlineStr">
        <is>
          <t>medium</t>
        </is>
      </c>
      <c r="K147" s="10" t="inlineStr">
        <is>
          <t>composite_split</t>
        </is>
      </c>
      <c r="L147" s="11" t="inlineStr">
        <is>
          <t>Analyst habitat/size inference to source &gt;30 cm pelagic fish (Appendix 6.1.24 p.339); no age data, so split juvenile/adult using the period model catch.</t>
        </is>
      </c>
      <c r="M147" s="10" t="n">
        <v>615678.066</v>
      </c>
    </row>
    <row r="148" ht="36" customHeight="1">
      <c r="A148" s="10" t="inlineStr">
        <is>
          <t>LME_036</t>
        </is>
      </c>
      <c r="B148" s="11" t="inlineStr">
        <is>
          <t>36_2_South_China_Sea_SCS-2007_Northern_South_China_Sea_(1970s)</t>
        </is>
      </c>
      <c r="C148" s="11" t="inlineStr">
        <is>
          <t>Scomberomorus niphonius</t>
        </is>
      </c>
      <c r="D148" s="10" t="inlineStr">
        <is>
          <t>Japanese Spanish mackerel</t>
        </is>
      </c>
      <c r="E148" s="10" t="inlineStr">
        <is>
          <t>Large pelagics (&gt;=90 cm)</t>
        </is>
      </c>
      <c r="F148" s="10" t="inlineStr">
        <is>
          <t>Perch-likes</t>
        </is>
      </c>
      <c r="G148" s="11" t="inlineStr">
        <is>
          <t>Pelagic fish (&gt; 30 cm)</t>
        </is>
      </c>
      <c r="H148" s="12" t="n">
        <v>0.7983193277310925</v>
      </c>
      <c r="I148" s="10" t="inlineStr">
        <is>
          <t>model_catch</t>
        </is>
      </c>
      <c r="J148" s="14" t="inlineStr">
        <is>
          <t>medium</t>
        </is>
      </c>
      <c r="K148" s="10" t="inlineStr">
        <is>
          <t>composite_split</t>
        </is>
      </c>
      <c r="L148" s="11" t="inlineStr">
        <is>
          <t>Analyst habitat/size inference to source &gt;30 cm pelagic fish (Appendix 6.1.24 p.339); no age data, so split juvenile/adult using the period model catch.</t>
        </is>
      </c>
      <c r="M148" s="10" t="n">
        <v>615678.066</v>
      </c>
    </row>
    <row r="149" ht="51" customHeight="1">
      <c r="A149" s="10" t="inlineStr">
        <is>
          <t>LME_036</t>
        </is>
      </c>
      <c r="B149" s="11" t="inlineStr">
        <is>
          <t>36_2_South_China_Sea_SCS-2007_Northern_South_China_Sea_(1970s)</t>
        </is>
      </c>
      <c r="C149" s="11" t="inlineStr">
        <is>
          <t>Megalaspis cordyla</t>
        </is>
      </c>
      <c r="D149" s="10" t="inlineStr">
        <is>
          <t>Torpedo scad</t>
        </is>
      </c>
      <c r="E149" s="10" t="inlineStr">
        <is>
          <t>Medium pelagics (30 - 89 cm)</t>
        </is>
      </c>
      <c r="F149" s="10" t="inlineStr">
        <is>
          <t>Perch-likes</t>
        </is>
      </c>
      <c r="G149" s="11" t="inlineStr">
        <is>
          <t>Juvenile large pelagic fish</t>
        </is>
      </c>
      <c r="H149" s="12" t="n">
        <v>0.2016806722689076</v>
      </c>
      <c r="I149" s="10" t="inlineStr">
        <is>
          <t>model_catch</t>
        </is>
      </c>
      <c r="J149" s="14" t="inlineStr">
        <is>
          <t>medium</t>
        </is>
      </c>
      <c r="K149" s="10" t="inlineStr">
        <is>
          <t>composite_split</t>
        </is>
      </c>
      <c r="L149" s="11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149" s="10" t="n">
        <v>612069.759</v>
      </c>
    </row>
    <row r="150" ht="51" customHeight="1">
      <c r="A150" s="10" t="inlineStr">
        <is>
          <t>LME_036</t>
        </is>
      </c>
      <c r="B150" s="11" t="inlineStr">
        <is>
          <t>36_2_South_China_Sea_SCS-2007_Northern_South_China_Sea_(1970s)</t>
        </is>
      </c>
      <c r="C150" s="11" t="inlineStr">
        <is>
          <t>Megalaspis cordyla</t>
        </is>
      </c>
      <c r="D150" s="10" t="inlineStr">
        <is>
          <t>Torpedo scad</t>
        </is>
      </c>
      <c r="E150" s="10" t="inlineStr">
        <is>
          <t>Medium pelagics (30 - 89 cm)</t>
        </is>
      </c>
      <c r="F150" s="10" t="inlineStr">
        <is>
          <t>Perch-likes</t>
        </is>
      </c>
      <c r="G150" s="11" t="inlineStr">
        <is>
          <t>Pelagic fish (&gt; 30 cm)</t>
        </is>
      </c>
      <c r="H150" s="12" t="n">
        <v>0.7983193277310925</v>
      </c>
      <c r="I150" s="10" t="inlineStr">
        <is>
          <t>model_catch</t>
        </is>
      </c>
      <c r="J150" s="14" t="inlineStr">
        <is>
          <t>medium</t>
        </is>
      </c>
      <c r="K150" s="10" t="inlineStr">
        <is>
          <t>composite_split</t>
        </is>
      </c>
      <c r="L150" s="11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150" s="10" t="n">
        <v>612069.759</v>
      </c>
    </row>
    <row r="151" ht="36" customHeight="1">
      <c r="A151" s="10" t="inlineStr">
        <is>
          <t>LME_036</t>
        </is>
      </c>
      <c r="B151" s="11" t="inlineStr">
        <is>
          <t>36_2_South_China_Sea_SCS-2007_Northern_South_China_Sea_(1970s)</t>
        </is>
      </c>
      <c r="C151" s="11" t="inlineStr">
        <is>
          <t>Scomberomorus guttatus</t>
        </is>
      </c>
      <c r="D151" s="10" t="inlineStr">
        <is>
          <t>Indo-Pacific king mackerel</t>
        </is>
      </c>
      <c r="E151" s="10" t="inlineStr">
        <is>
          <t>Medium pelagics (30 - 89 cm)</t>
        </is>
      </c>
      <c r="F151" s="10" t="inlineStr">
        <is>
          <t>Perch-likes</t>
        </is>
      </c>
      <c r="G151" s="11" t="inlineStr">
        <is>
          <t>Juvenile large pelagic fish</t>
        </is>
      </c>
      <c r="H151" s="12" t="n">
        <v>0.2016806722689076</v>
      </c>
      <c r="I151" s="10" t="inlineStr">
        <is>
          <t>model_catch</t>
        </is>
      </c>
      <c r="J151" s="14" t="inlineStr">
        <is>
          <t>medium</t>
        </is>
      </c>
      <c r="K151" s="10" t="inlineStr">
        <is>
          <t>composite_split</t>
        </is>
      </c>
      <c r="L151" s="11" t="inlineStr">
        <is>
          <t>Analyst habitat/size inference to source &gt;30 cm pelagic fish (Appendix 6.1.24 p.339); no age data, so split juvenile/adult using the period model catch.</t>
        </is>
      </c>
      <c r="M151" s="10" t="n">
        <v>588900.767</v>
      </c>
    </row>
    <row r="152" ht="36" customHeight="1">
      <c r="A152" s="10" t="inlineStr">
        <is>
          <t>LME_036</t>
        </is>
      </c>
      <c r="B152" s="11" t="inlineStr">
        <is>
          <t>36_2_South_China_Sea_SCS-2007_Northern_South_China_Sea_(1970s)</t>
        </is>
      </c>
      <c r="C152" s="11" t="inlineStr">
        <is>
          <t>Scomberomorus guttatus</t>
        </is>
      </c>
      <c r="D152" s="10" t="inlineStr">
        <is>
          <t>Indo-Pacific king mackerel</t>
        </is>
      </c>
      <c r="E152" s="10" t="inlineStr">
        <is>
          <t>Medium pelagics (30 - 89 cm)</t>
        </is>
      </c>
      <c r="F152" s="10" t="inlineStr">
        <is>
          <t>Perch-likes</t>
        </is>
      </c>
      <c r="G152" s="11" t="inlineStr">
        <is>
          <t>Pelagic fish (&gt; 30 cm)</t>
        </is>
      </c>
      <c r="H152" s="12" t="n">
        <v>0.7983193277310925</v>
      </c>
      <c r="I152" s="10" t="inlineStr">
        <is>
          <t>model_catch</t>
        </is>
      </c>
      <c r="J152" s="14" t="inlineStr">
        <is>
          <t>medium</t>
        </is>
      </c>
      <c r="K152" s="10" t="inlineStr">
        <is>
          <t>composite_split</t>
        </is>
      </c>
      <c r="L152" s="11" t="inlineStr">
        <is>
          <t>Analyst habitat/size inference to source &gt;30 cm pelagic fish (Appendix 6.1.24 p.339); no age data, so split juvenile/adult using the period model catch.</t>
        </is>
      </c>
      <c r="M152" s="10" t="n">
        <v>588900.767</v>
      </c>
    </row>
    <row r="153" ht="51" customHeight="1">
      <c r="A153" s="10" t="inlineStr">
        <is>
          <t>LME_036</t>
        </is>
      </c>
      <c r="B153" s="11" t="inlineStr">
        <is>
          <t>36_2_South_China_Sea_SCS-2007_Northern_South_China_Sea_(1970s)</t>
        </is>
      </c>
      <c r="C153" s="11" t="inlineStr">
        <is>
          <t>Atrobucca nibe</t>
        </is>
      </c>
      <c r="D153" s="10" t="inlineStr">
        <is>
          <t>Blackmouth croaker</t>
        </is>
      </c>
      <c r="E153" s="10" t="inlineStr">
        <is>
          <t>Medium demersals (30 - 89 cm)</t>
        </is>
      </c>
      <c r="F153" s="10" t="inlineStr">
        <is>
          <t>Perch-likes</t>
        </is>
      </c>
      <c r="G153" s="11" t="inlineStr">
        <is>
          <t>Juvenile large croakers</t>
        </is>
      </c>
      <c r="H153" s="12" t="n">
        <v>0.2</v>
      </c>
      <c r="I153" s="10" t="inlineStr">
        <is>
          <t>model_catch</t>
        </is>
      </c>
      <c r="J153" s="13" t="inlineStr">
        <is>
          <t>low</t>
        </is>
      </c>
      <c r="K153" s="10" t="inlineStr">
        <is>
          <t>composite_split</t>
        </is>
      </c>
      <c r="L153" s="11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  <c r="M153" s="10" t="n">
        <v>588586.829</v>
      </c>
    </row>
    <row r="154" ht="51" customHeight="1">
      <c r="A154" s="10" t="inlineStr">
        <is>
          <t>LME_036</t>
        </is>
      </c>
      <c r="B154" s="11" t="inlineStr">
        <is>
          <t>36_2_South_China_Sea_SCS-2007_Northern_South_China_Sea_(1970s)</t>
        </is>
      </c>
      <c r="C154" s="11" t="inlineStr">
        <is>
          <t>Atrobucca nibe</t>
        </is>
      </c>
      <c r="D154" s="10" t="inlineStr">
        <is>
          <t>Blackmouth croaker</t>
        </is>
      </c>
      <c r="E154" s="10" t="inlineStr">
        <is>
          <t>Medium demersals (30 - 89 cm)</t>
        </is>
      </c>
      <c r="F154" s="10" t="inlineStr">
        <is>
          <t>Perch-likes</t>
        </is>
      </c>
      <c r="G154" s="11" t="inlineStr">
        <is>
          <t>Croakers (&gt; 30 cm)</t>
        </is>
      </c>
      <c r="H154" s="12" t="n">
        <v>0.8</v>
      </c>
      <c r="I154" s="10" t="inlineStr">
        <is>
          <t>model_catch</t>
        </is>
      </c>
      <c r="J154" s="13" t="inlineStr">
        <is>
          <t>low</t>
        </is>
      </c>
      <c r="K154" s="10" t="inlineStr">
        <is>
          <t>composite_split</t>
        </is>
      </c>
      <c r="L154" s="11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  <c r="M154" s="10" t="n">
        <v>588586.829</v>
      </c>
    </row>
    <row r="155" ht="36" customHeight="1">
      <c r="A155" s="10" t="inlineStr">
        <is>
          <t>LME_036</t>
        </is>
      </c>
      <c r="B155" s="11" t="inlineStr">
        <is>
          <t>36_2_South_China_Sea_SCS-2007_Northern_South_China_Sea_(1970s)</t>
        </is>
      </c>
      <c r="C155" s="11" t="inlineStr">
        <is>
          <t>Trichiuridae</t>
        </is>
      </c>
      <c r="D155" s="10" t="inlineStr">
        <is>
          <t>Cutlassfishes</t>
        </is>
      </c>
      <c r="E155" s="10" t="inlineStr">
        <is>
          <t>Large benthopelagics (&gt;=90 cm)</t>
        </is>
      </c>
      <c r="F155" s="10" t="inlineStr">
        <is>
          <t>Perch-likes</t>
        </is>
      </c>
      <c r="G155" s="11" t="inlineStr">
        <is>
          <t>Juvenile Hairtail (trichiurids)</t>
        </is>
      </c>
      <c r="H155" s="12" t="n">
        <v>0.2</v>
      </c>
      <c r="I155" s="10" t="inlineStr">
        <is>
          <t>model_catch</t>
        </is>
      </c>
      <c r="J155" s="14" t="inlineStr">
        <is>
          <t>medium</t>
        </is>
      </c>
      <c r="K155" s="10" t="inlineStr">
        <is>
          <t>composite_split</t>
        </is>
      </c>
      <c r="L155" s="11" t="inlineStr">
        <is>
          <t>Appendix 6.1.12 pp.329-330 divides Trichiuridae at 18 months. Catch has no life-stage field; fixed juvenile/adult weights use this period model catch, retaining its reported selectivity.</t>
        </is>
      </c>
      <c r="M155" s="10" t="n">
        <v>577893.819</v>
      </c>
    </row>
    <row r="156" ht="36" customHeight="1">
      <c r="A156" s="10" t="inlineStr">
        <is>
          <t>LME_036</t>
        </is>
      </c>
      <c r="B156" s="11" t="inlineStr">
        <is>
          <t>36_2_South_China_Sea_SCS-2007_Northern_South_China_Sea_(1970s)</t>
        </is>
      </c>
      <c r="C156" s="11" t="inlineStr">
        <is>
          <t>Trichiuridae</t>
        </is>
      </c>
      <c r="D156" s="10" t="inlineStr">
        <is>
          <t>Cutlassfishes</t>
        </is>
      </c>
      <c r="E156" s="10" t="inlineStr">
        <is>
          <t>Large benthopelagics (&gt;=90 cm)</t>
        </is>
      </c>
      <c r="F156" s="10" t="inlineStr">
        <is>
          <t>Perch-likes</t>
        </is>
      </c>
      <c r="G156" s="11" t="inlineStr">
        <is>
          <t>Adult hairtail (trichiurids)</t>
        </is>
      </c>
      <c r="H156" s="12" t="n">
        <v>0.8</v>
      </c>
      <c r="I156" s="10" t="inlineStr">
        <is>
          <t>model_catch</t>
        </is>
      </c>
      <c r="J156" s="14" t="inlineStr">
        <is>
          <t>medium</t>
        </is>
      </c>
      <c r="K156" s="10" t="inlineStr">
        <is>
          <t>composite_split</t>
        </is>
      </c>
      <c r="L156" s="11" t="inlineStr">
        <is>
          <t>Appendix 6.1.12 pp.329-330 divides Trichiuridae at 18 months. Catch has no life-stage field; fixed juvenile/adult weights use this period model catch, retaining its reported selectivity.</t>
        </is>
      </c>
      <c r="M156" s="10" t="n">
        <v>577893.819</v>
      </c>
    </row>
    <row r="157" ht="36" customHeight="1">
      <c r="A157" s="10" t="inlineStr">
        <is>
          <t>LME_036</t>
        </is>
      </c>
      <c r="B157" s="11" t="inlineStr">
        <is>
          <t>36_2_South_China_Sea_SCS-2007_Northern_South_China_Sea_(1970s)</t>
        </is>
      </c>
      <c r="C157" s="11" t="inlineStr">
        <is>
          <t>Thunnus tonggol</t>
        </is>
      </c>
      <c r="D157" s="10" t="inlineStr">
        <is>
          <t>Longtail tuna</t>
        </is>
      </c>
      <c r="E157" s="10" t="inlineStr">
        <is>
          <t>Large pelagics (&gt;=90 cm)</t>
        </is>
      </c>
      <c r="F157" s="10" t="inlineStr">
        <is>
          <t>Tuna &amp; billfishes</t>
        </is>
      </c>
      <c r="G157" s="11" t="inlineStr">
        <is>
          <t>Juvenile large pelagic fish</t>
        </is>
      </c>
      <c r="H157" s="12" t="n">
        <v>0.2016806722689076</v>
      </c>
      <c r="I157" s="10" t="inlineStr">
        <is>
          <t>model_catch</t>
        </is>
      </c>
      <c r="J157" s="14" t="inlineStr">
        <is>
          <t>medium</t>
        </is>
      </c>
      <c r="K157" s="10" t="inlineStr">
        <is>
          <t>composite_split</t>
        </is>
      </c>
      <c r="L157" s="11" t="inlineStr">
        <is>
          <t>Analyst habitat/size inference to source &gt;30 cm pelagic fish (Appendix 6.1.24 p.339); no age data, so split juvenile/adult using the period model catch.</t>
        </is>
      </c>
      <c r="M157" s="10" t="n">
        <v>559808.0919999999</v>
      </c>
    </row>
    <row r="158" ht="36" customHeight="1">
      <c r="A158" s="10" t="inlineStr">
        <is>
          <t>LME_036</t>
        </is>
      </c>
      <c r="B158" s="11" t="inlineStr">
        <is>
          <t>36_2_South_China_Sea_SCS-2007_Northern_South_China_Sea_(1970s)</t>
        </is>
      </c>
      <c r="C158" s="11" t="inlineStr">
        <is>
          <t>Thunnus tonggol</t>
        </is>
      </c>
      <c r="D158" s="10" t="inlineStr">
        <is>
          <t>Longtail tuna</t>
        </is>
      </c>
      <c r="E158" s="10" t="inlineStr">
        <is>
          <t>Large pelagics (&gt;=90 cm)</t>
        </is>
      </c>
      <c r="F158" s="10" t="inlineStr">
        <is>
          <t>Tuna &amp; billfishes</t>
        </is>
      </c>
      <c r="G158" s="11" t="inlineStr">
        <is>
          <t>Pelagic fish (&gt; 30 cm)</t>
        </is>
      </c>
      <c r="H158" s="12" t="n">
        <v>0.7983193277310925</v>
      </c>
      <c r="I158" s="10" t="inlineStr">
        <is>
          <t>model_catch</t>
        </is>
      </c>
      <c r="J158" s="14" t="inlineStr">
        <is>
          <t>medium</t>
        </is>
      </c>
      <c r="K158" s="10" t="inlineStr">
        <is>
          <t>composite_split</t>
        </is>
      </c>
      <c r="L158" s="11" t="inlineStr">
        <is>
          <t>Analyst habitat/size inference to source &gt;30 cm pelagic fish (Appendix 6.1.24 p.339); no age data, so split juvenile/adult using the period model catch.</t>
        </is>
      </c>
      <c r="M158" s="10" t="n">
        <v>559808.0919999999</v>
      </c>
    </row>
    <row r="159" ht="36" customHeight="1">
      <c r="A159" s="10" t="inlineStr">
        <is>
          <t>LME_036</t>
        </is>
      </c>
      <c r="B159" s="11" t="inlineStr">
        <is>
          <t>36_2_South_China_Sea_SCS-2007_Northern_South_China_Sea_(1970s)</t>
        </is>
      </c>
      <c r="C159" s="11" t="inlineStr">
        <is>
          <t>Penaeus indicus</t>
        </is>
      </c>
      <c r="D159" s="10" t="inlineStr">
        <is>
          <t>Indian white prawn</t>
        </is>
      </c>
      <c r="E159" s="10" t="inlineStr">
        <is>
          <t>Shrimps</t>
        </is>
      </c>
      <c r="F159" s="10" t="inlineStr">
        <is>
          <t>Crustaceans</t>
        </is>
      </c>
      <c r="G159" s="11" t="inlineStr">
        <is>
          <t>Shrimps</t>
        </is>
      </c>
      <c r="H159" s="12" t="n">
        <v>1</v>
      </c>
      <c r="I159" s="10" t="inlineStr">
        <is>
          <t>single</t>
        </is>
      </c>
      <c r="J159" s="15" t="inlineStr">
        <is>
          <t>high</t>
        </is>
      </c>
      <c r="K159" s="10" t="inlineStr">
        <is>
          <t>taxonomic_containment</t>
        </is>
      </c>
      <c r="L159" s="11" t="inlineStr">
        <is>
          <t>Stomatopods belong to the residual benthic crustaceans; other shrimp taxa belong to Shrimps after the explicitly separated Acetes records (Appendix 6.1 pp.323-326).</t>
        </is>
      </c>
      <c r="M159" s="10" t="n">
        <v>555200.22</v>
      </c>
    </row>
    <row r="160" ht="36" customHeight="1">
      <c r="A160" s="10" t="inlineStr">
        <is>
          <t>LME_036</t>
        </is>
      </c>
      <c r="B160" s="11" t="inlineStr">
        <is>
          <t>36_2_South_China_Sea_SCS-2007_Northern_South_China_Sea_(1970s)</t>
        </is>
      </c>
      <c r="C160" s="11" t="inlineStr">
        <is>
          <t>Rhopilema esculentum</t>
        </is>
      </c>
      <c r="D160" s="10" t="inlineStr">
        <is>
          <t>Flame jellyfish</t>
        </is>
      </c>
      <c r="E160" s="10" t="inlineStr">
        <is>
          <t>Jellyfish</t>
        </is>
      </c>
      <c r="F160" s="10" t="inlineStr">
        <is>
          <t>Other fishes &amp; inverts</t>
        </is>
      </c>
      <c r="G160" s="11" t="inlineStr">
        <is>
          <t>Jellyfish</t>
        </is>
      </c>
      <c r="H160" s="12" t="n">
        <v>1</v>
      </c>
      <c r="I160" s="10" t="inlineStr">
        <is>
          <t>single</t>
        </is>
      </c>
      <c r="J160" s="15" t="inlineStr">
        <is>
          <t>high</t>
        </is>
      </c>
      <c r="K160" s="10" t="inlineStr">
        <is>
          <t>taxonomic_containment</t>
        </is>
      </c>
      <c r="L160" s="11" t="inlineStr">
        <is>
          <t>Appendix 6.1.4 p.324 defines jellyfish as cnidarian medusae.</t>
        </is>
      </c>
      <c r="M160" s="10" t="n">
        <v>548978.368</v>
      </c>
    </row>
    <row r="161" ht="51" customHeight="1">
      <c r="A161" s="10" t="inlineStr">
        <is>
          <t>LME_036</t>
        </is>
      </c>
      <c r="B161" s="11" t="inlineStr">
        <is>
          <t>36_2_South_China_Sea_SCS-2007_Northern_South_China_Sea_(1970s)</t>
        </is>
      </c>
      <c r="C161" s="11" t="inlineStr">
        <is>
          <t>Clupeiformes</t>
        </is>
      </c>
      <c r="D161" s="10" t="inlineStr">
        <is>
          <t>Herrings, shads, anchovies</t>
        </is>
      </c>
      <c r="E161" s="10" t="inlineStr">
        <is>
          <t>Small pelagics (&lt;30 cm)</t>
        </is>
      </c>
      <c r="F161" s="10" t="inlineStr">
        <is>
          <t>Other fishes &amp; inverts</t>
        </is>
      </c>
      <c r="G161" s="11" t="inlineStr">
        <is>
          <t>Pelagic fish (≤ 30 cm)</t>
        </is>
      </c>
      <c r="H161" s="12" t="n">
        <v>0.7541322314049587</v>
      </c>
      <c r="I161" s="10" t="inlineStr">
        <is>
          <t>model_catch</t>
        </is>
      </c>
      <c r="J161" s="13" t="inlineStr">
        <is>
          <t>low</t>
        </is>
      </c>
      <c r="K161" s="10" t="inlineStr">
        <is>
          <t>composite_split</t>
        </is>
      </c>
      <c r="L161" s="11" t="inlineStr">
        <is>
          <t>Coarse clupeiform/clupeid catch can include species below and above the source 30 cm boundary; its SAU small-pelagic class does not prove all fish belong to small species. The large-species portion is split across source stanzas by period model catch.</t>
        </is>
      </c>
      <c r="M161" s="10" t="n">
        <v>539337.373</v>
      </c>
    </row>
    <row r="162" ht="51" customHeight="1">
      <c r="A162" s="10" t="inlineStr">
        <is>
          <t>LME_036</t>
        </is>
      </c>
      <c r="B162" s="11" t="inlineStr">
        <is>
          <t>36_2_South_China_Sea_SCS-2007_Northern_South_China_Sea_(1970s)</t>
        </is>
      </c>
      <c r="C162" s="11" t="inlineStr">
        <is>
          <t>Clupeiformes</t>
        </is>
      </c>
      <c r="D162" s="10" t="inlineStr">
        <is>
          <t>Herrings, shads, anchovies</t>
        </is>
      </c>
      <c r="E162" s="10" t="inlineStr">
        <is>
          <t>Small pelagics (&lt;30 cm)</t>
        </is>
      </c>
      <c r="F162" s="10" t="inlineStr">
        <is>
          <t>Other fishes &amp; inverts</t>
        </is>
      </c>
      <c r="G162" s="11" t="inlineStr">
        <is>
          <t>Juvenile large pelagic fish</t>
        </is>
      </c>
      <c r="H162" s="12" t="n">
        <v>0.04958677685950413</v>
      </c>
      <c r="I162" s="10" t="inlineStr">
        <is>
          <t>model_catch</t>
        </is>
      </c>
      <c r="J162" s="13" t="inlineStr">
        <is>
          <t>low</t>
        </is>
      </c>
      <c r="K162" s="10" t="inlineStr">
        <is>
          <t>composite_split</t>
        </is>
      </c>
      <c r="L162" s="11" t="inlineStr">
        <is>
          <t>Coarse clupeiform/clupeid catch can include species below and above the source 30 cm boundary; its SAU small-pelagic class does not prove all fish belong to small species. The large-species portion is split across source stanzas by period model catch.</t>
        </is>
      </c>
      <c r="M162" s="10" t="n">
        <v>539337.373</v>
      </c>
    </row>
    <row r="163" ht="51" customHeight="1">
      <c r="A163" s="10" t="inlineStr">
        <is>
          <t>LME_036</t>
        </is>
      </c>
      <c r="B163" s="11" t="inlineStr">
        <is>
          <t>36_2_South_China_Sea_SCS-2007_Northern_South_China_Sea_(1970s)</t>
        </is>
      </c>
      <c r="C163" s="11" t="inlineStr">
        <is>
          <t>Clupeiformes</t>
        </is>
      </c>
      <c r="D163" s="10" t="inlineStr">
        <is>
          <t>Herrings, shads, anchovies</t>
        </is>
      </c>
      <c r="E163" s="10" t="inlineStr">
        <is>
          <t>Small pelagics (&lt;30 cm)</t>
        </is>
      </c>
      <c r="F163" s="10" t="inlineStr">
        <is>
          <t>Other fishes &amp; inverts</t>
        </is>
      </c>
      <c r="G163" s="11" t="inlineStr">
        <is>
          <t>Pelagic fish (&gt; 30 cm)</t>
        </is>
      </c>
      <c r="H163" s="12" t="n">
        <v>0.1962809917355372</v>
      </c>
      <c r="I163" s="10" t="inlineStr">
        <is>
          <t>model_catch</t>
        </is>
      </c>
      <c r="J163" s="13" t="inlineStr">
        <is>
          <t>low</t>
        </is>
      </c>
      <c r="K163" s="10" t="inlineStr">
        <is>
          <t>composite_split</t>
        </is>
      </c>
      <c r="L163" s="11" t="inlineStr">
        <is>
          <t>Coarse clupeiform/clupeid catch can include species below and above the source 30 cm boundary; its SAU small-pelagic class does not prove all fish belong to small species. The large-species portion is split across source stanzas by period model catch.</t>
        </is>
      </c>
      <c r="M163" s="10" t="n">
        <v>539337.373</v>
      </c>
    </row>
    <row r="164" ht="51" customHeight="1">
      <c r="A164" s="10" t="inlineStr">
        <is>
          <t>LME_036</t>
        </is>
      </c>
      <c r="B164" s="11" t="inlineStr">
        <is>
          <t>36_2_South_China_Sea_SCS-2007_Northern_South_China_Sea_(1970s)</t>
        </is>
      </c>
      <c r="C164" s="11" t="inlineStr">
        <is>
          <t>Miichthys miiuy</t>
        </is>
      </c>
      <c r="D164" s="10" t="inlineStr">
        <is>
          <t>Mi-iuy croaker</t>
        </is>
      </c>
      <c r="E164" s="10" t="inlineStr">
        <is>
          <t>Medium demersals (30 - 89 cm)</t>
        </is>
      </c>
      <c r="F164" s="10" t="inlineStr">
        <is>
          <t>Perch-likes</t>
        </is>
      </c>
      <c r="G164" s="11" t="inlineStr">
        <is>
          <t>Juvenile large croakers</t>
        </is>
      </c>
      <c r="H164" s="12" t="n">
        <v>0.2</v>
      </c>
      <c r="I164" s="10" t="inlineStr">
        <is>
          <t>model_catch</t>
        </is>
      </c>
      <c r="J164" s="13" t="inlineStr">
        <is>
          <t>low</t>
        </is>
      </c>
      <c r="K164" s="10" t="inlineStr">
        <is>
          <t>composite_split</t>
        </is>
      </c>
      <c r="L164" s="11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  <c r="M164" s="10" t="n">
        <v>538900.161</v>
      </c>
    </row>
    <row r="165" ht="51" customHeight="1">
      <c r="A165" s="10" t="inlineStr">
        <is>
          <t>LME_036</t>
        </is>
      </c>
      <c r="B165" s="11" t="inlineStr">
        <is>
          <t>36_2_South_China_Sea_SCS-2007_Northern_South_China_Sea_(1970s)</t>
        </is>
      </c>
      <c r="C165" s="11" t="inlineStr">
        <is>
          <t>Miichthys miiuy</t>
        </is>
      </c>
      <c r="D165" s="10" t="inlineStr">
        <is>
          <t>Mi-iuy croaker</t>
        </is>
      </c>
      <c r="E165" s="10" t="inlineStr">
        <is>
          <t>Medium demersals (30 - 89 cm)</t>
        </is>
      </c>
      <c r="F165" s="10" t="inlineStr">
        <is>
          <t>Perch-likes</t>
        </is>
      </c>
      <c r="G165" s="11" t="inlineStr">
        <is>
          <t>Croakers (&gt; 30 cm)</t>
        </is>
      </c>
      <c r="H165" s="12" t="n">
        <v>0.8</v>
      </c>
      <c r="I165" s="10" t="inlineStr">
        <is>
          <t>model_catch</t>
        </is>
      </c>
      <c r="J165" s="13" t="inlineStr">
        <is>
          <t>low</t>
        </is>
      </c>
      <c r="K165" s="10" t="inlineStr">
        <is>
          <t>composite_split</t>
        </is>
      </c>
      <c r="L165" s="11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  <c r="M165" s="10" t="n">
        <v>538900.161</v>
      </c>
    </row>
    <row r="166" ht="51" customHeight="1">
      <c r="A166" s="10" t="inlineStr">
        <is>
          <t>LME_036</t>
        </is>
      </c>
      <c r="B166" s="11" t="inlineStr">
        <is>
          <t>36_2_South_China_Sea_SCS-2007_Northern_South_China_Sea_(1970s)</t>
        </is>
      </c>
      <c r="C166" s="11" t="inlineStr">
        <is>
          <t>Platycephalidae</t>
        </is>
      </c>
      <c r="D166" s="10" t="inlineStr">
        <is>
          <t>Flatheads</t>
        </is>
      </c>
      <c r="E166" s="10" t="inlineStr">
        <is>
          <t>Medium demersals (30 - 89 cm)</t>
        </is>
      </c>
      <c r="F166" s="10" t="inlineStr">
        <is>
          <t>Scorpionfishes</t>
        </is>
      </c>
      <c r="G166" s="11" t="inlineStr">
        <is>
          <t>Juvenile demersal fish (&gt; 30 cm)</t>
        </is>
      </c>
      <c r="H166" s="12" t="n">
        <v>0.2002781641168289</v>
      </c>
      <c r="I166" s="10" t="inlineStr">
        <is>
          <t>model_catch</t>
        </is>
      </c>
      <c r="J166" s="14" t="inlineStr">
        <is>
          <t>medium</t>
        </is>
      </c>
      <c r="K166" s="10" t="inlineStr">
        <is>
          <t>composite_split</t>
        </is>
      </c>
      <c r="L166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166" s="10" t="n">
        <v>533637.836</v>
      </c>
    </row>
    <row r="167" ht="51" customHeight="1">
      <c r="A167" s="10" t="inlineStr">
        <is>
          <t>LME_036</t>
        </is>
      </c>
      <c r="B167" s="11" t="inlineStr">
        <is>
          <t>36_2_South_China_Sea_SCS-2007_Northern_South_China_Sea_(1970s)</t>
        </is>
      </c>
      <c r="C167" s="11" t="inlineStr">
        <is>
          <t>Platycephalidae</t>
        </is>
      </c>
      <c r="D167" s="10" t="inlineStr">
        <is>
          <t>Flatheads</t>
        </is>
      </c>
      <c r="E167" s="10" t="inlineStr">
        <is>
          <t>Medium demersals (30 - 89 cm)</t>
        </is>
      </c>
      <c r="F167" s="10" t="inlineStr">
        <is>
          <t>Scorpionfishes</t>
        </is>
      </c>
      <c r="G167" s="11" t="inlineStr">
        <is>
          <t>Adult demersal fish (&gt; 30 cm)</t>
        </is>
      </c>
      <c r="H167" s="12" t="n">
        <v>0.799721835883171</v>
      </c>
      <c r="I167" s="10" t="inlineStr">
        <is>
          <t>model_catch</t>
        </is>
      </c>
      <c r="J167" s="14" t="inlineStr">
        <is>
          <t>medium</t>
        </is>
      </c>
      <c r="K167" s="10" t="inlineStr">
        <is>
          <t>composite_split</t>
        </is>
      </c>
      <c r="L167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167" s="10" t="n">
        <v>533637.836</v>
      </c>
    </row>
    <row r="168" ht="36" customHeight="1">
      <c r="A168" s="10" t="inlineStr">
        <is>
          <t>LME_036</t>
        </is>
      </c>
      <c r="B168" s="11" t="inlineStr">
        <is>
          <t>36_2_South_China_Sea_SCS-2007_Northern_South_China_Sea_(1970s)</t>
        </is>
      </c>
      <c r="C168" s="11" t="inlineStr">
        <is>
          <t>Lutjanidae</t>
        </is>
      </c>
      <c r="D168" s="10" t="inlineStr">
        <is>
          <t>Snappers</t>
        </is>
      </c>
      <c r="E168" s="10" t="inlineStr">
        <is>
          <t>Medium reef assoc. fish (30 - 89 cm)</t>
        </is>
      </c>
      <c r="F168" s="10" t="inlineStr">
        <is>
          <t>Perch-likes</t>
        </is>
      </c>
      <c r="G168" s="11" t="inlineStr">
        <is>
          <t>Snappers</t>
        </is>
      </c>
      <c r="H168" s="12" t="n">
        <v>1</v>
      </c>
      <c r="I168" s="10" t="inlineStr">
        <is>
          <t>single</t>
        </is>
      </c>
      <c r="J168" s="15" t="inlineStr">
        <is>
          <t>high</t>
        </is>
      </c>
      <c r="K168" s="10" t="inlineStr">
        <is>
          <t>taxonomic_containment</t>
        </is>
      </c>
      <c r="L168" s="11" t="inlineStr">
        <is>
          <t>Appendix 6.1 pp.327-335 defines Snappers by this family or explicitly names Lutjanidae; dedicated source placement overrides the SAU class Medium reef assoc. fish (30 - 89 cm).</t>
        </is>
      </c>
      <c r="M168" s="10" t="n">
        <v>517939.381</v>
      </c>
    </row>
    <row r="169" ht="51" customHeight="1">
      <c r="A169" s="10" t="inlineStr">
        <is>
          <t>LME_036</t>
        </is>
      </c>
      <c r="B169" s="11" t="inlineStr">
        <is>
          <t>36_2_South_China_Sea_SCS-2007_Northern_South_China_Sea_(1970s)</t>
        </is>
      </c>
      <c r="C169" s="11" t="inlineStr">
        <is>
          <t>Chelidonichthys kumu</t>
        </is>
      </c>
      <c r="D169" s="10" t="inlineStr">
        <is>
          <t>Bluefin gurnard</t>
        </is>
      </c>
      <c r="E169" s="10" t="inlineStr">
        <is>
          <t>Medium demersals (30 - 89 cm)</t>
        </is>
      </c>
      <c r="F169" s="10" t="inlineStr">
        <is>
          <t>Scorpionfishes</t>
        </is>
      </c>
      <c r="G169" s="11" t="inlineStr">
        <is>
          <t>Juvenile demersal fish (&gt; 30 cm)</t>
        </is>
      </c>
      <c r="H169" s="12" t="n">
        <v>0.2002781641168289</v>
      </c>
      <c r="I169" s="10" t="inlineStr">
        <is>
          <t>model_catch</t>
        </is>
      </c>
      <c r="J169" s="14" t="inlineStr">
        <is>
          <t>medium</t>
        </is>
      </c>
      <c r="K169" s="10" t="inlineStr">
        <is>
          <t>composite_split</t>
        </is>
      </c>
      <c r="L169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169" s="10" t="n">
        <v>511849.701</v>
      </c>
    </row>
    <row r="170" ht="51" customHeight="1">
      <c r="A170" s="10" t="inlineStr">
        <is>
          <t>LME_036</t>
        </is>
      </c>
      <c r="B170" s="11" t="inlineStr">
        <is>
          <t>36_2_South_China_Sea_SCS-2007_Northern_South_China_Sea_(1970s)</t>
        </is>
      </c>
      <c r="C170" s="11" t="inlineStr">
        <is>
          <t>Chelidonichthys kumu</t>
        </is>
      </c>
      <c r="D170" s="10" t="inlineStr">
        <is>
          <t>Bluefin gurnard</t>
        </is>
      </c>
      <c r="E170" s="10" t="inlineStr">
        <is>
          <t>Medium demersals (30 - 89 cm)</t>
        </is>
      </c>
      <c r="F170" s="10" t="inlineStr">
        <is>
          <t>Scorpionfishes</t>
        </is>
      </c>
      <c r="G170" s="11" t="inlineStr">
        <is>
          <t>Adult demersal fish (&gt; 30 cm)</t>
        </is>
      </c>
      <c r="H170" s="12" t="n">
        <v>0.799721835883171</v>
      </c>
      <c r="I170" s="10" t="inlineStr">
        <is>
          <t>model_catch</t>
        </is>
      </c>
      <c r="J170" s="14" t="inlineStr">
        <is>
          <t>medium</t>
        </is>
      </c>
      <c r="K170" s="10" t="inlineStr">
        <is>
          <t>composite_split</t>
        </is>
      </c>
      <c r="L170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170" s="10" t="n">
        <v>511849.701</v>
      </c>
    </row>
    <row r="171" ht="51" customHeight="1">
      <c r="A171" s="10" t="inlineStr">
        <is>
          <t>LME_036</t>
        </is>
      </c>
      <c r="B171" s="11" t="inlineStr">
        <is>
          <t>36_2_South_China_Sea_SCS-2007_Northern_South_China_Sea_(1970s)</t>
        </is>
      </c>
      <c r="C171" s="11" t="inlineStr">
        <is>
          <t>Chirocentrus dorab</t>
        </is>
      </c>
      <c r="D171" s="10" t="inlineStr">
        <is>
          <t>Dorab wolf-herring</t>
        </is>
      </c>
      <c r="E171" s="10" t="inlineStr">
        <is>
          <t>Large benthopelagics (&gt;=90 cm)</t>
        </is>
      </c>
      <c r="F171" s="10" t="inlineStr">
        <is>
          <t>Herring-likes</t>
        </is>
      </c>
      <c r="G171" s="11" t="inlineStr">
        <is>
          <t>Benthopelagic fish</t>
        </is>
      </c>
      <c r="H171" s="12" t="n">
        <v>1</v>
      </c>
      <c r="I171" s="10" t="inlineStr">
        <is>
          <t>single</t>
        </is>
      </c>
      <c r="J171" s="13" t="inlineStr">
        <is>
          <t>low</t>
        </is>
      </c>
      <c r="K171" s="10" t="inlineStr">
        <is>
          <t>habitat_size_guild</t>
        </is>
      </c>
      <c r="L171" s="11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  <c r="M171" s="10" t="n">
        <v>505880.763</v>
      </c>
    </row>
    <row r="172" ht="36" customHeight="1">
      <c r="A172" s="10" t="inlineStr">
        <is>
          <t>LME_036</t>
        </is>
      </c>
      <c r="B172" s="11" t="inlineStr">
        <is>
          <t>36_2_South_China_Sea_SCS-2007_Northern_South_China_Sea_(1970s)</t>
        </is>
      </c>
      <c r="C172" s="11" t="inlineStr">
        <is>
          <t>Parapenaeopsis</t>
        </is>
      </c>
      <c r="D172" s="10" t="inlineStr">
        <is>
          <t>Leafy-legged shrimps</t>
        </is>
      </c>
      <c r="E172" s="10" t="inlineStr">
        <is>
          <t>Shrimps</t>
        </is>
      </c>
      <c r="F172" s="10" t="inlineStr">
        <is>
          <t>Crustaceans</t>
        </is>
      </c>
      <c r="G172" s="11" t="inlineStr">
        <is>
          <t>Shrimps</t>
        </is>
      </c>
      <c r="H172" s="12" t="n">
        <v>1</v>
      </c>
      <c r="I172" s="10" t="inlineStr">
        <is>
          <t>single</t>
        </is>
      </c>
      <c r="J172" s="15" t="inlineStr">
        <is>
          <t>high</t>
        </is>
      </c>
      <c r="K172" s="10" t="inlineStr">
        <is>
          <t>taxonomic_containment</t>
        </is>
      </c>
      <c r="L172" s="11" t="inlineStr">
        <is>
          <t>Stomatopods belong to the residual benthic crustaceans; other shrimp taxa belong to Shrimps after the explicitly separated Acetes records (Appendix 6.1 pp.323-326).</t>
        </is>
      </c>
      <c r="M172" s="10" t="n">
        <v>502329.698</v>
      </c>
    </row>
    <row r="173" ht="51" customHeight="1">
      <c r="A173" s="10" t="inlineStr">
        <is>
          <t>LME_036</t>
        </is>
      </c>
      <c r="B173" s="11" t="inlineStr">
        <is>
          <t>36_2_South_China_Sea_SCS-2007_Northern_South_China_Sea_(1970s)</t>
        </is>
      </c>
      <c r="C173" s="11" t="inlineStr">
        <is>
          <t>Lutjanus malabaricus</t>
        </is>
      </c>
      <c r="D173" s="10" t="inlineStr">
        <is>
          <t>Malabar blood snapper</t>
        </is>
      </c>
      <c r="E173" s="10" t="inlineStr">
        <is>
          <t>Medium reef assoc. fish (30 - 89 cm)</t>
        </is>
      </c>
      <c r="F173" s="10" t="inlineStr">
        <is>
          <t>Perch-likes</t>
        </is>
      </c>
      <c r="G173" s="11" t="inlineStr">
        <is>
          <t>Snappers</t>
        </is>
      </c>
      <c r="H173" s="12" t="n">
        <v>1</v>
      </c>
      <c r="I173" s="10" t="inlineStr">
        <is>
          <t>single</t>
        </is>
      </c>
      <c r="J173" s="15" t="inlineStr">
        <is>
          <t>high</t>
        </is>
      </c>
      <c r="K173" s="10" t="inlineStr">
        <is>
          <t>taxonomic_containment</t>
        </is>
      </c>
      <c r="L173" s="11" t="inlineStr">
        <is>
          <t>Appendix 6.1 pp.327-335 defines Snappers by this family or explicitly names Lutjanus malabaricus; dedicated source placement overrides the SAU class Medium reef assoc. fish (30 - 89 cm).</t>
        </is>
      </c>
      <c r="M173" s="10" t="n">
        <v>484204.484</v>
      </c>
    </row>
    <row r="174" ht="36" customHeight="1">
      <c r="A174" s="10" t="inlineStr">
        <is>
          <t>LME_036</t>
        </is>
      </c>
      <c r="B174" s="11" t="inlineStr">
        <is>
          <t>36_2_South_China_Sea_SCS-2007_Northern_South_China_Sea_(1970s)</t>
        </is>
      </c>
      <c r="C174" s="11" t="inlineStr">
        <is>
          <t>Charybdis</t>
        </is>
      </c>
      <c r="D174" s="10" t="inlineStr">
        <is>
          <t>Whirlpool swimming crabs</t>
        </is>
      </c>
      <c r="E174" s="10" t="inlineStr">
        <is>
          <t>Lobsters, crabs</t>
        </is>
      </c>
      <c r="F174" s="10" t="inlineStr">
        <is>
          <t>Crustaceans</t>
        </is>
      </c>
      <c r="G174" s="11" t="inlineStr">
        <is>
          <t>Crabs</t>
        </is>
      </c>
      <c r="H174" s="12" t="n">
        <v>1</v>
      </c>
      <c r="I174" s="10" t="inlineStr">
        <is>
          <t>single</t>
        </is>
      </c>
      <c r="J174" s="15" t="inlineStr">
        <is>
          <t>high</t>
        </is>
      </c>
      <c r="K174" s="10" t="inlineStr">
        <is>
          <t>taxonomic_containment</t>
        </is>
      </c>
      <c r="L174" s="11" t="inlineStr">
        <is>
          <t>Source benthic crustaceans exclude shrimps and crabs (Appendix 6.1.5 p.324); lobsters remain in that residual, while true crabs use Crabs.</t>
        </is>
      </c>
      <c r="M174" s="10" t="n">
        <v>478310.795</v>
      </c>
    </row>
    <row r="175" ht="36" customHeight="1">
      <c r="A175" s="10" t="inlineStr">
        <is>
          <t>LME_036</t>
        </is>
      </c>
      <c r="B175" s="11" t="inlineStr">
        <is>
          <t>36_2_South_China_Sea_SCS-2007_Northern_South_China_Sea_(1970s)</t>
        </is>
      </c>
      <c r="C175" s="11" t="inlineStr">
        <is>
          <t>Penaeus japonicus</t>
        </is>
      </c>
      <c r="D175" s="10" t="inlineStr">
        <is>
          <t>Kuruma prawn</t>
        </is>
      </c>
      <c r="E175" s="10" t="inlineStr">
        <is>
          <t>Shrimps</t>
        </is>
      </c>
      <c r="F175" s="10" t="inlineStr">
        <is>
          <t>Crustaceans</t>
        </is>
      </c>
      <c r="G175" s="11" t="inlineStr">
        <is>
          <t>Shrimps</t>
        </is>
      </c>
      <c r="H175" s="12" t="n">
        <v>1</v>
      </c>
      <c r="I175" s="10" t="inlineStr">
        <is>
          <t>single</t>
        </is>
      </c>
      <c r="J175" s="15" t="inlineStr">
        <is>
          <t>high</t>
        </is>
      </c>
      <c r="K175" s="10" t="inlineStr">
        <is>
          <t>taxonomic_containment</t>
        </is>
      </c>
      <c r="L175" s="11" t="inlineStr">
        <is>
          <t>Stomatopods belong to the residual benthic crustaceans; other shrimp taxa belong to Shrimps after the explicitly separated Acetes records (Appendix 6.1 pp.323-326).</t>
        </is>
      </c>
      <c r="M175" s="10" t="n">
        <v>464825.23</v>
      </c>
    </row>
    <row r="176" ht="51" customHeight="1">
      <c r="A176" s="10" t="inlineStr">
        <is>
          <t>LME_036</t>
        </is>
      </c>
      <c r="B176" s="11" t="inlineStr">
        <is>
          <t>36_2_South_China_Sea_SCS-2007_Northern_South_China_Sea_(1970s)</t>
        </is>
      </c>
      <c r="C176" s="11" t="inlineStr">
        <is>
          <t>Caesionidae</t>
        </is>
      </c>
      <c r="D176" s="10" t="inlineStr">
        <is>
          <t>Fusiliers</t>
        </is>
      </c>
      <c r="E176" s="10" t="inlineStr">
        <is>
          <t>Medium reef assoc. fish (30 - 89 cm)</t>
        </is>
      </c>
      <c r="F176" s="10" t="inlineStr">
        <is>
          <t>Perch-likes</t>
        </is>
      </c>
      <c r="G176" s="11" t="inlineStr">
        <is>
          <t>Juvenile demersal fish (&gt; 30 cm)</t>
        </is>
      </c>
      <c r="H176" s="12" t="n">
        <v>0.2002781641168289</v>
      </c>
      <c r="I176" s="10" t="inlineStr">
        <is>
          <t>model_catch</t>
        </is>
      </c>
      <c r="J176" s="14" t="inlineStr">
        <is>
          <t>medium</t>
        </is>
      </c>
      <c r="K176" s="10" t="inlineStr">
        <is>
          <t>composite_split</t>
        </is>
      </c>
      <c r="L176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176" s="10" t="n">
        <v>463221.115</v>
      </c>
    </row>
    <row r="177" ht="51" customHeight="1">
      <c r="A177" s="10" t="inlineStr">
        <is>
          <t>LME_036</t>
        </is>
      </c>
      <c r="B177" s="11" t="inlineStr">
        <is>
          <t>36_2_South_China_Sea_SCS-2007_Northern_South_China_Sea_(1970s)</t>
        </is>
      </c>
      <c r="C177" s="11" t="inlineStr">
        <is>
          <t>Caesionidae</t>
        </is>
      </c>
      <c r="D177" s="10" t="inlineStr">
        <is>
          <t>Fusiliers</t>
        </is>
      </c>
      <c r="E177" s="10" t="inlineStr">
        <is>
          <t>Medium reef assoc. fish (30 - 89 cm)</t>
        </is>
      </c>
      <c r="F177" s="10" t="inlineStr">
        <is>
          <t>Perch-likes</t>
        </is>
      </c>
      <c r="G177" s="11" t="inlineStr">
        <is>
          <t>Adult demersal fish (&gt; 30 cm)</t>
        </is>
      </c>
      <c r="H177" s="12" t="n">
        <v>0.799721835883171</v>
      </c>
      <c r="I177" s="10" t="inlineStr">
        <is>
          <t>model_catch</t>
        </is>
      </c>
      <c r="J177" s="14" t="inlineStr">
        <is>
          <t>medium</t>
        </is>
      </c>
      <c r="K177" s="10" t="inlineStr">
        <is>
          <t>composite_split</t>
        </is>
      </c>
      <c r="L177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177" s="10" t="n">
        <v>463221.115</v>
      </c>
    </row>
    <row r="178" ht="36" customHeight="1">
      <c r="A178" s="10" t="inlineStr">
        <is>
          <t>LME_036</t>
        </is>
      </c>
      <c r="B178" s="11" t="inlineStr">
        <is>
          <t>36_2_South_China_Sea_SCS-2007_Northern_South_China_Sea_(1970s)</t>
        </is>
      </c>
      <c r="C178" s="11" t="inlineStr">
        <is>
          <t>Trichiurus</t>
        </is>
      </c>
      <c r="D178" s="10" t="inlineStr">
        <is>
          <t>Hairtails</t>
        </is>
      </c>
      <c r="E178" s="10" t="inlineStr">
        <is>
          <t>Large benthopelagics (&gt;=90 cm)</t>
        </is>
      </c>
      <c r="F178" s="10" t="inlineStr">
        <is>
          <t>Perch-likes</t>
        </is>
      </c>
      <c r="G178" s="11" t="inlineStr">
        <is>
          <t>Juvenile Hairtail (trichiurids)</t>
        </is>
      </c>
      <c r="H178" s="12" t="n">
        <v>0.2</v>
      </c>
      <c r="I178" s="10" t="inlineStr">
        <is>
          <t>model_catch</t>
        </is>
      </c>
      <c r="J178" s="14" t="inlineStr">
        <is>
          <t>medium</t>
        </is>
      </c>
      <c r="K178" s="10" t="inlineStr">
        <is>
          <t>composite_split</t>
        </is>
      </c>
      <c r="L178" s="11" t="inlineStr">
        <is>
          <t>Appendix 6.1.12 pp.329-330 divides Trichiuridae at 18 months. Catch has no life-stage field; fixed juvenile/adult weights use this period model catch, retaining its reported selectivity.</t>
        </is>
      </c>
      <c r="M178" s="10" t="n">
        <v>448520.701</v>
      </c>
    </row>
    <row r="179" ht="36" customHeight="1">
      <c r="A179" s="10" t="inlineStr">
        <is>
          <t>LME_036</t>
        </is>
      </c>
      <c r="B179" s="11" t="inlineStr">
        <is>
          <t>36_2_South_China_Sea_SCS-2007_Northern_South_China_Sea_(1970s)</t>
        </is>
      </c>
      <c r="C179" s="11" t="inlineStr">
        <is>
          <t>Trichiurus</t>
        </is>
      </c>
      <c r="D179" s="10" t="inlineStr">
        <is>
          <t>Hairtails</t>
        </is>
      </c>
      <c r="E179" s="10" t="inlineStr">
        <is>
          <t>Large benthopelagics (&gt;=90 cm)</t>
        </is>
      </c>
      <c r="F179" s="10" t="inlineStr">
        <is>
          <t>Perch-likes</t>
        </is>
      </c>
      <c r="G179" s="11" t="inlineStr">
        <is>
          <t>Adult hairtail (trichiurids)</t>
        </is>
      </c>
      <c r="H179" s="12" t="n">
        <v>0.8</v>
      </c>
      <c r="I179" s="10" t="inlineStr">
        <is>
          <t>model_catch</t>
        </is>
      </c>
      <c r="J179" s="14" t="inlineStr">
        <is>
          <t>medium</t>
        </is>
      </c>
      <c r="K179" s="10" t="inlineStr">
        <is>
          <t>composite_split</t>
        </is>
      </c>
      <c r="L179" s="11" t="inlineStr">
        <is>
          <t>Appendix 6.1.12 pp.329-330 divides Trichiuridae at 18 months. Catch has no life-stage field; fixed juvenile/adult weights use this period model catch, retaining its reported selectivity.</t>
        </is>
      </c>
      <c r="M179" s="10" t="n">
        <v>448520.701</v>
      </c>
    </row>
    <row r="180" ht="36" customHeight="1">
      <c r="A180" s="10" t="inlineStr">
        <is>
          <t>LME_036</t>
        </is>
      </c>
      <c r="B180" s="11" t="inlineStr">
        <is>
          <t>36_2_South_China_Sea_SCS-2007_Northern_South_China_Sea_(1970s)</t>
        </is>
      </c>
      <c r="C180" s="11" t="inlineStr">
        <is>
          <t>Sphyraena</t>
        </is>
      </c>
      <c r="D180" s="10" t="inlineStr">
        <is>
          <t>Barracudas, sennets</t>
        </is>
      </c>
      <c r="E180" s="10" t="inlineStr">
        <is>
          <t>Large pelagics (&gt;=90 cm)</t>
        </is>
      </c>
      <c r="F180" s="10" t="inlineStr">
        <is>
          <t>Perch-likes</t>
        </is>
      </c>
      <c r="G180" s="11" t="inlineStr">
        <is>
          <t>Juvenile large pelagic fish</t>
        </is>
      </c>
      <c r="H180" s="12" t="n">
        <v>0.2016806722689076</v>
      </c>
      <c r="I180" s="10" t="inlineStr">
        <is>
          <t>model_catch</t>
        </is>
      </c>
      <c r="J180" s="14" t="inlineStr">
        <is>
          <t>medium</t>
        </is>
      </c>
      <c r="K180" s="10" t="inlineStr">
        <is>
          <t>composite_split</t>
        </is>
      </c>
      <c r="L180" s="11" t="inlineStr">
        <is>
          <t>Analyst habitat/size inference to source &gt;30 cm pelagic fish (Appendix 6.1.24 p.339); no age data, so split juvenile/adult using the period model catch.</t>
        </is>
      </c>
      <c r="M180" s="10" t="n">
        <v>444174.863</v>
      </c>
    </row>
    <row r="181" ht="36" customHeight="1">
      <c r="A181" s="10" t="inlineStr">
        <is>
          <t>LME_036</t>
        </is>
      </c>
      <c r="B181" s="11" t="inlineStr">
        <is>
          <t>36_2_South_China_Sea_SCS-2007_Northern_South_China_Sea_(1970s)</t>
        </is>
      </c>
      <c r="C181" s="11" t="inlineStr">
        <is>
          <t>Sphyraena</t>
        </is>
      </c>
      <c r="D181" s="10" t="inlineStr">
        <is>
          <t>Barracudas, sennets</t>
        </is>
      </c>
      <c r="E181" s="10" t="inlineStr">
        <is>
          <t>Large pelagics (&gt;=90 cm)</t>
        </is>
      </c>
      <c r="F181" s="10" t="inlineStr">
        <is>
          <t>Perch-likes</t>
        </is>
      </c>
      <c r="G181" s="11" t="inlineStr">
        <is>
          <t>Pelagic fish (&gt; 30 cm)</t>
        </is>
      </c>
      <c r="H181" s="12" t="n">
        <v>0.7983193277310925</v>
      </c>
      <c r="I181" s="10" t="inlineStr">
        <is>
          <t>model_catch</t>
        </is>
      </c>
      <c r="J181" s="14" t="inlineStr">
        <is>
          <t>medium</t>
        </is>
      </c>
      <c r="K181" s="10" t="inlineStr">
        <is>
          <t>composite_split</t>
        </is>
      </c>
      <c r="L181" s="11" t="inlineStr">
        <is>
          <t>Analyst habitat/size inference to source &gt;30 cm pelagic fish (Appendix 6.1.24 p.339); no age data, so split juvenile/adult using the period model catch.</t>
        </is>
      </c>
      <c r="M181" s="10" t="n">
        <v>444174.863</v>
      </c>
    </row>
    <row r="182" ht="36" customHeight="1">
      <c r="A182" s="10" t="inlineStr">
        <is>
          <t>LME_036</t>
        </is>
      </c>
      <c r="B182" s="11" t="inlineStr">
        <is>
          <t>36_2_South_China_Sea_SCS-2007_Northern_South_China_Sea_(1970s)</t>
        </is>
      </c>
      <c r="C182" s="11" t="inlineStr">
        <is>
          <t>Metapenaeus</t>
        </is>
      </c>
      <c r="D182" s="10" t="inlineStr">
        <is>
          <t>Indo-Pacific prawns</t>
        </is>
      </c>
      <c r="E182" s="10" t="inlineStr">
        <is>
          <t>Shrimps</t>
        </is>
      </c>
      <c r="F182" s="10" t="inlineStr">
        <is>
          <t>Crustaceans</t>
        </is>
      </c>
      <c r="G182" s="11" t="inlineStr">
        <is>
          <t>Shrimps</t>
        </is>
      </c>
      <c r="H182" s="12" t="n">
        <v>1</v>
      </c>
      <c r="I182" s="10" t="inlineStr">
        <is>
          <t>single</t>
        </is>
      </c>
      <c r="J182" s="15" t="inlineStr">
        <is>
          <t>high</t>
        </is>
      </c>
      <c r="K182" s="10" t="inlineStr">
        <is>
          <t>taxonomic_containment</t>
        </is>
      </c>
      <c r="L182" s="11" t="inlineStr">
        <is>
          <t>Stomatopods belong to the residual benthic crustaceans; other shrimp taxa belong to Shrimps after the explicitly separated Acetes records (Appendix 6.1 pp.323-326).</t>
        </is>
      </c>
      <c r="M182" s="10" t="n">
        <v>443125.392</v>
      </c>
    </row>
    <row r="183" ht="51" customHeight="1">
      <c r="A183" s="10" t="inlineStr">
        <is>
          <t>LME_036</t>
        </is>
      </c>
      <c r="B183" s="11" t="inlineStr">
        <is>
          <t>36_2_South_China_Sea_SCS-2007_Northern_South_China_Sea_(1970s)</t>
        </is>
      </c>
      <c r="C183" s="11" t="inlineStr">
        <is>
          <t>Pennahia</t>
        </is>
      </c>
      <c r="D183" s="10" t="inlineStr">
        <is>
          <t>Pennah croakers</t>
        </is>
      </c>
      <c r="E183" s="10" t="inlineStr">
        <is>
          <t>Medium benthopelagics (30 - 89 cm)</t>
        </is>
      </c>
      <c r="F183" s="10" t="inlineStr">
        <is>
          <t>Perch-likes</t>
        </is>
      </c>
      <c r="G183" s="11" t="inlineStr">
        <is>
          <t>Croakers (≤ 30 cm)</t>
        </is>
      </c>
      <c r="H183" s="12" t="n">
        <v>1</v>
      </c>
      <c r="I183" s="10" t="inlineStr">
        <is>
          <t>single</t>
        </is>
      </c>
      <c r="J183" s="15" t="inlineStr">
        <is>
          <t>high</t>
        </is>
      </c>
      <c r="K183" s="10" t="inlineStr">
        <is>
          <t>explicit_member</t>
        </is>
      </c>
      <c r="L183" s="11" t="inlineStr">
        <is>
          <t>Appendix 6.1 pp.327-335 defines Croakers (≤ 30 cm) by this family or explicitly names Pennahia; dedicated source placement overrides the SAU class Medium benthopelagics (30 - 89 cm).</t>
        </is>
      </c>
      <c r="M183" s="10" t="n">
        <v>433578.719</v>
      </c>
    </row>
    <row r="184" ht="51" customHeight="1">
      <c r="A184" s="10" t="inlineStr">
        <is>
          <t>LME_036</t>
        </is>
      </c>
      <c r="B184" s="11" t="inlineStr">
        <is>
          <t>36_2_South_China_Sea_SCS-2007_Northern_South_China_Sea_(1970s)</t>
        </is>
      </c>
      <c r="C184" s="11" t="inlineStr">
        <is>
          <t>Selar crumenophthalmus</t>
        </is>
      </c>
      <c r="D184" s="10" t="inlineStr">
        <is>
          <t>Bigeye scad</t>
        </is>
      </c>
      <c r="E184" s="10" t="inlineStr">
        <is>
          <t>Medium pelagics (30 - 89 cm)</t>
        </is>
      </c>
      <c r="F184" s="10" t="inlineStr">
        <is>
          <t>Perch-likes</t>
        </is>
      </c>
      <c r="G184" s="11" t="inlineStr">
        <is>
          <t>Juvenile large pelagic fish</t>
        </is>
      </c>
      <c r="H184" s="12" t="n">
        <v>0.2016806722689076</v>
      </c>
      <c r="I184" s="10" t="inlineStr">
        <is>
          <t>model_catch</t>
        </is>
      </c>
      <c r="J184" s="14" t="inlineStr">
        <is>
          <t>medium</t>
        </is>
      </c>
      <c r="K184" s="10" t="inlineStr">
        <is>
          <t>composite_split</t>
        </is>
      </c>
      <c r="L184" s="11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184" s="10" t="n">
        <v>421913.755</v>
      </c>
    </row>
    <row r="185" ht="51" customHeight="1">
      <c r="A185" s="10" t="inlineStr">
        <is>
          <t>LME_036</t>
        </is>
      </c>
      <c r="B185" s="11" t="inlineStr">
        <is>
          <t>36_2_South_China_Sea_SCS-2007_Northern_South_China_Sea_(1970s)</t>
        </is>
      </c>
      <c r="C185" s="11" t="inlineStr">
        <is>
          <t>Selar crumenophthalmus</t>
        </is>
      </c>
      <c r="D185" s="10" t="inlineStr">
        <is>
          <t>Bigeye scad</t>
        </is>
      </c>
      <c r="E185" s="10" t="inlineStr">
        <is>
          <t>Medium pelagics (30 - 89 cm)</t>
        </is>
      </c>
      <c r="F185" s="10" t="inlineStr">
        <is>
          <t>Perch-likes</t>
        </is>
      </c>
      <c r="G185" s="11" t="inlineStr">
        <is>
          <t>Pelagic fish (&gt; 30 cm)</t>
        </is>
      </c>
      <c r="H185" s="12" t="n">
        <v>0.7983193277310925</v>
      </c>
      <c r="I185" s="10" t="inlineStr">
        <is>
          <t>model_catch</t>
        </is>
      </c>
      <c r="J185" s="14" t="inlineStr">
        <is>
          <t>medium</t>
        </is>
      </c>
      <c r="K185" s="10" t="inlineStr">
        <is>
          <t>composite_split</t>
        </is>
      </c>
      <c r="L185" s="11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185" s="10" t="n">
        <v>421913.755</v>
      </c>
    </row>
    <row r="186" ht="36" customHeight="1">
      <c r="A186" s="10" t="inlineStr">
        <is>
          <t>LME_036</t>
        </is>
      </c>
      <c r="B186" s="11" t="inlineStr">
        <is>
          <t>36_2_South_China_Sea_SCS-2007_Northern_South_China_Sea_(1970s)</t>
        </is>
      </c>
      <c r="C186" s="11" t="inlineStr">
        <is>
          <t>Penaeus</t>
        </is>
      </c>
      <c r="D186" s="10" t="inlineStr">
        <is>
          <t>Tiger prawns</t>
        </is>
      </c>
      <c r="E186" s="10" t="inlineStr">
        <is>
          <t>Shrimps</t>
        </is>
      </c>
      <c r="F186" s="10" t="inlineStr">
        <is>
          <t>Crustaceans</t>
        </is>
      </c>
      <c r="G186" s="11" t="inlineStr">
        <is>
          <t>Shrimps</t>
        </is>
      </c>
      <c r="H186" s="12" t="n">
        <v>1</v>
      </c>
      <c r="I186" s="10" t="inlineStr">
        <is>
          <t>single</t>
        </is>
      </c>
      <c r="J186" s="15" t="inlineStr">
        <is>
          <t>high</t>
        </is>
      </c>
      <c r="K186" s="10" t="inlineStr">
        <is>
          <t>taxonomic_containment</t>
        </is>
      </c>
      <c r="L186" s="11" t="inlineStr">
        <is>
          <t>Stomatopods belong to the residual benthic crustaceans; other shrimp taxa belong to Shrimps after the explicitly separated Acetes records (Appendix 6.1 pp.323-326).</t>
        </is>
      </c>
      <c r="M186" s="10" t="n">
        <v>403968.297</v>
      </c>
    </row>
    <row r="187" ht="36" customHeight="1">
      <c r="A187" s="10" t="inlineStr">
        <is>
          <t>LME_036</t>
        </is>
      </c>
      <c r="B187" s="11" t="inlineStr">
        <is>
          <t>36_2_South_China_Sea_SCS-2007_Northern_South_China_Sea_(1970s)</t>
        </is>
      </c>
      <c r="C187" s="11" t="inlineStr">
        <is>
          <t>Himantura</t>
        </is>
      </c>
      <c r="D187" s="10" t="inlineStr">
        <is>
          <t>Whiprays</t>
        </is>
      </c>
      <c r="E187" s="10" t="inlineStr">
        <is>
          <t>Large rays (&gt;=90 cm)</t>
        </is>
      </c>
      <c r="F187" s="10" t="inlineStr">
        <is>
          <t>Sharks &amp; rays</t>
        </is>
      </c>
      <c r="G187" s="11" t="inlineStr">
        <is>
          <t>Demersal sharks and rays</t>
        </is>
      </c>
      <c r="H187" s="12" t="n">
        <v>1</v>
      </c>
      <c r="I187" s="10" t="inlineStr">
        <is>
          <t>single</t>
        </is>
      </c>
      <c r="J187" s="14" t="inlineStr">
        <is>
          <t>medium</t>
        </is>
      </c>
      <c r="K187" s="10" t="inlineStr">
        <is>
          <t>habitat_size_guild</t>
        </is>
      </c>
      <c r="L187" s="11" t="inlineStr">
        <is>
          <t>Demersal/benthic ray or houndshark lineage matches the demersal elasmobranch definition, Appendix 6.1.25 p.340; species placement is analyst inference.</t>
        </is>
      </c>
      <c r="M187" s="10" t="n">
        <v>379841.387</v>
      </c>
    </row>
    <row r="188" ht="51" customHeight="1">
      <c r="A188" s="10" t="inlineStr">
        <is>
          <t>LME_036</t>
        </is>
      </c>
      <c r="B188" s="11" t="inlineStr">
        <is>
          <t>36_2_South_China_Sea_SCS-2007_Northern_South_China_Sea_(1970s)</t>
        </is>
      </c>
      <c r="C188" s="11" t="inlineStr">
        <is>
          <t>Menidae</t>
        </is>
      </c>
      <c r="D188" s="10" t="inlineStr">
        <is>
          <t>Moonfishes</t>
        </is>
      </c>
      <c r="E188" s="10" t="inlineStr">
        <is>
          <t>Medium reef assoc. fish (30 - 89 cm)</t>
        </is>
      </c>
      <c r="F188" s="10" t="inlineStr">
        <is>
          <t>Perch-likes</t>
        </is>
      </c>
      <c r="G188" s="11" t="inlineStr">
        <is>
          <t>Benthopelagic fish</t>
        </is>
      </c>
      <c r="H188" s="12" t="n">
        <v>1</v>
      </c>
      <c r="I188" s="10" t="inlineStr">
        <is>
          <t>single</t>
        </is>
      </c>
      <c r="J188" s="13" t="inlineStr">
        <is>
          <t>low</t>
        </is>
      </c>
      <c r="K188" s="10" t="inlineStr">
        <is>
          <t>habitat_size_guild</t>
        </is>
      </c>
      <c r="L188" s="11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  <c r="M188" s="10" t="n">
        <v>371399.477</v>
      </c>
    </row>
    <row r="189" ht="51" customHeight="1">
      <c r="A189" s="10" t="inlineStr">
        <is>
          <t>LME_036</t>
        </is>
      </c>
      <c r="B189" s="11" t="inlineStr">
        <is>
          <t>36_2_South_China_Sea_SCS-2007_Northern_South_China_Sea_(1970s)</t>
        </is>
      </c>
      <c r="C189" s="11" t="inlineStr">
        <is>
          <t>Scolopsis</t>
        </is>
      </c>
      <c r="D189" s="10" t="inlineStr">
        <is>
          <t>Monocle breams</t>
        </is>
      </c>
      <c r="E189" s="10" t="inlineStr">
        <is>
          <t>Small reef assoc. fish (&lt;30 cm)</t>
        </is>
      </c>
      <c r="F189" s="10" t="inlineStr">
        <is>
          <t>Perch-likes</t>
        </is>
      </c>
      <c r="G189" s="11" t="inlineStr">
        <is>
          <t>Threadfin bream (nemipterids)</t>
        </is>
      </c>
      <c r="H189" s="12" t="n">
        <v>1</v>
      </c>
      <c r="I189" s="10" t="inlineStr">
        <is>
          <t>single</t>
        </is>
      </c>
      <c r="J189" s="15" t="inlineStr">
        <is>
          <t>high</t>
        </is>
      </c>
      <c r="K189" s="10" t="inlineStr">
        <is>
          <t>taxonomic_containment</t>
        </is>
      </c>
      <c r="L189" s="11" t="inlineStr">
        <is>
          <t>Appendix 6.1 pp.327-335 defines Threadfin bream (nemipterids) by this family or explicitly names Scolopsis; dedicated source placement overrides the SAU class Small reef assoc. fish (&lt;30 cm).</t>
        </is>
      </c>
      <c r="M189" s="10" t="n">
        <v>364074.701</v>
      </c>
    </row>
    <row r="190" ht="51" customHeight="1">
      <c r="A190" s="10" t="inlineStr">
        <is>
          <t>LME_036</t>
        </is>
      </c>
      <c r="B190" s="11" t="inlineStr">
        <is>
          <t>36_2_South_China_Sea_SCS-2007_Northern_South_China_Sea_(1970s)</t>
        </is>
      </c>
      <c r="C190" s="11" t="inlineStr">
        <is>
          <t>Siganus</t>
        </is>
      </c>
      <c r="D190" s="10" t="inlineStr">
        <is>
          <t>Spinefoots</t>
        </is>
      </c>
      <c r="E190" s="10" t="inlineStr">
        <is>
          <t>Medium reef assoc. fish (30 - 89 cm)</t>
        </is>
      </c>
      <c r="F190" s="10" t="inlineStr">
        <is>
          <t>Perch-likes</t>
        </is>
      </c>
      <c r="G190" s="11" t="inlineStr">
        <is>
          <t>Juvenile demersal fish (&gt; 30 cm)</t>
        </is>
      </c>
      <c r="H190" s="12" t="n">
        <v>0.2002781641168289</v>
      </c>
      <c r="I190" s="10" t="inlineStr">
        <is>
          <t>model_catch</t>
        </is>
      </c>
      <c r="J190" s="14" t="inlineStr">
        <is>
          <t>medium</t>
        </is>
      </c>
      <c r="K190" s="10" t="inlineStr">
        <is>
          <t>composite_split</t>
        </is>
      </c>
      <c r="L190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190" s="10" t="n">
        <v>362007.933</v>
      </c>
    </row>
    <row r="191" ht="51" customHeight="1">
      <c r="A191" s="10" t="inlineStr">
        <is>
          <t>LME_036</t>
        </is>
      </c>
      <c r="B191" s="11" t="inlineStr">
        <is>
          <t>36_2_South_China_Sea_SCS-2007_Northern_South_China_Sea_(1970s)</t>
        </is>
      </c>
      <c r="C191" s="11" t="inlineStr">
        <is>
          <t>Siganus</t>
        </is>
      </c>
      <c r="D191" s="10" t="inlineStr">
        <is>
          <t>Spinefoots</t>
        </is>
      </c>
      <c r="E191" s="10" t="inlineStr">
        <is>
          <t>Medium reef assoc. fish (30 - 89 cm)</t>
        </is>
      </c>
      <c r="F191" s="10" t="inlineStr">
        <is>
          <t>Perch-likes</t>
        </is>
      </c>
      <c r="G191" s="11" t="inlineStr">
        <is>
          <t>Adult demersal fish (&gt; 30 cm)</t>
        </is>
      </c>
      <c r="H191" s="12" t="n">
        <v>0.799721835883171</v>
      </c>
      <c r="I191" s="10" t="inlineStr">
        <is>
          <t>model_catch</t>
        </is>
      </c>
      <c r="J191" s="14" t="inlineStr">
        <is>
          <t>medium</t>
        </is>
      </c>
      <c r="K191" s="10" t="inlineStr">
        <is>
          <t>composite_split</t>
        </is>
      </c>
      <c r="L191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191" s="10" t="n">
        <v>362007.933</v>
      </c>
    </row>
    <row r="192" ht="51" customHeight="1">
      <c r="A192" s="10" t="inlineStr">
        <is>
          <t>LME_036</t>
        </is>
      </c>
      <c r="B192" s="11" t="inlineStr">
        <is>
          <t>36_2_South_China_Sea_SCS-2007_Northern_South_China_Sea_(1970s)</t>
        </is>
      </c>
      <c r="C192" s="11" t="inlineStr">
        <is>
          <t>Pagrus auratus</t>
        </is>
      </c>
      <c r="D192" s="10" t="inlineStr">
        <is>
          <t>Silver seabream</t>
        </is>
      </c>
      <c r="E192" s="10" t="inlineStr">
        <is>
          <t>Large demersals (&gt;=90 cm)</t>
        </is>
      </c>
      <c r="F192" s="10" t="inlineStr">
        <is>
          <t>Perch-likes</t>
        </is>
      </c>
      <c r="G192" s="11" t="inlineStr">
        <is>
          <t>Juvenile demersal fish (&gt; 30 cm)</t>
        </is>
      </c>
      <c r="H192" s="12" t="n">
        <v>0.2002781641168289</v>
      </c>
      <c r="I192" s="10" t="inlineStr">
        <is>
          <t>model_catch</t>
        </is>
      </c>
      <c r="J192" s="14" t="inlineStr">
        <is>
          <t>medium</t>
        </is>
      </c>
      <c r="K192" s="10" t="inlineStr">
        <is>
          <t>composite_split</t>
        </is>
      </c>
      <c r="L192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192" s="10" t="n">
        <v>354062.162</v>
      </c>
    </row>
    <row r="193" ht="51" customHeight="1">
      <c r="A193" s="10" t="inlineStr">
        <is>
          <t>LME_036</t>
        </is>
      </c>
      <c r="B193" s="11" t="inlineStr">
        <is>
          <t>36_2_South_China_Sea_SCS-2007_Northern_South_China_Sea_(1970s)</t>
        </is>
      </c>
      <c r="C193" s="11" t="inlineStr">
        <is>
          <t>Pagrus auratus</t>
        </is>
      </c>
      <c r="D193" s="10" t="inlineStr">
        <is>
          <t>Silver seabream</t>
        </is>
      </c>
      <c r="E193" s="10" t="inlineStr">
        <is>
          <t>Large demersals (&gt;=90 cm)</t>
        </is>
      </c>
      <c r="F193" s="10" t="inlineStr">
        <is>
          <t>Perch-likes</t>
        </is>
      </c>
      <c r="G193" s="11" t="inlineStr">
        <is>
          <t>Adult demersal fish (&gt; 30 cm)</t>
        </is>
      </c>
      <c r="H193" s="12" t="n">
        <v>0.799721835883171</v>
      </c>
      <c r="I193" s="10" t="inlineStr">
        <is>
          <t>model_catch</t>
        </is>
      </c>
      <c r="J193" s="14" t="inlineStr">
        <is>
          <t>medium</t>
        </is>
      </c>
      <c r="K193" s="10" t="inlineStr">
        <is>
          <t>composite_split</t>
        </is>
      </c>
      <c r="L193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193" s="10" t="n">
        <v>354062.162</v>
      </c>
    </row>
    <row r="194" ht="51" customHeight="1">
      <c r="A194" s="10" t="inlineStr">
        <is>
          <t>LME_036</t>
        </is>
      </c>
      <c r="B194" s="11" t="inlineStr">
        <is>
          <t>36_2_South_China_Sea_SCS-2007_Northern_South_China_Sea_(1970s)</t>
        </is>
      </c>
      <c r="C194" s="11" t="inlineStr">
        <is>
          <t>Nemipterus hexodon</t>
        </is>
      </c>
      <c r="D194" s="10" t="inlineStr">
        <is>
          <t>Ornate threadfin bream</t>
        </is>
      </c>
      <c r="E194" s="10" t="inlineStr">
        <is>
          <t>Small demersals (&lt;30 cm)</t>
        </is>
      </c>
      <c r="F194" s="10" t="inlineStr">
        <is>
          <t>Perch-likes</t>
        </is>
      </c>
      <c r="G194" s="11" t="inlineStr">
        <is>
          <t>Threadfin bream (nemipterids)</t>
        </is>
      </c>
      <c r="H194" s="12" t="n">
        <v>1</v>
      </c>
      <c r="I194" s="10" t="inlineStr">
        <is>
          <t>single</t>
        </is>
      </c>
      <c r="J194" s="15" t="inlineStr">
        <is>
          <t>high</t>
        </is>
      </c>
      <c r="K194" s="10" t="inlineStr">
        <is>
          <t>taxonomic_containment</t>
        </is>
      </c>
      <c r="L194" s="11" t="inlineStr">
        <is>
          <t>Appendix 6.1 pp.327-335 defines Threadfin bream (nemipterids) by this family or explicitly names Nemipterus hexodon; dedicated source placement overrides the SAU class Small demersals (&lt;30 cm).</t>
        </is>
      </c>
      <c r="M194" s="10" t="n">
        <v>353362.395</v>
      </c>
    </row>
    <row r="195" ht="36" customHeight="1">
      <c r="A195" s="10" t="inlineStr">
        <is>
          <t>LME_036</t>
        </is>
      </c>
      <c r="B195" s="11" t="inlineStr">
        <is>
          <t>36_2_South_China_Sea_SCS-2007_Northern_South_China_Sea_(1970s)</t>
        </is>
      </c>
      <c r="C195" s="11" t="inlineStr">
        <is>
          <t>Penaeus penicillatus</t>
        </is>
      </c>
      <c r="D195" s="10" t="inlineStr">
        <is>
          <t>Redtail prawn</t>
        </is>
      </c>
      <c r="E195" s="10" t="inlineStr">
        <is>
          <t>Shrimps</t>
        </is>
      </c>
      <c r="F195" s="10" t="inlineStr">
        <is>
          <t>Crustaceans</t>
        </is>
      </c>
      <c r="G195" s="11" t="inlineStr">
        <is>
          <t>Shrimps</t>
        </is>
      </c>
      <c r="H195" s="12" t="n">
        <v>1</v>
      </c>
      <c r="I195" s="10" t="inlineStr">
        <is>
          <t>single</t>
        </is>
      </c>
      <c r="J195" s="15" t="inlineStr">
        <is>
          <t>high</t>
        </is>
      </c>
      <c r="K195" s="10" t="inlineStr">
        <is>
          <t>taxonomic_containment</t>
        </is>
      </c>
      <c r="L195" s="11" t="inlineStr">
        <is>
          <t>Stomatopods belong to the residual benthic crustaceans; other shrimp taxa belong to Shrimps after the explicitly separated Acetes records (Appendix 6.1 pp.323-326).</t>
        </is>
      </c>
      <c r="M195" s="10" t="n">
        <v>343865.889</v>
      </c>
    </row>
    <row r="196" ht="36" customHeight="1">
      <c r="A196" s="10" t="inlineStr">
        <is>
          <t>LME_036</t>
        </is>
      </c>
      <c r="B196" s="11" t="inlineStr">
        <is>
          <t>36_2_South_China_Sea_SCS-2007_Northern_South_China_Sea_(1970s)</t>
        </is>
      </c>
      <c r="C196" s="11" t="inlineStr">
        <is>
          <t>Thunnus obesus</t>
        </is>
      </c>
      <c r="D196" s="10" t="inlineStr">
        <is>
          <t>Bigeye tuna</t>
        </is>
      </c>
      <c r="E196" s="10" t="inlineStr">
        <is>
          <t>Large pelagics (&gt;=90 cm)</t>
        </is>
      </c>
      <c r="F196" s="10" t="inlineStr">
        <is>
          <t>Tuna &amp; billfishes</t>
        </is>
      </c>
      <c r="G196" s="11" t="inlineStr">
        <is>
          <t>Juvenile large pelagic fish</t>
        </is>
      </c>
      <c r="H196" s="12" t="n">
        <v>0.2016806722689076</v>
      </c>
      <c r="I196" s="10" t="inlineStr">
        <is>
          <t>model_catch</t>
        </is>
      </c>
      <c r="J196" s="14" t="inlineStr">
        <is>
          <t>medium</t>
        </is>
      </c>
      <c r="K196" s="10" t="inlineStr">
        <is>
          <t>composite_split</t>
        </is>
      </c>
      <c r="L196" s="11" t="inlineStr">
        <is>
          <t>Analyst habitat/size inference to source &gt;30 cm pelagic fish (Appendix 6.1.24 p.339); no age data, so split juvenile/adult using the period model catch.</t>
        </is>
      </c>
      <c r="M196" s="10" t="n">
        <v>339239.903</v>
      </c>
    </row>
    <row r="197" ht="36" customHeight="1">
      <c r="A197" s="10" t="inlineStr">
        <is>
          <t>LME_036</t>
        </is>
      </c>
      <c r="B197" s="11" t="inlineStr">
        <is>
          <t>36_2_South_China_Sea_SCS-2007_Northern_South_China_Sea_(1970s)</t>
        </is>
      </c>
      <c r="C197" s="11" t="inlineStr">
        <is>
          <t>Thunnus obesus</t>
        </is>
      </c>
      <c r="D197" s="10" t="inlineStr">
        <is>
          <t>Bigeye tuna</t>
        </is>
      </c>
      <c r="E197" s="10" t="inlineStr">
        <is>
          <t>Large pelagics (&gt;=90 cm)</t>
        </is>
      </c>
      <c r="F197" s="10" t="inlineStr">
        <is>
          <t>Tuna &amp; billfishes</t>
        </is>
      </c>
      <c r="G197" s="11" t="inlineStr">
        <is>
          <t>Pelagic fish (&gt; 30 cm)</t>
        </is>
      </c>
      <c r="H197" s="12" t="n">
        <v>0.7983193277310925</v>
      </c>
      <c r="I197" s="10" t="inlineStr">
        <is>
          <t>model_catch</t>
        </is>
      </c>
      <c r="J197" s="14" t="inlineStr">
        <is>
          <t>medium</t>
        </is>
      </c>
      <c r="K197" s="10" t="inlineStr">
        <is>
          <t>composite_split</t>
        </is>
      </c>
      <c r="L197" s="11" t="inlineStr">
        <is>
          <t>Analyst habitat/size inference to source &gt;30 cm pelagic fish (Appendix 6.1.24 p.339); no age data, so split juvenile/adult using the period model catch.</t>
        </is>
      </c>
      <c r="M197" s="10" t="n">
        <v>339239.903</v>
      </c>
    </row>
    <row r="198" ht="51" customHeight="1">
      <c r="A198" s="10" t="inlineStr">
        <is>
          <t>LME_036</t>
        </is>
      </c>
      <c r="B198" s="11" t="inlineStr">
        <is>
          <t>36_2_South_China_Sea_SCS-2007_Northern_South_China_Sea_(1970s)</t>
        </is>
      </c>
      <c r="C198" s="11" t="inlineStr">
        <is>
          <t>Muraenesocidae</t>
        </is>
      </c>
      <c r="D198" s="10" t="inlineStr">
        <is>
          <t>Pike congers</t>
        </is>
      </c>
      <c r="E198" s="10" t="inlineStr">
        <is>
          <t>Large demersals (&gt;=90 cm)</t>
        </is>
      </c>
      <c r="F198" s="10" t="inlineStr">
        <is>
          <t>Other fishes &amp; inverts</t>
        </is>
      </c>
      <c r="G198" s="11" t="inlineStr">
        <is>
          <t>Juvenile demersal fish (&gt; 30 cm)</t>
        </is>
      </c>
      <c r="H198" s="12" t="n">
        <v>0.2002781641168289</v>
      </c>
      <c r="I198" s="10" t="inlineStr">
        <is>
          <t>model_catch</t>
        </is>
      </c>
      <c r="J198" s="14" t="inlineStr">
        <is>
          <t>medium</t>
        </is>
      </c>
      <c r="K198" s="10" t="inlineStr">
        <is>
          <t>composite_split</t>
        </is>
      </c>
      <c r="L198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198" s="10" t="n">
        <v>332602.937</v>
      </c>
    </row>
    <row r="199" ht="51" customHeight="1">
      <c r="A199" s="10" t="inlineStr">
        <is>
          <t>LME_036</t>
        </is>
      </c>
      <c r="B199" s="11" t="inlineStr">
        <is>
          <t>36_2_South_China_Sea_SCS-2007_Northern_South_China_Sea_(1970s)</t>
        </is>
      </c>
      <c r="C199" s="11" t="inlineStr">
        <is>
          <t>Muraenesocidae</t>
        </is>
      </c>
      <c r="D199" s="10" t="inlineStr">
        <is>
          <t>Pike congers</t>
        </is>
      </c>
      <c r="E199" s="10" t="inlineStr">
        <is>
          <t>Large demersals (&gt;=90 cm)</t>
        </is>
      </c>
      <c r="F199" s="10" t="inlineStr">
        <is>
          <t>Other fishes &amp; inverts</t>
        </is>
      </c>
      <c r="G199" s="11" t="inlineStr">
        <is>
          <t>Adult demersal fish (&gt; 30 cm)</t>
        </is>
      </c>
      <c r="H199" s="12" t="n">
        <v>0.799721835883171</v>
      </c>
      <c r="I199" s="10" t="inlineStr">
        <is>
          <t>model_catch</t>
        </is>
      </c>
      <c r="J199" s="14" t="inlineStr">
        <is>
          <t>medium</t>
        </is>
      </c>
      <c r="K199" s="10" t="inlineStr">
        <is>
          <t>composite_split</t>
        </is>
      </c>
      <c r="L199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199" s="10" t="n">
        <v>332602.937</v>
      </c>
    </row>
    <row r="200" ht="51" customHeight="1">
      <c r="A200" s="10" t="inlineStr">
        <is>
          <t>LME_036</t>
        </is>
      </c>
      <c r="B200" s="11" t="inlineStr">
        <is>
          <t>36_2_South_China_Sea_SCS-2007_Northern_South_China_Sea_(1970s)</t>
        </is>
      </c>
      <c r="C200" s="11" t="inlineStr">
        <is>
          <t>Dussumieria acuta</t>
        </is>
      </c>
      <c r="D200" s="10" t="inlineStr">
        <is>
          <t>Rainbow sardine</t>
        </is>
      </c>
      <c r="E200" s="10" t="inlineStr">
        <is>
          <t>Small pelagics (&lt;30 cm)</t>
        </is>
      </c>
      <c r="F200" s="10" t="inlineStr">
        <is>
          <t>Herring-likes</t>
        </is>
      </c>
      <c r="G200" s="11" t="inlineStr">
        <is>
          <t>Pelagic fish (≤ 30 cm)</t>
        </is>
      </c>
      <c r="H200" s="12" t="n">
        <v>1</v>
      </c>
      <c r="I200" s="10" t="inlineStr">
        <is>
          <t>single</t>
        </is>
      </c>
      <c r="J200" s="14" t="inlineStr">
        <is>
          <t>medium</t>
        </is>
      </c>
      <c r="K200" s="10" t="inlineStr">
        <is>
          <t>habitat_size_guild</t>
        </is>
      </c>
      <c r="L200" s="11" t="inlineStr">
        <is>
          <t>Source small-pelagic pool explicitly includes sardines, thryssa and anchovies (Appendix 6.1.23 p.338); extension to the catch lineage uses SAU size as a proxy and is not a full species list.</t>
        </is>
      </c>
      <c r="M200" s="10" t="n">
        <v>321622.662</v>
      </c>
    </row>
    <row r="201" ht="51" customHeight="1">
      <c r="A201" s="10" t="inlineStr">
        <is>
          <t>LME_036</t>
        </is>
      </c>
      <c r="B201" s="11" t="inlineStr">
        <is>
          <t>36_2_South_China_Sea_SCS-2007_Northern_South_China_Sea_(1970s)</t>
        </is>
      </c>
      <c r="C201" s="11" t="inlineStr">
        <is>
          <t>Pennahia argentata</t>
        </is>
      </c>
      <c r="D201" s="10" t="inlineStr">
        <is>
          <t>Silver croaker</t>
        </is>
      </c>
      <c r="E201" s="10" t="inlineStr">
        <is>
          <t>Medium benthopelagics (30 - 89 cm)</t>
        </is>
      </c>
      <c r="F201" s="10" t="inlineStr">
        <is>
          <t>Perch-likes</t>
        </is>
      </c>
      <c r="G201" s="11" t="inlineStr">
        <is>
          <t>Croakers (≤ 30 cm)</t>
        </is>
      </c>
      <c r="H201" s="12" t="n">
        <v>1</v>
      </c>
      <c r="I201" s="10" t="inlineStr">
        <is>
          <t>single</t>
        </is>
      </c>
      <c r="J201" s="15" t="inlineStr">
        <is>
          <t>high</t>
        </is>
      </c>
      <c r="K201" s="10" t="inlineStr">
        <is>
          <t>explicit_member</t>
        </is>
      </c>
      <c r="L201" s="11" t="inlineStr">
        <is>
          <t>Appendix 6.1 pp.327-335 defines Croakers (≤ 30 cm) by this family or explicitly names Pennahia argentata; dedicated source placement overrides the SAU class Medium benthopelagics (30 - 89 cm).</t>
        </is>
      </c>
      <c r="M201" s="10" t="n">
        <v>317044.811</v>
      </c>
    </row>
    <row r="202" ht="36" customHeight="1">
      <c r="A202" s="10" t="inlineStr">
        <is>
          <t>LME_036</t>
        </is>
      </c>
      <c r="B202" s="11" t="inlineStr">
        <is>
          <t>36_2_South_China_Sea_SCS-2007_Northern_South_China_Sea_(1970s)</t>
        </is>
      </c>
      <c r="C202" s="11" t="inlineStr">
        <is>
          <t>Stephanolepis cirrhifer</t>
        </is>
      </c>
      <c r="D202" s="10" t="inlineStr">
        <is>
          <t>Threadsail filefish</t>
        </is>
      </c>
      <c r="E202" s="10" t="inlineStr">
        <is>
          <t>Small demersals (&lt;30 cm)</t>
        </is>
      </c>
      <c r="F202" s="10" t="inlineStr">
        <is>
          <t>Other fishes &amp; inverts</t>
        </is>
      </c>
      <c r="G202" s="11" t="inlineStr">
        <is>
          <t>Demesral fish (≤ 30 cm)</t>
        </is>
      </c>
      <c r="H202" s="12" t="n">
        <v>1</v>
      </c>
      <c r="I202" s="10" t="inlineStr">
        <is>
          <t>single</t>
        </is>
      </c>
      <c r="J202" s="14" t="inlineStr">
        <is>
          <t>medium</t>
        </is>
      </c>
      <c r="K202" s="10" t="inlineStr">
        <is>
          <t>habitat_size_guild</t>
        </is>
      </c>
      <c r="L202" s="11" t="inlineStr">
        <is>
          <t>Analyst habitat/size inference: small demersal or reef-associated fish after excluding dedicated taxonomic groups, matching Appendix 6.1.19 &lt;=30 cm residual demersal pool.</t>
        </is>
      </c>
      <c r="M202" s="10" t="n">
        <v>314941.948</v>
      </c>
    </row>
    <row r="203" ht="51" customHeight="1">
      <c r="A203" s="10" t="inlineStr">
        <is>
          <t>LME_036</t>
        </is>
      </c>
      <c r="B203" s="11" t="inlineStr">
        <is>
          <t>36_2_South_China_Sea_SCS-2007_Northern_South_China_Sea_(1970s)</t>
        </is>
      </c>
      <c r="C203" s="11" t="inlineStr">
        <is>
          <t>Stromateidae</t>
        </is>
      </c>
      <c r="D203" s="10" t="inlineStr">
        <is>
          <t>Butterfishes</t>
        </is>
      </c>
      <c r="E203" s="10" t="inlineStr">
        <is>
          <t>Small benthopelagics (&lt;30 cm)</t>
        </is>
      </c>
      <c r="F203" s="10" t="inlineStr">
        <is>
          <t>Perch-likes</t>
        </is>
      </c>
      <c r="G203" s="11" t="inlineStr">
        <is>
          <t>Pomfret (stromateids)</t>
        </is>
      </c>
      <c r="H203" s="12" t="n">
        <v>1</v>
      </c>
      <c r="I203" s="10" t="inlineStr">
        <is>
          <t>single</t>
        </is>
      </c>
      <c r="J203" s="15" t="inlineStr">
        <is>
          <t>high</t>
        </is>
      </c>
      <c r="K203" s="10" t="inlineStr">
        <is>
          <t>taxonomic_containment</t>
        </is>
      </c>
      <c r="L203" s="11" t="inlineStr">
        <is>
          <t>Appendix 6.1 pp.327-335 defines Pomfret (stromateids) by this family or explicitly names Stromateidae; dedicated source placement overrides the SAU class Small benthopelagics (&lt;30 cm).</t>
        </is>
      </c>
      <c r="M203" s="10" t="n">
        <v>314846.403</v>
      </c>
    </row>
    <row r="204" ht="36" customHeight="1">
      <c r="A204" s="10" t="inlineStr">
        <is>
          <t>LME_036</t>
        </is>
      </c>
      <c r="B204" s="11" t="inlineStr">
        <is>
          <t>36_2_South_China_Sea_SCS-2007_Northern_South_China_Sea_(1970s)</t>
        </is>
      </c>
      <c r="C204" s="11" t="inlineStr">
        <is>
          <t>Lutjanus johnii</t>
        </is>
      </c>
      <c r="D204" s="10" t="inlineStr">
        <is>
          <t>John's snapper</t>
        </is>
      </c>
      <c r="E204" s="10" t="inlineStr">
        <is>
          <t>Medium reef assoc. fish (30 - 89 cm)</t>
        </is>
      </c>
      <c r="F204" s="10" t="inlineStr">
        <is>
          <t>Perch-likes</t>
        </is>
      </c>
      <c r="G204" s="11" t="inlineStr">
        <is>
          <t>Snappers</t>
        </is>
      </c>
      <c r="H204" s="12" t="n">
        <v>1</v>
      </c>
      <c r="I204" s="10" t="inlineStr">
        <is>
          <t>single</t>
        </is>
      </c>
      <c r="J204" s="15" t="inlineStr">
        <is>
          <t>high</t>
        </is>
      </c>
      <c r="K204" s="10" t="inlineStr">
        <is>
          <t>taxonomic_containment</t>
        </is>
      </c>
      <c r="L204" s="11" t="inlineStr">
        <is>
          <t>Appendix 6.1 pp.327-335 defines Snappers by this family or explicitly names Lutjanus johnii; dedicated source placement overrides the SAU class Medium reef assoc. fish (30 - 89 cm).</t>
        </is>
      </c>
      <c r="M204" s="10" t="n">
        <v>313146.66</v>
      </c>
    </row>
    <row r="205" ht="36" customHeight="1">
      <c r="A205" s="10" t="inlineStr">
        <is>
          <t>LME_036</t>
        </is>
      </c>
      <c r="B205" s="11" t="inlineStr">
        <is>
          <t>36_2_South_China_Sea_SCS-2007_Northern_South_China_Sea_(1970s)</t>
        </is>
      </c>
      <c r="C205" s="11" t="inlineStr">
        <is>
          <t>Elagatis bipinnulata</t>
        </is>
      </c>
      <c r="D205" s="10" t="inlineStr">
        <is>
          <t>Rainbow runner</t>
        </is>
      </c>
      <c r="E205" s="10" t="inlineStr">
        <is>
          <t>Large pelagics (&gt;=90 cm)</t>
        </is>
      </c>
      <c r="F205" s="10" t="inlineStr">
        <is>
          <t>Perch-likes</t>
        </is>
      </c>
      <c r="G205" s="11" t="inlineStr">
        <is>
          <t>Juvenile large pelagic fish</t>
        </is>
      </c>
      <c r="H205" s="12" t="n">
        <v>0.2016806722689076</v>
      </c>
      <c r="I205" s="10" t="inlineStr">
        <is>
          <t>model_catch</t>
        </is>
      </c>
      <c r="J205" s="14" t="inlineStr">
        <is>
          <t>medium</t>
        </is>
      </c>
      <c r="K205" s="10" t="inlineStr">
        <is>
          <t>composite_split</t>
        </is>
      </c>
      <c r="L205" s="11" t="inlineStr">
        <is>
          <t>Analyst habitat/size inference to source &gt;30 cm pelagic fish (Appendix 6.1.24 p.339); no age data, so split juvenile/adult using the period model catch.</t>
        </is>
      </c>
      <c r="M205" s="10" t="n">
        <v>311414.499</v>
      </c>
    </row>
    <row r="206" ht="36" customHeight="1">
      <c r="A206" s="10" t="inlineStr">
        <is>
          <t>LME_036</t>
        </is>
      </c>
      <c r="B206" s="11" t="inlineStr">
        <is>
          <t>36_2_South_China_Sea_SCS-2007_Northern_South_China_Sea_(1970s)</t>
        </is>
      </c>
      <c r="C206" s="11" t="inlineStr">
        <is>
          <t>Elagatis bipinnulata</t>
        </is>
      </c>
      <c r="D206" s="10" t="inlineStr">
        <is>
          <t>Rainbow runner</t>
        </is>
      </c>
      <c r="E206" s="10" t="inlineStr">
        <is>
          <t>Large pelagics (&gt;=90 cm)</t>
        </is>
      </c>
      <c r="F206" s="10" t="inlineStr">
        <is>
          <t>Perch-likes</t>
        </is>
      </c>
      <c r="G206" s="11" t="inlineStr">
        <is>
          <t>Pelagic fish (&gt; 30 cm)</t>
        </is>
      </c>
      <c r="H206" s="12" t="n">
        <v>0.7983193277310925</v>
      </c>
      <c r="I206" s="10" t="inlineStr">
        <is>
          <t>model_catch</t>
        </is>
      </c>
      <c r="J206" s="14" t="inlineStr">
        <is>
          <t>medium</t>
        </is>
      </c>
      <c r="K206" s="10" t="inlineStr">
        <is>
          <t>composite_split</t>
        </is>
      </c>
      <c r="L206" s="11" t="inlineStr">
        <is>
          <t>Analyst habitat/size inference to source &gt;30 cm pelagic fish (Appendix 6.1.24 p.339); no age data, so split juvenile/adult using the period model catch.</t>
        </is>
      </c>
      <c r="M206" s="10" t="n">
        <v>311414.499</v>
      </c>
    </row>
    <row r="207" ht="36" customHeight="1">
      <c r="A207" s="10" t="inlineStr">
        <is>
          <t>LME_036</t>
        </is>
      </c>
      <c r="B207" s="11" t="inlineStr">
        <is>
          <t>36_2_South_China_Sea_SCS-2007_Northern_South_China_Sea_(1970s)</t>
        </is>
      </c>
      <c r="C207" s="11" t="inlineStr">
        <is>
          <t>Saurida</t>
        </is>
      </c>
      <c r="D207" s="10" t="inlineStr">
        <is>
          <t>Lizardfishes</t>
        </is>
      </c>
      <c r="E207" s="10" t="inlineStr">
        <is>
          <t>Medium demersals (30 - 89 cm)</t>
        </is>
      </c>
      <c r="F207" s="10" t="inlineStr">
        <is>
          <t>Other fishes &amp; inverts</t>
        </is>
      </c>
      <c r="G207" s="11" t="inlineStr">
        <is>
          <t>Lizard fish (synodontids)</t>
        </is>
      </c>
      <c r="H207" s="12" t="n">
        <v>1</v>
      </c>
      <c r="I207" s="10" t="inlineStr">
        <is>
          <t>single</t>
        </is>
      </c>
      <c r="J207" s="15" t="inlineStr">
        <is>
          <t>high</t>
        </is>
      </c>
      <c r="K207" s="10" t="inlineStr">
        <is>
          <t>taxonomic_containment</t>
        </is>
      </c>
      <c r="L207" s="11" t="inlineStr">
        <is>
          <t>Appendix 6.1 pp.327-335 defines Lizard fish (synodontids) by this family or explicitly names Saurida; dedicated source placement overrides the SAU class Medium demersals (30 - 89 cm).</t>
        </is>
      </c>
      <c r="M207" s="10" t="n">
        <v>306283.862</v>
      </c>
    </row>
    <row r="208" ht="36" customHeight="1">
      <c r="A208" s="10" t="inlineStr">
        <is>
          <t>LME_036</t>
        </is>
      </c>
      <c r="B208" s="11" t="inlineStr">
        <is>
          <t>36_2_South_China_Sea_SCS-2007_Northern_South_China_Sea_(1970s)</t>
        </is>
      </c>
      <c r="C208" s="11" t="inlineStr">
        <is>
          <t>Serranidae</t>
        </is>
      </c>
      <c r="D208" s="10" t="inlineStr">
        <is>
          <t>Basses, groupers, hinds</t>
        </is>
      </c>
      <c r="E208" s="10" t="inlineStr">
        <is>
          <t>Medium reef assoc. fish (30 - 89 cm)</t>
        </is>
      </c>
      <c r="F208" s="10" t="inlineStr">
        <is>
          <t>Perch-likes</t>
        </is>
      </c>
      <c r="G208" s="11" t="inlineStr">
        <is>
          <t>Adult groupers</t>
        </is>
      </c>
      <c r="H208" s="12" t="n">
        <v>1</v>
      </c>
      <c r="I208" s="10" t="inlineStr">
        <is>
          <t>single</t>
        </is>
      </c>
      <c r="J208" s="15" t="inlineStr">
        <is>
          <t>high</t>
        </is>
      </c>
      <c r="K208" s="10" t="inlineStr">
        <is>
          <t>taxonomic_containment</t>
        </is>
      </c>
      <c r="L208" s="11" t="inlineStr">
        <is>
          <t>Appendix 6.1 pp.327-335 defines Adult groupers by this family or explicitly names Serranidae; dedicated source placement overrides the SAU class Medium reef assoc. fish (30 - 89 cm).</t>
        </is>
      </c>
      <c r="M208" s="10" t="n">
        <v>301377.47</v>
      </c>
    </row>
    <row r="209" ht="36" customHeight="1">
      <c r="A209" s="10" t="inlineStr">
        <is>
          <t>LME_036</t>
        </is>
      </c>
      <c r="B209" s="11" t="inlineStr">
        <is>
          <t>36_2_South_China_Sea_SCS-2007_Northern_South_China_Sea_(1970s)</t>
        </is>
      </c>
      <c r="C209" s="11" t="inlineStr">
        <is>
          <t>Tegillarca granosa</t>
        </is>
      </c>
      <c r="D209" s="10" t="inlineStr">
        <is>
          <t>Granular ark</t>
        </is>
      </c>
      <c r="E209" s="10" t="inlineStr">
        <is>
          <t>Other demersal invertebrates</t>
        </is>
      </c>
      <c r="F209" s="10" t="inlineStr">
        <is>
          <t>Molluscs</t>
        </is>
      </c>
      <c r="G209" s="11" t="inlineStr">
        <is>
          <t>Non-ceph molluscs</t>
        </is>
      </c>
      <c r="H209" s="12" t="n">
        <v>1</v>
      </c>
      <c r="I209" s="10" t="inlineStr">
        <is>
          <t>single</t>
        </is>
      </c>
      <c r="J209" s="15" t="inlineStr">
        <is>
          <t>high</t>
        </is>
      </c>
      <c r="K209" s="10" t="inlineStr">
        <is>
          <t>taxonomic_containment</t>
        </is>
      </c>
      <c r="L209" s="11" t="inlineStr">
        <is>
          <t>Taxonomic containment in the source benthos subdivision (Appendix 6.1.5 pp.324-325), keeping non-cephalopod molluscs separate from echinoderms and sessile invertebrates.</t>
        </is>
      </c>
      <c r="M209" s="10" t="n">
        <v>300639.32</v>
      </c>
    </row>
    <row r="210" ht="36" customHeight="1">
      <c r="A210" s="10" t="inlineStr">
        <is>
          <t>LME_036</t>
        </is>
      </c>
      <c r="B210" s="11" t="inlineStr">
        <is>
          <t>36_2_South_China_Sea_SCS-2007_Northern_South_China_Sea_(1970s)</t>
        </is>
      </c>
      <c r="C210" s="11" t="inlineStr">
        <is>
          <t>Pristipomoides</t>
        </is>
      </c>
      <c r="D210" s="10" t="inlineStr">
        <is>
          <t>Jobfishes</t>
        </is>
      </c>
      <c r="E210" s="10" t="inlineStr">
        <is>
          <t>Medium demersals (30 - 89 cm)</t>
        </is>
      </c>
      <c r="F210" s="10" t="inlineStr">
        <is>
          <t>Perch-likes</t>
        </is>
      </c>
      <c r="G210" s="11" t="inlineStr">
        <is>
          <t>Snappers</t>
        </is>
      </c>
      <c r="H210" s="12" t="n">
        <v>1</v>
      </c>
      <c r="I210" s="10" t="inlineStr">
        <is>
          <t>single</t>
        </is>
      </c>
      <c r="J210" s="15" t="inlineStr">
        <is>
          <t>high</t>
        </is>
      </c>
      <c r="K210" s="10" t="inlineStr">
        <is>
          <t>taxonomic_containment</t>
        </is>
      </c>
      <c r="L210" s="11" t="inlineStr">
        <is>
          <t>Appendix 6.1 pp.327-335 defines Snappers by this family or explicitly names Pristipomoides; dedicated source placement overrides the SAU class Medium demersals (30 - 89 cm).</t>
        </is>
      </c>
      <c r="M210" s="10" t="n">
        <v>297656.63</v>
      </c>
    </row>
    <row r="211" ht="36" customHeight="1">
      <c r="A211" s="10" t="inlineStr">
        <is>
          <t>LME_036</t>
        </is>
      </c>
      <c r="B211" s="11" t="inlineStr">
        <is>
          <t>36_2_South_China_Sea_SCS-2007_Northern_South_China_Sea_(1970s)</t>
        </is>
      </c>
      <c r="C211" s="11" t="inlineStr">
        <is>
          <t>Apogonidae</t>
        </is>
      </c>
      <c r="D211" s="10" t="inlineStr">
        <is>
          <t>Cardinalfishes</t>
        </is>
      </c>
      <c r="E211" s="10" t="inlineStr">
        <is>
          <t>Small reef assoc. fish (&lt;30 cm)</t>
        </is>
      </c>
      <c r="F211" s="10" t="inlineStr">
        <is>
          <t>Perch-likes</t>
        </is>
      </c>
      <c r="G211" s="11" t="inlineStr">
        <is>
          <t>Demesral fish (≤ 30 cm)</t>
        </is>
      </c>
      <c r="H211" s="12" t="n">
        <v>1</v>
      </c>
      <c r="I211" s="10" t="inlineStr">
        <is>
          <t>single</t>
        </is>
      </c>
      <c r="J211" s="14" t="inlineStr">
        <is>
          <t>medium</t>
        </is>
      </c>
      <c r="K211" s="10" t="inlineStr">
        <is>
          <t>habitat_size_guild</t>
        </is>
      </c>
      <c r="L211" s="11" t="inlineStr">
        <is>
          <t>Analyst habitat/size inference: small demersal or reef-associated fish after excluding dedicated taxonomic groups, matching Appendix 6.1.19 &lt;=30 cm residual demersal pool.</t>
        </is>
      </c>
      <c r="M211" s="10" t="n">
        <v>284226.152</v>
      </c>
    </row>
    <row r="212" ht="36" customHeight="1">
      <c r="A212" s="10" t="inlineStr">
        <is>
          <t>LME_036</t>
        </is>
      </c>
      <c r="B212" s="11" t="inlineStr">
        <is>
          <t>36_2_South_China_Sea_SCS-2007_Northern_South_China_Sea_(1970s)</t>
        </is>
      </c>
      <c r="C212" s="11" t="inlineStr">
        <is>
          <t>Miscellaneous aquatic invertebrates</t>
        </is>
      </c>
      <c r="D212" s="10" t="inlineStr">
        <is>
          <t>Aquatic invertebrates</t>
        </is>
      </c>
      <c r="E212" s="10" t="inlineStr">
        <is>
          <t>Other demersal invertebrates</t>
        </is>
      </c>
      <c r="F212" s="10" t="inlineStr">
        <is>
          <t>Other fishes &amp; inverts</t>
        </is>
      </c>
      <c r="G212" s="11" t="inlineStr">
        <is>
          <t>Polychaetes</t>
        </is>
      </c>
      <c r="H212" s="12" t="n">
        <v>0</v>
      </c>
      <c r="I212" s="10" t="inlineStr">
        <is>
          <t>catch_composition</t>
        </is>
      </c>
      <c r="J212" s="13" t="inlineStr">
        <is>
          <t>low</t>
        </is>
      </c>
      <c r="K212" s="10" t="inlineStr">
        <is>
          <t>composite_split</t>
        </is>
      </c>
      <c r="L212" s="11" t="inlineStr">
        <is>
          <t>Unidentified benthic invertebrates span the five benthos pools in Appendix 6.1.5 pp.324-325; the source does not establish narrower composition.</t>
        </is>
      </c>
      <c r="M212" s="10" t="n">
        <v>281172.914</v>
      </c>
    </row>
    <row r="213" ht="36" customHeight="1">
      <c r="A213" s="10" t="inlineStr">
        <is>
          <t>LME_036</t>
        </is>
      </c>
      <c r="B213" s="11" t="inlineStr">
        <is>
          <t>36_2_South_China_Sea_SCS-2007_Northern_South_China_Sea_(1970s)</t>
        </is>
      </c>
      <c r="C213" s="11" t="inlineStr">
        <is>
          <t>Miscellaneous aquatic invertebrates</t>
        </is>
      </c>
      <c r="D213" s="10" t="inlineStr">
        <is>
          <t>Aquatic invertebrates</t>
        </is>
      </c>
      <c r="E213" s="10" t="inlineStr">
        <is>
          <t>Other demersal invertebrates</t>
        </is>
      </c>
      <c r="F213" s="10" t="inlineStr">
        <is>
          <t>Other fishes &amp; inverts</t>
        </is>
      </c>
      <c r="G213" s="11" t="inlineStr">
        <is>
          <t>Echinoderms</t>
        </is>
      </c>
      <c r="H213" s="12" t="n">
        <v>0.0085428371321463</v>
      </c>
      <c r="I213" s="10" t="inlineStr">
        <is>
          <t>catch_composition</t>
        </is>
      </c>
      <c r="J213" s="13" t="inlineStr">
        <is>
          <t>low</t>
        </is>
      </c>
      <c r="K213" s="10" t="inlineStr">
        <is>
          <t>composite_split</t>
        </is>
      </c>
      <c r="L213" s="11" t="inlineStr">
        <is>
          <t>Unidentified benthic invertebrates span the five benthos pools in Appendix 6.1.5 pp.324-325; the source does not establish narrower composition.</t>
        </is>
      </c>
      <c r="M213" s="10" t="n">
        <v>281172.914</v>
      </c>
    </row>
    <row r="214" ht="36" customHeight="1">
      <c r="A214" s="10" t="inlineStr">
        <is>
          <t>LME_036</t>
        </is>
      </c>
      <c r="B214" s="11" t="inlineStr">
        <is>
          <t>36_2_South_China_Sea_SCS-2007_Northern_South_China_Sea_(1970s)</t>
        </is>
      </c>
      <c r="C214" s="11" t="inlineStr">
        <is>
          <t>Miscellaneous aquatic invertebrates</t>
        </is>
      </c>
      <c r="D214" s="10" t="inlineStr">
        <is>
          <t>Aquatic invertebrates</t>
        </is>
      </c>
      <c r="E214" s="10" t="inlineStr">
        <is>
          <t>Other demersal invertebrates</t>
        </is>
      </c>
      <c r="F214" s="10" t="inlineStr">
        <is>
          <t>Other fishes &amp; inverts</t>
        </is>
      </c>
      <c r="G214" s="11" t="inlineStr">
        <is>
          <t>Benthic crustaceans</t>
        </is>
      </c>
      <c r="H214" s="12" t="n">
        <v>0.136178263568198</v>
      </c>
      <c r="I214" s="10" t="inlineStr">
        <is>
          <t>catch_composition</t>
        </is>
      </c>
      <c r="J214" s="13" t="inlineStr">
        <is>
          <t>low</t>
        </is>
      </c>
      <c r="K214" s="10" t="inlineStr">
        <is>
          <t>composite_split</t>
        </is>
      </c>
      <c r="L214" s="11" t="inlineStr">
        <is>
          <t>Unidentified benthic invertebrates span the five benthos pools in Appendix 6.1.5 pp.324-325; the source does not establish narrower composition.</t>
        </is>
      </c>
      <c r="M214" s="10" t="n">
        <v>281172.914</v>
      </c>
    </row>
    <row r="215" ht="36" customHeight="1">
      <c r="A215" s="10" t="inlineStr">
        <is>
          <t>LME_036</t>
        </is>
      </c>
      <c r="B215" s="11" t="inlineStr">
        <is>
          <t>36_2_South_China_Sea_SCS-2007_Northern_South_China_Sea_(1970s)</t>
        </is>
      </c>
      <c r="C215" s="11" t="inlineStr">
        <is>
          <t>Miscellaneous aquatic invertebrates</t>
        </is>
      </c>
      <c r="D215" s="10" t="inlineStr">
        <is>
          <t>Aquatic invertebrates</t>
        </is>
      </c>
      <c r="E215" s="10" t="inlineStr">
        <is>
          <t>Other demersal invertebrates</t>
        </is>
      </c>
      <c r="F215" s="10" t="inlineStr">
        <is>
          <t>Other fishes &amp; inverts</t>
        </is>
      </c>
      <c r="G215" s="11" t="inlineStr">
        <is>
          <t>Non-ceph molluscs</t>
        </is>
      </c>
      <c r="H215" s="12" t="n">
        <v>0.8552052331349447</v>
      </c>
      <c r="I215" s="10" t="inlineStr">
        <is>
          <t>catch_composition</t>
        </is>
      </c>
      <c r="J215" s="13" t="inlineStr">
        <is>
          <t>low</t>
        </is>
      </c>
      <c r="K215" s="10" t="inlineStr">
        <is>
          <t>composite_split</t>
        </is>
      </c>
      <c r="L215" s="11" t="inlineStr">
        <is>
          <t>Unidentified benthic invertebrates span the five benthos pools in Appendix 6.1.5 pp.324-325; the source does not establish narrower composition.</t>
        </is>
      </c>
      <c r="M215" s="10" t="n">
        <v>281172.914</v>
      </c>
    </row>
    <row r="216" ht="36" customHeight="1">
      <c r="A216" s="10" t="inlineStr">
        <is>
          <t>LME_036</t>
        </is>
      </c>
      <c r="B216" s="11" t="inlineStr">
        <is>
          <t>36_2_South_China_Sea_SCS-2007_Northern_South_China_Sea_(1970s)</t>
        </is>
      </c>
      <c r="C216" s="11" t="inlineStr">
        <is>
          <t>Miscellaneous aquatic invertebrates</t>
        </is>
      </c>
      <c r="D216" s="10" t="inlineStr">
        <is>
          <t>Aquatic invertebrates</t>
        </is>
      </c>
      <c r="E216" s="10" t="inlineStr">
        <is>
          <t>Other demersal invertebrates</t>
        </is>
      </c>
      <c r="F216" s="10" t="inlineStr">
        <is>
          <t>Other fishes &amp; inverts</t>
        </is>
      </c>
      <c r="G216" s="11" t="inlineStr">
        <is>
          <t>Sessile/other invertebrates</t>
        </is>
      </c>
      <c r="H216" s="12" t="n">
        <v>7.36661647110497e-05</v>
      </c>
      <c r="I216" s="10" t="inlineStr">
        <is>
          <t>catch_composition</t>
        </is>
      </c>
      <c r="J216" s="13" t="inlineStr">
        <is>
          <t>low</t>
        </is>
      </c>
      <c r="K216" s="10" t="inlineStr">
        <is>
          <t>composite_split</t>
        </is>
      </c>
      <c r="L216" s="11" t="inlineStr">
        <is>
          <t>Unidentified benthic invertebrates span the five benthos pools in Appendix 6.1.5 pp.324-325; the source does not establish narrower composition.</t>
        </is>
      </c>
      <c r="M216" s="10" t="n">
        <v>281172.914</v>
      </c>
    </row>
    <row r="217" ht="36" customHeight="1">
      <c r="A217" s="10" t="inlineStr">
        <is>
          <t>LME_036</t>
        </is>
      </c>
      <c r="B217" s="11" t="inlineStr">
        <is>
          <t>36_2_South_China_Sea_SCS-2007_Northern_South_China_Sea_(1970s)</t>
        </is>
      </c>
      <c r="C217" s="11" t="inlineStr">
        <is>
          <t>Scomber australasicus</t>
        </is>
      </c>
      <c r="D217" s="10" t="inlineStr">
        <is>
          <t>Blue mackerel</t>
        </is>
      </c>
      <c r="E217" s="10" t="inlineStr">
        <is>
          <t>Medium pelagics (30 - 89 cm)</t>
        </is>
      </c>
      <c r="F217" s="10" t="inlineStr">
        <is>
          <t>Perch-likes</t>
        </is>
      </c>
      <c r="G217" s="11" t="inlineStr">
        <is>
          <t>Juvenile large pelagic fish</t>
        </is>
      </c>
      <c r="H217" s="12" t="n">
        <v>0.2016806722689076</v>
      </c>
      <c r="I217" s="10" t="inlineStr">
        <is>
          <t>model_catch</t>
        </is>
      </c>
      <c r="J217" s="14" t="inlineStr">
        <is>
          <t>medium</t>
        </is>
      </c>
      <c r="K217" s="10" t="inlineStr">
        <is>
          <t>composite_split</t>
        </is>
      </c>
      <c r="L217" s="11" t="inlineStr">
        <is>
          <t>Analyst habitat/size inference to source &gt;30 cm pelagic fish (Appendix 6.1.24 p.339); no age data, so split juvenile/adult using the period model catch.</t>
        </is>
      </c>
      <c r="M217" s="10" t="n">
        <v>273604.383</v>
      </c>
    </row>
    <row r="218" ht="36" customHeight="1">
      <c r="A218" s="10" t="inlineStr">
        <is>
          <t>LME_036</t>
        </is>
      </c>
      <c r="B218" s="11" t="inlineStr">
        <is>
          <t>36_2_South_China_Sea_SCS-2007_Northern_South_China_Sea_(1970s)</t>
        </is>
      </c>
      <c r="C218" s="11" t="inlineStr">
        <is>
          <t>Scomber australasicus</t>
        </is>
      </c>
      <c r="D218" s="10" t="inlineStr">
        <is>
          <t>Blue mackerel</t>
        </is>
      </c>
      <c r="E218" s="10" t="inlineStr">
        <is>
          <t>Medium pelagics (30 - 89 cm)</t>
        </is>
      </c>
      <c r="F218" s="10" t="inlineStr">
        <is>
          <t>Perch-likes</t>
        </is>
      </c>
      <c r="G218" s="11" t="inlineStr">
        <is>
          <t>Pelagic fish (&gt; 30 cm)</t>
        </is>
      </c>
      <c r="H218" s="12" t="n">
        <v>0.7983193277310925</v>
      </c>
      <c r="I218" s="10" t="inlineStr">
        <is>
          <t>model_catch</t>
        </is>
      </c>
      <c r="J218" s="14" t="inlineStr">
        <is>
          <t>medium</t>
        </is>
      </c>
      <c r="K218" s="10" t="inlineStr">
        <is>
          <t>composite_split</t>
        </is>
      </c>
      <c r="L218" s="11" t="inlineStr">
        <is>
          <t>Analyst habitat/size inference to source &gt;30 cm pelagic fish (Appendix 6.1.24 p.339); no age data, so split juvenile/adult using the period model catch.</t>
        </is>
      </c>
      <c r="M218" s="10" t="n">
        <v>273604.383</v>
      </c>
    </row>
    <row r="219" ht="36" customHeight="1">
      <c r="A219" s="10" t="inlineStr">
        <is>
          <t>LME_036</t>
        </is>
      </c>
      <c r="B219" s="11" t="inlineStr">
        <is>
          <t>36_2_South_China_Sea_SCS-2007_Northern_South_China_Sea_(1970s)</t>
        </is>
      </c>
      <c r="C219" s="11" t="inlineStr">
        <is>
          <t>Sepia</t>
        </is>
      </c>
      <c r="D219" s="10" t="inlineStr">
        <is>
          <t>Sepia cuttlefishes</t>
        </is>
      </c>
      <c r="E219" s="10" t="inlineStr">
        <is>
          <t>Cephalopods</t>
        </is>
      </c>
      <c r="F219" s="10" t="inlineStr">
        <is>
          <t>Other fishes &amp; inverts</t>
        </is>
      </c>
      <c r="G219" s="11" t="inlineStr">
        <is>
          <t>Cephalopods</t>
        </is>
      </c>
      <c r="H219" s="12" t="n">
        <v>1</v>
      </c>
      <c r="I219" s="10" t="inlineStr">
        <is>
          <t>single</t>
        </is>
      </c>
      <c r="J219" s="15" t="inlineStr">
        <is>
          <t>high</t>
        </is>
      </c>
      <c r="K219" s="10" t="inlineStr">
        <is>
          <t>taxonomic_containment</t>
        </is>
      </c>
      <c r="L219" s="11" t="inlineStr">
        <is>
          <t>Cephalopoda is contained by the single source Cephalopods group, Appendix 6.1.8 pp.326-327.</t>
        </is>
      </c>
      <c r="M219" s="10" t="n">
        <v>265683.914</v>
      </c>
    </row>
    <row r="220" ht="51" customHeight="1">
      <c r="A220" s="10" t="inlineStr">
        <is>
          <t>LME_036</t>
        </is>
      </c>
      <c r="B220" s="11" t="inlineStr">
        <is>
          <t>36_2_South_China_Sea_SCS-2007_Northern_South_China_Sea_(1970s)</t>
        </is>
      </c>
      <c r="C220" s="11" t="inlineStr">
        <is>
          <t>Epinephelus coioides</t>
        </is>
      </c>
      <c r="D220" s="10" t="inlineStr">
        <is>
          <t>Orange-spotted grouper</t>
        </is>
      </c>
      <c r="E220" s="10" t="inlineStr">
        <is>
          <t>Large reef assoc. fish (&gt;=90 cm)</t>
        </is>
      </c>
      <c r="F220" s="10" t="inlineStr">
        <is>
          <t>Perch-likes</t>
        </is>
      </c>
      <c r="G220" s="11" t="inlineStr">
        <is>
          <t>Adult groupers</t>
        </is>
      </c>
      <c r="H220" s="12" t="n">
        <v>1</v>
      </c>
      <c r="I220" s="10" t="inlineStr">
        <is>
          <t>single</t>
        </is>
      </c>
      <c r="J220" s="15" t="inlineStr">
        <is>
          <t>high</t>
        </is>
      </c>
      <c r="K220" s="10" t="inlineStr">
        <is>
          <t>taxonomic_containment</t>
        </is>
      </c>
      <c r="L220" s="11" t="inlineStr">
        <is>
          <t>Appendix 6.1 pp.327-335 defines Adult groupers by this family or explicitly names Epinephelus coioides; dedicated source placement overrides the SAU class Large reef assoc. fish (&gt;=90 cm).</t>
        </is>
      </c>
      <c r="M220" s="10" t="n">
        <v>264464.845</v>
      </c>
    </row>
    <row r="221" ht="51" customHeight="1">
      <c r="A221" s="10" t="inlineStr">
        <is>
          <t>LME_036</t>
        </is>
      </c>
      <c r="B221" s="11" t="inlineStr">
        <is>
          <t>36_2_South_China_Sea_SCS-2007_Northern_South_China_Sea_(1970s)</t>
        </is>
      </c>
      <c r="C221" s="11" t="inlineStr">
        <is>
          <t>Larimichthys polyactis</t>
        </is>
      </c>
      <c r="D221" s="10" t="inlineStr">
        <is>
          <t>Yellow croaker</t>
        </is>
      </c>
      <c r="E221" s="10" t="inlineStr">
        <is>
          <t>Medium benthopelagics (30 - 89 cm)</t>
        </is>
      </c>
      <c r="F221" s="10" t="inlineStr">
        <is>
          <t>Perch-likes</t>
        </is>
      </c>
      <c r="G221" s="11" t="inlineStr">
        <is>
          <t>Croakers (≤ 30 cm)</t>
        </is>
      </c>
      <c r="H221" s="12" t="n">
        <v>0.2253521126760564</v>
      </c>
      <c r="I221" s="10" t="inlineStr">
        <is>
          <t>model_catch</t>
        </is>
      </c>
      <c r="J221" s="13" t="inlineStr">
        <is>
          <t>low</t>
        </is>
      </c>
      <c r="K221" s="10" t="inlineStr">
        <is>
          <t>composite_split</t>
        </is>
      </c>
      <c r="L221" s="11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  <c r="M221" s="10" t="n">
        <v>263763.118</v>
      </c>
    </row>
    <row r="222" ht="51" customHeight="1">
      <c r="A222" s="10" t="inlineStr">
        <is>
          <t>LME_036</t>
        </is>
      </c>
      <c r="B222" s="11" t="inlineStr">
        <is>
          <t>36_2_South_China_Sea_SCS-2007_Northern_South_China_Sea_(1970s)</t>
        </is>
      </c>
      <c r="C222" s="11" t="inlineStr">
        <is>
          <t>Larimichthys polyactis</t>
        </is>
      </c>
      <c r="D222" s="10" t="inlineStr">
        <is>
          <t>Yellow croaker</t>
        </is>
      </c>
      <c r="E222" s="10" t="inlineStr">
        <is>
          <t>Medium benthopelagics (30 - 89 cm)</t>
        </is>
      </c>
      <c r="F222" s="10" t="inlineStr">
        <is>
          <t>Perch-likes</t>
        </is>
      </c>
      <c r="G222" s="11" t="inlineStr">
        <is>
          <t>Juvenile large croakers</t>
        </is>
      </c>
      <c r="H222" s="12" t="n">
        <v>0.1549295774647887</v>
      </c>
      <c r="I222" s="10" t="inlineStr">
        <is>
          <t>model_catch</t>
        </is>
      </c>
      <c r="J222" s="13" t="inlineStr">
        <is>
          <t>low</t>
        </is>
      </c>
      <c r="K222" s="10" t="inlineStr">
        <is>
          <t>composite_split</t>
        </is>
      </c>
      <c r="L222" s="11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  <c r="M222" s="10" t="n">
        <v>263763.118</v>
      </c>
    </row>
    <row r="223" ht="51" customHeight="1">
      <c r="A223" s="10" t="inlineStr">
        <is>
          <t>LME_036</t>
        </is>
      </c>
      <c r="B223" s="11" t="inlineStr">
        <is>
          <t>36_2_South_China_Sea_SCS-2007_Northern_South_China_Sea_(1970s)</t>
        </is>
      </c>
      <c r="C223" s="11" t="inlineStr">
        <is>
          <t>Larimichthys polyactis</t>
        </is>
      </c>
      <c r="D223" s="10" t="inlineStr">
        <is>
          <t>Yellow croaker</t>
        </is>
      </c>
      <c r="E223" s="10" t="inlineStr">
        <is>
          <t>Medium benthopelagics (30 - 89 cm)</t>
        </is>
      </c>
      <c r="F223" s="10" t="inlineStr">
        <is>
          <t>Perch-likes</t>
        </is>
      </c>
      <c r="G223" s="11" t="inlineStr">
        <is>
          <t>Croakers (&gt; 30 cm)</t>
        </is>
      </c>
      <c r="H223" s="12" t="n">
        <v>0.619718309859155</v>
      </c>
      <c r="I223" s="10" t="inlineStr">
        <is>
          <t>model_catch</t>
        </is>
      </c>
      <c r="J223" s="13" t="inlineStr">
        <is>
          <t>low</t>
        </is>
      </c>
      <c r="K223" s="10" t="inlineStr">
        <is>
          <t>composite_split</t>
        </is>
      </c>
      <c r="L223" s="11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  <c r="M223" s="10" t="n">
        <v>263763.118</v>
      </c>
    </row>
    <row r="224" ht="51" customHeight="1">
      <c r="A224" s="10" t="inlineStr">
        <is>
          <t>LME_036</t>
        </is>
      </c>
      <c r="B224" s="11" t="inlineStr">
        <is>
          <t>36_2_South_China_Sea_SCS-2007_Northern_South_China_Sea_(1970s)</t>
        </is>
      </c>
      <c r="C224" s="11" t="inlineStr">
        <is>
          <t>Tetraodontidae</t>
        </is>
      </c>
      <c r="D224" s="10" t="inlineStr">
        <is>
          <t>Puffers, tobies</t>
        </is>
      </c>
      <c r="E224" s="10" t="inlineStr">
        <is>
          <t>Large reef assoc. fish (&gt;=90 cm)</t>
        </is>
      </c>
      <c r="F224" s="10" t="inlineStr">
        <is>
          <t>Other fishes &amp; inverts</t>
        </is>
      </c>
      <c r="G224" s="11" t="inlineStr">
        <is>
          <t>Juvenile demersal fish (&gt; 30 cm)</t>
        </is>
      </c>
      <c r="H224" s="12" t="n">
        <v>0.2002781641168289</v>
      </c>
      <c r="I224" s="10" t="inlineStr">
        <is>
          <t>model_catch</t>
        </is>
      </c>
      <c r="J224" s="14" t="inlineStr">
        <is>
          <t>medium</t>
        </is>
      </c>
      <c r="K224" s="10" t="inlineStr">
        <is>
          <t>composite_split</t>
        </is>
      </c>
      <c r="L224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224" s="10" t="n">
        <v>263264.128</v>
      </c>
    </row>
    <row r="225" ht="51" customHeight="1">
      <c r="A225" s="10" t="inlineStr">
        <is>
          <t>LME_036</t>
        </is>
      </c>
      <c r="B225" s="11" t="inlineStr">
        <is>
          <t>36_2_South_China_Sea_SCS-2007_Northern_South_China_Sea_(1970s)</t>
        </is>
      </c>
      <c r="C225" s="11" t="inlineStr">
        <is>
          <t>Tetraodontidae</t>
        </is>
      </c>
      <c r="D225" s="10" t="inlineStr">
        <is>
          <t>Puffers, tobies</t>
        </is>
      </c>
      <c r="E225" s="10" t="inlineStr">
        <is>
          <t>Large reef assoc. fish (&gt;=90 cm)</t>
        </is>
      </c>
      <c r="F225" s="10" t="inlineStr">
        <is>
          <t>Other fishes &amp; inverts</t>
        </is>
      </c>
      <c r="G225" s="11" t="inlineStr">
        <is>
          <t>Adult demersal fish (&gt; 30 cm)</t>
        </is>
      </c>
      <c r="H225" s="12" t="n">
        <v>0.799721835883171</v>
      </c>
      <c r="I225" s="10" t="inlineStr">
        <is>
          <t>model_catch</t>
        </is>
      </c>
      <c r="J225" s="14" t="inlineStr">
        <is>
          <t>medium</t>
        </is>
      </c>
      <c r="K225" s="10" t="inlineStr">
        <is>
          <t>composite_split</t>
        </is>
      </c>
      <c r="L225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225" s="10" t="n">
        <v>263264.128</v>
      </c>
    </row>
    <row r="226" ht="36" customHeight="1">
      <c r="A226" s="10" t="inlineStr">
        <is>
          <t>LME_036</t>
        </is>
      </c>
      <c r="B226" s="11" t="inlineStr">
        <is>
          <t>36_2_South_China_Sea_SCS-2007_Northern_South_China_Sea_(1970s)</t>
        </is>
      </c>
      <c r="C226" s="11" t="inlineStr">
        <is>
          <t>Exocoetidae</t>
        </is>
      </c>
      <c r="D226" s="10" t="inlineStr">
        <is>
          <t>Flyingfishes</t>
        </is>
      </c>
      <c r="E226" s="10" t="inlineStr">
        <is>
          <t>Small pelagics (&lt;30 cm)</t>
        </is>
      </c>
      <c r="F226" s="10" t="inlineStr">
        <is>
          <t>Other fishes &amp; inverts</t>
        </is>
      </c>
      <c r="G226" s="11" t="inlineStr">
        <is>
          <t>Pelagic fish (≤ 30 cm)</t>
        </is>
      </c>
      <c r="H226" s="12" t="n">
        <v>1</v>
      </c>
      <c r="I226" s="10" t="inlineStr">
        <is>
          <t>single</t>
        </is>
      </c>
      <c r="J226" s="14" t="inlineStr">
        <is>
          <t>medium</t>
        </is>
      </c>
      <c r="K226" s="10" t="inlineStr">
        <is>
          <t>habitat_size_guild</t>
        </is>
      </c>
      <c r="L226" s="11" t="inlineStr">
        <is>
          <t>Analyst habitat/size inference: SAU small-pelagic class matches the source &lt;=30 cm pelagic pool after dedicated source taxa were handled (Appendix 6.1.23 p.338).</t>
        </is>
      </c>
      <c r="M226" s="10" t="n">
        <v>259369.398</v>
      </c>
    </row>
    <row r="227" ht="36" customHeight="1">
      <c r="A227" s="10" t="inlineStr">
        <is>
          <t>LME_036</t>
        </is>
      </c>
      <c r="B227" s="11" t="inlineStr">
        <is>
          <t>36_2_South_China_Sea_SCS-2007_Northern_South_China_Sea_(1970s)</t>
        </is>
      </c>
      <c r="C227" s="11" t="inlineStr">
        <is>
          <t>Upeneus</t>
        </is>
      </c>
      <c r="D227" s="10" t="inlineStr">
        <is>
          <t>Upeneid goatfishes</t>
        </is>
      </c>
      <c r="E227" s="10" t="inlineStr">
        <is>
          <t>Small reef assoc. fish (&lt;30 cm)</t>
        </is>
      </c>
      <c r="F227" s="10" t="inlineStr">
        <is>
          <t>Perch-likes</t>
        </is>
      </c>
      <c r="G227" s="11" t="inlineStr">
        <is>
          <t>Demesral fish (≤ 30 cm)</t>
        </is>
      </c>
      <c r="H227" s="12" t="n">
        <v>1</v>
      </c>
      <c r="I227" s="10" t="inlineStr">
        <is>
          <t>single</t>
        </is>
      </c>
      <c r="J227" s="14" t="inlineStr">
        <is>
          <t>medium</t>
        </is>
      </c>
      <c r="K227" s="10" t="inlineStr">
        <is>
          <t>habitat_size_guild</t>
        </is>
      </c>
      <c r="L227" s="11" t="inlineStr">
        <is>
          <t>Analyst habitat/size inference: small demersal or reef-associated fish after excluding dedicated taxonomic groups, matching Appendix 6.1.19 &lt;=30 cm residual demersal pool.</t>
        </is>
      </c>
      <c r="M227" s="10" t="n">
        <v>257735.526</v>
      </c>
    </row>
    <row r="228" ht="51" customHeight="1">
      <c r="A228" s="10" t="inlineStr">
        <is>
          <t>LME_036</t>
        </is>
      </c>
      <c r="B228" s="11" t="inlineStr">
        <is>
          <t>36_2_South_China_Sea_SCS-2007_Northern_South_China_Sea_(1970s)</t>
        </is>
      </c>
      <c r="C228" s="11" t="inlineStr">
        <is>
          <t>Seriola</t>
        </is>
      </c>
      <c r="D228" s="10" t="inlineStr">
        <is>
          <t>Amberjacks</t>
        </is>
      </c>
      <c r="E228" s="10" t="inlineStr">
        <is>
          <t>Large benthopelagics (&gt;=90 cm)</t>
        </is>
      </c>
      <c r="F228" s="10" t="inlineStr">
        <is>
          <t>Perch-likes</t>
        </is>
      </c>
      <c r="G228" s="11" t="inlineStr">
        <is>
          <t>Juvenile large pelagic fish</t>
        </is>
      </c>
      <c r="H228" s="12" t="n">
        <v>0.2016806722689076</v>
      </c>
      <c r="I228" s="10" t="inlineStr">
        <is>
          <t>model_catch</t>
        </is>
      </c>
      <c r="J228" s="14" t="inlineStr">
        <is>
          <t>medium</t>
        </is>
      </c>
      <c r="K228" s="10" t="inlineStr">
        <is>
          <t>composite_split</t>
        </is>
      </c>
      <c r="L228" s="11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228" s="10" t="n">
        <v>256610.285</v>
      </c>
    </row>
    <row r="229" ht="51" customHeight="1">
      <c r="A229" s="10" t="inlineStr">
        <is>
          <t>LME_036</t>
        </is>
      </c>
      <c r="B229" s="11" t="inlineStr">
        <is>
          <t>36_2_South_China_Sea_SCS-2007_Northern_South_China_Sea_(1970s)</t>
        </is>
      </c>
      <c r="C229" s="11" t="inlineStr">
        <is>
          <t>Seriola</t>
        </is>
      </c>
      <c r="D229" s="10" t="inlineStr">
        <is>
          <t>Amberjacks</t>
        </is>
      </c>
      <c r="E229" s="10" t="inlineStr">
        <is>
          <t>Large benthopelagics (&gt;=90 cm)</t>
        </is>
      </c>
      <c r="F229" s="10" t="inlineStr">
        <is>
          <t>Perch-likes</t>
        </is>
      </c>
      <c r="G229" s="11" t="inlineStr">
        <is>
          <t>Pelagic fish (&gt; 30 cm)</t>
        </is>
      </c>
      <c r="H229" s="12" t="n">
        <v>0.7983193277310925</v>
      </c>
      <c r="I229" s="10" t="inlineStr">
        <is>
          <t>model_catch</t>
        </is>
      </c>
      <c r="J229" s="14" t="inlineStr">
        <is>
          <t>medium</t>
        </is>
      </c>
      <c r="K229" s="10" t="inlineStr">
        <is>
          <t>composite_split</t>
        </is>
      </c>
      <c r="L229" s="11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229" s="10" t="n">
        <v>256610.285</v>
      </c>
    </row>
    <row r="230" ht="51" customHeight="1">
      <c r="A230" s="10" t="inlineStr">
        <is>
          <t>LME_036</t>
        </is>
      </c>
      <c r="B230" s="11" t="inlineStr">
        <is>
          <t>36_2_South_China_Sea_SCS-2007_Northern_South_China_Sea_(1970s)</t>
        </is>
      </c>
      <c r="C230" s="11" t="inlineStr">
        <is>
          <t>Conger myriaster</t>
        </is>
      </c>
      <c r="D230" s="10" t="inlineStr">
        <is>
          <t>Whitespotted conger</t>
        </is>
      </c>
      <c r="E230" s="10" t="inlineStr">
        <is>
          <t>Medium demersals (30 - 89 cm)</t>
        </is>
      </c>
      <c r="F230" s="10" t="inlineStr">
        <is>
          <t>Other fishes &amp; inverts</t>
        </is>
      </c>
      <c r="G230" s="11" t="inlineStr">
        <is>
          <t>Juvenile demersal fish (&gt; 30 cm)</t>
        </is>
      </c>
      <c r="H230" s="12" t="n">
        <v>0.2002781641168289</v>
      </c>
      <c r="I230" s="10" t="inlineStr">
        <is>
          <t>model_catch</t>
        </is>
      </c>
      <c r="J230" s="14" t="inlineStr">
        <is>
          <t>medium</t>
        </is>
      </c>
      <c r="K230" s="10" t="inlineStr">
        <is>
          <t>composite_split</t>
        </is>
      </c>
      <c r="L230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230" s="10" t="n">
        <v>251358.773</v>
      </c>
    </row>
    <row r="231" ht="51" customHeight="1">
      <c r="A231" s="10" t="inlineStr">
        <is>
          <t>LME_036</t>
        </is>
      </c>
      <c r="B231" s="11" t="inlineStr">
        <is>
          <t>36_2_South_China_Sea_SCS-2007_Northern_South_China_Sea_(1970s)</t>
        </is>
      </c>
      <c r="C231" s="11" t="inlineStr">
        <is>
          <t>Conger myriaster</t>
        </is>
      </c>
      <c r="D231" s="10" t="inlineStr">
        <is>
          <t>Whitespotted conger</t>
        </is>
      </c>
      <c r="E231" s="10" t="inlineStr">
        <is>
          <t>Medium demersals (30 - 89 cm)</t>
        </is>
      </c>
      <c r="F231" s="10" t="inlineStr">
        <is>
          <t>Other fishes &amp; inverts</t>
        </is>
      </c>
      <c r="G231" s="11" t="inlineStr">
        <is>
          <t>Adult demersal fish (&gt; 30 cm)</t>
        </is>
      </c>
      <c r="H231" s="12" t="n">
        <v>0.799721835883171</v>
      </c>
      <c r="I231" s="10" t="inlineStr">
        <is>
          <t>model_catch</t>
        </is>
      </c>
      <c r="J231" s="14" t="inlineStr">
        <is>
          <t>medium</t>
        </is>
      </c>
      <c r="K231" s="10" t="inlineStr">
        <is>
          <t>composite_split</t>
        </is>
      </c>
      <c r="L231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231" s="10" t="n">
        <v>251358.773</v>
      </c>
    </row>
    <row r="232" ht="51" customHeight="1">
      <c r="A232" s="10" t="inlineStr">
        <is>
          <t>LME_036</t>
        </is>
      </c>
      <c r="B232" s="11" t="inlineStr">
        <is>
          <t>36_2_South_China_Sea_SCS-2007_Northern_South_China_Sea_(1970s)</t>
        </is>
      </c>
      <c r="C232" s="11" t="inlineStr">
        <is>
          <t>Mugil</t>
        </is>
      </c>
      <c r="D232" s="10" t="inlineStr">
        <is>
          <t>Grey mullets</t>
        </is>
      </c>
      <c r="E232" s="10" t="inlineStr">
        <is>
          <t>Medium demersals (30 - 89 cm)</t>
        </is>
      </c>
      <c r="F232" s="10" t="inlineStr">
        <is>
          <t>Perch-likes</t>
        </is>
      </c>
      <c r="G232" s="11" t="inlineStr">
        <is>
          <t>Juvenile demersal fish (&gt; 30 cm)</t>
        </is>
      </c>
      <c r="H232" s="12" t="n">
        <v>0.2002781641168289</v>
      </c>
      <c r="I232" s="10" t="inlineStr">
        <is>
          <t>model_catch</t>
        </is>
      </c>
      <c r="J232" s="14" t="inlineStr">
        <is>
          <t>medium</t>
        </is>
      </c>
      <c r="K232" s="10" t="inlineStr">
        <is>
          <t>composite_split</t>
        </is>
      </c>
      <c r="L232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232" s="10" t="n">
        <v>250541.412</v>
      </c>
    </row>
    <row r="233" ht="51" customHeight="1">
      <c r="A233" s="10" t="inlineStr">
        <is>
          <t>LME_036</t>
        </is>
      </c>
      <c r="B233" s="11" t="inlineStr">
        <is>
          <t>36_2_South_China_Sea_SCS-2007_Northern_South_China_Sea_(1970s)</t>
        </is>
      </c>
      <c r="C233" s="11" t="inlineStr">
        <is>
          <t>Mugil</t>
        </is>
      </c>
      <c r="D233" s="10" t="inlineStr">
        <is>
          <t>Grey mullets</t>
        </is>
      </c>
      <c r="E233" s="10" t="inlineStr">
        <is>
          <t>Medium demersals (30 - 89 cm)</t>
        </is>
      </c>
      <c r="F233" s="10" t="inlineStr">
        <is>
          <t>Perch-likes</t>
        </is>
      </c>
      <c r="G233" s="11" t="inlineStr">
        <is>
          <t>Adult demersal fish (&gt; 30 cm)</t>
        </is>
      </c>
      <c r="H233" s="12" t="n">
        <v>0.799721835883171</v>
      </c>
      <c r="I233" s="10" t="inlineStr">
        <is>
          <t>model_catch</t>
        </is>
      </c>
      <c r="J233" s="14" t="inlineStr">
        <is>
          <t>medium</t>
        </is>
      </c>
      <c r="K233" s="10" t="inlineStr">
        <is>
          <t>composite_split</t>
        </is>
      </c>
      <c r="L233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233" s="10" t="n">
        <v>250541.412</v>
      </c>
    </row>
    <row r="234" ht="36" customHeight="1">
      <c r="A234" s="10" t="inlineStr">
        <is>
          <t>LME_036</t>
        </is>
      </c>
      <c r="B234" s="11" t="inlineStr">
        <is>
          <t>36_2_South_China_Sea_SCS-2007_Northern_South_China_Sea_(1970s)</t>
        </is>
      </c>
      <c r="C234" s="11" t="inlineStr">
        <is>
          <t>Psettodes erumei</t>
        </is>
      </c>
      <c r="D234" s="10" t="inlineStr">
        <is>
          <t>Indian halibut</t>
        </is>
      </c>
      <c r="E234" s="10" t="inlineStr">
        <is>
          <t>Small to medium flatfishes (&lt;90 cm)</t>
        </is>
      </c>
      <c r="F234" s="10" t="inlineStr">
        <is>
          <t>Flatfishes</t>
        </is>
      </c>
      <c r="G234" s="11" t="inlineStr">
        <is>
          <t>Demesral fish (≤ 30 cm)</t>
        </is>
      </c>
      <c r="H234" s="12" t="n">
        <v>0.3854700854700854</v>
      </c>
      <c r="I234" s="10" t="inlineStr">
        <is>
          <t>model_catch</t>
        </is>
      </c>
      <c r="J234" s="13" t="inlineStr">
        <is>
          <t>low</t>
        </is>
      </c>
      <c r="K234" s="10" t="inlineStr">
        <is>
          <t>composite_split</t>
        </is>
      </c>
      <c r="L234" s="11" t="inlineStr">
        <is>
          <t>Flatfishes are demersal, but SAU &lt;90 cm band does not distinguish the source &lt;=30 cm species pool from &gt;30 cm juvenile/adult fish; all three residual demersal pools remain candidates.</t>
        </is>
      </c>
      <c r="M234" s="10" t="n">
        <v>243309.877</v>
      </c>
    </row>
    <row r="235" ht="36" customHeight="1">
      <c r="A235" s="10" t="inlineStr">
        <is>
          <t>LME_036</t>
        </is>
      </c>
      <c r="B235" s="11" t="inlineStr">
        <is>
          <t>36_2_South_China_Sea_SCS-2007_Northern_South_China_Sea_(1970s)</t>
        </is>
      </c>
      <c r="C235" s="11" t="inlineStr">
        <is>
          <t>Psettodes erumei</t>
        </is>
      </c>
      <c r="D235" s="10" t="inlineStr">
        <is>
          <t>Indian halibut</t>
        </is>
      </c>
      <c r="E235" s="10" t="inlineStr">
        <is>
          <t>Small to medium flatfishes (&lt;90 cm)</t>
        </is>
      </c>
      <c r="F235" s="10" t="inlineStr">
        <is>
          <t>Flatfishes</t>
        </is>
      </c>
      <c r="G235" s="11" t="inlineStr">
        <is>
          <t>Juvenile demersal fish (&gt; 30 cm)</t>
        </is>
      </c>
      <c r="H235" s="12" t="n">
        <v>0.1230769230769231</v>
      </c>
      <c r="I235" s="10" t="inlineStr">
        <is>
          <t>model_catch</t>
        </is>
      </c>
      <c r="J235" s="13" t="inlineStr">
        <is>
          <t>low</t>
        </is>
      </c>
      <c r="K235" s="10" t="inlineStr">
        <is>
          <t>composite_split</t>
        </is>
      </c>
      <c r="L235" s="11" t="inlineStr">
        <is>
          <t>Flatfishes are demersal, but SAU &lt;90 cm band does not distinguish the source &lt;=30 cm species pool from &gt;30 cm juvenile/adult fish; all three residual demersal pools remain candidates.</t>
        </is>
      </c>
      <c r="M235" s="10" t="n">
        <v>243309.877</v>
      </c>
    </row>
    <row r="236" ht="36" customHeight="1">
      <c r="A236" s="10" t="inlineStr">
        <is>
          <t>LME_036</t>
        </is>
      </c>
      <c r="B236" s="11" t="inlineStr">
        <is>
          <t>36_2_South_China_Sea_SCS-2007_Northern_South_China_Sea_(1970s)</t>
        </is>
      </c>
      <c r="C236" s="11" t="inlineStr">
        <is>
          <t>Psettodes erumei</t>
        </is>
      </c>
      <c r="D236" s="10" t="inlineStr">
        <is>
          <t>Indian halibut</t>
        </is>
      </c>
      <c r="E236" s="10" t="inlineStr">
        <is>
          <t>Small to medium flatfishes (&lt;90 cm)</t>
        </is>
      </c>
      <c r="F236" s="10" t="inlineStr">
        <is>
          <t>Flatfishes</t>
        </is>
      </c>
      <c r="G236" s="11" t="inlineStr">
        <is>
          <t>Adult demersal fish (&gt; 30 cm)</t>
        </is>
      </c>
      <c r="H236" s="12" t="n">
        <v>0.4914529914529914</v>
      </c>
      <c r="I236" s="10" t="inlineStr">
        <is>
          <t>model_catch</t>
        </is>
      </c>
      <c r="J236" s="13" t="inlineStr">
        <is>
          <t>low</t>
        </is>
      </c>
      <c r="K236" s="10" t="inlineStr">
        <is>
          <t>composite_split</t>
        </is>
      </c>
      <c r="L236" s="11" t="inlineStr">
        <is>
          <t>Flatfishes are demersal, but SAU &lt;90 cm band does not distinguish the source &lt;=30 cm species pool from &gt;30 cm juvenile/adult fish; all three residual demersal pools remain candidates.</t>
        </is>
      </c>
      <c r="M236" s="10" t="n">
        <v>243309.877</v>
      </c>
    </row>
    <row r="237" ht="36" customHeight="1">
      <c r="A237" s="10" t="inlineStr">
        <is>
          <t>LME_036</t>
        </is>
      </c>
      <c r="B237" s="11" t="inlineStr">
        <is>
          <t>36_2_South_China_Sea_SCS-2007_Northern_South_China_Sea_(1970s)</t>
        </is>
      </c>
      <c r="C237" s="11" t="inlineStr">
        <is>
          <t>Acetes</t>
        </is>
      </c>
      <c r="D237" s="10" t="inlineStr">
        <is>
          <t>Acetes shrimps</t>
        </is>
      </c>
      <c r="E237" s="10" t="inlineStr">
        <is>
          <t>Shrimps</t>
        </is>
      </c>
      <c r="F237" s="10" t="inlineStr">
        <is>
          <t>Crustaceans</t>
        </is>
      </c>
      <c r="G237" s="11" t="inlineStr">
        <is>
          <t>Zooplankton</t>
        </is>
      </c>
      <c r="H237" s="12" t="n">
        <v>1</v>
      </c>
      <c r="I237" s="10" t="inlineStr">
        <is>
          <t>single</t>
        </is>
      </c>
      <c r="J237" s="15" t="inlineStr">
        <is>
          <t>high</t>
        </is>
      </c>
      <c r="K237" s="10" t="inlineStr">
        <is>
          <t>explicit_member</t>
        </is>
      </c>
      <c r="L237" s="11" t="inlineStr">
        <is>
          <t>Appendix 6.1.3 p.323 explicitly records Acetes spp. (Mo shrimp) catch in Zooplankton, overriding the SAU shrimp class.</t>
        </is>
      </c>
      <c r="M237" s="10" t="n">
        <v>228664.177</v>
      </c>
    </row>
    <row r="238" ht="36" customHeight="1">
      <c r="A238" s="10" t="inlineStr">
        <is>
          <t>LME_036</t>
        </is>
      </c>
      <c r="B238" s="11" t="inlineStr">
        <is>
          <t>36_2_South_China_Sea_SCS-2007_Northern_South_China_Sea_(1970s)</t>
        </is>
      </c>
      <c r="C238" s="11" t="inlineStr">
        <is>
          <t>Cypselurus poecilopterus</t>
        </is>
      </c>
      <c r="D238" s="10" t="inlineStr">
        <is>
          <t>Yellowing flyingfish</t>
        </is>
      </c>
      <c r="E238" s="10" t="inlineStr">
        <is>
          <t>Small pelagics (&lt;30 cm)</t>
        </is>
      </c>
      <c r="F238" s="10" t="inlineStr">
        <is>
          <t>Other fishes &amp; inverts</t>
        </is>
      </c>
      <c r="G238" s="11" t="inlineStr">
        <is>
          <t>Pelagic fish (≤ 30 cm)</t>
        </is>
      </c>
      <c r="H238" s="12" t="n">
        <v>1</v>
      </c>
      <c r="I238" s="10" t="inlineStr">
        <is>
          <t>single</t>
        </is>
      </c>
      <c r="J238" s="14" t="inlineStr">
        <is>
          <t>medium</t>
        </is>
      </c>
      <c r="K238" s="10" t="inlineStr">
        <is>
          <t>habitat_size_guild</t>
        </is>
      </c>
      <c r="L238" s="11" t="inlineStr">
        <is>
          <t>Analyst habitat/size inference: SAU small-pelagic class matches the source &lt;=30 cm pelagic pool after dedicated source taxa were handled (Appendix 6.1.23 p.338).</t>
        </is>
      </c>
      <c r="M238" s="10" t="n">
        <v>227463.169</v>
      </c>
    </row>
    <row r="239" ht="36" customHeight="1">
      <c r="A239" s="10" t="inlineStr">
        <is>
          <t>LME_036</t>
        </is>
      </c>
      <c r="B239" s="11" t="inlineStr">
        <is>
          <t>36_2_South_China_Sea_SCS-2007_Northern_South_China_Sea_(1970s)</t>
        </is>
      </c>
      <c r="C239" s="11" t="inlineStr">
        <is>
          <t>Decapterus russelli</t>
        </is>
      </c>
      <c r="D239" s="10" t="inlineStr">
        <is>
          <t>Indian scad</t>
        </is>
      </c>
      <c r="E239" s="10" t="inlineStr">
        <is>
          <t>Medium pelagics (30 - 89 cm)</t>
        </is>
      </c>
      <c r="F239" s="10" t="inlineStr">
        <is>
          <t>Perch-likes</t>
        </is>
      </c>
      <c r="G239" s="11" t="inlineStr">
        <is>
          <t>Juvenile large pelagic fish</t>
        </is>
      </c>
      <c r="H239" s="12" t="n">
        <v>0.2016806722689076</v>
      </c>
      <c r="I239" s="10" t="inlineStr">
        <is>
          <t>model_catch</t>
        </is>
      </c>
      <c r="J239" s="14" t="inlineStr">
        <is>
          <t>medium</t>
        </is>
      </c>
      <c r="K239" s="10" t="inlineStr">
        <is>
          <t>composite_split</t>
        </is>
      </c>
      <c r="L239" s="11" t="inlineStr">
        <is>
          <t>Analyst habitat/size inference to source &gt;30 cm pelagic fish (Appendix 6.1.24 p.339); no age data, so split juvenile/adult using the period model catch.</t>
        </is>
      </c>
      <c r="M239" s="10" t="n">
        <v>223374.635</v>
      </c>
    </row>
    <row r="240" ht="36" customHeight="1">
      <c r="A240" s="10" t="inlineStr">
        <is>
          <t>LME_036</t>
        </is>
      </c>
      <c r="B240" s="11" t="inlineStr">
        <is>
          <t>36_2_South_China_Sea_SCS-2007_Northern_South_China_Sea_(1970s)</t>
        </is>
      </c>
      <c r="C240" s="11" t="inlineStr">
        <is>
          <t>Decapterus russelli</t>
        </is>
      </c>
      <c r="D240" s="10" t="inlineStr">
        <is>
          <t>Indian scad</t>
        </is>
      </c>
      <c r="E240" s="10" t="inlineStr">
        <is>
          <t>Medium pelagics (30 - 89 cm)</t>
        </is>
      </c>
      <c r="F240" s="10" t="inlineStr">
        <is>
          <t>Perch-likes</t>
        </is>
      </c>
      <c r="G240" s="11" t="inlineStr">
        <is>
          <t>Pelagic fish (&gt; 30 cm)</t>
        </is>
      </c>
      <c r="H240" s="12" t="n">
        <v>0.7983193277310925</v>
      </c>
      <c r="I240" s="10" t="inlineStr">
        <is>
          <t>model_catch</t>
        </is>
      </c>
      <c r="J240" s="14" t="inlineStr">
        <is>
          <t>medium</t>
        </is>
      </c>
      <c r="K240" s="10" t="inlineStr">
        <is>
          <t>composite_split</t>
        </is>
      </c>
      <c r="L240" s="11" t="inlineStr">
        <is>
          <t>Analyst habitat/size inference to source &gt;30 cm pelagic fish (Appendix 6.1.24 p.339); no age data, so split juvenile/adult using the period model catch.</t>
        </is>
      </c>
      <c r="M240" s="10" t="n">
        <v>223374.635</v>
      </c>
    </row>
    <row r="241" ht="51" customHeight="1">
      <c r="A241" s="10" t="inlineStr">
        <is>
          <t>LME_036</t>
        </is>
      </c>
      <c r="B241" s="11" t="inlineStr">
        <is>
          <t>36_2_South_China_Sea_SCS-2007_Northern_South_China_Sea_(1970s)</t>
        </is>
      </c>
      <c r="C241" s="11" t="inlineStr">
        <is>
          <t>Lethrinidae</t>
        </is>
      </c>
      <c r="D241" s="10" t="inlineStr">
        <is>
          <t>Emperors, scavengers</t>
        </is>
      </c>
      <c r="E241" s="10" t="inlineStr">
        <is>
          <t>Medium reef assoc. fish (30 - 89 cm)</t>
        </is>
      </c>
      <c r="F241" s="10" t="inlineStr">
        <is>
          <t>Perch-likes</t>
        </is>
      </c>
      <c r="G241" s="11" t="inlineStr">
        <is>
          <t>Juvenile demersal fish (&gt; 30 cm)</t>
        </is>
      </c>
      <c r="H241" s="12" t="n">
        <v>0.2002781641168289</v>
      </c>
      <c r="I241" s="10" t="inlineStr">
        <is>
          <t>model_catch</t>
        </is>
      </c>
      <c r="J241" s="14" t="inlineStr">
        <is>
          <t>medium</t>
        </is>
      </c>
      <c r="K241" s="10" t="inlineStr">
        <is>
          <t>composite_split</t>
        </is>
      </c>
      <c r="L241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241" s="10" t="n">
        <v>223228.683</v>
      </c>
    </row>
    <row r="242" ht="51" customHeight="1">
      <c r="A242" s="10" t="inlineStr">
        <is>
          <t>LME_036</t>
        </is>
      </c>
      <c r="B242" s="11" t="inlineStr">
        <is>
          <t>36_2_South_China_Sea_SCS-2007_Northern_South_China_Sea_(1970s)</t>
        </is>
      </c>
      <c r="C242" s="11" t="inlineStr">
        <is>
          <t>Lethrinidae</t>
        </is>
      </c>
      <c r="D242" s="10" t="inlineStr">
        <is>
          <t>Emperors, scavengers</t>
        </is>
      </c>
      <c r="E242" s="10" t="inlineStr">
        <is>
          <t>Medium reef assoc. fish (30 - 89 cm)</t>
        </is>
      </c>
      <c r="F242" s="10" t="inlineStr">
        <is>
          <t>Perch-likes</t>
        </is>
      </c>
      <c r="G242" s="11" t="inlineStr">
        <is>
          <t>Adult demersal fish (&gt; 30 cm)</t>
        </is>
      </c>
      <c r="H242" s="12" t="n">
        <v>0.799721835883171</v>
      </c>
      <c r="I242" s="10" t="inlineStr">
        <is>
          <t>model_catch</t>
        </is>
      </c>
      <c r="J242" s="14" t="inlineStr">
        <is>
          <t>medium</t>
        </is>
      </c>
      <c r="K242" s="10" t="inlineStr">
        <is>
          <t>composite_split</t>
        </is>
      </c>
      <c r="L242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242" s="10" t="n">
        <v>223228.683</v>
      </c>
    </row>
    <row r="243" ht="51" customHeight="1">
      <c r="A243" s="10" t="inlineStr">
        <is>
          <t>LME_036</t>
        </is>
      </c>
      <c r="B243" s="11" t="inlineStr">
        <is>
          <t>36_2_South_China_Sea_SCS-2007_Northern_South_China_Sea_(1970s)</t>
        </is>
      </c>
      <c r="C243" s="11" t="inlineStr">
        <is>
          <t>Scomberoides</t>
        </is>
      </c>
      <c r="D243" s="10" t="inlineStr">
        <is>
          <t>Queenfishes</t>
        </is>
      </c>
      <c r="E243" s="10" t="inlineStr">
        <is>
          <t>Medium pelagics (30 - 89 cm)</t>
        </is>
      </c>
      <c r="F243" s="10" t="inlineStr">
        <is>
          <t>Perch-likes</t>
        </is>
      </c>
      <c r="G243" s="11" t="inlineStr">
        <is>
          <t>Juvenile large pelagic fish</t>
        </is>
      </c>
      <c r="H243" s="12" t="n">
        <v>0.2016806722689076</v>
      </c>
      <c r="I243" s="10" t="inlineStr">
        <is>
          <t>model_catch</t>
        </is>
      </c>
      <c r="J243" s="14" t="inlineStr">
        <is>
          <t>medium</t>
        </is>
      </c>
      <c r="K243" s="10" t="inlineStr">
        <is>
          <t>composite_split</t>
        </is>
      </c>
      <c r="L243" s="11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243" s="10" t="n">
        <v>213902.867</v>
      </c>
    </row>
    <row r="244" ht="51" customHeight="1">
      <c r="A244" s="10" t="inlineStr">
        <is>
          <t>LME_036</t>
        </is>
      </c>
      <c r="B244" s="11" t="inlineStr">
        <is>
          <t>36_2_South_China_Sea_SCS-2007_Northern_South_China_Sea_(1970s)</t>
        </is>
      </c>
      <c r="C244" s="11" t="inlineStr">
        <is>
          <t>Scomberoides</t>
        </is>
      </c>
      <c r="D244" s="10" t="inlineStr">
        <is>
          <t>Queenfishes</t>
        </is>
      </c>
      <c r="E244" s="10" t="inlineStr">
        <is>
          <t>Medium pelagics (30 - 89 cm)</t>
        </is>
      </c>
      <c r="F244" s="10" t="inlineStr">
        <is>
          <t>Perch-likes</t>
        </is>
      </c>
      <c r="G244" s="11" t="inlineStr">
        <is>
          <t>Pelagic fish (&gt; 30 cm)</t>
        </is>
      </c>
      <c r="H244" s="12" t="n">
        <v>0.7983193277310925</v>
      </c>
      <c r="I244" s="10" t="inlineStr">
        <is>
          <t>model_catch</t>
        </is>
      </c>
      <c r="J244" s="14" t="inlineStr">
        <is>
          <t>medium</t>
        </is>
      </c>
      <c r="K244" s="10" t="inlineStr">
        <is>
          <t>composite_split</t>
        </is>
      </c>
      <c r="L244" s="11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244" s="10" t="n">
        <v>213902.867</v>
      </c>
    </row>
    <row r="245" ht="51" customHeight="1">
      <c r="A245" s="10" t="inlineStr">
        <is>
          <t>LME_036</t>
        </is>
      </c>
      <c r="B245" s="11" t="inlineStr">
        <is>
          <t>36_2_South_China_Sea_SCS-2007_Northern_South_China_Sea_(1970s)</t>
        </is>
      </c>
      <c r="C245" s="11" t="inlineStr">
        <is>
          <t>Caranx</t>
        </is>
      </c>
      <c r="D245" s="10" t="inlineStr">
        <is>
          <t>Jacks</t>
        </is>
      </c>
      <c r="E245" s="10" t="inlineStr">
        <is>
          <t>Medium reef assoc. fish (30 - 89 cm)</t>
        </is>
      </c>
      <c r="F245" s="10" t="inlineStr">
        <is>
          <t>Perch-likes</t>
        </is>
      </c>
      <c r="G245" s="11" t="inlineStr">
        <is>
          <t>Juvenile large pelagic fish</t>
        </is>
      </c>
      <c r="H245" s="12" t="n">
        <v>0.2016806722689076</v>
      </c>
      <c r="I245" s="10" t="inlineStr">
        <is>
          <t>model_catch</t>
        </is>
      </c>
      <c r="J245" s="14" t="inlineStr">
        <is>
          <t>medium</t>
        </is>
      </c>
      <c r="K245" s="10" t="inlineStr">
        <is>
          <t>composite_split</t>
        </is>
      </c>
      <c r="L245" s="11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245" s="10" t="n">
        <v>208223.393</v>
      </c>
    </row>
    <row r="246" ht="51" customHeight="1">
      <c r="A246" s="10" t="inlineStr">
        <is>
          <t>LME_036</t>
        </is>
      </c>
      <c r="B246" s="11" t="inlineStr">
        <is>
          <t>36_2_South_China_Sea_SCS-2007_Northern_South_China_Sea_(1970s)</t>
        </is>
      </c>
      <c r="C246" s="11" t="inlineStr">
        <is>
          <t>Caranx</t>
        </is>
      </c>
      <c r="D246" s="10" t="inlineStr">
        <is>
          <t>Jacks</t>
        </is>
      </c>
      <c r="E246" s="10" t="inlineStr">
        <is>
          <t>Medium reef assoc. fish (30 - 89 cm)</t>
        </is>
      </c>
      <c r="F246" s="10" t="inlineStr">
        <is>
          <t>Perch-likes</t>
        </is>
      </c>
      <c r="G246" s="11" t="inlineStr">
        <is>
          <t>Pelagic fish (&gt; 30 cm)</t>
        </is>
      </c>
      <c r="H246" s="12" t="n">
        <v>0.7983193277310925</v>
      </c>
      <c r="I246" s="10" t="inlineStr">
        <is>
          <t>model_catch</t>
        </is>
      </c>
      <c r="J246" s="14" t="inlineStr">
        <is>
          <t>medium</t>
        </is>
      </c>
      <c r="K246" s="10" t="inlineStr">
        <is>
          <t>composite_split</t>
        </is>
      </c>
      <c r="L246" s="11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246" s="10" t="n">
        <v>208223.393</v>
      </c>
    </row>
    <row r="247" ht="51" customHeight="1">
      <c r="A247" s="10" t="inlineStr">
        <is>
          <t>LME_036</t>
        </is>
      </c>
      <c r="B247" s="11" t="inlineStr">
        <is>
          <t>36_2_South_China_Sea_SCS-2007_Northern_South_China_Sea_(1970s)</t>
        </is>
      </c>
      <c r="C247" s="11" t="inlineStr">
        <is>
          <t>Muraenesox</t>
        </is>
      </c>
      <c r="D247" s="10" t="inlineStr">
        <is>
          <t>Congers</t>
        </is>
      </c>
      <c r="E247" s="10" t="inlineStr">
        <is>
          <t>Large demersals (&gt;=90 cm)</t>
        </is>
      </c>
      <c r="F247" s="10" t="inlineStr">
        <is>
          <t>Other fishes &amp; inverts</t>
        </is>
      </c>
      <c r="G247" s="11" t="inlineStr">
        <is>
          <t>Juvenile demersal fish (&gt; 30 cm)</t>
        </is>
      </c>
      <c r="H247" s="12" t="n">
        <v>0.2002781641168289</v>
      </c>
      <c r="I247" s="10" t="inlineStr">
        <is>
          <t>model_catch</t>
        </is>
      </c>
      <c r="J247" s="14" t="inlineStr">
        <is>
          <t>medium</t>
        </is>
      </c>
      <c r="K247" s="10" t="inlineStr">
        <is>
          <t>composite_split</t>
        </is>
      </c>
      <c r="L247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247" s="10" t="n">
        <v>206325.739</v>
      </c>
    </row>
    <row r="248" ht="51" customHeight="1">
      <c r="A248" s="10" t="inlineStr">
        <is>
          <t>LME_036</t>
        </is>
      </c>
      <c r="B248" s="11" t="inlineStr">
        <is>
          <t>36_2_South_China_Sea_SCS-2007_Northern_South_China_Sea_(1970s)</t>
        </is>
      </c>
      <c r="C248" s="11" t="inlineStr">
        <is>
          <t>Muraenesox</t>
        </is>
      </c>
      <c r="D248" s="10" t="inlineStr">
        <is>
          <t>Congers</t>
        </is>
      </c>
      <c r="E248" s="10" t="inlineStr">
        <is>
          <t>Large demersals (&gt;=90 cm)</t>
        </is>
      </c>
      <c r="F248" s="10" t="inlineStr">
        <is>
          <t>Other fishes &amp; inverts</t>
        </is>
      </c>
      <c r="G248" s="11" t="inlineStr">
        <is>
          <t>Adult demersal fish (&gt; 30 cm)</t>
        </is>
      </c>
      <c r="H248" s="12" t="n">
        <v>0.799721835883171</v>
      </c>
      <c r="I248" s="10" t="inlineStr">
        <is>
          <t>model_catch</t>
        </is>
      </c>
      <c r="J248" s="14" t="inlineStr">
        <is>
          <t>medium</t>
        </is>
      </c>
      <c r="K248" s="10" t="inlineStr">
        <is>
          <t>composite_split</t>
        </is>
      </c>
      <c r="L248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248" s="10" t="n">
        <v>206325.739</v>
      </c>
    </row>
    <row r="249" ht="51" customHeight="1">
      <c r="A249" s="10" t="inlineStr">
        <is>
          <t>LME_036</t>
        </is>
      </c>
      <c r="B249" s="11" t="inlineStr">
        <is>
          <t>36_2_South_China_Sea_SCS-2007_Northern_South_China_Sea_(1970s)</t>
        </is>
      </c>
      <c r="C249" s="11" t="inlineStr">
        <is>
          <t>Cephalopholis boenak</t>
        </is>
      </c>
      <c r="D249" s="10" t="inlineStr">
        <is>
          <t>Chocolate hind</t>
        </is>
      </c>
      <c r="E249" s="10" t="inlineStr">
        <is>
          <t>Small reef assoc. fish (&lt;30 cm)</t>
        </is>
      </c>
      <c r="F249" s="10" t="inlineStr">
        <is>
          <t>Perch-likes</t>
        </is>
      </c>
      <c r="G249" s="11" t="inlineStr">
        <is>
          <t>Adult groupers</t>
        </is>
      </c>
      <c r="H249" s="12" t="n">
        <v>1</v>
      </c>
      <c r="I249" s="10" t="inlineStr">
        <is>
          <t>single</t>
        </is>
      </c>
      <c r="J249" s="15" t="inlineStr">
        <is>
          <t>high</t>
        </is>
      </c>
      <c r="K249" s="10" t="inlineStr">
        <is>
          <t>taxonomic_containment</t>
        </is>
      </c>
      <c r="L249" s="11" t="inlineStr">
        <is>
          <t>Appendix 6.1 pp.327-335 defines Adult groupers by this family or explicitly names Cephalopholis boenak; dedicated source placement overrides the SAU class Small reef assoc. fish (&lt;30 cm).</t>
        </is>
      </c>
      <c r="M249" s="10" t="n">
        <v>195009.722</v>
      </c>
    </row>
    <row r="250" ht="36" customHeight="1">
      <c r="A250" s="10" t="inlineStr">
        <is>
          <t>LME_036</t>
        </is>
      </c>
      <c r="B250" s="11" t="inlineStr">
        <is>
          <t>36_2_South_China_Sea_SCS-2007_Northern_South_China_Sea_(1970s)</t>
        </is>
      </c>
      <c r="C250" s="11" t="inlineStr">
        <is>
          <t>Decapterus maruadsi</t>
        </is>
      </c>
      <c r="D250" s="10" t="inlineStr">
        <is>
          <t>Japanese scad</t>
        </is>
      </c>
      <c r="E250" s="10" t="inlineStr">
        <is>
          <t>Small pelagics (&lt;30 cm)</t>
        </is>
      </c>
      <c r="F250" s="10" t="inlineStr">
        <is>
          <t>Perch-likes</t>
        </is>
      </c>
      <c r="G250" s="11" t="inlineStr">
        <is>
          <t>Pelagic fish (≤ 30 cm)</t>
        </is>
      </c>
      <c r="H250" s="12" t="n">
        <v>1</v>
      </c>
      <c r="I250" s="10" t="inlineStr">
        <is>
          <t>single</t>
        </is>
      </c>
      <c r="J250" s="14" t="inlineStr">
        <is>
          <t>medium</t>
        </is>
      </c>
      <c r="K250" s="10" t="inlineStr">
        <is>
          <t>habitat_size_guild</t>
        </is>
      </c>
      <c r="L250" s="11" t="inlineStr">
        <is>
          <t>Analyst habitat/size inference: SAU small-pelagic class matches the source &lt;=30 cm pelagic pool after dedicated source taxa were handled (Appendix 6.1.23 p.338).</t>
        </is>
      </c>
      <c r="M250" s="10" t="n">
        <v>185635.069</v>
      </c>
    </row>
    <row r="251" ht="36" customHeight="1">
      <c r="A251" s="10" t="inlineStr">
        <is>
          <t>LME_036</t>
        </is>
      </c>
      <c r="B251" s="11" t="inlineStr">
        <is>
          <t>36_2_South_China_Sea_SCS-2007_Northern_South_China_Sea_(1970s)</t>
        </is>
      </c>
      <c r="C251" s="11" t="inlineStr">
        <is>
          <t>Veneridae</t>
        </is>
      </c>
      <c r="D251" s="10" t="inlineStr">
        <is>
          <t>Venus clams</t>
        </is>
      </c>
      <c r="E251" s="10" t="inlineStr">
        <is>
          <t>Other demersal invertebrates</t>
        </is>
      </c>
      <c r="F251" s="10" t="inlineStr">
        <is>
          <t>Molluscs</t>
        </is>
      </c>
      <c r="G251" s="11" t="inlineStr">
        <is>
          <t>Non-ceph molluscs</t>
        </is>
      </c>
      <c r="H251" s="12" t="n">
        <v>1</v>
      </c>
      <c r="I251" s="10" t="inlineStr">
        <is>
          <t>single</t>
        </is>
      </c>
      <c r="J251" s="15" t="inlineStr">
        <is>
          <t>high</t>
        </is>
      </c>
      <c r="K251" s="10" t="inlineStr">
        <is>
          <t>taxonomic_containment</t>
        </is>
      </c>
      <c r="L251" s="11" t="inlineStr">
        <is>
          <t>Taxonomic containment in the source benthos subdivision (Appendix 6.1.5 pp.324-325), keeping non-cephalopod molluscs separate from echinoderms and sessile invertebrates.</t>
        </is>
      </c>
      <c r="M251" s="10" t="n">
        <v>185556.572</v>
      </c>
    </row>
    <row r="252" ht="36" customHeight="1">
      <c r="A252" s="10" t="inlineStr">
        <is>
          <t>LME_036</t>
        </is>
      </c>
      <c r="B252" s="11" t="inlineStr">
        <is>
          <t>36_2_South_China_Sea_SCS-2007_Northern_South_China_Sea_(1970s)</t>
        </is>
      </c>
      <c r="C252" s="11" t="inlineStr">
        <is>
          <t>Isurus</t>
        </is>
      </c>
      <c r="D252" s="10" t="inlineStr">
        <is>
          <t>Mako sharks</t>
        </is>
      </c>
      <c r="E252" s="10" t="inlineStr">
        <is>
          <t>Large sharks (&gt;=90 cm)</t>
        </is>
      </c>
      <c r="F252" s="10" t="inlineStr">
        <is>
          <t>Sharks &amp; rays</t>
        </is>
      </c>
      <c r="G252" s="11" t="inlineStr">
        <is>
          <t>Pelagic sharks and rays</t>
        </is>
      </c>
      <c r="H252" s="12" t="n">
        <v>1</v>
      </c>
      <c r="I252" s="10" t="inlineStr">
        <is>
          <t>single</t>
        </is>
      </c>
      <c r="J252" s="14" t="inlineStr">
        <is>
          <t>medium</t>
        </is>
      </c>
      <c r="K252" s="10" t="inlineStr">
        <is>
          <t>habitat_size_guild</t>
        </is>
      </c>
      <c r="L252" s="11" t="inlineStr">
        <is>
          <t>Pelagic shark lineage matches the pelagic elasmobranch definition, Appendix 6.1.25 p.340; species placement is analyst inference.</t>
        </is>
      </c>
      <c r="M252" s="10" t="n">
        <v>177314.833</v>
      </c>
    </row>
    <row r="253" ht="36" customHeight="1">
      <c r="A253" s="10" t="inlineStr">
        <is>
          <t>LME_036</t>
        </is>
      </c>
      <c r="B253" s="11" t="inlineStr">
        <is>
          <t>36_2_South_China_Sea_SCS-2007_Northern_South_China_Sea_(1970s)</t>
        </is>
      </c>
      <c r="C253" s="11" t="inlineStr">
        <is>
          <t>Sphyraenidae</t>
        </is>
      </c>
      <c r="D253" s="10" t="inlineStr">
        <is>
          <t>Barracudas</t>
        </is>
      </c>
      <c r="E253" s="10" t="inlineStr">
        <is>
          <t>Medium reef assoc. fish (30 - 89 cm)</t>
        </is>
      </c>
      <c r="F253" s="10" t="inlineStr">
        <is>
          <t>Perch-likes</t>
        </is>
      </c>
      <c r="G253" s="11" t="inlineStr">
        <is>
          <t>Juvenile large pelagic fish</t>
        </is>
      </c>
      <c r="H253" s="12" t="n">
        <v>0.2016806722689076</v>
      </c>
      <c r="I253" s="10" t="inlineStr">
        <is>
          <t>model_catch</t>
        </is>
      </c>
      <c r="J253" s="14" t="inlineStr">
        <is>
          <t>medium</t>
        </is>
      </c>
      <c r="K253" s="10" t="inlineStr">
        <is>
          <t>composite_split</t>
        </is>
      </c>
      <c r="L253" s="11" t="inlineStr">
        <is>
          <t>Analyst habitat/size inference to source &gt;30 cm pelagic fish (Appendix 6.1.24 p.339); no age data, so split juvenile/adult using the period model catch.</t>
        </is>
      </c>
      <c r="M253" s="10" t="n">
        <v>173833.433</v>
      </c>
    </row>
    <row r="254" ht="36" customHeight="1">
      <c r="A254" s="10" t="inlineStr">
        <is>
          <t>LME_036</t>
        </is>
      </c>
      <c r="B254" s="11" t="inlineStr">
        <is>
          <t>36_2_South_China_Sea_SCS-2007_Northern_South_China_Sea_(1970s)</t>
        </is>
      </c>
      <c r="C254" s="11" t="inlineStr">
        <is>
          <t>Sphyraenidae</t>
        </is>
      </c>
      <c r="D254" s="10" t="inlineStr">
        <is>
          <t>Barracudas</t>
        </is>
      </c>
      <c r="E254" s="10" t="inlineStr">
        <is>
          <t>Medium reef assoc. fish (30 - 89 cm)</t>
        </is>
      </c>
      <c r="F254" s="10" t="inlineStr">
        <is>
          <t>Perch-likes</t>
        </is>
      </c>
      <c r="G254" s="11" t="inlineStr">
        <is>
          <t>Pelagic fish (&gt; 30 cm)</t>
        </is>
      </c>
      <c r="H254" s="12" t="n">
        <v>0.7983193277310925</v>
      </c>
      <c r="I254" s="10" t="inlineStr">
        <is>
          <t>model_catch</t>
        </is>
      </c>
      <c r="J254" s="14" t="inlineStr">
        <is>
          <t>medium</t>
        </is>
      </c>
      <c r="K254" s="10" t="inlineStr">
        <is>
          <t>composite_split</t>
        </is>
      </c>
      <c r="L254" s="11" t="inlineStr">
        <is>
          <t>Analyst habitat/size inference to source &gt;30 cm pelagic fish (Appendix 6.1.24 p.339); no age data, so split juvenile/adult using the period model catch.</t>
        </is>
      </c>
      <c r="M254" s="10" t="n">
        <v>173833.433</v>
      </c>
    </row>
    <row r="255" ht="51" customHeight="1">
      <c r="A255" s="10" t="inlineStr">
        <is>
          <t>LME_036</t>
        </is>
      </c>
      <c r="B255" s="11" t="inlineStr">
        <is>
          <t>36_2_South_China_Sea_SCS-2007_Northern_South_China_Sea_(1970s)</t>
        </is>
      </c>
      <c r="C255" s="11" t="inlineStr">
        <is>
          <t>Mene maculata</t>
        </is>
      </c>
      <c r="D255" s="10" t="inlineStr">
        <is>
          <t>Moonfish</t>
        </is>
      </c>
      <c r="E255" s="10" t="inlineStr">
        <is>
          <t>Medium reef assoc. fish (30 - 89 cm)</t>
        </is>
      </c>
      <c r="F255" s="10" t="inlineStr">
        <is>
          <t>Perch-likes</t>
        </is>
      </c>
      <c r="G255" s="11" t="inlineStr">
        <is>
          <t>Benthopelagic fish</t>
        </is>
      </c>
      <c r="H255" s="12" t="n">
        <v>1</v>
      </c>
      <c r="I255" s="10" t="inlineStr">
        <is>
          <t>single</t>
        </is>
      </c>
      <c r="J255" s="13" t="inlineStr">
        <is>
          <t>low</t>
        </is>
      </c>
      <c r="K255" s="10" t="inlineStr">
        <is>
          <t>habitat_size_guild</t>
        </is>
      </c>
      <c r="L255" s="11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  <c r="M255" s="10" t="n">
        <v>172674.819</v>
      </c>
    </row>
    <row r="256" ht="36" customHeight="1">
      <c r="A256" s="10" t="inlineStr">
        <is>
          <t>LME_036</t>
        </is>
      </c>
      <c r="B256" s="11" t="inlineStr">
        <is>
          <t>36_2_South_China_Sea_SCS-2007_Northern_South_China_Sea_(1970s)</t>
        </is>
      </c>
      <c r="C256" s="11" t="inlineStr">
        <is>
          <t>Chirocentrus</t>
        </is>
      </c>
      <c r="D256" s="10" t="inlineStr">
        <is>
          <t>Wolf herrings</t>
        </is>
      </c>
      <c r="E256" s="10" t="inlineStr">
        <is>
          <t>Large pelagics (&gt;=90 cm)</t>
        </is>
      </c>
      <c r="F256" s="10" t="inlineStr">
        <is>
          <t>Herring-likes</t>
        </is>
      </c>
      <c r="G256" s="11" t="inlineStr">
        <is>
          <t>Juvenile large pelagic fish</t>
        </is>
      </c>
      <c r="H256" s="12" t="n">
        <v>0.2016806722689076</v>
      </c>
      <c r="I256" s="10" t="inlineStr">
        <is>
          <t>model_catch</t>
        </is>
      </c>
      <c r="J256" s="14" t="inlineStr">
        <is>
          <t>medium</t>
        </is>
      </c>
      <c r="K256" s="10" t="inlineStr">
        <is>
          <t>composite_split</t>
        </is>
      </c>
      <c r="L256" s="11" t="inlineStr">
        <is>
          <t>Analyst habitat/size inference to source &gt;30 cm pelagic fish (Appendix 6.1.24 p.339); no age data, so split juvenile/adult using the period model catch.</t>
        </is>
      </c>
      <c r="M256" s="10" t="n">
        <v>164669.443</v>
      </c>
    </row>
    <row r="257" ht="36" customHeight="1">
      <c r="A257" s="10" t="inlineStr">
        <is>
          <t>LME_036</t>
        </is>
      </c>
      <c r="B257" s="11" t="inlineStr">
        <is>
          <t>36_2_South_China_Sea_SCS-2007_Northern_South_China_Sea_(1970s)</t>
        </is>
      </c>
      <c r="C257" s="11" t="inlineStr">
        <is>
          <t>Chirocentrus</t>
        </is>
      </c>
      <c r="D257" s="10" t="inlineStr">
        <is>
          <t>Wolf herrings</t>
        </is>
      </c>
      <c r="E257" s="10" t="inlineStr">
        <is>
          <t>Large pelagics (&gt;=90 cm)</t>
        </is>
      </c>
      <c r="F257" s="10" t="inlineStr">
        <is>
          <t>Herring-likes</t>
        </is>
      </c>
      <c r="G257" s="11" t="inlineStr">
        <is>
          <t>Pelagic fish (&gt; 30 cm)</t>
        </is>
      </c>
      <c r="H257" s="12" t="n">
        <v>0.7983193277310925</v>
      </c>
      <c r="I257" s="10" t="inlineStr">
        <is>
          <t>model_catch</t>
        </is>
      </c>
      <c r="J257" s="14" t="inlineStr">
        <is>
          <t>medium</t>
        </is>
      </c>
      <c r="K257" s="10" t="inlineStr">
        <is>
          <t>composite_split</t>
        </is>
      </c>
      <c r="L257" s="11" t="inlineStr">
        <is>
          <t>Analyst habitat/size inference to source &gt;30 cm pelagic fish (Appendix 6.1.24 p.339); no age data, so split juvenile/adult using the period model catch.</t>
        </is>
      </c>
      <c r="M257" s="10" t="n">
        <v>164669.443</v>
      </c>
    </row>
    <row r="258" ht="36" customHeight="1">
      <c r="A258" s="10" t="inlineStr">
        <is>
          <t>LME_036</t>
        </is>
      </c>
      <c r="B258" s="11" t="inlineStr">
        <is>
          <t>36_2_South_China_Sea_SCS-2007_Northern_South_China_Sea_(1970s)</t>
        </is>
      </c>
      <c r="C258" s="11" t="inlineStr">
        <is>
          <t>Portunus</t>
        </is>
      </c>
      <c r="D258" s="10" t="inlineStr">
        <is>
          <t>Swimmer crabs</t>
        </is>
      </c>
      <c r="E258" s="10" t="inlineStr">
        <is>
          <t>Lobsters, crabs</t>
        </is>
      </c>
      <c r="F258" s="10" t="inlineStr">
        <is>
          <t>Crustaceans</t>
        </is>
      </c>
      <c r="G258" s="11" t="inlineStr">
        <is>
          <t>Crabs</t>
        </is>
      </c>
      <c r="H258" s="12" t="n">
        <v>1</v>
      </c>
      <c r="I258" s="10" t="inlineStr">
        <is>
          <t>single</t>
        </is>
      </c>
      <c r="J258" s="15" t="inlineStr">
        <is>
          <t>high</t>
        </is>
      </c>
      <c r="K258" s="10" t="inlineStr">
        <is>
          <t>taxonomic_containment</t>
        </is>
      </c>
      <c r="L258" s="11" t="inlineStr">
        <is>
          <t>Source benthic crustaceans exclude shrimps and crabs (Appendix 6.1.5 p.324); lobsters remain in that residual, while true crabs use Crabs.</t>
        </is>
      </c>
      <c r="M258" s="10" t="n">
        <v>163445.867</v>
      </c>
    </row>
    <row r="259" ht="36" customHeight="1">
      <c r="A259" s="10" t="inlineStr">
        <is>
          <t>LME_036</t>
        </is>
      </c>
      <c r="B259" s="11" t="inlineStr">
        <is>
          <t>36_2_South_China_Sea_SCS-2007_Northern_South_China_Sea_(1970s)</t>
        </is>
      </c>
      <c r="C259" s="11" t="inlineStr">
        <is>
          <t>Pleuronectiformes</t>
        </is>
      </c>
      <c r="D259" s="10" t="inlineStr">
        <is>
          <t>Flatfishes</t>
        </is>
      </c>
      <c r="E259" s="10" t="inlineStr">
        <is>
          <t>Small to medium flatfishes (&lt;90 cm)</t>
        </is>
      </c>
      <c r="F259" s="10" t="inlineStr">
        <is>
          <t>Flatfishes</t>
        </is>
      </c>
      <c r="G259" s="11" t="inlineStr">
        <is>
          <t>Demesral fish (≤ 30 cm)</t>
        </is>
      </c>
      <c r="H259" s="12" t="n">
        <v>0.3854700854700854</v>
      </c>
      <c r="I259" s="10" t="inlineStr">
        <is>
          <t>model_catch</t>
        </is>
      </c>
      <c r="J259" s="13" t="inlineStr">
        <is>
          <t>low</t>
        </is>
      </c>
      <c r="K259" s="10" t="inlineStr">
        <is>
          <t>composite_split</t>
        </is>
      </c>
      <c r="L259" s="11" t="inlineStr">
        <is>
          <t>Flatfishes are demersal, but SAU &lt;90 cm band does not distinguish the source &lt;=30 cm species pool from &gt;30 cm juvenile/adult fish; all three residual demersal pools remain candidates.</t>
        </is>
      </c>
      <c r="M259" s="10" t="n">
        <v>161684.721</v>
      </c>
    </row>
    <row r="260" ht="36" customHeight="1">
      <c r="A260" s="10" t="inlineStr">
        <is>
          <t>LME_036</t>
        </is>
      </c>
      <c r="B260" s="11" t="inlineStr">
        <is>
          <t>36_2_South_China_Sea_SCS-2007_Northern_South_China_Sea_(1970s)</t>
        </is>
      </c>
      <c r="C260" s="11" t="inlineStr">
        <is>
          <t>Pleuronectiformes</t>
        </is>
      </c>
      <c r="D260" s="10" t="inlineStr">
        <is>
          <t>Flatfishes</t>
        </is>
      </c>
      <c r="E260" s="10" t="inlineStr">
        <is>
          <t>Small to medium flatfishes (&lt;90 cm)</t>
        </is>
      </c>
      <c r="F260" s="10" t="inlineStr">
        <is>
          <t>Flatfishes</t>
        </is>
      </c>
      <c r="G260" s="11" t="inlineStr">
        <is>
          <t>Juvenile demersal fish (&gt; 30 cm)</t>
        </is>
      </c>
      <c r="H260" s="12" t="n">
        <v>0.1230769230769231</v>
      </c>
      <c r="I260" s="10" t="inlineStr">
        <is>
          <t>model_catch</t>
        </is>
      </c>
      <c r="J260" s="13" t="inlineStr">
        <is>
          <t>low</t>
        </is>
      </c>
      <c r="K260" s="10" t="inlineStr">
        <is>
          <t>composite_split</t>
        </is>
      </c>
      <c r="L260" s="11" t="inlineStr">
        <is>
          <t>Flatfishes are demersal, but SAU &lt;90 cm band does not distinguish the source &lt;=30 cm species pool from &gt;30 cm juvenile/adult fish; all three residual demersal pools remain candidates.</t>
        </is>
      </c>
      <c r="M260" s="10" t="n">
        <v>161684.721</v>
      </c>
    </row>
    <row r="261" ht="36" customHeight="1">
      <c r="A261" s="10" t="inlineStr">
        <is>
          <t>LME_036</t>
        </is>
      </c>
      <c r="B261" s="11" t="inlineStr">
        <is>
          <t>36_2_South_China_Sea_SCS-2007_Northern_South_China_Sea_(1970s)</t>
        </is>
      </c>
      <c r="C261" s="11" t="inlineStr">
        <is>
          <t>Pleuronectiformes</t>
        </is>
      </c>
      <c r="D261" s="10" t="inlineStr">
        <is>
          <t>Flatfishes</t>
        </is>
      </c>
      <c r="E261" s="10" t="inlineStr">
        <is>
          <t>Small to medium flatfishes (&lt;90 cm)</t>
        </is>
      </c>
      <c r="F261" s="10" t="inlineStr">
        <is>
          <t>Flatfishes</t>
        </is>
      </c>
      <c r="G261" s="11" t="inlineStr">
        <is>
          <t>Adult demersal fish (&gt; 30 cm)</t>
        </is>
      </c>
      <c r="H261" s="12" t="n">
        <v>0.4914529914529914</v>
      </c>
      <c r="I261" s="10" t="inlineStr">
        <is>
          <t>model_catch</t>
        </is>
      </c>
      <c r="J261" s="13" t="inlineStr">
        <is>
          <t>low</t>
        </is>
      </c>
      <c r="K261" s="10" t="inlineStr">
        <is>
          <t>composite_split</t>
        </is>
      </c>
      <c r="L261" s="11" t="inlineStr">
        <is>
          <t>Flatfishes are demersal, but SAU &lt;90 cm band does not distinguish the source &lt;=30 cm species pool from &gt;30 cm juvenile/adult fish; all three residual demersal pools remain candidates.</t>
        </is>
      </c>
      <c r="M261" s="10" t="n">
        <v>161684.721</v>
      </c>
    </row>
    <row r="262" ht="36" customHeight="1">
      <c r="A262" s="10" t="inlineStr">
        <is>
          <t>LME_036</t>
        </is>
      </c>
      <c r="B262" s="11" t="inlineStr">
        <is>
          <t>36_2_South_China_Sea_SCS-2007_Northern_South_China_Sea_(1970s)</t>
        </is>
      </c>
      <c r="C262" s="11" t="inlineStr">
        <is>
          <t>Paralichthys olivaceus</t>
        </is>
      </c>
      <c r="D262" s="10" t="inlineStr">
        <is>
          <t>Bastard halibut</t>
        </is>
      </c>
      <c r="E262" s="10" t="inlineStr">
        <is>
          <t>Large flatfishes (&gt;=90 cm)</t>
        </is>
      </c>
      <c r="F262" s="10" t="inlineStr">
        <is>
          <t>Flatfishes</t>
        </is>
      </c>
      <c r="G262" s="11" t="inlineStr">
        <is>
          <t>Demesral fish (≤ 30 cm)</t>
        </is>
      </c>
      <c r="H262" s="12" t="n">
        <v>0.3854700854700854</v>
      </c>
      <c r="I262" s="10" t="inlineStr">
        <is>
          <t>model_catch</t>
        </is>
      </c>
      <c r="J262" s="13" t="inlineStr">
        <is>
          <t>low</t>
        </is>
      </c>
      <c r="K262" s="10" t="inlineStr">
        <is>
          <t>composite_split</t>
        </is>
      </c>
      <c r="L262" s="11" t="inlineStr">
        <is>
          <t>Flatfishes are demersal, but SAU &lt;90 cm band does not distinguish the source &lt;=30 cm species pool from &gt;30 cm juvenile/adult fish; all three residual demersal pools remain candidates.</t>
        </is>
      </c>
      <c r="M262" s="10" t="n">
        <v>146826.077</v>
      </c>
    </row>
    <row r="263" ht="36" customHeight="1">
      <c r="A263" s="10" t="inlineStr">
        <is>
          <t>LME_036</t>
        </is>
      </c>
      <c r="B263" s="11" t="inlineStr">
        <is>
          <t>36_2_South_China_Sea_SCS-2007_Northern_South_China_Sea_(1970s)</t>
        </is>
      </c>
      <c r="C263" s="11" t="inlineStr">
        <is>
          <t>Paralichthys olivaceus</t>
        </is>
      </c>
      <c r="D263" s="10" t="inlineStr">
        <is>
          <t>Bastard halibut</t>
        </is>
      </c>
      <c r="E263" s="10" t="inlineStr">
        <is>
          <t>Large flatfishes (&gt;=90 cm)</t>
        </is>
      </c>
      <c r="F263" s="10" t="inlineStr">
        <is>
          <t>Flatfishes</t>
        </is>
      </c>
      <c r="G263" s="11" t="inlineStr">
        <is>
          <t>Juvenile demersal fish (&gt; 30 cm)</t>
        </is>
      </c>
      <c r="H263" s="12" t="n">
        <v>0.1230769230769231</v>
      </c>
      <c r="I263" s="10" t="inlineStr">
        <is>
          <t>model_catch</t>
        </is>
      </c>
      <c r="J263" s="13" t="inlineStr">
        <is>
          <t>low</t>
        </is>
      </c>
      <c r="K263" s="10" t="inlineStr">
        <is>
          <t>composite_split</t>
        </is>
      </c>
      <c r="L263" s="11" t="inlineStr">
        <is>
          <t>Flatfishes are demersal, but SAU &lt;90 cm band does not distinguish the source &lt;=30 cm species pool from &gt;30 cm juvenile/adult fish; all three residual demersal pools remain candidates.</t>
        </is>
      </c>
      <c r="M263" s="10" t="n">
        <v>146826.077</v>
      </c>
    </row>
    <row r="264" ht="36" customHeight="1">
      <c r="A264" s="10" t="inlineStr">
        <is>
          <t>LME_036</t>
        </is>
      </c>
      <c r="B264" s="11" t="inlineStr">
        <is>
          <t>36_2_South_China_Sea_SCS-2007_Northern_South_China_Sea_(1970s)</t>
        </is>
      </c>
      <c r="C264" s="11" t="inlineStr">
        <is>
          <t>Paralichthys olivaceus</t>
        </is>
      </c>
      <c r="D264" s="10" t="inlineStr">
        <is>
          <t>Bastard halibut</t>
        </is>
      </c>
      <c r="E264" s="10" t="inlineStr">
        <is>
          <t>Large flatfishes (&gt;=90 cm)</t>
        </is>
      </c>
      <c r="F264" s="10" t="inlineStr">
        <is>
          <t>Flatfishes</t>
        </is>
      </c>
      <c r="G264" s="11" t="inlineStr">
        <is>
          <t>Adult demersal fish (&gt; 30 cm)</t>
        </is>
      </c>
      <c r="H264" s="12" t="n">
        <v>0.4914529914529914</v>
      </c>
      <c r="I264" s="10" t="inlineStr">
        <is>
          <t>model_catch</t>
        </is>
      </c>
      <c r="J264" s="13" t="inlineStr">
        <is>
          <t>low</t>
        </is>
      </c>
      <c r="K264" s="10" t="inlineStr">
        <is>
          <t>composite_split</t>
        </is>
      </c>
      <c r="L264" s="11" t="inlineStr">
        <is>
          <t>Flatfishes are demersal, but SAU &lt;90 cm band does not distinguish the source &lt;=30 cm species pool from &gt;30 cm juvenile/adult fish; all three residual demersal pools remain candidates.</t>
        </is>
      </c>
      <c r="M264" s="10" t="n">
        <v>146826.077</v>
      </c>
    </row>
    <row r="265" ht="36" customHeight="1">
      <c r="A265" s="10" t="inlineStr">
        <is>
          <t>LME_036</t>
        </is>
      </c>
      <c r="B265" s="11" t="inlineStr">
        <is>
          <t>36_2_South_China_Sea_SCS-2007_Northern_South_China_Sea_(1970s)</t>
        </is>
      </c>
      <c r="C265" s="11" t="inlineStr">
        <is>
          <t>Polynemidae</t>
        </is>
      </c>
      <c r="D265" s="10" t="inlineStr">
        <is>
          <t>Threadfins</t>
        </is>
      </c>
      <c r="E265" s="10" t="inlineStr">
        <is>
          <t>Small demersals (&lt;30 cm)</t>
        </is>
      </c>
      <c r="F265" s="10" t="inlineStr">
        <is>
          <t>Perch-likes</t>
        </is>
      </c>
      <c r="G265" s="11" t="inlineStr">
        <is>
          <t>Demesral fish (≤ 30 cm)</t>
        </is>
      </c>
      <c r="H265" s="12" t="n">
        <v>1</v>
      </c>
      <c r="I265" s="10" t="inlineStr">
        <is>
          <t>single</t>
        </is>
      </c>
      <c r="J265" s="14" t="inlineStr">
        <is>
          <t>medium</t>
        </is>
      </c>
      <c r="K265" s="10" t="inlineStr">
        <is>
          <t>habitat_size_guild</t>
        </is>
      </c>
      <c r="L265" s="11" t="inlineStr">
        <is>
          <t>Analyst habitat/size inference: small demersal or reef-associated fish after excluding dedicated taxonomic groups, matching Appendix 6.1.19 &lt;=30 cm residual demersal pool.</t>
        </is>
      </c>
      <c r="M265" s="10" t="n">
        <v>140604.644</v>
      </c>
    </row>
    <row r="266" ht="51" customHeight="1">
      <c r="A266" s="10" t="inlineStr">
        <is>
          <t>LME_036</t>
        </is>
      </c>
      <c r="B266" s="11" t="inlineStr">
        <is>
          <t>36_2_South_China_Sea_SCS-2007_Northern_South_China_Sea_(1970s)</t>
        </is>
      </c>
      <c r="C266" s="11" t="inlineStr">
        <is>
          <t>Caranx ignobilis</t>
        </is>
      </c>
      <c r="D266" s="10" t="inlineStr">
        <is>
          <t>Giant trevally</t>
        </is>
      </c>
      <c r="E266" s="10" t="inlineStr">
        <is>
          <t>Large reef assoc. fish (&gt;=90 cm)</t>
        </is>
      </c>
      <c r="F266" s="10" t="inlineStr">
        <is>
          <t>Perch-likes</t>
        </is>
      </c>
      <c r="G266" s="11" t="inlineStr">
        <is>
          <t>Juvenile large pelagic fish</t>
        </is>
      </c>
      <c r="H266" s="12" t="n">
        <v>0.2016806722689076</v>
      </c>
      <c r="I266" s="10" t="inlineStr">
        <is>
          <t>model_catch</t>
        </is>
      </c>
      <c r="J266" s="14" t="inlineStr">
        <is>
          <t>medium</t>
        </is>
      </c>
      <c r="K266" s="10" t="inlineStr">
        <is>
          <t>composite_split</t>
        </is>
      </c>
      <c r="L266" s="11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266" s="10" t="n">
        <v>138824.233</v>
      </c>
    </row>
    <row r="267" ht="51" customHeight="1">
      <c r="A267" s="10" t="inlineStr">
        <is>
          <t>LME_036</t>
        </is>
      </c>
      <c r="B267" s="11" t="inlineStr">
        <is>
          <t>36_2_South_China_Sea_SCS-2007_Northern_South_China_Sea_(1970s)</t>
        </is>
      </c>
      <c r="C267" s="11" t="inlineStr">
        <is>
          <t>Caranx ignobilis</t>
        </is>
      </c>
      <c r="D267" s="10" t="inlineStr">
        <is>
          <t>Giant trevally</t>
        </is>
      </c>
      <c r="E267" s="10" t="inlineStr">
        <is>
          <t>Large reef assoc. fish (&gt;=90 cm)</t>
        </is>
      </c>
      <c r="F267" s="10" t="inlineStr">
        <is>
          <t>Perch-likes</t>
        </is>
      </c>
      <c r="G267" s="11" t="inlineStr">
        <is>
          <t>Pelagic fish (&gt; 30 cm)</t>
        </is>
      </c>
      <c r="H267" s="12" t="n">
        <v>0.7983193277310925</v>
      </c>
      <c r="I267" s="10" t="inlineStr">
        <is>
          <t>model_catch</t>
        </is>
      </c>
      <c r="J267" s="14" t="inlineStr">
        <is>
          <t>medium</t>
        </is>
      </c>
      <c r="K267" s="10" t="inlineStr">
        <is>
          <t>composite_split</t>
        </is>
      </c>
      <c r="L267" s="11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267" s="10" t="n">
        <v>138824.233</v>
      </c>
    </row>
    <row r="268" ht="51" customHeight="1">
      <c r="A268" s="10" t="inlineStr">
        <is>
          <t>LME_036</t>
        </is>
      </c>
      <c r="B268" s="11" t="inlineStr">
        <is>
          <t>36_2_South_China_Sea_SCS-2007_Northern_South_China_Sea_(1970s)</t>
        </is>
      </c>
      <c r="C268" s="11" t="inlineStr">
        <is>
          <t>Pomadasys</t>
        </is>
      </c>
      <c r="D268" s="10" t="inlineStr">
        <is>
          <t>Grunters</t>
        </is>
      </c>
      <c r="E268" s="10" t="inlineStr">
        <is>
          <t>Medium demersals (30 - 89 cm)</t>
        </is>
      </c>
      <c r="F268" s="10" t="inlineStr">
        <is>
          <t>Perch-likes</t>
        </is>
      </c>
      <c r="G268" s="11" t="inlineStr">
        <is>
          <t>Juvenile demersal fish (&gt; 30 cm)</t>
        </is>
      </c>
      <c r="H268" s="12" t="n">
        <v>0.2002781641168289</v>
      </c>
      <c r="I268" s="10" t="inlineStr">
        <is>
          <t>model_catch</t>
        </is>
      </c>
      <c r="J268" s="14" t="inlineStr">
        <is>
          <t>medium</t>
        </is>
      </c>
      <c r="K268" s="10" t="inlineStr">
        <is>
          <t>composite_split</t>
        </is>
      </c>
      <c r="L268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268" s="10" t="n">
        <v>133963.582</v>
      </c>
    </row>
    <row r="269" ht="51" customHeight="1">
      <c r="A269" s="10" t="inlineStr">
        <is>
          <t>LME_036</t>
        </is>
      </c>
      <c r="B269" s="11" t="inlineStr">
        <is>
          <t>36_2_South_China_Sea_SCS-2007_Northern_South_China_Sea_(1970s)</t>
        </is>
      </c>
      <c r="C269" s="11" t="inlineStr">
        <is>
          <t>Pomadasys</t>
        </is>
      </c>
      <c r="D269" s="10" t="inlineStr">
        <is>
          <t>Grunters</t>
        </is>
      </c>
      <c r="E269" s="10" t="inlineStr">
        <is>
          <t>Medium demersals (30 - 89 cm)</t>
        </is>
      </c>
      <c r="F269" s="10" t="inlineStr">
        <is>
          <t>Perch-likes</t>
        </is>
      </c>
      <c r="G269" s="11" t="inlineStr">
        <is>
          <t>Adult demersal fish (&gt; 30 cm)</t>
        </is>
      </c>
      <c r="H269" s="12" t="n">
        <v>0.799721835883171</v>
      </c>
      <c r="I269" s="10" t="inlineStr">
        <is>
          <t>model_catch</t>
        </is>
      </c>
      <c r="J269" s="14" t="inlineStr">
        <is>
          <t>medium</t>
        </is>
      </c>
      <c r="K269" s="10" t="inlineStr">
        <is>
          <t>composite_split</t>
        </is>
      </c>
      <c r="L269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269" s="10" t="n">
        <v>133963.582</v>
      </c>
    </row>
    <row r="270" ht="36" customHeight="1">
      <c r="A270" s="10" t="inlineStr">
        <is>
          <t>LME_036</t>
        </is>
      </c>
      <c r="B270" s="11" t="inlineStr">
        <is>
          <t>36_2_South_China_Sea_SCS-2007_Northern_South_China_Sea_(1970s)</t>
        </is>
      </c>
      <c r="C270" s="11" t="inlineStr">
        <is>
          <t>Gastropoda</t>
        </is>
      </c>
      <c r="D270" s="10" t="inlineStr">
        <is>
          <t>Sea snails</t>
        </is>
      </c>
      <c r="E270" s="10" t="inlineStr">
        <is>
          <t>Other demersal invertebrates</t>
        </is>
      </c>
      <c r="F270" s="10" t="inlineStr">
        <is>
          <t>Molluscs</t>
        </is>
      </c>
      <c r="G270" s="11" t="inlineStr">
        <is>
          <t>Non-ceph molluscs</t>
        </is>
      </c>
      <c r="H270" s="12" t="n">
        <v>1</v>
      </c>
      <c r="I270" s="10" t="inlineStr">
        <is>
          <t>single</t>
        </is>
      </c>
      <c r="J270" s="15" t="inlineStr">
        <is>
          <t>high</t>
        </is>
      </c>
      <c r="K270" s="10" t="inlineStr">
        <is>
          <t>taxonomic_containment</t>
        </is>
      </c>
      <c r="L270" s="11" t="inlineStr">
        <is>
          <t>Taxonomic containment in the source benthos subdivision (Appendix 6.1.5 pp.324-325), keeping non-cephalopod molluscs separate from echinoderms and sessile invertebrates.</t>
        </is>
      </c>
      <c r="M270" s="10" t="n">
        <v>133445.785</v>
      </c>
    </row>
    <row r="271" ht="36" customHeight="1">
      <c r="A271" s="10" t="inlineStr">
        <is>
          <t>LME_036</t>
        </is>
      </c>
      <c r="B271" s="11" t="inlineStr">
        <is>
          <t>36_2_South_China_Sea_SCS-2007_Northern_South_China_Sea_(1970s)</t>
        </is>
      </c>
      <c r="C271" s="11" t="inlineStr">
        <is>
          <t>Psenopsis anomala</t>
        </is>
      </c>
      <c r="D271" s="10" t="inlineStr">
        <is>
          <t>Pacific rudderfish</t>
        </is>
      </c>
      <c r="E271" s="10" t="inlineStr">
        <is>
          <t>Small benthopelagics (&lt;30 cm)</t>
        </is>
      </c>
      <c r="F271" s="10" t="inlineStr">
        <is>
          <t>Perch-likes</t>
        </is>
      </c>
      <c r="G271" s="11" t="inlineStr">
        <is>
          <t>Melon seed</t>
        </is>
      </c>
      <c r="H271" s="12" t="n">
        <v>1</v>
      </c>
      <c r="I271" s="10" t="inlineStr">
        <is>
          <t>single</t>
        </is>
      </c>
      <c r="J271" s="15" t="inlineStr">
        <is>
          <t>high</t>
        </is>
      </c>
      <c r="K271" s="10" t="inlineStr">
        <is>
          <t>explicit_member</t>
        </is>
      </c>
      <c r="L271" s="11" t="inlineStr">
        <is>
          <t>Appendix 6.1 pp.327-335 defines Melon seed by this family or explicitly names Psenopsis anomala; dedicated source placement overrides the SAU class Small benthopelagics (&lt;30 cm).</t>
        </is>
      </c>
      <c r="M271" s="10" t="n">
        <v>132192.441</v>
      </c>
    </row>
    <row r="272" ht="51" customHeight="1">
      <c r="A272" s="10" t="inlineStr">
        <is>
          <t>LME_036</t>
        </is>
      </c>
      <c r="B272" s="11" t="inlineStr">
        <is>
          <t>36_2_South_China_Sea_SCS-2007_Northern_South_China_Sea_(1970s)</t>
        </is>
      </c>
      <c r="C272" s="11" t="inlineStr">
        <is>
          <t>Platycephalus indicus</t>
        </is>
      </c>
      <c r="D272" s="10" t="inlineStr">
        <is>
          <t>Bartail flathead</t>
        </is>
      </c>
      <c r="E272" s="10" t="inlineStr">
        <is>
          <t>Medium demersals (30 - 89 cm)</t>
        </is>
      </c>
      <c r="F272" s="10" t="inlineStr">
        <is>
          <t>Scorpionfishes</t>
        </is>
      </c>
      <c r="G272" s="11" t="inlineStr">
        <is>
          <t>Juvenile demersal fish (&gt; 30 cm)</t>
        </is>
      </c>
      <c r="H272" s="12" t="n">
        <v>0.2002781641168289</v>
      </c>
      <c r="I272" s="10" t="inlineStr">
        <is>
          <t>model_catch</t>
        </is>
      </c>
      <c r="J272" s="14" t="inlineStr">
        <is>
          <t>medium</t>
        </is>
      </c>
      <c r="K272" s="10" t="inlineStr">
        <is>
          <t>composite_split</t>
        </is>
      </c>
      <c r="L272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272" s="10" t="n">
        <v>128648.431</v>
      </c>
    </row>
    <row r="273" ht="51" customHeight="1">
      <c r="A273" s="10" t="inlineStr">
        <is>
          <t>LME_036</t>
        </is>
      </c>
      <c r="B273" s="11" t="inlineStr">
        <is>
          <t>36_2_South_China_Sea_SCS-2007_Northern_South_China_Sea_(1970s)</t>
        </is>
      </c>
      <c r="C273" s="11" t="inlineStr">
        <is>
          <t>Platycephalus indicus</t>
        </is>
      </c>
      <c r="D273" s="10" t="inlineStr">
        <is>
          <t>Bartail flathead</t>
        </is>
      </c>
      <c r="E273" s="10" t="inlineStr">
        <is>
          <t>Medium demersals (30 - 89 cm)</t>
        </is>
      </c>
      <c r="F273" s="10" t="inlineStr">
        <is>
          <t>Scorpionfishes</t>
        </is>
      </c>
      <c r="G273" s="11" t="inlineStr">
        <is>
          <t>Adult demersal fish (&gt; 30 cm)</t>
        </is>
      </c>
      <c r="H273" s="12" t="n">
        <v>0.799721835883171</v>
      </c>
      <c r="I273" s="10" t="inlineStr">
        <is>
          <t>model_catch</t>
        </is>
      </c>
      <c r="J273" s="14" t="inlineStr">
        <is>
          <t>medium</t>
        </is>
      </c>
      <c r="K273" s="10" t="inlineStr">
        <is>
          <t>composite_split</t>
        </is>
      </c>
      <c r="L273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273" s="10" t="n">
        <v>128648.431</v>
      </c>
    </row>
    <row r="274" ht="36" customHeight="1">
      <c r="A274" s="10" t="inlineStr">
        <is>
          <t>LME_036</t>
        </is>
      </c>
      <c r="B274" s="11" t="inlineStr">
        <is>
          <t>36_2_South_China_Sea_SCS-2007_Northern_South_China_Sea_(1970s)</t>
        </is>
      </c>
      <c r="C274" s="11" t="inlineStr">
        <is>
          <t>Ommastrephidae</t>
        </is>
      </c>
      <c r="D274" s="10" t="inlineStr">
        <is>
          <t>Arrow squids</t>
        </is>
      </c>
      <c r="E274" s="10" t="inlineStr">
        <is>
          <t>Cephalopods</t>
        </is>
      </c>
      <c r="F274" s="10" t="inlineStr">
        <is>
          <t>Other fishes &amp; inverts</t>
        </is>
      </c>
      <c r="G274" s="11" t="inlineStr">
        <is>
          <t>Cephalopods</t>
        </is>
      </c>
      <c r="H274" s="12" t="n">
        <v>1</v>
      </c>
      <c r="I274" s="10" t="inlineStr">
        <is>
          <t>single</t>
        </is>
      </c>
      <c r="J274" s="15" t="inlineStr">
        <is>
          <t>high</t>
        </is>
      </c>
      <c r="K274" s="10" t="inlineStr">
        <is>
          <t>taxonomic_containment</t>
        </is>
      </c>
      <c r="L274" s="11" t="inlineStr">
        <is>
          <t>Cephalopoda is contained by the single source Cephalopods group, Appendix 6.1.8 pp.326-327.</t>
        </is>
      </c>
      <c r="M274" s="10" t="n">
        <v>125296.493</v>
      </c>
    </row>
    <row r="275" ht="36" customHeight="1">
      <c r="A275" s="10" t="inlineStr">
        <is>
          <t>LME_036</t>
        </is>
      </c>
      <c r="B275" s="11" t="inlineStr">
        <is>
          <t>36_2_South_China_Sea_SCS-2007_Northern_South_China_Sea_(1970s)</t>
        </is>
      </c>
      <c r="C275" s="11" t="inlineStr">
        <is>
          <t>Gobiidae</t>
        </is>
      </c>
      <c r="D275" s="10" t="inlineStr">
        <is>
          <t>Gobies</t>
        </is>
      </c>
      <c r="E275" s="10" t="inlineStr">
        <is>
          <t>Small reef assoc. fish (&lt;30 cm)</t>
        </is>
      </c>
      <c r="F275" s="10" t="inlineStr">
        <is>
          <t>Perch-likes</t>
        </is>
      </c>
      <c r="G275" s="11" t="inlineStr">
        <is>
          <t>Demesral fish (≤ 30 cm)</t>
        </is>
      </c>
      <c r="H275" s="12" t="n">
        <v>1</v>
      </c>
      <c r="I275" s="10" t="inlineStr">
        <is>
          <t>single</t>
        </is>
      </c>
      <c r="J275" s="14" t="inlineStr">
        <is>
          <t>medium</t>
        </is>
      </c>
      <c r="K275" s="10" t="inlineStr">
        <is>
          <t>habitat_size_guild</t>
        </is>
      </c>
      <c r="L275" s="11" t="inlineStr">
        <is>
          <t>Analyst habitat/size inference: small demersal or reef-associated fish after excluding dedicated taxonomic groups, matching Appendix 6.1.19 &lt;=30 cm residual demersal pool.</t>
        </is>
      </c>
      <c r="M275" s="10" t="n">
        <v>123268.174</v>
      </c>
    </row>
    <row r="276" ht="36" customHeight="1">
      <c r="A276" s="10" t="inlineStr">
        <is>
          <t>LME_036</t>
        </is>
      </c>
      <c r="B276" s="11" t="inlineStr">
        <is>
          <t>36_2_South_China_Sea_SCS-2007_Northern_South_China_Sea_(1970s)</t>
        </is>
      </c>
      <c r="C276" s="11" t="inlineStr">
        <is>
          <t>Cephea</t>
        </is>
      </c>
      <c r="D276" s="10" t="inlineStr">
        <is>
          <t>Cepheid jellyfishes</t>
        </is>
      </c>
      <c r="E276" s="10" t="inlineStr">
        <is>
          <t>Jellyfish</t>
        </is>
      </c>
      <c r="F276" s="10" t="inlineStr">
        <is>
          <t>Other fishes &amp; inverts</t>
        </is>
      </c>
      <c r="G276" s="11" t="inlineStr">
        <is>
          <t>Jellyfish</t>
        </is>
      </c>
      <c r="H276" s="12" t="n">
        <v>1</v>
      </c>
      <c r="I276" s="10" t="inlineStr">
        <is>
          <t>single</t>
        </is>
      </c>
      <c r="J276" s="15" t="inlineStr">
        <is>
          <t>high</t>
        </is>
      </c>
      <c r="K276" s="10" t="inlineStr">
        <is>
          <t>taxonomic_containment</t>
        </is>
      </c>
      <c r="L276" s="11" t="inlineStr">
        <is>
          <t>Appendix 6.1.4 p.324 defines jellyfish as cnidarian medusae.</t>
        </is>
      </c>
      <c r="M276" s="10" t="n">
        <v>120878.508</v>
      </c>
    </row>
    <row r="277" ht="51" customHeight="1">
      <c r="A277" s="10" t="inlineStr">
        <is>
          <t>LME_036</t>
        </is>
      </c>
      <c r="B277" s="11" t="inlineStr">
        <is>
          <t>36_2_South_China_Sea_SCS-2007_Northern_South_China_Sea_(1970s)</t>
        </is>
      </c>
      <c r="C277" s="11" t="inlineStr">
        <is>
          <t>Haemulidae</t>
        </is>
      </c>
      <c r="D277" s="10" t="inlineStr">
        <is>
          <t>Grunts, sweetlips, bonnetmouths</t>
        </is>
      </c>
      <c r="E277" s="10" t="inlineStr">
        <is>
          <t>Medium demersals (30 - 89 cm)</t>
        </is>
      </c>
      <c r="F277" s="10" t="inlineStr">
        <is>
          <t>Perch-likes</t>
        </is>
      </c>
      <c r="G277" s="11" t="inlineStr">
        <is>
          <t>Juvenile demersal fish (&gt; 30 cm)</t>
        </is>
      </c>
      <c r="H277" s="12" t="n">
        <v>0.2002781641168289</v>
      </c>
      <c r="I277" s="10" t="inlineStr">
        <is>
          <t>model_catch</t>
        </is>
      </c>
      <c r="J277" s="14" t="inlineStr">
        <is>
          <t>medium</t>
        </is>
      </c>
      <c r="K277" s="10" t="inlineStr">
        <is>
          <t>composite_split</t>
        </is>
      </c>
      <c r="L277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277" s="10" t="n">
        <v>117050.836</v>
      </c>
    </row>
    <row r="278" ht="51" customHeight="1">
      <c r="A278" s="10" t="inlineStr">
        <is>
          <t>LME_036</t>
        </is>
      </c>
      <c r="B278" s="11" t="inlineStr">
        <is>
          <t>36_2_South_China_Sea_SCS-2007_Northern_South_China_Sea_(1970s)</t>
        </is>
      </c>
      <c r="C278" s="11" t="inlineStr">
        <is>
          <t>Haemulidae</t>
        </is>
      </c>
      <c r="D278" s="10" t="inlineStr">
        <is>
          <t>Grunts, sweetlips, bonnetmouths</t>
        </is>
      </c>
      <c r="E278" s="10" t="inlineStr">
        <is>
          <t>Medium demersals (30 - 89 cm)</t>
        </is>
      </c>
      <c r="F278" s="10" t="inlineStr">
        <is>
          <t>Perch-likes</t>
        </is>
      </c>
      <c r="G278" s="11" t="inlineStr">
        <is>
          <t>Adult demersal fish (&gt; 30 cm)</t>
        </is>
      </c>
      <c r="H278" s="12" t="n">
        <v>0.799721835883171</v>
      </c>
      <c r="I278" s="10" t="inlineStr">
        <is>
          <t>model_catch</t>
        </is>
      </c>
      <c r="J278" s="14" t="inlineStr">
        <is>
          <t>medium</t>
        </is>
      </c>
      <c r="K278" s="10" t="inlineStr">
        <is>
          <t>composite_split</t>
        </is>
      </c>
      <c r="L278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278" s="10" t="n">
        <v>117050.836</v>
      </c>
    </row>
    <row r="279" ht="36" customHeight="1">
      <c r="A279" s="10" t="inlineStr">
        <is>
          <t>LME_036</t>
        </is>
      </c>
      <c r="B279" s="11" t="inlineStr">
        <is>
          <t>36_2_South_China_Sea_SCS-2007_Northern_South_China_Sea_(1970s)</t>
        </is>
      </c>
      <c r="C279" s="11" t="inlineStr">
        <is>
          <t>Mytilidae</t>
        </is>
      </c>
      <c r="D279" s="10" t="inlineStr">
        <is>
          <t>Sea mussels</t>
        </is>
      </c>
      <c r="E279" s="10" t="inlineStr">
        <is>
          <t>Other demersal invertebrates</t>
        </is>
      </c>
      <c r="F279" s="10" t="inlineStr">
        <is>
          <t>Molluscs</t>
        </is>
      </c>
      <c r="G279" s="11" t="inlineStr">
        <is>
          <t>Non-ceph molluscs</t>
        </is>
      </c>
      <c r="H279" s="12" t="n">
        <v>1</v>
      </c>
      <c r="I279" s="10" t="inlineStr">
        <is>
          <t>single</t>
        </is>
      </c>
      <c r="J279" s="15" t="inlineStr">
        <is>
          <t>high</t>
        </is>
      </c>
      <c r="K279" s="10" t="inlineStr">
        <is>
          <t>taxonomic_containment</t>
        </is>
      </c>
      <c r="L279" s="11" t="inlineStr">
        <is>
          <t>Taxonomic containment in the source benthos subdivision (Appendix 6.1.5 pp.324-325), keeping non-cephalopod molluscs separate from echinoderms and sessile invertebrates.</t>
        </is>
      </c>
      <c r="M279" s="10" t="n">
        <v>115007.309</v>
      </c>
    </row>
    <row r="280" ht="36" customHeight="1">
      <c r="A280" s="10" t="inlineStr">
        <is>
          <t>LME_036</t>
        </is>
      </c>
      <c r="B280" s="11" t="inlineStr">
        <is>
          <t>36_2_South_China_Sea_SCS-2007_Northern_South_China_Sea_(1970s)</t>
        </is>
      </c>
      <c r="C280" s="11" t="inlineStr">
        <is>
          <t>Upeneus moluccensis</t>
        </is>
      </c>
      <c r="D280" s="10" t="inlineStr">
        <is>
          <t>Goldband goatfish</t>
        </is>
      </c>
      <c r="E280" s="10" t="inlineStr">
        <is>
          <t>Small reef assoc. fish (&lt;30 cm)</t>
        </is>
      </c>
      <c r="F280" s="10" t="inlineStr">
        <is>
          <t>Perch-likes</t>
        </is>
      </c>
      <c r="G280" s="11" t="inlineStr">
        <is>
          <t>Demesral fish (≤ 30 cm)</t>
        </is>
      </c>
      <c r="H280" s="12" t="n">
        <v>1</v>
      </c>
      <c r="I280" s="10" t="inlineStr">
        <is>
          <t>single</t>
        </is>
      </c>
      <c r="J280" s="14" t="inlineStr">
        <is>
          <t>medium</t>
        </is>
      </c>
      <c r="K280" s="10" t="inlineStr">
        <is>
          <t>habitat_size_guild</t>
        </is>
      </c>
      <c r="L280" s="11" t="inlineStr">
        <is>
          <t>Analyst habitat/size inference: small demersal or reef-associated fish after excluding dedicated taxonomic groups, matching Appendix 6.1.19 &lt;=30 cm residual demersal pool.</t>
        </is>
      </c>
      <c r="M280" s="10" t="n">
        <v>108216.654</v>
      </c>
    </row>
    <row r="281" ht="36" customHeight="1">
      <c r="A281" s="10" t="inlineStr">
        <is>
          <t>LME_036</t>
        </is>
      </c>
      <c r="B281" s="11" t="inlineStr">
        <is>
          <t>36_2_South_China_Sea_SCS-2007_Northern_South_China_Sea_(1970s)</t>
        </is>
      </c>
      <c r="C281" s="11" t="inlineStr">
        <is>
          <t>Perna viridis</t>
        </is>
      </c>
      <c r="D281" s="10" t="inlineStr">
        <is>
          <t>Brown mussel</t>
        </is>
      </c>
      <c r="E281" s="10" t="inlineStr">
        <is>
          <t>Other demersal invertebrates</t>
        </is>
      </c>
      <c r="F281" s="10" t="inlineStr">
        <is>
          <t>Molluscs</t>
        </is>
      </c>
      <c r="G281" s="11" t="inlineStr">
        <is>
          <t>Non-ceph molluscs</t>
        </is>
      </c>
      <c r="H281" s="12" t="n">
        <v>1</v>
      </c>
      <c r="I281" s="10" t="inlineStr">
        <is>
          <t>single</t>
        </is>
      </c>
      <c r="J281" s="15" t="inlineStr">
        <is>
          <t>high</t>
        </is>
      </c>
      <c r="K281" s="10" t="inlineStr">
        <is>
          <t>taxonomic_containment</t>
        </is>
      </c>
      <c r="L281" s="11" t="inlineStr">
        <is>
          <t>Taxonomic containment in the source benthos subdivision (Appendix 6.1.5 pp.324-325), keeping non-cephalopod molluscs separate from echinoderms and sessile invertebrates.</t>
        </is>
      </c>
      <c r="M281" s="10" t="n">
        <v>102837.253</v>
      </c>
    </row>
    <row r="282" ht="51" customHeight="1">
      <c r="A282" s="10" t="inlineStr">
        <is>
          <t>LME_036</t>
        </is>
      </c>
      <c r="B282" s="11" t="inlineStr">
        <is>
          <t>36_2_South_China_Sea_SCS-2007_Northern_South_China_Sea_(1970s)</t>
        </is>
      </c>
      <c r="C282" s="11" t="inlineStr">
        <is>
          <t>Terapon</t>
        </is>
      </c>
      <c r="D282" s="10" t="inlineStr">
        <is>
          <t>Terapons</t>
        </is>
      </c>
      <c r="E282" s="10" t="inlineStr">
        <is>
          <t>Medium demersals (30 - 89 cm)</t>
        </is>
      </c>
      <c r="F282" s="10" t="inlineStr">
        <is>
          <t>Perch-likes</t>
        </is>
      </c>
      <c r="G282" s="11" t="inlineStr">
        <is>
          <t>Juvenile demersal fish (&gt; 30 cm)</t>
        </is>
      </c>
      <c r="H282" s="12" t="n">
        <v>0.2002781641168289</v>
      </c>
      <c r="I282" s="10" t="inlineStr">
        <is>
          <t>model_catch</t>
        </is>
      </c>
      <c r="J282" s="14" t="inlineStr">
        <is>
          <t>medium</t>
        </is>
      </c>
      <c r="K282" s="10" t="inlineStr">
        <is>
          <t>composite_split</t>
        </is>
      </c>
      <c r="L282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282" s="10" t="n">
        <v>101597.254</v>
      </c>
    </row>
    <row r="283" ht="51" customHeight="1">
      <c r="A283" s="10" t="inlineStr">
        <is>
          <t>LME_036</t>
        </is>
      </c>
      <c r="B283" s="11" t="inlineStr">
        <is>
          <t>36_2_South_China_Sea_SCS-2007_Northern_South_China_Sea_(1970s)</t>
        </is>
      </c>
      <c r="C283" s="11" t="inlineStr">
        <is>
          <t>Terapon</t>
        </is>
      </c>
      <c r="D283" s="10" t="inlineStr">
        <is>
          <t>Terapons</t>
        </is>
      </c>
      <c r="E283" s="10" t="inlineStr">
        <is>
          <t>Medium demersals (30 - 89 cm)</t>
        </is>
      </c>
      <c r="F283" s="10" t="inlineStr">
        <is>
          <t>Perch-likes</t>
        </is>
      </c>
      <c r="G283" s="11" t="inlineStr">
        <is>
          <t>Adult demersal fish (&gt; 30 cm)</t>
        </is>
      </c>
      <c r="H283" s="12" t="n">
        <v>0.799721835883171</v>
      </c>
      <c r="I283" s="10" t="inlineStr">
        <is>
          <t>model_catch</t>
        </is>
      </c>
      <c r="J283" s="14" t="inlineStr">
        <is>
          <t>medium</t>
        </is>
      </c>
      <c r="K283" s="10" t="inlineStr">
        <is>
          <t>composite_split</t>
        </is>
      </c>
      <c r="L283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283" s="10" t="n">
        <v>101597.254</v>
      </c>
    </row>
    <row r="284" ht="51" customHeight="1">
      <c r="A284" s="10" t="inlineStr">
        <is>
          <t>LME_036</t>
        </is>
      </c>
      <c r="B284" s="11" t="inlineStr">
        <is>
          <t>36_2_South_China_Sea_SCS-2007_Northern_South_China_Sea_(1970s)</t>
        </is>
      </c>
      <c r="C284" s="11" t="inlineStr">
        <is>
          <t>Pampus chinensis</t>
        </is>
      </c>
      <c r="D284" s="10" t="inlineStr">
        <is>
          <t>Chinese silver pomfret</t>
        </is>
      </c>
      <c r="E284" s="10" t="inlineStr">
        <is>
          <t>Medium benthopelagics (30 - 89 cm)</t>
        </is>
      </c>
      <c r="F284" s="10" t="inlineStr">
        <is>
          <t>Perch-likes</t>
        </is>
      </c>
      <c r="G284" s="11" t="inlineStr">
        <is>
          <t>Pomfret (stromateids)</t>
        </is>
      </c>
      <c r="H284" s="12" t="n">
        <v>1</v>
      </c>
      <c r="I284" s="10" t="inlineStr">
        <is>
          <t>single</t>
        </is>
      </c>
      <c r="J284" s="15" t="inlineStr">
        <is>
          <t>high</t>
        </is>
      </c>
      <c r="K284" s="10" t="inlineStr">
        <is>
          <t>taxonomic_containment</t>
        </is>
      </c>
      <c r="L284" s="11" t="inlineStr">
        <is>
          <t>Appendix 6.1 pp.327-335 defines Pomfret (stromateids) by this family or explicitly names Pampus chinensis; dedicated source placement overrides the SAU class Medium benthopelagics (30 - 89 cm).</t>
        </is>
      </c>
      <c r="M284" s="10" t="n">
        <v>100274.619</v>
      </c>
    </row>
    <row r="285" ht="36" customHeight="1">
      <c r="A285" s="10" t="inlineStr">
        <is>
          <t>LME_036</t>
        </is>
      </c>
      <c r="B285" s="11" t="inlineStr">
        <is>
          <t>36_2_South_China_Sea_SCS-2007_Northern_South_China_Sea_(1970s)</t>
        </is>
      </c>
      <c r="C285" s="11" t="inlineStr">
        <is>
          <t>Rhizostomeae</t>
        </is>
      </c>
      <c r="D285" s="10" t="inlineStr">
        <is>
          <t>Oral arm jellyfishes</t>
        </is>
      </c>
      <c r="E285" s="10" t="inlineStr">
        <is>
          <t>Jellyfish</t>
        </is>
      </c>
      <c r="F285" s="10" t="inlineStr">
        <is>
          <t>Other fishes &amp; inverts</t>
        </is>
      </c>
      <c r="G285" s="11" t="inlineStr">
        <is>
          <t>Jellyfish</t>
        </is>
      </c>
      <c r="H285" s="12" t="n">
        <v>1</v>
      </c>
      <c r="I285" s="10" t="inlineStr">
        <is>
          <t>single</t>
        </is>
      </c>
      <c r="J285" s="15" t="inlineStr">
        <is>
          <t>high</t>
        </is>
      </c>
      <c r="K285" s="10" t="inlineStr">
        <is>
          <t>taxonomic_containment</t>
        </is>
      </c>
      <c r="L285" s="11" t="inlineStr">
        <is>
          <t>Appendix 6.1.4 p.324 defines jellyfish as cnidarian medusae.</t>
        </is>
      </c>
      <c r="M285" s="10" t="n">
        <v>98320.45699999999</v>
      </c>
    </row>
    <row r="286" ht="51" customHeight="1">
      <c r="A286" s="10" t="inlineStr">
        <is>
          <t>LME_036</t>
        </is>
      </c>
      <c r="B286" s="11" t="inlineStr">
        <is>
          <t>36_2_South_China_Sea_SCS-2007_Northern_South_China_Sea_(1970s)</t>
        </is>
      </c>
      <c r="C286" s="11" t="inlineStr">
        <is>
          <t>Sillago</t>
        </is>
      </c>
      <c r="D286" s="10" t="inlineStr">
        <is>
          <t>Smelt-whitings</t>
        </is>
      </c>
      <c r="E286" s="10" t="inlineStr">
        <is>
          <t>Medium demersals (30 - 89 cm)</t>
        </is>
      </c>
      <c r="F286" s="10" t="inlineStr">
        <is>
          <t>Perch-likes</t>
        </is>
      </c>
      <c r="G286" s="11" t="inlineStr">
        <is>
          <t>Juvenile demersal fish (&gt; 30 cm)</t>
        </is>
      </c>
      <c r="H286" s="12" t="n">
        <v>0.2002781641168289</v>
      </c>
      <c r="I286" s="10" t="inlineStr">
        <is>
          <t>model_catch</t>
        </is>
      </c>
      <c r="J286" s="14" t="inlineStr">
        <is>
          <t>medium</t>
        </is>
      </c>
      <c r="K286" s="10" t="inlineStr">
        <is>
          <t>composite_split</t>
        </is>
      </c>
      <c r="L286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286" s="10" t="n">
        <v>91698.603</v>
      </c>
    </row>
    <row r="287" ht="51" customHeight="1">
      <c r="A287" s="10" t="inlineStr">
        <is>
          <t>LME_036</t>
        </is>
      </c>
      <c r="B287" s="11" t="inlineStr">
        <is>
          <t>36_2_South_China_Sea_SCS-2007_Northern_South_China_Sea_(1970s)</t>
        </is>
      </c>
      <c r="C287" s="11" t="inlineStr">
        <is>
          <t>Sillago</t>
        </is>
      </c>
      <c r="D287" s="10" t="inlineStr">
        <is>
          <t>Smelt-whitings</t>
        </is>
      </c>
      <c r="E287" s="10" t="inlineStr">
        <is>
          <t>Medium demersals (30 - 89 cm)</t>
        </is>
      </c>
      <c r="F287" s="10" t="inlineStr">
        <is>
          <t>Perch-likes</t>
        </is>
      </c>
      <c r="G287" s="11" t="inlineStr">
        <is>
          <t>Adult demersal fish (&gt; 30 cm)</t>
        </is>
      </c>
      <c r="H287" s="12" t="n">
        <v>0.799721835883171</v>
      </c>
      <c r="I287" s="10" t="inlineStr">
        <is>
          <t>model_catch</t>
        </is>
      </c>
      <c r="J287" s="14" t="inlineStr">
        <is>
          <t>medium</t>
        </is>
      </c>
      <c r="K287" s="10" t="inlineStr">
        <is>
          <t>composite_split</t>
        </is>
      </c>
      <c r="L287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287" s="10" t="n">
        <v>91698.603</v>
      </c>
    </row>
    <row r="288" ht="36" customHeight="1">
      <c r="A288" s="10" t="inlineStr">
        <is>
          <t>LME_036</t>
        </is>
      </c>
      <c r="B288" s="11" t="inlineStr">
        <is>
          <t>36_2_South_China_Sea_SCS-2007_Northern_South_China_Sea_(1970s)</t>
        </is>
      </c>
      <c r="C288" s="11" t="inlineStr">
        <is>
          <t>Scyllaridae</t>
        </is>
      </c>
      <c r="D288" s="10" t="inlineStr">
        <is>
          <t>Slipper lobsters</t>
        </is>
      </c>
      <c r="E288" s="10" t="inlineStr">
        <is>
          <t>Lobsters, crabs</t>
        </is>
      </c>
      <c r="F288" s="10" t="inlineStr">
        <is>
          <t>Crustaceans</t>
        </is>
      </c>
      <c r="G288" s="11" t="inlineStr">
        <is>
          <t>Benthic crustaceans</t>
        </is>
      </c>
      <c r="H288" s="12" t="n">
        <v>1</v>
      </c>
      <c r="I288" s="10" t="inlineStr">
        <is>
          <t>single</t>
        </is>
      </c>
      <c r="J288" s="15" t="inlineStr">
        <is>
          <t>high</t>
        </is>
      </c>
      <c r="K288" s="10" t="inlineStr">
        <is>
          <t>taxonomic_containment</t>
        </is>
      </c>
      <c r="L288" s="11" t="inlineStr">
        <is>
          <t>Source benthic crustaceans exclude shrimps and crabs (Appendix 6.1.5 p.324); lobsters remain in that residual, while true crabs use Crabs.</t>
        </is>
      </c>
      <c r="M288" s="10" t="n">
        <v>91368.08100000001</v>
      </c>
    </row>
    <row r="289" ht="51" customHeight="1">
      <c r="A289" s="10" t="inlineStr">
        <is>
          <t>LME_036</t>
        </is>
      </c>
      <c r="B289" s="11" t="inlineStr">
        <is>
          <t>36_2_South_China_Sea_SCS-2007_Northern_South_China_Sea_(1970s)</t>
        </is>
      </c>
      <c r="C289" s="11" t="inlineStr">
        <is>
          <t>Anodontostoma chacunda</t>
        </is>
      </c>
      <c r="D289" s="10" t="inlineStr">
        <is>
          <t>Chacunda gizzard shad</t>
        </is>
      </c>
      <c r="E289" s="10" t="inlineStr">
        <is>
          <t>Small pelagics (&lt;30 cm)</t>
        </is>
      </c>
      <c r="F289" s="10" t="inlineStr">
        <is>
          <t>Herring-likes</t>
        </is>
      </c>
      <c r="G289" s="11" t="inlineStr">
        <is>
          <t>Pelagic fish (≤ 30 cm)</t>
        </is>
      </c>
      <c r="H289" s="12" t="n">
        <v>1</v>
      </c>
      <c r="I289" s="10" t="inlineStr">
        <is>
          <t>single</t>
        </is>
      </c>
      <c r="J289" s="14" t="inlineStr">
        <is>
          <t>medium</t>
        </is>
      </c>
      <c r="K289" s="10" t="inlineStr">
        <is>
          <t>habitat_size_guild</t>
        </is>
      </c>
      <c r="L289" s="11" t="inlineStr">
        <is>
          <t>Source small-pelagic pool explicitly includes sardines, thryssa and anchovies (Appendix 6.1.23 p.338); extension to the catch lineage uses SAU size as a proxy and is not a full species list.</t>
        </is>
      </c>
      <c r="M289" s="10" t="n">
        <v>90336.00900000001</v>
      </c>
    </row>
    <row r="290" ht="36" customHeight="1">
      <c r="A290" s="10" t="inlineStr">
        <is>
          <t>LME_036</t>
        </is>
      </c>
      <c r="B290" s="11" t="inlineStr">
        <is>
          <t>36_2_South_China_Sea_SCS-2007_Northern_South_China_Sea_(1970s)</t>
        </is>
      </c>
      <c r="C290" s="11" t="inlineStr">
        <is>
          <t>Echinoidea</t>
        </is>
      </c>
      <c r="D290" s="10" t="inlineStr">
        <is>
          <t>Sea urchins, sea hedgehogs</t>
        </is>
      </c>
      <c r="E290" s="10" t="inlineStr">
        <is>
          <t>Other demersal invertebrates</t>
        </is>
      </c>
      <c r="F290" s="10" t="inlineStr">
        <is>
          <t>Other fishes &amp; inverts</t>
        </is>
      </c>
      <c r="G290" s="11" t="inlineStr">
        <is>
          <t>Echinoderms</t>
        </is>
      </c>
      <c r="H290" s="12" t="n">
        <v>1</v>
      </c>
      <c r="I290" s="10" t="inlineStr">
        <is>
          <t>single</t>
        </is>
      </c>
      <c r="J290" s="15" t="inlineStr">
        <is>
          <t>high</t>
        </is>
      </c>
      <c r="K290" s="10" t="inlineStr">
        <is>
          <t>taxonomic_containment</t>
        </is>
      </c>
      <c r="L290" s="11" t="inlineStr">
        <is>
          <t>Taxonomic containment in the source benthos subdivision (Appendix 6.1.5 pp.324-325), keeping non-cephalopod molluscs separate from echinoderms and sessile invertebrates.</t>
        </is>
      </c>
      <c r="M290" s="10" t="n">
        <v>87912.766</v>
      </c>
    </row>
    <row r="291" ht="51" customHeight="1">
      <c r="A291" s="10" t="inlineStr">
        <is>
          <t>LME_036</t>
        </is>
      </c>
      <c r="B291" s="11" t="inlineStr">
        <is>
          <t>36_2_South_China_Sea_SCS-2007_Northern_South_China_Sea_(1970s)</t>
        </is>
      </c>
      <c r="C291" s="11" t="inlineStr">
        <is>
          <t>Ariomma indica</t>
        </is>
      </c>
      <c r="D291" s="10" t="inlineStr">
        <is>
          <t>Indian driftfish</t>
        </is>
      </c>
      <c r="E291" s="10" t="inlineStr">
        <is>
          <t>Small benthopelagics (&lt;30 cm)</t>
        </is>
      </c>
      <c r="F291" s="10" t="inlineStr">
        <is>
          <t>Perch-likes</t>
        </is>
      </c>
      <c r="G291" s="11" t="inlineStr">
        <is>
          <t>Benthopelagic fish</t>
        </is>
      </c>
      <c r="H291" s="12" t="n">
        <v>1</v>
      </c>
      <c r="I291" s="10" t="inlineStr">
        <is>
          <t>single</t>
        </is>
      </c>
      <c r="J291" s="13" t="inlineStr">
        <is>
          <t>low</t>
        </is>
      </c>
      <c r="K291" s="10" t="inlineStr">
        <is>
          <t>habitat_size_guild</t>
        </is>
      </c>
      <c r="L291" s="11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  <c r="M291" s="10" t="n">
        <v>86849.351</v>
      </c>
    </row>
    <row r="292" ht="51" customHeight="1">
      <c r="A292" s="10" t="inlineStr">
        <is>
          <t>LME_036</t>
        </is>
      </c>
      <c r="B292" s="11" t="inlineStr">
        <is>
          <t>36_2_South_China_Sea_SCS-2007_Northern_South_China_Sea_(1970s)</t>
        </is>
      </c>
      <c r="C292" s="11" t="inlineStr">
        <is>
          <t>Lutjanus quinquelineatus</t>
        </is>
      </c>
      <c r="D292" s="10" t="inlineStr">
        <is>
          <t>Five-lined snapper</t>
        </is>
      </c>
      <c r="E292" s="10" t="inlineStr">
        <is>
          <t>Medium reef assoc. fish (30 - 89 cm)</t>
        </is>
      </c>
      <c r="F292" s="10" t="inlineStr">
        <is>
          <t>Perch-likes</t>
        </is>
      </c>
      <c r="G292" s="11" t="inlineStr">
        <is>
          <t>Snappers</t>
        </is>
      </c>
      <c r="H292" s="12" t="n">
        <v>1</v>
      </c>
      <c r="I292" s="10" t="inlineStr">
        <is>
          <t>single</t>
        </is>
      </c>
      <c r="J292" s="15" t="inlineStr">
        <is>
          <t>high</t>
        </is>
      </c>
      <c r="K292" s="10" t="inlineStr">
        <is>
          <t>taxonomic_containment</t>
        </is>
      </c>
      <c r="L292" s="11" t="inlineStr">
        <is>
          <t>Appendix 6.1 pp.327-335 defines Snappers by this family or explicitly names Lutjanus quinquelineatus; dedicated source placement overrides the SAU class Medium reef assoc. fish (30 - 89 cm).</t>
        </is>
      </c>
      <c r="M292" s="10" t="n">
        <v>85439.462</v>
      </c>
    </row>
    <row r="293" ht="51" customHeight="1">
      <c r="A293" s="10" t="inlineStr">
        <is>
          <t>LME_036</t>
        </is>
      </c>
      <c r="B293" s="11" t="inlineStr">
        <is>
          <t>36_2_South_China_Sea_SCS-2007_Northern_South_China_Sea_(1970s)</t>
        </is>
      </c>
      <c r="C293" s="11" t="inlineStr">
        <is>
          <t>Platycaranx talamparoides</t>
        </is>
      </c>
      <c r="D293" s="10" t="inlineStr">
        <is>
          <t>Imposter trevally</t>
        </is>
      </c>
      <c r="E293" s="10" t="inlineStr">
        <is>
          <t>Medium pelagics (30 - 89 cm)</t>
        </is>
      </c>
      <c r="F293" s="10" t="inlineStr">
        <is>
          <t>Perch-likes</t>
        </is>
      </c>
      <c r="G293" s="11" t="inlineStr">
        <is>
          <t>Juvenile large pelagic fish</t>
        </is>
      </c>
      <c r="H293" s="12" t="n">
        <v>0.2016806722689076</v>
      </c>
      <c r="I293" s="10" t="inlineStr">
        <is>
          <t>model_catch</t>
        </is>
      </c>
      <c r="J293" s="14" t="inlineStr">
        <is>
          <t>medium</t>
        </is>
      </c>
      <c r="K293" s="10" t="inlineStr">
        <is>
          <t>composite_split</t>
        </is>
      </c>
      <c r="L293" s="11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293" s="10" t="n">
        <v>85261.257</v>
      </c>
    </row>
    <row r="294" ht="51" customHeight="1">
      <c r="A294" s="10" t="inlineStr">
        <is>
          <t>LME_036</t>
        </is>
      </c>
      <c r="B294" s="11" t="inlineStr">
        <is>
          <t>36_2_South_China_Sea_SCS-2007_Northern_South_China_Sea_(1970s)</t>
        </is>
      </c>
      <c r="C294" s="11" t="inlineStr">
        <is>
          <t>Platycaranx talamparoides</t>
        </is>
      </c>
      <c r="D294" s="10" t="inlineStr">
        <is>
          <t>Imposter trevally</t>
        </is>
      </c>
      <c r="E294" s="10" t="inlineStr">
        <is>
          <t>Medium pelagics (30 - 89 cm)</t>
        </is>
      </c>
      <c r="F294" s="10" t="inlineStr">
        <is>
          <t>Perch-likes</t>
        </is>
      </c>
      <c r="G294" s="11" t="inlineStr">
        <is>
          <t>Pelagic fish (&gt; 30 cm)</t>
        </is>
      </c>
      <c r="H294" s="12" t="n">
        <v>0.7983193277310925</v>
      </c>
      <c r="I294" s="10" t="inlineStr">
        <is>
          <t>model_catch</t>
        </is>
      </c>
      <c r="J294" s="14" t="inlineStr">
        <is>
          <t>medium</t>
        </is>
      </c>
      <c r="K294" s="10" t="inlineStr">
        <is>
          <t>composite_split</t>
        </is>
      </c>
      <c r="L294" s="11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294" s="10" t="n">
        <v>85261.257</v>
      </c>
    </row>
    <row r="295" ht="51" customHeight="1">
      <c r="A295" s="10" t="inlineStr">
        <is>
          <t>LME_036</t>
        </is>
      </c>
      <c r="B295" s="11" t="inlineStr">
        <is>
          <t>36_2_South_China_Sea_SCS-2007_Northern_South_China_Sea_(1970s)</t>
        </is>
      </c>
      <c r="C295" s="11" t="inlineStr">
        <is>
          <t>Planiliza haematocheilus</t>
        </is>
      </c>
      <c r="D295" s="10" t="inlineStr">
        <is>
          <t>So-iny mullet</t>
        </is>
      </c>
      <c r="E295" s="10" t="inlineStr">
        <is>
          <t>Medium demersals (30 - 89 cm)</t>
        </is>
      </c>
      <c r="F295" s="10" t="inlineStr">
        <is>
          <t>Perch-likes</t>
        </is>
      </c>
      <c r="G295" s="11" t="inlineStr">
        <is>
          <t>Juvenile demersal fish (&gt; 30 cm)</t>
        </is>
      </c>
      <c r="H295" s="12" t="n">
        <v>0.2002781641168289</v>
      </c>
      <c r="I295" s="10" t="inlineStr">
        <is>
          <t>model_catch</t>
        </is>
      </c>
      <c r="J295" s="14" t="inlineStr">
        <is>
          <t>medium</t>
        </is>
      </c>
      <c r="K295" s="10" t="inlineStr">
        <is>
          <t>composite_split</t>
        </is>
      </c>
      <c r="L295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295" s="10" t="n">
        <v>83320.213</v>
      </c>
    </row>
    <row r="296" ht="51" customHeight="1">
      <c r="A296" s="10" t="inlineStr">
        <is>
          <t>LME_036</t>
        </is>
      </c>
      <c r="B296" s="11" t="inlineStr">
        <is>
          <t>36_2_South_China_Sea_SCS-2007_Northern_South_China_Sea_(1970s)</t>
        </is>
      </c>
      <c r="C296" s="11" t="inlineStr">
        <is>
          <t>Planiliza haematocheilus</t>
        </is>
      </c>
      <c r="D296" s="10" t="inlineStr">
        <is>
          <t>So-iny mullet</t>
        </is>
      </c>
      <c r="E296" s="10" t="inlineStr">
        <is>
          <t>Medium demersals (30 - 89 cm)</t>
        </is>
      </c>
      <c r="F296" s="10" t="inlineStr">
        <is>
          <t>Perch-likes</t>
        </is>
      </c>
      <c r="G296" s="11" t="inlineStr">
        <is>
          <t>Adult demersal fish (&gt; 30 cm)</t>
        </is>
      </c>
      <c r="H296" s="12" t="n">
        <v>0.799721835883171</v>
      </c>
      <c r="I296" s="10" t="inlineStr">
        <is>
          <t>model_catch</t>
        </is>
      </c>
      <c r="J296" s="14" t="inlineStr">
        <is>
          <t>medium</t>
        </is>
      </c>
      <c r="K296" s="10" t="inlineStr">
        <is>
          <t>composite_split</t>
        </is>
      </c>
      <c r="L296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296" s="10" t="n">
        <v>83320.213</v>
      </c>
    </row>
    <row r="297" ht="51" customHeight="1">
      <c r="A297" s="10" t="inlineStr">
        <is>
          <t>LME_036</t>
        </is>
      </c>
      <c r="B297" s="11" t="inlineStr">
        <is>
          <t>36_2_South_China_Sea_SCS-2007_Northern_South_China_Sea_(1970s)</t>
        </is>
      </c>
      <c r="C297" s="11" t="inlineStr">
        <is>
          <t>Plotosus</t>
        </is>
      </c>
      <c r="D297" s="10" t="inlineStr">
        <is>
          <t>Eel catfishes</t>
        </is>
      </c>
      <c r="E297" s="10" t="inlineStr">
        <is>
          <t>Medium reef assoc. fish (30 - 89 cm)</t>
        </is>
      </c>
      <c r="F297" s="10" t="inlineStr">
        <is>
          <t>Other fishes &amp; inverts</t>
        </is>
      </c>
      <c r="G297" s="11" t="inlineStr">
        <is>
          <t>Juvenile demersal fish (&gt; 30 cm)</t>
        </is>
      </c>
      <c r="H297" s="12" t="n">
        <v>0.2002781641168289</v>
      </c>
      <c r="I297" s="10" t="inlineStr">
        <is>
          <t>model_catch</t>
        </is>
      </c>
      <c r="J297" s="14" t="inlineStr">
        <is>
          <t>medium</t>
        </is>
      </c>
      <c r="K297" s="10" t="inlineStr">
        <is>
          <t>composite_split</t>
        </is>
      </c>
      <c r="L297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297" s="10" t="n">
        <v>82892.16800000001</v>
      </c>
    </row>
    <row r="298" ht="51" customHeight="1">
      <c r="A298" s="10" t="inlineStr">
        <is>
          <t>LME_036</t>
        </is>
      </c>
      <c r="B298" s="11" t="inlineStr">
        <is>
          <t>36_2_South_China_Sea_SCS-2007_Northern_South_China_Sea_(1970s)</t>
        </is>
      </c>
      <c r="C298" s="11" t="inlineStr">
        <is>
          <t>Plotosus</t>
        </is>
      </c>
      <c r="D298" s="10" t="inlineStr">
        <is>
          <t>Eel catfishes</t>
        </is>
      </c>
      <c r="E298" s="10" t="inlineStr">
        <is>
          <t>Medium reef assoc. fish (30 - 89 cm)</t>
        </is>
      </c>
      <c r="F298" s="10" t="inlineStr">
        <is>
          <t>Other fishes &amp; inverts</t>
        </is>
      </c>
      <c r="G298" s="11" t="inlineStr">
        <is>
          <t>Adult demersal fish (&gt; 30 cm)</t>
        </is>
      </c>
      <c r="H298" s="12" t="n">
        <v>0.799721835883171</v>
      </c>
      <c r="I298" s="10" t="inlineStr">
        <is>
          <t>model_catch</t>
        </is>
      </c>
      <c r="J298" s="14" t="inlineStr">
        <is>
          <t>medium</t>
        </is>
      </c>
      <c r="K298" s="10" t="inlineStr">
        <is>
          <t>composite_split</t>
        </is>
      </c>
      <c r="L298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298" s="10" t="n">
        <v>82892.16800000001</v>
      </c>
    </row>
    <row r="299" ht="36" customHeight="1">
      <c r="A299" s="10" t="inlineStr">
        <is>
          <t>LME_036</t>
        </is>
      </c>
      <c r="B299" s="11" t="inlineStr">
        <is>
          <t>36_2_South_China_Sea_SCS-2007_Northern_South_China_Sea_(1970s)</t>
        </is>
      </c>
      <c r="C299" s="11" t="inlineStr">
        <is>
          <t>Hemiramphus</t>
        </is>
      </c>
      <c r="D299" s="10" t="inlineStr">
        <is>
          <t>Halfbeaks</t>
        </is>
      </c>
      <c r="E299" s="10" t="inlineStr">
        <is>
          <t>Medium pelagics (30 - 89 cm)</t>
        </is>
      </c>
      <c r="F299" s="10" t="inlineStr">
        <is>
          <t>Other fishes &amp; inverts</t>
        </is>
      </c>
      <c r="G299" s="11" t="inlineStr">
        <is>
          <t>Juvenile large pelagic fish</t>
        </is>
      </c>
      <c r="H299" s="12" t="n">
        <v>0.2016806722689076</v>
      </c>
      <c r="I299" s="10" t="inlineStr">
        <is>
          <t>model_catch</t>
        </is>
      </c>
      <c r="J299" s="14" t="inlineStr">
        <is>
          <t>medium</t>
        </is>
      </c>
      <c r="K299" s="10" t="inlineStr">
        <is>
          <t>composite_split</t>
        </is>
      </c>
      <c r="L299" s="11" t="inlineStr">
        <is>
          <t>Analyst habitat/size inference to source &gt;30 cm pelagic fish (Appendix 6.1.24 p.339); no age data, so split juvenile/adult using the period model catch.</t>
        </is>
      </c>
      <c r="M299" s="10" t="n">
        <v>82219.06299999999</v>
      </c>
    </row>
    <row r="300" ht="36" customHeight="1">
      <c r="A300" s="10" t="inlineStr">
        <is>
          <t>LME_036</t>
        </is>
      </c>
      <c r="B300" s="11" t="inlineStr">
        <is>
          <t>36_2_South_China_Sea_SCS-2007_Northern_South_China_Sea_(1970s)</t>
        </is>
      </c>
      <c r="C300" s="11" t="inlineStr">
        <is>
          <t>Hemiramphus</t>
        </is>
      </c>
      <c r="D300" s="10" t="inlineStr">
        <is>
          <t>Halfbeaks</t>
        </is>
      </c>
      <c r="E300" s="10" t="inlineStr">
        <is>
          <t>Medium pelagics (30 - 89 cm)</t>
        </is>
      </c>
      <c r="F300" s="10" t="inlineStr">
        <is>
          <t>Other fishes &amp; inverts</t>
        </is>
      </c>
      <c r="G300" s="11" t="inlineStr">
        <is>
          <t>Pelagic fish (&gt; 30 cm)</t>
        </is>
      </c>
      <c r="H300" s="12" t="n">
        <v>0.7983193277310925</v>
      </c>
      <c r="I300" s="10" t="inlineStr">
        <is>
          <t>model_catch</t>
        </is>
      </c>
      <c r="J300" s="14" t="inlineStr">
        <is>
          <t>medium</t>
        </is>
      </c>
      <c r="K300" s="10" t="inlineStr">
        <is>
          <t>composite_split</t>
        </is>
      </c>
      <c r="L300" s="11" t="inlineStr">
        <is>
          <t>Analyst habitat/size inference to source &gt;30 cm pelagic fish (Appendix 6.1.24 p.339); no age data, so split juvenile/adult using the period model catch.</t>
        </is>
      </c>
      <c r="M300" s="10" t="n">
        <v>82219.06299999999</v>
      </c>
    </row>
    <row r="301" ht="36" customHeight="1">
      <c r="A301" s="10" t="inlineStr">
        <is>
          <t>LME_036</t>
        </is>
      </c>
      <c r="B301" s="11" t="inlineStr">
        <is>
          <t>36_2_South_China_Sea_SCS-2007_Northern_South_China_Sea_(1970s)</t>
        </is>
      </c>
      <c r="C301" s="11" t="inlineStr">
        <is>
          <t>Scomber</t>
        </is>
      </c>
      <c r="D301" s="10" t="inlineStr">
        <is>
          <t>Chub mackerels</t>
        </is>
      </c>
      <c r="E301" s="10" t="inlineStr">
        <is>
          <t>Medium pelagics (30 - 89 cm)</t>
        </is>
      </c>
      <c r="F301" s="10" t="inlineStr">
        <is>
          <t>Perch-likes</t>
        </is>
      </c>
      <c r="G301" s="11" t="inlineStr">
        <is>
          <t>Juvenile large pelagic fish</t>
        </is>
      </c>
      <c r="H301" s="12" t="n">
        <v>0.2016806722689076</v>
      </c>
      <c r="I301" s="10" t="inlineStr">
        <is>
          <t>model_catch</t>
        </is>
      </c>
      <c r="J301" s="14" t="inlineStr">
        <is>
          <t>medium</t>
        </is>
      </c>
      <c r="K301" s="10" t="inlineStr">
        <is>
          <t>composite_split</t>
        </is>
      </c>
      <c r="L301" s="11" t="inlineStr">
        <is>
          <t>Analyst habitat/size inference to source &gt;30 cm pelagic fish (Appendix 6.1.24 p.339); no age data, so split juvenile/adult using the period model catch.</t>
        </is>
      </c>
      <c r="M301" s="10" t="n">
        <v>80523.34299999999</v>
      </c>
    </row>
    <row r="302" ht="36" customHeight="1">
      <c r="A302" s="10" t="inlineStr">
        <is>
          <t>LME_036</t>
        </is>
      </c>
      <c r="B302" s="11" t="inlineStr">
        <is>
          <t>36_2_South_China_Sea_SCS-2007_Northern_South_China_Sea_(1970s)</t>
        </is>
      </c>
      <c r="C302" s="11" t="inlineStr">
        <is>
          <t>Scomber</t>
        </is>
      </c>
      <c r="D302" s="10" t="inlineStr">
        <is>
          <t>Chub mackerels</t>
        </is>
      </c>
      <c r="E302" s="10" t="inlineStr">
        <is>
          <t>Medium pelagics (30 - 89 cm)</t>
        </is>
      </c>
      <c r="F302" s="10" t="inlineStr">
        <is>
          <t>Perch-likes</t>
        </is>
      </c>
      <c r="G302" s="11" t="inlineStr">
        <is>
          <t>Pelagic fish (&gt; 30 cm)</t>
        </is>
      </c>
      <c r="H302" s="12" t="n">
        <v>0.7983193277310925</v>
      </c>
      <c r="I302" s="10" t="inlineStr">
        <is>
          <t>model_catch</t>
        </is>
      </c>
      <c r="J302" s="14" t="inlineStr">
        <is>
          <t>medium</t>
        </is>
      </c>
      <c r="K302" s="10" t="inlineStr">
        <is>
          <t>composite_split</t>
        </is>
      </c>
      <c r="L302" s="11" t="inlineStr">
        <is>
          <t>Analyst habitat/size inference to source &gt;30 cm pelagic fish (Appendix 6.1.24 p.339); no age data, so split juvenile/adult using the period model catch.</t>
        </is>
      </c>
      <c r="M302" s="10" t="n">
        <v>80523.34299999999</v>
      </c>
    </row>
    <row r="303" ht="36" customHeight="1">
      <c r="A303" s="10" t="inlineStr">
        <is>
          <t>LME_036</t>
        </is>
      </c>
      <c r="B303" s="11" t="inlineStr">
        <is>
          <t>36_2_South_China_Sea_SCS-2007_Northern_South_China_Sea_(1970s)</t>
        </is>
      </c>
      <c r="C303" s="11" t="inlineStr">
        <is>
          <t>Cypselurus</t>
        </is>
      </c>
      <c r="D303" s="10" t="inlineStr">
        <is>
          <t>Cypselurid flyingfishes</t>
        </is>
      </c>
      <c r="E303" s="10" t="inlineStr">
        <is>
          <t>Small pelagics (&lt;30 cm)</t>
        </is>
      </c>
      <c r="F303" s="10" t="inlineStr">
        <is>
          <t>Other fishes &amp; inverts</t>
        </is>
      </c>
      <c r="G303" s="11" t="inlineStr">
        <is>
          <t>Pelagic fish (≤ 30 cm)</t>
        </is>
      </c>
      <c r="H303" s="12" t="n">
        <v>1</v>
      </c>
      <c r="I303" s="10" t="inlineStr">
        <is>
          <t>single</t>
        </is>
      </c>
      <c r="J303" s="14" t="inlineStr">
        <is>
          <t>medium</t>
        </is>
      </c>
      <c r="K303" s="10" t="inlineStr">
        <is>
          <t>habitat_size_guild</t>
        </is>
      </c>
      <c r="L303" s="11" t="inlineStr">
        <is>
          <t>Analyst habitat/size inference: SAU small-pelagic class matches the source &lt;=30 cm pelagic pool after dedicated source taxa were handled (Appendix 6.1.23 p.338).</t>
        </is>
      </c>
      <c r="M303" s="10" t="n">
        <v>78674.91099999999</v>
      </c>
    </row>
    <row r="304" ht="51" customHeight="1">
      <c r="A304" s="10" t="inlineStr">
        <is>
          <t>LME_036</t>
        </is>
      </c>
      <c r="B304" s="11" t="inlineStr">
        <is>
          <t>36_2_South_China_Sea_SCS-2007_Northern_South_China_Sea_(1970s)</t>
        </is>
      </c>
      <c r="C304" s="11" t="inlineStr">
        <is>
          <t>Sergestidae</t>
        </is>
      </c>
      <c r="D304" s="10" t="inlineStr">
        <is>
          <t>Sergestid shrimp</t>
        </is>
      </c>
      <c r="E304" s="10" t="inlineStr">
        <is>
          <t>Shrimps</t>
        </is>
      </c>
      <c r="F304" s="10" t="inlineStr">
        <is>
          <t>Crustaceans</t>
        </is>
      </c>
      <c r="G304" s="11" t="inlineStr">
        <is>
          <t>Zooplankton</t>
        </is>
      </c>
      <c r="H304" s="12" t="n">
        <v>0.345997609622173</v>
      </c>
      <c r="I304" s="10" t="inlineStr">
        <is>
          <t>catch_composition</t>
        </is>
      </c>
      <c r="J304" s="13" t="inlineStr">
        <is>
          <t>low</t>
        </is>
      </c>
      <c r="K304" s="10" t="inlineStr">
        <is>
          <t>composite_split</t>
        </is>
      </c>
      <c r="L304" s="11" t="inlineStr">
        <is>
          <t>Coarse crustacean label spans source Acetes in Zooplankton, other shrimps, crabs and residual benthic crustaceans (Appendix 6.1 pp.323-326); Sergestidae is restricted to the first two. Source membership precedes SAU habitat class.</t>
        </is>
      </c>
      <c r="M304" s="10" t="n">
        <v>77708.344</v>
      </c>
    </row>
    <row r="305" ht="51" customHeight="1">
      <c r="A305" s="10" t="inlineStr">
        <is>
          <t>LME_036</t>
        </is>
      </c>
      <c r="B305" s="11" t="inlineStr">
        <is>
          <t>36_2_South_China_Sea_SCS-2007_Northern_South_China_Sea_(1970s)</t>
        </is>
      </c>
      <c r="C305" s="11" t="inlineStr">
        <is>
          <t>Sergestidae</t>
        </is>
      </c>
      <c r="D305" s="10" t="inlineStr">
        <is>
          <t>Sergestid shrimp</t>
        </is>
      </c>
      <c r="E305" s="10" t="inlineStr">
        <is>
          <t>Shrimps</t>
        </is>
      </c>
      <c r="F305" s="10" t="inlineStr">
        <is>
          <t>Crustaceans</t>
        </is>
      </c>
      <c r="G305" s="11" t="inlineStr">
        <is>
          <t>Shrimps</t>
        </is>
      </c>
      <c r="H305" s="12" t="n">
        <v>0.654002390377827</v>
      </c>
      <c r="I305" s="10" t="inlineStr">
        <is>
          <t>catch_composition</t>
        </is>
      </c>
      <c r="J305" s="13" t="inlineStr">
        <is>
          <t>low</t>
        </is>
      </c>
      <c r="K305" s="10" t="inlineStr">
        <is>
          <t>composite_split</t>
        </is>
      </c>
      <c r="L305" s="11" t="inlineStr">
        <is>
          <t>Coarse crustacean label spans source Acetes in Zooplankton, other shrimps, crabs and residual benthic crustaceans (Appendix 6.1 pp.323-326); Sergestidae is restricted to the first two. Source membership precedes SAU habitat class.</t>
        </is>
      </c>
      <c r="M305" s="10" t="n">
        <v>77708.344</v>
      </c>
    </row>
    <row r="306" ht="36" customHeight="1">
      <c r="A306" s="10" t="inlineStr">
        <is>
          <t>LME_036</t>
        </is>
      </c>
      <c r="B306" s="11" t="inlineStr">
        <is>
          <t>36_2_South_China_Sea_SCS-2007_Northern_South_China_Sea_(1970s)</t>
        </is>
      </c>
      <c r="C306" s="11" t="inlineStr">
        <is>
          <t>Prionace glauca</t>
        </is>
      </c>
      <c r="D306" s="10" t="inlineStr">
        <is>
          <t>Blue shark</t>
        </is>
      </c>
      <c r="E306" s="10" t="inlineStr">
        <is>
          <t>Large sharks (&gt;=90 cm)</t>
        </is>
      </c>
      <c r="F306" s="10" t="inlineStr">
        <is>
          <t>Sharks &amp; rays</t>
        </is>
      </c>
      <c r="G306" s="11" t="inlineStr">
        <is>
          <t>Pelagic sharks and rays</t>
        </is>
      </c>
      <c r="H306" s="12" t="n">
        <v>1</v>
      </c>
      <c r="I306" s="10" t="inlineStr">
        <is>
          <t>single</t>
        </is>
      </c>
      <c r="J306" s="14" t="inlineStr">
        <is>
          <t>medium</t>
        </is>
      </c>
      <c r="K306" s="10" t="inlineStr">
        <is>
          <t>habitat_size_guild</t>
        </is>
      </c>
      <c r="L306" s="11" t="inlineStr">
        <is>
          <t>Pelagic shark lineage matches the pelagic elasmobranch definition, Appendix 6.1.25 p.340; species placement is analyst inference.</t>
        </is>
      </c>
      <c r="M306" s="10" t="n">
        <v>76937.868</v>
      </c>
    </row>
    <row r="307" ht="36" customHeight="1">
      <c r="A307" s="10" t="inlineStr">
        <is>
          <t>LME_036</t>
        </is>
      </c>
      <c r="B307" s="11" t="inlineStr">
        <is>
          <t>36_2_South_China_Sea_SCS-2007_Northern_South_China_Sea_(1970s)</t>
        </is>
      </c>
      <c r="C307" s="11" t="inlineStr">
        <is>
          <t>Xiphias gladius</t>
        </is>
      </c>
      <c r="D307" s="10" t="inlineStr">
        <is>
          <t>Swordfish</t>
        </is>
      </c>
      <c r="E307" s="10" t="inlineStr">
        <is>
          <t>Large pelagics (&gt;=90 cm)</t>
        </is>
      </c>
      <c r="F307" s="10" t="inlineStr">
        <is>
          <t>Tuna &amp; billfishes</t>
        </is>
      </c>
      <c r="G307" s="11" t="inlineStr">
        <is>
          <t>Unresolved</t>
        </is>
      </c>
      <c r="H307" s="12" t="n"/>
      <c r="I307" s="10" t="inlineStr"/>
      <c r="J307" s="16" t="inlineStr">
        <is>
          <t>unresolved</t>
        </is>
      </c>
      <c r="K307" s="10" t="inlineStr">
        <is>
          <t>none</t>
        </is>
      </c>
      <c r="L307" s="11" t="inlineStr">
        <is>
          <t>Northern continental-shelf model lacks a documented oceanic billfish or deep-pelagic compartment; assigning coastal juvenile/adult pelagic SPPR would be unsupported.</t>
        </is>
      </c>
      <c r="M307" s="10" t="n">
        <v>75931.501</v>
      </c>
    </row>
    <row r="308" ht="36" customHeight="1">
      <c r="A308" s="10" t="inlineStr">
        <is>
          <t>LME_036</t>
        </is>
      </c>
      <c r="B308" s="11" t="inlineStr">
        <is>
          <t>36_2_South_China_Sea_SCS-2007_Northern_South_China_Sea_(1970s)</t>
        </is>
      </c>
      <c r="C308" s="11" t="inlineStr">
        <is>
          <t>Scylla serrata</t>
        </is>
      </c>
      <c r="D308" s="10" t="inlineStr">
        <is>
          <t>Indo-Pacific swamp crab</t>
        </is>
      </c>
      <c r="E308" s="10" t="inlineStr">
        <is>
          <t>Lobsters, crabs</t>
        </is>
      </c>
      <c r="F308" s="10" t="inlineStr">
        <is>
          <t>Crustaceans</t>
        </is>
      </c>
      <c r="G308" s="11" t="inlineStr">
        <is>
          <t>Crabs</t>
        </is>
      </c>
      <c r="H308" s="12" t="n">
        <v>1</v>
      </c>
      <c r="I308" s="10" t="inlineStr">
        <is>
          <t>single</t>
        </is>
      </c>
      <c r="J308" s="15" t="inlineStr">
        <is>
          <t>high</t>
        </is>
      </c>
      <c r="K308" s="10" t="inlineStr">
        <is>
          <t>taxonomic_containment</t>
        </is>
      </c>
      <c r="L308" s="11" t="inlineStr">
        <is>
          <t>Source benthic crustaceans exclude shrimps and crabs (Appendix 6.1.5 p.324); lobsters remain in that residual, while true crabs use Crabs.</t>
        </is>
      </c>
      <c r="M308" s="10" t="n">
        <v>73959.967</v>
      </c>
    </row>
    <row r="309" ht="51" customHeight="1">
      <c r="A309" s="10" t="inlineStr">
        <is>
          <t>LME_036</t>
        </is>
      </c>
      <c r="B309" s="11" t="inlineStr">
        <is>
          <t>36_2_South_China_Sea_SCS-2007_Northern_South_China_Sea_(1970s)</t>
        </is>
      </c>
      <c r="C309" s="11" t="inlineStr">
        <is>
          <t>Malacostraca</t>
        </is>
      </c>
      <c r="D309" s="10" t="inlineStr">
        <is>
          <t>Lobsters, crabs, shrimps, krill</t>
        </is>
      </c>
      <c r="E309" s="10" t="inlineStr">
        <is>
          <t>Shrimps</t>
        </is>
      </c>
      <c r="F309" s="10" t="inlineStr">
        <is>
          <t>Crustaceans</t>
        </is>
      </c>
      <c r="G309" s="11" t="inlineStr">
        <is>
          <t>Zooplankton</t>
        </is>
      </c>
      <c r="H309" s="12" t="n">
        <v>0.2569684142645532</v>
      </c>
      <c r="I309" s="10" t="inlineStr">
        <is>
          <t>catch_composition</t>
        </is>
      </c>
      <c r="J309" s="13" t="inlineStr">
        <is>
          <t>low</t>
        </is>
      </c>
      <c r="K309" s="10" t="inlineStr">
        <is>
          <t>composite_split</t>
        </is>
      </c>
      <c r="L309" s="11" t="inlineStr">
        <is>
          <t>Coarse crustacean label spans source Acetes in Zooplankton, other shrimps, crabs and residual benthic crustaceans (Appendix 6.1 pp.323-326); Sergestidae is restricted to the first two. Source membership precedes SAU habitat class.</t>
        </is>
      </c>
      <c r="M309" s="10" t="n">
        <v>72517.89</v>
      </c>
    </row>
    <row r="310" ht="51" customHeight="1">
      <c r="A310" s="10" t="inlineStr">
        <is>
          <t>LME_036</t>
        </is>
      </c>
      <c r="B310" s="11" t="inlineStr">
        <is>
          <t>36_2_South_China_Sea_SCS-2007_Northern_South_China_Sea_(1970s)</t>
        </is>
      </c>
      <c r="C310" s="11" t="inlineStr">
        <is>
          <t>Malacostraca</t>
        </is>
      </c>
      <c r="D310" s="10" t="inlineStr">
        <is>
          <t>Lobsters, crabs, shrimps, krill</t>
        </is>
      </c>
      <c r="E310" s="10" t="inlineStr">
        <is>
          <t>Shrimps</t>
        </is>
      </c>
      <c r="F310" s="10" t="inlineStr">
        <is>
          <t>Crustaceans</t>
        </is>
      </c>
      <c r="G310" s="11" t="inlineStr">
        <is>
          <t>Benthic crustaceans</t>
        </is>
      </c>
      <c r="H310" s="12" t="n">
        <v>0.05182109872625006</v>
      </c>
      <c r="I310" s="10" t="inlineStr">
        <is>
          <t>catch_composition</t>
        </is>
      </c>
      <c r="J310" s="13" t="inlineStr">
        <is>
          <t>low</t>
        </is>
      </c>
      <c r="K310" s="10" t="inlineStr">
        <is>
          <t>composite_split</t>
        </is>
      </c>
      <c r="L310" s="11" t="inlineStr">
        <is>
          <t>Coarse crustacean label spans source Acetes in Zooplankton, other shrimps, crabs and residual benthic crustaceans (Appendix 6.1 pp.323-326); Sergestidae is restricted to the first two. Source membership precedes SAU habitat class.</t>
        </is>
      </c>
      <c r="M310" s="10" t="n">
        <v>72517.89</v>
      </c>
    </row>
    <row r="311" ht="51" customHeight="1">
      <c r="A311" s="10" t="inlineStr">
        <is>
          <t>LME_036</t>
        </is>
      </c>
      <c r="B311" s="11" t="inlineStr">
        <is>
          <t>36_2_South_China_Sea_SCS-2007_Northern_South_China_Sea_(1970s)</t>
        </is>
      </c>
      <c r="C311" s="11" t="inlineStr">
        <is>
          <t>Malacostraca</t>
        </is>
      </c>
      <c r="D311" s="10" t="inlineStr">
        <is>
          <t>Lobsters, crabs, shrimps, krill</t>
        </is>
      </c>
      <c r="E311" s="10" t="inlineStr">
        <is>
          <t>Shrimps</t>
        </is>
      </c>
      <c r="F311" s="10" t="inlineStr">
        <is>
          <t>Crustaceans</t>
        </is>
      </c>
      <c r="G311" s="11" t="inlineStr">
        <is>
          <t>Shrimps</t>
        </is>
      </c>
      <c r="H311" s="12" t="n">
        <v>0.4857199948986228</v>
      </c>
      <c r="I311" s="10" t="inlineStr">
        <is>
          <t>catch_composition</t>
        </is>
      </c>
      <c r="J311" s="13" t="inlineStr">
        <is>
          <t>low</t>
        </is>
      </c>
      <c r="K311" s="10" t="inlineStr">
        <is>
          <t>composite_split</t>
        </is>
      </c>
      <c r="L311" s="11" t="inlineStr">
        <is>
          <t>Coarse crustacean label spans source Acetes in Zooplankton, other shrimps, crabs and residual benthic crustaceans (Appendix 6.1 pp.323-326); Sergestidae is restricted to the first two. Source membership precedes SAU habitat class.</t>
        </is>
      </c>
      <c r="M311" s="10" t="n">
        <v>72517.89</v>
      </c>
    </row>
    <row r="312" ht="51" customHeight="1">
      <c r="A312" s="10" t="inlineStr">
        <is>
          <t>LME_036</t>
        </is>
      </c>
      <c r="B312" s="11" t="inlineStr">
        <is>
          <t>36_2_South_China_Sea_SCS-2007_Northern_South_China_Sea_(1970s)</t>
        </is>
      </c>
      <c r="C312" s="11" t="inlineStr">
        <is>
          <t>Malacostraca</t>
        </is>
      </c>
      <c r="D312" s="10" t="inlineStr">
        <is>
          <t>Lobsters, crabs, shrimps, krill</t>
        </is>
      </c>
      <c r="E312" s="10" t="inlineStr">
        <is>
          <t>Shrimps</t>
        </is>
      </c>
      <c r="F312" s="10" t="inlineStr">
        <is>
          <t>Crustaceans</t>
        </is>
      </c>
      <c r="G312" s="11" t="inlineStr">
        <is>
          <t>Crabs</t>
        </is>
      </c>
      <c r="H312" s="12" t="n">
        <v>0.2054904921105739</v>
      </c>
      <c r="I312" s="10" t="inlineStr">
        <is>
          <t>catch_composition</t>
        </is>
      </c>
      <c r="J312" s="13" t="inlineStr">
        <is>
          <t>low</t>
        </is>
      </c>
      <c r="K312" s="10" t="inlineStr">
        <is>
          <t>composite_split</t>
        </is>
      </c>
      <c r="L312" s="11" t="inlineStr">
        <is>
          <t>Coarse crustacean label spans source Acetes in Zooplankton, other shrimps, crabs and residual benthic crustaceans (Appendix 6.1 pp.323-326); Sergestidae is restricted to the first two. Source membership precedes SAU habitat class.</t>
        </is>
      </c>
      <c r="M312" s="10" t="n">
        <v>72517.89</v>
      </c>
    </row>
    <row r="313" ht="51" customHeight="1">
      <c r="A313" s="10" t="inlineStr">
        <is>
          <t>LME_036</t>
        </is>
      </c>
      <c r="B313" s="11" t="inlineStr">
        <is>
          <t>36_2_South_China_Sea_SCS-2007_Northern_South_China_Sea_(1970s)</t>
        </is>
      </c>
      <c r="C313" s="11" t="inlineStr">
        <is>
          <t>Scyris indica</t>
        </is>
      </c>
      <c r="D313" s="10" t="inlineStr">
        <is>
          <t>Indian threadfish</t>
        </is>
      </c>
      <c r="E313" s="10" t="inlineStr">
        <is>
          <t>Large reef assoc. fish (&gt;=90 cm)</t>
        </is>
      </c>
      <c r="F313" s="10" t="inlineStr">
        <is>
          <t>Perch-likes</t>
        </is>
      </c>
      <c r="G313" s="11" t="inlineStr">
        <is>
          <t>Juvenile large pelagic fish</t>
        </is>
      </c>
      <c r="H313" s="12" t="n">
        <v>0.2016806722689076</v>
      </c>
      <c r="I313" s="10" t="inlineStr">
        <is>
          <t>model_catch</t>
        </is>
      </c>
      <c r="J313" s="14" t="inlineStr">
        <is>
          <t>medium</t>
        </is>
      </c>
      <c r="K313" s="10" t="inlineStr">
        <is>
          <t>composite_split</t>
        </is>
      </c>
      <c r="L313" s="11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313" s="10" t="n">
        <v>67627.495</v>
      </c>
    </row>
    <row r="314" ht="51" customHeight="1">
      <c r="A314" s="10" t="inlineStr">
        <is>
          <t>LME_036</t>
        </is>
      </c>
      <c r="B314" s="11" t="inlineStr">
        <is>
          <t>36_2_South_China_Sea_SCS-2007_Northern_South_China_Sea_(1970s)</t>
        </is>
      </c>
      <c r="C314" s="11" t="inlineStr">
        <is>
          <t>Scyris indica</t>
        </is>
      </c>
      <c r="D314" s="10" t="inlineStr">
        <is>
          <t>Indian threadfish</t>
        </is>
      </c>
      <c r="E314" s="10" t="inlineStr">
        <is>
          <t>Large reef assoc. fish (&gt;=90 cm)</t>
        </is>
      </c>
      <c r="F314" s="10" t="inlineStr">
        <is>
          <t>Perch-likes</t>
        </is>
      </c>
      <c r="G314" s="11" t="inlineStr">
        <is>
          <t>Pelagic fish (&gt; 30 cm)</t>
        </is>
      </c>
      <c r="H314" s="12" t="n">
        <v>0.7983193277310925</v>
      </c>
      <c r="I314" s="10" t="inlineStr">
        <is>
          <t>model_catch</t>
        </is>
      </c>
      <c r="J314" s="14" t="inlineStr">
        <is>
          <t>medium</t>
        </is>
      </c>
      <c r="K314" s="10" t="inlineStr">
        <is>
          <t>composite_split</t>
        </is>
      </c>
      <c r="L314" s="11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314" s="10" t="n">
        <v>67627.495</v>
      </c>
    </row>
    <row r="315" ht="36" customHeight="1">
      <c r="A315" s="10" t="inlineStr">
        <is>
          <t>LME_036</t>
        </is>
      </c>
      <c r="B315" s="11" t="inlineStr">
        <is>
          <t>36_2_South_China_Sea_SCS-2007_Northern_South_China_Sea_(1970s)</t>
        </is>
      </c>
      <c r="C315" s="11" t="inlineStr">
        <is>
          <t>Metapenaeus joyneri</t>
        </is>
      </c>
      <c r="D315" s="10" t="inlineStr">
        <is>
          <t>Shiba shrimp</t>
        </is>
      </c>
      <c r="E315" s="10" t="inlineStr">
        <is>
          <t>Shrimps</t>
        </is>
      </c>
      <c r="F315" s="10" t="inlineStr">
        <is>
          <t>Crustaceans</t>
        </is>
      </c>
      <c r="G315" s="11" t="inlineStr">
        <is>
          <t>Shrimps</t>
        </is>
      </c>
      <c r="H315" s="12" t="n">
        <v>1</v>
      </c>
      <c r="I315" s="10" t="inlineStr">
        <is>
          <t>single</t>
        </is>
      </c>
      <c r="J315" s="15" t="inlineStr">
        <is>
          <t>high</t>
        </is>
      </c>
      <c r="K315" s="10" t="inlineStr">
        <is>
          <t>taxonomic_containment</t>
        </is>
      </c>
      <c r="L315" s="11" t="inlineStr">
        <is>
          <t>Stomatopods belong to the residual benthic crustaceans; other shrimp taxa belong to Shrimps after the explicitly separated Acetes records (Appendix 6.1 pp.323-326).</t>
        </is>
      </c>
      <c r="M315" s="10" t="n">
        <v>67586.25999999999</v>
      </c>
    </row>
    <row r="316" ht="51" customHeight="1">
      <c r="A316" s="10" t="inlineStr">
        <is>
          <t>LME_036</t>
        </is>
      </c>
      <c r="B316" s="11" t="inlineStr">
        <is>
          <t>36_2_South_China_Sea_SCS-2007_Northern_South_China_Sea_(1970s)</t>
        </is>
      </c>
      <c r="C316" s="11" t="inlineStr">
        <is>
          <t>Gadiformes</t>
        </is>
      </c>
      <c r="D316" s="10" t="inlineStr">
        <is>
          <t>Cods</t>
        </is>
      </c>
      <c r="E316" s="10" t="inlineStr">
        <is>
          <t>Medium benthopelagics (30 - 89 cm)</t>
        </is>
      </c>
      <c r="F316" s="10" t="inlineStr">
        <is>
          <t>Cod-likes</t>
        </is>
      </c>
      <c r="G316" s="11" t="inlineStr">
        <is>
          <t>Demesral fish (≤ 30 cm)</t>
        </is>
      </c>
      <c r="H316" s="12" t="n">
        <v>0.3854700854700854</v>
      </c>
      <c r="I316" s="10" t="inlineStr">
        <is>
          <t>model_catch</t>
        </is>
      </c>
      <c r="J316" s="13" t="inlineStr">
        <is>
          <t>low</t>
        </is>
      </c>
      <c r="K316" s="10" t="inlineStr">
        <is>
          <t>composite_split</t>
        </is>
      </c>
      <c r="L316" s="11" t="inlineStr">
        <is>
          <t>Analyst coarse-catch inference from SAU Medium benthopelagics (30 - 89 cm) to residual habitat/size pools in Appendix 6.1 pp.335-339, excluding dedicated named taxa; period model catch weights preserve stanza selectivity.</t>
        </is>
      </c>
      <c r="M316" s="10" t="n">
        <v>64264.466</v>
      </c>
    </row>
    <row r="317" ht="51" customHeight="1">
      <c r="A317" s="10" t="inlineStr">
        <is>
          <t>LME_036</t>
        </is>
      </c>
      <c r="B317" s="11" t="inlineStr">
        <is>
          <t>36_2_South_China_Sea_SCS-2007_Northern_South_China_Sea_(1970s)</t>
        </is>
      </c>
      <c r="C317" s="11" t="inlineStr">
        <is>
          <t>Gadiformes</t>
        </is>
      </c>
      <c r="D317" s="10" t="inlineStr">
        <is>
          <t>Cods</t>
        </is>
      </c>
      <c r="E317" s="10" t="inlineStr">
        <is>
          <t>Medium benthopelagics (30 - 89 cm)</t>
        </is>
      </c>
      <c r="F317" s="10" t="inlineStr">
        <is>
          <t>Cod-likes</t>
        </is>
      </c>
      <c r="G317" s="11" t="inlineStr">
        <is>
          <t>Juvenile demersal fish (&gt; 30 cm)</t>
        </is>
      </c>
      <c r="H317" s="12" t="n">
        <v>0.1230769230769231</v>
      </c>
      <c r="I317" s="10" t="inlineStr">
        <is>
          <t>model_catch</t>
        </is>
      </c>
      <c r="J317" s="13" t="inlineStr">
        <is>
          <t>low</t>
        </is>
      </c>
      <c r="K317" s="10" t="inlineStr">
        <is>
          <t>composite_split</t>
        </is>
      </c>
      <c r="L317" s="11" t="inlineStr">
        <is>
          <t>Analyst coarse-catch inference from SAU Medium benthopelagics (30 - 89 cm) to residual habitat/size pools in Appendix 6.1 pp.335-339, excluding dedicated named taxa; period model catch weights preserve stanza selectivity.</t>
        </is>
      </c>
      <c r="M317" s="10" t="n">
        <v>64264.466</v>
      </c>
    </row>
    <row r="318" ht="51" customHeight="1">
      <c r="A318" s="10" t="inlineStr">
        <is>
          <t>LME_036</t>
        </is>
      </c>
      <c r="B318" s="11" t="inlineStr">
        <is>
          <t>36_2_South_China_Sea_SCS-2007_Northern_South_China_Sea_(1970s)</t>
        </is>
      </c>
      <c r="C318" s="11" t="inlineStr">
        <is>
          <t>Gadiformes</t>
        </is>
      </c>
      <c r="D318" s="10" t="inlineStr">
        <is>
          <t>Cods</t>
        </is>
      </c>
      <c r="E318" s="10" t="inlineStr">
        <is>
          <t>Medium benthopelagics (30 - 89 cm)</t>
        </is>
      </c>
      <c r="F318" s="10" t="inlineStr">
        <is>
          <t>Cod-likes</t>
        </is>
      </c>
      <c r="G318" s="11" t="inlineStr">
        <is>
          <t>Adult demersal fish (&gt; 30 cm)</t>
        </is>
      </c>
      <c r="H318" s="12" t="n">
        <v>0.4914529914529914</v>
      </c>
      <c r="I318" s="10" t="inlineStr">
        <is>
          <t>model_catch</t>
        </is>
      </c>
      <c r="J318" s="13" t="inlineStr">
        <is>
          <t>low</t>
        </is>
      </c>
      <c r="K318" s="10" t="inlineStr">
        <is>
          <t>composite_split</t>
        </is>
      </c>
      <c r="L318" s="11" t="inlineStr">
        <is>
          <t>Analyst coarse-catch inference from SAU Medium benthopelagics (30 - 89 cm) to residual habitat/size pools in Appendix 6.1 pp.335-339, excluding dedicated named taxa; period model catch weights preserve stanza selectivity.</t>
        </is>
      </c>
      <c r="M318" s="10" t="n">
        <v>64264.466</v>
      </c>
    </row>
    <row r="319" ht="36" customHeight="1">
      <c r="A319" s="10" t="inlineStr">
        <is>
          <t>LME_036</t>
        </is>
      </c>
      <c r="B319" s="11" t="inlineStr">
        <is>
          <t>36_2_South_China_Sea_SCS-2007_Northern_South_China_Sea_(1970s)</t>
        </is>
      </c>
      <c r="C319" s="11" t="inlineStr">
        <is>
          <t>Cynoglossus</t>
        </is>
      </c>
      <c r="D319" s="10" t="inlineStr">
        <is>
          <t>Tonguesoles</t>
        </is>
      </c>
      <c r="E319" s="10" t="inlineStr">
        <is>
          <t>Small to medium flatfishes (&lt;90 cm)</t>
        </is>
      </c>
      <c r="F319" s="10" t="inlineStr">
        <is>
          <t>Flatfishes</t>
        </is>
      </c>
      <c r="G319" s="11" t="inlineStr">
        <is>
          <t>Demesral fish (≤ 30 cm)</t>
        </is>
      </c>
      <c r="H319" s="12" t="n">
        <v>0.3854700854700854</v>
      </c>
      <c r="I319" s="10" t="inlineStr">
        <is>
          <t>model_catch</t>
        </is>
      </c>
      <c r="J319" s="13" t="inlineStr">
        <is>
          <t>low</t>
        </is>
      </c>
      <c r="K319" s="10" t="inlineStr">
        <is>
          <t>composite_split</t>
        </is>
      </c>
      <c r="L319" s="11" t="inlineStr">
        <is>
          <t>Flatfishes are demersal, but SAU &lt;90 cm band does not distinguish the source &lt;=30 cm species pool from &gt;30 cm juvenile/adult fish; all three residual demersal pools remain candidates.</t>
        </is>
      </c>
      <c r="M319" s="10" t="n">
        <v>63100.538</v>
      </c>
    </row>
    <row r="320" ht="36" customHeight="1">
      <c r="A320" s="10" t="inlineStr">
        <is>
          <t>LME_036</t>
        </is>
      </c>
      <c r="B320" s="11" t="inlineStr">
        <is>
          <t>36_2_South_China_Sea_SCS-2007_Northern_South_China_Sea_(1970s)</t>
        </is>
      </c>
      <c r="C320" s="11" t="inlineStr">
        <is>
          <t>Cynoglossus</t>
        </is>
      </c>
      <c r="D320" s="10" t="inlineStr">
        <is>
          <t>Tonguesoles</t>
        </is>
      </c>
      <c r="E320" s="10" t="inlineStr">
        <is>
          <t>Small to medium flatfishes (&lt;90 cm)</t>
        </is>
      </c>
      <c r="F320" s="10" t="inlineStr">
        <is>
          <t>Flatfishes</t>
        </is>
      </c>
      <c r="G320" s="11" t="inlineStr">
        <is>
          <t>Juvenile demersal fish (&gt; 30 cm)</t>
        </is>
      </c>
      <c r="H320" s="12" t="n">
        <v>0.1230769230769231</v>
      </c>
      <c r="I320" s="10" t="inlineStr">
        <is>
          <t>model_catch</t>
        </is>
      </c>
      <c r="J320" s="13" t="inlineStr">
        <is>
          <t>low</t>
        </is>
      </c>
      <c r="K320" s="10" t="inlineStr">
        <is>
          <t>composite_split</t>
        </is>
      </c>
      <c r="L320" s="11" t="inlineStr">
        <is>
          <t>Flatfishes are demersal, but SAU &lt;90 cm band does not distinguish the source &lt;=30 cm species pool from &gt;30 cm juvenile/adult fish; all three residual demersal pools remain candidates.</t>
        </is>
      </c>
      <c r="M320" s="10" t="n">
        <v>63100.538</v>
      </c>
    </row>
    <row r="321" ht="36" customHeight="1">
      <c r="A321" s="10" t="inlineStr">
        <is>
          <t>LME_036</t>
        </is>
      </c>
      <c r="B321" s="11" t="inlineStr">
        <is>
          <t>36_2_South_China_Sea_SCS-2007_Northern_South_China_Sea_(1970s)</t>
        </is>
      </c>
      <c r="C321" s="11" t="inlineStr">
        <is>
          <t>Cynoglossus</t>
        </is>
      </c>
      <c r="D321" s="10" t="inlineStr">
        <is>
          <t>Tonguesoles</t>
        </is>
      </c>
      <c r="E321" s="10" t="inlineStr">
        <is>
          <t>Small to medium flatfishes (&lt;90 cm)</t>
        </is>
      </c>
      <c r="F321" s="10" t="inlineStr">
        <is>
          <t>Flatfishes</t>
        </is>
      </c>
      <c r="G321" s="11" t="inlineStr">
        <is>
          <t>Adult demersal fish (&gt; 30 cm)</t>
        </is>
      </c>
      <c r="H321" s="12" t="n">
        <v>0.4914529914529914</v>
      </c>
      <c r="I321" s="10" t="inlineStr">
        <is>
          <t>model_catch</t>
        </is>
      </c>
      <c r="J321" s="13" t="inlineStr">
        <is>
          <t>low</t>
        </is>
      </c>
      <c r="K321" s="10" t="inlineStr">
        <is>
          <t>composite_split</t>
        </is>
      </c>
      <c r="L321" s="11" t="inlineStr">
        <is>
          <t>Flatfishes are demersal, but SAU &lt;90 cm band does not distinguish the source &lt;=30 cm species pool from &gt;30 cm juvenile/adult fish; all three residual demersal pools remain candidates.</t>
        </is>
      </c>
      <c r="M321" s="10" t="n">
        <v>63100.538</v>
      </c>
    </row>
    <row r="322" ht="51" customHeight="1">
      <c r="A322" s="10" t="inlineStr">
        <is>
          <t>LME_036</t>
        </is>
      </c>
      <c r="B322" s="11" t="inlineStr">
        <is>
          <t>36_2_South_China_Sea_SCS-2007_Northern_South_China_Sea_(1970s)</t>
        </is>
      </c>
      <c r="C322" s="11" t="inlineStr">
        <is>
          <t>Gerreidae</t>
        </is>
      </c>
      <c r="D322" s="10" t="inlineStr">
        <is>
          <t>Mojarras, silverbellies</t>
        </is>
      </c>
      <c r="E322" s="10" t="inlineStr">
        <is>
          <t>Small benthopelagics (&lt;30 cm)</t>
        </is>
      </c>
      <c r="F322" s="10" t="inlineStr">
        <is>
          <t>Perch-likes</t>
        </is>
      </c>
      <c r="G322" s="11" t="inlineStr">
        <is>
          <t>Benthopelagic fish</t>
        </is>
      </c>
      <c r="H322" s="12" t="n">
        <v>1</v>
      </c>
      <c r="I322" s="10" t="inlineStr">
        <is>
          <t>single</t>
        </is>
      </c>
      <c r="J322" s="13" t="inlineStr">
        <is>
          <t>low</t>
        </is>
      </c>
      <c r="K322" s="10" t="inlineStr">
        <is>
          <t>habitat_size_guild</t>
        </is>
      </c>
      <c r="L322" s="11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  <c r="M322" s="10" t="n">
        <v>61206.386</v>
      </c>
    </row>
    <row r="323" ht="36" customHeight="1">
      <c r="A323" s="10" t="inlineStr">
        <is>
          <t>LME_036</t>
        </is>
      </c>
      <c r="B323" s="11" t="inlineStr">
        <is>
          <t>36_2_South_China_Sea_SCS-2007_Northern_South_China_Sea_(1970s)</t>
        </is>
      </c>
      <c r="C323" s="11" t="inlineStr">
        <is>
          <t>Panulirus longipes</t>
        </is>
      </c>
      <c r="D323" s="10" t="inlineStr">
        <is>
          <t>Longlegged spiny lobster</t>
        </is>
      </c>
      <c r="E323" s="10" t="inlineStr">
        <is>
          <t>Lobsters, crabs</t>
        </is>
      </c>
      <c r="F323" s="10" t="inlineStr">
        <is>
          <t>Crustaceans</t>
        </is>
      </c>
      <c r="G323" s="11" t="inlineStr">
        <is>
          <t>Benthic crustaceans</t>
        </is>
      </c>
      <c r="H323" s="12" t="n">
        <v>1</v>
      </c>
      <c r="I323" s="10" t="inlineStr">
        <is>
          <t>single</t>
        </is>
      </c>
      <c r="J323" s="15" t="inlineStr">
        <is>
          <t>high</t>
        </is>
      </c>
      <c r="K323" s="10" t="inlineStr">
        <is>
          <t>taxonomic_containment</t>
        </is>
      </c>
      <c r="L323" s="11" t="inlineStr">
        <is>
          <t>Source benthic crustaceans exclude shrimps and crabs (Appendix 6.1.5 p.324); lobsters remain in that residual, while true crabs use Crabs.</t>
        </is>
      </c>
      <c r="M323" s="10" t="n">
        <v>61158.427</v>
      </c>
    </row>
    <row r="324" ht="51" customHeight="1">
      <c r="A324" s="10" t="inlineStr">
        <is>
          <t>LME_036</t>
        </is>
      </c>
      <c r="B324" s="11" t="inlineStr">
        <is>
          <t>36_2_South_China_Sea_SCS-2007_Northern_South_China_Sea_(1970s)</t>
        </is>
      </c>
      <c r="C324" s="11" t="inlineStr">
        <is>
          <t>Epinephelus maculatus</t>
        </is>
      </c>
      <c r="D324" s="10" t="inlineStr">
        <is>
          <t>Highfin grouper</t>
        </is>
      </c>
      <c r="E324" s="10" t="inlineStr">
        <is>
          <t>Medium reef assoc. fish (30 - 89 cm)</t>
        </is>
      </c>
      <c r="F324" s="10" t="inlineStr">
        <is>
          <t>Perch-likes</t>
        </is>
      </c>
      <c r="G324" s="11" t="inlineStr">
        <is>
          <t>Adult groupers</t>
        </is>
      </c>
      <c r="H324" s="12" t="n">
        <v>1</v>
      </c>
      <c r="I324" s="10" t="inlineStr">
        <is>
          <t>single</t>
        </is>
      </c>
      <c r="J324" s="15" t="inlineStr">
        <is>
          <t>high</t>
        </is>
      </c>
      <c r="K324" s="10" t="inlineStr">
        <is>
          <t>taxonomic_containment</t>
        </is>
      </c>
      <c r="L324" s="11" t="inlineStr">
        <is>
          <t>Appendix 6.1 pp.327-335 defines Adult groupers by this family or explicitly names Epinephelus maculatus; dedicated source placement overrides the SAU class Medium reef assoc. fish (30 - 89 cm).</t>
        </is>
      </c>
      <c r="M324" s="10" t="n">
        <v>60882.607</v>
      </c>
    </row>
    <row r="325" ht="51" customHeight="1">
      <c r="A325" s="10" t="inlineStr">
        <is>
          <t>LME_036</t>
        </is>
      </c>
      <c r="B325" s="11" t="inlineStr">
        <is>
          <t>36_2_South_China_Sea_SCS-2007_Northern_South_China_Sea_(1970s)</t>
        </is>
      </c>
      <c r="C325" s="11" t="inlineStr">
        <is>
          <t>Pagrus major</t>
        </is>
      </c>
      <c r="D325" s="10" t="inlineStr">
        <is>
          <t>Japanese seabream</t>
        </is>
      </c>
      <c r="E325" s="10" t="inlineStr">
        <is>
          <t>Large demersals (&gt;=90 cm)</t>
        </is>
      </c>
      <c r="F325" s="10" t="inlineStr">
        <is>
          <t>Perch-likes</t>
        </is>
      </c>
      <c r="G325" s="11" t="inlineStr">
        <is>
          <t>Juvenile demersal fish (&gt; 30 cm)</t>
        </is>
      </c>
      <c r="H325" s="12" t="n">
        <v>0.2002781641168289</v>
      </c>
      <c r="I325" s="10" t="inlineStr">
        <is>
          <t>model_catch</t>
        </is>
      </c>
      <c r="J325" s="14" t="inlineStr">
        <is>
          <t>medium</t>
        </is>
      </c>
      <c r="K325" s="10" t="inlineStr">
        <is>
          <t>composite_split</t>
        </is>
      </c>
      <c r="L325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325" s="10" t="n">
        <v>60001.739</v>
      </c>
    </row>
    <row r="326" ht="51" customHeight="1">
      <c r="A326" s="10" t="inlineStr">
        <is>
          <t>LME_036</t>
        </is>
      </c>
      <c r="B326" s="11" t="inlineStr">
        <is>
          <t>36_2_South_China_Sea_SCS-2007_Northern_South_China_Sea_(1970s)</t>
        </is>
      </c>
      <c r="C326" s="11" t="inlineStr">
        <is>
          <t>Pagrus major</t>
        </is>
      </c>
      <c r="D326" s="10" t="inlineStr">
        <is>
          <t>Japanese seabream</t>
        </is>
      </c>
      <c r="E326" s="10" t="inlineStr">
        <is>
          <t>Large demersals (&gt;=90 cm)</t>
        </is>
      </c>
      <c r="F326" s="10" t="inlineStr">
        <is>
          <t>Perch-likes</t>
        </is>
      </c>
      <c r="G326" s="11" t="inlineStr">
        <is>
          <t>Adult demersal fish (&gt; 30 cm)</t>
        </is>
      </c>
      <c r="H326" s="12" t="n">
        <v>0.799721835883171</v>
      </c>
      <c r="I326" s="10" t="inlineStr">
        <is>
          <t>model_catch</t>
        </is>
      </c>
      <c r="J326" s="14" t="inlineStr">
        <is>
          <t>medium</t>
        </is>
      </c>
      <c r="K326" s="10" t="inlineStr">
        <is>
          <t>composite_split</t>
        </is>
      </c>
      <c r="L326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326" s="10" t="n">
        <v>60001.739</v>
      </c>
    </row>
    <row r="327" ht="51" customHeight="1">
      <c r="A327" s="10" t="inlineStr">
        <is>
          <t>LME_036</t>
        </is>
      </c>
      <c r="B327" s="11" t="inlineStr">
        <is>
          <t>36_2_South_China_Sea_SCS-2007_Northern_South_China_Sea_(1970s)</t>
        </is>
      </c>
      <c r="C327" s="11" t="inlineStr">
        <is>
          <t>Caesio</t>
        </is>
      </c>
      <c r="D327" s="10" t="inlineStr">
        <is>
          <t>Caesios</t>
        </is>
      </c>
      <c r="E327" s="10" t="inlineStr">
        <is>
          <t>Medium reef assoc. fish (30 - 89 cm)</t>
        </is>
      </c>
      <c r="F327" s="10" t="inlineStr">
        <is>
          <t>Perch-likes</t>
        </is>
      </c>
      <c r="G327" s="11" t="inlineStr">
        <is>
          <t>Juvenile demersal fish (&gt; 30 cm)</t>
        </is>
      </c>
      <c r="H327" s="12" t="n">
        <v>0.2002781641168289</v>
      </c>
      <c r="I327" s="10" t="inlineStr">
        <is>
          <t>model_catch</t>
        </is>
      </c>
      <c r="J327" s="14" t="inlineStr">
        <is>
          <t>medium</t>
        </is>
      </c>
      <c r="K327" s="10" t="inlineStr">
        <is>
          <t>composite_split</t>
        </is>
      </c>
      <c r="L327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327" s="10" t="n">
        <v>58951.688</v>
      </c>
    </row>
    <row r="328" ht="51" customHeight="1">
      <c r="A328" s="10" t="inlineStr">
        <is>
          <t>LME_036</t>
        </is>
      </c>
      <c r="B328" s="11" t="inlineStr">
        <is>
          <t>36_2_South_China_Sea_SCS-2007_Northern_South_China_Sea_(1970s)</t>
        </is>
      </c>
      <c r="C328" s="11" t="inlineStr">
        <is>
          <t>Caesio</t>
        </is>
      </c>
      <c r="D328" s="10" t="inlineStr">
        <is>
          <t>Caesios</t>
        </is>
      </c>
      <c r="E328" s="10" t="inlineStr">
        <is>
          <t>Medium reef assoc. fish (30 - 89 cm)</t>
        </is>
      </c>
      <c r="F328" s="10" t="inlineStr">
        <is>
          <t>Perch-likes</t>
        </is>
      </c>
      <c r="G328" s="11" t="inlineStr">
        <is>
          <t>Adult demersal fish (&gt; 30 cm)</t>
        </is>
      </c>
      <c r="H328" s="12" t="n">
        <v>0.799721835883171</v>
      </c>
      <c r="I328" s="10" t="inlineStr">
        <is>
          <t>model_catch</t>
        </is>
      </c>
      <c r="J328" s="14" t="inlineStr">
        <is>
          <t>medium</t>
        </is>
      </c>
      <c r="K328" s="10" t="inlineStr">
        <is>
          <t>composite_split</t>
        </is>
      </c>
      <c r="L328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328" s="10" t="n">
        <v>58951.688</v>
      </c>
    </row>
    <row r="329" ht="36" customHeight="1">
      <c r="A329" s="10" t="inlineStr">
        <is>
          <t>LME_036</t>
        </is>
      </c>
      <c r="B329" s="11" t="inlineStr">
        <is>
          <t>36_2_South_China_Sea_SCS-2007_Northern_South_China_Sea_(1970s)</t>
        </is>
      </c>
      <c r="C329" s="11" t="inlineStr">
        <is>
          <t>Penaeus monodon</t>
        </is>
      </c>
      <c r="D329" s="10" t="inlineStr">
        <is>
          <t>Giant tiger prawn</t>
        </is>
      </c>
      <c r="E329" s="10" t="inlineStr">
        <is>
          <t>Shrimps</t>
        </is>
      </c>
      <c r="F329" s="10" t="inlineStr">
        <is>
          <t>Crustaceans</t>
        </is>
      </c>
      <c r="G329" s="11" t="inlineStr">
        <is>
          <t>Shrimps</t>
        </is>
      </c>
      <c r="H329" s="12" t="n">
        <v>1</v>
      </c>
      <c r="I329" s="10" t="inlineStr">
        <is>
          <t>single</t>
        </is>
      </c>
      <c r="J329" s="15" t="inlineStr">
        <is>
          <t>high</t>
        </is>
      </c>
      <c r="K329" s="10" t="inlineStr">
        <is>
          <t>taxonomic_containment</t>
        </is>
      </c>
      <c r="L329" s="11" t="inlineStr">
        <is>
          <t>Stomatopods belong to the residual benthic crustaceans; other shrimp taxa belong to Shrimps after the explicitly separated Acetes records (Appendix 6.1 pp.323-326).</t>
        </is>
      </c>
      <c r="M329" s="10" t="n">
        <v>56190.894</v>
      </c>
    </row>
    <row r="330" ht="36" customHeight="1">
      <c r="A330" s="10" t="inlineStr">
        <is>
          <t>LME_036</t>
        </is>
      </c>
      <c r="B330" s="11" t="inlineStr">
        <is>
          <t>36_2_South_China_Sea_SCS-2007_Northern_South_China_Sea_(1970s)</t>
        </is>
      </c>
      <c r="C330" s="11" t="inlineStr">
        <is>
          <t>Carcharhinidae</t>
        </is>
      </c>
      <c r="D330" s="10" t="inlineStr">
        <is>
          <t>Requiem sharks</t>
        </is>
      </c>
      <c r="E330" s="10" t="inlineStr">
        <is>
          <t>Large sharks (&gt;=90 cm)</t>
        </is>
      </c>
      <c r="F330" s="10" t="inlineStr">
        <is>
          <t>Sharks &amp; rays</t>
        </is>
      </c>
      <c r="G330" s="11" t="inlineStr">
        <is>
          <t>Demersal sharks and rays</t>
        </is>
      </c>
      <c r="H330" s="12" t="n">
        <v>0.8134680303573432</v>
      </c>
      <c r="I330" s="10" t="inlineStr">
        <is>
          <t>catch_composition</t>
        </is>
      </c>
      <c r="J330" s="13" t="inlineStr">
        <is>
          <t>low</t>
        </is>
      </c>
      <c r="K330" s="10" t="inlineStr">
        <is>
          <t>composite_split</t>
        </is>
      </c>
      <c r="L330" s="11" t="inlineStr">
        <is>
          <t>Coarse or habitat-ambiguous elasmobranch record spans the two source habitat compartments; SAU shark/ray size is insufficient to select one.</t>
        </is>
      </c>
      <c r="M330" s="10" t="n">
        <v>55100.053</v>
      </c>
    </row>
    <row r="331" ht="36" customHeight="1">
      <c r="A331" s="10" t="inlineStr">
        <is>
          <t>LME_036</t>
        </is>
      </c>
      <c r="B331" s="11" t="inlineStr">
        <is>
          <t>36_2_South_China_Sea_SCS-2007_Northern_South_China_Sea_(1970s)</t>
        </is>
      </c>
      <c r="C331" s="11" t="inlineStr">
        <is>
          <t>Carcharhinidae</t>
        </is>
      </c>
      <c r="D331" s="10" t="inlineStr">
        <is>
          <t>Requiem sharks</t>
        </is>
      </c>
      <c r="E331" s="10" t="inlineStr">
        <is>
          <t>Large sharks (&gt;=90 cm)</t>
        </is>
      </c>
      <c r="F331" s="10" t="inlineStr">
        <is>
          <t>Sharks &amp; rays</t>
        </is>
      </c>
      <c r="G331" s="11" t="inlineStr">
        <is>
          <t>Pelagic sharks and rays</t>
        </is>
      </c>
      <c r="H331" s="12" t="n">
        <v>0.1865319696426568</v>
      </c>
      <c r="I331" s="10" t="inlineStr">
        <is>
          <t>catch_composition</t>
        </is>
      </c>
      <c r="J331" s="13" t="inlineStr">
        <is>
          <t>low</t>
        </is>
      </c>
      <c r="K331" s="10" t="inlineStr">
        <is>
          <t>composite_split</t>
        </is>
      </c>
      <c r="L331" s="11" t="inlineStr">
        <is>
          <t>Coarse or habitat-ambiguous elasmobranch record spans the two source habitat compartments; SAU shark/ray size is insufficient to select one.</t>
        </is>
      </c>
      <c r="M331" s="10" t="n">
        <v>55100.053</v>
      </c>
    </row>
    <row r="332" ht="36" customHeight="1">
      <c r="A332" s="10" t="inlineStr">
        <is>
          <t>LME_036</t>
        </is>
      </c>
      <c r="B332" s="11" t="inlineStr">
        <is>
          <t>36_2_South_China_Sea_SCS-2007_Northern_South_China_Sea_(1970s)</t>
        </is>
      </c>
      <c r="C332" s="11" t="inlineStr">
        <is>
          <t>Paralichthyidae</t>
        </is>
      </c>
      <c r="D332" s="10" t="inlineStr">
        <is>
          <t>Largetooth flounders</t>
        </is>
      </c>
      <c r="E332" s="10" t="inlineStr">
        <is>
          <t>Small to medium flatfishes (&lt;90 cm)</t>
        </is>
      </c>
      <c r="F332" s="10" t="inlineStr">
        <is>
          <t>Flatfishes</t>
        </is>
      </c>
      <c r="G332" s="11" t="inlineStr">
        <is>
          <t>Demesral fish (≤ 30 cm)</t>
        </is>
      </c>
      <c r="H332" s="12" t="n">
        <v>0.3854700854700854</v>
      </c>
      <c r="I332" s="10" t="inlineStr">
        <is>
          <t>model_catch</t>
        </is>
      </c>
      <c r="J332" s="13" t="inlineStr">
        <is>
          <t>low</t>
        </is>
      </c>
      <c r="K332" s="10" t="inlineStr">
        <is>
          <t>composite_split</t>
        </is>
      </c>
      <c r="L332" s="11" t="inlineStr">
        <is>
          <t>Flatfishes are demersal, but SAU &lt;90 cm band does not distinguish the source &lt;=30 cm species pool from &gt;30 cm juvenile/adult fish; all three residual demersal pools remain candidates.</t>
        </is>
      </c>
      <c r="M332" s="10" t="n">
        <v>52148.543</v>
      </c>
    </row>
    <row r="333" ht="36" customHeight="1">
      <c r="A333" s="10" t="inlineStr">
        <is>
          <t>LME_036</t>
        </is>
      </c>
      <c r="B333" s="11" t="inlineStr">
        <is>
          <t>36_2_South_China_Sea_SCS-2007_Northern_South_China_Sea_(1970s)</t>
        </is>
      </c>
      <c r="C333" s="11" t="inlineStr">
        <is>
          <t>Paralichthyidae</t>
        </is>
      </c>
      <c r="D333" s="10" t="inlineStr">
        <is>
          <t>Largetooth flounders</t>
        </is>
      </c>
      <c r="E333" s="10" t="inlineStr">
        <is>
          <t>Small to medium flatfishes (&lt;90 cm)</t>
        </is>
      </c>
      <c r="F333" s="10" t="inlineStr">
        <is>
          <t>Flatfishes</t>
        </is>
      </c>
      <c r="G333" s="11" t="inlineStr">
        <is>
          <t>Juvenile demersal fish (&gt; 30 cm)</t>
        </is>
      </c>
      <c r="H333" s="12" t="n">
        <v>0.1230769230769231</v>
      </c>
      <c r="I333" s="10" t="inlineStr">
        <is>
          <t>model_catch</t>
        </is>
      </c>
      <c r="J333" s="13" t="inlineStr">
        <is>
          <t>low</t>
        </is>
      </c>
      <c r="K333" s="10" t="inlineStr">
        <is>
          <t>composite_split</t>
        </is>
      </c>
      <c r="L333" s="11" t="inlineStr">
        <is>
          <t>Flatfishes are demersal, but SAU &lt;90 cm band does not distinguish the source &lt;=30 cm species pool from &gt;30 cm juvenile/adult fish; all three residual demersal pools remain candidates.</t>
        </is>
      </c>
      <c r="M333" s="10" t="n">
        <v>52148.543</v>
      </c>
    </row>
    <row r="334" ht="36" customHeight="1">
      <c r="A334" s="10" t="inlineStr">
        <is>
          <t>LME_036</t>
        </is>
      </c>
      <c r="B334" s="11" t="inlineStr">
        <is>
          <t>36_2_South_China_Sea_SCS-2007_Northern_South_China_Sea_(1970s)</t>
        </is>
      </c>
      <c r="C334" s="11" t="inlineStr">
        <is>
          <t>Paralichthyidae</t>
        </is>
      </c>
      <c r="D334" s="10" t="inlineStr">
        <is>
          <t>Largetooth flounders</t>
        </is>
      </c>
      <c r="E334" s="10" t="inlineStr">
        <is>
          <t>Small to medium flatfishes (&lt;90 cm)</t>
        </is>
      </c>
      <c r="F334" s="10" t="inlineStr">
        <is>
          <t>Flatfishes</t>
        </is>
      </c>
      <c r="G334" s="11" t="inlineStr">
        <is>
          <t>Adult demersal fish (&gt; 30 cm)</t>
        </is>
      </c>
      <c r="H334" s="12" t="n">
        <v>0.4914529914529914</v>
      </c>
      <c r="I334" s="10" t="inlineStr">
        <is>
          <t>model_catch</t>
        </is>
      </c>
      <c r="J334" s="13" t="inlineStr">
        <is>
          <t>low</t>
        </is>
      </c>
      <c r="K334" s="10" t="inlineStr">
        <is>
          <t>composite_split</t>
        </is>
      </c>
      <c r="L334" s="11" t="inlineStr">
        <is>
          <t>Flatfishes are demersal, but SAU &lt;90 cm band does not distinguish the source &lt;=30 cm species pool from &gt;30 cm juvenile/adult fish; all three residual demersal pools remain candidates.</t>
        </is>
      </c>
      <c r="M334" s="10" t="n">
        <v>52148.543</v>
      </c>
    </row>
    <row r="335" ht="51" customHeight="1">
      <c r="A335" s="10" t="inlineStr">
        <is>
          <t>LME_036</t>
        </is>
      </c>
      <c r="B335" s="11" t="inlineStr">
        <is>
          <t>36_2_South_China_Sea_SCS-2007_Northern_South_China_Sea_(1970s)</t>
        </is>
      </c>
      <c r="C335" s="11" t="inlineStr">
        <is>
          <t>Sillaginidae</t>
        </is>
      </c>
      <c r="D335" s="10" t="inlineStr">
        <is>
          <t>Smelt-whitings</t>
        </is>
      </c>
      <c r="E335" s="10" t="inlineStr">
        <is>
          <t>Medium demersals (30 - 89 cm)</t>
        </is>
      </c>
      <c r="F335" s="10" t="inlineStr">
        <is>
          <t>Perch-likes</t>
        </is>
      </c>
      <c r="G335" s="11" t="inlineStr">
        <is>
          <t>Juvenile demersal fish (&gt; 30 cm)</t>
        </is>
      </c>
      <c r="H335" s="12" t="n">
        <v>0.2002781641168289</v>
      </c>
      <c r="I335" s="10" t="inlineStr">
        <is>
          <t>model_catch</t>
        </is>
      </c>
      <c r="J335" s="14" t="inlineStr">
        <is>
          <t>medium</t>
        </is>
      </c>
      <c r="K335" s="10" t="inlineStr">
        <is>
          <t>composite_split</t>
        </is>
      </c>
      <c r="L335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335" s="10" t="n">
        <v>50464.447</v>
      </c>
    </row>
    <row r="336" ht="51" customHeight="1">
      <c r="A336" s="10" t="inlineStr">
        <is>
          <t>LME_036</t>
        </is>
      </c>
      <c r="B336" s="11" t="inlineStr">
        <is>
          <t>36_2_South_China_Sea_SCS-2007_Northern_South_China_Sea_(1970s)</t>
        </is>
      </c>
      <c r="C336" s="11" t="inlineStr">
        <is>
          <t>Sillaginidae</t>
        </is>
      </c>
      <c r="D336" s="10" t="inlineStr">
        <is>
          <t>Smelt-whitings</t>
        </is>
      </c>
      <c r="E336" s="10" t="inlineStr">
        <is>
          <t>Medium demersals (30 - 89 cm)</t>
        </is>
      </c>
      <c r="F336" s="10" t="inlineStr">
        <is>
          <t>Perch-likes</t>
        </is>
      </c>
      <c r="G336" s="11" t="inlineStr">
        <is>
          <t>Adult demersal fish (&gt; 30 cm)</t>
        </is>
      </c>
      <c r="H336" s="12" t="n">
        <v>0.799721835883171</v>
      </c>
      <c r="I336" s="10" t="inlineStr">
        <is>
          <t>model_catch</t>
        </is>
      </c>
      <c r="J336" s="14" t="inlineStr">
        <is>
          <t>medium</t>
        </is>
      </c>
      <c r="K336" s="10" t="inlineStr">
        <is>
          <t>composite_split</t>
        </is>
      </c>
      <c r="L336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336" s="10" t="n">
        <v>50464.447</v>
      </c>
    </row>
    <row r="337" ht="51" customHeight="1">
      <c r="A337" s="10" t="inlineStr">
        <is>
          <t>LME_036</t>
        </is>
      </c>
      <c r="B337" s="11" t="inlineStr">
        <is>
          <t>36_2_South_China_Sea_SCS-2007_Northern_South_China_Sea_(1970s)</t>
        </is>
      </c>
      <c r="C337" s="11" t="inlineStr">
        <is>
          <t>Thryssa</t>
        </is>
      </c>
      <c r="D337" s="10" t="inlineStr">
        <is>
          <t>Thryssas</t>
        </is>
      </c>
      <c r="E337" s="10" t="inlineStr">
        <is>
          <t>Small pelagics (&lt;30 cm)</t>
        </is>
      </c>
      <c r="F337" s="10" t="inlineStr">
        <is>
          <t>Anchovies</t>
        </is>
      </c>
      <c r="G337" s="11" t="inlineStr">
        <is>
          <t>Pelagic fish (≤ 30 cm)</t>
        </is>
      </c>
      <c r="H337" s="12" t="n">
        <v>1</v>
      </c>
      <c r="I337" s="10" t="inlineStr">
        <is>
          <t>single</t>
        </is>
      </c>
      <c r="J337" s="14" t="inlineStr">
        <is>
          <t>medium</t>
        </is>
      </c>
      <c r="K337" s="10" t="inlineStr">
        <is>
          <t>habitat_size_guild</t>
        </is>
      </c>
      <c r="L337" s="11" t="inlineStr">
        <is>
          <t>Source small-pelagic pool explicitly includes sardines, thryssa and anchovies (Appendix 6.1.23 p.338); extension to the catch lineage uses SAU size as a proxy and is not a full species list.</t>
        </is>
      </c>
      <c r="M337" s="10" t="n">
        <v>48625.9</v>
      </c>
    </row>
    <row r="338" ht="36" customHeight="1">
      <c r="A338" s="10" t="inlineStr">
        <is>
          <t>LME_036</t>
        </is>
      </c>
      <c r="B338" s="11" t="inlineStr">
        <is>
          <t>36_2_South_China_Sea_SCS-2007_Northern_South_China_Sea_(1970s)</t>
        </is>
      </c>
      <c r="C338" s="11" t="inlineStr">
        <is>
          <t>Rachycentridae</t>
        </is>
      </c>
      <c r="D338" s="10" t="inlineStr">
        <is>
          <t>Cobias</t>
        </is>
      </c>
      <c r="E338" s="10" t="inlineStr">
        <is>
          <t>Large pelagics (&gt;=90 cm)</t>
        </is>
      </c>
      <c r="F338" s="10" t="inlineStr">
        <is>
          <t>Perch-likes</t>
        </is>
      </c>
      <c r="G338" s="11" t="inlineStr">
        <is>
          <t>Juvenile large pelagic fish</t>
        </is>
      </c>
      <c r="H338" s="12" t="n">
        <v>0.2016806722689076</v>
      </c>
      <c r="I338" s="10" t="inlineStr">
        <is>
          <t>model_catch</t>
        </is>
      </c>
      <c r="J338" s="14" t="inlineStr">
        <is>
          <t>medium</t>
        </is>
      </c>
      <c r="K338" s="10" t="inlineStr">
        <is>
          <t>composite_split</t>
        </is>
      </c>
      <c r="L338" s="11" t="inlineStr">
        <is>
          <t>Analyst habitat/size inference to source &gt;30 cm pelagic fish (Appendix 6.1.24 p.339); no age data, so split juvenile/adult using the period model catch.</t>
        </is>
      </c>
      <c r="M338" s="10" t="n">
        <v>48027.036</v>
      </c>
    </row>
    <row r="339" ht="36" customHeight="1">
      <c r="A339" s="10" t="inlineStr">
        <is>
          <t>LME_036</t>
        </is>
      </c>
      <c r="B339" s="11" t="inlineStr">
        <is>
          <t>36_2_South_China_Sea_SCS-2007_Northern_South_China_Sea_(1970s)</t>
        </is>
      </c>
      <c r="C339" s="11" t="inlineStr">
        <is>
          <t>Rachycentridae</t>
        </is>
      </c>
      <c r="D339" s="10" t="inlineStr">
        <is>
          <t>Cobias</t>
        </is>
      </c>
      <c r="E339" s="10" t="inlineStr">
        <is>
          <t>Large pelagics (&gt;=90 cm)</t>
        </is>
      </c>
      <c r="F339" s="10" t="inlineStr">
        <is>
          <t>Perch-likes</t>
        </is>
      </c>
      <c r="G339" s="11" t="inlineStr">
        <is>
          <t>Pelagic fish (&gt; 30 cm)</t>
        </is>
      </c>
      <c r="H339" s="12" t="n">
        <v>0.7983193277310925</v>
      </c>
      <c r="I339" s="10" t="inlineStr">
        <is>
          <t>model_catch</t>
        </is>
      </c>
      <c r="J339" s="14" t="inlineStr">
        <is>
          <t>medium</t>
        </is>
      </c>
      <c r="K339" s="10" t="inlineStr">
        <is>
          <t>composite_split</t>
        </is>
      </c>
      <c r="L339" s="11" t="inlineStr">
        <is>
          <t>Analyst habitat/size inference to source &gt;30 cm pelagic fish (Appendix 6.1.24 p.339); no age data, so split juvenile/adult using the period model catch.</t>
        </is>
      </c>
      <c r="M339" s="10" t="n">
        <v>48027.036</v>
      </c>
    </row>
    <row r="340" ht="36" customHeight="1">
      <c r="A340" s="10" t="inlineStr">
        <is>
          <t>LME_036</t>
        </is>
      </c>
      <c r="B340" s="11" t="inlineStr">
        <is>
          <t>36_2_South_China_Sea_SCS-2007_Northern_South_China_Sea_(1970s)</t>
        </is>
      </c>
      <c r="C340" s="11" t="inlineStr">
        <is>
          <t>Tylosurus crocodilus</t>
        </is>
      </c>
      <c r="D340" s="10" t="inlineStr">
        <is>
          <t>Hound needlefish</t>
        </is>
      </c>
      <c r="E340" s="10" t="inlineStr">
        <is>
          <t>Large pelagics (&gt;=90 cm)</t>
        </is>
      </c>
      <c r="F340" s="10" t="inlineStr">
        <is>
          <t>Other fishes &amp; inverts</t>
        </is>
      </c>
      <c r="G340" s="11" t="inlineStr">
        <is>
          <t>Juvenile large pelagic fish</t>
        </is>
      </c>
      <c r="H340" s="12" t="n">
        <v>0.2016806722689076</v>
      </c>
      <c r="I340" s="10" t="inlineStr">
        <is>
          <t>model_catch</t>
        </is>
      </c>
      <c r="J340" s="14" t="inlineStr">
        <is>
          <t>medium</t>
        </is>
      </c>
      <c r="K340" s="10" t="inlineStr">
        <is>
          <t>composite_split</t>
        </is>
      </c>
      <c r="L340" s="11" t="inlineStr">
        <is>
          <t>Analyst habitat/size inference to source &gt;30 cm pelagic fish (Appendix 6.1.24 p.339); no age data, so split juvenile/adult using the period model catch.</t>
        </is>
      </c>
      <c r="M340" s="10" t="n">
        <v>47317.771</v>
      </c>
    </row>
    <row r="341" ht="36" customHeight="1">
      <c r="A341" s="10" t="inlineStr">
        <is>
          <t>LME_036</t>
        </is>
      </c>
      <c r="B341" s="11" t="inlineStr">
        <is>
          <t>36_2_South_China_Sea_SCS-2007_Northern_South_China_Sea_(1970s)</t>
        </is>
      </c>
      <c r="C341" s="11" t="inlineStr">
        <is>
          <t>Tylosurus crocodilus</t>
        </is>
      </c>
      <c r="D341" s="10" t="inlineStr">
        <is>
          <t>Hound needlefish</t>
        </is>
      </c>
      <c r="E341" s="10" t="inlineStr">
        <is>
          <t>Large pelagics (&gt;=90 cm)</t>
        </is>
      </c>
      <c r="F341" s="10" t="inlineStr">
        <is>
          <t>Other fishes &amp; inverts</t>
        </is>
      </c>
      <c r="G341" s="11" t="inlineStr">
        <is>
          <t>Pelagic fish (&gt; 30 cm)</t>
        </is>
      </c>
      <c r="H341" s="12" t="n">
        <v>0.7983193277310925</v>
      </c>
      <c r="I341" s="10" t="inlineStr">
        <is>
          <t>model_catch</t>
        </is>
      </c>
      <c r="J341" s="14" t="inlineStr">
        <is>
          <t>medium</t>
        </is>
      </c>
      <c r="K341" s="10" t="inlineStr">
        <is>
          <t>composite_split</t>
        </is>
      </c>
      <c r="L341" s="11" t="inlineStr">
        <is>
          <t>Analyst habitat/size inference to source &gt;30 cm pelagic fish (Appendix 6.1.24 p.339); no age data, so split juvenile/adult using the period model catch.</t>
        </is>
      </c>
      <c r="M341" s="10" t="n">
        <v>47317.771</v>
      </c>
    </row>
    <row r="342" ht="36" customHeight="1">
      <c r="A342" s="10" t="inlineStr">
        <is>
          <t>LME_036</t>
        </is>
      </c>
      <c r="B342" s="11" t="inlineStr">
        <is>
          <t>36_2_South_China_Sea_SCS-2007_Northern_South_China_Sea_(1970s)</t>
        </is>
      </c>
      <c r="C342" s="11" t="inlineStr">
        <is>
          <t>Acanthuridae</t>
        </is>
      </c>
      <c r="D342" s="10" t="inlineStr">
        <is>
          <t>Surgeons, tangs, unicornfishes</t>
        </is>
      </c>
      <c r="E342" s="10" t="inlineStr">
        <is>
          <t>Small reef assoc. fish (&lt;30 cm)</t>
        </is>
      </c>
      <c r="F342" s="10" t="inlineStr">
        <is>
          <t>Perch-likes</t>
        </is>
      </c>
      <c r="G342" s="11" t="inlineStr">
        <is>
          <t>Demesral fish (≤ 30 cm)</t>
        </is>
      </c>
      <c r="H342" s="12" t="n">
        <v>1</v>
      </c>
      <c r="I342" s="10" t="inlineStr">
        <is>
          <t>single</t>
        </is>
      </c>
      <c r="J342" s="14" t="inlineStr">
        <is>
          <t>medium</t>
        </is>
      </c>
      <c r="K342" s="10" t="inlineStr">
        <is>
          <t>habitat_size_guild</t>
        </is>
      </c>
      <c r="L342" s="11" t="inlineStr">
        <is>
          <t>Analyst habitat/size inference: small demersal or reef-associated fish after excluding dedicated taxonomic groups, matching Appendix 6.1.19 &lt;=30 cm residual demersal pool.</t>
        </is>
      </c>
      <c r="M342" s="10" t="n">
        <v>46027.118</v>
      </c>
    </row>
    <row r="343" ht="51" customHeight="1">
      <c r="A343" s="10" t="inlineStr">
        <is>
          <t>LME_036</t>
        </is>
      </c>
      <c r="B343" s="11" t="inlineStr">
        <is>
          <t>36_2_South_China_Sea_SCS-2007_Northern_South_China_Sea_(1970s)</t>
        </is>
      </c>
      <c r="C343" s="11" t="inlineStr">
        <is>
          <t>Trachurus japonicus</t>
        </is>
      </c>
      <c r="D343" s="10" t="inlineStr">
        <is>
          <t>Japanese jack mackerel</t>
        </is>
      </c>
      <c r="E343" s="10" t="inlineStr">
        <is>
          <t>Medium demersals (30 - 89 cm)</t>
        </is>
      </c>
      <c r="F343" s="10" t="inlineStr">
        <is>
          <t>Perch-likes</t>
        </is>
      </c>
      <c r="G343" s="11" t="inlineStr">
        <is>
          <t>Juvenile large pelagic fish</t>
        </is>
      </c>
      <c r="H343" s="12" t="n">
        <v>0.2016806722689076</v>
      </c>
      <c r="I343" s="10" t="inlineStr">
        <is>
          <t>model_catch</t>
        </is>
      </c>
      <c r="J343" s="14" t="inlineStr">
        <is>
          <t>medium</t>
        </is>
      </c>
      <c r="K343" s="10" t="inlineStr">
        <is>
          <t>composite_split</t>
        </is>
      </c>
      <c r="L343" s="11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343" s="10" t="n">
        <v>44027.554</v>
      </c>
    </row>
    <row r="344" ht="51" customHeight="1">
      <c r="A344" s="10" t="inlineStr">
        <is>
          <t>LME_036</t>
        </is>
      </c>
      <c r="B344" s="11" t="inlineStr">
        <is>
          <t>36_2_South_China_Sea_SCS-2007_Northern_South_China_Sea_(1970s)</t>
        </is>
      </c>
      <c r="C344" s="11" t="inlineStr">
        <is>
          <t>Trachurus japonicus</t>
        </is>
      </c>
      <c r="D344" s="10" t="inlineStr">
        <is>
          <t>Japanese jack mackerel</t>
        </is>
      </c>
      <c r="E344" s="10" t="inlineStr">
        <is>
          <t>Medium demersals (30 - 89 cm)</t>
        </is>
      </c>
      <c r="F344" s="10" t="inlineStr">
        <is>
          <t>Perch-likes</t>
        </is>
      </c>
      <c r="G344" s="11" t="inlineStr">
        <is>
          <t>Pelagic fish (&gt; 30 cm)</t>
        </is>
      </c>
      <c r="H344" s="12" t="n">
        <v>0.7983193277310925</v>
      </c>
      <c r="I344" s="10" t="inlineStr">
        <is>
          <t>model_catch</t>
        </is>
      </c>
      <c r="J344" s="14" t="inlineStr">
        <is>
          <t>medium</t>
        </is>
      </c>
      <c r="K344" s="10" t="inlineStr">
        <is>
          <t>composite_split</t>
        </is>
      </c>
      <c r="L344" s="11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344" s="10" t="n">
        <v>44027.554</v>
      </c>
    </row>
    <row r="345" ht="36" customHeight="1">
      <c r="A345" s="10" t="inlineStr">
        <is>
          <t>LME_036</t>
        </is>
      </c>
      <c r="B345" s="11" t="inlineStr">
        <is>
          <t>36_2_South_China_Sea_SCS-2007_Northern_South_China_Sea_(1970s)</t>
        </is>
      </c>
      <c r="C345" s="11" t="inlineStr">
        <is>
          <t>Lactarius lactarius</t>
        </is>
      </c>
      <c r="D345" s="10" t="inlineStr">
        <is>
          <t>False trevally</t>
        </is>
      </c>
      <c r="E345" s="10" t="inlineStr">
        <is>
          <t>Medium pelagics (30 - 89 cm)</t>
        </is>
      </c>
      <c r="F345" s="10" t="inlineStr">
        <is>
          <t>Perch-likes</t>
        </is>
      </c>
      <c r="G345" s="11" t="inlineStr">
        <is>
          <t>Juvenile large pelagic fish</t>
        </is>
      </c>
      <c r="H345" s="12" t="n">
        <v>0.2016806722689076</v>
      </c>
      <c r="I345" s="10" t="inlineStr">
        <is>
          <t>model_catch</t>
        </is>
      </c>
      <c r="J345" s="14" t="inlineStr">
        <is>
          <t>medium</t>
        </is>
      </c>
      <c r="K345" s="10" t="inlineStr">
        <is>
          <t>composite_split</t>
        </is>
      </c>
      <c r="L345" s="11" t="inlineStr">
        <is>
          <t>Analyst habitat/size inference to source &gt;30 cm pelagic fish (Appendix 6.1.24 p.339); no age data, so split juvenile/adult using the period model catch.</t>
        </is>
      </c>
      <c r="M345" s="10" t="n">
        <v>43593</v>
      </c>
    </row>
    <row r="346" ht="36" customHeight="1">
      <c r="A346" s="10" t="inlineStr">
        <is>
          <t>LME_036</t>
        </is>
      </c>
      <c r="B346" s="11" t="inlineStr">
        <is>
          <t>36_2_South_China_Sea_SCS-2007_Northern_South_China_Sea_(1970s)</t>
        </is>
      </c>
      <c r="C346" s="11" t="inlineStr">
        <is>
          <t>Lactarius lactarius</t>
        </is>
      </c>
      <c r="D346" s="10" t="inlineStr">
        <is>
          <t>False trevally</t>
        </is>
      </c>
      <c r="E346" s="10" t="inlineStr">
        <is>
          <t>Medium pelagics (30 - 89 cm)</t>
        </is>
      </c>
      <c r="F346" s="10" t="inlineStr">
        <is>
          <t>Perch-likes</t>
        </is>
      </c>
      <c r="G346" s="11" t="inlineStr">
        <is>
          <t>Pelagic fish (&gt; 30 cm)</t>
        </is>
      </c>
      <c r="H346" s="12" t="n">
        <v>0.7983193277310925</v>
      </c>
      <c r="I346" s="10" t="inlineStr">
        <is>
          <t>model_catch</t>
        </is>
      </c>
      <c r="J346" s="14" t="inlineStr">
        <is>
          <t>medium</t>
        </is>
      </c>
      <c r="K346" s="10" t="inlineStr">
        <is>
          <t>composite_split</t>
        </is>
      </c>
      <c r="L346" s="11" t="inlineStr">
        <is>
          <t>Analyst habitat/size inference to source &gt;30 cm pelagic fish (Appendix 6.1.24 p.339); no age data, so split juvenile/adult using the period model catch.</t>
        </is>
      </c>
      <c r="M346" s="10" t="n">
        <v>43593</v>
      </c>
    </row>
    <row r="347" ht="51" customHeight="1">
      <c r="A347" s="10" t="inlineStr">
        <is>
          <t>LME_036</t>
        </is>
      </c>
      <c r="B347" s="11" t="inlineStr">
        <is>
          <t>36_2_South_China_Sea_SCS-2007_Northern_South_China_Sea_(1970s)</t>
        </is>
      </c>
      <c r="C347" s="11" t="inlineStr">
        <is>
          <t>Lethrinus</t>
        </is>
      </c>
      <c r="D347" s="10" t="inlineStr">
        <is>
          <t>Emperors</t>
        </is>
      </c>
      <c r="E347" s="10" t="inlineStr">
        <is>
          <t>Medium reef assoc. fish (30 - 89 cm)</t>
        </is>
      </c>
      <c r="F347" s="10" t="inlineStr">
        <is>
          <t>Perch-likes</t>
        </is>
      </c>
      <c r="G347" s="11" t="inlineStr">
        <is>
          <t>Juvenile demersal fish (&gt; 30 cm)</t>
        </is>
      </c>
      <c r="H347" s="12" t="n">
        <v>0.2002781641168289</v>
      </c>
      <c r="I347" s="10" t="inlineStr">
        <is>
          <t>model_catch</t>
        </is>
      </c>
      <c r="J347" s="14" t="inlineStr">
        <is>
          <t>medium</t>
        </is>
      </c>
      <c r="K347" s="10" t="inlineStr">
        <is>
          <t>composite_split</t>
        </is>
      </c>
      <c r="L347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347" s="10" t="n">
        <v>43238.767</v>
      </c>
    </row>
    <row r="348" ht="51" customHeight="1">
      <c r="A348" s="10" t="inlineStr">
        <is>
          <t>LME_036</t>
        </is>
      </c>
      <c r="B348" s="11" t="inlineStr">
        <is>
          <t>36_2_South_China_Sea_SCS-2007_Northern_South_China_Sea_(1970s)</t>
        </is>
      </c>
      <c r="C348" s="11" t="inlineStr">
        <is>
          <t>Lethrinus</t>
        </is>
      </c>
      <c r="D348" s="10" t="inlineStr">
        <is>
          <t>Emperors</t>
        </is>
      </c>
      <c r="E348" s="10" t="inlineStr">
        <is>
          <t>Medium reef assoc. fish (30 - 89 cm)</t>
        </is>
      </c>
      <c r="F348" s="10" t="inlineStr">
        <is>
          <t>Perch-likes</t>
        </is>
      </c>
      <c r="G348" s="11" t="inlineStr">
        <is>
          <t>Adult demersal fish (&gt; 30 cm)</t>
        </is>
      </c>
      <c r="H348" s="12" t="n">
        <v>0.799721835883171</v>
      </c>
      <c r="I348" s="10" t="inlineStr">
        <is>
          <t>model_catch</t>
        </is>
      </c>
      <c r="J348" s="14" t="inlineStr">
        <is>
          <t>medium</t>
        </is>
      </c>
      <c r="K348" s="10" t="inlineStr">
        <is>
          <t>composite_split</t>
        </is>
      </c>
      <c r="L348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348" s="10" t="n">
        <v>43238.767</v>
      </c>
    </row>
    <row r="349" ht="51" customHeight="1">
      <c r="A349" s="10" t="inlineStr">
        <is>
          <t>LME_036</t>
        </is>
      </c>
      <c r="B349" s="11" t="inlineStr">
        <is>
          <t>36_2_South_China_Sea_SCS-2007_Northern_South_China_Sea_(1970s)</t>
        </is>
      </c>
      <c r="C349" s="11" t="inlineStr">
        <is>
          <t>Balistidae</t>
        </is>
      </c>
      <c r="D349" s="10" t="inlineStr">
        <is>
          <t>Triggerfishes</t>
        </is>
      </c>
      <c r="E349" s="10" t="inlineStr">
        <is>
          <t>Medium reef assoc. fish (30 - 89 cm)</t>
        </is>
      </c>
      <c r="F349" s="10" t="inlineStr">
        <is>
          <t>Other fishes &amp; inverts</t>
        </is>
      </c>
      <c r="G349" s="11" t="inlineStr">
        <is>
          <t>Juvenile demersal fish (&gt; 30 cm)</t>
        </is>
      </c>
      <c r="H349" s="12" t="n">
        <v>0.2002781641168289</v>
      </c>
      <c r="I349" s="10" t="inlineStr">
        <is>
          <t>model_catch</t>
        </is>
      </c>
      <c r="J349" s="14" t="inlineStr">
        <is>
          <t>medium</t>
        </is>
      </c>
      <c r="K349" s="10" t="inlineStr">
        <is>
          <t>composite_split</t>
        </is>
      </c>
      <c r="L349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349" s="10" t="n">
        <v>42725.167</v>
      </c>
    </row>
    <row r="350" ht="51" customHeight="1">
      <c r="A350" s="10" t="inlineStr">
        <is>
          <t>LME_036</t>
        </is>
      </c>
      <c r="B350" s="11" t="inlineStr">
        <is>
          <t>36_2_South_China_Sea_SCS-2007_Northern_South_China_Sea_(1970s)</t>
        </is>
      </c>
      <c r="C350" s="11" t="inlineStr">
        <is>
          <t>Balistidae</t>
        </is>
      </c>
      <c r="D350" s="10" t="inlineStr">
        <is>
          <t>Triggerfishes</t>
        </is>
      </c>
      <c r="E350" s="10" t="inlineStr">
        <is>
          <t>Medium reef assoc. fish (30 - 89 cm)</t>
        </is>
      </c>
      <c r="F350" s="10" t="inlineStr">
        <is>
          <t>Other fishes &amp; inverts</t>
        </is>
      </c>
      <c r="G350" s="11" t="inlineStr">
        <is>
          <t>Adult demersal fish (&gt; 30 cm)</t>
        </is>
      </c>
      <c r="H350" s="12" t="n">
        <v>0.799721835883171</v>
      </c>
      <c r="I350" s="10" t="inlineStr">
        <is>
          <t>model_catch</t>
        </is>
      </c>
      <c r="J350" s="14" t="inlineStr">
        <is>
          <t>medium</t>
        </is>
      </c>
      <c r="K350" s="10" t="inlineStr">
        <is>
          <t>composite_split</t>
        </is>
      </c>
      <c r="L350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350" s="10" t="n">
        <v>42725.167</v>
      </c>
    </row>
    <row r="351" ht="51" customHeight="1">
      <c r="A351" s="10" t="inlineStr">
        <is>
          <t>LME_036</t>
        </is>
      </c>
      <c r="B351" s="11" t="inlineStr">
        <is>
          <t>36_2_South_China_Sea_SCS-2007_Northern_South_China_Sea_(1970s)</t>
        </is>
      </c>
      <c r="C351" s="11" t="inlineStr">
        <is>
          <t>Gymnocranius</t>
        </is>
      </c>
      <c r="D351" s="10" t="inlineStr">
        <is>
          <t>Largeeye breams</t>
        </is>
      </c>
      <c r="E351" s="10" t="inlineStr">
        <is>
          <t>Medium reef assoc. fish (30 - 89 cm)</t>
        </is>
      </c>
      <c r="F351" s="10" t="inlineStr">
        <is>
          <t>Perch-likes</t>
        </is>
      </c>
      <c r="G351" s="11" t="inlineStr">
        <is>
          <t>Juvenile demersal fish (&gt; 30 cm)</t>
        </is>
      </c>
      <c r="H351" s="12" t="n">
        <v>0.2002781641168289</v>
      </c>
      <c r="I351" s="10" t="inlineStr">
        <is>
          <t>model_catch</t>
        </is>
      </c>
      <c r="J351" s="14" t="inlineStr">
        <is>
          <t>medium</t>
        </is>
      </c>
      <c r="K351" s="10" t="inlineStr">
        <is>
          <t>composite_split</t>
        </is>
      </c>
      <c r="L351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351" s="10" t="n">
        <v>40575.83</v>
      </c>
    </row>
    <row r="352" ht="51" customHeight="1">
      <c r="A352" s="10" t="inlineStr">
        <is>
          <t>LME_036</t>
        </is>
      </c>
      <c r="B352" s="11" t="inlineStr">
        <is>
          <t>36_2_South_China_Sea_SCS-2007_Northern_South_China_Sea_(1970s)</t>
        </is>
      </c>
      <c r="C352" s="11" t="inlineStr">
        <is>
          <t>Gymnocranius</t>
        </is>
      </c>
      <c r="D352" s="10" t="inlineStr">
        <is>
          <t>Largeeye breams</t>
        </is>
      </c>
      <c r="E352" s="10" t="inlineStr">
        <is>
          <t>Medium reef assoc. fish (30 - 89 cm)</t>
        </is>
      </c>
      <c r="F352" s="10" t="inlineStr">
        <is>
          <t>Perch-likes</t>
        </is>
      </c>
      <c r="G352" s="11" t="inlineStr">
        <is>
          <t>Adult demersal fish (&gt; 30 cm)</t>
        </is>
      </c>
      <c r="H352" s="12" t="n">
        <v>0.799721835883171</v>
      </c>
      <c r="I352" s="10" t="inlineStr">
        <is>
          <t>model_catch</t>
        </is>
      </c>
      <c r="J352" s="14" t="inlineStr">
        <is>
          <t>medium</t>
        </is>
      </c>
      <c r="K352" s="10" t="inlineStr">
        <is>
          <t>composite_split</t>
        </is>
      </c>
      <c r="L352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352" s="10" t="n">
        <v>40575.83</v>
      </c>
    </row>
    <row r="353" ht="36" customHeight="1">
      <c r="A353" s="10" t="inlineStr">
        <is>
          <t>LME_036</t>
        </is>
      </c>
      <c r="B353" s="11" t="inlineStr">
        <is>
          <t>36_2_South_China_Sea_SCS-2007_Northern_South_China_Sea_(1970s)</t>
        </is>
      </c>
      <c r="C353" s="11" t="inlineStr">
        <is>
          <t>Penaeus latisulcatus</t>
        </is>
      </c>
      <c r="D353" s="10" t="inlineStr">
        <is>
          <t>Western king prawn</t>
        </is>
      </c>
      <c r="E353" s="10" t="inlineStr">
        <is>
          <t>Shrimps</t>
        </is>
      </c>
      <c r="F353" s="10" t="inlineStr">
        <is>
          <t>Crustaceans</t>
        </is>
      </c>
      <c r="G353" s="11" t="inlineStr">
        <is>
          <t>Shrimps</t>
        </is>
      </c>
      <c r="H353" s="12" t="n">
        <v>1</v>
      </c>
      <c r="I353" s="10" t="inlineStr">
        <is>
          <t>single</t>
        </is>
      </c>
      <c r="J353" s="15" t="inlineStr">
        <is>
          <t>high</t>
        </is>
      </c>
      <c r="K353" s="10" t="inlineStr">
        <is>
          <t>taxonomic_containment</t>
        </is>
      </c>
      <c r="L353" s="11" t="inlineStr">
        <is>
          <t>Stomatopods belong to the residual benthic crustaceans; other shrimp taxa belong to Shrimps after the explicitly separated Acetes records (Appendix 6.1 pp.323-326).</t>
        </is>
      </c>
      <c r="M353" s="10" t="n">
        <v>39116.178</v>
      </c>
    </row>
    <row r="354" ht="51" customHeight="1">
      <c r="A354" s="10" t="inlineStr">
        <is>
          <t>LME_036</t>
        </is>
      </c>
      <c r="B354" s="11" t="inlineStr">
        <is>
          <t>36_2_South_China_Sea_SCS-2007_Northern_South_China_Sea_(1970s)</t>
        </is>
      </c>
      <c r="C354" s="11" t="inlineStr">
        <is>
          <t>Dussumieria elopsoides</t>
        </is>
      </c>
      <c r="D354" s="10" t="inlineStr">
        <is>
          <t>Slender rainbow sardine</t>
        </is>
      </c>
      <c r="E354" s="10" t="inlineStr">
        <is>
          <t>Small pelagics (&lt;30 cm)</t>
        </is>
      </c>
      <c r="F354" s="10" t="inlineStr">
        <is>
          <t>Herring-likes</t>
        </is>
      </c>
      <c r="G354" s="11" t="inlineStr">
        <is>
          <t>Pelagic fish (≤ 30 cm)</t>
        </is>
      </c>
      <c r="H354" s="12" t="n">
        <v>1</v>
      </c>
      <c r="I354" s="10" t="inlineStr">
        <is>
          <t>single</t>
        </is>
      </c>
      <c r="J354" s="14" t="inlineStr">
        <is>
          <t>medium</t>
        </is>
      </c>
      <c r="K354" s="10" t="inlineStr">
        <is>
          <t>habitat_size_guild</t>
        </is>
      </c>
      <c r="L354" s="11" t="inlineStr">
        <is>
          <t>Source small-pelagic pool explicitly includes sardines, thryssa and anchovies (Appendix 6.1.23 p.338); extension to the catch lineage uses SAU size as a proxy and is not a full species list.</t>
        </is>
      </c>
      <c r="M354" s="10" t="n">
        <v>38768.359</v>
      </c>
    </row>
    <row r="355" ht="36" customHeight="1">
      <c r="A355" s="10" t="inlineStr">
        <is>
          <t>LME_036</t>
        </is>
      </c>
      <c r="B355" s="11" t="inlineStr">
        <is>
          <t>36_2_South_China_Sea_SCS-2007_Northern_South_China_Sea_(1970s)</t>
        </is>
      </c>
      <c r="C355" s="11" t="inlineStr">
        <is>
          <t>Megalops cyprinoides</t>
        </is>
      </c>
      <c r="D355" s="10" t="inlineStr">
        <is>
          <t>Indo-Pacific tarpon</t>
        </is>
      </c>
      <c r="E355" s="10" t="inlineStr">
        <is>
          <t>Large pelagics (&gt;=90 cm)</t>
        </is>
      </c>
      <c r="F355" s="10" t="inlineStr">
        <is>
          <t>Other fishes &amp; inverts</t>
        </is>
      </c>
      <c r="G355" s="11" t="inlineStr">
        <is>
          <t>Juvenile large pelagic fish</t>
        </is>
      </c>
      <c r="H355" s="12" t="n">
        <v>0.2016806722689076</v>
      </c>
      <c r="I355" s="10" t="inlineStr">
        <is>
          <t>model_catch</t>
        </is>
      </c>
      <c r="J355" s="14" t="inlineStr">
        <is>
          <t>medium</t>
        </is>
      </c>
      <c r="K355" s="10" t="inlineStr">
        <is>
          <t>composite_split</t>
        </is>
      </c>
      <c r="L355" s="11" t="inlineStr">
        <is>
          <t>Analyst habitat/size inference to source &gt;30 cm pelagic fish (Appendix 6.1.24 p.339); no age data, so split juvenile/adult using the period model catch.</t>
        </is>
      </c>
      <c r="M355" s="10" t="n">
        <v>37102.675</v>
      </c>
    </row>
    <row r="356" ht="36" customHeight="1">
      <c r="A356" s="10" t="inlineStr">
        <is>
          <t>LME_036</t>
        </is>
      </c>
      <c r="B356" s="11" t="inlineStr">
        <is>
          <t>36_2_South_China_Sea_SCS-2007_Northern_South_China_Sea_(1970s)</t>
        </is>
      </c>
      <c r="C356" s="11" t="inlineStr">
        <is>
          <t>Megalops cyprinoides</t>
        </is>
      </c>
      <c r="D356" s="10" t="inlineStr">
        <is>
          <t>Indo-Pacific tarpon</t>
        </is>
      </c>
      <c r="E356" s="10" t="inlineStr">
        <is>
          <t>Large pelagics (&gt;=90 cm)</t>
        </is>
      </c>
      <c r="F356" s="10" t="inlineStr">
        <is>
          <t>Other fishes &amp; inverts</t>
        </is>
      </c>
      <c r="G356" s="11" t="inlineStr">
        <is>
          <t>Pelagic fish (&gt; 30 cm)</t>
        </is>
      </c>
      <c r="H356" s="12" t="n">
        <v>0.7983193277310925</v>
      </c>
      <c r="I356" s="10" t="inlineStr">
        <is>
          <t>model_catch</t>
        </is>
      </c>
      <c r="J356" s="14" t="inlineStr">
        <is>
          <t>medium</t>
        </is>
      </c>
      <c r="K356" s="10" t="inlineStr">
        <is>
          <t>composite_split</t>
        </is>
      </c>
      <c r="L356" s="11" t="inlineStr">
        <is>
          <t>Analyst habitat/size inference to source &gt;30 cm pelagic fish (Appendix 6.1.24 p.339); no age data, so split juvenile/adult using the period model catch.</t>
        </is>
      </c>
      <c r="M356" s="10" t="n">
        <v>37102.675</v>
      </c>
    </row>
    <row r="357" ht="51" customHeight="1">
      <c r="A357" s="10" t="inlineStr">
        <is>
          <t>LME_036</t>
        </is>
      </c>
      <c r="B357" s="11" t="inlineStr">
        <is>
          <t>36_2_South_China_Sea_SCS-2007_Northern_South_China_Sea_(1970s)</t>
        </is>
      </c>
      <c r="C357" s="11" t="inlineStr">
        <is>
          <t>Plectorhinchus</t>
        </is>
      </c>
      <c r="D357" s="10" t="inlineStr">
        <is>
          <t>Sweetlips</t>
        </is>
      </c>
      <c r="E357" s="10" t="inlineStr">
        <is>
          <t>Medium reef assoc. fish (30 - 89 cm)</t>
        </is>
      </c>
      <c r="F357" s="10" t="inlineStr">
        <is>
          <t>Perch-likes</t>
        </is>
      </c>
      <c r="G357" s="11" t="inlineStr">
        <is>
          <t>Juvenile demersal fish (&gt; 30 cm)</t>
        </is>
      </c>
      <c r="H357" s="12" t="n">
        <v>0.2002781641168289</v>
      </c>
      <c r="I357" s="10" t="inlineStr">
        <is>
          <t>model_catch</t>
        </is>
      </c>
      <c r="J357" s="14" t="inlineStr">
        <is>
          <t>medium</t>
        </is>
      </c>
      <c r="K357" s="10" t="inlineStr">
        <is>
          <t>composite_split</t>
        </is>
      </c>
      <c r="L357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357" s="10" t="n">
        <v>36703.879</v>
      </c>
    </row>
    <row r="358" ht="51" customHeight="1">
      <c r="A358" s="10" t="inlineStr">
        <is>
          <t>LME_036</t>
        </is>
      </c>
      <c r="B358" s="11" t="inlineStr">
        <is>
          <t>36_2_South_China_Sea_SCS-2007_Northern_South_China_Sea_(1970s)</t>
        </is>
      </c>
      <c r="C358" s="11" t="inlineStr">
        <is>
          <t>Plectorhinchus</t>
        </is>
      </c>
      <c r="D358" s="10" t="inlineStr">
        <is>
          <t>Sweetlips</t>
        </is>
      </c>
      <c r="E358" s="10" t="inlineStr">
        <is>
          <t>Medium reef assoc. fish (30 - 89 cm)</t>
        </is>
      </c>
      <c r="F358" s="10" t="inlineStr">
        <is>
          <t>Perch-likes</t>
        </is>
      </c>
      <c r="G358" s="11" t="inlineStr">
        <is>
          <t>Adult demersal fish (&gt; 30 cm)</t>
        </is>
      </c>
      <c r="H358" s="12" t="n">
        <v>0.799721835883171</v>
      </c>
      <c r="I358" s="10" t="inlineStr">
        <is>
          <t>model_catch</t>
        </is>
      </c>
      <c r="J358" s="14" t="inlineStr">
        <is>
          <t>medium</t>
        </is>
      </c>
      <c r="K358" s="10" t="inlineStr">
        <is>
          <t>composite_split</t>
        </is>
      </c>
      <c r="L358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358" s="10" t="n">
        <v>36703.879</v>
      </c>
    </row>
    <row r="359" ht="36" customHeight="1">
      <c r="A359" s="10" t="inlineStr">
        <is>
          <t>LME_036</t>
        </is>
      </c>
      <c r="B359" s="11" t="inlineStr">
        <is>
          <t>36_2_South_China_Sea_SCS-2007_Northern_South_China_Sea_(1970s)</t>
        </is>
      </c>
      <c r="C359" s="11" t="inlineStr">
        <is>
          <t>Apostichopus japonicus</t>
        </is>
      </c>
      <c r="D359" s="10" t="inlineStr">
        <is>
          <t>Japanese sea cucumber</t>
        </is>
      </c>
      <c r="E359" s="10" t="inlineStr">
        <is>
          <t>Other demersal invertebrates</t>
        </is>
      </c>
      <c r="F359" s="10" t="inlineStr">
        <is>
          <t>Other fishes &amp; inverts</t>
        </is>
      </c>
      <c r="G359" s="11" t="inlineStr">
        <is>
          <t>Echinoderms</t>
        </is>
      </c>
      <c r="H359" s="12" t="n">
        <v>1</v>
      </c>
      <c r="I359" s="10" t="inlineStr">
        <is>
          <t>single</t>
        </is>
      </c>
      <c r="J359" s="15" t="inlineStr">
        <is>
          <t>high</t>
        </is>
      </c>
      <c r="K359" s="10" t="inlineStr">
        <is>
          <t>taxonomic_containment</t>
        </is>
      </c>
      <c r="L359" s="11" t="inlineStr">
        <is>
          <t>Taxonomic containment in the source benthos subdivision (Appendix 6.1.5 pp.324-325), keeping non-cephalopod molluscs separate from echinoderms and sessile invertebrates.</t>
        </is>
      </c>
      <c r="M359" s="10" t="n">
        <v>35013.082</v>
      </c>
    </row>
    <row r="360" ht="36" customHeight="1">
      <c r="A360" s="10" t="inlineStr">
        <is>
          <t>LME_036</t>
        </is>
      </c>
      <c r="B360" s="11" t="inlineStr">
        <is>
          <t>36_2_South_China_Sea_SCS-2007_Northern_South_China_Sea_(1970s)</t>
        </is>
      </c>
      <c r="C360" s="11" t="inlineStr">
        <is>
          <t>Portunidae</t>
        </is>
      </c>
      <c r="D360" s="10" t="inlineStr">
        <is>
          <t>Swimming crabs</t>
        </is>
      </c>
      <c r="E360" s="10" t="inlineStr">
        <is>
          <t>Lobsters, crabs</t>
        </is>
      </c>
      <c r="F360" s="10" t="inlineStr">
        <is>
          <t>Crustaceans</t>
        </is>
      </c>
      <c r="G360" s="11" t="inlineStr">
        <is>
          <t>Crabs</t>
        </is>
      </c>
      <c r="H360" s="12" t="n">
        <v>1</v>
      </c>
      <c r="I360" s="10" t="inlineStr">
        <is>
          <t>single</t>
        </is>
      </c>
      <c r="J360" s="15" t="inlineStr">
        <is>
          <t>high</t>
        </is>
      </c>
      <c r="K360" s="10" t="inlineStr">
        <is>
          <t>taxonomic_containment</t>
        </is>
      </c>
      <c r="L360" s="11" t="inlineStr">
        <is>
          <t>Source benthic crustaceans exclude shrimps and crabs (Appendix 6.1.5 p.324); lobsters remain in that residual, while true crabs use Crabs.</t>
        </is>
      </c>
      <c r="M360" s="10" t="n">
        <v>34494.118</v>
      </c>
    </row>
    <row r="361" ht="36" customHeight="1">
      <c r="A361" s="10" t="inlineStr">
        <is>
          <t>LME_036</t>
        </is>
      </c>
      <c r="B361" s="11" t="inlineStr">
        <is>
          <t>36_2_South_China_Sea_SCS-2007_Northern_South_China_Sea_(1970s)</t>
        </is>
      </c>
      <c r="C361" s="11" t="inlineStr">
        <is>
          <t>Haliotidae</t>
        </is>
      </c>
      <c r="D361" s="10" t="inlineStr">
        <is>
          <t>Abalones, ear shells</t>
        </is>
      </c>
      <c r="E361" s="10" t="inlineStr">
        <is>
          <t>Other demersal invertebrates</t>
        </is>
      </c>
      <c r="F361" s="10" t="inlineStr">
        <is>
          <t>Molluscs</t>
        </is>
      </c>
      <c r="G361" s="11" t="inlineStr">
        <is>
          <t>Non-ceph molluscs</t>
        </is>
      </c>
      <c r="H361" s="12" t="n">
        <v>1</v>
      </c>
      <c r="I361" s="10" t="inlineStr">
        <is>
          <t>single</t>
        </is>
      </c>
      <c r="J361" s="15" t="inlineStr">
        <is>
          <t>high</t>
        </is>
      </c>
      <c r="K361" s="10" t="inlineStr">
        <is>
          <t>taxonomic_containment</t>
        </is>
      </c>
      <c r="L361" s="11" t="inlineStr">
        <is>
          <t>Taxonomic containment in the source benthos subdivision (Appendix 6.1.5 pp.324-325), keeping non-cephalopod molluscs separate from echinoderms and sessile invertebrates.</t>
        </is>
      </c>
      <c r="M361" s="10" t="n">
        <v>33815.298</v>
      </c>
    </row>
    <row r="362" ht="36" customHeight="1">
      <c r="A362" s="10" t="inlineStr">
        <is>
          <t>LME_036</t>
        </is>
      </c>
      <c r="B362" s="11" t="inlineStr">
        <is>
          <t>36_2_South_China_Sea_SCS-2007_Northern_South_China_Sea_(1970s)</t>
        </is>
      </c>
      <c r="C362" s="11" t="inlineStr">
        <is>
          <t>Batoidea</t>
        </is>
      </c>
      <c r="D362" s="10" t="inlineStr">
        <is>
          <t>Batoids, skates, rays, sawfishes</t>
        </is>
      </c>
      <c r="E362" s="10" t="inlineStr">
        <is>
          <t>Large rays (&gt;=90 cm)</t>
        </is>
      </c>
      <c r="F362" s="10" t="inlineStr">
        <is>
          <t>Sharks &amp; rays</t>
        </is>
      </c>
      <c r="G362" s="11" t="inlineStr">
        <is>
          <t>Demersal sharks and rays</t>
        </is>
      </c>
      <c r="H362" s="12" t="n">
        <v>0.8134680303573432</v>
      </c>
      <c r="I362" s="10" t="inlineStr">
        <is>
          <t>catch_composition</t>
        </is>
      </c>
      <c r="J362" s="13" t="inlineStr">
        <is>
          <t>low</t>
        </is>
      </c>
      <c r="K362" s="10" t="inlineStr">
        <is>
          <t>composite_split</t>
        </is>
      </c>
      <c r="L362" s="11" t="inlineStr">
        <is>
          <t>Coarse or habitat-ambiguous elasmobranch record spans the two source habitat compartments; SAU shark/ray size is insufficient to select one.</t>
        </is>
      </c>
      <c r="M362" s="10" t="n">
        <v>31524.153</v>
      </c>
    </row>
    <row r="363" ht="36" customHeight="1">
      <c r="A363" s="10" t="inlineStr">
        <is>
          <t>LME_036</t>
        </is>
      </c>
      <c r="B363" s="11" t="inlineStr">
        <is>
          <t>36_2_South_China_Sea_SCS-2007_Northern_South_China_Sea_(1970s)</t>
        </is>
      </c>
      <c r="C363" s="11" t="inlineStr">
        <is>
          <t>Batoidea</t>
        </is>
      </c>
      <c r="D363" s="10" t="inlineStr">
        <is>
          <t>Batoids, skates, rays, sawfishes</t>
        </is>
      </c>
      <c r="E363" s="10" t="inlineStr">
        <is>
          <t>Large rays (&gt;=90 cm)</t>
        </is>
      </c>
      <c r="F363" s="10" t="inlineStr">
        <is>
          <t>Sharks &amp; rays</t>
        </is>
      </c>
      <c r="G363" s="11" t="inlineStr">
        <is>
          <t>Pelagic sharks and rays</t>
        </is>
      </c>
      <c r="H363" s="12" t="n">
        <v>0.1865319696426568</v>
      </c>
      <c r="I363" s="10" t="inlineStr">
        <is>
          <t>catch_composition</t>
        </is>
      </c>
      <c r="J363" s="13" t="inlineStr">
        <is>
          <t>low</t>
        </is>
      </c>
      <c r="K363" s="10" t="inlineStr">
        <is>
          <t>composite_split</t>
        </is>
      </c>
      <c r="L363" s="11" t="inlineStr">
        <is>
          <t>Coarse or habitat-ambiguous elasmobranch record spans the two source habitat compartments; SAU shark/ray size is insufficient to select one.</t>
        </is>
      </c>
      <c r="M363" s="10" t="n">
        <v>31524.153</v>
      </c>
    </row>
    <row r="364" ht="36" customHeight="1">
      <c r="A364" s="10" t="inlineStr">
        <is>
          <t>LME_036</t>
        </is>
      </c>
      <c r="B364" s="11" t="inlineStr">
        <is>
          <t>36_2_South_China_Sea_SCS-2007_Northern_South_China_Sea_(1970s)</t>
        </is>
      </c>
      <c r="C364" s="11" t="inlineStr">
        <is>
          <t>Istiophorus</t>
        </is>
      </c>
      <c r="D364" s="10" t="inlineStr">
        <is>
          <t>Sailfishes</t>
        </is>
      </c>
      <c r="E364" s="10" t="inlineStr">
        <is>
          <t>Large pelagics (&gt;=90 cm)</t>
        </is>
      </c>
      <c r="F364" s="10" t="inlineStr">
        <is>
          <t>Tuna &amp; billfishes</t>
        </is>
      </c>
      <c r="G364" s="11" t="inlineStr">
        <is>
          <t>Unresolved</t>
        </is>
      </c>
      <c r="H364" s="12" t="n"/>
      <c r="I364" s="10" t="inlineStr"/>
      <c r="J364" s="16" t="inlineStr">
        <is>
          <t>unresolved</t>
        </is>
      </c>
      <c r="K364" s="10" t="inlineStr">
        <is>
          <t>none</t>
        </is>
      </c>
      <c r="L364" s="11" t="inlineStr">
        <is>
          <t>Northern continental-shelf model lacks a documented oceanic billfish or deep-pelagic compartment; assigning coastal juvenile/adult pelagic SPPR would be unsupported.</t>
        </is>
      </c>
      <c r="M364" s="10" t="n">
        <v>30687.338</v>
      </c>
    </row>
    <row r="365" ht="51" customHeight="1">
      <c r="A365" s="10" t="inlineStr">
        <is>
          <t>LME_036</t>
        </is>
      </c>
      <c r="B365" s="11" t="inlineStr">
        <is>
          <t>36_2_South_China_Sea_SCS-2007_Northern_South_China_Sea_(1970s)</t>
        </is>
      </c>
      <c r="C365" s="11" t="inlineStr">
        <is>
          <t>Platycaranx malabaricus</t>
        </is>
      </c>
      <c r="D365" s="10" t="inlineStr">
        <is>
          <t>Malabar trevally</t>
        </is>
      </c>
      <c r="E365" s="10" t="inlineStr">
        <is>
          <t>Medium reef assoc. fish (30 - 89 cm)</t>
        </is>
      </c>
      <c r="F365" s="10" t="inlineStr">
        <is>
          <t>Perch-likes</t>
        </is>
      </c>
      <c r="G365" s="11" t="inlineStr">
        <is>
          <t>Juvenile large pelagic fish</t>
        </is>
      </c>
      <c r="H365" s="12" t="n">
        <v>0.2016806722689076</v>
      </c>
      <c r="I365" s="10" t="inlineStr">
        <is>
          <t>model_catch</t>
        </is>
      </c>
      <c r="J365" s="14" t="inlineStr">
        <is>
          <t>medium</t>
        </is>
      </c>
      <c r="K365" s="10" t="inlineStr">
        <is>
          <t>composite_split</t>
        </is>
      </c>
      <c r="L365" s="11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365" s="10" t="n">
        <v>30428.7</v>
      </c>
    </row>
    <row r="366" ht="51" customHeight="1">
      <c r="A366" s="10" t="inlineStr">
        <is>
          <t>LME_036</t>
        </is>
      </c>
      <c r="B366" s="11" t="inlineStr">
        <is>
          <t>36_2_South_China_Sea_SCS-2007_Northern_South_China_Sea_(1970s)</t>
        </is>
      </c>
      <c r="C366" s="11" t="inlineStr">
        <is>
          <t>Platycaranx malabaricus</t>
        </is>
      </c>
      <c r="D366" s="10" t="inlineStr">
        <is>
          <t>Malabar trevally</t>
        </is>
      </c>
      <c r="E366" s="10" t="inlineStr">
        <is>
          <t>Medium reef assoc. fish (30 - 89 cm)</t>
        </is>
      </c>
      <c r="F366" s="10" t="inlineStr">
        <is>
          <t>Perch-likes</t>
        </is>
      </c>
      <c r="G366" s="11" t="inlineStr">
        <is>
          <t>Pelagic fish (&gt; 30 cm)</t>
        </is>
      </c>
      <c r="H366" s="12" t="n">
        <v>0.7983193277310925</v>
      </c>
      <c r="I366" s="10" t="inlineStr">
        <is>
          <t>model_catch</t>
        </is>
      </c>
      <c r="J366" s="14" t="inlineStr">
        <is>
          <t>medium</t>
        </is>
      </c>
      <c r="K366" s="10" t="inlineStr">
        <is>
          <t>composite_split</t>
        </is>
      </c>
      <c r="L366" s="11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366" s="10" t="n">
        <v>30428.7</v>
      </c>
    </row>
    <row r="367" ht="51" customHeight="1">
      <c r="A367" s="10" t="inlineStr">
        <is>
          <t>LME_036</t>
        </is>
      </c>
      <c r="B367" s="11" t="inlineStr">
        <is>
          <t>36_2_South_China_Sea_SCS-2007_Northern_South_China_Sea_(1970s)</t>
        </is>
      </c>
      <c r="C367" s="11" t="inlineStr">
        <is>
          <t>Nemipterus japonicus</t>
        </is>
      </c>
      <c r="D367" s="10" t="inlineStr">
        <is>
          <t>Japanese threadfin bream</t>
        </is>
      </c>
      <c r="E367" s="10" t="inlineStr">
        <is>
          <t>Small demersals (&lt;30 cm)</t>
        </is>
      </c>
      <c r="F367" s="10" t="inlineStr">
        <is>
          <t>Perch-likes</t>
        </is>
      </c>
      <c r="G367" s="11" t="inlineStr">
        <is>
          <t>Threadfin bream (nemipterids)</t>
        </is>
      </c>
      <c r="H367" s="12" t="n">
        <v>1</v>
      </c>
      <c r="I367" s="10" t="inlineStr">
        <is>
          <t>single</t>
        </is>
      </c>
      <c r="J367" s="15" t="inlineStr">
        <is>
          <t>high</t>
        </is>
      </c>
      <c r="K367" s="10" t="inlineStr">
        <is>
          <t>explicit_member</t>
        </is>
      </c>
      <c r="L367" s="11" t="inlineStr">
        <is>
          <t>Appendix 6.1 pp.327-335 defines Threadfin bream (nemipterids) by this family or explicitly names Nemipterus japonicus; dedicated source placement overrides the SAU class Small demersals (&lt;30 cm).</t>
        </is>
      </c>
      <c r="M367" s="10" t="n">
        <v>29856.401</v>
      </c>
    </row>
    <row r="368" ht="36" customHeight="1">
      <c r="A368" s="10" t="inlineStr">
        <is>
          <t>LME_036</t>
        </is>
      </c>
      <c r="B368" s="11" t="inlineStr">
        <is>
          <t>36_2_South_China_Sea_SCS-2007_Northern_South_China_Sea_(1970s)</t>
        </is>
      </c>
      <c r="C368" s="11" t="inlineStr">
        <is>
          <t>Bothidae</t>
        </is>
      </c>
      <c r="D368" s="10" t="inlineStr">
        <is>
          <t>Lefteye flounders</t>
        </is>
      </c>
      <c r="E368" s="10" t="inlineStr">
        <is>
          <t>Small to medium flatfishes (&lt;90 cm)</t>
        </is>
      </c>
      <c r="F368" s="10" t="inlineStr">
        <is>
          <t>Flatfishes</t>
        </is>
      </c>
      <c r="G368" s="11" t="inlineStr">
        <is>
          <t>Demesral fish (≤ 30 cm)</t>
        </is>
      </c>
      <c r="H368" s="12" t="n">
        <v>0.3854700854700854</v>
      </c>
      <c r="I368" s="10" t="inlineStr">
        <is>
          <t>model_catch</t>
        </is>
      </c>
      <c r="J368" s="13" t="inlineStr">
        <is>
          <t>low</t>
        </is>
      </c>
      <c r="K368" s="10" t="inlineStr">
        <is>
          <t>composite_split</t>
        </is>
      </c>
      <c r="L368" s="11" t="inlineStr">
        <is>
          <t>Flatfishes are demersal, but SAU &lt;90 cm band does not distinguish the source &lt;=30 cm species pool from &gt;30 cm juvenile/adult fish; all three residual demersal pools remain candidates.</t>
        </is>
      </c>
      <c r="M368" s="10" t="n">
        <v>29599.082</v>
      </c>
    </row>
    <row r="369" ht="36" customHeight="1">
      <c r="A369" s="10" t="inlineStr">
        <is>
          <t>LME_036</t>
        </is>
      </c>
      <c r="B369" s="11" t="inlineStr">
        <is>
          <t>36_2_South_China_Sea_SCS-2007_Northern_South_China_Sea_(1970s)</t>
        </is>
      </c>
      <c r="C369" s="11" t="inlineStr">
        <is>
          <t>Bothidae</t>
        </is>
      </c>
      <c r="D369" s="10" t="inlineStr">
        <is>
          <t>Lefteye flounders</t>
        </is>
      </c>
      <c r="E369" s="10" t="inlineStr">
        <is>
          <t>Small to medium flatfishes (&lt;90 cm)</t>
        </is>
      </c>
      <c r="F369" s="10" t="inlineStr">
        <is>
          <t>Flatfishes</t>
        </is>
      </c>
      <c r="G369" s="11" t="inlineStr">
        <is>
          <t>Juvenile demersal fish (&gt; 30 cm)</t>
        </is>
      </c>
      <c r="H369" s="12" t="n">
        <v>0.1230769230769231</v>
      </c>
      <c r="I369" s="10" t="inlineStr">
        <is>
          <t>model_catch</t>
        </is>
      </c>
      <c r="J369" s="13" t="inlineStr">
        <is>
          <t>low</t>
        </is>
      </c>
      <c r="K369" s="10" t="inlineStr">
        <is>
          <t>composite_split</t>
        </is>
      </c>
      <c r="L369" s="11" t="inlineStr">
        <is>
          <t>Flatfishes are demersal, but SAU &lt;90 cm band does not distinguish the source &lt;=30 cm species pool from &gt;30 cm juvenile/adult fish; all three residual demersal pools remain candidates.</t>
        </is>
      </c>
      <c r="M369" s="10" t="n">
        <v>29599.082</v>
      </c>
    </row>
    <row r="370" ht="36" customHeight="1">
      <c r="A370" s="10" t="inlineStr">
        <is>
          <t>LME_036</t>
        </is>
      </c>
      <c r="B370" s="11" t="inlineStr">
        <is>
          <t>36_2_South_China_Sea_SCS-2007_Northern_South_China_Sea_(1970s)</t>
        </is>
      </c>
      <c r="C370" s="11" t="inlineStr">
        <is>
          <t>Bothidae</t>
        </is>
      </c>
      <c r="D370" s="10" t="inlineStr">
        <is>
          <t>Lefteye flounders</t>
        </is>
      </c>
      <c r="E370" s="10" t="inlineStr">
        <is>
          <t>Small to medium flatfishes (&lt;90 cm)</t>
        </is>
      </c>
      <c r="F370" s="10" t="inlineStr">
        <is>
          <t>Flatfishes</t>
        </is>
      </c>
      <c r="G370" s="11" t="inlineStr">
        <is>
          <t>Adult demersal fish (&gt; 30 cm)</t>
        </is>
      </c>
      <c r="H370" s="12" t="n">
        <v>0.4914529914529914</v>
      </c>
      <c r="I370" s="10" t="inlineStr">
        <is>
          <t>model_catch</t>
        </is>
      </c>
      <c r="J370" s="13" t="inlineStr">
        <is>
          <t>low</t>
        </is>
      </c>
      <c r="K370" s="10" t="inlineStr">
        <is>
          <t>composite_split</t>
        </is>
      </c>
      <c r="L370" s="11" t="inlineStr">
        <is>
          <t>Flatfishes are demersal, but SAU &lt;90 cm band does not distinguish the source &lt;=30 cm species pool from &gt;30 cm juvenile/adult fish; all three residual demersal pools remain candidates.</t>
        </is>
      </c>
      <c r="M370" s="10" t="n">
        <v>29599.082</v>
      </c>
    </row>
    <row r="371" ht="51" customHeight="1">
      <c r="A371" s="10" t="inlineStr">
        <is>
          <t>LME_036</t>
        </is>
      </c>
      <c r="B371" s="11" t="inlineStr">
        <is>
          <t>36_2_South_China_Sea_SCS-2007_Northern_South_China_Sea_(1970s)</t>
        </is>
      </c>
      <c r="C371" s="11" t="inlineStr">
        <is>
          <t>Drepane</t>
        </is>
      </c>
      <c r="D371" s="10" t="inlineStr">
        <is>
          <t>Sicklefishes</t>
        </is>
      </c>
      <c r="E371" s="10" t="inlineStr">
        <is>
          <t>Medium benthopelagics (30 - 89 cm)</t>
        </is>
      </c>
      <c r="F371" s="10" t="inlineStr">
        <is>
          <t>Perch-likes</t>
        </is>
      </c>
      <c r="G371" s="11" t="inlineStr">
        <is>
          <t>Benthopelagic fish</t>
        </is>
      </c>
      <c r="H371" s="12" t="n">
        <v>1</v>
      </c>
      <c r="I371" s="10" t="inlineStr">
        <is>
          <t>single</t>
        </is>
      </c>
      <c r="J371" s="13" t="inlineStr">
        <is>
          <t>low</t>
        </is>
      </c>
      <c r="K371" s="10" t="inlineStr">
        <is>
          <t>habitat_size_guild</t>
        </is>
      </c>
      <c r="L371" s="11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  <c r="M371" s="10" t="n">
        <v>26691.157</v>
      </c>
    </row>
    <row r="372" ht="51" customHeight="1">
      <c r="A372" s="10" t="inlineStr">
        <is>
          <t>LME_036</t>
        </is>
      </c>
      <c r="B372" s="11" t="inlineStr">
        <is>
          <t>36_2_South_China_Sea_SCS-2007_Northern_South_China_Sea_(1970s)</t>
        </is>
      </c>
      <c r="C372" s="11" t="inlineStr">
        <is>
          <t>Lateolabrax japonicus</t>
        </is>
      </c>
      <c r="D372" s="10" t="inlineStr">
        <is>
          <t>Japanese seabass</t>
        </is>
      </c>
      <c r="E372" s="10" t="inlineStr">
        <is>
          <t>Medium reef assoc. fish (30 - 89 cm)</t>
        </is>
      </c>
      <c r="F372" s="10" t="inlineStr">
        <is>
          <t>Perch-likes</t>
        </is>
      </c>
      <c r="G372" s="11" t="inlineStr">
        <is>
          <t>Juvenile demersal fish (&gt; 30 cm)</t>
        </is>
      </c>
      <c r="H372" s="12" t="n">
        <v>0.2002781641168289</v>
      </c>
      <c r="I372" s="10" t="inlineStr">
        <is>
          <t>model_catch</t>
        </is>
      </c>
      <c r="J372" s="14" t="inlineStr">
        <is>
          <t>medium</t>
        </is>
      </c>
      <c r="K372" s="10" t="inlineStr">
        <is>
          <t>composite_split</t>
        </is>
      </c>
      <c r="L372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372" s="10" t="n">
        <v>25443.239</v>
      </c>
    </row>
    <row r="373" ht="51" customHeight="1">
      <c r="A373" s="10" t="inlineStr">
        <is>
          <t>LME_036</t>
        </is>
      </c>
      <c r="B373" s="11" t="inlineStr">
        <is>
          <t>36_2_South_China_Sea_SCS-2007_Northern_South_China_Sea_(1970s)</t>
        </is>
      </c>
      <c r="C373" s="11" t="inlineStr">
        <is>
          <t>Lateolabrax japonicus</t>
        </is>
      </c>
      <c r="D373" s="10" t="inlineStr">
        <is>
          <t>Japanese seabass</t>
        </is>
      </c>
      <c r="E373" s="10" t="inlineStr">
        <is>
          <t>Medium reef assoc. fish (30 - 89 cm)</t>
        </is>
      </c>
      <c r="F373" s="10" t="inlineStr">
        <is>
          <t>Perch-likes</t>
        </is>
      </c>
      <c r="G373" s="11" t="inlineStr">
        <is>
          <t>Adult demersal fish (&gt; 30 cm)</t>
        </is>
      </c>
      <c r="H373" s="12" t="n">
        <v>0.799721835883171</v>
      </c>
      <c r="I373" s="10" t="inlineStr">
        <is>
          <t>model_catch</t>
        </is>
      </c>
      <c r="J373" s="14" t="inlineStr">
        <is>
          <t>medium</t>
        </is>
      </c>
      <c r="K373" s="10" t="inlineStr">
        <is>
          <t>composite_split</t>
        </is>
      </c>
      <c r="L373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373" s="10" t="n">
        <v>25443.239</v>
      </c>
    </row>
    <row r="374" ht="36" customHeight="1">
      <c r="A374" s="10" t="inlineStr">
        <is>
          <t>LME_036</t>
        </is>
      </c>
      <c r="B374" s="11" t="inlineStr">
        <is>
          <t>36_2_South_China_Sea_SCS-2007_Northern_South_China_Sea_(1970s)</t>
        </is>
      </c>
      <c r="C374" s="11" t="inlineStr">
        <is>
          <t>Auxis rochei</t>
        </is>
      </c>
      <c r="D374" s="10" t="inlineStr">
        <is>
          <t>Bullet tuna</t>
        </is>
      </c>
      <c r="E374" s="10" t="inlineStr">
        <is>
          <t>Medium pelagics (30 - 89 cm)</t>
        </is>
      </c>
      <c r="F374" s="10" t="inlineStr">
        <is>
          <t>Tuna &amp; billfishes</t>
        </is>
      </c>
      <c r="G374" s="11" t="inlineStr">
        <is>
          <t>Juvenile large pelagic fish</t>
        </is>
      </c>
      <c r="H374" s="12" t="n">
        <v>0.2016806722689076</v>
      </c>
      <c r="I374" s="10" t="inlineStr">
        <is>
          <t>model_catch</t>
        </is>
      </c>
      <c r="J374" s="14" t="inlineStr">
        <is>
          <t>medium</t>
        </is>
      </c>
      <c r="K374" s="10" t="inlineStr">
        <is>
          <t>composite_split</t>
        </is>
      </c>
      <c r="L374" s="11" t="inlineStr">
        <is>
          <t>Analyst habitat/size inference to source &gt;30 cm pelagic fish (Appendix 6.1.24 p.339); no age data, so split juvenile/adult using the period model catch.</t>
        </is>
      </c>
      <c r="M374" s="10" t="n">
        <v>25390.636</v>
      </c>
    </row>
    <row r="375" ht="36" customHeight="1">
      <c r="A375" s="10" t="inlineStr">
        <is>
          <t>LME_036</t>
        </is>
      </c>
      <c r="B375" s="11" t="inlineStr">
        <is>
          <t>36_2_South_China_Sea_SCS-2007_Northern_South_China_Sea_(1970s)</t>
        </is>
      </c>
      <c r="C375" s="11" t="inlineStr">
        <is>
          <t>Auxis rochei</t>
        </is>
      </c>
      <c r="D375" s="10" t="inlineStr">
        <is>
          <t>Bullet tuna</t>
        </is>
      </c>
      <c r="E375" s="10" t="inlineStr">
        <is>
          <t>Medium pelagics (30 - 89 cm)</t>
        </is>
      </c>
      <c r="F375" s="10" t="inlineStr">
        <is>
          <t>Tuna &amp; billfishes</t>
        </is>
      </c>
      <c r="G375" s="11" t="inlineStr">
        <is>
          <t>Pelagic fish (&gt; 30 cm)</t>
        </is>
      </c>
      <c r="H375" s="12" t="n">
        <v>0.7983193277310925</v>
      </c>
      <c r="I375" s="10" t="inlineStr">
        <is>
          <t>model_catch</t>
        </is>
      </c>
      <c r="J375" s="14" t="inlineStr">
        <is>
          <t>medium</t>
        </is>
      </c>
      <c r="K375" s="10" t="inlineStr">
        <is>
          <t>composite_split</t>
        </is>
      </c>
      <c r="L375" s="11" t="inlineStr">
        <is>
          <t>Analyst habitat/size inference to source &gt;30 cm pelagic fish (Appendix 6.1.24 p.339); no age data, so split juvenile/adult using the period model catch.</t>
        </is>
      </c>
      <c r="M375" s="10" t="n">
        <v>25390.636</v>
      </c>
    </row>
    <row r="376" ht="51" customHeight="1">
      <c r="A376" s="10" t="inlineStr">
        <is>
          <t>LME_036</t>
        </is>
      </c>
      <c r="B376" s="11" t="inlineStr">
        <is>
          <t>36_2_South_China_Sea_SCS-2007_Northern_South_China_Sea_(1970s)</t>
        </is>
      </c>
      <c r="C376" s="11" t="inlineStr">
        <is>
          <t>Nibea mitsukurii</t>
        </is>
      </c>
      <c r="D376" s="10" t="inlineStr">
        <is>
          <t>Honnibe croaker</t>
        </is>
      </c>
      <c r="E376" s="10" t="inlineStr">
        <is>
          <t>Medium benthopelagics (30 - 89 cm)</t>
        </is>
      </c>
      <c r="F376" s="10" t="inlineStr">
        <is>
          <t>Perch-likes</t>
        </is>
      </c>
      <c r="G376" s="11" t="inlineStr">
        <is>
          <t>Juvenile large croakers</t>
        </is>
      </c>
      <c r="H376" s="12" t="n">
        <v>0.2</v>
      </c>
      <c r="I376" s="10" t="inlineStr">
        <is>
          <t>model_catch</t>
        </is>
      </c>
      <c r="J376" s="13" t="inlineStr">
        <is>
          <t>low</t>
        </is>
      </c>
      <c r="K376" s="10" t="inlineStr">
        <is>
          <t>composite_split</t>
        </is>
      </c>
      <c r="L376" s="11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  <c r="M376" s="10" t="n">
        <v>24744.639</v>
      </c>
    </row>
    <row r="377" ht="51" customHeight="1">
      <c r="A377" s="10" t="inlineStr">
        <is>
          <t>LME_036</t>
        </is>
      </c>
      <c r="B377" s="11" t="inlineStr">
        <is>
          <t>36_2_South_China_Sea_SCS-2007_Northern_South_China_Sea_(1970s)</t>
        </is>
      </c>
      <c r="C377" s="11" t="inlineStr">
        <is>
          <t>Nibea mitsukurii</t>
        </is>
      </c>
      <c r="D377" s="10" t="inlineStr">
        <is>
          <t>Honnibe croaker</t>
        </is>
      </c>
      <c r="E377" s="10" t="inlineStr">
        <is>
          <t>Medium benthopelagics (30 - 89 cm)</t>
        </is>
      </c>
      <c r="F377" s="10" t="inlineStr">
        <is>
          <t>Perch-likes</t>
        </is>
      </c>
      <c r="G377" s="11" t="inlineStr">
        <is>
          <t>Croakers (&gt; 30 cm)</t>
        </is>
      </c>
      <c r="H377" s="12" t="n">
        <v>0.8</v>
      </c>
      <c r="I377" s="10" t="inlineStr">
        <is>
          <t>model_catch</t>
        </is>
      </c>
      <c r="J377" s="13" t="inlineStr">
        <is>
          <t>low</t>
        </is>
      </c>
      <c r="K377" s="10" t="inlineStr">
        <is>
          <t>composite_split</t>
        </is>
      </c>
      <c r="L377" s="11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  <c r="M377" s="10" t="n">
        <v>24744.639</v>
      </c>
    </row>
    <row r="378" ht="36" customHeight="1">
      <c r="A378" s="10" t="inlineStr">
        <is>
          <t>LME_036</t>
        </is>
      </c>
      <c r="B378" s="11" t="inlineStr">
        <is>
          <t>36_2_South_China_Sea_SCS-2007_Northern_South_China_Sea_(1970s)</t>
        </is>
      </c>
      <c r="C378" s="11" t="inlineStr">
        <is>
          <t>Meretrix lusoria</t>
        </is>
      </c>
      <c r="D378" s="10" t="inlineStr">
        <is>
          <t>Japanese hard clam</t>
        </is>
      </c>
      <c r="E378" s="10" t="inlineStr">
        <is>
          <t>Other demersal invertebrates</t>
        </is>
      </c>
      <c r="F378" s="10" t="inlineStr">
        <is>
          <t>Molluscs</t>
        </is>
      </c>
      <c r="G378" s="11" t="inlineStr">
        <is>
          <t>Non-ceph molluscs</t>
        </is>
      </c>
      <c r="H378" s="12" t="n">
        <v>1</v>
      </c>
      <c r="I378" s="10" t="inlineStr">
        <is>
          <t>single</t>
        </is>
      </c>
      <c r="J378" s="15" t="inlineStr">
        <is>
          <t>high</t>
        </is>
      </c>
      <c r="K378" s="10" t="inlineStr">
        <is>
          <t>taxonomic_containment</t>
        </is>
      </c>
      <c r="L378" s="11" t="inlineStr">
        <is>
          <t>Taxonomic containment in the source benthos subdivision (Appendix 6.1.5 pp.324-325), keeping non-cephalopod molluscs separate from echinoderms and sessile invertebrates.</t>
        </is>
      </c>
      <c r="M378" s="10" t="n">
        <v>24335.411</v>
      </c>
    </row>
    <row r="379" ht="36" customHeight="1">
      <c r="A379" s="10" t="inlineStr">
        <is>
          <t>LME_036</t>
        </is>
      </c>
      <c r="B379" s="11" t="inlineStr">
        <is>
          <t>36_2_South_China_Sea_SCS-2007_Northern_South_China_Sea_(1970s)</t>
        </is>
      </c>
      <c r="C379" s="11" t="inlineStr">
        <is>
          <t>Hemiramphidae</t>
        </is>
      </c>
      <c r="D379" s="10" t="inlineStr">
        <is>
          <t>Halfbeaks, garfishes</t>
        </is>
      </c>
      <c r="E379" s="10" t="inlineStr">
        <is>
          <t>Medium pelagics (30 - 89 cm)</t>
        </is>
      </c>
      <c r="F379" s="10" t="inlineStr">
        <is>
          <t>Other fishes &amp; inverts</t>
        </is>
      </c>
      <c r="G379" s="11" t="inlineStr">
        <is>
          <t>Juvenile large pelagic fish</t>
        </is>
      </c>
      <c r="H379" s="12" t="n">
        <v>0.2016806722689076</v>
      </c>
      <c r="I379" s="10" t="inlineStr">
        <is>
          <t>model_catch</t>
        </is>
      </c>
      <c r="J379" s="14" t="inlineStr">
        <is>
          <t>medium</t>
        </is>
      </c>
      <c r="K379" s="10" t="inlineStr">
        <is>
          <t>composite_split</t>
        </is>
      </c>
      <c r="L379" s="11" t="inlineStr">
        <is>
          <t>Analyst habitat/size inference to source &gt;30 cm pelagic fish (Appendix 6.1.24 p.339); no age data, so split juvenile/adult using the period model catch.</t>
        </is>
      </c>
      <c r="M379" s="10" t="n">
        <v>23563.899</v>
      </c>
    </row>
    <row r="380" ht="36" customHeight="1">
      <c r="A380" s="10" t="inlineStr">
        <is>
          <t>LME_036</t>
        </is>
      </c>
      <c r="B380" s="11" t="inlineStr">
        <is>
          <t>36_2_South_China_Sea_SCS-2007_Northern_South_China_Sea_(1970s)</t>
        </is>
      </c>
      <c r="C380" s="11" t="inlineStr">
        <is>
          <t>Hemiramphidae</t>
        </is>
      </c>
      <c r="D380" s="10" t="inlineStr">
        <is>
          <t>Halfbeaks, garfishes</t>
        </is>
      </c>
      <c r="E380" s="10" t="inlineStr">
        <is>
          <t>Medium pelagics (30 - 89 cm)</t>
        </is>
      </c>
      <c r="F380" s="10" t="inlineStr">
        <is>
          <t>Other fishes &amp; inverts</t>
        </is>
      </c>
      <c r="G380" s="11" t="inlineStr">
        <is>
          <t>Pelagic fish (&gt; 30 cm)</t>
        </is>
      </c>
      <c r="H380" s="12" t="n">
        <v>0.7983193277310925</v>
      </c>
      <c r="I380" s="10" t="inlineStr">
        <is>
          <t>model_catch</t>
        </is>
      </c>
      <c r="J380" s="14" t="inlineStr">
        <is>
          <t>medium</t>
        </is>
      </c>
      <c r="K380" s="10" t="inlineStr">
        <is>
          <t>composite_split</t>
        </is>
      </c>
      <c r="L380" s="11" t="inlineStr">
        <is>
          <t>Analyst habitat/size inference to source &gt;30 cm pelagic fish (Appendix 6.1.24 p.339); no age data, so split juvenile/adult using the period model catch.</t>
        </is>
      </c>
      <c r="M380" s="10" t="n">
        <v>23563.899</v>
      </c>
    </row>
    <row r="381" ht="36" customHeight="1">
      <c r="A381" s="10" t="inlineStr">
        <is>
          <t>LME_036</t>
        </is>
      </c>
      <c r="B381" s="11" t="inlineStr">
        <is>
          <t>36_2_South_China_Sea_SCS-2007_Northern_South_China_Sea_(1970s)</t>
        </is>
      </c>
      <c r="C381" s="11" t="inlineStr">
        <is>
          <t>Istiophorus platypterus</t>
        </is>
      </c>
      <c r="D381" s="10" t="inlineStr">
        <is>
          <t>Indo-Pacific sailfish</t>
        </is>
      </c>
      <c r="E381" s="10" t="inlineStr">
        <is>
          <t>Large pelagics (&gt;=90 cm)</t>
        </is>
      </c>
      <c r="F381" s="10" t="inlineStr">
        <is>
          <t>Tuna &amp; billfishes</t>
        </is>
      </c>
      <c r="G381" s="11" t="inlineStr">
        <is>
          <t>Unresolved</t>
        </is>
      </c>
      <c r="H381" s="12" t="n"/>
      <c r="I381" s="10" t="inlineStr"/>
      <c r="J381" s="16" t="inlineStr">
        <is>
          <t>unresolved</t>
        </is>
      </c>
      <c r="K381" s="10" t="inlineStr">
        <is>
          <t>none</t>
        </is>
      </c>
      <c r="L381" s="11" t="inlineStr">
        <is>
          <t>Northern continental-shelf model lacks a documented oceanic billfish or deep-pelagic compartment; assigning coastal juvenile/adult pelagic SPPR would be unsupported.</t>
        </is>
      </c>
      <c r="M381" s="10" t="n">
        <v>23341.264</v>
      </c>
    </row>
    <row r="382" ht="36" customHeight="1">
      <c r="A382" s="10" t="inlineStr">
        <is>
          <t>LME_036</t>
        </is>
      </c>
      <c r="B382" s="11" t="inlineStr">
        <is>
          <t>36_2_South_China_Sea_SCS-2007_Northern_South_China_Sea_(1970s)</t>
        </is>
      </c>
      <c r="C382" s="11" t="inlineStr">
        <is>
          <t>Modiolus</t>
        </is>
      </c>
      <c r="D382" s="10" t="inlineStr">
        <is>
          <t>Horse mussels</t>
        </is>
      </c>
      <c r="E382" s="10" t="inlineStr">
        <is>
          <t>Other demersal invertebrates</t>
        </is>
      </c>
      <c r="F382" s="10" t="inlineStr">
        <is>
          <t>Molluscs</t>
        </is>
      </c>
      <c r="G382" s="11" t="inlineStr">
        <is>
          <t>Non-ceph molluscs</t>
        </is>
      </c>
      <c r="H382" s="12" t="n">
        <v>1</v>
      </c>
      <c r="I382" s="10" t="inlineStr">
        <is>
          <t>single</t>
        </is>
      </c>
      <c r="J382" s="15" t="inlineStr">
        <is>
          <t>high</t>
        </is>
      </c>
      <c r="K382" s="10" t="inlineStr">
        <is>
          <t>taxonomic_containment</t>
        </is>
      </c>
      <c r="L382" s="11" t="inlineStr">
        <is>
          <t>Taxonomic containment in the source benthos subdivision (Appendix 6.1.5 pp.324-325), keeping non-cephalopod molluscs separate from echinoderms and sessile invertebrates.</t>
        </is>
      </c>
      <c r="M382" s="10" t="n">
        <v>22196.523</v>
      </c>
    </row>
    <row r="383" ht="36" customHeight="1">
      <c r="A383" s="10" t="inlineStr">
        <is>
          <t>LME_036</t>
        </is>
      </c>
      <c r="B383" s="11" t="inlineStr">
        <is>
          <t>36_2_South_China_Sea_SCS-2007_Northern_South_China_Sea_(1970s)</t>
        </is>
      </c>
      <c r="C383" s="11" t="inlineStr">
        <is>
          <t>Istiompax indica</t>
        </is>
      </c>
      <c r="D383" s="10" t="inlineStr">
        <is>
          <t>Black marlin</t>
        </is>
      </c>
      <c r="E383" s="10" t="inlineStr">
        <is>
          <t>Large pelagics (&gt;=90 cm)</t>
        </is>
      </c>
      <c r="F383" s="10" t="inlineStr">
        <is>
          <t>Tuna &amp; billfishes</t>
        </is>
      </c>
      <c r="G383" s="11" t="inlineStr">
        <is>
          <t>Unresolved</t>
        </is>
      </c>
      <c r="H383" s="12" t="n"/>
      <c r="I383" s="10" t="inlineStr"/>
      <c r="J383" s="16" t="inlineStr">
        <is>
          <t>unresolved</t>
        </is>
      </c>
      <c r="K383" s="10" t="inlineStr">
        <is>
          <t>none</t>
        </is>
      </c>
      <c r="L383" s="11" t="inlineStr">
        <is>
          <t>Northern continental-shelf model lacks a documented oceanic billfish or deep-pelagic compartment; assigning coastal juvenile/adult pelagic SPPR would be unsupported.</t>
        </is>
      </c>
      <c r="M383" s="10" t="n">
        <v>21703.939</v>
      </c>
    </row>
    <row r="384" ht="51" customHeight="1">
      <c r="A384" s="10" t="inlineStr">
        <is>
          <t>LME_036</t>
        </is>
      </c>
      <c r="B384" s="11" t="inlineStr">
        <is>
          <t>36_2_South_China_Sea_SCS-2007_Northern_South_China_Sea_(1970s)</t>
        </is>
      </c>
      <c r="C384" s="11" t="inlineStr">
        <is>
          <t>Marine pelagic fishes not identified</t>
        </is>
      </c>
      <c r="D384" s="10" t="inlineStr">
        <is>
          <t>Pelagic fishes</t>
        </is>
      </c>
      <c r="E384" s="10" t="inlineStr">
        <is>
          <t>Medium pelagics (30 - 89 cm)</t>
        </is>
      </c>
      <c r="F384" s="10" t="inlineStr">
        <is>
          <t>Other fishes &amp; inverts</t>
        </is>
      </c>
      <c r="G384" s="11" t="inlineStr">
        <is>
          <t>Pelagic fish (≤ 30 cm)</t>
        </is>
      </c>
      <c r="H384" s="12" t="n">
        <v>0.7541322314049587</v>
      </c>
      <c r="I384" s="10" t="inlineStr">
        <is>
          <t>model_catch</t>
        </is>
      </c>
      <c r="J384" s="13" t="inlineStr">
        <is>
          <t>low</t>
        </is>
      </c>
      <c r="K384" s="10" t="inlineStr">
        <is>
          <t>composite_split</t>
        </is>
      </c>
      <c r="L384" s="11" t="inlineStr">
        <is>
          <t>Analyst coarse-catch inference from SAU Medium pelagics (30 - 89 cm) to residual habitat/size pools in Appendix 6.1 pp.335-339, excluding dedicated named taxa; period model catch weights preserve stanza selectivity.</t>
        </is>
      </c>
      <c r="M384" s="10" t="n">
        <v>20944.814</v>
      </c>
    </row>
    <row r="385" ht="51" customHeight="1">
      <c r="A385" s="10" t="inlineStr">
        <is>
          <t>LME_036</t>
        </is>
      </c>
      <c r="B385" s="11" t="inlineStr">
        <is>
          <t>36_2_South_China_Sea_SCS-2007_Northern_South_China_Sea_(1970s)</t>
        </is>
      </c>
      <c r="C385" s="11" t="inlineStr">
        <is>
          <t>Marine pelagic fishes not identified</t>
        </is>
      </c>
      <c r="D385" s="10" t="inlineStr">
        <is>
          <t>Pelagic fishes</t>
        </is>
      </c>
      <c r="E385" s="10" t="inlineStr">
        <is>
          <t>Medium pelagics (30 - 89 cm)</t>
        </is>
      </c>
      <c r="F385" s="10" t="inlineStr">
        <is>
          <t>Other fishes &amp; inverts</t>
        </is>
      </c>
      <c r="G385" s="11" t="inlineStr">
        <is>
          <t>Juvenile large pelagic fish</t>
        </is>
      </c>
      <c r="H385" s="12" t="n">
        <v>0.04958677685950413</v>
      </c>
      <c r="I385" s="10" t="inlineStr">
        <is>
          <t>model_catch</t>
        </is>
      </c>
      <c r="J385" s="13" t="inlineStr">
        <is>
          <t>low</t>
        </is>
      </c>
      <c r="K385" s="10" t="inlineStr">
        <is>
          <t>composite_split</t>
        </is>
      </c>
      <c r="L385" s="11" t="inlineStr">
        <is>
          <t>Analyst coarse-catch inference from SAU Medium pelagics (30 - 89 cm) to residual habitat/size pools in Appendix 6.1 pp.335-339, excluding dedicated named taxa; period model catch weights preserve stanza selectivity.</t>
        </is>
      </c>
      <c r="M385" s="10" t="n">
        <v>20944.814</v>
      </c>
    </row>
    <row r="386" ht="51" customHeight="1">
      <c r="A386" s="10" t="inlineStr">
        <is>
          <t>LME_036</t>
        </is>
      </c>
      <c r="B386" s="11" t="inlineStr">
        <is>
          <t>36_2_South_China_Sea_SCS-2007_Northern_South_China_Sea_(1970s)</t>
        </is>
      </c>
      <c r="C386" s="11" t="inlineStr">
        <is>
          <t>Marine pelagic fishes not identified</t>
        </is>
      </c>
      <c r="D386" s="10" t="inlineStr">
        <is>
          <t>Pelagic fishes</t>
        </is>
      </c>
      <c r="E386" s="10" t="inlineStr">
        <is>
          <t>Medium pelagics (30 - 89 cm)</t>
        </is>
      </c>
      <c r="F386" s="10" t="inlineStr">
        <is>
          <t>Other fishes &amp; inverts</t>
        </is>
      </c>
      <c r="G386" s="11" t="inlineStr">
        <is>
          <t>Pelagic fish (&gt; 30 cm)</t>
        </is>
      </c>
      <c r="H386" s="12" t="n">
        <v>0.1962809917355372</v>
      </c>
      <c r="I386" s="10" t="inlineStr">
        <is>
          <t>model_catch</t>
        </is>
      </c>
      <c r="J386" s="13" t="inlineStr">
        <is>
          <t>low</t>
        </is>
      </c>
      <c r="K386" s="10" t="inlineStr">
        <is>
          <t>composite_split</t>
        </is>
      </c>
      <c r="L386" s="11" t="inlineStr">
        <is>
          <t>Analyst coarse-catch inference from SAU Medium pelagics (30 - 89 cm) to residual habitat/size pools in Appendix 6.1 pp.335-339, excluding dedicated named taxa; period model catch weights preserve stanza selectivity.</t>
        </is>
      </c>
      <c r="M386" s="10" t="n">
        <v>20944.814</v>
      </c>
    </row>
    <row r="387" ht="51" customHeight="1">
      <c r="A387" s="10" t="inlineStr">
        <is>
          <t>LME_036</t>
        </is>
      </c>
      <c r="B387" s="11" t="inlineStr">
        <is>
          <t>36_2_South_China_Sea_SCS-2007_Northern_South_China_Sea_(1970s)</t>
        </is>
      </c>
      <c r="C387" s="11" t="inlineStr">
        <is>
          <t>Sardinella zunasi</t>
        </is>
      </c>
      <c r="D387" s="10" t="inlineStr">
        <is>
          <t>Japanese sardinella</t>
        </is>
      </c>
      <c r="E387" s="10" t="inlineStr">
        <is>
          <t>Small pelagics (&lt;30 cm)</t>
        </is>
      </c>
      <c r="F387" s="10" t="inlineStr">
        <is>
          <t>Herring-likes</t>
        </is>
      </c>
      <c r="G387" s="11" t="inlineStr">
        <is>
          <t>Pelagic fish (≤ 30 cm)</t>
        </is>
      </c>
      <c r="H387" s="12" t="n">
        <v>1</v>
      </c>
      <c r="I387" s="10" t="inlineStr">
        <is>
          <t>single</t>
        </is>
      </c>
      <c r="J387" s="14" t="inlineStr">
        <is>
          <t>medium</t>
        </is>
      </c>
      <c r="K387" s="10" t="inlineStr">
        <is>
          <t>habitat_size_guild</t>
        </is>
      </c>
      <c r="L387" s="11" t="inlineStr">
        <is>
          <t>Source small-pelagic pool explicitly includes sardines, thryssa and anchovies (Appendix 6.1.23 p.338); extension to the catch lineage uses SAU size as a proxy and is not a full species list.</t>
        </is>
      </c>
      <c r="M387" s="10" t="n">
        <v>20915.65</v>
      </c>
    </row>
    <row r="388" ht="51" customHeight="1">
      <c r="A388" s="10" t="inlineStr">
        <is>
          <t>LME_036</t>
        </is>
      </c>
      <c r="B388" s="11" t="inlineStr">
        <is>
          <t>36_2_South_China_Sea_SCS-2007_Northern_South_China_Sea_(1970s)</t>
        </is>
      </c>
      <c r="C388" s="11" t="inlineStr">
        <is>
          <t>Muraenidae</t>
        </is>
      </c>
      <c r="D388" s="10" t="inlineStr">
        <is>
          <t>Moray eels</t>
        </is>
      </c>
      <c r="E388" s="10" t="inlineStr">
        <is>
          <t>Large reef assoc. fish (&gt;=90 cm)</t>
        </is>
      </c>
      <c r="F388" s="10" t="inlineStr">
        <is>
          <t>Other fishes &amp; inverts</t>
        </is>
      </c>
      <c r="G388" s="11" t="inlineStr">
        <is>
          <t>Juvenile demersal fish (&gt; 30 cm)</t>
        </is>
      </c>
      <c r="H388" s="12" t="n">
        <v>0.2002781641168289</v>
      </c>
      <c r="I388" s="10" t="inlineStr">
        <is>
          <t>model_catch</t>
        </is>
      </c>
      <c r="J388" s="14" t="inlineStr">
        <is>
          <t>medium</t>
        </is>
      </c>
      <c r="K388" s="10" t="inlineStr">
        <is>
          <t>composite_split</t>
        </is>
      </c>
      <c r="L388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388" s="10" t="n">
        <v>20766.035</v>
      </c>
    </row>
    <row r="389" ht="51" customHeight="1">
      <c r="A389" s="10" t="inlineStr">
        <is>
          <t>LME_036</t>
        </is>
      </c>
      <c r="B389" s="11" t="inlineStr">
        <is>
          <t>36_2_South_China_Sea_SCS-2007_Northern_South_China_Sea_(1970s)</t>
        </is>
      </c>
      <c r="C389" s="11" t="inlineStr">
        <is>
          <t>Muraenidae</t>
        </is>
      </c>
      <c r="D389" s="10" t="inlineStr">
        <is>
          <t>Moray eels</t>
        </is>
      </c>
      <c r="E389" s="10" t="inlineStr">
        <is>
          <t>Large reef assoc. fish (&gt;=90 cm)</t>
        </is>
      </c>
      <c r="F389" s="10" t="inlineStr">
        <is>
          <t>Other fishes &amp; inverts</t>
        </is>
      </c>
      <c r="G389" s="11" t="inlineStr">
        <is>
          <t>Adult demersal fish (&gt; 30 cm)</t>
        </is>
      </c>
      <c r="H389" s="12" t="n">
        <v>0.799721835883171</v>
      </c>
      <c r="I389" s="10" t="inlineStr">
        <is>
          <t>model_catch</t>
        </is>
      </c>
      <c r="J389" s="14" t="inlineStr">
        <is>
          <t>medium</t>
        </is>
      </c>
      <c r="K389" s="10" t="inlineStr">
        <is>
          <t>composite_split</t>
        </is>
      </c>
      <c r="L389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389" s="10" t="n">
        <v>20766.035</v>
      </c>
    </row>
    <row r="390" ht="36" customHeight="1">
      <c r="A390" s="10" t="inlineStr">
        <is>
          <t>LME_036</t>
        </is>
      </c>
      <c r="B390" s="11" t="inlineStr">
        <is>
          <t>36_2_South_China_Sea_SCS-2007_Northern_South_China_Sea_(1970s)</t>
        </is>
      </c>
      <c r="C390" s="11" t="inlineStr">
        <is>
          <t>Rachycentron canadum</t>
        </is>
      </c>
      <c r="D390" s="10" t="inlineStr">
        <is>
          <t>Cobia</t>
        </is>
      </c>
      <c r="E390" s="10" t="inlineStr">
        <is>
          <t>Large pelagics (&gt;=90 cm)</t>
        </is>
      </c>
      <c r="F390" s="10" t="inlineStr">
        <is>
          <t>Perch-likes</t>
        </is>
      </c>
      <c r="G390" s="11" t="inlineStr">
        <is>
          <t>Juvenile large pelagic fish</t>
        </is>
      </c>
      <c r="H390" s="12" t="n">
        <v>0.2016806722689076</v>
      </c>
      <c r="I390" s="10" t="inlineStr">
        <is>
          <t>model_catch</t>
        </is>
      </c>
      <c r="J390" s="14" t="inlineStr">
        <is>
          <t>medium</t>
        </is>
      </c>
      <c r="K390" s="10" t="inlineStr">
        <is>
          <t>composite_split</t>
        </is>
      </c>
      <c r="L390" s="11" t="inlineStr">
        <is>
          <t>Analyst habitat/size inference to source &gt;30 cm pelagic fish (Appendix 6.1.24 p.339); no age data, so split juvenile/adult using the period model catch.</t>
        </is>
      </c>
      <c r="M390" s="10" t="n">
        <v>20754.162</v>
      </c>
    </row>
    <row r="391" ht="36" customHeight="1">
      <c r="A391" s="10" t="inlineStr">
        <is>
          <t>LME_036</t>
        </is>
      </c>
      <c r="B391" s="11" t="inlineStr">
        <is>
          <t>36_2_South_China_Sea_SCS-2007_Northern_South_China_Sea_(1970s)</t>
        </is>
      </c>
      <c r="C391" s="11" t="inlineStr">
        <is>
          <t>Rachycentron canadum</t>
        </is>
      </c>
      <c r="D391" s="10" t="inlineStr">
        <is>
          <t>Cobia</t>
        </is>
      </c>
      <c r="E391" s="10" t="inlineStr">
        <is>
          <t>Large pelagics (&gt;=90 cm)</t>
        </is>
      </c>
      <c r="F391" s="10" t="inlineStr">
        <is>
          <t>Perch-likes</t>
        </is>
      </c>
      <c r="G391" s="11" t="inlineStr">
        <is>
          <t>Pelagic fish (&gt; 30 cm)</t>
        </is>
      </c>
      <c r="H391" s="12" t="n">
        <v>0.7983193277310925</v>
      </c>
      <c r="I391" s="10" t="inlineStr">
        <is>
          <t>model_catch</t>
        </is>
      </c>
      <c r="J391" s="14" t="inlineStr">
        <is>
          <t>medium</t>
        </is>
      </c>
      <c r="K391" s="10" t="inlineStr">
        <is>
          <t>composite_split</t>
        </is>
      </c>
      <c r="L391" s="11" t="inlineStr">
        <is>
          <t>Analyst habitat/size inference to source &gt;30 cm pelagic fish (Appendix 6.1.24 p.339); no age data, so split juvenile/adult using the period model catch.</t>
        </is>
      </c>
      <c r="M391" s="10" t="n">
        <v>20754.162</v>
      </c>
    </row>
    <row r="392" ht="36" customHeight="1">
      <c r="A392" s="10" t="inlineStr">
        <is>
          <t>LME_036</t>
        </is>
      </c>
      <c r="B392" s="11" t="inlineStr">
        <is>
          <t>36_2_South_China_Sea_SCS-2007_Northern_South_China_Sea_(1970s)</t>
        </is>
      </c>
      <c r="C392" s="11" t="inlineStr">
        <is>
          <t>Mierspenaeopsis hardwickii</t>
        </is>
      </c>
      <c r="D392" s="10" t="inlineStr">
        <is>
          <t>Spear shrimp</t>
        </is>
      </c>
      <c r="E392" s="10" t="inlineStr">
        <is>
          <t>Shrimps</t>
        </is>
      </c>
      <c r="F392" s="10" t="inlineStr">
        <is>
          <t>Crustaceans</t>
        </is>
      </c>
      <c r="G392" s="11" t="inlineStr">
        <is>
          <t>Shrimps</t>
        </is>
      </c>
      <c r="H392" s="12" t="n">
        <v>1</v>
      </c>
      <c r="I392" s="10" t="inlineStr">
        <is>
          <t>single</t>
        </is>
      </c>
      <c r="J392" s="15" t="inlineStr">
        <is>
          <t>high</t>
        </is>
      </c>
      <c r="K392" s="10" t="inlineStr">
        <is>
          <t>taxonomic_containment</t>
        </is>
      </c>
      <c r="L392" s="11" t="inlineStr">
        <is>
          <t>Stomatopods belong to the residual benthic crustaceans; other shrimp taxa belong to Shrimps after the explicitly separated Acetes records (Appendix 6.1 pp.323-326).</t>
        </is>
      </c>
      <c r="M392" s="10" t="n">
        <v>19835.727</v>
      </c>
    </row>
    <row r="393" ht="36" customHeight="1">
      <c r="A393" s="10" t="inlineStr">
        <is>
          <t>LME_036</t>
        </is>
      </c>
      <c r="B393" s="11" t="inlineStr">
        <is>
          <t>36_2_South_China_Sea_SCS-2007_Northern_South_China_Sea_(1970s)</t>
        </is>
      </c>
      <c r="C393" s="11" t="inlineStr">
        <is>
          <t>Ibacus ciliatus</t>
        </is>
      </c>
      <c r="D393" s="10" t="inlineStr">
        <is>
          <t>Sand Crayfish</t>
        </is>
      </c>
      <c r="E393" s="10" t="inlineStr">
        <is>
          <t>Lobsters, crabs</t>
        </is>
      </c>
      <c r="F393" s="10" t="inlineStr">
        <is>
          <t>Crustaceans</t>
        </is>
      </c>
      <c r="G393" s="11" t="inlineStr">
        <is>
          <t>Benthic crustaceans</t>
        </is>
      </c>
      <c r="H393" s="12" t="n">
        <v>1</v>
      </c>
      <c r="I393" s="10" t="inlineStr">
        <is>
          <t>single</t>
        </is>
      </c>
      <c r="J393" s="15" t="inlineStr">
        <is>
          <t>high</t>
        </is>
      </c>
      <c r="K393" s="10" t="inlineStr">
        <is>
          <t>taxonomic_containment</t>
        </is>
      </c>
      <c r="L393" s="11" t="inlineStr">
        <is>
          <t>Source benthic crustaceans exclude shrimps and crabs (Appendix 6.1.5 p.324); lobsters remain in that residual, while true crabs use Crabs.</t>
        </is>
      </c>
      <c r="M393" s="10" t="n">
        <v>19683.139</v>
      </c>
    </row>
    <row r="394" ht="36" customHeight="1">
      <c r="A394" s="10" t="inlineStr">
        <is>
          <t>LME_036</t>
        </is>
      </c>
      <c r="B394" s="11" t="inlineStr">
        <is>
          <t>36_2_South_China_Sea_SCS-2007_Northern_South_China_Sea_(1970s)</t>
        </is>
      </c>
      <c r="C394" s="11" t="inlineStr">
        <is>
          <t>Istiophoridae</t>
        </is>
      </c>
      <c r="D394" s="10" t="inlineStr">
        <is>
          <t>Billfishes</t>
        </is>
      </c>
      <c r="E394" s="10" t="inlineStr">
        <is>
          <t>Large pelagics (&gt;=90 cm)</t>
        </is>
      </c>
      <c r="F394" s="10" t="inlineStr">
        <is>
          <t>Tuna &amp; billfishes</t>
        </is>
      </c>
      <c r="G394" s="11" t="inlineStr">
        <is>
          <t>Unresolved</t>
        </is>
      </c>
      <c r="H394" s="12" t="n"/>
      <c r="I394" s="10" t="inlineStr"/>
      <c r="J394" s="16" t="inlineStr">
        <is>
          <t>unresolved</t>
        </is>
      </c>
      <c r="K394" s="10" t="inlineStr">
        <is>
          <t>none</t>
        </is>
      </c>
      <c r="L394" s="11" t="inlineStr">
        <is>
          <t>Northern continental-shelf model lacks a documented oceanic billfish or deep-pelagic compartment; assigning coastal juvenile/adult pelagic SPPR would be unsupported.</t>
        </is>
      </c>
      <c r="M394" s="10" t="n">
        <v>19283.905</v>
      </c>
    </row>
    <row r="395" ht="36" customHeight="1">
      <c r="A395" s="10" t="inlineStr">
        <is>
          <t>LME_036</t>
        </is>
      </c>
      <c r="B395" s="11" t="inlineStr">
        <is>
          <t>36_2_South_China_Sea_SCS-2007_Northern_South_China_Sea_(1970s)</t>
        </is>
      </c>
      <c r="C395" s="11" t="inlineStr">
        <is>
          <t>Panulirus polyphagus</t>
        </is>
      </c>
      <c r="D395" s="10" t="inlineStr">
        <is>
          <t>Mud spiny lobster</t>
        </is>
      </c>
      <c r="E395" s="10" t="inlineStr">
        <is>
          <t>Lobsters, crabs</t>
        </is>
      </c>
      <c r="F395" s="10" t="inlineStr">
        <is>
          <t>Crustaceans</t>
        </is>
      </c>
      <c r="G395" s="11" t="inlineStr">
        <is>
          <t>Benthic crustaceans</t>
        </is>
      </c>
      <c r="H395" s="12" t="n">
        <v>1</v>
      </c>
      <c r="I395" s="10" t="inlineStr">
        <is>
          <t>single</t>
        </is>
      </c>
      <c r="J395" s="15" t="inlineStr">
        <is>
          <t>high</t>
        </is>
      </c>
      <c r="K395" s="10" t="inlineStr">
        <is>
          <t>taxonomic_containment</t>
        </is>
      </c>
      <c r="L395" s="11" t="inlineStr">
        <is>
          <t>Source benthic crustaceans exclude shrimps and crabs (Appendix 6.1.5 p.324); lobsters remain in that residual, while true crabs use Crabs.</t>
        </is>
      </c>
      <c r="M395" s="10" t="n">
        <v>19219.693</v>
      </c>
    </row>
    <row r="396" ht="36" customHeight="1">
      <c r="A396" s="10" t="inlineStr">
        <is>
          <t>LME_036</t>
        </is>
      </c>
      <c r="B396" s="11" t="inlineStr">
        <is>
          <t>36_2_South_China_Sea_SCS-2007_Northern_South_China_Sea_(1970s)</t>
        </is>
      </c>
      <c r="C396" s="11" t="inlineStr">
        <is>
          <t>Mierspenaeopsis sculptilis</t>
        </is>
      </c>
      <c r="D396" s="10" t="inlineStr">
        <is>
          <t>Rainbow shrimp</t>
        </is>
      </c>
      <c r="E396" s="10" t="inlineStr">
        <is>
          <t>Shrimps</t>
        </is>
      </c>
      <c r="F396" s="10" t="inlineStr">
        <is>
          <t>Crustaceans</t>
        </is>
      </c>
      <c r="G396" s="11" t="inlineStr">
        <is>
          <t>Shrimps</t>
        </is>
      </c>
      <c r="H396" s="12" t="n">
        <v>1</v>
      </c>
      <c r="I396" s="10" t="inlineStr">
        <is>
          <t>single</t>
        </is>
      </c>
      <c r="J396" s="15" t="inlineStr">
        <is>
          <t>high</t>
        </is>
      </c>
      <c r="K396" s="10" t="inlineStr">
        <is>
          <t>taxonomic_containment</t>
        </is>
      </c>
      <c r="L396" s="11" t="inlineStr">
        <is>
          <t>Stomatopods belong to the residual benthic crustaceans; other shrimp taxa belong to Shrimps after the explicitly separated Acetes records (Appendix 6.1 pp.323-326).</t>
        </is>
      </c>
      <c r="M396" s="10" t="n">
        <v>17707.035</v>
      </c>
    </row>
    <row r="397" ht="36" customHeight="1">
      <c r="A397" s="10" t="inlineStr">
        <is>
          <t>LME_036</t>
        </is>
      </c>
      <c r="B397" s="11" t="inlineStr">
        <is>
          <t>36_2_South_China_Sea_SCS-2007_Northern_South_China_Sea_(1970s)</t>
        </is>
      </c>
      <c r="C397" s="11" t="inlineStr">
        <is>
          <t>Acanthurus</t>
        </is>
      </c>
      <c r="D397" s="10" t="inlineStr">
        <is>
          <t>Surgeonfishes</t>
        </is>
      </c>
      <c r="E397" s="10" t="inlineStr">
        <is>
          <t>Small reef assoc. fish (&lt;30 cm)</t>
        </is>
      </c>
      <c r="F397" s="10" t="inlineStr">
        <is>
          <t>Perch-likes</t>
        </is>
      </c>
      <c r="G397" s="11" t="inlineStr">
        <is>
          <t>Demesral fish (≤ 30 cm)</t>
        </is>
      </c>
      <c r="H397" s="12" t="n">
        <v>1</v>
      </c>
      <c r="I397" s="10" t="inlineStr">
        <is>
          <t>single</t>
        </is>
      </c>
      <c r="J397" s="14" t="inlineStr">
        <is>
          <t>medium</t>
        </is>
      </c>
      <c r="K397" s="10" t="inlineStr">
        <is>
          <t>habitat_size_guild</t>
        </is>
      </c>
      <c r="L397" s="11" t="inlineStr">
        <is>
          <t>Analyst habitat/size inference: small demersal or reef-associated fish after excluding dedicated taxonomic groups, matching Appendix 6.1.19 &lt;=30 cm residual demersal pool.</t>
        </is>
      </c>
      <c r="M397" s="10" t="n">
        <v>17607.441</v>
      </c>
    </row>
    <row r="398" ht="36" customHeight="1">
      <c r="A398" s="10" t="inlineStr">
        <is>
          <t>LME_036</t>
        </is>
      </c>
      <c r="B398" s="11" t="inlineStr">
        <is>
          <t>36_2_South_China_Sea_SCS-2007_Northern_South_China_Sea_(1970s)</t>
        </is>
      </c>
      <c r="C398" s="11" t="inlineStr">
        <is>
          <t>Palinuridae</t>
        </is>
      </c>
      <c r="D398" s="10" t="inlineStr">
        <is>
          <t>Spiny lobsters</t>
        </is>
      </c>
      <c r="E398" s="10" t="inlineStr">
        <is>
          <t>Lobsters, crabs</t>
        </is>
      </c>
      <c r="F398" s="10" t="inlineStr">
        <is>
          <t>Crustaceans</t>
        </is>
      </c>
      <c r="G398" s="11" t="inlineStr">
        <is>
          <t>Benthic crustaceans</t>
        </is>
      </c>
      <c r="H398" s="12" t="n">
        <v>1</v>
      </c>
      <c r="I398" s="10" t="inlineStr">
        <is>
          <t>single</t>
        </is>
      </c>
      <c r="J398" s="15" t="inlineStr">
        <is>
          <t>high</t>
        </is>
      </c>
      <c r="K398" s="10" t="inlineStr">
        <is>
          <t>taxonomic_containment</t>
        </is>
      </c>
      <c r="L398" s="11" t="inlineStr">
        <is>
          <t>Source benthic crustaceans exclude shrimps and crabs (Appendix 6.1.5 p.324); lobsters remain in that residual, while true crabs use Crabs.</t>
        </is>
      </c>
      <c r="M398" s="10" t="n">
        <v>17531.046</v>
      </c>
    </row>
    <row r="399" ht="51" customHeight="1">
      <c r="A399" s="10" t="inlineStr">
        <is>
          <t>LME_036</t>
        </is>
      </c>
      <c r="B399" s="11" t="inlineStr">
        <is>
          <t>36_2_South_China_Sea_SCS-2007_Northern_South_China_Sea_(1970s)</t>
        </is>
      </c>
      <c r="C399" s="11" t="inlineStr">
        <is>
          <t>Terapontidae</t>
        </is>
      </c>
      <c r="D399" s="10" t="inlineStr">
        <is>
          <t>Grunters, tigerperches</t>
        </is>
      </c>
      <c r="E399" s="10" t="inlineStr">
        <is>
          <t>Medium demersals (30 - 89 cm)</t>
        </is>
      </c>
      <c r="F399" s="10" t="inlineStr">
        <is>
          <t>Perch-likes</t>
        </is>
      </c>
      <c r="G399" s="11" t="inlineStr">
        <is>
          <t>Juvenile demersal fish (&gt; 30 cm)</t>
        </is>
      </c>
      <c r="H399" s="12" t="n">
        <v>0.2002781641168289</v>
      </c>
      <c r="I399" s="10" t="inlineStr">
        <is>
          <t>model_catch</t>
        </is>
      </c>
      <c r="J399" s="14" t="inlineStr">
        <is>
          <t>medium</t>
        </is>
      </c>
      <c r="K399" s="10" t="inlineStr">
        <is>
          <t>composite_split</t>
        </is>
      </c>
      <c r="L399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399" s="10" t="n">
        <v>16551.359</v>
      </c>
    </row>
    <row r="400" ht="51" customHeight="1">
      <c r="A400" s="10" t="inlineStr">
        <is>
          <t>LME_036</t>
        </is>
      </c>
      <c r="B400" s="11" t="inlineStr">
        <is>
          <t>36_2_South_China_Sea_SCS-2007_Northern_South_China_Sea_(1970s)</t>
        </is>
      </c>
      <c r="C400" s="11" t="inlineStr">
        <is>
          <t>Terapontidae</t>
        </is>
      </c>
      <c r="D400" s="10" t="inlineStr">
        <is>
          <t>Grunters, tigerperches</t>
        </is>
      </c>
      <c r="E400" s="10" t="inlineStr">
        <is>
          <t>Medium demersals (30 - 89 cm)</t>
        </is>
      </c>
      <c r="F400" s="10" t="inlineStr">
        <is>
          <t>Perch-likes</t>
        </is>
      </c>
      <c r="G400" s="11" t="inlineStr">
        <is>
          <t>Adult demersal fish (&gt; 30 cm)</t>
        </is>
      </c>
      <c r="H400" s="12" t="n">
        <v>0.799721835883171</v>
      </c>
      <c r="I400" s="10" t="inlineStr">
        <is>
          <t>model_catch</t>
        </is>
      </c>
      <c r="J400" s="14" t="inlineStr">
        <is>
          <t>medium</t>
        </is>
      </c>
      <c r="K400" s="10" t="inlineStr">
        <is>
          <t>composite_split</t>
        </is>
      </c>
      <c r="L400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00" s="10" t="n">
        <v>16551.359</v>
      </c>
    </row>
    <row r="401" ht="36" customHeight="1">
      <c r="A401" s="10" t="inlineStr">
        <is>
          <t>LME_036</t>
        </is>
      </c>
      <c r="B401" s="11" t="inlineStr">
        <is>
          <t>36_2_South_China_Sea_SCS-2007_Northern_South_China_Sea_(1970s)</t>
        </is>
      </c>
      <c r="C401" s="11" t="inlineStr">
        <is>
          <t>Octopus vulgaris</t>
        </is>
      </c>
      <c r="D401" s="10" t="inlineStr">
        <is>
          <t>Common octopus</t>
        </is>
      </c>
      <c r="E401" s="10" t="inlineStr">
        <is>
          <t>Cephalopods</t>
        </is>
      </c>
      <c r="F401" s="10" t="inlineStr">
        <is>
          <t>Other fishes &amp; inverts</t>
        </is>
      </c>
      <c r="G401" s="11" t="inlineStr">
        <is>
          <t>Cephalopods</t>
        </is>
      </c>
      <c r="H401" s="12" t="n">
        <v>1</v>
      </c>
      <c r="I401" s="10" t="inlineStr">
        <is>
          <t>single</t>
        </is>
      </c>
      <c r="J401" s="15" t="inlineStr">
        <is>
          <t>high</t>
        </is>
      </c>
      <c r="K401" s="10" t="inlineStr">
        <is>
          <t>taxonomic_containment</t>
        </is>
      </c>
      <c r="L401" s="11" t="inlineStr">
        <is>
          <t>Cephalopoda is contained by the single source Cephalopods group, Appendix 6.1.8 pp.326-327.</t>
        </is>
      </c>
      <c r="M401" s="10" t="n">
        <v>16488.043</v>
      </c>
    </row>
    <row r="402" ht="36" customHeight="1">
      <c r="A402" s="10" t="inlineStr">
        <is>
          <t>LME_036</t>
        </is>
      </c>
      <c r="B402" s="11" t="inlineStr">
        <is>
          <t>36_2_South_China_Sea_SCS-2007_Northern_South_China_Sea_(1970s)</t>
        </is>
      </c>
      <c r="C402" s="11" t="inlineStr">
        <is>
          <t>Solenocera crassicornis</t>
        </is>
      </c>
      <c r="D402" s="10" t="inlineStr">
        <is>
          <t>Coastal mud shrimp</t>
        </is>
      </c>
      <c r="E402" s="10" t="inlineStr">
        <is>
          <t>Shrimps</t>
        </is>
      </c>
      <c r="F402" s="10" t="inlineStr">
        <is>
          <t>Crustaceans</t>
        </is>
      </c>
      <c r="G402" s="11" t="inlineStr">
        <is>
          <t>Shrimps</t>
        </is>
      </c>
      <c r="H402" s="12" t="n">
        <v>1</v>
      </c>
      <c r="I402" s="10" t="inlineStr">
        <is>
          <t>single</t>
        </is>
      </c>
      <c r="J402" s="15" t="inlineStr">
        <is>
          <t>high</t>
        </is>
      </c>
      <c r="K402" s="10" t="inlineStr">
        <is>
          <t>taxonomic_containment</t>
        </is>
      </c>
      <c r="L402" s="11" t="inlineStr">
        <is>
          <t>Stomatopods belong to the residual benthic crustaceans; other shrimp taxa belong to Shrimps after the explicitly separated Acetes records (Appendix 6.1 pp.323-326).</t>
        </is>
      </c>
      <c r="M402" s="10" t="n">
        <v>16465.839</v>
      </c>
    </row>
    <row r="403" ht="36" customHeight="1">
      <c r="A403" s="10" t="inlineStr">
        <is>
          <t>LME_036</t>
        </is>
      </c>
      <c r="B403" s="11" t="inlineStr">
        <is>
          <t>36_2_South_China_Sea_SCS-2007_Northern_South_China_Sea_(1970s)</t>
        </is>
      </c>
      <c r="C403" s="11" t="inlineStr">
        <is>
          <t>Thunnus alalunga</t>
        </is>
      </c>
      <c r="D403" s="10" t="inlineStr">
        <is>
          <t>Albacore</t>
        </is>
      </c>
      <c r="E403" s="10" t="inlineStr">
        <is>
          <t>Large pelagics (&gt;=90 cm)</t>
        </is>
      </c>
      <c r="F403" s="10" t="inlineStr">
        <is>
          <t>Tuna &amp; billfishes</t>
        </is>
      </c>
      <c r="G403" s="11" t="inlineStr">
        <is>
          <t>Juvenile large pelagic fish</t>
        </is>
      </c>
      <c r="H403" s="12" t="n">
        <v>0.2016806722689076</v>
      </c>
      <c r="I403" s="10" t="inlineStr">
        <is>
          <t>model_catch</t>
        </is>
      </c>
      <c r="J403" s="14" t="inlineStr">
        <is>
          <t>medium</t>
        </is>
      </c>
      <c r="K403" s="10" t="inlineStr">
        <is>
          <t>composite_split</t>
        </is>
      </c>
      <c r="L403" s="11" t="inlineStr">
        <is>
          <t>Analyst habitat/size inference to source &gt;30 cm pelagic fish (Appendix 6.1.24 p.339); no age data, so split juvenile/adult using the period model catch.</t>
        </is>
      </c>
      <c r="M403" s="10" t="n">
        <v>15291.709</v>
      </c>
    </row>
    <row r="404" ht="36" customHeight="1">
      <c r="A404" s="10" t="inlineStr">
        <is>
          <t>LME_036</t>
        </is>
      </c>
      <c r="B404" s="11" t="inlineStr">
        <is>
          <t>36_2_South_China_Sea_SCS-2007_Northern_South_China_Sea_(1970s)</t>
        </is>
      </c>
      <c r="C404" s="11" t="inlineStr">
        <is>
          <t>Thunnus alalunga</t>
        </is>
      </c>
      <c r="D404" s="10" t="inlineStr">
        <is>
          <t>Albacore</t>
        </is>
      </c>
      <c r="E404" s="10" t="inlineStr">
        <is>
          <t>Large pelagics (&gt;=90 cm)</t>
        </is>
      </c>
      <c r="F404" s="10" t="inlineStr">
        <is>
          <t>Tuna &amp; billfishes</t>
        </is>
      </c>
      <c r="G404" s="11" t="inlineStr">
        <is>
          <t>Pelagic fish (&gt; 30 cm)</t>
        </is>
      </c>
      <c r="H404" s="12" t="n">
        <v>0.7983193277310925</v>
      </c>
      <c r="I404" s="10" t="inlineStr">
        <is>
          <t>model_catch</t>
        </is>
      </c>
      <c r="J404" s="14" t="inlineStr">
        <is>
          <t>medium</t>
        </is>
      </c>
      <c r="K404" s="10" t="inlineStr">
        <is>
          <t>composite_split</t>
        </is>
      </c>
      <c r="L404" s="11" t="inlineStr">
        <is>
          <t>Analyst habitat/size inference to source &gt;30 cm pelagic fish (Appendix 6.1.24 p.339); no age data, so split juvenile/adult using the period model catch.</t>
        </is>
      </c>
      <c r="M404" s="10" t="n">
        <v>15291.709</v>
      </c>
    </row>
    <row r="405" ht="51" customHeight="1">
      <c r="A405" s="10" t="inlineStr">
        <is>
          <t>LME_036</t>
        </is>
      </c>
      <c r="B405" s="11" t="inlineStr">
        <is>
          <t>36_2_South_China_Sea_SCS-2007_Northern_South_China_Sea_(1970s)</t>
        </is>
      </c>
      <c r="C405" s="11" t="inlineStr">
        <is>
          <t>Scorpaenidae</t>
        </is>
      </c>
      <c r="D405" s="10" t="inlineStr">
        <is>
          <t>Scorpionfishes, rockfishes</t>
        </is>
      </c>
      <c r="E405" s="10" t="inlineStr">
        <is>
          <t>Large reef assoc. fish (&gt;=90 cm)</t>
        </is>
      </c>
      <c r="F405" s="10" t="inlineStr">
        <is>
          <t>Scorpionfishes</t>
        </is>
      </c>
      <c r="G405" s="11" t="inlineStr">
        <is>
          <t>Juvenile demersal fish (&gt; 30 cm)</t>
        </is>
      </c>
      <c r="H405" s="12" t="n">
        <v>0.2002781641168289</v>
      </c>
      <c r="I405" s="10" t="inlineStr">
        <is>
          <t>model_catch</t>
        </is>
      </c>
      <c r="J405" s="14" t="inlineStr">
        <is>
          <t>medium</t>
        </is>
      </c>
      <c r="K405" s="10" t="inlineStr">
        <is>
          <t>composite_split</t>
        </is>
      </c>
      <c r="L405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05" s="10" t="n">
        <v>15243.441</v>
      </c>
    </row>
    <row r="406" ht="51" customHeight="1">
      <c r="A406" s="10" t="inlineStr">
        <is>
          <t>LME_036</t>
        </is>
      </c>
      <c r="B406" s="11" t="inlineStr">
        <is>
          <t>36_2_South_China_Sea_SCS-2007_Northern_South_China_Sea_(1970s)</t>
        </is>
      </c>
      <c r="C406" s="11" t="inlineStr">
        <is>
          <t>Scorpaenidae</t>
        </is>
      </c>
      <c r="D406" s="10" t="inlineStr">
        <is>
          <t>Scorpionfishes, rockfishes</t>
        </is>
      </c>
      <c r="E406" s="10" t="inlineStr">
        <is>
          <t>Large reef assoc. fish (&gt;=90 cm)</t>
        </is>
      </c>
      <c r="F406" s="10" t="inlineStr">
        <is>
          <t>Scorpionfishes</t>
        </is>
      </c>
      <c r="G406" s="11" t="inlineStr">
        <is>
          <t>Adult demersal fish (&gt; 30 cm)</t>
        </is>
      </c>
      <c r="H406" s="12" t="n">
        <v>0.799721835883171</v>
      </c>
      <c r="I406" s="10" t="inlineStr">
        <is>
          <t>model_catch</t>
        </is>
      </c>
      <c r="J406" s="14" t="inlineStr">
        <is>
          <t>medium</t>
        </is>
      </c>
      <c r="K406" s="10" t="inlineStr">
        <is>
          <t>composite_split</t>
        </is>
      </c>
      <c r="L406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06" s="10" t="n">
        <v>15243.441</v>
      </c>
    </row>
    <row r="407" ht="36" customHeight="1">
      <c r="A407" s="10" t="inlineStr">
        <is>
          <t>LME_036</t>
        </is>
      </c>
      <c r="B407" s="11" t="inlineStr">
        <is>
          <t>36_2_South_China_Sea_SCS-2007_Northern_South_China_Sea_(1970s)</t>
        </is>
      </c>
      <c r="C407" s="11" t="inlineStr">
        <is>
          <t>Carcharhinus falciformis</t>
        </is>
      </c>
      <c r="D407" s="10" t="inlineStr">
        <is>
          <t>Silky shark</t>
        </is>
      </c>
      <c r="E407" s="10" t="inlineStr">
        <is>
          <t>Large sharks (&gt;=90 cm)</t>
        </is>
      </c>
      <c r="F407" s="10" t="inlineStr">
        <is>
          <t>Sharks &amp; rays</t>
        </is>
      </c>
      <c r="G407" s="11" t="inlineStr">
        <is>
          <t>Pelagic sharks and rays</t>
        </is>
      </c>
      <c r="H407" s="12" t="n">
        <v>1</v>
      </c>
      <c r="I407" s="10" t="inlineStr">
        <is>
          <t>single</t>
        </is>
      </c>
      <c r="J407" s="14" t="inlineStr">
        <is>
          <t>medium</t>
        </is>
      </c>
      <c r="K407" s="10" t="inlineStr">
        <is>
          <t>habitat_size_guild</t>
        </is>
      </c>
      <c r="L407" s="11" t="inlineStr">
        <is>
          <t>Pelagic shark lineage matches the pelagic elasmobranch definition, Appendix 6.1.25 p.340; species placement is analyst inference.</t>
        </is>
      </c>
      <c r="M407" s="10" t="n">
        <v>14833.368</v>
      </c>
    </row>
    <row r="408" ht="36" customHeight="1">
      <c r="A408" s="10" t="inlineStr">
        <is>
          <t>LME_036</t>
        </is>
      </c>
      <c r="B408" s="11" t="inlineStr">
        <is>
          <t>36_2_South_China_Sea_SCS-2007_Northern_South_China_Sea_(1970s)</t>
        </is>
      </c>
      <c r="C408" s="11" t="inlineStr">
        <is>
          <t>Metapenaeus affinis</t>
        </is>
      </c>
      <c r="D408" s="10" t="inlineStr">
        <is>
          <t>Jinga shrimp</t>
        </is>
      </c>
      <c r="E408" s="10" t="inlineStr">
        <is>
          <t>Shrimps</t>
        </is>
      </c>
      <c r="F408" s="10" t="inlineStr">
        <is>
          <t>Crustaceans</t>
        </is>
      </c>
      <c r="G408" s="11" t="inlineStr">
        <is>
          <t>Shrimps</t>
        </is>
      </c>
      <c r="H408" s="12" t="n">
        <v>1</v>
      </c>
      <c r="I408" s="10" t="inlineStr">
        <is>
          <t>single</t>
        </is>
      </c>
      <c r="J408" s="15" t="inlineStr">
        <is>
          <t>high</t>
        </is>
      </c>
      <c r="K408" s="10" t="inlineStr">
        <is>
          <t>taxonomic_containment</t>
        </is>
      </c>
      <c r="L408" s="11" t="inlineStr">
        <is>
          <t>Stomatopods belong to the residual benthic crustaceans; other shrimp taxa belong to Shrimps after the explicitly separated Acetes records (Appendix 6.1 pp.323-326).</t>
        </is>
      </c>
      <c r="M408" s="10" t="n">
        <v>14209.515</v>
      </c>
    </row>
    <row r="409" ht="51" customHeight="1">
      <c r="A409" s="10" t="inlineStr">
        <is>
          <t>LME_036</t>
        </is>
      </c>
      <c r="B409" s="11" t="inlineStr">
        <is>
          <t>36_2_South_China_Sea_SCS-2007_Northern_South_China_Sea_(1970s)</t>
        </is>
      </c>
      <c r="C409" s="11" t="inlineStr">
        <is>
          <t>Marine groundfishes not identified</t>
        </is>
      </c>
      <c r="D409" s="10" t="inlineStr">
        <is>
          <t>Groundfishes</t>
        </is>
      </c>
      <c r="E409" s="10" t="inlineStr">
        <is>
          <t>Medium demersals (30 - 89 cm)</t>
        </is>
      </c>
      <c r="F409" s="10" t="inlineStr">
        <is>
          <t>Other fishes &amp; inverts</t>
        </is>
      </c>
      <c r="G409" s="11" t="inlineStr">
        <is>
          <t>Demesral fish (≤ 30 cm)</t>
        </is>
      </c>
      <c r="H409" s="12" t="n">
        <v>0.3854700854700854</v>
      </c>
      <c r="I409" s="10" t="inlineStr">
        <is>
          <t>model_catch</t>
        </is>
      </c>
      <c r="J409" s="13" t="inlineStr">
        <is>
          <t>low</t>
        </is>
      </c>
      <c r="K409" s="10" t="inlineStr">
        <is>
          <t>composite_split</t>
        </is>
      </c>
      <c r="L409" s="11" t="inlineStr">
        <is>
          <t>Analyst coarse-catch inference from SAU Medium demersals (30 - 89 cm) to residual habitat/size pools in Appendix 6.1 pp.335-339, excluding dedicated named taxa; period model catch weights preserve stanza selectivity.</t>
        </is>
      </c>
      <c r="M409" s="10" t="n">
        <v>14183.877</v>
      </c>
    </row>
    <row r="410" ht="51" customHeight="1">
      <c r="A410" s="10" t="inlineStr">
        <is>
          <t>LME_036</t>
        </is>
      </c>
      <c r="B410" s="11" t="inlineStr">
        <is>
          <t>36_2_South_China_Sea_SCS-2007_Northern_South_China_Sea_(1970s)</t>
        </is>
      </c>
      <c r="C410" s="11" t="inlineStr">
        <is>
          <t>Marine groundfishes not identified</t>
        </is>
      </c>
      <c r="D410" s="10" t="inlineStr">
        <is>
          <t>Groundfishes</t>
        </is>
      </c>
      <c r="E410" s="10" t="inlineStr">
        <is>
          <t>Medium demersals (30 - 89 cm)</t>
        </is>
      </c>
      <c r="F410" s="10" t="inlineStr">
        <is>
          <t>Other fishes &amp; inverts</t>
        </is>
      </c>
      <c r="G410" s="11" t="inlineStr">
        <is>
          <t>Juvenile demersal fish (&gt; 30 cm)</t>
        </is>
      </c>
      <c r="H410" s="12" t="n">
        <v>0.1230769230769231</v>
      </c>
      <c r="I410" s="10" t="inlineStr">
        <is>
          <t>model_catch</t>
        </is>
      </c>
      <c r="J410" s="13" t="inlineStr">
        <is>
          <t>low</t>
        </is>
      </c>
      <c r="K410" s="10" t="inlineStr">
        <is>
          <t>composite_split</t>
        </is>
      </c>
      <c r="L410" s="11" t="inlineStr">
        <is>
          <t>Analyst coarse-catch inference from SAU Medium demersals (30 - 89 cm) to residual habitat/size pools in Appendix 6.1 pp.335-339, excluding dedicated named taxa; period model catch weights preserve stanza selectivity.</t>
        </is>
      </c>
      <c r="M410" s="10" t="n">
        <v>14183.877</v>
      </c>
    </row>
    <row r="411" ht="51" customHeight="1">
      <c r="A411" s="10" t="inlineStr">
        <is>
          <t>LME_036</t>
        </is>
      </c>
      <c r="B411" s="11" t="inlineStr">
        <is>
          <t>36_2_South_China_Sea_SCS-2007_Northern_South_China_Sea_(1970s)</t>
        </is>
      </c>
      <c r="C411" s="11" t="inlineStr">
        <is>
          <t>Marine groundfishes not identified</t>
        </is>
      </c>
      <c r="D411" s="10" t="inlineStr">
        <is>
          <t>Groundfishes</t>
        </is>
      </c>
      <c r="E411" s="10" t="inlineStr">
        <is>
          <t>Medium demersals (30 - 89 cm)</t>
        </is>
      </c>
      <c r="F411" s="10" t="inlineStr">
        <is>
          <t>Other fishes &amp; inverts</t>
        </is>
      </c>
      <c r="G411" s="11" t="inlineStr">
        <is>
          <t>Adult demersal fish (&gt; 30 cm)</t>
        </is>
      </c>
      <c r="H411" s="12" t="n">
        <v>0.4914529914529914</v>
      </c>
      <c r="I411" s="10" t="inlineStr">
        <is>
          <t>model_catch</t>
        </is>
      </c>
      <c r="J411" s="13" t="inlineStr">
        <is>
          <t>low</t>
        </is>
      </c>
      <c r="K411" s="10" t="inlineStr">
        <is>
          <t>composite_split</t>
        </is>
      </c>
      <c r="L411" s="11" t="inlineStr">
        <is>
          <t>Analyst coarse-catch inference from SAU Medium demersals (30 - 89 cm) to residual habitat/size pools in Appendix 6.1 pp.335-339, excluding dedicated named taxa; period model catch weights preserve stanza selectivity.</t>
        </is>
      </c>
      <c r="M411" s="10" t="n">
        <v>14183.877</v>
      </c>
    </row>
    <row r="412" ht="51" customHeight="1">
      <c r="A412" s="10" t="inlineStr">
        <is>
          <t>LME_036</t>
        </is>
      </c>
      <c r="B412" s="11" t="inlineStr">
        <is>
          <t>36_2_South_China_Sea_SCS-2007_Northern_South_China_Sea_(1970s)</t>
        </is>
      </c>
      <c r="C412" s="11" t="inlineStr">
        <is>
          <t>Sardinella albella</t>
        </is>
      </c>
      <c r="D412" s="10" t="inlineStr">
        <is>
          <t>White sardinella</t>
        </is>
      </c>
      <c r="E412" s="10" t="inlineStr">
        <is>
          <t>Small reef assoc. fish (&lt;30 cm)</t>
        </is>
      </c>
      <c r="F412" s="10" t="inlineStr">
        <is>
          <t>Herring-likes</t>
        </is>
      </c>
      <c r="G412" s="11" t="inlineStr">
        <is>
          <t>Pelagic fish (≤ 30 cm)</t>
        </is>
      </c>
      <c r="H412" s="12" t="n">
        <v>1</v>
      </c>
      <c r="I412" s="10" t="inlineStr">
        <is>
          <t>single</t>
        </is>
      </c>
      <c r="J412" s="14" t="inlineStr">
        <is>
          <t>medium</t>
        </is>
      </c>
      <c r="K412" s="10" t="inlineStr">
        <is>
          <t>habitat_size_guild</t>
        </is>
      </c>
      <c r="L412" s="11" t="inlineStr">
        <is>
          <t>Source small-pelagic pool explicitly includes sardines, thryssa and anchovies (Appendix 6.1.23 p.338); extension to the catch lineage uses SAU size as a proxy and is not a full species list.</t>
        </is>
      </c>
      <c r="M412" s="10" t="n">
        <v>13862.136</v>
      </c>
    </row>
    <row r="413" ht="36" customHeight="1">
      <c r="A413" s="10" t="inlineStr">
        <is>
          <t>LME_036</t>
        </is>
      </c>
      <c r="B413" s="11" t="inlineStr">
        <is>
          <t>36_2_South_China_Sea_SCS-2007_Northern_South_China_Sea_(1970s)</t>
        </is>
      </c>
      <c r="C413" s="11" t="inlineStr">
        <is>
          <t>Placuna placenta</t>
        </is>
      </c>
      <c r="D413" s="10" t="inlineStr">
        <is>
          <t>Windowpane oyster</t>
        </is>
      </c>
      <c r="E413" s="10" t="inlineStr">
        <is>
          <t>Other demersal invertebrates</t>
        </is>
      </c>
      <c r="F413" s="10" t="inlineStr">
        <is>
          <t>Molluscs</t>
        </is>
      </c>
      <c r="G413" s="11" t="inlineStr">
        <is>
          <t>Non-ceph molluscs</t>
        </is>
      </c>
      <c r="H413" s="12" t="n">
        <v>1</v>
      </c>
      <c r="I413" s="10" t="inlineStr">
        <is>
          <t>single</t>
        </is>
      </c>
      <c r="J413" s="15" t="inlineStr">
        <is>
          <t>high</t>
        </is>
      </c>
      <c r="K413" s="10" t="inlineStr">
        <is>
          <t>taxonomic_containment</t>
        </is>
      </c>
      <c r="L413" s="11" t="inlineStr">
        <is>
          <t>Taxonomic containment in the source benthos subdivision (Appendix 6.1.5 pp.324-325), keeping non-cephalopod molluscs separate from echinoderms and sessile invertebrates.</t>
        </is>
      </c>
      <c r="M413" s="10" t="n">
        <v>13498.128</v>
      </c>
    </row>
    <row r="414" ht="51" customHeight="1">
      <c r="A414" s="10" t="inlineStr">
        <is>
          <t>LME_036</t>
        </is>
      </c>
      <c r="B414" s="11" t="inlineStr">
        <is>
          <t>36_2_South_China_Sea_SCS-2007_Northern_South_China_Sea_(1970s)</t>
        </is>
      </c>
      <c r="C414" s="11" t="inlineStr">
        <is>
          <t>Scaridae</t>
        </is>
      </c>
      <c r="D414" s="10" t="inlineStr">
        <is>
          <t>Parrotfishes</t>
        </is>
      </c>
      <c r="E414" s="10" t="inlineStr">
        <is>
          <t>Medium reef assoc. fish (30 - 89 cm)</t>
        </is>
      </c>
      <c r="F414" s="10" t="inlineStr">
        <is>
          <t>Perch-likes</t>
        </is>
      </c>
      <c r="G414" s="11" t="inlineStr">
        <is>
          <t>Juvenile demersal fish (&gt; 30 cm)</t>
        </is>
      </c>
      <c r="H414" s="12" t="n">
        <v>0.2002781641168289</v>
      </c>
      <c r="I414" s="10" t="inlineStr">
        <is>
          <t>model_catch</t>
        </is>
      </c>
      <c r="J414" s="14" t="inlineStr">
        <is>
          <t>medium</t>
        </is>
      </c>
      <c r="K414" s="10" t="inlineStr">
        <is>
          <t>composite_split</t>
        </is>
      </c>
      <c r="L414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14" s="10" t="n">
        <v>13212.304</v>
      </c>
    </row>
    <row r="415" ht="51" customHeight="1">
      <c r="A415" s="10" t="inlineStr">
        <is>
          <t>LME_036</t>
        </is>
      </c>
      <c r="B415" s="11" t="inlineStr">
        <is>
          <t>36_2_South_China_Sea_SCS-2007_Northern_South_China_Sea_(1970s)</t>
        </is>
      </c>
      <c r="C415" s="11" t="inlineStr">
        <is>
          <t>Scaridae</t>
        </is>
      </c>
      <c r="D415" s="10" t="inlineStr">
        <is>
          <t>Parrotfishes</t>
        </is>
      </c>
      <c r="E415" s="10" t="inlineStr">
        <is>
          <t>Medium reef assoc. fish (30 - 89 cm)</t>
        </is>
      </c>
      <c r="F415" s="10" t="inlineStr">
        <is>
          <t>Perch-likes</t>
        </is>
      </c>
      <c r="G415" s="11" t="inlineStr">
        <is>
          <t>Adult demersal fish (&gt; 30 cm)</t>
        </is>
      </c>
      <c r="H415" s="12" t="n">
        <v>0.799721835883171</v>
      </c>
      <c r="I415" s="10" t="inlineStr">
        <is>
          <t>model_catch</t>
        </is>
      </c>
      <c r="J415" s="14" t="inlineStr">
        <is>
          <t>medium</t>
        </is>
      </c>
      <c r="K415" s="10" t="inlineStr">
        <is>
          <t>composite_split</t>
        </is>
      </c>
      <c r="L415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15" s="10" t="n">
        <v>13212.304</v>
      </c>
    </row>
    <row r="416" ht="51" customHeight="1">
      <c r="A416" s="10" t="inlineStr">
        <is>
          <t>LME_036</t>
        </is>
      </c>
      <c r="B416" s="11" t="inlineStr">
        <is>
          <t>36_2_South_China_Sea_SCS-2007_Northern_South_China_Sea_(1970s)</t>
        </is>
      </c>
      <c r="C416" s="11" t="inlineStr">
        <is>
          <t>Seriolina nigrofasciata</t>
        </is>
      </c>
      <c r="D416" s="10" t="inlineStr">
        <is>
          <t>Blackbanded trevally</t>
        </is>
      </c>
      <c r="E416" s="10" t="inlineStr">
        <is>
          <t>Medium reef assoc. fish (30 - 89 cm)</t>
        </is>
      </c>
      <c r="F416" s="10" t="inlineStr">
        <is>
          <t>Perch-likes</t>
        </is>
      </c>
      <c r="G416" s="11" t="inlineStr">
        <is>
          <t>Juvenile large pelagic fish</t>
        </is>
      </c>
      <c r="H416" s="12" t="n">
        <v>0.2016806722689076</v>
      </c>
      <c r="I416" s="10" t="inlineStr">
        <is>
          <t>model_catch</t>
        </is>
      </c>
      <c r="J416" s="14" t="inlineStr">
        <is>
          <t>medium</t>
        </is>
      </c>
      <c r="K416" s="10" t="inlineStr">
        <is>
          <t>composite_split</t>
        </is>
      </c>
      <c r="L416" s="11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416" s="10" t="n">
        <v>12661.116</v>
      </c>
    </row>
    <row r="417" ht="51" customHeight="1">
      <c r="A417" s="10" t="inlineStr">
        <is>
          <t>LME_036</t>
        </is>
      </c>
      <c r="B417" s="11" t="inlineStr">
        <is>
          <t>36_2_South_China_Sea_SCS-2007_Northern_South_China_Sea_(1970s)</t>
        </is>
      </c>
      <c r="C417" s="11" t="inlineStr">
        <is>
          <t>Seriolina nigrofasciata</t>
        </is>
      </c>
      <c r="D417" s="10" t="inlineStr">
        <is>
          <t>Blackbanded trevally</t>
        </is>
      </c>
      <c r="E417" s="10" t="inlineStr">
        <is>
          <t>Medium reef assoc. fish (30 - 89 cm)</t>
        </is>
      </c>
      <c r="F417" s="10" t="inlineStr">
        <is>
          <t>Perch-likes</t>
        </is>
      </c>
      <c r="G417" s="11" t="inlineStr">
        <is>
          <t>Pelagic fish (&gt; 30 cm)</t>
        </is>
      </c>
      <c r="H417" s="12" t="n">
        <v>0.7983193277310925</v>
      </c>
      <c r="I417" s="10" t="inlineStr">
        <is>
          <t>model_catch</t>
        </is>
      </c>
      <c r="J417" s="14" t="inlineStr">
        <is>
          <t>medium</t>
        </is>
      </c>
      <c r="K417" s="10" t="inlineStr">
        <is>
          <t>composite_split</t>
        </is>
      </c>
      <c r="L417" s="11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417" s="10" t="n">
        <v>12661.116</v>
      </c>
    </row>
    <row r="418" ht="51" customHeight="1">
      <c r="A418" s="10" t="inlineStr">
        <is>
          <t>LME_036</t>
        </is>
      </c>
      <c r="B418" s="11" t="inlineStr">
        <is>
          <t>36_2_South_China_Sea_SCS-2007_Northern_South_China_Sea_(1970s)</t>
        </is>
      </c>
      <c r="C418" s="11" t="inlineStr">
        <is>
          <t>Saurida undosquamis</t>
        </is>
      </c>
      <c r="D418" s="10" t="inlineStr">
        <is>
          <t>Brushtooth lizardfish</t>
        </is>
      </c>
      <c r="E418" s="10" t="inlineStr">
        <is>
          <t>Medium demersals (30 - 89 cm)</t>
        </is>
      </c>
      <c r="F418" s="10" t="inlineStr">
        <is>
          <t>Other fishes &amp; inverts</t>
        </is>
      </c>
      <c r="G418" s="11" t="inlineStr">
        <is>
          <t>Lizard fish (synodontids)</t>
        </is>
      </c>
      <c r="H418" s="12" t="n">
        <v>1</v>
      </c>
      <c r="I418" s="10" t="inlineStr">
        <is>
          <t>single</t>
        </is>
      </c>
      <c r="J418" s="15" t="inlineStr">
        <is>
          <t>high</t>
        </is>
      </c>
      <c r="K418" s="10" t="inlineStr">
        <is>
          <t>explicit_member</t>
        </is>
      </c>
      <c r="L418" s="11" t="inlineStr">
        <is>
          <t>Appendix 6.1 pp.327-335 defines Lizard fish (synodontids) by this family or explicitly names Saurida undosquamis; dedicated source placement overrides the SAU class Medium demersals (30 - 89 cm).</t>
        </is>
      </c>
      <c r="M418" s="10" t="n">
        <v>12120.406</v>
      </c>
    </row>
    <row r="419" ht="36" customHeight="1">
      <c r="A419" s="10" t="inlineStr">
        <is>
          <t>LME_036</t>
        </is>
      </c>
      <c r="B419" s="11" t="inlineStr">
        <is>
          <t>36_2_South_China_Sea_SCS-2007_Northern_South_China_Sea_(1970s)</t>
        </is>
      </c>
      <c r="C419" s="11" t="inlineStr">
        <is>
          <t>Atule mate</t>
        </is>
      </c>
      <c r="D419" s="10" t="inlineStr">
        <is>
          <t>Yellowtail scad</t>
        </is>
      </c>
      <c r="E419" s="10" t="inlineStr">
        <is>
          <t>Small pelagics (&lt;30 cm)</t>
        </is>
      </c>
      <c r="F419" s="10" t="inlineStr">
        <is>
          <t>Perch-likes</t>
        </is>
      </c>
      <c r="G419" s="11" t="inlineStr">
        <is>
          <t>Pelagic fish (≤ 30 cm)</t>
        </is>
      </c>
      <c r="H419" s="12" t="n">
        <v>1</v>
      </c>
      <c r="I419" s="10" t="inlineStr">
        <is>
          <t>single</t>
        </is>
      </c>
      <c r="J419" s="14" t="inlineStr">
        <is>
          <t>medium</t>
        </is>
      </c>
      <c r="K419" s="10" t="inlineStr">
        <is>
          <t>habitat_size_guild</t>
        </is>
      </c>
      <c r="L419" s="11" t="inlineStr">
        <is>
          <t>Analyst habitat/size inference: SAU small-pelagic class matches the source &lt;=30 cm pelagic pool after dedicated source taxa were handled (Appendix 6.1.23 p.338).</t>
        </is>
      </c>
      <c r="M419" s="10" t="n">
        <v>11736.971</v>
      </c>
    </row>
    <row r="420" ht="51" customHeight="1">
      <c r="A420" s="10" t="inlineStr">
        <is>
          <t>LME_036</t>
        </is>
      </c>
      <c r="B420" s="11" t="inlineStr">
        <is>
          <t>36_2_South_China_Sea_SCS-2007_Northern_South_China_Sea_(1970s)</t>
        </is>
      </c>
      <c r="C420" s="11" t="inlineStr">
        <is>
          <t>Scarus</t>
        </is>
      </c>
      <c r="D420" s="10" t="inlineStr">
        <is>
          <t>Parrots</t>
        </is>
      </c>
      <c r="E420" s="10" t="inlineStr">
        <is>
          <t>Medium reef assoc. fish (30 - 89 cm)</t>
        </is>
      </c>
      <c r="F420" s="10" t="inlineStr">
        <is>
          <t>Perch-likes</t>
        </is>
      </c>
      <c r="G420" s="11" t="inlineStr">
        <is>
          <t>Juvenile demersal fish (&gt; 30 cm)</t>
        </is>
      </c>
      <c r="H420" s="12" t="n">
        <v>0.2002781641168289</v>
      </c>
      <c r="I420" s="10" t="inlineStr">
        <is>
          <t>model_catch</t>
        </is>
      </c>
      <c r="J420" s="14" t="inlineStr">
        <is>
          <t>medium</t>
        </is>
      </c>
      <c r="K420" s="10" t="inlineStr">
        <is>
          <t>composite_split</t>
        </is>
      </c>
      <c r="L420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20" s="10" t="n">
        <v>11669.973</v>
      </c>
    </row>
    <row r="421" ht="51" customHeight="1">
      <c r="A421" s="10" t="inlineStr">
        <is>
          <t>LME_036</t>
        </is>
      </c>
      <c r="B421" s="11" t="inlineStr">
        <is>
          <t>36_2_South_China_Sea_SCS-2007_Northern_South_China_Sea_(1970s)</t>
        </is>
      </c>
      <c r="C421" s="11" t="inlineStr">
        <is>
          <t>Scarus</t>
        </is>
      </c>
      <c r="D421" s="10" t="inlineStr">
        <is>
          <t>Parrots</t>
        </is>
      </c>
      <c r="E421" s="10" t="inlineStr">
        <is>
          <t>Medium reef assoc. fish (30 - 89 cm)</t>
        </is>
      </c>
      <c r="F421" s="10" t="inlineStr">
        <is>
          <t>Perch-likes</t>
        </is>
      </c>
      <c r="G421" s="11" t="inlineStr">
        <is>
          <t>Adult demersal fish (&gt; 30 cm)</t>
        </is>
      </c>
      <c r="H421" s="12" t="n">
        <v>0.799721835883171</v>
      </c>
      <c r="I421" s="10" t="inlineStr">
        <is>
          <t>model_catch</t>
        </is>
      </c>
      <c r="J421" s="14" t="inlineStr">
        <is>
          <t>medium</t>
        </is>
      </c>
      <c r="K421" s="10" t="inlineStr">
        <is>
          <t>composite_split</t>
        </is>
      </c>
      <c r="L421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21" s="10" t="n">
        <v>11669.973</v>
      </c>
    </row>
    <row r="422" ht="36" customHeight="1">
      <c r="A422" s="10" t="inlineStr">
        <is>
          <t>LME_036</t>
        </is>
      </c>
      <c r="B422" s="11" t="inlineStr">
        <is>
          <t>36_2_South_China_Sea_SCS-2007_Northern_South_China_Sea_(1970s)</t>
        </is>
      </c>
      <c r="C422" s="11" t="inlineStr">
        <is>
          <t>Thunnus</t>
        </is>
      </c>
      <c r="D422" s="10" t="inlineStr">
        <is>
          <t>Tunas</t>
        </is>
      </c>
      <c r="E422" s="10" t="inlineStr">
        <is>
          <t>Large pelagics (&gt;=90 cm)</t>
        </is>
      </c>
      <c r="F422" s="10" t="inlineStr">
        <is>
          <t>Tuna &amp; billfishes</t>
        </is>
      </c>
      <c r="G422" s="11" t="inlineStr">
        <is>
          <t>Juvenile large pelagic fish</t>
        </is>
      </c>
      <c r="H422" s="12" t="n">
        <v>0.2016806722689076</v>
      </c>
      <c r="I422" s="10" t="inlineStr">
        <is>
          <t>model_catch</t>
        </is>
      </c>
      <c r="J422" s="14" t="inlineStr">
        <is>
          <t>medium</t>
        </is>
      </c>
      <c r="K422" s="10" t="inlineStr">
        <is>
          <t>composite_split</t>
        </is>
      </c>
      <c r="L422" s="11" t="inlineStr">
        <is>
          <t>Analyst habitat/size inference to source &gt;30 cm pelagic fish (Appendix 6.1.24 p.339); no age data, so split juvenile/adult using the period model catch.</t>
        </is>
      </c>
      <c r="M422" s="10" t="n">
        <v>11596.064</v>
      </c>
    </row>
    <row r="423" ht="36" customHeight="1">
      <c r="A423" s="10" t="inlineStr">
        <is>
          <t>LME_036</t>
        </is>
      </c>
      <c r="B423" s="11" t="inlineStr">
        <is>
          <t>36_2_South_China_Sea_SCS-2007_Northern_South_China_Sea_(1970s)</t>
        </is>
      </c>
      <c r="C423" s="11" t="inlineStr">
        <is>
          <t>Thunnus</t>
        </is>
      </c>
      <c r="D423" s="10" t="inlineStr">
        <is>
          <t>Tunas</t>
        </is>
      </c>
      <c r="E423" s="10" t="inlineStr">
        <is>
          <t>Large pelagics (&gt;=90 cm)</t>
        </is>
      </c>
      <c r="F423" s="10" t="inlineStr">
        <is>
          <t>Tuna &amp; billfishes</t>
        </is>
      </c>
      <c r="G423" s="11" t="inlineStr">
        <is>
          <t>Pelagic fish (&gt; 30 cm)</t>
        </is>
      </c>
      <c r="H423" s="12" t="n">
        <v>0.7983193277310925</v>
      </c>
      <c r="I423" s="10" t="inlineStr">
        <is>
          <t>model_catch</t>
        </is>
      </c>
      <c r="J423" s="14" t="inlineStr">
        <is>
          <t>medium</t>
        </is>
      </c>
      <c r="K423" s="10" t="inlineStr">
        <is>
          <t>composite_split</t>
        </is>
      </c>
      <c r="L423" s="11" t="inlineStr">
        <is>
          <t>Analyst habitat/size inference to source &gt;30 cm pelagic fish (Appendix 6.1.24 p.339); no age data, so split juvenile/adult using the period model catch.</t>
        </is>
      </c>
      <c r="M423" s="10" t="n">
        <v>11596.064</v>
      </c>
    </row>
    <row r="424" ht="36" customHeight="1">
      <c r="A424" s="10" t="inlineStr">
        <is>
          <t>LME_036</t>
        </is>
      </c>
      <c r="B424" s="11" t="inlineStr">
        <is>
          <t>36_2_South_China_Sea_SCS-2007_Northern_South_China_Sea_(1970s)</t>
        </is>
      </c>
      <c r="C424" s="11" t="inlineStr">
        <is>
          <t>Ruditapes philippinarum</t>
        </is>
      </c>
      <c r="D424" s="10" t="inlineStr">
        <is>
          <t>Japanese carpet shell</t>
        </is>
      </c>
      <c r="E424" s="10" t="inlineStr">
        <is>
          <t>Other demersal invertebrates</t>
        </is>
      </c>
      <c r="F424" s="10" t="inlineStr">
        <is>
          <t>Molluscs</t>
        </is>
      </c>
      <c r="G424" s="11" t="inlineStr">
        <is>
          <t>Non-ceph molluscs</t>
        </is>
      </c>
      <c r="H424" s="12" t="n">
        <v>1</v>
      </c>
      <c r="I424" s="10" t="inlineStr">
        <is>
          <t>single</t>
        </is>
      </c>
      <c r="J424" s="15" t="inlineStr">
        <is>
          <t>high</t>
        </is>
      </c>
      <c r="K424" s="10" t="inlineStr">
        <is>
          <t>taxonomic_containment</t>
        </is>
      </c>
      <c r="L424" s="11" t="inlineStr">
        <is>
          <t>Taxonomic containment in the source benthos subdivision (Appendix 6.1.5 pp.324-325), keeping non-cephalopod molluscs separate from echinoderms and sessile invertebrates.</t>
        </is>
      </c>
      <c r="M424" s="10" t="n">
        <v>11438.522</v>
      </c>
    </row>
    <row r="425" ht="36" customHeight="1">
      <c r="A425" s="10" t="inlineStr">
        <is>
          <t>LME_036</t>
        </is>
      </c>
      <c r="B425" s="11" t="inlineStr">
        <is>
          <t>36_2_South_China_Sea_SCS-2007_Northern_South_China_Sea_(1970s)</t>
        </is>
      </c>
      <c r="C425" s="11" t="inlineStr">
        <is>
          <t>Metapenaeus tenuipes</t>
        </is>
      </c>
      <c r="D425" s="10" t="inlineStr">
        <is>
          <t>Stork shrimp</t>
        </is>
      </c>
      <c r="E425" s="10" t="inlineStr">
        <is>
          <t>Shrimps</t>
        </is>
      </c>
      <c r="F425" s="10" t="inlineStr">
        <is>
          <t>Crustaceans</t>
        </is>
      </c>
      <c r="G425" s="11" t="inlineStr">
        <is>
          <t>Shrimps</t>
        </is>
      </c>
      <c r="H425" s="12" t="n">
        <v>1</v>
      </c>
      <c r="I425" s="10" t="inlineStr">
        <is>
          <t>single</t>
        </is>
      </c>
      <c r="J425" s="15" t="inlineStr">
        <is>
          <t>high</t>
        </is>
      </c>
      <c r="K425" s="10" t="inlineStr">
        <is>
          <t>taxonomic_containment</t>
        </is>
      </c>
      <c r="L425" s="11" t="inlineStr">
        <is>
          <t>Stomatopods belong to the residual benthic crustaceans; other shrimp taxa belong to Shrimps after the explicitly separated Acetes records (Appendix 6.1 pp.323-326).</t>
        </is>
      </c>
      <c r="M425" s="10" t="n">
        <v>11158.1</v>
      </c>
    </row>
    <row r="426" ht="36" customHeight="1">
      <c r="A426" s="10" t="inlineStr">
        <is>
          <t>LME_036</t>
        </is>
      </c>
      <c r="B426" s="11" t="inlineStr">
        <is>
          <t>36_2_South_China_Sea_SCS-2007_Northern_South_China_Sea_(1970s)</t>
        </is>
      </c>
      <c r="C426" s="11" t="inlineStr">
        <is>
          <t>Acanthocybium solandri</t>
        </is>
      </c>
      <c r="D426" s="10" t="inlineStr">
        <is>
          <t>Wahoo</t>
        </is>
      </c>
      <c r="E426" s="10" t="inlineStr">
        <is>
          <t>Large pelagics (&gt;=90 cm)</t>
        </is>
      </c>
      <c r="F426" s="10" t="inlineStr">
        <is>
          <t>Perch-likes</t>
        </is>
      </c>
      <c r="G426" s="11" t="inlineStr">
        <is>
          <t>Juvenile large pelagic fish</t>
        </is>
      </c>
      <c r="H426" s="12" t="n">
        <v>0.2016806722689076</v>
      </c>
      <c r="I426" s="10" t="inlineStr">
        <is>
          <t>model_catch</t>
        </is>
      </c>
      <c r="J426" s="14" t="inlineStr">
        <is>
          <t>medium</t>
        </is>
      </c>
      <c r="K426" s="10" t="inlineStr">
        <is>
          <t>composite_split</t>
        </is>
      </c>
      <c r="L426" s="11" t="inlineStr">
        <is>
          <t>Analyst habitat/size inference to source &gt;30 cm pelagic fish (Appendix 6.1.24 p.339); no age data, so split juvenile/adult using the period model catch.</t>
        </is>
      </c>
      <c r="M426" s="10" t="n">
        <v>10923.631</v>
      </c>
    </row>
    <row r="427" ht="36" customHeight="1">
      <c r="A427" s="10" t="inlineStr">
        <is>
          <t>LME_036</t>
        </is>
      </c>
      <c r="B427" s="11" t="inlineStr">
        <is>
          <t>36_2_South_China_Sea_SCS-2007_Northern_South_China_Sea_(1970s)</t>
        </is>
      </c>
      <c r="C427" s="11" t="inlineStr">
        <is>
          <t>Acanthocybium solandri</t>
        </is>
      </c>
      <c r="D427" s="10" t="inlineStr">
        <is>
          <t>Wahoo</t>
        </is>
      </c>
      <c r="E427" s="10" t="inlineStr">
        <is>
          <t>Large pelagics (&gt;=90 cm)</t>
        </is>
      </c>
      <c r="F427" s="10" t="inlineStr">
        <is>
          <t>Perch-likes</t>
        </is>
      </c>
      <c r="G427" s="11" t="inlineStr">
        <is>
          <t>Pelagic fish (&gt; 30 cm)</t>
        </is>
      </c>
      <c r="H427" s="12" t="n">
        <v>0.7983193277310925</v>
      </c>
      <c r="I427" s="10" t="inlineStr">
        <is>
          <t>model_catch</t>
        </is>
      </c>
      <c r="J427" s="14" t="inlineStr">
        <is>
          <t>medium</t>
        </is>
      </c>
      <c r="K427" s="10" t="inlineStr">
        <is>
          <t>composite_split</t>
        </is>
      </c>
      <c r="L427" s="11" t="inlineStr">
        <is>
          <t>Analyst habitat/size inference to source &gt;30 cm pelagic fish (Appendix 6.1.24 p.339); no age data, so split juvenile/adult using the period model catch.</t>
        </is>
      </c>
      <c r="M427" s="10" t="n">
        <v>10923.631</v>
      </c>
    </row>
    <row r="428" ht="51" customHeight="1">
      <c r="A428" s="10" t="inlineStr">
        <is>
          <t>LME_036</t>
        </is>
      </c>
      <c r="B428" s="11" t="inlineStr">
        <is>
          <t>36_2_South_China_Sea_SCS-2007_Northern_South_China_Sea_(1970s)</t>
        </is>
      </c>
      <c r="C428" s="11" t="inlineStr">
        <is>
          <t>Acanthopagrus schlegelii</t>
        </is>
      </c>
      <c r="D428" s="10" t="inlineStr">
        <is>
          <t>Blackhead seabream</t>
        </is>
      </c>
      <c r="E428" s="10" t="inlineStr">
        <is>
          <t>Medium demersals (30 - 89 cm)</t>
        </is>
      </c>
      <c r="F428" s="10" t="inlineStr">
        <is>
          <t>Perch-likes</t>
        </is>
      </c>
      <c r="G428" s="11" t="inlineStr">
        <is>
          <t>Juvenile demersal fish (&gt; 30 cm)</t>
        </is>
      </c>
      <c r="H428" s="12" t="n">
        <v>0.2002781641168289</v>
      </c>
      <c r="I428" s="10" t="inlineStr">
        <is>
          <t>model_catch</t>
        </is>
      </c>
      <c r="J428" s="14" t="inlineStr">
        <is>
          <t>medium</t>
        </is>
      </c>
      <c r="K428" s="10" t="inlineStr">
        <is>
          <t>composite_split</t>
        </is>
      </c>
      <c r="L428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28" s="10" t="n">
        <v>10716.315</v>
      </c>
    </row>
    <row r="429" ht="51" customHeight="1">
      <c r="A429" s="10" t="inlineStr">
        <is>
          <t>LME_036</t>
        </is>
      </c>
      <c r="B429" s="11" t="inlineStr">
        <is>
          <t>36_2_South_China_Sea_SCS-2007_Northern_South_China_Sea_(1970s)</t>
        </is>
      </c>
      <c r="C429" s="11" t="inlineStr">
        <is>
          <t>Acanthopagrus schlegelii</t>
        </is>
      </c>
      <c r="D429" s="10" t="inlineStr">
        <is>
          <t>Blackhead seabream</t>
        </is>
      </c>
      <c r="E429" s="10" t="inlineStr">
        <is>
          <t>Medium demersals (30 - 89 cm)</t>
        </is>
      </c>
      <c r="F429" s="10" t="inlineStr">
        <is>
          <t>Perch-likes</t>
        </is>
      </c>
      <c r="G429" s="11" t="inlineStr">
        <is>
          <t>Adult demersal fish (&gt; 30 cm)</t>
        </is>
      </c>
      <c r="H429" s="12" t="n">
        <v>0.799721835883171</v>
      </c>
      <c r="I429" s="10" t="inlineStr">
        <is>
          <t>model_catch</t>
        </is>
      </c>
      <c r="J429" s="14" t="inlineStr">
        <is>
          <t>medium</t>
        </is>
      </c>
      <c r="K429" s="10" t="inlineStr">
        <is>
          <t>composite_split</t>
        </is>
      </c>
      <c r="L429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29" s="10" t="n">
        <v>10716.315</v>
      </c>
    </row>
    <row r="430" ht="51" customHeight="1">
      <c r="A430" s="10" t="inlineStr">
        <is>
          <t>LME_036</t>
        </is>
      </c>
      <c r="B430" s="11" t="inlineStr">
        <is>
          <t>36_2_South_China_Sea_SCS-2007_Northern_South_China_Sea_(1970s)</t>
        </is>
      </c>
      <c r="C430" s="11" t="inlineStr">
        <is>
          <t>Lobotes surinamensis</t>
        </is>
      </c>
      <c r="D430" s="10" t="inlineStr">
        <is>
          <t>Tripletail</t>
        </is>
      </c>
      <c r="E430" s="10" t="inlineStr">
        <is>
          <t>Large benthopelagics (&gt;=90 cm)</t>
        </is>
      </c>
      <c r="F430" s="10" t="inlineStr">
        <is>
          <t>Perch-likes</t>
        </is>
      </c>
      <c r="G430" s="11" t="inlineStr">
        <is>
          <t>Benthopelagic fish</t>
        </is>
      </c>
      <c r="H430" s="12" t="n">
        <v>1</v>
      </c>
      <c r="I430" s="10" t="inlineStr">
        <is>
          <t>single</t>
        </is>
      </c>
      <c r="J430" s="13" t="inlineStr">
        <is>
          <t>low</t>
        </is>
      </c>
      <c r="K430" s="10" t="inlineStr">
        <is>
          <t>habitat_size_guild</t>
        </is>
      </c>
      <c r="L430" s="11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  <c r="M430" s="10" t="n">
        <v>10347.218</v>
      </c>
    </row>
    <row r="431" ht="36" customHeight="1">
      <c r="A431" s="10" t="inlineStr">
        <is>
          <t>LME_036</t>
        </is>
      </c>
      <c r="B431" s="11" t="inlineStr">
        <is>
          <t>36_2_South_China_Sea_SCS-2007_Northern_South_China_Sea_(1970s)</t>
        </is>
      </c>
      <c r="C431" s="11" t="inlineStr">
        <is>
          <t>Sepioteuthis lessoniana</t>
        </is>
      </c>
      <c r="D431" s="10" t="inlineStr">
        <is>
          <t>Bigfin reef squid</t>
        </is>
      </c>
      <c r="E431" s="10" t="inlineStr">
        <is>
          <t>Cephalopods</t>
        </is>
      </c>
      <c r="F431" s="10" t="inlineStr">
        <is>
          <t>Other fishes &amp; inverts</t>
        </is>
      </c>
      <c r="G431" s="11" t="inlineStr">
        <is>
          <t>Cephalopods</t>
        </is>
      </c>
      <c r="H431" s="12" t="n">
        <v>1</v>
      </c>
      <c r="I431" s="10" t="inlineStr">
        <is>
          <t>single</t>
        </is>
      </c>
      <c r="J431" s="15" t="inlineStr">
        <is>
          <t>high</t>
        </is>
      </c>
      <c r="K431" s="10" t="inlineStr">
        <is>
          <t>taxonomic_containment</t>
        </is>
      </c>
      <c r="L431" s="11" t="inlineStr">
        <is>
          <t>Cephalopoda is contained by the single source Cephalopods group, Appendix 6.1.8 pp.326-327.</t>
        </is>
      </c>
      <c r="M431" s="10" t="n">
        <v>10311.411</v>
      </c>
    </row>
    <row r="432" ht="51" customHeight="1">
      <c r="A432" s="10" t="inlineStr">
        <is>
          <t>LME_036</t>
        </is>
      </c>
      <c r="B432" s="11" t="inlineStr">
        <is>
          <t>36_2_South_China_Sea_SCS-2007_Northern_South_China_Sea_(1970s)</t>
        </is>
      </c>
      <c r="C432" s="11" t="inlineStr">
        <is>
          <t>Eleutheronema tetradactylum</t>
        </is>
      </c>
      <c r="D432" s="10" t="inlineStr">
        <is>
          <t>Fourfinger threadfin</t>
        </is>
      </c>
      <c r="E432" s="10" t="inlineStr">
        <is>
          <t>Large demersals (&gt;=90 cm)</t>
        </is>
      </c>
      <c r="F432" s="10" t="inlineStr">
        <is>
          <t>Perch-likes</t>
        </is>
      </c>
      <c r="G432" s="11" t="inlineStr">
        <is>
          <t>Juvenile demersal fish (&gt; 30 cm)</t>
        </is>
      </c>
      <c r="H432" s="12" t="n">
        <v>0.2002781641168289</v>
      </c>
      <c r="I432" s="10" t="inlineStr">
        <is>
          <t>model_catch</t>
        </is>
      </c>
      <c r="J432" s="14" t="inlineStr">
        <is>
          <t>medium</t>
        </is>
      </c>
      <c r="K432" s="10" t="inlineStr">
        <is>
          <t>composite_split</t>
        </is>
      </c>
      <c r="L432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32" s="10" t="n">
        <v>9740.129999999999</v>
      </c>
    </row>
    <row r="433" ht="51" customHeight="1">
      <c r="A433" s="10" t="inlineStr">
        <is>
          <t>LME_036</t>
        </is>
      </c>
      <c r="B433" s="11" t="inlineStr">
        <is>
          <t>36_2_South_China_Sea_SCS-2007_Northern_South_China_Sea_(1970s)</t>
        </is>
      </c>
      <c r="C433" s="11" t="inlineStr">
        <is>
          <t>Eleutheronema tetradactylum</t>
        </is>
      </c>
      <c r="D433" s="10" t="inlineStr">
        <is>
          <t>Fourfinger threadfin</t>
        </is>
      </c>
      <c r="E433" s="10" t="inlineStr">
        <is>
          <t>Large demersals (&gt;=90 cm)</t>
        </is>
      </c>
      <c r="F433" s="10" t="inlineStr">
        <is>
          <t>Perch-likes</t>
        </is>
      </c>
      <c r="G433" s="11" t="inlineStr">
        <is>
          <t>Adult demersal fish (&gt; 30 cm)</t>
        </is>
      </c>
      <c r="H433" s="12" t="n">
        <v>0.799721835883171</v>
      </c>
      <c r="I433" s="10" t="inlineStr">
        <is>
          <t>model_catch</t>
        </is>
      </c>
      <c r="J433" s="14" t="inlineStr">
        <is>
          <t>medium</t>
        </is>
      </c>
      <c r="K433" s="10" t="inlineStr">
        <is>
          <t>composite_split</t>
        </is>
      </c>
      <c r="L433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33" s="10" t="n">
        <v>9740.129999999999</v>
      </c>
    </row>
    <row r="434" ht="51" customHeight="1">
      <c r="A434" s="10" t="inlineStr">
        <is>
          <t>LME_036</t>
        </is>
      </c>
      <c r="B434" s="11" t="inlineStr">
        <is>
          <t>36_2_South_China_Sea_SCS-2007_Northern_South_China_Sea_(1970s)</t>
        </is>
      </c>
      <c r="C434" s="11" t="inlineStr">
        <is>
          <t>Scatophagus</t>
        </is>
      </c>
      <c r="D434" s="10" t="inlineStr">
        <is>
          <t>Scats</t>
        </is>
      </c>
      <c r="E434" s="10" t="inlineStr">
        <is>
          <t>Medium demersals (30 - 89 cm)</t>
        </is>
      </c>
      <c r="F434" s="10" t="inlineStr">
        <is>
          <t>Perch-likes</t>
        </is>
      </c>
      <c r="G434" s="11" t="inlineStr">
        <is>
          <t>Juvenile demersal fish (&gt; 30 cm)</t>
        </is>
      </c>
      <c r="H434" s="12" t="n">
        <v>0.2002781641168289</v>
      </c>
      <c r="I434" s="10" t="inlineStr">
        <is>
          <t>model_catch</t>
        </is>
      </c>
      <c r="J434" s="14" t="inlineStr">
        <is>
          <t>medium</t>
        </is>
      </c>
      <c r="K434" s="10" t="inlineStr">
        <is>
          <t>composite_split</t>
        </is>
      </c>
      <c r="L434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34" s="10" t="n">
        <v>9252.174000000001</v>
      </c>
    </row>
    <row r="435" ht="51" customHeight="1">
      <c r="A435" s="10" t="inlineStr">
        <is>
          <t>LME_036</t>
        </is>
      </c>
      <c r="B435" s="11" t="inlineStr">
        <is>
          <t>36_2_South_China_Sea_SCS-2007_Northern_South_China_Sea_(1970s)</t>
        </is>
      </c>
      <c r="C435" s="11" t="inlineStr">
        <is>
          <t>Scatophagus</t>
        </is>
      </c>
      <c r="D435" s="10" t="inlineStr">
        <is>
          <t>Scats</t>
        </is>
      </c>
      <c r="E435" s="10" t="inlineStr">
        <is>
          <t>Medium demersals (30 - 89 cm)</t>
        </is>
      </c>
      <c r="F435" s="10" t="inlineStr">
        <is>
          <t>Perch-likes</t>
        </is>
      </c>
      <c r="G435" s="11" t="inlineStr">
        <is>
          <t>Adult demersal fish (&gt; 30 cm)</t>
        </is>
      </c>
      <c r="H435" s="12" t="n">
        <v>0.799721835883171</v>
      </c>
      <c r="I435" s="10" t="inlineStr">
        <is>
          <t>model_catch</t>
        </is>
      </c>
      <c r="J435" s="14" t="inlineStr">
        <is>
          <t>medium</t>
        </is>
      </c>
      <c r="K435" s="10" t="inlineStr">
        <is>
          <t>composite_split</t>
        </is>
      </c>
      <c r="L435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35" s="10" t="n">
        <v>9252.174000000001</v>
      </c>
    </row>
    <row r="436" ht="36" customHeight="1">
      <c r="A436" s="10" t="inlineStr">
        <is>
          <t>LME_036</t>
        </is>
      </c>
      <c r="B436" s="11" t="inlineStr">
        <is>
          <t>36_2_South_China_Sea_SCS-2007_Northern_South_China_Sea_(1970s)</t>
        </is>
      </c>
      <c r="C436" s="11" t="inlineStr">
        <is>
          <t>Thunnus orientalis</t>
        </is>
      </c>
      <c r="D436" s="10" t="inlineStr">
        <is>
          <t>Pacific bluefin tuna</t>
        </is>
      </c>
      <c r="E436" s="10" t="inlineStr">
        <is>
          <t>Large pelagics (&gt;=90 cm)</t>
        </is>
      </c>
      <c r="F436" s="10" t="inlineStr">
        <is>
          <t>Tuna &amp; billfishes</t>
        </is>
      </c>
      <c r="G436" s="11" t="inlineStr">
        <is>
          <t>Juvenile large pelagic fish</t>
        </is>
      </c>
      <c r="H436" s="12" t="n">
        <v>0.2016806722689076</v>
      </c>
      <c r="I436" s="10" t="inlineStr">
        <is>
          <t>model_catch</t>
        </is>
      </c>
      <c r="J436" s="14" t="inlineStr">
        <is>
          <t>medium</t>
        </is>
      </c>
      <c r="K436" s="10" t="inlineStr">
        <is>
          <t>composite_split</t>
        </is>
      </c>
      <c r="L436" s="11" t="inlineStr">
        <is>
          <t>Analyst habitat/size inference to source &gt;30 cm pelagic fish (Appendix 6.1.24 p.339); no age data, so split juvenile/adult using the period model catch.</t>
        </is>
      </c>
      <c r="M436" s="10" t="n">
        <v>9130.268</v>
      </c>
    </row>
    <row r="437" ht="36" customHeight="1">
      <c r="A437" s="10" t="inlineStr">
        <is>
          <t>LME_036</t>
        </is>
      </c>
      <c r="B437" s="11" t="inlineStr">
        <is>
          <t>36_2_South_China_Sea_SCS-2007_Northern_South_China_Sea_(1970s)</t>
        </is>
      </c>
      <c r="C437" s="11" t="inlineStr">
        <is>
          <t>Thunnus orientalis</t>
        </is>
      </c>
      <c r="D437" s="10" t="inlineStr">
        <is>
          <t>Pacific bluefin tuna</t>
        </is>
      </c>
      <c r="E437" s="10" t="inlineStr">
        <is>
          <t>Large pelagics (&gt;=90 cm)</t>
        </is>
      </c>
      <c r="F437" s="10" t="inlineStr">
        <is>
          <t>Tuna &amp; billfishes</t>
        </is>
      </c>
      <c r="G437" s="11" t="inlineStr">
        <is>
          <t>Pelagic fish (&gt; 30 cm)</t>
        </is>
      </c>
      <c r="H437" s="12" t="n">
        <v>0.7983193277310925</v>
      </c>
      <c r="I437" s="10" t="inlineStr">
        <is>
          <t>model_catch</t>
        </is>
      </c>
      <c r="J437" s="14" t="inlineStr">
        <is>
          <t>medium</t>
        </is>
      </c>
      <c r="K437" s="10" t="inlineStr">
        <is>
          <t>composite_split</t>
        </is>
      </c>
      <c r="L437" s="11" t="inlineStr">
        <is>
          <t>Analyst habitat/size inference to source &gt;30 cm pelagic fish (Appendix 6.1.24 p.339); no age data, so split juvenile/adult using the period model catch.</t>
        </is>
      </c>
      <c r="M437" s="10" t="n">
        <v>9130.268</v>
      </c>
    </row>
    <row r="438" ht="36" customHeight="1">
      <c r="A438" s="10" t="inlineStr">
        <is>
          <t>LME_036</t>
        </is>
      </c>
      <c r="B438" s="11" t="inlineStr">
        <is>
          <t>36_2_South_China_Sea_SCS-2007_Northern_South_China_Sea_(1970s)</t>
        </is>
      </c>
      <c r="C438" s="11" t="inlineStr">
        <is>
          <t>Siganus canaliculatus</t>
        </is>
      </c>
      <c r="D438" s="10" t="inlineStr">
        <is>
          <t>White-spotted spinefoot</t>
        </is>
      </c>
      <c r="E438" s="10" t="inlineStr">
        <is>
          <t>Small reef assoc. fish (&lt;30 cm)</t>
        </is>
      </c>
      <c r="F438" s="10" t="inlineStr">
        <is>
          <t>Perch-likes</t>
        </is>
      </c>
      <c r="G438" s="11" t="inlineStr">
        <is>
          <t>Demesral fish (≤ 30 cm)</t>
        </is>
      </c>
      <c r="H438" s="12" t="n">
        <v>1</v>
      </c>
      <c r="I438" s="10" t="inlineStr">
        <is>
          <t>single</t>
        </is>
      </c>
      <c r="J438" s="14" t="inlineStr">
        <is>
          <t>medium</t>
        </is>
      </c>
      <c r="K438" s="10" t="inlineStr">
        <is>
          <t>habitat_size_guild</t>
        </is>
      </c>
      <c r="L438" s="11" t="inlineStr">
        <is>
          <t>Analyst habitat/size inference: small demersal or reef-associated fish after excluding dedicated taxonomic groups, matching Appendix 6.1.19 &lt;=30 cm residual demersal pool.</t>
        </is>
      </c>
      <c r="M438" s="10" t="n">
        <v>8874.617</v>
      </c>
    </row>
    <row r="439" ht="51" customHeight="1">
      <c r="A439" s="10" t="inlineStr">
        <is>
          <t>LME_036</t>
        </is>
      </c>
      <c r="B439" s="11" t="inlineStr">
        <is>
          <t>36_2_South_China_Sea_SCS-2007_Northern_South_China_Sea_(1970s)</t>
        </is>
      </c>
      <c r="C439" s="11" t="inlineStr">
        <is>
          <t>Polydactylus sexfilis</t>
        </is>
      </c>
      <c r="D439" s="10" t="inlineStr">
        <is>
          <t>Sixfinger threadfin</t>
        </is>
      </c>
      <c r="E439" s="10" t="inlineStr">
        <is>
          <t>Medium demersals (30 - 89 cm)</t>
        </is>
      </c>
      <c r="F439" s="10" t="inlineStr">
        <is>
          <t>Perch-likes</t>
        </is>
      </c>
      <c r="G439" s="11" t="inlineStr">
        <is>
          <t>Juvenile demersal fish (&gt; 30 cm)</t>
        </is>
      </c>
      <c r="H439" s="12" t="n">
        <v>0.2002781641168289</v>
      </c>
      <c r="I439" s="10" t="inlineStr">
        <is>
          <t>model_catch</t>
        </is>
      </c>
      <c r="J439" s="14" t="inlineStr">
        <is>
          <t>medium</t>
        </is>
      </c>
      <c r="K439" s="10" t="inlineStr">
        <is>
          <t>composite_split</t>
        </is>
      </c>
      <c r="L439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39" s="10" t="n">
        <v>8212.799999999999</v>
      </c>
    </row>
    <row r="440" ht="51" customHeight="1">
      <c r="A440" s="10" t="inlineStr">
        <is>
          <t>LME_036</t>
        </is>
      </c>
      <c r="B440" s="11" t="inlineStr">
        <is>
          <t>36_2_South_China_Sea_SCS-2007_Northern_South_China_Sea_(1970s)</t>
        </is>
      </c>
      <c r="C440" s="11" t="inlineStr">
        <is>
          <t>Polydactylus sexfilis</t>
        </is>
      </c>
      <c r="D440" s="10" t="inlineStr">
        <is>
          <t>Sixfinger threadfin</t>
        </is>
      </c>
      <c r="E440" s="10" t="inlineStr">
        <is>
          <t>Medium demersals (30 - 89 cm)</t>
        </is>
      </c>
      <c r="F440" s="10" t="inlineStr">
        <is>
          <t>Perch-likes</t>
        </is>
      </c>
      <c r="G440" s="11" t="inlineStr">
        <is>
          <t>Adult demersal fish (&gt; 30 cm)</t>
        </is>
      </c>
      <c r="H440" s="12" t="n">
        <v>0.799721835883171</v>
      </c>
      <c r="I440" s="10" t="inlineStr">
        <is>
          <t>model_catch</t>
        </is>
      </c>
      <c r="J440" s="14" t="inlineStr">
        <is>
          <t>medium</t>
        </is>
      </c>
      <c r="K440" s="10" t="inlineStr">
        <is>
          <t>composite_split</t>
        </is>
      </c>
      <c r="L440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40" s="10" t="n">
        <v>8212.799999999999</v>
      </c>
    </row>
    <row r="441" ht="36" customHeight="1">
      <c r="A441" s="10" t="inlineStr">
        <is>
          <t>LME_036</t>
        </is>
      </c>
      <c r="B441" s="11" t="inlineStr">
        <is>
          <t>36_2_South_China_Sea_SCS-2007_Northern_South_China_Sea_(1970s)</t>
        </is>
      </c>
      <c r="C441" s="11" t="inlineStr">
        <is>
          <t>Hilsa kelee</t>
        </is>
      </c>
      <c r="D441" s="10" t="inlineStr">
        <is>
          <t>Kelee shad</t>
        </is>
      </c>
      <c r="E441" s="10" t="inlineStr">
        <is>
          <t>Small pelagics (&lt;30 cm)</t>
        </is>
      </c>
      <c r="F441" s="10" t="inlineStr">
        <is>
          <t>Herring-likes</t>
        </is>
      </c>
      <c r="G441" s="11" t="inlineStr">
        <is>
          <t>Pelagic fish (≤ 30 cm)</t>
        </is>
      </c>
      <c r="H441" s="12" t="n">
        <v>1</v>
      </c>
      <c r="I441" s="10" t="inlineStr">
        <is>
          <t>single</t>
        </is>
      </c>
      <c r="J441" s="14" t="inlineStr">
        <is>
          <t>medium</t>
        </is>
      </c>
      <c r="K441" s="10" t="inlineStr">
        <is>
          <t>habitat_size_guild</t>
        </is>
      </c>
      <c r="L441" s="11" t="inlineStr">
        <is>
          <t>Analyst habitat/size inference: SAU small-pelagic class matches the source &lt;=30 cm pelagic pool after dedicated source taxa were handled (Appendix 6.1.23 p.338).</t>
        </is>
      </c>
      <c r="M441" s="10" t="n">
        <v>8128.315</v>
      </c>
    </row>
    <row r="442" ht="36" customHeight="1">
      <c r="A442" s="10" t="inlineStr">
        <is>
          <t>LME_036</t>
        </is>
      </c>
      <c r="B442" s="11" t="inlineStr">
        <is>
          <t>36_2_South_China_Sea_SCS-2007_Northern_South_China_Sea_(1970s)</t>
        </is>
      </c>
      <c r="C442" s="11" t="inlineStr">
        <is>
          <t>Thenus orientalis</t>
        </is>
      </c>
      <c r="D442" s="10" t="inlineStr">
        <is>
          <t>Flathead lobster</t>
        </is>
      </c>
      <c r="E442" s="10" t="inlineStr">
        <is>
          <t>Lobsters, crabs</t>
        </is>
      </c>
      <c r="F442" s="10" t="inlineStr">
        <is>
          <t>Crustaceans</t>
        </is>
      </c>
      <c r="G442" s="11" t="inlineStr">
        <is>
          <t>Benthic crustaceans</t>
        </is>
      </c>
      <c r="H442" s="12" t="n">
        <v>1</v>
      </c>
      <c r="I442" s="10" t="inlineStr">
        <is>
          <t>single</t>
        </is>
      </c>
      <c r="J442" s="15" t="inlineStr">
        <is>
          <t>high</t>
        </is>
      </c>
      <c r="K442" s="10" t="inlineStr">
        <is>
          <t>taxonomic_containment</t>
        </is>
      </c>
      <c r="L442" s="11" t="inlineStr">
        <is>
          <t>Source benthic crustaceans exclude shrimps and crabs (Appendix 6.1.5 p.324); lobsters remain in that residual, while true crabs use Crabs.</t>
        </is>
      </c>
      <c r="M442" s="10" t="n">
        <v>7779.469</v>
      </c>
    </row>
    <row r="443" ht="36" customHeight="1">
      <c r="A443" s="10" t="inlineStr">
        <is>
          <t>LME_036</t>
        </is>
      </c>
      <c r="B443" s="11" t="inlineStr">
        <is>
          <t>36_2_South_China_Sea_SCS-2007_Northern_South_China_Sea_(1970s)</t>
        </is>
      </c>
      <c r="C443" s="11" t="inlineStr">
        <is>
          <t>Acetes sibogae</t>
        </is>
      </c>
      <c r="D443" s="10" t="inlineStr">
        <is>
          <t>Alamang shrimp</t>
        </is>
      </c>
      <c r="E443" s="10" t="inlineStr">
        <is>
          <t>Shrimps</t>
        </is>
      </c>
      <c r="F443" s="10" t="inlineStr">
        <is>
          <t>Crustaceans</t>
        </is>
      </c>
      <c r="G443" s="11" t="inlineStr">
        <is>
          <t>Zooplankton</t>
        </is>
      </c>
      <c r="H443" s="12" t="n">
        <v>1</v>
      </c>
      <c r="I443" s="10" t="inlineStr">
        <is>
          <t>single</t>
        </is>
      </c>
      <c r="J443" s="15" t="inlineStr">
        <is>
          <t>high</t>
        </is>
      </c>
      <c r="K443" s="10" t="inlineStr">
        <is>
          <t>explicit_member</t>
        </is>
      </c>
      <c r="L443" s="11" t="inlineStr">
        <is>
          <t>Appendix 6.1.3 p.323 explicitly records Acetes spp. (Mo shrimp) catch in Zooplankton, overriding the SAU shrimp class.</t>
        </is>
      </c>
      <c r="M443" s="10" t="n">
        <v>7634.911</v>
      </c>
    </row>
    <row r="444" ht="36" customHeight="1">
      <c r="A444" s="10" t="inlineStr">
        <is>
          <t>LME_036</t>
        </is>
      </c>
      <c r="B444" s="11" t="inlineStr">
        <is>
          <t>36_2_South_China_Sea_SCS-2007_Northern_South_China_Sea_(1970s)</t>
        </is>
      </c>
      <c r="C444" s="11" t="inlineStr">
        <is>
          <t>Kajikia audax</t>
        </is>
      </c>
      <c r="D444" s="10" t="inlineStr">
        <is>
          <t>Striped marlin</t>
        </is>
      </c>
      <c r="E444" s="10" t="inlineStr">
        <is>
          <t>Large pelagics (&gt;=90 cm)</t>
        </is>
      </c>
      <c r="F444" s="10" t="inlineStr">
        <is>
          <t>Tuna &amp; billfishes</t>
        </is>
      </c>
      <c r="G444" s="11" t="inlineStr">
        <is>
          <t>Unresolved</t>
        </is>
      </c>
      <c r="H444" s="12" t="n"/>
      <c r="I444" s="10" t="inlineStr"/>
      <c r="J444" s="16" t="inlineStr">
        <is>
          <t>unresolved</t>
        </is>
      </c>
      <c r="K444" s="10" t="inlineStr">
        <is>
          <t>none</t>
        </is>
      </c>
      <c r="L444" s="11" t="inlineStr">
        <is>
          <t>Northern continental-shelf model lacks a documented oceanic billfish or deep-pelagic compartment; assigning coastal juvenile/adult pelagic SPPR would be unsupported.</t>
        </is>
      </c>
      <c r="M444" s="10" t="n">
        <v>7428.343</v>
      </c>
    </row>
    <row r="445" ht="36" customHeight="1">
      <c r="A445" s="10" t="inlineStr">
        <is>
          <t>LME_036</t>
        </is>
      </c>
      <c r="B445" s="11" t="inlineStr">
        <is>
          <t>36_2_South_China_Sea_SCS-2007_Northern_South_China_Sea_(1970s)</t>
        </is>
      </c>
      <c r="C445" s="11" t="inlineStr">
        <is>
          <t>Penaeus semisulcatus</t>
        </is>
      </c>
      <c r="D445" s="10" t="inlineStr">
        <is>
          <t>Green tiger prawn</t>
        </is>
      </c>
      <c r="E445" s="10" t="inlineStr">
        <is>
          <t>Shrimps</t>
        </is>
      </c>
      <c r="F445" s="10" t="inlineStr">
        <is>
          <t>Crustaceans</t>
        </is>
      </c>
      <c r="G445" s="11" t="inlineStr">
        <is>
          <t>Shrimps</t>
        </is>
      </c>
      <c r="H445" s="12" t="n">
        <v>1</v>
      </c>
      <c r="I445" s="10" t="inlineStr">
        <is>
          <t>single</t>
        </is>
      </c>
      <c r="J445" s="15" t="inlineStr">
        <is>
          <t>high</t>
        </is>
      </c>
      <c r="K445" s="10" t="inlineStr">
        <is>
          <t>taxonomic_containment</t>
        </is>
      </c>
      <c r="L445" s="11" t="inlineStr">
        <is>
          <t>Stomatopods belong to the residual benthic crustaceans; other shrimp taxa belong to Shrimps after the explicitly separated Acetes records (Appendix 6.1 pp.323-326).</t>
        </is>
      </c>
      <c r="M445" s="10" t="n">
        <v>7114.411</v>
      </c>
    </row>
    <row r="446" ht="51" customHeight="1">
      <c r="A446" s="10" t="inlineStr">
        <is>
          <t>LME_036</t>
        </is>
      </c>
      <c r="B446" s="11" t="inlineStr">
        <is>
          <t>36_2_South_China_Sea_SCS-2007_Northern_South_China_Sea_(1970s)</t>
        </is>
      </c>
      <c r="C446" s="11" t="inlineStr">
        <is>
          <t>Siganidae</t>
        </is>
      </c>
      <c r="D446" s="10" t="inlineStr">
        <is>
          <t>Rabbitfishes</t>
        </is>
      </c>
      <c r="E446" s="10" t="inlineStr">
        <is>
          <t>Medium reef assoc. fish (30 - 89 cm)</t>
        </is>
      </c>
      <c r="F446" s="10" t="inlineStr">
        <is>
          <t>Perch-likes</t>
        </is>
      </c>
      <c r="G446" s="11" t="inlineStr">
        <is>
          <t>Juvenile demersal fish (&gt; 30 cm)</t>
        </is>
      </c>
      <c r="H446" s="12" t="n">
        <v>0.2002781641168289</v>
      </c>
      <c r="I446" s="10" t="inlineStr">
        <is>
          <t>model_catch</t>
        </is>
      </c>
      <c r="J446" s="14" t="inlineStr">
        <is>
          <t>medium</t>
        </is>
      </c>
      <c r="K446" s="10" t="inlineStr">
        <is>
          <t>composite_split</t>
        </is>
      </c>
      <c r="L446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46" s="10" t="n">
        <v>6713.755</v>
      </c>
    </row>
    <row r="447" ht="51" customHeight="1">
      <c r="A447" s="10" t="inlineStr">
        <is>
          <t>LME_036</t>
        </is>
      </c>
      <c r="B447" s="11" t="inlineStr">
        <is>
          <t>36_2_South_China_Sea_SCS-2007_Northern_South_China_Sea_(1970s)</t>
        </is>
      </c>
      <c r="C447" s="11" t="inlineStr">
        <is>
          <t>Siganidae</t>
        </is>
      </c>
      <c r="D447" s="10" t="inlineStr">
        <is>
          <t>Rabbitfishes</t>
        </is>
      </c>
      <c r="E447" s="10" t="inlineStr">
        <is>
          <t>Medium reef assoc. fish (30 - 89 cm)</t>
        </is>
      </c>
      <c r="F447" s="10" t="inlineStr">
        <is>
          <t>Perch-likes</t>
        </is>
      </c>
      <c r="G447" s="11" t="inlineStr">
        <is>
          <t>Adult demersal fish (&gt; 30 cm)</t>
        </is>
      </c>
      <c r="H447" s="12" t="n">
        <v>0.799721835883171</v>
      </c>
      <c r="I447" s="10" t="inlineStr">
        <is>
          <t>model_catch</t>
        </is>
      </c>
      <c r="J447" s="14" t="inlineStr">
        <is>
          <t>medium</t>
        </is>
      </c>
      <c r="K447" s="10" t="inlineStr">
        <is>
          <t>composite_split</t>
        </is>
      </c>
      <c r="L447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47" s="10" t="n">
        <v>6713.755</v>
      </c>
    </row>
    <row r="448" ht="51" customHeight="1">
      <c r="A448" s="10" t="inlineStr">
        <is>
          <t>LME_036</t>
        </is>
      </c>
      <c r="B448" s="11" t="inlineStr">
        <is>
          <t>36_2_South_China_Sea_SCS-2007_Northern_South_China_Sea_(1970s)</t>
        </is>
      </c>
      <c r="C448" s="11" t="inlineStr">
        <is>
          <t>Gerres</t>
        </is>
      </c>
      <c r="D448" s="10" t="inlineStr">
        <is>
          <t>Silver biddies</t>
        </is>
      </c>
      <c r="E448" s="10" t="inlineStr">
        <is>
          <t>Small benthopelagics (&lt;30 cm)</t>
        </is>
      </c>
      <c r="F448" s="10" t="inlineStr">
        <is>
          <t>Perch-likes</t>
        </is>
      </c>
      <c r="G448" s="11" t="inlineStr">
        <is>
          <t>Benthopelagic fish</t>
        </is>
      </c>
      <c r="H448" s="12" t="n">
        <v>1</v>
      </c>
      <c r="I448" s="10" t="inlineStr">
        <is>
          <t>single</t>
        </is>
      </c>
      <c r="J448" s="13" t="inlineStr">
        <is>
          <t>low</t>
        </is>
      </c>
      <c r="K448" s="10" t="inlineStr">
        <is>
          <t>habitat_size_guild</t>
        </is>
      </c>
      <c r="L448" s="11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  <c r="M448" s="10" t="n">
        <v>6285.002</v>
      </c>
    </row>
    <row r="449" ht="51" customHeight="1">
      <c r="A449" s="10" t="inlineStr">
        <is>
          <t>LME_036</t>
        </is>
      </c>
      <c r="B449" s="11" t="inlineStr">
        <is>
          <t>36_2_South_China_Sea_SCS-2007_Northern_South_China_Sea_(1970s)</t>
        </is>
      </c>
      <c r="C449" s="11" t="inlineStr">
        <is>
          <t>Gnathanodon speciosus</t>
        </is>
      </c>
      <c r="D449" s="10" t="inlineStr">
        <is>
          <t>Golden trevally</t>
        </is>
      </c>
      <c r="E449" s="10" t="inlineStr">
        <is>
          <t>Large reef assoc. fish (&gt;=90 cm)</t>
        </is>
      </c>
      <c r="F449" s="10" t="inlineStr">
        <is>
          <t>Perch-likes</t>
        </is>
      </c>
      <c r="G449" s="11" t="inlineStr">
        <is>
          <t>Juvenile large pelagic fish</t>
        </is>
      </c>
      <c r="H449" s="12" t="n">
        <v>0.2016806722689076</v>
      </c>
      <c r="I449" s="10" t="inlineStr">
        <is>
          <t>model_catch</t>
        </is>
      </c>
      <c r="J449" s="14" t="inlineStr">
        <is>
          <t>medium</t>
        </is>
      </c>
      <c r="K449" s="10" t="inlineStr">
        <is>
          <t>composite_split</t>
        </is>
      </c>
      <c r="L449" s="11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449" s="10" t="n">
        <v>5965.227</v>
      </c>
    </row>
    <row r="450" ht="51" customHeight="1">
      <c r="A450" s="10" t="inlineStr">
        <is>
          <t>LME_036</t>
        </is>
      </c>
      <c r="B450" s="11" t="inlineStr">
        <is>
          <t>36_2_South_China_Sea_SCS-2007_Northern_South_China_Sea_(1970s)</t>
        </is>
      </c>
      <c r="C450" s="11" t="inlineStr">
        <is>
          <t>Gnathanodon speciosus</t>
        </is>
      </c>
      <c r="D450" s="10" t="inlineStr">
        <is>
          <t>Golden trevally</t>
        </is>
      </c>
      <c r="E450" s="10" t="inlineStr">
        <is>
          <t>Large reef assoc. fish (&gt;=90 cm)</t>
        </is>
      </c>
      <c r="F450" s="10" t="inlineStr">
        <is>
          <t>Perch-likes</t>
        </is>
      </c>
      <c r="G450" s="11" t="inlineStr">
        <is>
          <t>Pelagic fish (&gt; 30 cm)</t>
        </is>
      </c>
      <c r="H450" s="12" t="n">
        <v>0.7983193277310925</v>
      </c>
      <c r="I450" s="10" t="inlineStr">
        <is>
          <t>model_catch</t>
        </is>
      </c>
      <c r="J450" s="14" t="inlineStr">
        <is>
          <t>medium</t>
        </is>
      </c>
      <c r="K450" s="10" t="inlineStr">
        <is>
          <t>composite_split</t>
        </is>
      </c>
      <c r="L450" s="11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450" s="10" t="n">
        <v>5965.227</v>
      </c>
    </row>
    <row r="451" ht="51" customHeight="1">
      <c r="A451" s="10" t="inlineStr">
        <is>
          <t>LME_036</t>
        </is>
      </c>
      <c r="B451" s="11" t="inlineStr">
        <is>
          <t>36_2_South_China_Sea_SCS-2007_Northern_South_China_Sea_(1970s)</t>
        </is>
      </c>
      <c r="C451" s="11" t="inlineStr">
        <is>
          <t>Epinephelus malabaricus</t>
        </is>
      </c>
      <c r="D451" s="10" t="inlineStr">
        <is>
          <t>Malabar grouper</t>
        </is>
      </c>
      <c r="E451" s="10" t="inlineStr">
        <is>
          <t>Large reef assoc. fish (&gt;=90 cm)</t>
        </is>
      </c>
      <c r="F451" s="10" t="inlineStr">
        <is>
          <t>Perch-likes</t>
        </is>
      </c>
      <c r="G451" s="11" t="inlineStr">
        <is>
          <t>Adult groupers</t>
        </is>
      </c>
      <c r="H451" s="12" t="n">
        <v>1</v>
      </c>
      <c r="I451" s="10" t="inlineStr">
        <is>
          <t>single</t>
        </is>
      </c>
      <c r="J451" s="15" t="inlineStr">
        <is>
          <t>high</t>
        </is>
      </c>
      <c r="K451" s="10" t="inlineStr">
        <is>
          <t>taxonomic_containment</t>
        </is>
      </c>
      <c r="L451" s="11" t="inlineStr">
        <is>
          <t>Appendix 6.1 pp.327-335 defines Adult groupers by this family or explicitly names Epinephelus malabaricus; dedicated source placement overrides the SAU class Large reef assoc. fish (&gt;=90 cm).</t>
        </is>
      </c>
      <c r="M451" s="10" t="n">
        <v>5061.698</v>
      </c>
    </row>
    <row r="452" ht="36" customHeight="1">
      <c r="A452" s="10" t="inlineStr">
        <is>
          <t>LME_036</t>
        </is>
      </c>
      <c r="B452" s="11" t="inlineStr">
        <is>
          <t>36_2_South_China_Sea_SCS-2007_Northern_South_China_Sea_(1970s)</t>
        </is>
      </c>
      <c r="C452" s="11" t="inlineStr">
        <is>
          <t>Hyporhamphus</t>
        </is>
      </c>
      <c r="D452" s="10" t="inlineStr">
        <is>
          <t>Sea garfishes</t>
        </is>
      </c>
      <c r="E452" s="10" t="inlineStr">
        <is>
          <t>Small reef assoc. fish (&lt;30 cm)</t>
        </is>
      </c>
      <c r="F452" s="10" t="inlineStr">
        <is>
          <t>Other fishes &amp; inverts</t>
        </is>
      </c>
      <c r="G452" s="11" t="inlineStr">
        <is>
          <t>Juvenile large pelagic fish</t>
        </is>
      </c>
      <c r="H452" s="12" t="n">
        <v>0.2016806722689076</v>
      </c>
      <c r="I452" s="10" t="inlineStr">
        <is>
          <t>model_catch</t>
        </is>
      </c>
      <c r="J452" s="14" t="inlineStr">
        <is>
          <t>medium</t>
        </is>
      </c>
      <c r="K452" s="10" t="inlineStr">
        <is>
          <t>composite_split</t>
        </is>
      </c>
      <c r="L452" s="11" t="inlineStr">
        <is>
          <t>Analyst habitat/size inference to source &gt;30 cm pelagic fish (Appendix 6.1.24 p.339); no age data, so split juvenile/adult using the period model catch.</t>
        </is>
      </c>
      <c r="M452" s="10" t="n">
        <v>4858.584</v>
      </c>
    </row>
    <row r="453" ht="36" customHeight="1">
      <c r="A453" s="10" t="inlineStr">
        <is>
          <t>LME_036</t>
        </is>
      </c>
      <c r="B453" s="11" t="inlineStr">
        <is>
          <t>36_2_South_China_Sea_SCS-2007_Northern_South_China_Sea_(1970s)</t>
        </is>
      </c>
      <c r="C453" s="11" t="inlineStr">
        <is>
          <t>Hyporhamphus</t>
        </is>
      </c>
      <c r="D453" s="10" t="inlineStr">
        <is>
          <t>Sea garfishes</t>
        </is>
      </c>
      <c r="E453" s="10" t="inlineStr">
        <is>
          <t>Small reef assoc. fish (&lt;30 cm)</t>
        </is>
      </c>
      <c r="F453" s="10" t="inlineStr">
        <is>
          <t>Other fishes &amp; inverts</t>
        </is>
      </c>
      <c r="G453" s="11" t="inlineStr">
        <is>
          <t>Pelagic fish (&gt; 30 cm)</t>
        </is>
      </c>
      <c r="H453" s="12" t="n">
        <v>0.7983193277310925</v>
      </c>
      <c r="I453" s="10" t="inlineStr">
        <is>
          <t>model_catch</t>
        </is>
      </c>
      <c r="J453" s="14" t="inlineStr">
        <is>
          <t>medium</t>
        </is>
      </c>
      <c r="K453" s="10" t="inlineStr">
        <is>
          <t>composite_split</t>
        </is>
      </c>
      <c r="L453" s="11" t="inlineStr">
        <is>
          <t>Analyst habitat/size inference to source &gt;30 cm pelagic fish (Appendix 6.1.24 p.339); no age data, so split juvenile/adult using the period model catch.</t>
        </is>
      </c>
      <c r="M453" s="10" t="n">
        <v>4858.584</v>
      </c>
    </row>
    <row r="454" ht="36" customHeight="1">
      <c r="A454" s="10" t="inlineStr">
        <is>
          <t>LME_036</t>
        </is>
      </c>
      <c r="B454" s="11" t="inlineStr">
        <is>
          <t>36_2_South_China_Sea_SCS-2007_Northern_South_China_Sea_(1970s)</t>
        </is>
      </c>
      <c r="C454" s="11" t="inlineStr">
        <is>
          <t>Makaira mazara</t>
        </is>
      </c>
      <c r="D454" s="10" t="inlineStr">
        <is>
          <t>Indo-Pacific blue marlin</t>
        </is>
      </c>
      <c r="E454" s="10" t="inlineStr">
        <is>
          <t>Large pelagics (&gt;=90 cm)</t>
        </is>
      </c>
      <c r="F454" s="10" t="inlineStr">
        <is>
          <t>Tuna &amp; billfishes</t>
        </is>
      </c>
      <c r="G454" s="11" t="inlineStr">
        <is>
          <t>Unresolved</t>
        </is>
      </c>
      <c r="H454" s="12" t="n"/>
      <c r="I454" s="10" t="inlineStr"/>
      <c r="J454" s="16" t="inlineStr">
        <is>
          <t>unresolved</t>
        </is>
      </c>
      <c r="K454" s="10" t="inlineStr">
        <is>
          <t>none</t>
        </is>
      </c>
      <c r="L454" s="11" t="inlineStr">
        <is>
          <t>Northern continental-shelf model lacks a documented oceanic billfish or deep-pelagic compartment; assigning coastal juvenile/adult pelagic SPPR would be unsupported.</t>
        </is>
      </c>
      <c r="M454" s="10" t="n">
        <v>4702.079</v>
      </c>
    </row>
    <row r="455" ht="36" customHeight="1">
      <c r="A455" s="10" t="inlineStr">
        <is>
          <t>LME_036</t>
        </is>
      </c>
      <c r="B455" s="11" t="inlineStr">
        <is>
          <t>36_2_South_China_Sea_SCS-2007_Northern_South_China_Sea_(1970s)</t>
        </is>
      </c>
      <c r="C455" s="11" t="inlineStr">
        <is>
          <t>Hyporhamphus sajori</t>
        </is>
      </c>
      <c r="D455" s="10" t="inlineStr">
        <is>
          <t>Japanese halfbeak</t>
        </is>
      </c>
      <c r="E455" s="10" t="inlineStr">
        <is>
          <t>Medium pelagics (30 - 89 cm)</t>
        </is>
      </c>
      <c r="F455" s="10" t="inlineStr">
        <is>
          <t>Other fishes &amp; inverts</t>
        </is>
      </c>
      <c r="G455" s="11" t="inlineStr">
        <is>
          <t>Juvenile large pelagic fish</t>
        </is>
      </c>
      <c r="H455" s="12" t="n">
        <v>0.2016806722689076</v>
      </c>
      <c r="I455" s="10" t="inlineStr">
        <is>
          <t>model_catch</t>
        </is>
      </c>
      <c r="J455" s="14" t="inlineStr">
        <is>
          <t>medium</t>
        </is>
      </c>
      <c r="K455" s="10" t="inlineStr">
        <is>
          <t>composite_split</t>
        </is>
      </c>
      <c r="L455" s="11" t="inlineStr">
        <is>
          <t>Analyst habitat/size inference to source &gt;30 cm pelagic fish (Appendix 6.1.24 p.339); no age data, so split juvenile/adult using the period model catch.</t>
        </is>
      </c>
      <c r="M455" s="10" t="n">
        <v>4656.816</v>
      </c>
    </row>
    <row r="456" ht="36" customHeight="1">
      <c r="A456" s="10" t="inlineStr">
        <is>
          <t>LME_036</t>
        </is>
      </c>
      <c r="B456" s="11" t="inlineStr">
        <is>
          <t>36_2_South_China_Sea_SCS-2007_Northern_South_China_Sea_(1970s)</t>
        </is>
      </c>
      <c r="C456" s="11" t="inlineStr">
        <is>
          <t>Hyporhamphus sajori</t>
        </is>
      </c>
      <c r="D456" s="10" t="inlineStr">
        <is>
          <t>Japanese halfbeak</t>
        </is>
      </c>
      <c r="E456" s="10" t="inlineStr">
        <is>
          <t>Medium pelagics (30 - 89 cm)</t>
        </is>
      </c>
      <c r="F456" s="10" t="inlineStr">
        <is>
          <t>Other fishes &amp; inverts</t>
        </is>
      </c>
      <c r="G456" s="11" t="inlineStr">
        <is>
          <t>Pelagic fish (&gt; 30 cm)</t>
        </is>
      </c>
      <c r="H456" s="12" t="n">
        <v>0.7983193277310925</v>
      </c>
      <c r="I456" s="10" t="inlineStr">
        <is>
          <t>model_catch</t>
        </is>
      </c>
      <c r="J456" s="14" t="inlineStr">
        <is>
          <t>medium</t>
        </is>
      </c>
      <c r="K456" s="10" t="inlineStr">
        <is>
          <t>composite_split</t>
        </is>
      </c>
      <c r="L456" s="11" t="inlineStr">
        <is>
          <t>Analyst habitat/size inference to source &gt;30 cm pelagic fish (Appendix 6.1.24 p.339); no age data, so split juvenile/adult using the period model catch.</t>
        </is>
      </c>
      <c r="M456" s="10" t="n">
        <v>4656.816</v>
      </c>
    </row>
    <row r="457" ht="36" customHeight="1">
      <c r="A457" s="10" t="inlineStr">
        <is>
          <t>LME_036</t>
        </is>
      </c>
      <c r="B457" s="11" t="inlineStr">
        <is>
          <t>36_2_South_China_Sea_SCS-2007_Northern_South_China_Sea_(1970s)</t>
        </is>
      </c>
      <c r="C457" s="11" t="inlineStr">
        <is>
          <t>Carcharhinus longimanus</t>
        </is>
      </c>
      <c r="D457" s="10" t="inlineStr">
        <is>
          <t>Oceanic whitetip shark</t>
        </is>
      </c>
      <c r="E457" s="10" t="inlineStr">
        <is>
          <t>Large sharks (&gt;=90 cm)</t>
        </is>
      </c>
      <c r="F457" s="10" t="inlineStr">
        <is>
          <t>Sharks &amp; rays</t>
        </is>
      </c>
      <c r="G457" s="11" t="inlineStr">
        <is>
          <t>Pelagic sharks and rays</t>
        </is>
      </c>
      <c r="H457" s="12" t="n">
        <v>1</v>
      </c>
      <c r="I457" s="10" t="inlineStr">
        <is>
          <t>single</t>
        </is>
      </c>
      <c r="J457" s="14" t="inlineStr">
        <is>
          <t>medium</t>
        </is>
      </c>
      <c r="K457" s="10" t="inlineStr">
        <is>
          <t>habitat_size_guild</t>
        </is>
      </c>
      <c r="L457" s="11" t="inlineStr">
        <is>
          <t>Pelagic shark lineage matches the pelagic elasmobranch definition, Appendix 6.1.25 p.340; species placement is analyst inference.</t>
        </is>
      </c>
      <c r="M457" s="10" t="n">
        <v>4463.839</v>
      </c>
    </row>
    <row r="458" ht="36" customHeight="1">
      <c r="A458" s="10" t="inlineStr">
        <is>
          <t>LME_036</t>
        </is>
      </c>
      <c r="B458" s="11" t="inlineStr">
        <is>
          <t>36_2_South_China_Sea_SCS-2007_Northern_South_China_Sea_(1970s)</t>
        </is>
      </c>
      <c r="C458" s="11" t="inlineStr">
        <is>
          <t>Ambassidae</t>
        </is>
      </c>
      <c r="D458" s="10" t="inlineStr">
        <is>
          <t>Asiatic glassfishes</t>
        </is>
      </c>
      <c r="E458" s="10" t="inlineStr">
        <is>
          <t>Small demersals (&lt;30 cm)</t>
        </is>
      </c>
      <c r="F458" s="10" t="inlineStr">
        <is>
          <t>Perch-likes</t>
        </is>
      </c>
      <c r="G458" s="11" t="inlineStr">
        <is>
          <t>Demesral fish (≤ 30 cm)</t>
        </is>
      </c>
      <c r="H458" s="12" t="n">
        <v>1</v>
      </c>
      <c r="I458" s="10" t="inlineStr">
        <is>
          <t>single</t>
        </is>
      </c>
      <c r="J458" s="14" t="inlineStr">
        <is>
          <t>medium</t>
        </is>
      </c>
      <c r="K458" s="10" t="inlineStr">
        <is>
          <t>habitat_size_guild</t>
        </is>
      </c>
      <c r="L458" s="11" t="inlineStr">
        <is>
          <t>Analyst habitat/size inference: small demersal or reef-associated fish after excluding dedicated taxonomic groups, matching Appendix 6.1.19 &lt;=30 cm residual demersal pool.</t>
        </is>
      </c>
      <c r="M458" s="10" t="n">
        <v>4224.4</v>
      </c>
    </row>
    <row r="459" ht="36" customHeight="1">
      <c r="A459" s="10" t="inlineStr">
        <is>
          <t>LME_036</t>
        </is>
      </c>
      <c r="B459" s="11" t="inlineStr">
        <is>
          <t>36_2_South_China_Sea_SCS-2007_Northern_South_China_Sea_(1970s)</t>
        </is>
      </c>
      <c r="C459" s="11" t="inlineStr">
        <is>
          <t>Gazza minuta</t>
        </is>
      </c>
      <c r="D459" s="10" t="inlineStr">
        <is>
          <t>Toothpony</t>
        </is>
      </c>
      <c r="E459" s="10" t="inlineStr">
        <is>
          <t>Small demersals (&lt;30 cm)</t>
        </is>
      </c>
      <c r="F459" s="10" t="inlineStr">
        <is>
          <t>Perch-likes</t>
        </is>
      </c>
      <c r="G459" s="11" t="inlineStr">
        <is>
          <t>Demesral fish (≤ 30 cm)</t>
        </is>
      </c>
      <c r="H459" s="12" t="n">
        <v>1</v>
      </c>
      <c r="I459" s="10" t="inlineStr">
        <is>
          <t>single</t>
        </is>
      </c>
      <c r="J459" s="14" t="inlineStr">
        <is>
          <t>medium</t>
        </is>
      </c>
      <c r="K459" s="10" t="inlineStr">
        <is>
          <t>habitat_size_guild</t>
        </is>
      </c>
      <c r="L459" s="11" t="inlineStr">
        <is>
          <t>Analyst habitat/size inference: small demersal or reef-associated fish after excluding dedicated taxonomic groups, matching Appendix 6.1.19 &lt;=30 cm residual demersal pool.</t>
        </is>
      </c>
      <c r="M459" s="10" t="n">
        <v>3981.449</v>
      </c>
    </row>
    <row r="460" ht="51" customHeight="1">
      <c r="A460" s="10" t="inlineStr">
        <is>
          <t>LME_036</t>
        </is>
      </c>
      <c r="B460" s="11" t="inlineStr">
        <is>
          <t>36_2_South_China_Sea_SCS-2007_Northern_South_China_Sea_(1970s)</t>
        </is>
      </c>
      <c r="C460" s="11" t="inlineStr">
        <is>
          <t>Aluterus</t>
        </is>
      </c>
      <c r="D460" s="10" t="inlineStr">
        <is>
          <t>Aluterid filefishes</t>
        </is>
      </c>
      <c r="E460" s="10" t="inlineStr">
        <is>
          <t>Large reef assoc. fish (&gt;=90 cm)</t>
        </is>
      </c>
      <c r="F460" s="10" t="inlineStr">
        <is>
          <t>Other fishes &amp; inverts</t>
        </is>
      </c>
      <c r="G460" s="11" t="inlineStr">
        <is>
          <t>Juvenile demersal fish (&gt; 30 cm)</t>
        </is>
      </c>
      <c r="H460" s="12" t="n">
        <v>0.2002781641168289</v>
      </c>
      <c r="I460" s="10" t="inlineStr">
        <is>
          <t>model_catch</t>
        </is>
      </c>
      <c r="J460" s="14" t="inlineStr">
        <is>
          <t>medium</t>
        </is>
      </c>
      <c r="K460" s="10" t="inlineStr">
        <is>
          <t>composite_split</t>
        </is>
      </c>
      <c r="L460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60" s="10" t="n">
        <v>3973.355</v>
      </c>
    </row>
    <row r="461" ht="51" customHeight="1">
      <c r="A461" s="10" t="inlineStr">
        <is>
          <t>LME_036</t>
        </is>
      </c>
      <c r="B461" s="11" t="inlineStr">
        <is>
          <t>36_2_South_China_Sea_SCS-2007_Northern_South_China_Sea_(1970s)</t>
        </is>
      </c>
      <c r="C461" s="11" t="inlineStr">
        <is>
          <t>Aluterus</t>
        </is>
      </c>
      <c r="D461" s="10" t="inlineStr">
        <is>
          <t>Aluterid filefishes</t>
        </is>
      </c>
      <c r="E461" s="10" t="inlineStr">
        <is>
          <t>Large reef assoc. fish (&gt;=90 cm)</t>
        </is>
      </c>
      <c r="F461" s="10" t="inlineStr">
        <is>
          <t>Other fishes &amp; inverts</t>
        </is>
      </c>
      <c r="G461" s="11" t="inlineStr">
        <is>
          <t>Adult demersal fish (&gt; 30 cm)</t>
        </is>
      </c>
      <c r="H461" s="12" t="n">
        <v>0.799721835883171</v>
      </c>
      <c r="I461" s="10" t="inlineStr">
        <is>
          <t>model_catch</t>
        </is>
      </c>
      <c r="J461" s="14" t="inlineStr">
        <is>
          <t>medium</t>
        </is>
      </c>
      <c r="K461" s="10" t="inlineStr">
        <is>
          <t>composite_split</t>
        </is>
      </c>
      <c r="L461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61" s="10" t="n">
        <v>3973.355</v>
      </c>
    </row>
    <row r="462" ht="36" customHeight="1">
      <c r="A462" s="10" t="inlineStr">
        <is>
          <t>LME_036</t>
        </is>
      </c>
      <c r="B462" s="11" t="inlineStr">
        <is>
          <t>36_2_South_China_Sea_SCS-2007_Northern_South_China_Sea_(1970s)</t>
        </is>
      </c>
      <c r="C462" s="11" t="inlineStr">
        <is>
          <t>Hemitriakis japanica</t>
        </is>
      </c>
      <c r="D462" s="10" t="inlineStr">
        <is>
          <t>Japanese topeshark</t>
        </is>
      </c>
      <c r="E462" s="10" t="inlineStr">
        <is>
          <t>Large sharks (&gt;=90 cm)</t>
        </is>
      </c>
      <c r="F462" s="10" t="inlineStr">
        <is>
          <t>Sharks &amp; rays</t>
        </is>
      </c>
      <c r="G462" s="11" t="inlineStr">
        <is>
          <t>Demersal sharks and rays</t>
        </is>
      </c>
      <c r="H462" s="12" t="n">
        <v>1</v>
      </c>
      <c r="I462" s="10" t="inlineStr">
        <is>
          <t>single</t>
        </is>
      </c>
      <c r="J462" s="14" t="inlineStr">
        <is>
          <t>medium</t>
        </is>
      </c>
      <c r="K462" s="10" t="inlineStr">
        <is>
          <t>habitat_size_guild</t>
        </is>
      </c>
      <c r="L462" s="11" t="inlineStr">
        <is>
          <t>Demersal/benthic ray or houndshark lineage matches the demersal elasmobranch definition, Appendix 6.1.25 p.340; species placement is analyst inference.</t>
        </is>
      </c>
      <c r="M462" s="10" t="n">
        <v>3667.995</v>
      </c>
    </row>
    <row r="463" ht="36" customHeight="1">
      <c r="A463" s="10" t="inlineStr">
        <is>
          <t>LME_036</t>
        </is>
      </c>
      <c r="B463" s="11" t="inlineStr">
        <is>
          <t>36_2_South_China_Sea_SCS-2007_Northern_South_China_Sea_(1970s)</t>
        </is>
      </c>
      <c r="C463" s="11" t="inlineStr">
        <is>
          <t>Echinodermata</t>
        </is>
      </c>
      <c r="D463" s="10" t="inlineStr">
        <is>
          <t>Sea urchins, stars, cucumbers</t>
        </is>
      </c>
      <c r="E463" s="10" t="inlineStr">
        <is>
          <t>Other demersal invertebrates</t>
        </is>
      </c>
      <c r="F463" s="10" t="inlineStr">
        <is>
          <t>Other fishes &amp; inverts</t>
        </is>
      </c>
      <c r="G463" s="11" t="inlineStr">
        <is>
          <t>Echinoderms</t>
        </is>
      </c>
      <c r="H463" s="12" t="n">
        <v>1</v>
      </c>
      <c r="I463" s="10" t="inlineStr">
        <is>
          <t>single</t>
        </is>
      </c>
      <c r="J463" s="15" t="inlineStr">
        <is>
          <t>high</t>
        </is>
      </c>
      <c r="K463" s="10" t="inlineStr">
        <is>
          <t>taxonomic_containment</t>
        </is>
      </c>
      <c r="L463" s="11" t="inlineStr">
        <is>
          <t>Taxonomic containment in the source benthos subdivision (Appendix 6.1.5 pp.324-325), keeping non-cephalopod molluscs separate from echinoderms and sessile invertebrates.</t>
        </is>
      </c>
      <c r="M463" s="10" t="n">
        <v>3665.334</v>
      </c>
    </row>
    <row r="464" ht="36" customHeight="1">
      <c r="A464" s="10" t="inlineStr">
        <is>
          <t>LME_036</t>
        </is>
      </c>
      <c r="B464" s="11" t="inlineStr">
        <is>
          <t>36_2_South_China_Sea_SCS-2007_Northern_South_China_Sea_(1970s)</t>
        </is>
      </c>
      <c r="C464" s="11" t="inlineStr">
        <is>
          <t>Dasyatidae</t>
        </is>
      </c>
      <c r="D464" s="10" t="inlineStr">
        <is>
          <t>Whiptail stingrays</t>
        </is>
      </c>
      <c r="E464" s="10" t="inlineStr">
        <is>
          <t>Large rays (&gt;=90 cm)</t>
        </is>
      </c>
      <c r="F464" s="10" t="inlineStr">
        <is>
          <t>Sharks &amp; rays</t>
        </is>
      </c>
      <c r="G464" s="11" t="inlineStr">
        <is>
          <t>Demersal sharks and rays</t>
        </is>
      </c>
      <c r="H464" s="12" t="n">
        <v>1</v>
      </c>
      <c r="I464" s="10" t="inlineStr">
        <is>
          <t>single</t>
        </is>
      </c>
      <c r="J464" s="14" t="inlineStr">
        <is>
          <t>medium</t>
        </is>
      </c>
      <c r="K464" s="10" t="inlineStr">
        <is>
          <t>habitat_size_guild</t>
        </is>
      </c>
      <c r="L464" s="11" t="inlineStr">
        <is>
          <t>Demersal/benthic ray or houndshark lineage matches the demersal elasmobranch definition, Appendix 6.1.25 p.340; species placement is analyst inference.</t>
        </is>
      </c>
      <c r="M464" s="10" t="n">
        <v>3656.496</v>
      </c>
    </row>
    <row r="465" ht="51" customHeight="1">
      <c r="A465" s="10" t="inlineStr">
        <is>
          <t>LME_036</t>
        </is>
      </c>
      <c r="B465" s="11" t="inlineStr">
        <is>
          <t>36_2_South_China_Sea_SCS-2007_Northern_South_China_Sea_(1970s)</t>
        </is>
      </c>
      <c r="C465" s="11" t="inlineStr">
        <is>
          <t>Chanos chanos</t>
        </is>
      </c>
      <c r="D465" s="10" t="inlineStr">
        <is>
          <t>Milkfish</t>
        </is>
      </c>
      <c r="E465" s="10" t="inlineStr">
        <is>
          <t>Large benthopelagics (&gt;=90 cm)</t>
        </is>
      </c>
      <c r="F465" s="10" t="inlineStr">
        <is>
          <t>Other fishes &amp; inverts</t>
        </is>
      </c>
      <c r="G465" s="11" t="inlineStr">
        <is>
          <t>Benthopelagic fish</t>
        </is>
      </c>
      <c r="H465" s="12" t="n">
        <v>1</v>
      </c>
      <c r="I465" s="10" t="inlineStr">
        <is>
          <t>single</t>
        </is>
      </c>
      <c r="J465" s="13" t="inlineStr">
        <is>
          <t>low</t>
        </is>
      </c>
      <c r="K465" s="10" t="inlineStr">
        <is>
          <t>habitat_size_guild</t>
        </is>
      </c>
      <c r="L465" s="11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  <c r="M465" s="10" t="n">
        <v>3455.243</v>
      </c>
    </row>
    <row r="466" ht="36" customHeight="1">
      <c r="A466" s="10" t="inlineStr">
        <is>
          <t>LME_036</t>
        </is>
      </c>
      <c r="B466" s="11" t="inlineStr">
        <is>
          <t>36_2_South_China_Sea_SCS-2007_Northern_South_China_Sea_(1970s)</t>
        </is>
      </c>
      <c r="C466" s="11" t="inlineStr">
        <is>
          <t>Sphyraena obtusata</t>
        </is>
      </c>
      <c r="D466" s="10" t="inlineStr">
        <is>
          <t>Obtuse barracuda</t>
        </is>
      </c>
      <c r="E466" s="10" t="inlineStr">
        <is>
          <t>Medium reef assoc. fish (30 - 89 cm)</t>
        </is>
      </c>
      <c r="F466" s="10" t="inlineStr">
        <is>
          <t>Perch-likes</t>
        </is>
      </c>
      <c r="G466" s="11" t="inlineStr">
        <is>
          <t>Juvenile large pelagic fish</t>
        </is>
      </c>
      <c r="H466" s="12" t="n">
        <v>0.2016806722689076</v>
      </c>
      <c r="I466" s="10" t="inlineStr">
        <is>
          <t>model_catch</t>
        </is>
      </c>
      <c r="J466" s="14" t="inlineStr">
        <is>
          <t>medium</t>
        </is>
      </c>
      <c r="K466" s="10" t="inlineStr">
        <is>
          <t>composite_split</t>
        </is>
      </c>
      <c r="L466" s="11" t="inlineStr">
        <is>
          <t>Analyst habitat/size inference to source &gt;30 cm pelagic fish (Appendix 6.1.24 p.339); no age data, so split juvenile/adult using the period model catch.</t>
        </is>
      </c>
      <c r="M466" s="10" t="n">
        <v>3432.521</v>
      </c>
    </row>
    <row r="467" ht="36" customHeight="1">
      <c r="A467" s="10" t="inlineStr">
        <is>
          <t>LME_036</t>
        </is>
      </c>
      <c r="B467" s="11" t="inlineStr">
        <is>
          <t>36_2_South_China_Sea_SCS-2007_Northern_South_China_Sea_(1970s)</t>
        </is>
      </c>
      <c r="C467" s="11" t="inlineStr">
        <is>
          <t>Sphyraena obtusata</t>
        </is>
      </c>
      <c r="D467" s="10" t="inlineStr">
        <is>
          <t>Obtuse barracuda</t>
        </is>
      </c>
      <c r="E467" s="10" t="inlineStr">
        <is>
          <t>Medium reef assoc. fish (30 - 89 cm)</t>
        </is>
      </c>
      <c r="F467" s="10" t="inlineStr">
        <is>
          <t>Perch-likes</t>
        </is>
      </c>
      <c r="G467" s="11" t="inlineStr">
        <is>
          <t>Pelagic fish (&gt; 30 cm)</t>
        </is>
      </c>
      <c r="H467" s="12" t="n">
        <v>0.7983193277310925</v>
      </c>
      <c r="I467" s="10" t="inlineStr">
        <is>
          <t>model_catch</t>
        </is>
      </c>
      <c r="J467" s="14" t="inlineStr">
        <is>
          <t>medium</t>
        </is>
      </c>
      <c r="K467" s="10" t="inlineStr">
        <is>
          <t>composite_split</t>
        </is>
      </c>
      <c r="L467" s="11" t="inlineStr">
        <is>
          <t>Analyst habitat/size inference to source &gt;30 cm pelagic fish (Appendix 6.1.24 p.339); no age data, so split juvenile/adult using the period model catch.</t>
        </is>
      </c>
      <c r="M467" s="10" t="n">
        <v>3432.521</v>
      </c>
    </row>
    <row r="468" ht="51" customHeight="1">
      <c r="A468" s="10" t="inlineStr">
        <is>
          <t>LME_036</t>
        </is>
      </c>
      <c r="B468" s="11" t="inlineStr">
        <is>
          <t>36_2_South_China_Sea_SCS-2007_Northern_South_China_Sea_(1970s)</t>
        </is>
      </c>
      <c r="C468" s="11" t="inlineStr">
        <is>
          <t>Parupeneus barberinus</t>
        </is>
      </c>
      <c r="D468" s="10" t="inlineStr">
        <is>
          <t>Dash-and-dot goatfish</t>
        </is>
      </c>
      <c r="E468" s="10" t="inlineStr">
        <is>
          <t>Medium reef assoc. fish (30 - 89 cm)</t>
        </is>
      </c>
      <c r="F468" s="10" t="inlineStr">
        <is>
          <t>Perch-likes</t>
        </is>
      </c>
      <c r="G468" s="11" t="inlineStr">
        <is>
          <t>Juvenile demersal fish (&gt; 30 cm)</t>
        </is>
      </c>
      <c r="H468" s="12" t="n">
        <v>0.2002781641168289</v>
      </c>
      <c r="I468" s="10" t="inlineStr">
        <is>
          <t>model_catch</t>
        </is>
      </c>
      <c r="J468" s="14" t="inlineStr">
        <is>
          <t>medium</t>
        </is>
      </c>
      <c r="K468" s="10" t="inlineStr">
        <is>
          <t>composite_split</t>
        </is>
      </c>
      <c r="L468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68" s="10" t="n">
        <v>3360.208</v>
      </c>
    </row>
    <row r="469" ht="51" customHeight="1">
      <c r="A469" s="10" t="inlineStr">
        <is>
          <t>LME_036</t>
        </is>
      </c>
      <c r="B469" s="11" t="inlineStr">
        <is>
          <t>36_2_South_China_Sea_SCS-2007_Northern_South_China_Sea_(1970s)</t>
        </is>
      </c>
      <c r="C469" s="11" t="inlineStr">
        <is>
          <t>Parupeneus barberinus</t>
        </is>
      </c>
      <c r="D469" s="10" t="inlineStr">
        <is>
          <t>Dash-and-dot goatfish</t>
        </is>
      </c>
      <c r="E469" s="10" t="inlineStr">
        <is>
          <t>Medium reef assoc. fish (30 - 89 cm)</t>
        </is>
      </c>
      <c r="F469" s="10" t="inlineStr">
        <is>
          <t>Perch-likes</t>
        </is>
      </c>
      <c r="G469" s="11" t="inlineStr">
        <is>
          <t>Adult demersal fish (&gt; 30 cm)</t>
        </is>
      </c>
      <c r="H469" s="12" t="n">
        <v>0.799721835883171</v>
      </c>
      <c r="I469" s="10" t="inlineStr">
        <is>
          <t>model_catch</t>
        </is>
      </c>
      <c r="J469" s="14" t="inlineStr">
        <is>
          <t>medium</t>
        </is>
      </c>
      <c r="K469" s="10" t="inlineStr">
        <is>
          <t>composite_split</t>
        </is>
      </c>
      <c r="L469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69" s="10" t="n">
        <v>3360.208</v>
      </c>
    </row>
    <row r="470" ht="36" customHeight="1">
      <c r="A470" s="10" t="inlineStr">
        <is>
          <t>LME_036</t>
        </is>
      </c>
      <c r="B470" s="11" t="inlineStr">
        <is>
          <t>36_2_South_China_Sea_SCS-2007_Northern_South_China_Sea_(1970s)</t>
        </is>
      </c>
      <c r="C470" s="11" t="inlineStr">
        <is>
          <t>Psettodidae</t>
        </is>
      </c>
      <c r="D470" s="10" t="inlineStr">
        <is>
          <t>Turbots, Indian halibuts</t>
        </is>
      </c>
      <c r="E470" s="10" t="inlineStr">
        <is>
          <t>Small to medium flatfishes (&lt;90 cm)</t>
        </is>
      </c>
      <c r="F470" s="10" t="inlineStr">
        <is>
          <t>Flatfishes</t>
        </is>
      </c>
      <c r="G470" s="11" t="inlineStr">
        <is>
          <t>Demesral fish (≤ 30 cm)</t>
        </is>
      </c>
      <c r="H470" s="12" t="n">
        <v>0.3854700854700854</v>
      </c>
      <c r="I470" s="10" t="inlineStr">
        <is>
          <t>model_catch</t>
        </is>
      </c>
      <c r="J470" s="13" t="inlineStr">
        <is>
          <t>low</t>
        </is>
      </c>
      <c r="K470" s="10" t="inlineStr">
        <is>
          <t>composite_split</t>
        </is>
      </c>
      <c r="L470" s="11" t="inlineStr">
        <is>
          <t>Flatfishes are demersal, but SAU &lt;90 cm band does not distinguish the source &lt;=30 cm species pool from &gt;30 cm juvenile/adult fish; all three residual demersal pools remain candidates.</t>
        </is>
      </c>
      <c r="M470" s="10" t="n">
        <v>3237.753</v>
      </c>
    </row>
    <row r="471" ht="36" customHeight="1">
      <c r="A471" s="10" t="inlineStr">
        <is>
          <t>LME_036</t>
        </is>
      </c>
      <c r="B471" s="11" t="inlineStr">
        <is>
          <t>36_2_South_China_Sea_SCS-2007_Northern_South_China_Sea_(1970s)</t>
        </is>
      </c>
      <c r="C471" s="11" t="inlineStr">
        <is>
          <t>Psettodidae</t>
        </is>
      </c>
      <c r="D471" s="10" t="inlineStr">
        <is>
          <t>Turbots, Indian halibuts</t>
        </is>
      </c>
      <c r="E471" s="10" t="inlineStr">
        <is>
          <t>Small to medium flatfishes (&lt;90 cm)</t>
        </is>
      </c>
      <c r="F471" s="10" t="inlineStr">
        <is>
          <t>Flatfishes</t>
        </is>
      </c>
      <c r="G471" s="11" t="inlineStr">
        <is>
          <t>Juvenile demersal fish (&gt; 30 cm)</t>
        </is>
      </c>
      <c r="H471" s="12" t="n">
        <v>0.1230769230769231</v>
      </c>
      <c r="I471" s="10" t="inlineStr">
        <is>
          <t>model_catch</t>
        </is>
      </c>
      <c r="J471" s="13" t="inlineStr">
        <is>
          <t>low</t>
        </is>
      </c>
      <c r="K471" s="10" t="inlineStr">
        <is>
          <t>composite_split</t>
        </is>
      </c>
      <c r="L471" s="11" t="inlineStr">
        <is>
          <t>Flatfishes are demersal, but SAU &lt;90 cm band does not distinguish the source &lt;=30 cm species pool from &gt;30 cm juvenile/adult fish; all three residual demersal pools remain candidates.</t>
        </is>
      </c>
      <c r="M471" s="10" t="n">
        <v>3237.753</v>
      </c>
    </row>
    <row r="472" ht="36" customHeight="1">
      <c r="A472" s="10" t="inlineStr">
        <is>
          <t>LME_036</t>
        </is>
      </c>
      <c r="B472" s="11" t="inlineStr">
        <is>
          <t>36_2_South_China_Sea_SCS-2007_Northern_South_China_Sea_(1970s)</t>
        </is>
      </c>
      <c r="C472" s="11" t="inlineStr">
        <is>
          <t>Psettodidae</t>
        </is>
      </c>
      <c r="D472" s="10" t="inlineStr">
        <is>
          <t>Turbots, Indian halibuts</t>
        </is>
      </c>
      <c r="E472" s="10" t="inlineStr">
        <is>
          <t>Small to medium flatfishes (&lt;90 cm)</t>
        </is>
      </c>
      <c r="F472" s="10" t="inlineStr">
        <is>
          <t>Flatfishes</t>
        </is>
      </c>
      <c r="G472" s="11" t="inlineStr">
        <is>
          <t>Adult demersal fish (&gt; 30 cm)</t>
        </is>
      </c>
      <c r="H472" s="12" t="n">
        <v>0.4914529914529914</v>
      </c>
      <c r="I472" s="10" t="inlineStr">
        <is>
          <t>model_catch</t>
        </is>
      </c>
      <c r="J472" s="13" t="inlineStr">
        <is>
          <t>low</t>
        </is>
      </c>
      <c r="K472" s="10" t="inlineStr">
        <is>
          <t>composite_split</t>
        </is>
      </c>
      <c r="L472" s="11" t="inlineStr">
        <is>
          <t>Flatfishes are demersal, but SAU &lt;90 cm band does not distinguish the source &lt;=30 cm species pool from &gt;30 cm juvenile/adult fish; all three residual demersal pools remain candidates.</t>
        </is>
      </c>
      <c r="M472" s="10" t="n">
        <v>3237.753</v>
      </c>
    </row>
    <row r="473" ht="36" customHeight="1">
      <c r="A473" s="10" t="inlineStr">
        <is>
          <t>LME_036</t>
        </is>
      </c>
      <c r="B473" s="11" t="inlineStr">
        <is>
          <t>36_2_South_China_Sea_SCS-2007_Northern_South_China_Sea_(1970s)</t>
        </is>
      </c>
      <c r="C473" s="11" t="inlineStr">
        <is>
          <t>Panulirus</t>
        </is>
      </c>
      <c r="D473" s="10" t="inlineStr">
        <is>
          <t>Spiny lobsters</t>
        </is>
      </c>
      <c r="E473" s="10" t="inlineStr">
        <is>
          <t>Lobsters, crabs</t>
        </is>
      </c>
      <c r="F473" s="10" t="inlineStr">
        <is>
          <t>Crustaceans</t>
        </is>
      </c>
      <c r="G473" s="11" t="inlineStr">
        <is>
          <t>Benthic crustaceans</t>
        </is>
      </c>
      <c r="H473" s="12" t="n">
        <v>1</v>
      </c>
      <c r="I473" s="10" t="inlineStr">
        <is>
          <t>single</t>
        </is>
      </c>
      <c r="J473" s="15" t="inlineStr">
        <is>
          <t>high</t>
        </is>
      </c>
      <c r="K473" s="10" t="inlineStr">
        <is>
          <t>taxonomic_containment</t>
        </is>
      </c>
      <c r="L473" s="11" t="inlineStr">
        <is>
          <t>Source benthic crustaceans exclude shrimps and crabs (Appendix 6.1.5 p.324); lobsters remain in that residual, while true crabs use Crabs.</t>
        </is>
      </c>
      <c r="M473" s="10" t="n">
        <v>3061.562</v>
      </c>
    </row>
    <row r="474" ht="36" customHeight="1">
      <c r="A474" s="10" t="inlineStr">
        <is>
          <t>LME_036</t>
        </is>
      </c>
      <c r="B474" s="11" t="inlineStr">
        <is>
          <t>36_2_South_China_Sea_SCS-2007_Northern_South_China_Sea_(1970s)</t>
        </is>
      </c>
      <c r="C474" s="11" t="inlineStr">
        <is>
          <t>Rhincodon typus</t>
        </is>
      </c>
      <c r="D474" s="10" t="inlineStr">
        <is>
          <t>Whale shark</t>
        </is>
      </c>
      <c r="E474" s="10" t="inlineStr">
        <is>
          <t>Large sharks (&gt;=90 cm)</t>
        </is>
      </c>
      <c r="F474" s="10" t="inlineStr">
        <is>
          <t>Sharks &amp; rays</t>
        </is>
      </c>
      <c r="G474" s="11" t="inlineStr">
        <is>
          <t>Pelagic sharks and rays</t>
        </is>
      </c>
      <c r="H474" s="12" t="n">
        <v>1</v>
      </c>
      <c r="I474" s="10" t="inlineStr">
        <is>
          <t>single</t>
        </is>
      </c>
      <c r="J474" s="14" t="inlineStr">
        <is>
          <t>medium</t>
        </is>
      </c>
      <c r="K474" s="10" t="inlineStr">
        <is>
          <t>habitat_size_guild</t>
        </is>
      </c>
      <c r="L474" s="11" t="inlineStr">
        <is>
          <t>Pelagic shark lineage matches the pelagic elasmobranch definition, Appendix 6.1.25 p.340; species placement is analyst inference.</t>
        </is>
      </c>
      <c r="M474" s="10" t="n">
        <v>2948.897</v>
      </c>
    </row>
    <row r="475" ht="36" customHeight="1">
      <c r="A475" s="10" t="inlineStr">
        <is>
          <t>LME_036</t>
        </is>
      </c>
      <c r="B475" s="11" t="inlineStr">
        <is>
          <t>36_2_South_China_Sea_SCS-2007_Northern_South_China_Sea_(1970s)</t>
        </is>
      </c>
      <c r="C475" s="11" t="inlineStr">
        <is>
          <t>Cheilopogon unicolor</t>
        </is>
      </c>
      <c r="D475" s="10" t="inlineStr">
        <is>
          <t>Limpidwing flyingfish</t>
        </is>
      </c>
      <c r="E475" s="10" t="inlineStr">
        <is>
          <t>Medium pelagics (30 - 89 cm)</t>
        </is>
      </c>
      <c r="F475" s="10" t="inlineStr">
        <is>
          <t>Other fishes &amp; inverts</t>
        </is>
      </c>
      <c r="G475" s="11" t="inlineStr">
        <is>
          <t>Juvenile large pelagic fish</t>
        </is>
      </c>
      <c r="H475" s="12" t="n">
        <v>0.2016806722689076</v>
      </c>
      <c r="I475" s="10" t="inlineStr">
        <is>
          <t>model_catch</t>
        </is>
      </c>
      <c r="J475" s="14" t="inlineStr">
        <is>
          <t>medium</t>
        </is>
      </c>
      <c r="K475" s="10" t="inlineStr">
        <is>
          <t>composite_split</t>
        </is>
      </c>
      <c r="L475" s="11" t="inlineStr">
        <is>
          <t>Analyst habitat/size inference to source &gt;30 cm pelagic fish (Appendix 6.1.24 p.339); no age data, so split juvenile/adult using the period model catch.</t>
        </is>
      </c>
      <c r="M475" s="10" t="n">
        <v>2888.49</v>
      </c>
    </row>
    <row r="476" ht="36" customHeight="1">
      <c r="A476" s="10" t="inlineStr">
        <is>
          <t>LME_036</t>
        </is>
      </c>
      <c r="B476" s="11" t="inlineStr">
        <is>
          <t>36_2_South_China_Sea_SCS-2007_Northern_South_China_Sea_(1970s)</t>
        </is>
      </c>
      <c r="C476" s="11" t="inlineStr">
        <is>
          <t>Cheilopogon unicolor</t>
        </is>
      </c>
      <c r="D476" s="10" t="inlineStr">
        <is>
          <t>Limpidwing flyingfish</t>
        </is>
      </c>
      <c r="E476" s="10" t="inlineStr">
        <is>
          <t>Medium pelagics (30 - 89 cm)</t>
        </is>
      </c>
      <c r="F476" s="10" t="inlineStr">
        <is>
          <t>Other fishes &amp; inverts</t>
        </is>
      </c>
      <c r="G476" s="11" t="inlineStr">
        <is>
          <t>Pelagic fish (&gt; 30 cm)</t>
        </is>
      </c>
      <c r="H476" s="12" t="n">
        <v>0.7983193277310925</v>
      </c>
      <c r="I476" s="10" t="inlineStr">
        <is>
          <t>model_catch</t>
        </is>
      </c>
      <c r="J476" s="14" t="inlineStr">
        <is>
          <t>medium</t>
        </is>
      </c>
      <c r="K476" s="10" t="inlineStr">
        <is>
          <t>composite_split</t>
        </is>
      </c>
      <c r="L476" s="11" t="inlineStr">
        <is>
          <t>Analyst habitat/size inference to source &gt;30 cm pelagic fish (Appendix 6.1.24 p.339); no age data, so split juvenile/adult using the period model catch.</t>
        </is>
      </c>
      <c r="M476" s="10" t="n">
        <v>2888.49</v>
      </c>
    </row>
    <row r="477" ht="36" customHeight="1">
      <c r="A477" s="10" t="inlineStr">
        <is>
          <t>LME_036</t>
        </is>
      </c>
      <c r="B477" s="11" t="inlineStr">
        <is>
          <t>36_2_South_China_Sea_SCS-2007_Northern_South_China_Sea_(1970s)</t>
        </is>
      </c>
      <c r="C477" s="11" t="inlineStr">
        <is>
          <t>Mizuhopecten yessoensis</t>
        </is>
      </c>
      <c r="D477" s="10" t="inlineStr">
        <is>
          <t>Yesso scallop</t>
        </is>
      </c>
      <c r="E477" s="10" t="inlineStr">
        <is>
          <t>Other demersal invertebrates</t>
        </is>
      </c>
      <c r="F477" s="10" t="inlineStr">
        <is>
          <t>Molluscs</t>
        </is>
      </c>
      <c r="G477" s="11" t="inlineStr">
        <is>
          <t>Non-ceph molluscs</t>
        </is>
      </c>
      <c r="H477" s="12" t="n">
        <v>1</v>
      </c>
      <c r="I477" s="10" t="inlineStr">
        <is>
          <t>single</t>
        </is>
      </c>
      <c r="J477" s="15" t="inlineStr">
        <is>
          <t>high</t>
        </is>
      </c>
      <c r="K477" s="10" t="inlineStr">
        <is>
          <t>taxonomic_containment</t>
        </is>
      </c>
      <c r="L477" s="11" t="inlineStr">
        <is>
          <t>Taxonomic containment in the source benthos subdivision (Appendix 6.1.5 pp.324-325), keeping non-cephalopod molluscs separate from echinoderms and sessile invertebrates.</t>
        </is>
      </c>
      <c r="M477" s="10" t="n">
        <v>2876.232</v>
      </c>
    </row>
    <row r="478" ht="51" customHeight="1">
      <c r="A478" s="10" t="inlineStr">
        <is>
          <t>LME_036</t>
        </is>
      </c>
      <c r="B478" s="11" t="inlineStr">
        <is>
          <t>36_2_South_China_Sea_SCS-2007_Northern_South_China_Sea_(1970s)</t>
        </is>
      </c>
      <c r="C478" s="11" t="inlineStr">
        <is>
          <t>Evynnis tumifrons</t>
        </is>
      </c>
      <c r="D478" s="10" t="inlineStr">
        <is>
          <t>Yellowback seabream</t>
        </is>
      </c>
      <c r="E478" s="10" t="inlineStr">
        <is>
          <t>Medium demersals (30 - 89 cm)</t>
        </is>
      </c>
      <c r="F478" s="10" t="inlineStr">
        <is>
          <t>Perch-likes</t>
        </is>
      </c>
      <c r="G478" s="11" t="inlineStr">
        <is>
          <t>Juvenile demersal fish (&gt; 30 cm)</t>
        </is>
      </c>
      <c r="H478" s="12" t="n">
        <v>0.2002781641168289</v>
      </c>
      <c r="I478" s="10" t="inlineStr">
        <is>
          <t>model_catch</t>
        </is>
      </c>
      <c r="J478" s="14" t="inlineStr">
        <is>
          <t>medium</t>
        </is>
      </c>
      <c r="K478" s="10" t="inlineStr">
        <is>
          <t>composite_split</t>
        </is>
      </c>
      <c r="L478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78" s="10" t="n">
        <v>2533.488</v>
      </c>
    </row>
    <row r="479" ht="51" customHeight="1">
      <c r="A479" s="10" t="inlineStr">
        <is>
          <t>LME_036</t>
        </is>
      </c>
      <c r="B479" s="11" t="inlineStr">
        <is>
          <t>36_2_South_China_Sea_SCS-2007_Northern_South_China_Sea_(1970s)</t>
        </is>
      </c>
      <c r="C479" s="11" t="inlineStr">
        <is>
          <t>Evynnis tumifrons</t>
        </is>
      </c>
      <c r="D479" s="10" t="inlineStr">
        <is>
          <t>Yellowback seabream</t>
        </is>
      </c>
      <c r="E479" s="10" t="inlineStr">
        <is>
          <t>Medium demersals (30 - 89 cm)</t>
        </is>
      </c>
      <c r="F479" s="10" t="inlineStr">
        <is>
          <t>Perch-likes</t>
        </is>
      </c>
      <c r="G479" s="11" t="inlineStr">
        <is>
          <t>Adult demersal fish (&gt; 30 cm)</t>
        </is>
      </c>
      <c r="H479" s="12" t="n">
        <v>0.799721835883171</v>
      </c>
      <c r="I479" s="10" t="inlineStr">
        <is>
          <t>model_catch</t>
        </is>
      </c>
      <c r="J479" s="14" t="inlineStr">
        <is>
          <t>medium</t>
        </is>
      </c>
      <c r="K479" s="10" t="inlineStr">
        <is>
          <t>composite_split</t>
        </is>
      </c>
      <c r="L479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79" s="10" t="n">
        <v>2533.488</v>
      </c>
    </row>
    <row r="480" ht="51" customHeight="1">
      <c r="A480" s="10" t="inlineStr">
        <is>
          <t>LME_036</t>
        </is>
      </c>
      <c r="B480" s="11" t="inlineStr">
        <is>
          <t>36_2_South_China_Sea_SCS-2007_Northern_South_China_Sea_(1970s)</t>
        </is>
      </c>
      <c r="C480" s="11" t="inlineStr">
        <is>
          <t>Ephippidae</t>
        </is>
      </c>
      <c r="D480" s="10" t="inlineStr">
        <is>
          <t>Spade-, batfishes, scats</t>
        </is>
      </c>
      <c r="E480" s="10" t="inlineStr">
        <is>
          <t>Medium reef assoc. fish (30 - 89 cm)</t>
        </is>
      </c>
      <c r="F480" s="10" t="inlineStr">
        <is>
          <t>Perch-likes</t>
        </is>
      </c>
      <c r="G480" s="11" t="inlineStr">
        <is>
          <t>Juvenile demersal fish (&gt; 30 cm)</t>
        </is>
      </c>
      <c r="H480" s="12" t="n">
        <v>0.2002781641168289</v>
      </c>
      <c r="I480" s="10" t="inlineStr">
        <is>
          <t>model_catch</t>
        </is>
      </c>
      <c r="J480" s="14" t="inlineStr">
        <is>
          <t>medium</t>
        </is>
      </c>
      <c r="K480" s="10" t="inlineStr">
        <is>
          <t>composite_split</t>
        </is>
      </c>
      <c r="L480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80" s="10" t="n">
        <v>2517.788</v>
      </c>
    </row>
    <row r="481" ht="51" customHeight="1">
      <c r="A481" s="10" t="inlineStr">
        <is>
          <t>LME_036</t>
        </is>
      </c>
      <c r="B481" s="11" t="inlineStr">
        <is>
          <t>36_2_South_China_Sea_SCS-2007_Northern_South_China_Sea_(1970s)</t>
        </is>
      </c>
      <c r="C481" s="11" t="inlineStr">
        <is>
          <t>Ephippidae</t>
        </is>
      </c>
      <c r="D481" s="10" t="inlineStr">
        <is>
          <t>Spade-, batfishes, scats</t>
        </is>
      </c>
      <c r="E481" s="10" t="inlineStr">
        <is>
          <t>Medium reef assoc. fish (30 - 89 cm)</t>
        </is>
      </c>
      <c r="F481" s="10" t="inlineStr">
        <is>
          <t>Perch-likes</t>
        </is>
      </c>
      <c r="G481" s="11" t="inlineStr">
        <is>
          <t>Adult demersal fish (&gt; 30 cm)</t>
        </is>
      </c>
      <c r="H481" s="12" t="n">
        <v>0.799721835883171</v>
      </c>
      <c r="I481" s="10" t="inlineStr">
        <is>
          <t>model_catch</t>
        </is>
      </c>
      <c r="J481" s="14" t="inlineStr">
        <is>
          <t>medium</t>
        </is>
      </c>
      <c r="K481" s="10" t="inlineStr">
        <is>
          <t>composite_split</t>
        </is>
      </c>
      <c r="L481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81" s="10" t="n">
        <v>2517.788</v>
      </c>
    </row>
    <row r="482" ht="36" customHeight="1">
      <c r="A482" s="10" t="inlineStr">
        <is>
          <t>LME_036</t>
        </is>
      </c>
      <c r="B482" s="11" t="inlineStr">
        <is>
          <t>36_2_South_China_Sea_SCS-2007_Northern_South_China_Sea_(1970s)</t>
        </is>
      </c>
      <c r="C482" s="11" t="inlineStr">
        <is>
          <t>Mola mola</t>
        </is>
      </c>
      <c r="D482" s="10" t="inlineStr">
        <is>
          <t>Ocean sunfish</t>
        </is>
      </c>
      <c r="E482" s="10" t="inlineStr">
        <is>
          <t>Large pelagics (&gt;=90 cm)</t>
        </is>
      </c>
      <c r="F482" s="10" t="inlineStr">
        <is>
          <t>Other fishes &amp; inverts</t>
        </is>
      </c>
      <c r="G482" s="11" t="inlineStr">
        <is>
          <t>Juvenile large pelagic fish</t>
        </is>
      </c>
      <c r="H482" s="12" t="n">
        <v>0.2016806722689076</v>
      </c>
      <c r="I482" s="10" t="inlineStr">
        <is>
          <t>model_catch</t>
        </is>
      </c>
      <c r="J482" s="14" t="inlineStr">
        <is>
          <t>medium</t>
        </is>
      </c>
      <c r="K482" s="10" t="inlineStr">
        <is>
          <t>composite_split</t>
        </is>
      </c>
      <c r="L482" s="11" t="inlineStr">
        <is>
          <t>Analyst habitat/size inference to source &gt;30 cm pelagic fish (Appendix 6.1.24 p.339); no age data, so split juvenile/adult using the period model catch.</t>
        </is>
      </c>
      <c r="M482" s="10" t="n">
        <v>2469.949</v>
      </c>
    </row>
    <row r="483" ht="36" customHeight="1">
      <c r="A483" s="10" t="inlineStr">
        <is>
          <t>LME_036</t>
        </is>
      </c>
      <c r="B483" s="11" t="inlineStr">
        <is>
          <t>36_2_South_China_Sea_SCS-2007_Northern_South_China_Sea_(1970s)</t>
        </is>
      </c>
      <c r="C483" s="11" t="inlineStr">
        <is>
          <t>Mola mola</t>
        </is>
      </c>
      <c r="D483" s="10" t="inlineStr">
        <is>
          <t>Ocean sunfish</t>
        </is>
      </c>
      <c r="E483" s="10" t="inlineStr">
        <is>
          <t>Large pelagics (&gt;=90 cm)</t>
        </is>
      </c>
      <c r="F483" s="10" t="inlineStr">
        <is>
          <t>Other fishes &amp; inverts</t>
        </is>
      </c>
      <c r="G483" s="11" t="inlineStr">
        <is>
          <t>Pelagic fish (&gt; 30 cm)</t>
        </is>
      </c>
      <c r="H483" s="12" t="n">
        <v>0.7983193277310925</v>
      </c>
      <c r="I483" s="10" t="inlineStr">
        <is>
          <t>model_catch</t>
        </is>
      </c>
      <c r="J483" s="14" t="inlineStr">
        <is>
          <t>medium</t>
        </is>
      </c>
      <c r="K483" s="10" t="inlineStr">
        <is>
          <t>composite_split</t>
        </is>
      </c>
      <c r="L483" s="11" t="inlineStr">
        <is>
          <t>Analyst habitat/size inference to source &gt;30 cm pelagic fish (Appendix 6.1.24 p.339); no age data, so split juvenile/adult using the period model catch.</t>
        </is>
      </c>
      <c r="M483" s="10" t="n">
        <v>2469.949</v>
      </c>
    </row>
    <row r="484" ht="51" customHeight="1">
      <c r="A484" s="10" t="inlineStr">
        <is>
          <t>LME_036</t>
        </is>
      </c>
      <c r="B484" s="11" t="inlineStr">
        <is>
          <t>36_2_South_China_Sea_SCS-2007_Northern_South_China_Sea_(1970s)</t>
        </is>
      </c>
      <c r="C484" s="11" t="inlineStr">
        <is>
          <t>Latidae</t>
        </is>
      </c>
      <c r="D484" s="10" t="inlineStr">
        <is>
          <t>Lates perches</t>
        </is>
      </c>
      <c r="E484" s="10" t="inlineStr">
        <is>
          <t>Large demersals (&gt;=90 cm)</t>
        </is>
      </c>
      <c r="F484" s="10" t="inlineStr">
        <is>
          <t>Perch-likes</t>
        </is>
      </c>
      <c r="G484" s="11" t="inlineStr">
        <is>
          <t>Juvenile demersal fish (&gt; 30 cm)</t>
        </is>
      </c>
      <c r="H484" s="12" t="n">
        <v>0.2002781641168289</v>
      </c>
      <c r="I484" s="10" t="inlineStr">
        <is>
          <t>model_catch</t>
        </is>
      </c>
      <c r="J484" s="14" t="inlineStr">
        <is>
          <t>medium</t>
        </is>
      </c>
      <c r="K484" s="10" t="inlineStr">
        <is>
          <t>composite_split</t>
        </is>
      </c>
      <c r="L484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84" s="10" t="n">
        <v>2466.176</v>
      </c>
    </row>
    <row r="485" ht="51" customHeight="1">
      <c r="A485" s="10" t="inlineStr">
        <is>
          <t>LME_036</t>
        </is>
      </c>
      <c r="B485" s="11" t="inlineStr">
        <is>
          <t>36_2_South_China_Sea_SCS-2007_Northern_South_China_Sea_(1970s)</t>
        </is>
      </c>
      <c r="C485" s="11" t="inlineStr">
        <is>
          <t>Latidae</t>
        </is>
      </c>
      <c r="D485" s="10" t="inlineStr">
        <is>
          <t>Lates perches</t>
        </is>
      </c>
      <c r="E485" s="10" t="inlineStr">
        <is>
          <t>Large demersals (&gt;=90 cm)</t>
        </is>
      </c>
      <c r="F485" s="10" t="inlineStr">
        <is>
          <t>Perch-likes</t>
        </is>
      </c>
      <c r="G485" s="11" t="inlineStr">
        <is>
          <t>Adult demersal fish (&gt; 30 cm)</t>
        </is>
      </c>
      <c r="H485" s="12" t="n">
        <v>0.799721835883171</v>
      </c>
      <c r="I485" s="10" t="inlineStr">
        <is>
          <t>model_catch</t>
        </is>
      </c>
      <c r="J485" s="14" t="inlineStr">
        <is>
          <t>medium</t>
        </is>
      </c>
      <c r="K485" s="10" t="inlineStr">
        <is>
          <t>composite_split</t>
        </is>
      </c>
      <c r="L485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85" s="10" t="n">
        <v>2466.176</v>
      </c>
    </row>
    <row r="486" ht="36" customHeight="1">
      <c r="A486" s="10" t="inlineStr">
        <is>
          <t>LME_036</t>
        </is>
      </c>
      <c r="B486" s="11" t="inlineStr">
        <is>
          <t>36_2_South_China_Sea_SCS-2007_Northern_South_China_Sea_(1970s)</t>
        </is>
      </c>
      <c r="C486" s="11" t="inlineStr">
        <is>
          <t>Ranina ranina</t>
        </is>
      </c>
      <c r="D486" s="10" t="inlineStr">
        <is>
          <t xml:space="preserve">Kona crab </t>
        </is>
      </c>
      <c r="E486" s="10" t="inlineStr">
        <is>
          <t>Lobsters, crabs</t>
        </is>
      </c>
      <c r="F486" s="10" t="inlineStr">
        <is>
          <t>Crustaceans</t>
        </is>
      </c>
      <c r="G486" s="11" t="inlineStr">
        <is>
          <t>Crabs</t>
        </is>
      </c>
      <c r="H486" s="12" t="n">
        <v>1</v>
      </c>
      <c r="I486" s="10" t="inlineStr">
        <is>
          <t>single</t>
        </is>
      </c>
      <c r="J486" s="15" t="inlineStr">
        <is>
          <t>high</t>
        </is>
      </c>
      <c r="K486" s="10" t="inlineStr">
        <is>
          <t>taxonomic_containment</t>
        </is>
      </c>
      <c r="L486" s="11" t="inlineStr">
        <is>
          <t>Source benthic crustaceans exclude shrimps and crabs (Appendix 6.1.5 p.324); lobsters remain in that residual, while true crabs use Crabs.</t>
        </is>
      </c>
      <c r="M486" s="10" t="n">
        <v>2346.908</v>
      </c>
    </row>
    <row r="487" ht="36" customHeight="1">
      <c r="A487" s="10" t="inlineStr">
        <is>
          <t>LME_036</t>
        </is>
      </c>
      <c r="B487" s="11" t="inlineStr">
        <is>
          <t>36_2_South_China_Sea_SCS-2007_Northern_South_China_Sea_(1970s)</t>
        </is>
      </c>
      <c r="C487" s="11" t="inlineStr">
        <is>
          <t>Ozius guttatus</t>
        </is>
      </c>
      <c r="D487" s="10" t="inlineStr">
        <is>
          <t>Spottedbelly rock crab</t>
        </is>
      </c>
      <c r="E487" s="10" t="inlineStr">
        <is>
          <t>Lobsters, crabs</t>
        </is>
      </c>
      <c r="F487" s="10" t="inlineStr">
        <is>
          <t>Crustaceans</t>
        </is>
      </c>
      <c r="G487" s="11" t="inlineStr">
        <is>
          <t>Crabs</t>
        </is>
      </c>
      <c r="H487" s="12" t="n">
        <v>1</v>
      </c>
      <c r="I487" s="10" t="inlineStr">
        <is>
          <t>single</t>
        </is>
      </c>
      <c r="J487" s="15" t="inlineStr">
        <is>
          <t>high</t>
        </is>
      </c>
      <c r="K487" s="10" t="inlineStr">
        <is>
          <t>taxonomic_containment</t>
        </is>
      </c>
      <c r="L487" s="11" t="inlineStr">
        <is>
          <t>Source benthic crustaceans exclude shrimps and crabs (Appendix 6.1.5 p.324); lobsters remain in that residual, while true crabs use Crabs.</t>
        </is>
      </c>
      <c r="M487" s="10" t="n">
        <v>2123.853</v>
      </c>
    </row>
    <row r="488" ht="36" customHeight="1">
      <c r="A488" s="10" t="inlineStr">
        <is>
          <t>LME_036</t>
        </is>
      </c>
      <c r="B488" s="11" t="inlineStr">
        <is>
          <t>36_2_South_China_Sea_SCS-2007_Northern_South_China_Sea_(1970s)</t>
        </is>
      </c>
      <c r="C488" s="11" t="inlineStr">
        <is>
          <t>Sphyraena barracuda</t>
        </is>
      </c>
      <c r="D488" s="10" t="inlineStr">
        <is>
          <t>Great barracuda</t>
        </is>
      </c>
      <c r="E488" s="10" t="inlineStr">
        <is>
          <t>Large pelagics (&gt;=90 cm)</t>
        </is>
      </c>
      <c r="F488" s="10" t="inlineStr">
        <is>
          <t>Perch-likes</t>
        </is>
      </c>
      <c r="G488" s="11" t="inlineStr">
        <is>
          <t>Juvenile large pelagic fish</t>
        </is>
      </c>
      <c r="H488" s="12" t="n">
        <v>0.2016806722689076</v>
      </c>
      <c r="I488" s="10" t="inlineStr">
        <is>
          <t>model_catch</t>
        </is>
      </c>
      <c r="J488" s="14" t="inlineStr">
        <is>
          <t>medium</t>
        </is>
      </c>
      <c r="K488" s="10" t="inlineStr">
        <is>
          <t>composite_split</t>
        </is>
      </c>
      <c r="L488" s="11" t="inlineStr">
        <is>
          <t>Analyst habitat/size inference to source &gt;30 cm pelagic fish (Appendix 6.1.24 p.339); no age data, so split juvenile/adult using the period model catch.</t>
        </is>
      </c>
      <c r="M488" s="10" t="n">
        <v>2055.219</v>
      </c>
    </row>
    <row r="489" ht="36" customHeight="1">
      <c r="A489" s="10" t="inlineStr">
        <is>
          <t>LME_036</t>
        </is>
      </c>
      <c r="B489" s="11" t="inlineStr">
        <is>
          <t>36_2_South_China_Sea_SCS-2007_Northern_South_China_Sea_(1970s)</t>
        </is>
      </c>
      <c r="C489" s="11" t="inlineStr">
        <is>
          <t>Sphyraena barracuda</t>
        </is>
      </c>
      <c r="D489" s="10" t="inlineStr">
        <is>
          <t>Great barracuda</t>
        </is>
      </c>
      <c r="E489" s="10" t="inlineStr">
        <is>
          <t>Large pelagics (&gt;=90 cm)</t>
        </is>
      </c>
      <c r="F489" s="10" t="inlineStr">
        <is>
          <t>Perch-likes</t>
        </is>
      </c>
      <c r="G489" s="11" t="inlineStr">
        <is>
          <t>Pelagic fish (&gt; 30 cm)</t>
        </is>
      </c>
      <c r="H489" s="12" t="n">
        <v>0.7983193277310925</v>
      </c>
      <c r="I489" s="10" t="inlineStr">
        <is>
          <t>model_catch</t>
        </is>
      </c>
      <c r="J489" s="14" t="inlineStr">
        <is>
          <t>medium</t>
        </is>
      </c>
      <c r="K489" s="10" t="inlineStr">
        <is>
          <t>composite_split</t>
        </is>
      </c>
      <c r="L489" s="11" t="inlineStr">
        <is>
          <t>Analyst habitat/size inference to source &gt;30 cm pelagic fish (Appendix 6.1.24 p.339); no age data, so split juvenile/adult using the period model catch.</t>
        </is>
      </c>
      <c r="M489" s="10" t="n">
        <v>2055.219</v>
      </c>
    </row>
    <row r="490" ht="36" customHeight="1">
      <c r="A490" s="10" t="inlineStr">
        <is>
          <t>LME_036</t>
        </is>
      </c>
      <c r="B490" s="11" t="inlineStr">
        <is>
          <t>36_2_South_China_Sea_SCS-2007_Northern_South_China_Sea_(1970s)</t>
        </is>
      </c>
      <c r="C490" s="11" t="inlineStr">
        <is>
          <t>Melicertus canaliculatus</t>
        </is>
      </c>
      <c r="D490" s="10" t="inlineStr">
        <is>
          <t>Witch prawn</t>
        </is>
      </c>
      <c r="E490" s="10" t="inlineStr">
        <is>
          <t>Shrimps</t>
        </is>
      </c>
      <c r="F490" s="10" t="inlineStr">
        <is>
          <t>Crustaceans</t>
        </is>
      </c>
      <c r="G490" s="11" t="inlineStr">
        <is>
          <t>Shrimps</t>
        </is>
      </c>
      <c r="H490" s="12" t="n">
        <v>1</v>
      </c>
      <c r="I490" s="10" t="inlineStr">
        <is>
          <t>single</t>
        </is>
      </c>
      <c r="J490" s="15" t="inlineStr">
        <is>
          <t>high</t>
        </is>
      </c>
      <c r="K490" s="10" t="inlineStr">
        <is>
          <t>taxonomic_containment</t>
        </is>
      </c>
      <c r="L490" s="11" t="inlineStr">
        <is>
          <t>Stomatopods belong to the residual benthic crustaceans; other shrimp taxa belong to Shrimps after the explicitly separated Acetes records (Appendix 6.1 pp.323-326).</t>
        </is>
      </c>
      <c r="M490" s="10" t="n">
        <v>1949.386</v>
      </c>
    </row>
    <row r="491" ht="51" customHeight="1">
      <c r="A491" s="10" t="inlineStr">
        <is>
          <t>LME_036</t>
        </is>
      </c>
      <c r="B491" s="11" t="inlineStr">
        <is>
          <t>36_2_South_China_Sea_SCS-2007_Northern_South_China_Sea_(1970s)</t>
        </is>
      </c>
      <c r="C491" s="11" t="inlineStr">
        <is>
          <t>Seriola dumerili</t>
        </is>
      </c>
      <c r="D491" s="10" t="inlineStr">
        <is>
          <t>Greater amberjack</t>
        </is>
      </c>
      <c r="E491" s="10" t="inlineStr">
        <is>
          <t>Large reef assoc. fish (&gt;=90 cm)</t>
        </is>
      </c>
      <c r="F491" s="10" t="inlineStr">
        <is>
          <t>Perch-likes</t>
        </is>
      </c>
      <c r="G491" s="11" t="inlineStr">
        <is>
          <t>Juvenile large pelagic fish</t>
        </is>
      </c>
      <c r="H491" s="12" t="n">
        <v>0.2016806722689076</v>
      </c>
      <c r="I491" s="10" t="inlineStr">
        <is>
          <t>model_catch</t>
        </is>
      </c>
      <c r="J491" s="14" t="inlineStr">
        <is>
          <t>medium</t>
        </is>
      </c>
      <c r="K491" s="10" t="inlineStr">
        <is>
          <t>composite_split</t>
        </is>
      </c>
      <c r="L491" s="11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491" s="10" t="n">
        <v>1918.315</v>
      </c>
    </row>
    <row r="492" ht="51" customHeight="1">
      <c r="A492" s="10" t="inlineStr">
        <is>
          <t>LME_036</t>
        </is>
      </c>
      <c r="B492" s="11" t="inlineStr">
        <is>
          <t>36_2_South_China_Sea_SCS-2007_Northern_South_China_Sea_(1970s)</t>
        </is>
      </c>
      <c r="C492" s="11" t="inlineStr">
        <is>
          <t>Seriola dumerili</t>
        </is>
      </c>
      <c r="D492" s="10" t="inlineStr">
        <is>
          <t>Greater amberjack</t>
        </is>
      </c>
      <c r="E492" s="10" t="inlineStr">
        <is>
          <t>Large reef assoc. fish (&gt;=90 cm)</t>
        </is>
      </c>
      <c r="F492" s="10" t="inlineStr">
        <is>
          <t>Perch-likes</t>
        </is>
      </c>
      <c r="G492" s="11" t="inlineStr">
        <is>
          <t>Pelagic fish (&gt; 30 cm)</t>
        </is>
      </c>
      <c r="H492" s="12" t="n">
        <v>0.7983193277310925</v>
      </c>
      <c r="I492" s="10" t="inlineStr">
        <is>
          <t>model_catch</t>
        </is>
      </c>
      <c r="J492" s="14" t="inlineStr">
        <is>
          <t>medium</t>
        </is>
      </c>
      <c r="K492" s="10" t="inlineStr">
        <is>
          <t>composite_split</t>
        </is>
      </c>
      <c r="L492" s="11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492" s="10" t="n">
        <v>1918.315</v>
      </c>
    </row>
    <row r="493" ht="51" customHeight="1">
      <c r="A493" s="10" t="inlineStr">
        <is>
          <t>LME_036</t>
        </is>
      </c>
      <c r="B493" s="11" t="inlineStr">
        <is>
          <t>36_2_South_China_Sea_SCS-2007_Northern_South_China_Sea_(1970s)</t>
        </is>
      </c>
      <c r="C493" s="11" t="inlineStr">
        <is>
          <t>Labridae</t>
        </is>
      </c>
      <c r="D493" s="10" t="inlineStr">
        <is>
          <t>Wrasses, gropers, tuskfishes</t>
        </is>
      </c>
      <c r="E493" s="10" t="inlineStr">
        <is>
          <t>Medium reef assoc. fish (30 - 89 cm)</t>
        </is>
      </c>
      <c r="F493" s="10" t="inlineStr">
        <is>
          <t>Perch-likes</t>
        </is>
      </c>
      <c r="G493" s="11" t="inlineStr">
        <is>
          <t>Juvenile demersal fish (&gt; 30 cm)</t>
        </is>
      </c>
      <c r="H493" s="12" t="n">
        <v>0.2002781641168289</v>
      </c>
      <c r="I493" s="10" t="inlineStr">
        <is>
          <t>model_catch</t>
        </is>
      </c>
      <c r="J493" s="14" t="inlineStr">
        <is>
          <t>medium</t>
        </is>
      </c>
      <c r="K493" s="10" t="inlineStr">
        <is>
          <t>composite_split</t>
        </is>
      </c>
      <c r="L493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93" s="10" t="n">
        <v>1659.59</v>
      </c>
    </row>
    <row r="494" ht="51" customHeight="1">
      <c r="A494" s="10" t="inlineStr">
        <is>
          <t>LME_036</t>
        </is>
      </c>
      <c r="B494" s="11" t="inlineStr">
        <is>
          <t>36_2_South_China_Sea_SCS-2007_Northern_South_China_Sea_(1970s)</t>
        </is>
      </c>
      <c r="C494" s="11" t="inlineStr">
        <is>
          <t>Labridae</t>
        </is>
      </c>
      <c r="D494" s="10" t="inlineStr">
        <is>
          <t>Wrasses, gropers, tuskfishes</t>
        </is>
      </c>
      <c r="E494" s="10" t="inlineStr">
        <is>
          <t>Medium reef assoc. fish (30 - 89 cm)</t>
        </is>
      </c>
      <c r="F494" s="10" t="inlineStr">
        <is>
          <t>Perch-likes</t>
        </is>
      </c>
      <c r="G494" s="11" t="inlineStr">
        <is>
          <t>Adult demersal fish (&gt; 30 cm)</t>
        </is>
      </c>
      <c r="H494" s="12" t="n">
        <v>0.799721835883171</v>
      </c>
      <c r="I494" s="10" t="inlineStr">
        <is>
          <t>model_catch</t>
        </is>
      </c>
      <c r="J494" s="14" t="inlineStr">
        <is>
          <t>medium</t>
        </is>
      </c>
      <c r="K494" s="10" t="inlineStr">
        <is>
          <t>composite_split</t>
        </is>
      </c>
      <c r="L494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94" s="10" t="n">
        <v>1659.59</v>
      </c>
    </row>
    <row r="495" ht="36" customHeight="1">
      <c r="A495" s="10" t="inlineStr">
        <is>
          <t>LME_036</t>
        </is>
      </c>
      <c r="B495" s="11" t="inlineStr">
        <is>
          <t>36_2_South_China_Sea_SCS-2007_Northern_South_China_Sea_(1970s)</t>
        </is>
      </c>
      <c r="C495" s="11" t="inlineStr">
        <is>
          <t>Octopus</t>
        </is>
      </c>
      <c r="D495" s="10" t="inlineStr">
        <is>
          <t>Octopuses, pikas</t>
        </is>
      </c>
      <c r="E495" s="10" t="inlineStr">
        <is>
          <t>Cephalopods</t>
        </is>
      </c>
      <c r="F495" s="10" t="inlineStr">
        <is>
          <t>Other fishes &amp; inverts</t>
        </is>
      </c>
      <c r="G495" s="11" t="inlineStr">
        <is>
          <t>Cephalopods</t>
        </is>
      </c>
      <c r="H495" s="12" t="n">
        <v>1</v>
      </c>
      <c r="I495" s="10" t="inlineStr">
        <is>
          <t>single</t>
        </is>
      </c>
      <c r="J495" s="15" t="inlineStr">
        <is>
          <t>high</t>
        </is>
      </c>
      <c r="K495" s="10" t="inlineStr">
        <is>
          <t>taxonomic_containment</t>
        </is>
      </c>
      <c r="L495" s="11" t="inlineStr">
        <is>
          <t>Cephalopoda is contained by the single source Cephalopods group, Appendix 6.1.8 pp.326-327.</t>
        </is>
      </c>
      <c r="M495" s="10" t="n">
        <v>1608.1</v>
      </c>
    </row>
    <row r="496" ht="51" customHeight="1">
      <c r="A496" s="10" t="inlineStr">
        <is>
          <t>LME_036</t>
        </is>
      </c>
      <c r="B496" s="11" t="inlineStr">
        <is>
          <t>36_2_South_China_Sea_SCS-2007_Northern_South_China_Sea_(1970s)</t>
        </is>
      </c>
      <c r="C496" s="11" t="inlineStr">
        <is>
          <t>Plotosidae</t>
        </is>
      </c>
      <c r="D496" s="10" t="inlineStr">
        <is>
          <t>Eeltail catfishes</t>
        </is>
      </c>
      <c r="E496" s="10" t="inlineStr">
        <is>
          <t>Medium reef assoc. fish (30 - 89 cm)</t>
        </is>
      </c>
      <c r="F496" s="10" t="inlineStr">
        <is>
          <t>Other fishes &amp; inverts</t>
        </is>
      </c>
      <c r="G496" s="11" t="inlineStr">
        <is>
          <t>Juvenile demersal fish (&gt; 30 cm)</t>
        </is>
      </c>
      <c r="H496" s="12" t="n">
        <v>0.2002781641168289</v>
      </c>
      <c r="I496" s="10" t="inlineStr">
        <is>
          <t>model_catch</t>
        </is>
      </c>
      <c r="J496" s="14" t="inlineStr">
        <is>
          <t>medium</t>
        </is>
      </c>
      <c r="K496" s="10" t="inlineStr">
        <is>
          <t>composite_split</t>
        </is>
      </c>
      <c r="L496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96" s="10" t="n">
        <v>1501.512</v>
      </c>
    </row>
    <row r="497" ht="51" customHeight="1">
      <c r="A497" s="10" t="inlineStr">
        <is>
          <t>LME_036</t>
        </is>
      </c>
      <c r="B497" s="11" t="inlineStr">
        <is>
          <t>36_2_South_China_Sea_SCS-2007_Northern_South_China_Sea_(1970s)</t>
        </is>
      </c>
      <c r="C497" s="11" t="inlineStr">
        <is>
          <t>Plotosidae</t>
        </is>
      </c>
      <c r="D497" s="10" t="inlineStr">
        <is>
          <t>Eeltail catfishes</t>
        </is>
      </c>
      <c r="E497" s="10" t="inlineStr">
        <is>
          <t>Medium reef assoc. fish (30 - 89 cm)</t>
        </is>
      </c>
      <c r="F497" s="10" t="inlineStr">
        <is>
          <t>Other fishes &amp; inverts</t>
        </is>
      </c>
      <c r="G497" s="11" t="inlineStr">
        <is>
          <t>Adult demersal fish (&gt; 30 cm)</t>
        </is>
      </c>
      <c r="H497" s="12" t="n">
        <v>0.799721835883171</v>
      </c>
      <c r="I497" s="10" t="inlineStr">
        <is>
          <t>model_catch</t>
        </is>
      </c>
      <c r="J497" s="14" t="inlineStr">
        <is>
          <t>medium</t>
        </is>
      </c>
      <c r="K497" s="10" t="inlineStr">
        <is>
          <t>composite_split</t>
        </is>
      </c>
      <c r="L497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97" s="10" t="n">
        <v>1501.512</v>
      </c>
    </row>
    <row r="498" ht="36" customHeight="1">
      <c r="A498" s="10" t="inlineStr">
        <is>
          <t>LME_036</t>
        </is>
      </c>
      <c r="B498" s="11" t="inlineStr">
        <is>
          <t>36_2_South_China_Sea_SCS-2007_Northern_South_China_Sea_(1970s)</t>
        </is>
      </c>
      <c r="C498" s="11" t="inlineStr">
        <is>
          <t>Alopias</t>
        </is>
      </c>
      <c r="D498" s="10" t="inlineStr">
        <is>
          <t>Thresher sharks</t>
        </is>
      </c>
      <c r="E498" s="10" t="inlineStr">
        <is>
          <t>Large sharks (&gt;=90 cm)</t>
        </is>
      </c>
      <c r="F498" s="10" t="inlineStr">
        <is>
          <t>Sharks &amp; rays</t>
        </is>
      </c>
      <c r="G498" s="11" t="inlineStr">
        <is>
          <t>Pelagic sharks and rays</t>
        </is>
      </c>
      <c r="H498" s="12" t="n">
        <v>1</v>
      </c>
      <c r="I498" s="10" t="inlineStr">
        <is>
          <t>single</t>
        </is>
      </c>
      <c r="J498" s="14" t="inlineStr">
        <is>
          <t>medium</t>
        </is>
      </c>
      <c r="K498" s="10" t="inlineStr">
        <is>
          <t>habitat_size_guild</t>
        </is>
      </c>
      <c r="L498" s="11" t="inlineStr">
        <is>
          <t>Pelagic shark lineage matches the pelagic elasmobranch definition, Appendix 6.1.25 p.340; species placement is analyst inference.</t>
        </is>
      </c>
      <c r="M498" s="10" t="n">
        <v>1462.068</v>
      </c>
    </row>
    <row r="499" ht="36" customHeight="1">
      <c r="A499" s="10" t="inlineStr">
        <is>
          <t>LME_036</t>
        </is>
      </c>
      <c r="B499" s="11" t="inlineStr">
        <is>
          <t>36_2_South_China_Sea_SCS-2007_Northern_South_China_Sea_(1970s)</t>
        </is>
      </c>
      <c r="C499" s="11" t="inlineStr">
        <is>
          <t>Elops machnata</t>
        </is>
      </c>
      <c r="D499" s="10" t="inlineStr">
        <is>
          <t>Tenpounder</t>
        </is>
      </c>
      <c r="E499" s="10" t="inlineStr">
        <is>
          <t>Large pelagics (&gt;=90 cm)</t>
        </is>
      </c>
      <c r="F499" s="10" t="inlineStr">
        <is>
          <t>Other fishes &amp; inverts</t>
        </is>
      </c>
      <c r="G499" s="11" t="inlineStr">
        <is>
          <t>Juvenile large pelagic fish</t>
        </is>
      </c>
      <c r="H499" s="12" t="n">
        <v>0.2016806722689076</v>
      </c>
      <c r="I499" s="10" t="inlineStr">
        <is>
          <t>model_catch</t>
        </is>
      </c>
      <c r="J499" s="14" t="inlineStr">
        <is>
          <t>medium</t>
        </is>
      </c>
      <c r="K499" s="10" t="inlineStr">
        <is>
          <t>composite_split</t>
        </is>
      </c>
      <c r="L499" s="11" t="inlineStr">
        <is>
          <t>Analyst habitat/size inference to source &gt;30 cm pelagic fish (Appendix 6.1.24 p.339); no age data, so split juvenile/adult using the period model catch.</t>
        </is>
      </c>
      <c r="M499" s="10" t="n">
        <v>1459.13</v>
      </c>
    </row>
    <row r="500" ht="36" customHeight="1">
      <c r="A500" s="10" t="inlineStr">
        <is>
          <t>LME_036</t>
        </is>
      </c>
      <c r="B500" s="11" t="inlineStr">
        <is>
          <t>36_2_South_China_Sea_SCS-2007_Northern_South_China_Sea_(1970s)</t>
        </is>
      </c>
      <c r="C500" s="11" t="inlineStr">
        <is>
          <t>Elops machnata</t>
        </is>
      </c>
      <c r="D500" s="10" t="inlineStr">
        <is>
          <t>Tenpounder</t>
        </is>
      </c>
      <c r="E500" s="10" t="inlineStr">
        <is>
          <t>Large pelagics (&gt;=90 cm)</t>
        </is>
      </c>
      <c r="F500" s="10" t="inlineStr">
        <is>
          <t>Other fishes &amp; inverts</t>
        </is>
      </c>
      <c r="G500" s="11" t="inlineStr">
        <is>
          <t>Pelagic fish (&gt; 30 cm)</t>
        </is>
      </c>
      <c r="H500" s="12" t="n">
        <v>0.7983193277310925</v>
      </c>
      <c r="I500" s="10" t="inlineStr">
        <is>
          <t>model_catch</t>
        </is>
      </c>
      <c r="J500" s="14" t="inlineStr">
        <is>
          <t>medium</t>
        </is>
      </c>
      <c r="K500" s="10" t="inlineStr">
        <is>
          <t>composite_split</t>
        </is>
      </c>
      <c r="L500" s="11" t="inlineStr">
        <is>
          <t>Analyst habitat/size inference to source &gt;30 cm pelagic fish (Appendix 6.1.24 p.339); no age data, so split juvenile/adult using the period model catch.</t>
        </is>
      </c>
      <c r="M500" s="10" t="n">
        <v>1459.13</v>
      </c>
    </row>
    <row r="501" ht="51" customHeight="1">
      <c r="A501" s="10" t="inlineStr">
        <is>
          <t>LME_036</t>
        </is>
      </c>
      <c r="B501" s="11" t="inlineStr">
        <is>
          <t>36_2_South_China_Sea_SCS-2007_Northern_South_China_Sea_(1970s)</t>
        </is>
      </c>
      <c r="C501" s="11" t="inlineStr">
        <is>
          <t>Pellona ditchela</t>
        </is>
      </c>
      <c r="D501" s="10" t="inlineStr">
        <is>
          <t>Indian pellona</t>
        </is>
      </c>
      <c r="E501" s="10" t="inlineStr">
        <is>
          <t>Small pelagics (&lt;30 cm)</t>
        </is>
      </c>
      <c r="F501" s="10" t="inlineStr">
        <is>
          <t>Herring-likes</t>
        </is>
      </c>
      <c r="G501" s="11" t="inlineStr">
        <is>
          <t>Pelagic fish (≤ 30 cm)</t>
        </is>
      </c>
      <c r="H501" s="12" t="n">
        <v>1</v>
      </c>
      <c r="I501" s="10" t="inlineStr">
        <is>
          <t>single</t>
        </is>
      </c>
      <c r="J501" s="14" t="inlineStr">
        <is>
          <t>medium</t>
        </is>
      </c>
      <c r="K501" s="10" t="inlineStr">
        <is>
          <t>habitat_size_guild</t>
        </is>
      </c>
      <c r="L501" s="11" t="inlineStr">
        <is>
          <t>Source small-pelagic pool explicitly includes sardines, thryssa and anchovies (Appendix 6.1.23 p.338); extension to the catch lineage uses SAU size as a proxy and is not a full species list.</t>
        </is>
      </c>
      <c r="M501" s="10" t="n">
        <v>1410</v>
      </c>
    </row>
    <row r="502" ht="36" customHeight="1">
      <c r="A502" s="10" t="inlineStr">
        <is>
          <t>LME_036</t>
        </is>
      </c>
      <c r="B502" s="11" t="inlineStr">
        <is>
          <t>36_2_South_China_Sea_SCS-2007_Northern_South_China_Sea_(1970s)</t>
        </is>
      </c>
      <c r="C502" s="11" t="inlineStr">
        <is>
          <t>Chaetodontidae</t>
        </is>
      </c>
      <c r="D502" s="10" t="inlineStr">
        <is>
          <t>Butterflyfishes</t>
        </is>
      </c>
      <c r="E502" s="10" t="inlineStr">
        <is>
          <t>Small reef assoc. fish (&lt;30 cm)</t>
        </is>
      </c>
      <c r="F502" s="10" t="inlineStr">
        <is>
          <t>Perch-likes</t>
        </is>
      </c>
      <c r="G502" s="11" t="inlineStr">
        <is>
          <t>Demesral fish (≤ 30 cm)</t>
        </is>
      </c>
      <c r="H502" s="12" t="n">
        <v>1</v>
      </c>
      <c r="I502" s="10" t="inlineStr">
        <is>
          <t>single</t>
        </is>
      </c>
      <c r="J502" s="14" t="inlineStr">
        <is>
          <t>medium</t>
        </is>
      </c>
      <c r="K502" s="10" t="inlineStr">
        <is>
          <t>habitat_size_guild</t>
        </is>
      </c>
      <c r="L502" s="11" t="inlineStr">
        <is>
          <t>Analyst habitat/size inference: small demersal or reef-associated fish after excluding dedicated taxonomic groups, matching Appendix 6.1.19 &lt;=30 cm residual demersal pool.</t>
        </is>
      </c>
      <c r="M502" s="10" t="n">
        <v>1378.652</v>
      </c>
    </row>
    <row r="503" ht="51" customHeight="1">
      <c r="A503" s="10" t="inlineStr">
        <is>
          <t>LME_036</t>
        </is>
      </c>
      <c r="B503" s="11" t="inlineStr">
        <is>
          <t>36_2_South_China_Sea_SCS-2007_Northern_South_China_Sea_(1970s)</t>
        </is>
      </c>
      <c r="C503" s="11" t="inlineStr">
        <is>
          <t>Congridae</t>
        </is>
      </c>
      <c r="D503" s="10" t="inlineStr">
        <is>
          <t>Conger, garden eels</t>
        </is>
      </c>
      <c r="E503" s="10" t="inlineStr">
        <is>
          <t>Large demersals (&gt;=90 cm)</t>
        </is>
      </c>
      <c r="F503" s="10" t="inlineStr">
        <is>
          <t>Other fishes &amp; inverts</t>
        </is>
      </c>
      <c r="G503" s="11" t="inlineStr">
        <is>
          <t>Juvenile demersal fish (&gt; 30 cm)</t>
        </is>
      </c>
      <c r="H503" s="12" t="n">
        <v>0.2002781641168289</v>
      </c>
      <c r="I503" s="10" t="inlineStr">
        <is>
          <t>model_catch</t>
        </is>
      </c>
      <c r="J503" s="14" t="inlineStr">
        <is>
          <t>medium</t>
        </is>
      </c>
      <c r="K503" s="10" t="inlineStr">
        <is>
          <t>composite_split</t>
        </is>
      </c>
      <c r="L503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503" s="10" t="n">
        <v>1376.036</v>
      </c>
    </row>
    <row r="504" ht="51" customHeight="1">
      <c r="A504" s="10" t="inlineStr">
        <is>
          <t>LME_036</t>
        </is>
      </c>
      <c r="B504" s="11" t="inlineStr">
        <is>
          <t>36_2_South_China_Sea_SCS-2007_Northern_South_China_Sea_(1970s)</t>
        </is>
      </c>
      <c r="C504" s="11" t="inlineStr">
        <is>
          <t>Congridae</t>
        </is>
      </c>
      <c r="D504" s="10" t="inlineStr">
        <is>
          <t>Conger, garden eels</t>
        </is>
      </c>
      <c r="E504" s="10" t="inlineStr">
        <is>
          <t>Large demersals (&gt;=90 cm)</t>
        </is>
      </c>
      <c r="F504" s="10" t="inlineStr">
        <is>
          <t>Other fishes &amp; inverts</t>
        </is>
      </c>
      <c r="G504" s="11" t="inlineStr">
        <is>
          <t>Adult demersal fish (&gt; 30 cm)</t>
        </is>
      </c>
      <c r="H504" s="12" t="n">
        <v>0.799721835883171</v>
      </c>
      <c r="I504" s="10" t="inlineStr">
        <is>
          <t>model_catch</t>
        </is>
      </c>
      <c r="J504" s="14" t="inlineStr">
        <is>
          <t>medium</t>
        </is>
      </c>
      <c r="K504" s="10" t="inlineStr">
        <is>
          <t>composite_split</t>
        </is>
      </c>
      <c r="L504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504" s="10" t="n">
        <v>1376.036</v>
      </c>
    </row>
    <row r="505" ht="51" customHeight="1">
      <c r="A505" s="10" t="inlineStr">
        <is>
          <t>LME_036</t>
        </is>
      </c>
      <c r="B505" s="11" t="inlineStr">
        <is>
          <t>36_2_South_China_Sea_SCS-2007_Northern_South_China_Sea_(1970s)</t>
        </is>
      </c>
      <c r="C505" s="11" t="inlineStr">
        <is>
          <t>Lethrinus miniatus</t>
        </is>
      </c>
      <c r="D505" s="10" t="inlineStr">
        <is>
          <t>Trumpet emperor</t>
        </is>
      </c>
      <c r="E505" s="10" t="inlineStr">
        <is>
          <t>Medium reef assoc. fish (30 - 89 cm)</t>
        </is>
      </c>
      <c r="F505" s="10" t="inlineStr">
        <is>
          <t>Perch-likes</t>
        </is>
      </c>
      <c r="G505" s="11" t="inlineStr">
        <is>
          <t>Juvenile demersal fish (&gt; 30 cm)</t>
        </is>
      </c>
      <c r="H505" s="12" t="n">
        <v>0.2002781641168289</v>
      </c>
      <c r="I505" s="10" t="inlineStr">
        <is>
          <t>model_catch</t>
        </is>
      </c>
      <c r="J505" s="14" t="inlineStr">
        <is>
          <t>medium</t>
        </is>
      </c>
      <c r="K505" s="10" t="inlineStr">
        <is>
          <t>composite_split</t>
        </is>
      </c>
      <c r="L505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505" s="10" t="n">
        <v>1362.411</v>
      </c>
    </row>
    <row r="506" ht="51" customHeight="1">
      <c r="A506" s="10" t="inlineStr">
        <is>
          <t>LME_036</t>
        </is>
      </c>
      <c r="B506" s="11" t="inlineStr">
        <is>
          <t>36_2_South_China_Sea_SCS-2007_Northern_South_China_Sea_(1970s)</t>
        </is>
      </c>
      <c r="C506" s="11" t="inlineStr">
        <is>
          <t>Lethrinus miniatus</t>
        </is>
      </c>
      <c r="D506" s="10" t="inlineStr">
        <is>
          <t>Trumpet emperor</t>
        </is>
      </c>
      <c r="E506" s="10" t="inlineStr">
        <is>
          <t>Medium reef assoc. fish (30 - 89 cm)</t>
        </is>
      </c>
      <c r="F506" s="10" t="inlineStr">
        <is>
          <t>Perch-likes</t>
        </is>
      </c>
      <c r="G506" s="11" t="inlineStr">
        <is>
          <t>Adult demersal fish (&gt; 30 cm)</t>
        </is>
      </c>
      <c r="H506" s="12" t="n">
        <v>0.799721835883171</v>
      </c>
      <c r="I506" s="10" t="inlineStr">
        <is>
          <t>model_catch</t>
        </is>
      </c>
      <c r="J506" s="14" t="inlineStr">
        <is>
          <t>medium</t>
        </is>
      </c>
      <c r="K506" s="10" t="inlineStr">
        <is>
          <t>composite_split</t>
        </is>
      </c>
      <c r="L506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506" s="10" t="n">
        <v>1362.411</v>
      </c>
    </row>
    <row r="507" ht="36" customHeight="1">
      <c r="A507" s="10" t="inlineStr">
        <is>
          <t>LME_036</t>
        </is>
      </c>
      <c r="B507" s="11" t="inlineStr">
        <is>
          <t>36_2_South_China_Sea_SCS-2007_Northern_South_China_Sea_(1970s)</t>
        </is>
      </c>
      <c r="C507" s="11" t="inlineStr">
        <is>
          <t>Scylla</t>
        </is>
      </c>
      <c r="D507" s="10" t="inlineStr">
        <is>
          <t>Mud crabs</t>
        </is>
      </c>
      <c r="E507" s="10" t="inlineStr">
        <is>
          <t>Lobsters, crabs</t>
        </is>
      </c>
      <c r="F507" s="10" t="inlineStr">
        <is>
          <t>Crustaceans</t>
        </is>
      </c>
      <c r="G507" s="11" t="inlineStr">
        <is>
          <t>Crabs</t>
        </is>
      </c>
      <c r="H507" s="12" t="n">
        <v>1</v>
      </c>
      <c r="I507" s="10" t="inlineStr">
        <is>
          <t>single</t>
        </is>
      </c>
      <c r="J507" s="15" t="inlineStr">
        <is>
          <t>high</t>
        </is>
      </c>
      <c r="K507" s="10" t="inlineStr">
        <is>
          <t>taxonomic_containment</t>
        </is>
      </c>
      <c r="L507" s="11" t="inlineStr">
        <is>
          <t>Source benthic crustaceans exclude shrimps and crabs (Appendix 6.1.5 p.324); lobsters remain in that residual, while true crabs use Crabs.</t>
        </is>
      </c>
      <c r="M507" s="10" t="n">
        <v>1336.642</v>
      </c>
    </row>
    <row r="508" ht="36" customHeight="1">
      <c r="A508" s="10" t="inlineStr">
        <is>
          <t>LME_036</t>
        </is>
      </c>
      <c r="B508" s="11" t="inlineStr">
        <is>
          <t>36_2_South_China_Sea_SCS-2007_Northern_South_China_Sea_(1970s)</t>
        </is>
      </c>
      <c r="C508" s="11" t="inlineStr">
        <is>
          <t>Hemitrygon akajei</t>
        </is>
      </c>
      <c r="D508" s="10" t="inlineStr">
        <is>
          <t>Whip stingray</t>
        </is>
      </c>
      <c r="E508" s="10" t="inlineStr">
        <is>
          <t>Large rays (&gt;=90 cm)</t>
        </is>
      </c>
      <c r="F508" s="10" t="inlineStr">
        <is>
          <t>Sharks &amp; rays</t>
        </is>
      </c>
      <c r="G508" s="11" t="inlineStr">
        <is>
          <t>Demersal sharks and rays</t>
        </is>
      </c>
      <c r="H508" s="12" t="n">
        <v>1</v>
      </c>
      <c r="I508" s="10" t="inlineStr">
        <is>
          <t>single</t>
        </is>
      </c>
      <c r="J508" s="14" t="inlineStr">
        <is>
          <t>medium</t>
        </is>
      </c>
      <c r="K508" s="10" t="inlineStr">
        <is>
          <t>habitat_size_guild</t>
        </is>
      </c>
      <c r="L508" s="11" t="inlineStr">
        <is>
          <t>Demersal/benthic ray or houndshark lineage matches the demersal elasmobranch definition, Appendix 6.1.25 p.340; species placement is analyst inference.</t>
        </is>
      </c>
      <c r="M508" s="10" t="n">
        <v>1189.845</v>
      </c>
    </row>
    <row r="509" ht="36" customHeight="1">
      <c r="A509" s="10" t="inlineStr">
        <is>
          <t>LME_036</t>
        </is>
      </c>
      <c r="B509" s="11" t="inlineStr">
        <is>
          <t>36_2_South_China_Sea_SCS-2007_Northern_South_China_Sea_(1970s)</t>
        </is>
      </c>
      <c r="C509" s="11" t="inlineStr">
        <is>
          <t>Lepidocybium flavobrunneum</t>
        </is>
      </c>
      <c r="D509" s="10" t="inlineStr">
        <is>
          <t>Escolar</t>
        </is>
      </c>
      <c r="E509" s="10" t="inlineStr">
        <is>
          <t>Large bathypelagics (&gt;=90 cm)</t>
        </is>
      </c>
      <c r="F509" s="10" t="inlineStr">
        <is>
          <t>Perch-likes</t>
        </is>
      </c>
      <c r="G509" s="11" t="inlineStr">
        <is>
          <t>Unresolved</t>
        </is>
      </c>
      <c r="H509" s="12" t="n"/>
      <c r="I509" s="10" t="inlineStr"/>
      <c r="J509" s="16" t="inlineStr">
        <is>
          <t>unresolved</t>
        </is>
      </c>
      <c r="K509" s="10" t="inlineStr">
        <is>
          <t>none</t>
        </is>
      </c>
      <c r="L509" s="11" t="inlineStr">
        <is>
          <t>Northern continental-shelf model lacks a documented oceanic billfish or deep-pelagic compartment; assigning coastal juvenile/adult pelagic SPPR would be unsupported.</t>
        </is>
      </c>
      <c r="M509" s="10" t="n">
        <v>1186.217</v>
      </c>
    </row>
    <row r="510" ht="36" customHeight="1">
      <c r="A510" s="10" t="inlineStr">
        <is>
          <t>LME_036</t>
        </is>
      </c>
      <c r="B510" s="11" t="inlineStr">
        <is>
          <t>36_2_South_China_Sea_SCS-2007_Northern_South_China_Sea_(1970s)</t>
        </is>
      </c>
      <c r="C510" s="11" t="inlineStr">
        <is>
          <t>Charybdis feriatus</t>
        </is>
      </c>
      <c r="D510" s="10" t="inlineStr">
        <is>
          <t>Crucifix crab</t>
        </is>
      </c>
      <c r="E510" s="10" t="inlineStr">
        <is>
          <t>Lobsters, crabs</t>
        </is>
      </c>
      <c r="F510" s="10" t="inlineStr">
        <is>
          <t>Crustaceans</t>
        </is>
      </c>
      <c r="G510" s="11" t="inlineStr">
        <is>
          <t>Crabs</t>
        </is>
      </c>
      <c r="H510" s="12" t="n">
        <v>1</v>
      </c>
      <c r="I510" s="10" t="inlineStr">
        <is>
          <t>single</t>
        </is>
      </c>
      <c r="J510" s="15" t="inlineStr">
        <is>
          <t>high</t>
        </is>
      </c>
      <c r="K510" s="10" t="inlineStr">
        <is>
          <t>taxonomic_containment</t>
        </is>
      </c>
      <c r="L510" s="11" t="inlineStr">
        <is>
          <t>Source benthic crustaceans exclude shrimps and crabs (Appendix 6.1.5 p.324); lobsters remain in that residual, while true crabs use Crabs.</t>
        </is>
      </c>
      <c r="M510" s="10" t="n">
        <v>1155.289</v>
      </c>
    </row>
    <row r="511" ht="51" customHeight="1">
      <c r="A511" s="10" t="inlineStr">
        <is>
          <t>LME_036</t>
        </is>
      </c>
      <c r="B511" s="11" t="inlineStr">
        <is>
          <t>36_2_South_China_Sea_SCS-2007_Northern_South_China_Sea_(1970s)</t>
        </is>
      </c>
      <c r="C511" s="11" t="inlineStr">
        <is>
          <t>Encrasicholina punctifer</t>
        </is>
      </c>
      <c r="D511" s="10" t="inlineStr">
        <is>
          <t>Buccaneer anchovy</t>
        </is>
      </c>
      <c r="E511" s="10" t="inlineStr">
        <is>
          <t>Small pelagics (&lt;30 cm)</t>
        </is>
      </c>
      <c r="F511" s="10" t="inlineStr">
        <is>
          <t>Anchovies</t>
        </is>
      </c>
      <c r="G511" s="11" t="inlineStr">
        <is>
          <t>Pelagic fish (≤ 30 cm)</t>
        </is>
      </c>
      <c r="H511" s="12" t="n">
        <v>1</v>
      </c>
      <c r="I511" s="10" t="inlineStr">
        <is>
          <t>single</t>
        </is>
      </c>
      <c r="J511" s="14" t="inlineStr">
        <is>
          <t>medium</t>
        </is>
      </c>
      <c r="K511" s="10" t="inlineStr">
        <is>
          <t>habitat_size_guild</t>
        </is>
      </c>
      <c r="L511" s="11" t="inlineStr">
        <is>
          <t>Source small-pelagic pool explicitly includes sardines, thryssa and anchovies (Appendix 6.1.23 p.338); extension to the catch lineage uses SAU size as a proxy and is not a full species list.</t>
        </is>
      </c>
      <c r="M511" s="10" t="n">
        <v>1099.779</v>
      </c>
    </row>
    <row r="512" ht="36" customHeight="1">
      <c r="A512" s="10" t="inlineStr">
        <is>
          <t>LME_036</t>
        </is>
      </c>
      <c r="B512" s="11" t="inlineStr">
        <is>
          <t>36_2_South_China_Sea_SCS-2007_Northern_South_China_Sea_(1970s)</t>
        </is>
      </c>
      <c r="C512" s="11" t="inlineStr">
        <is>
          <t>Spongia</t>
        </is>
      </c>
      <c r="D512" s="10" t="inlineStr">
        <is>
          <t>Bathing sponges</t>
        </is>
      </c>
      <c r="E512" s="10" t="inlineStr">
        <is>
          <t>Other demersal invertebrates</t>
        </is>
      </c>
      <c r="F512" s="10" t="inlineStr">
        <is>
          <t>Other fishes &amp; inverts</t>
        </is>
      </c>
      <c r="G512" s="11" t="inlineStr">
        <is>
          <t>Sessile/other invertebrates</t>
        </is>
      </c>
      <c r="H512" s="12" t="n">
        <v>1</v>
      </c>
      <c r="I512" s="10" t="inlineStr">
        <is>
          <t>single</t>
        </is>
      </c>
      <c r="J512" s="15" t="inlineStr">
        <is>
          <t>high</t>
        </is>
      </c>
      <c r="K512" s="10" t="inlineStr">
        <is>
          <t>taxonomic_containment</t>
        </is>
      </c>
      <c r="L512" s="11" t="inlineStr">
        <is>
          <t>Taxonomic containment in the source benthos subdivision (Appendix 6.1.5 pp.324-325), keeping non-cephalopod molluscs separate from echinoderms and sessile invertebrates.</t>
        </is>
      </c>
      <c r="M512" s="10" t="n">
        <v>1092.827</v>
      </c>
    </row>
    <row r="513" ht="36" customHeight="1">
      <c r="A513" s="10" t="inlineStr">
        <is>
          <t>LME_036</t>
        </is>
      </c>
      <c r="B513" s="11" t="inlineStr">
        <is>
          <t>36_2_South_China_Sea_SCS-2007_Northern_South_China_Sea_(1970s)</t>
        </is>
      </c>
      <c r="C513" s="11" t="inlineStr">
        <is>
          <t>Amusium pleuronectes</t>
        </is>
      </c>
      <c r="D513" s="10" t="inlineStr">
        <is>
          <t>Asian moon scallop</t>
        </is>
      </c>
      <c r="E513" s="10" t="inlineStr">
        <is>
          <t>Other demersal invertebrates</t>
        </is>
      </c>
      <c r="F513" s="10" t="inlineStr">
        <is>
          <t>Molluscs</t>
        </is>
      </c>
      <c r="G513" s="11" t="inlineStr">
        <is>
          <t>Non-ceph molluscs</t>
        </is>
      </c>
      <c r="H513" s="12" t="n">
        <v>1</v>
      </c>
      <c r="I513" s="10" t="inlineStr">
        <is>
          <t>single</t>
        </is>
      </c>
      <c r="J513" s="15" t="inlineStr">
        <is>
          <t>high</t>
        </is>
      </c>
      <c r="K513" s="10" t="inlineStr">
        <is>
          <t>taxonomic_containment</t>
        </is>
      </c>
      <c r="L513" s="11" t="inlineStr">
        <is>
          <t>Taxonomic containment in the source benthos subdivision (Appendix 6.1.5 pp.324-325), keeping non-cephalopod molluscs separate from echinoderms and sessile invertebrates.</t>
        </is>
      </c>
      <c r="M513" s="10" t="n">
        <v>994.826</v>
      </c>
    </row>
    <row r="514" ht="51" customHeight="1">
      <c r="A514" s="10" t="inlineStr">
        <is>
          <t>LME_036</t>
        </is>
      </c>
      <c r="B514" s="11" t="inlineStr">
        <is>
          <t>36_2_South_China_Sea_SCS-2007_Northern_South_China_Sea_(1970s)</t>
        </is>
      </c>
      <c r="C514" s="11" t="inlineStr">
        <is>
          <t>Scatophagus argus</t>
        </is>
      </c>
      <c r="D514" s="10" t="inlineStr">
        <is>
          <t>Spotted scat</t>
        </is>
      </c>
      <c r="E514" s="10" t="inlineStr">
        <is>
          <t>Medium demersals (30 - 89 cm)</t>
        </is>
      </c>
      <c r="F514" s="10" t="inlineStr">
        <is>
          <t>Perch-likes</t>
        </is>
      </c>
      <c r="G514" s="11" t="inlineStr">
        <is>
          <t>Juvenile demersal fish (&gt; 30 cm)</t>
        </is>
      </c>
      <c r="H514" s="12" t="n">
        <v>0.2002781641168289</v>
      </c>
      <c r="I514" s="10" t="inlineStr">
        <is>
          <t>model_catch</t>
        </is>
      </c>
      <c r="J514" s="14" t="inlineStr">
        <is>
          <t>medium</t>
        </is>
      </c>
      <c r="K514" s="10" t="inlineStr">
        <is>
          <t>composite_split</t>
        </is>
      </c>
      <c r="L514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514" s="10" t="n">
        <v>950.5069999999999</v>
      </c>
    </row>
    <row r="515" ht="51" customHeight="1">
      <c r="A515" s="10" t="inlineStr">
        <is>
          <t>LME_036</t>
        </is>
      </c>
      <c r="B515" s="11" t="inlineStr">
        <is>
          <t>36_2_South_China_Sea_SCS-2007_Northern_South_China_Sea_(1970s)</t>
        </is>
      </c>
      <c r="C515" s="11" t="inlineStr">
        <is>
          <t>Scatophagus argus</t>
        </is>
      </c>
      <c r="D515" s="10" t="inlineStr">
        <is>
          <t>Spotted scat</t>
        </is>
      </c>
      <c r="E515" s="10" t="inlineStr">
        <is>
          <t>Medium demersals (30 - 89 cm)</t>
        </is>
      </c>
      <c r="F515" s="10" t="inlineStr">
        <is>
          <t>Perch-likes</t>
        </is>
      </c>
      <c r="G515" s="11" t="inlineStr">
        <is>
          <t>Adult demersal fish (&gt; 30 cm)</t>
        </is>
      </c>
      <c r="H515" s="12" t="n">
        <v>0.799721835883171</v>
      </c>
      <c r="I515" s="10" t="inlineStr">
        <is>
          <t>model_catch</t>
        </is>
      </c>
      <c r="J515" s="14" t="inlineStr">
        <is>
          <t>medium</t>
        </is>
      </c>
      <c r="K515" s="10" t="inlineStr">
        <is>
          <t>composite_split</t>
        </is>
      </c>
      <c r="L515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515" s="10" t="n">
        <v>950.5069999999999</v>
      </c>
    </row>
    <row r="516" ht="36" customHeight="1">
      <c r="A516" s="10" t="inlineStr">
        <is>
          <t>LME_036</t>
        </is>
      </c>
      <c r="B516" s="11" t="inlineStr">
        <is>
          <t>36_2_South_China_Sea_SCS-2007_Northern_South_China_Sea_(1970s)</t>
        </is>
      </c>
      <c r="C516" s="11" t="inlineStr">
        <is>
          <t>Podophthalmus vigil</t>
        </is>
      </c>
      <c r="D516" s="10" t="inlineStr">
        <is>
          <t>Periscope crab</t>
        </is>
      </c>
      <c r="E516" s="10" t="inlineStr">
        <is>
          <t>Lobsters, crabs</t>
        </is>
      </c>
      <c r="F516" s="10" t="inlineStr">
        <is>
          <t>Crustaceans</t>
        </is>
      </c>
      <c r="G516" s="11" t="inlineStr">
        <is>
          <t>Crabs</t>
        </is>
      </c>
      <c r="H516" s="12" t="n">
        <v>1</v>
      </c>
      <c r="I516" s="10" t="inlineStr">
        <is>
          <t>single</t>
        </is>
      </c>
      <c r="J516" s="15" t="inlineStr">
        <is>
          <t>high</t>
        </is>
      </c>
      <c r="K516" s="10" t="inlineStr">
        <is>
          <t>taxonomic_containment</t>
        </is>
      </c>
      <c r="L516" s="11" t="inlineStr">
        <is>
          <t>Source benthic crustaceans exclude shrimps and crabs (Appendix 6.1.5 p.324); lobsters remain in that residual, while true crabs use Crabs.</t>
        </is>
      </c>
      <c r="M516" s="10" t="n">
        <v>923.3339999999999</v>
      </c>
    </row>
    <row r="517" ht="51" customHeight="1">
      <c r="A517" s="10" t="inlineStr">
        <is>
          <t>LME_036</t>
        </is>
      </c>
      <c r="B517" s="11" t="inlineStr">
        <is>
          <t>36_2_South_China_Sea_SCS-2007_Northern_South_China_Sea_(1970s)</t>
        </is>
      </c>
      <c r="C517" s="11" t="inlineStr">
        <is>
          <t>Drepane punctata</t>
        </is>
      </c>
      <c r="D517" s="10" t="inlineStr">
        <is>
          <t>Spotted sicklefish</t>
        </is>
      </c>
      <c r="E517" s="10" t="inlineStr">
        <is>
          <t>Medium reef assoc. fish (30 - 89 cm)</t>
        </is>
      </c>
      <c r="F517" s="10" t="inlineStr">
        <is>
          <t>Perch-likes</t>
        </is>
      </c>
      <c r="G517" s="11" t="inlineStr">
        <is>
          <t>Juvenile demersal fish (&gt; 30 cm)</t>
        </is>
      </c>
      <c r="H517" s="12" t="n">
        <v>0.2002781641168289</v>
      </c>
      <c r="I517" s="10" t="inlineStr">
        <is>
          <t>model_catch</t>
        </is>
      </c>
      <c r="J517" s="14" t="inlineStr">
        <is>
          <t>medium</t>
        </is>
      </c>
      <c r="K517" s="10" t="inlineStr">
        <is>
          <t>composite_split</t>
        </is>
      </c>
      <c r="L517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517" s="10" t="n">
        <v>918.996</v>
      </c>
    </row>
    <row r="518" ht="51" customHeight="1">
      <c r="A518" s="10" t="inlineStr">
        <is>
          <t>LME_036</t>
        </is>
      </c>
      <c r="B518" s="11" t="inlineStr">
        <is>
          <t>36_2_South_China_Sea_SCS-2007_Northern_South_China_Sea_(1970s)</t>
        </is>
      </c>
      <c r="C518" s="11" t="inlineStr">
        <is>
          <t>Drepane punctata</t>
        </is>
      </c>
      <c r="D518" s="10" t="inlineStr">
        <is>
          <t>Spotted sicklefish</t>
        </is>
      </c>
      <c r="E518" s="10" t="inlineStr">
        <is>
          <t>Medium reef assoc. fish (30 - 89 cm)</t>
        </is>
      </c>
      <c r="F518" s="10" t="inlineStr">
        <is>
          <t>Perch-likes</t>
        </is>
      </c>
      <c r="G518" s="11" t="inlineStr">
        <is>
          <t>Adult demersal fish (&gt; 30 cm)</t>
        </is>
      </c>
      <c r="H518" s="12" t="n">
        <v>0.799721835883171</v>
      </c>
      <c r="I518" s="10" t="inlineStr">
        <is>
          <t>model_catch</t>
        </is>
      </c>
      <c r="J518" s="14" t="inlineStr">
        <is>
          <t>medium</t>
        </is>
      </c>
      <c r="K518" s="10" t="inlineStr">
        <is>
          <t>composite_split</t>
        </is>
      </c>
      <c r="L518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518" s="10" t="n">
        <v>918.996</v>
      </c>
    </row>
    <row r="519" ht="36" customHeight="1">
      <c r="A519" s="10" t="inlineStr">
        <is>
          <t>LME_036</t>
        </is>
      </c>
      <c r="B519" s="11" t="inlineStr">
        <is>
          <t>36_2_South_China_Sea_SCS-2007_Northern_South_China_Sea_(1970s)</t>
        </is>
      </c>
      <c r="C519" s="11" t="inlineStr">
        <is>
          <t>Charybdis anisodon</t>
        </is>
      </c>
      <c r="D519" s="10" t="inlineStr">
        <is>
          <t>Twospined arm swimming crab</t>
        </is>
      </c>
      <c r="E519" s="10" t="inlineStr">
        <is>
          <t>Lobsters, crabs</t>
        </is>
      </c>
      <c r="F519" s="10" t="inlineStr">
        <is>
          <t>Crustaceans</t>
        </is>
      </c>
      <c r="G519" s="11" t="inlineStr">
        <is>
          <t>Crabs</t>
        </is>
      </c>
      <c r="H519" s="12" t="n">
        <v>1</v>
      </c>
      <c r="I519" s="10" t="inlineStr">
        <is>
          <t>single</t>
        </is>
      </c>
      <c r="J519" s="15" t="inlineStr">
        <is>
          <t>high</t>
        </is>
      </c>
      <c r="K519" s="10" t="inlineStr">
        <is>
          <t>taxonomic_containment</t>
        </is>
      </c>
      <c r="L519" s="11" t="inlineStr">
        <is>
          <t>Source benthic crustaceans exclude shrimps and crabs (Appendix 6.1.5 p.324); lobsters remain in that residual, while true crabs use Crabs.</t>
        </is>
      </c>
      <c r="M519" s="10" t="n">
        <v>914.4930000000001</v>
      </c>
    </row>
    <row r="520" ht="51" customHeight="1">
      <c r="A520" s="10" t="inlineStr">
        <is>
          <t>LME_036</t>
        </is>
      </c>
      <c r="B520" s="11" t="inlineStr">
        <is>
          <t>36_2_South_China_Sea_SCS-2007_Northern_South_China_Sea_(1970s)</t>
        </is>
      </c>
      <c r="C520" s="11" t="inlineStr">
        <is>
          <t>Beryx</t>
        </is>
      </c>
      <c r="D520" s="10" t="inlineStr">
        <is>
          <t>Alfonsinos</t>
        </is>
      </c>
      <c r="E520" s="10" t="inlineStr">
        <is>
          <t>Medium benthopelagics (30 - 89 cm)</t>
        </is>
      </c>
      <c r="F520" s="10" t="inlineStr">
        <is>
          <t>Other fishes &amp; inverts</t>
        </is>
      </c>
      <c r="G520" s="11" t="inlineStr">
        <is>
          <t>Benthopelagic fish</t>
        </is>
      </c>
      <c r="H520" s="12" t="n">
        <v>1</v>
      </c>
      <c r="I520" s="10" t="inlineStr">
        <is>
          <t>single</t>
        </is>
      </c>
      <c r="J520" s="13" t="inlineStr">
        <is>
          <t>low</t>
        </is>
      </c>
      <c r="K520" s="10" t="inlineStr">
        <is>
          <t>habitat_size_guild</t>
        </is>
      </c>
      <c r="L520" s="11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  <c r="M520" s="10" t="n">
        <v>809.3</v>
      </c>
    </row>
    <row r="521" ht="36" customHeight="1">
      <c r="A521" s="10" t="inlineStr">
        <is>
          <t>LME_036</t>
        </is>
      </c>
      <c r="B521" s="11" t="inlineStr">
        <is>
          <t>36_2_South_China_Sea_SCS-2007_Northern_South_China_Sea_(1970s)</t>
        </is>
      </c>
      <c r="C521" s="11" t="inlineStr">
        <is>
          <t>Magallana gigas</t>
        </is>
      </c>
      <c r="D521" s="10" t="inlineStr">
        <is>
          <t>Pacific cupped oyster</t>
        </is>
      </c>
      <c r="E521" s="10" t="inlineStr">
        <is>
          <t>Other demersal invertebrates</t>
        </is>
      </c>
      <c r="F521" s="10" t="inlineStr">
        <is>
          <t>Molluscs</t>
        </is>
      </c>
      <c r="G521" s="11" t="inlineStr">
        <is>
          <t>Non-ceph molluscs</t>
        </is>
      </c>
      <c r="H521" s="12" t="n">
        <v>1</v>
      </c>
      <c r="I521" s="10" t="inlineStr">
        <is>
          <t>single</t>
        </is>
      </c>
      <c r="J521" s="15" t="inlineStr">
        <is>
          <t>high</t>
        </is>
      </c>
      <c r="K521" s="10" t="inlineStr">
        <is>
          <t>taxonomic_containment</t>
        </is>
      </c>
      <c r="L521" s="11" t="inlineStr">
        <is>
          <t>Taxonomic containment in the source benthos subdivision (Appendix 6.1.5 pp.324-325), keeping non-cephalopod molluscs separate from echinoderms and sessile invertebrates.</t>
        </is>
      </c>
      <c r="M521" s="10" t="n">
        <v>797.27</v>
      </c>
    </row>
    <row r="522" ht="51" customHeight="1">
      <c r="A522" s="10" t="inlineStr">
        <is>
          <t>LME_036</t>
        </is>
      </c>
      <c r="B522" s="11" t="inlineStr">
        <is>
          <t>36_2_South_China_Sea_SCS-2007_Northern_South_China_Sea_(1970s)</t>
        </is>
      </c>
      <c r="C522" s="11" t="inlineStr">
        <is>
          <t>Sillago sihama</t>
        </is>
      </c>
      <c r="D522" s="10" t="inlineStr">
        <is>
          <t>Silver sillago</t>
        </is>
      </c>
      <c r="E522" s="10" t="inlineStr">
        <is>
          <t>Medium demersals (30 - 89 cm)</t>
        </is>
      </c>
      <c r="F522" s="10" t="inlineStr">
        <is>
          <t>Perch-likes</t>
        </is>
      </c>
      <c r="G522" s="11" t="inlineStr">
        <is>
          <t>Juvenile demersal fish (&gt; 30 cm)</t>
        </is>
      </c>
      <c r="H522" s="12" t="n">
        <v>0.2002781641168289</v>
      </c>
      <c r="I522" s="10" t="inlineStr">
        <is>
          <t>model_catch</t>
        </is>
      </c>
      <c r="J522" s="14" t="inlineStr">
        <is>
          <t>medium</t>
        </is>
      </c>
      <c r="K522" s="10" t="inlineStr">
        <is>
          <t>composite_split</t>
        </is>
      </c>
      <c r="L522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522" s="10" t="n">
        <v>685.749</v>
      </c>
    </row>
    <row r="523" ht="51" customHeight="1">
      <c r="A523" s="10" t="inlineStr">
        <is>
          <t>LME_036</t>
        </is>
      </c>
      <c r="B523" s="11" t="inlineStr">
        <is>
          <t>36_2_South_China_Sea_SCS-2007_Northern_South_China_Sea_(1970s)</t>
        </is>
      </c>
      <c r="C523" s="11" t="inlineStr">
        <is>
          <t>Sillago sihama</t>
        </is>
      </c>
      <c r="D523" s="10" t="inlineStr">
        <is>
          <t>Silver sillago</t>
        </is>
      </c>
      <c r="E523" s="10" t="inlineStr">
        <is>
          <t>Medium demersals (30 - 89 cm)</t>
        </is>
      </c>
      <c r="F523" s="10" t="inlineStr">
        <is>
          <t>Perch-likes</t>
        </is>
      </c>
      <c r="G523" s="11" t="inlineStr">
        <is>
          <t>Adult demersal fish (&gt; 30 cm)</t>
        </is>
      </c>
      <c r="H523" s="12" t="n">
        <v>0.799721835883171</v>
      </c>
      <c r="I523" s="10" t="inlineStr">
        <is>
          <t>model_catch</t>
        </is>
      </c>
      <c r="J523" s="14" t="inlineStr">
        <is>
          <t>medium</t>
        </is>
      </c>
      <c r="K523" s="10" t="inlineStr">
        <is>
          <t>composite_split</t>
        </is>
      </c>
      <c r="L523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523" s="10" t="n">
        <v>685.749</v>
      </c>
    </row>
    <row r="524" ht="36" customHeight="1">
      <c r="A524" s="10" t="inlineStr">
        <is>
          <t>LME_036</t>
        </is>
      </c>
      <c r="B524" s="11" t="inlineStr">
        <is>
          <t>36_2_South_China_Sea_SCS-2007_Northern_South_China_Sea_(1970s)</t>
        </is>
      </c>
      <c r="C524" s="11" t="inlineStr">
        <is>
          <t>Pteriomorphia</t>
        </is>
      </c>
      <c r="D524" s="10" t="inlineStr">
        <is>
          <t>Clams, cockles, arkshells</t>
        </is>
      </c>
      <c r="E524" s="10" t="inlineStr">
        <is>
          <t>Other demersal invertebrates</t>
        </is>
      </c>
      <c r="F524" s="10" t="inlineStr">
        <is>
          <t>Molluscs</t>
        </is>
      </c>
      <c r="G524" s="11" t="inlineStr">
        <is>
          <t>Non-ceph molluscs</t>
        </is>
      </c>
      <c r="H524" s="12" t="n">
        <v>1</v>
      </c>
      <c r="I524" s="10" t="inlineStr">
        <is>
          <t>single</t>
        </is>
      </c>
      <c r="J524" s="15" t="inlineStr">
        <is>
          <t>high</t>
        </is>
      </c>
      <c r="K524" s="10" t="inlineStr">
        <is>
          <t>taxonomic_containment</t>
        </is>
      </c>
      <c r="L524" s="11" t="inlineStr">
        <is>
          <t>Taxonomic containment in the source benthos subdivision (Appendix 6.1.5 pp.324-325), keeping non-cephalopod molluscs separate from echinoderms and sessile invertebrates.</t>
        </is>
      </c>
      <c r="M524" s="10" t="n">
        <v>674.704</v>
      </c>
    </row>
    <row r="525" ht="36" customHeight="1">
      <c r="A525" s="10" t="inlineStr">
        <is>
          <t>LME_036</t>
        </is>
      </c>
      <c r="B525" s="11" t="inlineStr">
        <is>
          <t>36_2_South_China_Sea_SCS-2007_Northern_South_China_Sea_(1970s)</t>
        </is>
      </c>
      <c r="C525" s="11" t="inlineStr">
        <is>
          <t>Metapenaeus ensis</t>
        </is>
      </c>
      <c r="D525" s="10" t="inlineStr">
        <is>
          <t>Greasyback shrimp</t>
        </is>
      </c>
      <c r="E525" s="10" t="inlineStr">
        <is>
          <t>Shrimps</t>
        </is>
      </c>
      <c r="F525" s="10" t="inlineStr">
        <is>
          <t>Crustaceans</t>
        </is>
      </c>
      <c r="G525" s="11" t="inlineStr">
        <is>
          <t>Shrimps</t>
        </is>
      </c>
      <c r="H525" s="12" t="n">
        <v>1</v>
      </c>
      <c r="I525" s="10" t="inlineStr">
        <is>
          <t>single</t>
        </is>
      </c>
      <c r="J525" s="15" t="inlineStr">
        <is>
          <t>high</t>
        </is>
      </c>
      <c r="K525" s="10" t="inlineStr">
        <is>
          <t>taxonomic_containment</t>
        </is>
      </c>
      <c r="L525" s="11" t="inlineStr">
        <is>
          <t>Stomatopods belong to the residual benthic crustaceans; other shrimp taxa belong to Shrimps after the explicitly separated Acetes records (Appendix 6.1 pp.323-326).</t>
        </is>
      </c>
      <c r="M525" s="10" t="n">
        <v>648.1900000000001</v>
      </c>
    </row>
    <row r="526" ht="36" customHeight="1">
      <c r="A526" s="10" t="inlineStr">
        <is>
          <t>LME_036</t>
        </is>
      </c>
      <c r="B526" s="11" t="inlineStr">
        <is>
          <t>36_2_South_China_Sea_SCS-2007_Northern_South_China_Sea_(1970s)</t>
        </is>
      </c>
      <c r="C526" s="11" t="inlineStr">
        <is>
          <t>Macolor</t>
        </is>
      </c>
      <c r="D526" s="10" t="inlineStr">
        <is>
          <t>Snappers</t>
        </is>
      </c>
      <c r="E526" s="10" t="inlineStr">
        <is>
          <t>Medium reef assoc. fish (30 - 89 cm)</t>
        </is>
      </c>
      <c r="F526" s="10" t="inlineStr">
        <is>
          <t>Perch-likes</t>
        </is>
      </c>
      <c r="G526" s="11" t="inlineStr">
        <is>
          <t>Snappers</t>
        </is>
      </c>
      <c r="H526" s="12" t="n">
        <v>1</v>
      </c>
      <c r="I526" s="10" t="inlineStr">
        <is>
          <t>single</t>
        </is>
      </c>
      <c r="J526" s="15" t="inlineStr">
        <is>
          <t>high</t>
        </is>
      </c>
      <c r="K526" s="10" t="inlineStr">
        <is>
          <t>taxonomic_containment</t>
        </is>
      </c>
      <c r="L526" s="11" t="inlineStr">
        <is>
          <t>Appendix 6.1 pp.327-335 defines Snappers by this family or explicitly names Macolor; dedicated source placement overrides the SAU class Medium reef assoc. fish (30 - 89 cm).</t>
        </is>
      </c>
      <c r="M526" s="10" t="n">
        <v>625.67</v>
      </c>
    </row>
    <row r="527" ht="36" customHeight="1">
      <c r="A527" s="10" t="inlineStr">
        <is>
          <t>LME_036</t>
        </is>
      </c>
      <c r="B527" s="11" t="inlineStr">
        <is>
          <t>36_2_South_China_Sea_SCS-2007_Northern_South_China_Sea_(1970s)</t>
        </is>
      </c>
      <c r="C527" s="11" t="inlineStr">
        <is>
          <t>Haliotis</t>
        </is>
      </c>
      <c r="D527" s="10" t="inlineStr">
        <is>
          <t>Abalones</t>
        </is>
      </c>
      <c r="E527" s="10" t="inlineStr">
        <is>
          <t>Other demersal invertebrates</t>
        </is>
      </c>
      <c r="F527" s="10" t="inlineStr">
        <is>
          <t>Molluscs</t>
        </is>
      </c>
      <c r="G527" s="11" t="inlineStr">
        <is>
          <t>Non-ceph molluscs</t>
        </is>
      </c>
      <c r="H527" s="12" t="n">
        <v>1</v>
      </c>
      <c r="I527" s="10" t="inlineStr">
        <is>
          <t>single</t>
        </is>
      </c>
      <c r="J527" s="15" t="inlineStr">
        <is>
          <t>high</t>
        </is>
      </c>
      <c r="K527" s="10" t="inlineStr">
        <is>
          <t>taxonomic_containment</t>
        </is>
      </c>
      <c r="L527" s="11" t="inlineStr">
        <is>
          <t>Taxonomic containment in the source benthos subdivision (Appendix 6.1.5 pp.324-325), keeping non-cephalopod molluscs separate from echinoderms and sessile invertebrates.</t>
        </is>
      </c>
      <c r="M527" s="10" t="n">
        <v>566.4690000000001</v>
      </c>
    </row>
    <row r="528" ht="51" customHeight="1">
      <c r="A528" s="10" t="inlineStr">
        <is>
          <t>LME_036</t>
        </is>
      </c>
      <c r="B528" s="11" t="inlineStr">
        <is>
          <t>36_2_South_China_Sea_SCS-2007_Northern_South_China_Sea_(1970s)</t>
        </is>
      </c>
      <c r="C528" s="11" t="inlineStr">
        <is>
          <t>Berycidae</t>
        </is>
      </c>
      <c r="D528" s="10" t="inlineStr">
        <is>
          <t>Alfonsinos, redfishes</t>
        </is>
      </c>
      <c r="E528" s="10" t="inlineStr">
        <is>
          <t>Medium benthopelagics (30 - 89 cm)</t>
        </is>
      </c>
      <c r="F528" s="10" t="inlineStr">
        <is>
          <t>Other fishes &amp; inverts</t>
        </is>
      </c>
      <c r="G528" s="11" t="inlineStr">
        <is>
          <t>Benthopelagic fish</t>
        </is>
      </c>
      <c r="H528" s="12" t="n">
        <v>1</v>
      </c>
      <c r="I528" s="10" t="inlineStr">
        <is>
          <t>single</t>
        </is>
      </c>
      <c r="J528" s="13" t="inlineStr">
        <is>
          <t>low</t>
        </is>
      </c>
      <c r="K528" s="10" t="inlineStr">
        <is>
          <t>habitat_size_guild</t>
        </is>
      </c>
      <c r="L528" s="11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  <c r="M528" s="10" t="n">
        <v>507.146</v>
      </c>
    </row>
    <row r="529" ht="36" customHeight="1">
      <c r="A529" s="10" t="inlineStr">
        <is>
          <t>LME_036</t>
        </is>
      </c>
      <c r="B529" s="11" t="inlineStr">
        <is>
          <t>36_2_South_China_Sea_SCS-2007_Northern_South_China_Sea_(1970s)</t>
        </is>
      </c>
      <c r="C529" s="11" t="inlineStr">
        <is>
          <t>Makaira</t>
        </is>
      </c>
      <c r="D529" s="10" t="inlineStr">
        <is>
          <t>Blue marlins</t>
        </is>
      </c>
      <c r="E529" s="10" t="inlineStr">
        <is>
          <t>Large pelagics (&gt;=90 cm)</t>
        </is>
      </c>
      <c r="F529" s="10" t="inlineStr">
        <is>
          <t>Tuna &amp; billfishes</t>
        </is>
      </c>
      <c r="G529" s="11" t="inlineStr">
        <is>
          <t>Unresolved</t>
        </is>
      </c>
      <c r="H529" s="12" t="n"/>
      <c r="I529" s="10" t="inlineStr"/>
      <c r="J529" s="16" t="inlineStr">
        <is>
          <t>unresolved</t>
        </is>
      </c>
      <c r="K529" s="10" t="inlineStr">
        <is>
          <t>none</t>
        </is>
      </c>
      <c r="L529" s="11" t="inlineStr">
        <is>
          <t>Northern continental-shelf model lacks a documented oceanic billfish or deep-pelagic compartment; assigning coastal juvenile/adult pelagic SPPR would be unsupported.</t>
        </is>
      </c>
      <c r="M529" s="10" t="n">
        <v>455.099</v>
      </c>
    </row>
    <row r="530" ht="36" customHeight="1">
      <c r="A530" s="10" t="inlineStr">
        <is>
          <t>LME_036</t>
        </is>
      </c>
      <c r="B530" s="11" t="inlineStr">
        <is>
          <t>36_2_South_China_Sea_SCS-2007_Northern_South_China_Sea_(1970s)</t>
        </is>
      </c>
      <c r="C530" s="11" t="inlineStr">
        <is>
          <t>Lutjanus bohar</t>
        </is>
      </c>
      <c r="D530" s="10" t="inlineStr">
        <is>
          <t>Two-spot red snapper</t>
        </is>
      </c>
      <c r="E530" s="10" t="inlineStr">
        <is>
          <t>Medium reef assoc. fish (30 - 89 cm)</t>
        </is>
      </c>
      <c r="F530" s="10" t="inlineStr">
        <is>
          <t>Perch-likes</t>
        </is>
      </c>
      <c r="G530" s="11" t="inlineStr">
        <is>
          <t>Snappers</t>
        </is>
      </c>
      <c r="H530" s="12" t="n">
        <v>1</v>
      </c>
      <c r="I530" s="10" t="inlineStr">
        <is>
          <t>single</t>
        </is>
      </c>
      <c r="J530" s="15" t="inlineStr">
        <is>
          <t>high</t>
        </is>
      </c>
      <c r="K530" s="10" t="inlineStr">
        <is>
          <t>taxonomic_containment</t>
        </is>
      </c>
      <c r="L530" s="11" t="inlineStr">
        <is>
          <t>Appendix 6.1 pp.327-335 defines Snappers by this family or explicitly names Lutjanus bohar; dedicated source placement overrides the SAU class Medium reef assoc. fish (30 - 89 cm).</t>
        </is>
      </c>
      <c r="M530" s="10" t="n">
        <v>430.281</v>
      </c>
    </row>
    <row r="531" ht="51" customHeight="1">
      <c r="A531" s="10" t="inlineStr">
        <is>
          <t>LME_036</t>
        </is>
      </c>
      <c r="B531" s="11" t="inlineStr">
        <is>
          <t>36_2_South_China_Sea_SCS-2007_Northern_South_China_Sea_(1970s)</t>
        </is>
      </c>
      <c r="C531" s="11" t="inlineStr">
        <is>
          <t>Pomadasys argenteus</t>
        </is>
      </c>
      <c r="D531" s="10" t="inlineStr">
        <is>
          <t>Silver grunt</t>
        </is>
      </c>
      <c r="E531" s="10" t="inlineStr">
        <is>
          <t>Medium demersals (30 - 89 cm)</t>
        </is>
      </c>
      <c r="F531" s="10" t="inlineStr">
        <is>
          <t>Perch-likes</t>
        </is>
      </c>
      <c r="G531" s="11" t="inlineStr">
        <is>
          <t>Juvenile demersal fish (&gt; 30 cm)</t>
        </is>
      </c>
      <c r="H531" s="12" t="n">
        <v>0.2002781641168289</v>
      </c>
      <c r="I531" s="10" t="inlineStr">
        <is>
          <t>model_catch</t>
        </is>
      </c>
      <c r="J531" s="14" t="inlineStr">
        <is>
          <t>medium</t>
        </is>
      </c>
      <c r="K531" s="10" t="inlineStr">
        <is>
          <t>composite_split</t>
        </is>
      </c>
      <c r="L531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531" s="10" t="n">
        <v>346.7</v>
      </c>
    </row>
    <row r="532" ht="51" customHeight="1">
      <c r="A532" s="10" t="inlineStr">
        <is>
          <t>LME_036</t>
        </is>
      </c>
      <c r="B532" s="11" t="inlineStr">
        <is>
          <t>36_2_South_China_Sea_SCS-2007_Northern_South_China_Sea_(1970s)</t>
        </is>
      </c>
      <c r="C532" s="11" t="inlineStr">
        <is>
          <t>Pomadasys argenteus</t>
        </is>
      </c>
      <c r="D532" s="10" t="inlineStr">
        <is>
          <t>Silver grunt</t>
        </is>
      </c>
      <c r="E532" s="10" t="inlineStr">
        <is>
          <t>Medium demersals (30 - 89 cm)</t>
        </is>
      </c>
      <c r="F532" s="10" t="inlineStr">
        <is>
          <t>Perch-likes</t>
        </is>
      </c>
      <c r="G532" s="11" t="inlineStr">
        <is>
          <t>Adult demersal fish (&gt; 30 cm)</t>
        </is>
      </c>
      <c r="H532" s="12" t="n">
        <v>0.799721835883171</v>
      </c>
      <c r="I532" s="10" t="inlineStr">
        <is>
          <t>model_catch</t>
        </is>
      </c>
      <c r="J532" s="14" t="inlineStr">
        <is>
          <t>medium</t>
        </is>
      </c>
      <c r="K532" s="10" t="inlineStr">
        <is>
          <t>composite_split</t>
        </is>
      </c>
      <c r="L532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532" s="10" t="n">
        <v>346.7</v>
      </c>
    </row>
    <row r="533" ht="51" customHeight="1">
      <c r="A533" s="10" t="inlineStr">
        <is>
          <t>LME_036</t>
        </is>
      </c>
      <c r="B533" s="11" t="inlineStr">
        <is>
          <t>36_2_South_China_Sea_SCS-2007_Northern_South_China_Sea_(1970s)</t>
        </is>
      </c>
      <c r="C533" s="11" t="inlineStr">
        <is>
          <t>Caranx sexfasciatus</t>
        </is>
      </c>
      <c r="D533" s="10" t="inlineStr">
        <is>
          <t>Bigeye trevally</t>
        </is>
      </c>
      <c r="E533" s="10" t="inlineStr">
        <is>
          <t>Large reef assoc. fish (&gt;=90 cm)</t>
        </is>
      </c>
      <c r="F533" s="10" t="inlineStr">
        <is>
          <t>Perch-likes</t>
        </is>
      </c>
      <c r="G533" s="11" t="inlineStr">
        <is>
          <t>Juvenile large pelagic fish</t>
        </is>
      </c>
      <c r="H533" s="12" t="n">
        <v>0.2016806722689076</v>
      </c>
      <c r="I533" s="10" t="inlineStr">
        <is>
          <t>model_catch</t>
        </is>
      </c>
      <c r="J533" s="14" t="inlineStr">
        <is>
          <t>medium</t>
        </is>
      </c>
      <c r="K533" s="10" t="inlineStr">
        <is>
          <t>composite_split</t>
        </is>
      </c>
      <c r="L533" s="11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533" s="10" t="n">
        <v>293.675</v>
      </c>
    </row>
    <row r="534" ht="51" customHeight="1">
      <c r="A534" s="10" t="inlineStr">
        <is>
          <t>LME_036</t>
        </is>
      </c>
      <c r="B534" s="11" t="inlineStr">
        <is>
          <t>36_2_South_China_Sea_SCS-2007_Northern_South_China_Sea_(1970s)</t>
        </is>
      </c>
      <c r="C534" s="11" t="inlineStr">
        <is>
          <t>Caranx sexfasciatus</t>
        </is>
      </c>
      <c r="D534" s="10" t="inlineStr">
        <is>
          <t>Bigeye trevally</t>
        </is>
      </c>
      <c r="E534" s="10" t="inlineStr">
        <is>
          <t>Large reef assoc. fish (&gt;=90 cm)</t>
        </is>
      </c>
      <c r="F534" s="10" t="inlineStr">
        <is>
          <t>Perch-likes</t>
        </is>
      </c>
      <c r="G534" s="11" t="inlineStr">
        <is>
          <t>Pelagic fish (&gt; 30 cm)</t>
        </is>
      </c>
      <c r="H534" s="12" t="n">
        <v>0.7983193277310925</v>
      </c>
      <c r="I534" s="10" t="inlineStr">
        <is>
          <t>model_catch</t>
        </is>
      </c>
      <c r="J534" s="14" t="inlineStr">
        <is>
          <t>medium</t>
        </is>
      </c>
      <c r="K534" s="10" t="inlineStr">
        <is>
          <t>composite_split</t>
        </is>
      </c>
      <c r="L534" s="11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534" s="10" t="n">
        <v>293.675</v>
      </c>
    </row>
    <row r="535" ht="51" customHeight="1">
      <c r="A535" s="10" t="inlineStr">
        <is>
          <t>LME_036</t>
        </is>
      </c>
      <c r="B535" s="11" t="inlineStr">
        <is>
          <t>36_2_South_China_Sea_SCS-2007_Northern_South_China_Sea_(1970s)</t>
        </is>
      </c>
      <c r="C535" s="11" t="inlineStr">
        <is>
          <t>Spratelloides</t>
        </is>
      </c>
      <c r="D535" s="10" t="inlineStr">
        <is>
          <t>Round herrings</t>
        </is>
      </c>
      <c r="E535" s="10" t="inlineStr">
        <is>
          <t>Small reef assoc. fish (&lt;30 cm)</t>
        </is>
      </c>
      <c r="F535" s="10" t="inlineStr">
        <is>
          <t>Herring-likes</t>
        </is>
      </c>
      <c r="G535" s="11" t="inlineStr">
        <is>
          <t>Pelagic fish (≤ 30 cm)</t>
        </is>
      </c>
      <c r="H535" s="12" t="n">
        <v>1</v>
      </c>
      <c r="I535" s="10" t="inlineStr">
        <is>
          <t>single</t>
        </is>
      </c>
      <c r="J535" s="14" t="inlineStr">
        <is>
          <t>medium</t>
        </is>
      </c>
      <c r="K535" s="10" t="inlineStr">
        <is>
          <t>habitat_size_guild</t>
        </is>
      </c>
      <c r="L535" s="11" t="inlineStr">
        <is>
          <t>Source small-pelagic pool explicitly includes sardines, thryssa and anchovies (Appendix 6.1.23 p.338); extension to the catch lineage uses SAU size as a proxy and is not a full species list.</t>
        </is>
      </c>
      <c r="M535" s="10" t="n">
        <v>262.48</v>
      </c>
    </row>
    <row r="536" ht="51" customHeight="1">
      <c r="A536" s="10" t="inlineStr">
        <is>
          <t>LME_036</t>
        </is>
      </c>
      <c r="B536" s="11" t="inlineStr">
        <is>
          <t>36_2_South_China_Sea_SCS-2007_Northern_South_China_Sea_(1970s)</t>
        </is>
      </c>
      <c r="C536" s="11" t="inlineStr">
        <is>
          <t>Nibea albiflora</t>
        </is>
      </c>
      <c r="D536" s="10" t="inlineStr">
        <is>
          <t>Yellow drum</t>
        </is>
      </c>
      <c r="E536" s="10" t="inlineStr">
        <is>
          <t>Medium benthopelagics (30 - 89 cm)</t>
        </is>
      </c>
      <c r="F536" s="10" t="inlineStr">
        <is>
          <t>Perch-likes</t>
        </is>
      </c>
      <c r="G536" s="11" t="inlineStr">
        <is>
          <t>Juvenile large croakers</t>
        </is>
      </c>
      <c r="H536" s="12" t="n">
        <v>0.2</v>
      </c>
      <c r="I536" s="10" t="inlineStr">
        <is>
          <t>model_catch</t>
        </is>
      </c>
      <c r="J536" s="13" t="inlineStr">
        <is>
          <t>low</t>
        </is>
      </c>
      <c r="K536" s="10" t="inlineStr">
        <is>
          <t>composite_split</t>
        </is>
      </c>
      <c r="L536" s="11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  <c r="M536" s="10" t="n">
        <v>252.85</v>
      </c>
    </row>
    <row r="537" ht="51" customHeight="1">
      <c r="A537" s="10" t="inlineStr">
        <is>
          <t>LME_036</t>
        </is>
      </c>
      <c r="B537" s="11" t="inlineStr">
        <is>
          <t>36_2_South_China_Sea_SCS-2007_Northern_South_China_Sea_(1970s)</t>
        </is>
      </c>
      <c r="C537" s="11" t="inlineStr">
        <is>
          <t>Nibea albiflora</t>
        </is>
      </c>
      <c r="D537" s="10" t="inlineStr">
        <is>
          <t>Yellow drum</t>
        </is>
      </c>
      <c r="E537" s="10" t="inlineStr">
        <is>
          <t>Medium benthopelagics (30 - 89 cm)</t>
        </is>
      </c>
      <c r="F537" s="10" t="inlineStr">
        <is>
          <t>Perch-likes</t>
        </is>
      </c>
      <c r="G537" s="11" t="inlineStr">
        <is>
          <t>Croakers (&gt; 30 cm)</t>
        </is>
      </c>
      <c r="H537" s="12" t="n">
        <v>0.8</v>
      </c>
      <c r="I537" s="10" t="inlineStr">
        <is>
          <t>model_catch</t>
        </is>
      </c>
      <c r="J537" s="13" t="inlineStr">
        <is>
          <t>low</t>
        </is>
      </c>
      <c r="K537" s="10" t="inlineStr">
        <is>
          <t>composite_split</t>
        </is>
      </c>
      <c r="L537" s="11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  <c r="M537" s="10" t="n">
        <v>252.85</v>
      </c>
    </row>
    <row r="538" ht="36" customHeight="1">
      <c r="A538" s="10" t="inlineStr">
        <is>
          <t>LME_036</t>
        </is>
      </c>
      <c r="B538" s="11" t="inlineStr">
        <is>
          <t>36_2_South_China_Sea_SCS-2007_Northern_South_China_Sea_(1970s)</t>
        </is>
      </c>
      <c r="C538" s="11" t="inlineStr">
        <is>
          <t>Bramidae</t>
        </is>
      </c>
      <c r="D538" s="10" t="inlineStr">
        <is>
          <t>Pomfrets</t>
        </is>
      </c>
      <c r="E538" s="10" t="inlineStr">
        <is>
          <t>Medium pelagics (30 - 89 cm)</t>
        </is>
      </c>
      <c r="F538" s="10" t="inlineStr">
        <is>
          <t>Perch-likes</t>
        </is>
      </c>
      <c r="G538" s="11" t="inlineStr">
        <is>
          <t>Juvenile large pelagic fish</t>
        </is>
      </c>
      <c r="H538" s="12" t="n">
        <v>0.2016806722689076</v>
      </c>
      <c r="I538" s="10" t="inlineStr">
        <is>
          <t>model_catch</t>
        </is>
      </c>
      <c r="J538" s="14" t="inlineStr">
        <is>
          <t>medium</t>
        </is>
      </c>
      <c r="K538" s="10" t="inlineStr">
        <is>
          <t>composite_split</t>
        </is>
      </c>
      <c r="L538" s="11" t="inlineStr">
        <is>
          <t>Analyst habitat/size inference to source &gt;30 cm pelagic fish (Appendix 6.1.24 p.339); no age data, so split juvenile/adult using the period model catch.</t>
        </is>
      </c>
      <c r="M538" s="10" t="n">
        <v>243.184</v>
      </c>
    </row>
    <row r="539" ht="36" customHeight="1">
      <c r="A539" s="10" t="inlineStr">
        <is>
          <t>LME_036</t>
        </is>
      </c>
      <c r="B539" s="11" t="inlineStr">
        <is>
          <t>36_2_South_China_Sea_SCS-2007_Northern_South_China_Sea_(1970s)</t>
        </is>
      </c>
      <c r="C539" s="11" t="inlineStr">
        <is>
          <t>Bramidae</t>
        </is>
      </c>
      <c r="D539" s="10" t="inlineStr">
        <is>
          <t>Pomfrets</t>
        </is>
      </c>
      <c r="E539" s="10" t="inlineStr">
        <is>
          <t>Medium pelagics (30 - 89 cm)</t>
        </is>
      </c>
      <c r="F539" s="10" t="inlineStr">
        <is>
          <t>Perch-likes</t>
        </is>
      </c>
      <c r="G539" s="11" t="inlineStr">
        <is>
          <t>Pelagic fish (&gt; 30 cm)</t>
        </is>
      </c>
      <c r="H539" s="12" t="n">
        <v>0.7983193277310925</v>
      </c>
      <c r="I539" s="10" t="inlineStr">
        <is>
          <t>model_catch</t>
        </is>
      </c>
      <c r="J539" s="14" t="inlineStr">
        <is>
          <t>medium</t>
        </is>
      </c>
      <c r="K539" s="10" t="inlineStr">
        <is>
          <t>composite_split</t>
        </is>
      </c>
      <c r="L539" s="11" t="inlineStr">
        <is>
          <t>Analyst habitat/size inference to source &gt;30 cm pelagic fish (Appendix 6.1.24 p.339); no age data, so split juvenile/adult using the period model catch.</t>
        </is>
      </c>
      <c r="M539" s="10" t="n">
        <v>243.184</v>
      </c>
    </row>
    <row r="540" ht="51" customHeight="1">
      <c r="A540" s="10" t="inlineStr">
        <is>
          <t>LME_036</t>
        </is>
      </c>
      <c r="B540" s="11" t="inlineStr">
        <is>
          <t>36_2_South_China_Sea_SCS-2007_Northern_South_China_Sea_(1970s)</t>
        </is>
      </c>
      <c r="C540" s="11" t="inlineStr">
        <is>
          <t>Anguilliformes</t>
        </is>
      </c>
      <c r="D540" s="10" t="inlineStr">
        <is>
          <t>Eels, morays</t>
        </is>
      </c>
      <c r="E540" s="10" t="inlineStr">
        <is>
          <t>Large demersals (&gt;=90 cm)</t>
        </is>
      </c>
      <c r="F540" s="10" t="inlineStr">
        <is>
          <t>Other fishes &amp; inverts</t>
        </is>
      </c>
      <c r="G540" s="11" t="inlineStr">
        <is>
          <t>Juvenile demersal fish (&gt; 30 cm)</t>
        </is>
      </c>
      <c r="H540" s="12" t="n">
        <v>0.2002781641168289</v>
      </c>
      <c r="I540" s="10" t="inlineStr">
        <is>
          <t>model_catch</t>
        </is>
      </c>
      <c r="J540" s="14" t="inlineStr">
        <is>
          <t>medium</t>
        </is>
      </c>
      <c r="K540" s="10" t="inlineStr">
        <is>
          <t>composite_split</t>
        </is>
      </c>
      <c r="L540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540" s="10" t="n">
        <v>186.602</v>
      </c>
    </row>
    <row r="541" ht="51" customHeight="1">
      <c r="A541" s="10" t="inlineStr">
        <is>
          <t>LME_036</t>
        </is>
      </c>
      <c r="B541" s="11" t="inlineStr">
        <is>
          <t>36_2_South_China_Sea_SCS-2007_Northern_South_China_Sea_(1970s)</t>
        </is>
      </c>
      <c r="C541" s="11" t="inlineStr">
        <is>
          <t>Anguilliformes</t>
        </is>
      </c>
      <c r="D541" s="10" t="inlineStr">
        <is>
          <t>Eels, morays</t>
        </is>
      </c>
      <c r="E541" s="10" t="inlineStr">
        <is>
          <t>Large demersals (&gt;=90 cm)</t>
        </is>
      </c>
      <c r="F541" s="10" t="inlineStr">
        <is>
          <t>Other fishes &amp; inverts</t>
        </is>
      </c>
      <c r="G541" s="11" t="inlineStr">
        <is>
          <t>Adult demersal fish (&gt; 30 cm)</t>
        </is>
      </c>
      <c r="H541" s="12" t="n">
        <v>0.799721835883171</v>
      </c>
      <c r="I541" s="10" t="inlineStr">
        <is>
          <t>model_catch</t>
        </is>
      </c>
      <c r="J541" s="14" t="inlineStr">
        <is>
          <t>medium</t>
        </is>
      </c>
      <c r="K541" s="10" t="inlineStr">
        <is>
          <t>composite_split</t>
        </is>
      </c>
      <c r="L541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541" s="10" t="n">
        <v>186.602</v>
      </c>
    </row>
    <row r="542" ht="36" customHeight="1">
      <c r="A542" s="10" t="inlineStr">
        <is>
          <t>LME_036</t>
        </is>
      </c>
      <c r="B542" s="11" t="inlineStr">
        <is>
          <t>36_2_South_China_Sea_SCS-2007_Northern_South_China_Sea_(1970s)</t>
        </is>
      </c>
      <c r="C542" s="11" t="inlineStr">
        <is>
          <t>Crassostrea</t>
        </is>
      </c>
      <c r="D542" s="10" t="inlineStr">
        <is>
          <t>Cupped oysters</t>
        </is>
      </c>
      <c r="E542" s="10" t="inlineStr">
        <is>
          <t>Other demersal invertebrates</t>
        </is>
      </c>
      <c r="F542" s="10" t="inlineStr">
        <is>
          <t>Molluscs</t>
        </is>
      </c>
      <c r="G542" s="11" t="inlineStr">
        <is>
          <t>Non-ceph molluscs</t>
        </is>
      </c>
      <c r="H542" s="12" t="n">
        <v>1</v>
      </c>
      <c r="I542" s="10" t="inlineStr">
        <is>
          <t>single</t>
        </is>
      </c>
      <c r="J542" s="15" t="inlineStr">
        <is>
          <t>high</t>
        </is>
      </c>
      <c r="K542" s="10" t="inlineStr">
        <is>
          <t>taxonomic_containment</t>
        </is>
      </c>
      <c r="L542" s="11" t="inlineStr">
        <is>
          <t>Taxonomic containment in the source benthos subdivision (Appendix 6.1.5 pp.324-325), keeping non-cephalopod molluscs separate from echinoderms and sessile invertebrates.</t>
        </is>
      </c>
      <c r="M542" s="10" t="n">
        <v>159.458</v>
      </c>
    </row>
    <row r="543" ht="36" customHeight="1">
      <c r="A543" s="10" t="inlineStr">
        <is>
          <t>LME_036</t>
        </is>
      </c>
      <c r="B543" s="11" t="inlineStr">
        <is>
          <t>36_2_South_China_Sea_SCS-2007_Northern_South_China_Sea_(1970s)</t>
        </is>
      </c>
      <c r="C543" s="11" t="inlineStr">
        <is>
          <t>Hippocampus</t>
        </is>
      </c>
      <c r="D543" s="10" t="inlineStr">
        <is>
          <t>Seahorses</t>
        </is>
      </c>
      <c r="E543" s="10" t="inlineStr">
        <is>
          <t>Small reef assoc. fish (&lt;30 cm)</t>
        </is>
      </c>
      <c r="F543" s="10" t="inlineStr">
        <is>
          <t>Other fishes &amp; inverts</t>
        </is>
      </c>
      <c r="G543" s="11" t="inlineStr">
        <is>
          <t>Demesral fish (≤ 30 cm)</t>
        </is>
      </c>
      <c r="H543" s="12" t="n">
        <v>1</v>
      </c>
      <c r="I543" s="10" t="inlineStr">
        <is>
          <t>single</t>
        </is>
      </c>
      <c r="J543" s="14" t="inlineStr">
        <is>
          <t>medium</t>
        </is>
      </c>
      <c r="K543" s="10" t="inlineStr">
        <is>
          <t>habitat_size_guild</t>
        </is>
      </c>
      <c r="L543" s="11" t="inlineStr">
        <is>
          <t>Analyst habitat/size inference: small demersal or reef-associated fish after excluding dedicated taxonomic groups, matching Appendix 6.1.19 &lt;=30 cm residual demersal pool.</t>
        </is>
      </c>
      <c r="M543" s="10" t="n">
        <v>148.11</v>
      </c>
    </row>
    <row r="544" ht="36" customHeight="1">
      <c r="A544" s="10" t="inlineStr">
        <is>
          <t>LME_036</t>
        </is>
      </c>
      <c r="B544" s="11" t="inlineStr">
        <is>
          <t>36_2_South_China_Sea_SCS-2007_Northern_South_China_Sea_(1970s)</t>
        </is>
      </c>
      <c r="C544" s="11" t="inlineStr">
        <is>
          <t>Holothuriidae</t>
        </is>
      </c>
      <c r="D544" s="10" t="inlineStr">
        <is>
          <t>Fleshy sea cucumbers</t>
        </is>
      </c>
      <c r="E544" s="10" t="inlineStr">
        <is>
          <t>Other demersal invertebrates</t>
        </is>
      </c>
      <c r="F544" s="10" t="inlineStr">
        <is>
          <t>Other fishes &amp; inverts</t>
        </is>
      </c>
      <c r="G544" s="11" t="inlineStr">
        <is>
          <t>Echinoderms</t>
        </is>
      </c>
      <c r="H544" s="12" t="n">
        <v>1</v>
      </c>
      <c r="I544" s="10" t="inlineStr">
        <is>
          <t>single</t>
        </is>
      </c>
      <c r="J544" s="15" t="inlineStr">
        <is>
          <t>high</t>
        </is>
      </c>
      <c r="K544" s="10" t="inlineStr">
        <is>
          <t>taxonomic_containment</t>
        </is>
      </c>
      <c r="L544" s="11" t="inlineStr">
        <is>
          <t>Taxonomic containment in the source benthos subdivision (Appendix 6.1.5 pp.324-325), keeping non-cephalopod molluscs separate from echinoderms and sessile invertebrates.</t>
        </is>
      </c>
      <c r="M544" s="10" t="n">
        <v>111.296</v>
      </c>
    </row>
    <row r="545" ht="36" customHeight="1">
      <c r="A545" s="10" t="inlineStr">
        <is>
          <t>LME_036</t>
        </is>
      </c>
      <c r="B545" s="11" t="inlineStr">
        <is>
          <t>36_2_South_China_Sea_SCS-2007_Northern_South_China_Sea_(1970s)</t>
        </is>
      </c>
      <c r="C545" s="11" t="inlineStr">
        <is>
          <t>Isurus oxyrinchus</t>
        </is>
      </c>
      <c r="D545" s="10" t="inlineStr">
        <is>
          <t>Shortfin mako</t>
        </is>
      </c>
      <c r="E545" s="10" t="inlineStr">
        <is>
          <t>Large sharks (&gt;=90 cm)</t>
        </is>
      </c>
      <c r="F545" s="10" t="inlineStr">
        <is>
          <t>Sharks &amp; rays</t>
        </is>
      </c>
      <c r="G545" s="11" t="inlineStr">
        <is>
          <t>Pelagic sharks and rays</t>
        </is>
      </c>
      <c r="H545" s="12" t="n">
        <v>1</v>
      </c>
      <c r="I545" s="10" t="inlineStr">
        <is>
          <t>single</t>
        </is>
      </c>
      <c r="J545" s="14" t="inlineStr">
        <is>
          <t>medium</t>
        </is>
      </c>
      <c r="K545" s="10" t="inlineStr">
        <is>
          <t>habitat_size_guild</t>
        </is>
      </c>
      <c r="L545" s="11" t="inlineStr">
        <is>
          <t>Pelagic shark lineage matches the pelagic elasmobranch definition, Appendix 6.1.25 p.340; species placement is analyst inference.</t>
        </is>
      </c>
      <c r="M545" s="10" t="n">
        <v>107.259</v>
      </c>
    </row>
    <row r="546" ht="51" customHeight="1">
      <c r="A546" s="10" t="inlineStr">
        <is>
          <t>LME_036</t>
        </is>
      </c>
      <c r="B546" s="11" t="inlineStr">
        <is>
          <t>36_2_South_China_Sea_SCS-2007_Northern_South_China_Sea_(1970s)</t>
        </is>
      </c>
      <c r="C546" s="11" t="inlineStr">
        <is>
          <t>Amblygaster sirm</t>
        </is>
      </c>
      <c r="D546" s="10" t="inlineStr">
        <is>
          <t>Spotted sardinella</t>
        </is>
      </c>
      <c r="E546" s="10" t="inlineStr">
        <is>
          <t>Small pelagics (&lt;30 cm)</t>
        </is>
      </c>
      <c r="F546" s="10" t="inlineStr">
        <is>
          <t>Herring-likes</t>
        </is>
      </c>
      <c r="G546" s="11" t="inlineStr">
        <is>
          <t>Pelagic fish (≤ 30 cm)</t>
        </is>
      </c>
      <c r="H546" s="12" t="n">
        <v>1</v>
      </c>
      <c r="I546" s="10" t="inlineStr">
        <is>
          <t>single</t>
        </is>
      </c>
      <c r="J546" s="14" t="inlineStr">
        <is>
          <t>medium</t>
        </is>
      </c>
      <c r="K546" s="10" t="inlineStr">
        <is>
          <t>habitat_size_guild</t>
        </is>
      </c>
      <c r="L546" s="11" t="inlineStr">
        <is>
          <t>Source small-pelagic pool explicitly includes sardines, thryssa and anchovies (Appendix 6.1.23 p.338); extension to the catch lineage uses SAU size as a proxy and is not a full species list.</t>
        </is>
      </c>
      <c r="M546" s="10" t="n">
        <v>103.074</v>
      </c>
    </row>
    <row r="547" ht="36" customHeight="1">
      <c r="A547" s="10" t="inlineStr">
        <is>
          <t>LME_036</t>
        </is>
      </c>
      <c r="B547" s="11" t="inlineStr">
        <is>
          <t>36_2_South_China_Sea_SCS-2007_Northern_South_China_Sea_(1970s)</t>
        </is>
      </c>
      <c r="C547" s="11" t="inlineStr">
        <is>
          <t>Lampris guttatus</t>
        </is>
      </c>
      <c r="D547" s="10" t="inlineStr">
        <is>
          <t>Opah</t>
        </is>
      </c>
      <c r="E547" s="10" t="inlineStr">
        <is>
          <t>Large bathypelagics (&gt;=90 cm)</t>
        </is>
      </c>
      <c r="F547" s="10" t="inlineStr">
        <is>
          <t>Other fishes &amp; inverts</t>
        </is>
      </c>
      <c r="G547" s="11" t="inlineStr">
        <is>
          <t>Unresolved</t>
        </is>
      </c>
      <c r="H547" s="12" t="n"/>
      <c r="I547" s="10" t="inlineStr"/>
      <c r="J547" s="16" t="inlineStr">
        <is>
          <t>unresolved</t>
        </is>
      </c>
      <c r="K547" s="10" t="inlineStr">
        <is>
          <t>none</t>
        </is>
      </c>
      <c r="L547" s="11" t="inlineStr">
        <is>
          <t>Northern continental-shelf model lacks a documented oceanic billfish or deep-pelagic compartment; assigning coastal juvenile/adult pelagic SPPR would be unsupported.</t>
        </is>
      </c>
      <c r="M547" s="10" t="n">
        <v>88.896</v>
      </c>
    </row>
    <row r="548" ht="36" customHeight="1">
      <c r="A548" s="10" t="inlineStr">
        <is>
          <t>LME_036</t>
        </is>
      </c>
      <c r="B548" s="11" t="inlineStr">
        <is>
          <t>36_2_South_China_Sea_SCS-2007_Northern_South_China_Sea_(1970s)</t>
        </is>
      </c>
      <c r="C548" s="11" t="inlineStr">
        <is>
          <t>Pectinidae</t>
        </is>
      </c>
      <c r="D548" s="10" t="inlineStr">
        <is>
          <t>Scallops</t>
        </is>
      </c>
      <c r="E548" s="10" t="inlineStr">
        <is>
          <t>Other demersal invertebrates</t>
        </is>
      </c>
      <c r="F548" s="10" t="inlineStr">
        <is>
          <t>Molluscs</t>
        </is>
      </c>
      <c r="G548" s="11" t="inlineStr">
        <is>
          <t>Non-ceph molluscs</t>
        </is>
      </c>
      <c r="H548" s="12" t="n">
        <v>1</v>
      </c>
      <c r="I548" s="10" t="inlineStr">
        <is>
          <t>single</t>
        </is>
      </c>
      <c r="J548" s="15" t="inlineStr">
        <is>
          <t>high</t>
        </is>
      </c>
      <c r="K548" s="10" t="inlineStr">
        <is>
          <t>taxonomic_containment</t>
        </is>
      </c>
      <c r="L548" s="11" t="inlineStr">
        <is>
          <t>Taxonomic containment in the source benthos subdivision (Appendix 6.1.5 pp.324-325), keeping non-cephalopod molluscs separate from echinoderms and sessile invertebrates.</t>
        </is>
      </c>
      <c r="M548" s="10" t="n">
        <v>85.381</v>
      </c>
    </row>
    <row r="549" ht="36" customHeight="1">
      <c r="A549" s="10" t="inlineStr">
        <is>
          <t>LME_036</t>
        </is>
      </c>
      <c r="B549" s="11" t="inlineStr">
        <is>
          <t>36_2_South_China_Sea_SCS-2007_Northern_South_China_Sea_(1970s)</t>
        </is>
      </c>
      <c r="C549" s="11" t="inlineStr">
        <is>
          <t>Gymnosarda unicolor</t>
        </is>
      </c>
      <c r="D549" s="10" t="inlineStr">
        <is>
          <t>Dogtooth tuna</t>
        </is>
      </c>
      <c r="E549" s="10" t="inlineStr">
        <is>
          <t>Large reef assoc. fish (&gt;=90 cm)</t>
        </is>
      </c>
      <c r="F549" s="10" t="inlineStr">
        <is>
          <t>Tuna &amp; billfishes</t>
        </is>
      </c>
      <c r="G549" s="11" t="inlineStr">
        <is>
          <t>Juvenile large pelagic fish</t>
        </is>
      </c>
      <c r="H549" s="12" t="n">
        <v>0.2016806722689076</v>
      </c>
      <c r="I549" s="10" t="inlineStr">
        <is>
          <t>model_catch</t>
        </is>
      </c>
      <c r="J549" s="14" t="inlineStr">
        <is>
          <t>medium</t>
        </is>
      </c>
      <c r="K549" s="10" t="inlineStr">
        <is>
          <t>composite_split</t>
        </is>
      </c>
      <c r="L549" s="11" t="inlineStr">
        <is>
          <t>Analyst habitat/size inference to source &gt;30 cm pelagic fish (Appendix 6.1.24 p.339); no age data, so split juvenile/adult using the period model catch.</t>
        </is>
      </c>
      <c r="M549" s="10" t="n">
        <v>44.08</v>
      </c>
    </row>
    <row r="550" ht="36" customHeight="1">
      <c r="A550" s="10" t="inlineStr">
        <is>
          <t>LME_036</t>
        </is>
      </c>
      <c r="B550" s="11" t="inlineStr">
        <is>
          <t>36_2_South_China_Sea_SCS-2007_Northern_South_China_Sea_(1970s)</t>
        </is>
      </c>
      <c r="C550" s="11" t="inlineStr">
        <is>
          <t>Gymnosarda unicolor</t>
        </is>
      </c>
      <c r="D550" s="10" t="inlineStr">
        <is>
          <t>Dogtooth tuna</t>
        </is>
      </c>
      <c r="E550" s="10" t="inlineStr">
        <is>
          <t>Large reef assoc. fish (&gt;=90 cm)</t>
        </is>
      </c>
      <c r="F550" s="10" t="inlineStr">
        <is>
          <t>Tuna &amp; billfishes</t>
        </is>
      </c>
      <c r="G550" s="11" t="inlineStr">
        <is>
          <t>Pelagic fish (&gt; 30 cm)</t>
        </is>
      </c>
      <c r="H550" s="12" t="n">
        <v>0.7983193277310925</v>
      </c>
      <c r="I550" s="10" t="inlineStr">
        <is>
          <t>model_catch</t>
        </is>
      </c>
      <c r="J550" s="14" t="inlineStr">
        <is>
          <t>medium</t>
        </is>
      </c>
      <c r="K550" s="10" t="inlineStr">
        <is>
          <t>composite_split</t>
        </is>
      </c>
      <c r="L550" s="11" t="inlineStr">
        <is>
          <t>Analyst habitat/size inference to source &gt;30 cm pelagic fish (Appendix 6.1.24 p.339); no age data, so split juvenile/adult using the period model catch.</t>
        </is>
      </c>
      <c r="M550" s="10" t="n">
        <v>44.08</v>
      </c>
    </row>
    <row r="551" ht="36" customHeight="1">
      <c r="A551" s="10" t="inlineStr">
        <is>
          <t>LME_036</t>
        </is>
      </c>
      <c r="B551" s="11" t="inlineStr">
        <is>
          <t>36_2_South_China_Sea_SCS-2007_Northern_South_China_Sea_(1970s)</t>
        </is>
      </c>
      <c r="C551" s="11" t="inlineStr">
        <is>
          <t>Tenualosa toli</t>
        </is>
      </c>
      <c r="D551" s="10" t="inlineStr">
        <is>
          <t>Toli shad</t>
        </is>
      </c>
      <c r="E551" s="10" t="inlineStr">
        <is>
          <t>Medium pelagics (30 - 89 cm)</t>
        </is>
      </c>
      <c r="F551" s="10" t="inlineStr">
        <is>
          <t>Herring-likes</t>
        </is>
      </c>
      <c r="G551" s="11" t="inlineStr">
        <is>
          <t>Juvenile large pelagic fish</t>
        </is>
      </c>
      <c r="H551" s="12" t="n">
        <v>0.2016806722689076</v>
      </c>
      <c r="I551" s="10" t="inlineStr">
        <is>
          <t>model_catch</t>
        </is>
      </c>
      <c r="J551" s="14" t="inlineStr">
        <is>
          <t>medium</t>
        </is>
      </c>
      <c r="K551" s="10" t="inlineStr">
        <is>
          <t>composite_split</t>
        </is>
      </c>
      <c r="L551" s="11" t="inlineStr">
        <is>
          <t>Analyst habitat/size inference to source &gt;30 cm pelagic fish (Appendix 6.1.24 p.339); no age data, so split juvenile/adult using the period model catch.</t>
        </is>
      </c>
      <c r="M551" s="10" t="n">
        <v>35.53</v>
      </c>
    </row>
    <row r="552" ht="36" customHeight="1">
      <c r="A552" s="10" t="inlineStr">
        <is>
          <t>LME_036</t>
        </is>
      </c>
      <c r="B552" s="11" t="inlineStr">
        <is>
          <t>36_2_South_China_Sea_SCS-2007_Northern_South_China_Sea_(1970s)</t>
        </is>
      </c>
      <c r="C552" s="11" t="inlineStr">
        <is>
          <t>Tenualosa toli</t>
        </is>
      </c>
      <c r="D552" s="10" t="inlineStr">
        <is>
          <t>Toli shad</t>
        </is>
      </c>
      <c r="E552" s="10" t="inlineStr">
        <is>
          <t>Medium pelagics (30 - 89 cm)</t>
        </is>
      </c>
      <c r="F552" s="10" t="inlineStr">
        <is>
          <t>Herring-likes</t>
        </is>
      </c>
      <c r="G552" s="11" t="inlineStr">
        <is>
          <t>Pelagic fish (&gt; 30 cm)</t>
        </is>
      </c>
      <c r="H552" s="12" t="n">
        <v>0.7983193277310925</v>
      </c>
      <c r="I552" s="10" t="inlineStr">
        <is>
          <t>model_catch</t>
        </is>
      </c>
      <c r="J552" s="14" t="inlineStr">
        <is>
          <t>medium</t>
        </is>
      </c>
      <c r="K552" s="10" t="inlineStr">
        <is>
          <t>composite_split</t>
        </is>
      </c>
      <c r="L552" s="11" t="inlineStr">
        <is>
          <t>Analyst habitat/size inference to source &gt;30 cm pelagic fish (Appendix 6.1.24 p.339); no age data, so split juvenile/adult using the period model catch.</t>
        </is>
      </c>
      <c r="M552" s="10" t="n">
        <v>35.53</v>
      </c>
    </row>
    <row r="553" ht="36" customHeight="1">
      <c r="A553" s="10" t="inlineStr">
        <is>
          <t>LME_036</t>
        </is>
      </c>
      <c r="B553" s="11" t="inlineStr">
        <is>
          <t>36_2_South_China_Sea_SCS-2007_Northern_South_China_Sea_(1970s)</t>
        </is>
      </c>
      <c r="C553" s="11" t="inlineStr">
        <is>
          <t>Sphyrna</t>
        </is>
      </c>
      <c r="D553" s="10" t="inlineStr">
        <is>
          <t>Hammerhead sharks</t>
        </is>
      </c>
      <c r="E553" s="10" t="inlineStr">
        <is>
          <t>Large sharks (&gt;=90 cm)</t>
        </is>
      </c>
      <c r="F553" s="10" t="inlineStr">
        <is>
          <t>Sharks &amp; rays</t>
        </is>
      </c>
      <c r="G553" s="11" t="inlineStr">
        <is>
          <t>Pelagic sharks and rays</t>
        </is>
      </c>
      <c r="H553" s="12" t="n">
        <v>1</v>
      </c>
      <c r="I553" s="10" t="inlineStr">
        <is>
          <t>single</t>
        </is>
      </c>
      <c r="J553" s="14" t="inlineStr">
        <is>
          <t>medium</t>
        </is>
      </c>
      <c r="K553" s="10" t="inlineStr">
        <is>
          <t>habitat_size_guild</t>
        </is>
      </c>
      <c r="L553" s="11" t="inlineStr">
        <is>
          <t>Pelagic shark lineage matches the pelagic elasmobranch definition, Appendix 6.1.25 p.340; species placement is analyst inference.</t>
        </is>
      </c>
      <c r="M553" s="10" t="n">
        <v>33.286</v>
      </c>
    </row>
    <row r="554" ht="36" customHeight="1">
      <c r="A554" s="10" t="inlineStr">
        <is>
          <t>LME_036</t>
        </is>
      </c>
      <c r="B554" s="11" t="inlineStr">
        <is>
          <t>36_2_South_China_Sea_SCS-2007_Northern_South_China_Sea_(1970s)</t>
        </is>
      </c>
      <c r="C554" s="11" t="inlineStr">
        <is>
          <t>Ostreidae</t>
        </is>
      </c>
      <c r="D554" s="10" t="inlineStr">
        <is>
          <t>True oysters</t>
        </is>
      </c>
      <c r="E554" s="10" t="inlineStr">
        <is>
          <t>Other demersal invertebrates</t>
        </is>
      </c>
      <c r="F554" s="10" t="inlineStr">
        <is>
          <t>Molluscs</t>
        </is>
      </c>
      <c r="G554" s="11" t="inlineStr">
        <is>
          <t>Non-ceph molluscs</t>
        </is>
      </c>
      <c r="H554" s="12" t="n">
        <v>1</v>
      </c>
      <c r="I554" s="10" t="inlineStr">
        <is>
          <t>single</t>
        </is>
      </c>
      <c r="J554" s="15" t="inlineStr">
        <is>
          <t>high</t>
        </is>
      </c>
      <c r="K554" s="10" t="inlineStr">
        <is>
          <t>taxonomic_containment</t>
        </is>
      </c>
      <c r="L554" s="11" t="inlineStr">
        <is>
          <t>Taxonomic containment in the source benthos subdivision (Appendix 6.1.5 pp.324-325), keeping non-cephalopod molluscs separate from echinoderms and sessile invertebrates.</t>
        </is>
      </c>
      <c r="M554" s="10" t="n">
        <v>29.373</v>
      </c>
    </row>
    <row r="555" ht="36" customHeight="1">
      <c r="A555" s="10" t="inlineStr">
        <is>
          <t>LME_036</t>
        </is>
      </c>
      <c r="B555" s="11" t="inlineStr">
        <is>
          <t>36_2_South_China_Sea_SCS-2007_Northern_South_China_Sea_(1970s)</t>
        </is>
      </c>
      <c r="C555" s="11" t="inlineStr">
        <is>
          <t>Tripneustes gratilla</t>
        </is>
      </c>
      <c r="D555" s="10" t="inlineStr">
        <is>
          <t>Shortspine urchin</t>
        </is>
      </c>
      <c r="E555" s="10" t="inlineStr">
        <is>
          <t>Other demersal invertebrates</t>
        </is>
      </c>
      <c r="F555" s="10" t="inlineStr">
        <is>
          <t>Other fishes &amp; inverts</t>
        </is>
      </c>
      <c r="G555" s="11" t="inlineStr">
        <is>
          <t>Echinoderms</t>
        </is>
      </c>
      <c r="H555" s="12" t="n">
        <v>1</v>
      </c>
      <c r="I555" s="10" t="inlineStr">
        <is>
          <t>single</t>
        </is>
      </c>
      <c r="J555" s="15" t="inlineStr">
        <is>
          <t>high</t>
        </is>
      </c>
      <c r="K555" s="10" t="inlineStr">
        <is>
          <t>taxonomic_containment</t>
        </is>
      </c>
      <c r="L555" s="11" t="inlineStr">
        <is>
          <t>Taxonomic containment in the source benthos subdivision (Appendix 6.1.5 pp.324-325), keeping non-cephalopod molluscs separate from echinoderms and sessile invertebrates.</t>
        </is>
      </c>
      <c r="M555" s="10" t="n">
        <v>23.761</v>
      </c>
    </row>
    <row r="556" ht="51" customHeight="1">
      <c r="A556" s="10" t="inlineStr">
        <is>
          <t>LME_036</t>
        </is>
      </c>
      <c r="B556" s="11" t="inlineStr">
        <is>
          <t>36_2_South_China_Sea_SCS-2007_Northern_South_China_Sea_(1970s)</t>
        </is>
      </c>
      <c r="C556" s="11" t="inlineStr">
        <is>
          <t>Lutjanus argentimaculatus</t>
        </is>
      </c>
      <c r="D556" s="10" t="inlineStr">
        <is>
          <t>Mangrove red snapper</t>
        </is>
      </c>
      <c r="E556" s="10" t="inlineStr">
        <is>
          <t>Large reef assoc. fish (&gt;=90 cm)</t>
        </is>
      </c>
      <c r="F556" s="10" t="inlineStr">
        <is>
          <t>Perch-likes</t>
        </is>
      </c>
      <c r="G556" s="11" t="inlineStr">
        <is>
          <t>Snappers</t>
        </is>
      </c>
      <c r="H556" s="12" t="n">
        <v>1</v>
      </c>
      <c r="I556" s="10" t="inlineStr">
        <is>
          <t>single</t>
        </is>
      </c>
      <c r="J556" s="15" t="inlineStr">
        <is>
          <t>high</t>
        </is>
      </c>
      <c r="K556" s="10" t="inlineStr">
        <is>
          <t>taxonomic_containment</t>
        </is>
      </c>
      <c r="L556" s="11" t="inlineStr">
        <is>
          <t>Appendix 6.1 pp.327-335 defines Snappers by this family or explicitly names Lutjanus argentimaculatus; dedicated source placement overrides the SAU class Large reef assoc. fish (&gt;=90 cm).</t>
        </is>
      </c>
      <c r="M556" s="10" t="n">
        <v>11.548</v>
      </c>
    </row>
    <row r="557" ht="36" customHeight="1">
      <c r="A557" s="10" t="inlineStr">
        <is>
          <t>LME_036</t>
        </is>
      </c>
      <c r="B557" s="11" t="inlineStr">
        <is>
          <t>36_2_South_China_Sea_SCS-2007_Northern_South_China_Sea_(1970s)</t>
        </is>
      </c>
      <c r="C557" s="11" t="inlineStr">
        <is>
          <t>Pomatomus saltatrix</t>
        </is>
      </c>
      <c r="D557" s="10" t="inlineStr">
        <is>
          <t>Bluefish</t>
        </is>
      </c>
      <c r="E557" s="10" t="inlineStr">
        <is>
          <t>Large pelagics (&gt;=90 cm)</t>
        </is>
      </c>
      <c r="F557" s="10" t="inlineStr">
        <is>
          <t>Perch-likes</t>
        </is>
      </c>
      <c r="G557" s="11" t="inlineStr">
        <is>
          <t>Juvenile large pelagic fish</t>
        </is>
      </c>
      <c r="H557" s="12" t="n">
        <v>0.2016806722689076</v>
      </c>
      <c r="I557" s="10" t="inlineStr">
        <is>
          <t>model_catch</t>
        </is>
      </c>
      <c r="J557" s="14" t="inlineStr">
        <is>
          <t>medium</t>
        </is>
      </c>
      <c r="K557" s="10" t="inlineStr">
        <is>
          <t>composite_split</t>
        </is>
      </c>
      <c r="L557" s="11" t="inlineStr">
        <is>
          <t>Analyst habitat/size inference to source &gt;30 cm pelagic fish (Appendix 6.1.24 p.339); no age data, so split juvenile/adult using the period model catch.</t>
        </is>
      </c>
      <c r="M557" s="10" t="n">
        <v>8.972</v>
      </c>
    </row>
    <row r="558" ht="36" customHeight="1">
      <c r="A558" s="10" t="inlineStr">
        <is>
          <t>LME_036</t>
        </is>
      </c>
      <c r="B558" s="11" t="inlineStr">
        <is>
          <t>36_2_South_China_Sea_SCS-2007_Northern_South_China_Sea_(1970s)</t>
        </is>
      </c>
      <c r="C558" s="11" t="inlineStr">
        <is>
          <t>Pomatomus saltatrix</t>
        </is>
      </c>
      <c r="D558" s="10" t="inlineStr">
        <is>
          <t>Bluefish</t>
        </is>
      </c>
      <c r="E558" s="10" t="inlineStr">
        <is>
          <t>Large pelagics (&gt;=90 cm)</t>
        </is>
      </c>
      <c r="F558" s="10" t="inlineStr">
        <is>
          <t>Perch-likes</t>
        </is>
      </c>
      <c r="G558" s="11" t="inlineStr">
        <is>
          <t>Pelagic fish (&gt; 30 cm)</t>
        </is>
      </c>
      <c r="H558" s="12" t="n">
        <v>0.7983193277310925</v>
      </c>
      <c r="I558" s="10" t="inlineStr">
        <is>
          <t>model_catch</t>
        </is>
      </c>
      <c r="J558" s="14" t="inlineStr">
        <is>
          <t>medium</t>
        </is>
      </c>
      <c r="K558" s="10" t="inlineStr">
        <is>
          <t>composite_split</t>
        </is>
      </c>
      <c r="L558" s="11" t="inlineStr">
        <is>
          <t>Analyst habitat/size inference to source &gt;30 cm pelagic fish (Appendix 6.1.24 p.339); no age data, so split juvenile/adult using the period model catch.</t>
        </is>
      </c>
      <c r="M558" s="10" t="n">
        <v>8.972</v>
      </c>
    </row>
    <row r="559" ht="36" customHeight="1">
      <c r="A559" s="10" t="inlineStr">
        <is>
          <t>LME_036</t>
        </is>
      </c>
      <c r="B559" s="11" t="inlineStr">
        <is>
          <t>36_2_South_China_Sea_SCS-2007_Northern_South_China_Sea_(1970s)</t>
        </is>
      </c>
      <c r="C559" s="11" t="inlineStr">
        <is>
          <t>Sphyraena jello</t>
        </is>
      </c>
      <c r="D559" s="10" t="inlineStr">
        <is>
          <t>Pickhandle barracuda</t>
        </is>
      </c>
      <c r="E559" s="10" t="inlineStr">
        <is>
          <t>Large reef assoc. fish (&gt;=90 cm)</t>
        </is>
      </c>
      <c r="F559" s="10" t="inlineStr">
        <is>
          <t>Perch-likes</t>
        </is>
      </c>
      <c r="G559" s="11" t="inlineStr">
        <is>
          <t>Juvenile large pelagic fish</t>
        </is>
      </c>
      <c r="H559" s="12" t="n">
        <v>0.2016806722689076</v>
      </c>
      <c r="I559" s="10" t="inlineStr">
        <is>
          <t>model_catch</t>
        </is>
      </c>
      <c r="J559" s="14" t="inlineStr">
        <is>
          <t>medium</t>
        </is>
      </c>
      <c r="K559" s="10" t="inlineStr">
        <is>
          <t>composite_split</t>
        </is>
      </c>
      <c r="L559" s="11" t="inlineStr">
        <is>
          <t>Analyst habitat/size inference to source &gt;30 cm pelagic fish (Appendix 6.1.24 p.339); no age data, so split juvenile/adult using the period model catch.</t>
        </is>
      </c>
      <c r="M559" s="10" t="n">
        <v>5.98</v>
      </c>
    </row>
    <row r="560" ht="36" customHeight="1">
      <c r="A560" s="10" t="inlineStr">
        <is>
          <t>LME_036</t>
        </is>
      </c>
      <c r="B560" s="11" t="inlineStr">
        <is>
          <t>36_2_South_China_Sea_SCS-2007_Northern_South_China_Sea_(1970s)</t>
        </is>
      </c>
      <c r="C560" s="11" t="inlineStr">
        <is>
          <t>Sphyraena jello</t>
        </is>
      </c>
      <c r="D560" s="10" t="inlineStr">
        <is>
          <t>Pickhandle barracuda</t>
        </is>
      </c>
      <c r="E560" s="10" t="inlineStr">
        <is>
          <t>Large reef assoc. fish (&gt;=90 cm)</t>
        </is>
      </c>
      <c r="F560" s="10" t="inlineStr">
        <is>
          <t>Perch-likes</t>
        </is>
      </c>
      <c r="G560" s="11" t="inlineStr">
        <is>
          <t>Pelagic fish (&gt; 30 cm)</t>
        </is>
      </c>
      <c r="H560" s="12" t="n">
        <v>0.7983193277310925</v>
      </c>
      <c r="I560" s="10" t="inlineStr">
        <is>
          <t>model_catch</t>
        </is>
      </c>
      <c r="J560" s="14" t="inlineStr">
        <is>
          <t>medium</t>
        </is>
      </c>
      <c r="K560" s="10" t="inlineStr">
        <is>
          <t>composite_split</t>
        </is>
      </c>
      <c r="L560" s="11" t="inlineStr">
        <is>
          <t>Analyst habitat/size inference to source &gt;30 cm pelagic fish (Appendix 6.1.24 p.339); no age data, so split juvenile/adult using the period model catch.</t>
        </is>
      </c>
      <c r="M560" s="10" t="n">
        <v>5.98</v>
      </c>
    </row>
    <row r="561" ht="36" customHeight="1">
      <c r="A561" s="10" t="inlineStr">
        <is>
          <t>LME_036</t>
        </is>
      </c>
      <c r="B561" s="11" t="inlineStr">
        <is>
          <t>36_2_South_China_Sea_SCS-2007_Northern_South_China_Sea_(1970s)</t>
        </is>
      </c>
      <c r="C561" s="11" t="inlineStr">
        <is>
          <t>Echinozoa</t>
        </is>
      </c>
      <c r="D561" s="10" t="inlineStr">
        <is>
          <t>Sea urchins and sea cucumbers</t>
        </is>
      </c>
      <c r="E561" s="10" t="inlineStr">
        <is>
          <t>Other demersal invertebrates</t>
        </is>
      </c>
      <c r="F561" s="10" t="inlineStr">
        <is>
          <t>Other fishes &amp; inverts</t>
        </is>
      </c>
      <c r="G561" s="11" t="inlineStr">
        <is>
          <t>Echinoderms</t>
        </is>
      </c>
      <c r="H561" s="12" t="n">
        <v>1</v>
      </c>
      <c r="I561" s="10" t="inlineStr">
        <is>
          <t>single</t>
        </is>
      </c>
      <c r="J561" s="15" t="inlineStr">
        <is>
          <t>high</t>
        </is>
      </c>
      <c r="K561" s="10" t="inlineStr">
        <is>
          <t>taxonomic_containment</t>
        </is>
      </c>
      <c r="L561" s="11" t="inlineStr">
        <is>
          <t>Taxonomic containment in the source benthos subdivision (Appendix 6.1.5 pp.324-325), keeping non-cephalopod molluscs separate from echinoderms and sessile invertebrates.</t>
        </is>
      </c>
      <c r="M561" s="10" t="n">
        <v>4.765</v>
      </c>
    </row>
    <row r="562" ht="36" customHeight="1">
      <c r="A562" s="10" t="inlineStr">
        <is>
          <t>LME_036</t>
        </is>
      </c>
      <c r="B562" s="11" t="inlineStr">
        <is>
          <t>36_2_South_China_Sea_SCS-2007_Northern_South_China_Sea_(1970s)</t>
        </is>
      </c>
      <c r="C562" s="11" t="inlineStr">
        <is>
          <t>Tetrapturus angustirostris</t>
        </is>
      </c>
      <c r="D562" s="10" t="inlineStr">
        <is>
          <t>Shortbill spearfish</t>
        </is>
      </c>
      <c r="E562" s="10" t="inlineStr">
        <is>
          <t>Large pelagics (&gt;=90 cm)</t>
        </is>
      </c>
      <c r="F562" s="10" t="inlineStr">
        <is>
          <t>Tuna &amp; billfishes</t>
        </is>
      </c>
      <c r="G562" s="11" t="inlineStr">
        <is>
          <t>Unresolved</t>
        </is>
      </c>
      <c r="H562" s="12" t="n"/>
      <c r="I562" s="10" t="inlineStr"/>
      <c r="J562" s="16" t="inlineStr">
        <is>
          <t>unresolved</t>
        </is>
      </c>
      <c r="K562" s="10" t="inlineStr">
        <is>
          <t>none</t>
        </is>
      </c>
      <c r="L562" s="11" t="inlineStr">
        <is>
          <t>Northern continental-shelf model lacks a documented oceanic billfish or deep-pelagic compartment; assigning coastal juvenile/adult pelagic SPPR would be unsupported.</t>
        </is>
      </c>
      <c r="M562" s="10" t="n">
        <v>1.605</v>
      </c>
    </row>
    <row r="563" ht="36" customHeight="1">
      <c r="A563" s="10" t="inlineStr">
        <is>
          <t>LME_036</t>
        </is>
      </c>
      <c r="B563" s="11" t="inlineStr">
        <is>
          <t>36_2_South_China_Sea_SCS-2007_Northern_South_China_Sea_(1970s)</t>
        </is>
      </c>
      <c r="C563" s="11" t="inlineStr">
        <is>
          <t>Sphyrna lewini</t>
        </is>
      </c>
      <c r="D563" s="10" t="inlineStr">
        <is>
          <t>Scalloped hammerhead</t>
        </is>
      </c>
      <c r="E563" s="10" t="inlineStr">
        <is>
          <t>Large sharks (&gt;=90 cm)</t>
        </is>
      </c>
      <c r="F563" s="10" t="inlineStr">
        <is>
          <t>Sharks &amp; rays</t>
        </is>
      </c>
      <c r="G563" s="11" t="inlineStr">
        <is>
          <t>Pelagic sharks and rays</t>
        </is>
      </c>
      <c r="H563" s="12" t="n">
        <v>1</v>
      </c>
      <c r="I563" s="10" t="inlineStr">
        <is>
          <t>single</t>
        </is>
      </c>
      <c r="J563" s="14" t="inlineStr">
        <is>
          <t>medium</t>
        </is>
      </c>
      <c r="K563" s="10" t="inlineStr">
        <is>
          <t>habitat_size_guild</t>
        </is>
      </c>
      <c r="L563" s="11" t="inlineStr">
        <is>
          <t>Pelagic shark lineage matches the pelagic elasmobranch definition, Appendix 6.1.25 p.340; species placement is analyst inference.</t>
        </is>
      </c>
      <c r="M563" s="10" t="n">
        <v>0.97</v>
      </c>
    </row>
    <row r="564" ht="36" customHeight="1">
      <c r="A564" s="10" t="inlineStr">
        <is>
          <t>LME_036</t>
        </is>
      </c>
      <c r="B564" s="11" t="inlineStr">
        <is>
          <t>36_2_South_China_Sea_SCS-2007_Northern_South_China_Sea_(1970s)</t>
        </is>
      </c>
      <c r="C564" s="11" t="inlineStr">
        <is>
          <t>Trochus niloticus</t>
        </is>
      </c>
      <c r="D564" s="10" t="inlineStr">
        <is>
          <t>Commercial top</t>
        </is>
      </c>
      <c r="E564" s="10" t="inlineStr">
        <is>
          <t>Other demersal invertebrates</t>
        </is>
      </c>
      <c r="F564" s="10" t="inlineStr">
        <is>
          <t>Molluscs</t>
        </is>
      </c>
      <c r="G564" s="11" t="inlineStr">
        <is>
          <t>Non-ceph molluscs</t>
        </is>
      </c>
      <c r="H564" s="12" t="n">
        <v>1</v>
      </c>
      <c r="I564" s="10" t="inlineStr">
        <is>
          <t>single</t>
        </is>
      </c>
      <c r="J564" s="15" t="inlineStr">
        <is>
          <t>high</t>
        </is>
      </c>
      <c r="K564" s="10" t="inlineStr">
        <is>
          <t>taxonomic_containment</t>
        </is>
      </c>
      <c r="L564" s="11" t="inlineStr">
        <is>
          <t>Taxonomic containment in the source benthos subdivision (Appendix 6.1.5 pp.324-325), keeping non-cephalopod molluscs separate from echinoderms and sessile invertebrates.</t>
        </is>
      </c>
      <c r="M564" s="10" t="n">
        <v>0.955</v>
      </c>
    </row>
    <row r="565" ht="36" customHeight="1">
      <c r="A565" s="10" t="inlineStr">
        <is>
          <t>LME_036</t>
        </is>
      </c>
      <c r="B565" s="11" t="inlineStr">
        <is>
          <t>36_2_South_China_Sea_SCS-2007_Northern_South_China_Sea_(1970s)</t>
        </is>
      </c>
      <c r="C565" s="11" t="inlineStr">
        <is>
          <t>Holothuroidea</t>
        </is>
      </c>
      <c r="D565" s="10" t="inlineStr">
        <is>
          <t>Sea cucumbers</t>
        </is>
      </c>
      <c r="E565" s="10" t="inlineStr">
        <is>
          <t>Other demersal invertebrates</t>
        </is>
      </c>
      <c r="F565" s="10" t="inlineStr">
        <is>
          <t>Other fishes &amp; inverts</t>
        </is>
      </c>
      <c r="G565" s="11" t="inlineStr">
        <is>
          <t>Echinoderms</t>
        </is>
      </c>
      <c r="H565" s="12" t="n">
        <v>1</v>
      </c>
      <c r="I565" s="10" t="inlineStr">
        <is>
          <t>single</t>
        </is>
      </c>
      <c r="J565" s="15" t="inlineStr">
        <is>
          <t>high</t>
        </is>
      </c>
      <c r="K565" s="10" t="inlineStr">
        <is>
          <t>taxonomic_containment</t>
        </is>
      </c>
      <c r="L565" s="11" t="inlineStr">
        <is>
          <t>Taxonomic containment in the source benthos subdivision (Appendix 6.1.5 pp.324-325), keeping non-cephalopod molluscs separate from echinoderms and sessile invertebrates.</t>
        </is>
      </c>
      <c r="M565" s="10" t="n">
        <v>0.761</v>
      </c>
    </row>
    <row r="566" ht="36" customHeight="1">
      <c r="A566" s="10" t="inlineStr">
        <is>
          <t>LME_036</t>
        </is>
      </c>
      <c r="B566" s="11" t="inlineStr">
        <is>
          <t>36_2_South_China_Sea_SCS-2007_Northern_South_China_Sea_(1970s)</t>
        </is>
      </c>
      <c r="C566" s="11" t="inlineStr">
        <is>
          <t>Pinctada</t>
        </is>
      </c>
      <c r="D566" s="10" t="inlineStr">
        <is>
          <t>Mother of pearl oysters</t>
        </is>
      </c>
      <c r="E566" s="10" t="inlineStr">
        <is>
          <t>Other demersal invertebrates</t>
        </is>
      </c>
      <c r="F566" s="10" t="inlineStr">
        <is>
          <t>Molluscs</t>
        </is>
      </c>
      <c r="G566" s="11" t="inlineStr">
        <is>
          <t>Non-ceph molluscs</t>
        </is>
      </c>
      <c r="H566" s="12" t="n">
        <v>1</v>
      </c>
      <c r="I566" s="10" t="inlineStr">
        <is>
          <t>single</t>
        </is>
      </c>
      <c r="J566" s="15" t="inlineStr">
        <is>
          <t>high</t>
        </is>
      </c>
      <c r="K566" s="10" t="inlineStr">
        <is>
          <t>taxonomic_containment</t>
        </is>
      </c>
      <c r="L566" s="11" t="inlineStr">
        <is>
          <t>Taxonomic containment in the source benthos subdivision (Appendix 6.1.5 pp.324-325), keeping non-cephalopod molluscs separate from echinoderms and sessile invertebrates.</t>
        </is>
      </c>
      <c r="M566" s="10" t="n">
        <v>0.106</v>
      </c>
    </row>
    <row r="567" ht="36" customHeight="1">
      <c r="A567" s="10" t="inlineStr">
        <is>
          <t>LME_036</t>
        </is>
      </c>
      <c r="B567" s="11" t="inlineStr">
        <is>
          <t>36_2_South_China_Sea_SCS-2007_Northern_South_China_Sea_(1970s)</t>
        </is>
      </c>
      <c r="C567" s="11" t="inlineStr">
        <is>
          <t>Carcharhinus amblyrhynchos</t>
        </is>
      </c>
      <c r="D567" s="10" t="inlineStr">
        <is>
          <t>Blacktail reef shark</t>
        </is>
      </c>
      <c r="E567" s="10" t="inlineStr">
        <is>
          <t>Large sharks (&gt;=90 cm)</t>
        </is>
      </c>
      <c r="F567" s="10" t="inlineStr">
        <is>
          <t>Sharks &amp; rays</t>
        </is>
      </c>
      <c r="G567" s="11" t="inlineStr">
        <is>
          <t>Demersal sharks and rays</t>
        </is>
      </c>
      <c r="H567" s="12" t="n">
        <v>1</v>
      </c>
      <c r="I567" s="10" t="inlineStr">
        <is>
          <t>single</t>
        </is>
      </c>
      <c r="J567" s="14" t="inlineStr">
        <is>
          <t>medium</t>
        </is>
      </c>
      <c r="K567" s="10" t="inlineStr">
        <is>
          <t>habitat_size_guild</t>
        </is>
      </c>
      <c r="L567" s="11" t="inlineStr">
        <is>
          <t>Reef-associated shark inferred to the demersal rather than pelagic elasmobranch pool (Appendix 6.1.25 p.340).</t>
        </is>
      </c>
      <c r="M567" s="10" t="n">
        <v>0.002</v>
      </c>
    </row>
    <row r="568" ht="36" customHeight="1">
      <c r="A568" s="10" t="inlineStr">
        <is>
          <t>LME_036</t>
        </is>
      </c>
      <c r="B568" s="11" t="inlineStr">
        <is>
          <t>36_2_South_China_Sea_SCS-2007_Northern_South_China_Sea_(1970s)</t>
        </is>
      </c>
      <c r="C568" s="11" t="inlineStr">
        <is>
          <t>Sphyrnidae</t>
        </is>
      </c>
      <c r="D568" s="10" t="inlineStr">
        <is>
          <t>Hammer, bonnet, scoophead sharks</t>
        </is>
      </c>
      <c r="E568" s="10" t="inlineStr">
        <is>
          <t>Large sharks (&gt;=90 cm)</t>
        </is>
      </c>
      <c r="F568" s="10" t="inlineStr">
        <is>
          <t>Sharks &amp; rays</t>
        </is>
      </c>
      <c r="G568" s="11" t="inlineStr">
        <is>
          <t>Pelagic sharks and rays</t>
        </is>
      </c>
      <c r="H568" s="12" t="n">
        <v>1</v>
      </c>
      <c r="I568" s="10" t="inlineStr">
        <is>
          <t>single</t>
        </is>
      </c>
      <c r="J568" s="14" t="inlineStr">
        <is>
          <t>medium</t>
        </is>
      </c>
      <c r="K568" s="10" t="inlineStr">
        <is>
          <t>habitat_size_guild</t>
        </is>
      </c>
      <c r="L568" s="11" t="inlineStr">
        <is>
          <t>Pelagic shark lineage matches the pelagic elasmobranch definition, Appendix 6.1.25 p.340; species placement is analyst inference.</t>
        </is>
      </c>
      <c r="M568" s="10" t="n">
        <v>0</v>
      </c>
    </row>
  </sheetData>
  <autoFilter ref="A4:M56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378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4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</cols>
  <sheetData>
    <row r="1">
      <c r="A1" s="1" t="inlineStr">
        <is>
          <t>Specific PPR per taxon — LME_036, model 36_2_South_China_Sea_SCS-2007_Northern_South_China_Sea_(1970s)</t>
        </is>
      </c>
    </row>
    <row r="2">
      <c r="A2" t="inlineStr">
        <is>
          <t>sppr_simple is the trophic-chain estimate (1/TE)^(TL-1) at TE=0.1, applied to the taxon's own trophic level and needing no model.</t>
        </is>
      </c>
    </row>
    <row r="3">
      <c r="A3" t="inlineStr">
        <is>
          <t>All basal sources, including imports. Blank means unavailable, not zero. sppr_simple is an unpartitioned reference.</t>
        </is>
      </c>
    </row>
    <row r="4">
      <c r="A4" s="4" t="inlineStr">
        <is>
          <t>taxon</t>
        </is>
      </c>
      <c r="B4" s="4" t="inlineStr">
        <is>
          <t>trophic_level</t>
        </is>
      </c>
      <c r="C4" s="4" t="inlineStr">
        <is>
          <t>sppr_simple</t>
        </is>
      </c>
      <c r="D4" s="4" t="inlineStr">
        <is>
          <t>Ecopath group</t>
        </is>
      </c>
      <c r="E4" s="4" t="inlineStr">
        <is>
          <t>SPPR_1986</t>
        </is>
      </c>
      <c r="F4" s="4" t="inlineStr">
        <is>
          <t>SPPR_1995_TE0.1</t>
        </is>
      </c>
      <c r="G4" s="4" t="inlineStr">
        <is>
          <t>SPPR_1995_TEmean</t>
        </is>
      </c>
      <c r="H4" s="4" t="inlineStr">
        <is>
          <t>Ulanowicz_globalTEmean</t>
        </is>
      </c>
      <c r="I4" s="4" t="inlineStr">
        <is>
          <t>Ulanowicz_TE</t>
        </is>
      </c>
      <c r="J4" s="4" t="inlineStr">
        <is>
          <t>EwE_TE_noEE</t>
        </is>
      </c>
      <c r="K4" s="4" t="inlineStr">
        <is>
          <t>EwE_TE_EE</t>
        </is>
      </c>
      <c r="L4" s="4" t="inlineStr">
        <is>
          <t>SPPR_2015</t>
        </is>
      </c>
      <c r="M4" s="4" t="inlineStr">
        <is>
          <t>new_TE_noEEfix</t>
        </is>
      </c>
      <c r="N4" s="4" t="inlineStr">
        <is>
          <t>new_TE_EEfix</t>
        </is>
      </c>
      <c r="O4" s="4" t="inlineStr">
        <is>
          <t>new_GE</t>
        </is>
      </c>
      <c r="P4" s="4" t="inlineStr">
        <is>
          <t>new_WithEgestion</t>
        </is>
      </c>
      <c r="Q4" s="4" t="inlineStr">
        <is>
          <t>sym_TE_asPP</t>
        </is>
      </c>
      <c r="R4" s="4" t="inlineStr">
        <is>
          <t>sym_TE_asDC</t>
        </is>
      </c>
      <c r="S4" s="4" t="inlineStr">
        <is>
          <t>sym_GE_asPP</t>
        </is>
      </c>
      <c r="T4" s="4" t="inlineStr">
        <is>
          <t>sym_GE_asDC</t>
        </is>
      </c>
      <c r="U4" s="4" t="inlineStr">
        <is>
          <t>sym_WithEgestion_asPP</t>
        </is>
      </c>
      <c r="V4" s="4" t="inlineStr">
        <is>
          <t>sym_WithEgestion_asDC</t>
        </is>
      </c>
      <c r="W4" s="4" t="inlineStr">
        <is>
          <t>MC_new_GE</t>
        </is>
      </c>
      <c r="X4" s="4" t="inlineStr">
        <is>
          <t>MC_new_TE_EEfix</t>
        </is>
      </c>
    </row>
    <row r="5" ht="51" customHeight="1">
      <c r="A5" t="inlineStr">
        <is>
          <t>Marine fishes not identified</t>
        </is>
      </c>
      <c r="B5" t="n">
        <v>3.28</v>
      </c>
      <c r="C5" t="n">
        <v>190.546072</v>
      </c>
      <c r="D5" s="11" t="inlineStr">
        <is>
          <t>Demesral fish (≤ 30 cm) | Juvenile demersal fish (&gt; 30 cm) | Adult demersal fish (&gt; 30 cm)</t>
        </is>
      </c>
      <c r="E5" t="n">
        <v>140.953883</v>
      </c>
      <c r="F5" t="n">
        <v>177.371403</v>
      </c>
      <c r="G5" t="n">
        <v>91.310768</v>
      </c>
      <c r="H5" t="n">
        <v>295.208302</v>
      </c>
      <c r="I5" t="n">
        <v>4269.898312</v>
      </c>
      <c r="J5" t="n">
        <v>4574.511297</v>
      </c>
      <c r="K5" t="n">
        <v>1801.225895</v>
      </c>
      <c r="L5" t="n">
        <v>6846.4367</v>
      </c>
      <c r="M5" t="n">
        <v>6846.4367</v>
      </c>
      <c r="N5" t="n">
        <v>6846.4367</v>
      </c>
      <c r="O5" t="n">
        <v>67.536573</v>
      </c>
      <c r="P5" t="n">
        <v>32.007796</v>
      </c>
      <c r="Q5" t="n">
        <v>6846.4367</v>
      </c>
      <c r="R5" t="n">
        <v>6846.4367</v>
      </c>
      <c r="S5" t="n">
        <v>67.536573</v>
      </c>
      <c r="T5" t="n">
        <v>67.536573</v>
      </c>
      <c r="U5" t="n">
        <v>32.007796</v>
      </c>
      <c r="V5" t="n">
        <v>32.007796</v>
      </c>
      <c r="W5" t="n">
        <v>70.113483</v>
      </c>
      <c r="X5" t="n">
        <v>7370.741192</v>
      </c>
    </row>
    <row r="6" ht="36" customHeight="1">
      <c r="A6" t="inlineStr">
        <is>
          <t>Trichiurus lepturus</t>
        </is>
      </c>
      <c r="B6" t="n">
        <v>4.42</v>
      </c>
      <c r="C6" t="n">
        <v>2630.267992</v>
      </c>
      <c r="D6" s="11" t="inlineStr">
        <is>
          <t>Juvenile Hairtail (trichiurids) | Adult hairtail (trichiurids)</t>
        </is>
      </c>
      <c r="E6" t="n">
        <v>140.953883</v>
      </c>
      <c r="F6" t="n">
        <v>759.29485</v>
      </c>
      <c r="G6" t="n">
        <v>329.344068</v>
      </c>
      <c r="H6" t="n">
        <v>902.04389</v>
      </c>
      <c r="I6" t="n">
        <v>15387.334214</v>
      </c>
      <c r="J6" t="n">
        <v>16058.002117</v>
      </c>
      <c r="K6" t="n">
        <v>5258.842171</v>
      </c>
      <c r="L6" t="n">
        <v>26383.951313</v>
      </c>
      <c r="M6" t="n">
        <v>26383.951313</v>
      </c>
      <c r="N6" t="n">
        <v>26383.951313</v>
      </c>
      <c r="O6" t="n">
        <v>166.364336</v>
      </c>
      <c r="P6" t="n">
        <v>71.691328</v>
      </c>
      <c r="Q6" t="n">
        <v>26383.951313</v>
      </c>
      <c r="R6" t="n">
        <v>26383.951313</v>
      </c>
      <c r="S6" t="n">
        <v>166.364336</v>
      </c>
      <c r="T6" t="n">
        <v>166.364336</v>
      </c>
      <c r="U6" t="n">
        <v>71.691328</v>
      </c>
      <c r="V6" t="n">
        <v>71.691328</v>
      </c>
      <c r="W6" t="n">
        <v>176.786743</v>
      </c>
      <c r="X6" t="n">
        <v>28905.373115</v>
      </c>
    </row>
    <row r="7" ht="21" customHeight="1">
      <c r="A7" t="inlineStr">
        <is>
          <t>Scyphozoa</t>
        </is>
      </c>
      <c r="B7" t="n">
        <v>3.46</v>
      </c>
      <c r="C7" t="n">
        <v>288.40315</v>
      </c>
      <c r="D7" s="11" t="inlineStr">
        <is>
          <t>Jellyfish</t>
        </is>
      </c>
      <c r="E7" t="n">
        <v>140.953883</v>
      </c>
      <c r="F7" t="n">
        <v>103.790936</v>
      </c>
      <c r="G7" t="n">
        <v>57.845447</v>
      </c>
      <c r="H7" t="n">
        <v>56.932587</v>
      </c>
      <c r="I7" t="n">
        <v>468.918008</v>
      </c>
      <c r="J7" t="n">
        <v>473.97462</v>
      </c>
      <c r="K7" t="n">
        <v>450.275889</v>
      </c>
      <c r="L7" t="n">
        <v>711.02964</v>
      </c>
      <c r="M7" t="n">
        <v>711.02964</v>
      </c>
      <c r="N7" t="n">
        <v>711.02964</v>
      </c>
      <c r="O7" t="n">
        <v>34.656914</v>
      </c>
      <c r="P7" t="n">
        <v>19.970973</v>
      </c>
      <c r="Q7" t="n">
        <v>711.02964</v>
      </c>
      <c r="R7" t="n">
        <v>711.02964</v>
      </c>
      <c r="S7" t="n">
        <v>34.656914</v>
      </c>
      <c r="T7" t="n">
        <v>34.656914</v>
      </c>
      <c r="U7" t="n">
        <v>19.970973</v>
      </c>
      <c r="V7" t="n">
        <v>19.970973</v>
      </c>
      <c r="W7" t="n">
        <v>36.368369</v>
      </c>
      <c r="X7" t="n">
        <v>756.8536319999999</v>
      </c>
    </row>
    <row r="8" ht="21" customHeight="1">
      <c r="A8" t="inlineStr">
        <is>
          <t>Synodontidae</t>
        </is>
      </c>
      <c r="B8" t="n">
        <v>4.3</v>
      </c>
      <c r="C8" t="n">
        <v>1995.262315</v>
      </c>
      <c r="D8" s="11" t="inlineStr">
        <is>
          <t>Lizard fish (synodontids)</t>
        </is>
      </c>
      <c r="E8" t="n">
        <v>140.953883</v>
      </c>
      <c r="F8" t="n">
        <v>667.104795</v>
      </c>
      <c r="G8" t="n">
        <v>294.137165</v>
      </c>
      <c r="H8" t="n">
        <v>674.482249</v>
      </c>
      <c r="I8" t="n">
        <v>9604.557183999999</v>
      </c>
      <c r="J8" t="n">
        <v>10115.319409</v>
      </c>
      <c r="K8" t="n">
        <v>2437.791978</v>
      </c>
      <c r="L8" t="n">
        <v>16798.641648</v>
      </c>
      <c r="M8" t="n">
        <v>16798.641648</v>
      </c>
      <c r="N8" t="n">
        <v>16798.641648</v>
      </c>
      <c r="O8" t="n">
        <v>88.03658900000001</v>
      </c>
      <c r="P8" t="n">
        <v>38.159556</v>
      </c>
      <c r="Q8" t="n">
        <v>16798.641648</v>
      </c>
      <c r="R8" t="n">
        <v>16798.641648</v>
      </c>
      <c r="S8" t="n">
        <v>88.03658900000001</v>
      </c>
      <c r="T8" t="n">
        <v>88.03658900000001</v>
      </c>
      <c r="U8" t="n">
        <v>38.159556</v>
      </c>
      <c r="V8" t="n">
        <v>38.159556</v>
      </c>
      <c r="W8" t="n">
        <v>92.54017</v>
      </c>
      <c r="X8" t="n">
        <v>18119.633615</v>
      </c>
    </row>
    <row r="9" ht="36" customHeight="1">
      <c r="A9" t="inlineStr">
        <is>
          <t>Alepes</t>
        </is>
      </c>
      <c r="B9" t="n">
        <v>3.32</v>
      </c>
      <c r="C9" t="n">
        <v>208.929613</v>
      </c>
      <c r="D9" s="11" t="inlineStr">
        <is>
          <t>Juvenile large pelagic fish | Pelagic fish (&gt; 30 cm)</t>
        </is>
      </c>
      <c r="E9" t="n">
        <v>140.953883</v>
      </c>
      <c r="F9" t="n">
        <v>200.641254</v>
      </c>
      <c r="G9" t="n">
        <v>102.228748</v>
      </c>
      <c r="H9" t="n">
        <v>215.010584</v>
      </c>
      <c r="I9" t="n">
        <v>6244.222521</v>
      </c>
      <c r="J9" t="n">
        <v>6325.914048</v>
      </c>
      <c r="K9" t="n">
        <v>1872.204427</v>
      </c>
      <c r="L9" t="n">
        <v>7112.982475</v>
      </c>
      <c r="M9" t="n">
        <v>7112.982475</v>
      </c>
      <c r="N9" t="n">
        <v>7112.982475</v>
      </c>
      <c r="O9" t="n">
        <v>87.969483</v>
      </c>
      <c r="P9" t="n">
        <v>46.580547</v>
      </c>
      <c r="Q9" t="n">
        <v>7112.982475</v>
      </c>
      <c r="R9" t="n">
        <v>7112.982475</v>
      </c>
      <c r="S9" t="n">
        <v>87.969483</v>
      </c>
      <c r="T9" t="n">
        <v>87.969483</v>
      </c>
      <c r="U9" t="n">
        <v>46.580547</v>
      </c>
      <c r="V9" t="n">
        <v>46.580547</v>
      </c>
      <c r="W9" t="n">
        <v>93.060855</v>
      </c>
      <c r="X9" t="n">
        <v>7459.131892</v>
      </c>
    </row>
    <row r="10" ht="51" customHeight="1">
      <c r="A10" t="inlineStr">
        <is>
          <t>Carangidae</t>
        </is>
      </c>
      <c r="B10" t="n">
        <v>4.05</v>
      </c>
      <c r="C10" t="n">
        <v>1122.018454</v>
      </c>
      <c r="D10" s="11" t="inlineStr">
        <is>
          <t>Pelagic fish (≤ 30 cm) | Juvenile large pelagic fish | Pelagic fish (&gt; 30 cm)</t>
        </is>
      </c>
      <c r="E10" t="n">
        <v>140.953883</v>
      </c>
      <c r="F10" t="n">
        <v>94.940534</v>
      </c>
      <c r="G10" t="n">
        <v>52.342971</v>
      </c>
      <c r="H10" t="n">
        <v>87.541141</v>
      </c>
      <c r="I10" t="n">
        <v>1833.804999</v>
      </c>
      <c r="J10" t="n">
        <v>1853.890312</v>
      </c>
      <c r="K10" t="n">
        <v>743.939069</v>
      </c>
      <c r="L10" t="n">
        <v>2045.820774</v>
      </c>
      <c r="M10" t="n">
        <v>2045.820774</v>
      </c>
      <c r="N10" t="n">
        <v>2045.820774</v>
      </c>
      <c r="O10" t="n">
        <v>37.402647</v>
      </c>
      <c r="P10" t="n">
        <v>21.641048</v>
      </c>
      <c r="Q10" t="n">
        <v>2045.820774</v>
      </c>
      <c r="R10" t="n">
        <v>2045.820774</v>
      </c>
      <c r="S10" t="n">
        <v>37.402647</v>
      </c>
      <c r="T10" t="n">
        <v>37.402647</v>
      </c>
      <c r="U10" t="n">
        <v>21.641048</v>
      </c>
      <c r="V10" t="n">
        <v>21.641048</v>
      </c>
      <c r="W10" t="n">
        <v>39.426311</v>
      </c>
      <c r="X10" t="n">
        <v>2139.974971</v>
      </c>
    </row>
    <row r="11" ht="21" customHeight="1">
      <c r="A11" t="inlineStr">
        <is>
          <t>Mollusca</t>
        </is>
      </c>
      <c r="B11" t="n">
        <v>2.1</v>
      </c>
      <c r="C11" t="n">
        <v>12.589254</v>
      </c>
      <c r="D11" s="11" t="inlineStr">
        <is>
          <t>Non-ceph molluscs</t>
        </is>
      </c>
      <c r="E11" t="n">
        <v>140.953883</v>
      </c>
      <c r="F11" t="n">
        <v>14.712171</v>
      </c>
      <c r="G11" t="n">
        <v>10.486582</v>
      </c>
      <c r="H11" t="n">
        <v>17.347998</v>
      </c>
      <c r="I11" t="n">
        <v>87.52377799999999</v>
      </c>
      <c r="J11" t="n">
        <v>87.52377799999999</v>
      </c>
      <c r="K11" t="n">
        <v>33.521607</v>
      </c>
      <c r="L11" t="n">
        <v>92.59366</v>
      </c>
      <c r="M11" t="n">
        <v>92.59366</v>
      </c>
      <c r="N11" t="n">
        <v>92.59366</v>
      </c>
      <c r="O11" t="n">
        <v>4.448657</v>
      </c>
      <c r="P11" t="n">
        <v>3.058348</v>
      </c>
      <c r="Q11" t="n">
        <v>92.59366</v>
      </c>
      <c r="R11" t="n">
        <v>92.59366</v>
      </c>
      <c r="S11" t="n">
        <v>4.448657</v>
      </c>
      <c r="T11" t="n">
        <v>4.448657</v>
      </c>
      <c r="U11" t="n">
        <v>3.058348</v>
      </c>
      <c r="V11" t="n">
        <v>3.058348</v>
      </c>
      <c r="W11" t="n">
        <v>4.556294</v>
      </c>
      <c r="X11" t="n">
        <v>96.447226</v>
      </c>
    </row>
    <row r="12" ht="21" customHeight="1">
      <c r="A12" t="inlineStr">
        <is>
          <t>Acetes japonicus</t>
        </is>
      </c>
      <c r="B12" t="n">
        <v>2.54</v>
      </c>
      <c r="C12" t="n">
        <v>34.673685</v>
      </c>
      <c r="D12" s="11" t="inlineStr">
        <is>
          <t>Zooplankton</t>
        </is>
      </c>
      <c r="E12" t="n">
        <v>140.953883</v>
      </c>
      <c r="F12" t="n">
        <v>10</v>
      </c>
      <c r="G12" t="n">
        <v>7.482941</v>
      </c>
      <c r="H12" t="n">
        <v>7.482941</v>
      </c>
      <c r="I12" t="n">
        <v>115.384615</v>
      </c>
      <c r="J12" t="n">
        <v>115.384615</v>
      </c>
      <c r="K12" t="n">
        <v>6</v>
      </c>
      <c r="L12" t="n">
        <v>114.728394</v>
      </c>
      <c r="M12" t="n">
        <v>114.728394</v>
      </c>
      <c r="N12" t="n">
        <v>114.728394</v>
      </c>
      <c r="O12" t="n">
        <v>6.05984</v>
      </c>
      <c r="P12" t="n">
        <v>4.848511</v>
      </c>
      <c r="Q12" t="n">
        <v>114.728394</v>
      </c>
      <c r="R12" t="n">
        <v>114.728394</v>
      </c>
      <c r="S12" t="n">
        <v>6.05984</v>
      </c>
      <c r="T12" t="n">
        <v>6.05984</v>
      </c>
      <c r="U12" t="n">
        <v>4.848511</v>
      </c>
      <c r="V12" t="n">
        <v>4.848511</v>
      </c>
      <c r="W12" t="n">
        <v>6.224783</v>
      </c>
      <c r="X12" t="n">
        <v>116.846993</v>
      </c>
    </row>
    <row r="13" ht="51" customHeight="1">
      <c r="A13" t="inlineStr">
        <is>
          <t>Perciformes</t>
        </is>
      </c>
      <c r="B13" t="n">
        <v>3.53</v>
      </c>
      <c r="C13" t="n">
        <v>338.844156</v>
      </c>
      <c r="D13" s="11" t="inlineStr">
        <is>
          <t>Demesral fish (≤ 30 cm) | Juvenile demersal fish (&gt; 30 cm) | Adult demersal fish (&gt; 30 cm)</t>
        </is>
      </c>
      <c r="E13" t="n">
        <v>140.953883</v>
      </c>
      <c r="F13" t="n">
        <v>177.371403</v>
      </c>
      <c r="G13" t="n">
        <v>91.310768</v>
      </c>
      <c r="H13" t="n">
        <v>295.208302</v>
      </c>
      <c r="I13" t="n">
        <v>4269.898312</v>
      </c>
      <c r="J13" t="n">
        <v>4574.511297</v>
      </c>
      <c r="K13" t="n">
        <v>1801.225895</v>
      </c>
      <c r="L13" t="n">
        <v>6846.4367</v>
      </c>
      <c r="M13" t="n">
        <v>6846.4367</v>
      </c>
      <c r="N13" t="n">
        <v>6846.4367</v>
      </c>
      <c r="O13" t="n">
        <v>67.536573</v>
      </c>
      <c r="P13" t="n">
        <v>32.007796</v>
      </c>
      <c r="Q13" t="n">
        <v>6846.4367</v>
      </c>
      <c r="R13" t="n">
        <v>6846.4367</v>
      </c>
      <c r="S13" t="n">
        <v>67.536573</v>
      </c>
      <c r="T13" t="n">
        <v>67.536573</v>
      </c>
      <c r="U13" t="n">
        <v>32.007796</v>
      </c>
      <c r="V13" t="n">
        <v>32.007796</v>
      </c>
      <c r="W13" t="n">
        <v>70.113483</v>
      </c>
      <c r="X13" t="n">
        <v>7370.741192</v>
      </c>
    </row>
    <row r="14" ht="21" customHeight="1">
      <c r="A14" t="inlineStr">
        <is>
          <t>Nemipterus</t>
        </is>
      </c>
      <c r="B14" t="n">
        <v>3.72</v>
      </c>
      <c r="C14" t="n">
        <v>524.80746</v>
      </c>
      <c r="D14" s="11" t="inlineStr">
        <is>
          <t>Threadfin bream (nemipterids)</t>
        </is>
      </c>
      <c r="E14" t="n">
        <v>140.953883</v>
      </c>
      <c r="F14" t="n">
        <v>158.552335</v>
      </c>
      <c r="G14" t="n">
        <v>83.774152</v>
      </c>
      <c r="H14" t="n">
        <v>197.082776</v>
      </c>
      <c r="I14" t="n">
        <v>3502.459341</v>
      </c>
      <c r="J14" t="n">
        <v>3796.144916</v>
      </c>
      <c r="K14" t="n">
        <v>1780.391965</v>
      </c>
      <c r="L14" t="n">
        <v>4710.704014</v>
      </c>
      <c r="M14" t="n">
        <v>4710.704014</v>
      </c>
      <c r="N14" t="n">
        <v>4710.704014</v>
      </c>
      <c r="O14" t="n">
        <v>105.183965</v>
      </c>
      <c r="P14" t="n">
        <v>52.828865</v>
      </c>
      <c r="Q14" t="n">
        <v>4710.704014</v>
      </c>
      <c r="R14" t="n">
        <v>4710.704014</v>
      </c>
      <c r="S14" t="n">
        <v>105.183965</v>
      </c>
      <c r="T14" t="n">
        <v>105.183965</v>
      </c>
      <c r="U14" t="n">
        <v>52.828865</v>
      </c>
      <c r="V14" t="n">
        <v>52.828865</v>
      </c>
      <c r="W14" t="n">
        <v>109.611209</v>
      </c>
      <c r="X14" t="n">
        <v>5115.038689</v>
      </c>
    </row>
    <row r="15" ht="36" customHeight="1">
      <c r="A15" t="inlineStr">
        <is>
          <t>Miscellaneous marine crustaceans</t>
        </is>
      </c>
      <c r="B15" t="n">
        <v>2.7</v>
      </c>
      <c r="C15" t="n">
        <v>50.118723</v>
      </c>
      <c r="D15" s="11" t="inlineStr">
        <is>
          <t>Zooplankton | Benthic crustaceans | Shrimps | Crabs</t>
        </is>
      </c>
      <c r="E15" t="n">
        <v>140.953883</v>
      </c>
      <c r="F15" t="n">
        <v>20.231565</v>
      </c>
      <c r="G15" t="n">
        <v>13.734934</v>
      </c>
      <c r="H15" t="n">
        <v>25.09025</v>
      </c>
      <c r="I15" t="n">
        <v>130.411041</v>
      </c>
      <c r="J15" t="n">
        <v>130.411041</v>
      </c>
      <c r="K15" t="n">
        <v>95.393377</v>
      </c>
      <c r="L15" t="n">
        <v>134.682411</v>
      </c>
      <c r="M15" t="n">
        <v>134.682411</v>
      </c>
      <c r="N15" t="n">
        <v>134.682411</v>
      </c>
      <c r="O15" t="n">
        <v>10.649241</v>
      </c>
      <c r="P15" t="n">
        <v>7.289446</v>
      </c>
      <c r="Q15" t="n">
        <v>134.682411</v>
      </c>
      <c r="R15" t="n">
        <v>134.682411</v>
      </c>
      <c r="S15" t="n">
        <v>10.649241</v>
      </c>
      <c r="T15" t="n">
        <v>10.649241</v>
      </c>
      <c r="U15" t="n">
        <v>7.289446</v>
      </c>
      <c r="V15" t="n">
        <v>7.289446</v>
      </c>
      <c r="W15" t="n">
        <v>10.971178</v>
      </c>
      <c r="X15" t="n">
        <v>140.50161</v>
      </c>
    </row>
    <row r="16" ht="21" customHeight="1">
      <c r="A16" t="inlineStr">
        <is>
          <t>Leiognathidae</t>
        </is>
      </c>
      <c r="B16" t="n">
        <v>3.24</v>
      </c>
      <c r="C16" t="n">
        <v>173.780083</v>
      </c>
      <c r="D16" s="11" t="inlineStr">
        <is>
          <t>Benthopelagic fish</t>
        </is>
      </c>
      <c r="E16" t="n">
        <v>140.953883</v>
      </c>
      <c r="F16" t="n">
        <v>57.638856</v>
      </c>
      <c r="G16" t="n">
        <v>34.593347</v>
      </c>
      <c r="H16" t="n">
        <v>74.650282</v>
      </c>
      <c r="I16" t="n">
        <v>512.103289</v>
      </c>
      <c r="J16" t="n">
        <v>553.467817</v>
      </c>
      <c r="K16" t="n">
        <v>525.794426</v>
      </c>
      <c r="L16" t="n">
        <v>602.712303</v>
      </c>
      <c r="M16" t="n">
        <v>602.712303</v>
      </c>
      <c r="N16" t="n">
        <v>602.712303</v>
      </c>
      <c r="O16" t="n">
        <v>31.190871</v>
      </c>
      <c r="P16" t="n">
        <v>18.283791</v>
      </c>
      <c r="Q16" t="n">
        <v>602.712303</v>
      </c>
      <c r="R16" t="n">
        <v>602.712303</v>
      </c>
      <c r="S16" t="n">
        <v>31.190871</v>
      </c>
      <c r="T16" t="n">
        <v>31.190871</v>
      </c>
      <c r="U16" t="n">
        <v>18.283791</v>
      </c>
      <c r="V16" t="n">
        <v>18.283791</v>
      </c>
      <c r="W16" t="n">
        <v>32.089433</v>
      </c>
      <c r="X16" t="n">
        <v>622.065443</v>
      </c>
    </row>
    <row r="17" ht="21" customHeight="1">
      <c r="A17" t="inlineStr">
        <is>
          <t>Engraulis japonicus</t>
        </is>
      </c>
      <c r="B17" t="n">
        <v>3.14</v>
      </c>
      <c r="C17" t="n">
        <v>138.038426</v>
      </c>
      <c r="D17" s="11" t="inlineStr">
        <is>
          <t>Pelagic fish (≤ 30 cm)</t>
        </is>
      </c>
      <c r="E17" t="n">
        <v>140.953883</v>
      </c>
      <c r="F17" t="n">
        <v>60.479203</v>
      </c>
      <c r="G17" t="n">
        <v>36.07884</v>
      </c>
      <c r="H17" t="n">
        <v>45.98261</v>
      </c>
      <c r="I17" t="n">
        <v>395.888053</v>
      </c>
      <c r="J17" t="n">
        <v>395.888053</v>
      </c>
      <c r="K17" t="n">
        <v>376.09365</v>
      </c>
      <c r="L17" t="n">
        <v>393.787233</v>
      </c>
      <c r="M17" t="n">
        <v>393.787233</v>
      </c>
      <c r="N17" t="n">
        <v>393.787233</v>
      </c>
      <c r="O17" t="n">
        <v>20.916473</v>
      </c>
      <c r="P17" t="n">
        <v>13.510088</v>
      </c>
      <c r="Q17" t="n">
        <v>393.787233</v>
      </c>
      <c r="R17" t="n">
        <v>393.787233</v>
      </c>
      <c r="S17" t="n">
        <v>20.916473</v>
      </c>
      <c r="T17" t="n">
        <v>20.916473</v>
      </c>
      <c r="U17" t="n">
        <v>13.510088</v>
      </c>
      <c r="V17" t="n">
        <v>13.510088</v>
      </c>
      <c r="W17" t="n">
        <v>21.939981</v>
      </c>
      <c r="X17" t="n">
        <v>405.784084</v>
      </c>
    </row>
    <row r="18" ht="36" customHeight="1">
      <c r="A18" t="inlineStr">
        <is>
          <t>Scomberomorus</t>
        </is>
      </c>
      <c r="B18" t="n">
        <v>4.35</v>
      </c>
      <c r="C18" t="n">
        <v>2238.721139</v>
      </c>
      <c r="D18" s="11" t="inlineStr">
        <is>
          <t>Juvenile large pelagic fish | Pelagic fish (&gt; 30 cm)</t>
        </is>
      </c>
      <c r="E18" t="n">
        <v>140.953883</v>
      </c>
      <c r="F18" t="n">
        <v>200.641254</v>
      </c>
      <c r="G18" t="n">
        <v>102.228748</v>
      </c>
      <c r="H18" t="n">
        <v>215.010584</v>
      </c>
      <c r="I18" t="n">
        <v>6244.222521</v>
      </c>
      <c r="J18" t="n">
        <v>6325.914048</v>
      </c>
      <c r="K18" t="n">
        <v>1872.204427</v>
      </c>
      <c r="L18" t="n">
        <v>7112.982475</v>
      </c>
      <c r="M18" t="n">
        <v>7112.982475</v>
      </c>
      <c r="N18" t="n">
        <v>7112.982475</v>
      </c>
      <c r="O18" t="n">
        <v>87.969483</v>
      </c>
      <c r="P18" t="n">
        <v>46.580547</v>
      </c>
      <c r="Q18" t="n">
        <v>7112.982475</v>
      </c>
      <c r="R18" t="n">
        <v>7112.982475</v>
      </c>
      <c r="S18" t="n">
        <v>87.969483</v>
      </c>
      <c r="T18" t="n">
        <v>87.969483</v>
      </c>
      <c r="U18" t="n">
        <v>46.580547</v>
      </c>
      <c r="V18" t="n">
        <v>46.580547</v>
      </c>
      <c r="W18" t="n">
        <v>93.060855</v>
      </c>
      <c r="X18" t="n">
        <v>7459.131892</v>
      </c>
    </row>
    <row r="19" ht="36" customHeight="1">
      <c r="A19" t="inlineStr">
        <is>
          <t>Scombridae</t>
        </is>
      </c>
      <c r="B19" t="n">
        <v>4.26</v>
      </c>
      <c r="C19" t="n">
        <v>1819.700859</v>
      </c>
      <c r="D19" s="11" t="inlineStr">
        <is>
          <t>Juvenile large pelagic fish | Pelagic fish (&gt; 30 cm)</t>
        </is>
      </c>
      <c r="E19" t="n">
        <v>140.953883</v>
      </c>
      <c r="F19" t="n">
        <v>200.641254</v>
      </c>
      <c r="G19" t="n">
        <v>102.228748</v>
      </c>
      <c r="H19" t="n">
        <v>215.010584</v>
      </c>
      <c r="I19" t="n">
        <v>6244.222521</v>
      </c>
      <c r="J19" t="n">
        <v>6325.914048</v>
      </c>
      <c r="K19" t="n">
        <v>1872.204427</v>
      </c>
      <c r="L19" t="n">
        <v>7112.982475</v>
      </c>
      <c r="M19" t="n">
        <v>7112.982475</v>
      </c>
      <c r="N19" t="n">
        <v>7112.982475</v>
      </c>
      <c r="O19" t="n">
        <v>87.969483</v>
      </c>
      <c r="P19" t="n">
        <v>46.580547</v>
      </c>
      <c r="Q19" t="n">
        <v>7112.982475</v>
      </c>
      <c r="R19" t="n">
        <v>7112.982475</v>
      </c>
      <c r="S19" t="n">
        <v>87.969483</v>
      </c>
      <c r="T19" t="n">
        <v>87.969483</v>
      </c>
      <c r="U19" t="n">
        <v>46.580547</v>
      </c>
      <c r="V19" t="n">
        <v>46.580547</v>
      </c>
      <c r="W19" t="n">
        <v>93.060855</v>
      </c>
      <c r="X19" t="n">
        <v>7459.131892</v>
      </c>
    </row>
    <row r="20" ht="21" customHeight="1">
      <c r="A20" t="inlineStr">
        <is>
          <t>Sparidae</t>
        </is>
      </c>
      <c r="B20" t="n">
        <v>3.31</v>
      </c>
      <c r="C20" t="n">
        <v>204.173794</v>
      </c>
      <c r="D20" s="11" t="inlineStr">
        <is>
          <t>Benthopelagic fish</t>
        </is>
      </c>
      <c r="E20" t="n">
        <v>140.953883</v>
      </c>
      <c r="F20" t="n">
        <v>57.638856</v>
      </c>
      <c r="G20" t="n">
        <v>34.593347</v>
      </c>
      <c r="H20" t="n">
        <v>74.650282</v>
      </c>
      <c r="I20" t="n">
        <v>512.103289</v>
      </c>
      <c r="J20" t="n">
        <v>553.467817</v>
      </c>
      <c r="K20" t="n">
        <v>525.794426</v>
      </c>
      <c r="L20" t="n">
        <v>602.712303</v>
      </c>
      <c r="M20" t="n">
        <v>602.712303</v>
      </c>
      <c r="N20" t="n">
        <v>602.712303</v>
      </c>
      <c r="O20" t="n">
        <v>31.190871</v>
      </c>
      <c r="P20" t="n">
        <v>18.283791</v>
      </c>
      <c r="Q20" t="n">
        <v>602.712303</v>
      </c>
      <c r="R20" t="n">
        <v>602.712303</v>
      </c>
      <c r="S20" t="n">
        <v>31.190871</v>
      </c>
      <c r="T20" t="n">
        <v>31.190871</v>
      </c>
      <c r="U20" t="n">
        <v>18.283791</v>
      </c>
      <c r="V20" t="n">
        <v>18.283791</v>
      </c>
      <c r="W20" t="n">
        <v>32.089433</v>
      </c>
      <c r="X20" t="n">
        <v>622.065443</v>
      </c>
    </row>
    <row r="21" ht="51" customHeight="1">
      <c r="A21" t="inlineStr">
        <is>
          <t>Sciaenidae</t>
        </is>
      </c>
      <c r="B21" t="n">
        <v>3.76</v>
      </c>
      <c r="C21" t="n">
        <v>575.439937</v>
      </c>
      <c r="D21" s="11" t="inlineStr">
        <is>
          <t>Croakers (≤ 30 cm) | Juvenile large croakers | Croakers (&gt; 30 cm)</t>
        </is>
      </c>
      <c r="E21" t="n">
        <v>140.953883</v>
      </c>
      <c r="F21" t="n">
        <v>251.096546</v>
      </c>
      <c r="G21" t="n">
        <v>124.902538</v>
      </c>
      <c r="H21" t="n">
        <v>340.610317</v>
      </c>
      <c r="I21" t="n">
        <v>2592.828475</v>
      </c>
      <c r="J21" t="n">
        <v>2668.302146</v>
      </c>
      <c r="K21" t="n">
        <v>1626.885542</v>
      </c>
      <c r="L21" t="n">
        <v>3240.975912</v>
      </c>
      <c r="M21" t="n">
        <v>3240.975912</v>
      </c>
      <c r="N21" t="n">
        <v>3240.975912</v>
      </c>
      <c r="O21" t="n">
        <v>87.234846</v>
      </c>
      <c r="P21" t="n">
        <v>41.935227</v>
      </c>
      <c r="Q21" t="n">
        <v>3240.975912</v>
      </c>
      <c r="R21" t="n">
        <v>3240.975912</v>
      </c>
      <c r="S21" t="n">
        <v>87.234846</v>
      </c>
      <c r="T21" t="n">
        <v>87.234846</v>
      </c>
      <c r="U21" t="n">
        <v>41.935227</v>
      </c>
      <c r="V21" t="n">
        <v>41.935227</v>
      </c>
      <c r="W21" t="n">
        <v>91.178747</v>
      </c>
      <c r="X21" t="n">
        <v>3446.878316</v>
      </c>
    </row>
    <row r="22" ht="21" customHeight="1">
      <c r="A22" t="inlineStr">
        <is>
          <t>Dendrobranchiata</t>
        </is>
      </c>
      <c r="B22" t="n">
        <v>3.24</v>
      </c>
      <c r="C22" t="n">
        <v>173.780083</v>
      </c>
      <c r="D22" s="11" t="inlineStr">
        <is>
          <t>Shrimps</t>
        </is>
      </c>
      <c r="E22" t="n">
        <v>140.953883</v>
      </c>
      <c r="F22" t="n">
        <v>20.606299</v>
      </c>
      <c r="G22" t="n">
        <v>14.077679</v>
      </c>
      <c r="H22" t="n">
        <v>22.715542</v>
      </c>
      <c r="I22" t="n">
        <v>131.71072</v>
      </c>
      <c r="J22" t="n">
        <v>131.71072</v>
      </c>
      <c r="K22" t="n">
        <v>125.125184</v>
      </c>
      <c r="L22" t="n">
        <v>130.894857</v>
      </c>
      <c r="M22" t="n">
        <v>130.894857</v>
      </c>
      <c r="N22" t="n">
        <v>130.894857</v>
      </c>
      <c r="O22" t="n">
        <v>12.255972</v>
      </c>
      <c r="P22" t="n">
        <v>8.448598</v>
      </c>
      <c r="Q22" t="n">
        <v>130.894857</v>
      </c>
      <c r="R22" t="n">
        <v>130.894857</v>
      </c>
      <c r="S22" t="n">
        <v>12.255972</v>
      </c>
      <c r="T22" t="n">
        <v>12.255972</v>
      </c>
      <c r="U22" t="n">
        <v>8.448598</v>
      </c>
      <c r="V22" t="n">
        <v>8.448598</v>
      </c>
      <c r="W22" t="n">
        <v>12.680707</v>
      </c>
      <c r="X22" t="n">
        <v>136.520004</v>
      </c>
    </row>
    <row r="23" ht="21" customHeight="1">
      <c r="A23" t="inlineStr">
        <is>
          <t>Sardinella</t>
        </is>
      </c>
      <c r="B23" t="n">
        <v>2.77</v>
      </c>
      <c r="C23" t="n">
        <v>58.884366</v>
      </c>
      <c r="D23" s="11" t="inlineStr">
        <is>
          <t>Pelagic fish (≤ 30 cm)</t>
        </is>
      </c>
      <c r="E23" t="n">
        <v>140.953883</v>
      </c>
      <c r="F23" t="n">
        <v>60.479203</v>
      </c>
      <c r="G23" t="n">
        <v>36.07884</v>
      </c>
      <c r="H23" t="n">
        <v>45.98261</v>
      </c>
      <c r="I23" t="n">
        <v>395.888053</v>
      </c>
      <c r="J23" t="n">
        <v>395.888053</v>
      </c>
      <c r="K23" t="n">
        <v>376.09365</v>
      </c>
      <c r="L23" t="n">
        <v>393.787233</v>
      </c>
      <c r="M23" t="n">
        <v>393.787233</v>
      </c>
      <c r="N23" t="n">
        <v>393.787233</v>
      </c>
      <c r="O23" t="n">
        <v>20.916473</v>
      </c>
      <c r="P23" t="n">
        <v>13.510088</v>
      </c>
      <c r="Q23" t="n">
        <v>393.787233</v>
      </c>
      <c r="R23" t="n">
        <v>393.787233</v>
      </c>
      <c r="S23" t="n">
        <v>20.916473</v>
      </c>
      <c r="T23" t="n">
        <v>20.916473</v>
      </c>
      <c r="U23" t="n">
        <v>13.510088</v>
      </c>
      <c r="V23" t="n">
        <v>13.510088</v>
      </c>
      <c r="W23" t="n">
        <v>21.939981</v>
      </c>
      <c r="X23" t="n">
        <v>405.784084</v>
      </c>
    </row>
    <row r="24" ht="51" customHeight="1">
      <c r="A24" t="inlineStr">
        <is>
          <t>Marine finfishes not identified</t>
        </is>
      </c>
      <c r="B24" t="n">
        <v>3.23</v>
      </c>
      <c r="C24" t="n">
        <v>169.824365</v>
      </c>
      <c r="D24" s="11" t="inlineStr">
        <is>
          <t>Demesral fish (≤ 30 cm) | Juvenile demersal fish (&gt; 30 cm) | Adult demersal fish (&gt; 30 cm)</t>
        </is>
      </c>
      <c r="E24" t="n">
        <v>140.953883</v>
      </c>
      <c r="F24" t="n">
        <v>177.371403</v>
      </c>
      <c r="G24" t="n">
        <v>91.310768</v>
      </c>
      <c r="H24" t="n">
        <v>295.208302</v>
      </c>
      <c r="I24" t="n">
        <v>4269.898312</v>
      </c>
      <c r="J24" t="n">
        <v>4574.511297</v>
      </c>
      <c r="K24" t="n">
        <v>1801.225895</v>
      </c>
      <c r="L24" t="n">
        <v>6846.4367</v>
      </c>
      <c r="M24" t="n">
        <v>6846.4367</v>
      </c>
      <c r="N24" t="n">
        <v>6846.4367</v>
      </c>
      <c r="O24" t="n">
        <v>67.536573</v>
      </c>
      <c r="P24" t="n">
        <v>32.007796</v>
      </c>
      <c r="Q24" t="n">
        <v>6846.4367</v>
      </c>
      <c r="R24" t="n">
        <v>6846.4367</v>
      </c>
      <c r="S24" t="n">
        <v>67.536573</v>
      </c>
      <c r="T24" t="n">
        <v>67.536573</v>
      </c>
      <c r="U24" t="n">
        <v>32.007796</v>
      </c>
      <c r="V24" t="n">
        <v>32.007796</v>
      </c>
      <c r="W24" t="n">
        <v>70.113483</v>
      </c>
      <c r="X24" t="n">
        <v>7370.741192</v>
      </c>
    </row>
    <row r="25" ht="21" customHeight="1">
      <c r="A25" t="inlineStr">
        <is>
          <t>Priacanthus</t>
        </is>
      </c>
      <c r="B25" t="n">
        <v>3.81</v>
      </c>
      <c r="C25" t="n">
        <v>645.654229</v>
      </c>
      <c r="D25" s="11" t="inlineStr">
        <is>
          <t>Bigeyes (priacanthids)</t>
        </is>
      </c>
      <c r="E25" t="n">
        <v>140.953883</v>
      </c>
      <c r="F25" t="n">
        <v>283.896083</v>
      </c>
      <c r="G25" t="n">
        <v>139.392295</v>
      </c>
      <c r="H25" t="n">
        <v>456.88162</v>
      </c>
      <c r="I25" t="n">
        <v>10688.374283</v>
      </c>
      <c r="J25" t="n">
        <v>10967.724493</v>
      </c>
      <c r="K25" t="n">
        <v>3597.413634</v>
      </c>
      <c r="L25" t="n">
        <v>16970.336092</v>
      </c>
      <c r="M25" t="n">
        <v>16970.336092</v>
      </c>
      <c r="N25" t="n">
        <v>16970.336092</v>
      </c>
      <c r="O25" t="n">
        <v>214.616191</v>
      </c>
      <c r="P25" t="n">
        <v>96.945487</v>
      </c>
      <c r="Q25" t="n">
        <v>16970.336092</v>
      </c>
      <c r="R25" t="n">
        <v>16970.336092</v>
      </c>
      <c r="S25" t="n">
        <v>214.616191</v>
      </c>
      <c r="T25" t="n">
        <v>214.616191</v>
      </c>
      <c r="U25" t="n">
        <v>96.945487</v>
      </c>
      <c r="V25" t="n">
        <v>96.945487</v>
      </c>
      <c r="W25" t="n">
        <v>226.201493</v>
      </c>
      <c r="X25" t="n">
        <v>17690.628268</v>
      </c>
    </row>
    <row r="26" ht="21" customHeight="1">
      <c r="A26" t="inlineStr">
        <is>
          <t>Penaeidae</t>
        </is>
      </c>
      <c r="B26" t="n">
        <v>3.31</v>
      </c>
      <c r="C26" t="n">
        <v>204.173794</v>
      </c>
      <c r="D26" s="11" t="inlineStr">
        <is>
          <t>Shrimps</t>
        </is>
      </c>
      <c r="E26" t="n">
        <v>140.953883</v>
      </c>
      <c r="F26" t="n">
        <v>20.606299</v>
      </c>
      <c r="G26" t="n">
        <v>14.077679</v>
      </c>
      <c r="H26" t="n">
        <v>22.715542</v>
      </c>
      <c r="I26" t="n">
        <v>131.71072</v>
      </c>
      <c r="J26" t="n">
        <v>131.71072</v>
      </c>
      <c r="K26" t="n">
        <v>125.125184</v>
      </c>
      <c r="L26" t="n">
        <v>130.894857</v>
      </c>
      <c r="M26" t="n">
        <v>130.894857</v>
      </c>
      <c r="N26" t="n">
        <v>130.894857</v>
      </c>
      <c r="O26" t="n">
        <v>12.255972</v>
      </c>
      <c r="P26" t="n">
        <v>8.448598</v>
      </c>
      <c r="Q26" t="n">
        <v>130.894857</v>
      </c>
      <c r="R26" t="n">
        <v>130.894857</v>
      </c>
      <c r="S26" t="n">
        <v>12.255972</v>
      </c>
      <c r="T26" t="n">
        <v>12.255972</v>
      </c>
      <c r="U26" t="n">
        <v>8.448598</v>
      </c>
      <c r="V26" t="n">
        <v>8.448598</v>
      </c>
      <c r="W26" t="n">
        <v>12.680707</v>
      </c>
      <c r="X26" t="n">
        <v>136.520004</v>
      </c>
    </row>
    <row r="27" ht="21" customHeight="1">
      <c r="A27" t="inlineStr">
        <is>
          <t>Loliginidae</t>
        </is>
      </c>
      <c r="B27" t="n">
        <v>3.9</v>
      </c>
      <c r="C27" t="n">
        <v>794.3282349999999</v>
      </c>
      <c r="D27" s="11" t="inlineStr">
        <is>
          <t>Cephalopods</t>
        </is>
      </c>
      <c r="E27" t="n">
        <v>140.953883</v>
      </c>
      <c r="F27" t="n">
        <v>170.518341</v>
      </c>
      <c r="G27" t="n">
        <v>89.274901</v>
      </c>
      <c r="H27" t="n">
        <v>176.937394</v>
      </c>
      <c r="I27" t="n">
        <v>1050.872908</v>
      </c>
      <c r="J27" t="n">
        <v>1075.829695</v>
      </c>
      <c r="K27" t="n">
        <v>537.914847</v>
      </c>
      <c r="L27" t="n">
        <v>1659.687874</v>
      </c>
      <c r="M27" t="n">
        <v>1659.687874</v>
      </c>
      <c r="N27" t="n">
        <v>1659.687874</v>
      </c>
      <c r="O27" t="n">
        <v>31.362197</v>
      </c>
      <c r="P27" t="n">
        <v>16.184075</v>
      </c>
      <c r="Q27" t="n">
        <v>1659.687874</v>
      </c>
      <c r="R27" t="n">
        <v>1659.687874</v>
      </c>
      <c r="S27" t="n">
        <v>31.362197</v>
      </c>
      <c r="T27" t="n">
        <v>31.362197</v>
      </c>
      <c r="U27" t="n">
        <v>16.184075</v>
      </c>
      <c r="V27" t="n">
        <v>16.184075</v>
      </c>
      <c r="W27" t="n">
        <v>32.286772</v>
      </c>
      <c r="X27" t="n">
        <v>1775.112325</v>
      </c>
    </row>
    <row r="28" ht="36" customHeight="1">
      <c r="A28" t="inlineStr">
        <is>
          <t>Scomber japonicus</t>
        </is>
      </c>
      <c r="B28" t="n">
        <v>3.38</v>
      </c>
      <c r="C28" t="n">
        <v>239.883292</v>
      </c>
      <c r="D28" s="11" t="inlineStr">
        <is>
          <t>Juvenile large pelagic fish | Pelagic fish (&gt; 30 cm)</t>
        </is>
      </c>
      <c r="E28" t="n">
        <v>140.953883</v>
      </c>
      <c r="F28" t="n">
        <v>200.641254</v>
      </c>
      <c r="G28" t="n">
        <v>102.228748</v>
      </c>
      <c r="H28" t="n">
        <v>215.010584</v>
      </c>
      <c r="I28" t="n">
        <v>6244.222521</v>
      </c>
      <c r="J28" t="n">
        <v>6325.914048</v>
      </c>
      <c r="K28" t="n">
        <v>1872.204427</v>
      </c>
      <c r="L28" t="n">
        <v>7112.982475</v>
      </c>
      <c r="M28" t="n">
        <v>7112.982475</v>
      </c>
      <c r="N28" t="n">
        <v>7112.982475</v>
      </c>
      <c r="O28" t="n">
        <v>87.969483</v>
      </c>
      <c r="P28" t="n">
        <v>46.580547</v>
      </c>
      <c r="Q28" t="n">
        <v>7112.982475</v>
      </c>
      <c r="R28" t="n">
        <v>7112.982475</v>
      </c>
      <c r="S28" t="n">
        <v>87.969483</v>
      </c>
      <c r="T28" t="n">
        <v>87.969483</v>
      </c>
      <c r="U28" t="n">
        <v>46.580547</v>
      </c>
      <c r="V28" t="n">
        <v>46.580547</v>
      </c>
      <c r="W28" t="n">
        <v>93.060855</v>
      </c>
      <c r="X28" t="n">
        <v>7459.131892</v>
      </c>
    </row>
    <row r="29" ht="21" customHeight="1">
      <c r="A29" t="inlineStr">
        <is>
          <t>Portunus trituberculatus</t>
        </is>
      </c>
      <c r="B29" t="n">
        <v>3.73</v>
      </c>
      <c r="C29" t="n">
        <v>537.031796</v>
      </c>
      <c r="D29" s="11" t="inlineStr">
        <is>
          <t>Crabs</t>
        </is>
      </c>
      <c r="E29" t="n">
        <v>140.953883</v>
      </c>
      <c r="F29" t="n">
        <v>33.254785</v>
      </c>
      <c r="G29" t="n">
        <v>21.389991</v>
      </c>
      <c r="H29" t="n">
        <v>53.354334</v>
      </c>
      <c r="I29" t="n">
        <v>151.084056</v>
      </c>
      <c r="J29" t="n">
        <v>151.084056</v>
      </c>
      <c r="K29" t="n">
        <v>143.529853</v>
      </c>
      <c r="L29" t="n">
        <v>173.938876</v>
      </c>
      <c r="M29" t="n">
        <v>173.938876</v>
      </c>
      <c r="N29" t="n">
        <v>173.938876</v>
      </c>
      <c r="O29" t="n">
        <v>13.215653</v>
      </c>
      <c r="P29" t="n">
        <v>8.00437</v>
      </c>
      <c r="Q29" t="n">
        <v>173.938876</v>
      </c>
      <c r="R29" t="n">
        <v>173.938876</v>
      </c>
      <c r="S29" t="n">
        <v>13.215653</v>
      </c>
      <c r="T29" t="n">
        <v>13.215653</v>
      </c>
      <c r="U29" t="n">
        <v>8.00437</v>
      </c>
      <c r="V29" t="n">
        <v>8.00437</v>
      </c>
      <c r="W29" t="n">
        <v>13.539814</v>
      </c>
      <c r="X29" t="n">
        <v>184.933079</v>
      </c>
    </row>
    <row r="30" ht="36" customHeight="1">
      <c r="A30" t="inlineStr">
        <is>
          <t>Monacanthidae</t>
        </is>
      </c>
      <c r="B30" t="n">
        <v>3</v>
      </c>
      <c r="C30" t="n">
        <v>100</v>
      </c>
      <c r="D30" s="11" t="inlineStr">
        <is>
          <t>Juvenile demersal fish (&gt; 30 cm) | Adult demersal fish (&gt; 30 cm)</t>
        </is>
      </c>
      <c r="E30" t="n">
        <v>140.953883</v>
      </c>
      <c r="F30" t="n">
        <v>228.824285</v>
      </c>
      <c r="G30" t="n">
        <v>114.897152</v>
      </c>
      <c r="H30" t="n">
        <v>408.798022</v>
      </c>
      <c r="I30" t="n">
        <v>6590.793316</v>
      </c>
      <c r="J30" t="n">
        <v>7071.146917</v>
      </c>
      <c r="K30" t="n">
        <v>2576.928919</v>
      </c>
      <c r="L30" t="n">
        <v>10677.999207</v>
      </c>
      <c r="M30" t="n">
        <v>10677.999207</v>
      </c>
      <c r="N30" t="n">
        <v>10677.999207</v>
      </c>
      <c r="O30" t="n">
        <v>85.006417</v>
      </c>
      <c r="P30" t="n">
        <v>38.52237</v>
      </c>
      <c r="Q30" t="n">
        <v>10677.999207</v>
      </c>
      <c r="R30" t="n">
        <v>10677.999207</v>
      </c>
      <c r="S30" t="n">
        <v>85.006417</v>
      </c>
      <c r="T30" t="n">
        <v>85.006417</v>
      </c>
      <c r="U30" t="n">
        <v>38.52237</v>
      </c>
      <c r="V30" t="n">
        <v>38.52237</v>
      </c>
      <c r="W30" t="n">
        <v>88.306245</v>
      </c>
      <c r="X30" t="n">
        <v>11509.306401</v>
      </c>
    </row>
    <row r="31" ht="21" customHeight="1">
      <c r="A31" t="inlineStr">
        <is>
          <t>Trachysalambria curvirostris</t>
        </is>
      </c>
      <c r="B31" t="n">
        <v>2.7</v>
      </c>
      <c r="C31" t="n">
        <v>50.118723</v>
      </c>
      <c r="D31" s="11" t="inlineStr">
        <is>
          <t>Shrimps</t>
        </is>
      </c>
      <c r="E31" t="n">
        <v>140.953883</v>
      </c>
      <c r="F31" t="n">
        <v>20.606299</v>
      </c>
      <c r="G31" t="n">
        <v>14.077679</v>
      </c>
      <c r="H31" t="n">
        <v>22.715542</v>
      </c>
      <c r="I31" t="n">
        <v>131.71072</v>
      </c>
      <c r="J31" t="n">
        <v>131.71072</v>
      </c>
      <c r="K31" t="n">
        <v>125.125184</v>
      </c>
      <c r="L31" t="n">
        <v>130.894857</v>
      </c>
      <c r="M31" t="n">
        <v>130.894857</v>
      </c>
      <c r="N31" t="n">
        <v>130.894857</v>
      </c>
      <c r="O31" t="n">
        <v>12.255972</v>
      </c>
      <c r="P31" t="n">
        <v>8.448598</v>
      </c>
      <c r="Q31" t="n">
        <v>130.894857</v>
      </c>
      <c r="R31" t="n">
        <v>130.894857</v>
      </c>
      <c r="S31" t="n">
        <v>12.255972</v>
      </c>
      <c r="T31" t="n">
        <v>12.255972</v>
      </c>
      <c r="U31" t="n">
        <v>8.448598</v>
      </c>
      <c r="V31" t="n">
        <v>8.448598</v>
      </c>
      <c r="W31" t="n">
        <v>12.680707</v>
      </c>
      <c r="X31" t="n">
        <v>136.520004</v>
      </c>
    </row>
    <row r="32" ht="36" customHeight="1">
      <c r="A32" t="inlineStr">
        <is>
          <t>Larimichthys crocea</t>
        </is>
      </c>
      <c r="B32" t="n">
        <v>3.72</v>
      </c>
      <c r="C32" t="n">
        <v>524.80746</v>
      </c>
      <c r="D32" s="11" t="inlineStr">
        <is>
          <t>Juvenile large croakers | Croakers (&gt; 30 cm)</t>
        </is>
      </c>
      <c r="E32" t="n">
        <v>140.953883</v>
      </c>
      <c r="F32" t="n">
        <v>265.549442</v>
      </c>
      <c r="G32" t="n">
        <v>131.19784</v>
      </c>
      <c r="H32" t="n">
        <v>368.043932</v>
      </c>
      <c r="I32" t="n">
        <v>2939.153653</v>
      </c>
      <c r="J32" t="n">
        <v>3022.907916</v>
      </c>
      <c r="K32" t="n">
        <v>1769.605312</v>
      </c>
      <c r="L32" t="n">
        <v>3691.420719</v>
      </c>
      <c r="M32" t="n">
        <v>3691.420719</v>
      </c>
      <c r="N32" t="n">
        <v>3691.420719</v>
      </c>
      <c r="O32" t="n">
        <v>92.784491</v>
      </c>
      <c r="P32" t="n">
        <v>44.082214</v>
      </c>
      <c r="Q32" t="n">
        <v>3691.420719</v>
      </c>
      <c r="R32" t="n">
        <v>3691.420719</v>
      </c>
      <c r="S32" t="n">
        <v>92.784491</v>
      </c>
      <c r="T32" t="n">
        <v>92.784491</v>
      </c>
      <c r="U32" t="n">
        <v>44.082214</v>
      </c>
      <c r="V32" t="n">
        <v>44.082214</v>
      </c>
      <c r="W32" t="n">
        <v>96.91430099999999</v>
      </c>
      <c r="X32" t="n">
        <v>3937.988659</v>
      </c>
    </row>
    <row r="33" ht="51" customHeight="1">
      <c r="A33" t="inlineStr">
        <is>
          <t>Clupeidae</t>
        </is>
      </c>
      <c r="B33" t="n">
        <v>3.16</v>
      </c>
      <c r="C33" t="n">
        <v>144.543977</v>
      </c>
      <c r="D33" s="11" t="inlineStr">
        <is>
          <t>Pelagic fish (≤ 30 cm) | Juvenile large pelagic fish | Pelagic fish (&gt; 30 cm)</t>
        </is>
      </c>
      <c r="E33" t="n">
        <v>140.953883</v>
      </c>
      <c r="F33" t="n">
        <v>94.940534</v>
      </c>
      <c r="G33" t="n">
        <v>52.342971</v>
      </c>
      <c r="H33" t="n">
        <v>87.541141</v>
      </c>
      <c r="I33" t="n">
        <v>1833.804999</v>
      </c>
      <c r="J33" t="n">
        <v>1853.890312</v>
      </c>
      <c r="K33" t="n">
        <v>743.939069</v>
      </c>
      <c r="L33" t="n">
        <v>2045.820774</v>
      </c>
      <c r="M33" t="n">
        <v>2045.820774</v>
      </c>
      <c r="N33" t="n">
        <v>2045.820774</v>
      </c>
      <c r="O33" t="n">
        <v>37.402647</v>
      </c>
      <c r="P33" t="n">
        <v>21.641048</v>
      </c>
      <c r="Q33" t="n">
        <v>2045.820774</v>
      </c>
      <c r="R33" t="n">
        <v>2045.820774</v>
      </c>
      <c r="S33" t="n">
        <v>37.402647</v>
      </c>
      <c r="T33" t="n">
        <v>37.402647</v>
      </c>
      <c r="U33" t="n">
        <v>21.641048</v>
      </c>
      <c r="V33" t="n">
        <v>21.641048</v>
      </c>
      <c r="W33" t="n">
        <v>39.426311</v>
      </c>
      <c r="X33" t="n">
        <v>2139.974971</v>
      </c>
    </row>
    <row r="34" ht="36" customHeight="1">
      <c r="A34" t="inlineStr">
        <is>
          <t>Muraenesox cinereus</t>
        </is>
      </c>
      <c r="B34" t="n">
        <v>4.38</v>
      </c>
      <c r="C34" t="n">
        <v>2398.832919</v>
      </c>
      <c r="D34" s="11" t="inlineStr">
        <is>
          <t>Juvenile demersal fish (&gt; 30 cm) | Adult demersal fish (&gt; 30 cm)</t>
        </is>
      </c>
      <c r="E34" t="n">
        <v>140.953883</v>
      </c>
      <c r="F34" t="n">
        <v>228.824285</v>
      </c>
      <c r="G34" t="n">
        <v>114.897152</v>
      </c>
      <c r="H34" t="n">
        <v>408.798022</v>
      </c>
      <c r="I34" t="n">
        <v>6590.793316</v>
      </c>
      <c r="J34" t="n">
        <v>7071.146917</v>
      </c>
      <c r="K34" t="n">
        <v>2576.928919</v>
      </c>
      <c r="L34" t="n">
        <v>10677.999207</v>
      </c>
      <c r="M34" t="n">
        <v>10677.999207</v>
      </c>
      <c r="N34" t="n">
        <v>10677.999207</v>
      </c>
      <c r="O34" t="n">
        <v>85.006417</v>
      </c>
      <c r="P34" t="n">
        <v>38.52237</v>
      </c>
      <c r="Q34" t="n">
        <v>10677.999207</v>
      </c>
      <c r="R34" t="n">
        <v>10677.999207</v>
      </c>
      <c r="S34" t="n">
        <v>85.006417</v>
      </c>
      <c r="T34" t="n">
        <v>85.006417</v>
      </c>
      <c r="U34" t="n">
        <v>38.52237</v>
      </c>
      <c r="V34" t="n">
        <v>38.52237</v>
      </c>
      <c r="W34" t="n">
        <v>88.306245</v>
      </c>
      <c r="X34" t="n">
        <v>11509.306401</v>
      </c>
    </row>
    <row r="35" ht="21" customHeight="1">
      <c r="A35" t="inlineStr">
        <is>
          <t>Portunus pelagicus</t>
        </is>
      </c>
      <c r="B35" t="n">
        <v>2.48</v>
      </c>
      <c r="C35" t="n">
        <v>30.199517</v>
      </c>
      <c r="D35" s="11" t="inlineStr">
        <is>
          <t>Crabs</t>
        </is>
      </c>
      <c r="E35" t="n">
        <v>140.953883</v>
      </c>
      <c r="F35" t="n">
        <v>33.254785</v>
      </c>
      <c r="G35" t="n">
        <v>21.389991</v>
      </c>
      <c r="H35" t="n">
        <v>53.354334</v>
      </c>
      <c r="I35" t="n">
        <v>151.084056</v>
      </c>
      <c r="J35" t="n">
        <v>151.084056</v>
      </c>
      <c r="K35" t="n">
        <v>143.529853</v>
      </c>
      <c r="L35" t="n">
        <v>173.938876</v>
      </c>
      <c r="M35" t="n">
        <v>173.938876</v>
      </c>
      <c r="N35" t="n">
        <v>173.938876</v>
      </c>
      <c r="O35" t="n">
        <v>13.215653</v>
      </c>
      <c r="P35" t="n">
        <v>8.00437</v>
      </c>
      <c r="Q35" t="n">
        <v>173.938876</v>
      </c>
      <c r="R35" t="n">
        <v>173.938876</v>
      </c>
      <c r="S35" t="n">
        <v>13.215653</v>
      </c>
      <c r="T35" t="n">
        <v>13.215653</v>
      </c>
      <c r="U35" t="n">
        <v>8.00437</v>
      </c>
      <c r="V35" t="n">
        <v>8.00437</v>
      </c>
      <c r="W35" t="n">
        <v>13.539814</v>
      </c>
      <c r="X35" t="n">
        <v>184.933079</v>
      </c>
    </row>
    <row r="36" ht="21" customHeight="1">
      <c r="A36" t="inlineStr">
        <is>
          <t>Engraulidae</t>
        </is>
      </c>
      <c r="B36" t="n">
        <v>3.2</v>
      </c>
      <c r="C36" t="n">
        <v>158.489319</v>
      </c>
      <c r="D36" s="11" t="inlineStr">
        <is>
          <t>Pelagic fish (≤ 30 cm)</t>
        </is>
      </c>
      <c r="E36" t="n">
        <v>140.953883</v>
      </c>
      <c r="F36" t="n">
        <v>60.479203</v>
      </c>
      <c r="G36" t="n">
        <v>36.07884</v>
      </c>
      <c r="H36" t="n">
        <v>45.98261</v>
      </c>
      <c r="I36" t="n">
        <v>395.888053</v>
      </c>
      <c r="J36" t="n">
        <v>395.888053</v>
      </c>
      <c r="K36" t="n">
        <v>376.09365</v>
      </c>
      <c r="L36" t="n">
        <v>393.787233</v>
      </c>
      <c r="M36" t="n">
        <v>393.787233</v>
      </c>
      <c r="N36" t="n">
        <v>393.787233</v>
      </c>
      <c r="O36" t="n">
        <v>20.916473</v>
      </c>
      <c r="P36" t="n">
        <v>13.510088</v>
      </c>
      <c r="Q36" t="n">
        <v>393.787233</v>
      </c>
      <c r="R36" t="n">
        <v>393.787233</v>
      </c>
      <c r="S36" t="n">
        <v>20.916473</v>
      </c>
      <c r="T36" t="n">
        <v>20.916473</v>
      </c>
      <c r="U36" t="n">
        <v>13.510088</v>
      </c>
      <c r="V36" t="n">
        <v>13.510088</v>
      </c>
      <c r="W36" t="n">
        <v>21.939981</v>
      </c>
      <c r="X36" t="n">
        <v>405.784084</v>
      </c>
    </row>
    <row r="37" ht="21" customHeight="1">
      <c r="A37" t="inlineStr">
        <is>
          <t>Pampus</t>
        </is>
      </c>
      <c r="B37" t="n">
        <v>3.41</v>
      </c>
      <c r="C37" t="n">
        <v>257.039578</v>
      </c>
      <c r="D37" s="11" t="inlineStr">
        <is>
          <t>Pomfret (stromateids)</t>
        </is>
      </c>
      <c r="E37" t="n">
        <v>140.953883</v>
      </c>
      <c r="F37" t="n">
        <v>342.280115</v>
      </c>
      <c r="G37" t="n">
        <v>164.146984</v>
      </c>
      <c r="H37" t="n">
        <v>260.083928</v>
      </c>
      <c r="I37" t="n">
        <v>1585.623721</v>
      </c>
      <c r="J37" t="n">
        <v>1650.152477</v>
      </c>
      <c r="K37" t="n">
        <v>1567.644853</v>
      </c>
      <c r="L37" t="n">
        <v>2274.19106</v>
      </c>
      <c r="M37" t="n">
        <v>2274.19106</v>
      </c>
      <c r="N37" t="n">
        <v>2274.19106</v>
      </c>
      <c r="O37" t="n">
        <v>105.127985</v>
      </c>
      <c r="P37" t="n">
        <v>50.974766</v>
      </c>
      <c r="Q37" t="n">
        <v>2274.19106</v>
      </c>
      <c r="R37" t="n">
        <v>2274.19106</v>
      </c>
      <c r="S37" t="n">
        <v>105.127985</v>
      </c>
      <c r="T37" t="n">
        <v>105.127985</v>
      </c>
      <c r="U37" t="n">
        <v>50.974766</v>
      </c>
      <c r="V37" t="n">
        <v>50.974766</v>
      </c>
      <c r="W37" t="n">
        <v>111.155847</v>
      </c>
      <c r="X37" t="n">
        <v>2438.947747</v>
      </c>
    </row>
    <row r="38" ht="21" customHeight="1">
      <c r="A38" t="inlineStr">
        <is>
          <t>Nemipteridae</t>
        </is>
      </c>
      <c r="B38" t="n">
        <v>3.51</v>
      </c>
      <c r="C38" t="n">
        <v>323.593657</v>
      </c>
      <c r="D38" s="11" t="inlineStr">
        <is>
          <t>Threadfin bream (nemipterids)</t>
        </is>
      </c>
      <c r="E38" t="n">
        <v>140.953883</v>
      </c>
      <c r="F38" t="n">
        <v>158.552335</v>
      </c>
      <c r="G38" t="n">
        <v>83.774152</v>
      </c>
      <c r="H38" t="n">
        <v>197.082776</v>
      </c>
      <c r="I38" t="n">
        <v>3502.459341</v>
      </c>
      <c r="J38" t="n">
        <v>3796.144916</v>
      </c>
      <c r="K38" t="n">
        <v>1780.391965</v>
      </c>
      <c r="L38" t="n">
        <v>4710.704014</v>
      </c>
      <c r="M38" t="n">
        <v>4710.704014</v>
      </c>
      <c r="N38" t="n">
        <v>4710.704014</v>
      </c>
      <c r="O38" t="n">
        <v>105.183965</v>
      </c>
      <c r="P38" t="n">
        <v>52.828865</v>
      </c>
      <c r="Q38" t="n">
        <v>4710.704014</v>
      </c>
      <c r="R38" t="n">
        <v>4710.704014</v>
      </c>
      <c r="S38" t="n">
        <v>105.183965</v>
      </c>
      <c r="T38" t="n">
        <v>105.183965</v>
      </c>
      <c r="U38" t="n">
        <v>52.828865</v>
      </c>
      <c r="V38" t="n">
        <v>52.828865</v>
      </c>
      <c r="W38" t="n">
        <v>109.611209</v>
      </c>
      <c r="X38" t="n">
        <v>5115.038689</v>
      </c>
    </row>
    <row r="39" ht="21" customHeight="1">
      <c r="A39" t="inlineStr">
        <is>
          <t>Sepiidae</t>
        </is>
      </c>
      <c r="B39" t="n">
        <v>3.6</v>
      </c>
      <c r="C39" t="n">
        <v>398.107171</v>
      </c>
      <c r="D39" s="11" t="inlineStr">
        <is>
          <t>Cephalopods</t>
        </is>
      </c>
      <c r="E39" t="n">
        <v>140.953883</v>
      </c>
      <c r="F39" t="n">
        <v>170.518341</v>
      </c>
      <c r="G39" t="n">
        <v>89.274901</v>
      </c>
      <c r="H39" t="n">
        <v>176.937394</v>
      </c>
      <c r="I39" t="n">
        <v>1050.872908</v>
      </c>
      <c r="J39" t="n">
        <v>1075.829695</v>
      </c>
      <c r="K39" t="n">
        <v>537.914847</v>
      </c>
      <c r="L39" t="n">
        <v>1659.687874</v>
      </c>
      <c r="M39" t="n">
        <v>1659.687874</v>
      </c>
      <c r="N39" t="n">
        <v>1659.687874</v>
      </c>
      <c r="O39" t="n">
        <v>31.362197</v>
      </c>
      <c r="P39" t="n">
        <v>16.184075</v>
      </c>
      <c r="Q39" t="n">
        <v>1659.687874</v>
      </c>
      <c r="R39" t="n">
        <v>1659.687874</v>
      </c>
      <c r="S39" t="n">
        <v>31.362197</v>
      </c>
      <c r="T39" t="n">
        <v>31.362197</v>
      </c>
      <c r="U39" t="n">
        <v>16.184075</v>
      </c>
      <c r="V39" t="n">
        <v>16.184075</v>
      </c>
      <c r="W39" t="n">
        <v>32.286772</v>
      </c>
      <c r="X39" t="n">
        <v>1775.112325</v>
      </c>
    </row>
    <row r="40" ht="36" customHeight="1">
      <c r="A40" t="inlineStr">
        <is>
          <t>Decapterus</t>
        </is>
      </c>
      <c r="B40" t="n">
        <v>3.63</v>
      </c>
      <c r="C40" t="n">
        <v>426.579519</v>
      </c>
      <c r="D40" s="11" t="inlineStr">
        <is>
          <t>Juvenile large pelagic fish | Pelagic fish (&gt; 30 cm)</t>
        </is>
      </c>
      <c r="E40" t="n">
        <v>140.953883</v>
      </c>
      <c r="F40" t="n">
        <v>200.641254</v>
      </c>
      <c r="G40" t="n">
        <v>102.228748</v>
      </c>
      <c r="H40" t="n">
        <v>215.010584</v>
      </c>
      <c r="I40" t="n">
        <v>6244.222521</v>
      </c>
      <c r="J40" t="n">
        <v>6325.914048</v>
      </c>
      <c r="K40" t="n">
        <v>1872.204427</v>
      </c>
      <c r="L40" t="n">
        <v>7112.982475</v>
      </c>
      <c r="M40" t="n">
        <v>7112.982475</v>
      </c>
      <c r="N40" t="n">
        <v>7112.982475</v>
      </c>
      <c r="O40" t="n">
        <v>87.969483</v>
      </c>
      <c r="P40" t="n">
        <v>46.580547</v>
      </c>
      <c r="Q40" t="n">
        <v>7112.982475</v>
      </c>
      <c r="R40" t="n">
        <v>7112.982475</v>
      </c>
      <c r="S40" t="n">
        <v>87.969483</v>
      </c>
      <c r="T40" t="n">
        <v>87.969483</v>
      </c>
      <c r="U40" t="n">
        <v>46.580547</v>
      </c>
      <c r="V40" t="n">
        <v>46.580547</v>
      </c>
      <c r="W40" t="n">
        <v>93.060855</v>
      </c>
      <c r="X40" t="n">
        <v>7459.131892</v>
      </c>
    </row>
    <row r="41" ht="21" customHeight="1">
      <c r="A41" t="inlineStr">
        <is>
          <t>Teuthida</t>
        </is>
      </c>
      <c r="B41" t="n">
        <v>4.13</v>
      </c>
      <c r="C41" t="n">
        <v>1348.962883</v>
      </c>
      <c r="D41" s="11" t="inlineStr">
        <is>
          <t>Cephalopods</t>
        </is>
      </c>
      <c r="E41" t="n">
        <v>140.953883</v>
      </c>
      <c r="F41" t="n">
        <v>170.518341</v>
      </c>
      <c r="G41" t="n">
        <v>89.274901</v>
      </c>
      <c r="H41" t="n">
        <v>176.937394</v>
      </c>
      <c r="I41" t="n">
        <v>1050.872908</v>
      </c>
      <c r="J41" t="n">
        <v>1075.829695</v>
      </c>
      <c r="K41" t="n">
        <v>537.914847</v>
      </c>
      <c r="L41" t="n">
        <v>1659.687874</v>
      </c>
      <c r="M41" t="n">
        <v>1659.687874</v>
      </c>
      <c r="N41" t="n">
        <v>1659.687874</v>
      </c>
      <c r="O41" t="n">
        <v>31.362197</v>
      </c>
      <c r="P41" t="n">
        <v>16.184075</v>
      </c>
      <c r="Q41" t="n">
        <v>1659.687874</v>
      </c>
      <c r="R41" t="n">
        <v>1659.687874</v>
      </c>
      <c r="S41" t="n">
        <v>31.362197</v>
      </c>
      <c r="T41" t="n">
        <v>31.362197</v>
      </c>
      <c r="U41" t="n">
        <v>16.184075</v>
      </c>
      <c r="V41" t="n">
        <v>16.184075</v>
      </c>
      <c r="W41" t="n">
        <v>32.286772</v>
      </c>
      <c r="X41" t="n">
        <v>1775.112325</v>
      </c>
    </row>
    <row r="42" ht="21" customHeight="1">
      <c r="A42" t="inlineStr">
        <is>
          <t>Saurida tumbil</t>
        </is>
      </c>
      <c r="B42" t="n">
        <v>4.4</v>
      </c>
      <c r="C42" t="n">
        <v>2511.886432</v>
      </c>
      <c r="D42" s="11" t="inlineStr">
        <is>
          <t>Lizard fish (synodontids)</t>
        </is>
      </c>
      <c r="E42" t="n">
        <v>140.953883</v>
      </c>
      <c r="F42" t="n">
        <v>667.104795</v>
      </c>
      <c r="G42" t="n">
        <v>294.137165</v>
      </c>
      <c r="H42" t="n">
        <v>674.482249</v>
      </c>
      <c r="I42" t="n">
        <v>9604.557183999999</v>
      </c>
      <c r="J42" t="n">
        <v>10115.319409</v>
      </c>
      <c r="K42" t="n">
        <v>2437.791978</v>
      </c>
      <c r="L42" t="n">
        <v>16798.641648</v>
      </c>
      <c r="M42" t="n">
        <v>16798.641648</v>
      </c>
      <c r="N42" t="n">
        <v>16798.641648</v>
      </c>
      <c r="O42" t="n">
        <v>88.03658900000001</v>
      </c>
      <c r="P42" t="n">
        <v>38.159556</v>
      </c>
      <c r="Q42" t="n">
        <v>16798.641648</v>
      </c>
      <c r="R42" t="n">
        <v>16798.641648</v>
      </c>
      <c r="S42" t="n">
        <v>88.03658900000001</v>
      </c>
      <c r="T42" t="n">
        <v>88.03658900000001</v>
      </c>
      <c r="U42" t="n">
        <v>38.159556</v>
      </c>
      <c r="V42" t="n">
        <v>38.159556</v>
      </c>
      <c r="W42" t="n">
        <v>92.54017</v>
      </c>
      <c r="X42" t="n">
        <v>18119.633615</v>
      </c>
    </row>
    <row r="43" ht="36" customHeight="1">
      <c r="A43" t="inlineStr">
        <is>
          <t>Scombroidei</t>
        </is>
      </c>
      <c r="B43" t="n">
        <v>4.2</v>
      </c>
      <c r="C43" t="n">
        <v>1584.893192</v>
      </c>
      <c r="D43" s="11" t="inlineStr">
        <is>
          <t>Juvenile large pelagic fish | Pelagic fish (&gt; 30 cm)</t>
        </is>
      </c>
      <c r="E43" t="n">
        <v>140.953883</v>
      </c>
      <c r="F43" t="n">
        <v>200.641254</v>
      </c>
      <c r="G43" t="n">
        <v>102.228748</v>
      </c>
      <c r="H43" t="n">
        <v>215.010584</v>
      </c>
      <c r="I43" t="n">
        <v>6244.222521</v>
      </c>
      <c r="J43" t="n">
        <v>6325.914048</v>
      </c>
      <c r="K43" t="n">
        <v>1872.204427</v>
      </c>
      <c r="L43" t="n">
        <v>7112.982475</v>
      </c>
      <c r="M43" t="n">
        <v>7112.982475</v>
      </c>
      <c r="N43" t="n">
        <v>7112.982475</v>
      </c>
      <c r="O43" t="n">
        <v>87.969483</v>
      </c>
      <c r="P43" t="n">
        <v>46.580547</v>
      </c>
      <c r="Q43" t="n">
        <v>7112.982475</v>
      </c>
      <c r="R43" t="n">
        <v>7112.982475</v>
      </c>
      <c r="S43" t="n">
        <v>87.969483</v>
      </c>
      <c r="T43" t="n">
        <v>87.969483</v>
      </c>
      <c r="U43" t="n">
        <v>46.580547</v>
      </c>
      <c r="V43" t="n">
        <v>46.580547</v>
      </c>
      <c r="W43" t="n">
        <v>93.060855</v>
      </c>
      <c r="X43" t="n">
        <v>7459.131892</v>
      </c>
    </row>
    <row r="44" ht="36" customHeight="1">
      <c r="A44" t="inlineStr">
        <is>
          <t>Decapoda</t>
        </is>
      </c>
      <c r="B44" t="n">
        <v>3.43</v>
      </c>
      <c r="C44" t="n">
        <v>269.15348</v>
      </c>
      <c r="D44" s="11" t="inlineStr">
        <is>
          <t>Zooplankton | Benthic crustaceans | Shrimps | Crabs</t>
        </is>
      </c>
      <c r="E44" t="n">
        <v>140.953883</v>
      </c>
      <c r="F44" t="n">
        <v>20.231565</v>
      </c>
      <c r="G44" t="n">
        <v>13.734934</v>
      </c>
      <c r="H44" t="n">
        <v>25.09025</v>
      </c>
      <c r="I44" t="n">
        <v>130.411041</v>
      </c>
      <c r="J44" t="n">
        <v>130.411041</v>
      </c>
      <c r="K44" t="n">
        <v>95.393377</v>
      </c>
      <c r="L44" t="n">
        <v>134.682411</v>
      </c>
      <c r="M44" t="n">
        <v>134.682411</v>
      </c>
      <c r="N44" t="n">
        <v>134.682411</v>
      </c>
      <c r="O44" t="n">
        <v>10.649241</v>
      </c>
      <c r="P44" t="n">
        <v>7.289446</v>
      </c>
      <c r="Q44" t="n">
        <v>134.682411</v>
      </c>
      <c r="R44" t="n">
        <v>134.682411</v>
      </c>
      <c r="S44" t="n">
        <v>10.649241</v>
      </c>
      <c r="T44" t="n">
        <v>10.649241</v>
      </c>
      <c r="U44" t="n">
        <v>7.289446</v>
      </c>
      <c r="V44" t="n">
        <v>7.289446</v>
      </c>
      <c r="W44" t="n">
        <v>10.971178</v>
      </c>
      <c r="X44" t="n">
        <v>140.50161</v>
      </c>
    </row>
    <row r="45" ht="36" customHeight="1">
      <c r="A45" t="inlineStr">
        <is>
          <t>Auxis thazard</t>
        </is>
      </c>
      <c r="B45" t="n">
        <v>4.37</v>
      </c>
      <c r="C45" t="n">
        <v>2344.228815</v>
      </c>
      <c r="D45" s="11" t="inlineStr">
        <is>
          <t>Juvenile large pelagic fish | Pelagic fish (&gt; 30 cm)</t>
        </is>
      </c>
      <c r="E45" t="n">
        <v>140.953883</v>
      </c>
      <c r="F45" t="n">
        <v>200.641254</v>
      </c>
      <c r="G45" t="n">
        <v>102.228748</v>
      </c>
      <c r="H45" t="n">
        <v>215.010584</v>
      </c>
      <c r="I45" t="n">
        <v>6244.222521</v>
      </c>
      <c r="J45" t="n">
        <v>6325.914048</v>
      </c>
      <c r="K45" t="n">
        <v>1872.204427</v>
      </c>
      <c r="L45" t="n">
        <v>7112.982475</v>
      </c>
      <c r="M45" t="n">
        <v>7112.982475</v>
      </c>
      <c r="N45" t="n">
        <v>7112.982475</v>
      </c>
      <c r="O45" t="n">
        <v>87.969483</v>
      </c>
      <c r="P45" t="n">
        <v>46.580547</v>
      </c>
      <c r="Q45" t="n">
        <v>7112.982475</v>
      </c>
      <c r="R45" t="n">
        <v>7112.982475</v>
      </c>
      <c r="S45" t="n">
        <v>87.969483</v>
      </c>
      <c r="T45" t="n">
        <v>87.969483</v>
      </c>
      <c r="U45" t="n">
        <v>46.580547</v>
      </c>
      <c r="V45" t="n">
        <v>46.580547</v>
      </c>
      <c r="W45" t="n">
        <v>93.060855</v>
      </c>
      <c r="X45" t="n">
        <v>7459.131892</v>
      </c>
    </row>
    <row r="46" ht="21" customHeight="1">
      <c r="A46" t="inlineStr">
        <is>
          <t>Priacanthidae</t>
        </is>
      </c>
      <c r="B46" t="n">
        <v>3.79</v>
      </c>
      <c r="C46" t="n">
        <v>616.595002</v>
      </c>
      <c r="D46" s="11" t="inlineStr">
        <is>
          <t>Bigeyes (priacanthids)</t>
        </is>
      </c>
      <c r="E46" t="n">
        <v>140.953883</v>
      </c>
      <c r="F46" t="n">
        <v>283.896083</v>
      </c>
      <c r="G46" t="n">
        <v>139.392295</v>
      </c>
      <c r="H46" t="n">
        <v>456.88162</v>
      </c>
      <c r="I46" t="n">
        <v>10688.374283</v>
      </c>
      <c r="J46" t="n">
        <v>10967.724493</v>
      </c>
      <c r="K46" t="n">
        <v>3597.413634</v>
      </c>
      <c r="L46" t="n">
        <v>16970.336092</v>
      </c>
      <c r="M46" t="n">
        <v>16970.336092</v>
      </c>
      <c r="N46" t="n">
        <v>16970.336092</v>
      </c>
      <c r="O46" t="n">
        <v>214.616191</v>
      </c>
      <c r="P46" t="n">
        <v>96.945487</v>
      </c>
      <c r="Q46" t="n">
        <v>16970.336092</v>
      </c>
      <c r="R46" t="n">
        <v>16970.336092</v>
      </c>
      <c r="S46" t="n">
        <v>214.616191</v>
      </c>
      <c r="T46" t="n">
        <v>214.616191</v>
      </c>
      <c r="U46" t="n">
        <v>96.945487</v>
      </c>
      <c r="V46" t="n">
        <v>96.945487</v>
      </c>
      <c r="W46" t="n">
        <v>226.201493</v>
      </c>
      <c r="X46" t="n">
        <v>17690.628268</v>
      </c>
    </row>
    <row r="47" ht="36" customHeight="1">
      <c r="A47" t="inlineStr">
        <is>
          <t>Ariidae</t>
        </is>
      </c>
      <c r="B47" t="n">
        <v>3.48</v>
      </c>
      <c r="C47" t="n">
        <v>301.995172</v>
      </c>
      <c r="D47" s="11" t="inlineStr">
        <is>
          <t>Juvenile demersal fish (&gt; 30 cm) | Adult demersal fish (&gt; 30 cm)</t>
        </is>
      </c>
      <c r="E47" t="n">
        <v>140.953883</v>
      </c>
      <c r="F47" t="n">
        <v>228.824285</v>
      </c>
      <c r="G47" t="n">
        <v>114.897152</v>
      </c>
      <c r="H47" t="n">
        <v>408.798022</v>
      </c>
      <c r="I47" t="n">
        <v>6590.793316</v>
      </c>
      <c r="J47" t="n">
        <v>7071.146917</v>
      </c>
      <c r="K47" t="n">
        <v>2576.928919</v>
      </c>
      <c r="L47" t="n">
        <v>10677.999207</v>
      </c>
      <c r="M47" t="n">
        <v>10677.999207</v>
      </c>
      <c r="N47" t="n">
        <v>10677.999207</v>
      </c>
      <c r="O47" t="n">
        <v>85.006417</v>
      </c>
      <c r="P47" t="n">
        <v>38.52237</v>
      </c>
      <c r="Q47" t="n">
        <v>10677.999207</v>
      </c>
      <c r="R47" t="n">
        <v>10677.999207</v>
      </c>
      <c r="S47" t="n">
        <v>85.006417</v>
      </c>
      <c r="T47" t="n">
        <v>85.006417</v>
      </c>
      <c r="U47" t="n">
        <v>38.52237</v>
      </c>
      <c r="V47" t="n">
        <v>38.52237</v>
      </c>
      <c r="W47" t="n">
        <v>88.306245</v>
      </c>
      <c r="X47" t="n">
        <v>11509.306401</v>
      </c>
    </row>
    <row r="48" ht="21" customHeight="1">
      <c r="A48" t="inlineStr">
        <is>
          <t>Sepiida</t>
        </is>
      </c>
      <c r="B48" t="n">
        <v>3.7</v>
      </c>
      <c r="C48" t="n">
        <v>501.187234</v>
      </c>
      <c r="D48" s="11" t="inlineStr">
        <is>
          <t>Cephalopods</t>
        </is>
      </c>
      <c r="E48" t="n">
        <v>140.953883</v>
      </c>
      <c r="F48" t="n">
        <v>170.518341</v>
      </c>
      <c r="G48" t="n">
        <v>89.274901</v>
      </c>
      <c r="H48" t="n">
        <v>176.937394</v>
      </c>
      <c r="I48" t="n">
        <v>1050.872908</v>
      </c>
      <c r="J48" t="n">
        <v>1075.829695</v>
      </c>
      <c r="K48" t="n">
        <v>537.914847</v>
      </c>
      <c r="L48" t="n">
        <v>1659.687874</v>
      </c>
      <c r="M48" t="n">
        <v>1659.687874</v>
      </c>
      <c r="N48" t="n">
        <v>1659.687874</v>
      </c>
      <c r="O48" t="n">
        <v>31.362197</v>
      </c>
      <c r="P48" t="n">
        <v>16.184075</v>
      </c>
      <c r="Q48" t="n">
        <v>1659.687874</v>
      </c>
      <c r="R48" t="n">
        <v>1659.687874</v>
      </c>
      <c r="S48" t="n">
        <v>31.362197</v>
      </c>
      <c r="T48" t="n">
        <v>31.362197</v>
      </c>
      <c r="U48" t="n">
        <v>16.184075</v>
      </c>
      <c r="V48" t="n">
        <v>16.184075</v>
      </c>
      <c r="W48" t="n">
        <v>32.286772</v>
      </c>
      <c r="X48" t="n">
        <v>1775.112325</v>
      </c>
    </row>
    <row r="49" ht="21" customHeight="1">
      <c r="A49" t="inlineStr">
        <is>
          <t>Harpadon nehereus</t>
        </is>
      </c>
      <c r="B49" t="n">
        <v>4.2</v>
      </c>
      <c r="C49" t="n">
        <v>1584.893192</v>
      </c>
      <c r="D49" s="11" t="inlineStr">
        <is>
          <t>Lizard fish (synodontids)</t>
        </is>
      </c>
      <c r="E49" t="n">
        <v>140.953883</v>
      </c>
      <c r="F49" t="n">
        <v>667.104795</v>
      </c>
      <c r="G49" t="n">
        <v>294.137165</v>
      </c>
      <c r="H49" t="n">
        <v>674.482249</v>
      </c>
      <c r="I49" t="n">
        <v>9604.557183999999</v>
      </c>
      <c r="J49" t="n">
        <v>10115.319409</v>
      </c>
      <c r="K49" t="n">
        <v>2437.791978</v>
      </c>
      <c r="L49" t="n">
        <v>16798.641648</v>
      </c>
      <c r="M49" t="n">
        <v>16798.641648</v>
      </c>
      <c r="N49" t="n">
        <v>16798.641648</v>
      </c>
      <c r="O49" t="n">
        <v>88.03658900000001</v>
      </c>
      <c r="P49" t="n">
        <v>38.159556</v>
      </c>
      <c r="Q49" t="n">
        <v>16798.641648</v>
      </c>
      <c r="R49" t="n">
        <v>16798.641648</v>
      </c>
      <c r="S49" t="n">
        <v>88.03658900000001</v>
      </c>
      <c r="T49" t="n">
        <v>88.03658900000001</v>
      </c>
      <c r="U49" t="n">
        <v>38.159556</v>
      </c>
      <c r="V49" t="n">
        <v>38.159556</v>
      </c>
      <c r="W49" t="n">
        <v>92.54017</v>
      </c>
      <c r="X49" t="n">
        <v>18119.633615</v>
      </c>
    </row>
    <row r="50" ht="21" customHeight="1">
      <c r="A50" t="inlineStr">
        <is>
          <t>Squillidae</t>
        </is>
      </c>
      <c r="B50" t="n">
        <v>3.5</v>
      </c>
      <c r="C50" t="n">
        <v>316.227766</v>
      </c>
      <c r="D50" s="11" t="inlineStr">
        <is>
          <t>Benthic crustaceans</t>
        </is>
      </c>
      <c r="E50" t="n">
        <v>140.953883</v>
      </c>
      <c r="F50" t="n">
        <v>15.812995</v>
      </c>
      <c r="G50" t="n">
        <v>11.169278</v>
      </c>
      <c r="H50" t="n">
        <v>22.580939</v>
      </c>
      <c r="I50" t="n">
        <v>110.765161</v>
      </c>
      <c r="J50" t="n">
        <v>110.765161</v>
      </c>
      <c r="K50" t="n">
        <v>69.11746100000001</v>
      </c>
      <c r="L50" t="n">
        <v>113.463496</v>
      </c>
      <c r="M50" t="n">
        <v>113.463496</v>
      </c>
      <c r="N50" t="n">
        <v>113.463496</v>
      </c>
      <c r="O50" t="n">
        <v>8.170260000000001</v>
      </c>
      <c r="P50" t="n">
        <v>5.693764</v>
      </c>
      <c r="Q50" t="n">
        <v>113.463496</v>
      </c>
      <c r="R50" t="n">
        <v>113.463496</v>
      </c>
      <c r="S50" t="n">
        <v>8.170260000000001</v>
      </c>
      <c r="T50" t="n">
        <v>8.170260000000001</v>
      </c>
      <c r="U50" t="n">
        <v>5.693764</v>
      </c>
      <c r="V50" t="n">
        <v>5.693764</v>
      </c>
      <c r="W50" t="n">
        <v>8.298344999999999</v>
      </c>
      <c r="X50" t="n">
        <v>118.931059</v>
      </c>
    </row>
    <row r="51" ht="21" customHeight="1">
      <c r="A51" t="inlineStr">
        <is>
          <t>Todarodes pacificus</t>
        </is>
      </c>
      <c r="B51" t="n">
        <v>4.28</v>
      </c>
      <c r="C51" t="n">
        <v>1905.460718</v>
      </c>
      <c r="D51" s="11" t="inlineStr">
        <is>
          <t>Cephalopods</t>
        </is>
      </c>
      <c r="E51" t="n">
        <v>140.953883</v>
      </c>
      <c r="F51" t="n">
        <v>170.518341</v>
      </c>
      <c r="G51" t="n">
        <v>89.274901</v>
      </c>
      <c r="H51" t="n">
        <v>176.937394</v>
      </c>
      <c r="I51" t="n">
        <v>1050.872908</v>
      </c>
      <c r="J51" t="n">
        <v>1075.829695</v>
      </c>
      <c r="K51" t="n">
        <v>537.914847</v>
      </c>
      <c r="L51" t="n">
        <v>1659.687874</v>
      </c>
      <c r="M51" t="n">
        <v>1659.687874</v>
      </c>
      <c r="N51" t="n">
        <v>1659.687874</v>
      </c>
      <c r="O51" t="n">
        <v>31.362197</v>
      </c>
      <c r="P51" t="n">
        <v>16.184075</v>
      </c>
      <c r="Q51" t="n">
        <v>1659.687874</v>
      </c>
      <c r="R51" t="n">
        <v>1659.687874</v>
      </c>
      <c r="S51" t="n">
        <v>31.362197</v>
      </c>
      <c r="T51" t="n">
        <v>31.362197</v>
      </c>
      <c r="U51" t="n">
        <v>16.184075</v>
      </c>
      <c r="V51" t="n">
        <v>16.184075</v>
      </c>
      <c r="W51" t="n">
        <v>32.286772</v>
      </c>
      <c r="X51" t="n">
        <v>1775.112325</v>
      </c>
    </row>
    <row r="52" ht="36" customHeight="1">
      <c r="A52" t="inlineStr">
        <is>
          <t>Elasmobranchii</t>
        </is>
      </c>
      <c r="B52" t="n">
        <v>4.05</v>
      </c>
      <c r="C52" t="n">
        <v>1122.018454</v>
      </c>
      <c r="D52" s="11" t="inlineStr">
        <is>
          <t>Demersal sharks and rays | Pelagic sharks and rays</t>
        </is>
      </c>
      <c r="E52" t="n">
        <v>140.953883</v>
      </c>
      <c r="F52" t="n">
        <v>420.661524</v>
      </c>
      <c r="G52" t="n">
        <v>193.90261</v>
      </c>
      <c r="H52" t="n">
        <v>636.3346</v>
      </c>
      <c r="I52" t="n">
        <v>32064.514055</v>
      </c>
      <c r="J52" t="n">
        <v>32388.465997</v>
      </c>
      <c r="K52" t="n">
        <v>15001.444266</v>
      </c>
      <c r="L52" t="n">
        <v>47447.371867</v>
      </c>
      <c r="M52" t="n">
        <v>47447.371867</v>
      </c>
      <c r="N52" t="n">
        <v>47447.371867</v>
      </c>
      <c r="O52" t="n">
        <v>134.659687</v>
      </c>
      <c r="P52" t="n">
        <v>58.748438</v>
      </c>
      <c r="Q52" t="n">
        <v>47447.371867</v>
      </c>
      <c r="R52" t="n">
        <v>47447.371867</v>
      </c>
      <c r="S52" t="n">
        <v>134.659687</v>
      </c>
      <c r="T52" t="n">
        <v>134.659687</v>
      </c>
      <c r="U52" t="n">
        <v>58.748438</v>
      </c>
      <c r="V52" t="n">
        <v>58.748438</v>
      </c>
      <c r="W52" t="n">
        <v>141.372985</v>
      </c>
      <c r="X52" t="n">
        <v>50905.953173</v>
      </c>
    </row>
    <row r="53" ht="36" customHeight="1">
      <c r="A53" t="inlineStr">
        <is>
          <t>Rastrelliger brachysoma</t>
        </is>
      </c>
      <c r="B53" t="n">
        <v>2.72</v>
      </c>
      <c r="C53" t="n">
        <v>52.480746</v>
      </c>
      <c r="D53" s="11" t="inlineStr">
        <is>
          <t>Juvenile large pelagic fish | Pelagic fish (&gt; 30 cm)</t>
        </is>
      </c>
      <c r="E53" t="n">
        <v>140.953883</v>
      </c>
      <c r="F53" t="n">
        <v>200.641254</v>
      </c>
      <c r="G53" t="n">
        <v>102.228748</v>
      </c>
      <c r="H53" t="n">
        <v>215.010584</v>
      </c>
      <c r="I53" t="n">
        <v>6244.222521</v>
      </c>
      <c r="J53" t="n">
        <v>6325.914048</v>
      </c>
      <c r="K53" t="n">
        <v>1872.204427</v>
      </c>
      <c r="L53" t="n">
        <v>7112.982475</v>
      </c>
      <c r="M53" t="n">
        <v>7112.982475</v>
      </c>
      <c r="N53" t="n">
        <v>7112.982475</v>
      </c>
      <c r="O53" t="n">
        <v>87.969483</v>
      </c>
      <c r="P53" t="n">
        <v>46.580547</v>
      </c>
      <c r="Q53" t="n">
        <v>7112.982475</v>
      </c>
      <c r="R53" t="n">
        <v>7112.982475</v>
      </c>
      <c r="S53" t="n">
        <v>87.969483</v>
      </c>
      <c r="T53" t="n">
        <v>87.969483</v>
      </c>
      <c r="U53" t="n">
        <v>46.580547</v>
      </c>
      <c r="V53" t="n">
        <v>46.580547</v>
      </c>
      <c r="W53" t="n">
        <v>93.060855</v>
      </c>
      <c r="X53" t="n">
        <v>7459.131892</v>
      </c>
    </row>
    <row r="54" ht="36" customHeight="1">
      <c r="A54" t="inlineStr">
        <is>
          <t>Chondrichthyes</t>
        </is>
      </c>
      <c r="B54" t="n">
        <v>4</v>
      </c>
      <c r="C54" t="n">
        <v>1000</v>
      </c>
      <c r="D54" s="11" t="inlineStr">
        <is>
          <t>Demersal sharks and rays | Pelagic sharks and rays</t>
        </is>
      </c>
      <c r="E54" t="n">
        <v>140.953883</v>
      </c>
      <c r="F54" t="n">
        <v>420.661524</v>
      </c>
      <c r="G54" t="n">
        <v>193.90261</v>
      </c>
      <c r="H54" t="n">
        <v>636.3346</v>
      </c>
      <c r="I54" t="n">
        <v>32064.514055</v>
      </c>
      <c r="J54" t="n">
        <v>32388.465997</v>
      </c>
      <c r="K54" t="n">
        <v>15001.444266</v>
      </c>
      <c r="L54" t="n">
        <v>47447.371867</v>
      </c>
      <c r="M54" t="n">
        <v>47447.371867</v>
      </c>
      <c r="N54" t="n">
        <v>47447.371867</v>
      </c>
      <c r="O54" t="n">
        <v>134.659687</v>
      </c>
      <c r="P54" t="n">
        <v>58.748438</v>
      </c>
      <c r="Q54" t="n">
        <v>47447.371867</v>
      </c>
      <c r="R54" t="n">
        <v>47447.371867</v>
      </c>
      <c r="S54" t="n">
        <v>134.659687</v>
      </c>
      <c r="T54" t="n">
        <v>134.659687</v>
      </c>
      <c r="U54" t="n">
        <v>58.748438</v>
      </c>
      <c r="V54" t="n">
        <v>58.748438</v>
      </c>
      <c r="W54" t="n">
        <v>141.372985</v>
      </c>
      <c r="X54" t="n">
        <v>50905.953173</v>
      </c>
    </row>
    <row r="55" ht="36" customHeight="1">
      <c r="A55" t="inlineStr">
        <is>
          <t>Thunnus albacares</t>
        </is>
      </c>
      <c r="B55" t="n">
        <v>4.41</v>
      </c>
      <c r="C55" t="n">
        <v>2570.395783</v>
      </c>
      <c r="D55" s="11" t="inlineStr">
        <is>
          <t>Juvenile large pelagic fish | Pelagic fish (&gt; 30 cm)</t>
        </is>
      </c>
      <c r="E55" t="n">
        <v>140.953883</v>
      </c>
      <c r="F55" t="n">
        <v>200.641254</v>
      </c>
      <c r="G55" t="n">
        <v>102.228748</v>
      </c>
      <c r="H55" t="n">
        <v>215.010584</v>
      </c>
      <c r="I55" t="n">
        <v>6244.222521</v>
      </c>
      <c r="J55" t="n">
        <v>6325.914048</v>
      </c>
      <c r="K55" t="n">
        <v>1872.204427</v>
      </c>
      <c r="L55" t="n">
        <v>7112.982475</v>
      </c>
      <c r="M55" t="n">
        <v>7112.982475</v>
      </c>
      <c r="N55" t="n">
        <v>7112.982475</v>
      </c>
      <c r="O55" t="n">
        <v>87.969483</v>
      </c>
      <c r="P55" t="n">
        <v>46.580547</v>
      </c>
      <c r="Q55" t="n">
        <v>7112.982475</v>
      </c>
      <c r="R55" t="n">
        <v>7112.982475</v>
      </c>
      <c r="S55" t="n">
        <v>87.969483</v>
      </c>
      <c r="T55" t="n">
        <v>87.969483</v>
      </c>
      <c r="U55" t="n">
        <v>46.580547</v>
      </c>
      <c r="V55" t="n">
        <v>46.580547</v>
      </c>
      <c r="W55" t="n">
        <v>93.060855</v>
      </c>
      <c r="X55" t="n">
        <v>7459.131892</v>
      </c>
    </row>
    <row r="56" ht="21" customHeight="1">
      <c r="A56" t="inlineStr">
        <is>
          <t>Stolephorus</t>
        </is>
      </c>
      <c r="B56" t="n">
        <v>3.44</v>
      </c>
      <c r="C56" t="n">
        <v>275.42287</v>
      </c>
      <c r="D56" s="11" t="inlineStr">
        <is>
          <t>Pelagic fish (≤ 30 cm)</t>
        </is>
      </c>
      <c r="E56" t="n">
        <v>140.953883</v>
      </c>
      <c r="F56" t="n">
        <v>60.479203</v>
      </c>
      <c r="G56" t="n">
        <v>36.07884</v>
      </c>
      <c r="H56" t="n">
        <v>45.98261</v>
      </c>
      <c r="I56" t="n">
        <v>395.888053</v>
      </c>
      <c r="J56" t="n">
        <v>395.888053</v>
      </c>
      <c r="K56" t="n">
        <v>376.09365</v>
      </c>
      <c r="L56" t="n">
        <v>393.787233</v>
      </c>
      <c r="M56" t="n">
        <v>393.787233</v>
      </c>
      <c r="N56" t="n">
        <v>393.787233</v>
      </c>
      <c r="O56" t="n">
        <v>20.916473</v>
      </c>
      <c r="P56" t="n">
        <v>13.510088</v>
      </c>
      <c r="Q56" t="n">
        <v>393.787233</v>
      </c>
      <c r="R56" t="n">
        <v>393.787233</v>
      </c>
      <c r="S56" t="n">
        <v>20.916473</v>
      </c>
      <c r="T56" t="n">
        <v>20.916473</v>
      </c>
      <c r="U56" t="n">
        <v>13.510088</v>
      </c>
      <c r="V56" t="n">
        <v>13.510088</v>
      </c>
      <c r="W56" t="n">
        <v>21.939981</v>
      </c>
      <c r="X56" t="n">
        <v>405.784084</v>
      </c>
    </row>
    <row r="57" ht="36" customHeight="1">
      <c r="A57" t="inlineStr">
        <is>
          <t>Scomberomorus commerson</t>
        </is>
      </c>
      <c r="B57" t="n">
        <v>4.5</v>
      </c>
      <c r="C57" t="n">
        <v>3162.27766</v>
      </c>
      <c r="D57" s="11" t="inlineStr">
        <is>
          <t>Juvenile large pelagic fish | Pelagic fish (&gt; 30 cm)</t>
        </is>
      </c>
      <c r="E57" t="n">
        <v>140.953883</v>
      </c>
      <c r="F57" t="n">
        <v>200.641254</v>
      </c>
      <c r="G57" t="n">
        <v>102.228748</v>
      </c>
      <c r="H57" t="n">
        <v>215.010584</v>
      </c>
      <c r="I57" t="n">
        <v>6244.222521</v>
      </c>
      <c r="J57" t="n">
        <v>6325.914048</v>
      </c>
      <c r="K57" t="n">
        <v>1872.204427</v>
      </c>
      <c r="L57" t="n">
        <v>7112.982475</v>
      </c>
      <c r="M57" t="n">
        <v>7112.982475</v>
      </c>
      <c r="N57" t="n">
        <v>7112.982475</v>
      </c>
      <c r="O57" t="n">
        <v>87.969483</v>
      </c>
      <c r="P57" t="n">
        <v>46.580547</v>
      </c>
      <c r="Q57" t="n">
        <v>7112.982475</v>
      </c>
      <c r="R57" t="n">
        <v>7112.982475</v>
      </c>
      <c r="S57" t="n">
        <v>87.969483</v>
      </c>
      <c r="T57" t="n">
        <v>87.969483</v>
      </c>
      <c r="U57" t="n">
        <v>46.580547</v>
      </c>
      <c r="V57" t="n">
        <v>46.580547</v>
      </c>
      <c r="W57" t="n">
        <v>93.060855</v>
      </c>
      <c r="X57" t="n">
        <v>7459.131892</v>
      </c>
    </row>
    <row r="58" ht="36" customHeight="1">
      <c r="A58" t="inlineStr">
        <is>
          <t>Rastrelliger kanagurta</t>
        </is>
      </c>
      <c r="B58" t="n">
        <v>3.19</v>
      </c>
      <c r="C58" t="n">
        <v>154.881662</v>
      </c>
      <c r="D58" s="11" t="inlineStr">
        <is>
          <t>Juvenile large pelagic fish | Pelagic fish (&gt; 30 cm)</t>
        </is>
      </c>
      <c r="E58" t="n">
        <v>140.953883</v>
      </c>
      <c r="F58" t="n">
        <v>200.641254</v>
      </c>
      <c r="G58" t="n">
        <v>102.228748</v>
      </c>
      <c r="H58" t="n">
        <v>215.010584</v>
      </c>
      <c r="I58" t="n">
        <v>6244.222521</v>
      </c>
      <c r="J58" t="n">
        <v>6325.914048</v>
      </c>
      <c r="K58" t="n">
        <v>1872.204427</v>
      </c>
      <c r="L58" t="n">
        <v>7112.982475</v>
      </c>
      <c r="M58" t="n">
        <v>7112.982475</v>
      </c>
      <c r="N58" t="n">
        <v>7112.982475</v>
      </c>
      <c r="O58" t="n">
        <v>87.969483</v>
      </c>
      <c r="P58" t="n">
        <v>46.580547</v>
      </c>
      <c r="Q58" t="n">
        <v>7112.982475</v>
      </c>
      <c r="R58" t="n">
        <v>7112.982475</v>
      </c>
      <c r="S58" t="n">
        <v>87.969483</v>
      </c>
      <c r="T58" t="n">
        <v>87.969483</v>
      </c>
      <c r="U58" t="n">
        <v>46.580547</v>
      </c>
      <c r="V58" t="n">
        <v>46.580547</v>
      </c>
      <c r="W58" t="n">
        <v>93.060855</v>
      </c>
      <c r="X58" t="n">
        <v>7459.131892</v>
      </c>
    </row>
    <row r="59" ht="36" customHeight="1">
      <c r="A59" t="inlineStr">
        <is>
          <t>Rastrelliger</t>
        </is>
      </c>
      <c r="B59" t="n">
        <v>3.1</v>
      </c>
      <c r="C59" t="n">
        <v>125.892541</v>
      </c>
      <c r="D59" s="11" t="inlineStr">
        <is>
          <t>Juvenile large pelagic fish | Pelagic fish (&gt; 30 cm)</t>
        </is>
      </c>
      <c r="E59" t="n">
        <v>140.953883</v>
      </c>
      <c r="F59" t="n">
        <v>200.641254</v>
      </c>
      <c r="G59" t="n">
        <v>102.228748</v>
      </c>
      <c r="H59" t="n">
        <v>215.010584</v>
      </c>
      <c r="I59" t="n">
        <v>6244.222521</v>
      </c>
      <c r="J59" t="n">
        <v>6325.914048</v>
      </c>
      <c r="K59" t="n">
        <v>1872.204427</v>
      </c>
      <c r="L59" t="n">
        <v>7112.982475</v>
      </c>
      <c r="M59" t="n">
        <v>7112.982475</v>
      </c>
      <c r="N59" t="n">
        <v>7112.982475</v>
      </c>
      <c r="O59" t="n">
        <v>87.969483</v>
      </c>
      <c r="P59" t="n">
        <v>46.580547</v>
      </c>
      <c r="Q59" t="n">
        <v>7112.982475</v>
      </c>
      <c r="R59" t="n">
        <v>7112.982475</v>
      </c>
      <c r="S59" t="n">
        <v>87.969483</v>
      </c>
      <c r="T59" t="n">
        <v>87.969483</v>
      </c>
      <c r="U59" t="n">
        <v>46.580547</v>
      </c>
      <c r="V59" t="n">
        <v>46.580547</v>
      </c>
      <c r="W59" t="n">
        <v>93.060855</v>
      </c>
      <c r="X59" t="n">
        <v>7459.131892</v>
      </c>
    </row>
    <row r="60" ht="21" customHeight="1">
      <c r="A60" t="inlineStr">
        <is>
          <t>Epinephelus</t>
        </is>
      </c>
      <c r="B60" t="n">
        <v>3.84</v>
      </c>
      <c r="C60" t="n">
        <v>691.830971</v>
      </c>
      <c r="D60" s="11" t="inlineStr">
        <is>
          <t>Adult groupers</t>
        </is>
      </c>
      <c r="E60" t="n">
        <v>140.953883</v>
      </c>
      <c r="F60" t="n">
        <v>539.046528</v>
      </c>
      <c r="G60" t="n">
        <v>244.14</v>
      </c>
      <c r="H60" t="n">
        <v>669.483011</v>
      </c>
      <c r="I60" t="n">
        <v>10399.759602</v>
      </c>
      <c r="J60" t="n">
        <v>10694.630086</v>
      </c>
      <c r="K60" t="n">
        <v>4010.486282</v>
      </c>
      <c r="L60" t="n">
        <v>14214.100911</v>
      </c>
      <c r="M60" t="n">
        <v>14214.100911</v>
      </c>
      <c r="N60" t="n">
        <v>14214.100911</v>
      </c>
      <c r="O60" t="n">
        <v>203.72024</v>
      </c>
      <c r="P60" t="n">
        <v>90.708206</v>
      </c>
      <c r="Q60" t="n">
        <v>14214.100911</v>
      </c>
      <c r="R60" t="n">
        <v>14214.100911</v>
      </c>
      <c r="S60" t="n">
        <v>203.72024</v>
      </c>
      <c r="T60" t="n">
        <v>203.72024</v>
      </c>
      <c r="U60" t="n">
        <v>90.708206</v>
      </c>
      <c r="V60" t="n">
        <v>90.708206</v>
      </c>
      <c r="W60" t="n">
        <v>213.076898</v>
      </c>
      <c r="X60" t="n">
        <v>15231.972848</v>
      </c>
    </row>
    <row r="61" ht="36" customHeight="1">
      <c r="A61" t="inlineStr">
        <is>
          <t>Mullidae</t>
        </is>
      </c>
      <c r="B61" t="n">
        <v>3.46</v>
      </c>
      <c r="C61" t="n">
        <v>288.40315</v>
      </c>
      <c r="D61" s="11" t="inlineStr">
        <is>
          <t>Juvenile demersal fish (&gt; 30 cm) | Adult demersal fish (&gt; 30 cm)</t>
        </is>
      </c>
      <c r="E61" t="n">
        <v>140.953883</v>
      </c>
      <c r="F61" t="n">
        <v>228.824285</v>
      </c>
      <c r="G61" t="n">
        <v>114.897152</v>
      </c>
      <c r="H61" t="n">
        <v>408.798022</v>
      </c>
      <c r="I61" t="n">
        <v>6590.793316</v>
      </c>
      <c r="J61" t="n">
        <v>7071.146917</v>
      </c>
      <c r="K61" t="n">
        <v>2576.928919</v>
      </c>
      <c r="L61" t="n">
        <v>10677.999207</v>
      </c>
      <c r="M61" t="n">
        <v>10677.999207</v>
      </c>
      <c r="N61" t="n">
        <v>10677.999207</v>
      </c>
      <c r="O61" t="n">
        <v>85.006417</v>
      </c>
      <c r="P61" t="n">
        <v>38.52237</v>
      </c>
      <c r="Q61" t="n">
        <v>10677.999207</v>
      </c>
      <c r="R61" t="n">
        <v>10677.999207</v>
      </c>
      <c r="S61" t="n">
        <v>85.006417</v>
      </c>
      <c r="T61" t="n">
        <v>85.006417</v>
      </c>
      <c r="U61" t="n">
        <v>38.52237</v>
      </c>
      <c r="V61" t="n">
        <v>38.52237</v>
      </c>
      <c r="W61" t="n">
        <v>88.306245</v>
      </c>
      <c r="X61" t="n">
        <v>11509.306401</v>
      </c>
    </row>
    <row r="62" ht="36" customHeight="1">
      <c r="A62" t="inlineStr">
        <is>
          <t>Decapterus macrosoma</t>
        </is>
      </c>
      <c r="B62" t="n">
        <v>3.4</v>
      </c>
      <c r="C62" t="n">
        <v>251.188643</v>
      </c>
      <c r="D62" s="11" t="inlineStr">
        <is>
          <t>Juvenile large pelagic fish | Pelagic fish (&gt; 30 cm)</t>
        </is>
      </c>
      <c r="E62" t="n">
        <v>140.953883</v>
      </c>
      <c r="F62" t="n">
        <v>200.641254</v>
      </c>
      <c r="G62" t="n">
        <v>102.228748</v>
      </c>
      <c r="H62" t="n">
        <v>215.010584</v>
      </c>
      <c r="I62" t="n">
        <v>6244.222521</v>
      </c>
      <c r="J62" t="n">
        <v>6325.914048</v>
      </c>
      <c r="K62" t="n">
        <v>1872.204427</v>
      </c>
      <c r="L62" t="n">
        <v>7112.982475</v>
      </c>
      <c r="M62" t="n">
        <v>7112.982475</v>
      </c>
      <c r="N62" t="n">
        <v>7112.982475</v>
      </c>
      <c r="O62" t="n">
        <v>87.969483</v>
      </c>
      <c r="P62" t="n">
        <v>46.580547</v>
      </c>
      <c r="Q62" t="n">
        <v>7112.982475</v>
      </c>
      <c r="R62" t="n">
        <v>7112.982475</v>
      </c>
      <c r="S62" t="n">
        <v>87.969483</v>
      </c>
      <c r="T62" t="n">
        <v>87.969483</v>
      </c>
      <c r="U62" t="n">
        <v>46.580547</v>
      </c>
      <c r="V62" t="n">
        <v>46.580547</v>
      </c>
      <c r="W62" t="n">
        <v>93.060855</v>
      </c>
      <c r="X62" t="n">
        <v>7459.131892</v>
      </c>
    </row>
    <row r="63" ht="36" customHeight="1">
      <c r="A63" t="inlineStr">
        <is>
          <t>Katsuwonus pelamis</t>
        </is>
      </c>
      <c r="B63" t="n">
        <v>4.43</v>
      </c>
      <c r="C63" t="n">
        <v>2691.534804</v>
      </c>
      <c r="D63" s="11" t="inlineStr">
        <is>
          <t>Juvenile large pelagic fish | Pelagic fish (&gt; 30 cm)</t>
        </is>
      </c>
      <c r="E63" t="n">
        <v>140.953883</v>
      </c>
      <c r="F63" t="n">
        <v>200.641254</v>
      </c>
      <c r="G63" t="n">
        <v>102.228748</v>
      </c>
      <c r="H63" t="n">
        <v>215.010584</v>
      </c>
      <c r="I63" t="n">
        <v>6244.222521</v>
      </c>
      <c r="J63" t="n">
        <v>6325.914048</v>
      </c>
      <c r="K63" t="n">
        <v>1872.204427</v>
      </c>
      <c r="L63" t="n">
        <v>7112.982475</v>
      </c>
      <c r="M63" t="n">
        <v>7112.982475</v>
      </c>
      <c r="N63" t="n">
        <v>7112.982475</v>
      </c>
      <c r="O63" t="n">
        <v>87.969483</v>
      </c>
      <c r="P63" t="n">
        <v>46.580547</v>
      </c>
      <c r="Q63" t="n">
        <v>7112.982475</v>
      </c>
      <c r="R63" t="n">
        <v>7112.982475</v>
      </c>
      <c r="S63" t="n">
        <v>87.969483</v>
      </c>
      <c r="T63" t="n">
        <v>87.969483</v>
      </c>
      <c r="U63" t="n">
        <v>46.580547</v>
      </c>
      <c r="V63" t="n">
        <v>46.580547</v>
      </c>
      <c r="W63" t="n">
        <v>93.060855</v>
      </c>
      <c r="X63" t="n">
        <v>7459.131892</v>
      </c>
    </row>
    <row r="64" ht="21" customHeight="1">
      <c r="A64" t="inlineStr">
        <is>
          <t>Penaeus chinensis</t>
        </is>
      </c>
      <c r="B64" t="n">
        <v>2</v>
      </c>
      <c r="C64" t="n">
        <v>10</v>
      </c>
      <c r="D64" s="11" t="inlineStr">
        <is>
          <t>Shrimps</t>
        </is>
      </c>
      <c r="E64" t="n">
        <v>140.953883</v>
      </c>
      <c r="F64" t="n">
        <v>20.606299</v>
      </c>
      <c r="G64" t="n">
        <v>14.077679</v>
      </c>
      <c r="H64" t="n">
        <v>22.715542</v>
      </c>
      <c r="I64" t="n">
        <v>131.71072</v>
      </c>
      <c r="J64" t="n">
        <v>131.71072</v>
      </c>
      <c r="K64" t="n">
        <v>125.125184</v>
      </c>
      <c r="L64" t="n">
        <v>130.894857</v>
      </c>
      <c r="M64" t="n">
        <v>130.894857</v>
      </c>
      <c r="N64" t="n">
        <v>130.894857</v>
      </c>
      <c r="O64" t="n">
        <v>12.255972</v>
      </c>
      <c r="P64" t="n">
        <v>8.448598</v>
      </c>
      <c r="Q64" t="n">
        <v>130.894857</v>
      </c>
      <c r="R64" t="n">
        <v>130.894857</v>
      </c>
      <c r="S64" t="n">
        <v>12.255972</v>
      </c>
      <c r="T64" t="n">
        <v>12.255972</v>
      </c>
      <c r="U64" t="n">
        <v>8.448598</v>
      </c>
      <c r="V64" t="n">
        <v>8.448598</v>
      </c>
      <c r="W64" t="n">
        <v>12.680707</v>
      </c>
      <c r="X64" t="n">
        <v>136.520004</v>
      </c>
    </row>
    <row r="65" ht="21" customHeight="1">
      <c r="A65" t="inlineStr">
        <is>
          <t>Selaroides leptolepis</t>
        </is>
      </c>
      <c r="B65" t="n">
        <v>3.84</v>
      </c>
      <c r="C65" t="n">
        <v>691.830971</v>
      </c>
      <c r="D65" s="11" t="inlineStr">
        <is>
          <t>Pelagic fish (≤ 30 cm)</t>
        </is>
      </c>
      <c r="E65" t="n">
        <v>140.953883</v>
      </c>
      <c r="F65" t="n">
        <v>60.479203</v>
      </c>
      <c r="G65" t="n">
        <v>36.07884</v>
      </c>
      <c r="H65" t="n">
        <v>45.98261</v>
      </c>
      <c r="I65" t="n">
        <v>395.888053</v>
      </c>
      <c r="J65" t="n">
        <v>395.888053</v>
      </c>
      <c r="K65" t="n">
        <v>376.09365</v>
      </c>
      <c r="L65" t="n">
        <v>393.787233</v>
      </c>
      <c r="M65" t="n">
        <v>393.787233</v>
      </c>
      <c r="N65" t="n">
        <v>393.787233</v>
      </c>
      <c r="O65" t="n">
        <v>20.916473</v>
      </c>
      <c r="P65" t="n">
        <v>13.510088</v>
      </c>
      <c r="Q65" t="n">
        <v>393.787233</v>
      </c>
      <c r="R65" t="n">
        <v>393.787233</v>
      </c>
      <c r="S65" t="n">
        <v>20.916473</v>
      </c>
      <c r="T65" t="n">
        <v>20.916473</v>
      </c>
      <c r="U65" t="n">
        <v>13.510088</v>
      </c>
      <c r="V65" t="n">
        <v>13.510088</v>
      </c>
      <c r="W65" t="n">
        <v>21.939981</v>
      </c>
      <c r="X65" t="n">
        <v>405.784084</v>
      </c>
    </row>
    <row r="66" ht="36" customHeight="1">
      <c r="A66" t="inlineStr">
        <is>
          <t>Mugilidae</t>
        </is>
      </c>
      <c r="B66" t="n">
        <v>2.53</v>
      </c>
      <c r="C66" t="n">
        <v>33.884416</v>
      </c>
      <c r="D66" s="11" t="inlineStr">
        <is>
          <t>Juvenile demersal fish (&gt; 30 cm) | Adult demersal fish (&gt; 30 cm)</t>
        </is>
      </c>
      <c r="E66" t="n">
        <v>140.953883</v>
      </c>
      <c r="F66" t="n">
        <v>228.824285</v>
      </c>
      <c r="G66" t="n">
        <v>114.897152</v>
      </c>
      <c r="H66" t="n">
        <v>408.798022</v>
      </c>
      <c r="I66" t="n">
        <v>6590.793316</v>
      </c>
      <c r="J66" t="n">
        <v>7071.146917</v>
      </c>
      <c r="K66" t="n">
        <v>2576.928919</v>
      </c>
      <c r="L66" t="n">
        <v>10677.999207</v>
      </c>
      <c r="M66" t="n">
        <v>10677.999207</v>
      </c>
      <c r="N66" t="n">
        <v>10677.999207</v>
      </c>
      <c r="O66" t="n">
        <v>85.006417</v>
      </c>
      <c r="P66" t="n">
        <v>38.52237</v>
      </c>
      <c r="Q66" t="n">
        <v>10677.999207</v>
      </c>
      <c r="R66" t="n">
        <v>10677.999207</v>
      </c>
      <c r="S66" t="n">
        <v>85.006417</v>
      </c>
      <c r="T66" t="n">
        <v>85.006417</v>
      </c>
      <c r="U66" t="n">
        <v>38.52237</v>
      </c>
      <c r="V66" t="n">
        <v>38.52237</v>
      </c>
      <c r="W66" t="n">
        <v>88.306245</v>
      </c>
      <c r="X66" t="n">
        <v>11509.306401</v>
      </c>
    </row>
    <row r="67" ht="36" customHeight="1">
      <c r="A67" t="inlineStr">
        <is>
          <t>Ilisha elongata</t>
        </is>
      </c>
      <c r="B67" t="n">
        <v>3.79</v>
      </c>
      <c r="C67" t="n">
        <v>616.595002</v>
      </c>
      <c r="D67" s="11" t="inlineStr">
        <is>
          <t>Juvenile large pelagic fish | Pelagic fish (&gt; 30 cm)</t>
        </is>
      </c>
      <c r="E67" t="n">
        <v>140.953883</v>
      </c>
      <c r="F67" t="n">
        <v>200.641254</v>
      </c>
      <c r="G67" t="n">
        <v>102.228748</v>
      </c>
      <c r="H67" t="n">
        <v>215.010584</v>
      </c>
      <c r="I67" t="n">
        <v>6244.222521</v>
      </c>
      <c r="J67" t="n">
        <v>6325.914048</v>
      </c>
      <c r="K67" t="n">
        <v>1872.204427</v>
      </c>
      <c r="L67" t="n">
        <v>7112.982475</v>
      </c>
      <c r="M67" t="n">
        <v>7112.982475</v>
      </c>
      <c r="N67" t="n">
        <v>7112.982475</v>
      </c>
      <c r="O67" t="n">
        <v>87.969483</v>
      </c>
      <c r="P67" t="n">
        <v>46.580547</v>
      </c>
      <c r="Q67" t="n">
        <v>7112.982475</v>
      </c>
      <c r="R67" t="n">
        <v>7112.982475</v>
      </c>
      <c r="S67" t="n">
        <v>87.969483</v>
      </c>
      <c r="T67" t="n">
        <v>87.969483</v>
      </c>
      <c r="U67" t="n">
        <v>46.580547</v>
      </c>
      <c r="V67" t="n">
        <v>46.580547</v>
      </c>
      <c r="W67" t="n">
        <v>93.060855</v>
      </c>
      <c r="X67" t="n">
        <v>7459.131892</v>
      </c>
    </row>
    <row r="68" ht="36" customHeight="1">
      <c r="A68" t="inlineStr">
        <is>
          <t>Sardinops sagax</t>
        </is>
      </c>
      <c r="B68" t="n">
        <v>2.84</v>
      </c>
      <c r="C68" t="n">
        <v>69.183097</v>
      </c>
      <c r="D68" s="11" t="inlineStr">
        <is>
          <t>Juvenile large pelagic fish | Pelagic fish (&gt; 30 cm)</t>
        </is>
      </c>
      <c r="E68" t="n">
        <v>140.953883</v>
      </c>
      <c r="F68" t="n">
        <v>200.641254</v>
      </c>
      <c r="G68" t="n">
        <v>102.228748</v>
      </c>
      <c r="H68" t="n">
        <v>215.010584</v>
      </c>
      <c r="I68" t="n">
        <v>6244.222521</v>
      </c>
      <c r="J68" t="n">
        <v>6325.914048</v>
      </c>
      <c r="K68" t="n">
        <v>1872.204427</v>
      </c>
      <c r="L68" t="n">
        <v>7112.982475</v>
      </c>
      <c r="M68" t="n">
        <v>7112.982475</v>
      </c>
      <c r="N68" t="n">
        <v>7112.982475</v>
      </c>
      <c r="O68" t="n">
        <v>87.969483</v>
      </c>
      <c r="P68" t="n">
        <v>46.580547</v>
      </c>
      <c r="Q68" t="n">
        <v>7112.982475</v>
      </c>
      <c r="R68" t="n">
        <v>7112.982475</v>
      </c>
      <c r="S68" t="n">
        <v>87.969483</v>
      </c>
      <c r="T68" t="n">
        <v>87.969483</v>
      </c>
      <c r="U68" t="n">
        <v>46.580547</v>
      </c>
      <c r="V68" t="n">
        <v>46.580547</v>
      </c>
      <c r="W68" t="n">
        <v>93.060855</v>
      </c>
      <c r="X68" t="n">
        <v>7459.131892</v>
      </c>
    </row>
    <row r="69" ht="21" customHeight="1">
      <c r="A69" t="inlineStr">
        <is>
          <t>Sardinella lemuru</t>
        </is>
      </c>
      <c r="B69" t="n">
        <v>2.48</v>
      </c>
      <c r="C69" t="n">
        <v>30.199517</v>
      </c>
      <c r="D69" s="11" t="inlineStr">
        <is>
          <t>Pelagic fish (≤ 30 cm)</t>
        </is>
      </c>
      <c r="E69" t="n">
        <v>140.953883</v>
      </c>
      <c r="F69" t="n">
        <v>60.479203</v>
      </c>
      <c r="G69" t="n">
        <v>36.07884</v>
      </c>
      <c r="H69" t="n">
        <v>45.98261</v>
      </c>
      <c r="I69" t="n">
        <v>395.888053</v>
      </c>
      <c r="J69" t="n">
        <v>395.888053</v>
      </c>
      <c r="K69" t="n">
        <v>376.09365</v>
      </c>
      <c r="L69" t="n">
        <v>393.787233</v>
      </c>
      <c r="M69" t="n">
        <v>393.787233</v>
      </c>
      <c r="N69" t="n">
        <v>393.787233</v>
      </c>
      <c r="O69" t="n">
        <v>20.916473</v>
      </c>
      <c r="P69" t="n">
        <v>13.510088</v>
      </c>
      <c r="Q69" t="n">
        <v>393.787233</v>
      </c>
      <c r="R69" t="n">
        <v>393.787233</v>
      </c>
      <c r="S69" t="n">
        <v>20.916473</v>
      </c>
      <c r="T69" t="n">
        <v>20.916473</v>
      </c>
      <c r="U69" t="n">
        <v>13.510088</v>
      </c>
      <c r="V69" t="n">
        <v>13.510088</v>
      </c>
      <c r="W69" t="n">
        <v>21.939981</v>
      </c>
      <c r="X69" t="n">
        <v>405.784084</v>
      </c>
    </row>
    <row r="70" ht="36" customHeight="1">
      <c r="A70" t="inlineStr">
        <is>
          <t>Coryphaena hippurus</t>
        </is>
      </c>
      <c r="B70" t="n">
        <v>4.37</v>
      </c>
      <c r="C70" t="n">
        <v>2344.228815</v>
      </c>
      <c r="D70" s="11" t="inlineStr">
        <is>
          <t>Juvenile large pelagic fish | Pelagic fish (&gt; 30 cm)</t>
        </is>
      </c>
      <c r="E70" t="n">
        <v>140.953883</v>
      </c>
      <c r="F70" t="n">
        <v>200.641254</v>
      </c>
      <c r="G70" t="n">
        <v>102.228748</v>
      </c>
      <c r="H70" t="n">
        <v>215.010584</v>
      </c>
      <c r="I70" t="n">
        <v>6244.222521</v>
      </c>
      <c r="J70" t="n">
        <v>6325.914048</v>
      </c>
      <c r="K70" t="n">
        <v>1872.204427</v>
      </c>
      <c r="L70" t="n">
        <v>7112.982475</v>
      </c>
      <c r="M70" t="n">
        <v>7112.982475</v>
      </c>
      <c r="N70" t="n">
        <v>7112.982475</v>
      </c>
      <c r="O70" t="n">
        <v>87.969483</v>
      </c>
      <c r="P70" t="n">
        <v>46.580547</v>
      </c>
      <c r="Q70" t="n">
        <v>7112.982475</v>
      </c>
      <c r="R70" t="n">
        <v>7112.982475</v>
      </c>
      <c r="S70" t="n">
        <v>87.969483</v>
      </c>
      <c r="T70" t="n">
        <v>87.969483</v>
      </c>
      <c r="U70" t="n">
        <v>46.580547</v>
      </c>
      <c r="V70" t="n">
        <v>46.580547</v>
      </c>
      <c r="W70" t="n">
        <v>93.060855</v>
      </c>
      <c r="X70" t="n">
        <v>7459.131892</v>
      </c>
    </row>
    <row r="71" ht="36" customHeight="1">
      <c r="A71" t="inlineStr">
        <is>
          <t>Cololabis saira</t>
        </is>
      </c>
      <c r="B71" t="n">
        <v>3.71</v>
      </c>
      <c r="C71" t="n">
        <v>512.861384</v>
      </c>
      <c r="D71" s="11" t="inlineStr">
        <is>
          <t>Juvenile large pelagic fish | Pelagic fish (&gt; 30 cm)</t>
        </is>
      </c>
      <c r="E71" t="n">
        <v>140.953883</v>
      </c>
      <c r="F71" t="n">
        <v>200.641254</v>
      </c>
      <c r="G71" t="n">
        <v>102.228748</v>
      </c>
      <c r="H71" t="n">
        <v>215.010584</v>
      </c>
      <c r="I71" t="n">
        <v>6244.222521</v>
      </c>
      <c r="J71" t="n">
        <v>6325.914048</v>
      </c>
      <c r="K71" t="n">
        <v>1872.204427</v>
      </c>
      <c r="L71" t="n">
        <v>7112.982475</v>
      </c>
      <c r="M71" t="n">
        <v>7112.982475</v>
      </c>
      <c r="N71" t="n">
        <v>7112.982475</v>
      </c>
      <c r="O71" t="n">
        <v>87.969483</v>
      </c>
      <c r="P71" t="n">
        <v>46.580547</v>
      </c>
      <c r="Q71" t="n">
        <v>7112.982475</v>
      </c>
      <c r="R71" t="n">
        <v>7112.982475</v>
      </c>
      <c r="S71" t="n">
        <v>87.969483</v>
      </c>
      <c r="T71" t="n">
        <v>87.969483</v>
      </c>
      <c r="U71" t="n">
        <v>46.580547</v>
      </c>
      <c r="V71" t="n">
        <v>46.580547</v>
      </c>
      <c r="W71" t="n">
        <v>93.060855</v>
      </c>
      <c r="X71" t="n">
        <v>7459.131892</v>
      </c>
    </row>
    <row r="72" ht="36" customHeight="1">
      <c r="A72" t="inlineStr">
        <is>
          <t>Netuma thalassina</t>
        </is>
      </c>
      <c r="B72" t="n">
        <v>3.54</v>
      </c>
      <c r="C72" t="n">
        <v>346.73685</v>
      </c>
      <c r="D72" s="11" t="inlineStr">
        <is>
          <t>Juvenile demersal fish (&gt; 30 cm) | Adult demersal fish (&gt; 30 cm)</t>
        </is>
      </c>
      <c r="E72" t="n">
        <v>140.953883</v>
      </c>
      <c r="F72" t="n">
        <v>228.824285</v>
      </c>
      <c r="G72" t="n">
        <v>114.897152</v>
      </c>
      <c r="H72" t="n">
        <v>408.798022</v>
      </c>
      <c r="I72" t="n">
        <v>6590.793316</v>
      </c>
      <c r="J72" t="n">
        <v>7071.146917</v>
      </c>
      <c r="K72" t="n">
        <v>2576.928919</v>
      </c>
      <c r="L72" t="n">
        <v>10677.999207</v>
      </c>
      <c r="M72" t="n">
        <v>10677.999207</v>
      </c>
      <c r="N72" t="n">
        <v>10677.999207</v>
      </c>
      <c r="O72" t="n">
        <v>85.006417</v>
      </c>
      <c r="P72" t="n">
        <v>38.52237</v>
      </c>
      <c r="Q72" t="n">
        <v>10677.999207</v>
      </c>
      <c r="R72" t="n">
        <v>10677.999207</v>
      </c>
      <c r="S72" t="n">
        <v>85.006417</v>
      </c>
      <c r="T72" t="n">
        <v>85.006417</v>
      </c>
      <c r="U72" t="n">
        <v>38.52237</v>
      </c>
      <c r="V72" t="n">
        <v>38.52237</v>
      </c>
      <c r="W72" t="n">
        <v>88.306245</v>
      </c>
      <c r="X72" t="n">
        <v>11509.306401</v>
      </c>
    </row>
    <row r="73" ht="21" customHeight="1">
      <c r="A73" t="inlineStr">
        <is>
          <t>Priacanthus macracanthus</t>
        </is>
      </c>
      <c r="B73" t="n">
        <v>4.11</v>
      </c>
      <c r="C73" t="n">
        <v>1288.249552</v>
      </c>
      <c r="D73" s="11" t="inlineStr">
        <is>
          <t>Bigeyes (priacanthids)</t>
        </is>
      </c>
      <c r="E73" t="n">
        <v>140.953883</v>
      </c>
      <c r="F73" t="n">
        <v>283.896083</v>
      </c>
      <c r="G73" t="n">
        <v>139.392295</v>
      </c>
      <c r="H73" t="n">
        <v>456.88162</v>
      </c>
      <c r="I73" t="n">
        <v>10688.374283</v>
      </c>
      <c r="J73" t="n">
        <v>10967.724493</v>
      </c>
      <c r="K73" t="n">
        <v>3597.413634</v>
      </c>
      <c r="L73" t="n">
        <v>16970.336092</v>
      </c>
      <c r="M73" t="n">
        <v>16970.336092</v>
      </c>
      <c r="N73" t="n">
        <v>16970.336092</v>
      </c>
      <c r="O73" t="n">
        <v>214.616191</v>
      </c>
      <c r="P73" t="n">
        <v>96.945487</v>
      </c>
      <c r="Q73" t="n">
        <v>16970.336092</v>
      </c>
      <c r="R73" t="n">
        <v>16970.336092</v>
      </c>
      <c r="S73" t="n">
        <v>214.616191</v>
      </c>
      <c r="T73" t="n">
        <v>214.616191</v>
      </c>
      <c r="U73" t="n">
        <v>96.945487</v>
      </c>
      <c r="V73" t="n">
        <v>96.945487</v>
      </c>
      <c r="W73" t="n">
        <v>226.201493</v>
      </c>
      <c r="X73" t="n">
        <v>17690.628268</v>
      </c>
    </row>
    <row r="74" ht="21" customHeight="1">
      <c r="A74" t="inlineStr">
        <is>
          <t>Nemipterus virgatus</t>
        </is>
      </c>
      <c r="B74" t="n">
        <v>3.99</v>
      </c>
      <c r="C74" t="n">
        <v>977.237221</v>
      </c>
      <c r="D74" s="11" t="inlineStr">
        <is>
          <t>Threadfin bream (nemipterids)</t>
        </is>
      </c>
      <c r="E74" t="n">
        <v>140.953883</v>
      </c>
      <c r="F74" t="n">
        <v>158.552335</v>
      </c>
      <c r="G74" t="n">
        <v>83.774152</v>
      </c>
      <c r="H74" t="n">
        <v>197.082776</v>
      </c>
      <c r="I74" t="n">
        <v>3502.459341</v>
      </c>
      <c r="J74" t="n">
        <v>3796.144916</v>
      </c>
      <c r="K74" t="n">
        <v>1780.391965</v>
      </c>
      <c r="L74" t="n">
        <v>4710.704014</v>
      </c>
      <c r="M74" t="n">
        <v>4710.704014</v>
      </c>
      <c r="N74" t="n">
        <v>4710.704014</v>
      </c>
      <c r="O74" t="n">
        <v>105.183965</v>
      </c>
      <c r="P74" t="n">
        <v>52.828865</v>
      </c>
      <c r="Q74" t="n">
        <v>4710.704014</v>
      </c>
      <c r="R74" t="n">
        <v>4710.704014</v>
      </c>
      <c r="S74" t="n">
        <v>105.183965</v>
      </c>
      <c r="T74" t="n">
        <v>105.183965</v>
      </c>
      <c r="U74" t="n">
        <v>52.828865</v>
      </c>
      <c r="V74" t="n">
        <v>52.828865</v>
      </c>
      <c r="W74" t="n">
        <v>109.611209</v>
      </c>
      <c r="X74" t="n">
        <v>5115.038689</v>
      </c>
    </row>
    <row r="75" ht="21" customHeight="1">
      <c r="A75" t="inlineStr">
        <is>
          <t>Parastromateus niger</t>
        </is>
      </c>
      <c r="B75" t="n">
        <v>2.93</v>
      </c>
      <c r="C75" t="n">
        <v>85.113804</v>
      </c>
      <c r="D75" s="11" t="inlineStr">
        <is>
          <t>Benthopelagic fish</t>
        </is>
      </c>
      <c r="E75" t="n">
        <v>140.953883</v>
      </c>
      <c r="F75" t="n">
        <v>57.638856</v>
      </c>
      <c r="G75" t="n">
        <v>34.593347</v>
      </c>
      <c r="H75" t="n">
        <v>74.650282</v>
      </c>
      <c r="I75" t="n">
        <v>512.103289</v>
      </c>
      <c r="J75" t="n">
        <v>553.467817</v>
      </c>
      <c r="K75" t="n">
        <v>525.794426</v>
      </c>
      <c r="L75" t="n">
        <v>602.712303</v>
      </c>
      <c r="M75" t="n">
        <v>602.712303</v>
      </c>
      <c r="N75" t="n">
        <v>602.712303</v>
      </c>
      <c r="O75" t="n">
        <v>31.190871</v>
      </c>
      <c r="P75" t="n">
        <v>18.283791</v>
      </c>
      <c r="Q75" t="n">
        <v>602.712303</v>
      </c>
      <c r="R75" t="n">
        <v>602.712303</v>
      </c>
      <c r="S75" t="n">
        <v>31.190871</v>
      </c>
      <c r="T75" t="n">
        <v>31.190871</v>
      </c>
      <c r="U75" t="n">
        <v>18.283791</v>
      </c>
      <c r="V75" t="n">
        <v>18.283791</v>
      </c>
      <c r="W75" t="n">
        <v>32.089433</v>
      </c>
      <c r="X75" t="n">
        <v>622.065443</v>
      </c>
    </row>
    <row r="76" ht="21" customHeight="1">
      <c r="A76" t="inlineStr">
        <is>
          <t>Mugil cephalus</t>
        </is>
      </c>
      <c r="B76" t="n">
        <v>2.14</v>
      </c>
      <c r="C76" t="n">
        <v>13.803843</v>
      </c>
      <c r="D76" s="11" t="inlineStr">
        <is>
          <t>Benthopelagic fish</t>
        </is>
      </c>
      <c r="E76" t="n">
        <v>140.953883</v>
      </c>
      <c r="F76" t="n">
        <v>57.638856</v>
      </c>
      <c r="G76" t="n">
        <v>34.593347</v>
      </c>
      <c r="H76" t="n">
        <v>74.650282</v>
      </c>
      <c r="I76" t="n">
        <v>512.103289</v>
      </c>
      <c r="J76" t="n">
        <v>553.467817</v>
      </c>
      <c r="K76" t="n">
        <v>525.794426</v>
      </c>
      <c r="L76" t="n">
        <v>602.712303</v>
      </c>
      <c r="M76" t="n">
        <v>602.712303</v>
      </c>
      <c r="N76" t="n">
        <v>602.712303</v>
      </c>
      <c r="O76" t="n">
        <v>31.190871</v>
      </c>
      <c r="P76" t="n">
        <v>18.283791</v>
      </c>
      <c r="Q76" t="n">
        <v>602.712303</v>
      </c>
      <c r="R76" t="n">
        <v>602.712303</v>
      </c>
      <c r="S76" t="n">
        <v>31.190871</v>
      </c>
      <c r="T76" t="n">
        <v>31.190871</v>
      </c>
      <c r="U76" t="n">
        <v>18.283791</v>
      </c>
      <c r="V76" t="n">
        <v>18.283791</v>
      </c>
      <c r="W76" t="n">
        <v>32.089433</v>
      </c>
      <c r="X76" t="n">
        <v>622.065443</v>
      </c>
    </row>
    <row r="77" ht="21" customHeight="1">
      <c r="A77" t="inlineStr">
        <is>
          <t>Cephalopoda</t>
        </is>
      </c>
      <c r="B77" t="n">
        <v>3.81</v>
      </c>
      <c r="C77" t="n">
        <v>645.654229</v>
      </c>
      <c r="D77" s="11" t="inlineStr">
        <is>
          <t>Cephalopods</t>
        </is>
      </c>
      <c r="E77" t="n">
        <v>140.953883</v>
      </c>
      <c r="F77" t="n">
        <v>170.518341</v>
      </c>
      <c r="G77" t="n">
        <v>89.274901</v>
      </c>
      <c r="H77" t="n">
        <v>176.937394</v>
      </c>
      <c r="I77" t="n">
        <v>1050.872908</v>
      </c>
      <c r="J77" t="n">
        <v>1075.829695</v>
      </c>
      <c r="K77" t="n">
        <v>537.914847</v>
      </c>
      <c r="L77" t="n">
        <v>1659.687874</v>
      </c>
      <c r="M77" t="n">
        <v>1659.687874</v>
      </c>
      <c r="N77" t="n">
        <v>1659.687874</v>
      </c>
      <c r="O77" t="n">
        <v>31.362197</v>
      </c>
      <c r="P77" t="n">
        <v>16.184075</v>
      </c>
      <c r="Q77" t="n">
        <v>1659.687874</v>
      </c>
      <c r="R77" t="n">
        <v>1659.687874</v>
      </c>
      <c r="S77" t="n">
        <v>31.362197</v>
      </c>
      <c r="T77" t="n">
        <v>31.362197</v>
      </c>
      <c r="U77" t="n">
        <v>16.184075</v>
      </c>
      <c r="V77" t="n">
        <v>16.184075</v>
      </c>
      <c r="W77" t="n">
        <v>32.286772</v>
      </c>
      <c r="X77" t="n">
        <v>1775.112325</v>
      </c>
    </row>
    <row r="78" ht="21" customHeight="1">
      <c r="A78" t="inlineStr">
        <is>
          <t>Leiognathus</t>
        </is>
      </c>
      <c r="B78" t="n">
        <v>3.22</v>
      </c>
      <c r="C78" t="n">
        <v>165.958691</v>
      </c>
      <c r="D78" s="11" t="inlineStr">
        <is>
          <t>Benthopelagic fish</t>
        </is>
      </c>
      <c r="E78" t="n">
        <v>140.953883</v>
      </c>
      <c r="F78" t="n">
        <v>57.638856</v>
      </c>
      <c r="G78" t="n">
        <v>34.593347</v>
      </c>
      <c r="H78" t="n">
        <v>74.650282</v>
      </c>
      <c r="I78" t="n">
        <v>512.103289</v>
      </c>
      <c r="J78" t="n">
        <v>553.467817</v>
      </c>
      <c r="K78" t="n">
        <v>525.794426</v>
      </c>
      <c r="L78" t="n">
        <v>602.712303</v>
      </c>
      <c r="M78" t="n">
        <v>602.712303</v>
      </c>
      <c r="N78" t="n">
        <v>602.712303</v>
      </c>
      <c r="O78" t="n">
        <v>31.190871</v>
      </c>
      <c r="P78" t="n">
        <v>18.283791</v>
      </c>
      <c r="Q78" t="n">
        <v>602.712303</v>
      </c>
      <c r="R78" t="n">
        <v>602.712303</v>
      </c>
      <c r="S78" t="n">
        <v>31.190871</v>
      </c>
      <c r="T78" t="n">
        <v>31.190871</v>
      </c>
      <c r="U78" t="n">
        <v>18.283791</v>
      </c>
      <c r="V78" t="n">
        <v>18.283791</v>
      </c>
      <c r="W78" t="n">
        <v>32.089433</v>
      </c>
      <c r="X78" t="n">
        <v>622.065443</v>
      </c>
    </row>
    <row r="79" ht="21" customHeight="1">
      <c r="A79" t="inlineStr">
        <is>
          <t>Octopodidae</t>
        </is>
      </c>
      <c r="B79" t="n">
        <v>3.59</v>
      </c>
      <c r="C79" t="n">
        <v>389.045145</v>
      </c>
      <c r="D79" s="11" t="inlineStr">
        <is>
          <t>Cephalopods</t>
        </is>
      </c>
      <c r="E79" t="n">
        <v>140.953883</v>
      </c>
      <c r="F79" t="n">
        <v>170.518341</v>
      </c>
      <c r="G79" t="n">
        <v>89.274901</v>
      </c>
      <c r="H79" t="n">
        <v>176.937394</v>
      </c>
      <c r="I79" t="n">
        <v>1050.872908</v>
      </c>
      <c r="J79" t="n">
        <v>1075.829695</v>
      </c>
      <c r="K79" t="n">
        <v>537.914847</v>
      </c>
      <c r="L79" t="n">
        <v>1659.687874</v>
      </c>
      <c r="M79" t="n">
        <v>1659.687874</v>
      </c>
      <c r="N79" t="n">
        <v>1659.687874</v>
      </c>
      <c r="O79" t="n">
        <v>31.362197</v>
      </c>
      <c r="P79" t="n">
        <v>16.184075</v>
      </c>
      <c r="Q79" t="n">
        <v>1659.687874</v>
      </c>
      <c r="R79" t="n">
        <v>1659.687874</v>
      </c>
      <c r="S79" t="n">
        <v>31.362197</v>
      </c>
      <c r="T79" t="n">
        <v>31.362197</v>
      </c>
      <c r="U79" t="n">
        <v>16.184075</v>
      </c>
      <c r="V79" t="n">
        <v>16.184075</v>
      </c>
      <c r="W79" t="n">
        <v>32.286772</v>
      </c>
      <c r="X79" t="n">
        <v>1775.112325</v>
      </c>
    </row>
    <row r="80" ht="21" customHeight="1">
      <c r="A80" t="inlineStr">
        <is>
          <t>Dasyatis</t>
        </is>
      </c>
      <c r="B80" t="n">
        <v>3.28</v>
      </c>
      <c r="C80" t="n">
        <v>190.546072</v>
      </c>
      <c r="D80" s="11" t="inlineStr">
        <is>
          <t>Demersal sharks and rays</t>
        </is>
      </c>
      <c r="E80" t="n">
        <v>140.953883</v>
      </c>
      <c r="F80" t="n">
        <v>308.68601</v>
      </c>
      <c r="G80" t="n">
        <v>149.974663</v>
      </c>
      <c r="H80" t="n">
        <v>602.366804</v>
      </c>
      <c r="I80" t="n">
        <v>10706.101486</v>
      </c>
      <c r="J80" t="n">
        <v>10781.622707</v>
      </c>
      <c r="K80" t="n">
        <v>3924.510665</v>
      </c>
      <c r="L80" t="n">
        <v>18846.946222</v>
      </c>
      <c r="M80" t="n">
        <v>18846.946222</v>
      </c>
      <c r="N80" t="n">
        <v>18846.946222</v>
      </c>
      <c r="O80" t="n">
        <v>119.185901</v>
      </c>
      <c r="P80" t="n">
        <v>52.155741</v>
      </c>
      <c r="Q80" t="n">
        <v>18846.946222</v>
      </c>
      <c r="R80" t="n">
        <v>18846.946222</v>
      </c>
      <c r="S80" t="n">
        <v>119.185901</v>
      </c>
      <c r="T80" t="n">
        <v>119.185901</v>
      </c>
      <c r="U80" t="n">
        <v>52.155741</v>
      </c>
      <c r="V80" t="n">
        <v>52.155741</v>
      </c>
      <c r="W80" t="n">
        <v>124.506314</v>
      </c>
      <c r="X80" t="n">
        <v>20404.471037</v>
      </c>
    </row>
    <row r="81" ht="36" customHeight="1">
      <c r="A81" t="inlineStr">
        <is>
          <t>Euthynnus affinis</t>
        </is>
      </c>
      <c r="B81" t="n">
        <v>4.5</v>
      </c>
      <c r="C81" t="n">
        <v>3162.27766</v>
      </c>
      <c r="D81" s="11" t="inlineStr">
        <is>
          <t>Juvenile large pelagic fish | Pelagic fish (&gt; 30 cm)</t>
        </is>
      </c>
      <c r="E81" t="n">
        <v>140.953883</v>
      </c>
      <c r="F81" t="n">
        <v>200.641254</v>
      </c>
      <c r="G81" t="n">
        <v>102.228748</v>
      </c>
      <c r="H81" t="n">
        <v>215.010584</v>
      </c>
      <c r="I81" t="n">
        <v>6244.222521</v>
      </c>
      <c r="J81" t="n">
        <v>6325.914048</v>
      </c>
      <c r="K81" t="n">
        <v>1872.204427</v>
      </c>
      <c r="L81" t="n">
        <v>7112.982475</v>
      </c>
      <c r="M81" t="n">
        <v>7112.982475</v>
      </c>
      <c r="N81" t="n">
        <v>7112.982475</v>
      </c>
      <c r="O81" t="n">
        <v>87.969483</v>
      </c>
      <c r="P81" t="n">
        <v>46.580547</v>
      </c>
      <c r="Q81" t="n">
        <v>7112.982475</v>
      </c>
      <c r="R81" t="n">
        <v>7112.982475</v>
      </c>
      <c r="S81" t="n">
        <v>87.969483</v>
      </c>
      <c r="T81" t="n">
        <v>87.969483</v>
      </c>
      <c r="U81" t="n">
        <v>46.580547</v>
      </c>
      <c r="V81" t="n">
        <v>46.580547</v>
      </c>
      <c r="W81" t="n">
        <v>93.060855</v>
      </c>
      <c r="X81" t="n">
        <v>7459.131892</v>
      </c>
    </row>
    <row r="82" ht="36" customHeight="1">
      <c r="A82" t="inlineStr">
        <is>
          <t>Auxis</t>
        </is>
      </c>
      <c r="B82" t="n">
        <v>4.24</v>
      </c>
      <c r="C82" t="n">
        <v>1737.800829</v>
      </c>
      <c r="D82" s="11" t="inlineStr">
        <is>
          <t>Juvenile large pelagic fish | Pelagic fish (&gt; 30 cm)</t>
        </is>
      </c>
      <c r="E82" t="n">
        <v>140.953883</v>
      </c>
      <c r="F82" t="n">
        <v>200.641254</v>
      </c>
      <c r="G82" t="n">
        <v>102.228748</v>
      </c>
      <c r="H82" t="n">
        <v>215.010584</v>
      </c>
      <c r="I82" t="n">
        <v>6244.222521</v>
      </c>
      <c r="J82" t="n">
        <v>6325.914048</v>
      </c>
      <c r="K82" t="n">
        <v>1872.204427</v>
      </c>
      <c r="L82" t="n">
        <v>7112.982475</v>
      </c>
      <c r="M82" t="n">
        <v>7112.982475</v>
      </c>
      <c r="N82" t="n">
        <v>7112.982475</v>
      </c>
      <c r="O82" t="n">
        <v>87.969483</v>
      </c>
      <c r="P82" t="n">
        <v>46.580547</v>
      </c>
      <c r="Q82" t="n">
        <v>7112.982475</v>
      </c>
      <c r="R82" t="n">
        <v>7112.982475</v>
      </c>
      <c r="S82" t="n">
        <v>87.969483</v>
      </c>
      <c r="T82" t="n">
        <v>87.969483</v>
      </c>
      <c r="U82" t="n">
        <v>46.580547</v>
      </c>
      <c r="V82" t="n">
        <v>46.580547</v>
      </c>
      <c r="W82" t="n">
        <v>93.060855</v>
      </c>
      <c r="X82" t="n">
        <v>7459.131892</v>
      </c>
    </row>
    <row r="83" ht="21" customHeight="1">
      <c r="A83" t="inlineStr">
        <is>
          <t>Pampus argenteus</t>
        </is>
      </c>
      <c r="B83" t="n">
        <v>3.3</v>
      </c>
      <c r="C83" t="n">
        <v>199.526231</v>
      </c>
      <c r="D83" s="11" t="inlineStr">
        <is>
          <t>Pomfret (stromateids)</t>
        </is>
      </c>
      <c r="E83" t="n">
        <v>140.953883</v>
      </c>
      <c r="F83" t="n">
        <v>342.280115</v>
      </c>
      <c r="G83" t="n">
        <v>164.146984</v>
      </c>
      <c r="H83" t="n">
        <v>260.083928</v>
      </c>
      <c r="I83" t="n">
        <v>1585.623721</v>
      </c>
      <c r="J83" t="n">
        <v>1650.152477</v>
      </c>
      <c r="K83" t="n">
        <v>1567.644853</v>
      </c>
      <c r="L83" t="n">
        <v>2274.19106</v>
      </c>
      <c r="M83" t="n">
        <v>2274.19106</v>
      </c>
      <c r="N83" t="n">
        <v>2274.19106</v>
      </c>
      <c r="O83" t="n">
        <v>105.127985</v>
      </c>
      <c r="P83" t="n">
        <v>50.974766</v>
      </c>
      <c r="Q83" t="n">
        <v>2274.19106</v>
      </c>
      <c r="R83" t="n">
        <v>2274.19106</v>
      </c>
      <c r="S83" t="n">
        <v>105.127985</v>
      </c>
      <c r="T83" t="n">
        <v>105.127985</v>
      </c>
      <c r="U83" t="n">
        <v>50.974766</v>
      </c>
      <c r="V83" t="n">
        <v>50.974766</v>
      </c>
      <c r="W83" t="n">
        <v>111.155847</v>
      </c>
      <c r="X83" t="n">
        <v>2438.947747</v>
      </c>
    </row>
    <row r="84" ht="21" customHeight="1">
      <c r="A84" t="inlineStr">
        <is>
          <t>Spratelloides gracilis</t>
        </is>
      </c>
      <c r="B84" t="n">
        <v>3.06</v>
      </c>
      <c r="C84" t="n">
        <v>114.815362</v>
      </c>
      <c r="D84" s="11" t="inlineStr">
        <is>
          <t>Pelagic fish (≤ 30 cm)</t>
        </is>
      </c>
      <c r="E84" t="n">
        <v>140.953883</v>
      </c>
      <c r="F84" t="n">
        <v>60.479203</v>
      </c>
      <c r="G84" t="n">
        <v>36.07884</v>
      </c>
      <c r="H84" t="n">
        <v>45.98261</v>
      </c>
      <c r="I84" t="n">
        <v>395.888053</v>
      </c>
      <c r="J84" t="n">
        <v>395.888053</v>
      </c>
      <c r="K84" t="n">
        <v>376.09365</v>
      </c>
      <c r="L84" t="n">
        <v>393.787233</v>
      </c>
      <c r="M84" t="n">
        <v>393.787233</v>
      </c>
      <c r="N84" t="n">
        <v>393.787233</v>
      </c>
      <c r="O84" t="n">
        <v>20.916473</v>
      </c>
      <c r="P84" t="n">
        <v>13.510088</v>
      </c>
      <c r="Q84" t="n">
        <v>393.787233</v>
      </c>
      <c r="R84" t="n">
        <v>393.787233</v>
      </c>
      <c r="S84" t="n">
        <v>20.916473</v>
      </c>
      <c r="T84" t="n">
        <v>20.916473</v>
      </c>
      <c r="U84" t="n">
        <v>13.510088</v>
      </c>
      <c r="V84" t="n">
        <v>13.510088</v>
      </c>
      <c r="W84" t="n">
        <v>21.939981</v>
      </c>
      <c r="X84" t="n">
        <v>405.784084</v>
      </c>
    </row>
    <row r="85" ht="21" customHeight="1">
      <c r="A85" t="inlineStr">
        <is>
          <t>Bivalvia</t>
        </is>
      </c>
      <c r="B85" t="n">
        <v>2.23</v>
      </c>
      <c r="C85" t="n">
        <v>16.982437</v>
      </c>
      <c r="D85" s="11" t="inlineStr">
        <is>
          <t>Non-ceph molluscs</t>
        </is>
      </c>
      <c r="E85" t="n">
        <v>140.953883</v>
      </c>
      <c r="F85" t="n">
        <v>14.712171</v>
      </c>
      <c r="G85" t="n">
        <v>10.486582</v>
      </c>
      <c r="H85" t="n">
        <v>17.347998</v>
      </c>
      <c r="I85" t="n">
        <v>87.52377799999999</v>
      </c>
      <c r="J85" t="n">
        <v>87.52377799999999</v>
      </c>
      <c r="K85" t="n">
        <v>33.521607</v>
      </c>
      <c r="L85" t="n">
        <v>92.59366</v>
      </c>
      <c r="M85" t="n">
        <v>92.59366</v>
      </c>
      <c r="N85" t="n">
        <v>92.59366</v>
      </c>
      <c r="O85" t="n">
        <v>4.448657</v>
      </c>
      <c r="P85" t="n">
        <v>3.058348</v>
      </c>
      <c r="Q85" t="n">
        <v>92.59366</v>
      </c>
      <c r="R85" t="n">
        <v>92.59366</v>
      </c>
      <c r="S85" t="n">
        <v>4.448657</v>
      </c>
      <c r="T85" t="n">
        <v>4.448657</v>
      </c>
      <c r="U85" t="n">
        <v>3.058348</v>
      </c>
      <c r="V85" t="n">
        <v>3.058348</v>
      </c>
      <c r="W85" t="n">
        <v>4.556294</v>
      </c>
      <c r="X85" t="n">
        <v>96.447226</v>
      </c>
    </row>
    <row r="86" ht="21" customHeight="1">
      <c r="A86" t="inlineStr">
        <is>
          <t>Dussumieria</t>
        </is>
      </c>
      <c r="B86" t="n">
        <v>3.4</v>
      </c>
      <c r="C86" t="n">
        <v>251.188643</v>
      </c>
      <c r="D86" s="11" t="inlineStr">
        <is>
          <t>Pelagic fish (≤ 30 cm)</t>
        </is>
      </c>
      <c r="E86" t="n">
        <v>140.953883</v>
      </c>
      <c r="F86" t="n">
        <v>60.479203</v>
      </c>
      <c r="G86" t="n">
        <v>36.07884</v>
      </c>
      <c r="H86" t="n">
        <v>45.98261</v>
      </c>
      <c r="I86" t="n">
        <v>395.888053</v>
      </c>
      <c r="J86" t="n">
        <v>395.888053</v>
      </c>
      <c r="K86" t="n">
        <v>376.09365</v>
      </c>
      <c r="L86" t="n">
        <v>393.787233</v>
      </c>
      <c r="M86" t="n">
        <v>393.787233</v>
      </c>
      <c r="N86" t="n">
        <v>393.787233</v>
      </c>
      <c r="O86" t="n">
        <v>20.916473</v>
      </c>
      <c r="P86" t="n">
        <v>13.510088</v>
      </c>
      <c r="Q86" t="n">
        <v>393.787233</v>
      </c>
      <c r="R86" t="n">
        <v>393.787233</v>
      </c>
      <c r="S86" t="n">
        <v>20.916473</v>
      </c>
      <c r="T86" t="n">
        <v>20.916473</v>
      </c>
      <c r="U86" t="n">
        <v>13.510088</v>
      </c>
      <c r="V86" t="n">
        <v>13.510088</v>
      </c>
      <c r="W86" t="n">
        <v>21.939981</v>
      </c>
      <c r="X86" t="n">
        <v>405.784084</v>
      </c>
    </row>
    <row r="87" ht="36" customHeight="1">
      <c r="A87" t="inlineStr">
        <is>
          <t>Carcharhinus</t>
        </is>
      </c>
      <c r="B87" t="n">
        <v>4.26</v>
      </c>
      <c r="C87" t="n">
        <v>1819.700859</v>
      </c>
      <c r="D87" s="11" t="inlineStr">
        <is>
          <t>Demersal sharks and rays | Pelagic sharks and rays</t>
        </is>
      </c>
      <c r="E87" t="n">
        <v>140.953883</v>
      </c>
      <c r="F87" t="n">
        <v>420.661524</v>
      </c>
      <c r="G87" t="n">
        <v>193.90261</v>
      </c>
      <c r="H87" t="n">
        <v>636.3346</v>
      </c>
      <c r="I87" t="n">
        <v>32064.514055</v>
      </c>
      <c r="J87" t="n">
        <v>32388.465997</v>
      </c>
      <c r="K87" t="n">
        <v>15001.444266</v>
      </c>
      <c r="L87" t="n">
        <v>47447.371867</v>
      </c>
      <c r="M87" t="n">
        <v>47447.371867</v>
      </c>
      <c r="N87" t="n">
        <v>47447.371867</v>
      </c>
      <c r="O87" t="n">
        <v>134.659687</v>
      </c>
      <c r="P87" t="n">
        <v>58.748438</v>
      </c>
      <c r="Q87" t="n">
        <v>47447.371867</v>
      </c>
      <c r="R87" t="n">
        <v>47447.371867</v>
      </c>
      <c r="S87" t="n">
        <v>134.659687</v>
      </c>
      <c r="T87" t="n">
        <v>134.659687</v>
      </c>
      <c r="U87" t="n">
        <v>58.748438</v>
      </c>
      <c r="V87" t="n">
        <v>58.748438</v>
      </c>
      <c r="W87" t="n">
        <v>141.372985</v>
      </c>
      <c r="X87" t="n">
        <v>50905.953173</v>
      </c>
    </row>
    <row r="88" ht="21" customHeight="1">
      <c r="A88" t="inlineStr">
        <is>
          <t>Lutjanus</t>
        </is>
      </c>
      <c r="B88" t="n">
        <v>4.02</v>
      </c>
      <c r="C88" t="n">
        <v>1047.128548</v>
      </c>
      <c r="D88" s="11" t="inlineStr">
        <is>
          <t>Snappers</t>
        </is>
      </c>
      <c r="E88" t="n">
        <v>140.953883</v>
      </c>
      <c r="F88" t="n">
        <v>554.842266</v>
      </c>
      <c r="G88" t="n">
        <v>250.381754</v>
      </c>
      <c r="H88" t="n">
        <v>650.642591</v>
      </c>
      <c r="I88" t="n">
        <v>3230.237663</v>
      </c>
      <c r="J88" t="n">
        <v>3367.037571</v>
      </c>
      <c r="K88" t="n">
        <v>3198.685692</v>
      </c>
      <c r="L88" t="n">
        <v>4133.4309</v>
      </c>
      <c r="M88" t="n">
        <v>4133.4309</v>
      </c>
      <c r="N88" t="n">
        <v>4133.4309</v>
      </c>
      <c r="O88" t="n">
        <v>205.658598</v>
      </c>
      <c r="P88" t="n">
        <v>91.38801100000001</v>
      </c>
      <c r="Q88" t="n">
        <v>4133.4309</v>
      </c>
      <c r="R88" t="n">
        <v>4133.4309</v>
      </c>
      <c r="S88" t="n">
        <v>205.658598</v>
      </c>
      <c r="T88" t="n">
        <v>205.658598</v>
      </c>
      <c r="U88" t="n">
        <v>91.38801100000001</v>
      </c>
      <c r="V88" t="n">
        <v>91.38801100000001</v>
      </c>
      <c r="W88" t="n">
        <v>216.473302</v>
      </c>
      <c r="X88" t="n">
        <v>4393.486979</v>
      </c>
    </row>
    <row r="89" ht="21" customHeight="1">
      <c r="A89" t="inlineStr">
        <is>
          <t>Penaeus merguiensis</t>
        </is>
      </c>
      <c r="B89" t="n">
        <v>3.77</v>
      </c>
      <c r="C89" t="n">
        <v>588.843655</v>
      </c>
      <c r="D89" s="11" t="inlineStr">
        <is>
          <t>Shrimps</t>
        </is>
      </c>
      <c r="E89" t="n">
        <v>140.953883</v>
      </c>
      <c r="F89" t="n">
        <v>20.606299</v>
      </c>
      <c r="G89" t="n">
        <v>14.077679</v>
      </c>
      <c r="H89" t="n">
        <v>22.715542</v>
      </c>
      <c r="I89" t="n">
        <v>131.71072</v>
      </c>
      <c r="J89" t="n">
        <v>131.71072</v>
      </c>
      <c r="K89" t="n">
        <v>125.125184</v>
      </c>
      <c r="L89" t="n">
        <v>130.894857</v>
      </c>
      <c r="M89" t="n">
        <v>130.894857</v>
      </c>
      <c r="N89" t="n">
        <v>130.894857</v>
      </c>
      <c r="O89" t="n">
        <v>12.255972</v>
      </c>
      <c r="P89" t="n">
        <v>8.448598</v>
      </c>
      <c r="Q89" t="n">
        <v>130.894857</v>
      </c>
      <c r="R89" t="n">
        <v>130.894857</v>
      </c>
      <c r="S89" t="n">
        <v>12.255972</v>
      </c>
      <c r="T89" t="n">
        <v>12.255972</v>
      </c>
      <c r="U89" t="n">
        <v>8.448598</v>
      </c>
      <c r="V89" t="n">
        <v>8.448598</v>
      </c>
      <c r="W89" t="n">
        <v>12.680707</v>
      </c>
      <c r="X89" t="n">
        <v>136.520004</v>
      </c>
    </row>
    <row r="90" ht="21" customHeight="1">
      <c r="A90" t="inlineStr">
        <is>
          <t>Octopoda</t>
        </is>
      </c>
      <c r="B90" t="n">
        <v>3.58</v>
      </c>
      <c r="C90" t="n">
        <v>380.189396</v>
      </c>
      <c r="D90" s="11" t="inlineStr">
        <is>
          <t>Cephalopods</t>
        </is>
      </c>
      <c r="E90" t="n">
        <v>140.953883</v>
      </c>
      <c r="F90" t="n">
        <v>170.518341</v>
      </c>
      <c r="G90" t="n">
        <v>89.274901</v>
      </c>
      <c r="H90" t="n">
        <v>176.937394</v>
      </c>
      <c r="I90" t="n">
        <v>1050.872908</v>
      </c>
      <c r="J90" t="n">
        <v>1075.829695</v>
      </c>
      <c r="K90" t="n">
        <v>537.914847</v>
      </c>
      <c r="L90" t="n">
        <v>1659.687874</v>
      </c>
      <c r="M90" t="n">
        <v>1659.687874</v>
      </c>
      <c r="N90" t="n">
        <v>1659.687874</v>
      </c>
      <c r="O90" t="n">
        <v>31.362197</v>
      </c>
      <c r="P90" t="n">
        <v>16.184075</v>
      </c>
      <c r="Q90" t="n">
        <v>1659.687874</v>
      </c>
      <c r="R90" t="n">
        <v>1659.687874</v>
      </c>
      <c r="S90" t="n">
        <v>31.362197</v>
      </c>
      <c r="T90" t="n">
        <v>31.362197</v>
      </c>
      <c r="U90" t="n">
        <v>16.184075</v>
      </c>
      <c r="V90" t="n">
        <v>16.184075</v>
      </c>
      <c r="W90" t="n">
        <v>32.286772</v>
      </c>
      <c r="X90" t="n">
        <v>1775.112325</v>
      </c>
    </row>
    <row r="91" ht="21" customHeight="1">
      <c r="A91" t="inlineStr">
        <is>
          <t>Clupanodon thrissa</t>
        </is>
      </c>
      <c r="B91" t="n">
        <v>3.01</v>
      </c>
      <c r="C91" t="n">
        <v>102.329299</v>
      </c>
      <c r="D91" s="11" t="inlineStr">
        <is>
          <t>Pelagic fish (≤ 30 cm)</t>
        </is>
      </c>
      <c r="E91" t="n">
        <v>140.953883</v>
      </c>
      <c r="F91" t="n">
        <v>60.479203</v>
      </c>
      <c r="G91" t="n">
        <v>36.07884</v>
      </c>
      <c r="H91" t="n">
        <v>45.98261</v>
      </c>
      <c r="I91" t="n">
        <v>395.888053</v>
      </c>
      <c r="J91" t="n">
        <v>395.888053</v>
      </c>
      <c r="K91" t="n">
        <v>376.09365</v>
      </c>
      <c r="L91" t="n">
        <v>393.787233</v>
      </c>
      <c r="M91" t="n">
        <v>393.787233</v>
      </c>
      <c r="N91" t="n">
        <v>393.787233</v>
      </c>
      <c r="O91" t="n">
        <v>20.916473</v>
      </c>
      <c r="P91" t="n">
        <v>13.510088</v>
      </c>
      <c r="Q91" t="n">
        <v>393.787233</v>
      </c>
      <c r="R91" t="n">
        <v>393.787233</v>
      </c>
      <c r="S91" t="n">
        <v>20.916473</v>
      </c>
      <c r="T91" t="n">
        <v>20.916473</v>
      </c>
      <c r="U91" t="n">
        <v>13.510088</v>
      </c>
      <c r="V91" t="n">
        <v>13.510088</v>
      </c>
      <c r="W91" t="n">
        <v>21.939981</v>
      </c>
      <c r="X91" t="n">
        <v>405.784084</v>
      </c>
    </row>
    <row r="92" ht="21" customHeight="1">
      <c r="A92" t="inlineStr">
        <is>
          <t>Sardinella fimbriata</t>
        </is>
      </c>
      <c r="B92" t="n">
        <v>2.7</v>
      </c>
      <c r="C92" t="n">
        <v>50.118723</v>
      </c>
      <c r="D92" s="11" t="inlineStr">
        <is>
          <t>Pelagic fish (≤ 30 cm)</t>
        </is>
      </c>
      <c r="E92" t="n">
        <v>140.953883</v>
      </c>
      <c r="F92" t="n">
        <v>60.479203</v>
      </c>
      <c r="G92" t="n">
        <v>36.07884</v>
      </c>
      <c r="H92" t="n">
        <v>45.98261</v>
      </c>
      <c r="I92" t="n">
        <v>395.888053</v>
      </c>
      <c r="J92" t="n">
        <v>395.888053</v>
      </c>
      <c r="K92" t="n">
        <v>376.09365</v>
      </c>
      <c r="L92" t="n">
        <v>393.787233</v>
      </c>
      <c r="M92" t="n">
        <v>393.787233</v>
      </c>
      <c r="N92" t="n">
        <v>393.787233</v>
      </c>
      <c r="O92" t="n">
        <v>20.916473</v>
      </c>
      <c r="P92" t="n">
        <v>13.510088</v>
      </c>
      <c r="Q92" t="n">
        <v>393.787233</v>
      </c>
      <c r="R92" t="n">
        <v>393.787233</v>
      </c>
      <c r="S92" t="n">
        <v>20.916473</v>
      </c>
      <c r="T92" t="n">
        <v>20.916473</v>
      </c>
      <c r="U92" t="n">
        <v>13.510088</v>
      </c>
      <c r="V92" t="n">
        <v>13.510088</v>
      </c>
      <c r="W92" t="n">
        <v>21.939981</v>
      </c>
      <c r="X92" t="n">
        <v>405.784084</v>
      </c>
    </row>
    <row r="93" ht="21" customHeight="1">
      <c r="A93" t="inlineStr">
        <is>
          <t>Ruvettus pretiosus</t>
        </is>
      </c>
      <c r="B93" t="n">
        <v>4.18</v>
      </c>
      <c r="C93" t="n">
        <v>1513.561248</v>
      </c>
      <c r="D93" s="11" t="inlineStr">
        <is>
          <t>Unresolved</t>
        </is>
      </c>
    </row>
    <row r="94" ht="36" customHeight="1">
      <c r="A94" t="inlineStr">
        <is>
          <t>Lates calcarifer</t>
        </is>
      </c>
      <c r="B94" t="n">
        <v>4.35</v>
      </c>
      <c r="C94" t="n">
        <v>2238.721139</v>
      </c>
      <c r="D94" s="11" t="inlineStr">
        <is>
          <t>Juvenile demersal fish (&gt; 30 cm) | Adult demersal fish (&gt; 30 cm)</t>
        </is>
      </c>
      <c r="E94" t="n">
        <v>140.953883</v>
      </c>
      <c r="F94" t="n">
        <v>228.824285</v>
      </c>
      <c r="G94" t="n">
        <v>114.897152</v>
      </c>
      <c r="H94" t="n">
        <v>408.798022</v>
      </c>
      <c r="I94" t="n">
        <v>6590.793316</v>
      </c>
      <c r="J94" t="n">
        <v>7071.146917</v>
      </c>
      <c r="K94" t="n">
        <v>2576.928919</v>
      </c>
      <c r="L94" t="n">
        <v>10677.999207</v>
      </c>
      <c r="M94" t="n">
        <v>10677.999207</v>
      </c>
      <c r="N94" t="n">
        <v>10677.999207</v>
      </c>
      <c r="O94" t="n">
        <v>85.006417</v>
      </c>
      <c r="P94" t="n">
        <v>38.52237</v>
      </c>
      <c r="Q94" t="n">
        <v>10677.999207</v>
      </c>
      <c r="R94" t="n">
        <v>10677.999207</v>
      </c>
      <c r="S94" t="n">
        <v>85.006417</v>
      </c>
      <c r="T94" t="n">
        <v>85.006417</v>
      </c>
      <c r="U94" t="n">
        <v>38.52237</v>
      </c>
      <c r="V94" t="n">
        <v>38.52237</v>
      </c>
      <c r="W94" t="n">
        <v>88.306245</v>
      </c>
      <c r="X94" t="n">
        <v>11509.306401</v>
      </c>
    </row>
    <row r="95" ht="36" customHeight="1">
      <c r="A95" t="inlineStr">
        <is>
          <t>Carangoides</t>
        </is>
      </c>
      <c r="B95" t="n">
        <v>4.34</v>
      </c>
      <c r="C95" t="n">
        <v>2187.761624</v>
      </c>
      <c r="D95" s="11" t="inlineStr">
        <is>
          <t>Juvenile large pelagic fish | Pelagic fish (&gt; 30 cm)</t>
        </is>
      </c>
      <c r="E95" t="n">
        <v>140.953883</v>
      </c>
      <c r="F95" t="n">
        <v>200.641254</v>
      </c>
      <c r="G95" t="n">
        <v>102.228748</v>
      </c>
      <c r="H95" t="n">
        <v>215.010584</v>
      </c>
      <c r="I95" t="n">
        <v>6244.222521</v>
      </c>
      <c r="J95" t="n">
        <v>6325.914048</v>
      </c>
      <c r="K95" t="n">
        <v>1872.204427</v>
      </c>
      <c r="L95" t="n">
        <v>7112.982475</v>
      </c>
      <c r="M95" t="n">
        <v>7112.982475</v>
      </c>
      <c r="N95" t="n">
        <v>7112.982475</v>
      </c>
      <c r="O95" t="n">
        <v>87.969483</v>
      </c>
      <c r="P95" t="n">
        <v>46.580547</v>
      </c>
      <c r="Q95" t="n">
        <v>7112.982475</v>
      </c>
      <c r="R95" t="n">
        <v>7112.982475</v>
      </c>
      <c r="S95" t="n">
        <v>87.969483</v>
      </c>
      <c r="T95" t="n">
        <v>87.969483</v>
      </c>
      <c r="U95" t="n">
        <v>46.580547</v>
      </c>
      <c r="V95" t="n">
        <v>46.580547</v>
      </c>
      <c r="W95" t="n">
        <v>93.060855</v>
      </c>
      <c r="X95" t="n">
        <v>7459.131892</v>
      </c>
    </row>
    <row r="96" ht="36" customHeight="1">
      <c r="A96" t="inlineStr">
        <is>
          <t>Scomberomorus niphonius</t>
        </is>
      </c>
      <c r="B96" t="n">
        <v>4.5</v>
      </c>
      <c r="C96" t="n">
        <v>3162.27766</v>
      </c>
      <c r="D96" s="11" t="inlineStr">
        <is>
          <t>Juvenile large pelagic fish | Pelagic fish (&gt; 30 cm)</t>
        </is>
      </c>
      <c r="E96" t="n">
        <v>140.953883</v>
      </c>
      <c r="F96" t="n">
        <v>200.641254</v>
      </c>
      <c r="G96" t="n">
        <v>102.228748</v>
      </c>
      <c r="H96" t="n">
        <v>215.010584</v>
      </c>
      <c r="I96" t="n">
        <v>6244.222521</v>
      </c>
      <c r="J96" t="n">
        <v>6325.914048</v>
      </c>
      <c r="K96" t="n">
        <v>1872.204427</v>
      </c>
      <c r="L96" t="n">
        <v>7112.982475</v>
      </c>
      <c r="M96" t="n">
        <v>7112.982475</v>
      </c>
      <c r="N96" t="n">
        <v>7112.982475</v>
      </c>
      <c r="O96" t="n">
        <v>87.969483</v>
      </c>
      <c r="P96" t="n">
        <v>46.580547</v>
      </c>
      <c r="Q96" t="n">
        <v>7112.982475</v>
      </c>
      <c r="R96" t="n">
        <v>7112.982475</v>
      </c>
      <c r="S96" t="n">
        <v>87.969483</v>
      </c>
      <c r="T96" t="n">
        <v>87.969483</v>
      </c>
      <c r="U96" t="n">
        <v>46.580547</v>
      </c>
      <c r="V96" t="n">
        <v>46.580547</v>
      </c>
      <c r="W96" t="n">
        <v>93.060855</v>
      </c>
      <c r="X96" t="n">
        <v>7459.131892</v>
      </c>
    </row>
    <row r="97" ht="36" customHeight="1">
      <c r="A97" t="inlineStr">
        <is>
          <t>Megalaspis cordyla</t>
        </is>
      </c>
      <c r="B97" t="n">
        <v>4.24</v>
      </c>
      <c r="C97" t="n">
        <v>1737.800829</v>
      </c>
      <c r="D97" s="11" t="inlineStr">
        <is>
          <t>Juvenile large pelagic fish | Pelagic fish (&gt; 30 cm)</t>
        </is>
      </c>
      <c r="E97" t="n">
        <v>140.953883</v>
      </c>
      <c r="F97" t="n">
        <v>200.641254</v>
      </c>
      <c r="G97" t="n">
        <v>102.228748</v>
      </c>
      <c r="H97" t="n">
        <v>215.010584</v>
      </c>
      <c r="I97" t="n">
        <v>6244.222521</v>
      </c>
      <c r="J97" t="n">
        <v>6325.914048</v>
      </c>
      <c r="K97" t="n">
        <v>1872.204427</v>
      </c>
      <c r="L97" t="n">
        <v>7112.982475</v>
      </c>
      <c r="M97" t="n">
        <v>7112.982475</v>
      </c>
      <c r="N97" t="n">
        <v>7112.982475</v>
      </c>
      <c r="O97" t="n">
        <v>87.969483</v>
      </c>
      <c r="P97" t="n">
        <v>46.580547</v>
      </c>
      <c r="Q97" t="n">
        <v>7112.982475</v>
      </c>
      <c r="R97" t="n">
        <v>7112.982475</v>
      </c>
      <c r="S97" t="n">
        <v>87.969483</v>
      </c>
      <c r="T97" t="n">
        <v>87.969483</v>
      </c>
      <c r="U97" t="n">
        <v>46.580547</v>
      </c>
      <c r="V97" t="n">
        <v>46.580547</v>
      </c>
      <c r="W97" t="n">
        <v>93.060855</v>
      </c>
      <c r="X97" t="n">
        <v>7459.131892</v>
      </c>
    </row>
    <row r="98" ht="36" customHeight="1">
      <c r="A98" t="inlineStr">
        <is>
          <t>Scomberomorus guttatus</t>
        </is>
      </c>
      <c r="B98" t="n">
        <v>4.28</v>
      </c>
      <c r="C98" t="n">
        <v>1905.460718</v>
      </c>
      <c r="D98" s="11" t="inlineStr">
        <is>
          <t>Juvenile large pelagic fish | Pelagic fish (&gt; 30 cm)</t>
        </is>
      </c>
      <c r="E98" t="n">
        <v>140.953883</v>
      </c>
      <c r="F98" t="n">
        <v>200.641254</v>
      </c>
      <c r="G98" t="n">
        <v>102.228748</v>
      </c>
      <c r="H98" t="n">
        <v>215.010584</v>
      </c>
      <c r="I98" t="n">
        <v>6244.222521</v>
      </c>
      <c r="J98" t="n">
        <v>6325.914048</v>
      </c>
      <c r="K98" t="n">
        <v>1872.204427</v>
      </c>
      <c r="L98" t="n">
        <v>7112.982475</v>
      </c>
      <c r="M98" t="n">
        <v>7112.982475</v>
      </c>
      <c r="N98" t="n">
        <v>7112.982475</v>
      </c>
      <c r="O98" t="n">
        <v>87.969483</v>
      </c>
      <c r="P98" t="n">
        <v>46.580547</v>
      </c>
      <c r="Q98" t="n">
        <v>7112.982475</v>
      </c>
      <c r="R98" t="n">
        <v>7112.982475</v>
      </c>
      <c r="S98" t="n">
        <v>87.969483</v>
      </c>
      <c r="T98" t="n">
        <v>87.969483</v>
      </c>
      <c r="U98" t="n">
        <v>46.580547</v>
      </c>
      <c r="V98" t="n">
        <v>46.580547</v>
      </c>
      <c r="W98" t="n">
        <v>93.060855</v>
      </c>
      <c r="X98" t="n">
        <v>7459.131892</v>
      </c>
    </row>
    <row r="99" ht="36" customHeight="1">
      <c r="A99" t="inlineStr">
        <is>
          <t>Atrobucca nibe</t>
        </is>
      </c>
      <c r="B99" t="n">
        <v>3.03</v>
      </c>
      <c r="C99" t="n">
        <v>107.151931</v>
      </c>
      <c r="D99" s="11" t="inlineStr">
        <is>
          <t>Juvenile large croakers | Croakers (&gt; 30 cm)</t>
        </is>
      </c>
      <c r="E99" t="n">
        <v>140.953883</v>
      </c>
      <c r="F99" t="n">
        <v>265.549442</v>
      </c>
      <c r="G99" t="n">
        <v>131.19784</v>
      </c>
      <c r="H99" t="n">
        <v>368.043932</v>
      </c>
      <c r="I99" t="n">
        <v>2939.153653</v>
      </c>
      <c r="J99" t="n">
        <v>3022.907916</v>
      </c>
      <c r="K99" t="n">
        <v>1769.605312</v>
      </c>
      <c r="L99" t="n">
        <v>3691.420719</v>
      </c>
      <c r="M99" t="n">
        <v>3691.420719</v>
      </c>
      <c r="N99" t="n">
        <v>3691.420719</v>
      </c>
      <c r="O99" t="n">
        <v>92.784491</v>
      </c>
      <c r="P99" t="n">
        <v>44.082214</v>
      </c>
      <c r="Q99" t="n">
        <v>3691.420719</v>
      </c>
      <c r="R99" t="n">
        <v>3691.420719</v>
      </c>
      <c r="S99" t="n">
        <v>92.784491</v>
      </c>
      <c r="T99" t="n">
        <v>92.784491</v>
      </c>
      <c r="U99" t="n">
        <v>44.082214</v>
      </c>
      <c r="V99" t="n">
        <v>44.082214</v>
      </c>
      <c r="W99" t="n">
        <v>96.91430099999999</v>
      </c>
      <c r="X99" t="n">
        <v>3937.988659</v>
      </c>
    </row>
    <row r="100" ht="36" customHeight="1">
      <c r="A100" t="inlineStr">
        <is>
          <t>Trichiuridae</t>
        </is>
      </c>
      <c r="B100" t="n">
        <v>4.15</v>
      </c>
      <c r="C100" t="n">
        <v>1412.537545</v>
      </c>
      <c r="D100" s="11" t="inlineStr">
        <is>
          <t>Juvenile Hairtail (trichiurids) | Adult hairtail (trichiurids)</t>
        </is>
      </c>
      <c r="E100" t="n">
        <v>140.953883</v>
      </c>
      <c r="F100" t="n">
        <v>759.29485</v>
      </c>
      <c r="G100" t="n">
        <v>329.344068</v>
      </c>
      <c r="H100" t="n">
        <v>902.04389</v>
      </c>
      <c r="I100" t="n">
        <v>15387.334214</v>
      </c>
      <c r="J100" t="n">
        <v>16058.002117</v>
      </c>
      <c r="K100" t="n">
        <v>5258.842171</v>
      </c>
      <c r="L100" t="n">
        <v>26383.951313</v>
      </c>
      <c r="M100" t="n">
        <v>26383.951313</v>
      </c>
      <c r="N100" t="n">
        <v>26383.951313</v>
      </c>
      <c r="O100" t="n">
        <v>166.364336</v>
      </c>
      <c r="P100" t="n">
        <v>71.691328</v>
      </c>
      <c r="Q100" t="n">
        <v>26383.951313</v>
      </c>
      <c r="R100" t="n">
        <v>26383.951313</v>
      </c>
      <c r="S100" t="n">
        <v>166.364336</v>
      </c>
      <c r="T100" t="n">
        <v>166.364336</v>
      </c>
      <c r="U100" t="n">
        <v>71.691328</v>
      </c>
      <c r="V100" t="n">
        <v>71.691328</v>
      </c>
      <c r="W100" t="n">
        <v>176.786743</v>
      </c>
      <c r="X100" t="n">
        <v>28905.373115</v>
      </c>
    </row>
    <row r="101" ht="36" customHeight="1">
      <c r="A101" t="inlineStr">
        <is>
          <t>Thunnus tonggol</t>
        </is>
      </c>
      <c r="B101" t="n">
        <v>4.5</v>
      </c>
      <c r="C101" t="n">
        <v>3162.27766</v>
      </c>
      <c r="D101" s="11" t="inlineStr">
        <is>
          <t>Juvenile large pelagic fish | Pelagic fish (&gt; 30 cm)</t>
        </is>
      </c>
      <c r="E101" t="n">
        <v>140.953883</v>
      </c>
      <c r="F101" t="n">
        <v>200.641254</v>
      </c>
      <c r="G101" t="n">
        <v>102.228748</v>
      </c>
      <c r="H101" t="n">
        <v>215.010584</v>
      </c>
      <c r="I101" t="n">
        <v>6244.222521</v>
      </c>
      <c r="J101" t="n">
        <v>6325.914048</v>
      </c>
      <c r="K101" t="n">
        <v>1872.204427</v>
      </c>
      <c r="L101" t="n">
        <v>7112.982475</v>
      </c>
      <c r="M101" t="n">
        <v>7112.982475</v>
      </c>
      <c r="N101" t="n">
        <v>7112.982475</v>
      </c>
      <c r="O101" t="n">
        <v>87.969483</v>
      </c>
      <c r="P101" t="n">
        <v>46.580547</v>
      </c>
      <c r="Q101" t="n">
        <v>7112.982475</v>
      </c>
      <c r="R101" t="n">
        <v>7112.982475</v>
      </c>
      <c r="S101" t="n">
        <v>87.969483</v>
      </c>
      <c r="T101" t="n">
        <v>87.969483</v>
      </c>
      <c r="U101" t="n">
        <v>46.580547</v>
      </c>
      <c r="V101" t="n">
        <v>46.580547</v>
      </c>
      <c r="W101" t="n">
        <v>93.060855</v>
      </c>
      <c r="X101" t="n">
        <v>7459.131892</v>
      </c>
    </row>
    <row r="102" ht="21" customHeight="1">
      <c r="A102" t="inlineStr">
        <is>
          <t>Penaeus indicus</t>
        </is>
      </c>
      <c r="B102" t="n">
        <v>2.7</v>
      </c>
      <c r="C102" t="n">
        <v>50.118723</v>
      </c>
      <c r="D102" s="11" t="inlineStr">
        <is>
          <t>Shrimps</t>
        </is>
      </c>
      <c r="E102" t="n">
        <v>140.953883</v>
      </c>
      <c r="F102" t="n">
        <v>20.606299</v>
      </c>
      <c r="G102" t="n">
        <v>14.077679</v>
      </c>
      <c r="H102" t="n">
        <v>22.715542</v>
      </c>
      <c r="I102" t="n">
        <v>131.71072</v>
      </c>
      <c r="J102" t="n">
        <v>131.71072</v>
      </c>
      <c r="K102" t="n">
        <v>125.125184</v>
      </c>
      <c r="L102" t="n">
        <v>130.894857</v>
      </c>
      <c r="M102" t="n">
        <v>130.894857</v>
      </c>
      <c r="N102" t="n">
        <v>130.894857</v>
      </c>
      <c r="O102" t="n">
        <v>12.255972</v>
      </c>
      <c r="P102" t="n">
        <v>8.448598</v>
      </c>
      <c r="Q102" t="n">
        <v>130.894857</v>
      </c>
      <c r="R102" t="n">
        <v>130.894857</v>
      </c>
      <c r="S102" t="n">
        <v>12.255972</v>
      </c>
      <c r="T102" t="n">
        <v>12.255972</v>
      </c>
      <c r="U102" t="n">
        <v>8.448598</v>
      </c>
      <c r="V102" t="n">
        <v>8.448598</v>
      </c>
      <c r="W102" t="n">
        <v>12.680707</v>
      </c>
      <c r="X102" t="n">
        <v>136.520004</v>
      </c>
    </row>
    <row r="103" ht="21" customHeight="1">
      <c r="A103" t="inlineStr">
        <is>
          <t>Rhopilema esculentum</t>
        </is>
      </c>
      <c r="B103" t="n">
        <v>3.01</v>
      </c>
      <c r="C103" t="n">
        <v>102.329299</v>
      </c>
      <c r="D103" s="11" t="inlineStr">
        <is>
          <t>Jellyfish</t>
        </is>
      </c>
      <c r="E103" t="n">
        <v>140.953883</v>
      </c>
      <c r="F103" t="n">
        <v>103.790936</v>
      </c>
      <c r="G103" t="n">
        <v>57.845447</v>
      </c>
      <c r="H103" t="n">
        <v>56.932587</v>
      </c>
      <c r="I103" t="n">
        <v>468.918008</v>
      </c>
      <c r="J103" t="n">
        <v>473.97462</v>
      </c>
      <c r="K103" t="n">
        <v>450.275889</v>
      </c>
      <c r="L103" t="n">
        <v>711.02964</v>
      </c>
      <c r="M103" t="n">
        <v>711.02964</v>
      </c>
      <c r="N103" t="n">
        <v>711.02964</v>
      </c>
      <c r="O103" t="n">
        <v>34.656914</v>
      </c>
      <c r="P103" t="n">
        <v>19.970973</v>
      </c>
      <c r="Q103" t="n">
        <v>711.02964</v>
      </c>
      <c r="R103" t="n">
        <v>711.02964</v>
      </c>
      <c r="S103" t="n">
        <v>34.656914</v>
      </c>
      <c r="T103" t="n">
        <v>34.656914</v>
      </c>
      <c r="U103" t="n">
        <v>19.970973</v>
      </c>
      <c r="V103" t="n">
        <v>19.970973</v>
      </c>
      <c r="W103" t="n">
        <v>36.368369</v>
      </c>
      <c r="X103" t="n">
        <v>756.8536319999999</v>
      </c>
    </row>
    <row r="104" ht="51" customHeight="1">
      <c r="A104" t="inlineStr">
        <is>
          <t>Clupeiformes</t>
        </is>
      </c>
      <c r="B104" t="n">
        <v>3.24</v>
      </c>
      <c r="C104" t="n">
        <v>173.780083</v>
      </c>
      <c r="D104" s="11" t="inlineStr">
        <is>
          <t>Pelagic fish (≤ 30 cm) | Juvenile large pelagic fish | Pelagic fish (&gt; 30 cm)</t>
        </is>
      </c>
      <c r="E104" t="n">
        <v>140.953883</v>
      </c>
      <c r="F104" t="n">
        <v>94.940534</v>
      </c>
      <c r="G104" t="n">
        <v>52.342971</v>
      </c>
      <c r="H104" t="n">
        <v>87.541141</v>
      </c>
      <c r="I104" t="n">
        <v>1833.804999</v>
      </c>
      <c r="J104" t="n">
        <v>1853.890312</v>
      </c>
      <c r="K104" t="n">
        <v>743.939069</v>
      </c>
      <c r="L104" t="n">
        <v>2045.820774</v>
      </c>
      <c r="M104" t="n">
        <v>2045.820774</v>
      </c>
      <c r="N104" t="n">
        <v>2045.820774</v>
      </c>
      <c r="O104" t="n">
        <v>37.402647</v>
      </c>
      <c r="P104" t="n">
        <v>21.641048</v>
      </c>
      <c r="Q104" t="n">
        <v>2045.820774</v>
      </c>
      <c r="R104" t="n">
        <v>2045.820774</v>
      </c>
      <c r="S104" t="n">
        <v>37.402647</v>
      </c>
      <c r="T104" t="n">
        <v>37.402647</v>
      </c>
      <c r="U104" t="n">
        <v>21.641048</v>
      </c>
      <c r="V104" t="n">
        <v>21.641048</v>
      </c>
      <c r="W104" t="n">
        <v>39.426311</v>
      </c>
      <c r="X104" t="n">
        <v>2139.974971</v>
      </c>
    </row>
    <row r="105" ht="36" customHeight="1">
      <c r="A105" t="inlineStr">
        <is>
          <t>Miichthys miiuy</t>
        </is>
      </c>
      <c r="B105" t="n">
        <v>3.5</v>
      </c>
      <c r="C105" t="n">
        <v>316.227766</v>
      </c>
      <c r="D105" s="11" t="inlineStr">
        <is>
          <t>Juvenile large croakers | Croakers (&gt; 30 cm)</t>
        </is>
      </c>
      <c r="E105" t="n">
        <v>140.953883</v>
      </c>
      <c r="F105" t="n">
        <v>265.549442</v>
      </c>
      <c r="G105" t="n">
        <v>131.19784</v>
      </c>
      <c r="H105" t="n">
        <v>368.043932</v>
      </c>
      <c r="I105" t="n">
        <v>2939.153653</v>
      </c>
      <c r="J105" t="n">
        <v>3022.907916</v>
      </c>
      <c r="K105" t="n">
        <v>1769.605312</v>
      </c>
      <c r="L105" t="n">
        <v>3691.420719</v>
      </c>
      <c r="M105" t="n">
        <v>3691.420719</v>
      </c>
      <c r="N105" t="n">
        <v>3691.420719</v>
      </c>
      <c r="O105" t="n">
        <v>92.784491</v>
      </c>
      <c r="P105" t="n">
        <v>44.082214</v>
      </c>
      <c r="Q105" t="n">
        <v>3691.420719</v>
      </c>
      <c r="R105" t="n">
        <v>3691.420719</v>
      </c>
      <c r="S105" t="n">
        <v>92.784491</v>
      </c>
      <c r="T105" t="n">
        <v>92.784491</v>
      </c>
      <c r="U105" t="n">
        <v>44.082214</v>
      </c>
      <c r="V105" t="n">
        <v>44.082214</v>
      </c>
      <c r="W105" t="n">
        <v>96.91430099999999</v>
      </c>
      <c r="X105" t="n">
        <v>3937.988659</v>
      </c>
    </row>
    <row r="106" ht="36" customHeight="1">
      <c r="A106" t="inlineStr">
        <is>
          <t>Platycephalidae</t>
        </is>
      </c>
      <c r="B106" t="n">
        <v>3.9</v>
      </c>
      <c r="C106" t="n">
        <v>794.3282349999999</v>
      </c>
      <c r="D106" s="11" t="inlineStr">
        <is>
          <t>Juvenile demersal fish (&gt; 30 cm) | Adult demersal fish (&gt; 30 cm)</t>
        </is>
      </c>
      <c r="E106" t="n">
        <v>140.953883</v>
      </c>
      <c r="F106" t="n">
        <v>228.824285</v>
      </c>
      <c r="G106" t="n">
        <v>114.897152</v>
      </c>
      <c r="H106" t="n">
        <v>408.798022</v>
      </c>
      <c r="I106" t="n">
        <v>6590.793316</v>
      </c>
      <c r="J106" t="n">
        <v>7071.146917</v>
      </c>
      <c r="K106" t="n">
        <v>2576.928919</v>
      </c>
      <c r="L106" t="n">
        <v>10677.999207</v>
      </c>
      <c r="M106" t="n">
        <v>10677.999207</v>
      </c>
      <c r="N106" t="n">
        <v>10677.999207</v>
      </c>
      <c r="O106" t="n">
        <v>85.006417</v>
      </c>
      <c r="P106" t="n">
        <v>38.52237</v>
      </c>
      <c r="Q106" t="n">
        <v>10677.999207</v>
      </c>
      <c r="R106" t="n">
        <v>10677.999207</v>
      </c>
      <c r="S106" t="n">
        <v>85.006417</v>
      </c>
      <c r="T106" t="n">
        <v>85.006417</v>
      </c>
      <c r="U106" t="n">
        <v>38.52237</v>
      </c>
      <c r="V106" t="n">
        <v>38.52237</v>
      </c>
      <c r="W106" t="n">
        <v>88.306245</v>
      </c>
      <c r="X106" t="n">
        <v>11509.306401</v>
      </c>
    </row>
    <row r="107" ht="21" customHeight="1">
      <c r="A107" t="inlineStr">
        <is>
          <t>Lutjanidae</t>
        </is>
      </c>
      <c r="B107" t="n">
        <v>4.02</v>
      </c>
      <c r="C107" t="n">
        <v>1047.128548</v>
      </c>
      <c r="D107" s="11" t="inlineStr">
        <is>
          <t>Snappers</t>
        </is>
      </c>
      <c r="E107" t="n">
        <v>140.953883</v>
      </c>
      <c r="F107" t="n">
        <v>554.842266</v>
      </c>
      <c r="G107" t="n">
        <v>250.381754</v>
      </c>
      <c r="H107" t="n">
        <v>650.642591</v>
      </c>
      <c r="I107" t="n">
        <v>3230.237663</v>
      </c>
      <c r="J107" t="n">
        <v>3367.037571</v>
      </c>
      <c r="K107" t="n">
        <v>3198.685692</v>
      </c>
      <c r="L107" t="n">
        <v>4133.4309</v>
      </c>
      <c r="M107" t="n">
        <v>4133.4309</v>
      </c>
      <c r="N107" t="n">
        <v>4133.4309</v>
      </c>
      <c r="O107" t="n">
        <v>205.658598</v>
      </c>
      <c r="P107" t="n">
        <v>91.38801100000001</v>
      </c>
      <c r="Q107" t="n">
        <v>4133.4309</v>
      </c>
      <c r="R107" t="n">
        <v>4133.4309</v>
      </c>
      <c r="S107" t="n">
        <v>205.658598</v>
      </c>
      <c r="T107" t="n">
        <v>205.658598</v>
      </c>
      <c r="U107" t="n">
        <v>91.38801100000001</v>
      </c>
      <c r="V107" t="n">
        <v>91.38801100000001</v>
      </c>
      <c r="W107" t="n">
        <v>216.473302</v>
      </c>
      <c r="X107" t="n">
        <v>4393.486979</v>
      </c>
    </row>
    <row r="108" ht="36" customHeight="1">
      <c r="A108" t="inlineStr">
        <is>
          <t>Chelidonichthys kumu</t>
        </is>
      </c>
      <c r="B108" t="n">
        <v>3.68</v>
      </c>
      <c r="C108" t="n">
        <v>478.630092</v>
      </c>
      <c r="D108" s="11" t="inlineStr">
        <is>
          <t>Juvenile demersal fish (&gt; 30 cm) | Adult demersal fish (&gt; 30 cm)</t>
        </is>
      </c>
      <c r="E108" t="n">
        <v>140.953883</v>
      </c>
      <c r="F108" t="n">
        <v>228.824285</v>
      </c>
      <c r="G108" t="n">
        <v>114.897152</v>
      </c>
      <c r="H108" t="n">
        <v>408.798022</v>
      </c>
      <c r="I108" t="n">
        <v>6590.793316</v>
      </c>
      <c r="J108" t="n">
        <v>7071.146917</v>
      </c>
      <c r="K108" t="n">
        <v>2576.928919</v>
      </c>
      <c r="L108" t="n">
        <v>10677.999207</v>
      </c>
      <c r="M108" t="n">
        <v>10677.999207</v>
      </c>
      <c r="N108" t="n">
        <v>10677.999207</v>
      </c>
      <c r="O108" t="n">
        <v>85.006417</v>
      </c>
      <c r="P108" t="n">
        <v>38.52237</v>
      </c>
      <c r="Q108" t="n">
        <v>10677.999207</v>
      </c>
      <c r="R108" t="n">
        <v>10677.999207</v>
      </c>
      <c r="S108" t="n">
        <v>85.006417</v>
      </c>
      <c r="T108" t="n">
        <v>85.006417</v>
      </c>
      <c r="U108" t="n">
        <v>38.52237</v>
      </c>
      <c r="V108" t="n">
        <v>38.52237</v>
      </c>
      <c r="W108" t="n">
        <v>88.306245</v>
      </c>
      <c r="X108" t="n">
        <v>11509.306401</v>
      </c>
    </row>
    <row r="109" ht="21" customHeight="1">
      <c r="A109" t="inlineStr">
        <is>
          <t>Chirocentrus dorab</t>
        </is>
      </c>
      <c r="B109" t="n">
        <v>4.2</v>
      </c>
      <c r="C109" t="n">
        <v>1584.893192</v>
      </c>
      <c r="D109" s="11" t="inlineStr">
        <is>
          <t>Benthopelagic fish</t>
        </is>
      </c>
      <c r="E109" t="n">
        <v>140.953883</v>
      </c>
      <c r="F109" t="n">
        <v>57.638856</v>
      </c>
      <c r="G109" t="n">
        <v>34.593347</v>
      </c>
      <c r="H109" t="n">
        <v>74.650282</v>
      </c>
      <c r="I109" t="n">
        <v>512.103289</v>
      </c>
      <c r="J109" t="n">
        <v>553.467817</v>
      </c>
      <c r="K109" t="n">
        <v>525.794426</v>
      </c>
      <c r="L109" t="n">
        <v>602.712303</v>
      </c>
      <c r="M109" t="n">
        <v>602.712303</v>
      </c>
      <c r="N109" t="n">
        <v>602.712303</v>
      </c>
      <c r="O109" t="n">
        <v>31.190871</v>
      </c>
      <c r="P109" t="n">
        <v>18.283791</v>
      </c>
      <c r="Q109" t="n">
        <v>602.712303</v>
      </c>
      <c r="R109" t="n">
        <v>602.712303</v>
      </c>
      <c r="S109" t="n">
        <v>31.190871</v>
      </c>
      <c r="T109" t="n">
        <v>31.190871</v>
      </c>
      <c r="U109" t="n">
        <v>18.283791</v>
      </c>
      <c r="V109" t="n">
        <v>18.283791</v>
      </c>
      <c r="W109" t="n">
        <v>32.089433</v>
      </c>
      <c r="X109" t="n">
        <v>622.065443</v>
      </c>
    </row>
    <row r="110" ht="21" customHeight="1">
      <c r="A110" t="inlineStr">
        <is>
          <t>Parapenaeopsis</t>
        </is>
      </c>
      <c r="B110" t="n">
        <v>2.72</v>
      </c>
      <c r="C110" t="n">
        <v>52.480746</v>
      </c>
      <c r="D110" s="11" t="inlineStr">
        <is>
          <t>Shrimps</t>
        </is>
      </c>
      <c r="E110" t="n">
        <v>140.953883</v>
      </c>
      <c r="F110" t="n">
        <v>20.606299</v>
      </c>
      <c r="G110" t="n">
        <v>14.077679</v>
      </c>
      <c r="H110" t="n">
        <v>22.715542</v>
      </c>
      <c r="I110" t="n">
        <v>131.71072</v>
      </c>
      <c r="J110" t="n">
        <v>131.71072</v>
      </c>
      <c r="K110" t="n">
        <v>125.125184</v>
      </c>
      <c r="L110" t="n">
        <v>130.894857</v>
      </c>
      <c r="M110" t="n">
        <v>130.894857</v>
      </c>
      <c r="N110" t="n">
        <v>130.894857</v>
      </c>
      <c r="O110" t="n">
        <v>12.255972</v>
      </c>
      <c r="P110" t="n">
        <v>8.448598</v>
      </c>
      <c r="Q110" t="n">
        <v>130.894857</v>
      </c>
      <c r="R110" t="n">
        <v>130.894857</v>
      </c>
      <c r="S110" t="n">
        <v>12.255972</v>
      </c>
      <c r="T110" t="n">
        <v>12.255972</v>
      </c>
      <c r="U110" t="n">
        <v>8.448598</v>
      </c>
      <c r="V110" t="n">
        <v>8.448598</v>
      </c>
      <c r="W110" t="n">
        <v>12.680707</v>
      </c>
      <c r="X110" t="n">
        <v>136.520004</v>
      </c>
    </row>
    <row r="111" ht="21" customHeight="1">
      <c r="A111" t="inlineStr">
        <is>
          <t>Lutjanus malabaricus</t>
        </is>
      </c>
      <c r="B111" t="n">
        <v>4.48</v>
      </c>
      <c r="C111" t="n">
        <v>3019.95172</v>
      </c>
      <c r="D111" s="11" t="inlineStr">
        <is>
          <t>Snappers</t>
        </is>
      </c>
      <c r="E111" t="n">
        <v>140.953883</v>
      </c>
      <c r="F111" t="n">
        <v>554.842266</v>
      </c>
      <c r="G111" t="n">
        <v>250.381754</v>
      </c>
      <c r="H111" t="n">
        <v>650.642591</v>
      </c>
      <c r="I111" t="n">
        <v>3230.237663</v>
      </c>
      <c r="J111" t="n">
        <v>3367.037571</v>
      </c>
      <c r="K111" t="n">
        <v>3198.685692</v>
      </c>
      <c r="L111" t="n">
        <v>4133.4309</v>
      </c>
      <c r="M111" t="n">
        <v>4133.4309</v>
      </c>
      <c r="N111" t="n">
        <v>4133.4309</v>
      </c>
      <c r="O111" t="n">
        <v>205.658598</v>
      </c>
      <c r="P111" t="n">
        <v>91.38801100000001</v>
      </c>
      <c r="Q111" t="n">
        <v>4133.4309</v>
      </c>
      <c r="R111" t="n">
        <v>4133.4309</v>
      </c>
      <c r="S111" t="n">
        <v>205.658598</v>
      </c>
      <c r="T111" t="n">
        <v>205.658598</v>
      </c>
      <c r="U111" t="n">
        <v>91.38801100000001</v>
      </c>
      <c r="V111" t="n">
        <v>91.38801100000001</v>
      </c>
      <c r="W111" t="n">
        <v>216.473302</v>
      </c>
      <c r="X111" t="n">
        <v>4393.486979</v>
      </c>
    </row>
    <row r="112" ht="21" customHeight="1">
      <c r="A112" t="inlineStr">
        <is>
          <t>Charybdis</t>
        </is>
      </c>
      <c r="B112" t="n">
        <v>2.7</v>
      </c>
      <c r="C112" t="n">
        <v>50.118723</v>
      </c>
      <c r="D112" s="11" t="inlineStr">
        <is>
          <t>Crabs</t>
        </is>
      </c>
      <c r="E112" t="n">
        <v>140.953883</v>
      </c>
      <c r="F112" t="n">
        <v>33.254785</v>
      </c>
      <c r="G112" t="n">
        <v>21.389991</v>
      </c>
      <c r="H112" t="n">
        <v>53.354334</v>
      </c>
      <c r="I112" t="n">
        <v>151.084056</v>
      </c>
      <c r="J112" t="n">
        <v>151.084056</v>
      </c>
      <c r="K112" t="n">
        <v>143.529853</v>
      </c>
      <c r="L112" t="n">
        <v>173.938876</v>
      </c>
      <c r="M112" t="n">
        <v>173.938876</v>
      </c>
      <c r="N112" t="n">
        <v>173.938876</v>
      </c>
      <c r="O112" t="n">
        <v>13.215653</v>
      </c>
      <c r="P112" t="n">
        <v>8.00437</v>
      </c>
      <c r="Q112" t="n">
        <v>173.938876</v>
      </c>
      <c r="R112" t="n">
        <v>173.938876</v>
      </c>
      <c r="S112" t="n">
        <v>13.215653</v>
      </c>
      <c r="T112" t="n">
        <v>13.215653</v>
      </c>
      <c r="U112" t="n">
        <v>8.00437</v>
      </c>
      <c r="V112" t="n">
        <v>8.00437</v>
      </c>
      <c r="W112" t="n">
        <v>13.539814</v>
      </c>
      <c r="X112" t="n">
        <v>184.933079</v>
      </c>
    </row>
    <row r="113" ht="21" customHeight="1">
      <c r="A113" t="inlineStr">
        <is>
          <t>Penaeus japonicus</t>
        </is>
      </c>
      <c r="B113" t="n">
        <v>2.7</v>
      </c>
      <c r="C113" t="n">
        <v>50.118723</v>
      </c>
      <c r="D113" s="11" t="inlineStr">
        <is>
          <t>Shrimps</t>
        </is>
      </c>
      <c r="E113" t="n">
        <v>140.953883</v>
      </c>
      <c r="F113" t="n">
        <v>20.606299</v>
      </c>
      <c r="G113" t="n">
        <v>14.077679</v>
      </c>
      <c r="H113" t="n">
        <v>22.715542</v>
      </c>
      <c r="I113" t="n">
        <v>131.71072</v>
      </c>
      <c r="J113" t="n">
        <v>131.71072</v>
      </c>
      <c r="K113" t="n">
        <v>125.125184</v>
      </c>
      <c r="L113" t="n">
        <v>130.894857</v>
      </c>
      <c r="M113" t="n">
        <v>130.894857</v>
      </c>
      <c r="N113" t="n">
        <v>130.894857</v>
      </c>
      <c r="O113" t="n">
        <v>12.255972</v>
      </c>
      <c r="P113" t="n">
        <v>8.448598</v>
      </c>
      <c r="Q113" t="n">
        <v>130.894857</v>
      </c>
      <c r="R113" t="n">
        <v>130.894857</v>
      </c>
      <c r="S113" t="n">
        <v>12.255972</v>
      </c>
      <c r="T113" t="n">
        <v>12.255972</v>
      </c>
      <c r="U113" t="n">
        <v>8.448598</v>
      </c>
      <c r="V113" t="n">
        <v>8.448598</v>
      </c>
      <c r="W113" t="n">
        <v>12.680707</v>
      </c>
      <c r="X113" t="n">
        <v>136.520004</v>
      </c>
    </row>
    <row r="114" ht="36" customHeight="1">
      <c r="A114" t="inlineStr">
        <is>
          <t>Caesionidae</t>
        </is>
      </c>
      <c r="B114" t="n">
        <v>3.39</v>
      </c>
      <c r="C114" t="n">
        <v>245.470892</v>
      </c>
      <c r="D114" s="11" t="inlineStr">
        <is>
          <t>Juvenile demersal fish (&gt; 30 cm) | Adult demersal fish (&gt; 30 cm)</t>
        </is>
      </c>
      <c r="E114" t="n">
        <v>140.953883</v>
      </c>
      <c r="F114" t="n">
        <v>228.824285</v>
      </c>
      <c r="G114" t="n">
        <v>114.897152</v>
      </c>
      <c r="H114" t="n">
        <v>408.798022</v>
      </c>
      <c r="I114" t="n">
        <v>6590.793316</v>
      </c>
      <c r="J114" t="n">
        <v>7071.146917</v>
      </c>
      <c r="K114" t="n">
        <v>2576.928919</v>
      </c>
      <c r="L114" t="n">
        <v>10677.999207</v>
      </c>
      <c r="M114" t="n">
        <v>10677.999207</v>
      </c>
      <c r="N114" t="n">
        <v>10677.999207</v>
      </c>
      <c r="O114" t="n">
        <v>85.006417</v>
      </c>
      <c r="P114" t="n">
        <v>38.52237</v>
      </c>
      <c r="Q114" t="n">
        <v>10677.999207</v>
      </c>
      <c r="R114" t="n">
        <v>10677.999207</v>
      </c>
      <c r="S114" t="n">
        <v>85.006417</v>
      </c>
      <c r="T114" t="n">
        <v>85.006417</v>
      </c>
      <c r="U114" t="n">
        <v>38.52237</v>
      </c>
      <c r="V114" t="n">
        <v>38.52237</v>
      </c>
      <c r="W114" t="n">
        <v>88.306245</v>
      </c>
      <c r="X114" t="n">
        <v>11509.306401</v>
      </c>
    </row>
    <row r="115" ht="36" customHeight="1">
      <c r="A115" t="inlineStr">
        <is>
          <t>Trichiurus</t>
        </is>
      </c>
      <c r="B115" t="n">
        <v>4.42</v>
      </c>
      <c r="C115" t="n">
        <v>2630.267992</v>
      </c>
      <c r="D115" s="11" t="inlineStr">
        <is>
          <t>Juvenile Hairtail (trichiurids) | Adult hairtail (trichiurids)</t>
        </is>
      </c>
      <c r="E115" t="n">
        <v>140.953883</v>
      </c>
      <c r="F115" t="n">
        <v>759.29485</v>
      </c>
      <c r="G115" t="n">
        <v>329.344068</v>
      </c>
      <c r="H115" t="n">
        <v>902.04389</v>
      </c>
      <c r="I115" t="n">
        <v>15387.334214</v>
      </c>
      <c r="J115" t="n">
        <v>16058.002117</v>
      </c>
      <c r="K115" t="n">
        <v>5258.842171</v>
      </c>
      <c r="L115" t="n">
        <v>26383.951313</v>
      </c>
      <c r="M115" t="n">
        <v>26383.951313</v>
      </c>
      <c r="N115" t="n">
        <v>26383.951313</v>
      </c>
      <c r="O115" t="n">
        <v>166.364336</v>
      </c>
      <c r="P115" t="n">
        <v>71.691328</v>
      </c>
      <c r="Q115" t="n">
        <v>26383.951313</v>
      </c>
      <c r="R115" t="n">
        <v>26383.951313</v>
      </c>
      <c r="S115" t="n">
        <v>166.364336</v>
      </c>
      <c r="T115" t="n">
        <v>166.364336</v>
      </c>
      <c r="U115" t="n">
        <v>71.691328</v>
      </c>
      <c r="V115" t="n">
        <v>71.691328</v>
      </c>
      <c r="W115" t="n">
        <v>176.786743</v>
      </c>
      <c r="X115" t="n">
        <v>28905.373115</v>
      </c>
    </row>
    <row r="116" ht="36" customHeight="1">
      <c r="A116" t="inlineStr">
        <is>
          <t>Sphyraena</t>
        </is>
      </c>
      <c r="B116" t="n">
        <v>4.4</v>
      </c>
      <c r="C116" t="n">
        <v>2511.886432</v>
      </c>
      <c r="D116" s="11" t="inlineStr">
        <is>
          <t>Juvenile large pelagic fish | Pelagic fish (&gt; 30 cm)</t>
        </is>
      </c>
      <c r="E116" t="n">
        <v>140.953883</v>
      </c>
      <c r="F116" t="n">
        <v>200.641254</v>
      </c>
      <c r="G116" t="n">
        <v>102.228748</v>
      </c>
      <c r="H116" t="n">
        <v>215.010584</v>
      </c>
      <c r="I116" t="n">
        <v>6244.222521</v>
      </c>
      <c r="J116" t="n">
        <v>6325.914048</v>
      </c>
      <c r="K116" t="n">
        <v>1872.204427</v>
      </c>
      <c r="L116" t="n">
        <v>7112.982475</v>
      </c>
      <c r="M116" t="n">
        <v>7112.982475</v>
      </c>
      <c r="N116" t="n">
        <v>7112.982475</v>
      </c>
      <c r="O116" t="n">
        <v>87.969483</v>
      </c>
      <c r="P116" t="n">
        <v>46.580547</v>
      </c>
      <c r="Q116" t="n">
        <v>7112.982475</v>
      </c>
      <c r="R116" t="n">
        <v>7112.982475</v>
      </c>
      <c r="S116" t="n">
        <v>87.969483</v>
      </c>
      <c r="T116" t="n">
        <v>87.969483</v>
      </c>
      <c r="U116" t="n">
        <v>46.580547</v>
      </c>
      <c r="V116" t="n">
        <v>46.580547</v>
      </c>
      <c r="W116" t="n">
        <v>93.060855</v>
      </c>
      <c r="X116" t="n">
        <v>7459.131892</v>
      </c>
    </row>
    <row r="117" ht="21" customHeight="1">
      <c r="A117" t="inlineStr">
        <is>
          <t>Metapenaeus</t>
        </is>
      </c>
      <c r="B117" t="n">
        <v>2.7</v>
      </c>
      <c r="C117" t="n">
        <v>50.118723</v>
      </c>
      <c r="D117" s="11" t="inlineStr">
        <is>
          <t>Shrimps</t>
        </is>
      </c>
      <c r="E117" t="n">
        <v>140.953883</v>
      </c>
      <c r="F117" t="n">
        <v>20.606299</v>
      </c>
      <c r="G117" t="n">
        <v>14.077679</v>
      </c>
      <c r="H117" t="n">
        <v>22.715542</v>
      </c>
      <c r="I117" t="n">
        <v>131.71072</v>
      </c>
      <c r="J117" t="n">
        <v>131.71072</v>
      </c>
      <c r="K117" t="n">
        <v>125.125184</v>
      </c>
      <c r="L117" t="n">
        <v>130.894857</v>
      </c>
      <c r="M117" t="n">
        <v>130.894857</v>
      </c>
      <c r="N117" t="n">
        <v>130.894857</v>
      </c>
      <c r="O117" t="n">
        <v>12.255972</v>
      </c>
      <c r="P117" t="n">
        <v>8.448598</v>
      </c>
      <c r="Q117" t="n">
        <v>130.894857</v>
      </c>
      <c r="R117" t="n">
        <v>130.894857</v>
      </c>
      <c r="S117" t="n">
        <v>12.255972</v>
      </c>
      <c r="T117" t="n">
        <v>12.255972</v>
      </c>
      <c r="U117" t="n">
        <v>8.448598</v>
      </c>
      <c r="V117" t="n">
        <v>8.448598</v>
      </c>
      <c r="W117" t="n">
        <v>12.680707</v>
      </c>
      <c r="X117" t="n">
        <v>136.520004</v>
      </c>
    </row>
    <row r="118" ht="21" customHeight="1">
      <c r="A118" t="inlineStr">
        <is>
          <t>Pennahia</t>
        </is>
      </c>
      <c r="B118" t="n">
        <v>3.73</v>
      </c>
      <c r="C118" t="n">
        <v>537.031796</v>
      </c>
      <c r="D118" s="11" t="inlineStr">
        <is>
          <t>Croakers (≤ 30 cm)</t>
        </is>
      </c>
      <c r="E118" t="n">
        <v>140.953883</v>
      </c>
      <c r="F118" t="n">
        <v>201.414719</v>
      </c>
      <c r="G118" t="n">
        <v>103.26244</v>
      </c>
      <c r="H118" t="n">
        <v>246.307264</v>
      </c>
      <c r="I118" t="n">
        <v>1402.335676</v>
      </c>
      <c r="J118" t="n">
        <v>1449.344811</v>
      </c>
      <c r="K118" t="n">
        <v>1136.286332</v>
      </c>
      <c r="L118" t="n">
        <v>1692.571887</v>
      </c>
      <c r="M118" t="n">
        <v>1692.571887</v>
      </c>
      <c r="N118" t="n">
        <v>1692.571887</v>
      </c>
      <c r="O118" t="n">
        <v>68.15794</v>
      </c>
      <c r="P118" t="n">
        <v>34.55496</v>
      </c>
      <c r="Q118" t="n">
        <v>1692.571887</v>
      </c>
      <c r="R118" t="n">
        <v>1692.571887</v>
      </c>
      <c r="S118" t="n">
        <v>68.15794</v>
      </c>
      <c r="T118" t="n">
        <v>68.15794</v>
      </c>
      <c r="U118" t="n">
        <v>34.55496</v>
      </c>
      <c r="V118" t="n">
        <v>34.55496</v>
      </c>
      <c r="W118" t="n">
        <v>71.462779</v>
      </c>
      <c r="X118" t="n">
        <v>1758.686512</v>
      </c>
    </row>
    <row r="119" ht="36" customHeight="1">
      <c r="A119" t="inlineStr">
        <is>
          <t>Selar crumenophthalmus</t>
        </is>
      </c>
      <c r="B119" t="n">
        <v>3.81</v>
      </c>
      <c r="C119" t="n">
        <v>645.654229</v>
      </c>
      <c r="D119" s="11" t="inlineStr">
        <is>
          <t>Juvenile large pelagic fish | Pelagic fish (&gt; 30 cm)</t>
        </is>
      </c>
      <c r="E119" t="n">
        <v>140.953883</v>
      </c>
      <c r="F119" t="n">
        <v>200.641254</v>
      </c>
      <c r="G119" t="n">
        <v>102.228748</v>
      </c>
      <c r="H119" t="n">
        <v>215.010584</v>
      </c>
      <c r="I119" t="n">
        <v>6244.222521</v>
      </c>
      <c r="J119" t="n">
        <v>6325.914048</v>
      </c>
      <c r="K119" t="n">
        <v>1872.204427</v>
      </c>
      <c r="L119" t="n">
        <v>7112.982475</v>
      </c>
      <c r="M119" t="n">
        <v>7112.982475</v>
      </c>
      <c r="N119" t="n">
        <v>7112.982475</v>
      </c>
      <c r="O119" t="n">
        <v>87.969483</v>
      </c>
      <c r="P119" t="n">
        <v>46.580547</v>
      </c>
      <c r="Q119" t="n">
        <v>7112.982475</v>
      </c>
      <c r="R119" t="n">
        <v>7112.982475</v>
      </c>
      <c r="S119" t="n">
        <v>87.969483</v>
      </c>
      <c r="T119" t="n">
        <v>87.969483</v>
      </c>
      <c r="U119" t="n">
        <v>46.580547</v>
      </c>
      <c r="V119" t="n">
        <v>46.580547</v>
      </c>
      <c r="W119" t="n">
        <v>93.060855</v>
      </c>
      <c r="X119" t="n">
        <v>7459.131892</v>
      </c>
    </row>
    <row r="120" ht="21" customHeight="1">
      <c r="A120" t="inlineStr">
        <is>
          <t>Penaeus</t>
        </is>
      </c>
      <c r="B120" t="n">
        <v>2.7</v>
      </c>
      <c r="C120" t="n">
        <v>50.118723</v>
      </c>
      <c r="D120" s="11" t="inlineStr">
        <is>
          <t>Shrimps</t>
        </is>
      </c>
      <c r="E120" t="n">
        <v>140.953883</v>
      </c>
      <c r="F120" t="n">
        <v>20.606299</v>
      </c>
      <c r="G120" t="n">
        <v>14.077679</v>
      </c>
      <c r="H120" t="n">
        <v>22.715542</v>
      </c>
      <c r="I120" t="n">
        <v>131.71072</v>
      </c>
      <c r="J120" t="n">
        <v>131.71072</v>
      </c>
      <c r="K120" t="n">
        <v>125.125184</v>
      </c>
      <c r="L120" t="n">
        <v>130.894857</v>
      </c>
      <c r="M120" t="n">
        <v>130.894857</v>
      </c>
      <c r="N120" t="n">
        <v>130.894857</v>
      </c>
      <c r="O120" t="n">
        <v>12.255972</v>
      </c>
      <c r="P120" t="n">
        <v>8.448598</v>
      </c>
      <c r="Q120" t="n">
        <v>130.894857</v>
      </c>
      <c r="R120" t="n">
        <v>130.894857</v>
      </c>
      <c r="S120" t="n">
        <v>12.255972</v>
      </c>
      <c r="T120" t="n">
        <v>12.255972</v>
      </c>
      <c r="U120" t="n">
        <v>8.448598</v>
      </c>
      <c r="V120" t="n">
        <v>8.448598</v>
      </c>
      <c r="W120" t="n">
        <v>12.680707</v>
      </c>
      <c r="X120" t="n">
        <v>136.520004</v>
      </c>
    </row>
    <row r="121" ht="21" customHeight="1">
      <c r="A121" t="inlineStr">
        <is>
          <t>Himantura</t>
        </is>
      </c>
      <c r="B121" t="n">
        <v>3.85</v>
      </c>
      <c r="C121" t="n">
        <v>707.945784</v>
      </c>
      <c r="D121" s="11" t="inlineStr">
        <is>
          <t>Demersal sharks and rays</t>
        </is>
      </c>
      <c r="E121" t="n">
        <v>140.953883</v>
      </c>
      <c r="F121" t="n">
        <v>308.68601</v>
      </c>
      <c r="G121" t="n">
        <v>149.974663</v>
      </c>
      <c r="H121" t="n">
        <v>602.366804</v>
      </c>
      <c r="I121" t="n">
        <v>10706.101486</v>
      </c>
      <c r="J121" t="n">
        <v>10781.622707</v>
      </c>
      <c r="K121" t="n">
        <v>3924.510665</v>
      </c>
      <c r="L121" t="n">
        <v>18846.946222</v>
      </c>
      <c r="M121" t="n">
        <v>18846.946222</v>
      </c>
      <c r="N121" t="n">
        <v>18846.946222</v>
      </c>
      <c r="O121" t="n">
        <v>119.185901</v>
      </c>
      <c r="P121" t="n">
        <v>52.155741</v>
      </c>
      <c r="Q121" t="n">
        <v>18846.946222</v>
      </c>
      <c r="R121" t="n">
        <v>18846.946222</v>
      </c>
      <c r="S121" t="n">
        <v>119.185901</v>
      </c>
      <c r="T121" t="n">
        <v>119.185901</v>
      </c>
      <c r="U121" t="n">
        <v>52.155741</v>
      </c>
      <c r="V121" t="n">
        <v>52.155741</v>
      </c>
      <c r="W121" t="n">
        <v>124.506314</v>
      </c>
      <c r="X121" t="n">
        <v>20404.471037</v>
      </c>
    </row>
    <row r="122" ht="21" customHeight="1">
      <c r="A122" t="inlineStr">
        <is>
          <t>Menidae</t>
        </is>
      </c>
      <c r="B122" t="n">
        <v>3.45</v>
      </c>
      <c r="C122" t="n">
        <v>281.838293</v>
      </c>
      <c r="D122" s="11" t="inlineStr">
        <is>
          <t>Benthopelagic fish</t>
        </is>
      </c>
      <c r="E122" t="n">
        <v>140.953883</v>
      </c>
      <c r="F122" t="n">
        <v>57.638856</v>
      </c>
      <c r="G122" t="n">
        <v>34.593347</v>
      </c>
      <c r="H122" t="n">
        <v>74.650282</v>
      </c>
      <c r="I122" t="n">
        <v>512.103289</v>
      </c>
      <c r="J122" t="n">
        <v>553.467817</v>
      </c>
      <c r="K122" t="n">
        <v>525.794426</v>
      </c>
      <c r="L122" t="n">
        <v>602.712303</v>
      </c>
      <c r="M122" t="n">
        <v>602.712303</v>
      </c>
      <c r="N122" t="n">
        <v>602.712303</v>
      </c>
      <c r="O122" t="n">
        <v>31.190871</v>
      </c>
      <c r="P122" t="n">
        <v>18.283791</v>
      </c>
      <c r="Q122" t="n">
        <v>602.712303</v>
      </c>
      <c r="R122" t="n">
        <v>602.712303</v>
      </c>
      <c r="S122" t="n">
        <v>31.190871</v>
      </c>
      <c r="T122" t="n">
        <v>31.190871</v>
      </c>
      <c r="U122" t="n">
        <v>18.283791</v>
      </c>
      <c r="V122" t="n">
        <v>18.283791</v>
      </c>
      <c r="W122" t="n">
        <v>32.089433</v>
      </c>
      <c r="X122" t="n">
        <v>622.065443</v>
      </c>
    </row>
    <row r="123" ht="21" customHeight="1">
      <c r="A123" t="inlineStr">
        <is>
          <t>Scolopsis</t>
        </is>
      </c>
      <c r="B123" t="n">
        <v>3.3</v>
      </c>
      <c r="C123" t="n">
        <v>199.526231</v>
      </c>
      <c r="D123" s="11" t="inlineStr">
        <is>
          <t>Threadfin bream (nemipterids)</t>
        </is>
      </c>
      <c r="E123" t="n">
        <v>140.953883</v>
      </c>
      <c r="F123" t="n">
        <v>158.552335</v>
      </c>
      <c r="G123" t="n">
        <v>83.774152</v>
      </c>
      <c r="H123" t="n">
        <v>197.082776</v>
      </c>
      <c r="I123" t="n">
        <v>3502.459341</v>
      </c>
      <c r="J123" t="n">
        <v>3796.144916</v>
      </c>
      <c r="K123" t="n">
        <v>1780.391965</v>
      </c>
      <c r="L123" t="n">
        <v>4710.704014</v>
      </c>
      <c r="M123" t="n">
        <v>4710.704014</v>
      </c>
      <c r="N123" t="n">
        <v>4710.704014</v>
      </c>
      <c r="O123" t="n">
        <v>105.183965</v>
      </c>
      <c r="P123" t="n">
        <v>52.828865</v>
      </c>
      <c r="Q123" t="n">
        <v>4710.704014</v>
      </c>
      <c r="R123" t="n">
        <v>4710.704014</v>
      </c>
      <c r="S123" t="n">
        <v>105.183965</v>
      </c>
      <c r="T123" t="n">
        <v>105.183965</v>
      </c>
      <c r="U123" t="n">
        <v>52.828865</v>
      </c>
      <c r="V123" t="n">
        <v>52.828865</v>
      </c>
      <c r="W123" t="n">
        <v>109.611209</v>
      </c>
      <c r="X123" t="n">
        <v>5115.038689</v>
      </c>
    </row>
    <row r="124" ht="36" customHeight="1">
      <c r="A124" t="inlineStr">
        <is>
          <t>Siganus</t>
        </is>
      </c>
      <c r="B124" t="n">
        <v>2.11</v>
      </c>
      <c r="C124" t="n">
        <v>12.882496</v>
      </c>
      <c r="D124" s="11" t="inlineStr">
        <is>
          <t>Juvenile demersal fish (&gt; 30 cm) | Adult demersal fish (&gt; 30 cm)</t>
        </is>
      </c>
      <c r="E124" t="n">
        <v>140.953883</v>
      </c>
      <c r="F124" t="n">
        <v>228.824285</v>
      </c>
      <c r="G124" t="n">
        <v>114.897152</v>
      </c>
      <c r="H124" t="n">
        <v>408.798022</v>
      </c>
      <c r="I124" t="n">
        <v>6590.793316</v>
      </c>
      <c r="J124" t="n">
        <v>7071.146917</v>
      </c>
      <c r="K124" t="n">
        <v>2576.928919</v>
      </c>
      <c r="L124" t="n">
        <v>10677.999207</v>
      </c>
      <c r="M124" t="n">
        <v>10677.999207</v>
      </c>
      <c r="N124" t="n">
        <v>10677.999207</v>
      </c>
      <c r="O124" t="n">
        <v>85.006417</v>
      </c>
      <c r="P124" t="n">
        <v>38.52237</v>
      </c>
      <c r="Q124" t="n">
        <v>10677.999207</v>
      </c>
      <c r="R124" t="n">
        <v>10677.999207</v>
      </c>
      <c r="S124" t="n">
        <v>85.006417</v>
      </c>
      <c r="T124" t="n">
        <v>85.006417</v>
      </c>
      <c r="U124" t="n">
        <v>38.52237</v>
      </c>
      <c r="V124" t="n">
        <v>38.52237</v>
      </c>
      <c r="W124" t="n">
        <v>88.306245</v>
      </c>
      <c r="X124" t="n">
        <v>11509.306401</v>
      </c>
    </row>
    <row r="125" ht="36" customHeight="1">
      <c r="A125" t="inlineStr">
        <is>
          <t>Pagrus auratus</t>
        </is>
      </c>
      <c r="B125" t="n">
        <v>3.59</v>
      </c>
      <c r="C125" t="n">
        <v>389.045145</v>
      </c>
      <c r="D125" s="11" t="inlineStr">
        <is>
          <t>Juvenile demersal fish (&gt; 30 cm) | Adult demersal fish (&gt; 30 cm)</t>
        </is>
      </c>
      <c r="E125" t="n">
        <v>140.953883</v>
      </c>
      <c r="F125" t="n">
        <v>228.824285</v>
      </c>
      <c r="G125" t="n">
        <v>114.897152</v>
      </c>
      <c r="H125" t="n">
        <v>408.798022</v>
      </c>
      <c r="I125" t="n">
        <v>6590.793316</v>
      </c>
      <c r="J125" t="n">
        <v>7071.146917</v>
      </c>
      <c r="K125" t="n">
        <v>2576.928919</v>
      </c>
      <c r="L125" t="n">
        <v>10677.999207</v>
      </c>
      <c r="M125" t="n">
        <v>10677.999207</v>
      </c>
      <c r="N125" t="n">
        <v>10677.999207</v>
      </c>
      <c r="O125" t="n">
        <v>85.006417</v>
      </c>
      <c r="P125" t="n">
        <v>38.52237</v>
      </c>
      <c r="Q125" t="n">
        <v>10677.999207</v>
      </c>
      <c r="R125" t="n">
        <v>10677.999207</v>
      </c>
      <c r="S125" t="n">
        <v>85.006417</v>
      </c>
      <c r="T125" t="n">
        <v>85.006417</v>
      </c>
      <c r="U125" t="n">
        <v>38.52237</v>
      </c>
      <c r="V125" t="n">
        <v>38.52237</v>
      </c>
      <c r="W125" t="n">
        <v>88.306245</v>
      </c>
      <c r="X125" t="n">
        <v>11509.306401</v>
      </c>
    </row>
    <row r="126" ht="21" customHeight="1">
      <c r="A126" t="inlineStr">
        <is>
          <t>Nemipterus hexodon</t>
        </is>
      </c>
      <c r="B126" t="n">
        <v>3.93</v>
      </c>
      <c r="C126" t="n">
        <v>851.1380380000001</v>
      </c>
      <c r="D126" s="11" t="inlineStr">
        <is>
          <t>Threadfin bream (nemipterids)</t>
        </is>
      </c>
      <c r="E126" t="n">
        <v>140.953883</v>
      </c>
      <c r="F126" t="n">
        <v>158.552335</v>
      </c>
      <c r="G126" t="n">
        <v>83.774152</v>
      </c>
      <c r="H126" t="n">
        <v>197.082776</v>
      </c>
      <c r="I126" t="n">
        <v>3502.459341</v>
      </c>
      <c r="J126" t="n">
        <v>3796.144916</v>
      </c>
      <c r="K126" t="n">
        <v>1780.391965</v>
      </c>
      <c r="L126" t="n">
        <v>4710.704014</v>
      </c>
      <c r="M126" t="n">
        <v>4710.704014</v>
      </c>
      <c r="N126" t="n">
        <v>4710.704014</v>
      </c>
      <c r="O126" t="n">
        <v>105.183965</v>
      </c>
      <c r="P126" t="n">
        <v>52.828865</v>
      </c>
      <c r="Q126" t="n">
        <v>4710.704014</v>
      </c>
      <c r="R126" t="n">
        <v>4710.704014</v>
      </c>
      <c r="S126" t="n">
        <v>105.183965</v>
      </c>
      <c r="T126" t="n">
        <v>105.183965</v>
      </c>
      <c r="U126" t="n">
        <v>52.828865</v>
      </c>
      <c r="V126" t="n">
        <v>52.828865</v>
      </c>
      <c r="W126" t="n">
        <v>109.611209</v>
      </c>
      <c r="X126" t="n">
        <v>5115.038689</v>
      </c>
    </row>
    <row r="127" ht="21" customHeight="1">
      <c r="A127" t="inlineStr">
        <is>
          <t>Penaeus penicillatus</t>
        </is>
      </c>
      <c r="B127" t="n">
        <v>2.7</v>
      </c>
      <c r="C127" t="n">
        <v>50.118723</v>
      </c>
      <c r="D127" s="11" t="inlineStr">
        <is>
          <t>Shrimps</t>
        </is>
      </c>
      <c r="E127" t="n">
        <v>140.953883</v>
      </c>
      <c r="F127" t="n">
        <v>20.606299</v>
      </c>
      <c r="G127" t="n">
        <v>14.077679</v>
      </c>
      <c r="H127" t="n">
        <v>22.715542</v>
      </c>
      <c r="I127" t="n">
        <v>131.71072</v>
      </c>
      <c r="J127" t="n">
        <v>131.71072</v>
      </c>
      <c r="K127" t="n">
        <v>125.125184</v>
      </c>
      <c r="L127" t="n">
        <v>130.894857</v>
      </c>
      <c r="M127" t="n">
        <v>130.894857</v>
      </c>
      <c r="N127" t="n">
        <v>130.894857</v>
      </c>
      <c r="O127" t="n">
        <v>12.255972</v>
      </c>
      <c r="P127" t="n">
        <v>8.448598</v>
      </c>
      <c r="Q127" t="n">
        <v>130.894857</v>
      </c>
      <c r="R127" t="n">
        <v>130.894857</v>
      </c>
      <c r="S127" t="n">
        <v>12.255972</v>
      </c>
      <c r="T127" t="n">
        <v>12.255972</v>
      </c>
      <c r="U127" t="n">
        <v>8.448598</v>
      </c>
      <c r="V127" t="n">
        <v>8.448598</v>
      </c>
      <c r="W127" t="n">
        <v>12.680707</v>
      </c>
      <c r="X127" t="n">
        <v>136.520004</v>
      </c>
    </row>
    <row r="128" ht="36" customHeight="1">
      <c r="A128" t="inlineStr">
        <is>
          <t>Thunnus obesus</t>
        </is>
      </c>
      <c r="B128" t="n">
        <v>4.49</v>
      </c>
      <c r="C128" t="n">
        <v>3090.295433</v>
      </c>
      <c r="D128" s="11" t="inlineStr">
        <is>
          <t>Juvenile large pelagic fish | Pelagic fish (&gt; 30 cm)</t>
        </is>
      </c>
      <c r="E128" t="n">
        <v>140.953883</v>
      </c>
      <c r="F128" t="n">
        <v>200.641254</v>
      </c>
      <c r="G128" t="n">
        <v>102.228748</v>
      </c>
      <c r="H128" t="n">
        <v>215.010584</v>
      </c>
      <c r="I128" t="n">
        <v>6244.222521</v>
      </c>
      <c r="J128" t="n">
        <v>6325.914048</v>
      </c>
      <c r="K128" t="n">
        <v>1872.204427</v>
      </c>
      <c r="L128" t="n">
        <v>7112.982475</v>
      </c>
      <c r="M128" t="n">
        <v>7112.982475</v>
      </c>
      <c r="N128" t="n">
        <v>7112.982475</v>
      </c>
      <c r="O128" t="n">
        <v>87.969483</v>
      </c>
      <c r="P128" t="n">
        <v>46.580547</v>
      </c>
      <c r="Q128" t="n">
        <v>7112.982475</v>
      </c>
      <c r="R128" t="n">
        <v>7112.982475</v>
      </c>
      <c r="S128" t="n">
        <v>87.969483</v>
      </c>
      <c r="T128" t="n">
        <v>87.969483</v>
      </c>
      <c r="U128" t="n">
        <v>46.580547</v>
      </c>
      <c r="V128" t="n">
        <v>46.580547</v>
      </c>
      <c r="W128" t="n">
        <v>93.060855</v>
      </c>
      <c r="X128" t="n">
        <v>7459.131892</v>
      </c>
    </row>
    <row r="129" ht="36" customHeight="1">
      <c r="A129" t="inlineStr">
        <is>
          <t>Muraenesocidae</t>
        </is>
      </c>
      <c r="B129" t="n">
        <v>3.9</v>
      </c>
      <c r="C129" t="n">
        <v>794.3282349999999</v>
      </c>
      <c r="D129" s="11" t="inlineStr">
        <is>
          <t>Juvenile demersal fish (&gt; 30 cm) | Adult demersal fish (&gt; 30 cm)</t>
        </is>
      </c>
      <c r="E129" t="n">
        <v>140.953883</v>
      </c>
      <c r="F129" t="n">
        <v>228.824285</v>
      </c>
      <c r="G129" t="n">
        <v>114.897152</v>
      </c>
      <c r="H129" t="n">
        <v>408.798022</v>
      </c>
      <c r="I129" t="n">
        <v>6590.793316</v>
      </c>
      <c r="J129" t="n">
        <v>7071.146917</v>
      </c>
      <c r="K129" t="n">
        <v>2576.928919</v>
      </c>
      <c r="L129" t="n">
        <v>10677.999207</v>
      </c>
      <c r="M129" t="n">
        <v>10677.999207</v>
      </c>
      <c r="N129" t="n">
        <v>10677.999207</v>
      </c>
      <c r="O129" t="n">
        <v>85.006417</v>
      </c>
      <c r="P129" t="n">
        <v>38.52237</v>
      </c>
      <c r="Q129" t="n">
        <v>10677.999207</v>
      </c>
      <c r="R129" t="n">
        <v>10677.999207</v>
      </c>
      <c r="S129" t="n">
        <v>85.006417</v>
      </c>
      <c r="T129" t="n">
        <v>85.006417</v>
      </c>
      <c r="U129" t="n">
        <v>38.52237</v>
      </c>
      <c r="V129" t="n">
        <v>38.52237</v>
      </c>
      <c r="W129" t="n">
        <v>88.306245</v>
      </c>
      <c r="X129" t="n">
        <v>11509.306401</v>
      </c>
    </row>
    <row r="130" ht="21" customHeight="1">
      <c r="A130" t="inlineStr">
        <is>
          <t>Dussumieria acuta</t>
        </is>
      </c>
      <c r="B130" t="n">
        <v>3.4</v>
      </c>
      <c r="C130" t="n">
        <v>251.188643</v>
      </c>
      <c r="D130" s="11" t="inlineStr">
        <is>
          <t>Pelagic fish (≤ 30 cm)</t>
        </is>
      </c>
      <c r="E130" t="n">
        <v>140.953883</v>
      </c>
      <c r="F130" t="n">
        <v>60.479203</v>
      </c>
      <c r="G130" t="n">
        <v>36.07884</v>
      </c>
      <c r="H130" t="n">
        <v>45.98261</v>
      </c>
      <c r="I130" t="n">
        <v>395.888053</v>
      </c>
      <c r="J130" t="n">
        <v>395.888053</v>
      </c>
      <c r="K130" t="n">
        <v>376.09365</v>
      </c>
      <c r="L130" t="n">
        <v>393.787233</v>
      </c>
      <c r="M130" t="n">
        <v>393.787233</v>
      </c>
      <c r="N130" t="n">
        <v>393.787233</v>
      </c>
      <c r="O130" t="n">
        <v>20.916473</v>
      </c>
      <c r="P130" t="n">
        <v>13.510088</v>
      </c>
      <c r="Q130" t="n">
        <v>393.787233</v>
      </c>
      <c r="R130" t="n">
        <v>393.787233</v>
      </c>
      <c r="S130" t="n">
        <v>20.916473</v>
      </c>
      <c r="T130" t="n">
        <v>20.916473</v>
      </c>
      <c r="U130" t="n">
        <v>13.510088</v>
      </c>
      <c r="V130" t="n">
        <v>13.510088</v>
      </c>
      <c r="W130" t="n">
        <v>21.939981</v>
      </c>
      <c r="X130" t="n">
        <v>405.784084</v>
      </c>
    </row>
    <row r="131" ht="21" customHeight="1">
      <c r="A131" t="inlineStr">
        <is>
          <t>Pennahia argentata</t>
        </is>
      </c>
      <c r="B131" t="n">
        <v>3.47</v>
      </c>
      <c r="C131" t="n">
        <v>295.120923</v>
      </c>
      <c r="D131" s="11" t="inlineStr">
        <is>
          <t>Croakers (≤ 30 cm)</t>
        </is>
      </c>
      <c r="E131" t="n">
        <v>140.953883</v>
      </c>
      <c r="F131" t="n">
        <v>201.414719</v>
      </c>
      <c r="G131" t="n">
        <v>103.26244</v>
      </c>
      <c r="H131" t="n">
        <v>246.307264</v>
      </c>
      <c r="I131" t="n">
        <v>1402.335676</v>
      </c>
      <c r="J131" t="n">
        <v>1449.344811</v>
      </c>
      <c r="K131" t="n">
        <v>1136.286332</v>
      </c>
      <c r="L131" t="n">
        <v>1692.571887</v>
      </c>
      <c r="M131" t="n">
        <v>1692.571887</v>
      </c>
      <c r="N131" t="n">
        <v>1692.571887</v>
      </c>
      <c r="O131" t="n">
        <v>68.15794</v>
      </c>
      <c r="P131" t="n">
        <v>34.55496</v>
      </c>
      <c r="Q131" t="n">
        <v>1692.571887</v>
      </c>
      <c r="R131" t="n">
        <v>1692.571887</v>
      </c>
      <c r="S131" t="n">
        <v>68.15794</v>
      </c>
      <c r="T131" t="n">
        <v>68.15794</v>
      </c>
      <c r="U131" t="n">
        <v>34.55496</v>
      </c>
      <c r="V131" t="n">
        <v>34.55496</v>
      </c>
      <c r="W131" t="n">
        <v>71.462779</v>
      </c>
      <c r="X131" t="n">
        <v>1758.686512</v>
      </c>
    </row>
    <row r="132" ht="21" customHeight="1">
      <c r="A132" t="inlineStr">
        <is>
          <t>Stephanolepis cirrhifer</t>
        </is>
      </c>
      <c r="B132" t="n">
        <v>2.84</v>
      </c>
      <c r="C132" t="n">
        <v>69.183097</v>
      </c>
      <c r="D132" s="11" t="inlineStr">
        <is>
          <t>Demesral fish (≤ 30 cm)</t>
        </is>
      </c>
      <c r="E132" t="n">
        <v>140.953883</v>
      </c>
      <c r="F132" t="n">
        <v>95.34341499999999</v>
      </c>
      <c r="G132" t="n">
        <v>53.708528</v>
      </c>
      <c r="H132" t="n">
        <v>114.11959</v>
      </c>
      <c r="I132" t="n">
        <v>569.846189</v>
      </c>
      <c r="J132" t="n">
        <v>594.287325</v>
      </c>
      <c r="K132" t="n">
        <v>564.572959</v>
      </c>
      <c r="L132" t="n">
        <v>738.02552</v>
      </c>
      <c r="M132" t="n">
        <v>738.02552</v>
      </c>
      <c r="N132" t="n">
        <v>738.02552</v>
      </c>
      <c r="O132" t="n">
        <v>39.685535</v>
      </c>
      <c r="P132" t="n">
        <v>21.622034</v>
      </c>
      <c r="Q132" t="n">
        <v>738.02552</v>
      </c>
      <c r="R132" t="n">
        <v>738.02552</v>
      </c>
      <c r="S132" t="n">
        <v>39.685535</v>
      </c>
      <c r="T132" t="n">
        <v>39.685535</v>
      </c>
      <c r="U132" t="n">
        <v>21.622034</v>
      </c>
      <c r="V132" t="n">
        <v>21.622034</v>
      </c>
      <c r="W132" t="n">
        <v>41.109943</v>
      </c>
      <c r="X132" t="n">
        <v>772.895549</v>
      </c>
    </row>
    <row r="133" ht="21" customHeight="1">
      <c r="A133" t="inlineStr">
        <is>
          <t>Stromateidae</t>
        </is>
      </c>
      <c r="B133" t="n">
        <v>3.62</v>
      </c>
      <c r="C133" t="n">
        <v>416.869383</v>
      </c>
      <c r="D133" s="11" t="inlineStr">
        <is>
          <t>Pomfret (stromateids)</t>
        </is>
      </c>
      <c r="E133" t="n">
        <v>140.953883</v>
      </c>
      <c r="F133" t="n">
        <v>342.280115</v>
      </c>
      <c r="G133" t="n">
        <v>164.146984</v>
      </c>
      <c r="H133" t="n">
        <v>260.083928</v>
      </c>
      <c r="I133" t="n">
        <v>1585.623721</v>
      </c>
      <c r="J133" t="n">
        <v>1650.152477</v>
      </c>
      <c r="K133" t="n">
        <v>1567.644853</v>
      </c>
      <c r="L133" t="n">
        <v>2274.19106</v>
      </c>
      <c r="M133" t="n">
        <v>2274.19106</v>
      </c>
      <c r="N133" t="n">
        <v>2274.19106</v>
      </c>
      <c r="O133" t="n">
        <v>105.127985</v>
      </c>
      <c r="P133" t="n">
        <v>50.974766</v>
      </c>
      <c r="Q133" t="n">
        <v>2274.19106</v>
      </c>
      <c r="R133" t="n">
        <v>2274.19106</v>
      </c>
      <c r="S133" t="n">
        <v>105.127985</v>
      </c>
      <c r="T133" t="n">
        <v>105.127985</v>
      </c>
      <c r="U133" t="n">
        <v>50.974766</v>
      </c>
      <c r="V133" t="n">
        <v>50.974766</v>
      </c>
      <c r="W133" t="n">
        <v>111.155847</v>
      </c>
      <c r="X133" t="n">
        <v>2438.947747</v>
      </c>
    </row>
    <row r="134" ht="21" customHeight="1">
      <c r="A134" t="inlineStr">
        <is>
          <t>Lutjanus johnii</t>
        </is>
      </c>
      <c r="B134" t="n">
        <v>4.2</v>
      </c>
      <c r="C134" t="n">
        <v>1584.893192</v>
      </c>
      <c r="D134" s="11" t="inlineStr">
        <is>
          <t>Snappers</t>
        </is>
      </c>
      <c r="E134" t="n">
        <v>140.953883</v>
      </c>
      <c r="F134" t="n">
        <v>554.842266</v>
      </c>
      <c r="G134" t="n">
        <v>250.381754</v>
      </c>
      <c r="H134" t="n">
        <v>650.642591</v>
      </c>
      <c r="I134" t="n">
        <v>3230.237663</v>
      </c>
      <c r="J134" t="n">
        <v>3367.037571</v>
      </c>
      <c r="K134" t="n">
        <v>3198.685692</v>
      </c>
      <c r="L134" t="n">
        <v>4133.4309</v>
      </c>
      <c r="M134" t="n">
        <v>4133.4309</v>
      </c>
      <c r="N134" t="n">
        <v>4133.4309</v>
      </c>
      <c r="O134" t="n">
        <v>205.658598</v>
      </c>
      <c r="P134" t="n">
        <v>91.38801100000001</v>
      </c>
      <c r="Q134" t="n">
        <v>4133.4309</v>
      </c>
      <c r="R134" t="n">
        <v>4133.4309</v>
      </c>
      <c r="S134" t="n">
        <v>205.658598</v>
      </c>
      <c r="T134" t="n">
        <v>205.658598</v>
      </c>
      <c r="U134" t="n">
        <v>91.38801100000001</v>
      </c>
      <c r="V134" t="n">
        <v>91.38801100000001</v>
      </c>
      <c r="W134" t="n">
        <v>216.473302</v>
      </c>
      <c r="X134" t="n">
        <v>4393.486979</v>
      </c>
    </row>
    <row r="135" ht="36" customHeight="1">
      <c r="A135" t="inlineStr">
        <is>
          <t>Elagatis bipinnulata</t>
        </is>
      </c>
      <c r="B135" t="n">
        <v>4.27</v>
      </c>
      <c r="C135" t="n">
        <v>1862.087137</v>
      </c>
      <c r="D135" s="11" t="inlineStr">
        <is>
          <t>Juvenile large pelagic fish | Pelagic fish (&gt; 30 cm)</t>
        </is>
      </c>
      <c r="E135" t="n">
        <v>140.953883</v>
      </c>
      <c r="F135" t="n">
        <v>200.641254</v>
      </c>
      <c r="G135" t="n">
        <v>102.228748</v>
      </c>
      <c r="H135" t="n">
        <v>215.010584</v>
      </c>
      <c r="I135" t="n">
        <v>6244.222521</v>
      </c>
      <c r="J135" t="n">
        <v>6325.914048</v>
      </c>
      <c r="K135" t="n">
        <v>1872.204427</v>
      </c>
      <c r="L135" t="n">
        <v>7112.982475</v>
      </c>
      <c r="M135" t="n">
        <v>7112.982475</v>
      </c>
      <c r="N135" t="n">
        <v>7112.982475</v>
      </c>
      <c r="O135" t="n">
        <v>87.969483</v>
      </c>
      <c r="P135" t="n">
        <v>46.580547</v>
      </c>
      <c r="Q135" t="n">
        <v>7112.982475</v>
      </c>
      <c r="R135" t="n">
        <v>7112.982475</v>
      </c>
      <c r="S135" t="n">
        <v>87.969483</v>
      </c>
      <c r="T135" t="n">
        <v>87.969483</v>
      </c>
      <c r="U135" t="n">
        <v>46.580547</v>
      </c>
      <c r="V135" t="n">
        <v>46.580547</v>
      </c>
      <c r="W135" t="n">
        <v>93.060855</v>
      </c>
      <c r="X135" t="n">
        <v>7459.131892</v>
      </c>
    </row>
    <row r="136" ht="21" customHeight="1">
      <c r="A136" t="inlineStr">
        <is>
          <t>Saurida</t>
        </is>
      </c>
      <c r="B136" t="n">
        <v>4.35</v>
      </c>
      <c r="C136" t="n">
        <v>2238.721139</v>
      </c>
      <c r="D136" s="11" t="inlineStr">
        <is>
          <t>Lizard fish (synodontids)</t>
        </is>
      </c>
      <c r="E136" t="n">
        <v>140.953883</v>
      </c>
      <c r="F136" t="n">
        <v>667.104795</v>
      </c>
      <c r="G136" t="n">
        <v>294.137165</v>
      </c>
      <c r="H136" t="n">
        <v>674.482249</v>
      </c>
      <c r="I136" t="n">
        <v>9604.557183999999</v>
      </c>
      <c r="J136" t="n">
        <v>10115.319409</v>
      </c>
      <c r="K136" t="n">
        <v>2437.791978</v>
      </c>
      <c r="L136" t="n">
        <v>16798.641648</v>
      </c>
      <c r="M136" t="n">
        <v>16798.641648</v>
      </c>
      <c r="N136" t="n">
        <v>16798.641648</v>
      </c>
      <c r="O136" t="n">
        <v>88.03658900000001</v>
      </c>
      <c r="P136" t="n">
        <v>38.159556</v>
      </c>
      <c r="Q136" t="n">
        <v>16798.641648</v>
      </c>
      <c r="R136" t="n">
        <v>16798.641648</v>
      </c>
      <c r="S136" t="n">
        <v>88.03658900000001</v>
      </c>
      <c r="T136" t="n">
        <v>88.03658900000001</v>
      </c>
      <c r="U136" t="n">
        <v>38.159556</v>
      </c>
      <c r="V136" t="n">
        <v>38.159556</v>
      </c>
      <c r="W136" t="n">
        <v>92.54017</v>
      </c>
      <c r="X136" t="n">
        <v>18119.633615</v>
      </c>
    </row>
    <row r="137" ht="21" customHeight="1">
      <c r="A137" t="inlineStr">
        <is>
          <t>Serranidae</t>
        </is>
      </c>
      <c r="B137" t="n">
        <v>3.98</v>
      </c>
      <c r="C137" t="n">
        <v>954.992586</v>
      </c>
      <c r="D137" s="11" t="inlineStr">
        <is>
          <t>Adult groupers</t>
        </is>
      </c>
      <c r="E137" t="n">
        <v>140.953883</v>
      </c>
      <c r="F137" t="n">
        <v>539.046528</v>
      </c>
      <c r="G137" t="n">
        <v>244.14</v>
      </c>
      <c r="H137" t="n">
        <v>669.483011</v>
      </c>
      <c r="I137" t="n">
        <v>10399.759602</v>
      </c>
      <c r="J137" t="n">
        <v>10694.630086</v>
      </c>
      <c r="K137" t="n">
        <v>4010.486282</v>
      </c>
      <c r="L137" t="n">
        <v>14214.100911</v>
      </c>
      <c r="M137" t="n">
        <v>14214.100911</v>
      </c>
      <c r="N137" t="n">
        <v>14214.100911</v>
      </c>
      <c r="O137" t="n">
        <v>203.72024</v>
      </c>
      <c r="P137" t="n">
        <v>90.708206</v>
      </c>
      <c r="Q137" t="n">
        <v>14214.100911</v>
      </c>
      <c r="R137" t="n">
        <v>14214.100911</v>
      </c>
      <c r="S137" t="n">
        <v>203.72024</v>
      </c>
      <c r="T137" t="n">
        <v>203.72024</v>
      </c>
      <c r="U137" t="n">
        <v>90.708206</v>
      </c>
      <c r="V137" t="n">
        <v>90.708206</v>
      </c>
      <c r="W137" t="n">
        <v>213.076898</v>
      </c>
      <c r="X137" t="n">
        <v>15231.972848</v>
      </c>
    </row>
    <row r="138" ht="21" customHeight="1">
      <c r="A138" t="inlineStr">
        <is>
          <t>Tegillarca granosa</t>
        </is>
      </c>
      <c r="B138" t="n">
        <v>2</v>
      </c>
      <c r="C138" t="n">
        <v>10</v>
      </c>
      <c r="D138" s="11" t="inlineStr">
        <is>
          <t>Non-ceph molluscs</t>
        </is>
      </c>
      <c r="E138" t="n">
        <v>140.953883</v>
      </c>
      <c r="F138" t="n">
        <v>14.712171</v>
      </c>
      <c r="G138" t="n">
        <v>10.486582</v>
      </c>
      <c r="H138" t="n">
        <v>17.347998</v>
      </c>
      <c r="I138" t="n">
        <v>87.52377799999999</v>
      </c>
      <c r="J138" t="n">
        <v>87.52377799999999</v>
      </c>
      <c r="K138" t="n">
        <v>33.521607</v>
      </c>
      <c r="L138" t="n">
        <v>92.59366</v>
      </c>
      <c r="M138" t="n">
        <v>92.59366</v>
      </c>
      <c r="N138" t="n">
        <v>92.59366</v>
      </c>
      <c r="O138" t="n">
        <v>4.448657</v>
      </c>
      <c r="P138" t="n">
        <v>3.058348</v>
      </c>
      <c r="Q138" t="n">
        <v>92.59366</v>
      </c>
      <c r="R138" t="n">
        <v>92.59366</v>
      </c>
      <c r="S138" t="n">
        <v>4.448657</v>
      </c>
      <c r="T138" t="n">
        <v>4.448657</v>
      </c>
      <c r="U138" t="n">
        <v>3.058348</v>
      </c>
      <c r="V138" t="n">
        <v>3.058348</v>
      </c>
      <c r="W138" t="n">
        <v>4.556294</v>
      </c>
      <c r="X138" t="n">
        <v>96.447226</v>
      </c>
    </row>
    <row r="139" ht="21" customHeight="1">
      <c r="A139" t="inlineStr">
        <is>
          <t>Pristipomoides</t>
        </is>
      </c>
      <c r="B139" t="n">
        <v>3.91</v>
      </c>
      <c r="C139" t="n">
        <v>812.830516</v>
      </c>
      <c r="D139" s="11" t="inlineStr">
        <is>
          <t>Snappers</t>
        </is>
      </c>
      <c r="E139" t="n">
        <v>140.953883</v>
      </c>
      <c r="F139" t="n">
        <v>554.842266</v>
      </c>
      <c r="G139" t="n">
        <v>250.381754</v>
      </c>
      <c r="H139" t="n">
        <v>650.642591</v>
      </c>
      <c r="I139" t="n">
        <v>3230.237663</v>
      </c>
      <c r="J139" t="n">
        <v>3367.037571</v>
      </c>
      <c r="K139" t="n">
        <v>3198.685692</v>
      </c>
      <c r="L139" t="n">
        <v>4133.4309</v>
      </c>
      <c r="M139" t="n">
        <v>4133.4309</v>
      </c>
      <c r="N139" t="n">
        <v>4133.4309</v>
      </c>
      <c r="O139" t="n">
        <v>205.658598</v>
      </c>
      <c r="P139" t="n">
        <v>91.38801100000001</v>
      </c>
      <c r="Q139" t="n">
        <v>4133.4309</v>
      </c>
      <c r="R139" t="n">
        <v>4133.4309</v>
      </c>
      <c r="S139" t="n">
        <v>205.658598</v>
      </c>
      <c r="T139" t="n">
        <v>205.658598</v>
      </c>
      <c r="U139" t="n">
        <v>91.38801100000001</v>
      </c>
      <c r="V139" t="n">
        <v>91.38801100000001</v>
      </c>
      <c r="W139" t="n">
        <v>216.473302</v>
      </c>
      <c r="X139" t="n">
        <v>4393.486979</v>
      </c>
    </row>
    <row r="140" ht="21" customHeight="1">
      <c r="A140" t="inlineStr">
        <is>
          <t>Apogonidae</t>
        </is>
      </c>
      <c r="B140" t="n">
        <v>3.54</v>
      </c>
      <c r="C140" t="n">
        <v>346.73685</v>
      </c>
      <c r="D140" s="11" t="inlineStr">
        <is>
          <t>Demesral fish (≤ 30 cm)</t>
        </is>
      </c>
      <c r="E140" t="n">
        <v>140.953883</v>
      </c>
      <c r="F140" t="n">
        <v>95.34341499999999</v>
      </c>
      <c r="G140" t="n">
        <v>53.708528</v>
      </c>
      <c r="H140" t="n">
        <v>114.11959</v>
      </c>
      <c r="I140" t="n">
        <v>569.846189</v>
      </c>
      <c r="J140" t="n">
        <v>594.287325</v>
      </c>
      <c r="K140" t="n">
        <v>564.572959</v>
      </c>
      <c r="L140" t="n">
        <v>738.02552</v>
      </c>
      <c r="M140" t="n">
        <v>738.02552</v>
      </c>
      <c r="N140" t="n">
        <v>738.02552</v>
      </c>
      <c r="O140" t="n">
        <v>39.685535</v>
      </c>
      <c r="P140" t="n">
        <v>21.622034</v>
      </c>
      <c r="Q140" t="n">
        <v>738.02552</v>
      </c>
      <c r="R140" t="n">
        <v>738.02552</v>
      </c>
      <c r="S140" t="n">
        <v>39.685535</v>
      </c>
      <c r="T140" t="n">
        <v>39.685535</v>
      </c>
      <c r="U140" t="n">
        <v>21.622034</v>
      </c>
      <c r="V140" t="n">
        <v>21.622034</v>
      </c>
      <c r="W140" t="n">
        <v>41.109943</v>
      </c>
      <c r="X140" t="n">
        <v>772.895549</v>
      </c>
    </row>
    <row r="141" ht="66" customHeight="1">
      <c r="A141" t="inlineStr">
        <is>
          <t>Miscellaneous aquatic invertebrates</t>
        </is>
      </c>
      <c r="B141" t="n">
        <v>2.43</v>
      </c>
      <c r="C141" t="n">
        <v>26.915348</v>
      </c>
      <c r="D141" s="11" t="inlineStr">
        <is>
          <t>Polychaetes | Echinoderms | Benthic crustaceans | Non-ceph molluscs | Sessile/other invertebrates</t>
        </is>
      </c>
      <c r="E141" t="n">
        <v>140.953883</v>
      </c>
      <c r="F141" t="n">
        <v>14.897287</v>
      </c>
      <c r="G141" t="n">
        <v>10.601089</v>
      </c>
      <c r="H141" t="n">
        <v>18.274513</v>
      </c>
      <c r="I141" t="n">
        <v>95.149017</v>
      </c>
      <c r="J141" t="n">
        <v>95.149017</v>
      </c>
      <c r="K141" t="n">
        <v>40.179908</v>
      </c>
      <c r="L141" t="n">
        <v>103.926902</v>
      </c>
      <c r="M141" t="n">
        <v>103.926902</v>
      </c>
      <c r="N141" t="n">
        <v>103.926902</v>
      </c>
      <c r="O141" t="n">
        <v>5.06752</v>
      </c>
      <c r="P141" t="n">
        <v>3.473792</v>
      </c>
      <c r="Q141" t="n">
        <v>103.926902</v>
      </c>
      <c r="R141" t="n">
        <v>103.926902</v>
      </c>
      <c r="S141" t="n">
        <v>5.06752</v>
      </c>
      <c r="T141" t="n">
        <v>5.06752</v>
      </c>
      <c r="U141" t="n">
        <v>3.473792</v>
      </c>
      <c r="V141" t="n">
        <v>3.473792</v>
      </c>
      <c r="W141" t="n">
        <v>5.182583</v>
      </c>
      <c r="X141" t="n">
        <v>108.431266</v>
      </c>
    </row>
    <row r="142" ht="36" customHeight="1">
      <c r="A142" t="inlineStr">
        <is>
          <t>Scomber australasicus</t>
        </is>
      </c>
      <c r="B142" t="n">
        <v>4.23</v>
      </c>
      <c r="C142" t="n">
        <v>1698.243652</v>
      </c>
      <c r="D142" s="11" t="inlineStr">
        <is>
          <t>Juvenile large pelagic fish | Pelagic fish (&gt; 30 cm)</t>
        </is>
      </c>
      <c r="E142" t="n">
        <v>140.953883</v>
      </c>
      <c r="F142" t="n">
        <v>200.641254</v>
      </c>
      <c r="G142" t="n">
        <v>102.228748</v>
      </c>
      <c r="H142" t="n">
        <v>215.010584</v>
      </c>
      <c r="I142" t="n">
        <v>6244.222521</v>
      </c>
      <c r="J142" t="n">
        <v>6325.914048</v>
      </c>
      <c r="K142" t="n">
        <v>1872.204427</v>
      </c>
      <c r="L142" t="n">
        <v>7112.982475</v>
      </c>
      <c r="M142" t="n">
        <v>7112.982475</v>
      </c>
      <c r="N142" t="n">
        <v>7112.982475</v>
      </c>
      <c r="O142" t="n">
        <v>87.969483</v>
      </c>
      <c r="P142" t="n">
        <v>46.580547</v>
      </c>
      <c r="Q142" t="n">
        <v>7112.982475</v>
      </c>
      <c r="R142" t="n">
        <v>7112.982475</v>
      </c>
      <c r="S142" t="n">
        <v>87.969483</v>
      </c>
      <c r="T142" t="n">
        <v>87.969483</v>
      </c>
      <c r="U142" t="n">
        <v>46.580547</v>
      </c>
      <c r="V142" t="n">
        <v>46.580547</v>
      </c>
      <c r="W142" t="n">
        <v>93.060855</v>
      </c>
      <c r="X142" t="n">
        <v>7459.131892</v>
      </c>
    </row>
    <row r="143" ht="21" customHeight="1">
      <c r="A143" t="inlineStr">
        <is>
          <t>Sepia</t>
        </is>
      </c>
      <c r="B143" t="n">
        <v>3.69</v>
      </c>
      <c r="C143" t="n">
        <v>489.778819</v>
      </c>
      <c r="D143" s="11" t="inlineStr">
        <is>
          <t>Cephalopods</t>
        </is>
      </c>
      <c r="E143" t="n">
        <v>140.953883</v>
      </c>
      <c r="F143" t="n">
        <v>170.518341</v>
      </c>
      <c r="G143" t="n">
        <v>89.274901</v>
      </c>
      <c r="H143" t="n">
        <v>176.937394</v>
      </c>
      <c r="I143" t="n">
        <v>1050.872908</v>
      </c>
      <c r="J143" t="n">
        <v>1075.829695</v>
      </c>
      <c r="K143" t="n">
        <v>537.914847</v>
      </c>
      <c r="L143" t="n">
        <v>1659.687874</v>
      </c>
      <c r="M143" t="n">
        <v>1659.687874</v>
      </c>
      <c r="N143" t="n">
        <v>1659.687874</v>
      </c>
      <c r="O143" t="n">
        <v>31.362197</v>
      </c>
      <c r="P143" t="n">
        <v>16.184075</v>
      </c>
      <c r="Q143" t="n">
        <v>1659.687874</v>
      </c>
      <c r="R143" t="n">
        <v>1659.687874</v>
      </c>
      <c r="S143" t="n">
        <v>31.362197</v>
      </c>
      <c r="T143" t="n">
        <v>31.362197</v>
      </c>
      <c r="U143" t="n">
        <v>16.184075</v>
      </c>
      <c r="V143" t="n">
        <v>16.184075</v>
      </c>
      <c r="W143" t="n">
        <v>32.286772</v>
      </c>
      <c r="X143" t="n">
        <v>1775.112325</v>
      </c>
    </row>
    <row r="144" ht="21" customHeight="1">
      <c r="A144" t="inlineStr">
        <is>
          <t>Epinephelus coioides</t>
        </is>
      </c>
      <c r="B144" t="n">
        <v>4</v>
      </c>
      <c r="C144" t="n">
        <v>1000</v>
      </c>
      <c r="D144" s="11" t="inlineStr">
        <is>
          <t>Adult groupers</t>
        </is>
      </c>
      <c r="E144" t="n">
        <v>140.953883</v>
      </c>
      <c r="F144" t="n">
        <v>539.046528</v>
      </c>
      <c r="G144" t="n">
        <v>244.14</v>
      </c>
      <c r="H144" t="n">
        <v>669.483011</v>
      </c>
      <c r="I144" t="n">
        <v>10399.759602</v>
      </c>
      <c r="J144" t="n">
        <v>10694.630086</v>
      </c>
      <c r="K144" t="n">
        <v>4010.486282</v>
      </c>
      <c r="L144" t="n">
        <v>14214.100911</v>
      </c>
      <c r="M144" t="n">
        <v>14214.100911</v>
      </c>
      <c r="N144" t="n">
        <v>14214.100911</v>
      </c>
      <c r="O144" t="n">
        <v>203.72024</v>
      </c>
      <c r="P144" t="n">
        <v>90.708206</v>
      </c>
      <c r="Q144" t="n">
        <v>14214.100911</v>
      </c>
      <c r="R144" t="n">
        <v>14214.100911</v>
      </c>
      <c r="S144" t="n">
        <v>203.72024</v>
      </c>
      <c r="T144" t="n">
        <v>203.72024</v>
      </c>
      <c r="U144" t="n">
        <v>90.708206</v>
      </c>
      <c r="V144" t="n">
        <v>90.708206</v>
      </c>
      <c r="W144" t="n">
        <v>213.076898</v>
      </c>
      <c r="X144" t="n">
        <v>15231.972848</v>
      </c>
    </row>
    <row r="145" ht="51" customHeight="1">
      <c r="A145" t="inlineStr">
        <is>
          <t>Larimichthys polyactis</t>
        </is>
      </c>
      <c r="B145" t="n">
        <v>3.64</v>
      </c>
      <c r="C145" t="n">
        <v>436.515832</v>
      </c>
      <c r="D145" s="11" t="inlineStr">
        <is>
          <t>Croakers (≤ 30 cm) | Juvenile large croakers | Croakers (&gt; 30 cm)</t>
        </is>
      </c>
      <c r="E145" t="n">
        <v>140.953883</v>
      </c>
      <c r="F145" t="n">
        <v>251.096546</v>
      </c>
      <c r="G145" t="n">
        <v>124.902538</v>
      </c>
      <c r="H145" t="n">
        <v>340.610317</v>
      </c>
      <c r="I145" t="n">
        <v>2592.828475</v>
      </c>
      <c r="J145" t="n">
        <v>2668.302146</v>
      </c>
      <c r="K145" t="n">
        <v>1626.885542</v>
      </c>
      <c r="L145" t="n">
        <v>3240.975912</v>
      </c>
      <c r="M145" t="n">
        <v>3240.975912</v>
      </c>
      <c r="N145" t="n">
        <v>3240.975912</v>
      </c>
      <c r="O145" t="n">
        <v>87.234846</v>
      </c>
      <c r="P145" t="n">
        <v>41.935227</v>
      </c>
      <c r="Q145" t="n">
        <v>3240.975912</v>
      </c>
      <c r="R145" t="n">
        <v>3240.975912</v>
      </c>
      <c r="S145" t="n">
        <v>87.234846</v>
      </c>
      <c r="T145" t="n">
        <v>87.234846</v>
      </c>
      <c r="U145" t="n">
        <v>41.935227</v>
      </c>
      <c r="V145" t="n">
        <v>41.935227</v>
      </c>
      <c r="W145" t="n">
        <v>91.178747</v>
      </c>
      <c r="X145" t="n">
        <v>3446.878316</v>
      </c>
    </row>
    <row r="146" ht="36" customHeight="1">
      <c r="A146" t="inlineStr">
        <is>
          <t>Tetraodontidae</t>
        </is>
      </c>
      <c r="B146" t="n">
        <v>3.5</v>
      </c>
      <c r="C146" t="n">
        <v>316.227766</v>
      </c>
      <c r="D146" s="11" t="inlineStr">
        <is>
          <t>Juvenile demersal fish (&gt; 30 cm) | Adult demersal fish (&gt; 30 cm)</t>
        </is>
      </c>
      <c r="E146" t="n">
        <v>140.953883</v>
      </c>
      <c r="F146" t="n">
        <v>228.824285</v>
      </c>
      <c r="G146" t="n">
        <v>114.897152</v>
      </c>
      <c r="H146" t="n">
        <v>408.798022</v>
      </c>
      <c r="I146" t="n">
        <v>6590.793316</v>
      </c>
      <c r="J146" t="n">
        <v>7071.146917</v>
      </c>
      <c r="K146" t="n">
        <v>2576.928919</v>
      </c>
      <c r="L146" t="n">
        <v>10677.999207</v>
      </c>
      <c r="M146" t="n">
        <v>10677.999207</v>
      </c>
      <c r="N146" t="n">
        <v>10677.999207</v>
      </c>
      <c r="O146" t="n">
        <v>85.006417</v>
      </c>
      <c r="P146" t="n">
        <v>38.52237</v>
      </c>
      <c r="Q146" t="n">
        <v>10677.999207</v>
      </c>
      <c r="R146" t="n">
        <v>10677.999207</v>
      </c>
      <c r="S146" t="n">
        <v>85.006417</v>
      </c>
      <c r="T146" t="n">
        <v>85.006417</v>
      </c>
      <c r="U146" t="n">
        <v>38.52237</v>
      </c>
      <c r="V146" t="n">
        <v>38.52237</v>
      </c>
      <c r="W146" t="n">
        <v>88.306245</v>
      </c>
      <c r="X146" t="n">
        <v>11509.306401</v>
      </c>
    </row>
    <row r="147" ht="21" customHeight="1">
      <c r="A147" t="inlineStr">
        <is>
          <t>Exocoetidae</t>
        </is>
      </c>
      <c r="B147" t="n">
        <v>3.57</v>
      </c>
      <c r="C147" t="n">
        <v>371.535229</v>
      </c>
      <c r="D147" s="11" t="inlineStr">
        <is>
          <t>Pelagic fish (≤ 30 cm)</t>
        </is>
      </c>
      <c r="E147" t="n">
        <v>140.953883</v>
      </c>
      <c r="F147" t="n">
        <v>60.479203</v>
      </c>
      <c r="G147" t="n">
        <v>36.07884</v>
      </c>
      <c r="H147" t="n">
        <v>45.98261</v>
      </c>
      <c r="I147" t="n">
        <v>395.888053</v>
      </c>
      <c r="J147" t="n">
        <v>395.888053</v>
      </c>
      <c r="K147" t="n">
        <v>376.09365</v>
      </c>
      <c r="L147" t="n">
        <v>393.787233</v>
      </c>
      <c r="M147" t="n">
        <v>393.787233</v>
      </c>
      <c r="N147" t="n">
        <v>393.787233</v>
      </c>
      <c r="O147" t="n">
        <v>20.916473</v>
      </c>
      <c r="P147" t="n">
        <v>13.510088</v>
      </c>
      <c r="Q147" t="n">
        <v>393.787233</v>
      </c>
      <c r="R147" t="n">
        <v>393.787233</v>
      </c>
      <c r="S147" t="n">
        <v>20.916473</v>
      </c>
      <c r="T147" t="n">
        <v>20.916473</v>
      </c>
      <c r="U147" t="n">
        <v>13.510088</v>
      </c>
      <c r="V147" t="n">
        <v>13.510088</v>
      </c>
      <c r="W147" t="n">
        <v>21.939981</v>
      </c>
      <c r="X147" t="n">
        <v>405.784084</v>
      </c>
    </row>
    <row r="148" ht="21" customHeight="1">
      <c r="A148" t="inlineStr">
        <is>
          <t>Upeneus</t>
        </is>
      </c>
      <c r="B148" t="n">
        <v>3.54</v>
      </c>
      <c r="C148" t="n">
        <v>346.73685</v>
      </c>
      <c r="D148" s="11" t="inlineStr">
        <is>
          <t>Demesral fish (≤ 30 cm)</t>
        </is>
      </c>
      <c r="E148" t="n">
        <v>140.953883</v>
      </c>
      <c r="F148" t="n">
        <v>95.34341499999999</v>
      </c>
      <c r="G148" t="n">
        <v>53.708528</v>
      </c>
      <c r="H148" t="n">
        <v>114.11959</v>
      </c>
      <c r="I148" t="n">
        <v>569.846189</v>
      </c>
      <c r="J148" t="n">
        <v>594.287325</v>
      </c>
      <c r="K148" t="n">
        <v>564.572959</v>
      </c>
      <c r="L148" t="n">
        <v>738.02552</v>
      </c>
      <c r="M148" t="n">
        <v>738.02552</v>
      </c>
      <c r="N148" t="n">
        <v>738.02552</v>
      </c>
      <c r="O148" t="n">
        <v>39.685535</v>
      </c>
      <c r="P148" t="n">
        <v>21.622034</v>
      </c>
      <c r="Q148" t="n">
        <v>738.02552</v>
      </c>
      <c r="R148" t="n">
        <v>738.02552</v>
      </c>
      <c r="S148" t="n">
        <v>39.685535</v>
      </c>
      <c r="T148" t="n">
        <v>39.685535</v>
      </c>
      <c r="U148" t="n">
        <v>21.622034</v>
      </c>
      <c r="V148" t="n">
        <v>21.622034</v>
      </c>
      <c r="W148" t="n">
        <v>41.109943</v>
      </c>
      <c r="X148" t="n">
        <v>772.895549</v>
      </c>
    </row>
    <row r="149" ht="36" customHeight="1">
      <c r="A149" t="inlineStr">
        <is>
          <t>Seriola</t>
        </is>
      </c>
      <c r="B149" t="n">
        <v>4.39</v>
      </c>
      <c r="C149" t="n">
        <v>2454.708916</v>
      </c>
      <c r="D149" s="11" t="inlineStr">
        <is>
          <t>Juvenile large pelagic fish | Pelagic fish (&gt; 30 cm)</t>
        </is>
      </c>
      <c r="E149" t="n">
        <v>140.953883</v>
      </c>
      <c r="F149" t="n">
        <v>200.641254</v>
      </c>
      <c r="G149" t="n">
        <v>102.228748</v>
      </c>
      <c r="H149" t="n">
        <v>215.010584</v>
      </c>
      <c r="I149" t="n">
        <v>6244.222521</v>
      </c>
      <c r="J149" t="n">
        <v>6325.914048</v>
      </c>
      <c r="K149" t="n">
        <v>1872.204427</v>
      </c>
      <c r="L149" t="n">
        <v>7112.982475</v>
      </c>
      <c r="M149" t="n">
        <v>7112.982475</v>
      </c>
      <c r="N149" t="n">
        <v>7112.982475</v>
      </c>
      <c r="O149" t="n">
        <v>87.969483</v>
      </c>
      <c r="P149" t="n">
        <v>46.580547</v>
      </c>
      <c r="Q149" t="n">
        <v>7112.982475</v>
      </c>
      <c r="R149" t="n">
        <v>7112.982475</v>
      </c>
      <c r="S149" t="n">
        <v>87.969483</v>
      </c>
      <c r="T149" t="n">
        <v>87.969483</v>
      </c>
      <c r="U149" t="n">
        <v>46.580547</v>
      </c>
      <c r="V149" t="n">
        <v>46.580547</v>
      </c>
      <c r="W149" t="n">
        <v>93.060855</v>
      </c>
      <c r="X149" t="n">
        <v>7459.131892</v>
      </c>
    </row>
    <row r="150" ht="36" customHeight="1">
      <c r="A150" t="inlineStr">
        <is>
          <t>Conger myriaster</t>
        </is>
      </c>
      <c r="B150" t="n">
        <v>3.98</v>
      </c>
      <c r="C150" t="n">
        <v>954.992586</v>
      </c>
      <c r="D150" s="11" t="inlineStr">
        <is>
          <t>Juvenile demersal fish (&gt; 30 cm) | Adult demersal fish (&gt; 30 cm)</t>
        </is>
      </c>
      <c r="E150" t="n">
        <v>140.953883</v>
      </c>
      <c r="F150" t="n">
        <v>228.824285</v>
      </c>
      <c r="G150" t="n">
        <v>114.897152</v>
      </c>
      <c r="H150" t="n">
        <v>408.798022</v>
      </c>
      <c r="I150" t="n">
        <v>6590.793316</v>
      </c>
      <c r="J150" t="n">
        <v>7071.146917</v>
      </c>
      <c r="K150" t="n">
        <v>2576.928919</v>
      </c>
      <c r="L150" t="n">
        <v>10677.999207</v>
      </c>
      <c r="M150" t="n">
        <v>10677.999207</v>
      </c>
      <c r="N150" t="n">
        <v>10677.999207</v>
      </c>
      <c r="O150" t="n">
        <v>85.006417</v>
      </c>
      <c r="P150" t="n">
        <v>38.52237</v>
      </c>
      <c r="Q150" t="n">
        <v>10677.999207</v>
      </c>
      <c r="R150" t="n">
        <v>10677.999207</v>
      </c>
      <c r="S150" t="n">
        <v>85.006417</v>
      </c>
      <c r="T150" t="n">
        <v>85.006417</v>
      </c>
      <c r="U150" t="n">
        <v>38.52237</v>
      </c>
      <c r="V150" t="n">
        <v>38.52237</v>
      </c>
      <c r="W150" t="n">
        <v>88.306245</v>
      </c>
      <c r="X150" t="n">
        <v>11509.306401</v>
      </c>
    </row>
    <row r="151" ht="36" customHeight="1">
      <c r="A151" t="inlineStr">
        <is>
          <t>Mugil</t>
        </is>
      </c>
      <c r="B151" t="n">
        <v>2.26</v>
      </c>
      <c r="C151" t="n">
        <v>18.197009</v>
      </c>
      <c r="D151" s="11" t="inlineStr">
        <is>
          <t>Juvenile demersal fish (&gt; 30 cm) | Adult demersal fish (&gt; 30 cm)</t>
        </is>
      </c>
      <c r="E151" t="n">
        <v>140.953883</v>
      </c>
      <c r="F151" t="n">
        <v>228.824285</v>
      </c>
      <c r="G151" t="n">
        <v>114.897152</v>
      </c>
      <c r="H151" t="n">
        <v>408.798022</v>
      </c>
      <c r="I151" t="n">
        <v>6590.793316</v>
      </c>
      <c r="J151" t="n">
        <v>7071.146917</v>
      </c>
      <c r="K151" t="n">
        <v>2576.928919</v>
      </c>
      <c r="L151" t="n">
        <v>10677.999207</v>
      </c>
      <c r="M151" t="n">
        <v>10677.999207</v>
      </c>
      <c r="N151" t="n">
        <v>10677.999207</v>
      </c>
      <c r="O151" t="n">
        <v>85.006417</v>
      </c>
      <c r="P151" t="n">
        <v>38.52237</v>
      </c>
      <c r="Q151" t="n">
        <v>10677.999207</v>
      </c>
      <c r="R151" t="n">
        <v>10677.999207</v>
      </c>
      <c r="S151" t="n">
        <v>85.006417</v>
      </c>
      <c r="T151" t="n">
        <v>85.006417</v>
      </c>
      <c r="U151" t="n">
        <v>38.52237</v>
      </c>
      <c r="V151" t="n">
        <v>38.52237</v>
      </c>
      <c r="W151" t="n">
        <v>88.306245</v>
      </c>
      <c r="X151" t="n">
        <v>11509.306401</v>
      </c>
    </row>
    <row r="152" ht="51" customHeight="1">
      <c r="A152" t="inlineStr">
        <is>
          <t>Psettodes erumei</t>
        </is>
      </c>
      <c r="B152" t="n">
        <v>4.39</v>
      </c>
      <c r="C152" t="n">
        <v>2454.708916</v>
      </c>
      <c r="D152" s="11" t="inlineStr">
        <is>
          <t>Demesral fish (≤ 30 cm) | Juvenile demersal fish (&gt; 30 cm) | Adult demersal fish (&gt; 30 cm)</t>
        </is>
      </c>
      <c r="E152" t="n">
        <v>140.953883</v>
      </c>
      <c r="F152" t="n">
        <v>177.371403</v>
      </c>
      <c r="G152" t="n">
        <v>91.310768</v>
      </c>
      <c r="H152" t="n">
        <v>295.208302</v>
      </c>
      <c r="I152" t="n">
        <v>4269.898312</v>
      </c>
      <c r="J152" t="n">
        <v>4574.511297</v>
      </c>
      <c r="K152" t="n">
        <v>1801.225895</v>
      </c>
      <c r="L152" t="n">
        <v>6846.4367</v>
      </c>
      <c r="M152" t="n">
        <v>6846.4367</v>
      </c>
      <c r="N152" t="n">
        <v>6846.4367</v>
      </c>
      <c r="O152" t="n">
        <v>67.536573</v>
      </c>
      <c r="P152" t="n">
        <v>32.007796</v>
      </c>
      <c r="Q152" t="n">
        <v>6846.4367</v>
      </c>
      <c r="R152" t="n">
        <v>6846.4367</v>
      </c>
      <c r="S152" t="n">
        <v>67.536573</v>
      </c>
      <c r="T152" t="n">
        <v>67.536573</v>
      </c>
      <c r="U152" t="n">
        <v>32.007796</v>
      </c>
      <c r="V152" t="n">
        <v>32.007796</v>
      </c>
      <c r="W152" t="n">
        <v>70.113483</v>
      </c>
      <c r="X152" t="n">
        <v>7370.741192</v>
      </c>
    </row>
    <row r="153" ht="21" customHeight="1">
      <c r="A153" t="inlineStr">
        <is>
          <t>Acetes</t>
        </is>
      </c>
      <c r="B153" t="n">
        <v>2.7</v>
      </c>
      <c r="C153" t="n">
        <v>50.118723</v>
      </c>
      <c r="D153" s="11" t="inlineStr">
        <is>
          <t>Zooplankton</t>
        </is>
      </c>
      <c r="E153" t="n">
        <v>140.953883</v>
      </c>
      <c r="F153" t="n">
        <v>10</v>
      </c>
      <c r="G153" t="n">
        <v>7.482941</v>
      </c>
      <c r="H153" t="n">
        <v>7.482941</v>
      </c>
      <c r="I153" t="n">
        <v>115.384615</v>
      </c>
      <c r="J153" t="n">
        <v>115.384615</v>
      </c>
      <c r="K153" t="n">
        <v>6</v>
      </c>
      <c r="L153" t="n">
        <v>114.728394</v>
      </c>
      <c r="M153" t="n">
        <v>114.728394</v>
      </c>
      <c r="N153" t="n">
        <v>114.728394</v>
      </c>
      <c r="O153" t="n">
        <v>6.05984</v>
      </c>
      <c r="P153" t="n">
        <v>4.848511</v>
      </c>
      <c r="Q153" t="n">
        <v>114.728394</v>
      </c>
      <c r="R153" t="n">
        <v>114.728394</v>
      </c>
      <c r="S153" t="n">
        <v>6.05984</v>
      </c>
      <c r="T153" t="n">
        <v>6.05984</v>
      </c>
      <c r="U153" t="n">
        <v>4.848511</v>
      </c>
      <c r="V153" t="n">
        <v>4.848511</v>
      </c>
      <c r="W153" t="n">
        <v>6.224783</v>
      </c>
      <c r="X153" t="n">
        <v>116.846993</v>
      </c>
    </row>
    <row r="154" ht="21" customHeight="1">
      <c r="A154" t="inlineStr">
        <is>
          <t>Cypselurus poecilopterus</t>
        </is>
      </c>
      <c r="B154" t="n">
        <v>3.4</v>
      </c>
      <c r="C154" t="n">
        <v>251.188643</v>
      </c>
      <c r="D154" s="11" t="inlineStr">
        <is>
          <t>Pelagic fish (≤ 30 cm)</t>
        </is>
      </c>
      <c r="E154" t="n">
        <v>140.953883</v>
      </c>
      <c r="F154" t="n">
        <v>60.479203</v>
      </c>
      <c r="G154" t="n">
        <v>36.07884</v>
      </c>
      <c r="H154" t="n">
        <v>45.98261</v>
      </c>
      <c r="I154" t="n">
        <v>395.888053</v>
      </c>
      <c r="J154" t="n">
        <v>395.888053</v>
      </c>
      <c r="K154" t="n">
        <v>376.09365</v>
      </c>
      <c r="L154" t="n">
        <v>393.787233</v>
      </c>
      <c r="M154" t="n">
        <v>393.787233</v>
      </c>
      <c r="N154" t="n">
        <v>393.787233</v>
      </c>
      <c r="O154" t="n">
        <v>20.916473</v>
      </c>
      <c r="P154" t="n">
        <v>13.510088</v>
      </c>
      <c r="Q154" t="n">
        <v>393.787233</v>
      </c>
      <c r="R154" t="n">
        <v>393.787233</v>
      </c>
      <c r="S154" t="n">
        <v>20.916473</v>
      </c>
      <c r="T154" t="n">
        <v>20.916473</v>
      </c>
      <c r="U154" t="n">
        <v>13.510088</v>
      </c>
      <c r="V154" t="n">
        <v>13.510088</v>
      </c>
      <c r="W154" t="n">
        <v>21.939981</v>
      </c>
      <c r="X154" t="n">
        <v>405.784084</v>
      </c>
    </row>
    <row r="155" ht="36" customHeight="1">
      <c r="A155" t="inlineStr">
        <is>
          <t>Decapterus russelli</t>
        </is>
      </c>
      <c r="B155" t="n">
        <v>3.68</v>
      </c>
      <c r="C155" t="n">
        <v>478.630092</v>
      </c>
      <c r="D155" s="11" t="inlineStr">
        <is>
          <t>Juvenile large pelagic fish | Pelagic fish (&gt; 30 cm)</t>
        </is>
      </c>
      <c r="E155" t="n">
        <v>140.953883</v>
      </c>
      <c r="F155" t="n">
        <v>200.641254</v>
      </c>
      <c r="G155" t="n">
        <v>102.228748</v>
      </c>
      <c r="H155" t="n">
        <v>215.010584</v>
      </c>
      <c r="I155" t="n">
        <v>6244.222521</v>
      </c>
      <c r="J155" t="n">
        <v>6325.914048</v>
      </c>
      <c r="K155" t="n">
        <v>1872.204427</v>
      </c>
      <c r="L155" t="n">
        <v>7112.982475</v>
      </c>
      <c r="M155" t="n">
        <v>7112.982475</v>
      </c>
      <c r="N155" t="n">
        <v>7112.982475</v>
      </c>
      <c r="O155" t="n">
        <v>87.969483</v>
      </c>
      <c r="P155" t="n">
        <v>46.580547</v>
      </c>
      <c r="Q155" t="n">
        <v>7112.982475</v>
      </c>
      <c r="R155" t="n">
        <v>7112.982475</v>
      </c>
      <c r="S155" t="n">
        <v>87.969483</v>
      </c>
      <c r="T155" t="n">
        <v>87.969483</v>
      </c>
      <c r="U155" t="n">
        <v>46.580547</v>
      </c>
      <c r="V155" t="n">
        <v>46.580547</v>
      </c>
      <c r="W155" t="n">
        <v>93.060855</v>
      </c>
      <c r="X155" t="n">
        <v>7459.131892</v>
      </c>
    </row>
    <row r="156" ht="36" customHeight="1">
      <c r="A156" t="inlineStr">
        <is>
          <t>Lethrinidae</t>
        </is>
      </c>
      <c r="B156" t="n">
        <v>3.59</v>
      </c>
      <c r="C156" t="n">
        <v>389.045145</v>
      </c>
      <c r="D156" s="11" t="inlineStr">
        <is>
          <t>Juvenile demersal fish (&gt; 30 cm) | Adult demersal fish (&gt; 30 cm)</t>
        </is>
      </c>
      <c r="E156" t="n">
        <v>140.953883</v>
      </c>
      <c r="F156" t="n">
        <v>228.824285</v>
      </c>
      <c r="G156" t="n">
        <v>114.897152</v>
      </c>
      <c r="H156" t="n">
        <v>408.798022</v>
      </c>
      <c r="I156" t="n">
        <v>6590.793316</v>
      </c>
      <c r="J156" t="n">
        <v>7071.146917</v>
      </c>
      <c r="K156" t="n">
        <v>2576.928919</v>
      </c>
      <c r="L156" t="n">
        <v>10677.999207</v>
      </c>
      <c r="M156" t="n">
        <v>10677.999207</v>
      </c>
      <c r="N156" t="n">
        <v>10677.999207</v>
      </c>
      <c r="O156" t="n">
        <v>85.006417</v>
      </c>
      <c r="P156" t="n">
        <v>38.52237</v>
      </c>
      <c r="Q156" t="n">
        <v>10677.999207</v>
      </c>
      <c r="R156" t="n">
        <v>10677.999207</v>
      </c>
      <c r="S156" t="n">
        <v>85.006417</v>
      </c>
      <c r="T156" t="n">
        <v>85.006417</v>
      </c>
      <c r="U156" t="n">
        <v>38.52237</v>
      </c>
      <c r="V156" t="n">
        <v>38.52237</v>
      </c>
      <c r="W156" t="n">
        <v>88.306245</v>
      </c>
      <c r="X156" t="n">
        <v>11509.306401</v>
      </c>
    </row>
    <row r="157" ht="36" customHeight="1">
      <c r="A157" t="inlineStr">
        <is>
          <t>Scomberoides</t>
        </is>
      </c>
      <c r="B157" t="n">
        <v>4.47</v>
      </c>
      <c r="C157" t="n">
        <v>2951.209227</v>
      </c>
      <c r="D157" s="11" t="inlineStr">
        <is>
          <t>Juvenile large pelagic fish | Pelagic fish (&gt; 30 cm)</t>
        </is>
      </c>
      <c r="E157" t="n">
        <v>140.953883</v>
      </c>
      <c r="F157" t="n">
        <v>200.641254</v>
      </c>
      <c r="G157" t="n">
        <v>102.228748</v>
      </c>
      <c r="H157" t="n">
        <v>215.010584</v>
      </c>
      <c r="I157" t="n">
        <v>6244.222521</v>
      </c>
      <c r="J157" t="n">
        <v>6325.914048</v>
      </c>
      <c r="K157" t="n">
        <v>1872.204427</v>
      </c>
      <c r="L157" t="n">
        <v>7112.982475</v>
      </c>
      <c r="M157" t="n">
        <v>7112.982475</v>
      </c>
      <c r="N157" t="n">
        <v>7112.982475</v>
      </c>
      <c r="O157" t="n">
        <v>87.969483</v>
      </c>
      <c r="P157" t="n">
        <v>46.580547</v>
      </c>
      <c r="Q157" t="n">
        <v>7112.982475</v>
      </c>
      <c r="R157" t="n">
        <v>7112.982475</v>
      </c>
      <c r="S157" t="n">
        <v>87.969483</v>
      </c>
      <c r="T157" t="n">
        <v>87.969483</v>
      </c>
      <c r="U157" t="n">
        <v>46.580547</v>
      </c>
      <c r="V157" t="n">
        <v>46.580547</v>
      </c>
      <c r="W157" t="n">
        <v>93.060855</v>
      </c>
      <c r="X157" t="n">
        <v>7459.131892</v>
      </c>
    </row>
    <row r="158" ht="36" customHeight="1">
      <c r="A158" t="inlineStr">
        <is>
          <t>Caranx</t>
        </is>
      </c>
      <c r="B158" t="n">
        <v>4.12</v>
      </c>
      <c r="C158" t="n">
        <v>1318.256739</v>
      </c>
      <c r="D158" s="11" t="inlineStr">
        <is>
          <t>Juvenile large pelagic fish | Pelagic fish (&gt; 30 cm)</t>
        </is>
      </c>
      <c r="E158" t="n">
        <v>140.953883</v>
      </c>
      <c r="F158" t="n">
        <v>200.641254</v>
      </c>
      <c r="G158" t="n">
        <v>102.228748</v>
      </c>
      <c r="H158" t="n">
        <v>215.010584</v>
      </c>
      <c r="I158" t="n">
        <v>6244.222521</v>
      </c>
      <c r="J158" t="n">
        <v>6325.914048</v>
      </c>
      <c r="K158" t="n">
        <v>1872.204427</v>
      </c>
      <c r="L158" t="n">
        <v>7112.982475</v>
      </c>
      <c r="M158" t="n">
        <v>7112.982475</v>
      </c>
      <c r="N158" t="n">
        <v>7112.982475</v>
      </c>
      <c r="O158" t="n">
        <v>87.969483</v>
      </c>
      <c r="P158" t="n">
        <v>46.580547</v>
      </c>
      <c r="Q158" t="n">
        <v>7112.982475</v>
      </c>
      <c r="R158" t="n">
        <v>7112.982475</v>
      </c>
      <c r="S158" t="n">
        <v>87.969483</v>
      </c>
      <c r="T158" t="n">
        <v>87.969483</v>
      </c>
      <c r="U158" t="n">
        <v>46.580547</v>
      </c>
      <c r="V158" t="n">
        <v>46.580547</v>
      </c>
      <c r="W158" t="n">
        <v>93.060855</v>
      </c>
      <c r="X158" t="n">
        <v>7459.131892</v>
      </c>
    </row>
    <row r="159" ht="36" customHeight="1">
      <c r="A159" t="inlineStr">
        <is>
          <t>Muraenesox</t>
        </is>
      </c>
      <c r="B159" t="n">
        <v>3.99</v>
      </c>
      <c r="C159" t="n">
        <v>977.237221</v>
      </c>
      <c r="D159" s="11" t="inlineStr">
        <is>
          <t>Juvenile demersal fish (&gt; 30 cm) | Adult demersal fish (&gt; 30 cm)</t>
        </is>
      </c>
      <c r="E159" t="n">
        <v>140.953883</v>
      </c>
      <c r="F159" t="n">
        <v>228.824285</v>
      </c>
      <c r="G159" t="n">
        <v>114.897152</v>
      </c>
      <c r="H159" t="n">
        <v>408.798022</v>
      </c>
      <c r="I159" t="n">
        <v>6590.793316</v>
      </c>
      <c r="J159" t="n">
        <v>7071.146917</v>
      </c>
      <c r="K159" t="n">
        <v>2576.928919</v>
      </c>
      <c r="L159" t="n">
        <v>10677.999207</v>
      </c>
      <c r="M159" t="n">
        <v>10677.999207</v>
      </c>
      <c r="N159" t="n">
        <v>10677.999207</v>
      </c>
      <c r="O159" t="n">
        <v>85.006417</v>
      </c>
      <c r="P159" t="n">
        <v>38.52237</v>
      </c>
      <c r="Q159" t="n">
        <v>10677.999207</v>
      </c>
      <c r="R159" t="n">
        <v>10677.999207</v>
      </c>
      <c r="S159" t="n">
        <v>85.006417</v>
      </c>
      <c r="T159" t="n">
        <v>85.006417</v>
      </c>
      <c r="U159" t="n">
        <v>38.52237</v>
      </c>
      <c r="V159" t="n">
        <v>38.52237</v>
      </c>
      <c r="W159" t="n">
        <v>88.306245</v>
      </c>
      <c r="X159" t="n">
        <v>11509.306401</v>
      </c>
    </row>
    <row r="160" ht="21" customHeight="1">
      <c r="A160" t="inlineStr">
        <is>
          <t>Cephalopholis boenak</t>
        </is>
      </c>
      <c r="B160" t="n">
        <v>4.07</v>
      </c>
      <c r="C160" t="n">
        <v>1174.897555</v>
      </c>
      <c r="D160" s="11" t="inlineStr">
        <is>
          <t>Adult groupers</t>
        </is>
      </c>
      <c r="E160" t="n">
        <v>140.953883</v>
      </c>
      <c r="F160" t="n">
        <v>539.046528</v>
      </c>
      <c r="G160" t="n">
        <v>244.14</v>
      </c>
      <c r="H160" t="n">
        <v>669.483011</v>
      </c>
      <c r="I160" t="n">
        <v>10399.759602</v>
      </c>
      <c r="J160" t="n">
        <v>10694.630086</v>
      </c>
      <c r="K160" t="n">
        <v>4010.486282</v>
      </c>
      <c r="L160" t="n">
        <v>14214.100911</v>
      </c>
      <c r="M160" t="n">
        <v>14214.100911</v>
      </c>
      <c r="N160" t="n">
        <v>14214.100911</v>
      </c>
      <c r="O160" t="n">
        <v>203.72024</v>
      </c>
      <c r="P160" t="n">
        <v>90.708206</v>
      </c>
      <c r="Q160" t="n">
        <v>14214.100911</v>
      </c>
      <c r="R160" t="n">
        <v>14214.100911</v>
      </c>
      <c r="S160" t="n">
        <v>203.72024</v>
      </c>
      <c r="T160" t="n">
        <v>203.72024</v>
      </c>
      <c r="U160" t="n">
        <v>90.708206</v>
      </c>
      <c r="V160" t="n">
        <v>90.708206</v>
      </c>
      <c r="W160" t="n">
        <v>213.076898</v>
      </c>
      <c r="X160" t="n">
        <v>15231.972848</v>
      </c>
    </row>
    <row r="161" ht="21" customHeight="1">
      <c r="A161" t="inlineStr">
        <is>
          <t>Decapterus maruadsi</t>
        </is>
      </c>
      <c r="B161" t="n">
        <v>3.4</v>
      </c>
      <c r="C161" t="n">
        <v>251.188643</v>
      </c>
      <c r="D161" s="11" t="inlineStr">
        <is>
          <t>Pelagic fish (≤ 30 cm)</t>
        </is>
      </c>
      <c r="E161" t="n">
        <v>140.953883</v>
      </c>
      <c r="F161" t="n">
        <v>60.479203</v>
      </c>
      <c r="G161" t="n">
        <v>36.07884</v>
      </c>
      <c r="H161" t="n">
        <v>45.98261</v>
      </c>
      <c r="I161" t="n">
        <v>395.888053</v>
      </c>
      <c r="J161" t="n">
        <v>395.888053</v>
      </c>
      <c r="K161" t="n">
        <v>376.09365</v>
      </c>
      <c r="L161" t="n">
        <v>393.787233</v>
      </c>
      <c r="M161" t="n">
        <v>393.787233</v>
      </c>
      <c r="N161" t="n">
        <v>393.787233</v>
      </c>
      <c r="O161" t="n">
        <v>20.916473</v>
      </c>
      <c r="P161" t="n">
        <v>13.510088</v>
      </c>
      <c r="Q161" t="n">
        <v>393.787233</v>
      </c>
      <c r="R161" t="n">
        <v>393.787233</v>
      </c>
      <c r="S161" t="n">
        <v>20.916473</v>
      </c>
      <c r="T161" t="n">
        <v>20.916473</v>
      </c>
      <c r="U161" t="n">
        <v>13.510088</v>
      </c>
      <c r="V161" t="n">
        <v>13.510088</v>
      </c>
      <c r="W161" t="n">
        <v>21.939981</v>
      </c>
      <c r="X161" t="n">
        <v>405.784084</v>
      </c>
    </row>
    <row r="162" ht="21" customHeight="1">
      <c r="A162" t="inlineStr">
        <is>
          <t>Veneridae</t>
        </is>
      </c>
      <c r="B162" t="n">
        <v>2</v>
      </c>
      <c r="C162" t="n">
        <v>10</v>
      </c>
      <c r="D162" s="11" t="inlineStr">
        <is>
          <t>Non-ceph molluscs</t>
        </is>
      </c>
      <c r="E162" t="n">
        <v>140.953883</v>
      </c>
      <c r="F162" t="n">
        <v>14.712171</v>
      </c>
      <c r="G162" t="n">
        <v>10.486582</v>
      </c>
      <c r="H162" t="n">
        <v>17.347998</v>
      </c>
      <c r="I162" t="n">
        <v>87.52377799999999</v>
      </c>
      <c r="J162" t="n">
        <v>87.52377799999999</v>
      </c>
      <c r="K162" t="n">
        <v>33.521607</v>
      </c>
      <c r="L162" t="n">
        <v>92.59366</v>
      </c>
      <c r="M162" t="n">
        <v>92.59366</v>
      </c>
      <c r="N162" t="n">
        <v>92.59366</v>
      </c>
      <c r="O162" t="n">
        <v>4.448657</v>
      </c>
      <c r="P162" t="n">
        <v>3.058348</v>
      </c>
      <c r="Q162" t="n">
        <v>92.59366</v>
      </c>
      <c r="R162" t="n">
        <v>92.59366</v>
      </c>
      <c r="S162" t="n">
        <v>4.448657</v>
      </c>
      <c r="T162" t="n">
        <v>4.448657</v>
      </c>
      <c r="U162" t="n">
        <v>3.058348</v>
      </c>
      <c r="V162" t="n">
        <v>3.058348</v>
      </c>
      <c r="W162" t="n">
        <v>4.556294</v>
      </c>
      <c r="X162" t="n">
        <v>96.447226</v>
      </c>
    </row>
    <row r="163" ht="21" customHeight="1">
      <c r="A163" t="inlineStr">
        <is>
          <t>Isurus</t>
        </is>
      </c>
      <c r="B163" t="n">
        <v>4.5</v>
      </c>
      <c r="C163" t="n">
        <v>3162.27766</v>
      </c>
      <c r="D163" s="11" t="inlineStr">
        <is>
          <t>Pelagic sharks and rays</t>
        </is>
      </c>
      <c r="E163" t="n">
        <v>140.953883</v>
      </c>
      <c r="F163" t="n">
        <v>908.988005</v>
      </c>
      <c r="G163" t="n">
        <v>385.472886</v>
      </c>
      <c r="H163" t="n">
        <v>784.4685459999999</v>
      </c>
      <c r="I163" t="n">
        <v>125208.792952</v>
      </c>
      <c r="J163" t="n">
        <v>126616.154086</v>
      </c>
      <c r="K163" t="n">
        <v>63308.077043</v>
      </c>
      <c r="L163" t="n">
        <v>172174.15174</v>
      </c>
      <c r="M163" t="n">
        <v>172174.151739</v>
      </c>
      <c r="N163" t="n">
        <v>172174.151739</v>
      </c>
      <c r="O163" t="n">
        <v>202.141045</v>
      </c>
      <c r="P163" t="n">
        <v>87.49926499999999</v>
      </c>
      <c r="Q163" t="n">
        <v>172174.151739</v>
      </c>
      <c r="R163" t="n">
        <v>172174.151739</v>
      </c>
      <c r="S163" t="n">
        <v>202.141045</v>
      </c>
      <c r="T163" t="n">
        <v>202.141045</v>
      </c>
      <c r="U163" t="n">
        <v>87.49926499999999</v>
      </c>
      <c r="V163" t="n">
        <v>87.49926499999999</v>
      </c>
      <c r="W163" t="n">
        <v>214.928725</v>
      </c>
      <c r="X163" t="n">
        <v>183923.261916</v>
      </c>
    </row>
    <row r="164" ht="36" customHeight="1">
      <c r="A164" t="inlineStr">
        <is>
          <t>Sphyraenidae</t>
        </is>
      </c>
      <c r="B164" t="n">
        <v>4.4</v>
      </c>
      <c r="C164" t="n">
        <v>2511.886432</v>
      </c>
      <c r="D164" s="11" t="inlineStr">
        <is>
          <t>Juvenile large pelagic fish | Pelagic fish (&gt; 30 cm)</t>
        </is>
      </c>
      <c r="E164" t="n">
        <v>140.953883</v>
      </c>
      <c r="F164" t="n">
        <v>200.641254</v>
      </c>
      <c r="G164" t="n">
        <v>102.228748</v>
      </c>
      <c r="H164" t="n">
        <v>215.010584</v>
      </c>
      <c r="I164" t="n">
        <v>6244.222521</v>
      </c>
      <c r="J164" t="n">
        <v>6325.914048</v>
      </c>
      <c r="K164" t="n">
        <v>1872.204427</v>
      </c>
      <c r="L164" t="n">
        <v>7112.982475</v>
      </c>
      <c r="M164" t="n">
        <v>7112.982475</v>
      </c>
      <c r="N164" t="n">
        <v>7112.982475</v>
      </c>
      <c r="O164" t="n">
        <v>87.969483</v>
      </c>
      <c r="P164" t="n">
        <v>46.580547</v>
      </c>
      <c r="Q164" t="n">
        <v>7112.982475</v>
      </c>
      <c r="R164" t="n">
        <v>7112.982475</v>
      </c>
      <c r="S164" t="n">
        <v>87.969483</v>
      </c>
      <c r="T164" t="n">
        <v>87.969483</v>
      </c>
      <c r="U164" t="n">
        <v>46.580547</v>
      </c>
      <c r="V164" t="n">
        <v>46.580547</v>
      </c>
      <c r="W164" t="n">
        <v>93.060855</v>
      </c>
      <c r="X164" t="n">
        <v>7459.131892</v>
      </c>
    </row>
    <row r="165" ht="21" customHeight="1">
      <c r="A165" t="inlineStr">
        <is>
          <t>Mene maculata</t>
        </is>
      </c>
      <c r="B165" t="n">
        <v>3.45</v>
      </c>
      <c r="C165" t="n">
        <v>281.838293</v>
      </c>
      <c r="D165" s="11" t="inlineStr">
        <is>
          <t>Benthopelagic fish</t>
        </is>
      </c>
      <c r="E165" t="n">
        <v>140.953883</v>
      </c>
      <c r="F165" t="n">
        <v>57.638856</v>
      </c>
      <c r="G165" t="n">
        <v>34.593347</v>
      </c>
      <c r="H165" t="n">
        <v>74.650282</v>
      </c>
      <c r="I165" t="n">
        <v>512.103289</v>
      </c>
      <c r="J165" t="n">
        <v>553.467817</v>
      </c>
      <c r="K165" t="n">
        <v>525.794426</v>
      </c>
      <c r="L165" t="n">
        <v>602.712303</v>
      </c>
      <c r="M165" t="n">
        <v>602.712303</v>
      </c>
      <c r="N165" t="n">
        <v>602.712303</v>
      </c>
      <c r="O165" t="n">
        <v>31.190871</v>
      </c>
      <c r="P165" t="n">
        <v>18.283791</v>
      </c>
      <c r="Q165" t="n">
        <v>602.712303</v>
      </c>
      <c r="R165" t="n">
        <v>602.712303</v>
      </c>
      <c r="S165" t="n">
        <v>31.190871</v>
      </c>
      <c r="T165" t="n">
        <v>31.190871</v>
      </c>
      <c r="U165" t="n">
        <v>18.283791</v>
      </c>
      <c r="V165" t="n">
        <v>18.283791</v>
      </c>
      <c r="W165" t="n">
        <v>32.089433</v>
      </c>
      <c r="X165" t="n">
        <v>622.065443</v>
      </c>
    </row>
    <row r="166" ht="36" customHeight="1">
      <c r="A166" t="inlineStr">
        <is>
          <t>Chirocentrus</t>
        </is>
      </c>
      <c r="B166" t="n">
        <v>4.3</v>
      </c>
      <c r="C166" t="n">
        <v>1995.262315</v>
      </c>
      <c r="D166" s="11" t="inlineStr">
        <is>
          <t>Juvenile large pelagic fish | Pelagic fish (&gt; 30 cm)</t>
        </is>
      </c>
      <c r="E166" t="n">
        <v>140.953883</v>
      </c>
      <c r="F166" t="n">
        <v>200.641254</v>
      </c>
      <c r="G166" t="n">
        <v>102.228748</v>
      </c>
      <c r="H166" t="n">
        <v>215.010584</v>
      </c>
      <c r="I166" t="n">
        <v>6244.222521</v>
      </c>
      <c r="J166" t="n">
        <v>6325.914048</v>
      </c>
      <c r="K166" t="n">
        <v>1872.204427</v>
      </c>
      <c r="L166" t="n">
        <v>7112.982475</v>
      </c>
      <c r="M166" t="n">
        <v>7112.982475</v>
      </c>
      <c r="N166" t="n">
        <v>7112.982475</v>
      </c>
      <c r="O166" t="n">
        <v>87.969483</v>
      </c>
      <c r="P166" t="n">
        <v>46.580547</v>
      </c>
      <c r="Q166" t="n">
        <v>7112.982475</v>
      </c>
      <c r="R166" t="n">
        <v>7112.982475</v>
      </c>
      <c r="S166" t="n">
        <v>87.969483</v>
      </c>
      <c r="T166" t="n">
        <v>87.969483</v>
      </c>
      <c r="U166" t="n">
        <v>46.580547</v>
      </c>
      <c r="V166" t="n">
        <v>46.580547</v>
      </c>
      <c r="W166" t="n">
        <v>93.060855</v>
      </c>
      <c r="X166" t="n">
        <v>7459.131892</v>
      </c>
    </row>
    <row r="167" ht="21" customHeight="1">
      <c r="A167" t="inlineStr">
        <is>
          <t>Portunus</t>
        </is>
      </c>
      <c r="B167" t="n">
        <v>3.26</v>
      </c>
      <c r="C167" t="n">
        <v>181.970086</v>
      </c>
      <c r="D167" s="11" t="inlineStr">
        <is>
          <t>Crabs</t>
        </is>
      </c>
      <c r="E167" t="n">
        <v>140.953883</v>
      </c>
      <c r="F167" t="n">
        <v>33.254785</v>
      </c>
      <c r="G167" t="n">
        <v>21.389991</v>
      </c>
      <c r="H167" t="n">
        <v>53.354334</v>
      </c>
      <c r="I167" t="n">
        <v>151.084056</v>
      </c>
      <c r="J167" t="n">
        <v>151.084056</v>
      </c>
      <c r="K167" t="n">
        <v>143.529853</v>
      </c>
      <c r="L167" t="n">
        <v>173.938876</v>
      </c>
      <c r="M167" t="n">
        <v>173.938876</v>
      </c>
      <c r="N167" t="n">
        <v>173.938876</v>
      </c>
      <c r="O167" t="n">
        <v>13.215653</v>
      </c>
      <c r="P167" t="n">
        <v>8.00437</v>
      </c>
      <c r="Q167" t="n">
        <v>173.938876</v>
      </c>
      <c r="R167" t="n">
        <v>173.938876</v>
      </c>
      <c r="S167" t="n">
        <v>13.215653</v>
      </c>
      <c r="T167" t="n">
        <v>13.215653</v>
      </c>
      <c r="U167" t="n">
        <v>8.00437</v>
      </c>
      <c r="V167" t="n">
        <v>8.00437</v>
      </c>
      <c r="W167" t="n">
        <v>13.539814</v>
      </c>
      <c r="X167" t="n">
        <v>184.933079</v>
      </c>
    </row>
    <row r="168" ht="51" customHeight="1">
      <c r="A168" t="inlineStr">
        <is>
          <t>Pleuronectiformes</t>
        </is>
      </c>
      <c r="B168" t="n">
        <v>3.57</v>
      </c>
      <c r="C168" t="n">
        <v>371.535229</v>
      </c>
      <c r="D168" s="11" t="inlineStr">
        <is>
          <t>Demesral fish (≤ 30 cm) | Juvenile demersal fish (&gt; 30 cm) | Adult demersal fish (&gt; 30 cm)</t>
        </is>
      </c>
      <c r="E168" t="n">
        <v>140.953883</v>
      </c>
      <c r="F168" t="n">
        <v>177.371403</v>
      </c>
      <c r="G168" t="n">
        <v>91.310768</v>
      </c>
      <c r="H168" t="n">
        <v>295.208302</v>
      </c>
      <c r="I168" t="n">
        <v>4269.898312</v>
      </c>
      <c r="J168" t="n">
        <v>4574.511297</v>
      </c>
      <c r="K168" t="n">
        <v>1801.225895</v>
      </c>
      <c r="L168" t="n">
        <v>6846.4367</v>
      </c>
      <c r="M168" t="n">
        <v>6846.4367</v>
      </c>
      <c r="N168" t="n">
        <v>6846.4367</v>
      </c>
      <c r="O168" t="n">
        <v>67.536573</v>
      </c>
      <c r="P168" t="n">
        <v>32.007796</v>
      </c>
      <c r="Q168" t="n">
        <v>6846.4367</v>
      </c>
      <c r="R168" t="n">
        <v>6846.4367</v>
      </c>
      <c r="S168" t="n">
        <v>67.536573</v>
      </c>
      <c r="T168" t="n">
        <v>67.536573</v>
      </c>
      <c r="U168" t="n">
        <v>32.007796</v>
      </c>
      <c r="V168" t="n">
        <v>32.007796</v>
      </c>
      <c r="W168" t="n">
        <v>70.113483</v>
      </c>
      <c r="X168" t="n">
        <v>7370.741192</v>
      </c>
    </row>
    <row r="169" ht="51" customHeight="1">
      <c r="A169" t="inlineStr">
        <is>
          <t>Paralichthys olivaceus</t>
        </is>
      </c>
      <c r="B169" t="n">
        <v>4.25</v>
      </c>
      <c r="C169" t="n">
        <v>1778.27941</v>
      </c>
      <c r="D169" s="11" t="inlineStr">
        <is>
          <t>Demesral fish (≤ 30 cm) | Juvenile demersal fish (&gt; 30 cm) | Adult demersal fish (&gt; 30 cm)</t>
        </is>
      </c>
      <c r="E169" t="n">
        <v>140.953883</v>
      </c>
      <c r="F169" t="n">
        <v>177.371403</v>
      </c>
      <c r="G169" t="n">
        <v>91.310768</v>
      </c>
      <c r="H169" t="n">
        <v>295.208302</v>
      </c>
      <c r="I169" t="n">
        <v>4269.898312</v>
      </c>
      <c r="J169" t="n">
        <v>4574.511297</v>
      </c>
      <c r="K169" t="n">
        <v>1801.225895</v>
      </c>
      <c r="L169" t="n">
        <v>6846.4367</v>
      </c>
      <c r="M169" t="n">
        <v>6846.4367</v>
      </c>
      <c r="N169" t="n">
        <v>6846.4367</v>
      </c>
      <c r="O169" t="n">
        <v>67.536573</v>
      </c>
      <c r="P169" t="n">
        <v>32.007796</v>
      </c>
      <c r="Q169" t="n">
        <v>6846.4367</v>
      </c>
      <c r="R169" t="n">
        <v>6846.4367</v>
      </c>
      <c r="S169" t="n">
        <v>67.536573</v>
      </c>
      <c r="T169" t="n">
        <v>67.536573</v>
      </c>
      <c r="U169" t="n">
        <v>32.007796</v>
      </c>
      <c r="V169" t="n">
        <v>32.007796</v>
      </c>
      <c r="W169" t="n">
        <v>70.113483</v>
      </c>
      <c r="X169" t="n">
        <v>7370.741192</v>
      </c>
    </row>
    <row r="170" ht="21" customHeight="1">
      <c r="A170" t="inlineStr">
        <is>
          <t>Polynemidae</t>
        </is>
      </c>
      <c r="B170" t="n">
        <v>3.62</v>
      </c>
      <c r="C170" t="n">
        <v>416.869383</v>
      </c>
      <c r="D170" s="11" t="inlineStr">
        <is>
          <t>Demesral fish (≤ 30 cm)</t>
        </is>
      </c>
      <c r="E170" t="n">
        <v>140.953883</v>
      </c>
      <c r="F170" t="n">
        <v>95.34341499999999</v>
      </c>
      <c r="G170" t="n">
        <v>53.708528</v>
      </c>
      <c r="H170" t="n">
        <v>114.11959</v>
      </c>
      <c r="I170" t="n">
        <v>569.846189</v>
      </c>
      <c r="J170" t="n">
        <v>594.287325</v>
      </c>
      <c r="K170" t="n">
        <v>564.572959</v>
      </c>
      <c r="L170" t="n">
        <v>738.02552</v>
      </c>
      <c r="M170" t="n">
        <v>738.02552</v>
      </c>
      <c r="N170" t="n">
        <v>738.02552</v>
      </c>
      <c r="O170" t="n">
        <v>39.685535</v>
      </c>
      <c r="P170" t="n">
        <v>21.622034</v>
      </c>
      <c r="Q170" t="n">
        <v>738.02552</v>
      </c>
      <c r="R170" t="n">
        <v>738.02552</v>
      </c>
      <c r="S170" t="n">
        <v>39.685535</v>
      </c>
      <c r="T170" t="n">
        <v>39.685535</v>
      </c>
      <c r="U170" t="n">
        <v>21.622034</v>
      </c>
      <c r="V170" t="n">
        <v>21.622034</v>
      </c>
      <c r="W170" t="n">
        <v>41.109943</v>
      </c>
      <c r="X170" t="n">
        <v>772.895549</v>
      </c>
    </row>
    <row r="171" ht="36" customHeight="1">
      <c r="A171" t="inlineStr">
        <is>
          <t>Caranx ignobilis</t>
        </is>
      </c>
      <c r="B171" t="n">
        <v>4.22</v>
      </c>
      <c r="C171" t="n">
        <v>1659.586907</v>
      </c>
      <c r="D171" s="11" t="inlineStr">
        <is>
          <t>Juvenile large pelagic fish | Pelagic fish (&gt; 30 cm)</t>
        </is>
      </c>
      <c r="E171" t="n">
        <v>140.953883</v>
      </c>
      <c r="F171" t="n">
        <v>200.641254</v>
      </c>
      <c r="G171" t="n">
        <v>102.228748</v>
      </c>
      <c r="H171" t="n">
        <v>215.010584</v>
      </c>
      <c r="I171" t="n">
        <v>6244.222521</v>
      </c>
      <c r="J171" t="n">
        <v>6325.914048</v>
      </c>
      <c r="K171" t="n">
        <v>1872.204427</v>
      </c>
      <c r="L171" t="n">
        <v>7112.982475</v>
      </c>
      <c r="M171" t="n">
        <v>7112.982475</v>
      </c>
      <c r="N171" t="n">
        <v>7112.982475</v>
      </c>
      <c r="O171" t="n">
        <v>87.969483</v>
      </c>
      <c r="P171" t="n">
        <v>46.580547</v>
      </c>
      <c r="Q171" t="n">
        <v>7112.982475</v>
      </c>
      <c r="R171" t="n">
        <v>7112.982475</v>
      </c>
      <c r="S171" t="n">
        <v>87.969483</v>
      </c>
      <c r="T171" t="n">
        <v>87.969483</v>
      </c>
      <c r="U171" t="n">
        <v>46.580547</v>
      </c>
      <c r="V171" t="n">
        <v>46.580547</v>
      </c>
      <c r="W171" t="n">
        <v>93.060855</v>
      </c>
      <c r="X171" t="n">
        <v>7459.131892</v>
      </c>
    </row>
    <row r="172" ht="36" customHeight="1">
      <c r="A172" t="inlineStr">
        <is>
          <t>Pomadasys</t>
        </is>
      </c>
      <c r="B172" t="n">
        <v>3.59</v>
      </c>
      <c r="C172" t="n">
        <v>389.045145</v>
      </c>
      <c r="D172" s="11" t="inlineStr">
        <is>
          <t>Juvenile demersal fish (&gt; 30 cm) | Adult demersal fish (&gt; 30 cm)</t>
        </is>
      </c>
      <c r="E172" t="n">
        <v>140.953883</v>
      </c>
      <c r="F172" t="n">
        <v>228.824285</v>
      </c>
      <c r="G172" t="n">
        <v>114.897152</v>
      </c>
      <c r="H172" t="n">
        <v>408.798022</v>
      </c>
      <c r="I172" t="n">
        <v>6590.793316</v>
      </c>
      <c r="J172" t="n">
        <v>7071.146917</v>
      </c>
      <c r="K172" t="n">
        <v>2576.928919</v>
      </c>
      <c r="L172" t="n">
        <v>10677.999207</v>
      </c>
      <c r="M172" t="n">
        <v>10677.999207</v>
      </c>
      <c r="N172" t="n">
        <v>10677.999207</v>
      </c>
      <c r="O172" t="n">
        <v>85.006417</v>
      </c>
      <c r="P172" t="n">
        <v>38.52237</v>
      </c>
      <c r="Q172" t="n">
        <v>10677.999207</v>
      </c>
      <c r="R172" t="n">
        <v>10677.999207</v>
      </c>
      <c r="S172" t="n">
        <v>85.006417</v>
      </c>
      <c r="T172" t="n">
        <v>85.006417</v>
      </c>
      <c r="U172" t="n">
        <v>38.52237</v>
      </c>
      <c r="V172" t="n">
        <v>38.52237</v>
      </c>
      <c r="W172" t="n">
        <v>88.306245</v>
      </c>
      <c r="X172" t="n">
        <v>11509.306401</v>
      </c>
    </row>
    <row r="173" ht="21" customHeight="1">
      <c r="A173" t="inlineStr">
        <is>
          <t>Gastropoda</t>
        </is>
      </c>
      <c r="B173" t="n">
        <v>3.06</v>
      </c>
      <c r="C173" t="n">
        <v>114.815362</v>
      </c>
      <c r="D173" s="11" t="inlineStr">
        <is>
          <t>Non-ceph molluscs</t>
        </is>
      </c>
      <c r="E173" t="n">
        <v>140.953883</v>
      </c>
      <c r="F173" t="n">
        <v>14.712171</v>
      </c>
      <c r="G173" t="n">
        <v>10.486582</v>
      </c>
      <c r="H173" t="n">
        <v>17.347998</v>
      </c>
      <c r="I173" t="n">
        <v>87.52377799999999</v>
      </c>
      <c r="J173" t="n">
        <v>87.52377799999999</v>
      </c>
      <c r="K173" t="n">
        <v>33.521607</v>
      </c>
      <c r="L173" t="n">
        <v>92.59366</v>
      </c>
      <c r="M173" t="n">
        <v>92.59366</v>
      </c>
      <c r="N173" t="n">
        <v>92.59366</v>
      </c>
      <c r="O173" t="n">
        <v>4.448657</v>
      </c>
      <c r="P173" t="n">
        <v>3.058348</v>
      </c>
      <c r="Q173" t="n">
        <v>92.59366</v>
      </c>
      <c r="R173" t="n">
        <v>92.59366</v>
      </c>
      <c r="S173" t="n">
        <v>4.448657</v>
      </c>
      <c r="T173" t="n">
        <v>4.448657</v>
      </c>
      <c r="U173" t="n">
        <v>3.058348</v>
      </c>
      <c r="V173" t="n">
        <v>3.058348</v>
      </c>
      <c r="W173" t="n">
        <v>4.556294</v>
      </c>
      <c r="X173" t="n">
        <v>96.447226</v>
      </c>
    </row>
    <row r="174" ht="21" customHeight="1">
      <c r="A174" t="inlineStr">
        <is>
          <t>Psenopsis anomala</t>
        </is>
      </c>
      <c r="B174" t="n">
        <v>4</v>
      </c>
      <c r="C174" t="n">
        <v>1000</v>
      </c>
      <c r="D174" s="11" t="inlineStr">
        <is>
          <t>Melon seed</t>
        </is>
      </c>
      <c r="E174" t="n">
        <v>140.953883</v>
      </c>
      <c r="F174" t="n">
        <v>105.954074</v>
      </c>
      <c r="G174" t="n">
        <v>58.897834</v>
      </c>
      <c r="H174" t="n">
        <v>94.696302</v>
      </c>
      <c r="I174" t="n">
        <v>1687.26083</v>
      </c>
      <c r="J174" t="n">
        <v>1714.476263</v>
      </c>
      <c r="K174" t="n">
        <v>1652.755118</v>
      </c>
      <c r="L174" t="n">
        <v>1871.214813</v>
      </c>
      <c r="M174" t="n">
        <v>1871.214813</v>
      </c>
      <c r="N174" t="n">
        <v>1871.214813</v>
      </c>
      <c r="O174" t="n">
        <v>83.98319100000001</v>
      </c>
      <c r="P174" t="n">
        <v>49.600357</v>
      </c>
      <c r="Q174" t="n">
        <v>1871.214813</v>
      </c>
      <c r="R174" t="n">
        <v>1871.214813</v>
      </c>
      <c r="S174" t="n">
        <v>83.98319100000001</v>
      </c>
      <c r="T174" t="n">
        <v>83.98319100000001</v>
      </c>
      <c r="U174" t="n">
        <v>49.600357</v>
      </c>
      <c r="V174" t="n">
        <v>49.600357</v>
      </c>
      <c r="W174" t="n">
        <v>88.607298</v>
      </c>
      <c r="X174" t="n">
        <v>1933.149653</v>
      </c>
    </row>
    <row r="175" ht="36" customHeight="1">
      <c r="A175" t="inlineStr">
        <is>
          <t>Platycephalus indicus</t>
        </is>
      </c>
      <c r="B175" t="n">
        <v>3.6</v>
      </c>
      <c r="C175" t="n">
        <v>398.107171</v>
      </c>
      <c r="D175" s="11" t="inlineStr">
        <is>
          <t>Juvenile demersal fish (&gt; 30 cm) | Adult demersal fish (&gt; 30 cm)</t>
        </is>
      </c>
      <c r="E175" t="n">
        <v>140.953883</v>
      </c>
      <c r="F175" t="n">
        <v>228.824285</v>
      </c>
      <c r="G175" t="n">
        <v>114.897152</v>
      </c>
      <c r="H175" t="n">
        <v>408.798022</v>
      </c>
      <c r="I175" t="n">
        <v>6590.793316</v>
      </c>
      <c r="J175" t="n">
        <v>7071.146917</v>
      </c>
      <c r="K175" t="n">
        <v>2576.928919</v>
      </c>
      <c r="L175" t="n">
        <v>10677.999207</v>
      </c>
      <c r="M175" t="n">
        <v>10677.999207</v>
      </c>
      <c r="N175" t="n">
        <v>10677.999207</v>
      </c>
      <c r="O175" t="n">
        <v>85.006417</v>
      </c>
      <c r="P175" t="n">
        <v>38.52237</v>
      </c>
      <c r="Q175" t="n">
        <v>10677.999207</v>
      </c>
      <c r="R175" t="n">
        <v>10677.999207</v>
      </c>
      <c r="S175" t="n">
        <v>85.006417</v>
      </c>
      <c r="T175" t="n">
        <v>85.006417</v>
      </c>
      <c r="U175" t="n">
        <v>38.52237</v>
      </c>
      <c r="V175" t="n">
        <v>38.52237</v>
      </c>
      <c r="W175" t="n">
        <v>88.306245</v>
      </c>
      <c r="X175" t="n">
        <v>11509.306401</v>
      </c>
    </row>
    <row r="176" ht="21" customHeight="1">
      <c r="A176" t="inlineStr">
        <is>
          <t>Ommastrephidae</t>
        </is>
      </c>
      <c r="B176" t="n">
        <v>4.09</v>
      </c>
      <c r="C176" t="n">
        <v>1230.268771</v>
      </c>
      <c r="D176" s="11" t="inlineStr">
        <is>
          <t>Cephalopods</t>
        </is>
      </c>
      <c r="E176" t="n">
        <v>140.953883</v>
      </c>
      <c r="F176" t="n">
        <v>170.518341</v>
      </c>
      <c r="G176" t="n">
        <v>89.274901</v>
      </c>
      <c r="H176" t="n">
        <v>176.937394</v>
      </c>
      <c r="I176" t="n">
        <v>1050.872908</v>
      </c>
      <c r="J176" t="n">
        <v>1075.829695</v>
      </c>
      <c r="K176" t="n">
        <v>537.914847</v>
      </c>
      <c r="L176" t="n">
        <v>1659.687874</v>
      </c>
      <c r="M176" t="n">
        <v>1659.687874</v>
      </c>
      <c r="N176" t="n">
        <v>1659.687874</v>
      </c>
      <c r="O176" t="n">
        <v>31.362197</v>
      </c>
      <c r="P176" t="n">
        <v>16.184075</v>
      </c>
      <c r="Q176" t="n">
        <v>1659.687874</v>
      </c>
      <c r="R176" t="n">
        <v>1659.687874</v>
      </c>
      <c r="S176" t="n">
        <v>31.362197</v>
      </c>
      <c r="T176" t="n">
        <v>31.362197</v>
      </c>
      <c r="U176" t="n">
        <v>16.184075</v>
      </c>
      <c r="V176" t="n">
        <v>16.184075</v>
      </c>
      <c r="W176" t="n">
        <v>32.286772</v>
      </c>
      <c r="X176" t="n">
        <v>1775.112325</v>
      </c>
    </row>
    <row r="177" ht="21" customHeight="1">
      <c r="A177" t="inlineStr">
        <is>
          <t>Gobiidae</t>
        </is>
      </c>
      <c r="B177" t="n">
        <v>3.11</v>
      </c>
      <c r="C177" t="n">
        <v>128.824955</v>
      </c>
      <c r="D177" s="11" t="inlineStr">
        <is>
          <t>Demesral fish (≤ 30 cm)</t>
        </is>
      </c>
      <c r="E177" t="n">
        <v>140.953883</v>
      </c>
      <c r="F177" t="n">
        <v>95.34341499999999</v>
      </c>
      <c r="G177" t="n">
        <v>53.708528</v>
      </c>
      <c r="H177" t="n">
        <v>114.11959</v>
      </c>
      <c r="I177" t="n">
        <v>569.846189</v>
      </c>
      <c r="J177" t="n">
        <v>594.287325</v>
      </c>
      <c r="K177" t="n">
        <v>564.572959</v>
      </c>
      <c r="L177" t="n">
        <v>738.02552</v>
      </c>
      <c r="M177" t="n">
        <v>738.02552</v>
      </c>
      <c r="N177" t="n">
        <v>738.02552</v>
      </c>
      <c r="O177" t="n">
        <v>39.685535</v>
      </c>
      <c r="P177" t="n">
        <v>21.622034</v>
      </c>
      <c r="Q177" t="n">
        <v>738.02552</v>
      </c>
      <c r="R177" t="n">
        <v>738.02552</v>
      </c>
      <c r="S177" t="n">
        <v>39.685535</v>
      </c>
      <c r="T177" t="n">
        <v>39.685535</v>
      </c>
      <c r="U177" t="n">
        <v>21.622034</v>
      </c>
      <c r="V177" t="n">
        <v>21.622034</v>
      </c>
      <c r="W177" t="n">
        <v>41.109943</v>
      </c>
      <c r="X177" t="n">
        <v>772.895549</v>
      </c>
    </row>
    <row r="178" ht="21" customHeight="1">
      <c r="A178" t="inlineStr">
        <is>
          <t>Cephea</t>
        </is>
      </c>
      <c r="B178" t="n">
        <v>3.46</v>
      </c>
      <c r="C178" t="n">
        <v>288.40315</v>
      </c>
      <c r="D178" s="11" t="inlineStr">
        <is>
          <t>Jellyfish</t>
        </is>
      </c>
      <c r="E178" t="n">
        <v>140.953883</v>
      </c>
      <c r="F178" t="n">
        <v>103.790936</v>
      </c>
      <c r="G178" t="n">
        <v>57.845447</v>
      </c>
      <c r="H178" t="n">
        <v>56.932587</v>
      </c>
      <c r="I178" t="n">
        <v>468.918008</v>
      </c>
      <c r="J178" t="n">
        <v>473.97462</v>
      </c>
      <c r="K178" t="n">
        <v>450.275889</v>
      </c>
      <c r="L178" t="n">
        <v>711.02964</v>
      </c>
      <c r="M178" t="n">
        <v>711.02964</v>
      </c>
      <c r="N178" t="n">
        <v>711.02964</v>
      </c>
      <c r="O178" t="n">
        <v>34.656914</v>
      </c>
      <c r="P178" t="n">
        <v>19.970973</v>
      </c>
      <c r="Q178" t="n">
        <v>711.02964</v>
      </c>
      <c r="R178" t="n">
        <v>711.02964</v>
      </c>
      <c r="S178" t="n">
        <v>34.656914</v>
      </c>
      <c r="T178" t="n">
        <v>34.656914</v>
      </c>
      <c r="U178" t="n">
        <v>19.970973</v>
      </c>
      <c r="V178" t="n">
        <v>19.970973</v>
      </c>
      <c r="W178" t="n">
        <v>36.368369</v>
      </c>
      <c r="X178" t="n">
        <v>756.8536319999999</v>
      </c>
    </row>
    <row r="179" ht="36" customHeight="1">
      <c r="A179" t="inlineStr">
        <is>
          <t>Haemulidae</t>
        </is>
      </c>
      <c r="B179" t="n">
        <v>3.36</v>
      </c>
      <c r="C179" t="n">
        <v>229.086765</v>
      </c>
      <c r="D179" s="11" t="inlineStr">
        <is>
          <t>Juvenile demersal fish (&gt; 30 cm) | Adult demersal fish (&gt; 30 cm)</t>
        </is>
      </c>
      <c r="E179" t="n">
        <v>140.953883</v>
      </c>
      <c r="F179" t="n">
        <v>228.824285</v>
      </c>
      <c r="G179" t="n">
        <v>114.897152</v>
      </c>
      <c r="H179" t="n">
        <v>408.798022</v>
      </c>
      <c r="I179" t="n">
        <v>6590.793316</v>
      </c>
      <c r="J179" t="n">
        <v>7071.146917</v>
      </c>
      <c r="K179" t="n">
        <v>2576.928919</v>
      </c>
      <c r="L179" t="n">
        <v>10677.999207</v>
      </c>
      <c r="M179" t="n">
        <v>10677.999207</v>
      </c>
      <c r="N179" t="n">
        <v>10677.999207</v>
      </c>
      <c r="O179" t="n">
        <v>85.006417</v>
      </c>
      <c r="P179" t="n">
        <v>38.52237</v>
      </c>
      <c r="Q179" t="n">
        <v>10677.999207</v>
      </c>
      <c r="R179" t="n">
        <v>10677.999207</v>
      </c>
      <c r="S179" t="n">
        <v>85.006417</v>
      </c>
      <c r="T179" t="n">
        <v>85.006417</v>
      </c>
      <c r="U179" t="n">
        <v>38.52237</v>
      </c>
      <c r="V179" t="n">
        <v>38.52237</v>
      </c>
      <c r="W179" t="n">
        <v>88.306245</v>
      </c>
      <c r="X179" t="n">
        <v>11509.306401</v>
      </c>
    </row>
    <row r="180" ht="21" customHeight="1">
      <c r="A180" t="inlineStr">
        <is>
          <t>Mytilidae</t>
        </is>
      </c>
      <c r="B180" t="n">
        <v>2</v>
      </c>
      <c r="C180" t="n">
        <v>10</v>
      </c>
      <c r="D180" s="11" t="inlineStr">
        <is>
          <t>Non-ceph molluscs</t>
        </is>
      </c>
      <c r="E180" t="n">
        <v>140.953883</v>
      </c>
      <c r="F180" t="n">
        <v>14.712171</v>
      </c>
      <c r="G180" t="n">
        <v>10.486582</v>
      </c>
      <c r="H180" t="n">
        <v>17.347998</v>
      </c>
      <c r="I180" t="n">
        <v>87.52377799999999</v>
      </c>
      <c r="J180" t="n">
        <v>87.52377799999999</v>
      </c>
      <c r="K180" t="n">
        <v>33.521607</v>
      </c>
      <c r="L180" t="n">
        <v>92.59366</v>
      </c>
      <c r="M180" t="n">
        <v>92.59366</v>
      </c>
      <c r="N180" t="n">
        <v>92.59366</v>
      </c>
      <c r="O180" t="n">
        <v>4.448657</v>
      </c>
      <c r="P180" t="n">
        <v>3.058348</v>
      </c>
      <c r="Q180" t="n">
        <v>92.59366</v>
      </c>
      <c r="R180" t="n">
        <v>92.59366</v>
      </c>
      <c r="S180" t="n">
        <v>4.448657</v>
      </c>
      <c r="T180" t="n">
        <v>4.448657</v>
      </c>
      <c r="U180" t="n">
        <v>3.058348</v>
      </c>
      <c r="V180" t="n">
        <v>3.058348</v>
      </c>
      <c r="W180" t="n">
        <v>4.556294</v>
      </c>
      <c r="X180" t="n">
        <v>96.447226</v>
      </c>
    </row>
    <row r="181" ht="21" customHeight="1">
      <c r="A181" t="inlineStr">
        <is>
          <t>Upeneus moluccensis</t>
        </is>
      </c>
      <c r="B181" t="n">
        <v>3.63</v>
      </c>
      <c r="C181" t="n">
        <v>426.579519</v>
      </c>
      <c r="D181" s="11" t="inlineStr">
        <is>
          <t>Demesral fish (≤ 30 cm)</t>
        </is>
      </c>
      <c r="E181" t="n">
        <v>140.953883</v>
      </c>
      <c r="F181" t="n">
        <v>95.34341499999999</v>
      </c>
      <c r="G181" t="n">
        <v>53.708528</v>
      </c>
      <c r="H181" t="n">
        <v>114.11959</v>
      </c>
      <c r="I181" t="n">
        <v>569.846189</v>
      </c>
      <c r="J181" t="n">
        <v>594.287325</v>
      </c>
      <c r="K181" t="n">
        <v>564.572959</v>
      </c>
      <c r="L181" t="n">
        <v>738.02552</v>
      </c>
      <c r="M181" t="n">
        <v>738.02552</v>
      </c>
      <c r="N181" t="n">
        <v>738.02552</v>
      </c>
      <c r="O181" t="n">
        <v>39.685535</v>
      </c>
      <c r="P181" t="n">
        <v>21.622034</v>
      </c>
      <c r="Q181" t="n">
        <v>738.02552</v>
      </c>
      <c r="R181" t="n">
        <v>738.02552</v>
      </c>
      <c r="S181" t="n">
        <v>39.685535</v>
      </c>
      <c r="T181" t="n">
        <v>39.685535</v>
      </c>
      <c r="U181" t="n">
        <v>21.622034</v>
      </c>
      <c r="V181" t="n">
        <v>21.622034</v>
      </c>
      <c r="W181" t="n">
        <v>41.109943</v>
      </c>
      <c r="X181" t="n">
        <v>772.895549</v>
      </c>
    </row>
    <row r="182" ht="21" customHeight="1">
      <c r="A182" t="inlineStr">
        <is>
          <t>Perna viridis</t>
        </is>
      </c>
      <c r="B182" t="n">
        <v>2</v>
      </c>
      <c r="C182" t="n">
        <v>10</v>
      </c>
      <c r="D182" s="11" t="inlineStr">
        <is>
          <t>Non-ceph molluscs</t>
        </is>
      </c>
      <c r="E182" t="n">
        <v>140.953883</v>
      </c>
      <c r="F182" t="n">
        <v>14.712171</v>
      </c>
      <c r="G182" t="n">
        <v>10.486582</v>
      </c>
      <c r="H182" t="n">
        <v>17.347998</v>
      </c>
      <c r="I182" t="n">
        <v>87.52377799999999</v>
      </c>
      <c r="J182" t="n">
        <v>87.52377799999999</v>
      </c>
      <c r="K182" t="n">
        <v>33.521607</v>
      </c>
      <c r="L182" t="n">
        <v>92.59366</v>
      </c>
      <c r="M182" t="n">
        <v>92.59366</v>
      </c>
      <c r="N182" t="n">
        <v>92.59366</v>
      </c>
      <c r="O182" t="n">
        <v>4.448657</v>
      </c>
      <c r="P182" t="n">
        <v>3.058348</v>
      </c>
      <c r="Q182" t="n">
        <v>92.59366</v>
      </c>
      <c r="R182" t="n">
        <v>92.59366</v>
      </c>
      <c r="S182" t="n">
        <v>4.448657</v>
      </c>
      <c r="T182" t="n">
        <v>4.448657</v>
      </c>
      <c r="U182" t="n">
        <v>3.058348</v>
      </c>
      <c r="V182" t="n">
        <v>3.058348</v>
      </c>
      <c r="W182" t="n">
        <v>4.556294</v>
      </c>
      <c r="X182" t="n">
        <v>96.447226</v>
      </c>
    </row>
    <row r="183" ht="36" customHeight="1">
      <c r="A183" t="inlineStr">
        <is>
          <t>Terapon</t>
        </is>
      </c>
      <c r="B183" t="n">
        <v>3.5</v>
      </c>
      <c r="C183" t="n">
        <v>316.227766</v>
      </c>
      <c r="D183" s="11" t="inlineStr">
        <is>
          <t>Juvenile demersal fish (&gt; 30 cm) | Adult demersal fish (&gt; 30 cm)</t>
        </is>
      </c>
      <c r="E183" t="n">
        <v>140.953883</v>
      </c>
      <c r="F183" t="n">
        <v>228.824285</v>
      </c>
      <c r="G183" t="n">
        <v>114.897152</v>
      </c>
      <c r="H183" t="n">
        <v>408.798022</v>
      </c>
      <c r="I183" t="n">
        <v>6590.793316</v>
      </c>
      <c r="J183" t="n">
        <v>7071.146917</v>
      </c>
      <c r="K183" t="n">
        <v>2576.928919</v>
      </c>
      <c r="L183" t="n">
        <v>10677.999207</v>
      </c>
      <c r="M183" t="n">
        <v>10677.999207</v>
      </c>
      <c r="N183" t="n">
        <v>10677.999207</v>
      </c>
      <c r="O183" t="n">
        <v>85.006417</v>
      </c>
      <c r="P183" t="n">
        <v>38.52237</v>
      </c>
      <c r="Q183" t="n">
        <v>10677.999207</v>
      </c>
      <c r="R183" t="n">
        <v>10677.999207</v>
      </c>
      <c r="S183" t="n">
        <v>85.006417</v>
      </c>
      <c r="T183" t="n">
        <v>85.006417</v>
      </c>
      <c r="U183" t="n">
        <v>38.52237</v>
      </c>
      <c r="V183" t="n">
        <v>38.52237</v>
      </c>
      <c r="W183" t="n">
        <v>88.306245</v>
      </c>
      <c r="X183" t="n">
        <v>11509.306401</v>
      </c>
    </row>
    <row r="184" ht="21" customHeight="1">
      <c r="A184" t="inlineStr">
        <is>
          <t>Pampus chinensis</t>
        </is>
      </c>
      <c r="B184" t="n">
        <v>3.6</v>
      </c>
      <c r="C184" t="n">
        <v>398.107171</v>
      </c>
      <c r="D184" s="11" t="inlineStr">
        <is>
          <t>Pomfret (stromateids)</t>
        </is>
      </c>
      <c r="E184" t="n">
        <v>140.953883</v>
      </c>
      <c r="F184" t="n">
        <v>342.280115</v>
      </c>
      <c r="G184" t="n">
        <v>164.146984</v>
      </c>
      <c r="H184" t="n">
        <v>260.083928</v>
      </c>
      <c r="I184" t="n">
        <v>1585.623721</v>
      </c>
      <c r="J184" t="n">
        <v>1650.152477</v>
      </c>
      <c r="K184" t="n">
        <v>1567.644853</v>
      </c>
      <c r="L184" t="n">
        <v>2274.19106</v>
      </c>
      <c r="M184" t="n">
        <v>2274.19106</v>
      </c>
      <c r="N184" t="n">
        <v>2274.19106</v>
      </c>
      <c r="O184" t="n">
        <v>105.127985</v>
      </c>
      <c r="P184" t="n">
        <v>50.974766</v>
      </c>
      <c r="Q184" t="n">
        <v>2274.19106</v>
      </c>
      <c r="R184" t="n">
        <v>2274.19106</v>
      </c>
      <c r="S184" t="n">
        <v>105.127985</v>
      </c>
      <c r="T184" t="n">
        <v>105.127985</v>
      </c>
      <c r="U184" t="n">
        <v>50.974766</v>
      </c>
      <c r="V184" t="n">
        <v>50.974766</v>
      </c>
      <c r="W184" t="n">
        <v>111.155847</v>
      </c>
      <c r="X184" t="n">
        <v>2438.947747</v>
      </c>
    </row>
    <row r="185" ht="21" customHeight="1">
      <c r="A185" t="inlineStr">
        <is>
          <t>Rhizostomeae</t>
        </is>
      </c>
      <c r="B185" t="n">
        <v>3.46</v>
      </c>
      <c r="C185" t="n">
        <v>288.40315</v>
      </c>
      <c r="D185" s="11" t="inlineStr">
        <is>
          <t>Jellyfish</t>
        </is>
      </c>
      <c r="E185" t="n">
        <v>140.953883</v>
      </c>
      <c r="F185" t="n">
        <v>103.790936</v>
      </c>
      <c r="G185" t="n">
        <v>57.845447</v>
      </c>
      <c r="H185" t="n">
        <v>56.932587</v>
      </c>
      <c r="I185" t="n">
        <v>468.918008</v>
      </c>
      <c r="J185" t="n">
        <v>473.97462</v>
      </c>
      <c r="K185" t="n">
        <v>450.275889</v>
      </c>
      <c r="L185" t="n">
        <v>711.02964</v>
      </c>
      <c r="M185" t="n">
        <v>711.02964</v>
      </c>
      <c r="N185" t="n">
        <v>711.02964</v>
      </c>
      <c r="O185" t="n">
        <v>34.656914</v>
      </c>
      <c r="P185" t="n">
        <v>19.970973</v>
      </c>
      <c r="Q185" t="n">
        <v>711.02964</v>
      </c>
      <c r="R185" t="n">
        <v>711.02964</v>
      </c>
      <c r="S185" t="n">
        <v>34.656914</v>
      </c>
      <c r="T185" t="n">
        <v>34.656914</v>
      </c>
      <c r="U185" t="n">
        <v>19.970973</v>
      </c>
      <c r="V185" t="n">
        <v>19.970973</v>
      </c>
      <c r="W185" t="n">
        <v>36.368369</v>
      </c>
      <c r="X185" t="n">
        <v>756.8536319999999</v>
      </c>
    </row>
    <row r="186" ht="36" customHeight="1">
      <c r="A186" t="inlineStr">
        <is>
          <t>Sillago</t>
        </is>
      </c>
      <c r="B186" t="n">
        <v>3.33</v>
      </c>
      <c r="C186" t="n">
        <v>213.796209</v>
      </c>
      <c r="D186" s="11" t="inlineStr">
        <is>
          <t>Juvenile demersal fish (&gt; 30 cm) | Adult demersal fish (&gt; 30 cm)</t>
        </is>
      </c>
      <c r="E186" t="n">
        <v>140.953883</v>
      </c>
      <c r="F186" t="n">
        <v>228.824285</v>
      </c>
      <c r="G186" t="n">
        <v>114.897152</v>
      </c>
      <c r="H186" t="n">
        <v>408.798022</v>
      </c>
      <c r="I186" t="n">
        <v>6590.793316</v>
      </c>
      <c r="J186" t="n">
        <v>7071.146917</v>
      </c>
      <c r="K186" t="n">
        <v>2576.928919</v>
      </c>
      <c r="L186" t="n">
        <v>10677.999207</v>
      </c>
      <c r="M186" t="n">
        <v>10677.999207</v>
      </c>
      <c r="N186" t="n">
        <v>10677.999207</v>
      </c>
      <c r="O186" t="n">
        <v>85.006417</v>
      </c>
      <c r="P186" t="n">
        <v>38.52237</v>
      </c>
      <c r="Q186" t="n">
        <v>10677.999207</v>
      </c>
      <c r="R186" t="n">
        <v>10677.999207</v>
      </c>
      <c r="S186" t="n">
        <v>85.006417</v>
      </c>
      <c r="T186" t="n">
        <v>85.006417</v>
      </c>
      <c r="U186" t="n">
        <v>38.52237</v>
      </c>
      <c r="V186" t="n">
        <v>38.52237</v>
      </c>
      <c r="W186" t="n">
        <v>88.306245</v>
      </c>
      <c r="X186" t="n">
        <v>11509.306401</v>
      </c>
    </row>
    <row r="187" ht="21" customHeight="1">
      <c r="A187" t="inlineStr">
        <is>
          <t>Scyllaridae</t>
        </is>
      </c>
      <c r="B187" t="n">
        <v>2.87</v>
      </c>
      <c r="C187" t="n">
        <v>74.131024</v>
      </c>
      <c r="D187" s="11" t="inlineStr">
        <is>
          <t>Benthic crustaceans</t>
        </is>
      </c>
      <c r="E187" t="n">
        <v>140.953883</v>
      </c>
      <c r="F187" t="n">
        <v>15.812995</v>
      </c>
      <c r="G187" t="n">
        <v>11.169278</v>
      </c>
      <c r="H187" t="n">
        <v>22.580939</v>
      </c>
      <c r="I187" t="n">
        <v>110.765161</v>
      </c>
      <c r="J187" t="n">
        <v>110.765161</v>
      </c>
      <c r="K187" t="n">
        <v>69.11746100000001</v>
      </c>
      <c r="L187" t="n">
        <v>113.463496</v>
      </c>
      <c r="M187" t="n">
        <v>113.463496</v>
      </c>
      <c r="N187" t="n">
        <v>113.463496</v>
      </c>
      <c r="O187" t="n">
        <v>8.170260000000001</v>
      </c>
      <c r="P187" t="n">
        <v>5.693764</v>
      </c>
      <c r="Q187" t="n">
        <v>113.463496</v>
      </c>
      <c r="R187" t="n">
        <v>113.463496</v>
      </c>
      <c r="S187" t="n">
        <v>8.170260000000001</v>
      </c>
      <c r="T187" t="n">
        <v>8.170260000000001</v>
      </c>
      <c r="U187" t="n">
        <v>5.693764</v>
      </c>
      <c r="V187" t="n">
        <v>5.693764</v>
      </c>
      <c r="W187" t="n">
        <v>8.298344999999999</v>
      </c>
      <c r="X187" t="n">
        <v>118.931059</v>
      </c>
    </row>
    <row r="188" ht="21" customHeight="1">
      <c r="A188" t="inlineStr">
        <is>
          <t>Anodontostoma chacunda</t>
        </is>
      </c>
      <c r="B188" t="n">
        <v>2.84</v>
      </c>
      <c r="C188" t="n">
        <v>69.183097</v>
      </c>
      <c r="D188" s="11" t="inlineStr">
        <is>
          <t>Pelagic fish (≤ 30 cm)</t>
        </is>
      </c>
      <c r="E188" t="n">
        <v>140.953883</v>
      </c>
      <c r="F188" t="n">
        <v>60.479203</v>
      </c>
      <c r="G188" t="n">
        <v>36.07884</v>
      </c>
      <c r="H188" t="n">
        <v>45.98261</v>
      </c>
      <c r="I188" t="n">
        <v>395.888053</v>
      </c>
      <c r="J188" t="n">
        <v>395.888053</v>
      </c>
      <c r="K188" t="n">
        <v>376.09365</v>
      </c>
      <c r="L188" t="n">
        <v>393.787233</v>
      </c>
      <c r="M188" t="n">
        <v>393.787233</v>
      </c>
      <c r="N188" t="n">
        <v>393.787233</v>
      </c>
      <c r="O188" t="n">
        <v>20.916473</v>
      </c>
      <c r="P188" t="n">
        <v>13.510088</v>
      </c>
      <c r="Q188" t="n">
        <v>393.787233</v>
      </c>
      <c r="R188" t="n">
        <v>393.787233</v>
      </c>
      <c r="S188" t="n">
        <v>20.916473</v>
      </c>
      <c r="T188" t="n">
        <v>20.916473</v>
      </c>
      <c r="U188" t="n">
        <v>13.510088</v>
      </c>
      <c r="V188" t="n">
        <v>13.510088</v>
      </c>
      <c r="W188" t="n">
        <v>21.939981</v>
      </c>
      <c r="X188" t="n">
        <v>405.784084</v>
      </c>
    </row>
    <row r="189" ht="21" customHeight="1">
      <c r="A189" t="inlineStr">
        <is>
          <t>Echinoidea</t>
        </is>
      </c>
      <c r="B189" t="n">
        <v>2.51</v>
      </c>
      <c r="C189" t="n">
        <v>32.359366</v>
      </c>
      <c r="D189" s="11" t="inlineStr">
        <is>
          <t>Echinoderms</t>
        </is>
      </c>
      <c r="E189" t="n">
        <v>140.953883</v>
      </c>
      <c r="F189" t="n">
        <v>18.617087</v>
      </c>
      <c r="G189" t="n">
        <v>12.882339</v>
      </c>
      <c r="H189" t="n">
        <v>42.220898</v>
      </c>
      <c r="I189" t="n">
        <v>603.989501</v>
      </c>
      <c r="J189" t="n">
        <v>603.989501</v>
      </c>
      <c r="K189" t="n">
        <v>240.387821</v>
      </c>
      <c r="L189" t="n">
        <v>1080.992157</v>
      </c>
      <c r="M189" t="n">
        <v>1080.992157</v>
      </c>
      <c r="N189" t="n">
        <v>1080.992157</v>
      </c>
      <c r="O189" t="n">
        <v>17.290347</v>
      </c>
      <c r="P189" t="n">
        <v>9.498851999999999</v>
      </c>
      <c r="Q189" t="n">
        <v>1080.992157</v>
      </c>
      <c r="R189" t="n">
        <v>1080.992157</v>
      </c>
      <c r="S189" t="n">
        <v>17.290347</v>
      </c>
      <c r="T189" t="n">
        <v>17.290347</v>
      </c>
      <c r="U189" t="n">
        <v>9.498851999999999</v>
      </c>
      <c r="V189" t="n">
        <v>9.498851999999999</v>
      </c>
      <c r="W189" t="n">
        <v>17.932707</v>
      </c>
      <c r="X189" t="n">
        <v>1135.08839</v>
      </c>
    </row>
    <row r="190" ht="21" customHeight="1">
      <c r="A190" t="inlineStr">
        <is>
          <t>Ariomma indica</t>
        </is>
      </c>
      <c r="B190" t="n">
        <v>3.63</v>
      </c>
      <c r="C190" t="n">
        <v>426.579519</v>
      </c>
      <c r="D190" s="11" t="inlineStr">
        <is>
          <t>Benthopelagic fish</t>
        </is>
      </c>
      <c r="E190" t="n">
        <v>140.953883</v>
      </c>
      <c r="F190" t="n">
        <v>57.638856</v>
      </c>
      <c r="G190" t="n">
        <v>34.593347</v>
      </c>
      <c r="H190" t="n">
        <v>74.650282</v>
      </c>
      <c r="I190" t="n">
        <v>512.103289</v>
      </c>
      <c r="J190" t="n">
        <v>553.467817</v>
      </c>
      <c r="K190" t="n">
        <v>525.794426</v>
      </c>
      <c r="L190" t="n">
        <v>602.712303</v>
      </c>
      <c r="M190" t="n">
        <v>602.712303</v>
      </c>
      <c r="N190" t="n">
        <v>602.712303</v>
      </c>
      <c r="O190" t="n">
        <v>31.190871</v>
      </c>
      <c r="P190" t="n">
        <v>18.283791</v>
      </c>
      <c r="Q190" t="n">
        <v>602.712303</v>
      </c>
      <c r="R190" t="n">
        <v>602.712303</v>
      </c>
      <c r="S190" t="n">
        <v>31.190871</v>
      </c>
      <c r="T190" t="n">
        <v>31.190871</v>
      </c>
      <c r="U190" t="n">
        <v>18.283791</v>
      </c>
      <c r="V190" t="n">
        <v>18.283791</v>
      </c>
      <c r="W190" t="n">
        <v>32.089433</v>
      </c>
      <c r="X190" t="n">
        <v>622.065443</v>
      </c>
    </row>
    <row r="191" ht="21" customHeight="1">
      <c r="A191" t="inlineStr">
        <is>
          <t>Lutjanus quinquelineatus</t>
        </is>
      </c>
      <c r="B191" t="n">
        <v>3.68</v>
      </c>
      <c r="C191" t="n">
        <v>478.630092</v>
      </c>
      <c r="D191" s="11" t="inlineStr">
        <is>
          <t>Snappers</t>
        </is>
      </c>
      <c r="E191" t="n">
        <v>140.953883</v>
      </c>
      <c r="F191" t="n">
        <v>554.842266</v>
      </c>
      <c r="G191" t="n">
        <v>250.381754</v>
      </c>
      <c r="H191" t="n">
        <v>650.642591</v>
      </c>
      <c r="I191" t="n">
        <v>3230.237663</v>
      </c>
      <c r="J191" t="n">
        <v>3367.037571</v>
      </c>
      <c r="K191" t="n">
        <v>3198.685692</v>
      </c>
      <c r="L191" t="n">
        <v>4133.4309</v>
      </c>
      <c r="M191" t="n">
        <v>4133.4309</v>
      </c>
      <c r="N191" t="n">
        <v>4133.4309</v>
      </c>
      <c r="O191" t="n">
        <v>205.658598</v>
      </c>
      <c r="P191" t="n">
        <v>91.38801100000001</v>
      </c>
      <c r="Q191" t="n">
        <v>4133.4309</v>
      </c>
      <c r="R191" t="n">
        <v>4133.4309</v>
      </c>
      <c r="S191" t="n">
        <v>205.658598</v>
      </c>
      <c r="T191" t="n">
        <v>205.658598</v>
      </c>
      <c r="U191" t="n">
        <v>91.38801100000001</v>
      </c>
      <c r="V191" t="n">
        <v>91.38801100000001</v>
      </c>
      <c r="W191" t="n">
        <v>216.473302</v>
      </c>
      <c r="X191" t="n">
        <v>4393.486979</v>
      </c>
    </row>
    <row r="192" ht="36" customHeight="1">
      <c r="A192" t="inlineStr">
        <is>
          <t>Platycaranx talamparoides</t>
        </is>
      </c>
      <c r="B192" t="n">
        <v>4.4</v>
      </c>
      <c r="C192" t="n">
        <v>2511.886432</v>
      </c>
      <c r="D192" s="11" t="inlineStr">
        <is>
          <t>Juvenile large pelagic fish | Pelagic fish (&gt; 30 cm)</t>
        </is>
      </c>
      <c r="E192" t="n">
        <v>140.953883</v>
      </c>
      <c r="F192" t="n">
        <v>200.641254</v>
      </c>
      <c r="G192" t="n">
        <v>102.228748</v>
      </c>
      <c r="H192" t="n">
        <v>215.010584</v>
      </c>
      <c r="I192" t="n">
        <v>6244.222521</v>
      </c>
      <c r="J192" t="n">
        <v>6325.914048</v>
      </c>
      <c r="K192" t="n">
        <v>1872.204427</v>
      </c>
      <c r="L192" t="n">
        <v>7112.982475</v>
      </c>
      <c r="M192" t="n">
        <v>7112.982475</v>
      </c>
      <c r="N192" t="n">
        <v>7112.982475</v>
      </c>
      <c r="O192" t="n">
        <v>87.969483</v>
      </c>
      <c r="P192" t="n">
        <v>46.580547</v>
      </c>
      <c r="Q192" t="n">
        <v>7112.982475</v>
      </c>
      <c r="R192" t="n">
        <v>7112.982475</v>
      </c>
      <c r="S192" t="n">
        <v>87.969483</v>
      </c>
      <c r="T192" t="n">
        <v>87.969483</v>
      </c>
      <c r="U192" t="n">
        <v>46.580547</v>
      </c>
      <c r="V192" t="n">
        <v>46.580547</v>
      </c>
      <c r="W192" t="n">
        <v>93.060855</v>
      </c>
      <c r="X192" t="n">
        <v>7459.131892</v>
      </c>
    </row>
    <row r="193" ht="36" customHeight="1">
      <c r="A193" t="inlineStr">
        <is>
          <t>Planiliza haematocheilus</t>
        </is>
      </c>
      <c r="B193" t="n">
        <v>2.5</v>
      </c>
      <c r="C193" t="n">
        <v>31.622777</v>
      </c>
      <c r="D193" s="11" t="inlineStr">
        <is>
          <t>Juvenile demersal fish (&gt; 30 cm) | Adult demersal fish (&gt; 30 cm)</t>
        </is>
      </c>
      <c r="E193" t="n">
        <v>140.953883</v>
      </c>
      <c r="F193" t="n">
        <v>228.824285</v>
      </c>
      <c r="G193" t="n">
        <v>114.897152</v>
      </c>
      <c r="H193" t="n">
        <v>408.798022</v>
      </c>
      <c r="I193" t="n">
        <v>6590.793316</v>
      </c>
      <c r="J193" t="n">
        <v>7071.146917</v>
      </c>
      <c r="K193" t="n">
        <v>2576.928919</v>
      </c>
      <c r="L193" t="n">
        <v>10677.999207</v>
      </c>
      <c r="M193" t="n">
        <v>10677.999207</v>
      </c>
      <c r="N193" t="n">
        <v>10677.999207</v>
      </c>
      <c r="O193" t="n">
        <v>85.006417</v>
      </c>
      <c r="P193" t="n">
        <v>38.52237</v>
      </c>
      <c r="Q193" t="n">
        <v>10677.999207</v>
      </c>
      <c r="R193" t="n">
        <v>10677.999207</v>
      </c>
      <c r="S193" t="n">
        <v>85.006417</v>
      </c>
      <c r="T193" t="n">
        <v>85.006417</v>
      </c>
      <c r="U193" t="n">
        <v>38.52237</v>
      </c>
      <c r="V193" t="n">
        <v>38.52237</v>
      </c>
      <c r="W193" t="n">
        <v>88.306245</v>
      </c>
      <c r="X193" t="n">
        <v>11509.306401</v>
      </c>
    </row>
    <row r="194" ht="36" customHeight="1">
      <c r="A194" t="inlineStr">
        <is>
          <t>Plotosus</t>
        </is>
      </c>
      <c r="B194" t="n">
        <v>3.49</v>
      </c>
      <c r="C194" t="n">
        <v>309.029543</v>
      </c>
      <c r="D194" s="11" t="inlineStr">
        <is>
          <t>Juvenile demersal fish (&gt; 30 cm) | Adult demersal fish (&gt; 30 cm)</t>
        </is>
      </c>
      <c r="E194" t="n">
        <v>140.953883</v>
      </c>
      <c r="F194" t="n">
        <v>228.824285</v>
      </c>
      <c r="G194" t="n">
        <v>114.897152</v>
      </c>
      <c r="H194" t="n">
        <v>408.798022</v>
      </c>
      <c r="I194" t="n">
        <v>6590.793316</v>
      </c>
      <c r="J194" t="n">
        <v>7071.146917</v>
      </c>
      <c r="K194" t="n">
        <v>2576.928919</v>
      </c>
      <c r="L194" t="n">
        <v>10677.999207</v>
      </c>
      <c r="M194" t="n">
        <v>10677.999207</v>
      </c>
      <c r="N194" t="n">
        <v>10677.999207</v>
      </c>
      <c r="O194" t="n">
        <v>85.006417</v>
      </c>
      <c r="P194" t="n">
        <v>38.52237</v>
      </c>
      <c r="Q194" t="n">
        <v>10677.999207</v>
      </c>
      <c r="R194" t="n">
        <v>10677.999207</v>
      </c>
      <c r="S194" t="n">
        <v>85.006417</v>
      </c>
      <c r="T194" t="n">
        <v>85.006417</v>
      </c>
      <c r="U194" t="n">
        <v>38.52237</v>
      </c>
      <c r="V194" t="n">
        <v>38.52237</v>
      </c>
      <c r="W194" t="n">
        <v>88.306245</v>
      </c>
      <c r="X194" t="n">
        <v>11509.306401</v>
      </c>
    </row>
    <row r="195" ht="36" customHeight="1">
      <c r="A195" t="inlineStr">
        <is>
          <t>Hemiramphus</t>
        </is>
      </c>
      <c r="B195" t="n">
        <v>3.05</v>
      </c>
      <c r="C195" t="n">
        <v>112.201845</v>
      </c>
      <c r="D195" s="11" t="inlineStr">
        <is>
          <t>Juvenile large pelagic fish | Pelagic fish (&gt; 30 cm)</t>
        </is>
      </c>
      <c r="E195" t="n">
        <v>140.953883</v>
      </c>
      <c r="F195" t="n">
        <v>200.641254</v>
      </c>
      <c r="G195" t="n">
        <v>102.228748</v>
      </c>
      <c r="H195" t="n">
        <v>215.010584</v>
      </c>
      <c r="I195" t="n">
        <v>6244.222521</v>
      </c>
      <c r="J195" t="n">
        <v>6325.914048</v>
      </c>
      <c r="K195" t="n">
        <v>1872.204427</v>
      </c>
      <c r="L195" t="n">
        <v>7112.982475</v>
      </c>
      <c r="M195" t="n">
        <v>7112.982475</v>
      </c>
      <c r="N195" t="n">
        <v>7112.982475</v>
      </c>
      <c r="O195" t="n">
        <v>87.969483</v>
      </c>
      <c r="P195" t="n">
        <v>46.580547</v>
      </c>
      <c r="Q195" t="n">
        <v>7112.982475</v>
      </c>
      <c r="R195" t="n">
        <v>7112.982475</v>
      </c>
      <c r="S195" t="n">
        <v>87.969483</v>
      </c>
      <c r="T195" t="n">
        <v>87.969483</v>
      </c>
      <c r="U195" t="n">
        <v>46.580547</v>
      </c>
      <c r="V195" t="n">
        <v>46.580547</v>
      </c>
      <c r="W195" t="n">
        <v>93.060855</v>
      </c>
      <c r="X195" t="n">
        <v>7459.131892</v>
      </c>
    </row>
    <row r="196" ht="36" customHeight="1">
      <c r="A196" t="inlineStr">
        <is>
          <t>Scomber</t>
        </is>
      </c>
      <c r="B196" t="n">
        <v>3.65</v>
      </c>
      <c r="C196" t="n">
        <v>446.683592</v>
      </c>
      <c r="D196" s="11" t="inlineStr">
        <is>
          <t>Juvenile large pelagic fish | Pelagic fish (&gt; 30 cm)</t>
        </is>
      </c>
      <c r="E196" t="n">
        <v>140.953883</v>
      </c>
      <c r="F196" t="n">
        <v>200.641254</v>
      </c>
      <c r="G196" t="n">
        <v>102.228748</v>
      </c>
      <c r="H196" t="n">
        <v>215.010584</v>
      </c>
      <c r="I196" t="n">
        <v>6244.222521</v>
      </c>
      <c r="J196" t="n">
        <v>6325.914048</v>
      </c>
      <c r="K196" t="n">
        <v>1872.204427</v>
      </c>
      <c r="L196" t="n">
        <v>7112.982475</v>
      </c>
      <c r="M196" t="n">
        <v>7112.982475</v>
      </c>
      <c r="N196" t="n">
        <v>7112.982475</v>
      </c>
      <c r="O196" t="n">
        <v>87.969483</v>
      </c>
      <c r="P196" t="n">
        <v>46.580547</v>
      </c>
      <c r="Q196" t="n">
        <v>7112.982475</v>
      </c>
      <c r="R196" t="n">
        <v>7112.982475</v>
      </c>
      <c r="S196" t="n">
        <v>87.969483</v>
      </c>
      <c r="T196" t="n">
        <v>87.969483</v>
      </c>
      <c r="U196" t="n">
        <v>46.580547</v>
      </c>
      <c r="V196" t="n">
        <v>46.580547</v>
      </c>
      <c r="W196" t="n">
        <v>93.060855</v>
      </c>
      <c r="X196" t="n">
        <v>7459.131892</v>
      </c>
    </row>
    <row r="197" ht="21" customHeight="1">
      <c r="A197" t="inlineStr">
        <is>
          <t>Cypselurus</t>
        </is>
      </c>
      <c r="B197" t="n">
        <v>3.4</v>
      </c>
      <c r="C197" t="n">
        <v>251.188643</v>
      </c>
      <c r="D197" s="11" t="inlineStr">
        <is>
          <t>Pelagic fish (≤ 30 cm)</t>
        </is>
      </c>
      <c r="E197" t="n">
        <v>140.953883</v>
      </c>
      <c r="F197" t="n">
        <v>60.479203</v>
      </c>
      <c r="G197" t="n">
        <v>36.07884</v>
      </c>
      <c r="H197" t="n">
        <v>45.98261</v>
      </c>
      <c r="I197" t="n">
        <v>395.888053</v>
      </c>
      <c r="J197" t="n">
        <v>395.888053</v>
      </c>
      <c r="K197" t="n">
        <v>376.09365</v>
      </c>
      <c r="L197" t="n">
        <v>393.787233</v>
      </c>
      <c r="M197" t="n">
        <v>393.787233</v>
      </c>
      <c r="N197" t="n">
        <v>393.787233</v>
      </c>
      <c r="O197" t="n">
        <v>20.916473</v>
      </c>
      <c r="P197" t="n">
        <v>13.510088</v>
      </c>
      <c r="Q197" t="n">
        <v>393.787233</v>
      </c>
      <c r="R197" t="n">
        <v>393.787233</v>
      </c>
      <c r="S197" t="n">
        <v>20.916473</v>
      </c>
      <c r="T197" t="n">
        <v>20.916473</v>
      </c>
      <c r="U197" t="n">
        <v>13.510088</v>
      </c>
      <c r="V197" t="n">
        <v>13.510088</v>
      </c>
      <c r="W197" t="n">
        <v>21.939981</v>
      </c>
      <c r="X197" t="n">
        <v>405.784084</v>
      </c>
    </row>
    <row r="198" ht="21" customHeight="1">
      <c r="A198" t="inlineStr">
        <is>
          <t>Sergestidae</t>
        </is>
      </c>
      <c r="B198" t="n">
        <v>2.93</v>
      </c>
      <c r="C198" t="n">
        <v>85.113804</v>
      </c>
      <c r="D198" s="11" t="inlineStr">
        <is>
          <t>Zooplankton | Shrimps</t>
        </is>
      </c>
      <c r="E198" t="n">
        <v>140.953883</v>
      </c>
      <c r="F198" t="n">
        <v>16.936545</v>
      </c>
      <c r="G198" t="n">
        <v>11.795915</v>
      </c>
      <c r="H198" t="n">
        <v>17.445099</v>
      </c>
      <c r="I198" t="n">
        <v>126.061927</v>
      </c>
      <c r="J198" t="n">
        <v>126.061927</v>
      </c>
      <c r="K198" t="n">
        <v>83.90815499999999</v>
      </c>
      <c r="L198" t="n">
        <v>125.3013</v>
      </c>
      <c r="M198" t="n">
        <v>125.3013</v>
      </c>
      <c r="N198" t="n">
        <v>125.3013</v>
      </c>
      <c r="O198" t="n">
        <v>10.112125</v>
      </c>
      <c r="P198" t="n">
        <v>7.202976</v>
      </c>
      <c r="Q198" t="n">
        <v>125.3013</v>
      </c>
      <c r="R198" t="n">
        <v>125.3013</v>
      </c>
      <c r="S198" t="n">
        <v>10.112125</v>
      </c>
      <c r="T198" t="n">
        <v>10.112125</v>
      </c>
      <c r="U198" t="n">
        <v>7.202976</v>
      </c>
      <c r="V198" t="n">
        <v>7.202976</v>
      </c>
      <c r="W198" t="n">
        <v>10.446973</v>
      </c>
      <c r="X198" t="n">
        <v>129.71319</v>
      </c>
    </row>
    <row r="199" ht="21" customHeight="1">
      <c r="A199" t="inlineStr">
        <is>
          <t>Prionace glauca</t>
        </is>
      </c>
      <c r="B199" t="n">
        <v>4.35</v>
      </c>
      <c r="C199" t="n">
        <v>2238.721139</v>
      </c>
      <c r="D199" s="11" t="inlineStr">
        <is>
          <t>Pelagic sharks and rays</t>
        </is>
      </c>
      <c r="E199" t="n">
        <v>140.953883</v>
      </c>
      <c r="F199" t="n">
        <v>908.988005</v>
      </c>
      <c r="G199" t="n">
        <v>385.472886</v>
      </c>
      <c r="H199" t="n">
        <v>784.4685459999999</v>
      </c>
      <c r="I199" t="n">
        <v>125208.792952</v>
      </c>
      <c r="J199" t="n">
        <v>126616.154086</v>
      </c>
      <c r="K199" t="n">
        <v>63308.077043</v>
      </c>
      <c r="L199" t="n">
        <v>172174.15174</v>
      </c>
      <c r="M199" t="n">
        <v>172174.151739</v>
      </c>
      <c r="N199" t="n">
        <v>172174.151739</v>
      </c>
      <c r="O199" t="n">
        <v>202.141045</v>
      </c>
      <c r="P199" t="n">
        <v>87.49926499999999</v>
      </c>
      <c r="Q199" t="n">
        <v>172174.151739</v>
      </c>
      <c r="R199" t="n">
        <v>172174.151739</v>
      </c>
      <c r="S199" t="n">
        <v>202.141045</v>
      </c>
      <c r="T199" t="n">
        <v>202.141045</v>
      </c>
      <c r="U199" t="n">
        <v>87.49926499999999</v>
      </c>
      <c r="V199" t="n">
        <v>87.49926499999999</v>
      </c>
      <c r="W199" t="n">
        <v>214.928725</v>
      </c>
      <c r="X199" t="n">
        <v>183923.261916</v>
      </c>
    </row>
    <row r="200" ht="21" customHeight="1">
      <c r="A200" t="inlineStr">
        <is>
          <t>Xiphias gladius</t>
        </is>
      </c>
      <c r="B200" t="n">
        <v>4.53</v>
      </c>
      <c r="C200" t="n">
        <v>3388.441561</v>
      </c>
      <c r="D200" s="11" t="inlineStr">
        <is>
          <t>Unresolved</t>
        </is>
      </c>
    </row>
    <row r="201" ht="21" customHeight="1">
      <c r="A201" t="inlineStr">
        <is>
          <t>Scylla serrata</t>
        </is>
      </c>
      <c r="B201" t="n">
        <v>3.17</v>
      </c>
      <c r="C201" t="n">
        <v>147.910839</v>
      </c>
      <c r="D201" s="11" t="inlineStr">
        <is>
          <t>Crabs</t>
        </is>
      </c>
      <c r="E201" t="n">
        <v>140.953883</v>
      </c>
      <c r="F201" t="n">
        <v>33.254785</v>
      </c>
      <c r="G201" t="n">
        <v>21.389991</v>
      </c>
      <c r="H201" t="n">
        <v>53.354334</v>
      </c>
      <c r="I201" t="n">
        <v>151.084056</v>
      </c>
      <c r="J201" t="n">
        <v>151.084056</v>
      </c>
      <c r="K201" t="n">
        <v>143.529853</v>
      </c>
      <c r="L201" t="n">
        <v>173.938876</v>
      </c>
      <c r="M201" t="n">
        <v>173.938876</v>
      </c>
      <c r="N201" t="n">
        <v>173.938876</v>
      </c>
      <c r="O201" t="n">
        <v>13.215653</v>
      </c>
      <c r="P201" t="n">
        <v>8.00437</v>
      </c>
      <c r="Q201" t="n">
        <v>173.938876</v>
      </c>
      <c r="R201" t="n">
        <v>173.938876</v>
      </c>
      <c r="S201" t="n">
        <v>13.215653</v>
      </c>
      <c r="T201" t="n">
        <v>13.215653</v>
      </c>
      <c r="U201" t="n">
        <v>8.00437</v>
      </c>
      <c r="V201" t="n">
        <v>8.00437</v>
      </c>
      <c r="W201" t="n">
        <v>13.539814</v>
      </c>
      <c r="X201" t="n">
        <v>184.933079</v>
      </c>
    </row>
    <row r="202" ht="36" customHeight="1">
      <c r="A202" t="inlineStr">
        <is>
          <t>Malacostraca</t>
        </is>
      </c>
      <c r="B202" t="n">
        <v>3</v>
      </c>
      <c r="C202" t="n">
        <v>100</v>
      </c>
      <c r="D202" s="11" t="inlineStr">
        <is>
          <t>Zooplankton | Benthic crustaceans | Shrimps | Crabs</t>
        </is>
      </c>
      <c r="E202" t="n">
        <v>140.953883</v>
      </c>
      <c r="F202" t="n">
        <v>20.231565</v>
      </c>
      <c r="G202" t="n">
        <v>13.734934</v>
      </c>
      <c r="H202" t="n">
        <v>25.09025</v>
      </c>
      <c r="I202" t="n">
        <v>130.411041</v>
      </c>
      <c r="J202" t="n">
        <v>130.411041</v>
      </c>
      <c r="K202" t="n">
        <v>95.393377</v>
      </c>
      <c r="L202" t="n">
        <v>134.682411</v>
      </c>
      <c r="M202" t="n">
        <v>134.682411</v>
      </c>
      <c r="N202" t="n">
        <v>134.682411</v>
      </c>
      <c r="O202" t="n">
        <v>10.649241</v>
      </c>
      <c r="P202" t="n">
        <v>7.289446</v>
      </c>
      <c r="Q202" t="n">
        <v>134.682411</v>
      </c>
      <c r="R202" t="n">
        <v>134.682411</v>
      </c>
      <c r="S202" t="n">
        <v>10.649241</v>
      </c>
      <c r="T202" t="n">
        <v>10.649241</v>
      </c>
      <c r="U202" t="n">
        <v>7.289446</v>
      </c>
      <c r="V202" t="n">
        <v>7.289446</v>
      </c>
      <c r="W202" t="n">
        <v>10.971178</v>
      </c>
      <c r="X202" t="n">
        <v>140.50161</v>
      </c>
    </row>
    <row r="203" ht="36" customHeight="1">
      <c r="A203" t="inlineStr">
        <is>
          <t>Scyris indica</t>
        </is>
      </c>
      <c r="B203" t="n">
        <v>4.09</v>
      </c>
      <c r="C203" t="n">
        <v>1230.268771</v>
      </c>
      <c r="D203" s="11" t="inlineStr">
        <is>
          <t>Juvenile large pelagic fish | Pelagic fish (&gt; 30 cm)</t>
        </is>
      </c>
      <c r="E203" t="n">
        <v>140.953883</v>
      </c>
      <c r="F203" t="n">
        <v>200.641254</v>
      </c>
      <c r="G203" t="n">
        <v>102.228748</v>
      </c>
      <c r="H203" t="n">
        <v>215.010584</v>
      </c>
      <c r="I203" t="n">
        <v>6244.222521</v>
      </c>
      <c r="J203" t="n">
        <v>6325.914048</v>
      </c>
      <c r="K203" t="n">
        <v>1872.204427</v>
      </c>
      <c r="L203" t="n">
        <v>7112.982475</v>
      </c>
      <c r="M203" t="n">
        <v>7112.982475</v>
      </c>
      <c r="N203" t="n">
        <v>7112.982475</v>
      </c>
      <c r="O203" t="n">
        <v>87.969483</v>
      </c>
      <c r="P203" t="n">
        <v>46.580547</v>
      </c>
      <c r="Q203" t="n">
        <v>7112.982475</v>
      </c>
      <c r="R203" t="n">
        <v>7112.982475</v>
      </c>
      <c r="S203" t="n">
        <v>87.969483</v>
      </c>
      <c r="T203" t="n">
        <v>87.969483</v>
      </c>
      <c r="U203" t="n">
        <v>46.580547</v>
      </c>
      <c r="V203" t="n">
        <v>46.580547</v>
      </c>
      <c r="W203" t="n">
        <v>93.060855</v>
      </c>
      <c r="X203" t="n">
        <v>7459.131892</v>
      </c>
    </row>
    <row r="204" ht="21" customHeight="1">
      <c r="A204" t="inlineStr">
        <is>
          <t>Metapenaeus joyneri</t>
        </is>
      </c>
      <c r="B204" t="n">
        <v>3.2</v>
      </c>
      <c r="C204" t="n">
        <v>158.489319</v>
      </c>
      <c r="D204" s="11" t="inlineStr">
        <is>
          <t>Shrimps</t>
        </is>
      </c>
      <c r="E204" t="n">
        <v>140.953883</v>
      </c>
      <c r="F204" t="n">
        <v>20.606299</v>
      </c>
      <c r="G204" t="n">
        <v>14.077679</v>
      </c>
      <c r="H204" t="n">
        <v>22.715542</v>
      </c>
      <c r="I204" t="n">
        <v>131.71072</v>
      </c>
      <c r="J204" t="n">
        <v>131.71072</v>
      </c>
      <c r="K204" t="n">
        <v>125.125184</v>
      </c>
      <c r="L204" t="n">
        <v>130.894857</v>
      </c>
      <c r="M204" t="n">
        <v>130.894857</v>
      </c>
      <c r="N204" t="n">
        <v>130.894857</v>
      </c>
      <c r="O204" t="n">
        <v>12.255972</v>
      </c>
      <c r="P204" t="n">
        <v>8.448598</v>
      </c>
      <c r="Q204" t="n">
        <v>130.894857</v>
      </c>
      <c r="R204" t="n">
        <v>130.894857</v>
      </c>
      <c r="S204" t="n">
        <v>12.255972</v>
      </c>
      <c r="T204" t="n">
        <v>12.255972</v>
      </c>
      <c r="U204" t="n">
        <v>8.448598</v>
      </c>
      <c r="V204" t="n">
        <v>8.448598</v>
      </c>
      <c r="W204" t="n">
        <v>12.680707</v>
      </c>
      <c r="X204" t="n">
        <v>136.520004</v>
      </c>
    </row>
    <row r="205" ht="51" customHeight="1">
      <c r="A205" t="inlineStr">
        <is>
          <t>Gadiformes</t>
        </is>
      </c>
      <c r="D205" s="11" t="inlineStr">
        <is>
          <t>Demesral fish (≤ 30 cm) | Juvenile demersal fish (&gt; 30 cm) | Adult demersal fish (&gt; 30 cm)</t>
        </is>
      </c>
      <c r="E205" t="n">
        <v>140.953883</v>
      </c>
      <c r="F205" t="n">
        <v>177.371403</v>
      </c>
      <c r="G205" t="n">
        <v>91.310768</v>
      </c>
      <c r="H205" t="n">
        <v>295.208302</v>
      </c>
      <c r="I205" t="n">
        <v>4269.898312</v>
      </c>
      <c r="J205" t="n">
        <v>4574.511297</v>
      </c>
      <c r="K205" t="n">
        <v>1801.225895</v>
      </c>
      <c r="L205" t="n">
        <v>6846.4367</v>
      </c>
      <c r="M205" t="n">
        <v>6846.4367</v>
      </c>
      <c r="N205" t="n">
        <v>6846.4367</v>
      </c>
      <c r="O205" t="n">
        <v>67.536573</v>
      </c>
      <c r="P205" t="n">
        <v>32.007796</v>
      </c>
      <c r="Q205" t="n">
        <v>6846.4367</v>
      </c>
      <c r="R205" t="n">
        <v>6846.4367</v>
      </c>
      <c r="S205" t="n">
        <v>67.536573</v>
      </c>
      <c r="T205" t="n">
        <v>67.536573</v>
      </c>
      <c r="U205" t="n">
        <v>32.007796</v>
      </c>
      <c r="V205" t="n">
        <v>32.007796</v>
      </c>
      <c r="W205" t="n">
        <v>70.113483</v>
      </c>
      <c r="X205" t="n">
        <v>7370.741192</v>
      </c>
    </row>
    <row r="206" ht="51" customHeight="1">
      <c r="A206" t="inlineStr">
        <is>
          <t>Cynoglossus</t>
        </is>
      </c>
      <c r="B206" t="n">
        <v>3.36</v>
      </c>
      <c r="C206" t="n">
        <v>229.086765</v>
      </c>
      <c r="D206" s="11" t="inlineStr">
        <is>
          <t>Demesral fish (≤ 30 cm) | Juvenile demersal fish (&gt; 30 cm) | Adult demersal fish (&gt; 30 cm)</t>
        </is>
      </c>
      <c r="E206" t="n">
        <v>140.953883</v>
      </c>
      <c r="F206" t="n">
        <v>177.371403</v>
      </c>
      <c r="G206" t="n">
        <v>91.310768</v>
      </c>
      <c r="H206" t="n">
        <v>295.208302</v>
      </c>
      <c r="I206" t="n">
        <v>4269.898312</v>
      </c>
      <c r="J206" t="n">
        <v>4574.511297</v>
      </c>
      <c r="K206" t="n">
        <v>1801.225895</v>
      </c>
      <c r="L206" t="n">
        <v>6846.4367</v>
      </c>
      <c r="M206" t="n">
        <v>6846.4367</v>
      </c>
      <c r="N206" t="n">
        <v>6846.4367</v>
      </c>
      <c r="O206" t="n">
        <v>67.536573</v>
      </c>
      <c r="P206" t="n">
        <v>32.007796</v>
      </c>
      <c r="Q206" t="n">
        <v>6846.4367</v>
      </c>
      <c r="R206" t="n">
        <v>6846.4367</v>
      </c>
      <c r="S206" t="n">
        <v>67.536573</v>
      </c>
      <c r="T206" t="n">
        <v>67.536573</v>
      </c>
      <c r="U206" t="n">
        <v>32.007796</v>
      </c>
      <c r="V206" t="n">
        <v>32.007796</v>
      </c>
      <c r="W206" t="n">
        <v>70.113483</v>
      </c>
      <c r="X206" t="n">
        <v>7370.741192</v>
      </c>
    </row>
    <row r="207" ht="21" customHeight="1">
      <c r="A207" t="inlineStr">
        <is>
          <t>Gerreidae</t>
        </is>
      </c>
      <c r="B207" t="n">
        <v>3.03</v>
      </c>
      <c r="C207" t="n">
        <v>107.151931</v>
      </c>
      <c r="D207" s="11" t="inlineStr">
        <is>
          <t>Benthopelagic fish</t>
        </is>
      </c>
      <c r="E207" t="n">
        <v>140.953883</v>
      </c>
      <c r="F207" t="n">
        <v>57.638856</v>
      </c>
      <c r="G207" t="n">
        <v>34.593347</v>
      </c>
      <c r="H207" t="n">
        <v>74.650282</v>
      </c>
      <c r="I207" t="n">
        <v>512.103289</v>
      </c>
      <c r="J207" t="n">
        <v>553.467817</v>
      </c>
      <c r="K207" t="n">
        <v>525.794426</v>
      </c>
      <c r="L207" t="n">
        <v>602.712303</v>
      </c>
      <c r="M207" t="n">
        <v>602.712303</v>
      </c>
      <c r="N207" t="n">
        <v>602.712303</v>
      </c>
      <c r="O207" t="n">
        <v>31.190871</v>
      </c>
      <c r="P207" t="n">
        <v>18.283791</v>
      </c>
      <c r="Q207" t="n">
        <v>602.712303</v>
      </c>
      <c r="R207" t="n">
        <v>602.712303</v>
      </c>
      <c r="S207" t="n">
        <v>31.190871</v>
      </c>
      <c r="T207" t="n">
        <v>31.190871</v>
      </c>
      <c r="U207" t="n">
        <v>18.283791</v>
      </c>
      <c r="V207" t="n">
        <v>18.283791</v>
      </c>
      <c r="W207" t="n">
        <v>32.089433</v>
      </c>
      <c r="X207" t="n">
        <v>622.065443</v>
      </c>
    </row>
    <row r="208" ht="21" customHeight="1">
      <c r="A208" t="inlineStr">
        <is>
          <t>Panulirus longipes</t>
        </is>
      </c>
      <c r="B208" t="n">
        <v>2.6</v>
      </c>
      <c r="C208" t="n">
        <v>39.810717</v>
      </c>
      <c r="D208" s="11" t="inlineStr">
        <is>
          <t>Benthic crustaceans</t>
        </is>
      </c>
      <c r="E208" t="n">
        <v>140.953883</v>
      </c>
      <c r="F208" t="n">
        <v>15.812995</v>
      </c>
      <c r="G208" t="n">
        <v>11.169278</v>
      </c>
      <c r="H208" t="n">
        <v>22.580939</v>
      </c>
      <c r="I208" t="n">
        <v>110.765161</v>
      </c>
      <c r="J208" t="n">
        <v>110.765161</v>
      </c>
      <c r="K208" t="n">
        <v>69.11746100000001</v>
      </c>
      <c r="L208" t="n">
        <v>113.463496</v>
      </c>
      <c r="M208" t="n">
        <v>113.463496</v>
      </c>
      <c r="N208" t="n">
        <v>113.463496</v>
      </c>
      <c r="O208" t="n">
        <v>8.170260000000001</v>
      </c>
      <c r="P208" t="n">
        <v>5.693764</v>
      </c>
      <c r="Q208" t="n">
        <v>113.463496</v>
      </c>
      <c r="R208" t="n">
        <v>113.463496</v>
      </c>
      <c r="S208" t="n">
        <v>8.170260000000001</v>
      </c>
      <c r="T208" t="n">
        <v>8.170260000000001</v>
      </c>
      <c r="U208" t="n">
        <v>5.693764</v>
      </c>
      <c r="V208" t="n">
        <v>5.693764</v>
      </c>
      <c r="W208" t="n">
        <v>8.298344999999999</v>
      </c>
      <c r="X208" t="n">
        <v>118.931059</v>
      </c>
    </row>
    <row r="209" ht="21" customHeight="1">
      <c r="A209" t="inlineStr">
        <is>
          <t>Epinephelus maculatus</t>
        </is>
      </c>
      <c r="B209" t="n">
        <v>3.98</v>
      </c>
      <c r="C209" t="n">
        <v>954.992586</v>
      </c>
      <c r="D209" s="11" t="inlineStr">
        <is>
          <t>Adult groupers</t>
        </is>
      </c>
      <c r="E209" t="n">
        <v>140.953883</v>
      </c>
      <c r="F209" t="n">
        <v>539.046528</v>
      </c>
      <c r="G209" t="n">
        <v>244.14</v>
      </c>
      <c r="H209" t="n">
        <v>669.483011</v>
      </c>
      <c r="I209" t="n">
        <v>10399.759602</v>
      </c>
      <c r="J209" t="n">
        <v>10694.630086</v>
      </c>
      <c r="K209" t="n">
        <v>4010.486282</v>
      </c>
      <c r="L209" t="n">
        <v>14214.100911</v>
      </c>
      <c r="M209" t="n">
        <v>14214.100911</v>
      </c>
      <c r="N209" t="n">
        <v>14214.100911</v>
      </c>
      <c r="O209" t="n">
        <v>203.72024</v>
      </c>
      <c r="P209" t="n">
        <v>90.708206</v>
      </c>
      <c r="Q209" t="n">
        <v>14214.100911</v>
      </c>
      <c r="R209" t="n">
        <v>14214.100911</v>
      </c>
      <c r="S209" t="n">
        <v>203.72024</v>
      </c>
      <c r="T209" t="n">
        <v>203.72024</v>
      </c>
      <c r="U209" t="n">
        <v>90.708206</v>
      </c>
      <c r="V209" t="n">
        <v>90.708206</v>
      </c>
      <c r="W209" t="n">
        <v>213.076898</v>
      </c>
      <c r="X209" t="n">
        <v>15231.972848</v>
      </c>
    </row>
    <row r="210" ht="36" customHeight="1">
      <c r="A210" t="inlineStr">
        <is>
          <t>Pagrus major</t>
        </is>
      </c>
      <c r="B210" t="n">
        <v>3.7</v>
      </c>
      <c r="C210" t="n">
        <v>501.187234</v>
      </c>
      <c r="D210" s="11" t="inlineStr">
        <is>
          <t>Juvenile demersal fish (&gt; 30 cm) | Adult demersal fish (&gt; 30 cm)</t>
        </is>
      </c>
      <c r="E210" t="n">
        <v>140.953883</v>
      </c>
      <c r="F210" t="n">
        <v>228.824285</v>
      </c>
      <c r="G210" t="n">
        <v>114.897152</v>
      </c>
      <c r="H210" t="n">
        <v>408.798022</v>
      </c>
      <c r="I210" t="n">
        <v>6590.793316</v>
      </c>
      <c r="J210" t="n">
        <v>7071.146917</v>
      </c>
      <c r="K210" t="n">
        <v>2576.928919</v>
      </c>
      <c r="L210" t="n">
        <v>10677.999207</v>
      </c>
      <c r="M210" t="n">
        <v>10677.999207</v>
      </c>
      <c r="N210" t="n">
        <v>10677.999207</v>
      </c>
      <c r="O210" t="n">
        <v>85.006417</v>
      </c>
      <c r="P210" t="n">
        <v>38.52237</v>
      </c>
      <c r="Q210" t="n">
        <v>10677.999207</v>
      </c>
      <c r="R210" t="n">
        <v>10677.999207</v>
      </c>
      <c r="S210" t="n">
        <v>85.006417</v>
      </c>
      <c r="T210" t="n">
        <v>85.006417</v>
      </c>
      <c r="U210" t="n">
        <v>38.52237</v>
      </c>
      <c r="V210" t="n">
        <v>38.52237</v>
      </c>
      <c r="W210" t="n">
        <v>88.306245</v>
      </c>
      <c r="X210" t="n">
        <v>11509.306401</v>
      </c>
    </row>
    <row r="211" ht="36" customHeight="1">
      <c r="A211" t="inlineStr">
        <is>
          <t>Caesio</t>
        </is>
      </c>
      <c r="B211" t="n">
        <v>3.4</v>
      </c>
      <c r="C211" t="n">
        <v>251.188643</v>
      </c>
      <c r="D211" s="11" t="inlineStr">
        <is>
          <t>Juvenile demersal fish (&gt; 30 cm) | Adult demersal fish (&gt; 30 cm)</t>
        </is>
      </c>
      <c r="E211" t="n">
        <v>140.953883</v>
      </c>
      <c r="F211" t="n">
        <v>228.824285</v>
      </c>
      <c r="G211" t="n">
        <v>114.897152</v>
      </c>
      <c r="H211" t="n">
        <v>408.798022</v>
      </c>
      <c r="I211" t="n">
        <v>6590.793316</v>
      </c>
      <c r="J211" t="n">
        <v>7071.146917</v>
      </c>
      <c r="K211" t="n">
        <v>2576.928919</v>
      </c>
      <c r="L211" t="n">
        <v>10677.999207</v>
      </c>
      <c r="M211" t="n">
        <v>10677.999207</v>
      </c>
      <c r="N211" t="n">
        <v>10677.999207</v>
      </c>
      <c r="O211" t="n">
        <v>85.006417</v>
      </c>
      <c r="P211" t="n">
        <v>38.52237</v>
      </c>
      <c r="Q211" t="n">
        <v>10677.999207</v>
      </c>
      <c r="R211" t="n">
        <v>10677.999207</v>
      </c>
      <c r="S211" t="n">
        <v>85.006417</v>
      </c>
      <c r="T211" t="n">
        <v>85.006417</v>
      </c>
      <c r="U211" t="n">
        <v>38.52237</v>
      </c>
      <c r="V211" t="n">
        <v>38.52237</v>
      </c>
      <c r="W211" t="n">
        <v>88.306245</v>
      </c>
      <c r="X211" t="n">
        <v>11509.306401</v>
      </c>
    </row>
    <row r="212" ht="21" customHeight="1">
      <c r="A212" t="inlineStr">
        <is>
          <t>Penaeus monodon</t>
        </is>
      </c>
      <c r="B212" t="n">
        <v>2.6</v>
      </c>
      <c r="C212" t="n">
        <v>39.810717</v>
      </c>
      <c r="D212" s="11" t="inlineStr">
        <is>
          <t>Shrimps</t>
        </is>
      </c>
      <c r="E212" t="n">
        <v>140.953883</v>
      </c>
      <c r="F212" t="n">
        <v>20.606299</v>
      </c>
      <c r="G212" t="n">
        <v>14.077679</v>
      </c>
      <c r="H212" t="n">
        <v>22.715542</v>
      </c>
      <c r="I212" t="n">
        <v>131.71072</v>
      </c>
      <c r="J212" t="n">
        <v>131.71072</v>
      </c>
      <c r="K212" t="n">
        <v>125.125184</v>
      </c>
      <c r="L212" t="n">
        <v>130.894857</v>
      </c>
      <c r="M212" t="n">
        <v>130.894857</v>
      </c>
      <c r="N212" t="n">
        <v>130.894857</v>
      </c>
      <c r="O212" t="n">
        <v>12.255972</v>
      </c>
      <c r="P212" t="n">
        <v>8.448598</v>
      </c>
      <c r="Q212" t="n">
        <v>130.894857</v>
      </c>
      <c r="R212" t="n">
        <v>130.894857</v>
      </c>
      <c r="S212" t="n">
        <v>12.255972</v>
      </c>
      <c r="T212" t="n">
        <v>12.255972</v>
      </c>
      <c r="U212" t="n">
        <v>8.448598</v>
      </c>
      <c r="V212" t="n">
        <v>8.448598</v>
      </c>
      <c r="W212" t="n">
        <v>12.680707</v>
      </c>
      <c r="X212" t="n">
        <v>136.520004</v>
      </c>
    </row>
    <row r="213" ht="36" customHeight="1">
      <c r="A213" t="inlineStr">
        <is>
          <t>Carcharhinidae</t>
        </is>
      </c>
      <c r="B213" t="n">
        <v>4.24</v>
      </c>
      <c r="C213" t="n">
        <v>1737.800829</v>
      </c>
      <c r="D213" s="11" t="inlineStr">
        <is>
          <t>Demersal sharks and rays | Pelagic sharks and rays</t>
        </is>
      </c>
      <c r="E213" t="n">
        <v>140.953883</v>
      </c>
      <c r="F213" t="n">
        <v>420.661524</v>
      </c>
      <c r="G213" t="n">
        <v>193.90261</v>
      </c>
      <c r="H213" t="n">
        <v>636.3346</v>
      </c>
      <c r="I213" t="n">
        <v>32064.514055</v>
      </c>
      <c r="J213" t="n">
        <v>32388.465997</v>
      </c>
      <c r="K213" t="n">
        <v>15001.444266</v>
      </c>
      <c r="L213" t="n">
        <v>47447.371867</v>
      </c>
      <c r="M213" t="n">
        <v>47447.371867</v>
      </c>
      <c r="N213" t="n">
        <v>47447.371867</v>
      </c>
      <c r="O213" t="n">
        <v>134.659687</v>
      </c>
      <c r="P213" t="n">
        <v>58.748438</v>
      </c>
      <c r="Q213" t="n">
        <v>47447.371867</v>
      </c>
      <c r="R213" t="n">
        <v>47447.371867</v>
      </c>
      <c r="S213" t="n">
        <v>134.659687</v>
      </c>
      <c r="T213" t="n">
        <v>134.659687</v>
      </c>
      <c r="U213" t="n">
        <v>58.748438</v>
      </c>
      <c r="V213" t="n">
        <v>58.748438</v>
      </c>
      <c r="W213" t="n">
        <v>141.372985</v>
      </c>
      <c r="X213" t="n">
        <v>50905.953173</v>
      </c>
    </row>
    <row r="214" ht="51" customHeight="1">
      <c r="A214" t="inlineStr">
        <is>
          <t>Paralichthyidae</t>
        </is>
      </c>
      <c r="B214" t="n">
        <v>4.06</v>
      </c>
      <c r="C214" t="n">
        <v>1148.153621</v>
      </c>
      <c r="D214" s="11" t="inlineStr">
        <is>
          <t>Demesral fish (≤ 30 cm) | Juvenile demersal fish (&gt; 30 cm) | Adult demersal fish (&gt; 30 cm)</t>
        </is>
      </c>
      <c r="E214" t="n">
        <v>140.953883</v>
      </c>
      <c r="F214" t="n">
        <v>177.371403</v>
      </c>
      <c r="G214" t="n">
        <v>91.310768</v>
      </c>
      <c r="H214" t="n">
        <v>295.208302</v>
      </c>
      <c r="I214" t="n">
        <v>4269.898312</v>
      </c>
      <c r="J214" t="n">
        <v>4574.511297</v>
      </c>
      <c r="K214" t="n">
        <v>1801.225895</v>
      </c>
      <c r="L214" t="n">
        <v>6846.4367</v>
      </c>
      <c r="M214" t="n">
        <v>6846.4367</v>
      </c>
      <c r="N214" t="n">
        <v>6846.4367</v>
      </c>
      <c r="O214" t="n">
        <v>67.536573</v>
      </c>
      <c r="P214" t="n">
        <v>32.007796</v>
      </c>
      <c r="Q214" t="n">
        <v>6846.4367</v>
      </c>
      <c r="R214" t="n">
        <v>6846.4367</v>
      </c>
      <c r="S214" t="n">
        <v>67.536573</v>
      </c>
      <c r="T214" t="n">
        <v>67.536573</v>
      </c>
      <c r="U214" t="n">
        <v>32.007796</v>
      </c>
      <c r="V214" t="n">
        <v>32.007796</v>
      </c>
      <c r="W214" t="n">
        <v>70.113483</v>
      </c>
      <c r="X214" t="n">
        <v>7370.741192</v>
      </c>
    </row>
    <row r="215" ht="36" customHeight="1">
      <c r="A215" t="inlineStr">
        <is>
          <t>Sillaginidae</t>
        </is>
      </c>
      <c r="B215" t="n">
        <v>3.25</v>
      </c>
      <c r="C215" t="n">
        <v>177.827941</v>
      </c>
      <c r="D215" s="11" t="inlineStr">
        <is>
          <t>Juvenile demersal fish (&gt; 30 cm) | Adult demersal fish (&gt; 30 cm)</t>
        </is>
      </c>
      <c r="E215" t="n">
        <v>140.953883</v>
      </c>
      <c r="F215" t="n">
        <v>228.824285</v>
      </c>
      <c r="G215" t="n">
        <v>114.897152</v>
      </c>
      <c r="H215" t="n">
        <v>408.798022</v>
      </c>
      <c r="I215" t="n">
        <v>6590.793316</v>
      </c>
      <c r="J215" t="n">
        <v>7071.146917</v>
      </c>
      <c r="K215" t="n">
        <v>2576.928919</v>
      </c>
      <c r="L215" t="n">
        <v>10677.999207</v>
      </c>
      <c r="M215" t="n">
        <v>10677.999207</v>
      </c>
      <c r="N215" t="n">
        <v>10677.999207</v>
      </c>
      <c r="O215" t="n">
        <v>85.006417</v>
      </c>
      <c r="P215" t="n">
        <v>38.52237</v>
      </c>
      <c r="Q215" t="n">
        <v>10677.999207</v>
      </c>
      <c r="R215" t="n">
        <v>10677.999207</v>
      </c>
      <c r="S215" t="n">
        <v>85.006417</v>
      </c>
      <c r="T215" t="n">
        <v>85.006417</v>
      </c>
      <c r="U215" t="n">
        <v>38.52237</v>
      </c>
      <c r="V215" t="n">
        <v>38.52237</v>
      </c>
      <c r="W215" t="n">
        <v>88.306245</v>
      </c>
      <c r="X215" t="n">
        <v>11509.306401</v>
      </c>
    </row>
    <row r="216" ht="21" customHeight="1">
      <c r="A216" t="inlineStr">
        <is>
          <t>Thryssa</t>
        </is>
      </c>
      <c r="B216" t="n">
        <v>3.34</v>
      </c>
      <c r="C216" t="n">
        <v>218.776162</v>
      </c>
      <c r="D216" s="11" t="inlineStr">
        <is>
          <t>Pelagic fish (≤ 30 cm)</t>
        </is>
      </c>
      <c r="E216" t="n">
        <v>140.953883</v>
      </c>
      <c r="F216" t="n">
        <v>60.479203</v>
      </c>
      <c r="G216" t="n">
        <v>36.07884</v>
      </c>
      <c r="H216" t="n">
        <v>45.98261</v>
      </c>
      <c r="I216" t="n">
        <v>395.888053</v>
      </c>
      <c r="J216" t="n">
        <v>395.888053</v>
      </c>
      <c r="K216" t="n">
        <v>376.09365</v>
      </c>
      <c r="L216" t="n">
        <v>393.787233</v>
      </c>
      <c r="M216" t="n">
        <v>393.787233</v>
      </c>
      <c r="N216" t="n">
        <v>393.787233</v>
      </c>
      <c r="O216" t="n">
        <v>20.916473</v>
      </c>
      <c r="P216" t="n">
        <v>13.510088</v>
      </c>
      <c r="Q216" t="n">
        <v>393.787233</v>
      </c>
      <c r="R216" t="n">
        <v>393.787233</v>
      </c>
      <c r="S216" t="n">
        <v>20.916473</v>
      </c>
      <c r="T216" t="n">
        <v>20.916473</v>
      </c>
      <c r="U216" t="n">
        <v>13.510088</v>
      </c>
      <c r="V216" t="n">
        <v>13.510088</v>
      </c>
      <c r="W216" t="n">
        <v>21.939981</v>
      </c>
      <c r="X216" t="n">
        <v>405.784084</v>
      </c>
    </row>
    <row r="217" ht="36" customHeight="1">
      <c r="A217" t="inlineStr">
        <is>
          <t>Rachycentridae</t>
        </is>
      </c>
      <c r="B217" t="n">
        <v>3.96</v>
      </c>
      <c r="C217" t="n">
        <v>912.010839</v>
      </c>
      <c r="D217" s="11" t="inlineStr">
        <is>
          <t>Juvenile large pelagic fish | Pelagic fish (&gt; 30 cm)</t>
        </is>
      </c>
      <c r="E217" t="n">
        <v>140.953883</v>
      </c>
      <c r="F217" t="n">
        <v>200.641254</v>
      </c>
      <c r="G217" t="n">
        <v>102.228748</v>
      </c>
      <c r="H217" t="n">
        <v>215.010584</v>
      </c>
      <c r="I217" t="n">
        <v>6244.222521</v>
      </c>
      <c r="J217" t="n">
        <v>6325.914048</v>
      </c>
      <c r="K217" t="n">
        <v>1872.204427</v>
      </c>
      <c r="L217" t="n">
        <v>7112.982475</v>
      </c>
      <c r="M217" t="n">
        <v>7112.982475</v>
      </c>
      <c r="N217" t="n">
        <v>7112.982475</v>
      </c>
      <c r="O217" t="n">
        <v>87.969483</v>
      </c>
      <c r="P217" t="n">
        <v>46.580547</v>
      </c>
      <c r="Q217" t="n">
        <v>7112.982475</v>
      </c>
      <c r="R217" t="n">
        <v>7112.982475</v>
      </c>
      <c r="S217" t="n">
        <v>87.969483</v>
      </c>
      <c r="T217" t="n">
        <v>87.969483</v>
      </c>
      <c r="U217" t="n">
        <v>46.580547</v>
      </c>
      <c r="V217" t="n">
        <v>46.580547</v>
      </c>
      <c r="W217" t="n">
        <v>93.060855</v>
      </c>
      <c r="X217" t="n">
        <v>7459.131892</v>
      </c>
    </row>
    <row r="218" ht="36" customHeight="1">
      <c r="A218" t="inlineStr">
        <is>
          <t>Tylosurus crocodilus</t>
        </is>
      </c>
      <c r="B218" t="n">
        <v>4.43</v>
      </c>
      <c r="C218" t="n">
        <v>2691.534804</v>
      </c>
      <c r="D218" s="11" t="inlineStr">
        <is>
          <t>Juvenile large pelagic fish | Pelagic fish (&gt; 30 cm)</t>
        </is>
      </c>
      <c r="E218" t="n">
        <v>140.953883</v>
      </c>
      <c r="F218" t="n">
        <v>200.641254</v>
      </c>
      <c r="G218" t="n">
        <v>102.228748</v>
      </c>
      <c r="H218" t="n">
        <v>215.010584</v>
      </c>
      <c r="I218" t="n">
        <v>6244.222521</v>
      </c>
      <c r="J218" t="n">
        <v>6325.914048</v>
      </c>
      <c r="K218" t="n">
        <v>1872.204427</v>
      </c>
      <c r="L218" t="n">
        <v>7112.982475</v>
      </c>
      <c r="M218" t="n">
        <v>7112.982475</v>
      </c>
      <c r="N218" t="n">
        <v>7112.982475</v>
      </c>
      <c r="O218" t="n">
        <v>87.969483</v>
      </c>
      <c r="P218" t="n">
        <v>46.580547</v>
      </c>
      <c r="Q218" t="n">
        <v>7112.982475</v>
      </c>
      <c r="R218" t="n">
        <v>7112.982475</v>
      </c>
      <c r="S218" t="n">
        <v>87.969483</v>
      </c>
      <c r="T218" t="n">
        <v>87.969483</v>
      </c>
      <c r="U218" t="n">
        <v>46.580547</v>
      </c>
      <c r="V218" t="n">
        <v>46.580547</v>
      </c>
      <c r="W218" t="n">
        <v>93.060855</v>
      </c>
      <c r="X218" t="n">
        <v>7459.131892</v>
      </c>
    </row>
    <row r="219" ht="21" customHeight="1">
      <c r="A219" t="inlineStr">
        <is>
          <t>Acanthuridae</t>
        </is>
      </c>
      <c r="B219" t="n">
        <v>2.28</v>
      </c>
      <c r="C219" t="n">
        <v>19.054607</v>
      </c>
      <c r="D219" s="11" t="inlineStr">
        <is>
          <t>Demesral fish (≤ 30 cm)</t>
        </is>
      </c>
      <c r="E219" t="n">
        <v>140.953883</v>
      </c>
      <c r="F219" t="n">
        <v>95.34341499999999</v>
      </c>
      <c r="G219" t="n">
        <v>53.708528</v>
      </c>
      <c r="H219" t="n">
        <v>114.11959</v>
      </c>
      <c r="I219" t="n">
        <v>569.846189</v>
      </c>
      <c r="J219" t="n">
        <v>594.287325</v>
      </c>
      <c r="K219" t="n">
        <v>564.572959</v>
      </c>
      <c r="L219" t="n">
        <v>738.02552</v>
      </c>
      <c r="M219" t="n">
        <v>738.02552</v>
      </c>
      <c r="N219" t="n">
        <v>738.02552</v>
      </c>
      <c r="O219" t="n">
        <v>39.685535</v>
      </c>
      <c r="P219" t="n">
        <v>21.622034</v>
      </c>
      <c r="Q219" t="n">
        <v>738.02552</v>
      </c>
      <c r="R219" t="n">
        <v>738.02552</v>
      </c>
      <c r="S219" t="n">
        <v>39.685535</v>
      </c>
      <c r="T219" t="n">
        <v>39.685535</v>
      </c>
      <c r="U219" t="n">
        <v>21.622034</v>
      </c>
      <c r="V219" t="n">
        <v>21.622034</v>
      </c>
      <c r="W219" t="n">
        <v>41.109943</v>
      </c>
      <c r="X219" t="n">
        <v>772.895549</v>
      </c>
    </row>
    <row r="220" ht="36" customHeight="1">
      <c r="A220" t="inlineStr">
        <is>
          <t>Trachurus japonicus</t>
        </is>
      </c>
      <c r="B220" t="n">
        <v>3.4</v>
      </c>
      <c r="C220" t="n">
        <v>251.188643</v>
      </c>
      <c r="D220" s="11" t="inlineStr">
        <is>
          <t>Juvenile large pelagic fish | Pelagic fish (&gt; 30 cm)</t>
        </is>
      </c>
      <c r="E220" t="n">
        <v>140.953883</v>
      </c>
      <c r="F220" t="n">
        <v>200.641254</v>
      </c>
      <c r="G220" t="n">
        <v>102.228748</v>
      </c>
      <c r="H220" t="n">
        <v>215.010584</v>
      </c>
      <c r="I220" t="n">
        <v>6244.222521</v>
      </c>
      <c r="J220" t="n">
        <v>6325.914048</v>
      </c>
      <c r="K220" t="n">
        <v>1872.204427</v>
      </c>
      <c r="L220" t="n">
        <v>7112.982475</v>
      </c>
      <c r="M220" t="n">
        <v>7112.982475</v>
      </c>
      <c r="N220" t="n">
        <v>7112.982475</v>
      </c>
      <c r="O220" t="n">
        <v>87.969483</v>
      </c>
      <c r="P220" t="n">
        <v>46.580547</v>
      </c>
      <c r="Q220" t="n">
        <v>7112.982475</v>
      </c>
      <c r="R220" t="n">
        <v>7112.982475</v>
      </c>
      <c r="S220" t="n">
        <v>87.969483</v>
      </c>
      <c r="T220" t="n">
        <v>87.969483</v>
      </c>
      <c r="U220" t="n">
        <v>46.580547</v>
      </c>
      <c r="V220" t="n">
        <v>46.580547</v>
      </c>
      <c r="W220" t="n">
        <v>93.060855</v>
      </c>
      <c r="X220" t="n">
        <v>7459.131892</v>
      </c>
    </row>
    <row r="221" ht="36" customHeight="1">
      <c r="A221" t="inlineStr">
        <is>
          <t>Lactarius lactarius</t>
        </is>
      </c>
      <c r="B221" t="n">
        <v>3.97</v>
      </c>
      <c r="C221" t="n">
        <v>933.2543010000001</v>
      </c>
      <c r="D221" s="11" t="inlineStr">
        <is>
          <t>Juvenile large pelagic fish | Pelagic fish (&gt; 30 cm)</t>
        </is>
      </c>
      <c r="E221" t="n">
        <v>140.953883</v>
      </c>
      <c r="F221" t="n">
        <v>200.641254</v>
      </c>
      <c r="G221" t="n">
        <v>102.228748</v>
      </c>
      <c r="H221" t="n">
        <v>215.010584</v>
      </c>
      <c r="I221" t="n">
        <v>6244.222521</v>
      </c>
      <c r="J221" t="n">
        <v>6325.914048</v>
      </c>
      <c r="K221" t="n">
        <v>1872.204427</v>
      </c>
      <c r="L221" t="n">
        <v>7112.982475</v>
      </c>
      <c r="M221" t="n">
        <v>7112.982475</v>
      </c>
      <c r="N221" t="n">
        <v>7112.982475</v>
      </c>
      <c r="O221" t="n">
        <v>87.969483</v>
      </c>
      <c r="P221" t="n">
        <v>46.580547</v>
      </c>
      <c r="Q221" t="n">
        <v>7112.982475</v>
      </c>
      <c r="R221" t="n">
        <v>7112.982475</v>
      </c>
      <c r="S221" t="n">
        <v>87.969483</v>
      </c>
      <c r="T221" t="n">
        <v>87.969483</v>
      </c>
      <c r="U221" t="n">
        <v>46.580547</v>
      </c>
      <c r="V221" t="n">
        <v>46.580547</v>
      </c>
      <c r="W221" t="n">
        <v>93.060855</v>
      </c>
      <c r="X221" t="n">
        <v>7459.131892</v>
      </c>
    </row>
    <row r="222" ht="36" customHeight="1">
      <c r="A222" t="inlineStr">
        <is>
          <t>Lethrinus</t>
        </is>
      </c>
      <c r="B222" t="n">
        <v>3.75</v>
      </c>
      <c r="C222" t="n">
        <v>562.341325</v>
      </c>
      <c r="D222" s="11" t="inlineStr">
        <is>
          <t>Juvenile demersal fish (&gt; 30 cm) | Adult demersal fish (&gt; 30 cm)</t>
        </is>
      </c>
      <c r="E222" t="n">
        <v>140.953883</v>
      </c>
      <c r="F222" t="n">
        <v>228.824285</v>
      </c>
      <c r="G222" t="n">
        <v>114.897152</v>
      </c>
      <c r="H222" t="n">
        <v>408.798022</v>
      </c>
      <c r="I222" t="n">
        <v>6590.793316</v>
      </c>
      <c r="J222" t="n">
        <v>7071.146917</v>
      </c>
      <c r="K222" t="n">
        <v>2576.928919</v>
      </c>
      <c r="L222" t="n">
        <v>10677.999207</v>
      </c>
      <c r="M222" t="n">
        <v>10677.999207</v>
      </c>
      <c r="N222" t="n">
        <v>10677.999207</v>
      </c>
      <c r="O222" t="n">
        <v>85.006417</v>
      </c>
      <c r="P222" t="n">
        <v>38.52237</v>
      </c>
      <c r="Q222" t="n">
        <v>10677.999207</v>
      </c>
      <c r="R222" t="n">
        <v>10677.999207</v>
      </c>
      <c r="S222" t="n">
        <v>85.006417</v>
      </c>
      <c r="T222" t="n">
        <v>85.006417</v>
      </c>
      <c r="U222" t="n">
        <v>38.52237</v>
      </c>
      <c r="V222" t="n">
        <v>38.52237</v>
      </c>
      <c r="W222" t="n">
        <v>88.306245</v>
      </c>
      <c r="X222" t="n">
        <v>11509.306401</v>
      </c>
    </row>
    <row r="223" ht="36" customHeight="1">
      <c r="A223" t="inlineStr">
        <is>
          <t>Balistidae</t>
        </is>
      </c>
      <c r="B223" t="n">
        <v>3.25</v>
      </c>
      <c r="C223" t="n">
        <v>177.827941</v>
      </c>
      <c r="D223" s="11" t="inlineStr">
        <is>
          <t>Juvenile demersal fish (&gt; 30 cm) | Adult demersal fish (&gt; 30 cm)</t>
        </is>
      </c>
      <c r="E223" t="n">
        <v>140.953883</v>
      </c>
      <c r="F223" t="n">
        <v>228.824285</v>
      </c>
      <c r="G223" t="n">
        <v>114.897152</v>
      </c>
      <c r="H223" t="n">
        <v>408.798022</v>
      </c>
      <c r="I223" t="n">
        <v>6590.793316</v>
      </c>
      <c r="J223" t="n">
        <v>7071.146917</v>
      </c>
      <c r="K223" t="n">
        <v>2576.928919</v>
      </c>
      <c r="L223" t="n">
        <v>10677.999207</v>
      </c>
      <c r="M223" t="n">
        <v>10677.999207</v>
      </c>
      <c r="N223" t="n">
        <v>10677.999207</v>
      </c>
      <c r="O223" t="n">
        <v>85.006417</v>
      </c>
      <c r="P223" t="n">
        <v>38.52237</v>
      </c>
      <c r="Q223" t="n">
        <v>10677.999207</v>
      </c>
      <c r="R223" t="n">
        <v>10677.999207</v>
      </c>
      <c r="S223" t="n">
        <v>85.006417</v>
      </c>
      <c r="T223" t="n">
        <v>85.006417</v>
      </c>
      <c r="U223" t="n">
        <v>38.52237</v>
      </c>
      <c r="V223" t="n">
        <v>38.52237</v>
      </c>
      <c r="W223" t="n">
        <v>88.306245</v>
      </c>
      <c r="X223" t="n">
        <v>11509.306401</v>
      </c>
    </row>
    <row r="224" ht="36" customHeight="1">
      <c r="A224" t="inlineStr">
        <is>
          <t>Gymnocranius</t>
        </is>
      </c>
      <c r="B224" t="n">
        <v>3.4</v>
      </c>
      <c r="C224" t="n">
        <v>251.188643</v>
      </c>
      <c r="D224" s="11" t="inlineStr">
        <is>
          <t>Juvenile demersal fish (&gt; 30 cm) | Adult demersal fish (&gt; 30 cm)</t>
        </is>
      </c>
      <c r="E224" t="n">
        <v>140.953883</v>
      </c>
      <c r="F224" t="n">
        <v>228.824285</v>
      </c>
      <c r="G224" t="n">
        <v>114.897152</v>
      </c>
      <c r="H224" t="n">
        <v>408.798022</v>
      </c>
      <c r="I224" t="n">
        <v>6590.793316</v>
      </c>
      <c r="J224" t="n">
        <v>7071.146917</v>
      </c>
      <c r="K224" t="n">
        <v>2576.928919</v>
      </c>
      <c r="L224" t="n">
        <v>10677.999207</v>
      </c>
      <c r="M224" t="n">
        <v>10677.999207</v>
      </c>
      <c r="N224" t="n">
        <v>10677.999207</v>
      </c>
      <c r="O224" t="n">
        <v>85.006417</v>
      </c>
      <c r="P224" t="n">
        <v>38.52237</v>
      </c>
      <c r="Q224" t="n">
        <v>10677.999207</v>
      </c>
      <c r="R224" t="n">
        <v>10677.999207</v>
      </c>
      <c r="S224" t="n">
        <v>85.006417</v>
      </c>
      <c r="T224" t="n">
        <v>85.006417</v>
      </c>
      <c r="U224" t="n">
        <v>38.52237</v>
      </c>
      <c r="V224" t="n">
        <v>38.52237</v>
      </c>
      <c r="W224" t="n">
        <v>88.306245</v>
      </c>
      <c r="X224" t="n">
        <v>11509.306401</v>
      </c>
    </row>
    <row r="225" ht="21" customHeight="1">
      <c r="A225" t="inlineStr">
        <is>
          <t>Penaeus latisulcatus</t>
        </is>
      </c>
      <c r="B225" t="n">
        <v>2.7</v>
      </c>
      <c r="C225" t="n">
        <v>50.118723</v>
      </c>
      <c r="D225" s="11" t="inlineStr">
        <is>
          <t>Shrimps</t>
        </is>
      </c>
      <c r="E225" t="n">
        <v>140.953883</v>
      </c>
      <c r="F225" t="n">
        <v>20.606299</v>
      </c>
      <c r="G225" t="n">
        <v>14.077679</v>
      </c>
      <c r="H225" t="n">
        <v>22.715542</v>
      </c>
      <c r="I225" t="n">
        <v>131.71072</v>
      </c>
      <c r="J225" t="n">
        <v>131.71072</v>
      </c>
      <c r="K225" t="n">
        <v>125.125184</v>
      </c>
      <c r="L225" t="n">
        <v>130.894857</v>
      </c>
      <c r="M225" t="n">
        <v>130.894857</v>
      </c>
      <c r="N225" t="n">
        <v>130.894857</v>
      </c>
      <c r="O225" t="n">
        <v>12.255972</v>
      </c>
      <c r="P225" t="n">
        <v>8.448598</v>
      </c>
      <c r="Q225" t="n">
        <v>130.894857</v>
      </c>
      <c r="R225" t="n">
        <v>130.894857</v>
      </c>
      <c r="S225" t="n">
        <v>12.255972</v>
      </c>
      <c r="T225" t="n">
        <v>12.255972</v>
      </c>
      <c r="U225" t="n">
        <v>8.448598</v>
      </c>
      <c r="V225" t="n">
        <v>8.448598</v>
      </c>
      <c r="W225" t="n">
        <v>12.680707</v>
      </c>
      <c r="X225" t="n">
        <v>136.520004</v>
      </c>
    </row>
    <row r="226" ht="21" customHeight="1">
      <c r="A226" t="inlineStr">
        <is>
          <t>Dussumieria elopsoides</t>
        </is>
      </c>
      <c r="B226" t="n">
        <v>3.4</v>
      </c>
      <c r="C226" t="n">
        <v>251.188643</v>
      </c>
      <c r="D226" s="11" t="inlineStr">
        <is>
          <t>Pelagic fish (≤ 30 cm)</t>
        </is>
      </c>
      <c r="E226" t="n">
        <v>140.953883</v>
      </c>
      <c r="F226" t="n">
        <v>60.479203</v>
      </c>
      <c r="G226" t="n">
        <v>36.07884</v>
      </c>
      <c r="H226" t="n">
        <v>45.98261</v>
      </c>
      <c r="I226" t="n">
        <v>395.888053</v>
      </c>
      <c r="J226" t="n">
        <v>395.888053</v>
      </c>
      <c r="K226" t="n">
        <v>376.09365</v>
      </c>
      <c r="L226" t="n">
        <v>393.787233</v>
      </c>
      <c r="M226" t="n">
        <v>393.787233</v>
      </c>
      <c r="N226" t="n">
        <v>393.787233</v>
      </c>
      <c r="O226" t="n">
        <v>20.916473</v>
      </c>
      <c r="P226" t="n">
        <v>13.510088</v>
      </c>
      <c r="Q226" t="n">
        <v>393.787233</v>
      </c>
      <c r="R226" t="n">
        <v>393.787233</v>
      </c>
      <c r="S226" t="n">
        <v>20.916473</v>
      </c>
      <c r="T226" t="n">
        <v>20.916473</v>
      </c>
      <c r="U226" t="n">
        <v>13.510088</v>
      </c>
      <c r="V226" t="n">
        <v>13.510088</v>
      </c>
      <c r="W226" t="n">
        <v>21.939981</v>
      </c>
      <c r="X226" t="n">
        <v>405.784084</v>
      </c>
    </row>
    <row r="227" ht="36" customHeight="1">
      <c r="A227" t="inlineStr">
        <is>
          <t>Megalops cyprinoides</t>
        </is>
      </c>
      <c r="B227" t="n">
        <v>3.48</v>
      </c>
      <c r="C227" t="n">
        <v>301.995172</v>
      </c>
      <c r="D227" s="11" t="inlineStr">
        <is>
          <t>Juvenile large pelagic fish | Pelagic fish (&gt; 30 cm)</t>
        </is>
      </c>
      <c r="E227" t="n">
        <v>140.953883</v>
      </c>
      <c r="F227" t="n">
        <v>200.641254</v>
      </c>
      <c r="G227" t="n">
        <v>102.228748</v>
      </c>
      <c r="H227" t="n">
        <v>215.010584</v>
      </c>
      <c r="I227" t="n">
        <v>6244.222521</v>
      </c>
      <c r="J227" t="n">
        <v>6325.914048</v>
      </c>
      <c r="K227" t="n">
        <v>1872.204427</v>
      </c>
      <c r="L227" t="n">
        <v>7112.982475</v>
      </c>
      <c r="M227" t="n">
        <v>7112.982475</v>
      </c>
      <c r="N227" t="n">
        <v>7112.982475</v>
      </c>
      <c r="O227" t="n">
        <v>87.969483</v>
      </c>
      <c r="P227" t="n">
        <v>46.580547</v>
      </c>
      <c r="Q227" t="n">
        <v>7112.982475</v>
      </c>
      <c r="R227" t="n">
        <v>7112.982475</v>
      </c>
      <c r="S227" t="n">
        <v>87.969483</v>
      </c>
      <c r="T227" t="n">
        <v>87.969483</v>
      </c>
      <c r="U227" t="n">
        <v>46.580547</v>
      </c>
      <c r="V227" t="n">
        <v>46.580547</v>
      </c>
      <c r="W227" t="n">
        <v>93.060855</v>
      </c>
      <c r="X227" t="n">
        <v>7459.131892</v>
      </c>
    </row>
    <row r="228" ht="36" customHeight="1">
      <c r="A228" t="inlineStr">
        <is>
          <t>Plectorhinchus</t>
        </is>
      </c>
      <c r="B228" t="n">
        <v>3.43</v>
      </c>
      <c r="C228" t="n">
        <v>269.15348</v>
      </c>
      <c r="D228" s="11" t="inlineStr">
        <is>
          <t>Juvenile demersal fish (&gt; 30 cm) | Adult demersal fish (&gt; 30 cm)</t>
        </is>
      </c>
      <c r="E228" t="n">
        <v>140.953883</v>
      </c>
      <c r="F228" t="n">
        <v>228.824285</v>
      </c>
      <c r="G228" t="n">
        <v>114.897152</v>
      </c>
      <c r="H228" t="n">
        <v>408.798022</v>
      </c>
      <c r="I228" t="n">
        <v>6590.793316</v>
      </c>
      <c r="J228" t="n">
        <v>7071.146917</v>
      </c>
      <c r="K228" t="n">
        <v>2576.928919</v>
      </c>
      <c r="L228" t="n">
        <v>10677.999207</v>
      </c>
      <c r="M228" t="n">
        <v>10677.999207</v>
      </c>
      <c r="N228" t="n">
        <v>10677.999207</v>
      </c>
      <c r="O228" t="n">
        <v>85.006417</v>
      </c>
      <c r="P228" t="n">
        <v>38.52237</v>
      </c>
      <c r="Q228" t="n">
        <v>10677.999207</v>
      </c>
      <c r="R228" t="n">
        <v>10677.999207</v>
      </c>
      <c r="S228" t="n">
        <v>85.006417</v>
      </c>
      <c r="T228" t="n">
        <v>85.006417</v>
      </c>
      <c r="U228" t="n">
        <v>38.52237</v>
      </c>
      <c r="V228" t="n">
        <v>38.52237</v>
      </c>
      <c r="W228" t="n">
        <v>88.306245</v>
      </c>
      <c r="X228" t="n">
        <v>11509.306401</v>
      </c>
    </row>
    <row r="229" ht="21" customHeight="1">
      <c r="A229" t="inlineStr">
        <is>
          <t>Apostichopus japonicus</t>
        </is>
      </c>
      <c r="B229" t="n">
        <v>2.3</v>
      </c>
      <c r="C229" t="n">
        <v>19.952623</v>
      </c>
      <c r="D229" s="11" t="inlineStr">
        <is>
          <t>Echinoderms</t>
        </is>
      </c>
      <c r="E229" t="n">
        <v>140.953883</v>
      </c>
      <c r="F229" t="n">
        <v>18.617087</v>
      </c>
      <c r="G229" t="n">
        <v>12.882339</v>
      </c>
      <c r="H229" t="n">
        <v>42.220898</v>
      </c>
      <c r="I229" t="n">
        <v>603.989501</v>
      </c>
      <c r="J229" t="n">
        <v>603.989501</v>
      </c>
      <c r="K229" t="n">
        <v>240.387821</v>
      </c>
      <c r="L229" t="n">
        <v>1080.992157</v>
      </c>
      <c r="M229" t="n">
        <v>1080.992157</v>
      </c>
      <c r="N229" t="n">
        <v>1080.992157</v>
      </c>
      <c r="O229" t="n">
        <v>17.290347</v>
      </c>
      <c r="P229" t="n">
        <v>9.498851999999999</v>
      </c>
      <c r="Q229" t="n">
        <v>1080.992157</v>
      </c>
      <c r="R229" t="n">
        <v>1080.992157</v>
      </c>
      <c r="S229" t="n">
        <v>17.290347</v>
      </c>
      <c r="T229" t="n">
        <v>17.290347</v>
      </c>
      <c r="U229" t="n">
        <v>9.498851999999999</v>
      </c>
      <c r="V229" t="n">
        <v>9.498851999999999</v>
      </c>
      <c r="W229" t="n">
        <v>17.932707</v>
      </c>
      <c r="X229" t="n">
        <v>1135.08839</v>
      </c>
    </row>
    <row r="230" ht="21" customHeight="1">
      <c r="A230" t="inlineStr">
        <is>
          <t>Portunidae</t>
        </is>
      </c>
      <c r="B230" t="n">
        <v>3.56</v>
      </c>
      <c r="C230" t="n">
        <v>363.078055</v>
      </c>
      <c r="D230" s="11" t="inlineStr">
        <is>
          <t>Crabs</t>
        </is>
      </c>
      <c r="E230" t="n">
        <v>140.953883</v>
      </c>
      <c r="F230" t="n">
        <v>33.254785</v>
      </c>
      <c r="G230" t="n">
        <v>21.389991</v>
      </c>
      <c r="H230" t="n">
        <v>53.354334</v>
      </c>
      <c r="I230" t="n">
        <v>151.084056</v>
      </c>
      <c r="J230" t="n">
        <v>151.084056</v>
      </c>
      <c r="K230" t="n">
        <v>143.529853</v>
      </c>
      <c r="L230" t="n">
        <v>173.938876</v>
      </c>
      <c r="M230" t="n">
        <v>173.938876</v>
      </c>
      <c r="N230" t="n">
        <v>173.938876</v>
      </c>
      <c r="O230" t="n">
        <v>13.215653</v>
      </c>
      <c r="P230" t="n">
        <v>8.00437</v>
      </c>
      <c r="Q230" t="n">
        <v>173.938876</v>
      </c>
      <c r="R230" t="n">
        <v>173.938876</v>
      </c>
      <c r="S230" t="n">
        <v>13.215653</v>
      </c>
      <c r="T230" t="n">
        <v>13.215653</v>
      </c>
      <c r="U230" t="n">
        <v>8.00437</v>
      </c>
      <c r="V230" t="n">
        <v>8.00437</v>
      </c>
      <c r="W230" t="n">
        <v>13.539814</v>
      </c>
      <c r="X230" t="n">
        <v>184.933079</v>
      </c>
    </row>
    <row r="231" ht="21" customHeight="1">
      <c r="A231" t="inlineStr">
        <is>
          <t>Haliotidae</t>
        </is>
      </c>
      <c r="B231" t="n">
        <v>2</v>
      </c>
      <c r="C231" t="n">
        <v>10</v>
      </c>
      <c r="D231" s="11" t="inlineStr">
        <is>
          <t>Non-ceph molluscs</t>
        </is>
      </c>
      <c r="E231" t="n">
        <v>140.953883</v>
      </c>
      <c r="F231" t="n">
        <v>14.712171</v>
      </c>
      <c r="G231" t="n">
        <v>10.486582</v>
      </c>
      <c r="H231" t="n">
        <v>17.347998</v>
      </c>
      <c r="I231" t="n">
        <v>87.52377799999999</v>
      </c>
      <c r="J231" t="n">
        <v>87.52377799999999</v>
      </c>
      <c r="K231" t="n">
        <v>33.521607</v>
      </c>
      <c r="L231" t="n">
        <v>92.59366</v>
      </c>
      <c r="M231" t="n">
        <v>92.59366</v>
      </c>
      <c r="N231" t="n">
        <v>92.59366</v>
      </c>
      <c r="O231" t="n">
        <v>4.448657</v>
      </c>
      <c r="P231" t="n">
        <v>3.058348</v>
      </c>
      <c r="Q231" t="n">
        <v>92.59366</v>
      </c>
      <c r="R231" t="n">
        <v>92.59366</v>
      </c>
      <c r="S231" t="n">
        <v>4.448657</v>
      </c>
      <c r="T231" t="n">
        <v>4.448657</v>
      </c>
      <c r="U231" t="n">
        <v>3.058348</v>
      </c>
      <c r="V231" t="n">
        <v>3.058348</v>
      </c>
      <c r="W231" t="n">
        <v>4.556294</v>
      </c>
      <c r="X231" t="n">
        <v>96.447226</v>
      </c>
    </row>
    <row r="232" ht="36" customHeight="1">
      <c r="A232" t="inlineStr">
        <is>
          <t>Batoidea</t>
        </is>
      </c>
      <c r="B232" t="n">
        <v>3.72</v>
      </c>
      <c r="C232" t="n">
        <v>524.80746</v>
      </c>
      <c r="D232" s="11" t="inlineStr">
        <is>
          <t>Demersal sharks and rays | Pelagic sharks and rays</t>
        </is>
      </c>
      <c r="E232" t="n">
        <v>140.953883</v>
      </c>
      <c r="F232" t="n">
        <v>420.661524</v>
      </c>
      <c r="G232" t="n">
        <v>193.90261</v>
      </c>
      <c r="H232" t="n">
        <v>636.3346</v>
      </c>
      <c r="I232" t="n">
        <v>32064.514055</v>
      </c>
      <c r="J232" t="n">
        <v>32388.465997</v>
      </c>
      <c r="K232" t="n">
        <v>15001.444266</v>
      </c>
      <c r="L232" t="n">
        <v>47447.371867</v>
      </c>
      <c r="M232" t="n">
        <v>47447.371867</v>
      </c>
      <c r="N232" t="n">
        <v>47447.371867</v>
      </c>
      <c r="O232" t="n">
        <v>134.659687</v>
      </c>
      <c r="P232" t="n">
        <v>58.748438</v>
      </c>
      <c r="Q232" t="n">
        <v>47447.371867</v>
      </c>
      <c r="R232" t="n">
        <v>47447.371867</v>
      </c>
      <c r="S232" t="n">
        <v>134.659687</v>
      </c>
      <c r="T232" t="n">
        <v>134.659687</v>
      </c>
      <c r="U232" t="n">
        <v>58.748438</v>
      </c>
      <c r="V232" t="n">
        <v>58.748438</v>
      </c>
      <c r="W232" t="n">
        <v>141.372985</v>
      </c>
      <c r="X232" t="n">
        <v>50905.953173</v>
      </c>
    </row>
    <row r="233" ht="21" customHeight="1">
      <c r="A233" t="inlineStr">
        <is>
          <t>Istiophorus</t>
        </is>
      </c>
      <c r="B233" t="n">
        <v>4.5</v>
      </c>
      <c r="C233" t="n">
        <v>3162.27766</v>
      </c>
      <c r="D233" s="11" t="inlineStr">
        <is>
          <t>Unresolved</t>
        </is>
      </c>
    </row>
    <row r="234" ht="36" customHeight="1">
      <c r="A234" t="inlineStr">
        <is>
          <t>Platycaranx malabaricus</t>
        </is>
      </c>
      <c r="B234" t="n">
        <v>3.88</v>
      </c>
      <c r="C234" t="n">
        <v>758.577575</v>
      </c>
      <c r="D234" s="11" t="inlineStr">
        <is>
          <t>Juvenile large pelagic fish | Pelagic fish (&gt; 30 cm)</t>
        </is>
      </c>
      <c r="E234" t="n">
        <v>140.953883</v>
      </c>
      <c r="F234" t="n">
        <v>200.641254</v>
      </c>
      <c r="G234" t="n">
        <v>102.228748</v>
      </c>
      <c r="H234" t="n">
        <v>215.010584</v>
      </c>
      <c r="I234" t="n">
        <v>6244.222521</v>
      </c>
      <c r="J234" t="n">
        <v>6325.914048</v>
      </c>
      <c r="K234" t="n">
        <v>1872.204427</v>
      </c>
      <c r="L234" t="n">
        <v>7112.982475</v>
      </c>
      <c r="M234" t="n">
        <v>7112.982475</v>
      </c>
      <c r="N234" t="n">
        <v>7112.982475</v>
      </c>
      <c r="O234" t="n">
        <v>87.969483</v>
      </c>
      <c r="P234" t="n">
        <v>46.580547</v>
      </c>
      <c r="Q234" t="n">
        <v>7112.982475</v>
      </c>
      <c r="R234" t="n">
        <v>7112.982475</v>
      </c>
      <c r="S234" t="n">
        <v>87.969483</v>
      </c>
      <c r="T234" t="n">
        <v>87.969483</v>
      </c>
      <c r="U234" t="n">
        <v>46.580547</v>
      </c>
      <c r="V234" t="n">
        <v>46.580547</v>
      </c>
      <c r="W234" t="n">
        <v>93.060855</v>
      </c>
      <c r="X234" t="n">
        <v>7459.131892</v>
      </c>
    </row>
    <row r="235" ht="21" customHeight="1">
      <c r="A235" t="inlineStr">
        <is>
          <t>Nemipterus japonicus</t>
        </is>
      </c>
      <c r="B235" t="n">
        <v>3.77</v>
      </c>
      <c r="C235" t="n">
        <v>588.843655</v>
      </c>
      <c r="D235" s="11" t="inlineStr">
        <is>
          <t>Threadfin bream (nemipterids)</t>
        </is>
      </c>
      <c r="E235" t="n">
        <v>140.953883</v>
      </c>
      <c r="F235" t="n">
        <v>158.552335</v>
      </c>
      <c r="G235" t="n">
        <v>83.774152</v>
      </c>
      <c r="H235" t="n">
        <v>197.082776</v>
      </c>
      <c r="I235" t="n">
        <v>3502.459341</v>
      </c>
      <c r="J235" t="n">
        <v>3796.144916</v>
      </c>
      <c r="K235" t="n">
        <v>1780.391965</v>
      </c>
      <c r="L235" t="n">
        <v>4710.704014</v>
      </c>
      <c r="M235" t="n">
        <v>4710.704014</v>
      </c>
      <c r="N235" t="n">
        <v>4710.704014</v>
      </c>
      <c r="O235" t="n">
        <v>105.183965</v>
      </c>
      <c r="P235" t="n">
        <v>52.828865</v>
      </c>
      <c r="Q235" t="n">
        <v>4710.704014</v>
      </c>
      <c r="R235" t="n">
        <v>4710.704014</v>
      </c>
      <c r="S235" t="n">
        <v>105.183965</v>
      </c>
      <c r="T235" t="n">
        <v>105.183965</v>
      </c>
      <c r="U235" t="n">
        <v>52.828865</v>
      </c>
      <c r="V235" t="n">
        <v>52.828865</v>
      </c>
      <c r="W235" t="n">
        <v>109.611209</v>
      </c>
      <c r="X235" t="n">
        <v>5115.038689</v>
      </c>
    </row>
    <row r="236" ht="51" customHeight="1">
      <c r="A236" t="inlineStr">
        <is>
          <t>Bothidae</t>
        </is>
      </c>
      <c r="B236" t="n">
        <v>3.77</v>
      </c>
      <c r="C236" t="n">
        <v>588.843655</v>
      </c>
      <c r="D236" s="11" t="inlineStr">
        <is>
          <t>Demesral fish (≤ 30 cm) | Juvenile demersal fish (&gt; 30 cm) | Adult demersal fish (&gt; 30 cm)</t>
        </is>
      </c>
      <c r="E236" t="n">
        <v>140.953883</v>
      </c>
      <c r="F236" t="n">
        <v>177.371403</v>
      </c>
      <c r="G236" t="n">
        <v>91.310768</v>
      </c>
      <c r="H236" t="n">
        <v>295.208302</v>
      </c>
      <c r="I236" t="n">
        <v>4269.898312</v>
      </c>
      <c r="J236" t="n">
        <v>4574.511297</v>
      </c>
      <c r="K236" t="n">
        <v>1801.225895</v>
      </c>
      <c r="L236" t="n">
        <v>6846.4367</v>
      </c>
      <c r="M236" t="n">
        <v>6846.4367</v>
      </c>
      <c r="N236" t="n">
        <v>6846.4367</v>
      </c>
      <c r="O236" t="n">
        <v>67.536573</v>
      </c>
      <c r="P236" t="n">
        <v>32.007796</v>
      </c>
      <c r="Q236" t="n">
        <v>6846.4367</v>
      </c>
      <c r="R236" t="n">
        <v>6846.4367</v>
      </c>
      <c r="S236" t="n">
        <v>67.536573</v>
      </c>
      <c r="T236" t="n">
        <v>67.536573</v>
      </c>
      <c r="U236" t="n">
        <v>32.007796</v>
      </c>
      <c r="V236" t="n">
        <v>32.007796</v>
      </c>
      <c r="W236" t="n">
        <v>70.113483</v>
      </c>
      <c r="X236" t="n">
        <v>7370.741192</v>
      </c>
    </row>
    <row r="237" ht="21" customHeight="1">
      <c r="A237" t="inlineStr">
        <is>
          <t>Drepane</t>
        </is>
      </c>
      <c r="B237" t="n">
        <v>3.32</v>
      </c>
      <c r="C237" t="n">
        <v>208.929613</v>
      </c>
      <c r="D237" s="11" t="inlineStr">
        <is>
          <t>Benthopelagic fish</t>
        </is>
      </c>
      <c r="E237" t="n">
        <v>140.953883</v>
      </c>
      <c r="F237" t="n">
        <v>57.638856</v>
      </c>
      <c r="G237" t="n">
        <v>34.593347</v>
      </c>
      <c r="H237" t="n">
        <v>74.650282</v>
      </c>
      <c r="I237" t="n">
        <v>512.103289</v>
      </c>
      <c r="J237" t="n">
        <v>553.467817</v>
      </c>
      <c r="K237" t="n">
        <v>525.794426</v>
      </c>
      <c r="L237" t="n">
        <v>602.712303</v>
      </c>
      <c r="M237" t="n">
        <v>602.712303</v>
      </c>
      <c r="N237" t="n">
        <v>602.712303</v>
      </c>
      <c r="O237" t="n">
        <v>31.190871</v>
      </c>
      <c r="P237" t="n">
        <v>18.283791</v>
      </c>
      <c r="Q237" t="n">
        <v>602.712303</v>
      </c>
      <c r="R237" t="n">
        <v>602.712303</v>
      </c>
      <c r="S237" t="n">
        <v>31.190871</v>
      </c>
      <c r="T237" t="n">
        <v>31.190871</v>
      </c>
      <c r="U237" t="n">
        <v>18.283791</v>
      </c>
      <c r="V237" t="n">
        <v>18.283791</v>
      </c>
      <c r="W237" t="n">
        <v>32.089433</v>
      </c>
      <c r="X237" t="n">
        <v>622.065443</v>
      </c>
    </row>
    <row r="238" ht="36" customHeight="1">
      <c r="A238" t="inlineStr">
        <is>
          <t>Lateolabrax japonicus</t>
        </is>
      </c>
      <c r="B238" t="n">
        <v>3.36</v>
      </c>
      <c r="C238" t="n">
        <v>229.086765</v>
      </c>
      <c r="D238" s="11" t="inlineStr">
        <is>
          <t>Juvenile demersal fish (&gt; 30 cm) | Adult demersal fish (&gt; 30 cm)</t>
        </is>
      </c>
      <c r="E238" t="n">
        <v>140.953883</v>
      </c>
      <c r="F238" t="n">
        <v>228.824285</v>
      </c>
      <c r="G238" t="n">
        <v>114.897152</v>
      </c>
      <c r="H238" t="n">
        <v>408.798022</v>
      </c>
      <c r="I238" t="n">
        <v>6590.793316</v>
      </c>
      <c r="J238" t="n">
        <v>7071.146917</v>
      </c>
      <c r="K238" t="n">
        <v>2576.928919</v>
      </c>
      <c r="L238" t="n">
        <v>10677.999207</v>
      </c>
      <c r="M238" t="n">
        <v>10677.999207</v>
      </c>
      <c r="N238" t="n">
        <v>10677.999207</v>
      </c>
      <c r="O238" t="n">
        <v>85.006417</v>
      </c>
      <c r="P238" t="n">
        <v>38.52237</v>
      </c>
      <c r="Q238" t="n">
        <v>10677.999207</v>
      </c>
      <c r="R238" t="n">
        <v>10677.999207</v>
      </c>
      <c r="S238" t="n">
        <v>85.006417</v>
      </c>
      <c r="T238" t="n">
        <v>85.006417</v>
      </c>
      <c r="U238" t="n">
        <v>38.52237</v>
      </c>
      <c r="V238" t="n">
        <v>38.52237</v>
      </c>
      <c r="W238" t="n">
        <v>88.306245</v>
      </c>
      <c r="X238" t="n">
        <v>11509.306401</v>
      </c>
    </row>
    <row r="239" ht="36" customHeight="1">
      <c r="A239" t="inlineStr">
        <is>
          <t>Auxis rochei</t>
        </is>
      </c>
      <c r="B239" t="n">
        <v>4.13</v>
      </c>
      <c r="C239" t="n">
        <v>1348.962883</v>
      </c>
      <c r="D239" s="11" t="inlineStr">
        <is>
          <t>Juvenile large pelagic fish | Pelagic fish (&gt; 30 cm)</t>
        </is>
      </c>
      <c r="E239" t="n">
        <v>140.953883</v>
      </c>
      <c r="F239" t="n">
        <v>200.641254</v>
      </c>
      <c r="G239" t="n">
        <v>102.228748</v>
      </c>
      <c r="H239" t="n">
        <v>215.010584</v>
      </c>
      <c r="I239" t="n">
        <v>6244.222521</v>
      </c>
      <c r="J239" t="n">
        <v>6325.914048</v>
      </c>
      <c r="K239" t="n">
        <v>1872.204427</v>
      </c>
      <c r="L239" t="n">
        <v>7112.982475</v>
      </c>
      <c r="M239" t="n">
        <v>7112.982475</v>
      </c>
      <c r="N239" t="n">
        <v>7112.982475</v>
      </c>
      <c r="O239" t="n">
        <v>87.969483</v>
      </c>
      <c r="P239" t="n">
        <v>46.580547</v>
      </c>
      <c r="Q239" t="n">
        <v>7112.982475</v>
      </c>
      <c r="R239" t="n">
        <v>7112.982475</v>
      </c>
      <c r="S239" t="n">
        <v>87.969483</v>
      </c>
      <c r="T239" t="n">
        <v>87.969483</v>
      </c>
      <c r="U239" t="n">
        <v>46.580547</v>
      </c>
      <c r="V239" t="n">
        <v>46.580547</v>
      </c>
      <c r="W239" t="n">
        <v>93.060855</v>
      </c>
      <c r="X239" t="n">
        <v>7459.131892</v>
      </c>
    </row>
    <row r="240" ht="36" customHeight="1">
      <c r="A240" t="inlineStr">
        <is>
          <t>Nibea mitsukurii</t>
        </is>
      </c>
      <c r="B240" t="n">
        <v>3.5</v>
      </c>
      <c r="C240" t="n">
        <v>316.227766</v>
      </c>
      <c r="D240" s="11" t="inlineStr">
        <is>
          <t>Juvenile large croakers | Croakers (&gt; 30 cm)</t>
        </is>
      </c>
      <c r="E240" t="n">
        <v>140.953883</v>
      </c>
      <c r="F240" t="n">
        <v>265.549442</v>
      </c>
      <c r="G240" t="n">
        <v>131.19784</v>
      </c>
      <c r="H240" t="n">
        <v>368.043932</v>
      </c>
      <c r="I240" t="n">
        <v>2939.153653</v>
      </c>
      <c r="J240" t="n">
        <v>3022.907916</v>
      </c>
      <c r="K240" t="n">
        <v>1769.605312</v>
      </c>
      <c r="L240" t="n">
        <v>3691.420719</v>
      </c>
      <c r="M240" t="n">
        <v>3691.420719</v>
      </c>
      <c r="N240" t="n">
        <v>3691.420719</v>
      </c>
      <c r="O240" t="n">
        <v>92.784491</v>
      </c>
      <c r="P240" t="n">
        <v>44.082214</v>
      </c>
      <c r="Q240" t="n">
        <v>3691.420719</v>
      </c>
      <c r="R240" t="n">
        <v>3691.420719</v>
      </c>
      <c r="S240" t="n">
        <v>92.784491</v>
      </c>
      <c r="T240" t="n">
        <v>92.784491</v>
      </c>
      <c r="U240" t="n">
        <v>44.082214</v>
      </c>
      <c r="V240" t="n">
        <v>44.082214</v>
      </c>
      <c r="W240" t="n">
        <v>96.91430099999999</v>
      </c>
      <c r="X240" t="n">
        <v>3937.988659</v>
      </c>
    </row>
    <row r="241" ht="21" customHeight="1">
      <c r="A241" t="inlineStr">
        <is>
          <t>Meretrix lusoria</t>
        </is>
      </c>
      <c r="B241" t="n">
        <v>2</v>
      </c>
      <c r="C241" t="n">
        <v>10</v>
      </c>
      <c r="D241" s="11" t="inlineStr">
        <is>
          <t>Non-ceph molluscs</t>
        </is>
      </c>
      <c r="E241" t="n">
        <v>140.953883</v>
      </c>
      <c r="F241" t="n">
        <v>14.712171</v>
      </c>
      <c r="G241" t="n">
        <v>10.486582</v>
      </c>
      <c r="H241" t="n">
        <v>17.347998</v>
      </c>
      <c r="I241" t="n">
        <v>87.52377799999999</v>
      </c>
      <c r="J241" t="n">
        <v>87.52377799999999</v>
      </c>
      <c r="K241" t="n">
        <v>33.521607</v>
      </c>
      <c r="L241" t="n">
        <v>92.59366</v>
      </c>
      <c r="M241" t="n">
        <v>92.59366</v>
      </c>
      <c r="N241" t="n">
        <v>92.59366</v>
      </c>
      <c r="O241" t="n">
        <v>4.448657</v>
      </c>
      <c r="P241" t="n">
        <v>3.058348</v>
      </c>
      <c r="Q241" t="n">
        <v>92.59366</v>
      </c>
      <c r="R241" t="n">
        <v>92.59366</v>
      </c>
      <c r="S241" t="n">
        <v>4.448657</v>
      </c>
      <c r="T241" t="n">
        <v>4.448657</v>
      </c>
      <c r="U241" t="n">
        <v>3.058348</v>
      </c>
      <c r="V241" t="n">
        <v>3.058348</v>
      </c>
      <c r="W241" t="n">
        <v>4.556294</v>
      </c>
      <c r="X241" t="n">
        <v>96.447226</v>
      </c>
    </row>
    <row r="242" ht="36" customHeight="1">
      <c r="A242" t="inlineStr">
        <is>
          <t>Hemiramphidae</t>
        </is>
      </c>
      <c r="B242" t="n">
        <v>2.82</v>
      </c>
      <c r="C242" t="n">
        <v>66.069345</v>
      </c>
      <c r="D242" s="11" t="inlineStr">
        <is>
          <t>Juvenile large pelagic fish | Pelagic fish (&gt; 30 cm)</t>
        </is>
      </c>
      <c r="E242" t="n">
        <v>140.953883</v>
      </c>
      <c r="F242" t="n">
        <v>200.641254</v>
      </c>
      <c r="G242" t="n">
        <v>102.228748</v>
      </c>
      <c r="H242" t="n">
        <v>215.010584</v>
      </c>
      <c r="I242" t="n">
        <v>6244.222521</v>
      </c>
      <c r="J242" t="n">
        <v>6325.914048</v>
      </c>
      <c r="K242" t="n">
        <v>1872.204427</v>
      </c>
      <c r="L242" t="n">
        <v>7112.982475</v>
      </c>
      <c r="M242" t="n">
        <v>7112.982475</v>
      </c>
      <c r="N242" t="n">
        <v>7112.982475</v>
      </c>
      <c r="O242" t="n">
        <v>87.969483</v>
      </c>
      <c r="P242" t="n">
        <v>46.580547</v>
      </c>
      <c r="Q242" t="n">
        <v>7112.982475</v>
      </c>
      <c r="R242" t="n">
        <v>7112.982475</v>
      </c>
      <c r="S242" t="n">
        <v>87.969483</v>
      </c>
      <c r="T242" t="n">
        <v>87.969483</v>
      </c>
      <c r="U242" t="n">
        <v>46.580547</v>
      </c>
      <c r="V242" t="n">
        <v>46.580547</v>
      </c>
      <c r="W242" t="n">
        <v>93.060855</v>
      </c>
      <c r="X242" t="n">
        <v>7459.131892</v>
      </c>
    </row>
    <row r="243" ht="21" customHeight="1">
      <c r="A243" t="inlineStr">
        <is>
          <t>Istiophorus platypterus</t>
        </is>
      </c>
      <c r="B243" t="n">
        <v>4.5</v>
      </c>
      <c r="C243" t="n">
        <v>3162.27766</v>
      </c>
      <c r="D243" s="11" t="inlineStr">
        <is>
          <t>Unresolved</t>
        </is>
      </c>
    </row>
    <row r="244" ht="21" customHeight="1">
      <c r="A244" t="inlineStr">
        <is>
          <t>Modiolus</t>
        </is>
      </c>
      <c r="D244" s="11" t="inlineStr">
        <is>
          <t>Non-ceph molluscs</t>
        </is>
      </c>
      <c r="E244" t="n">
        <v>140.953883</v>
      </c>
      <c r="F244" t="n">
        <v>14.712171</v>
      </c>
      <c r="G244" t="n">
        <v>10.486582</v>
      </c>
      <c r="H244" t="n">
        <v>17.347998</v>
      </c>
      <c r="I244" t="n">
        <v>87.52377799999999</v>
      </c>
      <c r="J244" t="n">
        <v>87.52377799999999</v>
      </c>
      <c r="K244" t="n">
        <v>33.521607</v>
      </c>
      <c r="L244" t="n">
        <v>92.59366</v>
      </c>
      <c r="M244" t="n">
        <v>92.59366</v>
      </c>
      <c r="N244" t="n">
        <v>92.59366</v>
      </c>
      <c r="O244" t="n">
        <v>4.448657</v>
      </c>
      <c r="P244" t="n">
        <v>3.058348</v>
      </c>
      <c r="Q244" t="n">
        <v>92.59366</v>
      </c>
      <c r="R244" t="n">
        <v>92.59366</v>
      </c>
      <c r="S244" t="n">
        <v>4.448657</v>
      </c>
      <c r="T244" t="n">
        <v>4.448657</v>
      </c>
      <c r="U244" t="n">
        <v>3.058348</v>
      </c>
      <c r="V244" t="n">
        <v>3.058348</v>
      </c>
      <c r="W244" t="n">
        <v>4.556294</v>
      </c>
      <c r="X244" t="n">
        <v>96.447226</v>
      </c>
    </row>
    <row r="245" ht="21" customHeight="1">
      <c r="A245" t="inlineStr">
        <is>
          <t>Istiompax indica</t>
        </is>
      </c>
      <c r="B245" t="n">
        <v>4.5</v>
      </c>
      <c r="C245" t="n">
        <v>3162.27766</v>
      </c>
      <c r="D245" s="11" t="inlineStr">
        <is>
          <t>Unresolved</t>
        </is>
      </c>
    </row>
    <row r="246" ht="51" customHeight="1">
      <c r="A246" t="inlineStr">
        <is>
          <t>Marine pelagic fishes not identified</t>
        </is>
      </c>
      <c r="B246" t="n">
        <v>3.35</v>
      </c>
      <c r="C246" t="n">
        <v>223.872114</v>
      </c>
      <c r="D246" s="11" t="inlineStr">
        <is>
          <t>Pelagic fish (≤ 30 cm) | Juvenile large pelagic fish | Pelagic fish (&gt; 30 cm)</t>
        </is>
      </c>
      <c r="E246" t="n">
        <v>140.953883</v>
      </c>
      <c r="F246" t="n">
        <v>94.940534</v>
      </c>
      <c r="G246" t="n">
        <v>52.342971</v>
      </c>
      <c r="H246" t="n">
        <v>87.541141</v>
      </c>
      <c r="I246" t="n">
        <v>1833.804999</v>
      </c>
      <c r="J246" t="n">
        <v>1853.890312</v>
      </c>
      <c r="K246" t="n">
        <v>743.939069</v>
      </c>
      <c r="L246" t="n">
        <v>2045.820774</v>
      </c>
      <c r="M246" t="n">
        <v>2045.820774</v>
      </c>
      <c r="N246" t="n">
        <v>2045.820774</v>
      </c>
      <c r="O246" t="n">
        <v>37.402647</v>
      </c>
      <c r="P246" t="n">
        <v>21.641048</v>
      </c>
      <c r="Q246" t="n">
        <v>2045.820774</v>
      </c>
      <c r="R246" t="n">
        <v>2045.820774</v>
      </c>
      <c r="S246" t="n">
        <v>37.402647</v>
      </c>
      <c r="T246" t="n">
        <v>37.402647</v>
      </c>
      <c r="U246" t="n">
        <v>21.641048</v>
      </c>
      <c r="V246" t="n">
        <v>21.641048</v>
      </c>
      <c r="W246" t="n">
        <v>39.426311</v>
      </c>
      <c r="X246" t="n">
        <v>2139.974971</v>
      </c>
    </row>
    <row r="247" ht="21" customHeight="1">
      <c r="A247" t="inlineStr">
        <is>
          <t>Sardinella zunasi</t>
        </is>
      </c>
      <c r="B247" t="n">
        <v>3.12</v>
      </c>
      <c r="C247" t="n">
        <v>131.825674</v>
      </c>
      <c r="D247" s="11" t="inlineStr">
        <is>
          <t>Pelagic fish (≤ 30 cm)</t>
        </is>
      </c>
      <c r="E247" t="n">
        <v>140.953883</v>
      </c>
      <c r="F247" t="n">
        <v>60.479203</v>
      </c>
      <c r="G247" t="n">
        <v>36.07884</v>
      </c>
      <c r="H247" t="n">
        <v>45.98261</v>
      </c>
      <c r="I247" t="n">
        <v>395.888053</v>
      </c>
      <c r="J247" t="n">
        <v>395.888053</v>
      </c>
      <c r="K247" t="n">
        <v>376.09365</v>
      </c>
      <c r="L247" t="n">
        <v>393.787233</v>
      </c>
      <c r="M247" t="n">
        <v>393.787233</v>
      </c>
      <c r="N247" t="n">
        <v>393.787233</v>
      </c>
      <c r="O247" t="n">
        <v>20.916473</v>
      </c>
      <c r="P247" t="n">
        <v>13.510088</v>
      </c>
      <c r="Q247" t="n">
        <v>393.787233</v>
      </c>
      <c r="R247" t="n">
        <v>393.787233</v>
      </c>
      <c r="S247" t="n">
        <v>20.916473</v>
      </c>
      <c r="T247" t="n">
        <v>20.916473</v>
      </c>
      <c r="U247" t="n">
        <v>13.510088</v>
      </c>
      <c r="V247" t="n">
        <v>13.510088</v>
      </c>
      <c r="W247" t="n">
        <v>21.939981</v>
      </c>
      <c r="X247" t="n">
        <v>405.784084</v>
      </c>
    </row>
    <row r="248" ht="36" customHeight="1">
      <c r="A248" t="inlineStr">
        <is>
          <t>Muraenidae</t>
        </is>
      </c>
      <c r="B248" t="n">
        <v>4.07</v>
      </c>
      <c r="C248" t="n">
        <v>1174.897555</v>
      </c>
      <c r="D248" s="11" t="inlineStr">
        <is>
          <t>Juvenile demersal fish (&gt; 30 cm) | Adult demersal fish (&gt; 30 cm)</t>
        </is>
      </c>
      <c r="E248" t="n">
        <v>140.953883</v>
      </c>
      <c r="F248" t="n">
        <v>228.824285</v>
      </c>
      <c r="G248" t="n">
        <v>114.897152</v>
      </c>
      <c r="H248" t="n">
        <v>408.798022</v>
      </c>
      <c r="I248" t="n">
        <v>6590.793316</v>
      </c>
      <c r="J248" t="n">
        <v>7071.146917</v>
      </c>
      <c r="K248" t="n">
        <v>2576.928919</v>
      </c>
      <c r="L248" t="n">
        <v>10677.999207</v>
      </c>
      <c r="M248" t="n">
        <v>10677.999207</v>
      </c>
      <c r="N248" t="n">
        <v>10677.999207</v>
      </c>
      <c r="O248" t="n">
        <v>85.006417</v>
      </c>
      <c r="P248" t="n">
        <v>38.52237</v>
      </c>
      <c r="Q248" t="n">
        <v>10677.999207</v>
      </c>
      <c r="R248" t="n">
        <v>10677.999207</v>
      </c>
      <c r="S248" t="n">
        <v>85.006417</v>
      </c>
      <c r="T248" t="n">
        <v>85.006417</v>
      </c>
      <c r="U248" t="n">
        <v>38.52237</v>
      </c>
      <c r="V248" t="n">
        <v>38.52237</v>
      </c>
      <c r="W248" t="n">
        <v>88.306245</v>
      </c>
      <c r="X248" t="n">
        <v>11509.306401</v>
      </c>
    </row>
    <row r="249" ht="36" customHeight="1">
      <c r="A249" t="inlineStr">
        <is>
          <t>Rachycentron canadum</t>
        </is>
      </c>
      <c r="B249" t="n">
        <v>3.96</v>
      </c>
      <c r="C249" t="n">
        <v>912.010839</v>
      </c>
      <c r="D249" s="11" t="inlineStr">
        <is>
          <t>Juvenile large pelagic fish | Pelagic fish (&gt; 30 cm)</t>
        </is>
      </c>
      <c r="E249" t="n">
        <v>140.953883</v>
      </c>
      <c r="F249" t="n">
        <v>200.641254</v>
      </c>
      <c r="G249" t="n">
        <v>102.228748</v>
      </c>
      <c r="H249" t="n">
        <v>215.010584</v>
      </c>
      <c r="I249" t="n">
        <v>6244.222521</v>
      </c>
      <c r="J249" t="n">
        <v>6325.914048</v>
      </c>
      <c r="K249" t="n">
        <v>1872.204427</v>
      </c>
      <c r="L249" t="n">
        <v>7112.982475</v>
      </c>
      <c r="M249" t="n">
        <v>7112.982475</v>
      </c>
      <c r="N249" t="n">
        <v>7112.982475</v>
      </c>
      <c r="O249" t="n">
        <v>87.969483</v>
      </c>
      <c r="P249" t="n">
        <v>46.580547</v>
      </c>
      <c r="Q249" t="n">
        <v>7112.982475</v>
      </c>
      <c r="R249" t="n">
        <v>7112.982475</v>
      </c>
      <c r="S249" t="n">
        <v>87.969483</v>
      </c>
      <c r="T249" t="n">
        <v>87.969483</v>
      </c>
      <c r="U249" t="n">
        <v>46.580547</v>
      </c>
      <c r="V249" t="n">
        <v>46.580547</v>
      </c>
      <c r="W249" t="n">
        <v>93.060855</v>
      </c>
      <c r="X249" t="n">
        <v>7459.131892</v>
      </c>
    </row>
    <row r="250" ht="21" customHeight="1">
      <c r="A250" t="inlineStr">
        <is>
          <t>Mierspenaeopsis hardwickii</t>
        </is>
      </c>
      <c r="B250" t="n">
        <v>2.71</v>
      </c>
      <c r="C250" t="n">
        <v>51.286138</v>
      </c>
      <c r="D250" s="11" t="inlineStr">
        <is>
          <t>Shrimps</t>
        </is>
      </c>
      <c r="E250" t="n">
        <v>140.953883</v>
      </c>
      <c r="F250" t="n">
        <v>20.606299</v>
      </c>
      <c r="G250" t="n">
        <v>14.077679</v>
      </c>
      <c r="H250" t="n">
        <v>22.715542</v>
      </c>
      <c r="I250" t="n">
        <v>131.71072</v>
      </c>
      <c r="J250" t="n">
        <v>131.71072</v>
      </c>
      <c r="K250" t="n">
        <v>125.125184</v>
      </c>
      <c r="L250" t="n">
        <v>130.894857</v>
      </c>
      <c r="M250" t="n">
        <v>130.894857</v>
      </c>
      <c r="N250" t="n">
        <v>130.894857</v>
      </c>
      <c r="O250" t="n">
        <v>12.255972</v>
      </c>
      <c r="P250" t="n">
        <v>8.448598</v>
      </c>
      <c r="Q250" t="n">
        <v>130.894857</v>
      </c>
      <c r="R250" t="n">
        <v>130.894857</v>
      </c>
      <c r="S250" t="n">
        <v>12.255972</v>
      </c>
      <c r="T250" t="n">
        <v>12.255972</v>
      </c>
      <c r="U250" t="n">
        <v>8.448598</v>
      </c>
      <c r="V250" t="n">
        <v>8.448598</v>
      </c>
      <c r="W250" t="n">
        <v>12.680707</v>
      </c>
      <c r="X250" t="n">
        <v>136.520004</v>
      </c>
    </row>
    <row r="251" ht="21" customHeight="1">
      <c r="A251" t="inlineStr">
        <is>
          <t>Ibacus ciliatus</t>
        </is>
      </c>
      <c r="B251" t="n">
        <v>2.6</v>
      </c>
      <c r="C251" t="n">
        <v>39.810717</v>
      </c>
      <c r="D251" s="11" t="inlineStr">
        <is>
          <t>Benthic crustaceans</t>
        </is>
      </c>
      <c r="E251" t="n">
        <v>140.953883</v>
      </c>
      <c r="F251" t="n">
        <v>15.812995</v>
      </c>
      <c r="G251" t="n">
        <v>11.169278</v>
      </c>
      <c r="H251" t="n">
        <v>22.580939</v>
      </c>
      <c r="I251" t="n">
        <v>110.765161</v>
      </c>
      <c r="J251" t="n">
        <v>110.765161</v>
      </c>
      <c r="K251" t="n">
        <v>69.11746100000001</v>
      </c>
      <c r="L251" t="n">
        <v>113.463496</v>
      </c>
      <c r="M251" t="n">
        <v>113.463496</v>
      </c>
      <c r="N251" t="n">
        <v>113.463496</v>
      </c>
      <c r="O251" t="n">
        <v>8.170260000000001</v>
      </c>
      <c r="P251" t="n">
        <v>5.693764</v>
      </c>
      <c r="Q251" t="n">
        <v>113.463496</v>
      </c>
      <c r="R251" t="n">
        <v>113.463496</v>
      </c>
      <c r="S251" t="n">
        <v>8.170260000000001</v>
      </c>
      <c r="T251" t="n">
        <v>8.170260000000001</v>
      </c>
      <c r="U251" t="n">
        <v>5.693764</v>
      </c>
      <c r="V251" t="n">
        <v>5.693764</v>
      </c>
      <c r="W251" t="n">
        <v>8.298344999999999</v>
      </c>
      <c r="X251" t="n">
        <v>118.931059</v>
      </c>
    </row>
    <row r="252" ht="21" customHeight="1">
      <c r="A252" t="inlineStr">
        <is>
          <t>Istiophoridae</t>
        </is>
      </c>
      <c r="B252" t="n">
        <v>4.48</v>
      </c>
      <c r="C252" t="n">
        <v>3019.95172</v>
      </c>
      <c r="D252" s="11" t="inlineStr">
        <is>
          <t>Unresolved</t>
        </is>
      </c>
    </row>
    <row r="253" ht="21" customHeight="1">
      <c r="A253" t="inlineStr">
        <is>
          <t>Panulirus polyphagus</t>
        </is>
      </c>
      <c r="B253" t="n">
        <v>2.94</v>
      </c>
      <c r="C253" t="n">
        <v>87.09635900000001</v>
      </c>
      <c r="D253" s="11" t="inlineStr">
        <is>
          <t>Benthic crustaceans</t>
        </is>
      </c>
      <c r="E253" t="n">
        <v>140.953883</v>
      </c>
      <c r="F253" t="n">
        <v>15.812995</v>
      </c>
      <c r="G253" t="n">
        <v>11.169278</v>
      </c>
      <c r="H253" t="n">
        <v>22.580939</v>
      </c>
      <c r="I253" t="n">
        <v>110.765161</v>
      </c>
      <c r="J253" t="n">
        <v>110.765161</v>
      </c>
      <c r="K253" t="n">
        <v>69.11746100000001</v>
      </c>
      <c r="L253" t="n">
        <v>113.463496</v>
      </c>
      <c r="M253" t="n">
        <v>113.463496</v>
      </c>
      <c r="N253" t="n">
        <v>113.463496</v>
      </c>
      <c r="O253" t="n">
        <v>8.170260000000001</v>
      </c>
      <c r="P253" t="n">
        <v>5.693764</v>
      </c>
      <c r="Q253" t="n">
        <v>113.463496</v>
      </c>
      <c r="R253" t="n">
        <v>113.463496</v>
      </c>
      <c r="S253" t="n">
        <v>8.170260000000001</v>
      </c>
      <c r="T253" t="n">
        <v>8.170260000000001</v>
      </c>
      <c r="U253" t="n">
        <v>5.693764</v>
      </c>
      <c r="V253" t="n">
        <v>5.693764</v>
      </c>
      <c r="W253" t="n">
        <v>8.298344999999999</v>
      </c>
      <c r="X253" t="n">
        <v>118.931059</v>
      </c>
    </row>
    <row r="254" ht="21" customHeight="1">
      <c r="A254" t="inlineStr">
        <is>
          <t>Mierspenaeopsis sculptilis</t>
        </is>
      </c>
      <c r="D254" s="11" t="inlineStr">
        <is>
          <t>Shrimps</t>
        </is>
      </c>
      <c r="E254" t="n">
        <v>140.953883</v>
      </c>
      <c r="F254" t="n">
        <v>20.606299</v>
      </c>
      <c r="G254" t="n">
        <v>14.077679</v>
      </c>
      <c r="H254" t="n">
        <v>22.715542</v>
      </c>
      <c r="I254" t="n">
        <v>131.71072</v>
      </c>
      <c r="J254" t="n">
        <v>131.71072</v>
      </c>
      <c r="K254" t="n">
        <v>125.125184</v>
      </c>
      <c r="L254" t="n">
        <v>130.894857</v>
      </c>
      <c r="M254" t="n">
        <v>130.894857</v>
      </c>
      <c r="N254" t="n">
        <v>130.894857</v>
      </c>
      <c r="O254" t="n">
        <v>12.255972</v>
      </c>
      <c r="P254" t="n">
        <v>8.448598</v>
      </c>
      <c r="Q254" t="n">
        <v>130.894857</v>
      </c>
      <c r="R254" t="n">
        <v>130.894857</v>
      </c>
      <c r="S254" t="n">
        <v>12.255972</v>
      </c>
      <c r="T254" t="n">
        <v>12.255972</v>
      </c>
      <c r="U254" t="n">
        <v>8.448598</v>
      </c>
      <c r="V254" t="n">
        <v>8.448598</v>
      </c>
      <c r="W254" t="n">
        <v>12.680707</v>
      </c>
      <c r="X254" t="n">
        <v>136.520004</v>
      </c>
    </row>
    <row r="255" ht="21" customHeight="1">
      <c r="A255" t="inlineStr">
        <is>
          <t>Acanthurus</t>
        </is>
      </c>
      <c r="B255" t="n">
        <v>2.03</v>
      </c>
      <c r="C255" t="n">
        <v>10.715193</v>
      </c>
      <c r="D255" s="11" t="inlineStr">
        <is>
          <t>Demesral fish (≤ 30 cm)</t>
        </is>
      </c>
      <c r="E255" t="n">
        <v>140.953883</v>
      </c>
      <c r="F255" t="n">
        <v>95.34341499999999</v>
      </c>
      <c r="G255" t="n">
        <v>53.708528</v>
      </c>
      <c r="H255" t="n">
        <v>114.11959</v>
      </c>
      <c r="I255" t="n">
        <v>569.846189</v>
      </c>
      <c r="J255" t="n">
        <v>594.287325</v>
      </c>
      <c r="K255" t="n">
        <v>564.572959</v>
      </c>
      <c r="L255" t="n">
        <v>738.02552</v>
      </c>
      <c r="M255" t="n">
        <v>738.02552</v>
      </c>
      <c r="N255" t="n">
        <v>738.02552</v>
      </c>
      <c r="O255" t="n">
        <v>39.685535</v>
      </c>
      <c r="P255" t="n">
        <v>21.622034</v>
      </c>
      <c r="Q255" t="n">
        <v>738.02552</v>
      </c>
      <c r="R255" t="n">
        <v>738.02552</v>
      </c>
      <c r="S255" t="n">
        <v>39.685535</v>
      </c>
      <c r="T255" t="n">
        <v>39.685535</v>
      </c>
      <c r="U255" t="n">
        <v>21.622034</v>
      </c>
      <c r="V255" t="n">
        <v>21.622034</v>
      </c>
      <c r="W255" t="n">
        <v>41.109943</v>
      </c>
      <c r="X255" t="n">
        <v>772.895549</v>
      </c>
    </row>
    <row r="256" ht="21" customHeight="1">
      <c r="A256" t="inlineStr">
        <is>
          <t>Palinuridae</t>
        </is>
      </c>
      <c r="B256" t="n">
        <v>3.14</v>
      </c>
      <c r="C256" t="n">
        <v>138.038426</v>
      </c>
      <c r="D256" s="11" t="inlineStr">
        <is>
          <t>Benthic crustaceans</t>
        </is>
      </c>
      <c r="E256" t="n">
        <v>140.953883</v>
      </c>
      <c r="F256" t="n">
        <v>15.812995</v>
      </c>
      <c r="G256" t="n">
        <v>11.169278</v>
      </c>
      <c r="H256" t="n">
        <v>22.580939</v>
      </c>
      <c r="I256" t="n">
        <v>110.765161</v>
      </c>
      <c r="J256" t="n">
        <v>110.765161</v>
      </c>
      <c r="K256" t="n">
        <v>69.11746100000001</v>
      </c>
      <c r="L256" t="n">
        <v>113.463496</v>
      </c>
      <c r="M256" t="n">
        <v>113.463496</v>
      </c>
      <c r="N256" t="n">
        <v>113.463496</v>
      </c>
      <c r="O256" t="n">
        <v>8.170260000000001</v>
      </c>
      <c r="P256" t="n">
        <v>5.693764</v>
      </c>
      <c r="Q256" t="n">
        <v>113.463496</v>
      </c>
      <c r="R256" t="n">
        <v>113.463496</v>
      </c>
      <c r="S256" t="n">
        <v>8.170260000000001</v>
      </c>
      <c r="T256" t="n">
        <v>8.170260000000001</v>
      </c>
      <c r="U256" t="n">
        <v>5.693764</v>
      </c>
      <c r="V256" t="n">
        <v>5.693764</v>
      </c>
      <c r="W256" t="n">
        <v>8.298344999999999</v>
      </c>
      <c r="X256" t="n">
        <v>118.931059</v>
      </c>
    </row>
    <row r="257" ht="36" customHeight="1">
      <c r="A257" t="inlineStr">
        <is>
          <t>Terapontidae</t>
        </is>
      </c>
      <c r="B257" t="n">
        <v>3.64</v>
      </c>
      <c r="C257" t="n">
        <v>436.515832</v>
      </c>
      <c r="D257" s="11" t="inlineStr">
        <is>
          <t>Juvenile demersal fish (&gt; 30 cm) | Adult demersal fish (&gt; 30 cm)</t>
        </is>
      </c>
      <c r="E257" t="n">
        <v>140.953883</v>
      </c>
      <c r="F257" t="n">
        <v>228.824285</v>
      </c>
      <c r="G257" t="n">
        <v>114.897152</v>
      </c>
      <c r="H257" t="n">
        <v>408.798022</v>
      </c>
      <c r="I257" t="n">
        <v>6590.793316</v>
      </c>
      <c r="J257" t="n">
        <v>7071.146917</v>
      </c>
      <c r="K257" t="n">
        <v>2576.928919</v>
      </c>
      <c r="L257" t="n">
        <v>10677.999207</v>
      </c>
      <c r="M257" t="n">
        <v>10677.999207</v>
      </c>
      <c r="N257" t="n">
        <v>10677.999207</v>
      </c>
      <c r="O257" t="n">
        <v>85.006417</v>
      </c>
      <c r="P257" t="n">
        <v>38.52237</v>
      </c>
      <c r="Q257" t="n">
        <v>10677.999207</v>
      </c>
      <c r="R257" t="n">
        <v>10677.999207</v>
      </c>
      <c r="S257" t="n">
        <v>85.006417</v>
      </c>
      <c r="T257" t="n">
        <v>85.006417</v>
      </c>
      <c r="U257" t="n">
        <v>38.52237</v>
      </c>
      <c r="V257" t="n">
        <v>38.52237</v>
      </c>
      <c r="W257" t="n">
        <v>88.306245</v>
      </c>
      <c r="X257" t="n">
        <v>11509.306401</v>
      </c>
    </row>
    <row r="258" ht="21" customHeight="1">
      <c r="A258" t="inlineStr">
        <is>
          <t>Octopus vulgaris</t>
        </is>
      </c>
      <c r="B258" t="n">
        <v>3.6</v>
      </c>
      <c r="C258" t="n">
        <v>398.107171</v>
      </c>
      <c r="D258" s="11" t="inlineStr">
        <is>
          <t>Cephalopods</t>
        </is>
      </c>
      <c r="E258" t="n">
        <v>140.953883</v>
      </c>
      <c r="F258" t="n">
        <v>170.518341</v>
      </c>
      <c r="G258" t="n">
        <v>89.274901</v>
      </c>
      <c r="H258" t="n">
        <v>176.937394</v>
      </c>
      <c r="I258" t="n">
        <v>1050.872908</v>
      </c>
      <c r="J258" t="n">
        <v>1075.829695</v>
      </c>
      <c r="K258" t="n">
        <v>537.914847</v>
      </c>
      <c r="L258" t="n">
        <v>1659.687874</v>
      </c>
      <c r="M258" t="n">
        <v>1659.687874</v>
      </c>
      <c r="N258" t="n">
        <v>1659.687874</v>
      </c>
      <c r="O258" t="n">
        <v>31.362197</v>
      </c>
      <c r="P258" t="n">
        <v>16.184075</v>
      </c>
      <c r="Q258" t="n">
        <v>1659.687874</v>
      </c>
      <c r="R258" t="n">
        <v>1659.687874</v>
      </c>
      <c r="S258" t="n">
        <v>31.362197</v>
      </c>
      <c r="T258" t="n">
        <v>31.362197</v>
      </c>
      <c r="U258" t="n">
        <v>16.184075</v>
      </c>
      <c r="V258" t="n">
        <v>16.184075</v>
      </c>
      <c r="W258" t="n">
        <v>32.286772</v>
      </c>
      <c r="X258" t="n">
        <v>1775.112325</v>
      </c>
    </row>
    <row r="259" ht="21" customHeight="1">
      <c r="A259" t="inlineStr">
        <is>
          <t>Solenocera crassicornis</t>
        </is>
      </c>
      <c r="B259" t="n">
        <v>2.2</v>
      </c>
      <c r="C259" t="n">
        <v>15.848932</v>
      </c>
      <c r="D259" s="11" t="inlineStr">
        <is>
          <t>Shrimps</t>
        </is>
      </c>
      <c r="E259" t="n">
        <v>140.953883</v>
      </c>
      <c r="F259" t="n">
        <v>20.606299</v>
      </c>
      <c r="G259" t="n">
        <v>14.077679</v>
      </c>
      <c r="H259" t="n">
        <v>22.715542</v>
      </c>
      <c r="I259" t="n">
        <v>131.71072</v>
      </c>
      <c r="J259" t="n">
        <v>131.71072</v>
      </c>
      <c r="K259" t="n">
        <v>125.125184</v>
      </c>
      <c r="L259" t="n">
        <v>130.894857</v>
      </c>
      <c r="M259" t="n">
        <v>130.894857</v>
      </c>
      <c r="N259" t="n">
        <v>130.894857</v>
      </c>
      <c r="O259" t="n">
        <v>12.255972</v>
      </c>
      <c r="P259" t="n">
        <v>8.448598</v>
      </c>
      <c r="Q259" t="n">
        <v>130.894857</v>
      </c>
      <c r="R259" t="n">
        <v>130.894857</v>
      </c>
      <c r="S259" t="n">
        <v>12.255972</v>
      </c>
      <c r="T259" t="n">
        <v>12.255972</v>
      </c>
      <c r="U259" t="n">
        <v>8.448598</v>
      </c>
      <c r="V259" t="n">
        <v>8.448598</v>
      </c>
      <c r="W259" t="n">
        <v>12.680707</v>
      </c>
      <c r="X259" t="n">
        <v>136.520004</v>
      </c>
    </row>
    <row r="260" ht="36" customHeight="1">
      <c r="A260" t="inlineStr">
        <is>
          <t>Thunnus alalunga</t>
        </is>
      </c>
      <c r="B260" t="n">
        <v>4.3</v>
      </c>
      <c r="C260" t="n">
        <v>1995.262315</v>
      </c>
      <c r="D260" s="11" t="inlineStr">
        <is>
          <t>Juvenile large pelagic fish | Pelagic fish (&gt; 30 cm)</t>
        </is>
      </c>
      <c r="E260" t="n">
        <v>140.953883</v>
      </c>
      <c r="F260" t="n">
        <v>200.641254</v>
      </c>
      <c r="G260" t="n">
        <v>102.228748</v>
      </c>
      <c r="H260" t="n">
        <v>215.010584</v>
      </c>
      <c r="I260" t="n">
        <v>6244.222521</v>
      </c>
      <c r="J260" t="n">
        <v>6325.914048</v>
      </c>
      <c r="K260" t="n">
        <v>1872.204427</v>
      </c>
      <c r="L260" t="n">
        <v>7112.982475</v>
      </c>
      <c r="M260" t="n">
        <v>7112.982475</v>
      </c>
      <c r="N260" t="n">
        <v>7112.982475</v>
      </c>
      <c r="O260" t="n">
        <v>87.969483</v>
      </c>
      <c r="P260" t="n">
        <v>46.580547</v>
      </c>
      <c r="Q260" t="n">
        <v>7112.982475</v>
      </c>
      <c r="R260" t="n">
        <v>7112.982475</v>
      </c>
      <c r="S260" t="n">
        <v>87.969483</v>
      </c>
      <c r="T260" t="n">
        <v>87.969483</v>
      </c>
      <c r="U260" t="n">
        <v>46.580547</v>
      </c>
      <c r="V260" t="n">
        <v>46.580547</v>
      </c>
      <c r="W260" t="n">
        <v>93.060855</v>
      </c>
      <c r="X260" t="n">
        <v>7459.131892</v>
      </c>
    </row>
    <row r="261" ht="36" customHeight="1">
      <c r="A261" t="inlineStr">
        <is>
          <t>Scorpaenidae</t>
        </is>
      </c>
      <c r="B261" t="n">
        <v>3.92</v>
      </c>
      <c r="C261" t="n">
        <v>831.763771</v>
      </c>
      <c r="D261" s="11" t="inlineStr">
        <is>
          <t>Juvenile demersal fish (&gt; 30 cm) | Adult demersal fish (&gt; 30 cm)</t>
        </is>
      </c>
      <c r="E261" t="n">
        <v>140.953883</v>
      </c>
      <c r="F261" t="n">
        <v>228.824285</v>
      </c>
      <c r="G261" t="n">
        <v>114.897152</v>
      </c>
      <c r="H261" t="n">
        <v>408.798022</v>
      </c>
      <c r="I261" t="n">
        <v>6590.793316</v>
      </c>
      <c r="J261" t="n">
        <v>7071.146917</v>
      </c>
      <c r="K261" t="n">
        <v>2576.928919</v>
      </c>
      <c r="L261" t="n">
        <v>10677.999207</v>
      </c>
      <c r="M261" t="n">
        <v>10677.999207</v>
      </c>
      <c r="N261" t="n">
        <v>10677.999207</v>
      </c>
      <c r="O261" t="n">
        <v>85.006417</v>
      </c>
      <c r="P261" t="n">
        <v>38.52237</v>
      </c>
      <c r="Q261" t="n">
        <v>10677.999207</v>
      </c>
      <c r="R261" t="n">
        <v>10677.999207</v>
      </c>
      <c r="S261" t="n">
        <v>85.006417</v>
      </c>
      <c r="T261" t="n">
        <v>85.006417</v>
      </c>
      <c r="U261" t="n">
        <v>38.52237</v>
      </c>
      <c r="V261" t="n">
        <v>38.52237</v>
      </c>
      <c r="W261" t="n">
        <v>88.306245</v>
      </c>
      <c r="X261" t="n">
        <v>11509.306401</v>
      </c>
    </row>
    <row r="262" ht="21" customHeight="1">
      <c r="A262" t="inlineStr">
        <is>
          <t>Carcharhinus falciformis</t>
        </is>
      </c>
      <c r="B262" t="n">
        <v>4.51</v>
      </c>
      <c r="C262" t="n">
        <v>3235.936569</v>
      </c>
      <c r="D262" s="11" t="inlineStr">
        <is>
          <t>Pelagic sharks and rays</t>
        </is>
      </c>
      <c r="E262" t="n">
        <v>140.953883</v>
      </c>
      <c r="F262" t="n">
        <v>908.988005</v>
      </c>
      <c r="G262" t="n">
        <v>385.472886</v>
      </c>
      <c r="H262" t="n">
        <v>784.4685459999999</v>
      </c>
      <c r="I262" t="n">
        <v>125208.792952</v>
      </c>
      <c r="J262" t="n">
        <v>126616.154086</v>
      </c>
      <c r="K262" t="n">
        <v>63308.077043</v>
      </c>
      <c r="L262" t="n">
        <v>172174.15174</v>
      </c>
      <c r="M262" t="n">
        <v>172174.151739</v>
      </c>
      <c r="N262" t="n">
        <v>172174.151739</v>
      </c>
      <c r="O262" t="n">
        <v>202.141045</v>
      </c>
      <c r="P262" t="n">
        <v>87.49926499999999</v>
      </c>
      <c r="Q262" t="n">
        <v>172174.151739</v>
      </c>
      <c r="R262" t="n">
        <v>172174.151739</v>
      </c>
      <c r="S262" t="n">
        <v>202.141045</v>
      </c>
      <c r="T262" t="n">
        <v>202.141045</v>
      </c>
      <c r="U262" t="n">
        <v>87.49926499999999</v>
      </c>
      <c r="V262" t="n">
        <v>87.49926499999999</v>
      </c>
      <c r="W262" t="n">
        <v>214.928725</v>
      </c>
      <c r="X262" t="n">
        <v>183923.261916</v>
      </c>
    </row>
    <row r="263" ht="21" customHeight="1">
      <c r="A263" t="inlineStr">
        <is>
          <t>Metapenaeus affinis</t>
        </is>
      </c>
      <c r="D263" s="11" t="inlineStr">
        <is>
          <t>Shrimps</t>
        </is>
      </c>
      <c r="E263" t="n">
        <v>140.953883</v>
      </c>
      <c r="F263" t="n">
        <v>20.606299</v>
      </c>
      <c r="G263" t="n">
        <v>14.077679</v>
      </c>
      <c r="H263" t="n">
        <v>22.715542</v>
      </c>
      <c r="I263" t="n">
        <v>131.71072</v>
      </c>
      <c r="J263" t="n">
        <v>131.71072</v>
      </c>
      <c r="K263" t="n">
        <v>125.125184</v>
      </c>
      <c r="L263" t="n">
        <v>130.894857</v>
      </c>
      <c r="M263" t="n">
        <v>130.894857</v>
      </c>
      <c r="N263" t="n">
        <v>130.894857</v>
      </c>
      <c r="O263" t="n">
        <v>12.255972</v>
      </c>
      <c r="P263" t="n">
        <v>8.448598</v>
      </c>
      <c r="Q263" t="n">
        <v>130.894857</v>
      </c>
      <c r="R263" t="n">
        <v>130.894857</v>
      </c>
      <c r="S263" t="n">
        <v>12.255972</v>
      </c>
      <c r="T263" t="n">
        <v>12.255972</v>
      </c>
      <c r="U263" t="n">
        <v>8.448598</v>
      </c>
      <c r="V263" t="n">
        <v>8.448598</v>
      </c>
      <c r="W263" t="n">
        <v>12.680707</v>
      </c>
      <c r="X263" t="n">
        <v>136.520004</v>
      </c>
    </row>
    <row r="264" ht="51" customHeight="1">
      <c r="A264" t="inlineStr">
        <is>
          <t>Marine groundfishes not identified</t>
        </is>
      </c>
      <c r="B264" t="n">
        <v>3.22</v>
      </c>
      <c r="C264" t="n">
        <v>165.958691</v>
      </c>
      <c r="D264" s="11" t="inlineStr">
        <is>
          <t>Demesral fish (≤ 30 cm) | Juvenile demersal fish (&gt; 30 cm) | Adult demersal fish (&gt; 30 cm)</t>
        </is>
      </c>
      <c r="E264" t="n">
        <v>140.953883</v>
      </c>
      <c r="F264" t="n">
        <v>177.371403</v>
      </c>
      <c r="G264" t="n">
        <v>91.310768</v>
      </c>
      <c r="H264" t="n">
        <v>295.208302</v>
      </c>
      <c r="I264" t="n">
        <v>4269.898312</v>
      </c>
      <c r="J264" t="n">
        <v>4574.511297</v>
      </c>
      <c r="K264" t="n">
        <v>1801.225895</v>
      </c>
      <c r="L264" t="n">
        <v>6846.4367</v>
      </c>
      <c r="M264" t="n">
        <v>6846.4367</v>
      </c>
      <c r="N264" t="n">
        <v>6846.4367</v>
      </c>
      <c r="O264" t="n">
        <v>67.536573</v>
      </c>
      <c r="P264" t="n">
        <v>32.007796</v>
      </c>
      <c r="Q264" t="n">
        <v>6846.4367</v>
      </c>
      <c r="R264" t="n">
        <v>6846.4367</v>
      </c>
      <c r="S264" t="n">
        <v>67.536573</v>
      </c>
      <c r="T264" t="n">
        <v>67.536573</v>
      </c>
      <c r="U264" t="n">
        <v>32.007796</v>
      </c>
      <c r="V264" t="n">
        <v>32.007796</v>
      </c>
      <c r="W264" t="n">
        <v>70.113483</v>
      </c>
      <c r="X264" t="n">
        <v>7370.741192</v>
      </c>
    </row>
    <row r="265" ht="21" customHeight="1">
      <c r="A265" t="inlineStr">
        <is>
          <t>Sardinella albella</t>
        </is>
      </c>
      <c r="B265" t="n">
        <v>2.68</v>
      </c>
      <c r="C265" t="n">
        <v>47.863009</v>
      </c>
      <c r="D265" s="11" t="inlineStr">
        <is>
          <t>Pelagic fish (≤ 30 cm)</t>
        </is>
      </c>
      <c r="E265" t="n">
        <v>140.953883</v>
      </c>
      <c r="F265" t="n">
        <v>60.479203</v>
      </c>
      <c r="G265" t="n">
        <v>36.07884</v>
      </c>
      <c r="H265" t="n">
        <v>45.98261</v>
      </c>
      <c r="I265" t="n">
        <v>395.888053</v>
      </c>
      <c r="J265" t="n">
        <v>395.888053</v>
      </c>
      <c r="K265" t="n">
        <v>376.09365</v>
      </c>
      <c r="L265" t="n">
        <v>393.787233</v>
      </c>
      <c r="M265" t="n">
        <v>393.787233</v>
      </c>
      <c r="N265" t="n">
        <v>393.787233</v>
      </c>
      <c r="O265" t="n">
        <v>20.916473</v>
      </c>
      <c r="P265" t="n">
        <v>13.510088</v>
      </c>
      <c r="Q265" t="n">
        <v>393.787233</v>
      </c>
      <c r="R265" t="n">
        <v>393.787233</v>
      </c>
      <c r="S265" t="n">
        <v>20.916473</v>
      </c>
      <c r="T265" t="n">
        <v>20.916473</v>
      </c>
      <c r="U265" t="n">
        <v>13.510088</v>
      </c>
      <c r="V265" t="n">
        <v>13.510088</v>
      </c>
      <c r="W265" t="n">
        <v>21.939981</v>
      </c>
      <c r="X265" t="n">
        <v>405.784084</v>
      </c>
    </row>
    <row r="266" ht="21" customHeight="1">
      <c r="A266" t="inlineStr">
        <is>
          <t>Placuna placenta</t>
        </is>
      </c>
      <c r="B266" t="n">
        <v>2.41</v>
      </c>
      <c r="C266" t="n">
        <v>25.703958</v>
      </c>
      <c r="D266" s="11" t="inlineStr">
        <is>
          <t>Non-ceph molluscs</t>
        </is>
      </c>
      <c r="E266" t="n">
        <v>140.953883</v>
      </c>
      <c r="F266" t="n">
        <v>14.712171</v>
      </c>
      <c r="G266" t="n">
        <v>10.486582</v>
      </c>
      <c r="H266" t="n">
        <v>17.347998</v>
      </c>
      <c r="I266" t="n">
        <v>87.52377799999999</v>
      </c>
      <c r="J266" t="n">
        <v>87.52377799999999</v>
      </c>
      <c r="K266" t="n">
        <v>33.521607</v>
      </c>
      <c r="L266" t="n">
        <v>92.59366</v>
      </c>
      <c r="M266" t="n">
        <v>92.59366</v>
      </c>
      <c r="N266" t="n">
        <v>92.59366</v>
      </c>
      <c r="O266" t="n">
        <v>4.448657</v>
      </c>
      <c r="P266" t="n">
        <v>3.058348</v>
      </c>
      <c r="Q266" t="n">
        <v>92.59366</v>
      </c>
      <c r="R266" t="n">
        <v>92.59366</v>
      </c>
      <c r="S266" t="n">
        <v>4.448657</v>
      </c>
      <c r="T266" t="n">
        <v>4.448657</v>
      </c>
      <c r="U266" t="n">
        <v>3.058348</v>
      </c>
      <c r="V266" t="n">
        <v>3.058348</v>
      </c>
      <c r="W266" t="n">
        <v>4.556294</v>
      </c>
      <c r="X266" t="n">
        <v>96.447226</v>
      </c>
    </row>
    <row r="267" ht="36" customHeight="1">
      <c r="A267" t="inlineStr">
        <is>
          <t>Scaridae</t>
        </is>
      </c>
      <c r="B267" t="n">
        <v>2</v>
      </c>
      <c r="C267" t="n">
        <v>10</v>
      </c>
      <c r="D267" s="11" t="inlineStr">
        <is>
          <t>Juvenile demersal fish (&gt; 30 cm) | Adult demersal fish (&gt; 30 cm)</t>
        </is>
      </c>
      <c r="E267" t="n">
        <v>140.953883</v>
      </c>
      <c r="F267" t="n">
        <v>228.824285</v>
      </c>
      <c r="G267" t="n">
        <v>114.897152</v>
      </c>
      <c r="H267" t="n">
        <v>408.798022</v>
      </c>
      <c r="I267" t="n">
        <v>6590.793316</v>
      </c>
      <c r="J267" t="n">
        <v>7071.146917</v>
      </c>
      <c r="K267" t="n">
        <v>2576.928919</v>
      </c>
      <c r="L267" t="n">
        <v>10677.999207</v>
      </c>
      <c r="M267" t="n">
        <v>10677.999207</v>
      </c>
      <c r="N267" t="n">
        <v>10677.999207</v>
      </c>
      <c r="O267" t="n">
        <v>85.006417</v>
      </c>
      <c r="P267" t="n">
        <v>38.52237</v>
      </c>
      <c r="Q267" t="n">
        <v>10677.999207</v>
      </c>
      <c r="R267" t="n">
        <v>10677.999207</v>
      </c>
      <c r="S267" t="n">
        <v>85.006417</v>
      </c>
      <c r="T267" t="n">
        <v>85.006417</v>
      </c>
      <c r="U267" t="n">
        <v>38.52237</v>
      </c>
      <c r="V267" t="n">
        <v>38.52237</v>
      </c>
      <c r="W267" t="n">
        <v>88.306245</v>
      </c>
      <c r="X267" t="n">
        <v>11509.306401</v>
      </c>
    </row>
    <row r="268" ht="36" customHeight="1">
      <c r="A268" t="inlineStr">
        <is>
          <t>Seriolina nigrofasciata</t>
        </is>
      </c>
      <c r="B268" t="n">
        <v>4.17</v>
      </c>
      <c r="C268" t="n">
        <v>1479.108388</v>
      </c>
      <c r="D268" s="11" t="inlineStr">
        <is>
          <t>Juvenile large pelagic fish | Pelagic fish (&gt; 30 cm)</t>
        </is>
      </c>
      <c r="E268" t="n">
        <v>140.953883</v>
      </c>
      <c r="F268" t="n">
        <v>200.641254</v>
      </c>
      <c r="G268" t="n">
        <v>102.228748</v>
      </c>
      <c r="H268" t="n">
        <v>215.010584</v>
      </c>
      <c r="I268" t="n">
        <v>6244.222521</v>
      </c>
      <c r="J268" t="n">
        <v>6325.914048</v>
      </c>
      <c r="K268" t="n">
        <v>1872.204427</v>
      </c>
      <c r="L268" t="n">
        <v>7112.982475</v>
      </c>
      <c r="M268" t="n">
        <v>7112.982475</v>
      </c>
      <c r="N268" t="n">
        <v>7112.982475</v>
      </c>
      <c r="O268" t="n">
        <v>87.969483</v>
      </c>
      <c r="P268" t="n">
        <v>46.580547</v>
      </c>
      <c r="Q268" t="n">
        <v>7112.982475</v>
      </c>
      <c r="R268" t="n">
        <v>7112.982475</v>
      </c>
      <c r="S268" t="n">
        <v>87.969483</v>
      </c>
      <c r="T268" t="n">
        <v>87.969483</v>
      </c>
      <c r="U268" t="n">
        <v>46.580547</v>
      </c>
      <c r="V268" t="n">
        <v>46.580547</v>
      </c>
      <c r="W268" t="n">
        <v>93.060855</v>
      </c>
      <c r="X268" t="n">
        <v>7459.131892</v>
      </c>
    </row>
    <row r="269" ht="21" customHeight="1">
      <c r="A269" t="inlineStr">
        <is>
          <t>Saurida undosquamis</t>
        </is>
      </c>
      <c r="B269" t="n">
        <v>4.46</v>
      </c>
      <c r="C269" t="n">
        <v>2884.031503</v>
      </c>
      <c r="D269" s="11" t="inlineStr">
        <is>
          <t>Lizard fish (synodontids)</t>
        </is>
      </c>
      <c r="E269" t="n">
        <v>140.953883</v>
      </c>
      <c r="F269" t="n">
        <v>667.104795</v>
      </c>
      <c r="G269" t="n">
        <v>294.137165</v>
      </c>
      <c r="H269" t="n">
        <v>674.482249</v>
      </c>
      <c r="I269" t="n">
        <v>9604.557183999999</v>
      </c>
      <c r="J269" t="n">
        <v>10115.319409</v>
      </c>
      <c r="K269" t="n">
        <v>2437.791978</v>
      </c>
      <c r="L269" t="n">
        <v>16798.641648</v>
      </c>
      <c r="M269" t="n">
        <v>16798.641648</v>
      </c>
      <c r="N269" t="n">
        <v>16798.641648</v>
      </c>
      <c r="O269" t="n">
        <v>88.03658900000001</v>
      </c>
      <c r="P269" t="n">
        <v>38.159556</v>
      </c>
      <c r="Q269" t="n">
        <v>16798.641648</v>
      </c>
      <c r="R269" t="n">
        <v>16798.641648</v>
      </c>
      <c r="S269" t="n">
        <v>88.03658900000001</v>
      </c>
      <c r="T269" t="n">
        <v>88.03658900000001</v>
      </c>
      <c r="U269" t="n">
        <v>38.159556</v>
      </c>
      <c r="V269" t="n">
        <v>38.159556</v>
      </c>
      <c r="W269" t="n">
        <v>92.54017</v>
      </c>
      <c r="X269" t="n">
        <v>18119.633615</v>
      </c>
    </row>
    <row r="270" ht="21" customHeight="1">
      <c r="A270" t="inlineStr">
        <is>
          <t>Atule mate</t>
        </is>
      </c>
      <c r="D270" s="11" t="inlineStr">
        <is>
          <t>Pelagic fish (≤ 30 cm)</t>
        </is>
      </c>
      <c r="E270" t="n">
        <v>140.953883</v>
      </c>
      <c r="F270" t="n">
        <v>60.479203</v>
      </c>
      <c r="G270" t="n">
        <v>36.07884</v>
      </c>
      <c r="H270" t="n">
        <v>45.98261</v>
      </c>
      <c r="I270" t="n">
        <v>395.888053</v>
      </c>
      <c r="J270" t="n">
        <v>395.888053</v>
      </c>
      <c r="K270" t="n">
        <v>376.09365</v>
      </c>
      <c r="L270" t="n">
        <v>393.787233</v>
      </c>
      <c r="M270" t="n">
        <v>393.787233</v>
      </c>
      <c r="N270" t="n">
        <v>393.787233</v>
      </c>
      <c r="O270" t="n">
        <v>20.916473</v>
      </c>
      <c r="P270" t="n">
        <v>13.510088</v>
      </c>
      <c r="Q270" t="n">
        <v>393.787233</v>
      </c>
      <c r="R270" t="n">
        <v>393.787233</v>
      </c>
      <c r="S270" t="n">
        <v>20.916473</v>
      </c>
      <c r="T270" t="n">
        <v>20.916473</v>
      </c>
      <c r="U270" t="n">
        <v>13.510088</v>
      </c>
      <c r="V270" t="n">
        <v>13.510088</v>
      </c>
      <c r="W270" t="n">
        <v>21.939981</v>
      </c>
      <c r="X270" t="n">
        <v>405.784084</v>
      </c>
    </row>
    <row r="271" ht="36" customHeight="1">
      <c r="A271" t="inlineStr">
        <is>
          <t>Scarus</t>
        </is>
      </c>
      <c r="B271" t="n">
        <v>2</v>
      </c>
      <c r="C271" t="n">
        <v>10</v>
      </c>
      <c r="D271" s="11" t="inlineStr">
        <is>
          <t>Juvenile demersal fish (&gt; 30 cm) | Adult demersal fish (&gt; 30 cm)</t>
        </is>
      </c>
      <c r="E271" t="n">
        <v>140.953883</v>
      </c>
      <c r="F271" t="n">
        <v>228.824285</v>
      </c>
      <c r="G271" t="n">
        <v>114.897152</v>
      </c>
      <c r="H271" t="n">
        <v>408.798022</v>
      </c>
      <c r="I271" t="n">
        <v>6590.793316</v>
      </c>
      <c r="J271" t="n">
        <v>7071.146917</v>
      </c>
      <c r="K271" t="n">
        <v>2576.928919</v>
      </c>
      <c r="L271" t="n">
        <v>10677.999207</v>
      </c>
      <c r="M271" t="n">
        <v>10677.999207</v>
      </c>
      <c r="N271" t="n">
        <v>10677.999207</v>
      </c>
      <c r="O271" t="n">
        <v>85.006417</v>
      </c>
      <c r="P271" t="n">
        <v>38.52237</v>
      </c>
      <c r="Q271" t="n">
        <v>10677.999207</v>
      </c>
      <c r="R271" t="n">
        <v>10677.999207</v>
      </c>
      <c r="S271" t="n">
        <v>85.006417</v>
      </c>
      <c r="T271" t="n">
        <v>85.006417</v>
      </c>
      <c r="U271" t="n">
        <v>38.52237</v>
      </c>
      <c r="V271" t="n">
        <v>38.52237</v>
      </c>
      <c r="W271" t="n">
        <v>88.306245</v>
      </c>
      <c r="X271" t="n">
        <v>11509.306401</v>
      </c>
    </row>
    <row r="272" ht="36" customHeight="1">
      <c r="A272" t="inlineStr">
        <is>
          <t>Thunnus</t>
        </is>
      </c>
      <c r="D272" s="11" t="inlineStr">
        <is>
          <t>Juvenile large pelagic fish | Pelagic fish (&gt; 30 cm)</t>
        </is>
      </c>
      <c r="E272" t="n">
        <v>140.953883</v>
      </c>
      <c r="F272" t="n">
        <v>200.641254</v>
      </c>
      <c r="G272" t="n">
        <v>102.228748</v>
      </c>
      <c r="H272" t="n">
        <v>215.010584</v>
      </c>
      <c r="I272" t="n">
        <v>6244.222521</v>
      </c>
      <c r="J272" t="n">
        <v>6325.914048</v>
      </c>
      <c r="K272" t="n">
        <v>1872.204427</v>
      </c>
      <c r="L272" t="n">
        <v>7112.982475</v>
      </c>
      <c r="M272" t="n">
        <v>7112.982475</v>
      </c>
      <c r="N272" t="n">
        <v>7112.982475</v>
      </c>
      <c r="O272" t="n">
        <v>87.969483</v>
      </c>
      <c r="P272" t="n">
        <v>46.580547</v>
      </c>
      <c r="Q272" t="n">
        <v>7112.982475</v>
      </c>
      <c r="R272" t="n">
        <v>7112.982475</v>
      </c>
      <c r="S272" t="n">
        <v>87.969483</v>
      </c>
      <c r="T272" t="n">
        <v>87.969483</v>
      </c>
      <c r="U272" t="n">
        <v>46.580547</v>
      </c>
      <c r="V272" t="n">
        <v>46.580547</v>
      </c>
      <c r="W272" t="n">
        <v>93.060855</v>
      </c>
      <c r="X272" t="n">
        <v>7459.131892</v>
      </c>
    </row>
    <row r="273" ht="21" customHeight="1">
      <c r="A273" t="inlineStr">
        <is>
          <t>Ruditapes philippinarum</t>
        </is>
      </c>
      <c r="B273" t="n">
        <v>2</v>
      </c>
      <c r="C273" t="n">
        <v>10</v>
      </c>
      <c r="D273" s="11" t="inlineStr">
        <is>
          <t>Non-ceph molluscs</t>
        </is>
      </c>
      <c r="E273" t="n">
        <v>140.953883</v>
      </c>
      <c r="F273" t="n">
        <v>14.712171</v>
      </c>
      <c r="G273" t="n">
        <v>10.486582</v>
      </c>
      <c r="H273" t="n">
        <v>17.347998</v>
      </c>
      <c r="I273" t="n">
        <v>87.52377799999999</v>
      </c>
      <c r="J273" t="n">
        <v>87.52377799999999</v>
      </c>
      <c r="K273" t="n">
        <v>33.521607</v>
      </c>
      <c r="L273" t="n">
        <v>92.59366</v>
      </c>
      <c r="M273" t="n">
        <v>92.59366</v>
      </c>
      <c r="N273" t="n">
        <v>92.59366</v>
      </c>
      <c r="O273" t="n">
        <v>4.448657</v>
      </c>
      <c r="P273" t="n">
        <v>3.058348</v>
      </c>
      <c r="Q273" t="n">
        <v>92.59366</v>
      </c>
      <c r="R273" t="n">
        <v>92.59366</v>
      </c>
      <c r="S273" t="n">
        <v>4.448657</v>
      </c>
      <c r="T273" t="n">
        <v>4.448657</v>
      </c>
      <c r="U273" t="n">
        <v>3.058348</v>
      </c>
      <c r="V273" t="n">
        <v>3.058348</v>
      </c>
      <c r="W273" t="n">
        <v>4.556294</v>
      </c>
      <c r="X273" t="n">
        <v>96.447226</v>
      </c>
    </row>
    <row r="274" ht="21" customHeight="1">
      <c r="A274" t="inlineStr">
        <is>
          <t>Metapenaeus tenuipes</t>
        </is>
      </c>
      <c r="D274" s="11" t="inlineStr">
        <is>
          <t>Shrimps</t>
        </is>
      </c>
      <c r="E274" t="n">
        <v>140.953883</v>
      </c>
      <c r="F274" t="n">
        <v>20.606299</v>
      </c>
      <c r="G274" t="n">
        <v>14.077679</v>
      </c>
      <c r="H274" t="n">
        <v>22.715542</v>
      </c>
      <c r="I274" t="n">
        <v>131.71072</v>
      </c>
      <c r="J274" t="n">
        <v>131.71072</v>
      </c>
      <c r="K274" t="n">
        <v>125.125184</v>
      </c>
      <c r="L274" t="n">
        <v>130.894857</v>
      </c>
      <c r="M274" t="n">
        <v>130.894857</v>
      </c>
      <c r="N274" t="n">
        <v>130.894857</v>
      </c>
      <c r="O274" t="n">
        <v>12.255972</v>
      </c>
      <c r="P274" t="n">
        <v>8.448598</v>
      </c>
      <c r="Q274" t="n">
        <v>130.894857</v>
      </c>
      <c r="R274" t="n">
        <v>130.894857</v>
      </c>
      <c r="S274" t="n">
        <v>12.255972</v>
      </c>
      <c r="T274" t="n">
        <v>12.255972</v>
      </c>
      <c r="U274" t="n">
        <v>8.448598</v>
      </c>
      <c r="V274" t="n">
        <v>8.448598</v>
      </c>
      <c r="W274" t="n">
        <v>12.680707</v>
      </c>
      <c r="X274" t="n">
        <v>136.520004</v>
      </c>
    </row>
    <row r="275" ht="36" customHeight="1">
      <c r="A275" t="inlineStr">
        <is>
          <t>Acanthocybium solandri</t>
        </is>
      </c>
      <c r="B275" t="n">
        <v>4.26</v>
      </c>
      <c r="C275" t="n">
        <v>1819.700859</v>
      </c>
      <c r="D275" s="11" t="inlineStr">
        <is>
          <t>Juvenile large pelagic fish | Pelagic fish (&gt; 30 cm)</t>
        </is>
      </c>
      <c r="E275" t="n">
        <v>140.953883</v>
      </c>
      <c r="F275" t="n">
        <v>200.641254</v>
      </c>
      <c r="G275" t="n">
        <v>102.228748</v>
      </c>
      <c r="H275" t="n">
        <v>215.010584</v>
      </c>
      <c r="I275" t="n">
        <v>6244.222521</v>
      </c>
      <c r="J275" t="n">
        <v>6325.914048</v>
      </c>
      <c r="K275" t="n">
        <v>1872.204427</v>
      </c>
      <c r="L275" t="n">
        <v>7112.982475</v>
      </c>
      <c r="M275" t="n">
        <v>7112.982475</v>
      </c>
      <c r="N275" t="n">
        <v>7112.982475</v>
      </c>
      <c r="O275" t="n">
        <v>87.969483</v>
      </c>
      <c r="P275" t="n">
        <v>46.580547</v>
      </c>
      <c r="Q275" t="n">
        <v>7112.982475</v>
      </c>
      <c r="R275" t="n">
        <v>7112.982475</v>
      </c>
      <c r="S275" t="n">
        <v>87.969483</v>
      </c>
      <c r="T275" t="n">
        <v>87.969483</v>
      </c>
      <c r="U275" t="n">
        <v>46.580547</v>
      </c>
      <c r="V275" t="n">
        <v>46.580547</v>
      </c>
      <c r="W275" t="n">
        <v>93.060855</v>
      </c>
      <c r="X275" t="n">
        <v>7459.131892</v>
      </c>
    </row>
    <row r="276" ht="36" customHeight="1">
      <c r="A276" t="inlineStr">
        <is>
          <t>Acanthopagrus schlegelii</t>
        </is>
      </c>
      <c r="B276" t="n">
        <v>3.24</v>
      </c>
      <c r="C276" t="n">
        <v>173.780083</v>
      </c>
      <c r="D276" s="11" t="inlineStr">
        <is>
          <t>Juvenile demersal fish (&gt; 30 cm) | Adult demersal fish (&gt; 30 cm)</t>
        </is>
      </c>
      <c r="E276" t="n">
        <v>140.953883</v>
      </c>
      <c r="F276" t="n">
        <v>228.824285</v>
      </c>
      <c r="G276" t="n">
        <v>114.897152</v>
      </c>
      <c r="H276" t="n">
        <v>408.798022</v>
      </c>
      <c r="I276" t="n">
        <v>6590.793316</v>
      </c>
      <c r="J276" t="n">
        <v>7071.146917</v>
      </c>
      <c r="K276" t="n">
        <v>2576.928919</v>
      </c>
      <c r="L276" t="n">
        <v>10677.999207</v>
      </c>
      <c r="M276" t="n">
        <v>10677.999207</v>
      </c>
      <c r="N276" t="n">
        <v>10677.999207</v>
      </c>
      <c r="O276" t="n">
        <v>85.006417</v>
      </c>
      <c r="P276" t="n">
        <v>38.52237</v>
      </c>
      <c r="Q276" t="n">
        <v>10677.999207</v>
      </c>
      <c r="R276" t="n">
        <v>10677.999207</v>
      </c>
      <c r="S276" t="n">
        <v>85.006417</v>
      </c>
      <c r="T276" t="n">
        <v>85.006417</v>
      </c>
      <c r="U276" t="n">
        <v>38.52237</v>
      </c>
      <c r="V276" t="n">
        <v>38.52237</v>
      </c>
      <c r="W276" t="n">
        <v>88.306245</v>
      </c>
      <c r="X276" t="n">
        <v>11509.306401</v>
      </c>
    </row>
    <row r="277" ht="21" customHeight="1">
      <c r="A277" t="inlineStr">
        <is>
          <t>Lobotes surinamensis</t>
        </is>
      </c>
      <c r="B277" t="n">
        <v>4.04</v>
      </c>
      <c r="C277" t="n">
        <v>1096.478196</v>
      </c>
      <c r="D277" s="11" t="inlineStr">
        <is>
          <t>Benthopelagic fish</t>
        </is>
      </c>
      <c r="E277" t="n">
        <v>140.953883</v>
      </c>
      <c r="F277" t="n">
        <v>57.638856</v>
      </c>
      <c r="G277" t="n">
        <v>34.593347</v>
      </c>
      <c r="H277" t="n">
        <v>74.650282</v>
      </c>
      <c r="I277" t="n">
        <v>512.103289</v>
      </c>
      <c r="J277" t="n">
        <v>553.467817</v>
      </c>
      <c r="K277" t="n">
        <v>525.794426</v>
      </c>
      <c r="L277" t="n">
        <v>602.712303</v>
      </c>
      <c r="M277" t="n">
        <v>602.712303</v>
      </c>
      <c r="N277" t="n">
        <v>602.712303</v>
      </c>
      <c r="O277" t="n">
        <v>31.190871</v>
      </c>
      <c r="P277" t="n">
        <v>18.283791</v>
      </c>
      <c r="Q277" t="n">
        <v>602.712303</v>
      </c>
      <c r="R277" t="n">
        <v>602.712303</v>
      </c>
      <c r="S277" t="n">
        <v>31.190871</v>
      </c>
      <c r="T277" t="n">
        <v>31.190871</v>
      </c>
      <c r="U277" t="n">
        <v>18.283791</v>
      </c>
      <c r="V277" t="n">
        <v>18.283791</v>
      </c>
      <c r="W277" t="n">
        <v>32.089433</v>
      </c>
      <c r="X277" t="n">
        <v>622.065443</v>
      </c>
    </row>
    <row r="278" ht="21" customHeight="1">
      <c r="A278" t="inlineStr">
        <is>
          <t>Sepioteuthis lessoniana</t>
        </is>
      </c>
      <c r="B278" t="n">
        <v>3.98</v>
      </c>
      <c r="C278" t="n">
        <v>954.992586</v>
      </c>
      <c r="D278" s="11" t="inlineStr">
        <is>
          <t>Cephalopods</t>
        </is>
      </c>
      <c r="E278" t="n">
        <v>140.953883</v>
      </c>
      <c r="F278" t="n">
        <v>170.518341</v>
      </c>
      <c r="G278" t="n">
        <v>89.274901</v>
      </c>
      <c r="H278" t="n">
        <v>176.937394</v>
      </c>
      <c r="I278" t="n">
        <v>1050.872908</v>
      </c>
      <c r="J278" t="n">
        <v>1075.829695</v>
      </c>
      <c r="K278" t="n">
        <v>537.914847</v>
      </c>
      <c r="L278" t="n">
        <v>1659.687874</v>
      </c>
      <c r="M278" t="n">
        <v>1659.687874</v>
      </c>
      <c r="N278" t="n">
        <v>1659.687874</v>
      </c>
      <c r="O278" t="n">
        <v>31.362197</v>
      </c>
      <c r="P278" t="n">
        <v>16.184075</v>
      </c>
      <c r="Q278" t="n">
        <v>1659.687874</v>
      </c>
      <c r="R278" t="n">
        <v>1659.687874</v>
      </c>
      <c r="S278" t="n">
        <v>31.362197</v>
      </c>
      <c r="T278" t="n">
        <v>31.362197</v>
      </c>
      <c r="U278" t="n">
        <v>16.184075</v>
      </c>
      <c r="V278" t="n">
        <v>16.184075</v>
      </c>
      <c r="W278" t="n">
        <v>32.286772</v>
      </c>
      <c r="X278" t="n">
        <v>1775.112325</v>
      </c>
    </row>
    <row r="279" ht="36" customHeight="1">
      <c r="A279" t="inlineStr">
        <is>
          <t>Eleutheronema tetradactylum</t>
        </is>
      </c>
      <c r="B279" t="n">
        <v>4.06</v>
      </c>
      <c r="C279" t="n">
        <v>1148.153621</v>
      </c>
      <c r="D279" s="11" t="inlineStr">
        <is>
          <t>Juvenile demersal fish (&gt; 30 cm) | Adult demersal fish (&gt; 30 cm)</t>
        </is>
      </c>
      <c r="E279" t="n">
        <v>140.953883</v>
      </c>
      <c r="F279" t="n">
        <v>228.824285</v>
      </c>
      <c r="G279" t="n">
        <v>114.897152</v>
      </c>
      <c r="H279" t="n">
        <v>408.798022</v>
      </c>
      <c r="I279" t="n">
        <v>6590.793316</v>
      </c>
      <c r="J279" t="n">
        <v>7071.146917</v>
      </c>
      <c r="K279" t="n">
        <v>2576.928919</v>
      </c>
      <c r="L279" t="n">
        <v>10677.999207</v>
      </c>
      <c r="M279" t="n">
        <v>10677.999207</v>
      </c>
      <c r="N279" t="n">
        <v>10677.999207</v>
      </c>
      <c r="O279" t="n">
        <v>85.006417</v>
      </c>
      <c r="P279" t="n">
        <v>38.52237</v>
      </c>
      <c r="Q279" t="n">
        <v>10677.999207</v>
      </c>
      <c r="R279" t="n">
        <v>10677.999207</v>
      </c>
      <c r="S279" t="n">
        <v>85.006417</v>
      </c>
      <c r="T279" t="n">
        <v>85.006417</v>
      </c>
      <c r="U279" t="n">
        <v>38.52237</v>
      </c>
      <c r="V279" t="n">
        <v>38.52237</v>
      </c>
      <c r="W279" t="n">
        <v>88.306245</v>
      </c>
      <c r="X279" t="n">
        <v>11509.306401</v>
      </c>
    </row>
    <row r="280" ht="36" customHeight="1">
      <c r="A280" t="inlineStr">
        <is>
          <t>Scatophagus</t>
        </is>
      </c>
      <c r="B280" t="n">
        <v>2.75</v>
      </c>
      <c r="C280" t="n">
        <v>56.234133</v>
      </c>
      <c r="D280" s="11" t="inlineStr">
        <is>
          <t>Juvenile demersal fish (&gt; 30 cm) | Adult demersal fish (&gt; 30 cm)</t>
        </is>
      </c>
      <c r="E280" t="n">
        <v>140.953883</v>
      </c>
      <c r="F280" t="n">
        <v>228.824285</v>
      </c>
      <c r="G280" t="n">
        <v>114.897152</v>
      </c>
      <c r="H280" t="n">
        <v>408.798022</v>
      </c>
      <c r="I280" t="n">
        <v>6590.793316</v>
      </c>
      <c r="J280" t="n">
        <v>7071.146917</v>
      </c>
      <c r="K280" t="n">
        <v>2576.928919</v>
      </c>
      <c r="L280" t="n">
        <v>10677.999207</v>
      </c>
      <c r="M280" t="n">
        <v>10677.999207</v>
      </c>
      <c r="N280" t="n">
        <v>10677.999207</v>
      </c>
      <c r="O280" t="n">
        <v>85.006417</v>
      </c>
      <c r="P280" t="n">
        <v>38.52237</v>
      </c>
      <c r="Q280" t="n">
        <v>10677.999207</v>
      </c>
      <c r="R280" t="n">
        <v>10677.999207</v>
      </c>
      <c r="S280" t="n">
        <v>85.006417</v>
      </c>
      <c r="T280" t="n">
        <v>85.006417</v>
      </c>
      <c r="U280" t="n">
        <v>38.52237</v>
      </c>
      <c r="V280" t="n">
        <v>38.52237</v>
      </c>
      <c r="W280" t="n">
        <v>88.306245</v>
      </c>
      <c r="X280" t="n">
        <v>11509.306401</v>
      </c>
    </row>
    <row r="281" ht="36" customHeight="1">
      <c r="A281" t="inlineStr">
        <is>
          <t>Thunnus orientalis</t>
        </is>
      </c>
      <c r="B281" t="n">
        <v>4.05</v>
      </c>
      <c r="C281" t="n">
        <v>1122.018454</v>
      </c>
      <c r="D281" s="11" t="inlineStr">
        <is>
          <t>Juvenile large pelagic fish | Pelagic fish (&gt; 30 cm)</t>
        </is>
      </c>
      <c r="E281" t="n">
        <v>140.953883</v>
      </c>
      <c r="F281" t="n">
        <v>200.641254</v>
      </c>
      <c r="G281" t="n">
        <v>102.228748</v>
      </c>
      <c r="H281" t="n">
        <v>215.010584</v>
      </c>
      <c r="I281" t="n">
        <v>6244.222521</v>
      </c>
      <c r="J281" t="n">
        <v>6325.914048</v>
      </c>
      <c r="K281" t="n">
        <v>1872.204427</v>
      </c>
      <c r="L281" t="n">
        <v>7112.982475</v>
      </c>
      <c r="M281" t="n">
        <v>7112.982475</v>
      </c>
      <c r="N281" t="n">
        <v>7112.982475</v>
      </c>
      <c r="O281" t="n">
        <v>87.969483</v>
      </c>
      <c r="P281" t="n">
        <v>46.580547</v>
      </c>
      <c r="Q281" t="n">
        <v>7112.982475</v>
      </c>
      <c r="R281" t="n">
        <v>7112.982475</v>
      </c>
      <c r="S281" t="n">
        <v>87.969483</v>
      </c>
      <c r="T281" t="n">
        <v>87.969483</v>
      </c>
      <c r="U281" t="n">
        <v>46.580547</v>
      </c>
      <c r="V281" t="n">
        <v>46.580547</v>
      </c>
      <c r="W281" t="n">
        <v>93.060855</v>
      </c>
      <c r="X281" t="n">
        <v>7459.131892</v>
      </c>
    </row>
    <row r="282" ht="21" customHeight="1">
      <c r="A282" t="inlineStr">
        <is>
          <t>Siganus canaliculatus</t>
        </is>
      </c>
      <c r="B282" t="n">
        <v>2.76</v>
      </c>
      <c r="C282" t="n">
        <v>57.543994</v>
      </c>
      <c r="D282" s="11" t="inlineStr">
        <is>
          <t>Demesral fish (≤ 30 cm)</t>
        </is>
      </c>
      <c r="E282" t="n">
        <v>140.953883</v>
      </c>
      <c r="F282" t="n">
        <v>95.34341499999999</v>
      </c>
      <c r="G282" t="n">
        <v>53.708528</v>
      </c>
      <c r="H282" t="n">
        <v>114.11959</v>
      </c>
      <c r="I282" t="n">
        <v>569.846189</v>
      </c>
      <c r="J282" t="n">
        <v>594.287325</v>
      </c>
      <c r="K282" t="n">
        <v>564.572959</v>
      </c>
      <c r="L282" t="n">
        <v>738.02552</v>
      </c>
      <c r="M282" t="n">
        <v>738.02552</v>
      </c>
      <c r="N282" t="n">
        <v>738.02552</v>
      </c>
      <c r="O282" t="n">
        <v>39.685535</v>
      </c>
      <c r="P282" t="n">
        <v>21.622034</v>
      </c>
      <c r="Q282" t="n">
        <v>738.02552</v>
      </c>
      <c r="R282" t="n">
        <v>738.02552</v>
      </c>
      <c r="S282" t="n">
        <v>39.685535</v>
      </c>
      <c r="T282" t="n">
        <v>39.685535</v>
      </c>
      <c r="U282" t="n">
        <v>21.622034</v>
      </c>
      <c r="V282" t="n">
        <v>21.622034</v>
      </c>
      <c r="W282" t="n">
        <v>41.109943</v>
      </c>
      <c r="X282" t="n">
        <v>772.895549</v>
      </c>
    </row>
    <row r="283" ht="36" customHeight="1">
      <c r="A283" t="inlineStr">
        <is>
          <t>Polydactylus sexfilis</t>
        </is>
      </c>
      <c r="B283" t="n">
        <v>3.43</v>
      </c>
      <c r="C283" t="n">
        <v>269.15348</v>
      </c>
      <c r="D283" s="11" t="inlineStr">
        <is>
          <t>Juvenile demersal fish (&gt; 30 cm) | Adult demersal fish (&gt; 30 cm)</t>
        </is>
      </c>
      <c r="E283" t="n">
        <v>140.953883</v>
      </c>
      <c r="F283" t="n">
        <v>228.824285</v>
      </c>
      <c r="G283" t="n">
        <v>114.897152</v>
      </c>
      <c r="H283" t="n">
        <v>408.798022</v>
      </c>
      <c r="I283" t="n">
        <v>6590.793316</v>
      </c>
      <c r="J283" t="n">
        <v>7071.146917</v>
      </c>
      <c r="K283" t="n">
        <v>2576.928919</v>
      </c>
      <c r="L283" t="n">
        <v>10677.999207</v>
      </c>
      <c r="M283" t="n">
        <v>10677.999207</v>
      </c>
      <c r="N283" t="n">
        <v>10677.999207</v>
      </c>
      <c r="O283" t="n">
        <v>85.006417</v>
      </c>
      <c r="P283" t="n">
        <v>38.52237</v>
      </c>
      <c r="Q283" t="n">
        <v>10677.999207</v>
      </c>
      <c r="R283" t="n">
        <v>10677.999207</v>
      </c>
      <c r="S283" t="n">
        <v>85.006417</v>
      </c>
      <c r="T283" t="n">
        <v>85.006417</v>
      </c>
      <c r="U283" t="n">
        <v>38.52237</v>
      </c>
      <c r="V283" t="n">
        <v>38.52237</v>
      </c>
      <c r="W283" t="n">
        <v>88.306245</v>
      </c>
      <c r="X283" t="n">
        <v>11509.306401</v>
      </c>
    </row>
    <row r="284" ht="21" customHeight="1">
      <c r="A284" t="inlineStr">
        <is>
          <t>Hilsa kelee</t>
        </is>
      </c>
      <c r="B284" t="n">
        <v>3.25</v>
      </c>
      <c r="C284" t="n">
        <v>177.827941</v>
      </c>
      <c r="D284" s="11" t="inlineStr">
        <is>
          <t>Pelagic fish (≤ 30 cm)</t>
        </is>
      </c>
      <c r="E284" t="n">
        <v>140.953883</v>
      </c>
      <c r="F284" t="n">
        <v>60.479203</v>
      </c>
      <c r="G284" t="n">
        <v>36.07884</v>
      </c>
      <c r="H284" t="n">
        <v>45.98261</v>
      </c>
      <c r="I284" t="n">
        <v>395.888053</v>
      </c>
      <c r="J284" t="n">
        <v>395.888053</v>
      </c>
      <c r="K284" t="n">
        <v>376.09365</v>
      </c>
      <c r="L284" t="n">
        <v>393.787233</v>
      </c>
      <c r="M284" t="n">
        <v>393.787233</v>
      </c>
      <c r="N284" t="n">
        <v>393.787233</v>
      </c>
      <c r="O284" t="n">
        <v>20.916473</v>
      </c>
      <c r="P284" t="n">
        <v>13.510088</v>
      </c>
      <c r="Q284" t="n">
        <v>393.787233</v>
      </c>
      <c r="R284" t="n">
        <v>393.787233</v>
      </c>
      <c r="S284" t="n">
        <v>20.916473</v>
      </c>
      <c r="T284" t="n">
        <v>20.916473</v>
      </c>
      <c r="U284" t="n">
        <v>13.510088</v>
      </c>
      <c r="V284" t="n">
        <v>13.510088</v>
      </c>
      <c r="W284" t="n">
        <v>21.939981</v>
      </c>
      <c r="X284" t="n">
        <v>405.784084</v>
      </c>
    </row>
    <row r="285" ht="21" customHeight="1">
      <c r="A285" t="inlineStr">
        <is>
          <t>Thenus orientalis</t>
        </is>
      </c>
      <c r="B285" t="n">
        <v>2.5</v>
      </c>
      <c r="C285" t="n">
        <v>31.622777</v>
      </c>
      <c r="D285" s="11" t="inlineStr">
        <is>
          <t>Benthic crustaceans</t>
        </is>
      </c>
      <c r="E285" t="n">
        <v>140.953883</v>
      </c>
      <c r="F285" t="n">
        <v>15.812995</v>
      </c>
      <c r="G285" t="n">
        <v>11.169278</v>
      </c>
      <c r="H285" t="n">
        <v>22.580939</v>
      </c>
      <c r="I285" t="n">
        <v>110.765161</v>
      </c>
      <c r="J285" t="n">
        <v>110.765161</v>
      </c>
      <c r="K285" t="n">
        <v>69.11746100000001</v>
      </c>
      <c r="L285" t="n">
        <v>113.463496</v>
      </c>
      <c r="M285" t="n">
        <v>113.463496</v>
      </c>
      <c r="N285" t="n">
        <v>113.463496</v>
      </c>
      <c r="O285" t="n">
        <v>8.170260000000001</v>
      </c>
      <c r="P285" t="n">
        <v>5.693764</v>
      </c>
      <c r="Q285" t="n">
        <v>113.463496</v>
      </c>
      <c r="R285" t="n">
        <v>113.463496</v>
      </c>
      <c r="S285" t="n">
        <v>8.170260000000001</v>
      </c>
      <c r="T285" t="n">
        <v>8.170260000000001</v>
      </c>
      <c r="U285" t="n">
        <v>5.693764</v>
      </c>
      <c r="V285" t="n">
        <v>5.693764</v>
      </c>
      <c r="W285" t="n">
        <v>8.298344999999999</v>
      </c>
      <c r="X285" t="n">
        <v>118.931059</v>
      </c>
    </row>
    <row r="286" ht="21" customHeight="1">
      <c r="A286" t="inlineStr">
        <is>
          <t>Acetes sibogae</t>
        </is>
      </c>
      <c r="D286" s="11" t="inlineStr">
        <is>
          <t>Zooplankton</t>
        </is>
      </c>
      <c r="E286" t="n">
        <v>140.953883</v>
      </c>
      <c r="F286" t="n">
        <v>10</v>
      </c>
      <c r="G286" t="n">
        <v>7.482941</v>
      </c>
      <c r="H286" t="n">
        <v>7.482941</v>
      </c>
      <c r="I286" t="n">
        <v>115.384615</v>
      </c>
      <c r="J286" t="n">
        <v>115.384615</v>
      </c>
      <c r="K286" t="n">
        <v>6</v>
      </c>
      <c r="L286" t="n">
        <v>114.728394</v>
      </c>
      <c r="M286" t="n">
        <v>114.728394</v>
      </c>
      <c r="N286" t="n">
        <v>114.728394</v>
      </c>
      <c r="O286" t="n">
        <v>6.05984</v>
      </c>
      <c r="P286" t="n">
        <v>4.848511</v>
      </c>
      <c r="Q286" t="n">
        <v>114.728394</v>
      </c>
      <c r="R286" t="n">
        <v>114.728394</v>
      </c>
      <c r="S286" t="n">
        <v>6.05984</v>
      </c>
      <c r="T286" t="n">
        <v>6.05984</v>
      </c>
      <c r="U286" t="n">
        <v>4.848511</v>
      </c>
      <c r="V286" t="n">
        <v>4.848511</v>
      </c>
      <c r="W286" t="n">
        <v>6.224783</v>
      </c>
      <c r="X286" t="n">
        <v>116.846993</v>
      </c>
    </row>
    <row r="287" ht="21" customHeight="1">
      <c r="A287" t="inlineStr">
        <is>
          <t>Kajikia audax</t>
        </is>
      </c>
      <c r="B287" t="n">
        <v>4.58</v>
      </c>
      <c r="C287" t="n">
        <v>3801.893963</v>
      </c>
      <c r="D287" s="11" t="inlineStr">
        <is>
          <t>Unresolved</t>
        </is>
      </c>
    </row>
    <row r="288" ht="21" customHeight="1">
      <c r="A288" t="inlineStr">
        <is>
          <t>Penaeus semisulcatus</t>
        </is>
      </c>
      <c r="B288" t="n">
        <v>2</v>
      </c>
      <c r="C288" t="n">
        <v>10</v>
      </c>
      <c r="D288" s="11" t="inlineStr">
        <is>
          <t>Shrimps</t>
        </is>
      </c>
      <c r="E288" t="n">
        <v>140.953883</v>
      </c>
      <c r="F288" t="n">
        <v>20.606299</v>
      </c>
      <c r="G288" t="n">
        <v>14.077679</v>
      </c>
      <c r="H288" t="n">
        <v>22.715542</v>
      </c>
      <c r="I288" t="n">
        <v>131.71072</v>
      </c>
      <c r="J288" t="n">
        <v>131.71072</v>
      </c>
      <c r="K288" t="n">
        <v>125.125184</v>
      </c>
      <c r="L288" t="n">
        <v>130.894857</v>
      </c>
      <c r="M288" t="n">
        <v>130.894857</v>
      </c>
      <c r="N288" t="n">
        <v>130.894857</v>
      </c>
      <c r="O288" t="n">
        <v>12.255972</v>
      </c>
      <c r="P288" t="n">
        <v>8.448598</v>
      </c>
      <c r="Q288" t="n">
        <v>130.894857</v>
      </c>
      <c r="R288" t="n">
        <v>130.894857</v>
      </c>
      <c r="S288" t="n">
        <v>12.255972</v>
      </c>
      <c r="T288" t="n">
        <v>12.255972</v>
      </c>
      <c r="U288" t="n">
        <v>8.448598</v>
      </c>
      <c r="V288" t="n">
        <v>8.448598</v>
      </c>
      <c r="W288" t="n">
        <v>12.680707</v>
      </c>
      <c r="X288" t="n">
        <v>136.520004</v>
      </c>
    </row>
    <row r="289" ht="36" customHeight="1">
      <c r="A289" t="inlineStr">
        <is>
          <t>Siganidae</t>
        </is>
      </c>
      <c r="B289" t="n">
        <v>2.11</v>
      </c>
      <c r="C289" t="n">
        <v>12.882496</v>
      </c>
      <c r="D289" s="11" t="inlineStr">
        <is>
          <t>Juvenile demersal fish (&gt; 30 cm) | Adult demersal fish (&gt; 30 cm)</t>
        </is>
      </c>
      <c r="E289" t="n">
        <v>140.953883</v>
      </c>
      <c r="F289" t="n">
        <v>228.824285</v>
      </c>
      <c r="G289" t="n">
        <v>114.897152</v>
      </c>
      <c r="H289" t="n">
        <v>408.798022</v>
      </c>
      <c r="I289" t="n">
        <v>6590.793316</v>
      </c>
      <c r="J289" t="n">
        <v>7071.146917</v>
      </c>
      <c r="K289" t="n">
        <v>2576.928919</v>
      </c>
      <c r="L289" t="n">
        <v>10677.999207</v>
      </c>
      <c r="M289" t="n">
        <v>10677.999207</v>
      </c>
      <c r="N289" t="n">
        <v>10677.999207</v>
      </c>
      <c r="O289" t="n">
        <v>85.006417</v>
      </c>
      <c r="P289" t="n">
        <v>38.52237</v>
      </c>
      <c r="Q289" t="n">
        <v>10677.999207</v>
      </c>
      <c r="R289" t="n">
        <v>10677.999207</v>
      </c>
      <c r="S289" t="n">
        <v>85.006417</v>
      </c>
      <c r="T289" t="n">
        <v>85.006417</v>
      </c>
      <c r="U289" t="n">
        <v>38.52237</v>
      </c>
      <c r="V289" t="n">
        <v>38.52237</v>
      </c>
      <c r="W289" t="n">
        <v>88.306245</v>
      </c>
      <c r="X289" t="n">
        <v>11509.306401</v>
      </c>
    </row>
    <row r="290" ht="21" customHeight="1">
      <c r="A290" t="inlineStr">
        <is>
          <t>Gerres</t>
        </is>
      </c>
      <c r="B290" t="n">
        <v>3.27</v>
      </c>
      <c r="C290" t="n">
        <v>186.208714</v>
      </c>
      <c r="D290" s="11" t="inlineStr">
        <is>
          <t>Benthopelagic fish</t>
        </is>
      </c>
      <c r="E290" t="n">
        <v>140.953883</v>
      </c>
      <c r="F290" t="n">
        <v>57.638856</v>
      </c>
      <c r="G290" t="n">
        <v>34.593347</v>
      </c>
      <c r="H290" t="n">
        <v>74.650282</v>
      </c>
      <c r="I290" t="n">
        <v>512.103289</v>
      </c>
      <c r="J290" t="n">
        <v>553.467817</v>
      </c>
      <c r="K290" t="n">
        <v>525.794426</v>
      </c>
      <c r="L290" t="n">
        <v>602.712303</v>
      </c>
      <c r="M290" t="n">
        <v>602.712303</v>
      </c>
      <c r="N290" t="n">
        <v>602.712303</v>
      </c>
      <c r="O290" t="n">
        <v>31.190871</v>
      </c>
      <c r="P290" t="n">
        <v>18.283791</v>
      </c>
      <c r="Q290" t="n">
        <v>602.712303</v>
      </c>
      <c r="R290" t="n">
        <v>602.712303</v>
      </c>
      <c r="S290" t="n">
        <v>31.190871</v>
      </c>
      <c r="T290" t="n">
        <v>31.190871</v>
      </c>
      <c r="U290" t="n">
        <v>18.283791</v>
      </c>
      <c r="V290" t="n">
        <v>18.283791</v>
      </c>
      <c r="W290" t="n">
        <v>32.089433</v>
      </c>
      <c r="X290" t="n">
        <v>622.065443</v>
      </c>
    </row>
    <row r="291" ht="36" customHeight="1">
      <c r="A291" t="inlineStr">
        <is>
          <t>Gnathanodon speciosus</t>
        </is>
      </c>
      <c r="B291" t="n">
        <v>3.84</v>
      </c>
      <c r="C291" t="n">
        <v>691.830971</v>
      </c>
      <c r="D291" s="11" t="inlineStr">
        <is>
          <t>Juvenile large pelagic fish | Pelagic fish (&gt; 30 cm)</t>
        </is>
      </c>
      <c r="E291" t="n">
        <v>140.953883</v>
      </c>
      <c r="F291" t="n">
        <v>200.641254</v>
      </c>
      <c r="G291" t="n">
        <v>102.228748</v>
      </c>
      <c r="H291" t="n">
        <v>215.010584</v>
      </c>
      <c r="I291" t="n">
        <v>6244.222521</v>
      </c>
      <c r="J291" t="n">
        <v>6325.914048</v>
      </c>
      <c r="K291" t="n">
        <v>1872.204427</v>
      </c>
      <c r="L291" t="n">
        <v>7112.982475</v>
      </c>
      <c r="M291" t="n">
        <v>7112.982475</v>
      </c>
      <c r="N291" t="n">
        <v>7112.982475</v>
      </c>
      <c r="O291" t="n">
        <v>87.969483</v>
      </c>
      <c r="P291" t="n">
        <v>46.580547</v>
      </c>
      <c r="Q291" t="n">
        <v>7112.982475</v>
      </c>
      <c r="R291" t="n">
        <v>7112.982475</v>
      </c>
      <c r="S291" t="n">
        <v>87.969483</v>
      </c>
      <c r="T291" t="n">
        <v>87.969483</v>
      </c>
      <c r="U291" t="n">
        <v>46.580547</v>
      </c>
      <c r="V291" t="n">
        <v>46.580547</v>
      </c>
      <c r="W291" t="n">
        <v>93.060855</v>
      </c>
      <c r="X291" t="n">
        <v>7459.131892</v>
      </c>
    </row>
    <row r="292" ht="21" customHeight="1">
      <c r="A292" t="inlineStr">
        <is>
          <t>Epinephelus malabaricus</t>
        </is>
      </c>
      <c r="B292" t="n">
        <v>4.16</v>
      </c>
      <c r="C292" t="n">
        <v>1445.439771</v>
      </c>
      <c r="D292" s="11" t="inlineStr">
        <is>
          <t>Adult groupers</t>
        </is>
      </c>
      <c r="E292" t="n">
        <v>140.953883</v>
      </c>
      <c r="F292" t="n">
        <v>539.046528</v>
      </c>
      <c r="G292" t="n">
        <v>244.14</v>
      </c>
      <c r="H292" t="n">
        <v>669.483011</v>
      </c>
      <c r="I292" t="n">
        <v>10399.759602</v>
      </c>
      <c r="J292" t="n">
        <v>10694.630086</v>
      </c>
      <c r="K292" t="n">
        <v>4010.486282</v>
      </c>
      <c r="L292" t="n">
        <v>14214.100911</v>
      </c>
      <c r="M292" t="n">
        <v>14214.100911</v>
      </c>
      <c r="N292" t="n">
        <v>14214.100911</v>
      </c>
      <c r="O292" t="n">
        <v>203.72024</v>
      </c>
      <c r="P292" t="n">
        <v>90.708206</v>
      </c>
      <c r="Q292" t="n">
        <v>14214.100911</v>
      </c>
      <c r="R292" t="n">
        <v>14214.100911</v>
      </c>
      <c r="S292" t="n">
        <v>203.72024</v>
      </c>
      <c r="T292" t="n">
        <v>203.72024</v>
      </c>
      <c r="U292" t="n">
        <v>90.708206</v>
      </c>
      <c r="V292" t="n">
        <v>90.708206</v>
      </c>
      <c r="W292" t="n">
        <v>213.076898</v>
      </c>
      <c r="X292" t="n">
        <v>15231.972848</v>
      </c>
    </row>
    <row r="293" ht="36" customHeight="1">
      <c r="A293" t="inlineStr">
        <is>
          <t>Hyporhamphus</t>
        </is>
      </c>
      <c r="B293" t="n">
        <v>3.3</v>
      </c>
      <c r="C293" t="n">
        <v>199.526231</v>
      </c>
      <c r="D293" s="11" t="inlineStr">
        <is>
          <t>Juvenile large pelagic fish | Pelagic fish (&gt; 30 cm)</t>
        </is>
      </c>
      <c r="E293" t="n">
        <v>140.953883</v>
      </c>
      <c r="F293" t="n">
        <v>200.641254</v>
      </c>
      <c r="G293" t="n">
        <v>102.228748</v>
      </c>
      <c r="H293" t="n">
        <v>215.010584</v>
      </c>
      <c r="I293" t="n">
        <v>6244.222521</v>
      </c>
      <c r="J293" t="n">
        <v>6325.914048</v>
      </c>
      <c r="K293" t="n">
        <v>1872.204427</v>
      </c>
      <c r="L293" t="n">
        <v>7112.982475</v>
      </c>
      <c r="M293" t="n">
        <v>7112.982475</v>
      </c>
      <c r="N293" t="n">
        <v>7112.982475</v>
      </c>
      <c r="O293" t="n">
        <v>87.969483</v>
      </c>
      <c r="P293" t="n">
        <v>46.580547</v>
      </c>
      <c r="Q293" t="n">
        <v>7112.982475</v>
      </c>
      <c r="R293" t="n">
        <v>7112.982475</v>
      </c>
      <c r="S293" t="n">
        <v>87.969483</v>
      </c>
      <c r="T293" t="n">
        <v>87.969483</v>
      </c>
      <c r="U293" t="n">
        <v>46.580547</v>
      </c>
      <c r="V293" t="n">
        <v>46.580547</v>
      </c>
      <c r="W293" t="n">
        <v>93.060855</v>
      </c>
      <c r="X293" t="n">
        <v>7459.131892</v>
      </c>
    </row>
    <row r="294" ht="21" customHeight="1">
      <c r="A294" t="inlineStr">
        <is>
          <t>Makaira mazara</t>
        </is>
      </c>
      <c r="B294" t="n">
        <v>4.46</v>
      </c>
      <c r="C294" t="n">
        <v>2884.031503</v>
      </c>
      <c r="D294" s="11" t="inlineStr">
        <is>
          <t>Unresolved</t>
        </is>
      </c>
    </row>
    <row r="295" ht="36" customHeight="1">
      <c r="A295" t="inlineStr">
        <is>
          <t>Hyporhamphus sajori</t>
        </is>
      </c>
      <c r="B295" t="n">
        <v>3.4</v>
      </c>
      <c r="C295" t="n">
        <v>251.188643</v>
      </c>
      <c r="D295" s="11" t="inlineStr">
        <is>
          <t>Juvenile large pelagic fish | Pelagic fish (&gt; 30 cm)</t>
        </is>
      </c>
      <c r="E295" t="n">
        <v>140.953883</v>
      </c>
      <c r="F295" t="n">
        <v>200.641254</v>
      </c>
      <c r="G295" t="n">
        <v>102.228748</v>
      </c>
      <c r="H295" t="n">
        <v>215.010584</v>
      </c>
      <c r="I295" t="n">
        <v>6244.222521</v>
      </c>
      <c r="J295" t="n">
        <v>6325.914048</v>
      </c>
      <c r="K295" t="n">
        <v>1872.204427</v>
      </c>
      <c r="L295" t="n">
        <v>7112.982475</v>
      </c>
      <c r="M295" t="n">
        <v>7112.982475</v>
      </c>
      <c r="N295" t="n">
        <v>7112.982475</v>
      </c>
      <c r="O295" t="n">
        <v>87.969483</v>
      </c>
      <c r="P295" t="n">
        <v>46.580547</v>
      </c>
      <c r="Q295" t="n">
        <v>7112.982475</v>
      </c>
      <c r="R295" t="n">
        <v>7112.982475</v>
      </c>
      <c r="S295" t="n">
        <v>87.969483</v>
      </c>
      <c r="T295" t="n">
        <v>87.969483</v>
      </c>
      <c r="U295" t="n">
        <v>46.580547</v>
      </c>
      <c r="V295" t="n">
        <v>46.580547</v>
      </c>
      <c r="W295" t="n">
        <v>93.060855</v>
      </c>
      <c r="X295" t="n">
        <v>7459.131892</v>
      </c>
    </row>
    <row r="296" ht="21" customHeight="1">
      <c r="A296" t="inlineStr">
        <is>
          <t>Carcharhinus longimanus</t>
        </is>
      </c>
      <c r="B296" t="n">
        <v>4.16</v>
      </c>
      <c r="C296" t="n">
        <v>1445.439771</v>
      </c>
      <c r="D296" s="11" t="inlineStr">
        <is>
          <t>Pelagic sharks and rays</t>
        </is>
      </c>
      <c r="E296" t="n">
        <v>140.953883</v>
      </c>
      <c r="F296" t="n">
        <v>908.988005</v>
      </c>
      <c r="G296" t="n">
        <v>385.472886</v>
      </c>
      <c r="H296" t="n">
        <v>784.4685459999999</v>
      </c>
      <c r="I296" t="n">
        <v>125208.792952</v>
      </c>
      <c r="J296" t="n">
        <v>126616.154086</v>
      </c>
      <c r="K296" t="n">
        <v>63308.077043</v>
      </c>
      <c r="L296" t="n">
        <v>172174.15174</v>
      </c>
      <c r="M296" t="n">
        <v>172174.151739</v>
      </c>
      <c r="N296" t="n">
        <v>172174.151739</v>
      </c>
      <c r="O296" t="n">
        <v>202.141045</v>
      </c>
      <c r="P296" t="n">
        <v>87.49926499999999</v>
      </c>
      <c r="Q296" t="n">
        <v>172174.151739</v>
      </c>
      <c r="R296" t="n">
        <v>172174.151739</v>
      </c>
      <c r="S296" t="n">
        <v>202.141045</v>
      </c>
      <c r="T296" t="n">
        <v>202.141045</v>
      </c>
      <c r="U296" t="n">
        <v>87.49926499999999</v>
      </c>
      <c r="V296" t="n">
        <v>87.49926499999999</v>
      </c>
      <c r="W296" t="n">
        <v>214.928725</v>
      </c>
      <c r="X296" t="n">
        <v>183923.261916</v>
      </c>
    </row>
    <row r="297" ht="21" customHeight="1">
      <c r="A297" t="inlineStr">
        <is>
          <t>Ambassidae</t>
        </is>
      </c>
      <c r="B297" t="n">
        <v>3.3</v>
      </c>
      <c r="C297" t="n">
        <v>199.526231</v>
      </c>
      <c r="D297" s="11" t="inlineStr">
        <is>
          <t>Demesral fish (≤ 30 cm)</t>
        </is>
      </c>
      <c r="E297" t="n">
        <v>140.953883</v>
      </c>
      <c r="F297" t="n">
        <v>95.34341499999999</v>
      </c>
      <c r="G297" t="n">
        <v>53.708528</v>
      </c>
      <c r="H297" t="n">
        <v>114.11959</v>
      </c>
      <c r="I297" t="n">
        <v>569.846189</v>
      </c>
      <c r="J297" t="n">
        <v>594.287325</v>
      </c>
      <c r="K297" t="n">
        <v>564.572959</v>
      </c>
      <c r="L297" t="n">
        <v>738.02552</v>
      </c>
      <c r="M297" t="n">
        <v>738.02552</v>
      </c>
      <c r="N297" t="n">
        <v>738.02552</v>
      </c>
      <c r="O297" t="n">
        <v>39.685535</v>
      </c>
      <c r="P297" t="n">
        <v>21.622034</v>
      </c>
      <c r="Q297" t="n">
        <v>738.02552</v>
      </c>
      <c r="R297" t="n">
        <v>738.02552</v>
      </c>
      <c r="S297" t="n">
        <v>39.685535</v>
      </c>
      <c r="T297" t="n">
        <v>39.685535</v>
      </c>
      <c r="U297" t="n">
        <v>21.622034</v>
      </c>
      <c r="V297" t="n">
        <v>21.622034</v>
      </c>
      <c r="W297" t="n">
        <v>41.109943</v>
      </c>
      <c r="X297" t="n">
        <v>772.895549</v>
      </c>
    </row>
    <row r="298" ht="21" customHeight="1">
      <c r="A298" t="inlineStr">
        <is>
          <t>Gazza minuta</t>
        </is>
      </c>
      <c r="B298" t="n">
        <v>4.19</v>
      </c>
      <c r="C298" t="n">
        <v>1548.816619</v>
      </c>
      <c r="D298" s="11" t="inlineStr">
        <is>
          <t>Demesral fish (≤ 30 cm)</t>
        </is>
      </c>
      <c r="E298" t="n">
        <v>140.953883</v>
      </c>
      <c r="F298" t="n">
        <v>95.34341499999999</v>
      </c>
      <c r="G298" t="n">
        <v>53.708528</v>
      </c>
      <c r="H298" t="n">
        <v>114.11959</v>
      </c>
      <c r="I298" t="n">
        <v>569.846189</v>
      </c>
      <c r="J298" t="n">
        <v>594.287325</v>
      </c>
      <c r="K298" t="n">
        <v>564.572959</v>
      </c>
      <c r="L298" t="n">
        <v>738.02552</v>
      </c>
      <c r="M298" t="n">
        <v>738.02552</v>
      </c>
      <c r="N298" t="n">
        <v>738.02552</v>
      </c>
      <c r="O298" t="n">
        <v>39.685535</v>
      </c>
      <c r="P298" t="n">
        <v>21.622034</v>
      </c>
      <c r="Q298" t="n">
        <v>738.02552</v>
      </c>
      <c r="R298" t="n">
        <v>738.02552</v>
      </c>
      <c r="S298" t="n">
        <v>39.685535</v>
      </c>
      <c r="T298" t="n">
        <v>39.685535</v>
      </c>
      <c r="U298" t="n">
        <v>21.622034</v>
      </c>
      <c r="V298" t="n">
        <v>21.622034</v>
      </c>
      <c r="W298" t="n">
        <v>41.109943</v>
      </c>
      <c r="X298" t="n">
        <v>772.895549</v>
      </c>
    </row>
    <row r="299" ht="36" customHeight="1">
      <c r="A299" t="inlineStr">
        <is>
          <t>Aluterus</t>
        </is>
      </c>
      <c r="B299" t="n">
        <v>2.81</v>
      </c>
      <c r="C299" t="n">
        <v>64.565423</v>
      </c>
      <c r="D299" s="11" t="inlineStr">
        <is>
          <t>Juvenile demersal fish (&gt; 30 cm) | Adult demersal fish (&gt; 30 cm)</t>
        </is>
      </c>
      <c r="E299" t="n">
        <v>140.953883</v>
      </c>
      <c r="F299" t="n">
        <v>228.824285</v>
      </c>
      <c r="G299" t="n">
        <v>114.897152</v>
      </c>
      <c r="H299" t="n">
        <v>408.798022</v>
      </c>
      <c r="I299" t="n">
        <v>6590.793316</v>
      </c>
      <c r="J299" t="n">
        <v>7071.146917</v>
      </c>
      <c r="K299" t="n">
        <v>2576.928919</v>
      </c>
      <c r="L299" t="n">
        <v>10677.999207</v>
      </c>
      <c r="M299" t="n">
        <v>10677.999207</v>
      </c>
      <c r="N299" t="n">
        <v>10677.999207</v>
      </c>
      <c r="O299" t="n">
        <v>85.006417</v>
      </c>
      <c r="P299" t="n">
        <v>38.52237</v>
      </c>
      <c r="Q299" t="n">
        <v>10677.999207</v>
      </c>
      <c r="R299" t="n">
        <v>10677.999207</v>
      </c>
      <c r="S299" t="n">
        <v>85.006417</v>
      </c>
      <c r="T299" t="n">
        <v>85.006417</v>
      </c>
      <c r="U299" t="n">
        <v>38.52237</v>
      </c>
      <c r="V299" t="n">
        <v>38.52237</v>
      </c>
      <c r="W299" t="n">
        <v>88.306245</v>
      </c>
      <c r="X299" t="n">
        <v>11509.306401</v>
      </c>
    </row>
    <row r="300" ht="21" customHeight="1">
      <c r="A300" t="inlineStr">
        <is>
          <t>Hemitriakis japanica</t>
        </is>
      </c>
      <c r="D300" s="11" t="inlineStr">
        <is>
          <t>Demersal sharks and rays</t>
        </is>
      </c>
      <c r="E300" t="n">
        <v>140.953883</v>
      </c>
      <c r="F300" t="n">
        <v>308.68601</v>
      </c>
      <c r="G300" t="n">
        <v>149.974663</v>
      </c>
      <c r="H300" t="n">
        <v>602.366804</v>
      </c>
      <c r="I300" t="n">
        <v>10706.101486</v>
      </c>
      <c r="J300" t="n">
        <v>10781.622707</v>
      </c>
      <c r="K300" t="n">
        <v>3924.510665</v>
      </c>
      <c r="L300" t="n">
        <v>18846.946222</v>
      </c>
      <c r="M300" t="n">
        <v>18846.946222</v>
      </c>
      <c r="N300" t="n">
        <v>18846.946222</v>
      </c>
      <c r="O300" t="n">
        <v>119.185901</v>
      </c>
      <c r="P300" t="n">
        <v>52.155741</v>
      </c>
      <c r="Q300" t="n">
        <v>18846.946222</v>
      </c>
      <c r="R300" t="n">
        <v>18846.946222</v>
      </c>
      <c r="S300" t="n">
        <v>119.185901</v>
      </c>
      <c r="T300" t="n">
        <v>119.185901</v>
      </c>
      <c r="U300" t="n">
        <v>52.155741</v>
      </c>
      <c r="V300" t="n">
        <v>52.155741</v>
      </c>
      <c r="W300" t="n">
        <v>124.506314</v>
      </c>
      <c r="X300" t="n">
        <v>20404.471037</v>
      </c>
    </row>
    <row r="301" ht="21" customHeight="1">
      <c r="A301" t="inlineStr">
        <is>
          <t>Echinodermata</t>
        </is>
      </c>
      <c r="B301" t="n">
        <v>2.3</v>
      </c>
      <c r="C301" t="n">
        <v>19.952623</v>
      </c>
      <c r="D301" s="11" t="inlineStr">
        <is>
          <t>Echinoderms</t>
        </is>
      </c>
      <c r="E301" t="n">
        <v>140.953883</v>
      </c>
      <c r="F301" t="n">
        <v>18.617087</v>
      </c>
      <c r="G301" t="n">
        <v>12.882339</v>
      </c>
      <c r="H301" t="n">
        <v>42.220898</v>
      </c>
      <c r="I301" t="n">
        <v>603.989501</v>
      </c>
      <c r="J301" t="n">
        <v>603.989501</v>
      </c>
      <c r="K301" t="n">
        <v>240.387821</v>
      </c>
      <c r="L301" t="n">
        <v>1080.992157</v>
      </c>
      <c r="M301" t="n">
        <v>1080.992157</v>
      </c>
      <c r="N301" t="n">
        <v>1080.992157</v>
      </c>
      <c r="O301" t="n">
        <v>17.290347</v>
      </c>
      <c r="P301" t="n">
        <v>9.498851999999999</v>
      </c>
      <c r="Q301" t="n">
        <v>1080.992157</v>
      </c>
      <c r="R301" t="n">
        <v>1080.992157</v>
      </c>
      <c r="S301" t="n">
        <v>17.290347</v>
      </c>
      <c r="T301" t="n">
        <v>17.290347</v>
      </c>
      <c r="U301" t="n">
        <v>9.498851999999999</v>
      </c>
      <c r="V301" t="n">
        <v>9.498851999999999</v>
      </c>
      <c r="W301" t="n">
        <v>17.932707</v>
      </c>
      <c r="X301" t="n">
        <v>1135.08839</v>
      </c>
    </row>
    <row r="302" ht="21" customHeight="1">
      <c r="A302" t="inlineStr">
        <is>
          <t>Dasyatidae</t>
        </is>
      </c>
      <c r="B302" t="n">
        <v>3.38</v>
      </c>
      <c r="C302" t="n">
        <v>239.883292</v>
      </c>
      <c r="D302" s="11" t="inlineStr">
        <is>
          <t>Demersal sharks and rays</t>
        </is>
      </c>
      <c r="E302" t="n">
        <v>140.953883</v>
      </c>
      <c r="F302" t="n">
        <v>308.68601</v>
      </c>
      <c r="G302" t="n">
        <v>149.974663</v>
      </c>
      <c r="H302" t="n">
        <v>602.366804</v>
      </c>
      <c r="I302" t="n">
        <v>10706.101486</v>
      </c>
      <c r="J302" t="n">
        <v>10781.622707</v>
      </c>
      <c r="K302" t="n">
        <v>3924.510665</v>
      </c>
      <c r="L302" t="n">
        <v>18846.946222</v>
      </c>
      <c r="M302" t="n">
        <v>18846.946222</v>
      </c>
      <c r="N302" t="n">
        <v>18846.946222</v>
      </c>
      <c r="O302" t="n">
        <v>119.185901</v>
      </c>
      <c r="P302" t="n">
        <v>52.155741</v>
      </c>
      <c r="Q302" t="n">
        <v>18846.946222</v>
      </c>
      <c r="R302" t="n">
        <v>18846.946222</v>
      </c>
      <c r="S302" t="n">
        <v>119.185901</v>
      </c>
      <c r="T302" t="n">
        <v>119.185901</v>
      </c>
      <c r="U302" t="n">
        <v>52.155741</v>
      </c>
      <c r="V302" t="n">
        <v>52.155741</v>
      </c>
      <c r="W302" t="n">
        <v>124.506314</v>
      </c>
      <c r="X302" t="n">
        <v>20404.471037</v>
      </c>
    </row>
    <row r="303" ht="21" customHeight="1">
      <c r="A303" t="inlineStr">
        <is>
          <t>Chanos chanos</t>
        </is>
      </c>
      <c r="B303" t="n">
        <v>2.03</v>
      </c>
      <c r="C303" t="n">
        <v>10.715193</v>
      </c>
      <c r="D303" s="11" t="inlineStr">
        <is>
          <t>Benthopelagic fish</t>
        </is>
      </c>
      <c r="E303" t="n">
        <v>140.953883</v>
      </c>
      <c r="F303" t="n">
        <v>57.638856</v>
      </c>
      <c r="G303" t="n">
        <v>34.593347</v>
      </c>
      <c r="H303" t="n">
        <v>74.650282</v>
      </c>
      <c r="I303" t="n">
        <v>512.103289</v>
      </c>
      <c r="J303" t="n">
        <v>553.467817</v>
      </c>
      <c r="K303" t="n">
        <v>525.794426</v>
      </c>
      <c r="L303" t="n">
        <v>602.712303</v>
      </c>
      <c r="M303" t="n">
        <v>602.712303</v>
      </c>
      <c r="N303" t="n">
        <v>602.712303</v>
      </c>
      <c r="O303" t="n">
        <v>31.190871</v>
      </c>
      <c r="P303" t="n">
        <v>18.283791</v>
      </c>
      <c r="Q303" t="n">
        <v>602.712303</v>
      </c>
      <c r="R303" t="n">
        <v>602.712303</v>
      </c>
      <c r="S303" t="n">
        <v>31.190871</v>
      </c>
      <c r="T303" t="n">
        <v>31.190871</v>
      </c>
      <c r="U303" t="n">
        <v>18.283791</v>
      </c>
      <c r="V303" t="n">
        <v>18.283791</v>
      </c>
      <c r="W303" t="n">
        <v>32.089433</v>
      </c>
      <c r="X303" t="n">
        <v>622.065443</v>
      </c>
    </row>
    <row r="304" ht="36" customHeight="1">
      <c r="A304" t="inlineStr">
        <is>
          <t>Sphyraena obtusata</t>
        </is>
      </c>
      <c r="D304" s="11" t="inlineStr">
        <is>
          <t>Juvenile large pelagic fish | Pelagic fish (&gt; 30 cm)</t>
        </is>
      </c>
      <c r="E304" t="n">
        <v>140.953883</v>
      </c>
      <c r="F304" t="n">
        <v>200.641254</v>
      </c>
      <c r="G304" t="n">
        <v>102.228748</v>
      </c>
      <c r="H304" t="n">
        <v>215.010584</v>
      </c>
      <c r="I304" t="n">
        <v>6244.222521</v>
      </c>
      <c r="J304" t="n">
        <v>6325.914048</v>
      </c>
      <c r="K304" t="n">
        <v>1872.204427</v>
      </c>
      <c r="L304" t="n">
        <v>7112.982475</v>
      </c>
      <c r="M304" t="n">
        <v>7112.982475</v>
      </c>
      <c r="N304" t="n">
        <v>7112.982475</v>
      </c>
      <c r="O304" t="n">
        <v>87.969483</v>
      </c>
      <c r="P304" t="n">
        <v>46.580547</v>
      </c>
      <c r="Q304" t="n">
        <v>7112.982475</v>
      </c>
      <c r="R304" t="n">
        <v>7112.982475</v>
      </c>
      <c r="S304" t="n">
        <v>87.969483</v>
      </c>
      <c r="T304" t="n">
        <v>87.969483</v>
      </c>
      <c r="U304" t="n">
        <v>46.580547</v>
      </c>
      <c r="V304" t="n">
        <v>46.580547</v>
      </c>
      <c r="W304" t="n">
        <v>93.060855</v>
      </c>
      <c r="X304" t="n">
        <v>7459.131892</v>
      </c>
    </row>
    <row r="305" ht="36" customHeight="1">
      <c r="A305" t="inlineStr">
        <is>
          <t>Parupeneus barberinus</t>
        </is>
      </c>
      <c r="B305" t="n">
        <v>3.22</v>
      </c>
      <c r="C305" t="n">
        <v>165.958691</v>
      </c>
      <c r="D305" s="11" t="inlineStr">
        <is>
          <t>Juvenile demersal fish (&gt; 30 cm) | Adult demersal fish (&gt; 30 cm)</t>
        </is>
      </c>
      <c r="E305" t="n">
        <v>140.953883</v>
      </c>
      <c r="F305" t="n">
        <v>228.824285</v>
      </c>
      <c r="G305" t="n">
        <v>114.897152</v>
      </c>
      <c r="H305" t="n">
        <v>408.798022</v>
      </c>
      <c r="I305" t="n">
        <v>6590.793316</v>
      </c>
      <c r="J305" t="n">
        <v>7071.146917</v>
      </c>
      <c r="K305" t="n">
        <v>2576.928919</v>
      </c>
      <c r="L305" t="n">
        <v>10677.999207</v>
      </c>
      <c r="M305" t="n">
        <v>10677.999207</v>
      </c>
      <c r="N305" t="n">
        <v>10677.999207</v>
      </c>
      <c r="O305" t="n">
        <v>85.006417</v>
      </c>
      <c r="P305" t="n">
        <v>38.52237</v>
      </c>
      <c r="Q305" t="n">
        <v>10677.999207</v>
      </c>
      <c r="R305" t="n">
        <v>10677.999207</v>
      </c>
      <c r="S305" t="n">
        <v>85.006417</v>
      </c>
      <c r="T305" t="n">
        <v>85.006417</v>
      </c>
      <c r="U305" t="n">
        <v>38.52237</v>
      </c>
      <c r="V305" t="n">
        <v>38.52237</v>
      </c>
      <c r="W305" t="n">
        <v>88.306245</v>
      </c>
      <c r="X305" t="n">
        <v>11509.306401</v>
      </c>
    </row>
    <row r="306" ht="51" customHeight="1">
      <c r="A306" t="inlineStr">
        <is>
          <t>Psettodidae</t>
        </is>
      </c>
      <c r="B306" t="n">
        <v>3.83</v>
      </c>
      <c r="C306" t="n">
        <v>676.082975</v>
      </c>
      <c r="D306" s="11" t="inlineStr">
        <is>
          <t>Demesral fish (≤ 30 cm) | Juvenile demersal fish (&gt; 30 cm) | Adult demersal fish (&gt; 30 cm)</t>
        </is>
      </c>
      <c r="E306" t="n">
        <v>140.953883</v>
      </c>
      <c r="F306" t="n">
        <v>177.371403</v>
      </c>
      <c r="G306" t="n">
        <v>91.310768</v>
      </c>
      <c r="H306" t="n">
        <v>295.208302</v>
      </c>
      <c r="I306" t="n">
        <v>4269.898312</v>
      </c>
      <c r="J306" t="n">
        <v>4574.511297</v>
      </c>
      <c r="K306" t="n">
        <v>1801.225895</v>
      </c>
      <c r="L306" t="n">
        <v>6846.4367</v>
      </c>
      <c r="M306" t="n">
        <v>6846.4367</v>
      </c>
      <c r="N306" t="n">
        <v>6846.4367</v>
      </c>
      <c r="O306" t="n">
        <v>67.536573</v>
      </c>
      <c r="P306" t="n">
        <v>32.007796</v>
      </c>
      <c r="Q306" t="n">
        <v>6846.4367</v>
      </c>
      <c r="R306" t="n">
        <v>6846.4367</v>
      </c>
      <c r="S306" t="n">
        <v>67.536573</v>
      </c>
      <c r="T306" t="n">
        <v>67.536573</v>
      </c>
      <c r="U306" t="n">
        <v>32.007796</v>
      </c>
      <c r="V306" t="n">
        <v>32.007796</v>
      </c>
      <c r="W306" t="n">
        <v>70.113483</v>
      </c>
      <c r="X306" t="n">
        <v>7370.741192</v>
      </c>
    </row>
    <row r="307" ht="21" customHeight="1">
      <c r="A307" t="inlineStr">
        <is>
          <t>Panulirus</t>
        </is>
      </c>
      <c r="B307" t="n">
        <v>2.6</v>
      </c>
      <c r="C307" t="n">
        <v>39.810717</v>
      </c>
      <c r="D307" s="11" t="inlineStr">
        <is>
          <t>Benthic crustaceans</t>
        </is>
      </c>
      <c r="E307" t="n">
        <v>140.953883</v>
      </c>
      <c r="F307" t="n">
        <v>15.812995</v>
      </c>
      <c r="G307" t="n">
        <v>11.169278</v>
      </c>
      <c r="H307" t="n">
        <v>22.580939</v>
      </c>
      <c r="I307" t="n">
        <v>110.765161</v>
      </c>
      <c r="J307" t="n">
        <v>110.765161</v>
      </c>
      <c r="K307" t="n">
        <v>69.11746100000001</v>
      </c>
      <c r="L307" t="n">
        <v>113.463496</v>
      </c>
      <c r="M307" t="n">
        <v>113.463496</v>
      </c>
      <c r="N307" t="n">
        <v>113.463496</v>
      </c>
      <c r="O307" t="n">
        <v>8.170260000000001</v>
      </c>
      <c r="P307" t="n">
        <v>5.693764</v>
      </c>
      <c r="Q307" t="n">
        <v>113.463496</v>
      </c>
      <c r="R307" t="n">
        <v>113.463496</v>
      </c>
      <c r="S307" t="n">
        <v>8.170260000000001</v>
      </c>
      <c r="T307" t="n">
        <v>8.170260000000001</v>
      </c>
      <c r="U307" t="n">
        <v>5.693764</v>
      </c>
      <c r="V307" t="n">
        <v>5.693764</v>
      </c>
      <c r="W307" t="n">
        <v>8.298344999999999</v>
      </c>
      <c r="X307" t="n">
        <v>118.931059</v>
      </c>
    </row>
    <row r="308" ht="21" customHeight="1">
      <c r="A308" t="inlineStr">
        <is>
          <t>Rhincodon typus</t>
        </is>
      </c>
      <c r="D308" s="11" t="inlineStr">
        <is>
          <t>Pelagic sharks and rays</t>
        </is>
      </c>
      <c r="E308" t="n">
        <v>140.953883</v>
      </c>
      <c r="F308" t="n">
        <v>908.988005</v>
      </c>
      <c r="G308" t="n">
        <v>385.472886</v>
      </c>
      <c r="H308" t="n">
        <v>784.4685459999999</v>
      </c>
      <c r="I308" t="n">
        <v>125208.792952</v>
      </c>
      <c r="J308" t="n">
        <v>126616.154086</v>
      </c>
      <c r="K308" t="n">
        <v>63308.077043</v>
      </c>
      <c r="L308" t="n">
        <v>172174.15174</v>
      </c>
      <c r="M308" t="n">
        <v>172174.151739</v>
      </c>
      <c r="N308" t="n">
        <v>172174.151739</v>
      </c>
      <c r="O308" t="n">
        <v>202.141045</v>
      </c>
      <c r="P308" t="n">
        <v>87.49926499999999</v>
      </c>
      <c r="Q308" t="n">
        <v>172174.151739</v>
      </c>
      <c r="R308" t="n">
        <v>172174.151739</v>
      </c>
      <c r="S308" t="n">
        <v>202.141045</v>
      </c>
      <c r="T308" t="n">
        <v>202.141045</v>
      </c>
      <c r="U308" t="n">
        <v>87.49926499999999</v>
      </c>
      <c r="V308" t="n">
        <v>87.49926499999999</v>
      </c>
      <c r="W308" t="n">
        <v>214.928725</v>
      </c>
      <c r="X308" t="n">
        <v>183923.261916</v>
      </c>
    </row>
    <row r="309" ht="36" customHeight="1">
      <c r="A309" t="inlineStr">
        <is>
          <t>Cheilopogon unicolor</t>
        </is>
      </c>
      <c r="B309" t="n">
        <v>3.7</v>
      </c>
      <c r="C309" t="n">
        <v>501.187234</v>
      </c>
      <c r="D309" s="11" t="inlineStr">
        <is>
          <t>Juvenile large pelagic fish | Pelagic fish (&gt; 30 cm)</t>
        </is>
      </c>
      <c r="E309" t="n">
        <v>140.953883</v>
      </c>
      <c r="F309" t="n">
        <v>200.641254</v>
      </c>
      <c r="G309" t="n">
        <v>102.228748</v>
      </c>
      <c r="H309" t="n">
        <v>215.010584</v>
      </c>
      <c r="I309" t="n">
        <v>6244.222521</v>
      </c>
      <c r="J309" t="n">
        <v>6325.914048</v>
      </c>
      <c r="K309" t="n">
        <v>1872.204427</v>
      </c>
      <c r="L309" t="n">
        <v>7112.982475</v>
      </c>
      <c r="M309" t="n">
        <v>7112.982475</v>
      </c>
      <c r="N309" t="n">
        <v>7112.982475</v>
      </c>
      <c r="O309" t="n">
        <v>87.969483</v>
      </c>
      <c r="P309" t="n">
        <v>46.580547</v>
      </c>
      <c r="Q309" t="n">
        <v>7112.982475</v>
      </c>
      <c r="R309" t="n">
        <v>7112.982475</v>
      </c>
      <c r="S309" t="n">
        <v>87.969483</v>
      </c>
      <c r="T309" t="n">
        <v>87.969483</v>
      </c>
      <c r="U309" t="n">
        <v>46.580547</v>
      </c>
      <c r="V309" t="n">
        <v>46.580547</v>
      </c>
      <c r="W309" t="n">
        <v>93.060855</v>
      </c>
      <c r="X309" t="n">
        <v>7459.131892</v>
      </c>
    </row>
    <row r="310" ht="21" customHeight="1">
      <c r="A310" t="inlineStr">
        <is>
          <t>Mizuhopecten yessoensis</t>
        </is>
      </c>
      <c r="B310" t="n">
        <v>2.1</v>
      </c>
      <c r="C310" t="n">
        <v>12.589254</v>
      </c>
      <c r="D310" s="11" t="inlineStr">
        <is>
          <t>Non-ceph molluscs</t>
        </is>
      </c>
      <c r="E310" t="n">
        <v>140.953883</v>
      </c>
      <c r="F310" t="n">
        <v>14.712171</v>
      </c>
      <c r="G310" t="n">
        <v>10.486582</v>
      </c>
      <c r="H310" t="n">
        <v>17.347998</v>
      </c>
      <c r="I310" t="n">
        <v>87.52377799999999</v>
      </c>
      <c r="J310" t="n">
        <v>87.52377799999999</v>
      </c>
      <c r="K310" t="n">
        <v>33.521607</v>
      </c>
      <c r="L310" t="n">
        <v>92.59366</v>
      </c>
      <c r="M310" t="n">
        <v>92.59366</v>
      </c>
      <c r="N310" t="n">
        <v>92.59366</v>
      </c>
      <c r="O310" t="n">
        <v>4.448657</v>
      </c>
      <c r="P310" t="n">
        <v>3.058348</v>
      </c>
      <c r="Q310" t="n">
        <v>92.59366</v>
      </c>
      <c r="R310" t="n">
        <v>92.59366</v>
      </c>
      <c r="S310" t="n">
        <v>4.448657</v>
      </c>
      <c r="T310" t="n">
        <v>4.448657</v>
      </c>
      <c r="U310" t="n">
        <v>3.058348</v>
      </c>
      <c r="V310" t="n">
        <v>3.058348</v>
      </c>
      <c r="W310" t="n">
        <v>4.556294</v>
      </c>
      <c r="X310" t="n">
        <v>96.447226</v>
      </c>
    </row>
    <row r="311" ht="36" customHeight="1">
      <c r="A311" t="inlineStr">
        <is>
          <t>Evynnis tumifrons</t>
        </is>
      </c>
      <c r="B311" t="n">
        <v>3.97</v>
      </c>
      <c r="C311" t="n">
        <v>933.2543010000001</v>
      </c>
      <c r="D311" s="11" t="inlineStr">
        <is>
          <t>Juvenile demersal fish (&gt; 30 cm) | Adult demersal fish (&gt; 30 cm)</t>
        </is>
      </c>
      <c r="E311" t="n">
        <v>140.953883</v>
      </c>
      <c r="F311" t="n">
        <v>228.824285</v>
      </c>
      <c r="G311" t="n">
        <v>114.897152</v>
      </c>
      <c r="H311" t="n">
        <v>408.798022</v>
      </c>
      <c r="I311" t="n">
        <v>6590.793316</v>
      </c>
      <c r="J311" t="n">
        <v>7071.146917</v>
      </c>
      <c r="K311" t="n">
        <v>2576.928919</v>
      </c>
      <c r="L311" t="n">
        <v>10677.999207</v>
      </c>
      <c r="M311" t="n">
        <v>10677.999207</v>
      </c>
      <c r="N311" t="n">
        <v>10677.999207</v>
      </c>
      <c r="O311" t="n">
        <v>85.006417</v>
      </c>
      <c r="P311" t="n">
        <v>38.52237</v>
      </c>
      <c r="Q311" t="n">
        <v>10677.999207</v>
      </c>
      <c r="R311" t="n">
        <v>10677.999207</v>
      </c>
      <c r="S311" t="n">
        <v>85.006417</v>
      </c>
      <c r="T311" t="n">
        <v>85.006417</v>
      </c>
      <c r="U311" t="n">
        <v>38.52237</v>
      </c>
      <c r="V311" t="n">
        <v>38.52237</v>
      </c>
      <c r="W311" t="n">
        <v>88.306245</v>
      </c>
      <c r="X311" t="n">
        <v>11509.306401</v>
      </c>
    </row>
    <row r="312" ht="36" customHeight="1">
      <c r="A312" t="inlineStr">
        <is>
          <t>Ephippidae</t>
        </is>
      </c>
      <c r="B312" t="n">
        <v>3.57</v>
      </c>
      <c r="C312" t="n">
        <v>371.535229</v>
      </c>
      <c r="D312" s="11" t="inlineStr">
        <is>
          <t>Juvenile demersal fish (&gt; 30 cm) | Adult demersal fish (&gt; 30 cm)</t>
        </is>
      </c>
      <c r="E312" t="n">
        <v>140.953883</v>
      </c>
      <c r="F312" t="n">
        <v>228.824285</v>
      </c>
      <c r="G312" t="n">
        <v>114.897152</v>
      </c>
      <c r="H312" t="n">
        <v>408.798022</v>
      </c>
      <c r="I312" t="n">
        <v>6590.793316</v>
      </c>
      <c r="J312" t="n">
        <v>7071.146917</v>
      </c>
      <c r="K312" t="n">
        <v>2576.928919</v>
      </c>
      <c r="L312" t="n">
        <v>10677.999207</v>
      </c>
      <c r="M312" t="n">
        <v>10677.999207</v>
      </c>
      <c r="N312" t="n">
        <v>10677.999207</v>
      </c>
      <c r="O312" t="n">
        <v>85.006417</v>
      </c>
      <c r="P312" t="n">
        <v>38.52237</v>
      </c>
      <c r="Q312" t="n">
        <v>10677.999207</v>
      </c>
      <c r="R312" t="n">
        <v>10677.999207</v>
      </c>
      <c r="S312" t="n">
        <v>85.006417</v>
      </c>
      <c r="T312" t="n">
        <v>85.006417</v>
      </c>
      <c r="U312" t="n">
        <v>38.52237</v>
      </c>
      <c r="V312" t="n">
        <v>38.52237</v>
      </c>
      <c r="W312" t="n">
        <v>88.306245</v>
      </c>
      <c r="X312" t="n">
        <v>11509.306401</v>
      </c>
    </row>
    <row r="313" ht="36" customHeight="1">
      <c r="A313" t="inlineStr">
        <is>
          <t>Mola mola</t>
        </is>
      </c>
      <c r="B313" t="n">
        <v>3.68</v>
      </c>
      <c r="C313" t="n">
        <v>478.630092</v>
      </c>
      <c r="D313" s="11" t="inlineStr">
        <is>
          <t>Juvenile large pelagic fish | Pelagic fish (&gt; 30 cm)</t>
        </is>
      </c>
      <c r="E313" t="n">
        <v>140.953883</v>
      </c>
      <c r="F313" t="n">
        <v>200.641254</v>
      </c>
      <c r="G313" t="n">
        <v>102.228748</v>
      </c>
      <c r="H313" t="n">
        <v>215.010584</v>
      </c>
      <c r="I313" t="n">
        <v>6244.222521</v>
      </c>
      <c r="J313" t="n">
        <v>6325.914048</v>
      </c>
      <c r="K313" t="n">
        <v>1872.204427</v>
      </c>
      <c r="L313" t="n">
        <v>7112.982475</v>
      </c>
      <c r="M313" t="n">
        <v>7112.982475</v>
      </c>
      <c r="N313" t="n">
        <v>7112.982475</v>
      </c>
      <c r="O313" t="n">
        <v>87.969483</v>
      </c>
      <c r="P313" t="n">
        <v>46.580547</v>
      </c>
      <c r="Q313" t="n">
        <v>7112.982475</v>
      </c>
      <c r="R313" t="n">
        <v>7112.982475</v>
      </c>
      <c r="S313" t="n">
        <v>87.969483</v>
      </c>
      <c r="T313" t="n">
        <v>87.969483</v>
      </c>
      <c r="U313" t="n">
        <v>46.580547</v>
      </c>
      <c r="V313" t="n">
        <v>46.580547</v>
      </c>
      <c r="W313" t="n">
        <v>93.060855</v>
      </c>
      <c r="X313" t="n">
        <v>7459.131892</v>
      </c>
    </row>
    <row r="314" ht="36" customHeight="1">
      <c r="A314" t="inlineStr">
        <is>
          <t>Latidae</t>
        </is>
      </c>
      <c r="B314" t="n">
        <v>4.35</v>
      </c>
      <c r="C314" t="n">
        <v>2238.721139</v>
      </c>
      <c r="D314" s="11" t="inlineStr">
        <is>
          <t>Juvenile demersal fish (&gt; 30 cm) | Adult demersal fish (&gt; 30 cm)</t>
        </is>
      </c>
      <c r="E314" t="n">
        <v>140.953883</v>
      </c>
      <c r="F314" t="n">
        <v>228.824285</v>
      </c>
      <c r="G314" t="n">
        <v>114.897152</v>
      </c>
      <c r="H314" t="n">
        <v>408.798022</v>
      </c>
      <c r="I314" t="n">
        <v>6590.793316</v>
      </c>
      <c r="J314" t="n">
        <v>7071.146917</v>
      </c>
      <c r="K314" t="n">
        <v>2576.928919</v>
      </c>
      <c r="L314" t="n">
        <v>10677.999207</v>
      </c>
      <c r="M314" t="n">
        <v>10677.999207</v>
      </c>
      <c r="N314" t="n">
        <v>10677.999207</v>
      </c>
      <c r="O314" t="n">
        <v>85.006417</v>
      </c>
      <c r="P314" t="n">
        <v>38.52237</v>
      </c>
      <c r="Q314" t="n">
        <v>10677.999207</v>
      </c>
      <c r="R314" t="n">
        <v>10677.999207</v>
      </c>
      <c r="S314" t="n">
        <v>85.006417</v>
      </c>
      <c r="T314" t="n">
        <v>85.006417</v>
      </c>
      <c r="U314" t="n">
        <v>38.52237</v>
      </c>
      <c r="V314" t="n">
        <v>38.52237</v>
      </c>
      <c r="W314" t="n">
        <v>88.306245</v>
      </c>
      <c r="X314" t="n">
        <v>11509.306401</v>
      </c>
    </row>
    <row r="315" ht="21" customHeight="1">
      <c r="A315" t="inlineStr">
        <is>
          <t>Ranina ranina</t>
        </is>
      </c>
      <c r="B315" t="n">
        <v>3.92</v>
      </c>
      <c r="C315" t="n">
        <v>831.763771</v>
      </c>
      <c r="D315" s="11" t="inlineStr">
        <is>
          <t>Crabs</t>
        </is>
      </c>
      <c r="E315" t="n">
        <v>140.953883</v>
      </c>
      <c r="F315" t="n">
        <v>33.254785</v>
      </c>
      <c r="G315" t="n">
        <v>21.389991</v>
      </c>
      <c r="H315" t="n">
        <v>53.354334</v>
      </c>
      <c r="I315" t="n">
        <v>151.084056</v>
      </c>
      <c r="J315" t="n">
        <v>151.084056</v>
      </c>
      <c r="K315" t="n">
        <v>143.529853</v>
      </c>
      <c r="L315" t="n">
        <v>173.938876</v>
      </c>
      <c r="M315" t="n">
        <v>173.938876</v>
      </c>
      <c r="N315" t="n">
        <v>173.938876</v>
      </c>
      <c r="O315" t="n">
        <v>13.215653</v>
      </c>
      <c r="P315" t="n">
        <v>8.00437</v>
      </c>
      <c r="Q315" t="n">
        <v>173.938876</v>
      </c>
      <c r="R315" t="n">
        <v>173.938876</v>
      </c>
      <c r="S315" t="n">
        <v>13.215653</v>
      </c>
      <c r="T315" t="n">
        <v>13.215653</v>
      </c>
      <c r="U315" t="n">
        <v>8.00437</v>
      </c>
      <c r="V315" t="n">
        <v>8.00437</v>
      </c>
      <c r="W315" t="n">
        <v>13.539814</v>
      </c>
      <c r="X315" t="n">
        <v>184.933079</v>
      </c>
    </row>
    <row r="316" ht="21" customHeight="1">
      <c r="A316" t="inlineStr">
        <is>
          <t>Ozius guttatus</t>
        </is>
      </c>
      <c r="D316" s="11" t="inlineStr">
        <is>
          <t>Crabs</t>
        </is>
      </c>
      <c r="E316" t="n">
        <v>140.953883</v>
      </c>
      <c r="F316" t="n">
        <v>33.254785</v>
      </c>
      <c r="G316" t="n">
        <v>21.389991</v>
      </c>
      <c r="H316" t="n">
        <v>53.354334</v>
      </c>
      <c r="I316" t="n">
        <v>151.084056</v>
      </c>
      <c r="J316" t="n">
        <v>151.084056</v>
      </c>
      <c r="K316" t="n">
        <v>143.529853</v>
      </c>
      <c r="L316" t="n">
        <v>173.938876</v>
      </c>
      <c r="M316" t="n">
        <v>173.938876</v>
      </c>
      <c r="N316" t="n">
        <v>173.938876</v>
      </c>
      <c r="O316" t="n">
        <v>13.215653</v>
      </c>
      <c r="P316" t="n">
        <v>8.00437</v>
      </c>
      <c r="Q316" t="n">
        <v>173.938876</v>
      </c>
      <c r="R316" t="n">
        <v>173.938876</v>
      </c>
      <c r="S316" t="n">
        <v>13.215653</v>
      </c>
      <c r="T316" t="n">
        <v>13.215653</v>
      </c>
      <c r="U316" t="n">
        <v>8.00437</v>
      </c>
      <c r="V316" t="n">
        <v>8.00437</v>
      </c>
      <c r="W316" t="n">
        <v>13.539814</v>
      </c>
      <c r="X316" t="n">
        <v>184.933079</v>
      </c>
    </row>
    <row r="317" ht="36" customHeight="1">
      <c r="A317" t="inlineStr">
        <is>
          <t>Sphyraena barracuda</t>
        </is>
      </c>
      <c r="B317" t="n">
        <v>4.49</v>
      </c>
      <c r="C317" t="n">
        <v>3090.295433</v>
      </c>
      <c r="D317" s="11" t="inlineStr">
        <is>
          <t>Juvenile large pelagic fish | Pelagic fish (&gt; 30 cm)</t>
        </is>
      </c>
      <c r="E317" t="n">
        <v>140.953883</v>
      </c>
      <c r="F317" t="n">
        <v>200.641254</v>
      </c>
      <c r="G317" t="n">
        <v>102.228748</v>
      </c>
      <c r="H317" t="n">
        <v>215.010584</v>
      </c>
      <c r="I317" t="n">
        <v>6244.222521</v>
      </c>
      <c r="J317" t="n">
        <v>6325.914048</v>
      </c>
      <c r="K317" t="n">
        <v>1872.204427</v>
      </c>
      <c r="L317" t="n">
        <v>7112.982475</v>
      </c>
      <c r="M317" t="n">
        <v>7112.982475</v>
      </c>
      <c r="N317" t="n">
        <v>7112.982475</v>
      </c>
      <c r="O317" t="n">
        <v>87.969483</v>
      </c>
      <c r="P317" t="n">
        <v>46.580547</v>
      </c>
      <c r="Q317" t="n">
        <v>7112.982475</v>
      </c>
      <c r="R317" t="n">
        <v>7112.982475</v>
      </c>
      <c r="S317" t="n">
        <v>87.969483</v>
      </c>
      <c r="T317" t="n">
        <v>87.969483</v>
      </c>
      <c r="U317" t="n">
        <v>46.580547</v>
      </c>
      <c r="V317" t="n">
        <v>46.580547</v>
      </c>
      <c r="W317" t="n">
        <v>93.060855</v>
      </c>
      <c r="X317" t="n">
        <v>7459.131892</v>
      </c>
    </row>
    <row r="318" ht="21" customHeight="1">
      <c r="A318" t="inlineStr">
        <is>
          <t>Melicertus canaliculatus</t>
        </is>
      </c>
      <c r="D318" s="11" t="inlineStr">
        <is>
          <t>Shrimps</t>
        </is>
      </c>
      <c r="E318" t="n">
        <v>140.953883</v>
      </c>
      <c r="F318" t="n">
        <v>20.606299</v>
      </c>
      <c r="G318" t="n">
        <v>14.077679</v>
      </c>
      <c r="H318" t="n">
        <v>22.715542</v>
      </c>
      <c r="I318" t="n">
        <v>131.71072</v>
      </c>
      <c r="J318" t="n">
        <v>131.71072</v>
      </c>
      <c r="K318" t="n">
        <v>125.125184</v>
      </c>
      <c r="L318" t="n">
        <v>130.894857</v>
      </c>
      <c r="M318" t="n">
        <v>130.894857</v>
      </c>
      <c r="N318" t="n">
        <v>130.894857</v>
      </c>
      <c r="O318" t="n">
        <v>12.255972</v>
      </c>
      <c r="P318" t="n">
        <v>8.448598</v>
      </c>
      <c r="Q318" t="n">
        <v>130.894857</v>
      </c>
      <c r="R318" t="n">
        <v>130.894857</v>
      </c>
      <c r="S318" t="n">
        <v>12.255972</v>
      </c>
      <c r="T318" t="n">
        <v>12.255972</v>
      </c>
      <c r="U318" t="n">
        <v>8.448598</v>
      </c>
      <c r="V318" t="n">
        <v>8.448598</v>
      </c>
      <c r="W318" t="n">
        <v>12.680707</v>
      </c>
      <c r="X318" t="n">
        <v>136.520004</v>
      </c>
    </row>
    <row r="319" ht="36" customHeight="1">
      <c r="A319" t="inlineStr">
        <is>
          <t>Seriola dumerili</t>
        </is>
      </c>
      <c r="B319" t="n">
        <v>4.5</v>
      </c>
      <c r="C319" t="n">
        <v>3162.27766</v>
      </c>
      <c r="D319" s="11" t="inlineStr">
        <is>
          <t>Juvenile large pelagic fish | Pelagic fish (&gt; 30 cm)</t>
        </is>
      </c>
      <c r="E319" t="n">
        <v>140.953883</v>
      </c>
      <c r="F319" t="n">
        <v>200.641254</v>
      </c>
      <c r="G319" t="n">
        <v>102.228748</v>
      </c>
      <c r="H319" t="n">
        <v>215.010584</v>
      </c>
      <c r="I319" t="n">
        <v>6244.222521</v>
      </c>
      <c r="J319" t="n">
        <v>6325.914048</v>
      </c>
      <c r="K319" t="n">
        <v>1872.204427</v>
      </c>
      <c r="L319" t="n">
        <v>7112.982475</v>
      </c>
      <c r="M319" t="n">
        <v>7112.982475</v>
      </c>
      <c r="N319" t="n">
        <v>7112.982475</v>
      </c>
      <c r="O319" t="n">
        <v>87.969483</v>
      </c>
      <c r="P319" t="n">
        <v>46.580547</v>
      </c>
      <c r="Q319" t="n">
        <v>7112.982475</v>
      </c>
      <c r="R319" t="n">
        <v>7112.982475</v>
      </c>
      <c r="S319" t="n">
        <v>87.969483</v>
      </c>
      <c r="T319" t="n">
        <v>87.969483</v>
      </c>
      <c r="U319" t="n">
        <v>46.580547</v>
      </c>
      <c r="V319" t="n">
        <v>46.580547</v>
      </c>
      <c r="W319" t="n">
        <v>93.060855</v>
      </c>
      <c r="X319" t="n">
        <v>7459.131892</v>
      </c>
    </row>
    <row r="320" ht="36" customHeight="1">
      <c r="A320" t="inlineStr">
        <is>
          <t>Labridae</t>
        </is>
      </c>
      <c r="B320" t="n">
        <v>3.46</v>
      </c>
      <c r="C320" t="n">
        <v>288.40315</v>
      </c>
      <c r="D320" s="11" t="inlineStr">
        <is>
          <t>Juvenile demersal fish (&gt; 30 cm) | Adult demersal fish (&gt; 30 cm)</t>
        </is>
      </c>
      <c r="E320" t="n">
        <v>140.953883</v>
      </c>
      <c r="F320" t="n">
        <v>228.824285</v>
      </c>
      <c r="G320" t="n">
        <v>114.897152</v>
      </c>
      <c r="H320" t="n">
        <v>408.798022</v>
      </c>
      <c r="I320" t="n">
        <v>6590.793316</v>
      </c>
      <c r="J320" t="n">
        <v>7071.146917</v>
      </c>
      <c r="K320" t="n">
        <v>2576.928919</v>
      </c>
      <c r="L320" t="n">
        <v>10677.999207</v>
      </c>
      <c r="M320" t="n">
        <v>10677.999207</v>
      </c>
      <c r="N320" t="n">
        <v>10677.999207</v>
      </c>
      <c r="O320" t="n">
        <v>85.006417</v>
      </c>
      <c r="P320" t="n">
        <v>38.52237</v>
      </c>
      <c r="Q320" t="n">
        <v>10677.999207</v>
      </c>
      <c r="R320" t="n">
        <v>10677.999207</v>
      </c>
      <c r="S320" t="n">
        <v>85.006417</v>
      </c>
      <c r="T320" t="n">
        <v>85.006417</v>
      </c>
      <c r="U320" t="n">
        <v>38.52237</v>
      </c>
      <c r="V320" t="n">
        <v>38.52237</v>
      </c>
      <c r="W320" t="n">
        <v>88.306245</v>
      </c>
      <c r="X320" t="n">
        <v>11509.306401</v>
      </c>
    </row>
    <row r="321" ht="21" customHeight="1">
      <c r="A321" t="inlineStr">
        <is>
          <t>Octopus</t>
        </is>
      </c>
      <c r="B321" t="n">
        <v>3.8</v>
      </c>
      <c r="C321" t="n">
        <v>630.957344</v>
      </c>
      <c r="D321" s="11" t="inlineStr">
        <is>
          <t>Cephalopods</t>
        </is>
      </c>
      <c r="E321" t="n">
        <v>140.953883</v>
      </c>
      <c r="F321" t="n">
        <v>170.518341</v>
      </c>
      <c r="G321" t="n">
        <v>89.274901</v>
      </c>
      <c r="H321" t="n">
        <v>176.937394</v>
      </c>
      <c r="I321" t="n">
        <v>1050.872908</v>
      </c>
      <c r="J321" t="n">
        <v>1075.829695</v>
      </c>
      <c r="K321" t="n">
        <v>537.914847</v>
      </c>
      <c r="L321" t="n">
        <v>1659.687874</v>
      </c>
      <c r="M321" t="n">
        <v>1659.687874</v>
      </c>
      <c r="N321" t="n">
        <v>1659.687874</v>
      </c>
      <c r="O321" t="n">
        <v>31.362197</v>
      </c>
      <c r="P321" t="n">
        <v>16.184075</v>
      </c>
      <c r="Q321" t="n">
        <v>1659.687874</v>
      </c>
      <c r="R321" t="n">
        <v>1659.687874</v>
      </c>
      <c r="S321" t="n">
        <v>31.362197</v>
      </c>
      <c r="T321" t="n">
        <v>31.362197</v>
      </c>
      <c r="U321" t="n">
        <v>16.184075</v>
      </c>
      <c r="V321" t="n">
        <v>16.184075</v>
      </c>
      <c r="W321" t="n">
        <v>32.286772</v>
      </c>
      <c r="X321" t="n">
        <v>1775.112325</v>
      </c>
    </row>
    <row r="322" ht="36" customHeight="1">
      <c r="A322" t="inlineStr">
        <is>
          <t>Plotosidae</t>
        </is>
      </c>
      <c r="B322" t="n">
        <v>3.49</v>
      </c>
      <c r="C322" t="n">
        <v>309.029543</v>
      </c>
      <c r="D322" s="11" t="inlineStr">
        <is>
          <t>Juvenile demersal fish (&gt; 30 cm) | Adult demersal fish (&gt; 30 cm)</t>
        </is>
      </c>
      <c r="E322" t="n">
        <v>140.953883</v>
      </c>
      <c r="F322" t="n">
        <v>228.824285</v>
      </c>
      <c r="G322" t="n">
        <v>114.897152</v>
      </c>
      <c r="H322" t="n">
        <v>408.798022</v>
      </c>
      <c r="I322" t="n">
        <v>6590.793316</v>
      </c>
      <c r="J322" t="n">
        <v>7071.146917</v>
      </c>
      <c r="K322" t="n">
        <v>2576.928919</v>
      </c>
      <c r="L322" t="n">
        <v>10677.999207</v>
      </c>
      <c r="M322" t="n">
        <v>10677.999207</v>
      </c>
      <c r="N322" t="n">
        <v>10677.999207</v>
      </c>
      <c r="O322" t="n">
        <v>85.006417</v>
      </c>
      <c r="P322" t="n">
        <v>38.52237</v>
      </c>
      <c r="Q322" t="n">
        <v>10677.999207</v>
      </c>
      <c r="R322" t="n">
        <v>10677.999207</v>
      </c>
      <c r="S322" t="n">
        <v>85.006417</v>
      </c>
      <c r="T322" t="n">
        <v>85.006417</v>
      </c>
      <c r="U322" t="n">
        <v>38.52237</v>
      </c>
      <c r="V322" t="n">
        <v>38.52237</v>
      </c>
      <c r="W322" t="n">
        <v>88.306245</v>
      </c>
      <c r="X322" t="n">
        <v>11509.306401</v>
      </c>
    </row>
    <row r="323" ht="21" customHeight="1">
      <c r="A323" t="inlineStr">
        <is>
          <t>Alopias</t>
        </is>
      </c>
      <c r="B323" t="n">
        <v>4.5</v>
      </c>
      <c r="C323" t="n">
        <v>3162.27766</v>
      </c>
      <c r="D323" s="11" t="inlineStr">
        <is>
          <t>Pelagic sharks and rays</t>
        </is>
      </c>
      <c r="E323" t="n">
        <v>140.953883</v>
      </c>
      <c r="F323" t="n">
        <v>908.988005</v>
      </c>
      <c r="G323" t="n">
        <v>385.472886</v>
      </c>
      <c r="H323" t="n">
        <v>784.4685459999999</v>
      </c>
      <c r="I323" t="n">
        <v>125208.792952</v>
      </c>
      <c r="J323" t="n">
        <v>126616.154086</v>
      </c>
      <c r="K323" t="n">
        <v>63308.077043</v>
      </c>
      <c r="L323" t="n">
        <v>172174.15174</v>
      </c>
      <c r="M323" t="n">
        <v>172174.151739</v>
      </c>
      <c r="N323" t="n">
        <v>172174.151739</v>
      </c>
      <c r="O323" t="n">
        <v>202.141045</v>
      </c>
      <c r="P323" t="n">
        <v>87.49926499999999</v>
      </c>
      <c r="Q323" t="n">
        <v>172174.151739</v>
      </c>
      <c r="R323" t="n">
        <v>172174.151739</v>
      </c>
      <c r="S323" t="n">
        <v>202.141045</v>
      </c>
      <c r="T323" t="n">
        <v>202.141045</v>
      </c>
      <c r="U323" t="n">
        <v>87.49926499999999</v>
      </c>
      <c r="V323" t="n">
        <v>87.49926499999999</v>
      </c>
      <c r="W323" t="n">
        <v>214.928725</v>
      </c>
      <c r="X323" t="n">
        <v>183923.261916</v>
      </c>
    </row>
    <row r="324" ht="36" customHeight="1">
      <c r="A324" t="inlineStr">
        <is>
          <t>Elops machnata</t>
        </is>
      </c>
      <c r="B324" t="n">
        <v>3.97</v>
      </c>
      <c r="C324" t="n">
        <v>933.2543010000001</v>
      </c>
      <c r="D324" s="11" t="inlineStr">
        <is>
          <t>Juvenile large pelagic fish | Pelagic fish (&gt; 30 cm)</t>
        </is>
      </c>
      <c r="E324" t="n">
        <v>140.953883</v>
      </c>
      <c r="F324" t="n">
        <v>200.641254</v>
      </c>
      <c r="G324" t="n">
        <v>102.228748</v>
      </c>
      <c r="H324" t="n">
        <v>215.010584</v>
      </c>
      <c r="I324" t="n">
        <v>6244.222521</v>
      </c>
      <c r="J324" t="n">
        <v>6325.914048</v>
      </c>
      <c r="K324" t="n">
        <v>1872.204427</v>
      </c>
      <c r="L324" t="n">
        <v>7112.982475</v>
      </c>
      <c r="M324" t="n">
        <v>7112.982475</v>
      </c>
      <c r="N324" t="n">
        <v>7112.982475</v>
      </c>
      <c r="O324" t="n">
        <v>87.969483</v>
      </c>
      <c r="P324" t="n">
        <v>46.580547</v>
      </c>
      <c r="Q324" t="n">
        <v>7112.982475</v>
      </c>
      <c r="R324" t="n">
        <v>7112.982475</v>
      </c>
      <c r="S324" t="n">
        <v>87.969483</v>
      </c>
      <c r="T324" t="n">
        <v>87.969483</v>
      </c>
      <c r="U324" t="n">
        <v>46.580547</v>
      </c>
      <c r="V324" t="n">
        <v>46.580547</v>
      </c>
      <c r="W324" t="n">
        <v>93.060855</v>
      </c>
      <c r="X324" t="n">
        <v>7459.131892</v>
      </c>
    </row>
    <row r="325" ht="21" customHeight="1">
      <c r="A325" t="inlineStr">
        <is>
          <t>Pellona ditchela</t>
        </is>
      </c>
      <c r="B325" t="n">
        <v>3.37</v>
      </c>
      <c r="C325" t="n">
        <v>234.422882</v>
      </c>
      <c r="D325" s="11" t="inlineStr">
        <is>
          <t>Pelagic fish (≤ 30 cm)</t>
        </is>
      </c>
      <c r="E325" t="n">
        <v>140.953883</v>
      </c>
      <c r="F325" t="n">
        <v>60.479203</v>
      </c>
      <c r="G325" t="n">
        <v>36.07884</v>
      </c>
      <c r="H325" t="n">
        <v>45.98261</v>
      </c>
      <c r="I325" t="n">
        <v>395.888053</v>
      </c>
      <c r="J325" t="n">
        <v>395.888053</v>
      </c>
      <c r="K325" t="n">
        <v>376.09365</v>
      </c>
      <c r="L325" t="n">
        <v>393.787233</v>
      </c>
      <c r="M325" t="n">
        <v>393.787233</v>
      </c>
      <c r="N325" t="n">
        <v>393.787233</v>
      </c>
      <c r="O325" t="n">
        <v>20.916473</v>
      </c>
      <c r="P325" t="n">
        <v>13.510088</v>
      </c>
      <c r="Q325" t="n">
        <v>393.787233</v>
      </c>
      <c r="R325" t="n">
        <v>393.787233</v>
      </c>
      <c r="S325" t="n">
        <v>20.916473</v>
      </c>
      <c r="T325" t="n">
        <v>20.916473</v>
      </c>
      <c r="U325" t="n">
        <v>13.510088</v>
      </c>
      <c r="V325" t="n">
        <v>13.510088</v>
      </c>
      <c r="W325" t="n">
        <v>21.939981</v>
      </c>
      <c r="X325" t="n">
        <v>405.784084</v>
      </c>
    </row>
    <row r="326" ht="21" customHeight="1">
      <c r="A326" t="inlineStr">
        <is>
          <t>Chaetodontidae</t>
        </is>
      </c>
      <c r="B326" t="n">
        <v>3.24</v>
      </c>
      <c r="C326" t="n">
        <v>173.780083</v>
      </c>
      <c r="D326" s="11" t="inlineStr">
        <is>
          <t>Demesral fish (≤ 30 cm)</t>
        </is>
      </c>
      <c r="E326" t="n">
        <v>140.953883</v>
      </c>
      <c r="F326" t="n">
        <v>95.34341499999999</v>
      </c>
      <c r="G326" t="n">
        <v>53.708528</v>
      </c>
      <c r="H326" t="n">
        <v>114.11959</v>
      </c>
      <c r="I326" t="n">
        <v>569.846189</v>
      </c>
      <c r="J326" t="n">
        <v>594.287325</v>
      </c>
      <c r="K326" t="n">
        <v>564.572959</v>
      </c>
      <c r="L326" t="n">
        <v>738.02552</v>
      </c>
      <c r="M326" t="n">
        <v>738.02552</v>
      </c>
      <c r="N326" t="n">
        <v>738.02552</v>
      </c>
      <c r="O326" t="n">
        <v>39.685535</v>
      </c>
      <c r="P326" t="n">
        <v>21.622034</v>
      </c>
      <c r="Q326" t="n">
        <v>738.02552</v>
      </c>
      <c r="R326" t="n">
        <v>738.02552</v>
      </c>
      <c r="S326" t="n">
        <v>39.685535</v>
      </c>
      <c r="T326" t="n">
        <v>39.685535</v>
      </c>
      <c r="U326" t="n">
        <v>21.622034</v>
      </c>
      <c r="V326" t="n">
        <v>21.622034</v>
      </c>
      <c r="W326" t="n">
        <v>41.109943</v>
      </c>
      <c r="X326" t="n">
        <v>772.895549</v>
      </c>
    </row>
    <row r="327" ht="36" customHeight="1">
      <c r="A327" t="inlineStr">
        <is>
          <t>Congridae</t>
        </is>
      </c>
      <c r="D327" s="11" t="inlineStr">
        <is>
          <t>Juvenile demersal fish (&gt; 30 cm) | Adult demersal fish (&gt; 30 cm)</t>
        </is>
      </c>
      <c r="E327" t="n">
        <v>140.953883</v>
      </c>
      <c r="F327" t="n">
        <v>228.824285</v>
      </c>
      <c r="G327" t="n">
        <v>114.897152</v>
      </c>
      <c r="H327" t="n">
        <v>408.798022</v>
      </c>
      <c r="I327" t="n">
        <v>6590.793316</v>
      </c>
      <c r="J327" t="n">
        <v>7071.146917</v>
      </c>
      <c r="K327" t="n">
        <v>2576.928919</v>
      </c>
      <c r="L327" t="n">
        <v>10677.999207</v>
      </c>
      <c r="M327" t="n">
        <v>10677.999207</v>
      </c>
      <c r="N327" t="n">
        <v>10677.999207</v>
      </c>
      <c r="O327" t="n">
        <v>85.006417</v>
      </c>
      <c r="P327" t="n">
        <v>38.52237</v>
      </c>
      <c r="Q327" t="n">
        <v>10677.999207</v>
      </c>
      <c r="R327" t="n">
        <v>10677.999207</v>
      </c>
      <c r="S327" t="n">
        <v>85.006417</v>
      </c>
      <c r="T327" t="n">
        <v>85.006417</v>
      </c>
      <c r="U327" t="n">
        <v>38.52237</v>
      </c>
      <c r="V327" t="n">
        <v>38.52237</v>
      </c>
      <c r="W327" t="n">
        <v>88.306245</v>
      </c>
      <c r="X327" t="n">
        <v>11509.306401</v>
      </c>
    </row>
    <row r="328" ht="36" customHeight="1">
      <c r="A328" t="inlineStr">
        <is>
          <t>Lethrinus miniatus</t>
        </is>
      </c>
      <c r="B328" t="n">
        <v>4.19</v>
      </c>
      <c r="C328" t="n">
        <v>1548.816619</v>
      </c>
      <c r="D328" s="11" t="inlineStr">
        <is>
          <t>Juvenile demersal fish (&gt; 30 cm) | Adult demersal fish (&gt; 30 cm)</t>
        </is>
      </c>
      <c r="E328" t="n">
        <v>140.953883</v>
      </c>
      <c r="F328" t="n">
        <v>228.824285</v>
      </c>
      <c r="G328" t="n">
        <v>114.897152</v>
      </c>
      <c r="H328" t="n">
        <v>408.798022</v>
      </c>
      <c r="I328" t="n">
        <v>6590.793316</v>
      </c>
      <c r="J328" t="n">
        <v>7071.146917</v>
      </c>
      <c r="K328" t="n">
        <v>2576.928919</v>
      </c>
      <c r="L328" t="n">
        <v>10677.999207</v>
      </c>
      <c r="M328" t="n">
        <v>10677.999207</v>
      </c>
      <c r="N328" t="n">
        <v>10677.999207</v>
      </c>
      <c r="O328" t="n">
        <v>85.006417</v>
      </c>
      <c r="P328" t="n">
        <v>38.52237</v>
      </c>
      <c r="Q328" t="n">
        <v>10677.999207</v>
      </c>
      <c r="R328" t="n">
        <v>10677.999207</v>
      </c>
      <c r="S328" t="n">
        <v>85.006417</v>
      </c>
      <c r="T328" t="n">
        <v>85.006417</v>
      </c>
      <c r="U328" t="n">
        <v>38.52237</v>
      </c>
      <c r="V328" t="n">
        <v>38.52237</v>
      </c>
      <c r="W328" t="n">
        <v>88.306245</v>
      </c>
      <c r="X328" t="n">
        <v>11509.306401</v>
      </c>
    </row>
    <row r="329" ht="21" customHeight="1">
      <c r="A329" t="inlineStr">
        <is>
          <t>Scylla</t>
        </is>
      </c>
      <c r="B329" t="n">
        <v>3.17</v>
      </c>
      <c r="C329" t="n">
        <v>147.910839</v>
      </c>
      <c r="D329" s="11" t="inlineStr">
        <is>
          <t>Crabs</t>
        </is>
      </c>
      <c r="E329" t="n">
        <v>140.953883</v>
      </c>
      <c r="F329" t="n">
        <v>33.254785</v>
      </c>
      <c r="G329" t="n">
        <v>21.389991</v>
      </c>
      <c r="H329" t="n">
        <v>53.354334</v>
      </c>
      <c r="I329" t="n">
        <v>151.084056</v>
      </c>
      <c r="J329" t="n">
        <v>151.084056</v>
      </c>
      <c r="K329" t="n">
        <v>143.529853</v>
      </c>
      <c r="L329" t="n">
        <v>173.938876</v>
      </c>
      <c r="M329" t="n">
        <v>173.938876</v>
      </c>
      <c r="N329" t="n">
        <v>173.938876</v>
      </c>
      <c r="O329" t="n">
        <v>13.215653</v>
      </c>
      <c r="P329" t="n">
        <v>8.00437</v>
      </c>
      <c r="Q329" t="n">
        <v>173.938876</v>
      </c>
      <c r="R329" t="n">
        <v>173.938876</v>
      </c>
      <c r="S329" t="n">
        <v>13.215653</v>
      </c>
      <c r="T329" t="n">
        <v>13.215653</v>
      </c>
      <c r="U329" t="n">
        <v>8.00437</v>
      </c>
      <c r="V329" t="n">
        <v>8.00437</v>
      </c>
      <c r="W329" t="n">
        <v>13.539814</v>
      </c>
      <c r="X329" t="n">
        <v>184.933079</v>
      </c>
    </row>
    <row r="330" ht="21" customHeight="1">
      <c r="A330" t="inlineStr">
        <is>
          <t>Hemitrygon akajei</t>
        </is>
      </c>
      <c r="B330" t="n">
        <v>3.84</v>
      </c>
      <c r="C330" t="n">
        <v>691.830971</v>
      </c>
      <c r="D330" s="11" t="inlineStr">
        <is>
          <t>Demersal sharks and rays</t>
        </is>
      </c>
      <c r="E330" t="n">
        <v>140.953883</v>
      </c>
      <c r="F330" t="n">
        <v>308.68601</v>
      </c>
      <c r="G330" t="n">
        <v>149.974663</v>
      </c>
      <c r="H330" t="n">
        <v>602.366804</v>
      </c>
      <c r="I330" t="n">
        <v>10706.101486</v>
      </c>
      <c r="J330" t="n">
        <v>10781.622707</v>
      </c>
      <c r="K330" t="n">
        <v>3924.510665</v>
      </c>
      <c r="L330" t="n">
        <v>18846.946222</v>
      </c>
      <c r="M330" t="n">
        <v>18846.946222</v>
      </c>
      <c r="N330" t="n">
        <v>18846.946222</v>
      </c>
      <c r="O330" t="n">
        <v>119.185901</v>
      </c>
      <c r="P330" t="n">
        <v>52.155741</v>
      </c>
      <c r="Q330" t="n">
        <v>18846.946222</v>
      </c>
      <c r="R330" t="n">
        <v>18846.946222</v>
      </c>
      <c r="S330" t="n">
        <v>119.185901</v>
      </c>
      <c r="T330" t="n">
        <v>119.185901</v>
      </c>
      <c r="U330" t="n">
        <v>52.155741</v>
      </c>
      <c r="V330" t="n">
        <v>52.155741</v>
      </c>
      <c r="W330" t="n">
        <v>124.506314</v>
      </c>
      <c r="X330" t="n">
        <v>20404.471037</v>
      </c>
    </row>
    <row r="331" ht="21" customHeight="1">
      <c r="A331" t="inlineStr">
        <is>
          <t>Lepidocybium flavobrunneum</t>
        </is>
      </c>
      <c r="D331" s="11" t="inlineStr">
        <is>
          <t>Unresolved</t>
        </is>
      </c>
    </row>
    <row r="332" ht="21" customHeight="1">
      <c r="A332" t="inlineStr">
        <is>
          <t>Charybdis feriatus</t>
        </is>
      </c>
      <c r="D332" s="11" t="inlineStr">
        <is>
          <t>Crabs</t>
        </is>
      </c>
      <c r="E332" t="n">
        <v>140.953883</v>
      </c>
      <c r="F332" t="n">
        <v>33.254785</v>
      </c>
      <c r="G332" t="n">
        <v>21.389991</v>
      </c>
      <c r="H332" t="n">
        <v>53.354334</v>
      </c>
      <c r="I332" t="n">
        <v>151.084056</v>
      </c>
      <c r="J332" t="n">
        <v>151.084056</v>
      </c>
      <c r="K332" t="n">
        <v>143.529853</v>
      </c>
      <c r="L332" t="n">
        <v>173.938876</v>
      </c>
      <c r="M332" t="n">
        <v>173.938876</v>
      </c>
      <c r="N332" t="n">
        <v>173.938876</v>
      </c>
      <c r="O332" t="n">
        <v>13.215653</v>
      </c>
      <c r="P332" t="n">
        <v>8.00437</v>
      </c>
      <c r="Q332" t="n">
        <v>173.938876</v>
      </c>
      <c r="R332" t="n">
        <v>173.938876</v>
      </c>
      <c r="S332" t="n">
        <v>13.215653</v>
      </c>
      <c r="T332" t="n">
        <v>13.215653</v>
      </c>
      <c r="U332" t="n">
        <v>8.00437</v>
      </c>
      <c r="V332" t="n">
        <v>8.00437</v>
      </c>
      <c r="W332" t="n">
        <v>13.539814</v>
      </c>
      <c r="X332" t="n">
        <v>184.933079</v>
      </c>
    </row>
    <row r="333" ht="21" customHeight="1">
      <c r="A333" t="inlineStr">
        <is>
          <t>Encrasicholina punctifer</t>
        </is>
      </c>
      <c r="B333" t="n">
        <v>3.25</v>
      </c>
      <c r="C333" t="n">
        <v>177.827941</v>
      </c>
      <c r="D333" s="11" t="inlineStr">
        <is>
          <t>Pelagic fish (≤ 30 cm)</t>
        </is>
      </c>
      <c r="E333" t="n">
        <v>140.953883</v>
      </c>
      <c r="F333" t="n">
        <v>60.479203</v>
      </c>
      <c r="G333" t="n">
        <v>36.07884</v>
      </c>
      <c r="H333" t="n">
        <v>45.98261</v>
      </c>
      <c r="I333" t="n">
        <v>395.888053</v>
      </c>
      <c r="J333" t="n">
        <v>395.888053</v>
      </c>
      <c r="K333" t="n">
        <v>376.09365</v>
      </c>
      <c r="L333" t="n">
        <v>393.787233</v>
      </c>
      <c r="M333" t="n">
        <v>393.787233</v>
      </c>
      <c r="N333" t="n">
        <v>393.787233</v>
      </c>
      <c r="O333" t="n">
        <v>20.916473</v>
      </c>
      <c r="P333" t="n">
        <v>13.510088</v>
      </c>
      <c r="Q333" t="n">
        <v>393.787233</v>
      </c>
      <c r="R333" t="n">
        <v>393.787233</v>
      </c>
      <c r="S333" t="n">
        <v>20.916473</v>
      </c>
      <c r="T333" t="n">
        <v>20.916473</v>
      </c>
      <c r="U333" t="n">
        <v>13.510088</v>
      </c>
      <c r="V333" t="n">
        <v>13.510088</v>
      </c>
      <c r="W333" t="n">
        <v>21.939981</v>
      </c>
      <c r="X333" t="n">
        <v>405.784084</v>
      </c>
    </row>
    <row r="334" ht="21" customHeight="1">
      <c r="A334" t="inlineStr">
        <is>
          <t>Spongia</t>
        </is>
      </c>
      <c r="B334" t="n">
        <v>2</v>
      </c>
      <c r="C334" t="n">
        <v>10</v>
      </c>
      <c r="D334" s="11" t="inlineStr">
        <is>
          <t>Sessile/other invertebrates</t>
        </is>
      </c>
      <c r="E334" t="n">
        <v>140.953883</v>
      </c>
      <c r="F334" t="n">
        <v>39.810717</v>
      </c>
      <c r="G334" t="n">
        <v>25.033164</v>
      </c>
      <c r="H334" t="n">
        <v>36.589822</v>
      </c>
      <c r="I334" t="n">
        <v>741.629495</v>
      </c>
      <c r="J334" t="n">
        <v>741.629495</v>
      </c>
      <c r="K334" t="n">
        <v>626.676923</v>
      </c>
      <c r="L334" t="n">
        <v>737.355125</v>
      </c>
      <c r="M334" t="n">
        <v>737.355125</v>
      </c>
      <c r="N334" t="n">
        <v>737.355125</v>
      </c>
      <c r="O334" t="n">
        <v>36.442813</v>
      </c>
      <c r="P334" t="n">
        <v>23.922587</v>
      </c>
      <c r="Q334" t="n">
        <v>737.355125</v>
      </c>
      <c r="R334" t="n">
        <v>737.355125</v>
      </c>
      <c r="S334" t="n">
        <v>36.442813</v>
      </c>
      <c r="T334" t="n">
        <v>36.442813</v>
      </c>
      <c r="U334" t="n">
        <v>23.922587</v>
      </c>
      <c r="V334" t="n">
        <v>23.922587</v>
      </c>
      <c r="W334" t="n">
        <v>37.547619</v>
      </c>
      <c r="X334" t="n">
        <v>765.5198799999999</v>
      </c>
    </row>
    <row r="335" ht="21" customHeight="1">
      <c r="A335" t="inlineStr">
        <is>
          <t>Amusium pleuronectes</t>
        </is>
      </c>
      <c r="B335" t="n">
        <v>2</v>
      </c>
      <c r="C335" t="n">
        <v>10</v>
      </c>
      <c r="D335" s="11" t="inlineStr">
        <is>
          <t>Non-ceph molluscs</t>
        </is>
      </c>
      <c r="E335" t="n">
        <v>140.953883</v>
      </c>
      <c r="F335" t="n">
        <v>14.712171</v>
      </c>
      <c r="G335" t="n">
        <v>10.486582</v>
      </c>
      <c r="H335" t="n">
        <v>17.347998</v>
      </c>
      <c r="I335" t="n">
        <v>87.52377799999999</v>
      </c>
      <c r="J335" t="n">
        <v>87.52377799999999</v>
      </c>
      <c r="K335" t="n">
        <v>33.521607</v>
      </c>
      <c r="L335" t="n">
        <v>92.59366</v>
      </c>
      <c r="M335" t="n">
        <v>92.59366</v>
      </c>
      <c r="N335" t="n">
        <v>92.59366</v>
      </c>
      <c r="O335" t="n">
        <v>4.448657</v>
      </c>
      <c r="P335" t="n">
        <v>3.058348</v>
      </c>
      <c r="Q335" t="n">
        <v>92.59366</v>
      </c>
      <c r="R335" t="n">
        <v>92.59366</v>
      </c>
      <c r="S335" t="n">
        <v>4.448657</v>
      </c>
      <c r="T335" t="n">
        <v>4.448657</v>
      </c>
      <c r="U335" t="n">
        <v>3.058348</v>
      </c>
      <c r="V335" t="n">
        <v>3.058348</v>
      </c>
      <c r="W335" t="n">
        <v>4.556294</v>
      </c>
      <c r="X335" t="n">
        <v>96.447226</v>
      </c>
    </row>
    <row r="336" ht="36" customHeight="1">
      <c r="A336" t="inlineStr">
        <is>
          <t>Scatophagus argus</t>
        </is>
      </c>
      <c r="B336" t="n">
        <v>2.99</v>
      </c>
      <c r="C336" t="n">
        <v>97.723722</v>
      </c>
      <c r="D336" s="11" t="inlineStr">
        <is>
          <t>Juvenile demersal fish (&gt; 30 cm) | Adult demersal fish (&gt; 30 cm)</t>
        </is>
      </c>
      <c r="E336" t="n">
        <v>140.953883</v>
      </c>
      <c r="F336" t="n">
        <v>228.824285</v>
      </c>
      <c r="G336" t="n">
        <v>114.897152</v>
      </c>
      <c r="H336" t="n">
        <v>408.798022</v>
      </c>
      <c r="I336" t="n">
        <v>6590.793316</v>
      </c>
      <c r="J336" t="n">
        <v>7071.146917</v>
      </c>
      <c r="K336" t="n">
        <v>2576.928919</v>
      </c>
      <c r="L336" t="n">
        <v>10677.999207</v>
      </c>
      <c r="M336" t="n">
        <v>10677.999207</v>
      </c>
      <c r="N336" t="n">
        <v>10677.999207</v>
      </c>
      <c r="O336" t="n">
        <v>85.006417</v>
      </c>
      <c r="P336" t="n">
        <v>38.52237</v>
      </c>
      <c r="Q336" t="n">
        <v>10677.999207</v>
      </c>
      <c r="R336" t="n">
        <v>10677.999207</v>
      </c>
      <c r="S336" t="n">
        <v>85.006417</v>
      </c>
      <c r="T336" t="n">
        <v>85.006417</v>
      </c>
      <c r="U336" t="n">
        <v>38.52237</v>
      </c>
      <c r="V336" t="n">
        <v>38.52237</v>
      </c>
      <c r="W336" t="n">
        <v>88.306245</v>
      </c>
      <c r="X336" t="n">
        <v>11509.306401</v>
      </c>
    </row>
    <row r="337" ht="21" customHeight="1">
      <c r="A337" t="inlineStr">
        <is>
          <t>Podophthalmus vigil</t>
        </is>
      </c>
      <c r="D337" s="11" t="inlineStr">
        <is>
          <t>Crabs</t>
        </is>
      </c>
      <c r="E337" t="n">
        <v>140.953883</v>
      </c>
      <c r="F337" t="n">
        <v>33.254785</v>
      </c>
      <c r="G337" t="n">
        <v>21.389991</v>
      </c>
      <c r="H337" t="n">
        <v>53.354334</v>
      </c>
      <c r="I337" t="n">
        <v>151.084056</v>
      </c>
      <c r="J337" t="n">
        <v>151.084056</v>
      </c>
      <c r="K337" t="n">
        <v>143.529853</v>
      </c>
      <c r="L337" t="n">
        <v>173.938876</v>
      </c>
      <c r="M337" t="n">
        <v>173.938876</v>
      </c>
      <c r="N337" t="n">
        <v>173.938876</v>
      </c>
      <c r="O337" t="n">
        <v>13.215653</v>
      </c>
      <c r="P337" t="n">
        <v>8.00437</v>
      </c>
      <c r="Q337" t="n">
        <v>173.938876</v>
      </c>
      <c r="R337" t="n">
        <v>173.938876</v>
      </c>
      <c r="S337" t="n">
        <v>13.215653</v>
      </c>
      <c r="T337" t="n">
        <v>13.215653</v>
      </c>
      <c r="U337" t="n">
        <v>8.00437</v>
      </c>
      <c r="V337" t="n">
        <v>8.00437</v>
      </c>
      <c r="W337" t="n">
        <v>13.539814</v>
      </c>
      <c r="X337" t="n">
        <v>184.933079</v>
      </c>
    </row>
    <row r="338" ht="36" customHeight="1">
      <c r="A338" t="inlineStr">
        <is>
          <t>Drepane punctata</t>
        </is>
      </c>
      <c r="B338" t="n">
        <v>3.32</v>
      </c>
      <c r="C338" t="n">
        <v>208.929613</v>
      </c>
      <c r="D338" s="11" t="inlineStr">
        <is>
          <t>Juvenile demersal fish (&gt; 30 cm) | Adult demersal fish (&gt; 30 cm)</t>
        </is>
      </c>
      <c r="E338" t="n">
        <v>140.953883</v>
      </c>
      <c r="F338" t="n">
        <v>228.824285</v>
      </c>
      <c r="G338" t="n">
        <v>114.897152</v>
      </c>
      <c r="H338" t="n">
        <v>408.798022</v>
      </c>
      <c r="I338" t="n">
        <v>6590.793316</v>
      </c>
      <c r="J338" t="n">
        <v>7071.146917</v>
      </c>
      <c r="K338" t="n">
        <v>2576.928919</v>
      </c>
      <c r="L338" t="n">
        <v>10677.999207</v>
      </c>
      <c r="M338" t="n">
        <v>10677.999207</v>
      </c>
      <c r="N338" t="n">
        <v>10677.999207</v>
      </c>
      <c r="O338" t="n">
        <v>85.006417</v>
      </c>
      <c r="P338" t="n">
        <v>38.52237</v>
      </c>
      <c r="Q338" t="n">
        <v>10677.999207</v>
      </c>
      <c r="R338" t="n">
        <v>10677.999207</v>
      </c>
      <c r="S338" t="n">
        <v>85.006417</v>
      </c>
      <c r="T338" t="n">
        <v>85.006417</v>
      </c>
      <c r="U338" t="n">
        <v>38.52237</v>
      </c>
      <c r="V338" t="n">
        <v>38.52237</v>
      </c>
      <c r="W338" t="n">
        <v>88.306245</v>
      </c>
      <c r="X338" t="n">
        <v>11509.306401</v>
      </c>
    </row>
    <row r="339" ht="21" customHeight="1">
      <c r="A339" t="inlineStr">
        <is>
          <t>Charybdis anisodon</t>
        </is>
      </c>
      <c r="D339" s="11" t="inlineStr">
        <is>
          <t>Crabs</t>
        </is>
      </c>
      <c r="E339" t="n">
        <v>140.953883</v>
      </c>
      <c r="F339" t="n">
        <v>33.254785</v>
      </c>
      <c r="G339" t="n">
        <v>21.389991</v>
      </c>
      <c r="H339" t="n">
        <v>53.354334</v>
      </c>
      <c r="I339" t="n">
        <v>151.084056</v>
      </c>
      <c r="J339" t="n">
        <v>151.084056</v>
      </c>
      <c r="K339" t="n">
        <v>143.529853</v>
      </c>
      <c r="L339" t="n">
        <v>173.938876</v>
      </c>
      <c r="M339" t="n">
        <v>173.938876</v>
      </c>
      <c r="N339" t="n">
        <v>173.938876</v>
      </c>
      <c r="O339" t="n">
        <v>13.215653</v>
      </c>
      <c r="P339" t="n">
        <v>8.00437</v>
      </c>
      <c r="Q339" t="n">
        <v>173.938876</v>
      </c>
      <c r="R339" t="n">
        <v>173.938876</v>
      </c>
      <c r="S339" t="n">
        <v>13.215653</v>
      </c>
      <c r="T339" t="n">
        <v>13.215653</v>
      </c>
      <c r="U339" t="n">
        <v>8.00437</v>
      </c>
      <c r="V339" t="n">
        <v>8.00437</v>
      </c>
      <c r="W339" t="n">
        <v>13.539814</v>
      </c>
      <c r="X339" t="n">
        <v>184.933079</v>
      </c>
    </row>
    <row r="340" ht="21" customHeight="1">
      <c r="A340" t="inlineStr">
        <is>
          <t>Beryx</t>
        </is>
      </c>
      <c r="D340" s="11" t="inlineStr">
        <is>
          <t>Benthopelagic fish</t>
        </is>
      </c>
      <c r="E340" t="n">
        <v>140.953883</v>
      </c>
      <c r="F340" t="n">
        <v>57.638856</v>
      </c>
      <c r="G340" t="n">
        <v>34.593347</v>
      </c>
      <c r="H340" t="n">
        <v>74.650282</v>
      </c>
      <c r="I340" t="n">
        <v>512.103289</v>
      </c>
      <c r="J340" t="n">
        <v>553.467817</v>
      </c>
      <c r="K340" t="n">
        <v>525.794426</v>
      </c>
      <c r="L340" t="n">
        <v>602.712303</v>
      </c>
      <c r="M340" t="n">
        <v>602.712303</v>
      </c>
      <c r="N340" t="n">
        <v>602.712303</v>
      </c>
      <c r="O340" t="n">
        <v>31.190871</v>
      </c>
      <c r="P340" t="n">
        <v>18.283791</v>
      </c>
      <c r="Q340" t="n">
        <v>602.712303</v>
      </c>
      <c r="R340" t="n">
        <v>602.712303</v>
      </c>
      <c r="S340" t="n">
        <v>31.190871</v>
      </c>
      <c r="T340" t="n">
        <v>31.190871</v>
      </c>
      <c r="U340" t="n">
        <v>18.283791</v>
      </c>
      <c r="V340" t="n">
        <v>18.283791</v>
      </c>
      <c r="W340" t="n">
        <v>32.089433</v>
      </c>
      <c r="X340" t="n">
        <v>622.065443</v>
      </c>
    </row>
    <row r="341" ht="21" customHeight="1">
      <c r="A341" t="inlineStr">
        <is>
          <t>Magallana gigas</t>
        </is>
      </c>
      <c r="B341" t="n">
        <v>2</v>
      </c>
      <c r="C341" t="n">
        <v>10</v>
      </c>
      <c r="D341" s="11" t="inlineStr">
        <is>
          <t>Non-ceph molluscs</t>
        </is>
      </c>
      <c r="E341" t="n">
        <v>140.953883</v>
      </c>
      <c r="F341" t="n">
        <v>14.712171</v>
      </c>
      <c r="G341" t="n">
        <v>10.486582</v>
      </c>
      <c r="H341" t="n">
        <v>17.347998</v>
      </c>
      <c r="I341" t="n">
        <v>87.52377799999999</v>
      </c>
      <c r="J341" t="n">
        <v>87.52377799999999</v>
      </c>
      <c r="K341" t="n">
        <v>33.521607</v>
      </c>
      <c r="L341" t="n">
        <v>92.59366</v>
      </c>
      <c r="M341" t="n">
        <v>92.59366</v>
      </c>
      <c r="N341" t="n">
        <v>92.59366</v>
      </c>
      <c r="O341" t="n">
        <v>4.448657</v>
      </c>
      <c r="P341" t="n">
        <v>3.058348</v>
      </c>
      <c r="Q341" t="n">
        <v>92.59366</v>
      </c>
      <c r="R341" t="n">
        <v>92.59366</v>
      </c>
      <c r="S341" t="n">
        <v>4.448657</v>
      </c>
      <c r="T341" t="n">
        <v>4.448657</v>
      </c>
      <c r="U341" t="n">
        <v>3.058348</v>
      </c>
      <c r="V341" t="n">
        <v>3.058348</v>
      </c>
      <c r="W341" t="n">
        <v>4.556294</v>
      </c>
      <c r="X341" t="n">
        <v>96.447226</v>
      </c>
    </row>
    <row r="342" ht="36" customHeight="1">
      <c r="A342" t="inlineStr">
        <is>
          <t>Sillago sihama</t>
        </is>
      </c>
      <c r="B342" t="n">
        <v>3.33</v>
      </c>
      <c r="C342" t="n">
        <v>213.796209</v>
      </c>
      <c r="D342" s="11" t="inlineStr">
        <is>
          <t>Juvenile demersal fish (&gt; 30 cm) | Adult demersal fish (&gt; 30 cm)</t>
        </is>
      </c>
      <c r="E342" t="n">
        <v>140.953883</v>
      </c>
      <c r="F342" t="n">
        <v>228.824285</v>
      </c>
      <c r="G342" t="n">
        <v>114.897152</v>
      </c>
      <c r="H342" t="n">
        <v>408.798022</v>
      </c>
      <c r="I342" t="n">
        <v>6590.793316</v>
      </c>
      <c r="J342" t="n">
        <v>7071.146917</v>
      </c>
      <c r="K342" t="n">
        <v>2576.928919</v>
      </c>
      <c r="L342" t="n">
        <v>10677.999207</v>
      </c>
      <c r="M342" t="n">
        <v>10677.999207</v>
      </c>
      <c r="N342" t="n">
        <v>10677.999207</v>
      </c>
      <c r="O342" t="n">
        <v>85.006417</v>
      </c>
      <c r="P342" t="n">
        <v>38.52237</v>
      </c>
      <c r="Q342" t="n">
        <v>10677.999207</v>
      </c>
      <c r="R342" t="n">
        <v>10677.999207</v>
      </c>
      <c r="S342" t="n">
        <v>85.006417</v>
      </c>
      <c r="T342" t="n">
        <v>85.006417</v>
      </c>
      <c r="U342" t="n">
        <v>38.52237</v>
      </c>
      <c r="V342" t="n">
        <v>38.52237</v>
      </c>
      <c r="W342" t="n">
        <v>88.306245</v>
      </c>
      <c r="X342" t="n">
        <v>11509.306401</v>
      </c>
    </row>
    <row r="343" ht="21" customHeight="1">
      <c r="A343" t="inlineStr">
        <is>
          <t>Pteriomorphia</t>
        </is>
      </c>
      <c r="B343" t="n">
        <v>2.27</v>
      </c>
      <c r="C343" t="n">
        <v>18.620871</v>
      </c>
      <c r="D343" s="11" t="inlineStr">
        <is>
          <t>Non-ceph molluscs</t>
        </is>
      </c>
      <c r="E343" t="n">
        <v>140.953883</v>
      </c>
      <c r="F343" t="n">
        <v>14.712171</v>
      </c>
      <c r="G343" t="n">
        <v>10.486582</v>
      </c>
      <c r="H343" t="n">
        <v>17.347998</v>
      </c>
      <c r="I343" t="n">
        <v>87.52377799999999</v>
      </c>
      <c r="J343" t="n">
        <v>87.52377799999999</v>
      </c>
      <c r="K343" t="n">
        <v>33.521607</v>
      </c>
      <c r="L343" t="n">
        <v>92.59366</v>
      </c>
      <c r="M343" t="n">
        <v>92.59366</v>
      </c>
      <c r="N343" t="n">
        <v>92.59366</v>
      </c>
      <c r="O343" t="n">
        <v>4.448657</v>
      </c>
      <c r="P343" t="n">
        <v>3.058348</v>
      </c>
      <c r="Q343" t="n">
        <v>92.59366</v>
      </c>
      <c r="R343" t="n">
        <v>92.59366</v>
      </c>
      <c r="S343" t="n">
        <v>4.448657</v>
      </c>
      <c r="T343" t="n">
        <v>4.448657</v>
      </c>
      <c r="U343" t="n">
        <v>3.058348</v>
      </c>
      <c r="V343" t="n">
        <v>3.058348</v>
      </c>
      <c r="W343" t="n">
        <v>4.556294</v>
      </c>
      <c r="X343" t="n">
        <v>96.447226</v>
      </c>
    </row>
    <row r="344" ht="21" customHeight="1">
      <c r="A344" t="inlineStr">
        <is>
          <t>Metapenaeus ensis</t>
        </is>
      </c>
      <c r="B344" t="n">
        <v>2.7</v>
      </c>
      <c r="C344" t="n">
        <v>50.118723</v>
      </c>
      <c r="D344" s="11" t="inlineStr">
        <is>
          <t>Shrimps</t>
        </is>
      </c>
      <c r="E344" t="n">
        <v>140.953883</v>
      </c>
      <c r="F344" t="n">
        <v>20.606299</v>
      </c>
      <c r="G344" t="n">
        <v>14.077679</v>
      </c>
      <c r="H344" t="n">
        <v>22.715542</v>
      </c>
      <c r="I344" t="n">
        <v>131.71072</v>
      </c>
      <c r="J344" t="n">
        <v>131.71072</v>
      </c>
      <c r="K344" t="n">
        <v>125.125184</v>
      </c>
      <c r="L344" t="n">
        <v>130.894857</v>
      </c>
      <c r="M344" t="n">
        <v>130.894857</v>
      </c>
      <c r="N344" t="n">
        <v>130.894857</v>
      </c>
      <c r="O344" t="n">
        <v>12.255972</v>
      </c>
      <c r="P344" t="n">
        <v>8.448598</v>
      </c>
      <c r="Q344" t="n">
        <v>130.894857</v>
      </c>
      <c r="R344" t="n">
        <v>130.894857</v>
      </c>
      <c r="S344" t="n">
        <v>12.255972</v>
      </c>
      <c r="T344" t="n">
        <v>12.255972</v>
      </c>
      <c r="U344" t="n">
        <v>8.448598</v>
      </c>
      <c r="V344" t="n">
        <v>8.448598</v>
      </c>
      <c r="W344" t="n">
        <v>12.680707</v>
      </c>
      <c r="X344" t="n">
        <v>136.520004</v>
      </c>
    </row>
    <row r="345" ht="21" customHeight="1">
      <c r="A345" t="inlineStr">
        <is>
          <t>Macolor</t>
        </is>
      </c>
      <c r="B345" t="n">
        <v>3.99</v>
      </c>
      <c r="C345" t="n">
        <v>977.237221</v>
      </c>
      <c r="D345" s="11" t="inlineStr">
        <is>
          <t>Snappers</t>
        </is>
      </c>
      <c r="E345" t="n">
        <v>140.953883</v>
      </c>
      <c r="F345" t="n">
        <v>554.842266</v>
      </c>
      <c r="G345" t="n">
        <v>250.381754</v>
      </c>
      <c r="H345" t="n">
        <v>650.642591</v>
      </c>
      <c r="I345" t="n">
        <v>3230.237663</v>
      </c>
      <c r="J345" t="n">
        <v>3367.037571</v>
      </c>
      <c r="K345" t="n">
        <v>3198.685692</v>
      </c>
      <c r="L345" t="n">
        <v>4133.4309</v>
      </c>
      <c r="M345" t="n">
        <v>4133.4309</v>
      </c>
      <c r="N345" t="n">
        <v>4133.4309</v>
      </c>
      <c r="O345" t="n">
        <v>205.658598</v>
      </c>
      <c r="P345" t="n">
        <v>91.38801100000001</v>
      </c>
      <c r="Q345" t="n">
        <v>4133.4309</v>
      </c>
      <c r="R345" t="n">
        <v>4133.4309</v>
      </c>
      <c r="S345" t="n">
        <v>205.658598</v>
      </c>
      <c r="T345" t="n">
        <v>205.658598</v>
      </c>
      <c r="U345" t="n">
        <v>91.38801100000001</v>
      </c>
      <c r="V345" t="n">
        <v>91.38801100000001</v>
      </c>
      <c r="W345" t="n">
        <v>216.473302</v>
      </c>
      <c r="X345" t="n">
        <v>4393.486979</v>
      </c>
    </row>
    <row r="346" ht="21" customHeight="1">
      <c r="A346" t="inlineStr">
        <is>
          <t>Haliotis</t>
        </is>
      </c>
      <c r="D346" s="11" t="inlineStr">
        <is>
          <t>Non-ceph molluscs</t>
        </is>
      </c>
      <c r="E346" t="n">
        <v>140.953883</v>
      </c>
      <c r="F346" t="n">
        <v>14.712171</v>
      </c>
      <c r="G346" t="n">
        <v>10.486582</v>
      </c>
      <c r="H346" t="n">
        <v>17.347998</v>
      </c>
      <c r="I346" t="n">
        <v>87.52377799999999</v>
      </c>
      <c r="J346" t="n">
        <v>87.52377799999999</v>
      </c>
      <c r="K346" t="n">
        <v>33.521607</v>
      </c>
      <c r="L346" t="n">
        <v>92.59366</v>
      </c>
      <c r="M346" t="n">
        <v>92.59366</v>
      </c>
      <c r="N346" t="n">
        <v>92.59366</v>
      </c>
      <c r="O346" t="n">
        <v>4.448657</v>
      </c>
      <c r="P346" t="n">
        <v>3.058348</v>
      </c>
      <c r="Q346" t="n">
        <v>92.59366</v>
      </c>
      <c r="R346" t="n">
        <v>92.59366</v>
      </c>
      <c r="S346" t="n">
        <v>4.448657</v>
      </c>
      <c r="T346" t="n">
        <v>4.448657</v>
      </c>
      <c r="U346" t="n">
        <v>3.058348</v>
      </c>
      <c r="V346" t="n">
        <v>3.058348</v>
      </c>
      <c r="W346" t="n">
        <v>4.556294</v>
      </c>
      <c r="X346" t="n">
        <v>96.447226</v>
      </c>
    </row>
    <row r="347" ht="21" customHeight="1">
      <c r="A347" t="inlineStr">
        <is>
          <t>Berycidae</t>
        </is>
      </c>
      <c r="B347" t="n">
        <v>3.99</v>
      </c>
      <c r="C347" t="n">
        <v>977.237221</v>
      </c>
      <c r="D347" s="11" t="inlineStr">
        <is>
          <t>Benthopelagic fish</t>
        </is>
      </c>
      <c r="E347" t="n">
        <v>140.953883</v>
      </c>
      <c r="F347" t="n">
        <v>57.638856</v>
      </c>
      <c r="G347" t="n">
        <v>34.593347</v>
      </c>
      <c r="H347" t="n">
        <v>74.650282</v>
      </c>
      <c r="I347" t="n">
        <v>512.103289</v>
      </c>
      <c r="J347" t="n">
        <v>553.467817</v>
      </c>
      <c r="K347" t="n">
        <v>525.794426</v>
      </c>
      <c r="L347" t="n">
        <v>602.712303</v>
      </c>
      <c r="M347" t="n">
        <v>602.712303</v>
      </c>
      <c r="N347" t="n">
        <v>602.712303</v>
      </c>
      <c r="O347" t="n">
        <v>31.190871</v>
      </c>
      <c r="P347" t="n">
        <v>18.283791</v>
      </c>
      <c r="Q347" t="n">
        <v>602.712303</v>
      </c>
      <c r="R347" t="n">
        <v>602.712303</v>
      </c>
      <c r="S347" t="n">
        <v>31.190871</v>
      </c>
      <c r="T347" t="n">
        <v>31.190871</v>
      </c>
      <c r="U347" t="n">
        <v>18.283791</v>
      </c>
      <c r="V347" t="n">
        <v>18.283791</v>
      </c>
      <c r="W347" t="n">
        <v>32.089433</v>
      </c>
      <c r="X347" t="n">
        <v>622.065443</v>
      </c>
    </row>
    <row r="348" ht="21" customHeight="1">
      <c r="A348" t="inlineStr">
        <is>
          <t>Makaira</t>
        </is>
      </c>
      <c r="B348" t="n">
        <v>4.47</v>
      </c>
      <c r="C348" t="n">
        <v>2951.209227</v>
      </c>
      <c r="D348" s="11" t="inlineStr">
        <is>
          <t>Unresolved</t>
        </is>
      </c>
    </row>
    <row r="349" ht="21" customHeight="1">
      <c r="A349" t="inlineStr">
        <is>
          <t>Lutjanus bohar</t>
        </is>
      </c>
      <c r="B349" t="n">
        <v>4.27</v>
      </c>
      <c r="C349" t="n">
        <v>1862.087137</v>
      </c>
      <c r="D349" s="11" t="inlineStr">
        <is>
          <t>Snappers</t>
        </is>
      </c>
      <c r="E349" t="n">
        <v>140.953883</v>
      </c>
      <c r="F349" t="n">
        <v>554.842266</v>
      </c>
      <c r="G349" t="n">
        <v>250.381754</v>
      </c>
      <c r="H349" t="n">
        <v>650.642591</v>
      </c>
      <c r="I349" t="n">
        <v>3230.237663</v>
      </c>
      <c r="J349" t="n">
        <v>3367.037571</v>
      </c>
      <c r="K349" t="n">
        <v>3198.685692</v>
      </c>
      <c r="L349" t="n">
        <v>4133.4309</v>
      </c>
      <c r="M349" t="n">
        <v>4133.4309</v>
      </c>
      <c r="N349" t="n">
        <v>4133.4309</v>
      </c>
      <c r="O349" t="n">
        <v>205.658598</v>
      </c>
      <c r="P349" t="n">
        <v>91.38801100000001</v>
      </c>
      <c r="Q349" t="n">
        <v>4133.4309</v>
      </c>
      <c r="R349" t="n">
        <v>4133.4309</v>
      </c>
      <c r="S349" t="n">
        <v>205.658598</v>
      </c>
      <c r="T349" t="n">
        <v>205.658598</v>
      </c>
      <c r="U349" t="n">
        <v>91.38801100000001</v>
      </c>
      <c r="V349" t="n">
        <v>91.38801100000001</v>
      </c>
      <c r="W349" t="n">
        <v>216.473302</v>
      </c>
      <c r="X349" t="n">
        <v>4393.486979</v>
      </c>
    </row>
    <row r="350" ht="36" customHeight="1">
      <c r="A350" t="inlineStr">
        <is>
          <t>Pomadasys argenteus</t>
        </is>
      </c>
      <c r="B350" t="n">
        <v>3.47</v>
      </c>
      <c r="C350" t="n">
        <v>295.120923</v>
      </c>
      <c r="D350" s="11" t="inlineStr">
        <is>
          <t>Juvenile demersal fish (&gt; 30 cm) | Adult demersal fish (&gt; 30 cm)</t>
        </is>
      </c>
      <c r="E350" t="n">
        <v>140.953883</v>
      </c>
      <c r="F350" t="n">
        <v>228.824285</v>
      </c>
      <c r="G350" t="n">
        <v>114.897152</v>
      </c>
      <c r="H350" t="n">
        <v>408.798022</v>
      </c>
      <c r="I350" t="n">
        <v>6590.793316</v>
      </c>
      <c r="J350" t="n">
        <v>7071.146917</v>
      </c>
      <c r="K350" t="n">
        <v>2576.928919</v>
      </c>
      <c r="L350" t="n">
        <v>10677.999207</v>
      </c>
      <c r="M350" t="n">
        <v>10677.999207</v>
      </c>
      <c r="N350" t="n">
        <v>10677.999207</v>
      </c>
      <c r="O350" t="n">
        <v>85.006417</v>
      </c>
      <c r="P350" t="n">
        <v>38.52237</v>
      </c>
      <c r="Q350" t="n">
        <v>10677.999207</v>
      </c>
      <c r="R350" t="n">
        <v>10677.999207</v>
      </c>
      <c r="S350" t="n">
        <v>85.006417</v>
      </c>
      <c r="T350" t="n">
        <v>85.006417</v>
      </c>
      <c r="U350" t="n">
        <v>38.52237</v>
      </c>
      <c r="V350" t="n">
        <v>38.52237</v>
      </c>
      <c r="W350" t="n">
        <v>88.306245</v>
      </c>
      <c r="X350" t="n">
        <v>11509.306401</v>
      </c>
    </row>
    <row r="351" ht="36" customHeight="1">
      <c r="A351" t="inlineStr">
        <is>
          <t>Caranx sexfasciatus</t>
        </is>
      </c>
      <c r="B351" t="n">
        <v>4.5</v>
      </c>
      <c r="C351" t="n">
        <v>3162.27766</v>
      </c>
      <c r="D351" s="11" t="inlineStr">
        <is>
          <t>Juvenile large pelagic fish | Pelagic fish (&gt; 30 cm)</t>
        </is>
      </c>
      <c r="E351" t="n">
        <v>140.953883</v>
      </c>
      <c r="F351" t="n">
        <v>200.641254</v>
      </c>
      <c r="G351" t="n">
        <v>102.228748</v>
      </c>
      <c r="H351" t="n">
        <v>215.010584</v>
      </c>
      <c r="I351" t="n">
        <v>6244.222521</v>
      </c>
      <c r="J351" t="n">
        <v>6325.914048</v>
      </c>
      <c r="K351" t="n">
        <v>1872.204427</v>
      </c>
      <c r="L351" t="n">
        <v>7112.982475</v>
      </c>
      <c r="M351" t="n">
        <v>7112.982475</v>
      </c>
      <c r="N351" t="n">
        <v>7112.982475</v>
      </c>
      <c r="O351" t="n">
        <v>87.969483</v>
      </c>
      <c r="P351" t="n">
        <v>46.580547</v>
      </c>
      <c r="Q351" t="n">
        <v>7112.982475</v>
      </c>
      <c r="R351" t="n">
        <v>7112.982475</v>
      </c>
      <c r="S351" t="n">
        <v>87.969483</v>
      </c>
      <c r="T351" t="n">
        <v>87.969483</v>
      </c>
      <c r="U351" t="n">
        <v>46.580547</v>
      </c>
      <c r="V351" t="n">
        <v>46.580547</v>
      </c>
      <c r="W351" t="n">
        <v>93.060855</v>
      </c>
      <c r="X351" t="n">
        <v>7459.131892</v>
      </c>
    </row>
    <row r="352" ht="21" customHeight="1">
      <c r="A352" t="inlineStr">
        <is>
          <t>Spratelloides</t>
        </is>
      </c>
      <c r="D352" s="11" t="inlineStr">
        <is>
          <t>Pelagic fish (≤ 30 cm)</t>
        </is>
      </c>
      <c r="E352" t="n">
        <v>140.953883</v>
      </c>
      <c r="F352" t="n">
        <v>60.479203</v>
      </c>
      <c r="G352" t="n">
        <v>36.07884</v>
      </c>
      <c r="H352" t="n">
        <v>45.98261</v>
      </c>
      <c r="I352" t="n">
        <v>395.888053</v>
      </c>
      <c r="J352" t="n">
        <v>395.888053</v>
      </c>
      <c r="K352" t="n">
        <v>376.09365</v>
      </c>
      <c r="L352" t="n">
        <v>393.787233</v>
      </c>
      <c r="M352" t="n">
        <v>393.787233</v>
      </c>
      <c r="N352" t="n">
        <v>393.787233</v>
      </c>
      <c r="O352" t="n">
        <v>20.916473</v>
      </c>
      <c r="P352" t="n">
        <v>13.510088</v>
      </c>
      <c r="Q352" t="n">
        <v>393.787233</v>
      </c>
      <c r="R352" t="n">
        <v>393.787233</v>
      </c>
      <c r="S352" t="n">
        <v>20.916473</v>
      </c>
      <c r="T352" t="n">
        <v>20.916473</v>
      </c>
      <c r="U352" t="n">
        <v>13.510088</v>
      </c>
      <c r="V352" t="n">
        <v>13.510088</v>
      </c>
      <c r="W352" t="n">
        <v>21.939981</v>
      </c>
      <c r="X352" t="n">
        <v>405.784084</v>
      </c>
    </row>
    <row r="353" ht="36" customHeight="1">
      <c r="A353" t="inlineStr">
        <is>
          <t>Nibea albiflora</t>
        </is>
      </c>
      <c r="B353" t="n">
        <v>3.5</v>
      </c>
      <c r="C353" t="n">
        <v>316.227766</v>
      </c>
      <c r="D353" s="11" t="inlineStr">
        <is>
          <t>Juvenile large croakers | Croakers (&gt; 30 cm)</t>
        </is>
      </c>
      <c r="E353" t="n">
        <v>140.953883</v>
      </c>
      <c r="F353" t="n">
        <v>265.549442</v>
      </c>
      <c r="G353" t="n">
        <v>131.19784</v>
      </c>
      <c r="H353" t="n">
        <v>368.043932</v>
      </c>
      <c r="I353" t="n">
        <v>2939.153653</v>
      </c>
      <c r="J353" t="n">
        <v>3022.907916</v>
      </c>
      <c r="K353" t="n">
        <v>1769.605312</v>
      </c>
      <c r="L353" t="n">
        <v>3691.420719</v>
      </c>
      <c r="M353" t="n">
        <v>3691.420719</v>
      </c>
      <c r="N353" t="n">
        <v>3691.420719</v>
      </c>
      <c r="O353" t="n">
        <v>92.784491</v>
      </c>
      <c r="P353" t="n">
        <v>44.082214</v>
      </c>
      <c r="Q353" t="n">
        <v>3691.420719</v>
      </c>
      <c r="R353" t="n">
        <v>3691.420719</v>
      </c>
      <c r="S353" t="n">
        <v>92.784491</v>
      </c>
      <c r="T353" t="n">
        <v>92.784491</v>
      </c>
      <c r="U353" t="n">
        <v>44.082214</v>
      </c>
      <c r="V353" t="n">
        <v>44.082214</v>
      </c>
      <c r="W353" t="n">
        <v>96.91430099999999</v>
      </c>
      <c r="X353" t="n">
        <v>3937.988659</v>
      </c>
    </row>
    <row r="354" ht="36" customHeight="1">
      <c r="A354" t="inlineStr">
        <is>
          <t>Bramidae</t>
        </is>
      </c>
      <c r="B354" t="n">
        <v>4.14</v>
      </c>
      <c r="C354" t="n">
        <v>1380.384265</v>
      </c>
      <c r="D354" s="11" t="inlineStr">
        <is>
          <t>Juvenile large pelagic fish | Pelagic fish (&gt; 30 cm)</t>
        </is>
      </c>
      <c r="E354" t="n">
        <v>140.953883</v>
      </c>
      <c r="F354" t="n">
        <v>200.641254</v>
      </c>
      <c r="G354" t="n">
        <v>102.228748</v>
      </c>
      <c r="H354" t="n">
        <v>215.010584</v>
      </c>
      <c r="I354" t="n">
        <v>6244.222521</v>
      </c>
      <c r="J354" t="n">
        <v>6325.914048</v>
      </c>
      <c r="K354" t="n">
        <v>1872.204427</v>
      </c>
      <c r="L354" t="n">
        <v>7112.982475</v>
      </c>
      <c r="M354" t="n">
        <v>7112.982475</v>
      </c>
      <c r="N354" t="n">
        <v>7112.982475</v>
      </c>
      <c r="O354" t="n">
        <v>87.969483</v>
      </c>
      <c r="P354" t="n">
        <v>46.580547</v>
      </c>
      <c r="Q354" t="n">
        <v>7112.982475</v>
      </c>
      <c r="R354" t="n">
        <v>7112.982475</v>
      </c>
      <c r="S354" t="n">
        <v>87.969483</v>
      </c>
      <c r="T354" t="n">
        <v>87.969483</v>
      </c>
      <c r="U354" t="n">
        <v>46.580547</v>
      </c>
      <c r="V354" t="n">
        <v>46.580547</v>
      </c>
      <c r="W354" t="n">
        <v>93.060855</v>
      </c>
      <c r="X354" t="n">
        <v>7459.131892</v>
      </c>
    </row>
    <row r="355" ht="36" customHeight="1">
      <c r="A355" t="inlineStr">
        <is>
          <t>Anguilliformes</t>
        </is>
      </c>
      <c r="B355" t="n">
        <v>3.89</v>
      </c>
      <c r="C355" t="n">
        <v>776.247117</v>
      </c>
      <c r="D355" s="11" t="inlineStr">
        <is>
          <t>Juvenile demersal fish (&gt; 30 cm) | Adult demersal fish (&gt; 30 cm)</t>
        </is>
      </c>
      <c r="E355" t="n">
        <v>140.953883</v>
      </c>
      <c r="F355" t="n">
        <v>228.824285</v>
      </c>
      <c r="G355" t="n">
        <v>114.897152</v>
      </c>
      <c r="H355" t="n">
        <v>408.798022</v>
      </c>
      <c r="I355" t="n">
        <v>6590.793316</v>
      </c>
      <c r="J355" t="n">
        <v>7071.146917</v>
      </c>
      <c r="K355" t="n">
        <v>2576.928919</v>
      </c>
      <c r="L355" t="n">
        <v>10677.999207</v>
      </c>
      <c r="M355" t="n">
        <v>10677.999207</v>
      </c>
      <c r="N355" t="n">
        <v>10677.999207</v>
      </c>
      <c r="O355" t="n">
        <v>85.006417</v>
      </c>
      <c r="P355" t="n">
        <v>38.52237</v>
      </c>
      <c r="Q355" t="n">
        <v>10677.999207</v>
      </c>
      <c r="R355" t="n">
        <v>10677.999207</v>
      </c>
      <c r="S355" t="n">
        <v>85.006417</v>
      </c>
      <c r="T355" t="n">
        <v>85.006417</v>
      </c>
      <c r="U355" t="n">
        <v>38.52237</v>
      </c>
      <c r="V355" t="n">
        <v>38.52237</v>
      </c>
      <c r="W355" t="n">
        <v>88.306245</v>
      </c>
      <c r="X355" t="n">
        <v>11509.306401</v>
      </c>
    </row>
    <row r="356" ht="21" customHeight="1">
      <c r="A356" t="inlineStr">
        <is>
          <t>Crassostrea</t>
        </is>
      </c>
      <c r="D356" s="11" t="inlineStr">
        <is>
          <t>Non-ceph molluscs</t>
        </is>
      </c>
      <c r="E356" t="n">
        <v>140.953883</v>
      </c>
      <c r="F356" t="n">
        <v>14.712171</v>
      </c>
      <c r="G356" t="n">
        <v>10.486582</v>
      </c>
      <c r="H356" t="n">
        <v>17.347998</v>
      </c>
      <c r="I356" t="n">
        <v>87.52377799999999</v>
      </c>
      <c r="J356" t="n">
        <v>87.52377799999999</v>
      </c>
      <c r="K356" t="n">
        <v>33.521607</v>
      </c>
      <c r="L356" t="n">
        <v>92.59366</v>
      </c>
      <c r="M356" t="n">
        <v>92.59366</v>
      </c>
      <c r="N356" t="n">
        <v>92.59366</v>
      </c>
      <c r="O356" t="n">
        <v>4.448657</v>
      </c>
      <c r="P356" t="n">
        <v>3.058348</v>
      </c>
      <c r="Q356" t="n">
        <v>92.59366</v>
      </c>
      <c r="R356" t="n">
        <v>92.59366</v>
      </c>
      <c r="S356" t="n">
        <v>4.448657</v>
      </c>
      <c r="T356" t="n">
        <v>4.448657</v>
      </c>
      <c r="U356" t="n">
        <v>3.058348</v>
      </c>
      <c r="V356" t="n">
        <v>3.058348</v>
      </c>
      <c r="W356" t="n">
        <v>4.556294</v>
      </c>
      <c r="X356" t="n">
        <v>96.447226</v>
      </c>
    </row>
    <row r="357" ht="21" customHeight="1">
      <c r="A357" t="inlineStr">
        <is>
          <t>Hippocampus</t>
        </is>
      </c>
      <c r="B357" t="n">
        <v>3.33</v>
      </c>
      <c r="C357" t="n">
        <v>213.796209</v>
      </c>
      <c r="D357" s="11" t="inlineStr">
        <is>
          <t>Demesral fish (≤ 30 cm)</t>
        </is>
      </c>
      <c r="E357" t="n">
        <v>140.953883</v>
      </c>
      <c r="F357" t="n">
        <v>95.34341499999999</v>
      </c>
      <c r="G357" t="n">
        <v>53.708528</v>
      </c>
      <c r="H357" t="n">
        <v>114.11959</v>
      </c>
      <c r="I357" t="n">
        <v>569.846189</v>
      </c>
      <c r="J357" t="n">
        <v>594.287325</v>
      </c>
      <c r="K357" t="n">
        <v>564.572959</v>
      </c>
      <c r="L357" t="n">
        <v>738.02552</v>
      </c>
      <c r="M357" t="n">
        <v>738.02552</v>
      </c>
      <c r="N357" t="n">
        <v>738.02552</v>
      </c>
      <c r="O357" t="n">
        <v>39.685535</v>
      </c>
      <c r="P357" t="n">
        <v>21.622034</v>
      </c>
      <c r="Q357" t="n">
        <v>738.02552</v>
      </c>
      <c r="R357" t="n">
        <v>738.02552</v>
      </c>
      <c r="S357" t="n">
        <v>39.685535</v>
      </c>
      <c r="T357" t="n">
        <v>39.685535</v>
      </c>
      <c r="U357" t="n">
        <v>21.622034</v>
      </c>
      <c r="V357" t="n">
        <v>21.622034</v>
      </c>
      <c r="W357" t="n">
        <v>41.109943</v>
      </c>
      <c r="X357" t="n">
        <v>772.895549</v>
      </c>
    </row>
    <row r="358" ht="21" customHeight="1">
      <c r="A358" t="inlineStr">
        <is>
          <t>Holothuriidae</t>
        </is>
      </c>
      <c r="D358" s="11" t="inlineStr">
        <is>
          <t>Echinoderms</t>
        </is>
      </c>
      <c r="E358" t="n">
        <v>140.953883</v>
      </c>
      <c r="F358" t="n">
        <v>18.617087</v>
      </c>
      <c r="G358" t="n">
        <v>12.882339</v>
      </c>
      <c r="H358" t="n">
        <v>42.220898</v>
      </c>
      <c r="I358" t="n">
        <v>603.989501</v>
      </c>
      <c r="J358" t="n">
        <v>603.989501</v>
      </c>
      <c r="K358" t="n">
        <v>240.387821</v>
      </c>
      <c r="L358" t="n">
        <v>1080.992157</v>
      </c>
      <c r="M358" t="n">
        <v>1080.992157</v>
      </c>
      <c r="N358" t="n">
        <v>1080.992157</v>
      </c>
      <c r="O358" t="n">
        <v>17.290347</v>
      </c>
      <c r="P358" t="n">
        <v>9.498851999999999</v>
      </c>
      <c r="Q358" t="n">
        <v>1080.992157</v>
      </c>
      <c r="R358" t="n">
        <v>1080.992157</v>
      </c>
      <c r="S358" t="n">
        <v>17.290347</v>
      </c>
      <c r="T358" t="n">
        <v>17.290347</v>
      </c>
      <c r="U358" t="n">
        <v>9.498851999999999</v>
      </c>
      <c r="V358" t="n">
        <v>9.498851999999999</v>
      </c>
      <c r="W358" t="n">
        <v>17.932707</v>
      </c>
      <c r="X358" t="n">
        <v>1135.08839</v>
      </c>
    </row>
    <row r="359" ht="21" customHeight="1">
      <c r="A359" t="inlineStr">
        <is>
          <t>Isurus oxyrinchus</t>
        </is>
      </c>
      <c r="B359" t="n">
        <v>4.5</v>
      </c>
      <c r="C359" t="n">
        <v>3162.27766</v>
      </c>
      <c r="D359" s="11" t="inlineStr">
        <is>
          <t>Pelagic sharks and rays</t>
        </is>
      </c>
      <c r="E359" t="n">
        <v>140.953883</v>
      </c>
      <c r="F359" t="n">
        <v>908.988005</v>
      </c>
      <c r="G359" t="n">
        <v>385.472886</v>
      </c>
      <c r="H359" t="n">
        <v>784.4685459999999</v>
      </c>
      <c r="I359" t="n">
        <v>125208.792952</v>
      </c>
      <c r="J359" t="n">
        <v>126616.154086</v>
      </c>
      <c r="K359" t="n">
        <v>63308.077043</v>
      </c>
      <c r="L359" t="n">
        <v>172174.15174</v>
      </c>
      <c r="M359" t="n">
        <v>172174.151739</v>
      </c>
      <c r="N359" t="n">
        <v>172174.151739</v>
      </c>
      <c r="O359" t="n">
        <v>202.141045</v>
      </c>
      <c r="P359" t="n">
        <v>87.49926499999999</v>
      </c>
      <c r="Q359" t="n">
        <v>172174.151739</v>
      </c>
      <c r="R359" t="n">
        <v>172174.151739</v>
      </c>
      <c r="S359" t="n">
        <v>202.141045</v>
      </c>
      <c r="T359" t="n">
        <v>202.141045</v>
      </c>
      <c r="U359" t="n">
        <v>87.49926499999999</v>
      </c>
      <c r="V359" t="n">
        <v>87.49926499999999</v>
      </c>
      <c r="W359" t="n">
        <v>214.928725</v>
      </c>
      <c r="X359" t="n">
        <v>183923.261916</v>
      </c>
    </row>
    <row r="360" ht="21" customHeight="1">
      <c r="A360" t="inlineStr">
        <is>
          <t>Amblygaster sirm</t>
        </is>
      </c>
      <c r="B360" t="n">
        <v>3.2</v>
      </c>
      <c r="C360" t="n">
        <v>158.489319</v>
      </c>
      <c r="D360" s="11" t="inlineStr">
        <is>
          <t>Pelagic fish (≤ 30 cm)</t>
        </is>
      </c>
      <c r="E360" t="n">
        <v>140.953883</v>
      </c>
      <c r="F360" t="n">
        <v>60.479203</v>
      </c>
      <c r="G360" t="n">
        <v>36.07884</v>
      </c>
      <c r="H360" t="n">
        <v>45.98261</v>
      </c>
      <c r="I360" t="n">
        <v>395.888053</v>
      </c>
      <c r="J360" t="n">
        <v>395.888053</v>
      </c>
      <c r="K360" t="n">
        <v>376.09365</v>
      </c>
      <c r="L360" t="n">
        <v>393.787233</v>
      </c>
      <c r="M360" t="n">
        <v>393.787233</v>
      </c>
      <c r="N360" t="n">
        <v>393.787233</v>
      </c>
      <c r="O360" t="n">
        <v>20.916473</v>
      </c>
      <c r="P360" t="n">
        <v>13.510088</v>
      </c>
      <c r="Q360" t="n">
        <v>393.787233</v>
      </c>
      <c r="R360" t="n">
        <v>393.787233</v>
      </c>
      <c r="S360" t="n">
        <v>20.916473</v>
      </c>
      <c r="T360" t="n">
        <v>20.916473</v>
      </c>
      <c r="U360" t="n">
        <v>13.510088</v>
      </c>
      <c r="V360" t="n">
        <v>13.510088</v>
      </c>
      <c r="W360" t="n">
        <v>21.939981</v>
      </c>
      <c r="X360" t="n">
        <v>405.784084</v>
      </c>
    </row>
    <row r="361" ht="21" customHeight="1">
      <c r="A361" t="inlineStr">
        <is>
          <t>Lampris guttatus</t>
        </is>
      </c>
      <c r="B361" t="n">
        <v>4.22</v>
      </c>
      <c r="C361" t="n">
        <v>1659.586907</v>
      </c>
      <c r="D361" s="11" t="inlineStr">
        <is>
          <t>Unresolved</t>
        </is>
      </c>
    </row>
    <row r="362" ht="21" customHeight="1">
      <c r="A362" t="inlineStr">
        <is>
          <t>Pectinidae</t>
        </is>
      </c>
      <c r="D362" s="11" t="inlineStr">
        <is>
          <t>Non-ceph molluscs</t>
        </is>
      </c>
      <c r="E362" t="n">
        <v>140.953883</v>
      </c>
      <c r="F362" t="n">
        <v>14.712171</v>
      </c>
      <c r="G362" t="n">
        <v>10.486582</v>
      </c>
      <c r="H362" t="n">
        <v>17.347998</v>
      </c>
      <c r="I362" t="n">
        <v>87.52377799999999</v>
      </c>
      <c r="J362" t="n">
        <v>87.52377799999999</v>
      </c>
      <c r="K362" t="n">
        <v>33.521607</v>
      </c>
      <c r="L362" t="n">
        <v>92.59366</v>
      </c>
      <c r="M362" t="n">
        <v>92.59366</v>
      </c>
      <c r="N362" t="n">
        <v>92.59366</v>
      </c>
      <c r="O362" t="n">
        <v>4.448657</v>
      </c>
      <c r="P362" t="n">
        <v>3.058348</v>
      </c>
      <c r="Q362" t="n">
        <v>92.59366</v>
      </c>
      <c r="R362" t="n">
        <v>92.59366</v>
      </c>
      <c r="S362" t="n">
        <v>4.448657</v>
      </c>
      <c r="T362" t="n">
        <v>4.448657</v>
      </c>
      <c r="U362" t="n">
        <v>3.058348</v>
      </c>
      <c r="V362" t="n">
        <v>3.058348</v>
      </c>
      <c r="W362" t="n">
        <v>4.556294</v>
      </c>
      <c r="X362" t="n">
        <v>96.447226</v>
      </c>
    </row>
    <row r="363" ht="36" customHeight="1">
      <c r="A363" t="inlineStr">
        <is>
          <t>Gymnosarda unicolor</t>
        </is>
      </c>
      <c r="B363" t="n">
        <v>4.5</v>
      </c>
      <c r="C363" t="n">
        <v>3162.27766</v>
      </c>
      <c r="D363" s="11" t="inlineStr">
        <is>
          <t>Juvenile large pelagic fish | Pelagic fish (&gt; 30 cm)</t>
        </is>
      </c>
      <c r="E363" t="n">
        <v>140.953883</v>
      </c>
      <c r="F363" t="n">
        <v>200.641254</v>
      </c>
      <c r="G363" t="n">
        <v>102.228748</v>
      </c>
      <c r="H363" t="n">
        <v>215.010584</v>
      </c>
      <c r="I363" t="n">
        <v>6244.222521</v>
      </c>
      <c r="J363" t="n">
        <v>6325.914048</v>
      </c>
      <c r="K363" t="n">
        <v>1872.204427</v>
      </c>
      <c r="L363" t="n">
        <v>7112.982475</v>
      </c>
      <c r="M363" t="n">
        <v>7112.982475</v>
      </c>
      <c r="N363" t="n">
        <v>7112.982475</v>
      </c>
      <c r="O363" t="n">
        <v>87.969483</v>
      </c>
      <c r="P363" t="n">
        <v>46.580547</v>
      </c>
      <c r="Q363" t="n">
        <v>7112.982475</v>
      </c>
      <c r="R363" t="n">
        <v>7112.982475</v>
      </c>
      <c r="S363" t="n">
        <v>87.969483</v>
      </c>
      <c r="T363" t="n">
        <v>87.969483</v>
      </c>
      <c r="U363" t="n">
        <v>46.580547</v>
      </c>
      <c r="V363" t="n">
        <v>46.580547</v>
      </c>
      <c r="W363" t="n">
        <v>93.060855</v>
      </c>
      <c r="X363" t="n">
        <v>7459.131892</v>
      </c>
    </row>
    <row r="364" ht="36" customHeight="1">
      <c r="A364" t="inlineStr">
        <is>
          <t>Tenualosa toli</t>
        </is>
      </c>
      <c r="D364" s="11" t="inlineStr">
        <is>
          <t>Juvenile large pelagic fish | Pelagic fish (&gt; 30 cm)</t>
        </is>
      </c>
      <c r="E364" t="n">
        <v>140.953883</v>
      </c>
      <c r="F364" t="n">
        <v>200.641254</v>
      </c>
      <c r="G364" t="n">
        <v>102.228748</v>
      </c>
      <c r="H364" t="n">
        <v>215.010584</v>
      </c>
      <c r="I364" t="n">
        <v>6244.222521</v>
      </c>
      <c r="J364" t="n">
        <v>6325.914048</v>
      </c>
      <c r="K364" t="n">
        <v>1872.204427</v>
      </c>
      <c r="L364" t="n">
        <v>7112.982475</v>
      </c>
      <c r="M364" t="n">
        <v>7112.982475</v>
      </c>
      <c r="N364" t="n">
        <v>7112.982475</v>
      </c>
      <c r="O364" t="n">
        <v>87.969483</v>
      </c>
      <c r="P364" t="n">
        <v>46.580547</v>
      </c>
      <c r="Q364" t="n">
        <v>7112.982475</v>
      </c>
      <c r="R364" t="n">
        <v>7112.982475</v>
      </c>
      <c r="S364" t="n">
        <v>87.969483</v>
      </c>
      <c r="T364" t="n">
        <v>87.969483</v>
      </c>
      <c r="U364" t="n">
        <v>46.580547</v>
      </c>
      <c r="V364" t="n">
        <v>46.580547</v>
      </c>
      <c r="W364" t="n">
        <v>93.060855</v>
      </c>
      <c r="X364" t="n">
        <v>7459.131892</v>
      </c>
    </row>
    <row r="365" ht="21" customHeight="1">
      <c r="A365" t="inlineStr">
        <is>
          <t>Sphyrna</t>
        </is>
      </c>
      <c r="B365" t="n">
        <v>4.2</v>
      </c>
      <c r="C365" t="n">
        <v>1584.893192</v>
      </c>
      <c r="D365" s="11" t="inlineStr">
        <is>
          <t>Pelagic sharks and rays</t>
        </is>
      </c>
      <c r="E365" t="n">
        <v>140.953883</v>
      </c>
      <c r="F365" t="n">
        <v>908.988005</v>
      </c>
      <c r="G365" t="n">
        <v>385.472886</v>
      </c>
      <c r="H365" t="n">
        <v>784.4685459999999</v>
      </c>
      <c r="I365" t="n">
        <v>125208.792952</v>
      </c>
      <c r="J365" t="n">
        <v>126616.154086</v>
      </c>
      <c r="K365" t="n">
        <v>63308.077043</v>
      </c>
      <c r="L365" t="n">
        <v>172174.15174</v>
      </c>
      <c r="M365" t="n">
        <v>172174.151739</v>
      </c>
      <c r="N365" t="n">
        <v>172174.151739</v>
      </c>
      <c r="O365" t="n">
        <v>202.141045</v>
      </c>
      <c r="P365" t="n">
        <v>87.49926499999999</v>
      </c>
      <c r="Q365" t="n">
        <v>172174.151739</v>
      </c>
      <c r="R365" t="n">
        <v>172174.151739</v>
      </c>
      <c r="S365" t="n">
        <v>202.141045</v>
      </c>
      <c r="T365" t="n">
        <v>202.141045</v>
      </c>
      <c r="U365" t="n">
        <v>87.49926499999999</v>
      </c>
      <c r="V365" t="n">
        <v>87.49926499999999</v>
      </c>
      <c r="W365" t="n">
        <v>214.928725</v>
      </c>
      <c r="X365" t="n">
        <v>183923.261916</v>
      </c>
    </row>
    <row r="366" ht="21" customHeight="1">
      <c r="A366" t="inlineStr">
        <is>
          <t>Ostreidae</t>
        </is>
      </c>
      <c r="B366" t="n">
        <v>2</v>
      </c>
      <c r="C366" t="n">
        <v>10</v>
      </c>
      <c r="D366" s="11" t="inlineStr">
        <is>
          <t>Non-ceph molluscs</t>
        </is>
      </c>
      <c r="E366" t="n">
        <v>140.953883</v>
      </c>
      <c r="F366" t="n">
        <v>14.712171</v>
      </c>
      <c r="G366" t="n">
        <v>10.486582</v>
      </c>
      <c r="H366" t="n">
        <v>17.347998</v>
      </c>
      <c r="I366" t="n">
        <v>87.52377799999999</v>
      </c>
      <c r="J366" t="n">
        <v>87.52377799999999</v>
      </c>
      <c r="K366" t="n">
        <v>33.521607</v>
      </c>
      <c r="L366" t="n">
        <v>92.59366</v>
      </c>
      <c r="M366" t="n">
        <v>92.59366</v>
      </c>
      <c r="N366" t="n">
        <v>92.59366</v>
      </c>
      <c r="O366" t="n">
        <v>4.448657</v>
      </c>
      <c r="P366" t="n">
        <v>3.058348</v>
      </c>
      <c r="Q366" t="n">
        <v>92.59366</v>
      </c>
      <c r="R366" t="n">
        <v>92.59366</v>
      </c>
      <c r="S366" t="n">
        <v>4.448657</v>
      </c>
      <c r="T366" t="n">
        <v>4.448657</v>
      </c>
      <c r="U366" t="n">
        <v>3.058348</v>
      </c>
      <c r="V366" t="n">
        <v>3.058348</v>
      </c>
      <c r="W366" t="n">
        <v>4.556294</v>
      </c>
      <c r="X366" t="n">
        <v>96.447226</v>
      </c>
    </row>
    <row r="367" ht="21" customHeight="1">
      <c r="A367" t="inlineStr">
        <is>
          <t>Tripneustes gratilla</t>
        </is>
      </c>
      <c r="B367" t="n">
        <v>2</v>
      </c>
      <c r="C367" t="n">
        <v>10</v>
      </c>
      <c r="D367" s="11" t="inlineStr">
        <is>
          <t>Echinoderms</t>
        </is>
      </c>
      <c r="E367" t="n">
        <v>140.953883</v>
      </c>
      <c r="F367" t="n">
        <v>18.617087</v>
      </c>
      <c r="G367" t="n">
        <v>12.882339</v>
      </c>
      <c r="H367" t="n">
        <v>42.220898</v>
      </c>
      <c r="I367" t="n">
        <v>603.989501</v>
      </c>
      <c r="J367" t="n">
        <v>603.989501</v>
      </c>
      <c r="K367" t="n">
        <v>240.387821</v>
      </c>
      <c r="L367" t="n">
        <v>1080.992157</v>
      </c>
      <c r="M367" t="n">
        <v>1080.992157</v>
      </c>
      <c r="N367" t="n">
        <v>1080.992157</v>
      </c>
      <c r="O367" t="n">
        <v>17.290347</v>
      </c>
      <c r="P367" t="n">
        <v>9.498851999999999</v>
      </c>
      <c r="Q367" t="n">
        <v>1080.992157</v>
      </c>
      <c r="R367" t="n">
        <v>1080.992157</v>
      </c>
      <c r="S367" t="n">
        <v>17.290347</v>
      </c>
      <c r="T367" t="n">
        <v>17.290347</v>
      </c>
      <c r="U367" t="n">
        <v>9.498851999999999</v>
      </c>
      <c r="V367" t="n">
        <v>9.498851999999999</v>
      </c>
      <c r="W367" t="n">
        <v>17.932707</v>
      </c>
      <c r="X367" t="n">
        <v>1135.08839</v>
      </c>
    </row>
    <row r="368" ht="21" customHeight="1">
      <c r="A368" t="inlineStr">
        <is>
          <t>Lutjanus argentimaculatus</t>
        </is>
      </c>
      <c r="D368" s="11" t="inlineStr">
        <is>
          <t>Snappers</t>
        </is>
      </c>
      <c r="E368" t="n">
        <v>140.953883</v>
      </c>
      <c r="F368" t="n">
        <v>554.842266</v>
      </c>
      <c r="G368" t="n">
        <v>250.381754</v>
      </c>
      <c r="H368" t="n">
        <v>650.642591</v>
      </c>
      <c r="I368" t="n">
        <v>3230.237663</v>
      </c>
      <c r="J368" t="n">
        <v>3367.037571</v>
      </c>
      <c r="K368" t="n">
        <v>3198.685692</v>
      </c>
      <c r="L368" t="n">
        <v>4133.4309</v>
      </c>
      <c r="M368" t="n">
        <v>4133.4309</v>
      </c>
      <c r="N368" t="n">
        <v>4133.4309</v>
      </c>
      <c r="O368" t="n">
        <v>205.658598</v>
      </c>
      <c r="P368" t="n">
        <v>91.38801100000001</v>
      </c>
      <c r="Q368" t="n">
        <v>4133.4309</v>
      </c>
      <c r="R368" t="n">
        <v>4133.4309</v>
      </c>
      <c r="S368" t="n">
        <v>205.658598</v>
      </c>
      <c r="T368" t="n">
        <v>205.658598</v>
      </c>
      <c r="U368" t="n">
        <v>91.38801100000001</v>
      </c>
      <c r="V368" t="n">
        <v>91.38801100000001</v>
      </c>
      <c r="W368" t="n">
        <v>216.473302</v>
      </c>
      <c r="X368" t="n">
        <v>4393.486979</v>
      </c>
    </row>
    <row r="369" ht="36" customHeight="1">
      <c r="A369" t="inlineStr">
        <is>
          <t>Pomatomus saltatrix</t>
        </is>
      </c>
      <c r="B369" t="n">
        <v>4.53</v>
      </c>
      <c r="C369" t="n">
        <v>3388.441561</v>
      </c>
      <c r="D369" s="11" t="inlineStr">
        <is>
          <t>Juvenile large pelagic fish | Pelagic fish (&gt; 30 cm)</t>
        </is>
      </c>
      <c r="E369" t="n">
        <v>140.953883</v>
      </c>
      <c r="F369" t="n">
        <v>200.641254</v>
      </c>
      <c r="G369" t="n">
        <v>102.228748</v>
      </c>
      <c r="H369" t="n">
        <v>215.010584</v>
      </c>
      <c r="I369" t="n">
        <v>6244.222521</v>
      </c>
      <c r="J369" t="n">
        <v>6325.914048</v>
      </c>
      <c r="K369" t="n">
        <v>1872.204427</v>
      </c>
      <c r="L369" t="n">
        <v>7112.982475</v>
      </c>
      <c r="M369" t="n">
        <v>7112.982475</v>
      </c>
      <c r="N369" t="n">
        <v>7112.982475</v>
      </c>
      <c r="O369" t="n">
        <v>87.969483</v>
      </c>
      <c r="P369" t="n">
        <v>46.580547</v>
      </c>
      <c r="Q369" t="n">
        <v>7112.982475</v>
      </c>
      <c r="R369" t="n">
        <v>7112.982475</v>
      </c>
      <c r="S369" t="n">
        <v>87.969483</v>
      </c>
      <c r="T369" t="n">
        <v>87.969483</v>
      </c>
      <c r="U369" t="n">
        <v>46.580547</v>
      </c>
      <c r="V369" t="n">
        <v>46.580547</v>
      </c>
      <c r="W369" t="n">
        <v>93.060855</v>
      </c>
      <c r="X369" t="n">
        <v>7459.131892</v>
      </c>
    </row>
    <row r="370" ht="36" customHeight="1">
      <c r="A370" t="inlineStr">
        <is>
          <t>Sphyraena jello</t>
        </is>
      </c>
      <c r="B370" t="n">
        <v>4.5</v>
      </c>
      <c r="C370" t="n">
        <v>3162.27766</v>
      </c>
      <c r="D370" s="11" t="inlineStr">
        <is>
          <t>Juvenile large pelagic fish | Pelagic fish (&gt; 30 cm)</t>
        </is>
      </c>
      <c r="E370" t="n">
        <v>140.953883</v>
      </c>
      <c r="F370" t="n">
        <v>200.641254</v>
      </c>
      <c r="G370" t="n">
        <v>102.228748</v>
      </c>
      <c r="H370" t="n">
        <v>215.010584</v>
      </c>
      <c r="I370" t="n">
        <v>6244.222521</v>
      </c>
      <c r="J370" t="n">
        <v>6325.914048</v>
      </c>
      <c r="K370" t="n">
        <v>1872.204427</v>
      </c>
      <c r="L370" t="n">
        <v>7112.982475</v>
      </c>
      <c r="M370" t="n">
        <v>7112.982475</v>
      </c>
      <c r="N370" t="n">
        <v>7112.982475</v>
      </c>
      <c r="O370" t="n">
        <v>87.969483</v>
      </c>
      <c r="P370" t="n">
        <v>46.580547</v>
      </c>
      <c r="Q370" t="n">
        <v>7112.982475</v>
      </c>
      <c r="R370" t="n">
        <v>7112.982475</v>
      </c>
      <c r="S370" t="n">
        <v>87.969483</v>
      </c>
      <c r="T370" t="n">
        <v>87.969483</v>
      </c>
      <c r="U370" t="n">
        <v>46.580547</v>
      </c>
      <c r="V370" t="n">
        <v>46.580547</v>
      </c>
      <c r="W370" t="n">
        <v>93.060855</v>
      </c>
      <c r="X370" t="n">
        <v>7459.131892</v>
      </c>
    </row>
    <row r="371" ht="21" customHeight="1">
      <c r="A371" t="inlineStr">
        <is>
          <t>Echinozoa</t>
        </is>
      </c>
      <c r="D371" s="11" t="inlineStr">
        <is>
          <t>Echinoderms</t>
        </is>
      </c>
      <c r="E371" t="n">
        <v>140.953883</v>
      </c>
      <c r="F371" t="n">
        <v>18.617087</v>
      </c>
      <c r="G371" t="n">
        <v>12.882339</v>
      </c>
      <c r="H371" t="n">
        <v>42.220898</v>
      </c>
      <c r="I371" t="n">
        <v>603.989501</v>
      </c>
      <c r="J371" t="n">
        <v>603.989501</v>
      </c>
      <c r="K371" t="n">
        <v>240.387821</v>
      </c>
      <c r="L371" t="n">
        <v>1080.992157</v>
      </c>
      <c r="M371" t="n">
        <v>1080.992157</v>
      </c>
      <c r="N371" t="n">
        <v>1080.992157</v>
      </c>
      <c r="O371" t="n">
        <v>17.290347</v>
      </c>
      <c r="P371" t="n">
        <v>9.498851999999999</v>
      </c>
      <c r="Q371" t="n">
        <v>1080.992157</v>
      </c>
      <c r="R371" t="n">
        <v>1080.992157</v>
      </c>
      <c r="S371" t="n">
        <v>17.290347</v>
      </c>
      <c r="T371" t="n">
        <v>17.290347</v>
      </c>
      <c r="U371" t="n">
        <v>9.498851999999999</v>
      </c>
      <c r="V371" t="n">
        <v>9.498851999999999</v>
      </c>
      <c r="W371" t="n">
        <v>17.932707</v>
      </c>
      <c r="X371" t="n">
        <v>1135.08839</v>
      </c>
    </row>
    <row r="372" ht="21" customHeight="1">
      <c r="A372" t="inlineStr">
        <is>
          <t>Tetrapturus angustirostris</t>
        </is>
      </c>
      <c r="D372" s="11" t="inlineStr">
        <is>
          <t>Unresolved</t>
        </is>
      </c>
    </row>
    <row r="373" ht="21" customHeight="1">
      <c r="A373" t="inlineStr">
        <is>
          <t>Sphyrna lewini</t>
        </is>
      </c>
      <c r="D373" s="11" t="inlineStr">
        <is>
          <t>Pelagic sharks and rays</t>
        </is>
      </c>
      <c r="E373" t="n">
        <v>140.953883</v>
      </c>
      <c r="F373" t="n">
        <v>908.988005</v>
      </c>
      <c r="G373" t="n">
        <v>385.472886</v>
      </c>
      <c r="H373" t="n">
        <v>784.4685459999999</v>
      </c>
      <c r="I373" t="n">
        <v>125208.792952</v>
      </c>
      <c r="J373" t="n">
        <v>126616.154086</v>
      </c>
      <c r="K373" t="n">
        <v>63308.077043</v>
      </c>
      <c r="L373" t="n">
        <v>172174.15174</v>
      </c>
      <c r="M373" t="n">
        <v>172174.151739</v>
      </c>
      <c r="N373" t="n">
        <v>172174.151739</v>
      </c>
      <c r="O373" t="n">
        <v>202.141045</v>
      </c>
      <c r="P373" t="n">
        <v>87.49926499999999</v>
      </c>
      <c r="Q373" t="n">
        <v>172174.151739</v>
      </c>
      <c r="R373" t="n">
        <v>172174.151739</v>
      </c>
      <c r="S373" t="n">
        <v>202.141045</v>
      </c>
      <c r="T373" t="n">
        <v>202.141045</v>
      </c>
      <c r="U373" t="n">
        <v>87.49926499999999</v>
      </c>
      <c r="V373" t="n">
        <v>87.49926499999999</v>
      </c>
      <c r="W373" t="n">
        <v>214.928725</v>
      </c>
      <c r="X373" t="n">
        <v>183923.261916</v>
      </c>
    </row>
    <row r="374" ht="21" customHeight="1">
      <c r="A374" t="inlineStr">
        <is>
          <t>Trochus niloticus</t>
        </is>
      </c>
      <c r="D374" s="11" t="inlineStr">
        <is>
          <t>Non-ceph molluscs</t>
        </is>
      </c>
      <c r="E374" t="n">
        <v>140.953883</v>
      </c>
      <c r="F374" t="n">
        <v>14.712171</v>
      </c>
      <c r="G374" t="n">
        <v>10.486582</v>
      </c>
      <c r="H374" t="n">
        <v>17.347998</v>
      </c>
      <c r="I374" t="n">
        <v>87.52377799999999</v>
      </c>
      <c r="J374" t="n">
        <v>87.52377799999999</v>
      </c>
      <c r="K374" t="n">
        <v>33.521607</v>
      </c>
      <c r="L374" t="n">
        <v>92.59366</v>
      </c>
      <c r="M374" t="n">
        <v>92.59366</v>
      </c>
      <c r="N374" t="n">
        <v>92.59366</v>
      </c>
      <c r="O374" t="n">
        <v>4.448657</v>
      </c>
      <c r="P374" t="n">
        <v>3.058348</v>
      </c>
      <c r="Q374" t="n">
        <v>92.59366</v>
      </c>
      <c r="R374" t="n">
        <v>92.59366</v>
      </c>
      <c r="S374" t="n">
        <v>4.448657</v>
      </c>
      <c r="T374" t="n">
        <v>4.448657</v>
      </c>
      <c r="U374" t="n">
        <v>3.058348</v>
      </c>
      <c r="V374" t="n">
        <v>3.058348</v>
      </c>
      <c r="W374" t="n">
        <v>4.556294</v>
      </c>
      <c r="X374" t="n">
        <v>96.447226</v>
      </c>
    </row>
    <row r="375" ht="21" customHeight="1">
      <c r="A375" t="inlineStr">
        <is>
          <t>Holothuroidea</t>
        </is>
      </c>
      <c r="D375" s="11" t="inlineStr">
        <is>
          <t>Echinoderms</t>
        </is>
      </c>
      <c r="E375" t="n">
        <v>140.953883</v>
      </c>
      <c r="F375" t="n">
        <v>18.617087</v>
      </c>
      <c r="G375" t="n">
        <v>12.882339</v>
      </c>
      <c r="H375" t="n">
        <v>42.220898</v>
      </c>
      <c r="I375" t="n">
        <v>603.989501</v>
      </c>
      <c r="J375" t="n">
        <v>603.989501</v>
      </c>
      <c r="K375" t="n">
        <v>240.387821</v>
      </c>
      <c r="L375" t="n">
        <v>1080.992157</v>
      </c>
      <c r="M375" t="n">
        <v>1080.992157</v>
      </c>
      <c r="N375" t="n">
        <v>1080.992157</v>
      </c>
      <c r="O375" t="n">
        <v>17.290347</v>
      </c>
      <c r="P375" t="n">
        <v>9.498851999999999</v>
      </c>
      <c r="Q375" t="n">
        <v>1080.992157</v>
      </c>
      <c r="R375" t="n">
        <v>1080.992157</v>
      </c>
      <c r="S375" t="n">
        <v>17.290347</v>
      </c>
      <c r="T375" t="n">
        <v>17.290347</v>
      </c>
      <c r="U375" t="n">
        <v>9.498851999999999</v>
      </c>
      <c r="V375" t="n">
        <v>9.498851999999999</v>
      </c>
      <c r="W375" t="n">
        <v>17.932707</v>
      </c>
      <c r="X375" t="n">
        <v>1135.08839</v>
      </c>
    </row>
    <row r="376" ht="21" customHeight="1">
      <c r="A376" t="inlineStr">
        <is>
          <t>Pinctada</t>
        </is>
      </c>
      <c r="D376" s="11" t="inlineStr">
        <is>
          <t>Non-ceph molluscs</t>
        </is>
      </c>
      <c r="E376" t="n">
        <v>140.953883</v>
      </c>
      <c r="F376" t="n">
        <v>14.712171</v>
      </c>
      <c r="G376" t="n">
        <v>10.486582</v>
      </c>
      <c r="H376" t="n">
        <v>17.347998</v>
      </c>
      <c r="I376" t="n">
        <v>87.52377799999999</v>
      </c>
      <c r="J376" t="n">
        <v>87.52377799999999</v>
      </c>
      <c r="K376" t="n">
        <v>33.521607</v>
      </c>
      <c r="L376" t="n">
        <v>92.59366</v>
      </c>
      <c r="M376" t="n">
        <v>92.59366</v>
      </c>
      <c r="N376" t="n">
        <v>92.59366</v>
      </c>
      <c r="O376" t="n">
        <v>4.448657</v>
      </c>
      <c r="P376" t="n">
        <v>3.058348</v>
      </c>
      <c r="Q376" t="n">
        <v>92.59366</v>
      </c>
      <c r="R376" t="n">
        <v>92.59366</v>
      </c>
      <c r="S376" t="n">
        <v>4.448657</v>
      </c>
      <c r="T376" t="n">
        <v>4.448657</v>
      </c>
      <c r="U376" t="n">
        <v>3.058348</v>
      </c>
      <c r="V376" t="n">
        <v>3.058348</v>
      </c>
      <c r="W376" t="n">
        <v>4.556294</v>
      </c>
      <c r="X376" t="n">
        <v>96.447226</v>
      </c>
    </row>
    <row r="377" ht="21" customHeight="1">
      <c r="A377" t="inlineStr">
        <is>
          <t>Carcharhinus amblyrhynchos</t>
        </is>
      </c>
      <c r="D377" s="11" t="inlineStr">
        <is>
          <t>Demersal sharks and rays</t>
        </is>
      </c>
      <c r="E377" t="n">
        <v>140.953883</v>
      </c>
      <c r="F377" t="n">
        <v>308.68601</v>
      </c>
      <c r="G377" t="n">
        <v>149.974663</v>
      </c>
      <c r="H377" t="n">
        <v>602.366804</v>
      </c>
      <c r="I377" t="n">
        <v>10706.101486</v>
      </c>
      <c r="J377" t="n">
        <v>10781.622707</v>
      </c>
      <c r="K377" t="n">
        <v>3924.510665</v>
      </c>
      <c r="L377" t="n">
        <v>18846.946222</v>
      </c>
      <c r="M377" t="n">
        <v>18846.946222</v>
      </c>
      <c r="N377" t="n">
        <v>18846.946222</v>
      </c>
      <c r="O377" t="n">
        <v>119.185901</v>
      </c>
      <c r="P377" t="n">
        <v>52.155741</v>
      </c>
      <c r="Q377" t="n">
        <v>18846.946222</v>
      </c>
      <c r="R377" t="n">
        <v>18846.946222</v>
      </c>
      <c r="S377" t="n">
        <v>119.185901</v>
      </c>
      <c r="T377" t="n">
        <v>119.185901</v>
      </c>
      <c r="U377" t="n">
        <v>52.155741</v>
      </c>
      <c r="V377" t="n">
        <v>52.155741</v>
      </c>
      <c r="W377" t="n">
        <v>124.506314</v>
      </c>
      <c r="X377" t="n">
        <v>20404.471037</v>
      </c>
    </row>
    <row r="378" ht="21" customHeight="1">
      <c r="A378" t="inlineStr">
        <is>
          <t>Sphyrnidae</t>
        </is>
      </c>
      <c r="D378" s="11" t="inlineStr">
        <is>
          <t>Pelagic sharks and rays</t>
        </is>
      </c>
      <c r="E378" t="n">
        <v>140.953883</v>
      </c>
      <c r="F378" t="n">
        <v>908.988005</v>
      </c>
      <c r="G378" t="n">
        <v>385.472886</v>
      </c>
      <c r="H378" t="n">
        <v>784.4685459999999</v>
      </c>
      <c r="I378" t="n">
        <v>125208.792952</v>
      </c>
      <c r="J378" t="n">
        <v>126616.154086</v>
      </c>
      <c r="K378" t="n">
        <v>63308.077043</v>
      </c>
      <c r="L378" t="n">
        <v>172174.15174</v>
      </c>
      <c r="M378" t="n">
        <v>172174.151739</v>
      </c>
      <c r="N378" t="n">
        <v>172174.151739</v>
      </c>
      <c r="O378" t="n">
        <v>202.141045</v>
      </c>
      <c r="P378" t="n">
        <v>87.49926499999999</v>
      </c>
      <c r="Q378" t="n">
        <v>172174.151739</v>
      </c>
      <c r="R378" t="n">
        <v>172174.151739</v>
      </c>
      <c r="S378" t="n">
        <v>202.141045</v>
      </c>
      <c r="T378" t="n">
        <v>202.141045</v>
      </c>
      <c r="U378" t="n">
        <v>87.49926499999999</v>
      </c>
      <c r="V378" t="n">
        <v>87.49926499999999</v>
      </c>
      <c r="W378" t="n">
        <v>214.928725</v>
      </c>
      <c r="X378" t="n">
        <v>183923.261916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T3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6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1" t="inlineStr">
        <is>
          <t>Total PPR by method and year — every taxon summed, tonnes wet weight equivalent of primary production.</t>
        </is>
      </c>
    </row>
    <row r="2">
      <c r="A2" t="inlineStr">
        <is>
          <t>All basal sources, including imports. The simple chain rows are unpartitioned references; model rows use this scope.</t>
        </is>
      </c>
    </row>
    <row r="3">
      <c r="A3" t="inlineStr">
        <is>
          <t>Methods are not alternatives to be averaged. They rest on different assumptions and the spread between them is the result.</t>
        </is>
      </c>
    </row>
    <row r="4">
      <c r="A4" t="inlineStr">
        <is>
          <t>The two grey rows aggregate the catch to a group before exponentiating, which understates the total: SPPR is convex in trophic level, so they measure the Jensen effect rather than the PPR.</t>
        </is>
      </c>
    </row>
    <row r="5">
      <c r="A5" s="4" t="inlineStr">
        <is>
          <t>method</t>
        </is>
      </c>
      <c r="B5" s="4" t="inlineStr">
        <is>
          <t>status</t>
        </is>
      </c>
      <c r="C5" s="4" t="n">
        <v>1950</v>
      </c>
      <c r="D5" s="4" t="n">
        <v>1951</v>
      </c>
      <c r="E5" s="4" t="n">
        <v>1952</v>
      </c>
      <c r="F5" s="4" t="n">
        <v>1953</v>
      </c>
      <c r="G5" s="4" t="n">
        <v>1954</v>
      </c>
      <c r="H5" s="4" t="n">
        <v>1955</v>
      </c>
      <c r="I5" s="4" t="n">
        <v>1956</v>
      </c>
      <c r="J5" s="4" t="n">
        <v>1957</v>
      </c>
      <c r="K5" s="4" t="n">
        <v>1958</v>
      </c>
      <c r="L5" s="4" t="n">
        <v>1959</v>
      </c>
      <c r="M5" s="4" t="n">
        <v>1960</v>
      </c>
      <c r="N5" s="4" t="n">
        <v>1961</v>
      </c>
      <c r="O5" s="4" t="n">
        <v>1962</v>
      </c>
      <c r="P5" s="4" t="n">
        <v>1963</v>
      </c>
      <c r="Q5" s="4" t="n">
        <v>1964</v>
      </c>
      <c r="R5" s="4" t="n">
        <v>1965</v>
      </c>
      <c r="S5" s="4" t="n">
        <v>1966</v>
      </c>
      <c r="T5" s="4" t="n">
        <v>1967</v>
      </c>
      <c r="U5" s="4" t="n">
        <v>1968</v>
      </c>
      <c r="V5" s="4" t="n">
        <v>1969</v>
      </c>
      <c r="W5" s="4" t="n">
        <v>1970</v>
      </c>
      <c r="X5" s="4" t="n">
        <v>1971</v>
      </c>
      <c r="Y5" s="4" t="n">
        <v>1972</v>
      </c>
      <c r="Z5" s="4" t="n">
        <v>1973</v>
      </c>
      <c r="AA5" s="4" t="n">
        <v>1974</v>
      </c>
      <c r="AB5" s="4" t="n">
        <v>1975</v>
      </c>
      <c r="AC5" s="4" t="n">
        <v>1976</v>
      </c>
      <c r="AD5" s="4" t="n">
        <v>1977</v>
      </c>
      <c r="AE5" s="4" t="n">
        <v>1978</v>
      </c>
      <c r="AF5" s="4" t="n">
        <v>1979</v>
      </c>
      <c r="AG5" s="4" t="n">
        <v>1980</v>
      </c>
      <c r="AH5" s="4" t="n">
        <v>1981</v>
      </c>
      <c r="AI5" s="4" t="n">
        <v>1982</v>
      </c>
      <c r="AJ5" s="4" t="n">
        <v>1983</v>
      </c>
      <c r="AK5" s="4" t="n">
        <v>1984</v>
      </c>
      <c r="AL5" s="4" t="n">
        <v>1985</v>
      </c>
      <c r="AM5" s="4" t="n">
        <v>1986</v>
      </c>
      <c r="AN5" s="4" t="n">
        <v>1987</v>
      </c>
      <c r="AO5" s="4" t="n">
        <v>1988</v>
      </c>
      <c r="AP5" s="4" t="n">
        <v>1989</v>
      </c>
      <c r="AQ5" s="4" t="n">
        <v>1990</v>
      </c>
      <c r="AR5" s="4" t="n">
        <v>1991</v>
      </c>
      <c r="AS5" s="4" t="n">
        <v>1992</v>
      </c>
      <c r="AT5" s="4" t="n">
        <v>1993</v>
      </c>
      <c r="AU5" s="4" t="n">
        <v>1994</v>
      </c>
      <c r="AV5" s="4" t="n">
        <v>1995</v>
      </c>
      <c r="AW5" s="4" t="n">
        <v>1996</v>
      </c>
      <c r="AX5" s="4" t="n">
        <v>1997</v>
      </c>
      <c r="AY5" s="4" t="n">
        <v>1998</v>
      </c>
      <c r="AZ5" s="4" t="n">
        <v>1999</v>
      </c>
      <c r="BA5" s="4" t="n">
        <v>2000</v>
      </c>
      <c r="BB5" s="4" t="n">
        <v>2001</v>
      </c>
      <c r="BC5" s="4" t="n">
        <v>2002</v>
      </c>
      <c r="BD5" s="4" t="n">
        <v>2003</v>
      </c>
      <c r="BE5" s="4" t="n">
        <v>2004</v>
      </c>
      <c r="BF5" s="4" t="n">
        <v>2005</v>
      </c>
      <c r="BG5" s="4" t="n">
        <v>2006</v>
      </c>
      <c r="BH5" s="4" t="n">
        <v>2007</v>
      </c>
      <c r="BI5" s="4" t="n">
        <v>2008</v>
      </c>
      <c r="BJ5" s="4" t="n">
        <v>2009</v>
      </c>
      <c r="BK5" s="4" t="n">
        <v>2010</v>
      </c>
      <c r="BL5" s="4" t="n">
        <v>2011</v>
      </c>
      <c r="BM5" s="4" t="n">
        <v>2012</v>
      </c>
      <c r="BN5" s="4" t="n">
        <v>2013</v>
      </c>
      <c r="BO5" s="4" t="n">
        <v>2014</v>
      </c>
      <c r="BP5" s="4" t="n">
        <v>2015</v>
      </c>
      <c r="BQ5" s="4" t="n">
        <v>2016</v>
      </c>
      <c r="BR5" s="4" t="n">
        <v>2017</v>
      </c>
      <c r="BS5" s="4" t="n">
        <v>2018</v>
      </c>
      <c r="BT5" s="4" t="n">
        <v>2019</v>
      </c>
    </row>
    <row r="6">
      <c r="A6" s="3" t="inlineStr">
        <is>
          <t>simple trophic chain, per taxon</t>
        </is>
      </c>
      <c r="B6" t="inlineStr">
        <is>
          <t>ok</t>
        </is>
      </c>
      <c r="C6" t="n">
        <v>529201121.408</v>
      </c>
      <c r="D6" t="n">
        <v>671908727.003</v>
      </c>
      <c r="E6" t="n">
        <v>809476842.367</v>
      </c>
      <c r="F6" t="n">
        <v>823020425.451</v>
      </c>
      <c r="G6" t="n">
        <v>1066341433.782</v>
      </c>
      <c r="H6" t="n">
        <v>1291769291.911</v>
      </c>
      <c r="I6" t="n">
        <v>1410283387.042</v>
      </c>
      <c r="J6" t="n">
        <v>1410658519.899</v>
      </c>
      <c r="K6" t="n">
        <v>1442459390.052</v>
      </c>
      <c r="L6" t="n">
        <v>1582528198.463</v>
      </c>
      <c r="M6" t="n">
        <v>1744051142.508</v>
      </c>
      <c r="N6" t="n">
        <v>1704972049.741</v>
      </c>
      <c r="O6" t="n">
        <v>1871921089.826</v>
      </c>
      <c r="P6" t="n">
        <v>2012519229.388</v>
      </c>
      <c r="Q6" t="n">
        <v>2021690999.084</v>
      </c>
      <c r="R6" t="n">
        <v>2140043508.014</v>
      </c>
      <c r="S6" t="n">
        <v>2201497309.604</v>
      </c>
      <c r="T6" t="n">
        <v>2207225976.168</v>
      </c>
      <c r="U6" t="n">
        <v>2274005904.799</v>
      </c>
      <c r="V6" t="n">
        <v>2254954379.378</v>
      </c>
      <c r="W6" t="n">
        <v>2183640185.353</v>
      </c>
      <c r="X6" t="n">
        <v>2258568174.156</v>
      </c>
      <c r="Y6" t="n">
        <v>2456380945.333</v>
      </c>
      <c r="Z6" t="n">
        <v>2623704166.609</v>
      </c>
      <c r="AA6" t="n">
        <v>2632179468.044</v>
      </c>
      <c r="AB6" t="n">
        <v>2585898633.144</v>
      </c>
      <c r="AC6" t="n">
        <v>2584707409.545</v>
      </c>
      <c r="AD6" t="n">
        <v>2600006598.381</v>
      </c>
      <c r="AE6" t="n">
        <v>2475430599.232</v>
      </c>
      <c r="AF6" t="n">
        <v>2648685511.595</v>
      </c>
      <c r="AG6" t="n">
        <v>2583552999.876</v>
      </c>
      <c r="AH6" t="n">
        <v>2698533692.361</v>
      </c>
      <c r="AI6" t="n">
        <v>2856220420.731</v>
      </c>
      <c r="AJ6" t="n">
        <v>2970787071.719</v>
      </c>
      <c r="AK6" t="n">
        <v>3009747423.799</v>
      </c>
      <c r="AL6" t="n">
        <v>3058991582.644</v>
      </c>
      <c r="AM6" t="n">
        <v>3144725004.555</v>
      </c>
      <c r="AN6" t="n">
        <v>3277813240.519</v>
      </c>
      <c r="AO6" t="n">
        <v>3384829112.511</v>
      </c>
      <c r="AP6" t="n">
        <v>3547193273.059</v>
      </c>
      <c r="AQ6" t="n">
        <v>3829433702.847</v>
      </c>
      <c r="AR6" t="n">
        <v>4118840962.499</v>
      </c>
      <c r="AS6" t="n">
        <v>4344567911.978</v>
      </c>
      <c r="AT6" t="n">
        <v>4270965924.346</v>
      </c>
      <c r="AU6" t="n">
        <v>5032726638.098</v>
      </c>
      <c r="AV6" t="n">
        <v>5514843622.143</v>
      </c>
      <c r="AW6" t="n">
        <v>6135156638.927</v>
      </c>
      <c r="AX6" t="n">
        <v>6159835614.401</v>
      </c>
      <c r="AY6" t="n">
        <v>6424693700.808</v>
      </c>
      <c r="AZ6" t="n">
        <v>6298431019.347</v>
      </c>
      <c r="BA6" t="n">
        <v>6084812039.217</v>
      </c>
      <c r="BB6" t="n">
        <v>6396671197.315</v>
      </c>
      <c r="BC6" t="n">
        <v>6524855902.472</v>
      </c>
      <c r="BD6" t="n">
        <v>6904839599.908</v>
      </c>
      <c r="BE6" t="n">
        <v>6843063361.043</v>
      </c>
      <c r="BF6" t="n">
        <v>6716452500.005</v>
      </c>
      <c r="BG6" t="n">
        <v>6840669943.079</v>
      </c>
      <c r="BH6" t="n">
        <v>6829467293.882</v>
      </c>
      <c r="BI6" t="n">
        <v>6697773972.205</v>
      </c>
      <c r="BJ6" t="n">
        <v>7224822488.669</v>
      </c>
      <c r="BK6" t="n">
        <v>7270196645.183</v>
      </c>
      <c r="BL6" t="n">
        <v>6892165290.281</v>
      </c>
      <c r="BM6" t="n">
        <v>7362882325.306</v>
      </c>
      <c r="BN6" t="n">
        <v>7806376031.998</v>
      </c>
      <c r="BO6" t="n">
        <v>7660623072.467</v>
      </c>
      <c r="BP6" t="n">
        <v>7923551080.904</v>
      </c>
      <c r="BQ6" t="n">
        <v>7965661872.902</v>
      </c>
      <c r="BR6" t="n">
        <v>7905591515.317</v>
      </c>
      <c r="BS6" t="n">
        <v>7864812392.776</v>
      </c>
      <c r="BT6" t="n">
        <v>8070990710.106</v>
      </c>
    </row>
    <row r="7">
      <c r="A7" s="17" t="inlineStr">
        <is>
          <t>simple, aggregated to SAU functional group</t>
        </is>
      </c>
      <c r="B7" t="inlineStr">
        <is>
          <t>Jensen comparison, not a PPR estimate</t>
        </is>
      </c>
      <c r="C7" t="n">
        <v>452775457.006</v>
      </c>
      <c r="D7" t="n">
        <v>577496635.5779999</v>
      </c>
      <c r="E7" t="n">
        <v>690236712.374</v>
      </c>
      <c r="F7" t="n">
        <v>703866485.142</v>
      </c>
      <c r="G7" t="n">
        <v>930789325.9170001</v>
      </c>
      <c r="H7" t="n">
        <v>1092708929.593</v>
      </c>
      <c r="I7" t="n">
        <v>1187472549.125</v>
      </c>
      <c r="J7" t="n">
        <v>1195023069.506</v>
      </c>
      <c r="K7" t="n">
        <v>1236613894.528</v>
      </c>
      <c r="L7" t="n">
        <v>1340025350.599</v>
      </c>
      <c r="M7" t="n">
        <v>1457728553.177</v>
      </c>
      <c r="N7" t="n">
        <v>1433172318.934</v>
      </c>
      <c r="O7" t="n">
        <v>1570057213.665</v>
      </c>
      <c r="P7" t="n">
        <v>1678821741.8</v>
      </c>
      <c r="Q7" t="n">
        <v>1683742293.139</v>
      </c>
      <c r="R7" t="n">
        <v>1762146939.422</v>
      </c>
      <c r="S7" t="n">
        <v>1790173797.899</v>
      </c>
      <c r="T7" t="n">
        <v>1809971103.335</v>
      </c>
      <c r="U7" t="n">
        <v>1859637934.432</v>
      </c>
      <c r="V7" t="n">
        <v>1825817802.097</v>
      </c>
      <c r="W7" t="n">
        <v>1778505957.304</v>
      </c>
      <c r="X7" t="n">
        <v>1840557009.115</v>
      </c>
      <c r="Y7" t="n">
        <v>2038946857.593</v>
      </c>
      <c r="Z7" t="n">
        <v>2186399460.522</v>
      </c>
      <c r="AA7" t="n">
        <v>2195678077.656</v>
      </c>
      <c r="AB7" t="n">
        <v>2106761653.818</v>
      </c>
      <c r="AC7" t="n">
        <v>2077889980.347</v>
      </c>
      <c r="AD7" t="n">
        <v>2055514941.109</v>
      </c>
      <c r="AE7" t="n">
        <v>1962780507.6</v>
      </c>
      <c r="AF7" t="n">
        <v>2085899988.221</v>
      </c>
      <c r="AG7" t="n">
        <v>2056927037.449</v>
      </c>
      <c r="AH7" t="n">
        <v>2155316773.318</v>
      </c>
      <c r="AI7" t="n">
        <v>2301934476.851</v>
      </c>
      <c r="AJ7" t="n">
        <v>2366857818.556</v>
      </c>
      <c r="AK7" t="n">
        <v>2401441649.441</v>
      </c>
      <c r="AL7" t="n">
        <v>2422969561.31</v>
      </c>
      <c r="AM7" t="n">
        <v>2462968780.999</v>
      </c>
      <c r="AN7" t="n">
        <v>2564006402.923</v>
      </c>
      <c r="AO7" t="n">
        <v>2634238796.052</v>
      </c>
      <c r="AP7" t="n">
        <v>2779639085.814</v>
      </c>
      <c r="AQ7" t="n">
        <v>3067376728.46</v>
      </c>
      <c r="AR7" t="n">
        <v>3315950573.894</v>
      </c>
      <c r="AS7" t="n">
        <v>3458565132.835</v>
      </c>
      <c r="AT7" t="n">
        <v>3393994860.826</v>
      </c>
      <c r="AU7" t="n">
        <v>4063300178.018</v>
      </c>
      <c r="AV7" t="n">
        <v>4249117265.073</v>
      </c>
      <c r="AW7" t="n">
        <v>4723014257.615</v>
      </c>
      <c r="AX7" t="n">
        <v>4695782866.468</v>
      </c>
      <c r="AY7" t="n">
        <v>5008375558.694</v>
      </c>
      <c r="AZ7" t="n">
        <v>4834566012.697</v>
      </c>
      <c r="BA7" t="n">
        <v>4659113064.135</v>
      </c>
      <c r="BB7" t="n">
        <v>4870290380.773</v>
      </c>
      <c r="BC7" t="n">
        <v>4970967549.879</v>
      </c>
      <c r="BD7" t="n">
        <v>5246047277.67</v>
      </c>
      <c r="BE7" t="n">
        <v>5115728056.65</v>
      </c>
      <c r="BF7" t="n">
        <v>5107308950.689</v>
      </c>
      <c r="BG7" t="n">
        <v>5266702814.717</v>
      </c>
      <c r="BH7" t="n">
        <v>5304751577.946</v>
      </c>
      <c r="BI7" t="n">
        <v>5146833701.954</v>
      </c>
      <c r="BJ7" t="n">
        <v>5596231873.752</v>
      </c>
      <c r="BK7" t="n">
        <v>5640911399.735</v>
      </c>
      <c r="BL7" t="n">
        <v>5261568054.783</v>
      </c>
      <c r="BM7" t="n">
        <v>5661868023.547</v>
      </c>
      <c r="BN7" t="n">
        <v>6025325841.64</v>
      </c>
      <c r="BO7" t="n">
        <v>5855540910.118</v>
      </c>
      <c r="BP7" t="n">
        <v>6054387219.022</v>
      </c>
      <c r="BQ7" t="n">
        <v>6119807076.283</v>
      </c>
      <c r="BR7" t="n">
        <v>6070646918.227</v>
      </c>
      <c r="BS7" t="n">
        <v>5995142598.936</v>
      </c>
      <c r="BT7" t="n">
        <v>6177614143.622</v>
      </c>
    </row>
    <row r="8">
      <c r="A8" s="17" t="inlineStr">
        <is>
          <t>simple, aggregated to SAU commercial group</t>
        </is>
      </c>
      <c r="B8" t="inlineStr">
        <is>
          <t>Jensen comparison, not a PPR estimate</t>
        </is>
      </c>
      <c r="C8" t="n">
        <v>352524161.985</v>
      </c>
      <c r="D8" t="n">
        <v>447322875.375</v>
      </c>
      <c r="E8" t="n">
        <v>534503977.032</v>
      </c>
      <c r="F8" t="n">
        <v>546225561.725</v>
      </c>
      <c r="G8" t="n">
        <v>734840275.38</v>
      </c>
      <c r="H8" t="n">
        <v>884983464.847</v>
      </c>
      <c r="I8" t="n">
        <v>962002696.425</v>
      </c>
      <c r="J8" t="n">
        <v>965220830.105</v>
      </c>
      <c r="K8" t="n">
        <v>1002871386.059</v>
      </c>
      <c r="L8" t="n">
        <v>1096243663.163</v>
      </c>
      <c r="M8" t="n">
        <v>1200744359.541</v>
      </c>
      <c r="N8" t="n">
        <v>1174481715.165</v>
      </c>
      <c r="O8" t="n">
        <v>1284149723.093</v>
      </c>
      <c r="P8" t="n">
        <v>1372462994.917</v>
      </c>
      <c r="Q8" t="n">
        <v>1373343411.581</v>
      </c>
      <c r="R8" t="n">
        <v>1434498620.386</v>
      </c>
      <c r="S8" t="n">
        <v>1475042105.44</v>
      </c>
      <c r="T8" t="n">
        <v>1493982775.711</v>
      </c>
      <c r="U8" t="n">
        <v>1534173413.738</v>
      </c>
      <c r="V8" t="n">
        <v>1514437562.909</v>
      </c>
      <c r="W8" t="n">
        <v>1458815321.031</v>
      </c>
      <c r="X8" t="n">
        <v>1503115003.096</v>
      </c>
      <c r="Y8" t="n">
        <v>1649534941.452</v>
      </c>
      <c r="Z8" t="n">
        <v>1768592161.063</v>
      </c>
      <c r="AA8" t="n">
        <v>1763266989.862</v>
      </c>
      <c r="AB8" t="n">
        <v>1726029046.87</v>
      </c>
      <c r="AC8" t="n">
        <v>1696083652.078</v>
      </c>
      <c r="AD8" t="n">
        <v>1717125961.004</v>
      </c>
      <c r="AE8" t="n">
        <v>1601249844.677</v>
      </c>
      <c r="AF8" t="n">
        <v>1702256199.741</v>
      </c>
      <c r="AG8" t="n">
        <v>1663041180.188</v>
      </c>
      <c r="AH8" t="n">
        <v>1717806699.279</v>
      </c>
      <c r="AI8" t="n">
        <v>1799126642.941</v>
      </c>
      <c r="AJ8" t="n">
        <v>1884833735.909</v>
      </c>
      <c r="AK8" t="n">
        <v>1911433532.43</v>
      </c>
      <c r="AL8" t="n">
        <v>1941204922.973</v>
      </c>
      <c r="AM8" t="n">
        <v>1990220139.633</v>
      </c>
      <c r="AN8" t="n">
        <v>2088591954.669</v>
      </c>
      <c r="AO8" t="n">
        <v>2161112965.195</v>
      </c>
      <c r="AP8" t="n">
        <v>2268846585.779</v>
      </c>
      <c r="AQ8" t="n">
        <v>2439850510.747</v>
      </c>
      <c r="AR8" t="n">
        <v>2612719363.181</v>
      </c>
      <c r="AS8" t="n">
        <v>2769242412.564</v>
      </c>
      <c r="AT8" t="n">
        <v>2744446837.13</v>
      </c>
      <c r="AU8" t="n">
        <v>3151511421.136</v>
      </c>
      <c r="AV8" t="n">
        <v>3423595948.18</v>
      </c>
      <c r="AW8" t="n">
        <v>3795718004.549</v>
      </c>
      <c r="AX8" t="n">
        <v>3852852532.657</v>
      </c>
      <c r="AY8" t="n">
        <v>3991702026.062</v>
      </c>
      <c r="AZ8" t="n">
        <v>3958635016.714</v>
      </c>
      <c r="BA8" t="n">
        <v>3843172699.588</v>
      </c>
      <c r="BB8" t="n">
        <v>3976494640.444</v>
      </c>
      <c r="BC8" t="n">
        <v>4058816069.39</v>
      </c>
      <c r="BD8" t="n">
        <v>4313138547.089</v>
      </c>
      <c r="BE8" t="n">
        <v>4304393802.591</v>
      </c>
      <c r="BF8" t="n">
        <v>4223691645.031</v>
      </c>
      <c r="BG8" t="n">
        <v>4310443698.596</v>
      </c>
      <c r="BH8" t="n">
        <v>4303091381.068</v>
      </c>
      <c r="BI8" t="n">
        <v>4176231625.207</v>
      </c>
      <c r="BJ8" t="n">
        <v>4487373975.996</v>
      </c>
      <c r="BK8" t="n">
        <v>4504006913.857</v>
      </c>
      <c r="BL8" t="n">
        <v>4363247230.522</v>
      </c>
      <c r="BM8" t="n">
        <v>4652468666.503</v>
      </c>
      <c r="BN8" t="n">
        <v>4903028088.888</v>
      </c>
      <c r="BO8" t="n">
        <v>4811938832.712</v>
      </c>
      <c r="BP8" t="n">
        <v>4951933871.304</v>
      </c>
      <c r="BQ8" t="n">
        <v>5028078762.75</v>
      </c>
      <c r="BR8" t="n">
        <v>5008397765.987</v>
      </c>
      <c r="BS8" t="n">
        <v>4929279651.182</v>
      </c>
      <c r="BT8" t="n">
        <v>5121239745.054</v>
      </c>
    </row>
    <row r="9">
      <c r="A9" t="inlineStr">
        <is>
          <t>SPPR_1986</t>
        </is>
      </c>
      <c r="B9" t="inlineStr">
        <is>
          <t>ok</t>
        </is>
      </c>
      <c r="C9" t="n">
        <v>94376241.675</v>
      </c>
      <c r="D9" t="n">
        <v>113698027.711</v>
      </c>
      <c r="E9" t="n">
        <v>130798611.575</v>
      </c>
      <c r="F9" t="n">
        <v>133005587.131</v>
      </c>
      <c r="G9" t="n">
        <v>173662195.325</v>
      </c>
      <c r="H9" t="n">
        <v>191914765.392</v>
      </c>
      <c r="I9" t="n">
        <v>213107394.541</v>
      </c>
      <c r="J9" t="n">
        <v>209660913.529</v>
      </c>
      <c r="K9" t="n">
        <v>226828642.889</v>
      </c>
      <c r="L9" t="n">
        <v>238260573.663</v>
      </c>
      <c r="M9" t="n">
        <v>266483568.233</v>
      </c>
      <c r="N9" t="n">
        <v>257535448.837</v>
      </c>
      <c r="O9" t="n">
        <v>288999847.655</v>
      </c>
      <c r="P9" t="n">
        <v>305438284.444</v>
      </c>
      <c r="Q9" t="n">
        <v>317626531.045</v>
      </c>
      <c r="R9" t="n">
        <v>335050177.967</v>
      </c>
      <c r="S9" t="n">
        <v>352122762.046</v>
      </c>
      <c r="T9" t="n">
        <v>343955256.671</v>
      </c>
      <c r="U9" t="n">
        <v>359158180.945</v>
      </c>
      <c r="V9" t="n">
        <v>371145968.29</v>
      </c>
      <c r="W9" t="n">
        <v>382739948.388</v>
      </c>
      <c r="X9" t="n">
        <v>378810064.624</v>
      </c>
      <c r="Y9" t="n">
        <v>395454138.891</v>
      </c>
      <c r="Z9" t="n">
        <v>433374634.881</v>
      </c>
      <c r="AA9" t="n">
        <v>441848646.447</v>
      </c>
      <c r="AB9" t="n">
        <v>451725592.873</v>
      </c>
      <c r="AC9" t="n">
        <v>455869226.293</v>
      </c>
      <c r="AD9" t="n">
        <v>482342402.586</v>
      </c>
      <c r="AE9" t="n">
        <v>478833595.29</v>
      </c>
      <c r="AF9" t="n">
        <v>486236225.977</v>
      </c>
      <c r="AG9" t="n">
        <v>484810731.026</v>
      </c>
      <c r="AH9" t="n">
        <v>503441228.759</v>
      </c>
      <c r="AI9" t="n">
        <v>541537053.0549999</v>
      </c>
      <c r="AJ9" t="n">
        <v>575594808.663</v>
      </c>
      <c r="AK9" t="n">
        <v>603539314.021</v>
      </c>
      <c r="AL9" t="n">
        <v>647313465.776</v>
      </c>
      <c r="AM9" t="n">
        <v>664227258.117</v>
      </c>
      <c r="AN9" t="n">
        <v>722817649.72</v>
      </c>
      <c r="AO9" t="n">
        <v>746607210.673</v>
      </c>
      <c r="AP9" t="n">
        <v>758578205.1950001</v>
      </c>
      <c r="AQ9" t="n">
        <v>810499072.331</v>
      </c>
      <c r="AR9" t="n">
        <v>836760432.573</v>
      </c>
      <c r="AS9" t="n">
        <v>913106110.353</v>
      </c>
      <c r="AT9" t="n">
        <v>923930664.08</v>
      </c>
      <c r="AU9" t="n">
        <v>1069950309.824</v>
      </c>
      <c r="AV9" t="n">
        <v>1159085273.262</v>
      </c>
      <c r="AW9" t="n">
        <v>1260484795.734</v>
      </c>
      <c r="AX9" t="n">
        <v>1322343325.744</v>
      </c>
      <c r="AY9" t="n">
        <v>1327173710.726</v>
      </c>
      <c r="AZ9" t="n">
        <v>1266747193.374</v>
      </c>
      <c r="BA9" t="n">
        <v>1260802386.821</v>
      </c>
      <c r="BB9" t="n">
        <v>1318704520.347</v>
      </c>
      <c r="BC9" t="n">
        <v>1326615010.834</v>
      </c>
      <c r="BD9" t="n">
        <v>1367201295.444</v>
      </c>
      <c r="BE9" t="n">
        <v>1317949614.904</v>
      </c>
      <c r="BF9" t="n">
        <v>1308197530.785</v>
      </c>
      <c r="BG9" t="n">
        <v>1295092112.63</v>
      </c>
      <c r="BH9" t="n">
        <v>1294060858.502</v>
      </c>
      <c r="BI9" t="n">
        <v>1279355764.032</v>
      </c>
      <c r="BJ9" t="n">
        <v>1386374429.824</v>
      </c>
      <c r="BK9" t="n">
        <v>1401930472.047</v>
      </c>
      <c r="BL9" t="n">
        <v>1342082656.366</v>
      </c>
      <c r="BM9" t="n">
        <v>1448761155.474</v>
      </c>
      <c r="BN9" t="n">
        <v>1532921247.883</v>
      </c>
      <c r="BO9" t="n">
        <v>1499689433.541</v>
      </c>
      <c r="BP9" t="n">
        <v>1550768897.193</v>
      </c>
      <c r="BQ9" t="n">
        <v>1551471087.152</v>
      </c>
      <c r="BR9" t="n">
        <v>1514239030.506</v>
      </c>
      <c r="BS9" t="n">
        <v>1511262649.017</v>
      </c>
      <c r="BT9" t="n">
        <v>1559531470.817</v>
      </c>
    </row>
    <row r="10">
      <c r="A10" t="inlineStr">
        <is>
          <t>SPPR_1995_TE0.1</t>
        </is>
      </c>
      <c r="B10" t="inlineStr">
        <is>
          <t>ok</t>
        </is>
      </c>
      <c r="C10" t="n">
        <v>152464274.568</v>
      </c>
      <c r="D10" t="n">
        <v>193153466.71</v>
      </c>
      <c r="E10" t="n">
        <v>232937049.119</v>
      </c>
      <c r="F10" t="n">
        <v>236968570.216</v>
      </c>
      <c r="G10" t="n">
        <v>294275509.239</v>
      </c>
      <c r="H10" t="n">
        <v>344163509.159</v>
      </c>
      <c r="I10" t="n">
        <v>382481765.047</v>
      </c>
      <c r="J10" t="n">
        <v>379663008.273</v>
      </c>
      <c r="K10" t="n">
        <v>391702636.189</v>
      </c>
      <c r="L10" t="n">
        <v>420077786.41</v>
      </c>
      <c r="M10" t="n">
        <v>472671262.349</v>
      </c>
      <c r="N10" t="n">
        <v>451506913.89</v>
      </c>
      <c r="O10" t="n">
        <v>503661565.635</v>
      </c>
      <c r="P10" t="n">
        <v>531892928.009</v>
      </c>
      <c r="Q10" t="n">
        <v>539361981.817</v>
      </c>
      <c r="R10" t="n">
        <v>584890797.221</v>
      </c>
      <c r="S10" t="n">
        <v>614036920.089</v>
      </c>
      <c r="T10" t="n">
        <v>603363160.826</v>
      </c>
      <c r="U10" t="n">
        <v>627162694.929</v>
      </c>
      <c r="V10" t="n">
        <v>640742043.092</v>
      </c>
      <c r="W10" t="n">
        <v>632836316.568</v>
      </c>
      <c r="X10" t="n">
        <v>648733749.811</v>
      </c>
      <c r="Y10" t="n">
        <v>695888151.608</v>
      </c>
      <c r="Z10" t="n">
        <v>748044879.113</v>
      </c>
      <c r="AA10" t="n">
        <v>751676823.397</v>
      </c>
      <c r="AB10" t="n">
        <v>737502516.661</v>
      </c>
      <c r="AC10" t="n">
        <v>734897749.874</v>
      </c>
      <c r="AD10" t="n">
        <v>746860440.049</v>
      </c>
      <c r="AE10" t="n">
        <v>744602531.658</v>
      </c>
      <c r="AF10" t="n">
        <v>775216269.239</v>
      </c>
      <c r="AG10" t="n">
        <v>766250978.5319999</v>
      </c>
      <c r="AH10" t="n">
        <v>806361586.573</v>
      </c>
      <c r="AI10" t="n">
        <v>865845820.387</v>
      </c>
      <c r="AJ10" t="n">
        <v>879609825.83</v>
      </c>
      <c r="AK10" t="n">
        <v>918491655.123</v>
      </c>
      <c r="AL10" t="n">
        <v>949641073.095</v>
      </c>
      <c r="AM10" t="n">
        <v>964606336.98</v>
      </c>
      <c r="AN10" t="n">
        <v>1020065596.381</v>
      </c>
      <c r="AO10" t="n">
        <v>1019742451.7</v>
      </c>
      <c r="AP10" t="n">
        <v>1073873080.409</v>
      </c>
      <c r="AQ10" t="n">
        <v>1145608935.674</v>
      </c>
      <c r="AR10" t="n">
        <v>1212766707.595</v>
      </c>
      <c r="AS10" t="n">
        <v>1289276899.203</v>
      </c>
      <c r="AT10" t="n">
        <v>1256522116.458</v>
      </c>
      <c r="AU10" t="n">
        <v>1473573418.261</v>
      </c>
      <c r="AV10" t="n">
        <v>1596916285.306</v>
      </c>
      <c r="AW10" t="n">
        <v>1733889987.03</v>
      </c>
      <c r="AX10" t="n">
        <v>1718107528.733</v>
      </c>
      <c r="AY10" t="n">
        <v>1734019275.998</v>
      </c>
      <c r="AZ10" t="n">
        <v>1711826368.439</v>
      </c>
      <c r="BA10" t="n">
        <v>1695370284.528</v>
      </c>
      <c r="BB10" t="n">
        <v>1785621019.13</v>
      </c>
      <c r="BC10" t="n">
        <v>1812675258.683</v>
      </c>
      <c r="BD10" t="n">
        <v>1939804723.326</v>
      </c>
      <c r="BE10" t="n">
        <v>1876774019.529</v>
      </c>
      <c r="BF10" t="n">
        <v>1846380901.097</v>
      </c>
      <c r="BG10" t="n">
        <v>1859481631.375</v>
      </c>
      <c r="BH10" t="n">
        <v>1850001863.338</v>
      </c>
      <c r="BI10" t="n">
        <v>1855488043.691</v>
      </c>
      <c r="BJ10" t="n">
        <v>2004420709.263</v>
      </c>
      <c r="BK10" t="n">
        <v>2013114077.898</v>
      </c>
      <c r="BL10" t="n">
        <v>1899290146.139</v>
      </c>
      <c r="BM10" t="n">
        <v>2030656393.595</v>
      </c>
      <c r="BN10" t="n">
        <v>2161461981.858</v>
      </c>
      <c r="BO10" t="n">
        <v>2108374512.851</v>
      </c>
      <c r="BP10" t="n">
        <v>2186928892.726</v>
      </c>
      <c r="BQ10" t="n">
        <v>2204049819.017</v>
      </c>
      <c r="BR10" t="n">
        <v>2179292585.051</v>
      </c>
      <c r="BS10" t="n">
        <v>2195345683.525</v>
      </c>
      <c r="BT10" t="n">
        <v>2260661509.193</v>
      </c>
    </row>
    <row r="11">
      <c r="A11" t="inlineStr">
        <is>
          <t>SPPR_1995_TEmean</t>
        </is>
      </c>
      <c r="B11" t="inlineStr">
        <is>
          <t>ok</t>
        </is>
      </c>
      <c r="C11" t="n">
        <v>73302084.09999999</v>
      </c>
      <c r="D11" t="n">
        <v>92129217.56200001</v>
      </c>
      <c r="E11" t="n">
        <v>110468507.989</v>
      </c>
      <c r="F11" t="n">
        <v>112410512.762</v>
      </c>
      <c r="G11" t="n">
        <v>140168381.953</v>
      </c>
      <c r="H11" t="n">
        <v>163047234.403</v>
      </c>
      <c r="I11" t="n">
        <v>180798071.289</v>
      </c>
      <c r="J11" t="n">
        <v>179618670.246</v>
      </c>
      <c r="K11" t="n">
        <v>186392288.787</v>
      </c>
      <c r="L11" t="n">
        <v>199439167.792</v>
      </c>
      <c r="M11" t="n">
        <v>224812806.404</v>
      </c>
      <c r="N11" t="n">
        <v>214642380.328</v>
      </c>
      <c r="O11" t="n">
        <v>239793874.814</v>
      </c>
      <c r="P11" t="n">
        <v>253362769.188</v>
      </c>
      <c r="Q11" t="n">
        <v>257738389.453</v>
      </c>
      <c r="R11" t="n">
        <v>278790340.2</v>
      </c>
      <c r="S11" t="n">
        <v>293221908.096</v>
      </c>
      <c r="T11" t="n">
        <v>287750357.058</v>
      </c>
      <c r="U11" t="n">
        <v>299050558.007</v>
      </c>
      <c r="V11" t="n">
        <v>306118949.416</v>
      </c>
      <c r="W11" t="n">
        <v>304164117.132</v>
      </c>
      <c r="X11" t="n">
        <v>310061101.05</v>
      </c>
      <c r="Y11" t="n">
        <v>331688303.018</v>
      </c>
      <c r="Z11" t="n">
        <v>356923141.391</v>
      </c>
      <c r="AA11" t="n">
        <v>359055117.694</v>
      </c>
      <c r="AB11" t="n">
        <v>353585001.506</v>
      </c>
      <c r="AC11" t="n">
        <v>353124771.416</v>
      </c>
      <c r="AD11" t="n">
        <v>361301743.399</v>
      </c>
      <c r="AE11" t="n">
        <v>360635968.85</v>
      </c>
      <c r="AF11" t="n">
        <v>374482107.18</v>
      </c>
      <c r="AG11" t="n">
        <v>370964673.168</v>
      </c>
      <c r="AH11" t="n">
        <v>389554736.503</v>
      </c>
      <c r="AI11" t="n">
        <v>418307371.223</v>
      </c>
      <c r="AJ11" t="n">
        <v>426348527.886</v>
      </c>
      <c r="AK11" t="n">
        <v>445981351.582</v>
      </c>
      <c r="AL11" t="n">
        <v>462852950.405</v>
      </c>
      <c r="AM11" t="n">
        <v>470657701.374</v>
      </c>
      <c r="AN11" t="n">
        <v>500320783.533</v>
      </c>
      <c r="AO11" t="n">
        <v>501109638.825</v>
      </c>
      <c r="AP11" t="n">
        <v>527240513.478</v>
      </c>
      <c r="AQ11" t="n">
        <v>562319016.403</v>
      </c>
      <c r="AR11" t="n">
        <v>593235771.867</v>
      </c>
      <c r="AS11" t="n">
        <v>631711046.3710001</v>
      </c>
      <c r="AT11" t="n">
        <v>616719585.487</v>
      </c>
      <c r="AU11" t="n">
        <v>720867212.976</v>
      </c>
      <c r="AV11" t="n">
        <v>780714995.1619999</v>
      </c>
      <c r="AW11" t="n">
        <v>849430028.33</v>
      </c>
      <c r="AX11" t="n">
        <v>846343559.1339999</v>
      </c>
      <c r="AY11" t="n">
        <v>853152934.321</v>
      </c>
      <c r="AZ11" t="n">
        <v>839411656.515</v>
      </c>
      <c r="BA11" t="n">
        <v>831607855.2970001</v>
      </c>
      <c r="BB11" t="n">
        <v>874888608.263</v>
      </c>
      <c r="BC11" t="n">
        <v>888054275.498</v>
      </c>
      <c r="BD11" t="n">
        <v>948258001.242</v>
      </c>
      <c r="BE11" t="n">
        <v>917052183.772</v>
      </c>
      <c r="BF11" t="n">
        <v>903760961.74</v>
      </c>
      <c r="BG11" t="n">
        <v>907430515.41</v>
      </c>
      <c r="BH11" t="n">
        <v>903913570.525</v>
      </c>
      <c r="BI11" t="n">
        <v>906047186.877</v>
      </c>
      <c r="BJ11" t="n">
        <v>979321860.874</v>
      </c>
      <c r="BK11" t="n">
        <v>984292474.719</v>
      </c>
      <c r="BL11" t="n">
        <v>931679254.897</v>
      </c>
      <c r="BM11" t="n">
        <v>998029888.49</v>
      </c>
      <c r="BN11" t="n">
        <v>1061529648.642</v>
      </c>
      <c r="BO11" t="n">
        <v>1035363672.679</v>
      </c>
      <c r="BP11" t="n">
        <v>1073284224.36</v>
      </c>
      <c r="BQ11" t="n">
        <v>1081883037.678</v>
      </c>
      <c r="BR11" t="n">
        <v>1068001260.699</v>
      </c>
      <c r="BS11" t="n">
        <v>1074355100.183</v>
      </c>
      <c r="BT11" t="n">
        <v>1107788789.607</v>
      </c>
    </row>
    <row r="12">
      <c r="A12" t="inlineStr">
        <is>
          <t>Ulanowicz_globalTEmean</t>
        </is>
      </c>
      <c r="B12" t="inlineStr">
        <is>
          <t>ok</t>
        </is>
      </c>
      <c r="C12" t="n">
        <v>196670121.914</v>
      </c>
      <c r="D12" t="n">
        <v>246904866.306</v>
      </c>
      <c r="E12" t="n">
        <v>295405330.184</v>
      </c>
      <c r="F12" t="n">
        <v>300670354.137</v>
      </c>
      <c r="G12" t="n">
        <v>367602849.419</v>
      </c>
      <c r="H12" t="n">
        <v>420906877.917</v>
      </c>
      <c r="I12" t="n">
        <v>467919149.705</v>
      </c>
      <c r="J12" t="n">
        <v>464568708.075</v>
      </c>
      <c r="K12" t="n">
        <v>486037394.536</v>
      </c>
      <c r="L12" t="n">
        <v>514665817.329</v>
      </c>
      <c r="M12" t="n">
        <v>583641097.0140001</v>
      </c>
      <c r="N12" t="n">
        <v>553875296.673</v>
      </c>
      <c r="O12" t="n">
        <v>619313564.592</v>
      </c>
      <c r="P12" t="n">
        <v>647248783.006</v>
      </c>
      <c r="Q12" t="n">
        <v>664463396.457</v>
      </c>
      <c r="R12" t="n">
        <v>721879505.796</v>
      </c>
      <c r="S12" t="n">
        <v>767290591.837</v>
      </c>
      <c r="T12" t="n">
        <v>749959893.166</v>
      </c>
      <c r="U12" t="n">
        <v>778319781.608</v>
      </c>
      <c r="V12" t="n">
        <v>803136609.808</v>
      </c>
      <c r="W12" t="n">
        <v>801793031.123</v>
      </c>
      <c r="X12" t="n">
        <v>815136247.124</v>
      </c>
      <c r="Y12" t="n">
        <v>870277749.561</v>
      </c>
      <c r="Z12" t="n">
        <v>948673279.4170001</v>
      </c>
      <c r="AA12" t="n">
        <v>947914121.071</v>
      </c>
      <c r="AB12" t="n">
        <v>931594878.742</v>
      </c>
      <c r="AC12" t="n">
        <v>925713286.222</v>
      </c>
      <c r="AD12" t="n">
        <v>955155918.669</v>
      </c>
      <c r="AE12" t="n">
        <v>955510451.8890001</v>
      </c>
      <c r="AF12" t="n">
        <v>978465595.092</v>
      </c>
      <c r="AG12" t="n">
        <v>968579036.359</v>
      </c>
      <c r="AH12" t="n">
        <v>1021460346.679</v>
      </c>
      <c r="AI12" t="n">
        <v>1088276106.277</v>
      </c>
      <c r="AJ12" t="n">
        <v>1094566904.543</v>
      </c>
      <c r="AK12" t="n">
        <v>1161667722.695</v>
      </c>
      <c r="AL12" t="n">
        <v>1202520751.202</v>
      </c>
      <c r="AM12" t="n">
        <v>1215945978.094</v>
      </c>
      <c r="AN12" t="n">
        <v>1290862964.426</v>
      </c>
      <c r="AO12" t="n">
        <v>1275436274.474</v>
      </c>
      <c r="AP12" t="n">
        <v>1341562109.968</v>
      </c>
      <c r="AQ12" t="n">
        <v>1420488759.888</v>
      </c>
      <c r="AR12" t="n">
        <v>1485123370.317</v>
      </c>
      <c r="AS12" t="n">
        <v>1560953965.709</v>
      </c>
      <c r="AT12" t="n">
        <v>1516541320.073</v>
      </c>
      <c r="AU12" t="n">
        <v>1772867097.496</v>
      </c>
      <c r="AV12" t="n">
        <v>1908314821.255</v>
      </c>
      <c r="AW12" t="n">
        <v>2066254857.964</v>
      </c>
      <c r="AX12" t="n">
        <v>2047395379.817</v>
      </c>
      <c r="AY12" t="n">
        <v>2065684682.383</v>
      </c>
      <c r="AZ12" t="n">
        <v>2048972529.35</v>
      </c>
      <c r="BA12" t="n">
        <v>2037328417.94</v>
      </c>
      <c r="BB12" t="n">
        <v>2136216890.524</v>
      </c>
      <c r="BC12" t="n">
        <v>2169136119.988</v>
      </c>
      <c r="BD12" t="n">
        <v>2342391118.977</v>
      </c>
      <c r="BE12" t="n">
        <v>2273223539.077</v>
      </c>
      <c r="BF12" t="n">
        <v>2223816675.574</v>
      </c>
      <c r="BG12" t="n">
        <v>2245429282.212</v>
      </c>
      <c r="BH12" t="n">
        <v>2233661046.529</v>
      </c>
      <c r="BI12" t="n">
        <v>2238156720.743</v>
      </c>
      <c r="BJ12" t="n">
        <v>2416576607.018</v>
      </c>
      <c r="BK12" t="n">
        <v>2419806778.688</v>
      </c>
      <c r="BL12" t="n">
        <v>2283417008.396</v>
      </c>
      <c r="BM12" t="n">
        <v>2439814353.581</v>
      </c>
      <c r="BN12" t="n">
        <v>2611214690.646</v>
      </c>
      <c r="BO12" t="n">
        <v>2518493344.766</v>
      </c>
      <c r="BP12" t="n">
        <v>2622639923.284</v>
      </c>
      <c r="BQ12" t="n">
        <v>2633886571.042</v>
      </c>
      <c r="BR12" t="n">
        <v>2600513446.409</v>
      </c>
      <c r="BS12" t="n">
        <v>2622881051.488</v>
      </c>
      <c r="BT12" t="n">
        <v>2700979478.333</v>
      </c>
    </row>
    <row r="13">
      <c r="A13" t="inlineStr">
        <is>
          <t>Ulanowicz_TE</t>
        </is>
      </c>
      <c r="B13" t="inlineStr">
        <is>
          <t>ok</t>
        </is>
      </c>
      <c r="C13" t="n">
        <v>3512804938.959</v>
      </c>
      <c r="D13" t="n">
        <v>4421275437.618</v>
      </c>
      <c r="E13" t="n">
        <v>5312960917.473</v>
      </c>
      <c r="F13" t="n">
        <v>5436296670.514</v>
      </c>
      <c r="G13" t="n">
        <v>6651457015.285</v>
      </c>
      <c r="H13" t="n">
        <v>7611731915.95</v>
      </c>
      <c r="I13" t="n">
        <v>8451476503.72</v>
      </c>
      <c r="J13" t="n">
        <v>8401056849.097</v>
      </c>
      <c r="K13" t="n">
        <v>8909554192.99</v>
      </c>
      <c r="L13" t="n">
        <v>9540075232.643999</v>
      </c>
      <c r="M13" t="n">
        <v>10711745445.22</v>
      </c>
      <c r="N13" t="n">
        <v>10390714790.032</v>
      </c>
      <c r="O13" t="n">
        <v>11786682282.459</v>
      </c>
      <c r="P13" t="n">
        <v>12392481121.66</v>
      </c>
      <c r="Q13" t="n">
        <v>12676054034.594</v>
      </c>
      <c r="R13" t="n">
        <v>13664071173.126</v>
      </c>
      <c r="S13" t="n">
        <v>14343932896.472</v>
      </c>
      <c r="T13" t="n">
        <v>14400093699.853</v>
      </c>
      <c r="U13" t="n">
        <v>15229221096.311</v>
      </c>
      <c r="V13" t="n">
        <v>15666442023.556</v>
      </c>
      <c r="W13" t="n">
        <v>15150269009.923</v>
      </c>
      <c r="X13" t="n">
        <v>15319971421.166</v>
      </c>
      <c r="Y13" t="n">
        <v>16002953389.588</v>
      </c>
      <c r="Z13" t="n">
        <v>17500376430.431</v>
      </c>
      <c r="AA13" t="n">
        <v>17366946291.753</v>
      </c>
      <c r="AB13" t="n">
        <v>17358458347.945</v>
      </c>
      <c r="AC13" t="n">
        <v>17517145354.242</v>
      </c>
      <c r="AD13" t="n">
        <v>17982846848.694</v>
      </c>
      <c r="AE13" t="n">
        <v>17670220154.086</v>
      </c>
      <c r="AF13" t="n">
        <v>18353774689.951</v>
      </c>
      <c r="AG13" t="n">
        <v>18334816738.437</v>
      </c>
      <c r="AH13" t="n">
        <v>19236233265.155</v>
      </c>
      <c r="AI13" t="n">
        <v>20477403463.967</v>
      </c>
      <c r="AJ13" t="n">
        <v>20979599480.493</v>
      </c>
      <c r="AK13" t="n">
        <v>21800404684.513</v>
      </c>
      <c r="AL13" t="n">
        <v>22541047874.71</v>
      </c>
      <c r="AM13" t="n">
        <v>22836349114.568</v>
      </c>
      <c r="AN13" t="n">
        <v>24136319538.924</v>
      </c>
      <c r="AO13" t="n">
        <v>23378192239.803</v>
      </c>
      <c r="AP13" t="n">
        <v>24469045803.507</v>
      </c>
      <c r="AQ13" t="n">
        <v>26122932382.676</v>
      </c>
      <c r="AR13" t="n">
        <v>27316476612.468</v>
      </c>
      <c r="AS13" t="n">
        <v>28188499703.024</v>
      </c>
      <c r="AT13" t="n">
        <v>26912633588.169</v>
      </c>
      <c r="AU13" t="n">
        <v>31260105791.041</v>
      </c>
      <c r="AV13" t="n">
        <v>33480692691.195</v>
      </c>
      <c r="AW13" t="n">
        <v>36022737604.557</v>
      </c>
      <c r="AX13" t="n">
        <v>35680744215.709</v>
      </c>
      <c r="AY13" t="n">
        <v>35710969334.849</v>
      </c>
      <c r="AZ13" t="n">
        <v>37203417702.202</v>
      </c>
      <c r="BA13" t="n">
        <v>36056125209.285</v>
      </c>
      <c r="BB13" t="n">
        <v>36872717325.202</v>
      </c>
      <c r="BC13" t="n">
        <v>37745038351.277</v>
      </c>
      <c r="BD13" t="n">
        <v>39994079916.058</v>
      </c>
      <c r="BE13" t="n">
        <v>40262136518.095</v>
      </c>
      <c r="BF13" t="n">
        <v>38776388132.829</v>
      </c>
      <c r="BG13" t="n">
        <v>39112977396.645</v>
      </c>
      <c r="BH13" t="n">
        <v>38463016805.89</v>
      </c>
      <c r="BI13" t="n">
        <v>38580025985.557</v>
      </c>
      <c r="BJ13" t="n">
        <v>41609214384.208</v>
      </c>
      <c r="BK13" t="n">
        <v>41287613172.797</v>
      </c>
      <c r="BL13" t="n">
        <v>39450509193.542</v>
      </c>
      <c r="BM13" t="n">
        <v>41838950061.934</v>
      </c>
      <c r="BN13" t="n">
        <v>44388007701.19</v>
      </c>
      <c r="BO13" t="n">
        <v>42933796527.154</v>
      </c>
      <c r="BP13" t="n">
        <v>44537769571.857</v>
      </c>
      <c r="BQ13" t="n">
        <v>44798938709.345</v>
      </c>
      <c r="BR13" t="n">
        <v>44143703362.402</v>
      </c>
      <c r="BS13" t="n">
        <v>44382171205.327</v>
      </c>
      <c r="BT13" t="n">
        <v>45767656362.112</v>
      </c>
    </row>
    <row r="14">
      <c r="A14" t="inlineStr">
        <is>
          <t>EwE_TE_noEE</t>
        </is>
      </c>
      <c r="B14" t="inlineStr">
        <is>
          <t>ok</t>
        </is>
      </c>
      <c r="C14" t="n">
        <v>3655816390.432</v>
      </c>
      <c r="D14" t="n">
        <v>4596909316.778</v>
      </c>
      <c r="E14" t="n">
        <v>5520795334.182</v>
      </c>
      <c r="F14" t="n">
        <v>5647805918.612</v>
      </c>
      <c r="G14" t="n">
        <v>6904713494.43</v>
      </c>
      <c r="H14" t="n">
        <v>7899464444.151</v>
      </c>
      <c r="I14" t="n">
        <v>8771511059.882999</v>
      </c>
      <c r="J14" t="n">
        <v>8718322805.447001</v>
      </c>
      <c r="K14" t="n">
        <v>9244442757.148001</v>
      </c>
      <c r="L14" t="n">
        <v>9891560395.238001</v>
      </c>
      <c r="M14" t="n">
        <v>11119436452.989</v>
      </c>
      <c r="N14" t="n">
        <v>10767619282.785</v>
      </c>
      <c r="O14" t="n">
        <v>12213735926.274</v>
      </c>
      <c r="P14" t="n">
        <v>12834902685.017</v>
      </c>
      <c r="Q14" t="n">
        <v>13132535190.733</v>
      </c>
      <c r="R14" t="n">
        <v>14169575283.47</v>
      </c>
      <c r="S14" t="n">
        <v>14889004206.678</v>
      </c>
      <c r="T14" t="n">
        <v>14926444372.453</v>
      </c>
      <c r="U14" t="n">
        <v>15777334791.431</v>
      </c>
      <c r="V14" t="n">
        <v>16240804058.167</v>
      </c>
      <c r="W14" t="n">
        <v>15719840304.606</v>
      </c>
      <c r="X14" t="n">
        <v>15898928401.191</v>
      </c>
      <c r="Y14" t="n">
        <v>16613579558.593</v>
      </c>
      <c r="Z14" t="n">
        <v>18180013155.161</v>
      </c>
      <c r="AA14" t="n">
        <v>18040768387.839</v>
      </c>
      <c r="AB14" t="n">
        <v>18025461284.262</v>
      </c>
      <c r="AC14" t="n">
        <v>18176782716.136</v>
      </c>
      <c r="AD14" t="n">
        <v>18683096516.897</v>
      </c>
      <c r="AE14" t="n">
        <v>18381808336.025</v>
      </c>
      <c r="AF14" t="n">
        <v>19062718855.86</v>
      </c>
      <c r="AG14" t="n">
        <v>19024510321.832</v>
      </c>
      <c r="AH14" t="n">
        <v>19969773216.612</v>
      </c>
      <c r="AI14" t="n">
        <v>21260088917.148</v>
      </c>
      <c r="AJ14" t="n">
        <v>21745415023.089</v>
      </c>
      <c r="AK14" t="n">
        <v>22641372091.372</v>
      </c>
      <c r="AL14" t="n">
        <v>23408535106.116</v>
      </c>
      <c r="AM14" t="n">
        <v>23716889272.16</v>
      </c>
      <c r="AN14" t="n">
        <v>25076229212.065</v>
      </c>
      <c r="AO14" t="n">
        <v>24293203971.449</v>
      </c>
      <c r="AP14" t="n">
        <v>25426867016.888</v>
      </c>
      <c r="AQ14" t="n">
        <v>27122947007.14</v>
      </c>
      <c r="AR14" t="n">
        <v>28349534339.93</v>
      </c>
      <c r="AS14" t="n">
        <v>29268582731.214</v>
      </c>
      <c r="AT14" t="n">
        <v>27958057409.233</v>
      </c>
      <c r="AU14" t="n">
        <v>32462460404.124</v>
      </c>
      <c r="AV14" t="n">
        <v>34769745582.637</v>
      </c>
      <c r="AW14" t="n">
        <v>37414519590.378</v>
      </c>
      <c r="AX14" t="n">
        <v>37057431778.422</v>
      </c>
      <c r="AY14" t="n">
        <v>37092817449.316</v>
      </c>
      <c r="AZ14" t="n">
        <v>38563464079.54</v>
      </c>
      <c r="BA14" t="n">
        <v>37423011394.757</v>
      </c>
      <c r="BB14" t="n">
        <v>38317461515.96</v>
      </c>
      <c r="BC14" t="n">
        <v>39202693981.637</v>
      </c>
      <c r="BD14" t="n">
        <v>41564364604.755</v>
      </c>
      <c r="BE14" t="n">
        <v>41770626211.978</v>
      </c>
      <c r="BF14" t="n">
        <v>40252785408.22</v>
      </c>
      <c r="BG14" t="n">
        <v>40609732729.117</v>
      </c>
      <c r="BH14" t="n">
        <v>39931181279.324</v>
      </c>
      <c r="BI14" t="n">
        <v>40067562878.463</v>
      </c>
      <c r="BJ14" t="n">
        <v>43224401042.954</v>
      </c>
      <c r="BK14" t="n">
        <v>42898921261.303</v>
      </c>
      <c r="BL14" t="n">
        <v>40958283098.823</v>
      </c>
      <c r="BM14" t="n">
        <v>43436638877.701</v>
      </c>
      <c r="BN14" t="n">
        <v>46120146864.588</v>
      </c>
      <c r="BO14" t="n">
        <v>44575789660.51</v>
      </c>
      <c r="BP14" t="n">
        <v>46252104220.477</v>
      </c>
      <c r="BQ14" t="n">
        <v>46528736269.906</v>
      </c>
      <c r="BR14" t="n">
        <v>45848551324.005</v>
      </c>
      <c r="BS14" t="n">
        <v>46122456256.53</v>
      </c>
      <c r="BT14" t="n">
        <v>47557990847.26</v>
      </c>
    </row>
    <row r="15">
      <c r="A15" t="inlineStr">
        <is>
          <t>EwE_TE_EE</t>
        </is>
      </c>
      <c r="B15" t="inlineStr">
        <is>
          <t>ok</t>
        </is>
      </c>
      <c r="C15" t="n">
        <v>1375660893.406</v>
      </c>
      <c r="D15" t="n">
        <v>1725736462.51</v>
      </c>
      <c r="E15" t="n">
        <v>2067886234.771</v>
      </c>
      <c r="F15" t="n">
        <v>2118250830.019</v>
      </c>
      <c r="G15" t="n">
        <v>2571434122.849</v>
      </c>
      <c r="H15" t="n">
        <v>2870945272.899</v>
      </c>
      <c r="I15" t="n">
        <v>3197600520.518</v>
      </c>
      <c r="J15" t="n">
        <v>3180807721.135</v>
      </c>
      <c r="K15" t="n">
        <v>3417000335.389</v>
      </c>
      <c r="L15" t="n">
        <v>3636948341.753</v>
      </c>
      <c r="M15" t="n">
        <v>4114446443.128</v>
      </c>
      <c r="N15" t="n">
        <v>4004465554.591</v>
      </c>
      <c r="O15" t="n">
        <v>4576440075.535</v>
      </c>
      <c r="P15" t="n">
        <v>4802001968.239</v>
      </c>
      <c r="Q15" t="n">
        <v>4913779981.713</v>
      </c>
      <c r="R15" t="n">
        <v>5288527898.331</v>
      </c>
      <c r="S15" t="n">
        <v>5549496739.986</v>
      </c>
      <c r="T15" t="n">
        <v>5596575793.359</v>
      </c>
      <c r="U15" t="n">
        <v>5958603143.592</v>
      </c>
      <c r="V15" t="n">
        <v>6161370143.295</v>
      </c>
      <c r="W15" t="n">
        <v>5957547982.218</v>
      </c>
      <c r="X15" t="n">
        <v>6030642033.966</v>
      </c>
      <c r="Y15" t="n">
        <v>6254665381.515</v>
      </c>
      <c r="Z15" t="n">
        <v>6881766237.979</v>
      </c>
      <c r="AA15" t="n">
        <v>6867782181.228</v>
      </c>
      <c r="AB15" t="n">
        <v>6900950570.697</v>
      </c>
      <c r="AC15" t="n">
        <v>6893749304.533</v>
      </c>
      <c r="AD15" t="n">
        <v>7018068136.915</v>
      </c>
      <c r="AE15" t="n">
        <v>6930647915.884</v>
      </c>
      <c r="AF15" t="n">
        <v>7152685090.03</v>
      </c>
      <c r="AG15" t="n">
        <v>7102627604.983</v>
      </c>
      <c r="AH15" t="n">
        <v>7456149015.509</v>
      </c>
      <c r="AI15" t="n">
        <v>7914280021.712</v>
      </c>
      <c r="AJ15" t="n">
        <v>8083223986.035</v>
      </c>
      <c r="AK15" t="n">
        <v>8436258186.019</v>
      </c>
      <c r="AL15" t="n">
        <v>8741967588.030001</v>
      </c>
      <c r="AM15" t="n">
        <v>8825617224.719999</v>
      </c>
      <c r="AN15" t="n">
        <v>9301854759.584999</v>
      </c>
      <c r="AO15" t="n">
        <v>9040010458.108999</v>
      </c>
      <c r="AP15" t="n">
        <v>9438948134.561001</v>
      </c>
      <c r="AQ15" t="n">
        <v>10010108249.876</v>
      </c>
      <c r="AR15" t="n">
        <v>10336496821.973</v>
      </c>
      <c r="AS15" t="n">
        <v>10701868851.992</v>
      </c>
      <c r="AT15" t="n">
        <v>10308382985.116</v>
      </c>
      <c r="AU15" t="n">
        <v>11873102973.271</v>
      </c>
      <c r="AV15" t="n">
        <v>12701401758.217</v>
      </c>
      <c r="AW15" t="n">
        <v>13697858733.23</v>
      </c>
      <c r="AX15" t="n">
        <v>13603764909.754</v>
      </c>
      <c r="AY15" t="n">
        <v>13562018501.595</v>
      </c>
      <c r="AZ15" t="n">
        <v>14298560674.651</v>
      </c>
      <c r="BA15" t="n">
        <v>13868480367.222</v>
      </c>
      <c r="BB15" t="n">
        <v>14015966610.891</v>
      </c>
      <c r="BC15" t="n">
        <v>14307436994.611</v>
      </c>
      <c r="BD15" t="n">
        <v>15258604754.043</v>
      </c>
      <c r="BE15" t="n">
        <v>15368819403.671</v>
      </c>
      <c r="BF15" t="n">
        <v>14712219914.776</v>
      </c>
      <c r="BG15" t="n">
        <v>14772315400.969</v>
      </c>
      <c r="BH15" t="n">
        <v>14441318165.751</v>
      </c>
      <c r="BI15" t="n">
        <v>14520946369.098</v>
      </c>
      <c r="BJ15" t="n">
        <v>15716840333.85</v>
      </c>
      <c r="BK15" t="n">
        <v>15533351006.42</v>
      </c>
      <c r="BL15" t="n">
        <v>14909421673.736</v>
      </c>
      <c r="BM15" t="n">
        <v>15770647141.407</v>
      </c>
      <c r="BN15" t="n">
        <v>16736876343.755</v>
      </c>
      <c r="BO15" t="n">
        <v>16172958956.169</v>
      </c>
      <c r="BP15" t="n">
        <v>16780520679.452</v>
      </c>
      <c r="BQ15" t="n">
        <v>16900940741.682</v>
      </c>
      <c r="BR15" t="n">
        <v>16581958439.745</v>
      </c>
      <c r="BS15" t="n">
        <v>16669569459.425</v>
      </c>
      <c r="BT15" t="n">
        <v>17205681033.921</v>
      </c>
    </row>
    <row r="16">
      <c r="A16" t="inlineStr">
        <is>
          <t>SPPR_2015</t>
        </is>
      </c>
      <c r="B16" t="inlineStr">
        <is>
          <t>ok</t>
        </is>
      </c>
      <c r="C16" t="n">
        <v>5340072572.595</v>
      </c>
      <c r="D16" t="n">
        <v>6769291557.963</v>
      </c>
      <c r="E16" t="n">
        <v>8164556708.786</v>
      </c>
      <c r="F16" t="n">
        <v>8340909675.555</v>
      </c>
      <c r="G16" t="n">
        <v>10126933469.151</v>
      </c>
      <c r="H16" t="n">
        <v>11600292619.832</v>
      </c>
      <c r="I16" t="n">
        <v>12952016465.107</v>
      </c>
      <c r="J16" t="n">
        <v>12850113538.406</v>
      </c>
      <c r="K16" t="n">
        <v>13566499932.819</v>
      </c>
      <c r="L16" t="n">
        <v>14496515164.821</v>
      </c>
      <c r="M16" t="n">
        <v>16308704405.034</v>
      </c>
      <c r="N16" t="n">
        <v>15788073155.659</v>
      </c>
      <c r="O16" t="n">
        <v>17871025011.59</v>
      </c>
      <c r="P16" t="n">
        <v>18729830484.907</v>
      </c>
      <c r="Q16" t="n">
        <v>19130404644.276</v>
      </c>
      <c r="R16" t="n">
        <v>20740259265.684</v>
      </c>
      <c r="S16" t="n">
        <v>21847512083.02</v>
      </c>
      <c r="T16" t="n">
        <v>21839740232.481</v>
      </c>
      <c r="U16" t="n">
        <v>23047048062.489</v>
      </c>
      <c r="V16" t="n">
        <v>23747341407.195</v>
      </c>
      <c r="W16" t="n">
        <v>22863880013.327</v>
      </c>
      <c r="X16" t="n">
        <v>23335682890.392</v>
      </c>
      <c r="Y16" t="n">
        <v>24401391960.776</v>
      </c>
      <c r="Z16" t="n">
        <v>26769035110.084</v>
      </c>
      <c r="AA16" t="n">
        <v>26492184962.726</v>
      </c>
      <c r="AB16" t="n">
        <v>26430673773.807</v>
      </c>
      <c r="AC16" t="n">
        <v>26597277215.004</v>
      </c>
      <c r="AD16" t="n">
        <v>27145228585.223</v>
      </c>
      <c r="AE16" t="n">
        <v>26653477435.282</v>
      </c>
      <c r="AF16" t="n">
        <v>27611385084.981</v>
      </c>
      <c r="AG16" t="n">
        <v>27388290930.962</v>
      </c>
      <c r="AH16" t="n">
        <v>28840226559.929</v>
      </c>
      <c r="AI16" t="n">
        <v>30660416279.636</v>
      </c>
      <c r="AJ16" t="n">
        <v>31173279448.601</v>
      </c>
      <c r="AK16" t="n">
        <v>32535407178.252</v>
      </c>
      <c r="AL16" t="n">
        <v>33536181131.98</v>
      </c>
      <c r="AM16" t="n">
        <v>33939217891.851</v>
      </c>
      <c r="AN16" t="n">
        <v>35677643973.566</v>
      </c>
      <c r="AO16" t="n">
        <v>34543022562.67</v>
      </c>
      <c r="AP16" t="n">
        <v>36112686603.848</v>
      </c>
      <c r="AQ16" t="n">
        <v>38401458605.324</v>
      </c>
      <c r="AR16" t="n">
        <v>40121190743.977</v>
      </c>
      <c r="AS16" t="n">
        <v>41527576436.005</v>
      </c>
      <c r="AT16" t="n">
        <v>39858730393.975</v>
      </c>
      <c r="AU16" t="n">
        <v>46364379109.498</v>
      </c>
      <c r="AV16" t="n">
        <v>49564012143.529</v>
      </c>
      <c r="AW16" t="n">
        <v>53418537133.759</v>
      </c>
      <c r="AX16" t="n">
        <v>52535126179.991</v>
      </c>
      <c r="AY16" t="n">
        <v>52692761575.16</v>
      </c>
      <c r="AZ16" t="n">
        <v>54895125621.113</v>
      </c>
      <c r="BA16" t="n">
        <v>53398660822.347</v>
      </c>
      <c r="BB16" t="n">
        <v>54648937853.425</v>
      </c>
      <c r="BC16" t="n">
        <v>55709186437.649</v>
      </c>
      <c r="BD16" t="n">
        <v>59198944189.217</v>
      </c>
      <c r="BE16" t="n">
        <v>59422686506.778</v>
      </c>
      <c r="BF16" t="n">
        <v>57074486152.916</v>
      </c>
      <c r="BG16" t="n">
        <v>57753079172.888</v>
      </c>
      <c r="BH16" t="n">
        <v>56680358677.976</v>
      </c>
      <c r="BI16" t="n">
        <v>56821420071.376</v>
      </c>
      <c r="BJ16" t="n">
        <v>61339711904.474</v>
      </c>
      <c r="BK16" t="n">
        <v>60734685215.701</v>
      </c>
      <c r="BL16" t="n">
        <v>57731266428.731</v>
      </c>
      <c r="BM16" t="n">
        <v>60909222738.389</v>
      </c>
      <c r="BN16" t="n">
        <v>64823923943.924</v>
      </c>
      <c r="BO16" t="n">
        <v>62592062769.806</v>
      </c>
      <c r="BP16" t="n">
        <v>64930829925.852</v>
      </c>
      <c r="BQ16" t="n">
        <v>65374943890.854</v>
      </c>
      <c r="BR16" t="n">
        <v>64582742489.672</v>
      </c>
      <c r="BS16" t="n">
        <v>65268580832.158</v>
      </c>
      <c r="BT16" t="n">
        <v>67221200544.741</v>
      </c>
    </row>
    <row r="17">
      <c r="A17" t="inlineStr">
        <is>
          <t>new_TE_noEEfix</t>
        </is>
      </c>
      <c r="B17" t="inlineStr">
        <is>
          <t>ok</t>
        </is>
      </c>
      <c r="C17" t="n">
        <v>5340072572.594</v>
      </c>
      <c r="D17" t="n">
        <v>6769291557.962</v>
      </c>
      <c r="E17" t="n">
        <v>8164556708.785</v>
      </c>
      <c r="F17" t="n">
        <v>8340909675.554</v>
      </c>
      <c r="G17" t="n">
        <v>10126933469.149</v>
      </c>
      <c r="H17" t="n">
        <v>11600292619.83</v>
      </c>
      <c r="I17" t="n">
        <v>12952016465.106</v>
      </c>
      <c r="J17" t="n">
        <v>12850113538.404</v>
      </c>
      <c r="K17" t="n">
        <v>13566499932.817</v>
      </c>
      <c r="L17" t="n">
        <v>14496515164.818</v>
      </c>
      <c r="M17" t="n">
        <v>16308704405.031</v>
      </c>
      <c r="N17" t="n">
        <v>15788073155.656</v>
      </c>
      <c r="O17" t="n">
        <v>17871025011.586</v>
      </c>
      <c r="P17" t="n">
        <v>18729830484.902</v>
      </c>
      <c r="Q17" t="n">
        <v>19130404644.272</v>
      </c>
      <c r="R17" t="n">
        <v>20740259265.68</v>
      </c>
      <c r="S17" t="n">
        <v>21847512083.016</v>
      </c>
      <c r="T17" t="n">
        <v>21839740232.475</v>
      </c>
      <c r="U17" t="n">
        <v>23047048062.481</v>
      </c>
      <c r="V17" t="n">
        <v>23747341407.186</v>
      </c>
      <c r="W17" t="n">
        <v>22863880013.321</v>
      </c>
      <c r="X17" t="n">
        <v>23335682890.385</v>
      </c>
      <c r="Y17" t="n">
        <v>24401391960.77</v>
      </c>
      <c r="Z17" t="n">
        <v>26769035110.077</v>
      </c>
      <c r="AA17" t="n">
        <v>26492184962.719</v>
      </c>
      <c r="AB17" t="n">
        <v>26430673773.8</v>
      </c>
      <c r="AC17" t="n">
        <v>26597277214.998</v>
      </c>
      <c r="AD17" t="n">
        <v>27145228585.217</v>
      </c>
      <c r="AE17" t="n">
        <v>26653477435.276</v>
      </c>
      <c r="AF17" t="n">
        <v>27611385084.974</v>
      </c>
      <c r="AG17" t="n">
        <v>27388290930.956</v>
      </c>
      <c r="AH17" t="n">
        <v>28840226559.922</v>
      </c>
      <c r="AI17" t="n">
        <v>30660416279.63</v>
      </c>
      <c r="AJ17" t="n">
        <v>31173279448.594</v>
      </c>
      <c r="AK17" t="n">
        <v>32535407178.245</v>
      </c>
      <c r="AL17" t="n">
        <v>33536181131.975</v>
      </c>
      <c r="AM17" t="n">
        <v>33939217891.846</v>
      </c>
      <c r="AN17" t="n">
        <v>35677643973.56</v>
      </c>
      <c r="AO17" t="n">
        <v>34543022562.664</v>
      </c>
      <c r="AP17" t="n">
        <v>36112686603.842</v>
      </c>
      <c r="AQ17" t="n">
        <v>38401458605.319</v>
      </c>
      <c r="AR17" t="n">
        <v>40121190743.972</v>
      </c>
      <c r="AS17" t="n">
        <v>41527576436</v>
      </c>
      <c r="AT17" t="n">
        <v>39858730393.97</v>
      </c>
      <c r="AU17" t="n">
        <v>46364379109.494</v>
      </c>
      <c r="AV17" t="n">
        <v>49564012143.525</v>
      </c>
      <c r="AW17" t="n">
        <v>53418537133.755</v>
      </c>
      <c r="AX17" t="n">
        <v>52535126179.987</v>
      </c>
      <c r="AY17" t="n">
        <v>52692761575.156</v>
      </c>
      <c r="AZ17" t="n">
        <v>54895125621.11</v>
      </c>
      <c r="BA17" t="n">
        <v>53398660822.344</v>
      </c>
      <c r="BB17" t="n">
        <v>54648937853.421</v>
      </c>
      <c r="BC17" t="n">
        <v>55709186437.646</v>
      </c>
      <c r="BD17" t="n">
        <v>59198944189.215</v>
      </c>
      <c r="BE17" t="n">
        <v>59422686506.773</v>
      </c>
      <c r="BF17" t="n">
        <v>57074486152.91</v>
      </c>
      <c r="BG17" t="n">
        <v>57753079172.884</v>
      </c>
      <c r="BH17" t="n">
        <v>56680358677.975</v>
      </c>
      <c r="BI17" t="n">
        <v>56821420071.374</v>
      </c>
      <c r="BJ17" t="n">
        <v>61339711904.471</v>
      </c>
      <c r="BK17" t="n">
        <v>60734685215.699</v>
      </c>
      <c r="BL17" t="n">
        <v>57731266428.729</v>
      </c>
      <c r="BM17" t="n">
        <v>60909222738.387</v>
      </c>
      <c r="BN17" t="n">
        <v>64823923943.923</v>
      </c>
      <c r="BO17" t="n">
        <v>62592062769.805</v>
      </c>
      <c r="BP17" t="n">
        <v>64930829925.851</v>
      </c>
      <c r="BQ17" t="n">
        <v>65374943890.853</v>
      </c>
      <c r="BR17" t="n">
        <v>64582742489.671</v>
      </c>
      <c r="BS17" t="n">
        <v>65268580832.157</v>
      </c>
      <c r="BT17" t="n">
        <v>67221200544.74</v>
      </c>
    </row>
    <row r="18">
      <c r="A18" t="inlineStr">
        <is>
          <t>new_TE_EEfix</t>
        </is>
      </c>
      <c r="B18" t="inlineStr">
        <is>
          <t>ok</t>
        </is>
      </c>
      <c r="C18" t="n">
        <v>5340072572.594</v>
      </c>
      <c r="D18" t="n">
        <v>6769291557.962</v>
      </c>
      <c r="E18" t="n">
        <v>8164556708.785</v>
      </c>
      <c r="F18" t="n">
        <v>8340909675.554</v>
      </c>
      <c r="G18" t="n">
        <v>10126933469.149</v>
      </c>
      <c r="H18" t="n">
        <v>11600292619.83</v>
      </c>
      <c r="I18" t="n">
        <v>12952016465.106</v>
      </c>
      <c r="J18" t="n">
        <v>12850113538.404</v>
      </c>
      <c r="K18" t="n">
        <v>13566499932.817</v>
      </c>
      <c r="L18" t="n">
        <v>14496515164.818</v>
      </c>
      <c r="M18" t="n">
        <v>16308704405.031</v>
      </c>
      <c r="N18" t="n">
        <v>15788073155.656</v>
      </c>
      <c r="O18" t="n">
        <v>17871025011.586</v>
      </c>
      <c r="P18" t="n">
        <v>18729830484.902</v>
      </c>
      <c r="Q18" t="n">
        <v>19130404644.272</v>
      </c>
      <c r="R18" t="n">
        <v>20740259265.68</v>
      </c>
      <c r="S18" t="n">
        <v>21847512083.016</v>
      </c>
      <c r="T18" t="n">
        <v>21839740232.475</v>
      </c>
      <c r="U18" t="n">
        <v>23047048062.481</v>
      </c>
      <c r="V18" t="n">
        <v>23747341407.186</v>
      </c>
      <c r="W18" t="n">
        <v>22863880013.321</v>
      </c>
      <c r="X18" t="n">
        <v>23335682890.385</v>
      </c>
      <c r="Y18" t="n">
        <v>24401391960.77</v>
      </c>
      <c r="Z18" t="n">
        <v>26769035110.077</v>
      </c>
      <c r="AA18" t="n">
        <v>26492184962.719</v>
      </c>
      <c r="AB18" t="n">
        <v>26430673773.8</v>
      </c>
      <c r="AC18" t="n">
        <v>26597277214.998</v>
      </c>
      <c r="AD18" t="n">
        <v>27145228585.217</v>
      </c>
      <c r="AE18" t="n">
        <v>26653477435.276</v>
      </c>
      <c r="AF18" t="n">
        <v>27611385084.974</v>
      </c>
      <c r="AG18" t="n">
        <v>27388290930.956</v>
      </c>
      <c r="AH18" t="n">
        <v>28840226559.922</v>
      </c>
      <c r="AI18" t="n">
        <v>30660416279.63</v>
      </c>
      <c r="AJ18" t="n">
        <v>31173279448.594</v>
      </c>
      <c r="AK18" t="n">
        <v>32535407178.245</v>
      </c>
      <c r="AL18" t="n">
        <v>33536181131.975</v>
      </c>
      <c r="AM18" t="n">
        <v>33939217891.846</v>
      </c>
      <c r="AN18" t="n">
        <v>35677643973.56</v>
      </c>
      <c r="AO18" t="n">
        <v>34543022562.664</v>
      </c>
      <c r="AP18" t="n">
        <v>36112686603.842</v>
      </c>
      <c r="AQ18" t="n">
        <v>38401458605.319</v>
      </c>
      <c r="AR18" t="n">
        <v>40121190743.972</v>
      </c>
      <c r="AS18" t="n">
        <v>41527576436</v>
      </c>
      <c r="AT18" t="n">
        <v>39858730393.97</v>
      </c>
      <c r="AU18" t="n">
        <v>46364379109.494</v>
      </c>
      <c r="AV18" t="n">
        <v>49564012143.525</v>
      </c>
      <c r="AW18" t="n">
        <v>53418537133.755</v>
      </c>
      <c r="AX18" t="n">
        <v>52535126179.987</v>
      </c>
      <c r="AY18" t="n">
        <v>52692761575.156</v>
      </c>
      <c r="AZ18" t="n">
        <v>54895125621.11</v>
      </c>
      <c r="BA18" t="n">
        <v>53398660822.344</v>
      </c>
      <c r="BB18" t="n">
        <v>54648937853.421</v>
      </c>
      <c r="BC18" t="n">
        <v>55709186437.646</v>
      </c>
      <c r="BD18" t="n">
        <v>59198944189.215</v>
      </c>
      <c r="BE18" t="n">
        <v>59422686506.773</v>
      </c>
      <c r="BF18" t="n">
        <v>57074486152.91</v>
      </c>
      <c r="BG18" t="n">
        <v>57753079172.884</v>
      </c>
      <c r="BH18" t="n">
        <v>56680358677.975</v>
      </c>
      <c r="BI18" t="n">
        <v>56821420071.374</v>
      </c>
      <c r="BJ18" t="n">
        <v>61339711904.471</v>
      </c>
      <c r="BK18" t="n">
        <v>60734685215.699</v>
      </c>
      <c r="BL18" t="n">
        <v>57731266428.729</v>
      </c>
      <c r="BM18" t="n">
        <v>60909222738.387</v>
      </c>
      <c r="BN18" t="n">
        <v>64823923943.923</v>
      </c>
      <c r="BO18" t="n">
        <v>62592062769.805</v>
      </c>
      <c r="BP18" t="n">
        <v>64930829925.851</v>
      </c>
      <c r="BQ18" t="n">
        <v>65374943890.853</v>
      </c>
      <c r="BR18" t="n">
        <v>64582742489.671</v>
      </c>
      <c r="BS18" t="n">
        <v>65268580832.157</v>
      </c>
      <c r="BT18" t="n">
        <v>67221200544.74</v>
      </c>
    </row>
    <row r="19">
      <c r="A19" t="inlineStr">
        <is>
          <t>new_GE</t>
        </is>
      </c>
      <c r="B19" t="inlineStr">
        <is>
          <t>ok</t>
        </is>
      </c>
      <c r="C19" t="n">
        <v>47670597.7</v>
      </c>
      <c r="D19" t="n">
        <v>58695949.638</v>
      </c>
      <c r="E19" t="n">
        <v>69275384.498</v>
      </c>
      <c r="F19" t="n">
        <v>70761306.90700001</v>
      </c>
      <c r="G19" t="n">
        <v>88835269.307</v>
      </c>
      <c r="H19" t="n">
        <v>100746926.06</v>
      </c>
      <c r="I19" t="n">
        <v>110920012.08</v>
      </c>
      <c r="J19" t="n">
        <v>111087937.845</v>
      </c>
      <c r="K19" t="n">
        <v>120175192.53</v>
      </c>
      <c r="L19" t="n">
        <v>127158935.935</v>
      </c>
      <c r="M19" t="n">
        <v>144111104.724</v>
      </c>
      <c r="N19" t="n">
        <v>140820142.889</v>
      </c>
      <c r="O19" t="n">
        <v>156154215.776</v>
      </c>
      <c r="P19" t="n">
        <v>164184857.499</v>
      </c>
      <c r="Q19" t="n">
        <v>170162185.23</v>
      </c>
      <c r="R19" t="n">
        <v>181854123.492</v>
      </c>
      <c r="S19" t="n">
        <v>194429327.121</v>
      </c>
      <c r="T19" t="n">
        <v>192204179.107</v>
      </c>
      <c r="U19" t="n">
        <v>198892784.702</v>
      </c>
      <c r="V19" t="n">
        <v>204679053.53</v>
      </c>
      <c r="W19" t="n">
        <v>205956818.308</v>
      </c>
      <c r="X19" t="n">
        <v>206382437.962</v>
      </c>
      <c r="Y19" t="n">
        <v>221622784.1</v>
      </c>
      <c r="Z19" t="n">
        <v>239353868.987</v>
      </c>
      <c r="AA19" t="n">
        <v>239189813.202</v>
      </c>
      <c r="AB19" t="n">
        <v>236788996.965</v>
      </c>
      <c r="AC19" t="n">
        <v>238033725.971</v>
      </c>
      <c r="AD19" t="n">
        <v>245987346.98</v>
      </c>
      <c r="AE19" t="n">
        <v>245810975.412</v>
      </c>
      <c r="AF19" t="n">
        <v>253994591.423</v>
      </c>
      <c r="AG19" t="n">
        <v>256092744.474</v>
      </c>
      <c r="AH19" t="n">
        <v>268344923.882</v>
      </c>
      <c r="AI19" t="n">
        <v>285128368.029</v>
      </c>
      <c r="AJ19" t="n">
        <v>292318988.996</v>
      </c>
      <c r="AK19" t="n">
        <v>304916822.37</v>
      </c>
      <c r="AL19" t="n">
        <v>319672751.71</v>
      </c>
      <c r="AM19" t="n">
        <v>326844369.206</v>
      </c>
      <c r="AN19" t="n">
        <v>350702075.271</v>
      </c>
      <c r="AO19" t="n">
        <v>347469622.956</v>
      </c>
      <c r="AP19" t="n">
        <v>367141250.929</v>
      </c>
      <c r="AQ19" t="n">
        <v>392920767.025</v>
      </c>
      <c r="AR19" t="n">
        <v>412831175.499</v>
      </c>
      <c r="AS19" t="n">
        <v>435655700.451</v>
      </c>
      <c r="AT19" t="n">
        <v>418235098.37</v>
      </c>
      <c r="AU19" t="n">
        <v>480785436.286</v>
      </c>
      <c r="AV19" t="n">
        <v>524237229.191</v>
      </c>
      <c r="AW19" t="n">
        <v>570166213.929</v>
      </c>
      <c r="AX19" t="n">
        <v>568989082.798</v>
      </c>
      <c r="AY19" t="n">
        <v>571132447.826</v>
      </c>
      <c r="AZ19" t="n">
        <v>559302110.836</v>
      </c>
      <c r="BA19" t="n">
        <v>552138140.16</v>
      </c>
      <c r="BB19" t="n">
        <v>577360877.5700001</v>
      </c>
      <c r="BC19" t="n">
        <v>589097117.332</v>
      </c>
      <c r="BD19" t="n">
        <v>628149779.972</v>
      </c>
      <c r="BE19" t="n">
        <v>611235059.126</v>
      </c>
      <c r="BF19" t="n">
        <v>599861943.332</v>
      </c>
      <c r="BG19" t="n">
        <v>601698292.536</v>
      </c>
      <c r="BH19" t="n">
        <v>598339468.038</v>
      </c>
      <c r="BI19" t="n">
        <v>599031581.952</v>
      </c>
      <c r="BJ19" t="n">
        <v>649917813.835</v>
      </c>
      <c r="BK19" t="n">
        <v>653618908.9299999</v>
      </c>
      <c r="BL19" t="n">
        <v>620557611.031</v>
      </c>
      <c r="BM19" t="n">
        <v>668335034.255</v>
      </c>
      <c r="BN19" t="n">
        <v>711491721.674</v>
      </c>
      <c r="BO19" t="n">
        <v>691670300.54</v>
      </c>
      <c r="BP19" t="n">
        <v>718452540.405</v>
      </c>
      <c r="BQ19" t="n">
        <v>723599026.6950001</v>
      </c>
      <c r="BR19" t="n">
        <v>708042113.863</v>
      </c>
      <c r="BS19" t="n">
        <v>709384977.865</v>
      </c>
      <c r="BT19" t="n">
        <v>730497800.211</v>
      </c>
    </row>
    <row r="20">
      <c r="A20" t="inlineStr">
        <is>
          <t>new_WithEgestion</t>
        </is>
      </c>
      <c r="B20" t="inlineStr">
        <is>
          <t>ok</t>
        </is>
      </c>
      <c r="C20" t="n">
        <v>22932172.28</v>
      </c>
      <c r="D20" t="n">
        <v>28079433.302</v>
      </c>
      <c r="E20" t="n">
        <v>33004263.394</v>
      </c>
      <c r="F20" t="n">
        <v>33725763.205</v>
      </c>
      <c r="G20" t="n">
        <v>42758690.498</v>
      </c>
      <c r="H20" t="n">
        <v>48443380.424</v>
      </c>
      <c r="I20" t="n">
        <v>53178813.402</v>
      </c>
      <c r="J20" t="n">
        <v>53298199.383</v>
      </c>
      <c r="K20" t="n">
        <v>57737890.453</v>
      </c>
      <c r="L20" t="n">
        <v>61138728.935</v>
      </c>
      <c r="M20" t="n">
        <v>69160873.16599999</v>
      </c>
      <c r="N20" t="n">
        <v>67611803.14300001</v>
      </c>
      <c r="O20" t="n">
        <v>75058671.138</v>
      </c>
      <c r="P20" t="n">
        <v>79137982.55500001</v>
      </c>
      <c r="Q20" t="n">
        <v>82082709.58400001</v>
      </c>
      <c r="R20" t="n">
        <v>87404060.06200001</v>
      </c>
      <c r="S20" t="n">
        <v>93169805.59199999</v>
      </c>
      <c r="T20" t="n">
        <v>92127716.57700001</v>
      </c>
      <c r="U20" t="n">
        <v>95376236.95100001</v>
      </c>
      <c r="V20" t="n">
        <v>98062281.167</v>
      </c>
      <c r="W20" t="n">
        <v>99053948.38500001</v>
      </c>
      <c r="X20" t="n">
        <v>98792678.579</v>
      </c>
      <c r="Y20" t="n">
        <v>105918447.194</v>
      </c>
      <c r="Z20" t="n">
        <v>114261093.2</v>
      </c>
      <c r="AA20" t="n">
        <v>114576037.983</v>
      </c>
      <c r="AB20" t="n">
        <v>113668900.849</v>
      </c>
      <c r="AC20" t="n">
        <v>114485316.571</v>
      </c>
      <c r="AD20" t="n">
        <v>118803308.609</v>
      </c>
      <c r="AE20" t="n">
        <v>118850033.926</v>
      </c>
      <c r="AF20" t="n">
        <v>122938861.46</v>
      </c>
      <c r="AG20" t="n">
        <v>124194126.968</v>
      </c>
      <c r="AH20" t="n">
        <v>129874139.088</v>
      </c>
      <c r="AI20" t="n">
        <v>138240823.284</v>
      </c>
      <c r="AJ20" t="n">
        <v>142507560.454</v>
      </c>
      <c r="AK20" t="n">
        <v>148289975.53</v>
      </c>
      <c r="AL20" t="n">
        <v>155983425.327</v>
      </c>
      <c r="AM20" t="n">
        <v>159672482.956</v>
      </c>
      <c r="AN20" t="n">
        <v>171842708.093</v>
      </c>
      <c r="AO20" t="n">
        <v>170982956.717</v>
      </c>
      <c r="AP20" t="n">
        <v>180434619.785</v>
      </c>
      <c r="AQ20" t="n">
        <v>193464442.864</v>
      </c>
      <c r="AR20" t="n">
        <v>203245712.936</v>
      </c>
      <c r="AS20" t="n">
        <v>215088718.998</v>
      </c>
      <c r="AT20" t="n">
        <v>207042053.914</v>
      </c>
      <c r="AU20" t="n">
        <v>237795618.814</v>
      </c>
      <c r="AV20" t="n">
        <v>259591351.804</v>
      </c>
      <c r="AW20" t="n">
        <v>282574490.634</v>
      </c>
      <c r="AX20" t="n">
        <v>283804487.834</v>
      </c>
      <c r="AY20" t="n">
        <v>284706512.875</v>
      </c>
      <c r="AZ20" t="n">
        <v>277769546.104</v>
      </c>
      <c r="BA20" t="n">
        <v>273995691.572</v>
      </c>
      <c r="BB20" t="n">
        <v>286695241.986</v>
      </c>
      <c r="BC20" t="n">
        <v>292564357.308</v>
      </c>
      <c r="BD20" t="n">
        <v>310552713.685</v>
      </c>
      <c r="BE20" t="n">
        <v>301902264.008</v>
      </c>
      <c r="BF20" t="n">
        <v>296985733.439</v>
      </c>
      <c r="BG20" t="n">
        <v>297069806.008</v>
      </c>
      <c r="BH20" t="n">
        <v>295691484.148</v>
      </c>
      <c r="BI20" t="n">
        <v>295976043.412</v>
      </c>
      <c r="BJ20" t="n">
        <v>321108898.277</v>
      </c>
      <c r="BK20" t="n">
        <v>323463465.899</v>
      </c>
      <c r="BL20" t="n">
        <v>307874854.924</v>
      </c>
      <c r="BM20" t="n">
        <v>332256164.967</v>
      </c>
      <c r="BN20" t="n">
        <v>353066948.975</v>
      </c>
      <c r="BO20" t="n">
        <v>344254314.844</v>
      </c>
      <c r="BP20" t="n">
        <v>357198103.941</v>
      </c>
      <c r="BQ20" t="n">
        <v>359708136.729</v>
      </c>
      <c r="BR20" t="n">
        <v>351580772.503</v>
      </c>
      <c r="BS20" t="n">
        <v>351698577.606</v>
      </c>
      <c r="BT20" t="n">
        <v>362452720.83</v>
      </c>
    </row>
    <row r="21">
      <c r="A21" t="inlineStr">
        <is>
          <t>sym_TE_asPP</t>
        </is>
      </c>
      <c r="B21" t="inlineStr">
        <is>
          <t>ok</t>
        </is>
      </c>
      <c r="C21" t="n">
        <v>5340072572.594</v>
      </c>
      <c r="D21" t="n">
        <v>6769291557.962</v>
      </c>
      <c r="E21" t="n">
        <v>8164556708.785</v>
      </c>
      <c r="F21" t="n">
        <v>8340909675.554</v>
      </c>
      <c r="G21" t="n">
        <v>10126933469.149</v>
      </c>
      <c r="H21" t="n">
        <v>11600292619.83</v>
      </c>
      <c r="I21" t="n">
        <v>12952016465.106</v>
      </c>
      <c r="J21" t="n">
        <v>12850113538.404</v>
      </c>
      <c r="K21" t="n">
        <v>13566499932.817</v>
      </c>
      <c r="L21" t="n">
        <v>14496515164.818</v>
      </c>
      <c r="M21" t="n">
        <v>16308704405.031</v>
      </c>
      <c r="N21" t="n">
        <v>15788073155.656</v>
      </c>
      <c r="O21" t="n">
        <v>17871025011.586</v>
      </c>
      <c r="P21" t="n">
        <v>18729830484.902</v>
      </c>
      <c r="Q21" t="n">
        <v>19130404644.272</v>
      </c>
      <c r="R21" t="n">
        <v>20740259265.68</v>
      </c>
      <c r="S21" t="n">
        <v>21847512083.016</v>
      </c>
      <c r="T21" t="n">
        <v>21839740232.475</v>
      </c>
      <c r="U21" t="n">
        <v>23047048062.481</v>
      </c>
      <c r="V21" t="n">
        <v>23747341407.186</v>
      </c>
      <c r="W21" t="n">
        <v>22863880013.321</v>
      </c>
      <c r="X21" t="n">
        <v>23335682890.385</v>
      </c>
      <c r="Y21" t="n">
        <v>24401391960.77</v>
      </c>
      <c r="Z21" t="n">
        <v>26769035110.077</v>
      </c>
      <c r="AA21" t="n">
        <v>26492184962.719</v>
      </c>
      <c r="AB21" t="n">
        <v>26430673773.8</v>
      </c>
      <c r="AC21" t="n">
        <v>26597277214.998</v>
      </c>
      <c r="AD21" t="n">
        <v>27145228585.217</v>
      </c>
      <c r="AE21" t="n">
        <v>26653477435.276</v>
      </c>
      <c r="AF21" t="n">
        <v>27611385084.974</v>
      </c>
      <c r="AG21" t="n">
        <v>27388290930.956</v>
      </c>
      <c r="AH21" t="n">
        <v>28840226559.922</v>
      </c>
      <c r="AI21" t="n">
        <v>30660416279.63</v>
      </c>
      <c r="AJ21" t="n">
        <v>31173279448.594</v>
      </c>
      <c r="AK21" t="n">
        <v>32535407178.245</v>
      </c>
      <c r="AL21" t="n">
        <v>33536181131.975</v>
      </c>
      <c r="AM21" t="n">
        <v>33939217891.846</v>
      </c>
      <c r="AN21" t="n">
        <v>35677643973.56</v>
      </c>
      <c r="AO21" t="n">
        <v>34543022562.664</v>
      </c>
      <c r="AP21" t="n">
        <v>36112686603.842</v>
      </c>
      <c r="AQ21" t="n">
        <v>38401458605.319</v>
      </c>
      <c r="AR21" t="n">
        <v>40121190743.972</v>
      </c>
      <c r="AS21" t="n">
        <v>41527576436</v>
      </c>
      <c r="AT21" t="n">
        <v>39858730393.97</v>
      </c>
      <c r="AU21" t="n">
        <v>46364379109.494</v>
      </c>
      <c r="AV21" t="n">
        <v>49564012143.525</v>
      </c>
      <c r="AW21" t="n">
        <v>53418537133.755</v>
      </c>
      <c r="AX21" t="n">
        <v>52535126179.987</v>
      </c>
      <c r="AY21" t="n">
        <v>52692761575.156</v>
      </c>
      <c r="AZ21" t="n">
        <v>54895125621.11</v>
      </c>
      <c r="BA21" t="n">
        <v>53398660822.344</v>
      </c>
      <c r="BB21" t="n">
        <v>54648937853.421</v>
      </c>
      <c r="BC21" t="n">
        <v>55709186437.646</v>
      </c>
      <c r="BD21" t="n">
        <v>59198944189.215</v>
      </c>
      <c r="BE21" t="n">
        <v>59422686506.773</v>
      </c>
      <c r="BF21" t="n">
        <v>57074486152.91</v>
      </c>
      <c r="BG21" t="n">
        <v>57753079172.884</v>
      </c>
      <c r="BH21" t="n">
        <v>56680358677.975</v>
      </c>
      <c r="BI21" t="n">
        <v>56821420071.374</v>
      </c>
      <c r="BJ21" t="n">
        <v>61339711904.471</v>
      </c>
      <c r="BK21" t="n">
        <v>60734685215.699</v>
      </c>
      <c r="BL21" t="n">
        <v>57731266428.729</v>
      </c>
      <c r="BM21" t="n">
        <v>60909222738.387</v>
      </c>
      <c r="BN21" t="n">
        <v>64823923943.923</v>
      </c>
      <c r="BO21" t="n">
        <v>62592062769.805</v>
      </c>
      <c r="BP21" t="n">
        <v>64930829925.851</v>
      </c>
      <c r="BQ21" t="n">
        <v>65374943890.853</v>
      </c>
      <c r="BR21" t="n">
        <v>64582742489.671</v>
      </c>
      <c r="BS21" t="n">
        <v>65268580832.157</v>
      </c>
      <c r="BT21" t="n">
        <v>67221200544.74</v>
      </c>
    </row>
    <row r="22">
      <c r="A22" t="inlineStr">
        <is>
          <t>sym_TE_asDC</t>
        </is>
      </c>
      <c r="B22" t="inlineStr">
        <is>
          <t>ok</t>
        </is>
      </c>
      <c r="C22" t="n">
        <v>5340072572.594</v>
      </c>
      <c r="D22" t="n">
        <v>6769291557.962</v>
      </c>
      <c r="E22" t="n">
        <v>8164556708.785</v>
      </c>
      <c r="F22" t="n">
        <v>8340909675.554</v>
      </c>
      <c r="G22" t="n">
        <v>10126933469.149</v>
      </c>
      <c r="H22" t="n">
        <v>11600292619.83</v>
      </c>
      <c r="I22" t="n">
        <v>12952016465.106</v>
      </c>
      <c r="J22" t="n">
        <v>12850113538.404</v>
      </c>
      <c r="K22" t="n">
        <v>13566499932.817</v>
      </c>
      <c r="L22" t="n">
        <v>14496515164.818</v>
      </c>
      <c r="M22" t="n">
        <v>16308704405.031</v>
      </c>
      <c r="N22" t="n">
        <v>15788073155.656</v>
      </c>
      <c r="O22" t="n">
        <v>17871025011.586</v>
      </c>
      <c r="P22" t="n">
        <v>18729830484.902</v>
      </c>
      <c r="Q22" t="n">
        <v>19130404644.272</v>
      </c>
      <c r="R22" t="n">
        <v>20740259265.68</v>
      </c>
      <c r="S22" t="n">
        <v>21847512083.016</v>
      </c>
      <c r="T22" t="n">
        <v>21839740232.475</v>
      </c>
      <c r="U22" t="n">
        <v>23047048062.481</v>
      </c>
      <c r="V22" t="n">
        <v>23747341407.186</v>
      </c>
      <c r="W22" t="n">
        <v>22863880013.321</v>
      </c>
      <c r="X22" t="n">
        <v>23335682890.385</v>
      </c>
      <c r="Y22" t="n">
        <v>24401391960.77</v>
      </c>
      <c r="Z22" t="n">
        <v>26769035110.077</v>
      </c>
      <c r="AA22" t="n">
        <v>26492184962.719</v>
      </c>
      <c r="AB22" t="n">
        <v>26430673773.8</v>
      </c>
      <c r="AC22" t="n">
        <v>26597277214.998</v>
      </c>
      <c r="AD22" t="n">
        <v>27145228585.217</v>
      </c>
      <c r="AE22" t="n">
        <v>26653477435.276</v>
      </c>
      <c r="AF22" t="n">
        <v>27611385084.974</v>
      </c>
      <c r="AG22" t="n">
        <v>27388290930.956</v>
      </c>
      <c r="AH22" t="n">
        <v>28840226559.922</v>
      </c>
      <c r="AI22" t="n">
        <v>30660416279.63</v>
      </c>
      <c r="AJ22" t="n">
        <v>31173279448.594</v>
      </c>
      <c r="AK22" t="n">
        <v>32535407178.245</v>
      </c>
      <c r="AL22" t="n">
        <v>33536181131.975</v>
      </c>
      <c r="AM22" t="n">
        <v>33939217891.846</v>
      </c>
      <c r="AN22" t="n">
        <v>35677643973.56</v>
      </c>
      <c r="AO22" t="n">
        <v>34543022562.664</v>
      </c>
      <c r="AP22" t="n">
        <v>36112686603.842</v>
      </c>
      <c r="AQ22" t="n">
        <v>38401458605.319</v>
      </c>
      <c r="AR22" t="n">
        <v>40121190743.972</v>
      </c>
      <c r="AS22" t="n">
        <v>41527576436</v>
      </c>
      <c r="AT22" t="n">
        <v>39858730393.97</v>
      </c>
      <c r="AU22" t="n">
        <v>46364379109.494</v>
      </c>
      <c r="AV22" t="n">
        <v>49564012143.525</v>
      </c>
      <c r="AW22" t="n">
        <v>53418537133.755</v>
      </c>
      <c r="AX22" t="n">
        <v>52535126179.987</v>
      </c>
      <c r="AY22" t="n">
        <v>52692761575.156</v>
      </c>
      <c r="AZ22" t="n">
        <v>54895125621.11</v>
      </c>
      <c r="BA22" t="n">
        <v>53398660822.344</v>
      </c>
      <c r="BB22" t="n">
        <v>54648937853.421</v>
      </c>
      <c r="BC22" t="n">
        <v>55709186437.646</v>
      </c>
      <c r="BD22" t="n">
        <v>59198944189.215</v>
      </c>
      <c r="BE22" t="n">
        <v>59422686506.773</v>
      </c>
      <c r="BF22" t="n">
        <v>57074486152.91</v>
      </c>
      <c r="BG22" t="n">
        <v>57753079172.884</v>
      </c>
      <c r="BH22" t="n">
        <v>56680358677.975</v>
      </c>
      <c r="BI22" t="n">
        <v>56821420071.374</v>
      </c>
      <c r="BJ22" t="n">
        <v>61339711904.471</v>
      </c>
      <c r="BK22" t="n">
        <v>60734685215.699</v>
      </c>
      <c r="BL22" t="n">
        <v>57731266428.729</v>
      </c>
      <c r="BM22" t="n">
        <v>60909222738.387</v>
      </c>
      <c r="BN22" t="n">
        <v>64823923943.923</v>
      </c>
      <c r="BO22" t="n">
        <v>62592062769.805</v>
      </c>
      <c r="BP22" t="n">
        <v>64930829925.851</v>
      </c>
      <c r="BQ22" t="n">
        <v>65374943890.853</v>
      </c>
      <c r="BR22" t="n">
        <v>64582742489.671</v>
      </c>
      <c r="BS22" t="n">
        <v>65268580832.157</v>
      </c>
      <c r="BT22" t="n">
        <v>67221200544.74</v>
      </c>
    </row>
    <row r="23">
      <c r="A23" t="inlineStr">
        <is>
          <t>sym_GE_asPP</t>
        </is>
      </c>
      <c r="B23" t="inlineStr">
        <is>
          <t>ok</t>
        </is>
      </c>
      <c r="C23" t="n">
        <v>47670597.7</v>
      </c>
      <c r="D23" t="n">
        <v>58695949.638</v>
      </c>
      <c r="E23" t="n">
        <v>69275384.498</v>
      </c>
      <c r="F23" t="n">
        <v>70761306.90700001</v>
      </c>
      <c r="G23" t="n">
        <v>88835269.307</v>
      </c>
      <c r="H23" t="n">
        <v>100746926.06</v>
      </c>
      <c r="I23" t="n">
        <v>110920012.08</v>
      </c>
      <c r="J23" t="n">
        <v>111087937.845</v>
      </c>
      <c r="K23" t="n">
        <v>120175192.53</v>
      </c>
      <c r="L23" t="n">
        <v>127158935.935</v>
      </c>
      <c r="M23" t="n">
        <v>144111104.724</v>
      </c>
      <c r="N23" t="n">
        <v>140820142.889</v>
      </c>
      <c r="O23" t="n">
        <v>156154215.776</v>
      </c>
      <c r="P23" t="n">
        <v>164184857.499</v>
      </c>
      <c r="Q23" t="n">
        <v>170162185.23</v>
      </c>
      <c r="R23" t="n">
        <v>181854123.492</v>
      </c>
      <c r="S23" t="n">
        <v>194429327.121</v>
      </c>
      <c r="T23" t="n">
        <v>192204179.107</v>
      </c>
      <c r="U23" t="n">
        <v>198892784.702</v>
      </c>
      <c r="V23" t="n">
        <v>204679053.53</v>
      </c>
      <c r="W23" t="n">
        <v>205956818.308</v>
      </c>
      <c r="X23" t="n">
        <v>206382437.962</v>
      </c>
      <c r="Y23" t="n">
        <v>221622784.1</v>
      </c>
      <c r="Z23" t="n">
        <v>239353868.987</v>
      </c>
      <c r="AA23" t="n">
        <v>239189813.202</v>
      </c>
      <c r="AB23" t="n">
        <v>236788996.965</v>
      </c>
      <c r="AC23" t="n">
        <v>238033725.971</v>
      </c>
      <c r="AD23" t="n">
        <v>245987346.98</v>
      </c>
      <c r="AE23" t="n">
        <v>245810975.412</v>
      </c>
      <c r="AF23" t="n">
        <v>253994591.423</v>
      </c>
      <c r="AG23" t="n">
        <v>256092744.474</v>
      </c>
      <c r="AH23" t="n">
        <v>268344923.882</v>
      </c>
      <c r="AI23" t="n">
        <v>285128368.029</v>
      </c>
      <c r="AJ23" t="n">
        <v>292318988.996</v>
      </c>
      <c r="AK23" t="n">
        <v>304916822.37</v>
      </c>
      <c r="AL23" t="n">
        <v>319672751.71</v>
      </c>
      <c r="AM23" t="n">
        <v>326844369.206</v>
      </c>
      <c r="AN23" t="n">
        <v>350702075.271</v>
      </c>
      <c r="AO23" t="n">
        <v>347469622.956</v>
      </c>
      <c r="AP23" t="n">
        <v>367141250.929</v>
      </c>
      <c r="AQ23" t="n">
        <v>392920767.025</v>
      </c>
      <c r="AR23" t="n">
        <v>412831175.499</v>
      </c>
      <c r="AS23" t="n">
        <v>435655700.451</v>
      </c>
      <c r="AT23" t="n">
        <v>418235098.37</v>
      </c>
      <c r="AU23" t="n">
        <v>480785436.286</v>
      </c>
      <c r="AV23" t="n">
        <v>524237229.191</v>
      </c>
      <c r="AW23" t="n">
        <v>570166213.929</v>
      </c>
      <c r="AX23" t="n">
        <v>568989082.798</v>
      </c>
      <c r="AY23" t="n">
        <v>571132447.826</v>
      </c>
      <c r="AZ23" t="n">
        <v>559302110.836</v>
      </c>
      <c r="BA23" t="n">
        <v>552138140.16</v>
      </c>
      <c r="BB23" t="n">
        <v>577360877.5700001</v>
      </c>
      <c r="BC23" t="n">
        <v>589097117.332</v>
      </c>
      <c r="BD23" t="n">
        <v>628149779.972</v>
      </c>
      <c r="BE23" t="n">
        <v>611235059.126</v>
      </c>
      <c r="BF23" t="n">
        <v>599861943.332</v>
      </c>
      <c r="BG23" t="n">
        <v>601698292.536</v>
      </c>
      <c r="BH23" t="n">
        <v>598339468.038</v>
      </c>
      <c r="BI23" t="n">
        <v>599031581.952</v>
      </c>
      <c r="BJ23" t="n">
        <v>649917813.835</v>
      </c>
      <c r="BK23" t="n">
        <v>653618908.9299999</v>
      </c>
      <c r="BL23" t="n">
        <v>620557611.031</v>
      </c>
      <c r="BM23" t="n">
        <v>668335034.255</v>
      </c>
      <c r="BN23" t="n">
        <v>711491721.674</v>
      </c>
      <c r="BO23" t="n">
        <v>691670300.54</v>
      </c>
      <c r="BP23" t="n">
        <v>718452540.405</v>
      </c>
      <c r="BQ23" t="n">
        <v>723599026.6950001</v>
      </c>
      <c r="BR23" t="n">
        <v>708042113.863</v>
      </c>
      <c r="BS23" t="n">
        <v>709384977.865</v>
      </c>
      <c r="BT23" t="n">
        <v>730497800.211</v>
      </c>
    </row>
    <row r="24">
      <c r="A24" t="inlineStr">
        <is>
          <t>sym_GE_asDC</t>
        </is>
      </c>
      <c r="B24" t="inlineStr">
        <is>
          <t>ok</t>
        </is>
      </c>
      <c r="C24" t="n">
        <v>47670597.7</v>
      </c>
      <c r="D24" t="n">
        <v>58695949.638</v>
      </c>
      <c r="E24" t="n">
        <v>69275384.498</v>
      </c>
      <c r="F24" t="n">
        <v>70761306.90700001</v>
      </c>
      <c r="G24" t="n">
        <v>88835269.307</v>
      </c>
      <c r="H24" t="n">
        <v>100746926.06</v>
      </c>
      <c r="I24" t="n">
        <v>110920012.08</v>
      </c>
      <c r="J24" t="n">
        <v>111087937.845</v>
      </c>
      <c r="K24" t="n">
        <v>120175192.53</v>
      </c>
      <c r="L24" t="n">
        <v>127158935.935</v>
      </c>
      <c r="M24" t="n">
        <v>144111104.724</v>
      </c>
      <c r="N24" t="n">
        <v>140820142.889</v>
      </c>
      <c r="O24" t="n">
        <v>156154215.776</v>
      </c>
      <c r="P24" t="n">
        <v>164184857.499</v>
      </c>
      <c r="Q24" t="n">
        <v>170162185.23</v>
      </c>
      <c r="R24" t="n">
        <v>181854123.492</v>
      </c>
      <c r="S24" t="n">
        <v>194429327.121</v>
      </c>
      <c r="T24" t="n">
        <v>192204179.107</v>
      </c>
      <c r="U24" t="n">
        <v>198892784.702</v>
      </c>
      <c r="V24" t="n">
        <v>204679053.53</v>
      </c>
      <c r="W24" t="n">
        <v>205956818.308</v>
      </c>
      <c r="X24" t="n">
        <v>206382437.962</v>
      </c>
      <c r="Y24" t="n">
        <v>221622784.1</v>
      </c>
      <c r="Z24" t="n">
        <v>239353868.987</v>
      </c>
      <c r="AA24" t="n">
        <v>239189813.202</v>
      </c>
      <c r="AB24" t="n">
        <v>236788996.965</v>
      </c>
      <c r="AC24" t="n">
        <v>238033725.971</v>
      </c>
      <c r="AD24" t="n">
        <v>245987346.98</v>
      </c>
      <c r="AE24" t="n">
        <v>245810975.412</v>
      </c>
      <c r="AF24" t="n">
        <v>253994591.423</v>
      </c>
      <c r="AG24" t="n">
        <v>256092744.474</v>
      </c>
      <c r="AH24" t="n">
        <v>268344923.882</v>
      </c>
      <c r="AI24" t="n">
        <v>285128368.029</v>
      </c>
      <c r="AJ24" t="n">
        <v>292318988.996</v>
      </c>
      <c r="AK24" t="n">
        <v>304916822.37</v>
      </c>
      <c r="AL24" t="n">
        <v>319672751.71</v>
      </c>
      <c r="AM24" t="n">
        <v>326844369.206</v>
      </c>
      <c r="AN24" t="n">
        <v>350702075.271</v>
      </c>
      <c r="AO24" t="n">
        <v>347469622.956</v>
      </c>
      <c r="AP24" t="n">
        <v>367141250.929</v>
      </c>
      <c r="AQ24" t="n">
        <v>392920767.025</v>
      </c>
      <c r="AR24" t="n">
        <v>412831175.499</v>
      </c>
      <c r="AS24" t="n">
        <v>435655700.451</v>
      </c>
      <c r="AT24" t="n">
        <v>418235098.37</v>
      </c>
      <c r="AU24" t="n">
        <v>480785436.286</v>
      </c>
      <c r="AV24" t="n">
        <v>524237229.191</v>
      </c>
      <c r="AW24" t="n">
        <v>570166213.929</v>
      </c>
      <c r="AX24" t="n">
        <v>568989082.798</v>
      </c>
      <c r="AY24" t="n">
        <v>571132447.826</v>
      </c>
      <c r="AZ24" t="n">
        <v>559302110.836</v>
      </c>
      <c r="BA24" t="n">
        <v>552138140.16</v>
      </c>
      <c r="BB24" t="n">
        <v>577360877.5700001</v>
      </c>
      <c r="BC24" t="n">
        <v>589097117.332</v>
      </c>
      <c r="BD24" t="n">
        <v>628149779.972</v>
      </c>
      <c r="BE24" t="n">
        <v>611235059.126</v>
      </c>
      <c r="BF24" t="n">
        <v>599861943.332</v>
      </c>
      <c r="BG24" t="n">
        <v>601698292.536</v>
      </c>
      <c r="BH24" t="n">
        <v>598339468.038</v>
      </c>
      <c r="BI24" t="n">
        <v>599031581.952</v>
      </c>
      <c r="BJ24" t="n">
        <v>649917813.835</v>
      </c>
      <c r="BK24" t="n">
        <v>653618908.9299999</v>
      </c>
      <c r="BL24" t="n">
        <v>620557611.031</v>
      </c>
      <c r="BM24" t="n">
        <v>668335034.255</v>
      </c>
      <c r="BN24" t="n">
        <v>711491721.674</v>
      </c>
      <c r="BO24" t="n">
        <v>691670300.54</v>
      </c>
      <c r="BP24" t="n">
        <v>718452540.405</v>
      </c>
      <c r="BQ24" t="n">
        <v>723599026.6950001</v>
      </c>
      <c r="BR24" t="n">
        <v>708042113.863</v>
      </c>
      <c r="BS24" t="n">
        <v>709384977.865</v>
      </c>
      <c r="BT24" t="n">
        <v>730497800.211</v>
      </c>
    </row>
    <row r="25">
      <c r="A25" t="inlineStr">
        <is>
          <t>sym_WithEgestion_asPP</t>
        </is>
      </c>
      <c r="B25" t="inlineStr">
        <is>
          <t>ok</t>
        </is>
      </c>
      <c r="C25" t="n">
        <v>22932172.28</v>
      </c>
      <c r="D25" t="n">
        <v>28079433.302</v>
      </c>
      <c r="E25" t="n">
        <v>33004263.394</v>
      </c>
      <c r="F25" t="n">
        <v>33725763.205</v>
      </c>
      <c r="G25" t="n">
        <v>42758690.498</v>
      </c>
      <c r="H25" t="n">
        <v>48443380.424</v>
      </c>
      <c r="I25" t="n">
        <v>53178813.402</v>
      </c>
      <c r="J25" t="n">
        <v>53298199.383</v>
      </c>
      <c r="K25" t="n">
        <v>57737890.453</v>
      </c>
      <c r="L25" t="n">
        <v>61138728.935</v>
      </c>
      <c r="M25" t="n">
        <v>69160873.16599999</v>
      </c>
      <c r="N25" t="n">
        <v>67611803.14300001</v>
      </c>
      <c r="O25" t="n">
        <v>75058671.138</v>
      </c>
      <c r="P25" t="n">
        <v>79137982.55500001</v>
      </c>
      <c r="Q25" t="n">
        <v>82082709.58400001</v>
      </c>
      <c r="R25" t="n">
        <v>87404060.06200001</v>
      </c>
      <c r="S25" t="n">
        <v>93169805.59199999</v>
      </c>
      <c r="T25" t="n">
        <v>92127716.57700001</v>
      </c>
      <c r="U25" t="n">
        <v>95376236.95100001</v>
      </c>
      <c r="V25" t="n">
        <v>98062281.167</v>
      </c>
      <c r="W25" t="n">
        <v>99053948.38500001</v>
      </c>
      <c r="X25" t="n">
        <v>98792678.579</v>
      </c>
      <c r="Y25" t="n">
        <v>105918447.194</v>
      </c>
      <c r="Z25" t="n">
        <v>114261093.2</v>
      </c>
      <c r="AA25" t="n">
        <v>114576037.983</v>
      </c>
      <c r="AB25" t="n">
        <v>113668900.849</v>
      </c>
      <c r="AC25" t="n">
        <v>114485316.571</v>
      </c>
      <c r="AD25" t="n">
        <v>118803308.609</v>
      </c>
      <c r="AE25" t="n">
        <v>118850033.926</v>
      </c>
      <c r="AF25" t="n">
        <v>122938861.46</v>
      </c>
      <c r="AG25" t="n">
        <v>124194126.968</v>
      </c>
      <c r="AH25" t="n">
        <v>129874139.088</v>
      </c>
      <c r="AI25" t="n">
        <v>138240823.284</v>
      </c>
      <c r="AJ25" t="n">
        <v>142507560.454</v>
      </c>
      <c r="AK25" t="n">
        <v>148289975.53</v>
      </c>
      <c r="AL25" t="n">
        <v>155983425.327</v>
      </c>
      <c r="AM25" t="n">
        <v>159672482.956</v>
      </c>
      <c r="AN25" t="n">
        <v>171842708.093</v>
      </c>
      <c r="AO25" t="n">
        <v>170982956.717</v>
      </c>
      <c r="AP25" t="n">
        <v>180434619.785</v>
      </c>
      <c r="AQ25" t="n">
        <v>193464442.864</v>
      </c>
      <c r="AR25" t="n">
        <v>203245712.936</v>
      </c>
      <c r="AS25" t="n">
        <v>215088718.998</v>
      </c>
      <c r="AT25" t="n">
        <v>207042053.914</v>
      </c>
      <c r="AU25" t="n">
        <v>237795618.814</v>
      </c>
      <c r="AV25" t="n">
        <v>259591351.804</v>
      </c>
      <c r="AW25" t="n">
        <v>282574490.634</v>
      </c>
      <c r="AX25" t="n">
        <v>283804487.834</v>
      </c>
      <c r="AY25" t="n">
        <v>284706512.875</v>
      </c>
      <c r="AZ25" t="n">
        <v>277769546.104</v>
      </c>
      <c r="BA25" t="n">
        <v>273995691.572</v>
      </c>
      <c r="BB25" t="n">
        <v>286695241.986</v>
      </c>
      <c r="BC25" t="n">
        <v>292564357.308</v>
      </c>
      <c r="BD25" t="n">
        <v>310552713.685</v>
      </c>
      <c r="BE25" t="n">
        <v>301902264.008</v>
      </c>
      <c r="BF25" t="n">
        <v>296985733.439</v>
      </c>
      <c r="BG25" t="n">
        <v>297069806.008</v>
      </c>
      <c r="BH25" t="n">
        <v>295691484.148</v>
      </c>
      <c r="BI25" t="n">
        <v>295976043.412</v>
      </c>
      <c r="BJ25" t="n">
        <v>321108898.277</v>
      </c>
      <c r="BK25" t="n">
        <v>323463465.899</v>
      </c>
      <c r="BL25" t="n">
        <v>307874854.924</v>
      </c>
      <c r="BM25" t="n">
        <v>332256164.967</v>
      </c>
      <c r="BN25" t="n">
        <v>353066948.975</v>
      </c>
      <c r="BO25" t="n">
        <v>344254314.844</v>
      </c>
      <c r="BP25" t="n">
        <v>357198103.941</v>
      </c>
      <c r="BQ25" t="n">
        <v>359708136.729</v>
      </c>
      <c r="BR25" t="n">
        <v>351580772.503</v>
      </c>
      <c r="BS25" t="n">
        <v>351698577.606</v>
      </c>
      <c r="BT25" t="n">
        <v>362452720.83</v>
      </c>
    </row>
    <row r="26">
      <c r="A26" t="inlineStr">
        <is>
          <t>sym_WithEgestion_asDC</t>
        </is>
      </c>
      <c r="B26" t="inlineStr">
        <is>
          <t>ok</t>
        </is>
      </c>
      <c r="C26" t="n">
        <v>22932172.28</v>
      </c>
      <c r="D26" t="n">
        <v>28079433.302</v>
      </c>
      <c r="E26" t="n">
        <v>33004263.394</v>
      </c>
      <c r="F26" t="n">
        <v>33725763.205</v>
      </c>
      <c r="G26" t="n">
        <v>42758690.498</v>
      </c>
      <c r="H26" t="n">
        <v>48443380.424</v>
      </c>
      <c r="I26" t="n">
        <v>53178813.402</v>
      </c>
      <c r="J26" t="n">
        <v>53298199.383</v>
      </c>
      <c r="K26" t="n">
        <v>57737890.453</v>
      </c>
      <c r="L26" t="n">
        <v>61138728.935</v>
      </c>
      <c r="M26" t="n">
        <v>69160873.16599999</v>
      </c>
      <c r="N26" t="n">
        <v>67611803.14300001</v>
      </c>
      <c r="O26" t="n">
        <v>75058671.138</v>
      </c>
      <c r="P26" t="n">
        <v>79137982.55500001</v>
      </c>
      <c r="Q26" t="n">
        <v>82082709.58400001</v>
      </c>
      <c r="R26" t="n">
        <v>87404060.06200001</v>
      </c>
      <c r="S26" t="n">
        <v>93169805.59199999</v>
      </c>
      <c r="T26" t="n">
        <v>92127716.57700001</v>
      </c>
      <c r="U26" t="n">
        <v>95376236.95100001</v>
      </c>
      <c r="V26" t="n">
        <v>98062281.167</v>
      </c>
      <c r="W26" t="n">
        <v>99053948.38500001</v>
      </c>
      <c r="X26" t="n">
        <v>98792678.579</v>
      </c>
      <c r="Y26" t="n">
        <v>105918447.194</v>
      </c>
      <c r="Z26" t="n">
        <v>114261093.2</v>
      </c>
      <c r="AA26" t="n">
        <v>114576037.983</v>
      </c>
      <c r="AB26" t="n">
        <v>113668900.849</v>
      </c>
      <c r="AC26" t="n">
        <v>114485316.571</v>
      </c>
      <c r="AD26" t="n">
        <v>118803308.609</v>
      </c>
      <c r="AE26" t="n">
        <v>118850033.926</v>
      </c>
      <c r="AF26" t="n">
        <v>122938861.46</v>
      </c>
      <c r="AG26" t="n">
        <v>124194126.968</v>
      </c>
      <c r="AH26" t="n">
        <v>129874139.088</v>
      </c>
      <c r="AI26" t="n">
        <v>138240823.284</v>
      </c>
      <c r="AJ26" t="n">
        <v>142507560.454</v>
      </c>
      <c r="AK26" t="n">
        <v>148289975.53</v>
      </c>
      <c r="AL26" t="n">
        <v>155983425.327</v>
      </c>
      <c r="AM26" t="n">
        <v>159672482.956</v>
      </c>
      <c r="AN26" t="n">
        <v>171842708.093</v>
      </c>
      <c r="AO26" t="n">
        <v>170982956.717</v>
      </c>
      <c r="AP26" t="n">
        <v>180434619.785</v>
      </c>
      <c r="AQ26" t="n">
        <v>193464442.864</v>
      </c>
      <c r="AR26" t="n">
        <v>203245712.936</v>
      </c>
      <c r="AS26" t="n">
        <v>215088718.998</v>
      </c>
      <c r="AT26" t="n">
        <v>207042053.914</v>
      </c>
      <c r="AU26" t="n">
        <v>237795618.814</v>
      </c>
      <c r="AV26" t="n">
        <v>259591351.804</v>
      </c>
      <c r="AW26" t="n">
        <v>282574490.634</v>
      </c>
      <c r="AX26" t="n">
        <v>283804487.834</v>
      </c>
      <c r="AY26" t="n">
        <v>284706512.875</v>
      </c>
      <c r="AZ26" t="n">
        <v>277769546.104</v>
      </c>
      <c r="BA26" t="n">
        <v>273995691.572</v>
      </c>
      <c r="BB26" t="n">
        <v>286695241.986</v>
      </c>
      <c r="BC26" t="n">
        <v>292564357.308</v>
      </c>
      <c r="BD26" t="n">
        <v>310552713.685</v>
      </c>
      <c r="BE26" t="n">
        <v>301902264.008</v>
      </c>
      <c r="BF26" t="n">
        <v>296985733.439</v>
      </c>
      <c r="BG26" t="n">
        <v>297069806.008</v>
      </c>
      <c r="BH26" t="n">
        <v>295691484.148</v>
      </c>
      <c r="BI26" t="n">
        <v>295976043.412</v>
      </c>
      <c r="BJ26" t="n">
        <v>321108898.277</v>
      </c>
      <c r="BK26" t="n">
        <v>323463465.899</v>
      </c>
      <c r="BL26" t="n">
        <v>307874854.924</v>
      </c>
      <c r="BM26" t="n">
        <v>332256164.967</v>
      </c>
      <c r="BN26" t="n">
        <v>353066948.975</v>
      </c>
      <c r="BO26" t="n">
        <v>344254314.844</v>
      </c>
      <c r="BP26" t="n">
        <v>357198103.941</v>
      </c>
      <c r="BQ26" t="n">
        <v>359708136.729</v>
      </c>
      <c r="BR26" t="n">
        <v>351580772.503</v>
      </c>
      <c r="BS26" t="n">
        <v>351698577.606</v>
      </c>
      <c r="BT26" t="n">
        <v>362452720.83</v>
      </c>
    </row>
    <row r="27">
      <c r="A27" t="inlineStr">
        <is>
          <t>MC_new_GE</t>
        </is>
      </c>
      <c r="B27" t="inlineStr">
        <is>
          <t>ok</t>
        </is>
      </c>
      <c r="C27" t="n">
        <v>50043170.01</v>
      </c>
      <c r="D27" t="n">
        <v>61662173.241</v>
      </c>
      <c r="E27" t="n">
        <v>72811082.131</v>
      </c>
      <c r="F27" t="n">
        <v>74376576.347</v>
      </c>
      <c r="G27" t="n">
        <v>93413112.36499999</v>
      </c>
      <c r="H27" t="n">
        <v>105982775.129</v>
      </c>
      <c r="I27" t="n">
        <v>116692096.041</v>
      </c>
      <c r="J27" t="n">
        <v>116861273.52</v>
      </c>
      <c r="K27" t="n">
        <v>126374221.275</v>
      </c>
      <c r="L27" t="n">
        <v>133752777.57</v>
      </c>
      <c r="M27" t="n">
        <v>151477218.646</v>
      </c>
      <c r="N27" t="n">
        <v>148098503.079</v>
      </c>
      <c r="O27" t="n">
        <v>164175380.715</v>
      </c>
      <c r="P27" t="n">
        <v>172617634.269</v>
      </c>
      <c r="Q27" t="n">
        <v>178863406.956</v>
      </c>
      <c r="R27" t="n">
        <v>191105031.065</v>
      </c>
      <c r="S27" t="n">
        <v>204245902.144</v>
      </c>
      <c r="T27" t="n">
        <v>201987413.747</v>
      </c>
      <c r="U27" t="n">
        <v>209000910.257</v>
      </c>
      <c r="V27" t="n">
        <v>214997257.67</v>
      </c>
      <c r="W27" t="n">
        <v>216225510.812</v>
      </c>
      <c r="X27" t="n">
        <v>216720902.909</v>
      </c>
      <c r="Y27" t="n">
        <v>232817877.842</v>
      </c>
      <c r="Z27" t="n">
        <v>251374626.918</v>
      </c>
      <c r="AA27" t="n">
        <v>251167543.888</v>
      </c>
      <c r="AB27" t="n">
        <v>248553038.804</v>
      </c>
      <c r="AC27" t="n">
        <v>249857523.627</v>
      </c>
      <c r="AD27" t="n">
        <v>258057317.482</v>
      </c>
      <c r="AE27" t="n">
        <v>257802718.32</v>
      </c>
      <c r="AF27" t="n">
        <v>266539938.989</v>
      </c>
      <c r="AG27" t="n">
        <v>268825994.23</v>
      </c>
      <c r="AH27" t="n">
        <v>281738144.363</v>
      </c>
      <c r="AI27" t="n">
        <v>299360028.606</v>
      </c>
      <c r="AJ27" t="n">
        <v>306945389.553</v>
      </c>
      <c r="AK27" t="n">
        <v>319963506.973</v>
      </c>
      <c r="AL27" t="n">
        <v>335396046.023</v>
      </c>
      <c r="AM27" t="n">
        <v>342901988.646</v>
      </c>
      <c r="AN27" t="n">
        <v>367823629.838</v>
      </c>
      <c r="AO27" t="n">
        <v>364382717.909</v>
      </c>
      <c r="AP27" t="n">
        <v>385092393.919</v>
      </c>
      <c r="AQ27" t="n">
        <v>412294028.171</v>
      </c>
      <c r="AR27" t="n">
        <v>433411785.534</v>
      </c>
      <c r="AS27" t="n">
        <v>457314444.536</v>
      </c>
      <c r="AT27" t="n">
        <v>438875324.326</v>
      </c>
      <c r="AU27" t="n">
        <v>504707049.692</v>
      </c>
      <c r="AV27" t="n">
        <v>550415621.801</v>
      </c>
      <c r="AW27" t="n">
        <v>598559327.909</v>
      </c>
      <c r="AX27" t="n">
        <v>597156966.465</v>
      </c>
      <c r="AY27" t="n">
        <v>599494239.142</v>
      </c>
      <c r="AZ27" t="n">
        <v>587000635.613</v>
      </c>
      <c r="BA27" t="n">
        <v>579307179.918</v>
      </c>
      <c r="BB27" t="n">
        <v>605862820.7410001</v>
      </c>
      <c r="BC27" t="n">
        <v>618248128.158</v>
      </c>
      <c r="BD27" t="n">
        <v>659096640.5700001</v>
      </c>
      <c r="BE27" t="n">
        <v>641488618.5</v>
      </c>
      <c r="BF27" t="n">
        <v>629477301.541</v>
      </c>
      <c r="BG27" t="n">
        <v>631498931.716</v>
      </c>
      <c r="BH27" t="n">
        <v>627948153.64</v>
      </c>
      <c r="BI27" t="n">
        <v>628653470.501</v>
      </c>
      <c r="BJ27" t="n">
        <v>682066201.651</v>
      </c>
      <c r="BK27" t="n">
        <v>685956046.678</v>
      </c>
      <c r="BL27" t="n">
        <v>651095869.0420001</v>
      </c>
      <c r="BM27" t="n">
        <v>701235946.492</v>
      </c>
      <c r="BN27" t="n">
        <v>746455663.48</v>
      </c>
      <c r="BO27" t="n">
        <v>725785352.066</v>
      </c>
      <c r="BP27" t="n">
        <v>753855625.972</v>
      </c>
      <c r="BQ27" t="n">
        <v>759190255.2130001</v>
      </c>
      <c r="BR27" t="n">
        <v>742859727.02</v>
      </c>
      <c r="BS27" t="n">
        <v>744171361.808</v>
      </c>
      <c r="BT27" t="n">
        <v>766264627.3660001</v>
      </c>
    </row>
    <row r="28">
      <c r="A28" t="inlineStr">
        <is>
          <t>MC_new_TE_EEfix</t>
        </is>
      </c>
      <c r="B28" t="inlineStr">
        <is>
          <t>ok</t>
        </is>
      </c>
      <c r="C28" t="n">
        <v>5759184324.613</v>
      </c>
      <c r="D28" t="n">
        <v>7308595322.17</v>
      </c>
      <c r="E28" t="n">
        <v>8819605168.629999</v>
      </c>
      <c r="F28" t="n">
        <v>9008848445.702999</v>
      </c>
      <c r="G28" t="n">
        <v>10930364893.261</v>
      </c>
      <c r="H28" t="n">
        <v>12514364864.473</v>
      </c>
      <c r="I28" t="n">
        <v>13979843208.093</v>
      </c>
      <c r="J28" t="n">
        <v>13866044100.749</v>
      </c>
      <c r="K28" t="n">
        <v>14623755708.044</v>
      </c>
      <c r="L28" t="n">
        <v>15622811599.462</v>
      </c>
      <c r="M28" t="n">
        <v>17567833221.374</v>
      </c>
      <c r="N28" t="n">
        <v>16995716175.767</v>
      </c>
      <c r="O28" t="n">
        <v>19236358885.566</v>
      </c>
      <c r="P28" t="n">
        <v>20152544115.09</v>
      </c>
      <c r="Q28" t="n">
        <v>20578384689.182</v>
      </c>
      <c r="R28" t="n">
        <v>22316888549.479</v>
      </c>
      <c r="S28" t="n">
        <v>23496655338.706</v>
      </c>
      <c r="T28" t="n">
        <v>23480313473.259</v>
      </c>
      <c r="U28" t="n">
        <v>24778340153.69</v>
      </c>
      <c r="V28" t="n">
        <v>25529792566.093</v>
      </c>
      <c r="W28" t="n">
        <v>24572909085.694</v>
      </c>
      <c r="X28" t="n">
        <v>25098411408.319</v>
      </c>
      <c r="Y28" t="n">
        <v>26251170226.681</v>
      </c>
      <c r="Z28" t="n">
        <v>28815054169.593</v>
      </c>
      <c r="AA28" t="n">
        <v>28528954233.953</v>
      </c>
      <c r="AB28" t="n">
        <v>28438076236.066</v>
      </c>
      <c r="AC28" t="n">
        <v>28588465322.419</v>
      </c>
      <c r="AD28" t="n">
        <v>29154878172.096</v>
      </c>
      <c r="AE28" t="n">
        <v>28643177981.217</v>
      </c>
      <c r="AF28" t="n">
        <v>29659234066.374</v>
      </c>
      <c r="AG28" t="n">
        <v>29393513275.679</v>
      </c>
      <c r="AH28" t="n">
        <v>30975724444.155</v>
      </c>
      <c r="AI28" t="n">
        <v>32934632262.908</v>
      </c>
      <c r="AJ28" t="n">
        <v>33443634703.517</v>
      </c>
      <c r="AK28" t="n">
        <v>34925002529.246</v>
      </c>
      <c r="AL28" t="n">
        <v>35982737022.253</v>
      </c>
      <c r="AM28" t="n">
        <v>36391771559.57</v>
      </c>
      <c r="AN28" t="n">
        <v>38226257125.55</v>
      </c>
      <c r="AO28" t="n">
        <v>37010130285.52</v>
      </c>
      <c r="AP28" t="n">
        <v>38687162321.809</v>
      </c>
      <c r="AQ28" t="n">
        <v>41136369952.022</v>
      </c>
      <c r="AR28" t="n">
        <v>42979891404.743</v>
      </c>
      <c r="AS28" t="n">
        <v>44493593084.272</v>
      </c>
      <c r="AT28" t="n">
        <v>42725477427.498</v>
      </c>
      <c r="AU28" t="n">
        <v>49748965323.027</v>
      </c>
      <c r="AV28" t="n">
        <v>53190522017.536</v>
      </c>
      <c r="AW28" t="n">
        <v>57307433501.959</v>
      </c>
      <c r="AX28" t="n">
        <v>56330984975.72</v>
      </c>
      <c r="AY28" t="n">
        <v>56523371660.972</v>
      </c>
      <c r="AZ28" t="n">
        <v>58855811218.969</v>
      </c>
      <c r="BA28" t="n">
        <v>57278765893.826</v>
      </c>
      <c r="BB28" t="n">
        <v>58641805771.225</v>
      </c>
      <c r="BC28" t="n">
        <v>59761146961.011</v>
      </c>
      <c r="BD28" t="n">
        <v>63546787186.061</v>
      </c>
      <c r="BE28" t="n">
        <v>63734482824.488</v>
      </c>
      <c r="BF28" t="n">
        <v>61185234489.102</v>
      </c>
      <c r="BG28" t="n">
        <v>61941321519.815</v>
      </c>
      <c r="BH28" t="n">
        <v>60763814096.501</v>
      </c>
      <c r="BI28" t="n">
        <v>60939464489.01</v>
      </c>
      <c r="BJ28" t="n">
        <v>65799931924.022</v>
      </c>
      <c r="BK28" t="n">
        <v>65142093771.427</v>
      </c>
      <c r="BL28" t="n">
        <v>61867702713.896</v>
      </c>
      <c r="BM28" t="n">
        <v>65247377182.29</v>
      </c>
      <c r="BN28" t="n">
        <v>69471480427.687</v>
      </c>
      <c r="BO28" t="n">
        <v>67070356785.362</v>
      </c>
      <c r="BP28" t="n">
        <v>69584863032.789</v>
      </c>
      <c r="BQ28" t="n">
        <v>70048268162.84399</v>
      </c>
      <c r="BR28" t="n">
        <v>69195756041.024</v>
      </c>
      <c r="BS28" t="n">
        <v>69928086126.11301</v>
      </c>
      <c r="BT28" t="n">
        <v>72006423599.07899</v>
      </c>
    </row>
    <row r="30">
      <c r="A30" t="inlineStr">
        <is>
          <t>Catch tonnage on a named group: 386,762,122 of 387,582,302 (99.8 %). Unresolved taxa contribute nothing to the model rows and everything to the simple row, so the two are not directly comparable until coverage is 100 %.</t>
        </is>
      </c>
    </row>
    <row r="31">
      <c r="A31" t="inlineStr">
        <is>
          <t>Coverage by year, %:</t>
        </is>
      </c>
    </row>
    <row r="32">
      <c r="A32" t="inlineStr">
        <is>
          <t>catch on a named group, %</t>
        </is>
      </c>
      <c r="B32" t="inlineStr"/>
      <c r="C32" t="n">
        <v>99.94</v>
      </c>
      <c r="D32" t="n">
        <v>99.95999999999999</v>
      </c>
      <c r="E32" t="n">
        <v>99.95999999999999</v>
      </c>
      <c r="F32" t="n">
        <v>99.95999999999999</v>
      </c>
      <c r="G32" t="n">
        <v>99.97</v>
      </c>
      <c r="H32" t="n">
        <v>99.97</v>
      </c>
      <c r="I32" t="n">
        <v>99.95999999999999</v>
      </c>
      <c r="J32" t="n">
        <v>99.97</v>
      </c>
      <c r="K32" t="n">
        <v>99.92</v>
      </c>
      <c r="L32" t="n">
        <v>99.94</v>
      </c>
      <c r="M32" t="n">
        <v>99.93000000000001</v>
      </c>
      <c r="N32" t="n">
        <v>99.93000000000001</v>
      </c>
      <c r="O32" t="n">
        <v>99.92</v>
      </c>
      <c r="P32" t="n">
        <v>99.91</v>
      </c>
      <c r="Q32" t="n">
        <v>99.92</v>
      </c>
      <c r="R32" t="n">
        <v>99.91</v>
      </c>
      <c r="S32" t="n">
        <v>99.92</v>
      </c>
      <c r="T32" t="n">
        <v>99.89</v>
      </c>
      <c r="U32" t="n">
        <v>99.88</v>
      </c>
      <c r="V32" t="n">
        <v>99.87</v>
      </c>
      <c r="W32" t="n">
        <v>99.88</v>
      </c>
      <c r="X32" t="n">
        <v>99.87</v>
      </c>
      <c r="Y32" t="n">
        <v>99.89</v>
      </c>
      <c r="Z32" t="n">
        <v>99.88</v>
      </c>
      <c r="AA32" t="n">
        <v>99.89</v>
      </c>
      <c r="AB32" t="n">
        <v>99.86</v>
      </c>
      <c r="AC32" t="n">
        <v>99.89</v>
      </c>
      <c r="AD32" t="n">
        <v>99.88</v>
      </c>
      <c r="AE32" t="n">
        <v>99.88</v>
      </c>
      <c r="AF32" t="n">
        <v>99.90000000000001</v>
      </c>
      <c r="AG32" t="n">
        <v>99.90000000000001</v>
      </c>
      <c r="AH32" t="n">
        <v>99.89</v>
      </c>
      <c r="AI32" t="n">
        <v>99.90000000000001</v>
      </c>
      <c r="AJ32" t="n">
        <v>99.91</v>
      </c>
      <c r="AK32" t="n">
        <v>99.90000000000001</v>
      </c>
      <c r="AL32" t="n">
        <v>99.90000000000001</v>
      </c>
      <c r="AM32" t="n">
        <v>99.90000000000001</v>
      </c>
      <c r="AN32" t="n">
        <v>99.91</v>
      </c>
      <c r="AO32" t="n">
        <v>99.89</v>
      </c>
      <c r="AP32" t="n">
        <v>99.88</v>
      </c>
      <c r="AQ32" t="n">
        <v>99.77</v>
      </c>
      <c r="AR32" t="n">
        <v>99.75</v>
      </c>
      <c r="AS32" t="n">
        <v>99.8</v>
      </c>
      <c r="AT32" t="n">
        <v>99.88</v>
      </c>
      <c r="AU32" t="n">
        <v>99.89</v>
      </c>
      <c r="AV32" t="n">
        <v>99.84</v>
      </c>
      <c r="AW32" t="n">
        <v>99.86</v>
      </c>
      <c r="AX32" t="n">
        <v>99.87</v>
      </c>
      <c r="AY32" t="n">
        <v>99.87</v>
      </c>
      <c r="AZ32" t="n">
        <v>99.87</v>
      </c>
      <c r="BA32" t="n">
        <v>99.88</v>
      </c>
      <c r="BB32" t="n">
        <v>99.86</v>
      </c>
      <c r="BC32" t="n">
        <v>99.87</v>
      </c>
      <c r="BD32" t="n">
        <v>99.91</v>
      </c>
      <c r="BE32" t="n">
        <v>99.83</v>
      </c>
      <c r="BF32" t="n">
        <v>99.77</v>
      </c>
      <c r="BG32" t="n">
        <v>99.18000000000001</v>
      </c>
      <c r="BH32" t="n">
        <v>99.3</v>
      </c>
      <c r="BI32" t="n">
        <v>99.70999999999999</v>
      </c>
      <c r="BJ32" t="n">
        <v>99.55</v>
      </c>
      <c r="BK32" t="n">
        <v>99.73999999999999</v>
      </c>
      <c r="BL32" t="n">
        <v>99.78</v>
      </c>
      <c r="BM32" t="n">
        <v>99.81999999999999</v>
      </c>
      <c r="BN32" t="n">
        <v>99.73</v>
      </c>
      <c r="BO32" t="n">
        <v>99.70999999999999</v>
      </c>
      <c r="BP32" t="n">
        <v>99.76000000000001</v>
      </c>
      <c r="BQ32" t="n">
        <v>99.66</v>
      </c>
      <c r="BR32" t="n">
        <v>99.66</v>
      </c>
      <c r="BS32" t="n">
        <v>99.7</v>
      </c>
      <c r="BT32" t="n">
        <v>99.66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378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40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  <col width="21" customWidth="1" min="24" max="24"/>
  </cols>
  <sheetData>
    <row r="1">
      <c r="A1" s="1" t="inlineStr">
        <is>
          <t>Specific PPR per taxon — LME_036, model 36_2_South_China_Sea_SCS-2007_Northern_South_China_Sea_(1970s)</t>
        </is>
      </c>
    </row>
    <row r="2">
      <c r="A2" t="inlineStr">
        <is>
          <t>sppr_simple is the trophic-chain estimate (1/TE)^(TL-1) at TE=0.1, applied to the taxon's own trophic level and needing no model.</t>
        </is>
      </c>
    </row>
    <row r="3">
      <c r="A3" t="inlineStr">
        <is>
          <t>Internal sources: primary producers and detritus; excludes imports. Blank means unavailable, not zero. sppr_simple is an unpartitioned reference.</t>
        </is>
      </c>
    </row>
    <row r="4" ht="42" customHeight="1">
      <c r="A4" s="18" t="inlineStr">
        <is>
          <t>taxon</t>
        </is>
      </c>
      <c r="B4" s="18" t="inlineStr">
        <is>
          <t>trophic_level</t>
        </is>
      </c>
      <c r="C4" s="18" t="inlineStr">
        <is>
          <t>sppr_simple</t>
        </is>
      </c>
      <c r="D4" s="18" t="inlineStr">
        <is>
          <t>Ecopath group</t>
        </is>
      </c>
      <c r="E4" s="18" t="inlineStr">
        <is>
          <t>SPPR_1986</t>
        </is>
      </c>
      <c r="F4" s="18" t="inlineStr">
        <is>
          <t>SPPR_1995_TE0.1</t>
        </is>
      </c>
      <c r="G4" s="18" t="inlineStr">
        <is>
          <t>SPPR_1995_TEmean</t>
        </is>
      </c>
      <c r="H4" s="18" t="inlineStr">
        <is>
          <t>Ulanowicz_globalTEmean</t>
        </is>
      </c>
      <c r="I4" s="18" t="inlineStr">
        <is>
          <t>Ulanowicz_TE</t>
        </is>
      </c>
      <c r="J4" s="18" t="inlineStr">
        <is>
          <t>EwE_TE_noEE</t>
        </is>
      </c>
      <c r="K4" s="18" t="inlineStr">
        <is>
          <t>EwE_TE_EE</t>
        </is>
      </c>
      <c r="L4" s="18" t="inlineStr">
        <is>
          <t>SPPR_2015</t>
        </is>
      </c>
      <c r="M4" s="18" t="inlineStr">
        <is>
          <t>new_TE_noEEfix</t>
        </is>
      </c>
      <c r="N4" s="18" t="inlineStr">
        <is>
          <t>new_TE_EEfix</t>
        </is>
      </c>
      <c r="O4" s="18" t="inlineStr">
        <is>
          <t>new_GE</t>
        </is>
      </c>
      <c r="P4" s="18" t="inlineStr">
        <is>
          <t>new_WithEgestion</t>
        </is>
      </c>
      <c r="Q4" s="18" t="inlineStr">
        <is>
          <t>sym_TE_asPP</t>
        </is>
      </c>
      <c r="R4" s="18" t="inlineStr">
        <is>
          <t>sym_TE_asDC</t>
        </is>
      </c>
      <c r="S4" s="18" t="inlineStr">
        <is>
          <t>sym_GE_asPP</t>
        </is>
      </c>
      <c r="T4" s="18" t="inlineStr">
        <is>
          <t>sym_GE_asDC</t>
        </is>
      </c>
      <c r="U4" s="18" t="inlineStr">
        <is>
          <t>sym_WithEgestion_asPP</t>
        </is>
      </c>
      <c r="V4" s="18" t="inlineStr">
        <is>
          <t>sym_WithEgestion_asDC</t>
        </is>
      </c>
      <c r="W4" s="18" t="inlineStr">
        <is>
          <t>MC_new_GE</t>
        </is>
      </c>
      <c r="X4" s="18" t="inlineStr">
        <is>
          <t>MC_new_TE_EEfix</t>
        </is>
      </c>
    </row>
    <row r="5" ht="51" customHeight="1">
      <c r="A5" t="inlineStr">
        <is>
          <t>Marine fishes not identified</t>
        </is>
      </c>
      <c r="B5" t="n">
        <v>3.28</v>
      </c>
      <c r="C5" t="n">
        <v>190.546072</v>
      </c>
      <c r="D5" s="11" t="inlineStr">
        <is>
          <t>Demesral fish (≤ 30 cm) | Juvenile demersal fish (&gt; 30 cm) | Adult demersal fish (&gt; 30 cm)</t>
        </is>
      </c>
      <c r="E5" t="n">
        <v>140.953883</v>
      </c>
      <c r="F5" t="n">
        <v>177.371403</v>
      </c>
      <c r="G5" t="n">
        <v>91.310768</v>
      </c>
      <c r="H5" t="n">
        <v>295.208302</v>
      </c>
      <c r="I5" t="n">
        <v>4269.898312</v>
      </c>
      <c r="J5" t="n">
        <v>4574.511297</v>
      </c>
      <c r="K5" t="n">
        <v>1801.225895</v>
      </c>
      <c r="L5" t="n">
        <v>6846.4367</v>
      </c>
      <c r="M5" t="n">
        <v>6846.4367</v>
      </c>
      <c r="N5" t="n">
        <v>6846.4367</v>
      </c>
      <c r="O5" t="n">
        <v>67.536573</v>
      </c>
      <c r="P5" t="n">
        <v>32.007796</v>
      </c>
      <c r="Q5" t="n">
        <v>6846.4367</v>
      </c>
      <c r="R5" t="n">
        <v>6846.4367</v>
      </c>
      <c r="S5" t="n">
        <v>67.536573</v>
      </c>
      <c r="T5" t="n">
        <v>67.536573</v>
      </c>
      <c r="U5" t="n">
        <v>32.007796</v>
      </c>
      <c r="V5" t="n">
        <v>32.007796</v>
      </c>
      <c r="W5" t="n">
        <v>70.113483</v>
      </c>
      <c r="X5" t="n">
        <v>7370.741192</v>
      </c>
    </row>
    <row r="6" ht="36" customHeight="1">
      <c r="A6" t="inlineStr">
        <is>
          <t>Trichiurus lepturus</t>
        </is>
      </c>
      <c r="B6" t="n">
        <v>4.42</v>
      </c>
      <c r="C6" t="n">
        <v>2630.267992</v>
      </c>
      <c r="D6" s="11" t="inlineStr">
        <is>
          <t>Juvenile Hairtail (trichiurids) | Adult hairtail (trichiurids)</t>
        </is>
      </c>
      <c r="E6" t="n">
        <v>140.953883</v>
      </c>
      <c r="F6" t="n">
        <v>759.29485</v>
      </c>
      <c r="G6" t="n">
        <v>329.344068</v>
      </c>
      <c r="H6" t="n">
        <v>902.04389</v>
      </c>
      <c r="I6" t="n">
        <v>15387.334214</v>
      </c>
      <c r="J6" t="n">
        <v>16058.002117</v>
      </c>
      <c r="K6" t="n">
        <v>5258.842171</v>
      </c>
      <c r="L6" t="n">
        <v>26383.951313</v>
      </c>
      <c r="M6" t="n">
        <v>26383.951313</v>
      </c>
      <c r="N6" t="n">
        <v>26383.951313</v>
      </c>
      <c r="O6" t="n">
        <v>166.364336</v>
      </c>
      <c r="P6" t="n">
        <v>71.691328</v>
      </c>
      <c r="Q6" t="n">
        <v>26383.951313</v>
      </c>
      <c r="R6" t="n">
        <v>26383.951313</v>
      </c>
      <c r="S6" t="n">
        <v>166.364336</v>
      </c>
      <c r="T6" t="n">
        <v>166.364336</v>
      </c>
      <c r="U6" t="n">
        <v>71.691328</v>
      </c>
      <c r="V6" t="n">
        <v>71.691328</v>
      </c>
      <c r="W6" t="n">
        <v>176.786743</v>
      </c>
      <c r="X6" t="n">
        <v>28905.373115</v>
      </c>
    </row>
    <row r="7" ht="21" customHeight="1">
      <c r="A7" t="inlineStr">
        <is>
          <t>Scyphozoa</t>
        </is>
      </c>
      <c r="B7" t="n">
        <v>3.46</v>
      </c>
      <c r="C7" t="n">
        <v>288.40315</v>
      </c>
      <c r="D7" s="11" t="inlineStr">
        <is>
          <t>Jellyfish</t>
        </is>
      </c>
      <c r="E7" t="n">
        <v>140.953883</v>
      </c>
      <c r="F7" t="n">
        <v>103.790936</v>
      </c>
      <c r="G7" t="n">
        <v>57.845447</v>
      </c>
      <c r="H7" t="n">
        <v>56.932587</v>
      </c>
      <c r="I7" t="n">
        <v>468.918008</v>
      </c>
      <c r="J7" t="n">
        <v>473.97462</v>
      </c>
      <c r="K7" t="n">
        <v>450.275889</v>
      </c>
      <c r="L7" t="n">
        <v>711.02964</v>
      </c>
      <c r="M7" t="n">
        <v>711.02964</v>
      </c>
      <c r="N7" t="n">
        <v>711.02964</v>
      </c>
      <c r="O7" t="n">
        <v>34.656914</v>
      </c>
      <c r="P7" t="n">
        <v>19.970973</v>
      </c>
      <c r="Q7" t="n">
        <v>711.02964</v>
      </c>
      <c r="R7" t="n">
        <v>711.02964</v>
      </c>
      <c r="S7" t="n">
        <v>34.656914</v>
      </c>
      <c r="T7" t="n">
        <v>34.656914</v>
      </c>
      <c r="U7" t="n">
        <v>19.970973</v>
      </c>
      <c r="V7" t="n">
        <v>19.970973</v>
      </c>
      <c r="W7" t="n">
        <v>36.368369</v>
      </c>
      <c r="X7" t="n">
        <v>756.8536319999999</v>
      </c>
    </row>
    <row r="8" ht="21" customHeight="1">
      <c r="A8" t="inlineStr">
        <is>
          <t>Synodontidae</t>
        </is>
      </c>
      <c r="B8" t="n">
        <v>4.3</v>
      </c>
      <c r="C8" t="n">
        <v>1995.262315</v>
      </c>
      <c r="D8" s="11" t="inlineStr">
        <is>
          <t>Lizard fish (synodontids)</t>
        </is>
      </c>
      <c r="E8" t="n">
        <v>140.953883</v>
      </c>
      <c r="F8" t="n">
        <v>667.104795</v>
      </c>
      <c r="G8" t="n">
        <v>294.137165</v>
      </c>
      <c r="H8" t="n">
        <v>674.482249</v>
      </c>
      <c r="I8" t="n">
        <v>9604.557183999999</v>
      </c>
      <c r="J8" t="n">
        <v>10115.319409</v>
      </c>
      <c r="K8" t="n">
        <v>2437.791978</v>
      </c>
      <c r="L8" t="n">
        <v>16798.641648</v>
      </c>
      <c r="M8" t="n">
        <v>16798.641648</v>
      </c>
      <c r="N8" t="n">
        <v>16798.641648</v>
      </c>
      <c r="O8" t="n">
        <v>88.03658900000001</v>
      </c>
      <c r="P8" t="n">
        <v>38.159556</v>
      </c>
      <c r="Q8" t="n">
        <v>16798.641648</v>
      </c>
      <c r="R8" t="n">
        <v>16798.641648</v>
      </c>
      <c r="S8" t="n">
        <v>88.03658900000001</v>
      </c>
      <c r="T8" t="n">
        <v>88.03658900000001</v>
      </c>
      <c r="U8" t="n">
        <v>38.159556</v>
      </c>
      <c r="V8" t="n">
        <v>38.159556</v>
      </c>
      <c r="W8" t="n">
        <v>92.54017</v>
      </c>
      <c r="X8" t="n">
        <v>18119.633615</v>
      </c>
    </row>
    <row r="9" ht="36" customHeight="1">
      <c r="A9" t="inlineStr">
        <is>
          <t>Alepes</t>
        </is>
      </c>
      <c r="B9" t="n">
        <v>3.32</v>
      </c>
      <c r="C9" t="n">
        <v>208.929613</v>
      </c>
      <c r="D9" s="11" t="inlineStr">
        <is>
          <t>Juvenile large pelagic fish | Pelagic fish (&gt; 30 cm)</t>
        </is>
      </c>
      <c r="E9" t="n">
        <v>140.953883</v>
      </c>
      <c r="F9" t="n">
        <v>200.641254</v>
      </c>
      <c r="G9" t="n">
        <v>102.228748</v>
      </c>
      <c r="H9" t="n">
        <v>215.010584</v>
      </c>
      <c r="I9" t="n">
        <v>6244.222521</v>
      </c>
      <c r="J9" t="n">
        <v>6325.914048</v>
      </c>
      <c r="K9" t="n">
        <v>1872.204427</v>
      </c>
      <c r="L9" t="n">
        <v>7112.982475</v>
      </c>
      <c r="M9" t="n">
        <v>7112.982475</v>
      </c>
      <c r="N9" t="n">
        <v>7112.982475</v>
      </c>
      <c r="O9" t="n">
        <v>87.969483</v>
      </c>
      <c r="P9" t="n">
        <v>46.580547</v>
      </c>
      <c r="Q9" t="n">
        <v>7112.982475</v>
      </c>
      <c r="R9" t="n">
        <v>7112.982475</v>
      </c>
      <c r="S9" t="n">
        <v>87.969483</v>
      </c>
      <c r="T9" t="n">
        <v>87.969483</v>
      </c>
      <c r="U9" t="n">
        <v>46.580547</v>
      </c>
      <c r="V9" t="n">
        <v>46.580547</v>
      </c>
      <c r="W9" t="n">
        <v>93.060855</v>
      </c>
      <c r="X9" t="n">
        <v>7459.131892</v>
      </c>
    </row>
    <row r="10" ht="51" customHeight="1">
      <c r="A10" t="inlineStr">
        <is>
          <t>Carangidae</t>
        </is>
      </c>
      <c r="B10" t="n">
        <v>4.05</v>
      </c>
      <c r="C10" t="n">
        <v>1122.018454</v>
      </c>
      <c r="D10" s="11" t="inlineStr">
        <is>
          <t>Pelagic fish (≤ 30 cm) | Juvenile large pelagic fish | Pelagic fish (&gt; 30 cm)</t>
        </is>
      </c>
      <c r="E10" t="n">
        <v>140.953883</v>
      </c>
      <c r="F10" t="n">
        <v>94.940534</v>
      </c>
      <c r="G10" t="n">
        <v>52.342971</v>
      </c>
      <c r="H10" t="n">
        <v>87.541141</v>
      </c>
      <c r="I10" t="n">
        <v>1833.804999</v>
      </c>
      <c r="J10" t="n">
        <v>1853.890312</v>
      </c>
      <c r="K10" t="n">
        <v>743.939069</v>
      </c>
      <c r="L10" t="n">
        <v>2045.820774</v>
      </c>
      <c r="M10" t="n">
        <v>2045.820774</v>
      </c>
      <c r="N10" t="n">
        <v>2045.820774</v>
      </c>
      <c r="O10" t="n">
        <v>37.402647</v>
      </c>
      <c r="P10" t="n">
        <v>21.641048</v>
      </c>
      <c r="Q10" t="n">
        <v>2045.820774</v>
      </c>
      <c r="R10" t="n">
        <v>2045.820774</v>
      </c>
      <c r="S10" t="n">
        <v>37.402647</v>
      </c>
      <c r="T10" t="n">
        <v>37.402647</v>
      </c>
      <c r="U10" t="n">
        <v>21.641048</v>
      </c>
      <c r="V10" t="n">
        <v>21.641048</v>
      </c>
      <c r="W10" t="n">
        <v>39.426311</v>
      </c>
      <c r="X10" t="n">
        <v>2139.974971</v>
      </c>
    </row>
    <row r="11" ht="21" customHeight="1">
      <c r="A11" t="inlineStr">
        <is>
          <t>Mollusca</t>
        </is>
      </c>
      <c r="B11" t="n">
        <v>2.1</v>
      </c>
      <c r="C11" t="n">
        <v>12.589254</v>
      </c>
      <c r="D11" s="11" t="inlineStr">
        <is>
          <t>Non-ceph molluscs</t>
        </is>
      </c>
      <c r="E11" t="n">
        <v>140.953883</v>
      </c>
      <c r="F11" t="n">
        <v>14.712171</v>
      </c>
      <c r="G11" t="n">
        <v>10.486582</v>
      </c>
      <c r="H11" t="n">
        <v>17.347998</v>
      </c>
      <c r="I11" t="n">
        <v>87.52377799999999</v>
      </c>
      <c r="J11" t="n">
        <v>87.52377799999999</v>
      </c>
      <c r="K11" t="n">
        <v>33.521607</v>
      </c>
      <c r="L11" t="n">
        <v>92.59366</v>
      </c>
      <c r="M11" t="n">
        <v>92.59366</v>
      </c>
      <c r="N11" t="n">
        <v>92.59366</v>
      </c>
      <c r="O11" t="n">
        <v>4.448657</v>
      </c>
      <c r="P11" t="n">
        <v>3.058348</v>
      </c>
      <c r="Q11" t="n">
        <v>92.59366</v>
      </c>
      <c r="R11" t="n">
        <v>92.59366</v>
      </c>
      <c r="S11" t="n">
        <v>4.448657</v>
      </c>
      <c r="T11" t="n">
        <v>4.448657</v>
      </c>
      <c r="U11" t="n">
        <v>3.058348</v>
      </c>
      <c r="V11" t="n">
        <v>3.058348</v>
      </c>
      <c r="W11" t="n">
        <v>4.556294</v>
      </c>
      <c r="X11" t="n">
        <v>96.447226</v>
      </c>
    </row>
    <row r="12" ht="21" customHeight="1">
      <c r="A12" t="inlineStr">
        <is>
          <t>Acetes japonicus</t>
        </is>
      </c>
      <c r="B12" t="n">
        <v>2.54</v>
      </c>
      <c r="C12" t="n">
        <v>34.673685</v>
      </c>
      <c r="D12" s="11" t="inlineStr">
        <is>
          <t>Zooplankton</t>
        </is>
      </c>
      <c r="E12" t="n">
        <v>140.953883</v>
      </c>
      <c r="F12" t="n">
        <v>10</v>
      </c>
      <c r="G12" t="n">
        <v>7.482941</v>
      </c>
      <c r="H12" t="n">
        <v>7.482941</v>
      </c>
      <c r="I12" t="n">
        <v>115.384615</v>
      </c>
      <c r="J12" t="n">
        <v>115.384615</v>
      </c>
      <c r="K12" t="n">
        <v>6</v>
      </c>
      <c r="L12" t="n">
        <v>114.728394</v>
      </c>
      <c r="M12" t="n">
        <v>114.728394</v>
      </c>
      <c r="N12" t="n">
        <v>114.728394</v>
      </c>
      <c r="O12" t="n">
        <v>6.05984</v>
      </c>
      <c r="P12" t="n">
        <v>4.848511</v>
      </c>
      <c r="Q12" t="n">
        <v>114.728394</v>
      </c>
      <c r="R12" t="n">
        <v>114.728394</v>
      </c>
      <c r="S12" t="n">
        <v>6.05984</v>
      </c>
      <c r="T12" t="n">
        <v>6.05984</v>
      </c>
      <c r="U12" t="n">
        <v>4.848511</v>
      </c>
      <c r="V12" t="n">
        <v>4.848511</v>
      </c>
      <c r="W12" t="n">
        <v>6.224783</v>
      </c>
      <c r="X12" t="n">
        <v>116.846993</v>
      </c>
    </row>
    <row r="13" ht="51" customHeight="1">
      <c r="A13" t="inlineStr">
        <is>
          <t>Perciformes</t>
        </is>
      </c>
      <c r="B13" t="n">
        <v>3.53</v>
      </c>
      <c r="C13" t="n">
        <v>338.844156</v>
      </c>
      <c r="D13" s="11" t="inlineStr">
        <is>
          <t>Demesral fish (≤ 30 cm) | Juvenile demersal fish (&gt; 30 cm) | Adult demersal fish (&gt; 30 cm)</t>
        </is>
      </c>
      <c r="E13" t="n">
        <v>140.953883</v>
      </c>
      <c r="F13" t="n">
        <v>177.371403</v>
      </c>
      <c r="G13" t="n">
        <v>91.310768</v>
      </c>
      <c r="H13" t="n">
        <v>295.208302</v>
      </c>
      <c r="I13" t="n">
        <v>4269.898312</v>
      </c>
      <c r="J13" t="n">
        <v>4574.511297</v>
      </c>
      <c r="K13" t="n">
        <v>1801.225895</v>
      </c>
      <c r="L13" t="n">
        <v>6846.4367</v>
      </c>
      <c r="M13" t="n">
        <v>6846.4367</v>
      </c>
      <c r="N13" t="n">
        <v>6846.4367</v>
      </c>
      <c r="O13" t="n">
        <v>67.536573</v>
      </c>
      <c r="P13" t="n">
        <v>32.007796</v>
      </c>
      <c r="Q13" t="n">
        <v>6846.4367</v>
      </c>
      <c r="R13" t="n">
        <v>6846.4367</v>
      </c>
      <c r="S13" t="n">
        <v>67.536573</v>
      </c>
      <c r="T13" t="n">
        <v>67.536573</v>
      </c>
      <c r="U13" t="n">
        <v>32.007796</v>
      </c>
      <c r="V13" t="n">
        <v>32.007796</v>
      </c>
      <c r="W13" t="n">
        <v>70.113483</v>
      </c>
      <c r="X13" t="n">
        <v>7370.741192</v>
      </c>
    </row>
    <row r="14" ht="21" customHeight="1">
      <c r="A14" t="inlineStr">
        <is>
          <t>Nemipterus</t>
        </is>
      </c>
      <c r="B14" t="n">
        <v>3.72</v>
      </c>
      <c r="C14" t="n">
        <v>524.80746</v>
      </c>
      <c r="D14" s="11" t="inlineStr">
        <is>
          <t>Threadfin bream (nemipterids)</t>
        </is>
      </c>
      <c r="E14" t="n">
        <v>140.953883</v>
      </c>
      <c r="F14" t="n">
        <v>158.552335</v>
      </c>
      <c r="G14" t="n">
        <v>83.774152</v>
      </c>
      <c r="H14" t="n">
        <v>197.082776</v>
      </c>
      <c r="I14" t="n">
        <v>3502.459341</v>
      </c>
      <c r="J14" t="n">
        <v>3796.144916</v>
      </c>
      <c r="K14" t="n">
        <v>1780.391965</v>
      </c>
      <c r="L14" t="n">
        <v>4710.704014</v>
      </c>
      <c r="M14" t="n">
        <v>4710.704014</v>
      </c>
      <c r="N14" t="n">
        <v>4710.704014</v>
      </c>
      <c r="O14" t="n">
        <v>105.183965</v>
      </c>
      <c r="P14" t="n">
        <v>52.828865</v>
      </c>
      <c r="Q14" t="n">
        <v>4710.704014</v>
      </c>
      <c r="R14" t="n">
        <v>4710.704014</v>
      </c>
      <c r="S14" t="n">
        <v>105.183965</v>
      </c>
      <c r="T14" t="n">
        <v>105.183965</v>
      </c>
      <c r="U14" t="n">
        <v>52.828865</v>
      </c>
      <c r="V14" t="n">
        <v>52.828865</v>
      </c>
      <c r="W14" t="n">
        <v>109.611209</v>
      </c>
      <c r="X14" t="n">
        <v>5115.038689</v>
      </c>
    </row>
    <row r="15" ht="36" customHeight="1">
      <c r="A15" t="inlineStr">
        <is>
          <t>Miscellaneous marine crustaceans</t>
        </is>
      </c>
      <c r="B15" t="n">
        <v>2.7</v>
      </c>
      <c r="C15" t="n">
        <v>50.118723</v>
      </c>
      <c r="D15" s="11" t="inlineStr">
        <is>
          <t>Zooplankton | Benthic crustaceans | Shrimps | Crabs</t>
        </is>
      </c>
      <c r="E15" t="n">
        <v>140.953883</v>
      </c>
      <c r="F15" t="n">
        <v>20.231565</v>
      </c>
      <c r="G15" t="n">
        <v>13.734934</v>
      </c>
      <c r="H15" t="n">
        <v>25.09025</v>
      </c>
      <c r="I15" t="n">
        <v>130.411041</v>
      </c>
      <c r="J15" t="n">
        <v>130.411041</v>
      </c>
      <c r="K15" t="n">
        <v>95.393377</v>
      </c>
      <c r="L15" t="n">
        <v>134.682411</v>
      </c>
      <c r="M15" t="n">
        <v>134.682411</v>
      </c>
      <c r="N15" t="n">
        <v>134.682411</v>
      </c>
      <c r="O15" t="n">
        <v>10.649241</v>
      </c>
      <c r="P15" t="n">
        <v>7.289446</v>
      </c>
      <c r="Q15" t="n">
        <v>134.682411</v>
      </c>
      <c r="R15" t="n">
        <v>134.682411</v>
      </c>
      <c r="S15" t="n">
        <v>10.649241</v>
      </c>
      <c r="T15" t="n">
        <v>10.649241</v>
      </c>
      <c r="U15" t="n">
        <v>7.289446</v>
      </c>
      <c r="V15" t="n">
        <v>7.289446</v>
      </c>
      <c r="W15" t="n">
        <v>10.971178</v>
      </c>
      <c r="X15" t="n">
        <v>140.50161</v>
      </c>
    </row>
    <row r="16" ht="21" customHeight="1">
      <c r="A16" t="inlineStr">
        <is>
          <t>Leiognathidae</t>
        </is>
      </c>
      <c r="B16" t="n">
        <v>3.24</v>
      </c>
      <c r="C16" t="n">
        <v>173.780083</v>
      </c>
      <c r="D16" s="11" t="inlineStr">
        <is>
          <t>Benthopelagic fish</t>
        </is>
      </c>
      <c r="E16" t="n">
        <v>140.953883</v>
      </c>
      <c r="F16" t="n">
        <v>57.638856</v>
      </c>
      <c r="G16" t="n">
        <v>34.593347</v>
      </c>
      <c r="H16" t="n">
        <v>74.650282</v>
      </c>
      <c r="I16" t="n">
        <v>512.103289</v>
      </c>
      <c r="J16" t="n">
        <v>553.467817</v>
      </c>
      <c r="K16" t="n">
        <v>525.794426</v>
      </c>
      <c r="L16" t="n">
        <v>602.712303</v>
      </c>
      <c r="M16" t="n">
        <v>602.712303</v>
      </c>
      <c r="N16" t="n">
        <v>602.712303</v>
      </c>
      <c r="O16" t="n">
        <v>31.190871</v>
      </c>
      <c r="P16" t="n">
        <v>18.283791</v>
      </c>
      <c r="Q16" t="n">
        <v>602.712303</v>
      </c>
      <c r="R16" t="n">
        <v>602.712303</v>
      </c>
      <c r="S16" t="n">
        <v>31.190871</v>
      </c>
      <c r="T16" t="n">
        <v>31.190871</v>
      </c>
      <c r="U16" t="n">
        <v>18.283791</v>
      </c>
      <c r="V16" t="n">
        <v>18.283791</v>
      </c>
      <c r="W16" t="n">
        <v>32.089433</v>
      </c>
      <c r="X16" t="n">
        <v>622.065443</v>
      </c>
    </row>
    <row r="17" ht="21" customHeight="1">
      <c r="A17" t="inlineStr">
        <is>
          <t>Engraulis japonicus</t>
        </is>
      </c>
      <c r="B17" t="n">
        <v>3.14</v>
      </c>
      <c r="C17" t="n">
        <v>138.038426</v>
      </c>
      <c r="D17" s="11" t="inlineStr">
        <is>
          <t>Pelagic fish (≤ 30 cm)</t>
        </is>
      </c>
      <c r="E17" t="n">
        <v>140.953883</v>
      </c>
      <c r="F17" t="n">
        <v>60.479203</v>
      </c>
      <c r="G17" t="n">
        <v>36.07884</v>
      </c>
      <c r="H17" t="n">
        <v>45.98261</v>
      </c>
      <c r="I17" t="n">
        <v>395.888053</v>
      </c>
      <c r="J17" t="n">
        <v>395.888053</v>
      </c>
      <c r="K17" t="n">
        <v>376.09365</v>
      </c>
      <c r="L17" t="n">
        <v>393.787233</v>
      </c>
      <c r="M17" t="n">
        <v>393.787233</v>
      </c>
      <c r="N17" t="n">
        <v>393.787233</v>
      </c>
      <c r="O17" t="n">
        <v>20.916473</v>
      </c>
      <c r="P17" t="n">
        <v>13.510088</v>
      </c>
      <c r="Q17" t="n">
        <v>393.787233</v>
      </c>
      <c r="R17" t="n">
        <v>393.787233</v>
      </c>
      <c r="S17" t="n">
        <v>20.916473</v>
      </c>
      <c r="T17" t="n">
        <v>20.916473</v>
      </c>
      <c r="U17" t="n">
        <v>13.510088</v>
      </c>
      <c r="V17" t="n">
        <v>13.510088</v>
      </c>
      <c r="W17" t="n">
        <v>21.939981</v>
      </c>
      <c r="X17" t="n">
        <v>405.784084</v>
      </c>
    </row>
    <row r="18" ht="36" customHeight="1">
      <c r="A18" t="inlineStr">
        <is>
          <t>Scomberomorus</t>
        </is>
      </c>
      <c r="B18" t="n">
        <v>4.35</v>
      </c>
      <c r="C18" t="n">
        <v>2238.721139</v>
      </c>
      <c r="D18" s="11" t="inlineStr">
        <is>
          <t>Juvenile large pelagic fish | Pelagic fish (&gt; 30 cm)</t>
        </is>
      </c>
      <c r="E18" t="n">
        <v>140.953883</v>
      </c>
      <c r="F18" t="n">
        <v>200.641254</v>
      </c>
      <c r="G18" t="n">
        <v>102.228748</v>
      </c>
      <c r="H18" t="n">
        <v>215.010584</v>
      </c>
      <c r="I18" t="n">
        <v>6244.222521</v>
      </c>
      <c r="J18" t="n">
        <v>6325.914048</v>
      </c>
      <c r="K18" t="n">
        <v>1872.204427</v>
      </c>
      <c r="L18" t="n">
        <v>7112.982475</v>
      </c>
      <c r="M18" t="n">
        <v>7112.982475</v>
      </c>
      <c r="N18" t="n">
        <v>7112.982475</v>
      </c>
      <c r="O18" t="n">
        <v>87.969483</v>
      </c>
      <c r="P18" t="n">
        <v>46.580547</v>
      </c>
      <c r="Q18" t="n">
        <v>7112.982475</v>
      </c>
      <c r="R18" t="n">
        <v>7112.982475</v>
      </c>
      <c r="S18" t="n">
        <v>87.969483</v>
      </c>
      <c r="T18" t="n">
        <v>87.969483</v>
      </c>
      <c r="U18" t="n">
        <v>46.580547</v>
      </c>
      <c r="V18" t="n">
        <v>46.580547</v>
      </c>
      <c r="W18" t="n">
        <v>93.060855</v>
      </c>
      <c r="X18" t="n">
        <v>7459.131892</v>
      </c>
    </row>
    <row r="19" ht="36" customHeight="1">
      <c r="A19" t="inlineStr">
        <is>
          <t>Scombridae</t>
        </is>
      </c>
      <c r="B19" t="n">
        <v>4.26</v>
      </c>
      <c r="C19" t="n">
        <v>1819.700859</v>
      </c>
      <c r="D19" s="11" t="inlineStr">
        <is>
          <t>Juvenile large pelagic fish | Pelagic fish (&gt; 30 cm)</t>
        </is>
      </c>
      <c r="E19" t="n">
        <v>140.953883</v>
      </c>
      <c r="F19" t="n">
        <v>200.641254</v>
      </c>
      <c r="G19" t="n">
        <v>102.228748</v>
      </c>
      <c r="H19" t="n">
        <v>215.010584</v>
      </c>
      <c r="I19" t="n">
        <v>6244.222521</v>
      </c>
      <c r="J19" t="n">
        <v>6325.914048</v>
      </c>
      <c r="K19" t="n">
        <v>1872.204427</v>
      </c>
      <c r="L19" t="n">
        <v>7112.982475</v>
      </c>
      <c r="M19" t="n">
        <v>7112.982475</v>
      </c>
      <c r="N19" t="n">
        <v>7112.982475</v>
      </c>
      <c r="O19" t="n">
        <v>87.969483</v>
      </c>
      <c r="P19" t="n">
        <v>46.580547</v>
      </c>
      <c r="Q19" t="n">
        <v>7112.982475</v>
      </c>
      <c r="R19" t="n">
        <v>7112.982475</v>
      </c>
      <c r="S19" t="n">
        <v>87.969483</v>
      </c>
      <c r="T19" t="n">
        <v>87.969483</v>
      </c>
      <c r="U19" t="n">
        <v>46.580547</v>
      </c>
      <c r="V19" t="n">
        <v>46.580547</v>
      </c>
      <c r="W19" t="n">
        <v>93.060855</v>
      </c>
      <c r="X19" t="n">
        <v>7459.131892</v>
      </c>
    </row>
    <row r="20" ht="21" customHeight="1">
      <c r="A20" t="inlineStr">
        <is>
          <t>Sparidae</t>
        </is>
      </c>
      <c r="B20" t="n">
        <v>3.31</v>
      </c>
      <c r="C20" t="n">
        <v>204.173794</v>
      </c>
      <c r="D20" s="11" t="inlineStr">
        <is>
          <t>Benthopelagic fish</t>
        </is>
      </c>
      <c r="E20" t="n">
        <v>140.953883</v>
      </c>
      <c r="F20" t="n">
        <v>57.638856</v>
      </c>
      <c r="G20" t="n">
        <v>34.593347</v>
      </c>
      <c r="H20" t="n">
        <v>74.650282</v>
      </c>
      <c r="I20" t="n">
        <v>512.103289</v>
      </c>
      <c r="J20" t="n">
        <v>553.467817</v>
      </c>
      <c r="K20" t="n">
        <v>525.794426</v>
      </c>
      <c r="L20" t="n">
        <v>602.712303</v>
      </c>
      <c r="M20" t="n">
        <v>602.712303</v>
      </c>
      <c r="N20" t="n">
        <v>602.712303</v>
      </c>
      <c r="O20" t="n">
        <v>31.190871</v>
      </c>
      <c r="P20" t="n">
        <v>18.283791</v>
      </c>
      <c r="Q20" t="n">
        <v>602.712303</v>
      </c>
      <c r="R20" t="n">
        <v>602.712303</v>
      </c>
      <c r="S20" t="n">
        <v>31.190871</v>
      </c>
      <c r="T20" t="n">
        <v>31.190871</v>
      </c>
      <c r="U20" t="n">
        <v>18.283791</v>
      </c>
      <c r="V20" t="n">
        <v>18.283791</v>
      </c>
      <c r="W20" t="n">
        <v>32.089433</v>
      </c>
      <c r="X20" t="n">
        <v>622.065443</v>
      </c>
    </row>
    <row r="21" ht="51" customHeight="1">
      <c r="A21" t="inlineStr">
        <is>
          <t>Sciaenidae</t>
        </is>
      </c>
      <c r="B21" t="n">
        <v>3.76</v>
      </c>
      <c r="C21" t="n">
        <v>575.439937</v>
      </c>
      <c r="D21" s="11" t="inlineStr">
        <is>
          <t>Croakers (≤ 30 cm) | Juvenile large croakers | Croakers (&gt; 30 cm)</t>
        </is>
      </c>
      <c r="E21" t="n">
        <v>140.953883</v>
      </c>
      <c r="F21" t="n">
        <v>251.096546</v>
      </c>
      <c r="G21" t="n">
        <v>124.902538</v>
      </c>
      <c r="H21" t="n">
        <v>340.610317</v>
      </c>
      <c r="I21" t="n">
        <v>2592.828475</v>
      </c>
      <c r="J21" t="n">
        <v>2668.302146</v>
      </c>
      <c r="K21" t="n">
        <v>1626.885542</v>
      </c>
      <c r="L21" t="n">
        <v>3240.975912</v>
      </c>
      <c r="M21" t="n">
        <v>3240.975912</v>
      </c>
      <c r="N21" t="n">
        <v>3240.975912</v>
      </c>
      <c r="O21" t="n">
        <v>87.234846</v>
      </c>
      <c r="P21" t="n">
        <v>41.935227</v>
      </c>
      <c r="Q21" t="n">
        <v>3240.975912</v>
      </c>
      <c r="R21" t="n">
        <v>3240.975912</v>
      </c>
      <c r="S21" t="n">
        <v>87.234846</v>
      </c>
      <c r="T21" t="n">
        <v>87.234846</v>
      </c>
      <c r="U21" t="n">
        <v>41.935227</v>
      </c>
      <c r="V21" t="n">
        <v>41.935227</v>
      </c>
      <c r="W21" t="n">
        <v>91.178747</v>
      </c>
      <c r="X21" t="n">
        <v>3446.878316</v>
      </c>
    </row>
    <row r="22" ht="21" customHeight="1">
      <c r="A22" t="inlineStr">
        <is>
          <t>Dendrobranchiata</t>
        </is>
      </c>
      <c r="B22" t="n">
        <v>3.24</v>
      </c>
      <c r="C22" t="n">
        <v>173.780083</v>
      </c>
      <c r="D22" s="11" t="inlineStr">
        <is>
          <t>Shrimps</t>
        </is>
      </c>
      <c r="E22" t="n">
        <v>140.953883</v>
      </c>
      <c r="F22" t="n">
        <v>20.606299</v>
      </c>
      <c r="G22" t="n">
        <v>14.077679</v>
      </c>
      <c r="H22" t="n">
        <v>22.715542</v>
      </c>
      <c r="I22" t="n">
        <v>131.71072</v>
      </c>
      <c r="J22" t="n">
        <v>131.71072</v>
      </c>
      <c r="K22" t="n">
        <v>125.125184</v>
      </c>
      <c r="L22" t="n">
        <v>130.894857</v>
      </c>
      <c r="M22" t="n">
        <v>130.894857</v>
      </c>
      <c r="N22" t="n">
        <v>130.894857</v>
      </c>
      <c r="O22" t="n">
        <v>12.255972</v>
      </c>
      <c r="P22" t="n">
        <v>8.448598</v>
      </c>
      <c r="Q22" t="n">
        <v>130.894857</v>
      </c>
      <c r="R22" t="n">
        <v>130.894857</v>
      </c>
      <c r="S22" t="n">
        <v>12.255972</v>
      </c>
      <c r="T22" t="n">
        <v>12.255972</v>
      </c>
      <c r="U22" t="n">
        <v>8.448598</v>
      </c>
      <c r="V22" t="n">
        <v>8.448598</v>
      </c>
      <c r="W22" t="n">
        <v>12.680707</v>
      </c>
      <c r="X22" t="n">
        <v>136.520004</v>
      </c>
    </row>
    <row r="23" ht="21" customHeight="1">
      <c r="A23" t="inlineStr">
        <is>
          <t>Sardinella</t>
        </is>
      </c>
      <c r="B23" t="n">
        <v>2.77</v>
      </c>
      <c r="C23" t="n">
        <v>58.884366</v>
      </c>
      <c r="D23" s="11" t="inlineStr">
        <is>
          <t>Pelagic fish (≤ 30 cm)</t>
        </is>
      </c>
      <c r="E23" t="n">
        <v>140.953883</v>
      </c>
      <c r="F23" t="n">
        <v>60.479203</v>
      </c>
      <c r="G23" t="n">
        <v>36.07884</v>
      </c>
      <c r="H23" t="n">
        <v>45.98261</v>
      </c>
      <c r="I23" t="n">
        <v>395.888053</v>
      </c>
      <c r="J23" t="n">
        <v>395.888053</v>
      </c>
      <c r="K23" t="n">
        <v>376.09365</v>
      </c>
      <c r="L23" t="n">
        <v>393.787233</v>
      </c>
      <c r="M23" t="n">
        <v>393.787233</v>
      </c>
      <c r="N23" t="n">
        <v>393.787233</v>
      </c>
      <c r="O23" t="n">
        <v>20.916473</v>
      </c>
      <c r="P23" t="n">
        <v>13.510088</v>
      </c>
      <c r="Q23" t="n">
        <v>393.787233</v>
      </c>
      <c r="R23" t="n">
        <v>393.787233</v>
      </c>
      <c r="S23" t="n">
        <v>20.916473</v>
      </c>
      <c r="T23" t="n">
        <v>20.916473</v>
      </c>
      <c r="U23" t="n">
        <v>13.510088</v>
      </c>
      <c r="V23" t="n">
        <v>13.510088</v>
      </c>
      <c r="W23" t="n">
        <v>21.939981</v>
      </c>
      <c r="X23" t="n">
        <v>405.784084</v>
      </c>
    </row>
    <row r="24" ht="51" customHeight="1">
      <c r="A24" t="inlineStr">
        <is>
          <t>Marine finfishes not identified</t>
        </is>
      </c>
      <c r="B24" t="n">
        <v>3.23</v>
      </c>
      <c r="C24" t="n">
        <v>169.824365</v>
      </c>
      <c r="D24" s="11" t="inlineStr">
        <is>
          <t>Demesral fish (≤ 30 cm) | Juvenile demersal fish (&gt; 30 cm) | Adult demersal fish (&gt; 30 cm)</t>
        </is>
      </c>
      <c r="E24" t="n">
        <v>140.953883</v>
      </c>
      <c r="F24" t="n">
        <v>177.371403</v>
      </c>
      <c r="G24" t="n">
        <v>91.310768</v>
      </c>
      <c r="H24" t="n">
        <v>295.208302</v>
      </c>
      <c r="I24" t="n">
        <v>4269.898312</v>
      </c>
      <c r="J24" t="n">
        <v>4574.511297</v>
      </c>
      <c r="K24" t="n">
        <v>1801.225895</v>
      </c>
      <c r="L24" t="n">
        <v>6846.4367</v>
      </c>
      <c r="M24" t="n">
        <v>6846.4367</v>
      </c>
      <c r="N24" t="n">
        <v>6846.4367</v>
      </c>
      <c r="O24" t="n">
        <v>67.536573</v>
      </c>
      <c r="P24" t="n">
        <v>32.007796</v>
      </c>
      <c r="Q24" t="n">
        <v>6846.4367</v>
      </c>
      <c r="R24" t="n">
        <v>6846.4367</v>
      </c>
      <c r="S24" t="n">
        <v>67.536573</v>
      </c>
      <c r="T24" t="n">
        <v>67.536573</v>
      </c>
      <c r="U24" t="n">
        <v>32.007796</v>
      </c>
      <c r="V24" t="n">
        <v>32.007796</v>
      </c>
      <c r="W24" t="n">
        <v>70.113483</v>
      </c>
      <c r="X24" t="n">
        <v>7370.741192</v>
      </c>
    </row>
    <row r="25" ht="21" customHeight="1">
      <c r="A25" t="inlineStr">
        <is>
          <t>Priacanthus</t>
        </is>
      </c>
      <c r="B25" t="n">
        <v>3.81</v>
      </c>
      <c r="C25" t="n">
        <v>645.654229</v>
      </c>
      <c r="D25" s="11" t="inlineStr">
        <is>
          <t>Bigeyes (priacanthids)</t>
        </is>
      </c>
      <c r="E25" t="n">
        <v>140.953883</v>
      </c>
      <c r="F25" t="n">
        <v>283.896083</v>
      </c>
      <c r="G25" t="n">
        <v>139.392295</v>
      </c>
      <c r="H25" t="n">
        <v>456.88162</v>
      </c>
      <c r="I25" t="n">
        <v>10688.374283</v>
      </c>
      <c r="J25" t="n">
        <v>10967.724493</v>
      </c>
      <c r="K25" t="n">
        <v>3597.413634</v>
      </c>
      <c r="L25" t="n">
        <v>16970.336092</v>
      </c>
      <c r="M25" t="n">
        <v>16970.336092</v>
      </c>
      <c r="N25" t="n">
        <v>16970.336092</v>
      </c>
      <c r="O25" t="n">
        <v>214.616191</v>
      </c>
      <c r="P25" t="n">
        <v>96.945487</v>
      </c>
      <c r="Q25" t="n">
        <v>16970.336092</v>
      </c>
      <c r="R25" t="n">
        <v>16970.336092</v>
      </c>
      <c r="S25" t="n">
        <v>214.616191</v>
      </c>
      <c r="T25" t="n">
        <v>214.616191</v>
      </c>
      <c r="U25" t="n">
        <v>96.945487</v>
      </c>
      <c r="V25" t="n">
        <v>96.945487</v>
      </c>
      <c r="W25" t="n">
        <v>226.201493</v>
      </c>
      <c r="X25" t="n">
        <v>17690.628268</v>
      </c>
    </row>
    <row r="26" ht="21" customHeight="1">
      <c r="A26" t="inlineStr">
        <is>
          <t>Penaeidae</t>
        </is>
      </c>
      <c r="B26" t="n">
        <v>3.31</v>
      </c>
      <c r="C26" t="n">
        <v>204.173794</v>
      </c>
      <c r="D26" s="11" t="inlineStr">
        <is>
          <t>Shrimps</t>
        </is>
      </c>
      <c r="E26" t="n">
        <v>140.953883</v>
      </c>
      <c r="F26" t="n">
        <v>20.606299</v>
      </c>
      <c r="G26" t="n">
        <v>14.077679</v>
      </c>
      <c r="H26" t="n">
        <v>22.715542</v>
      </c>
      <c r="I26" t="n">
        <v>131.71072</v>
      </c>
      <c r="J26" t="n">
        <v>131.71072</v>
      </c>
      <c r="K26" t="n">
        <v>125.125184</v>
      </c>
      <c r="L26" t="n">
        <v>130.894857</v>
      </c>
      <c r="M26" t="n">
        <v>130.894857</v>
      </c>
      <c r="N26" t="n">
        <v>130.894857</v>
      </c>
      <c r="O26" t="n">
        <v>12.255972</v>
      </c>
      <c r="P26" t="n">
        <v>8.448598</v>
      </c>
      <c r="Q26" t="n">
        <v>130.894857</v>
      </c>
      <c r="R26" t="n">
        <v>130.894857</v>
      </c>
      <c r="S26" t="n">
        <v>12.255972</v>
      </c>
      <c r="T26" t="n">
        <v>12.255972</v>
      </c>
      <c r="U26" t="n">
        <v>8.448598</v>
      </c>
      <c r="V26" t="n">
        <v>8.448598</v>
      </c>
      <c r="W26" t="n">
        <v>12.680707</v>
      </c>
      <c r="X26" t="n">
        <v>136.520004</v>
      </c>
    </row>
    <row r="27" ht="21" customHeight="1">
      <c r="A27" t="inlineStr">
        <is>
          <t>Loliginidae</t>
        </is>
      </c>
      <c r="B27" t="n">
        <v>3.9</v>
      </c>
      <c r="C27" t="n">
        <v>794.3282349999999</v>
      </c>
      <c r="D27" s="11" t="inlineStr">
        <is>
          <t>Cephalopods</t>
        </is>
      </c>
      <c r="E27" t="n">
        <v>140.953883</v>
      </c>
      <c r="F27" t="n">
        <v>170.518341</v>
      </c>
      <c r="G27" t="n">
        <v>89.274901</v>
      </c>
      <c r="H27" t="n">
        <v>176.937394</v>
      </c>
      <c r="I27" t="n">
        <v>1050.872908</v>
      </c>
      <c r="J27" t="n">
        <v>1075.829695</v>
      </c>
      <c r="K27" t="n">
        <v>537.914847</v>
      </c>
      <c r="L27" t="n">
        <v>1659.687874</v>
      </c>
      <c r="M27" t="n">
        <v>1659.687874</v>
      </c>
      <c r="N27" t="n">
        <v>1659.687874</v>
      </c>
      <c r="O27" t="n">
        <v>31.362197</v>
      </c>
      <c r="P27" t="n">
        <v>16.184075</v>
      </c>
      <c r="Q27" t="n">
        <v>1659.687874</v>
      </c>
      <c r="R27" t="n">
        <v>1659.687874</v>
      </c>
      <c r="S27" t="n">
        <v>31.362197</v>
      </c>
      <c r="T27" t="n">
        <v>31.362197</v>
      </c>
      <c r="U27" t="n">
        <v>16.184075</v>
      </c>
      <c r="V27" t="n">
        <v>16.184075</v>
      </c>
      <c r="W27" t="n">
        <v>32.286772</v>
      </c>
      <c r="X27" t="n">
        <v>1775.112325</v>
      </c>
    </row>
    <row r="28" ht="36" customHeight="1">
      <c r="A28" t="inlineStr">
        <is>
          <t>Scomber japonicus</t>
        </is>
      </c>
      <c r="B28" t="n">
        <v>3.38</v>
      </c>
      <c r="C28" t="n">
        <v>239.883292</v>
      </c>
      <c r="D28" s="11" t="inlineStr">
        <is>
          <t>Juvenile large pelagic fish | Pelagic fish (&gt; 30 cm)</t>
        </is>
      </c>
      <c r="E28" t="n">
        <v>140.953883</v>
      </c>
      <c r="F28" t="n">
        <v>200.641254</v>
      </c>
      <c r="G28" t="n">
        <v>102.228748</v>
      </c>
      <c r="H28" t="n">
        <v>215.010584</v>
      </c>
      <c r="I28" t="n">
        <v>6244.222521</v>
      </c>
      <c r="J28" t="n">
        <v>6325.914048</v>
      </c>
      <c r="K28" t="n">
        <v>1872.204427</v>
      </c>
      <c r="L28" t="n">
        <v>7112.982475</v>
      </c>
      <c r="M28" t="n">
        <v>7112.982475</v>
      </c>
      <c r="N28" t="n">
        <v>7112.982475</v>
      </c>
      <c r="O28" t="n">
        <v>87.969483</v>
      </c>
      <c r="P28" t="n">
        <v>46.580547</v>
      </c>
      <c r="Q28" t="n">
        <v>7112.982475</v>
      </c>
      <c r="R28" t="n">
        <v>7112.982475</v>
      </c>
      <c r="S28" t="n">
        <v>87.969483</v>
      </c>
      <c r="T28" t="n">
        <v>87.969483</v>
      </c>
      <c r="U28" t="n">
        <v>46.580547</v>
      </c>
      <c r="V28" t="n">
        <v>46.580547</v>
      </c>
      <c r="W28" t="n">
        <v>93.060855</v>
      </c>
      <c r="X28" t="n">
        <v>7459.131892</v>
      </c>
    </row>
    <row r="29" ht="21" customHeight="1">
      <c r="A29" t="inlineStr">
        <is>
          <t>Portunus trituberculatus</t>
        </is>
      </c>
      <c r="B29" t="n">
        <v>3.73</v>
      </c>
      <c r="C29" t="n">
        <v>537.031796</v>
      </c>
      <c r="D29" s="11" t="inlineStr">
        <is>
          <t>Crabs</t>
        </is>
      </c>
      <c r="E29" t="n">
        <v>140.953883</v>
      </c>
      <c r="F29" t="n">
        <v>33.254785</v>
      </c>
      <c r="G29" t="n">
        <v>21.389991</v>
      </c>
      <c r="H29" t="n">
        <v>53.354334</v>
      </c>
      <c r="I29" t="n">
        <v>151.084056</v>
      </c>
      <c r="J29" t="n">
        <v>151.084056</v>
      </c>
      <c r="K29" t="n">
        <v>143.529853</v>
      </c>
      <c r="L29" t="n">
        <v>173.938876</v>
      </c>
      <c r="M29" t="n">
        <v>173.938876</v>
      </c>
      <c r="N29" t="n">
        <v>173.938876</v>
      </c>
      <c r="O29" t="n">
        <v>13.215653</v>
      </c>
      <c r="P29" t="n">
        <v>8.00437</v>
      </c>
      <c r="Q29" t="n">
        <v>173.938876</v>
      </c>
      <c r="R29" t="n">
        <v>173.938876</v>
      </c>
      <c r="S29" t="n">
        <v>13.215653</v>
      </c>
      <c r="T29" t="n">
        <v>13.215653</v>
      </c>
      <c r="U29" t="n">
        <v>8.00437</v>
      </c>
      <c r="V29" t="n">
        <v>8.00437</v>
      </c>
      <c r="W29" t="n">
        <v>13.539814</v>
      </c>
      <c r="X29" t="n">
        <v>184.933079</v>
      </c>
    </row>
    <row r="30" ht="36" customHeight="1">
      <c r="A30" t="inlineStr">
        <is>
          <t>Monacanthidae</t>
        </is>
      </c>
      <c r="B30" t="n">
        <v>3</v>
      </c>
      <c r="C30" t="n">
        <v>100</v>
      </c>
      <c r="D30" s="11" t="inlineStr">
        <is>
          <t>Juvenile demersal fish (&gt; 30 cm) | Adult demersal fish (&gt; 30 cm)</t>
        </is>
      </c>
      <c r="E30" t="n">
        <v>140.953883</v>
      </c>
      <c r="F30" t="n">
        <v>228.824285</v>
      </c>
      <c r="G30" t="n">
        <v>114.897152</v>
      </c>
      <c r="H30" t="n">
        <v>408.798022</v>
      </c>
      <c r="I30" t="n">
        <v>6590.793316</v>
      </c>
      <c r="J30" t="n">
        <v>7071.146917</v>
      </c>
      <c r="K30" t="n">
        <v>2576.928919</v>
      </c>
      <c r="L30" t="n">
        <v>10677.999207</v>
      </c>
      <c r="M30" t="n">
        <v>10677.999207</v>
      </c>
      <c r="N30" t="n">
        <v>10677.999207</v>
      </c>
      <c r="O30" t="n">
        <v>85.006417</v>
      </c>
      <c r="P30" t="n">
        <v>38.52237</v>
      </c>
      <c r="Q30" t="n">
        <v>10677.999207</v>
      </c>
      <c r="R30" t="n">
        <v>10677.999207</v>
      </c>
      <c r="S30" t="n">
        <v>85.006417</v>
      </c>
      <c r="T30" t="n">
        <v>85.006417</v>
      </c>
      <c r="U30" t="n">
        <v>38.52237</v>
      </c>
      <c r="V30" t="n">
        <v>38.52237</v>
      </c>
      <c r="W30" t="n">
        <v>88.306245</v>
      </c>
      <c r="X30" t="n">
        <v>11509.306401</v>
      </c>
    </row>
    <row r="31" ht="21" customHeight="1">
      <c r="A31" t="inlineStr">
        <is>
          <t>Trachysalambria curvirostris</t>
        </is>
      </c>
      <c r="B31" t="n">
        <v>2.7</v>
      </c>
      <c r="C31" t="n">
        <v>50.118723</v>
      </c>
      <c r="D31" s="11" t="inlineStr">
        <is>
          <t>Shrimps</t>
        </is>
      </c>
      <c r="E31" t="n">
        <v>140.953883</v>
      </c>
      <c r="F31" t="n">
        <v>20.606299</v>
      </c>
      <c r="G31" t="n">
        <v>14.077679</v>
      </c>
      <c r="H31" t="n">
        <v>22.715542</v>
      </c>
      <c r="I31" t="n">
        <v>131.71072</v>
      </c>
      <c r="J31" t="n">
        <v>131.71072</v>
      </c>
      <c r="K31" t="n">
        <v>125.125184</v>
      </c>
      <c r="L31" t="n">
        <v>130.894857</v>
      </c>
      <c r="M31" t="n">
        <v>130.894857</v>
      </c>
      <c r="N31" t="n">
        <v>130.894857</v>
      </c>
      <c r="O31" t="n">
        <v>12.255972</v>
      </c>
      <c r="P31" t="n">
        <v>8.448598</v>
      </c>
      <c r="Q31" t="n">
        <v>130.894857</v>
      </c>
      <c r="R31" t="n">
        <v>130.894857</v>
      </c>
      <c r="S31" t="n">
        <v>12.255972</v>
      </c>
      <c r="T31" t="n">
        <v>12.255972</v>
      </c>
      <c r="U31" t="n">
        <v>8.448598</v>
      </c>
      <c r="V31" t="n">
        <v>8.448598</v>
      </c>
      <c r="W31" t="n">
        <v>12.680707</v>
      </c>
      <c r="X31" t="n">
        <v>136.520004</v>
      </c>
    </row>
    <row r="32" ht="36" customHeight="1">
      <c r="A32" t="inlineStr">
        <is>
          <t>Larimichthys crocea</t>
        </is>
      </c>
      <c r="B32" t="n">
        <v>3.72</v>
      </c>
      <c r="C32" t="n">
        <v>524.80746</v>
      </c>
      <c r="D32" s="11" t="inlineStr">
        <is>
          <t>Juvenile large croakers | Croakers (&gt; 30 cm)</t>
        </is>
      </c>
      <c r="E32" t="n">
        <v>140.953883</v>
      </c>
      <c r="F32" t="n">
        <v>265.549442</v>
      </c>
      <c r="G32" t="n">
        <v>131.19784</v>
      </c>
      <c r="H32" t="n">
        <v>368.043932</v>
      </c>
      <c r="I32" t="n">
        <v>2939.153653</v>
      </c>
      <c r="J32" t="n">
        <v>3022.907916</v>
      </c>
      <c r="K32" t="n">
        <v>1769.605312</v>
      </c>
      <c r="L32" t="n">
        <v>3691.420719</v>
      </c>
      <c r="M32" t="n">
        <v>3691.420719</v>
      </c>
      <c r="N32" t="n">
        <v>3691.420719</v>
      </c>
      <c r="O32" t="n">
        <v>92.784491</v>
      </c>
      <c r="P32" t="n">
        <v>44.082214</v>
      </c>
      <c r="Q32" t="n">
        <v>3691.420719</v>
      </c>
      <c r="R32" t="n">
        <v>3691.420719</v>
      </c>
      <c r="S32" t="n">
        <v>92.784491</v>
      </c>
      <c r="T32" t="n">
        <v>92.784491</v>
      </c>
      <c r="U32" t="n">
        <v>44.082214</v>
      </c>
      <c r="V32" t="n">
        <v>44.082214</v>
      </c>
      <c r="W32" t="n">
        <v>96.91430099999999</v>
      </c>
      <c r="X32" t="n">
        <v>3937.988659</v>
      </c>
    </row>
    <row r="33" ht="51" customHeight="1">
      <c r="A33" t="inlineStr">
        <is>
          <t>Clupeidae</t>
        </is>
      </c>
      <c r="B33" t="n">
        <v>3.16</v>
      </c>
      <c r="C33" t="n">
        <v>144.543977</v>
      </c>
      <c r="D33" s="11" t="inlineStr">
        <is>
          <t>Pelagic fish (≤ 30 cm) | Juvenile large pelagic fish | Pelagic fish (&gt; 30 cm)</t>
        </is>
      </c>
      <c r="E33" t="n">
        <v>140.953883</v>
      </c>
      <c r="F33" t="n">
        <v>94.940534</v>
      </c>
      <c r="G33" t="n">
        <v>52.342971</v>
      </c>
      <c r="H33" t="n">
        <v>87.541141</v>
      </c>
      <c r="I33" t="n">
        <v>1833.804999</v>
      </c>
      <c r="J33" t="n">
        <v>1853.890312</v>
      </c>
      <c r="K33" t="n">
        <v>743.939069</v>
      </c>
      <c r="L33" t="n">
        <v>2045.820774</v>
      </c>
      <c r="M33" t="n">
        <v>2045.820774</v>
      </c>
      <c r="N33" t="n">
        <v>2045.820774</v>
      </c>
      <c r="O33" t="n">
        <v>37.402647</v>
      </c>
      <c r="P33" t="n">
        <v>21.641048</v>
      </c>
      <c r="Q33" t="n">
        <v>2045.820774</v>
      </c>
      <c r="R33" t="n">
        <v>2045.820774</v>
      </c>
      <c r="S33" t="n">
        <v>37.402647</v>
      </c>
      <c r="T33" t="n">
        <v>37.402647</v>
      </c>
      <c r="U33" t="n">
        <v>21.641048</v>
      </c>
      <c r="V33" t="n">
        <v>21.641048</v>
      </c>
      <c r="W33" t="n">
        <v>39.426311</v>
      </c>
      <c r="X33" t="n">
        <v>2139.974971</v>
      </c>
    </row>
    <row r="34" ht="36" customHeight="1">
      <c r="A34" t="inlineStr">
        <is>
          <t>Muraenesox cinereus</t>
        </is>
      </c>
      <c r="B34" t="n">
        <v>4.38</v>
      </c>
      <c r="C34" t="n">
        <v>2398.832919</v>
      </c>
      <c r="D34" s="11" t="inlineStr">
        <is>
          <t>Juvenile demersal fish (&gt; 30 cm) | Adult demersal fish (&gt; 30 cm)</t>
        </is>
      </c>
      <c r="E34" t="n">
        <v>140.953883</v>
      </c>
      <c r="F34" t="n">
        <v>228.824285</v>
      </c>
      <c r="G34" t="n">
        <v>114.897152</v>
      </c>
      <c r="H34" t="n">
        <v>408.798022</v>
      </c>
      <c r="I34" t="n">
        <v>6590.793316</v>
      </c>
      <c r="J34" t="n">
        <v>7071.146917</v>
      </c>
      <c r="K34" t="n">
        <v>2576.928919</v>
      </c>
      <c r="L34" t="n">
        <v>10677.999207</v>
      </c>
      <c r="M34" t="n">
        <v>10677.999207</v>
      </c>
      <c r="N34" t="n">
        <v>10677.999207</v>
      </c>
      <c r="O34" t="n">
        <v>85.006417</v>
      </c>
      <c r="P34" t="n">
        <v>38.52237</v>
      </c>
      <c r="Q34" t="n">
        <v>10677.999207</v>
      </c>
      <c r="R34" t="n">
        <v>10677.999207</v>
      </c>
      <c r="S34" t="n">
        <v>85.006417</v>
      </c>
      <c r="T34" t="n">
        <v>85.006417</v>
      </c>
      <c r="U34" t="n">
        <v>38.52237</v>
      </c>
      <c r="V34" t="n">
        <v>38.52237</v>
      </c>
      <c r="W34" t="n">
        <v>88.306245</v>
      </c>
      <c r="X34" t="n">
        <v>11509.306401</v>
      </c>
    </row>
    <row r="35" ht="21" customHeight="1">
      <c r="A35" t="inlineStr">
        <is>
          <t>Portunus pelagicus</t>
        </is>
      </c>
      <c r="B35" t="n">
        <v>2.48</v>
      </c>
      <c r="C35" t="n">
        <v>30.199517</v>
      </c>
      <c r="D35" s="11" t="inlineStr">
        <is>
          <t>Crabs</t>
        </is>
      </c>
      <c r="E35" t="n">
        <v>140.953883</v>
      </c>
      <c r="F35" t="n">
        <v>33.254785</v>
      </c>
      <c r="G35" t="n">
        <v>21.389991</v>
      </c>
      <c r="H35" t="n">
        <v>53.354334</v>
      </c>
      <c r="I35" t="n">
        <v>151.084056</v>
      </c>
      <c r="J35" t="n">
        <v>151.084056</v>
      </c>
      <c r="K35" t="n">
        <v>143.529853</v>
      </c>
      <c r="L35" t="n">
        <v>173.938876</v>
      </c>
      <c r="M35" t="n">
        <v>173.938876</v>
      </c>
      <c r="N35" t="n">
        <v>173.938876</v>
      </c>
      <c r="O35" t="n">
        <v>13.215653</v>
      </c>
      <c r="P35" t="n">
        <v>8.00437</v>
      </c>
      <c r="Q35" t="n">
        <v>173.938876</v>
      </c>
      <c r="R35" t="n">
        <v>173.938876</v>
      </c>
      <c r="S35" t="n">
        <v>13.215653</v>
      </c>
      <c r="T35" t="n">
        <v>13.215653</v>
      </c>
      <c r="U35" t="n">
        <v>8.00437</v>
      </c>
      <c r="V35" t="n">
        <v>8.00437</v>
      </c>
      <c r="W35" t="n">
        <v>13.539814</v>
      </c>
      <c r="X35" t="n">
        <v>184.933079</v>
      </c>
    </row>
    <row r="36" ht="21" customHeight="1">
      <c r="A36" t="inlineStr">
        <is>
          <t>Engraulidae</t>
        </is>
      </c>
      <c r="B36" t="n">
        <v>3.2</v>
      </c>
      <c r="C36" t="n">
        <v>158.489319</v>
      </c>
      <c r="D36" s="11" t="inlineStr">
        <is>
          <t>Pelagic fish (≤ 30 cm)</t>
        </is>
      </c>
      <c r="E36" t="n">
        <v>140.953883</v>
      </c>
      <c r="F36" t="n">
        <v>60.479203</v>
      </c>
      <c r="G36" t="n">
        <v>36.07884</v>
      </c>
      <c r="H36" t="n">
        <v>45.98261</v>
      </c>
      <c r="I36" t="n">
        <v>395.888053</v>
      </c>
      <c r="J36" t="n">
        <v>395.888053</v>
      </c>
      <c r="K36" t="n">
        <v>376.09365</v>
      </c>
      <c r="L36" t="n">
        <v>393.787233</v>
      </c>
      <c r="M36" t="n">
        <v>393.787233</v>
      </c>
      <c r="N36" t="n">
        <v>393.787233</v>
      </c>
      <c r="O36" t="n">
        <v>20.916473</v>
      </c>
      <c r="P36" t="n">
        <v>13.510088</v>
      </c>
      <c r="Q36" t="n">
        <v>393.787233</v>
      </c>
      <c r="R36" t="n">
        <v>393.787233</v>
      </c>
      <c r="S36" t="n">
        <v>20.916473</v>
      </c>
      <c r="T36" t="n">
        <v>20.916473</v>
      </c>
      <c r="U36" t="n">
        <v>13.510088</v>
      </c>
      <c r="V36" t="n">
        <v>13.510088</v>
      </c>
      <c r="W36" t="n">
        <v>21.939981</v>
      </c>
      <c r="X36" t="n">
        <v>405.784084</v>
      </c>
    </row>
    <row r="37" ht="21" customHeight="1">
      <c r="A37" t="inlineStr">
        <is>
          <t>Pampus</t>
        </is>
      </c>
      <c r="B37" t="n">
        <v>3.41</v>
      </c>
      <c r="C37" t="n">
        <v>257.039578</v>
      </c>
      <c r="D37" s="11" t="inlineStr">
        <is>
          <t>Pomfret (stromateids)</t>
        </is>
      </c>
      <c r="E37" t="n">
        <v>140.953883</v>
      </c>
      <c r="F37" t="n">
        <v>342.280115</v>
      </c>
      <c r="G37" t="n">
        <v>164.146984</v>
      </c>
      <c r="H37" t="n">
        <v>260.083928</v>
      </c>
      <c r="I37" t="n">
        <v>1585.623721</v>
      </c>
      <c r="J37" t="n">
        <v>1650.152477</v>
      </c>
      <c r="K37" t="n">
        <v>1567.644853</v>
      </c>
      <c r="L37" t="n">
        <v>2274.19106</v>
      </c>
      <c r="M37" t="n">
        <v>2274.19106</v>
      </c>
      <c r="N37" t="n">
        <v>2274.19106</v>
      </c>
      <c r="O37" t="n">
        <v>105.127985</v>
      </c>
      <c r="P37" t="n">
        <v>50.974766</v>
      </c>
      <c r="Q37" t="n">
        <v>2274.19106</v>
      </c>
      <c r="R37" t="n">
        <v>2274.19106</v>
      </c>
      <c r="S37" t="n">
        <v>105.127985</v>
      </c>
      <c r="T37" t="n">
        <v>105.127985</v>
      </c>
      <c r="U37" t="n">
        <v>50.974766</v>
      </c>
      <c r="V37" t="n">
        <v>50.974766</v>
      </c>
      <c r="W37" t="n">
        <v>111.155847</v>
      </c>
      <c r="X37" t="n">
        <v>2438.947747</v>
      </c>
    </row>
    <row r="38" ht="21" customHeight="1">
      <c r="A38" t="inlineStr">
        <is>
          <t>Nemipteridae</t>
        </is>
      </c>
      <c r="B38" t="n">
        <v>3.51</v>
      </c>
      <c r="C38" t="n">
        <v>323.593657</v>
      </c>
      <c r="D38" s="11" t="inlineStr">
        <is>
          <t>Threadfin bream (nemipterids)</t>
        </is>
      </c>
      <c r="E38" t="n">
        <v>140.953883</v>
      </c>
      <c r="F38" t="n">
        <v>158.552335</v>
      </c>
      <c r="G38" t="n">
        <v>83.774152</v>
      </c>
      <c r="H38" t="n">
        <v>197.082776</v>
      </c>
      <c r="I38" t="n">
        <v>3502.459341</v>
      </c>
      <c r="J38" t="n">
        <v>3796.144916</v>
      </c>
      <c r="K38" t="n">
        <v>1780.391965</v>
      </c>
      <c r="L38" t="n">
        <v>4710.704014</v>
      </c>
      <c r="M38" t="n">
        <v>4710.704014</v>
      </c>
      <c r="N38" t="n">
        <v>4710.704014</v>
      </c>
      <c r="O38" t="n">
        <v>105.183965</v>
      </c>
      <c r="P38" t="n">
        <v>52.828865</v>
      </c>
      <c r="Q38" t="n">
        <v>4710.704014</v>
      </c>
      <c r="R38" t="n">
        <v>4710.704014</v>
      </c>
      <c r="S38" t="n">
        <v>105.183965</v>
      </c>
      <c r="T38" t="n">
        <v>105.183965</v>
      </c>
      <c r="U38" t="n">
        <v>52.828865</v>
      </c>
      <c r="V38" t="n">
        <v>52.828865</v>
      </c>
      <c r="W38" t="n">
        <v>109.611209</v>
      </c>
      <c r="X38" t="n">
        <v>5115.038689</v>
      </c>
    </row>
    <row r="39" ht="21" customHeight="1">
      <c r="A39" t="inlineStr">
        <is>
          <t>Sepiidae</t>
        </is>
      </c>
      <c r="B39" t="n">
        <v>3.6</v>
      </c>
      <c r="C39" t="n">
        <v>398.107171</v>
      </c>
      <c r="D39" s="11" t="inlineStr">
        <is>
          <t>Cephalopods</t>
        </is>
      </c>
      <c r="E39" t="n">
        <v>140.953883</v>
      </c>
      <c r="F39" t="n">
        <v>170.518341</v>
      </c>
      <c r="G39" t="n">
        <v>89.274901</v>
      </c>
      <c r="H39" t="n">
        <v>176.937394</v>
      </c>
      <c r="I39" t="n">
        <v>1050.872908</v>
      </c>
      <c r="J39" t="n">
        <v>1075.829695</v>
      </c>
      <c r="K39" t="n">
        <v>537.914847</v>
      </c>
      <c r="L39" t="n">
        <v>1659.687874</v>
      </c>
      <c r="M39" t="n">
        <v>1659.687874</v>
      </c>
      <c r="N39" t="n">
        <v>1659.687874</v>
      </c>
      <c r="O39" t="n">
        <v>31.362197</v>
      </c>
      <c r="P39" t="n">
        <v>16.184075</v>
      </c>
      <c r="Q39" t="n">
        <v>1659.687874</v>
      </c>
      <c r="R39" t="n">
        <v>1659.687874</v>
      </c>
      <c r="S39" t="n">
        <v>31.362197</v>
      </c>
      <c r="T39" t="n">
        <v>31.362197</v>
      </c>
      <c r="U39" t="n">
        <v>16.184075</v>
      </c>
      <c r="V39" t="n">
        <v>16.184075</v>
      </c>
      <c r="W39" t="n">
        <v>32.286772</v>
      </c>
      <c r="X39" t="n">
        <v>1775.112325</v>
      </c>
    </row>
    <row r="40" ht="36" customHeight="1">
      <c r="A40" t="inlineStr">
        <is>
          <t>Decapterus</t>
        </is>
      </c>
      <c r="B40" t="n">
        <v>3.63</v>
      </c>
      <c r="C40" t="n">
        <v>426.579519</v>
      </c>
      <c r="D40" s="11" t="inlineStr">
        <is>
          <t>Juvenile large pelagic fish | Pelagic fish (&gt; 30 cm)</t>
        </is>
      </c>
      <c r="E40" t="n">
        <v>140.953883</v>
      </c>
      <c r="F40" t="n">
        <v>200.641254</v>
      </c>
      <c r="G40" t="n">
        <v>102.228748</v>
      </c>
      <c r="H40" t="n">
        <v>215.010584</v>
      </c>
      <c r="I40" t="n">
        <v>6244.222521</v>
      </c>
      <c r="J40" t="n">
        <v>6325.914048</v>
      </c>
      <c r="K40" t="n">
        <v>1872.204427</v>
      </c>
      <c r="L40" t="n">
        <v>7112.982475</v>
      </c>
      <c r="M40" t="n">
        <v>7112.982475</v>
      </c>
      <c r="N40" t="n">
        <v>7112.982475</v>
      </c>
      <c r="O40" t="n">
        <v>87.969483</v>
      </c>
      <c r="P40" t="n">
        <v>46.580547</v>
      </c>
      <c r="Q40" t="n">
        <v>7112.982475</v>
      </c>
      <c r="R40" t="n">
        <v>7112.982475</v>
      </c>
      <c r="S40" t="n">
        <v>87.969483</v>
      </c>
      <c r="T40" t="n">
        <v>87.969483</v>
      </c>
      <c r="U40" t="n">
        <v>46.580547</v>
      </c>
      <c r="V40" t="n">
        <v>46.580547</v>
      </c>
      <c r="W40" t="n">
        <v>93.060855</v>
      </c>
      <c r="X40" t="n">
        <v>7459.131892</v>
      </c>
    </row>
    <row r="41" ht="21" customHeight="1">
      <c r="A41" t="inlineStr">
        <is>
          <t>Teuthida</t>
        </is>
      </c>
      <c r="B41" t="n">
        <v>4.13</v>
      </c>
      <c r="C41" t="n">
        <v>1348.962883</v>
      </c>
      <c r="D41" s="11" t="inlineStr">
        <is>
          <t>Cephalopods</t>
        </is>
      </c>
      <c r="E41" t="n">
        <v>140.953883</v>
      </c>
      <c r="F41" t="n">
        <v>170.518341</v>
      </c>
      <c r="G41" t="n">
        <v>89.274901</v>
      </c>
      <c r="H41" t="n">
        <v>176.937394</v>
      </c>
      <c r="I41" t="n">
        <v>1050.872908</v>
      </c>
      <c r="J41" t="n">
        <v>1075.829695</v>
      </c>
      <c r="K41" t="n">
        <v>537.914847</v>
      </c>
      <c r="L41" t="n">
        <v>1659.687874</v>
      </c>
      <c r="M41" t="n">
        <v>1659.687874</v>
      </c>
      <c r="N41" t="n">
        <v>1659.687874</v>
      </c>
      <c r="O41" t="n">
        <v>31.362197</v>
      </c>
      <c r="P41" t="n">
        <v>16.184075</v>
      </c>
      <c r="Q41" t="n">
        <v>1659.687874</v>
      </c>
      <c r="R41" t="n">
        <v>1659.687874</v>
      </c>
      <c r="S41" t="n">
        <v>31.362197</v>
      </c>
      <c r="T41" t="n">
        <v>31.362197</v>
      </c>
      <c r="U41" t="n">
        <v>16.184075</v>
      </c>
      <c r="V41" t="n">
        <v>16.184075</v>
      </c>
      <c r="W41" t="n">
        <v>32.286772</v>
      </c>
      <c r="X41" t="n">
        <v>1775.112325</v>
      </c>
    </row>
    <row r="42" ht="21" customHeight="1">
      <c r="A42" t="inlineStr">
        <is>
          <t>Saurida tumbil</t>
        </is>
      </c>
      <c r="B42" t="n">
        <v>4.4</v>
      </c>
      <c r="C42" t="n">
        <v>2511.886432</v>
      </c>
      <c r="D42" s="11" t="inlineStr">
        <is>
          <t>Lizard fish (synodontids)</t>
        </is>
      </c>
      <c r="E42" t="n">
        <v>140.953883</v>
      </c>
      <c r="F42" t="n">
        <v>667.104795</v>
      </c>
      <c r="G42" t="n">
        <v>294.137165</v>
      </c>
      <c r="H42" t="n">
        <v>674.482249</v>
      </c>
      <c r="I42" t="n">
        <v>9604.557183999999</v>
      </c>
      <c r="J42" t="n">
        <v>10115.319409</v>
      </c>
      <c r="K42" t="n">
        <v>2437.791978</v>
      </c>
      <c r="L42" t="n">
        <v>16798.641648</v>
      </c>
      <c r="M42" t="n">
        <v>16798.641648</v>
      </c>
      <c r="N42" t="n">
        <v>16798.641648</v>
      </c>
      <c r="O42" t="n">
        <v>88.03658900000001</v>
      </c>
      <c r="P42" t="n">
        <v>38.159556</v>
      </c>
      <c r="Q42" t="n">
        <v>16798.641648</v>
      </c>
      <c r="R42" t="n">
        <v>16798.641648</v>
      </c>
      <c r="S42" t="n">
        <v>88.03658900000001</v>
      </c>
      <c r="T42" t="n">
        <v>88.03658900000001</v>
      </c>
      <c r="U42" t="n">
        <v>38.159556</v>
      </c>
      <c r="V42" t="n">
        <v>38.159556</v>
      </c>
      <c r="W42" t="n">
        <v>92.54017</v>
      </c>
      <c r="X42" t="n">
        <v>18119.633615</v>
      </c>
    </row>
    <row r="43" ht="36" customHeight="1">
      <c r="A43" t="inlineStr">
        <is>
          <t>Scombroidei</t>
        </is>
      </c>
      <c r="B43" t="n">
        <v>4.2</v>
      </c>
      <c r="C43" t="n">
        <v>1584.893192</v>
      </c>
      <c r="D43" s="11" t="inlineStr">
        <is>
          <t>Juvenile large pelagic fish | Pelagic fish (&gt; 30 cm)</t>
        </is>
      </c>
      <c r="E43" t="n">
        <v>140.953883</v>
      </c>
      <c r="F43" t="n">
        <v>200.641254</v>
      </c>
      <c r="G43" t="n">
        <v>102.228748</v>
      </c>
      <c r="H43" t="n">
        <v>215.010584</v>
      </c>
      <c r="I43" t="n">
        <v>6244.222521</v>
      </c>
      <c r="J43" t="n">
        <v>6325.914048</v>
      </c>
      <c r="K43" t="n">
        <v>1872.204427</v>
      </c>
      <c r="L43" t="n">
        <v>7112.982475</v>
      </c>
      <c r="M43" t="n">
        <v>7112.982475</v>
      </c>
      <c r="N43" t="n">
        <v>7112.982475</v>
      </c>
      <c r="O43" t="n">
        <v>87.969483</v>
      </c>
      <c r="P43" t="n">
        <v>46.580547</v>
      </c>
      <c r="Q43" t="n">
        <v>7112.982475</v>
      </c>
      <c r="R43" t="n">
        <v>7112.982475</v>
      </c>
      <c r="S43" t="n">
        <v>87.969483</v>
      </c>
      <c r="T43" t="n">
        <v>87.969483</v>
      </c>
      <c r="U43" t="n">
        <v>46.580547</v>
      </c>
      <c r="V43" t="n">
        <v>46.580547</v>
      </c>
      <c r="W43" t="n">
        <v>93.060855</v>
      </c>
      <c r="X43" t="n">
        <v>7459.131892</v>
      </c>
    </row>
    <row r="44" ht="36" customHeight="1">
      <c r="A44" t="inlineStr">
        <is>
          <t>Decapoda</t>
        </is>
      </c>
      <c r="B44" t="n">
        <v>3.43</v>
      </c>
      <c r="C44" t="n">
        <v>269.15348</v>
      </c>
      <c r="D44" s="11" t="inlineStr">
        <is>
          <t>Zooplankton | Benthic crustaceans | Shrimps | Crabs</t>
        </is>
      </c>
      <c r="E44" t="n">
        <v>140.953883</v>
      </c>
      <c r="F44" t="n">
        <v>20.231565</v>
      </c>
      <c r="G44" t="n">
        <v>13.734934</v>
      </c>
      <c r="H44" t="n">
        <v>25.09025</v>
      </c>
      <c r="I44" t="n">
        <v>130.411041</v>
      </c>
      <c r="J44" t="n">
        <v>130.411041</v>
      </c>
      <c r="K44" t="n">
        <v>95.393377</v>
      </c>
      <c r="L44" t="n">
        <v>134.682411</v>
      </c>
      <c r="M44" t="n">
        <v>134.682411</v>
      </c>
      <c r="N44" t="n">
        <v>134.682411</v>
      </c>
      <c r="O44" t="n">
        <v>10.649241</v>
      </c>
      <c r="P44" t="n">
        <v>7.289446</v>
      </c>
      <c r="Q44" t="n">
        <v>134.682411</v>
      </c>
      <c r="R44" t="n">
        <v>134.682411</v>
      </c>
      <c r="S44" t="n">
        <v>10.649241</v>
      </c>
      <c r="T44" t="n">
        <v>10.649241</v>
      </c>
      <c r="U44" t="n">
        <v>7.289446</v>
      </c>
      <c r="V44" t="n">
        <v>7.289446</v>
      </c>
      <c r="W44" t="n">
        <v>10.971178</v>
      </c>
      <c r="X44" t="n">
        <v>140.50161</v>
      </c>
    </row>
    <row r="45" ht="36" customHeight="1">
      <c r="A45" t="inlineStr">
        <is>
          <t>Auxis thazard</t>
        </is>
      </c>
      <c r="B45" t="n">
        <v>4.37</v>
      </c>
      <c r="C45" t="n">
        <v>2344.228815</v>
      </c>
      <c r="D45" s="11" t="inlineStr">
        <is>
          <t>Juvenile large pelagic fish | Pelagic fish (&gt; 30 cm)</t>
        </is>
      </c>
      <c r="E45" t="n">
        <v>140.953883</v>
      </c>
      <c r="F45" t="n">
        <v>200.641254</v>
      </c>
      <c r="G45" t="n">
        <v>102.228748</v>
      </c>
      <c r="H45" t="n">
        <v>215.010584</v>
      </c>
      <c r="I45" t="n">
        <v>6244.222521</v>
      </c>
      <c r="J45" t="n">
        <v>6325.914048</v>
      </c>
      <c r="K45" t="n">
        <v>1872.204427</v>
      </c>
      <c r="L45" t="n">
        <v>7112.982475</v>
      </c>
      <c r="M45" t="n">
        <v>7112.982475</v>
      </c>
      <c r="N45" t="n">
        <v>7112.982475</v>
      </c>
      <c r="O45" t="n">
        <v>87.969483</v>
      </c>
      <c r="P45" t="n">
        <v>46.580547</v>
      </c>
      <c r="Q45" t="n">
        <v>7112.982475</v>
      </c>
      <c r="R45" t="n">
        <v>7112.982475</v>
      </c>
      <c r="S45" t="n">
        <v>87.969483</v>
      </c>
      <c r="T45" t="n">
        <v>87.969483</v>
      </c>
      <c r="U45" t="n">
        <v>46.580547</v>
      </c>
      <c r="V45" t="n">
        <v>46.580547</v>
      </c>
      <c r="W45" t="n">
        <v>93.060855</v>
      </c>
      <c r="X45" t="n">
        <v>7459.131892</v>
      </c>
    </row>
    <row r="46" ht="21" customHeight="1">
      <c r="A46" t="inlineStr">
        <is>
          <t>Priacanthidae</t>
        </is>
      </c>
      <c r="B46" t="n">
        <v>3.79</v>
      </c>
      <c r="C46" t="n">
        <v>616.595002</v>
      </c>
      <c r="D46" s="11" t="inlineStr">
        <is>
          <t>Bigeyes (priacanthids)</t>
        </is>
      </c>
      <c r="E46" t="n">
        <v>140.953883</v>
      </c>
      <c r="F46" t="n">
        <v>283.896083</v>
      </c>
      <c r="G46" t="n">
        <v>139.392295</v>
      </c>
      <c r="H46" t="n">
        <v>456.88162</v>
      </c>
      <c r="I46" t="n">
        <v>10688.374283</v>
      </c>
      <c r="J46" t="n">
        <v>10967.724493</v>
      </c>
      <c r="K46" t="n">
        <v>3597.413634</v>
      </c>
      <c r="L46" t="n">
        <v>16970.336092</v>
      </c>
      <c r="M46" t="n">
        <v>16970.336092</v>
      </c>
      <c r="N46" t="n">
        <v>16970.336092</v>
      </c>
      <c r="O46" t="n">
        <v>214.616191</v>
      </c>
      <c r="P46" t="n">
        <v>96.945487</v>
      </c>
      <c r="Q46" t="n">
        <v>16970.336092</v>
      </c>
      <c r="R46" t="n">
        <v>16970.336092</v>
      </c>
      <c r="S46" t="n">
        <v>214.616191</v>
      </c>
      <c r="T46" t="n">
        <v>214.616191</v>
      </c>
      <c r="U46" t="n">
        <v>96.945487</v>
      </c>
      <c r="V46" t="n">
        <v>96.945487</v>
      </c>
      <c r="W46" t="n">
        <v>226.201493</v>
      </c>
      <c r="X46" t="n">
        <v>17690.628268</v>
      </c>
    </row>
    <row r="47" ht="36" customHeight="1">
      <c r="A47" t="inlineStr">
        <is>
          <t>Ariidae</t>
        </is>
      </c>
      <c r="B47" t="n">
        <v>3.48</v>
      </c>
      <c r="C47" t="n">
        <v>301.995172</v>
      </c>
      <c r="D47" s="11" t="inlineStr">
        <is>
          <t>Juvenile demersal fish (&gt; 30 cm) | Adult demersal fish (&gt; 30 cm)</t>
        </is>
      </c>
      <c r="E47" t="n">
        <v>140.953883</v>
      </c>
      <c r="F47" t="n">
        <v>228.824285</v>
      </c>
      <c r="G47" t="n">
        <v>114.897152</v>
      </c>
      <c r="H47" t="n">
        <v>408.798022</v>
      </c>
      <c r="I47" t="n">
        <v>6590.793316</v>
      </c>
      <c r="J47" t="n">
        <v>7071.146917</v>
      </c>
      <c r="K47" t="n">
        <v>2576.928919</v>
      </c>
      <c r="L47" t="n">
        <v>10677.999207</v>
      </c>
      <c r="M47" t="n">
        <v>10677.999207</v>
      </c>
      <c r="N47" t="n">
        <v>10677.999207</v>
      </c>
      <c r="O47" t="n">
        <v>85.006417</v>
      </c>
      <c r="P47" t="n">
        <v>38.52237</v>
      </c>
      <c r="Q47" t="n">
        <v>10677.999207</v>
      </c>
      <c r="R47" t="n">
        <v>10677.999207</v>
      </c>
      <c r="S47" t="n">
        <v>85.006417</v>
      </c>
      <c r="T47" t="n">
        <v>85.006417</v>
      </c>
      <c r="U47" t="n">
        <v>38.52237</v>
      </c>
      <c r="V47" t="n">
        <v>38.52237</v>
      </c>
      <c r="W47" t="n">
        <v>88.306245</v>
      </c>
      <c r="X47" t="n">
        <v>11509.306401</v>
      </c>
    </row>
    <row r="48" ht="21" customHeight="1">
      <c r="A48" t="inlineStr">
        <is>
          <t>Sepiida</t>
        </is>
      </c>
      <c r="B48" t="n">
        <v>3.7</v>
      </c>
      <c r="C48" t="n">
        <v>501.187234</v>
      </c>
      <c r="D48" s="11" t="inlineStr">
        <is>
          <t>Cephalopods</t>
        </is>
      </c>
      <c r="E48" t="n">
        <v>140.953883</v>
      </c>
      <c r="F48" t="n">
        <v>170.518341</v>
      </c>
      <c r="G48" t="n">
        <v>89.274901</v>
      </c>
      <c r="H48" t="n">
        <v>176.937394</v>
      </c>
      <c r="I48" t="n">
        <v>1050.872908</v>
      </c>
      <c r="J48" t="n">
        <v>1075.829695</v>
      </c>
      <c r="K48" t="n">
        <v>537.914847</v>
      </c>
      <c r="L48" t="n">
        <v>1659.687874</v>
      </c>
      <c r="M48" t="n">
        <v>1659.687874</v>
      </c>
      <c r="N48" t="n">
        <v>1659.687874</v>
      </c>
      <c r="O48" t="n">
        <v>31.362197</v>
      </c>
      <c r="P48" t="n">
        <v>16.184075</v>
      </c>
      <c r="Q48" t="n">
        <v>1659.687874</v>
      </c>
      <c r="R48" t="n">
        <v>1659.687874</v>
      </c>
      <c r="S48" t="n">
        <v>31.362197</v>
      </c>
      <c r="T48" t="n">
        <v>31.362197</v>
      </c>
      <c r="U48" t="n">
        <v>16.184075</v>
      </c>
      <c r="V48" t="n">
        <v>16.184075</v>
      </c>
      <c r="W48" t="n">
        <v>32.286772</v>
      </c>
      <c r="X48" t="n">
        <v>1775.112325</v>
      </c>
    </row>
    <row r="49" ht="21" customHeight="1">
      <c r="A49" t="inlineStr">
        <is>
          <t>Harpadon nehereus</t>
        </is>
      </c>
      <c r="B49" t="n">
        <v>4.2</v>
      </c>
      <c r="C49" t="n">
        <v>1584.893192</v>
      </c>
      <c r="D49" s="11" t="inlineStr">
        <is>
          <t>Lizard fish (synodontids)</t>
        </is>
      </c>
      <c r="E49" t="n">
        <v>140.953883</v>
      </c>
      <c r="F49" t="n">
        <v>667.104795</v>
      </c>
      <c r="G49" t="n">
        <v>294.137165</v>
      </c>
      <c r="H49" t="n">
        <v>674.482249</v>
      </c>
      <c r="I49" t="n">
        <v>9604.557183999999</v>
      </c>
      <c r="J49" t="n">
        <v>10115.319409</v>
      </c>
      <c r="K49" t="n">
        <v>2437.791978</v>
      </c>
      <c r="L49" t="n">
        <v>16798.641648</v>
      </c>
      <c r="M49" t="n">
        <v>16798.641648</v>
      </c>
      <c r="N49" t="n">
        <v>16798.641648</v>
      </c>
      <c r="O49" t="n">
        <v>88.03658900000001</v>
      </c>
      <c r="P49" t="n">
        <v>38.159556</v>
      </c>
      <c r="Q49" t="n">
        <v>16798.641648</v>
      </c>
      <c r="R49" t="n">
        <v>16798.641648</v>
      </c>
      <c r="S49" t="n">
        <v>88.03658900000001</v>
      </c>
      <c r="T49" t="n">
        <v>88.03658900000001</v>
      </c>
      <c r="U49" t="n">
        <v>38.159556</v>
      </c>
      <c r="V49" t="n">
        <v>38.159556</v>
      </c>
      <c r="W49" t="n">
        <v>92.54017</v>
      </c>
      <c r="X49" t="n">
        <v>18119.633615</v>
      </c>
    </row>
    <row r="50" ht="21" customHeight="1">
      <c r="A50" t="inlineStr">
        <is>
          <t>Squillidae</t>
        </is>
      </c>
      <c r="B50" t="n">
        <v>3.5</v>
      </c>
      <c r="C50" t="n">
        <v>316.227766</v>
      </c>
      <c r="D50" s="11" t="inlineStr">
        <is>
          <t>Benthic crustaceans</t>
        </is>
      </c>
      <c r="E50" t="n">
        <v>140.953883</v>
      </c>
      <c r="F50" t="n">
        <v>15.812995</v>
      </c>
      <c r="G50" t="n">
        <v>11.169278</v>
      </c>
      <c r="H50" t="n">
        <v>22.580939</v>
      </c>
      <c r="I50" t="n">
        <v>110.765161</v>
      </c>
      <c r="J50" t="n">
        <v>110.765161</v>
      </c>
      <c r="K50" t="n">
        <v>69.11746100000001</v>
      </c>
      <c r="L50" t="n">
        <v>113.463496</v>
      </c>
      <c r="M50" t="n">
        <v>113.463496</v>
      </c>
      <c r="N50" t="n">
        <v>113.463496</v>
      </c>
      <c r="O50" t="n">
        <v>8.170260000000001</v>
      </c>
      <c r="P50" t="n">
        <v>5.693764</v>
      </c>
      <c r="Q50" t="n">
        <v>113.463496</v>
      </c>
      <c r="R50" t="n">
        <v>113.463496</v>
      </c>
      <c r="S50" t="n">
        <v>8.170260000000001</v>
      </c>
      <c r="T50" t="n">
        <v>8.170260000000001</v>
      </c>
      <c r="U50" t="n">
        <v>5.693764</v>
      </c>
      <c r="V50" t="n">
        <v>5.693764</v>
      </c>
      <c r="W50" t="n">
        <v>8.298344999999999</v>
      </c>
      <c r="X50" t="n">
        <v>118.931059</v>
      </c>
    </row>
    <row r="51" ht="21" customHeight="1">
      <c r="A51" t="inlineStr">
        <is>
          <t>Todarodes pacificus</t>
        </is>
      </c>
      <c r="B51" t="n">
        <v>4.28</v>
      </c>
      <c r="C51" t="n">
        <v>1905.460718</v>
      </c>
      <c r="D51" s="11" t="inlineStr">
        <is>
          <t>Cephalopods</t>
        </is>
      </c>
      <c r="E51" t="n">
        <v>140.953883</v>
      </c>
      <c r="F51" t="n">
        <v>170.518341</v>
      </c>
      <c r="G51" t="n">
        <v>89.274901</v>
      </c>
      <c r="H51" t="n">
        <v>176.937394</v>
      </c>
      <c r="I51" t="n">
        <v>1050.872908</v>
      </c>
      <c r="J51" t="n">
        <v>1075.829695</v>
      </c>
      <c r="K51" t="n">
        <v>537.914847</v>
      </c>
      <c r="L51" t="n">
        <v>1659.687874</v>
      </c>
      <c r="M51" t="n">
        <v>1659.687874</v>
      </c>
      <c r="N51" t="n">
        <v>1659.687874</v>
      </c>
      <c r="O51" t="n">
        <v>31.362197</v>
      </c>
      <c r="P51" t="n">
        <v>16.184075</v>
      </c>
      <c r="Q51" t="n">
        <v>1659.687874</v>
      </c>
      <c r="R51" t="n">
        <v>1659.687874</v>
      </c>
      <c r="S51" t="n">
        <v>31.362197</v>
      </c>
      <c r="T51" t="n">
        <v>31.362197</v>
      </c>
      <c r="U51" t="n">
        <v>16.184075</v>
      </c>
      <c r="V51" t="n">
        <v>16.184075</v>
      </c>
      <c r="W51" t="n">
        <v>32.286772</v>
      </c>
      <c r="X51" t="n">
        <v>1775.112325</v>
      </c>
    </row>
    <row r="52" ht="36" customHeight="1">
      <c r="A52" t="inlineStr">
        <is>
          <t>Elasmobranchii</t>
        </is>
      </c>
      <c r="B52" t="n">
        <v>4.05</v>
      </c>
      <c r="C52" t="n">
        <v>1122.018454</v>
      </c>
      <c r="D52" s="11" t="inlineStr">
        <is>
          <t>Demersal sharks and rays | Pelagic sharks and rays</t>
        </is>
      </c>
      <c r="E52" t="n">
        <v>140.953883</v>
      </c>
      <c r="F52" t="n">
        <v>420.661524</v>
      </c>
      <c r="G52" t="n">
        <v>193.90261</v>
      </c>
      <c r="H52" t="n">
        <v>636.3346</v>
      </c>
      <c r="I52" t="n">
        <v>32064.514055</v>
      </c>
      <c r="J52" t="n">
        <v>32388.465997</v>
      </c>
      <c r="K52" t="n">
        <v>15001.444266</v>
      </c>
      <c r="L52" t="n">
        <v>47447.371867</v>
      </c>
      <c r="M52" t="n">
        <v>47447.371867</v>
      </c>
      <c r="N52" t="n">
        <v>47447.371867</v>
      </c>
      <c r="O52" t="n">
        <v>134.659687</v>
      </c>
      <c r="P52" t="n">
        <v>58.748438</v>
      </c>
      <c r="Q52" t="n">
        <v>47447.371867</v>
      </c>
      <c r="R52" t="n">
        <v>47447.371867</v>
      </c>
      <c r="S52" t="n">
        <v>134.659687</v>
      </c>
      <c r="T52" t="n">
        <v>134.659687</v>
      </c>
      <c r="U52" t="n">
        <v>58.748438</v>
      </c>
      <c r="V52" t="n">
        <v>58.748438</v>
      </c>
      <c r="W52" t="n">
        <v>141.372985</v>
      </c>
      <c r="X52" t="n">
        <v>50905.953173</v>
      </c>
    </row>
    <row r="53" ht="36" customHeight="1">
      <c r="A53" t="inlineStr">
        <is>
          <t>Rastrelliger brachysoma</t>
        </is>
      </c>
      <c r="B53" t="n">
        <v>2.72</v>
      </c>
      <c r="C53" t="n">
        <v>52.480746</v>
      </c>
      <c r="D53" s="11" t="inlineStr">
        <is>
          <t>Juvenile large pelagic fish | Pelagic fish (&gt; 30 cm)</t>
        </is>
      </c>
      <c r="E53" t="n">
        <v>140.953883</v>
      </c>
      <c r="F53" t="n">
        <v>200.641254</v>
      </c>
      <c r="G53" t="n">
        <v>102.228748</v>
      </c>
      <c r="H53" t="n">
        <v>215.010584</v>
      </c>
      <c r="I53" t="n">
        <v>6244.222521</v>
      </c>
      <c r="J53" t="n">
        <v>6325.914048</v>
      </c>
      <c r="K53" t="n">
        <v>1872.204427</v>
      </c>
      <c r="L53" t="n">
        <v>7112.982475</v>
      </c>
      <c r="M53" t="n">
        <v>7112.982475</v>
      </c>
      <c r="N53" t="n">
        <v>7112.982475</v>
      </c>
      <c r="O53" t="n">
        <v>87.969483</v>
      </c>
      <c r="P53" t="n">
        <v>46.580547</v>
      </c>
      <c r="Q53" t="n">
        <v>7112.982475</v>
      </c>
      <c r="R53" t="n">
        <v>7112.982475</v>
      </c>
      <c r="S53" t="n">
        <v>87.969483</v>
      </c>
      <c r="T53" t="n">
        <v>87.969483</v>
      </c>
      <c r="U53" t="n">
        <v>46.580547</v>
      </c>
      <c r="V53" t="n">
        <v>46.580547</v>
      </c>
      <c r="W53" t="n">
        <v>93.060855</v>
      </c>
      <c r="X53" t="n">
        <v>7459.131892</v>
      </c>
    </row>
    <row r="54" ht="36" customHeight="1">
      <c r="A54" t="inlineStr">
        <is>
          <t>Chondrichthyes</t>
        </is>
      </c>
      <c r="B54" t="n">
        <v>4</v>
      </c>
      <c r="C54" t="n">
        <v>1000</v>
      </c>
      <c r="D54" s="11" t="inlineStr">
        <is>
          <t>Demersal sharks and rays | Pelagic sharks and rays</t>
        </is>
      </c>
      <c r="E54" t="n">
        <v>140.953883</v>
      </c>
      <c r="F54" t="n">
        <v>420.661524</v>
      </c>
      <c r="G54" t="n">
        <v>193.90261</v>
      </c>
      <c r="H54" t="n">
        <v>636.3346</v>
      </c>
      <c r="I54" t="n">
        <v>32064.514055</v>
      </c>
      <c r="J54" t="n">
        <v>32388.465997</v>
      </c>
      <c r="K54" t="n">
        <v>15001.444266</v>
      </c>
      <c r="L54" t="n">
        <v>47447.371867</v>
      </c>
      <c r="M54" t="n">
        <v>47447.371867</v>
      </c>
      <c r="N54" t="n">
        <v>47447.371867</v>
      </c>
      <c r="O54" t="n">
        <v>134.659687</v>
      </c>
      <c r="P54" t="n">
        <v>58.748438</v>
      </c>
      <c r="Q54" t="n">
        <v>47447.371867</v>
      </c>
      <c r="R54" t="n">
        <v>47447.371867</v>
      </c>
      <c r="S54" t="n">
        <v>134.659687</v>
      </c>
      <c r="T54" t="n">
        <v>134.659687</v>
      </c>
      <c r="U54" t="n">
        <v>58.748438</v>
      </c>
      <c r="V54" t="n">
        <v>58.748438</v>
      </c>
      <c r="W54" t="n">
        <v>141.372985</v>
      </c>
      <c r="X54" t="n">
        <v>50905.953173</v>
      </c>
    </row>
    <row r="55" ht="36" customHeight="1">
      <c r="A55" t="inlineStr">
        <is>
          <t>Thunnus albacares</t>
        </is>
      </c>
      <c r="B55" t="n">
        <v>4.41</v>
      </c>
      <c r="C55" t="n">
        <v>2570.395783</v>
      </c>
      <c r="D55" s="11" t="inlineStr">
        <is>
          <t>Juvenile large pelagic fish | Pelagic fish (&gt; 30 cm)</t>
        </is>
      </c>
      <c r="E55" t="n">
        <v>140.953883</v>
      </c>
      <c r="F55" t="n">
        <v>200.641254</v>
      </c>
      <c r="G55" t="n">
        <v>102.228748</v>
      </c>
      <c r="H55" t="n">
        <v>215.010584</v>
      </c>
      <c r="I55" t="n">
        <v>6244.222521</v>
      </c>
      <c r="J55" t="n">
        <v>6325.914048</v>
      </c>
      <c r="K55" t="n">
        <v>1872.204427</v>
      </c>
      <c r="L55" t="n">
        <v>7112.982475</v>
      </c>
      <c r="M55" t="n">
        <v>7112.982475</v>
      </c>
      <c r="N55" t="n">
        <v>7112.982475</v>
      </c>
      <c r="O55" t="n">
        <v>87.969483</v>
      </c>
      <c r="P55" t="n">
        <v>46.580547</v>
      </c>
      <c r="Q55" t="n">
        <v>7112.982475</v>
      </c>
      <c r="R55" t="n">
        <v>7112.982475</v>
      </c>
      <c r="S55" t="n">
        <v>87.969483</v>
      </c>
      <c r="T55" t="n">
        <v>87.969483</v>
      </c>
      <c r="U55" t="n">
        <v>46.580547</v>
      </c>
      <c r="V55" t="n">
        <v>46.580547</v>
      </c>
      <c r="W55" t="n">
        <v>93.060855</v>
      </c>
      <c r="X55" t="n">
        <v>7459.131892</v>
      </c>
    </row>
    <row r="56" ht="21" customHeight="1">
      <c r="A56" t="inlineStr">
        <is>
          <t>Stolephorus</t>
        </is>
      </c>
      <c r="B56" t="n">
        <v>3.44</v>
      </c>
      <c r="C56" t="n">
        <v>275.42287</v>
      </c>
      <c r="D56" s="11" t="inlineStr">
        <is>
          <t>Pelagic fish (≤ 30 cm)</t>
        </is>
      </c>
      <c r="E56" t="n">
        <v>140.953883</v>
      </c>
      <c r="F56" t="n">
        <v>60.479203</v>
      </c>
      <c r="G56" t="n">
        <v>36.07884</v>
      </c>
      <c r="H56" t="n">
        <v>45.98261</v>
      </c>
      <c r="I56" t="n">
        <v>395.888053</v>
      </c>
      <c r="J56" t="n">
        <v>395.888053</v>
      </c>
      <c r="K56" t="n">
        <v>376.09365</v>
      </c>
      <c r="L56" t="n">
        <v>393.787233</v>
      </c>
      <c r="M56" t="n">
        <v>393.787233</v>
      </c>
      <c r="N56" t="n">
        <v>393.787233</v>
      </c>
      <c r="O56" t="n">
        <v>20.916473</v>
      </c>
      <c r="P56" t="n">
        <v>13.510088</v>
      </c>
      <c r="Q56" t="n">
        <v>393.787233</v>
      </c>
      <c r="R56" t="n">
        <v>393.787233</v>
      </c>
      <c r="S56" t="n">
        <v>20.916473</v>
      </c>
      <c r="T56" t="n">
        <v>20.916473</v>
      </c>
      <c r="U56" t="n">
        <v>13.510088</v>
      </c>
      <c r="V56" t="n">
        <v>13.510088</v>
      </c>
      <c r="W56" t="n">
        <v>21.939981</v>
      </c>
      <c r="X56" t="n">
        <v>405.784084</v>
      </c>
    </row>
    <row r="57" ht="36" customHeight="1">
      <c r="A57" t="inlineStr">
        <is>
          <t>Scomberomorus commerson</t>
        </is>
      </c>
      <c r="B57" t="n">
        <v>4.5</v>
      </c>
      <c r="C57" t="n">
        <v>3162.27766</v>
      </c>
      <c r="D57" s="11" t="inlineStr">
        <is>
          <t>Juvenile large pelagic fish | Pelagic fish (&gt; 30 cm)</t>
        </is>
      </c>
      <c r="E57" t="n">
        <v>140.953883</v>
      </c>
      <c r="F57" t="n">
        <v>200.641254</v>
      </c>
      <c r="G57" t="n">
        <v>102.228748</v>
      </c>
      <c r="H57" t="n">
        <v>215.010584</v>
      </c>
      <c r="I57" t="n">
        <v>6244.222521</v>
      </c>
      <c r="J57" t="n">
        <v>6325.914048</v>
      </c>
      <c r="K57" t="n">
        <v>1872.204427</v>
      </c>
      <c r="L57" t="n">
        <v>7112.982475</v>
      </c>
      <c r="M57" t="n">
        <v>7112.982475</v>
      </c>
      <c r="N57" t="n">
        <v>7112.982475</v>
      </c>
      <c r="O57" t="n">
        <v>87.969483</v>
      </c>
      <c r="P57" t="n">
        <v>46.580547</v>
      </c>
      <c r="Q57" t="n">
        <v>7112.982475</v>
      </c>
      <c r="R57" t="n">
        <v>7112.982475</v>
      </c>
      <c r="S57" t="n">
        <v>87.969483</v>
      </c>
      <c r="T57" t="n">
        <v>87.969483</v>
      </c>
      <c r="U57" t="n">
        <v>46.580547</v>
      </c>
      <c r="V57" t="n">
        <v>46.580547</v>
      </c>
      <c r="W57" t="n">
        <v>93.060855</v>
      </c>
      <c r="X57" t="n">
        <v>7459.131892</v>
      </c>
    </row>
    <row r="58" ht="36" customHeight="1">
      <c r="A58" t="inlineStr">
        <is>
          <t>Rastrelliger kanagurta</t>
        </is>
      </c>
      <c r="B58" t="n">
        <v>3.19</v>
      </c>
      <c r="C58" t="n">
        <v>154.881662</v>
      </c>
      <c r="D58" s="11" t="inlineStr">
        <is>
          <t>Juvenile large pelagic fish | Pelagic fish (&gt; 30 cm)</t>
        </is>
      </c>
      <c r="E58" t="n">
        <v>140.953883</v>
      </c>
      <c r="F58" t="n">
        <v>200.641254</v>
      </c>
      <c r="G58" t="n">
        <v>102.228748</v>
      </c>
      <c r="H58" t="n">
        <v>215.010584</v>
      </c>
      <c r="I58" t="n">
        <v>6244.222521</v>
      </c>
      <c r="J58" t="n">
        <v>6325.914048</v>
      </c>
      <c r="K58" t="n">
        <v>1872.204427</v>
      </c>
      <c r="L58" t="n">
        <v>7112.982475</v>
      </c>
      <c r="M58" t="n">
        <v>7112.982475</v>
      </c>
      <c r="N58" t="n">
        <v>7112.982475</v>
      </c>
      <c r="O58" t="n">
        <v>87.969483</v>
      </c>
      <c r="P58" t="n">
        <v>46.580547</v>
      </c>
      <c r="Q58" t="n">
        <v>7112.982475</v>
      </c>
      <c r="R58" t="n">
        <v>7112.982475</v>
      </c>
      <c r="S58" t="n">
        <v>87.969483</v>
      </c>
      <c r="T58" t="n">
        <v>87.969483</v>
      </c>
      <c r="U58" t="n">
        <v>46.580547</v>
      </c>
      <c r="V58" t="n">
        <v>46.580547</v>
      </c>
      <c r="W58" t="n">
        <v>93.060855</v>
      </c>
      <c r="X58" t="n">
        <v>7459.131892</v>
      </c>
    </row>
    <row r="59" ht="36" customHeight="1">
      <c r="A59" t="inlineStr">
        <is>
          <t>Rastrelliger</t>
        </is>
      </c>
      <c r="B59" t="n">
        <v>3.1</v>
      </c>
      <c r="C59" t="n">
        <v>125.892541</v>
      </c>
      <c r="D59" s="11" t="inlineStr">
        <is>
          <t>Juvenile large pelagic fish | Pelagic fish (&gt; 30 cm)</t>
        </is>
      </c>
      <c r="E59" t="n">
        <v>140.953883</v>
      </c>
      <c r="F59" t="n">
        <v>200.641254</v>
      </c>
      <c r="G59" t="n">
        <v>102.228748</v>
      </c>
      <c r="H59" t="n">
        <v>215.010584</v>
      </c>
      <c r="I59" t="n">
        <v>6244.222521</v>
      </c>
      <c r="J59" t="n">
        <v>6325.914048</v>
      </c>
      <c r="K59" t="n">
        <v>1872.204427</v>
      </c>
      <c r="L59" t="n">
        <v>7112.982475</v>
      </c>
      <c r="M59" t="n">
        <v>7112.982475</v>
      </c>
      <c r="N59" t="n">
        <v>7112.982475</v>
      </c>
      <c r="O59" t="n">
        <v>87.969483</v>
      </c>
      <c r="P59" t="n">
        <v>46.580547</v>
      </c>
      <c r="Q59" t="n">
        <v>7112.982475</v>
      </c>
      <c r="R59" t="n">
        <v>7112.982475</v>
      </c>
      <c r="S59" t="n">
        <v>87.969483</v>
      </c>
      <c r="T59" t="n">
        <v>87.969483</v>
      </c>
      <c r="U59" t="n">
        <v>46.580547</v>
      </c>
      <c r="V59" t="n">
        <v>46.580547</v>
      </c>
      <c r="W59" t="n">
        <v>93.060855</v>
      </c>
      <c r="X59" t="n">
        <v>7459.131892</v>
      </c>
    </row>
    <row r="60" ht="21" customHeight="1">
      <c r="A60" t="inlineStr">
        <is>
          <t>Epinephelus</t>
        </is>
      </c>
      <c r="B60" t="n">
        <v>3.84</v>
      </c>
      <c r="C60" t="n">
        <v>691.830971</v>
      </c>
      <c r="D60" s="11" t="inlineStr">
        <is>
          <t>Adult groupers</t>
        </is>
      </c>
      <c r="E60" t="n">
        <v>140.953883</v>
      </c>
      <c r="F60" t="n">
        <v>539.046528</v>
      </c>
      <c r="G60" t="n">
        <v>244.14</v>
      </c>
      <c r="H60" t="n">
        <v>669.483011</v>
      </c>
      <c r="I60" t="n">
        <v>10399.759602</v>
      </c>
      <c r="J60" t="n">
        <v>10694.630086</v>
      </c>
      <c r="K60" t="n">
        <v>4010.486282</v>
      </c>
      <c r="L60" t="n">
        <v>14214.100911</v>
      </c>
      <c r="M60" t="n">
        <v>14214.100911</v>
      </c>
      <c r="N60" t="n">
        <v>14214.100911</v>
      </c>
      <c r="O60" t="n">
        <v>203.72024</v>
      </c>
      <c r="P60" t="n">
        <v>90.708206</v>
      </c>
      <c r="Q60" t="n">
        <v>14214.100911</v>
      </c>
      <c r="R60" t="n">
        <v>14214.100911</v>
      </c>
      <c r="S60" t="n">
        <v>203.72024</v>
      </c>
      <c r="T60" t="n">
        <v>203.72024</v>
      </c>
      <c r="U60" t="n">
        <v>90.708206</v>
      </c>
      <c r="V60" t="n">
        <v>90.708206</v>
      </c>
      <c r="W60" t="n">
        <v>213.076898</v>
      </c>
      <c r="X60" t="n">
        <v>15231.972848</v>
      </c>
    </row>
    <row r="61" ht="36" customHeight="1">
      <c r="A61" t="inlineStr">
        <is>
          <t>Mullidae</t>
        </is>
      </c>
      <c r="B61" t="n">
        <v>3.46</v>
      </c>
      <c r="C61" t="n">
        <v>288.40315</v>
      </c>
      <c r="D61" s="11" t="inlineStr">
        <is>
          <t>Juvenile demersal fish (&gt; 30 cm) | Adult demersal fish (&gt; 30 cm)</t>
        </is>
      </c>
      <c r="E61" t="n">
        <v>140.953883</v>
      </c>
      <c r="F61" t="n">
        <v>228.824285</v>
      </c>
      <c r="G61" t="n">
        <v>114.897152</v>
      </c>
      <c r="H61" t="n">
        <v>408.798022</v>
      </c>
      <c r="I61" t="n">
        <v>6590.793316</v>
      </c>
      <c r="J61" t="n">
        <v>7071.146917</v>
      </c>
      <c r="K61" t="n">
        <v>2576.928919</v>
      </c>
      <c r="L61" t="n">
        <v>10677.999207</v>
      </c>
      <c r="M61" t="n">
        <v>10677.999207</v>
      </c>
      <c r="N61" t="n">
        <v>10677.999207</v>
      </c>
      <c r="O61" t="n">
        <v>85.006417</v>
      </c>
      <c r="P61" t="n">
        <v>38.52237</v>
      </c>
      <c r="Q61" t="n">
        <v>10677.999207</v>
      </c>
      <c r="R61" t="n">
        <v>10677.999207</v>
      </c>
      <c r="S61" t="n">
        <v>85.006417</v>
      </c>
      <c r="T61" t="n">
        <v>85.006417</v>
      </c>
      <c r="U61" t="n">
        <v>38.52237</v>
      </c>
      <c r="V61" t="n">
        <v>38.52237</v>
      </c>
      <c r="W61" t="n">
        <v>88.306245</v>
      </c>
      <c r="X61" t="n">
        <v>11509.306401</v>
      </c>
    </row>
    <row r="62" ht="36" customHeight="1">
      <c r="A62" t="inlineStr">
        <is>
          <t>Decapterus macrosoma</t>
        </is>
      </c>
      <c r="B62" t="n">
        <v>3.4</v>
      </c>
      <c r="C62" t="n">
        <v>251.188643</v>
      </c>
      <c r="D62" s="11" t="inlineStr">
        <is>
          <t>Juvenile large pelagic fish | Pelagic fish (&gt; 30 cm)</t>
        </is>
      </c>
      <c r="E62" t="n">
        <v>140.953883</v>
      </c>
      <c r="F62" t="n">
        <v>200.641254</v>
      </c>
      <c r="G62" t="n">
        <v>102.228748</v>
      </c>
      <c r="H62" t="n">
        <v>215.010584</v>
      </c>
      <c r="I62" t="n">
        <v>6244.222521</v>
      </c>
      <c r="J62" t="n">
        <v>6325.914048</v>
      </c>
      <c r="K62" t="n">
        <v>1872.204427</v>
      </c>
      <c r="L62" t="n">
        <v>7112.982475</v>
      </c>
      <c r="M62" t="n">
        <v>7112.982475</v>
      </c>
      <c r="N62" t="n">
        <v>7112.982475</v>
      </c>
      <c r="O62" t="n">
        <v>87.969483</v>
      </c>
      <c r="P62" t="n">
        <v>46.580547</v>
      </c>
      <c r="Q62" t="n">
        <v>7112.982475</v>
      </c>
      <c r="R62" t="n">
        <v>7112.982475</v>
      </c>
      <c r="S62" t="n">
        <v>87.969483</v>
      </c>
      <c r="T62" t="n">
        <v>87.969483</v>
      </c>
      <c r="U62" t="n">
        <v>46.580547</v>
      </c>
      <c r="V62" t="n">
        <v>46.580547</v>
      </c>
      <c r="W62" t="n">
        <v>93.060855</v>
      </c>
      <c r="X62" t="n">
        <v>7459.131892</v>
      </c>
    </row>
    <row r="63" ht="36" customHeight="1">
      <c r="A63" t="inlineStr">
        <is>
          <t>Katsuwonus pelamis</t>
        </is>
      </c>
      <c r="B63" t="n">
        <v>4.43</v>
      </c>
      <c r="C63" t="n">
        <v>2691.534804</v>
      </c>
      <c r="D63" s="11" t="inlineStr">
        <is>
          <t>Juvenile large pelagic fish | Pelagic fish (&gt; 30 cm)</t>
        </is>
      </c>
      <c r="E63" t="n">
        <v>140.953883</v>
      </c>
      <c r="F63" t="n">
        <v>200.641254</v>
      </c>
      <c r="G63" t="n">
        <v>102.228748</v>
      </c>
      <c r="H63" t="n">
        <v>215.010584</v>
      </c>
      <c r="I63" t="n">
        <v>6244.222521</v>
      </c>
      <c r="J63" t="n">
        <v>6325.914048</v>
      </c>
      <c r="K63" t="n">
        <v>1872.204427</v>
      </c>
      <c r="L63" t="n">
        <v>7112.982475</v>
      </c>
      <c r="M63" t="n">
        <v>7112.982475</v>
      </c>
      <c r="N63" t="n">
        <v>7112.982475</v>
      </c>
      <c r="O63" t="n">
        <v>87.969483</v>
      </c>
      <c r="P63" t="n">
        <v>46.580547</v>
      </c>
      <c r="Q63" t="n">
        <v>7112.982475</v>
      </c>
      <c r="R63" t="n">
        <v>7112.982475</v>
      </c>
      <c r="S63" t="n">
        <v>87.969483</v>
      </c>
      <c r="T63" t="n">
        <v>87.969483</v>
      </c>
      <c r="U63" t="n">
        <v>46.580547</v>
      </c>
      <c r="V63" t="n">
        <v>46.580547</v>
      </c>
      <c r="W63" t="n">
        <v>93.060855</v>
      </c>
      <c r="X63" t="n">
        <v>7459.131892</v>
      </c>
    </row>
    <row r="64" ht="21" customHeight="1">
      <c r="A64" t="inlineStr">
        <is>
          <t>Penaeus chinensis</t>
        </is>
      </c>
      <c r="B64" t="n">
        <v>2</v>
      </c>
      <c r="C64" t="n">
        <v>10</v>
      </c>
      <c r="D64" s="11" t="inlineStr">
        <is>
          <t>Shrimps</t>
        </is>
      </c>
      <c r="E64" t="n">
        <v>140.953883</v>
      </c>
      <c r="F64" t="n">
        <v>20.606299</v>
      </c>
      <c r="G64" t="n">
        <v>14.077679</v>
      </c>
      <c r="H64" t="n">
        <v>22.715542</v>
      </c>
      <c r="I64" t="n">
        <v>131.71072</v>
      </c>
      <c r="J64" t="n">
        <v>131.71072</v>
      </c>
      <c r="K64" t="n">
        <v>125.125184</v>
      </c>
      <c r="L64" t="n">
        <v>130.894857</v>
      </c>
      <c r="M64" t="n">
        <v>130.894857</v>
      </c>
      <c r="N64" t="n">
        <v>130.894857</v>
      </c>
      <c r="O64" t="n">
        <v>12.255972</v>
      </c>
      <c r="P64" t="n">
        <v>8.448598</v>
      </c>
      <c r="Q64" t="n">
        <v>130.894857</v>
      </c>
      <c r="R64" t="n">
        <v>130.894857</v>
      </c>
      <c r="S64" t="n">
        <v>12.255972</v>
      </c>
      <c r="T64" t="n">
        <v>12.255972</v>
      </c>
      <c r="U64" t="n">
        <v>8.448598</v>
      </c>
      <c r="V64" t="n">
        <v>8.448598</v>
      </c>
      <c r="W64" t="n">
        <v>12.680707</v>
      </c>
      <c r="X64" t="n">
        <v>136.520004</v>
      </c>
    </row>
    <row r="65" ht="21" customHeight="1">
      <c r="A65" t="inlineStr">
        <is>
          <t>Selaroides leptolepis</t>
        </is>
      </c>
      <c r="B65" t="n">
        <v>3.84</v>
      </c>
      <c r="C65" t="n">
        <v>691.830971</v>
      </c>
      <c r="D65" s="11" t="inlineStr">
        <is>
          <t>Pelagic fish (≤ 30 cm)</t>
        </is>
      </c>
      <c r="E65" t="n">
        <v>140.953883</v>
      </c>
      <c r="F65" t="n">
        <v>60.479203</v>
      </c>
      <c r="G65" t="n">
        <v>36.07884</v>
      </c>
      <c r="H65" t="n">
        <v>45.98261</v>
      </c>
      <c r="I65" t="n">
        <v>395.888053</v>
      </c>
      <c r="J65" t="n">
        <v>395.888053</v>
      </c>
      <c r="K65" t="n">
        <v>376.09365</v>
      </c>
      <c r="L65" t="n">
        <v>393.787233</v>
      </c>
      <c r="M65" t="n">
        <v>393.787233</v>
      </c>
      <c r="N65" t="n">
        <v>393.787233</v>
      </c>
      <c r="O65" t="n">
        <v>20.916473</v>
      </c>
      <c r="P65" t="n">
        <v>13.510088</v>
      </c>
      <c r="Q65" t="n">
        <v>393.787233</v>
      </c>
      <c r="R65" t="n">
        <v>393.787233</v>
      </c>
      <c r="S65" t="n">
        <v>20.916473</v>
      </c>
      <c r="T65" t="n">
        <v>20.916473</v>
      </c>
      <c r="U65" t="n">
        <v>13.510088</v>
      </c>
      <c r="V65" t="n">
        <v>13.510088</v>
      </c>
      <c r="W65" t="n">
        <v>21.939981</v>
      </c>
      <c r="X65" t="n">
        <v>405.784084</v>
      </c>
    </row>
    <row r="66" ht="36" customHeight="1">
      <c r="A66" t="inlineStr">
        <is>
          <t>Mugilidae</t>
        </is>
      </c>
      <c r="B66" t="n">
        <v>2.53</v>
      </c>
      <c r="C66" t="n">
        <v>33.884416</v>
      </c>
      <c r="D66" s="11" t="inlineStr">
        <is>
          <t>Juvenile demersal fish (&gt; 30 cm) | Adult demersal fish (&gt; 30 cm)</t>
        </is>
      </c>
      <c r="E66" t="n">
        <v>140.953883</v>
      </c>
      <c r="F66" t="n">
        <v>228.824285</v>
      </c>
      <c r="G66" t="n">
        <v>114.897152</v>
      </c>
      <c r="H66" t="n">
        <v>408.798022</v>
      </c>
      <c r="I66" t="n">
        <v>6590.793316</v>
      </c>
      <c r="J66" t="n">
        <v>7071.146917</v>
      </c>
      <c r="K66" t="n">
        <v>2576.928919</v>
      </c>
      <c r="L66" t="n">
        <v>10677.999207</v>
      </c>
      <c r="M66" t="n">
        <v>10677.999207</v>
      </c>
      <c r="N66" t="n">
        <v>10677.999207</v>
      </c>
      <c r="O66" t="n">
        <v>85.006417</v>
      </c>
      <c r="P66" t="n">
        <v>38.52237</v>
      </c>
      <c r="Q66" t="n">
        <v>10677.999207</v>
      </c>
      <c r="R66" t="n">
        <v>10677.999207</v>
      </c>
      <c r="S66" t="n">
        <v>85.006417</v>
      </c>
      <c r="T66" t="n">
        <v>85.006417</v>
      </c>
      <c r="U66" t="n">
        <v>38.52237</v>
      </c>
      <c r="V66" t="n">
        <v>38.52237</v>
      </c>
      <c r="W66" t="n">
        <v>88.306245</v>
      </c>
      <c r="X66" t="n">
        <v>11509.306401</v>
      </c>
    </row>
    <row r="67" ht="36" customHeight="1">
      <c r="A67" t="inlineStr">
        <is>
          <t>Ilisha elongata</t>
        </is>
      </c>
      <c r="B67" t="n">
        <v>3.79</v>
      </c>
      <c r="C67" t="n">
        <v>616.595002</v>
      </c>
      <c r="D67" s="11" t="inlineStr">
        <is>
          <t>Juvenile large pelagic fish | Pelagic fish (&gt; 30 cm)</t>
        </is>
      </c>
      <c r="E67" t="n">
        <v>140.953883</v>
      </c>
      <c r="F67" t="n">
        <v>200.641254</v>
      </c>
      <c r="G67" t="n">
        <v>102.228748</v>
      </c>
      <c r="H67" t="n">
        <v>215.010584</v>
      </c>
      <c r="I67" t="n">
        <v>6244.222521</v>
      </c>
      <c r="J67" t="n">
        <v>6325.914048</v>
      </c>
      <c r="K67" t="n">
        <v>1872.204427</v>
      </c>
      <c r="L67" t="n">
        <v>7112.982475</v>
      </c>
      <c r="M67" t="n">
        <v>7112.982475</v>
      </c>
      <c r="N67" t="n">
        <v>7112.982475</v>
      </c>
      <c r="O67" t="n">
        <v>87.969483</v>
      </c>
      <c r="P67" t="n">
        <v>46.580547</v>
      </c>
      <c r="Q67" t="n">
        <v>7112.982475</v>
      </c>
      <c r="R67" t="n">
        <v>7112.982475</v>
      </c>
      <c r="S67" t="n">
        <v>87.969483</v>
      </c>
      <c r="T67" t="n">
        <v>87.969483</v>
      </c>
      <c r="U67" t="n">
        <v>46.580547</v>
      </c>
      <c r="V67" t="n">
        <v>46.580547</v>
      </c>
      <c r="W67" t="n">
        <v>93.060855</v>
      </c>
      <c r="X67" t="n">
        <v>7459.131892</v>
      </c>
    </row>
    <row r="68" ht="36" customHeight="1">
      <c r="A68" t="inlineStr">
        <is>
          <t>Sardinops sagax</t>
        </is>
      </c>
      <c r="B68" t="n">
        <v>2.84</v>
      </c>
      <c r="C68" t="n">
        <v>69.183097</v>
      </c>
      <c r="D68" s="11" t="inlineStr">
        <is>
          <t>Juvenile large pelagic fish | Pelagic fish (&gt; 30 cm)</t>
        </is>
      </c>
      <c r="E68" t="n">
        <v>140.953883</v>
      </c>
      <c r="F68" t="n">
        <v>200.641254</v>
      </c>
      <c r="G68" t="n">
        <v>102.228748</v>
      </c>
      <c r="H68" t="n">
        <v>215.010584</v>
      </c>
      <c r="I68" t="n">
        <v>6244.222521</v>
      </c>
      <c r="J68" t="n">
        <v>6325.914048</v>
      </c>
      <c r="K68" t="n">
        <v>1872.204427</v>
      </c>
      <c r="L68" t="n">
        <v>7112.982475</v>
      </c>
      <c r="M68" t="n">
        <v>7112.982475</v>
      </c>
      <c r="N68" t="n">
        <v>7112.982475</v>
      </c>
      <c r="O68" t="n">
        <v>87.969483</v>
      </c>
      <c r="P68" t="n">
        <v>46.580547</v>
      </c>
      <c r="Q68" t="n">
        <v>7112.982475</v>
      </c>
      <c r="R68" t="n">
        <v>7112.982475</v>
      </c>
      <c r="S68" t="n">
        <v>87.969483</v>
      </c>
      <c r="T68" t="n">
        <v>87.969483</v>
      </c>
      <c r="U68" t="n">
        <v>46.580547</v>
      </c>
      <c r="V68" t="n">
        <v>46.580547</v>
      </c>
      <c r="W68" t="n">
        <v>93.060855</v>
      </c>
      <c r="X68" t="n">
        <v>7459.131892</v>
      </c>
    </row>
    <row r="69" ht="21" customHeight="1">
      <c r="A69" t="inlineStr">
        <is>
          <t>Sardinella lemuru</t>
        </is>
      </c>
      <c r="B69" t="n">
        <v>2.48</v>
      </c>
      <c r="C69" t="n">
        <v>30.199517</v>
      </c>
      <c r="D69" s="11" t="inlineStr">
        <is>
          <t>Pelagic fish (≤ 30 cm)</t>
        </is>
      </c>
      <c r="E69" t="n">
        <v>140.953883</v>
      </c>
      <c r="F69" t="n">
        <v>60.479203</v>
      </c>
      <c r="G69" t="n">
        <v>36.07884</v>
      </c>
      <c r="H69" t="n">
        <v>45.98261</v>
      </c>
      <c r="I69" t="n">
        <v>395.888053</v>
      </c>
      <c r="J69" t="n">
        <v>395.888053</v>
      </c>
      <c r="K69" t="n">
        <v>376.09365</v>
      </c>
      <c r="L69" t="n">
        <v>393.787233</v>
      </c>
      <c r="M69" t="n">
        <v>393.787233</v>
      </c>
      <c r="N69" t="n">
        <v>393.787233</v>
      </c>
      <c r="O69" t="n">
        <v>20.916473</v>
      </c>
      <c r="P69" t="n">
        <v>13.510088</v>
      </c>
      <c r="Q69" t="n">
        <v>393.787233</v>
      </c>
      <c r="R69" t="n">
        <v>393.787233</v>
      </c>
      <c r="S69" t="n">
        <v>20.916473</v>
      </c>
      <c r="T69" t="n">
        <v>20.916473</v>
      </c>
      <c r="U69" t="n">
        <v>13.510088</v>
      </c>
      <c r="V69" t="n">
        <v>13.510088</v>
      </c>
      <c r="W69" t="n">
        <v>21.939981</v>
      </c>
      <c r="X69" t="n">
        <v>405.784084</v>
      </c>
    </row>
    <row r="70" ht="36" customHeight="1">
      <c r="A70" t="inlineStr">
        <is>
          <t>Coryphaena hippurus</t>
        </is>
      </c>
      <c r="B70" t="n">
        <v>4.37</v>
      </c>
      <c r="C70" t="n">
        <v>2344.228815</v>
      </c>
      <c r="D70" s="11" t="inlineStr">
        <is>
          <t>Juvenile large pelagic fish | Pelagic fish (&gt; 30 cm)</t>
        </is>
      </c>
      <c r="E70" t="n">
        <v>140.953883</v>
      </c>
      <c r="F70" t="n">
        <v>200.641254</v>
      </c>
      <c r="G70" t="n">
        <v>102.228748</v>
      </c>
      <c r="H70" t="n">
        <v>215.010584</v>
      </c>
      <c r="I70" t="n">
        <v>6244.222521</v>
      </c>
      <c r="J70" t="n">
        <v>6325.914048</v>
      </c>
      <c r="K70" t="n">
        <v>1872.204427</v>
      </c>
      <c r="L70" t="n">
        <v>7112.982475</v>
      </c>
      <c r="M70" t="n">
        <v>7112.982475</v>
      </c>
      <c r="N70" t="n">
        <v>7112.982475</v>
      </c>
      <c r="O70" t="n">
        <v>87.969483</v>
      </c>
      <c r="P70" t="n">
        <v>46.580547</v>
      </c>
      <c r="Q70" t="n">
        <v>7112.982475</v>
      </c>
      <c r="R70" t="n">
        <v>7112.982475</v>
      </c>
      <c r="S70" t="n">
        <v>87.969483</v>
      </c>
      <c r="T70" t="n">
        <v>87.969483</v>
      </c>
      <c r="U70" t="n">
        <v>46.580547</v>
      </c>
      <c r="V70" t="n">
        <v>46.580547</v>
      </c>
      <c r="W70" t="n">
        <v>93.060855</v>
      </c>
      <c r="X70" t="n">
        <v>7459.131892</v>
      </c>
    </row>
    <row r="71" ht="36" customHeight="1">
      <c r="A71" t="inlineStr">
        <is>
          <t>Cololabis saira</t>
        </is>
      </c>
      <c r="B71" t="n">
        <v>3.71</v>
      </c>
      <c r="C71" t="n">
        <v>512.861384</v>
      </c>
      <c r="D71" s="11" t="inlineStr">
        <is>
          <t>Juvenile large pelagic fish | Pelagic fish (&gt; 30 cm)</t>
        </is>
      </c>
      <c r="E71" t="n">
        <v>140.953883</v>
      </c>
      <c r="F71" t="n">
        <v>200.641254</v>
      </c>
      <c r="G71" t="n">
        <v>102.228748</v>
      </c>
      <c r="H71" t="n">
        <v>215.010584</v>
      </c>
      <c r="I71" t="n">
        <v>6244.222521</v>
      </c>
      <c r="J71" t="n">
        <v>6325.914048</v>
      </c>
      <c r="K71" t="n">
        <v>1872.204427</v>
      </c>
      <c r="L71" t="n">
        <v>7112.982475</v>
      </c>
      <c r="M71" t="n">
        <v>7112.982475</v>
      </c>
      <c r="N71" t="n">
        <v>7112.982475</v>
      </c>
      <c r="O71" t="n">
        <v>87.969483</v>
      </c>
      <c r="P71" t="n">
        <v>46.580547</v>
      </c>
      <c r="Q71" t="n">
        <v>7112.982475</v>
      </c>
      <c r="R71" t="n">
        <v>7112.982475</v>
      </c>
      <c r="S71" t="n">
        <v>87.969483</v>
      </c>
      <c r="T71" t="n">
        <v>87.969483</v>
      </c>
      <c r="U71" t="n">
        <v>46.580547</v>
      </c>
      <c r="V71" t="n">
        <v>46.580547</v>
      </c>
      <c r="W71" t="n">
        <v>93.060855</v>
      </c>
      <c r="X71" t="n">
        <v>7459.131892</v>
      </c>
    </row>
    <row r="72" ht="36" customHeight="1">
      <c r="A72" t="inlineStr">
        <is>
          <t>Netuma thalassina</t>
        </is>
      </c>
      <c r="B72" t="n">
        <v>3.54</v>
      </c>
      <c r="C72" t="n">
        <v>346.73685</v>
      </c>
      <c r="D72" s="11" t="inlineStr">
        <is>
          <t>Juvenile demersal fish (&gt; 30 cm) | Adult demersal fish (&gt; 30 cm)</t>
        </is>
      </c>
      <c r="E72" t="n">
        <v>140.953883</v>
      </c>
      <c r="F72" t="n">
        <v>228.824285</v>
      </c>
      <c r="G72" t="n">
        <v>114.897152</v>
      </c>
      <c r="H72" t="n">
        <v>408.798022</v>
      </c>
      <c r="I72" t="n">
        <v>6590.793316</v>
      </c>
      <c r="J72" t="n">
        <v>7071.146917</v>
      </c>
      <c r="K72" t="n">
        <v>2576.928919</v>
      </c>
      <c r="L72" t="n">
        <v>10677.999207</v>
      </c>
      <c r="M72" t="n">
        <v>10677.999207</v>
      </c>
      <c r="N72" t="n">
        <v>10677.999207</v>
      </c>
      <c r="O72" t="n">
        <v>85.006417</v>
      </c>
      <c r="P72" t="n">
        <v>38.52237</v>
      </c>
      <c r="Q72" t="n">
        <v>10677.999207</v>
      </c>
      <c r="R72" t="n">
        <v>10677.999207</v>
      </c>
      <c r="S72" t="n">
        <v>85.006417</v>
      </c>
      <c r="T72" t="n">
        <v>85.006417</v>
      </c>
      <c r="U72" t="n">
        <v>38.52237</v>
      </c>
      <c r="V72" t="n">
        <v>38.52237</v>
      </c>
      <c r="W72" t="n">
        <v>88.306245</v>
      </c>
      <c r="X72" t="n">
        <v>11509.306401</v>
      </c>
    </row>
    <row r="73" ht="21" customHeight="1">
      <c r="A73" t="inlineStr">
        <is>
          <t>Priacanthus macracanthus</t>
        </is>
      </c>
      <c r="B73" t="n">
        <v>4.11</v>
      </c>
      <c r="C73" t="n">
        <v>1288.249552</v>
      </c>
      <c r="D73" s="11" t="inlineStr">
        <is>
          <t>Bigeyes (priacanthids)</t>
        </is>
      </c>
      <c r="E73" t="n">
        <v>140.953883</v>
      </c>
      <c r="F73" t="n">
        <v>283.896083</v>
      </c>
      <c r="G73" t="n">
        <v>139.392295</v>
      </c>
      <c r="H73" t="n">
        <v>456.88162</v>
      </c>
      <c r="I73" t="n">
        <v>10688.374283</v>
      </c>
      <c r="J73" t="n">
        <v>10967.724493</v>
      </c>
      <c r="K73" t="n">
        <v>3597.413634</v>
      </c>
      <c r="L73" t="n">
        <v>16970.336092</v>
      </c>
      <c r="M73" t="n">
        <v>16970.336092</v>
      </c>
      <c r="N73" t="n">
        <v>16970.336092</v>
      </c>
      <c r="O73" t="n">
        <v>214.616191</v>
      </c>
      <c r="P73" t="n">
        <v>96.945487</v>
      </c>
      <c r="Q73" t="n">
        <v>16970.336092</v>
      </c>
      <c r="R73" t="n">
        <v>16970.336092</v>
      </c>
      <c r="S73" t="n">
        <v>214.616191</v>
      </c>
      <c r="T73" t="n">
        <v>214.616191</v>
      </c>
      <c r="U73" t="n">
        <v>96.945487</v>
      </c>
      <c r="V73" t="n">
        <v>96.945487</v>
      </c>
      <c r="W73" t="n">
        <v>226.201493</v>
      </c>
      <c r="X73" t="n">
        <v>17690.628268</v>
      </c>
    </row>
    <row r="74" ht="21" customHeight="1">
      <c r="A74" t="inlineStr">
        <is>
          <t>Nemipterus virgatus</t>
        </is>
      </c>
      <c r="B74" t="n">
        <v>3.99</v>
      </c>
      <c r="C74" t="n">
        <v>977.237221</v>
      </c>
      <c r="D74" s="11" t="inlineStr">
        <is>
          <t>Threadfin bream (nemipterids)</t>
        </is>
      </c>
      <c r="E74" t="n">
        <v>140.953883</v>
      </c>
      <c r="F74" t="n">
        <v>158.552335</v>
      </c>
      <c r="G74" t="n">
        <v>83.774152</v>
      </c>
      <c r="H74" t="n">
        <v>197.082776</v>
      </c>
      <c r="I74" t="n">
        <v>3502.459341</v>
      </c>
      <c r="J74" t="n">
        <v>3796.144916</v>
      </c>
      <c r="K74" t="n">
        <v>1780.391965</v>
      </c>
      <c r="L74" t="n">
        <v>4710.704014</v>
      </c>
      <c r="M74" t="n">
        <v>4710.704014</v>
      </c>
      <c r="N74" t="n">
        <v>4710.704014</v>
      </c>
      <c r="O74" t="n">
        <v>105.183965</v>
      </c>
      <c r="P74" t="n">
        <v>52.828865</v>
      </c>
      <c r="Q74" t="n">
        <v>4710.704014</v>
      </c>
      <c r="R74" t="n">
        <v>4710.704014</v>
      </c>
      <c r="S74" t="n">
        <v>105.183965</v>
      </c>
      <c r="T74" t="n">
        <v>105.183965</v>
      </c>
      <c r="U74" t="n">
        <v>52.828865</v>
      </c>
      <c r="V74" t="n">
        <v>52.828865</v>
      </c>
      <c r="W74" t="n">
        <v>109.611209</v>
      </c>
      <c r="X74" t="n">
        <v>5115.038689</v>
      </c>
    </row>
    <row r="75" ht="21" customHeight="1">
      <c r="A75" t="inlineStr">
        <is>
          <t>Parastromateus niger</t>
        </is>
      </c>
      <c r="B75" t="n">
        <v>2.93</v>
      </c>
      <c r="C75" t="n">
        <v>85.113804</v>
      </c>
      <c r="D75" s="11" t="inlineStr">
        <is>
          <t>Benthopelagic fish</t>
        </is>
      </c>
      <c r="E75" t="n">
        <v>140.953883</v>
      </c>
      <c r="F75" t="n">
        <v>57.638856</v>
      </c>
      <c r="G75" t="n">
        <v>34.593347</v>
      </c>
      <c r="H75" t="n">
        <v>74.650282</v>
      </c>
      <c r="I75" t="n">
        <v>512.103289</v>
      </c>
      <c r="J75" t="n">
        <v>553.467817</v>
      </c>
      <c r="K75" t="n">
        <v>525.794426</v>
      </c>
      <c r="L75" t="n">
        <v>602.712303</v>
      </c>
      <c r="M75" t="n">
        <v>602.712303</v>
      </c>
      <c r="N75" t="n">
        <v>602.712303</v>
      </c>
      <c r="O75" t="n">
        <v>31.190871</v>
      </c>
      <c r="P75" t="n">
        <v>18.283791</v>
      </c>
      <c r="Q75" t="n">
        <v>602.712303</v>
      </c>
      <c r="R75" t="n">
        <v>602.712303</v>
      </c>
      <c r="S75" t="n">
        <v>31.190871</v>
      </c>
      <c r="T75" t="n">
        <v>31.190871</v>
      </c>
      <c r="U75" t="n">
        <v>18.283791</v>
      </c>
      <c r="V75" t="n">
        <v>18.283791</v>
      </c>
      <c r="W75" t="n">
        <v>32.089433</v>
      </c>
      <c r="X75" t="n">
        <v>622.065443</v>
      </c>
    </row>
    <row r="76" ht="21" customHeight="1">
      <c r="A76" t="inlineStr">
        <is>
          <t>Mugil cephalus</t>
        </is>
      </c>
      <c r="B76" t="n">
        <v>2.14</v>
      </c>
      <c r="C76" t="n">
        <v>13.803843</v>
      </c>
      <c r="D76" s="11" t="inlineStr">
        <is>
          <t>Benthopelagic fish</t>
        </is>
      </c>
      <c r="E76" t="n">
        <v>140.953883</v>
      </c>
      <c r="F76" t="n">
        <v>57.638856</v>
      </c>
      <c r="G76" t="n">
        <v>34.593347</v>
      </c>
      <c r="H76" t="n">
        <v>74.650282</v>
      </c>
      <c r="I76" t="n">
        <v>512.103289</v>
      </c>
      <c r="J76" t="n">
        <v>553.467817</v>
      </c>
      <c r="K76" t="n">
        <v>525.794426</v>
      </c>
      <c r="L76" t="n">
        <v>602.712303</v>
      </c>
      <c r="M76" t="n">
        <v>602.712303</v>
      </c>
      <c r="N76" t="n">
        <v>602.712303</v>
      </c>
      <c r="O76" t="n">
        <v>31.190871</v>
      </c>
      <c r="P76" t="n">
        <v>18.283791</v>
      </c>
      <c r="Q76" t="n">
        <v>602.712303</v>
      </c>
      <c r="R76" t="n">
        <v>602.712303</v>
      </c>
      <c r="S76" t="n">
        <v>31.190871</v>
      </c>
      <c r="T76" t="n">
        <v>31.190871</v>
      </c>
      <c r="U76" t="n">
        <v>18.283791</v>
      </c>
      <c r="V76" t="n">
        <v>18.283791</v>
      </c>
      <c r="W76" t="n">
        <v>32.089433</v>
      </c>
      <c r="X76" t="n">
        <v>622.065443</v>
      </c>
    </row>
    <row r="77" ht="21" customHeight="1">
      <c r="A77" t="inlineStr">
        <is>
          <t>Cephalopoda</t>
        </is>
      </c>
      <c r="B77" t="n">
        <v>3.81</v>
      </c>
      <c r="C77" t="n">
        <v>645.654229</v>
      </c>
      <c r="D77" s="11" t="inlineStr">
        <is>
          <t>Cephalopods</t>
        </is>
      </c>
      <c r="E77" t="n">
        <v>140.953883</v>
      </c>
      <c r="F77" t="n">
        <v>170.518341</v>
      </c>
      <c r="G77" t="n">
        <v>89.274901</v>
      </c>
      <c r="H77" t="n">
        <v>176.937394</v>
      </c>
      <c r="I77" t="n">
        <v>1050.872908</v>
      </c>
      <c r="J77" t="n">
        <v>1075.829695</v>
      </c>
      <c r="K77" t="n">
        <v>537.914847</v>
      </c>
      <c r="L77" t="n">
        <v>1659.687874</v>
      </c>
      <c r="M77" t="n">
        <v>1659.687874</v>
      </c>
      <c r="N77" t="n">
        <v>1659.687874</v>
      </c>
      <c r="O77" t="n">
        <v>31.362197</v>
      </c>
      <c r="P77" t="n">
        <v>16.184075</v>
      </c>
      <c r="Q77" t="n">
        <v>1659.687874</v>
      </c>
      <c r="R77" t="n">
        <v>1659.687874</v>
      </c>
      <c r="S77" t="n">
        <v>31.362197</v>
      </c>
      <c r="T77" t="n">
        <v>31.362197</v>
      </c>
      <c r="U77" t="n">
        <v>16.184075</v>
      </c>
      <c r="V77" t="n">
        <v>16.184075</v>
      </c>
      <c r="W77" t="n">
        <v>32.286772</v>
      </c>
      <c r="X77" t="n">
        <v>1775.112325</v>
      </c>
    </row>
    <row r="78" ht="21" customHeight="1">
      <c r="A78" t="inlineStr">
        <is>
          <t>Leiognathus</t>
        </is>
      </c>
      <c r="B78" t="n">
        <v>3.22</v>
      </c>
      <c r="C78" t="n">
        <v>165.958691</v>
      </c>
      <c r="D78" s="11" t="inlineStr">
        <is>
          <t>Benthopelagic fish</t>
        </is>
      </c>
      <c r="E78" t="n">
        <v>140.953883</v>
      </c>
      <c r="F78" t="n">
        <v>57.638856</v>
      </c>
      <c r="G78" t="n">
        <v>34.593347</v>
      </c>
      <c r="H78" t="n">
        <v>74.650282</v>
      </c>
      <c r="I78" t="n">
        <v>512.103289</v>
      </c>
      <c r="J78" t="n">
        <v>553.467817</v>
      </c>
      <c r="K78" t="n">
        <v>525.794426</v>
      </c>
      <c r="L78" t="n">
        <v>602.712303</v>
      </c>
      <c r="M78" t="n">
        <v>602.712303</v>
      </c>
      <c r="N78" t="n">
        <v>602.712303</v>
      </c>
      <c r="O78" t="n">
        <v>31.190871</v>
      </c>
      <c r="P78" t="n">
        <v>18.283791</v>
      </c>
      <c r="Q78" t="n">
        <v>602.712303</v>
      </c>
      <c r="R78" t="n">
        <v>602.712303</v>
      </c>
      <c r="S78" t="n">
        <v>31.190871</v>
      </c>
      <c r="T78" t="n">
        <v>31.190871</v>
      </c>
      <c r="U78" t="n">
        <v>18.283791</v>
      </c>
      <c r="V78" t="n">
        <v>18.283791</v>
      </c>
      <c r="W78" t="n">
        <v>32.089433</v>
      </c>
      <c r="X78" t="n">
        <v>622.065443</v>
      </c>
    </row>
    <row r="79" ht="21" customHeight="1">
      <c r="A79" t="inlineStr">
        <is>
          <t>Octopodidae</t>
        </is>
      </c>
      <c r="B79" t="n">
        <v>3.59</v>
      </c>
      <c r="C79" t="n">
        <v>389.045145</v>
      </c>
      <c r="D79" s="11" t="inlineStr">
        <is>
          <t>Cephalopods</t>
        </is>
      </c>
      <c r="E79" t="n">
        <v>140.953883</v>
      </c>
      <c r="F79" t="n">
        <v>170.518341</v>
      </c>
      <c r="G79" t="n">
        <v>89.274901</v>
      </c>
      <c r="H79" t="n">
        <v>176.937394</v>
      </c>
      <c r="I79" t="n">
        <v>1050.872908</v>
      </c>
      <c r="J79" t="n">
        <v>1075.829695</v>
      </c>
      <c r="K79" t="n">
        <v>537.914847</v>
      </c>
      <c r="L79" t="n">
        <v>1659.687874</v>
      </c>
      <c r="M79" t="n">
        <v>1659.687874</v>
      </c>
      <c r="N79" t="n">
        <v>1659.687874</v>
      </c>
      <c r="O79" t="n">
        <v>31.362197</v>
      </c>
      <c r="P79" t="n">
        <v>16.184075</v>
      </c>
      <c r="Q79" t="n">
        <v>1659.687874</v>
      </c>
      <c r="R79" t="n">
        <v>1659.687874</v>
      </c>
      <c r="S79" t="n">
        <v>31.362197</v>
      </c>
      <c r="T79" t="n">
        <v>31.362197</v>
      </c>
      <c r="U79" t="n">
        <v>16.184075</v>
      </c>
      <c r="V79" t="n">
        <v>16.184075</v>
      </c>
      <c r="W79" t="n">
        <v>32.286772</v>
      </c>
      <c r="X79" t="n">
        <v>1775.112325</v>
      </c>
    </row>
    <row r="80" ht="21" customHeight="1">
      <c r="A80" t="inlineStr">
        <is>
          <t>Dasyatis</t>
        </is>
      </c>
      <c r="B80" t="n">
        <v>3.28</v>
      </c>
      <c r="C80" t="n">
        <v>190.546072</v>
      </c>
      <c r="D80" s="11" t="inlineStr">
        <is>
          <t>Demersal sharks and rays</t>
        </is>
      </c>
      <c r="E80" t="n">
        <v>140.953883</v>
      </c>
      <c r="F80" t="n">
        <v>308.68601</v>
      </c>
      <c r="G80" t="n">
        <v>149.974663</v>
      </c>
      <c r="H80" t="n">
        <v>602.366804</v>
      </c>
      <c r="I80" t="n">
        <v>10706.101486</v>
      </c>
      <c r="J80" t="n">
        <v>10781.622707</v>
      </c>
      <c r="K80" t="n">
        <v>3924.510665</v>
      </c>
      <c r="L80" t="n">
        <v>18846.946222</v>
      </c>
      <c r="M80" t="n">
        <v>18846.946222</v>
      </c>
      <c r="N80" t="n">
        <v>18846.946222</v>
      </c>
      <c r="O80" t="n">
        <v>119.185901</v>
      </c>
      <c r="P80" t="n">
        <v>52.155741</v>
      </c>
      <c r="Q80" t="n">
        <v>18846.946222</v>
      </c>
      <c r="R80" t="n">
        <v>18846.946222</v>
      </c>
      <c r="S80" t="n">
        <v>119.185901</v>
      </c>
      <c r="T80" t="n">
        <v>119.185901</v>
      </c>
      <c r="U80" t="n">
        <v>52.155741</v>
      </c>
      <c r="V80" t="n">
        <v>52.155741</v>
      </c>
      <c r="W80" t="n">
        <v>124.506314</v>
      </c>
      <c r="X80" t="n">
        <v>20404.471037</v>
      </c>
    </row>
    <row r="81" ht="36" customHeight="1">
      <c r="A81" t="inlineStr">
        <is>
          <t>Euthynnus affinis</t>
        </is>
      </c>
      <c r="B81" t="n">
        <v>4.5</v>
      </c>
      <c r="C81" t="n">
        <v>3162.27766</v>
      </c>
      <c r="D81" s="11" t="inlineStr">
        <is>
          <t>Juvenile large pelagic fish | Pelagic fish (&gt; 30 cm)</t>
        </is>
      </c>
      <c r="E81" t="n">
        <v>140.953883</v>
      </c>
      <c r="F81" t="n">
        <v>200.641254</v>
      </c>
      <c r="G81" t="n">
        <v>102.228748</v>
      </c>
      <c r="H81" t="n">
        <v>215.010584</v>
      </c>
      <c r="I81" t="n">
        <v>6244.222521</v>
      </c>
      <c r="J81" t="n">
        <v>6325.914048</v>
      </c>
      <c r="K81" t="n">
        <v>1872.204427</v>
      </c>
      <c r="L81" t="n">
        <v>7112.982475</v>
      </c>
      <c r="M81" t="n">
        <v>7112.982475</v>
      </c>
      <c r="N81" t="n">
        <v>7112.982475</v>
      </c>
      <c r="O81" t="n">
        <v>87.969483</v>
      </c>
      <c r="P81" t="n">
        <v>46.580547</v>
      </c>
      <c r="Q81" t="n">
        <v>7112.982475</v>
      </c>
      <c r="R81" t="n">
        <v>7112.982475</v>
      </c>
      <c r="S81" t="n">
        <v>87.969483</v>
      </c>
      <c r="T81" t="n">
        <v>87.969483</v>
      </c>
      <c r="U81" t="n">
        <v>46.580547</v>
      </c>
      <c r="V81" t="n">
        <v>46.580547</v>
      </c>
      <c r="W81" t="n">
        <v>93.060855</v>
      </c>
      <c r="X81" t="n">
        <v>7459.131892</v>
      </c>
    </row>
    <row r="82" ht="36" customHeight="1">
      <c r="A82" t="inlineStr">
        <is>
          <t>Auxis</t>
        </is>
      </c>
      <c r="B82" t="n">
        <v>4.24</v>
      </c>
      <c r="C82" t="n">
        <v>1737.800829</v>
      </c>
      <c r="D82" s="11" t="inlineStr">
        <is>
          <t>Juvenile large pelagic fish | Pelagic fish (&gt; 30 cm)</t>
        </is>
      </c>
      <c r="E82" t="n">
        <v>140.953883</v>
      </c>
      <c r="F82" t="n">
        <v>200.641254</v>
      </c>
      <c r="G82" t="n">
        <v>102.228748</v>
      </c>
      <c r="H82" t="n">
        <v>215.010584</v>
      </c>
      <c r="I82" t="n">
        <v>6244.222521</v>
      </c>
      <c r="J82" t="n">
        <v>6325.914048</v>
      </c>
      <c r="K82" t="n">
        <v>1872.204427</v>
      </c>
      <c r="L82" t="n">
        <v>7112.982475</v>
      </c>
      <c r="M82" t="n">
        <v>7112.982475</v>
      </c>
      <c r="N82" t="n">
        <v>7112.982475</v>
      </c>
      <c r="O82" t="n">
        <v>87.969483</v>
      </c>
      <c r="P82" t="n">
        <v>46.580547</v>
      </c>
      <c r="Q82" t="n">
        <v>7112.982475</v>
      </c>
      <c r="R82" t="n">
        <v>7112.982475</v>
      </c>
      <c r="S82" t="n">
        <v>87.969483</v>
      </c>
      <c r="T82" t="n">
        <v>87.969483</v>
      </c>
      <c r="U82" t="n">
        <v>46.580547</v>
      </c>
      <c r="V82" t="n">
        <v>46.580547</v>
      </c>
      <c r="W82" t="n">
        <v>93.060855</v>
      </c>
      <c r="X82" t="n">
        <v>7459.131892</v>
      </c>
    </row>
    <row r="83" ht="21" customHeight="1">
      <c r="A83" t="inlineStr">
        <is>
          <t>Pampus argenteus</t>
        </is>
      </c>
      <c r="B83" t="n">
        <v>3.3</v>
      </c>
      <c r="C83" t="n">
        <v>199.526231</v>
      </c>
      <c r="D83" s="11" t="inlineStr">
        <is>
          <t>Pomfret (stromateids)</t>
        </is>
      </c>
      <c r="E83" t="n">
        <v>140.953883</v>
      </c>
      <c r="F83" t="n">
        <v>342.280115</v>
      </c>
      <c r="G83" t="n">
        <v>164.146984</v>
      </c>
      <c r="H83" t="n">
        <v>260.083928</v>
      </c>
      <c r="I83" t="n">
        <v>1585.623721</v>
      </c>
      <c r="J83" t="n">
        <v>1650.152477</v>
      </c>
      <c r="K83" t="n">
        <v>1567.644853</v>
      </c>
      <c r="L83" t="n">
        <v>2274.19106</v>
      </c>
      <c r="M83" t="n">
        <v>2274.19106</v>
      </c>
      <c r="N83" t="n">
        <v>2274.19106</v>
      </c>
      <c r="O83" t="n">
        <v>105.127985</v>
      </c>
      <c r="P83" t="n">
        <v>50.974766</v>
      </c>
      <c r="Q83" t="n">
        <v>2274.19106</v>
      </c>
      <c r="R83" t="n">
        <v>2274.19106</v>
      </c>
      <c r="S83" t="n">
        <v>105.127985</v>
      </c>
      <c r="T83" t="n">
        <v>105.127985</v>
      </c>
      <c r="U83" t="n">
        <v>50.974766</v>
      </c>
      <c r="V83" t="n">
        <v>50.974766</v>
      </c>
      <c r="W83" t="n">
        <v>111.155847</v>
      </c>
      <c r="X83" t="n">
        <v>2438.947747</v>
      </c>
    </row>
    <row r="84" ht="21" customHeight="1">
      <c r="A84" t="inlineStr">
        <is>
          <t>Spratelloides gracilis</t>
        </is>
      </c>
      <c r="B84" t="n">
        <v>3.06</v>
      </c>
      <c r="C84" t="n">
        <v>114.815362</v>
      </c>
      <c r="D84" s="11" t="inlineStr">
        <is>
          <t>Pelagic fish (≤ 30 cm)</t>
        </is>
      </c>
      <c r="E84" t="n">
        <v>140.953883</v>
      </c>
      <c r="F84" t="n">
        <v>60.479203</v>
      </c>
      <c r="G84" t="n">
        <v>36.07884</v>
      </c>
      <c r="H84" t="n">
        <v>45.98261</v>
      </c>
      <c r="I84" t="n">
        <v>395.888053</v>
      </c>
      <c r="J84" t="n">
        <v>395.888053</v>
      </c>
      <c r="K84" t="n">
        <v>376.09365</v>
      </c>
      <c r="L84" t="n">
        <v>393.787233</v>
      </c>
      <c r="M84" t="n">
        <v>393.787233</v>
      </c>
      <c r="N84" t="n">
        <v>393.787233</v>
      </c>
      <c r="O84" t="n">
        <v>20.916473</v>
      </c>
      <c r="P84" t="n">
        <v>13.510088</v>
      </c>
      <c r="Q84" t="n">
        <v>393.787233</v>
      </c>
      <c r="R84" t="n">
        <v>393.787233</v>
      </c>
      <c r="S84" t="n">
        <v>20.916473</v>
      </c>
      <c r="T84" t="n">
        <v>20.916473</v>
      </c>
      <c r="U84" t="n">
        <v>13.510088</v>
      </c>
      <c r="V84" t="n">
        <v>13.510088</v>
      </c>
      <c r="W84" t="n">
        <v>21.939981</v>
      </c>
      <c r="X84" t="n">
        <v>405.784084</v>
      </c>
    </row>
    <row r="85" ht="21" customHeight="1">
      <c r="A85" t="inlineStr">
        <is>
          <t>Bivalvia</t>
        </is>
      </c>
      <c r="B85" t="n">
        <v>2.23</v>
      </c>
      <c r="C85" t="n">
        <v>16.982437</v>
      </c>
      <c r="D85" s="11" t="inlineStr">
        <is>
          <t>Non-ceph molluscs</t>
        </is>
      </c>
      <c r="E85" t="n">
        <v>140.953883</v>
      </c>
      <c r="F85" t="n">
        <v>14.712171</v>
      </c>
      <c r="G85" t="n">
        <v>10.486582</v>
      </c>
      <c r="H85" t="n">
        <v>17.347998</v>
      </c>
      <c r="I85" t="n">
        <v>87.52377799999999</v>
      </c>
      <c r="J85" t="n">
        <v>87.52377799999999</v>
      </c>
      <c r="K85" t="n">
        <v>33.521607</v>
      </c>
      <c r="L85" t="n">
        <v>92.59366</v>
      </c>
      <c r="M85" t="n">
        <v>92.59366</v>
      </c>
      <c r="N85" t="n">
        <v>92.59366</v>
      </c>
      <c r="O85" t="n">
        <v>4.448657</v>
      </c>
      <c r="P85" t="n">
        <v>3.058348</v>
      </c>
      <c r="Q85" t="n">
        <v>92.59366</v>
      </c>
      <c r="R85" t="n">
        <v>92.59366</v>
      </c>
      <c r="S85" t="n">
        <v>4.448657</v>
      </c>
      <c r="T85" t="n">
        <v>4.448657</v>
      </c>
      <c r="U85" t="n">
        <v>3.058348</v>
      </c>
      <c r="V85" t="n">
        <v>3.058348</v>
      </c>
      <c r="W85" t="n">
        <v>4.556294</v>
      </c>
      <c r="X85" t="n">
        <v>96.447226</v>
      </c>
    </row>
    <row r="86" ht="21" customHeight="1">
      <c r="A86" t="inlineStr">
        <is>
          <t>Dussumieria</t>
        </is>
      </c>
      <c r="B86" t="n">
        <v>3.4</v>
      </c>
      <c r="C86" t="n">
        <v>251.188643</v>
      </c>
      <c r="D86" s="11" t="inlineStr">
        <is>
          <t>Pelagic fish (≤ 30 cm)</t>
        </is>
      </c>
      <c r="E86" t="n">
        <v>140.953883</v>
      </c>
      <c r="F86" t="n">
        <v>60.479203</v>
      </c>
      <c r="G86" t="n">
        <v>36.07884</v>
      </c>
      <c r="H86" t="n">
        <v>45.98261</v>
      </c>
      <c r="I86" t="n">
        <v>395.888053</v>
      </c>
      <c r="J86" t="n">
        <v>395.888053</v>
      </c>
      <c r="K86" t="n">
        <v>376.09365</v>
      </c>
      <c r="L86" t="n">
        <v>393.787233</v>
      </c>
      <c r="M86" t="n">
        <v>393.787233</v>
      </c>
      <c r="N86" t="n">
        <v>393.787233</v>
      </c>
      <c r="O86" t="n">
        <v>20.916473</v>
      </c>
      <c r="P86" t="n">
        <v>13.510088</v>
      </c>
      <c r="Q86" t="n">
        <v>393.787233</v>
      </c>
      <c r="R86" t="n">
        <v>393.787233</v>
      </c>
      <c r="S86" t="n">
        <v>20.916473</v>
      </c>
      <c r="T86" t="n">
        <v>20.916473</v>
      </c>
      <c r="U86" t="n">
        <v>13.510088</v>
      </c>
      <c r="V86" t="n">
        <v>13.510088</v>
      </c>
      <c r="W86" t="n">
        <v>21.939981</v>
      </c>
      <c r="X86" t="n">
        <v>405.784084</v>
      </c>
    </row>
    <row r="87" ht="36" customHeight="1">
      <c r="A87" t="inlineStr">
        <is>
          <t>Carcharhinus</t>
        </is>
      </c>
      <c r="B87" t="n">
        <v>4.26</v>
      </c>
      <c r="C87" t="n">
        <v>1819.700859</v>
      </c>
      <c r="D87" s="11" t="inlineStr">
        <is>
          <t>Demersal sharks and rays | Pelagic sharks and rays</t>
        </is>
      </c>
      <c r="E87" t="n">
        <v>140.953883</v>
      </c>
      <c r="F87" t="n">
        <v>420.661524</v>
      </c>
      <c r="G87" t="n">
        <v>193.90261</v>
      </c>
      <c r="H87" t="n">
        <v>636.3346</v>
      </c>
      <c r="I87" t="n">
        <v>32064.514055</v>
      </c>
      <c r="J87" t="n">
        <v>32388.465997</v>
      </c>
      <c r="K87" t="n">
        <v>15001.444266</v>
      </c>
      <c r="L87" t="n">
        <v>47447.371867</v>
      </c>
      <c r="M87" t="n">
        <v>47447.371867</v>
      </c>
      <c r="N87" t="n">
        <v>47447.371867</v>
      </c>
      <c r="O87" t="n">
        <v>134.659687</v>
      </c>
      <c r="P87" t="n">
        <v>58.748438</v>
      </c>
      <c r="Q87" t="n">
        <v>47447.371867</v>
      </c>
      <c r="R87" t="n">
        <v>47447.371867</v>
      </c>
      <c r="S87" t="n">
        <v>134.659687</v>
      </c>
      <c r="T87" t="n">
        <v>134.659687</v>
      </c>
      <c r="U87" t="n">
        <v>58.748438</v>
      </c>
      <c r="V87" t="n">
        <v>58.748438</v>
      </c>
      <c r="W87" t="n">
        <v>141.372985</v>
      </c>
      <c r="X87" t="n">
        <v>50905.953173</v>
      </c>
    </row>
    <row r="88" ht="21" customHeight="1">
      <c r="A88" t="inlineStr">
        <is>
          <t>Lutjanus</t>
        </is>
      </c>
      <c r="B88" t="n">
        <v>4.02</v>
      </c>
      <c r="C88" t="n">
        <v>1047.128548</v>
      </c>
      <c r="D88" s="11" t="inlineStr">
        <is>
          <t>Snappers</t>
        </is>
      </c>
      <c r="E88" t="n">
        <v>140.953883</v>
      </c>
      <c r="F88" t="n">
        <v>554.842266</v>
      </c>
      <c r="G88" t="n">
        <v>250.381754</v>
      </c>
      <c r="H88" t="n">
        <v>650.642591</v>
      </c>
      <c r="I88" t="n">
        <v>3230.237663</v>
      </c>
      <c r="J88" t="n">
        <v>3367.037571</v>
      </c>
      <c r="K88" t="n">
        <v>3198.685692</v>
      </c>
      <c r="L88" t="n">
        <v>4133.4309</v>
      </c>
      <c r="M88" t="n">
        <v>4133.4309</v>
      </c>
      <c r="N88" t="n">
        <v>4133.4309</v>
      </c>
      <c r="O88" t="n">
        <v>205.658598</v>
      </c>
      <c r="P88" t="n">
        <v>91.38801100000001</v>
      </c>
      <c r="Q88" t="n">
        <v>4133.4309</v>
      </c>
      <c r="R88" t="n">
        <v>4133.4309</v>
      </c>
      <c r="S88" t="n">
        <v>205.658598</v>
      </c>
      <c r="T88" t="n">
        <v>205.658598</v>
      </c>
      <c r="U88" t="n">
        <v>91.38801100000001</v>
      </c>
      <c r="V88" t="n">
        <v>91.38801100000001</v>
      </c>
      <c r="W88" t="n">
        <v>216.473302</v>
      </c>
      <c r="X88" t="n">
        <v>4393.486979</v>
      </c>
    </row>
    <row r="89" ht="21" customHeight="1">
      <c r="A89" t="inlineStr">
        <is>
          <t>Penaeus merguiensis</t>
        </is>
      </c>
      <c r="B89" t="n">
        <v>3.77</v>
      </c>
      <c r="C89" t="n">
        <v>588.843655</v>
      </c>
      <c r="D89" s="11" t="inlineStr">
        <is>
          <t>Shrimps</t>
        </is>
      </c>
      <c r="E89" t="n">
        <v>140.953883</v>
      </c>
      <c r="F89" t="n">
        <v>20.606299</v>
      </c>
      <c r="G89" t="n">
        <v>14.077679</v>
      </c>
      <c r="H89" t="n">
        <v>22.715542</v>
      </c>
      <c r="I89" t="n">
        <v>131.71072</v>
      </c>
      <c r="J89" t="n">
        <v>131.71072</v>
      </c>
      <c r="K89" t="n">
        <v>125.125184</v>
      </c>
      <c r="L89" t="n">
        <v>130.894857</v>
      </c>
      <c r="M89" t="n">
        <v>130.894857</v>
      </c>
      <c r="N89" t="n">
        <v>130.894857</v>
      </c>
      <c r="O89" t="n">
        <v>12.255972</v>
      </c>
      <c r="P89" t="n">
        <v>8.448598</v>
      </c>
      <c r="Q89" t="n">
        <v>130.894857</v>
      </c>
      <c r="R89" t="n">
        <v>130.894857</v>
      </c>
      <c r="S89" t="n">
        <v>12.255972</v>
      </c>
      <c r="T89" t="n">
        <v>12.255972</v>
      </c>
      <c r="U89" t="n">
        <v>8.448598</v>
      </c>
      <c r="V89" t="n">
        <v>8.448598</v>
      </c>
      <c r="W89" t="n">
        <v>12.680707</v>
      </c>
      <c r="X89" t="n">
        <v>136.520004</v>
      </c>
    </row>
    <row r="90" ht="21" customHeight="1">
      <c r="A90" t="inlineStr">
        <is>
          <t>Octopoda</t>
        </is>
      </c>
      <c r="B90" t="n">
        <v>3.58</v>
      </c>
      <c r="C90" t="n">
        <v>380.189396</v>
      </c>
      <c r="D90" s="11" t="inlineStr">
        <is>
          <t>Cephalopods</t>
        </is>
      </c>
      <c r="E90" t="n">
        <v>140.953883</v>
      </c>
      <c r="F90" t="n">
        <v>170.518341</v>
      </c>
      <c r="G90" t="n">
        <v>89.274901</v>
      </c>
      <c r="H90" t="n">
        <v>176.937394</v>
      </c>
      <c r="I90" t="n">
        <v>1050.872908</v>
      </c>
      <c r="J90" t="n">
        <v>1075.829695</v>
      </c>
      <c r="K90" t="n">
        <v>537.914847</v>
      </c>
      <c r="L90" t="n">
        <v>1659.687874</v>
      </c>
      <c r="M90" t="n">
        <v>1659.687874</v>
      </c>
      <c r="N90" t="n">
        <v>1659.687874</v>
      </c>
      <c r="O90" t="n">
        <v>31.362197</v>
      </c>
      <c r="P90" t="n">
        <v>16.184075</v>
      </c>
      <c r="Q90" t="n">
        <v>1659.687874</v>
      </c>
      <c r="R90" t="n">
        <v>1659.687874</v>
      </c>
      <c r="S90" t="n">
        <v>31.362197</v>
      </c>
      <c r="T90" t="n">
        <v>31.362197</v>
      </c>
      <c r="U90" t="n">
        <v>16.184075</v>
      </c>
      <c r="V90" t="n">
        <v>16.184075</v>
      </c>
      <c r="W90" t="n">
        <v>32.286772</v>
      </c>
      <c r="X90" t="n">
        <v>1775.112325</v>
      </c>
    </row>
    <row r="91" ht="21" customHeight="1">
      <c r="A91" t="inlineStr">
        <is>
          <t>Clupanodon thrissa</t>
        </is>
      </c>
      <c r="B91" t="n">
        <v>3.01</v>
      </c>
      <c r="C91" t="n">
        <v>102.329299</v>
      </c>
      <c r="D91" s="11" t="inlineStr">
        <is>
          <t>Pelagic fish (≤ 30 cm)</t>
        </is>
      </c>
      <c r="E91" t="n">
        <v>140.953883</v>
      </c>
      <c r="F91" t="n">
        <v>60.479203</v>
      </c>
      <c r="G91" t="n">
        <v>36.07884</v>
      </c>
      <c r="H91" t="n">
        <v>45.98261</v>
      </c>
      <c r="I91" t="n">
        <v>395.888053</v>
      </c>
      <c r="J91" t="n">
        <v>395.888053</v>
      </c>
      <c r="K91" t="n">
        <v>376.09365</v>
      </c>
      <c r="L91" t="n">
        <v>393.787233</v>
      </c>
      <c r="M91" t="n">
        <v>393.787233</v>
      </c>
      <c r="N91" t="n">
        <v>393.787233</v>
      </c>
      <c r="O91" t="n">
        <v>20.916473</v>
      </c>
      <c r="P91" t="n">
        <v>13.510088</v>
      </c>
      <c r="Q91" t="n">
        <v>393.787233</v>
      </c>
      <c r="R91" t="n">
        <v>393.787233</v>
      </c>
      <c r="S91" t="n">
        <v>20.916473</v>
      </c>
      <c r="T91" t="n">
        <v>20.916473</v>
      </c>
      <c r="U91" t="n">
        <v>13.510088</v>
      </c>
      <c r="V91" t="n">
        <v>13.510088</v>
      </c>
      <c r="W91" t="n">
        <v>21.939981</v>
      </c>
      <c r="X91" t="n">
        <v>405.784084</v>
      </c>
    </row>
    <row r="92" ht="21" customHeight="1">
      <c r="A92" t="inlineStr">
        <is>
          <t>Sardinella fimbriata</t>
        </is>
      </c>
      <c r="B92" t="n">
        <v>2.7</v>
      </c>
      <c r="C92" t="n">
        <v>50.118723</v>
      </c>
      <c r="D92" s="11" t="inlineStr">
        <is>
          <t>Pelagic fish (≤ 30 cm)</t>
        </is>
      </c>
      <c r="E92" t="n">
        <v>140.953883</v>
      </c>
      <c r="F92" t="n">
        <v>60.479203</v>
      </c>
      <c r="G92" t="n">
        <v>36.07884</v>
      </c>
      <c r="H92" t="n">
        <v>45.98261</v>
      </c>
      <c r="I92" t="n">
        <v>395.888053</v>
      </c>
      <c r="J92" t="n">
        <v>395.888053</v>
      </c>
      <c r="K92" t="n">
        <v>376.09365</v>
      </c>
      <c r="L92" t="n">
        <v>393.787233</v>
      </c>
      <c r="M92" t="n">
        <v>393.787233</v>
      </c>
      <c r="N92" t="n">
        <v>393.787233</v>
      </c>
      <c r="O92" t="n">
        <v>20.916473</v>
      </c>
      <c r="P92" t="n">
        <v>13.510088</v>
      </c>
      <c r="Q92" t="n">
        <v>393.787233</v>
      </c>
      <c r="R92" t="n">
        <v>393.787233</v>
      </c>
      <c r="S92" t="n">
        <v>20.916473</v>
      </c>
      <c r="T92" t="n">
        <v>20.916473</v>
      </c>
      <c r="U92" t="n">
        <v>13.510088</v>
      </c>
      <c r="V92" t="n">
        <v>13.510088</v>
      </c>
      <c r="W92" t="n">
        <v>21.939981</v>
      </c>
      <c r="X92" t="n">
        <v>405.784084</v>
      </c>
    </row>
    <row r="93" ht="21" customHeight="1">
      <c r="A93" t="inlineStr">
        <is>
          <t>Ruvettus pretiosus</t>
        </is>
      </c>
      <c r="B93" t="n">
        <v>4.18</v>
      </c>
      <c r="C93" t="n">
        <v>1513.561248</v>
      </c>
      <c r="D93" s="11" t="inlineStr">
        <is>
          <t>Unresolved</t>
        </is>
      </c>
    </row>
    <row r="94" ht="36" customHeight="1">
      <c r="A94" t="inlineStr">
        <is>
          <t>Lates calcarifer</t>
        </is>
      </c>
      <c r="B94" t="n">
        <v>4.35</v>
      </c>
      <c r="C94" t="n">
        <v>2238.721139</v>
      </c>
      <c r="D94" s="11" t="inlineStr">
        <is>
          <t>Juvenile demersal fish (&gt; 30 cm) | Adult demersal fish (&gt; 30 cm)</t>
        </is>
      </c>
      <c r="E94" t="n">
        <v>140.953883</v>
      </c>
      <c r="F94" t="n">
        <v>228.824285</v>
      </c>
      <c r="G94" t="n">
        <v>114.897152</v>
      </c>
      <c r="H94" t="n">
        <v>408.798022</v>
      </c>
      <c r="I94" t="n">
        <v>6590.793316</v>
      </c>
      <c r="J94" t="n">
        <v>7071.146917</v>
      </c>
      <c r="K94" t="n">
        <v>2576.928919</v>
      </c>
      <c r="L94" t="n">
        <v>10677.999207</v>
      </c>
      <c r="M94" t="n">
        <v>10677.999207</v>
      </c>
      <c r="N94" t="n">
        <v>10677.999207</v>
      </c>
      <c r="O94" t="n">
        <v>85.006417</v>
      </c>
      <c r="P94" t="n">
        <v>38.52237</v>
      </c>
      <c r="Q94" t="n">
        <v>10677.999207</v>
      </c>
      <c r="R94" t="n">
        <v>10677.999207</v>
      </c>
      <c r="S94" t="n">
        <v>85.006417</v>
      </c>
      <c r="T94" t="n">
        <v>85.006417</v>
      </c>
      <c r="U94" t="n">
        <v>38.52237</v>
      </c>
      <c r="V94" t="n">
        <v>38.52237</v>
      </c>
      <c r="W94" t="n">
        <v>88.306245</v>
      </c>
      <c r="X94" t="n">
        <v>11509.306401</v>
      </c>
    </row>
    <row r="95" ht="36" customHeight="1">
      <c r="A95" t="inlineStr">
        <is>
          <t>Carangoides</t>
        </is>
      </c>
      <c r="B95" t="n">
        <v>4.34</v>
      </c>
      <c r="C95" t="n">
        <v>2187.761624</v>
      </c>
      <c r="D95" s="11" t="inlineStr">
        <is>
          <t>Juvenile large pelagic fish | Pelagic fish (&gt; 30 cm)</t>
        </is>
      </c>
      <c r="E95" t="n">
        <v>140.953883</v>
      </c>
      <c r="F95" t="n">
        <v>200.641254</v>
      </c>
      <c r="G95" t="n">
        <v>102.228748</v>
      </c>
      <c r="H95" t="n">
        <v>215.010584</v>
      </c>
      <c r="I95" t="n">
        <v>6244.222521</v>
      </c>
      <c r="J95" t="n">
        <v>6325.914048</v>
      </c>
      <c r="K95" t="n">
        <v>1872.204427</v>
      </c>
      <c r="L95" t="n">
        <v>7112.982475</v>
      </c>
      <c r="M95" t="n">
        <v>7112.982475</v>
      </c>
      <c r="N95" t="n">
        <v>7112.982475</v>
      </c>
      <c r="O95" t="n">
        <v>87.969483</v>
      </c>
      <c r="P95" t="n">
        <v>46.580547</v>
      </c>
      <c r="Q95" t="n">
        <v>7112.982475</v>
      </c>
      <c r="R95" t="n">
        <v>7112.982475</v>
      </c>
      <c r="S95" t="n">
        <v>87.969483</v>
      </c>
      <c r="T95" t="n">
        <v>87.969483</v>
      </c>
      <c r="U95" t="n">
        <v>46.580547</v>
      </c>
      <c r="V95" t="n">
        <v>46.580547</v>
      </c>
      <c r="W95" t="n">
        <v>93.060855</v>
      </c>
      <c r="X95" t="n">
        <v>7459.131892</v>
      </c>
    </row>
    <row r="96" ht="36" customHeight="1">
      <c r="A96" t="inlineStr">
        <is>
          <t>Scomberomorus niphonius</t>
        </is>
      </c>
      <c r="B96" t="n">
        <v>4.5</v>
      </c>
      <c r="C96" t="n">
        <v>3162.27766</v>
      </c>
      <c r="D96" s="11" t="inlineStr">
        <is>
          <t>Juvenile large pelagic fish | Pelagic fish (&gt; 30 cm)</t>
        </is>
      </c>
      <c r="E96" t="n">
        <v>140.953883</v>
      </c>
      <c r="F96" t="n">
        <v>200.641254</v>
      </c>
      <c r="G96" t="n">
        <v>102.228748</v>
      </c>
      <c r="H96" t="n">
        <v>215.010584</v>
      </c>
      <c r="I96" t="n">
        <v>6244.222521</v>
      </c>
      <c r="J96" t="n">
        <v>6325.914048</v>
      </c>
      <c r="K96" t="n">
        <v>1872.204427</v>
      </c>
      <c r="L96" t="n">
        <v>7112.982475</v>
      </c>
      <c r="M96" t="n">
        <v>7112.982475</v>
      </c>
      <c r="N96" t="n">
        <v>7112.982475</v>
      </c>
      <c r="O96" t="n">
        <v>87.969483</v>
      </c>
      <c r="P96" t="n">
        <v>46.580547</v>
      </c>
      <c r="Q96" t="n">
        <v>7112.982475</v>
      </c>
      <c r="R96" t="n">
        <v>7112.982475</v>
      </c>
      <c r="S96" t="n">
        <v>87.969483</v>
      </c>
      <c r="T96" t="n">
        <v>87.969483</v>
      </c>
      <c r="U96" t="n">
        <v>46.580547</v>
      </c>
      <c r="V96" t="n">
        <v>46.580547</v>
      </c>
      <c r="W96" t="n">
        <v>93.060855</v>
      </c>
      <c r="X96" t="n">
        <v>7459.131892</v>
      </c>
    </row>
    <row r="97" ht="36" customHeight="1">
      <c r="A97" t="inlineStr">
        <is>
          <t>Megalaspis cordyla</t>
        </is>
      </c>
      <c r="B97" t="n">
        <v>4.24</v>
      </c>
      <c r="C97" t="n">
        <v>1737.800829</v>
      </c>
      <c r="D97" s="11" t="inlineStr">
        <is>
          <t>Juvenile large pelagic fish | Pelagic fish (&gt; 30 cm)</t>
        </is>
      </c>
      <c r="E97" t="n">
        <v>140.953883</v>
      </c>
      <c r="F97" t="n">
        <v>200.641254</v>
      </c>
      <c r="G97" t="n">
        <v>102.228748</v>
      </c>
      <c r="H97" t="n">
        <v>215.010584</v>
      </c>
      <c r="I97" t="n">
        <v>6244.222521</v>
      </c>
      <c r="J97" t="n">
        <v>6325.914048</v>
      </c>
      <c r="K97" t="n">
        <v>1872.204427</v>
      </c>
      <c r="L97" t="n">
        <v>7112.982475</v>
      </c>
      <c r="M97" t="n">
        <v>7112.982475</v>
      </c>
      <c r="N97" t="n">
        <v>7112.982475</v>
      </c>
      <c r="O97" t="n">
        <v>87.969483</v>
      </c>
      <c r="P97" t="n">
        <v>46.580547</v>
      </c>
      <c r="Q97" t="n">
        <v>7112.982475</v>
      </c>
      <c r="R97" t="n">
        <v>7112.982475</v>
      </c>
      <c r="S97" t="n">
        <v>87.969483</v>
      </c>
      <c r="T97" t="n">
        <v>87.969483</v>
      </c>
      <c r="U97" t="n">
        <v>46.580547</v>
      </c>
      <c r="V97" t="n">
        <v>46.580547</v>
      </c>
      <c r="W97" t="n">
        <v>93.060855</v>
      </c>
      <c r="X97" t="n">
        <v>7459.131892</v>
      </c>
    </row>
    <row r="98" ht="36" customHeight="1">
      <c r="A98" t="inlineStr">
        <is>
          <t>Scomberomorus guttatus</t>
        </is>
      </c>
      <c r="B98" t="n">
        <v>4.28</v>
      </c>
      <c r="C98" t="n">
        <v>1905.460718</v>
      </c>
      <c r="D98" s="11" t="inlineStr">
        <is>
          <t>Juvenile large pelagic fish | Pelagic fish (&gt; 30 cm)</t>
        </is>
      </c>
      <c r="E98" t="n">
        <v>140.953883</v>
      </c>
      <c r="F98" t="n">
        <v>200.641254</v>
      </c>
      <c r="G98" t="n">
        <v>102.228748</v>
      </c>
      <c r="H98" t="n">
        <v>215.010584</v>
      </c>
      <c r="I98" t="n">
        <v>6244.222521</v>
      </c>
      <c r="J98" t="n">
        <v>6325.914048</v>
      </c>
      <c r="K98" t="n">
        <v>1872.204427</v>
      </c>
      <c r="L98" t="n">
        <v>7112.982475</v>
      </c>
      <c r="M98" t="n">
        <v>7112.982475</v>
      </c>
      <c r="N98" t="n">
        <v>7112.982475</v>
      </c>
      <c r="O98" t="n">
        <v>87.969483</v>
      </c>
      <c r="P98" t="n">
        <v>46.580547</v>
      </c>
      <c r="Q98" t="n">
        <v>7112.982475</v>
      </c>
      <c r="R98" t="n">
        <v>7112.982475</v>
      </c>
      <c r="S98" t="n">
        <v>87.969483</v>
      </c>
      <c r="T98" t="n">
        <v>87.969483</v>
      </c>
      <c r="U98" t="n">
        <v>46.580547</v>
      </c>
      <c r="V98" t="n">
        <v>46.580547</v>
      </c>
      <c r="W98" t="n">
        <v>93.060855</v>
      </c>
      <c r="X98" t="n">
        <v>7459.131892</v>
      </c>
    </row>
    <row r="99" ht="36" customHeight="1">
      <c r="A99" t="inlineStr">
        <is>
          <t>Atrobucca nibe</t>
        </is>
      </c>
      <c r="B99" t="n">
        <v>3.03</v>
      </c>
      <c r="C99" t="n">
        <v>107.151931</v>
      </c>
      <c r="D99" s="11" t="inlineStr">
        <is>
          <t>Juvenile large croakers | Croakers (&gt; 30 cm)</t>
        </is>
      </c>
      <c r="E99" t="n">
        <v>140.953883</v>
      </c>
      <c r="F99" t="n">
        <v>265.549442</v>
      </c>
      <c r="G99" t="n">
        <v>131.19784</v>
      </c>
      <c r="H99" t="n">
        <v>368.043932</v>
      </c>
      <c r="I99" t="n">
        <v>2939.153653</v>
      </c>
      <c r="J99" t="n">
        <v>3022.907916</v>
      </c>
      <c r="K99" t="n">
        <v>1769.605312</v>
      </c>
      <c r="L99" t="n">
        <v>3691.420719</v>
      </c>
      <c r="M99" t="n">
        <v>3691.420719</v>
      </c>
      <c r="N99" t="n">
        <v>3691.420719</v>
      </c>
      <c r="O99" t="n">
        <v>92.784491</v>
      </c>
      <c r="P99" t="n">
        <v>44.082214</v>
      </c>
      <c r="Q99" t="n">
        <v>3691.420719</v>
      </c>
      <c r="R99" t="n">
        <v>3691.420719</v>
      </c>
      <c r="S99" t="n">
        <v>92.784491</v>
      </c>
      <c r="T99" t="n">
        <v>92.784491</v>
      </c>
      <c r="U99" t="n">
        <v>44.082214</v>
      </c>
      <c r="V99" t="n">
        <v>44.082214</v>
      </c>
      <c r="W99" t="n">
        <v>96.91430099999999</v>
      </c>
      <c r="X99" t="n">
        <v>3937.988659</v>
      </c>
    </row>
    <row r="100" ht="36" customHeight="1">
      <c r="A100" t="inlineStr">
        <is>
          <t>Trichiuridae</t>
        </is>
      </c>
      <c r="B100" t="n">
        <v>4.15</v>
      </c>
      <c r="C100" t="n">
        <v>1412.537545</v>
      </c>
      <c r="D100" s="11" t="inlineStr">
        <is>
          <t>Juvenile Hairtail (trichiurids) | Adult hairtail (trichiurids)</t>
        </is>
      </c>
      <c r="E100" t="n">
        <v>140.953883</v>
      </c>
      <c r="F100" t="n">
        <v>759.29485</v>
      </c>
      <c r="G100" t="n">
        <v>329.344068</v>
      </c>
      <c r="H100" t="n">
        <v>902.04389</v>
      </c>
      <c r="I100" t="n">
        <v>15387.334214</v>
      </c>
      <c r="J100" t="n">
        <v>16058.002117</v>
      </c>
      <c r="K100" t="n">
        <v>5258.842171</v>
      </c>
      <c r="L100" t="n">
        <v>26383.951313</v>
      </c>
      <c r="M100" t="n">
        <v>26383.951313</v>
      </c>
      <c r="N100" t="n">
        <v>26383.951313</v>
      </c>
      <c r="O100" t="n">
        <v>166.364336</v>
      </c>
      <c r="P100" t="n">
        <v>71.691328</v>
      </c>
      <c r="Q100" t="n">
        <v>26383.951313</v>
      </c>
      <c r="R100" t="n">
        <v>26383.951313</v>
      </c>
      <c r="S100" t="n">
        <v>166.364336</v>
      </c>
      <c r="T100" t="n">
        <v>166.364336</v>
      </c>
      <c r="U100" t="n">
        <v>71.691328</v>
      </c>
      <c r="V100" t="n">
        <v>71.691328</v>
      </c>
      <c r="W100" t="n">
        <v>176.786743</v>
      </c>
      <c r="X100" t="n">
        <v>28905.373115</v>
      </c>
    </row>
    <row r="101" ht="36" customHeight="1">
      <c r="A101" t="inlineStr">
        <is>
          <t>Thunnus tonggol</t>
        </is>
      </c>
      <c r="B101" t="n">
        <v>4.5</v>
      </c>
      <c r="C101" t="n">
        <v>3162.27766</v>
      </c>
      <c r="D101" s="11" t="inlineStr">
        <is>
          <t>Juvenile large pelagic fish | Pelagic fish (&gt; 30 cm)</t>
        </is>
      </c>
      <c r="E101" t="n">
        <v>140.953883</v>
      </c>
      <c r="F101" t="n">
        <v>200.641254</v>
      </c>
      <c r="G101" t="n">
        <v>102.228748</v>
      </c>
      <c r="H101" t="n">
        <v>215.010584</v>
      </c>
      <c r="I101" t="n">
        <v>6244.222521</v>
      </c>
      <c r="J101" t="n">
        <v>6325.914048</v>
      </c>
      <c r="K101" t="n">
        <v>1872.204427</v>
      </c>
      <c r="L101" t="n">
        <v>7112.982475</v>
      </c>
      <c r="M101" t="n">
        <v>7112.982475</v>
      </c>
      <c r="N101" t="n">
        <v>7112.982475</v>
      </c>
      <c r="O101" t="n">
        <v>87.969483</v>
      </c>
      <c r="P101" t="n">
        <v>46.580547</v>
      </c>
      <c r="Q101" t="n">
        <v>7112.982475</v>
      </c>
      <c r="R101" t="n">
        <v>7112.982475</v>
      </c>
      <c r="S101" t="n">
        <v>87.969483</v>
      </c>
      <c r="T101" t="n">
        <v>87.969483</v>
      </c>
      <c r="U101" t="n">
        <v>46.580547</v>
      </c>
      <c r="V101" t="n">
        <v>46.580547</v>
      </c>
      <c r="W101" t="n">
        <v>93.060855</v>
      </c>
      <c r="X101" t="n">
        <v>7459.131892</v>
      </c>
    </row>
    <row r="102" ht="21" customHeight="1">
      <c r="A102" t="inlineStr">
        <is>
          <t>Penaeus indicus</t>
        </is>
      </c>
      <c r="B102" t="n">
        <v>2.7</v>
      </c>
      <c r="C102" t="n">
        <v>50.118723</v>
      </c>
      <c r="D102" s="11" t="inlineStr">
        <is>
          <t>Shrimps</t>
        </is>
      </c>
      <c r="E102" t="n">
        <v>140.953883</v>
      </c>
      <c r="F102" t="n">
        <v>20.606299</v>
      </c>
      <c r="G102" t="n">
        <v>14.077679</v>
      </c>
      <c r="H102" t="n">
        <v>22.715542</v>
      </c>
      <c r="I102" t="n">
        <v>131.71072</v>
      </c>
      <c r="J102" t="n">
        <v>131.71072</v>
      </c>
      <c r="K102" t="n">
        <v>125.125184</v>
      </c>
      <c r="L102" t="n">
        <v>130.894857</v>
      </c>
      <c r="M102" t="n">
        <v>130.894857</v>
      </c>
      <c r="N102" t="n">
        <v>130.894857</v>
      </c>
      <c r="O102" t="n">
        <v>12.255972</v>
      </c>
      <c r="P102" t="n">
        <v>8.448598</v>
      </c>
      <c r="Q102" t="n">
        <v>130.894857</v>
      </c>
      <c r="R102" t="n">
        <v>130.894857</v>
      </c>
      <c r="S102" t="n">
        <v>12.255972</v>
      </c>
      <c r="T102" t="n">
        <v>12.255972</v>
      </c>
      <c r="U102" t="n">
        <v>8.448598</v>
      </c>
      <c r="V102" t="n">
        <v>8.448598</v>
      </c>
      <c r="W102" t="n">
        <v>12.680707</v>
      </c>
      <c r="X102" t="n">
        <v>136.520004</v>
      </c>
    </row>
    <row r="103" ht="21" customHeight="1">
      <c r="A103" t="inlineStr">
        <is>
          <t>Rhopilema esculentum</t>
        </is>
      </c>
      <c r="B103" t="n">
        <v>3.01</v>
      </c>
      <c r="C103" t="n">
        <v>102.329299</v>
      </c>
      <c r="D103" s="11" t="inlineStr">
        <is>
          <t>Jellyfish</t>
        </is>
      </c>
      <c r="E103" t="n">
        <v>140.953883</v>
      </c>
      <c r="F103" t="n">
        <v>103.790936</v>
      </c>
      <c r="G103" t="n">
        <v>57.845447</v>
      </c>
      <c r="H103" t="n">
        <v>56.932587</v>
      </c>
      <c r="I103" t="n">
        <v>468.918008</v>
      </c>
      <c r="J103" t="n">
        <v>473.97462</v>
      </c>
      <c r="K103" t="n">
        <v>450.275889</v>
      </c>
      <c r="L103" t="n">
        <v>711.02964</v>
      </c>
      <c r="M103" t="n">
        <v>711.02964</v>
      </c>
      <c r="N103" t="n">
        <v>711.02964</v>
      </c>
      <c r="O103" t="n">
        <v>34.656914</v>
      </c>
      <c r="P103" t="n">
        <v>19.970973</v>
      </c>
      <c r="Q103" t="n">
        <v>711.02964</v>
      </c>
      <c r="R103" t="n">
        <v>711.02964</v>
      </c>
      <c r="S103" t="n">
        <v>34.656914</v>
      </c>
      <c r="T103" t="n">
        <v>34.656914</v>
      </c>
      <c r="U103" t="n">
        <v>19.970973</v>
      </c>
      <c r="V103" t="n">
        <v>19.970973</v>
      </c>
      <c r="W103" t="n">
        <v>36.368369</v>
      </c>
      <c r="X103" t="n">
        <v>756.8536319999999</v>
      </c>
    </row>
    <row r="104" ht="51" customHeight="1">
      <c r="A104" t="inlineStr">
        <is>
          <t>Clupeiformes</t>
        </is>
      </c>
      <c r="B104" t="n">
        <v>3.24</v>
      </c>
      <c r="C104" t="n">
        <v>173.780083</v>
      </c>
      <c r="D104" s="11" t="inlineStr">
        <is>
          <t>Pelagic fish (≤ 30 cm) | Juvenile large pelagic fish | Pelagic fish (&gt; 30 cm)</t>
        </is>
      </c>
      <c r="E104" t="n">
        <v>140.953883</v>
      </c>
      <c r="F104" t="n">
        <v>94.940534</v>
      </c>
      <c r="G104" t="n">
        <v>52.342971</v>
      </c>
      <c r="H104" t="n">
        <v>87.541141</v>
      </c>
      <c r="I104" t="n">
        <v>1833.804999</v>
      </c>
      <c r="J104" t="n">
        <v>1853.890312</v>
      </c>
      <c r="K104" t="n">
        <v>743.939069</v>
      </c>
      <c r="L104" t="n">
        <v>2045.820774</v>
      </c>
      <c r="M104" t="n">
        <v>2045.820774</v>
      </c>
      <c r="N104" t="n">
        <v>2045.820774</v>
      </c>
      <c r="O104" t="n">
        <v>37.402647</v>
      </c>
      <c r="P104" t="n">
        <v>21.641048</v>
      </c>
      <c r="Q104" t="n">
        <v>2045.820774</v>
      </c>
      <c r="R104" t="n">
        <v>2045.820774</v>
      </c>
      <c r="S104" t="n">
        <v>37.402647</v>
      </c>
      <c r="T104" t="n">
        <v>37.402647</v>
      </c>
      <c r="U104" t="n">
        <v>21.641048</v>
      </c>
      <c r="V104" t="n">
        <v>21.641048</v>
      </c>
      <c r="W104" t="n">
        <v>39.426311</v>
      </c>
      <c r="X104" t="n">
        <v>2139.974971</v>
      </c>
    </row>
    <row r="105" ht="36" customHeight="1">
      <c r="A105" t="inlineStr">
        <is>
          <t>Miichthys miiuy</t>
        </is>
      </c>
      <c r="B105" t="n">
        <v>3.5</v>
      </c>
      <c r="C105" t="n">
        <v>316.227766</v>
      </c>
      <c r="D105" s="11" t="inlineStr">
        <is>
          <t>Juvenile large croakers | Croakers (&gt; 30 cm)</t>
        </is>
      </c>
      <c r="E105" t="n">
        <v>140.953883</v>
      </c>
      <c r="F105" t="n">
        <v>265.549442</v>
      </c>
      <c r="G105" t="n">
        <v>131.19784</v>
      </c>
      <c r="H105" t="n">
        <v>368.043932</v>
      </c>
      <c r="I105" t="n">
        <v>2939.153653</v>
      </c>
      <c r="J105" t="n">
        <v>3022.907916</v>
      </c>
      <c r="K105" t="n">
        <v>1769.605312</v>
      </c>
      <c r="L105" t="n">
        <v>3691.420719</v>
      </c>
      <c r="M105" t="n">
        <v>3691.420719</v>
      </c>
      <c r="N105" t="n">
        <v>3691.420719</v>
      </c>
      <c r="O105" t="n">
        <v>92.784491</v>
      </c>
      <c r="P105" t="n">
        <v>44.082214</v>
      </c>
      <c r="Q105" t="n">
        <v>3691.420719</v>
      </c>
      <c r="R105" t="n">
        <v>3691.420719</v>
      </c>
      <c r="S105" t="n">
        <v>92.784491</v>
      </c>
      <c r="T105" t="n">
        <v>92.784491</v>
      </c>
      <c r="U105" t="n">
        <v>44.082214</v>
      </c>
      <c r="V105" t="n">
        <v>44.082214</v>
      </c>
      <c r="W105" t="n">
        <v>96.91430099999999</v>
      </c>
      <c r="X105" t="n">
        <v>3937.988659</v>
      </c>
    </row>
    <row r="106" ht="36" customHeight="1">
      <c r="A106" t="inlineStr">
        <is>
          <t>Platycephalidae</t>
        </is>
      </c>
      <c r="B106" t="n">
        <v>3.9</v>
      </c>
      <c r="C106" t="n">
        <v>794.3282349999999</v>
      </c>
      <c r="D106" s="11" t="inlineStr">
        <is>
          <t>Juvenile demersal fish (&gt; 30 cm) | Adult demersal fish (&gt; 30 cm)</t>
        </is>
      </c>
      <c r="E106" t="n">
        <v>140.953883</v>
      </c>
      <c r="F106" t="n">
        <v>228.824285</v>
      </c>
      <c r="G106" t="n">
        <v>114.897152</v>
      </c>
      <c r="H106" t="n">
        <v>408.798022</v>
      </c>
      <c r="I106" t="n">
        <v>6590.793316</v>
      </c>
      <c r="J106" t="n">
        <v>7071.146917</v>
      </c>
      <c r="K106" t="n">
        <v>2576.928919</v>
      </c>
      <c r="L106" t="n">
        <v>10677.999207</v>
      </c>
      <c r="M106" t="n">
        <v>10677.999207</v>
      </c>
      <c r="N106" t="n">
        <v>10677.999207</v>
      </c>
      <c r="O106" t="n">
        <v>85.006417</v>
      </c>
      <c r="P106" t="n">
        <v>38.52237</v>
      </c>
      <c r="Q106" t="n">
        <v>10677.999207</v>
      </c>
      <c r="R106" t="n">
        <v>10677.999207</v>
      </c>
      <c r="S106" t="n">
        <v>85.006417</v>
      </c>
      <c r="T106" t="n">
        <v>85.006417</v>
      </c>
      <c r="U106" t="n">
        <v>38.52237</v>
      </c>
      <c r="V106" t="n">
        <v>38.52237</v>
      </c>
      <c r="W106" t="n">
        <v>88.306245</v>
      </c>
      <c r="X106" t="n">
        <v>11509.306401</v>
      </c>
    </row>
    <row r="107" ht="21" customHeight="1">
      <c r="A107" t="inlineStr">
        <is>
          <t>Lutjanidae</t>
        </is>
      </c>
      <c r="B107" t="n">
        <v>4.02</v>
      </c>
      <c r="C107" t="n">
        <v>1047.128548</v>
      </c>
      <c r="D107" s="11" t="inlineStr">
        <is>
          <t>Snappers</t>
        </is>
      </c>
      <c r="E107" t="n">
        <v>140.953883</v>
      </c>
      <c r="F107" t="n">
        <v>554.842266</v>
      </c>
      <c r="G107" t="n">
        <v>250.381754</v>
      </c>
      <c r="H107" t="n">
        <v>650.642591</v>
      </c>
      <c r="I107" t="n">
        <v>3230.237663</v>
      </c>
      <c r="J107" t="n">
        <v>3367.037571</v>
      </c>
      <c r="K107" t="n">
        <v>3198.685692</v>
      </c>
      <c r="L107" t="n">
        <v>4133.4309</v>
      </c>
      <c r="M107" t="n">
        <v>4133.4309</v>
      </c>
      <c r="N107" t="n">
        <v>4133.4309</v>
      </c>
      <c r="O107" t="n">
        <v>205.658598</v>
      </c>
      <c r="P107" t="n">
        <v>91.38801100000001</v>
      </c>
      <c r="Q107" t="n">
        <v>4133.4309</v>
      </c>
      <c r="R107" t="n">
        <v>4133.4309</v>
      </c>
      <c r="S107" t="n">
        <v>205.658598</v>
      </c>
      <c r="T107" t="n">
        <v>205.658598</v>
      </c>
      <c r="U107" t="n">
        <v>91.38801100000001</v>
      </c>
      <c r="V107" t="n">
        <v>91.38801100000001</v>
      </c>
      <c r="W107" t="n">
        <v>216.473302</v>
      </c>
      <c r="X107" t="n">
        <v>4393.486979</v>
      </c>
    </row>
    <row r="108" ht="36" customHeight="1">
      <c r="A108" t="inlineStr">
        <is>
          <t>Chelidonichthys kumu</t>
        </is>
      </c>
      <c r="B108" t="n">
        <v>3.68</v>
      </c>
      <c r="C108" t="n">
        <v>478.630092</v>
      </c>
      <c r="D108" s="11" t="inlineStr">
        <is>
          <t>Juvenile demersal fish (&gt; 30 cm) | Adult demersal fish (&gt; 30 cm)</t>
        </is>
      </c>
      <c r="E108" t="n">
        <v>140.953883</v>
      </c>
      <c r="F108" t="n">
        <v>228.824285</v>
      </c>
      <c r="G108" t="n">
        <v>114.897152</v>
      </c>
      <c r="H108" t="n">
        <v>408.798022</v>
      </c>
      <c r="I108" t="n">
        <v>6590.793316</v>
      </c>
      <c r="J108" t="n">
        <v>7071.146917</v>
      </c>
      <c r="K108" t="n">
        <v>2576.928919</v>
      </c>
      <c r="L108" t="n">
        <v>10677.999207</v>
      </c>
      <c r="M108" t="n">
        <v>10677.999207</v>
      </c>
      <c r="N108" t="n">
        <v>10677.999207</v>
      </c>
      <c r="O108" t="n">
        <v>85.006417</v>
      </c>
      <c r="P108" t="n">
        <v>38.52237</v>
      </c>
      <c r="Q108" t="n">
        <v>10677.999207</v>
      </c>
      <c r="R108" t="n">
        <v>10677.999207</v>
      </c>
      <c r="S108" t="n">
        <v>85.006417</v>
      </c>
      <c r="T108" t="n">
        <v>85.006417</v>
      </c>
      <c r="U108" t="n">
        <v>38.52237</v>
      </c>
      <c r="V108" t="n">
        <v>38.52237</v>
      </c>
      <c r="W108" t="n">
        <v>88.306245</v>
      </c>
      <c r="X108" t="n">
        <v>11509.306401</v>
      </c>
    </row>
    <row r="109" ht="21" customHeight="1">
      <c r="A109" t="inlineStr">
        <is>
          <t>Chirocentrus dorab</t>
        </is>
      </c>
      <c r="B109" t="n">
        <v>4.2</v>
      </c>
      <c r="C109" t="n">
        <v>1584.893192</v>
      </c>
      <c r="D109" s="11" t="inlineStr">
        <is>
          <t>Benthopelagic fish</t>
        </is>
      </c>
      <c r="E109" t="n">
        <v>140.953883</v>
      </c>
      <c r="F109" t="n">
        <v>57.638856</v>
      </c>
      <c r="G109" t="n">
        <v>34.593347</v>
      </c>
      <c r="H109" t="n">
        <v>74.650282</v>
      </c>
      <c r="I109" t="n">
        <v>512.103289</v>
      </c>
      <c r="J109" t="n">
        <v>553.467817</v>
      </c>
      <c r="K109" t="n">
        <v>525.794426</v>
      </c>
      <c r="L109" t="n">
        <v>602.712303</v>
      </c>
      <c r="M109" t="n">
        <v>602.712303</v>
      </c>
      <c r="N109" t="n">
        <v>602.712303</v>
      </c>
      <c r="O109" t="n">
        <v>31.190871</v>
      </c>
      <c r="P109" t="n">
        <v>18.283791</v>
      </c>
      <c r="Q109" t="n">
        <v>602.712303</v>
      </c>
      <c r="R109" t="n">
        <v>602.712303</v>
      </c>
      <c r="S109" t="n">
        <v>31.190871</v>
      </c>
      <c r="T109" t="n">
        <v>31.190871</v>
      </c>
      <c r="U109" t="n">
        <v>18.283791</v>
      </c>
      <c r="V109" t="n">
        <v>18.283791</v>
      </c>
      <c r="W109" t="n">
        <v>32.089433</v>
      </c>
      <c r="X109" t="n">
        <v>622.065443</v>
      </c>
    </row>
    <row r="110" ht="21" customHeight="1">
      <c r="A110" t="inlineStr">
        <is>
          <t>Parapenaeopsis</t>
        </is>
      </c>
      <c r="B110" t="n">
        <v>2.72</v>
      </c>
      <c r="C110" t="n">
        <v>52.480746</v>
      </c>
      <c r="D110" s="11" t="inlineStr">
        <is>
          <t>Shrimps</t>
        </is>
      </c>
      <c r="E110" t="n">
        <v>140.953883</v>
      </c>
      <c r="F110" t="n">
        <v>20.606299</v>
      </c>
      <c r="G110" t="n">
        <v>14.077679</v>
      </c>
      <c r="H110" t="n">
        <v>22.715542</v>
      </c>
      <c r="I110" t="n">
        <v>131.71072</v>
      </c>
      <c r="J110" t="n">
        <v>131.71072</v>
      </c>
      <c r="K110" t="n">
        <v>125.125184</v>
      </c>
      <c r="L110" t="n">
        <v>130.894857</v>
      </c>
      <c r="M110" t="n">
        <v>130.894857</v>
      </c>
      <c r="N110" t="n">
        <v>130.894857</v>
      </c>
      <c r="O110" t="n">
        <v>12.255972</v>
      </c>
      <c r="P110" t="n">
        <v>8.448598</v>
      </c>
      <c r="Q110" t="n">
        <v>130.894857</v>
      </c>
      <c r="R110" t="n">
        <v>130.894857</v>
      </c>
      <c r="S110" t="n">
        <v>12.255972</v>
      </c>
      <c r="T110" t="n">
        <v>12.255972</v>
      </c>
      <c r="U110" t="n">
        <v>8.448598</v>
      </c>
      <c r="V110" t="n">
        <v>8.448598</v>
      </c>
      <c r="W110" t="n">
        <v>12.680707</v>
      </c>
      <c r="X110" t="n">
        <v>136.520004</v>
      </c>
    </row>
    <row r="111" ht="21" customHeight="1">
      <c r="A111" t="inlineStr">
        <is>
          <t>Lutjanus malabaricus</t>
        </is>
      </c>
      <c r="B111" t="n">
        <v>4.48</v>
      </c>
      <c r="C111" t="n">
        <v>3019.95172</v>
      </c>
      <c r="D111" s="11" t="inlineStr">
        <is>
          <t>Snappers</t>
        </is>
      </c>
      <c r="E111" t="n">
        <v>140.953883</v>
      </c>
      <c r="F111" t="n">
        <v>554.842266</v>
      </c>
      <c r="G111" t="n">
        <v>250.381754</v>
      </c>
      <c r="H111" t="n">
        <v>650.642591</v>
      </c>
      <c r="I111" t="n">
        <v>3230.237663</v>
      </c>
      <c r="J111" t="n">
        <v>3367.037571</v>
      </c>
      <c r="K111" t="n">
        <v>3198.685692</v>
      </c>
      <c r="L111" t="n">
        <v>4133.4309</v>
      </c>
      <c r="M111" t="n">
        <v>4133.4309</v>
      </c>
      <c r="N111" t="n">
        <v>4133.4309</v>
      </c>
      <c r="O111" t="n">
        <v>205.658598</v>
      </c>
      <c r="P111" t="n">
        <v>91.38801100000001</v>
      </c>
      <c r="Q111" t="n">
        <v>4133.4309</v>
      </c>
      <c r="R111" t="n">
        <v>4133.4309</v>
      </c>
      <c r="S111" t="n">
        <v>205.658598</v>
      </c>
      <c r="T111" t="n">
        <v>205.658598</v>
      </c>
      <c r="U111" t="n">
        <v>91.38801100000001</v>
      </c>
      <c r="V111" t="n">
        <v>91.38801100000001</v>
      </c>
      <c r="W111" t="n">
        <v>216.473302</v>
      </c>
      <c r="X111" t="n">
        <v>4393.486979</v>
      </c>
    </row>
    <row r="112" ht="21" customHeight="1">
      <c r="A112" t="inlineStr">
        <is>
          <t>Charybdis</t>
        </is>
      </c>
      <c r="B112" t="n">
        <v>2.7</v>
      </c>
      <c r="C112" t="n">
        <v>50.118723</v>
      </c>
      <c r="D112" s="11" t="inlineStr">
        <is>
          <t>Crabs</t>
        </is>
      </c>
      <c r="E112" t="n">
        <v>140.953883</v>
      </c>
      <c r="F112" t="n">
        <v>33.254785</v>
      </c>
      <c r="G112" t="n">
        <v>21.389991</v>
      </c>
      <c r="H112" t="n">
        <v>53.354334</v>
      </c>
      <c r="I112" t="n">
        <v>151.084056</v>
      </c>
      <c r="J112" t="n">
        <v>151.084056</v>
      </c>
      <c r="K112" t="n">
        <v>143.529853</v>
      </c>
      <c r="L112" t="n">
        <v>173.938876</v>
      </c>
      <c r="M112" t="n">
        <v>173.938876</v>
      </c>
      <c r="N112" t="n">
        <v>173.938876</v>
      </c>
      <c r="O112" t="n">
        <v>13.215653</v>
      </c>
      <c r="P112" t="n">
        <v>8.00437</v>
      </c>
      <c r="Q112" t="n">
        <v>173.938876</v>
      </c>
      <c r="R112" t="n">
        <v>173.938876</v>
      </c>
      <c r="S112" t="n">
        <v>13.215653</v>
      </c>
      <c r="T112" t="n">
        <v>13.215653</v>
      </c>
      <c r="U112" t="n">
        <v>8.00437</v>
      </c>
      <c r="V112" t="n">
        <v>8.00437</v>
      </c>
      <c r="W112" t="n">
        <v>13.539814</v>
      </c>
      <c r="X112" t="n">
        <v>184.933079</v>
      </c>
    </row>
    <row r="113" ht="21" customHeight="1">
      <c r="A113" t="inlineStr">
        <is>
          <t>Penaeus japonicus</t>
        </is>
      </c>
      <c r="B113" t="n">
        <v>2.7</v>
      </c>
      <c r="C113" t="n">
        <v>50.118723</v>
      </c>
      <c r="D113" s="11" t="inlineStr">
        <is>
          <t>Shrimps</t>
        </is>
      </c>
      <c r="E113" t="n">
        <v>140.953883</v>
      </c>
      <c r="F113" t="n">
        <v>20.606299</v>
      </c>
      <c r="G113" t="n">
        <v>14.077679</v>
      </c>
      <c r="H113" t="n">
        <v>22.715542</v>
      </c>
      <c r="I113" t="n">
        <v>131.71072</v>
      </c>
      <c r="J113" t="n">
        <v>131.71072</v>
      </c>
      <c r="K113" t="n">
        <v>125.125184</v>
      </c>
      <c r="L113" t="n">
        <v>130.894857</v>
      </c>
      <c r="M113" t="n">
        <v>130.894857</v>
      </c>
      <c r="N113" t="n">
        <v>130.894857</v>
      </c>
      <c r="O113" t="n">
        <v>12.255972</v>
      </c>
      <c r="P113" t="n">
        <v>8.448598</v>
      </c>
      <c r="Q113" t="n">
        <v>130.894857</v>
      </c>
      <c r="R113" t="n">
        <v>130.894857</v>
      </c>
      <c r="S113" t="n">
        <v>12.255972</v>
      </c>
      <c r="T113" t="n">
        <v>12.255972</v>
      </c>
      <c r="U113" t="n">
        <v>8.448598</v>
      </c>
      <c r="V113" t="n">
        <v>8.448598</v>
      </c>
      <c r="W113" t="n">
        <v>12.680707</v>
      </c>
      <c r="X113" t="n">
        <v>136.520004</v>
      </c>
    </row>
    <row r="114" ht="36" customHeight="1">
      <c r="A114" t="inlineStr">
        <is>
          <t>Caesionidae</t>
        </is>
      </c>
      <c r="B114" t="n">
        <v>3.39</v>
      </c>
      <c r="C114" t="n">
        <v>245.470892</v>
      </c>
      <c r="D114" s="11" t="inlineStr">
        <is>
          <t>Juvenile demersal fish (&gt; 30 cm) | Adult demersal fish (&gt; 30 cm)</t>
        </is>
      </c>
      <c r="E114" t="n">
        <v>140.953883</v>
      </c>
      <c r="F114" t="n">
        <v>228.824285</v>
      </c>
      <c r="G114" t="n">
        <v>114.897152</v>
      </c>
      <c r="H114" t="n">
        <v>408.798022</v>
      </c>
      <c r="I114" t="n">
        <v>6590.793316</v>
      </c>
      <c r="J114" t="n">
        <v>7071.146917</v>
      </c>
      <c r="K114" t="n">
        <v>2576.928919</v>
      </c>
      <c r="L114" t="n">
        <v>10677.999207</v>
      </c>
      <c r="M114" t="n">
        <v>10677.999207</v>
      </c>
      <c r="N114" t="n">
        <v>10677.999207</v>
      </c>
      <c r="O114" t="n">
        <v>85.006417</v>
      </c>
      <c r="P114" t="n">
        <v>38.52237</v>
      </c>
      <c r="Q114" t="n">
        <v>10677.999207</v>
      </c>
      <c r="R114" t="n">
        <v>10677.999207</v>
      </c>
      <c r="S114" t="n">
        <v>85.006417</v>
      </c>
      <c r="T114" t="n">
        <v>85.006417</v>
      </c>
      <c r="U114" t="n">
        <v>38.52237</v>
      </c>
      <c r="V114" t="n">
        <v>38.52237</v>
      </c>
      <c r="W114" t="n">
        <v>88.306245</v>
      </c>
      <c r="X114" t="n">
        <v>11509.306401</v>
      </c>
    </row>
    <row r="115" ht="36" customHeight="1">
      <c r="A115" t="inlineStr">
        <is>
          <t>Trichiurus</t>
        </is>
      </c>
      <c r="B115" t="n">
        <v>4.42</v>
      </c>
      <c r="C115" t="n">
        <v>2630.267992</v>
      </c>
      <c r="D115" s="11" t="inlineStr">
        <is>
          <t>Juvenile Hairtail (trichiurids) | Adult hairtail (trichiurids)</t>
        </is>
      </c>
      <c r="E115" t="n">
        <v>140.953883</v>
      </c>
      <c r="F115" t="n">
        <v>759.29485</v>
      </c>
      <c r="G115" t="n">
        <v>329.344068</v>
      </c>
      <c r="H115" t="n">
        <v>902.04389</v>
      </c>
      <c r="I115" t="n">
        <v>15387.334214</v>
      </c>
      <c r="J115" t="n">
        <v>16058.002117</v>
      </c>
      <c r="K115" t="n">
        <v>5258.842171</v>
      </c>
      <c r="L115" t="n">
        <v>26383.951313</v>
      </c>
      <c r="M115" t="n">
        <v>26383.951313</v>
      </c>
      <c r="N115" t="n">
        <v>26383.951313</v>
      </c>
      <c r="O115" t="n">
        <v>166.364336</v>
      </c>
      <c r="P115" t="n">
        <v>71.691328</v>
      </c>
      <c r="Q115" t="n">
        <v>26383.951313</v>
      </c>
      <c r="R115" t="n">
        <v>26383.951313</v>
      </c>
      <c r="S115" t="n">
        <v>166.364336</v>
      </c>
      <c r="T115" t="n">
        <v>166.364336</v>
      </c>
      <c r="U115" t="n">
        <v>71.691328</v>
      </c>
      <c r="V115" t="n">
        <v>71.691328</v>
      </c>
      <c r="W115" t="n">
        <v>176.786743</v>
      </c>
      <c r="X115" t="n">
        <v>28905.373115</v>
      </c>
    </row>
    <row r="116" ht="36" customHeight="1">
      <c r="A116" t="inlineStr">
        <is>
          <t>Sphyraena</t>
        </is>
      </c>
      <c r="B116" t="n">
        <v>4.4</v>
      </c>
      <c r="C116" t="n">
        <v>2511.886432</v>
      </c>
      <c r="D116" s="11" t="inlineStr">
        <is>
          <t>Juvenile large pelagic fish | Pelagic fish (&gt; 30 cm)</t>
        </is>
      </c>
      <c r="E116" t="n">
        <v>140.953883</v>
      </c>
      <c r="F116" t="n">
        <v>200.641254</v>
      </c>
      <c r="G116" t="n">
        <v>102.228748</v>
      </c>
      <c r="H116" t="n">
        <v>215.010584</v>
      </c>
      <c r="I116" t="n">
        <v>6244.222521</v>
      </c>
      <c r="J116" t="n">
        <v>6325.914048</v>
      </c>
      <c r="K116" t="n">
        <v>1872.204427</v>
      </c>
      <c r="L116" t="n">
        <v>7112.982475</v>
      </c>
      <c r="M116" t="n">
        <v>7112.982475</v>
      </c>
      <c r="N116" t="n">
        <v>7112.982475</v>
      </c>
      <c r="O116" t="n">
        <v>87.969483</v>
      </c>
      <c r="P116" t="n">
        <v>46.580547</v>
      </c>
      <c r="Q116" t="n">
        <v>7112.982475</v>
      </c>
      <c r="R116" t="n">
        <v>7112.982475</v>
      </c>
      <c r="S116" t="n">
        <v>87.969483</v>
      </c>
      <c r="T116" t="n">
        <v>87.969483</v>
      </c>
      <c r="U116" t="n">
        <v>46.580547</v>
      </c>
      <c r="V116" t="n">
        <v>46.580547</v>
      </c>
      <c r="W116" t="n">
        <v>93.060855</v>
      </c>
      <c r="X116" t="n">
        <v>7459.131892</v>
      </c>
    </row>
    <row r="117" ht="21" customHeight="1">
      <c r="A117" t="inlineStr">
        <is>
          <t>Metapenaeus</t>
        </is>
      </c>
      <c r="B117" t="n">
        <v>2.7</v>
      </c>
      <c r="C117" t="n">
        <v>50.118723</v>
      </c>
      <c r="D117" s="11" t="inlineStr">
        <is>
          <t>Shrimps</t>
        </is>
      </c>
      <c r="E117" t="n">
        <v>140.953883</v>
      </c>
      <c r="F117" t="n">
        <v>20.606299</v>
      </c>
      <c r="G117" t="n">
        <v>14.077679</v>
      </c>
      <c r="H117" t="n">
        <v>22.715542</v>
      </c>
      <c r="I117" t="n">
        <v>131.71072</v>
      </c>
      <c r="J117" t="n">
        <v>131.71072</v>
      </c>
      <c r="K117" t="n">
        <v>125.125184</v>
      </c>
      <c r="L117" t="n">
        <v>130.894857</v>
      </c>
      <c r="M117" t="n">
        <v>130.894857</v>
      </c>
      <c r="N117" t="n">
        <v>130.894857</v>
      </c>
      <c r="O117" t="n">
        <v>12.255972</v>
      </c>
      <c r="P117" t="n">
        <v>8.448598</v>
      </c>
      <c r="Q117" t="n">
        <v>130.894857</v>
      </c>
      <c r="R117" t="n">
        <v>130.894857</v>
      </c>
      <c r="S117" t="n">
        <v>12.255972</v>
      </c>
      <c r="T117" t="n">
        <v>12.255972</v>
      </c>
      <c r="U117" t="n">
        <v>8.448598</v>
      </c>
      <c r="V117" t="n">
        <v>8.448598</v>
      </c>
      <c r="W117" t="n">
        <v>12.680707</v>
      </c>
      <c r="X117" t="n">
        <v>136.520004</v>
      </c>
    </row>
    <row r="118" ht="21" customHeight="1">
      <c r="A118" t="inlineStr">
        <is>
          <t>Pennahia</t>
        </is>
      </c>
      <c r="B118" t="n">
        <v>3.73</v>
      </c>
      <c r="C118" t="n">
        <v>537.031796</v>
      </c>
      <c r="D118" s="11" t="inlineStr">
        <is>
          <t>Croakers (≤ 30 cm)</t>
        </is>
      </c>
      <c r="E118" t="n">
        <v>140.953883</v>
      </c>
      <c r="F118" t="n">
        <v>201.414719</v>
      </c>
      <c r="G118" t="n">
        <v>103.26244</v>
      </c>
      <c r="H118" t="n">
        <v>246.307264</v>
      </c>
      <c r="I118" t="n">
        <v>1402.335676</v>
      </c>
      <c r="J118" t="n">
        <v>1449.344811</v>
      </c>
      <c r="K118" t="n">
        <v>1136.286332</v>
      </c>
      <c r="L118" t="n">
        <v>1692.571887</v>
      </c>
      <c r="M118" t="n">
        <v>1692.571887</v>
      </c>
      <c r="N118" t="n">
        <v>1692.571887</v>
      </c>
      <c r="O118" t="n">
        <v>68.15794</v>
      </c>
      <c r="P118" t="n">
        <v>34.55496</v>
      </c>
      <c r="Q118" t="n">
        <v>1692.571887</v>
      </c>
      <c r="R118" t="n">
        <v>1692.571887</v>
      </c>
      <c r="S118" t="n">
        <v>68.15794</v>
      </c>
      <c r="T118" t="n">
        <v>68.15794</v>
      </c>
      <c r="U118" t="n">
        <v>34.55496</v>
      </c>
      <c r="V118" t="n">
        <v>34.55496</v>
      </c>
      <c r="W118" t="n">
        <v>71.462779</v>
      </c>
      <c r="X118" t="n">
        <v>1758.686512</v>
      </c>
    </row>
    <row r="119" ht="36" customHeight="1">
      <c r="A119" t="inlineStr">
        <is>
          <t>Selar crumenophthalmus</t>
        </is>
      </c>
      <c r="B119" t="n">
        <v>3.81</v>
      </c>
      <c r="C119" t="n">
        <v>645.654229</v>
      </c>
      <c r="D119" s="11" t="inlineStr">
        <is>
          <t>Juvenile large pelagic fish | Pelagic fish (&gt; 30 cm)</t>
        </is>
      </c>
      <c r="E119" t="n">
        <v>140.953883</v>
      </c>
      <c r="F119" t="n">
        <v>200.641254</v>
      </c>
      <c r="G119" t="n">
        <v>102.228748</v>
      </c>
      <c r="H119" t="n">
        <v>215.010584</v>
      </c>
      <c r="I119" t="n">
        <v>6244.222521</v>
      </c>
      <c r="J119" t="n">
        <v>6325.914048</v>
      </c>
      <c r="K119" t="n">
        <v>1872.204427</v>
      </c>
      <c r="L119" t="n">
        <v>7112.982475</v>
      </c>
      <c r="M119" t="n">
        <v>7112.982475</v>
      </c>
      <c r="N119" t="n">
        <v>7112.982475</v>
      </c>
      <c r="O119" t="n">
        <v>87.969483</v>
      </c>
      <c r="P119" t="n">
        <v>46.580547</v>
      </c>
      <c r="Q119" t="n">
        <v>7112.982475</v>
      </c>
      <c r="R119" t="n">
        <v>7112.982475</v>
      </c>
      <c r="S119" t="n">
        <v>87.969483</v>
      </c>
      <c r="T119" t="n">
        <v>87.969483</v>
      </c>
      <c r="U119" t="n">
        <v>46.580547</v>
      </c>
      <c r="V119" t="n">
        <v>46.580547</v>
      </c>
      <c r="W119" t="n">
        <v>93.060855</v>
      </c>
      <c r="X119" t="n">
        <v>7459.131892</v>
      </c>
    </row>
    <row r="120" ht="21" customHeight="1">
      <c r="A120" t="inlineStr">
        <is>
          <t>Penaeus</t>
        </is>
      </c>
      <c r="B120" t="n">
        <v>2.7</v>
      </c>
      <c r="C120" t="n">
        <v>50.118723</v>
      </c>
      <c r="D120" s="11" t="inlineStr">
        <is>
          <t>Shrimps</t>
        </is>
      </c>
      <c r="E120" t="n">
        <v>140.953883</v>
      </c>
      <c r="F120" t="n">
        <v>20.606299</v>
      </c>
      <c r="G120" t="n">
        <v>14.077679</v>
      </c>
      <c r="H120" t="n">
        <v>22.715542</v>
      </c>
      <c r="I120" t="n">
        <v>131.71072</v>
      </c>
      <c r="J120" t="n">
        <v>131.71072</v>
      </c>
      <c r="K120" t="n">
        <v>125.125184</v>
      </c>
      <c r="L120" t="n">
        <v>130.894857</v>
      </c>
      <c r="M120" t="n">
        <v>130.894857</v>
      </c>
      <c r="N120" t="n">
        <v>130.894857</v>
      </c>
      <c r="O120" t="n">
        <v>12.255972</v>
      </c>
      <c r="P120" t="n">
        <v>8.448598</v>
      </c>
      <c r="Q120" t="n">
        <v>130.894857</v>
      </c>
      <c r="R120" t="n">
        <v>130.894857</v>
      </c>
      <c r="S120" t="n">
        <v>12.255972</v>
      </c>
      <c r="T120" t="n">
        <v>12.255972</v>
      </c>
      <c r="U120" t="n">
        <v>8.448598</v>
      </c>
      <c r="V120" t="n">
        <v>8.448598</v>
      </c>
      <c r="W120" t="n">
        <v>12.680707</v>
      </c>
      <c r="X120" t="n">
        <v>136.520004</v>
      </c>
    </row>
    <row r="121" ht="21" customHeight="1">
      <c r="A121" t="inlineStr">
        <is>
          <t>Himantura</t>
        </is>
      </c>
      <c r="B121" t="n">
        <v>3.85</v>
      </c>
      <c r="C121" t="n">
        <v>707.945784</v>
      </c>
      <c r="D121" s="11" t="inlineStr">
        <is>
          <t>Demersal sharks and rays</t>
        </is>
      </c>
      <c r="E121" t="n">
        <v>140.953883</v>
      </c>
      <c r="F121" t="n">
        <v>308.68601</v>
      </c>
      <c r="G121" t="n">
        <v>149.974663</v>
      </c>
      <c r="H121" t="n">
        <v>602.366804</v>
      </c>
      <c r="I121" t="n">
        <v>10706.101486</v>
      </c>
      <c r="J121" t="n">
        <v>10781.622707</v>
      </c>
      <c r="K121" t="n">
        <v>3924.510665</v>
      </c>
      <c r="L121" t="n">
        <v>18846.946222</v>
      </c>
      <c r="M121" t="n">
        <v>18846.946222</v>
      </c>
      <c r="N121" t="n">
        <v>18846.946222</v>
      </c>
      <c r="O121" t="n">
        <v>119.185901</v>
      </c>
      <c r="P121" t="n">
        <v>52.155741</v>
      </c>
      <c r="Q121" t="n">
        <v>18846.946222</v>
      </c>
      <c r="R121" t="n">
        <v>18846.946222</v>
      </c>
      <c r="S121" t="n">
        <v>119.185901</v>
      </c>
      <c r="T121" t="n">
        <v>119.185901</v>
      </c>
      <c r="U121" t="n">
        <v>52.155741</v>
      </c>
      <c r="V121" t="n">
        <v>52.155741</v>
      </c>
      <c r="W121" t="n">
        <v>124.506314</v>
      </c>
      <c r="X121" t="n">
        <v>20404.471037</v>
      </c>
    </row>
    <row r="122" ht="21" customHeight="1">
      <c r="A122" t="inlineStr">
        <is>
          <t>Menidae</t>
        </is>
      </c>
      <c r="B122" t="n">
        <v>3.45</v>
      </c>
      <c r="C122" t="n">
        <v>281.838293</v>
      </c>
      <c r="D122" s="11" t="inlineStr">
        <is>
          <t>Benthopelagic fish</t>
        </is>
      </c>
      <c r="E122" t="n">
        <v>140.953883</v>
      </c>
      <c r="F122" t="n">
        <v>57.638856</v>
      </c>
      <c r="G122" t="n">
        <v>34.593347</v>
      </c>
      <c r="H122" t="n">
        <v>74.650282</v>
      </c>
      <c r="I122" t="n">
        <v>512.103289</v>
      </c>
      <c r="J122" t="n">
        <v>553.467817</v>
      </c>
      <c r="K122" t="n">
        <v>525.794426</v>
      </c>
      <c r="L122" t="n">
        <v>602.712303</v>
      </c>
      <c r="M122" t="n">
        <v>602.712303</v>
      </c>
      <c r="N122" t="n">
        <v>602.712303</v>
      </c>
      <c r="O122" t="n">
        <v>31.190871</v>
      </c>
      <c r="P122" t="n">
        <v>18.283791</v>
      </c>
      <c r="Q122" t="n">
        <v>602.712303</v>
      </c>
      <c r="R122" t="n">
        <v>602.712303</v>
      </c>
      <c r="S122" t="n">
        <v>31.190871</v>
      </c>
      <c r="T122" t="n">
        <v>31.190871</v>
      </c>
      <c r="U122" t="n">
        <v>18.283791</v>
      </c>
      <c r="V122" t="n">
        <v>18.283791</v>
      </c>
      <c r="W122" t="n">
        <v>32.089433</v>
      </c>
      <c r="X122" t="n">
        <v>622.065443</v>
      </c>
    </row>
    <row r="123" ht="21" customHeight="1">
      <c r="A123" t="inlineStr">
        <is>
          <t>Scolopsis</t>
        </is>
      </c>
      <c r="B123" t="n">
        <v>3.3</v>
      </c>
      <c r="C123" t="n">
        <v>199.526231</v>
      </c>
      <c r="D123" s="11" t="inlineStr">
        <is>
          <t>Threadfin bream (nemipterids)</t>
        </is>
      </c>
      <c r="E123" t="n">
        <v>140.953883</v>
      </c>
      <c r="F123" t="n">
        <v>158.552335</v>
      </c>
      <c r="G123" t="n">
        <v>83.774152</v>
      </c>
      <c r="H123" t="n">
        <v>197.082776</v>
      </c>
      <c r="I123" t="n">
        <v>3502.459341</v>
      </c>
      <c r="J123" t="n">
        <v>3796.144916</v>
      </c>
      <c r="K123" t="n">
        <v>1780.391965</v>
      </c>
      <c r="L123" t="n">
        <v>4710.704014</v>
      </c>
      <c r="M123" t="n">
        <v>4710.704014</v>
      </c>
      <c r="N123" t="n">
        <v>4710.704014</v>
      </c>
      <c r="O123" t="n">
        <v>105.183965</v>
      </c>
      <c r="P123" t="n">
        <v>52.828865</v>
      </c>
      <c r="Q123" t="n">
        <v>4710.704014</v>
      </c>
      <c r="R123" t="n">
        <v>4710.704014</v>
      </c>
      <c r="S123" t="n">
        <v>105.183965</v>
      </c>
      <c r="T123" t="n">
        <v>105.183965</v>
      </c>
      <c r="U123" t="n">
        <v>52.828865</v>
      </c>
      <c r="V123" t="n">
        <v>52.828865</v>
      </c>
      <c r="W123" t="n">
        <v>109.611209</v>
      </c>
      <c r="X123" t="n">
        <v>5115.038689</v>
      </c>
    </row>
    <row r="124" ht="36" customHeight="1">
      <c r="A124" t="inlineStr">
        <is>
          <t>Siganus</t>
        </is>
      </c>
      <c r="B124" t="n">
        <v>2.11</v>
      </c>
      <c r="C124" t="n">
        <v>12.882496</v>
      </c>
      <c r="D124" s="11" t="inlineStr">
        <is>
          <t>Juvenile demersal fish (&gt; 30 cm) | Adult demersal fish (&gt; 30 cm)</t>
        </is>
      </c>
      <c r="E124" t="n">
        <v>140.953883</v>
      </c>
      <c r="F124" t="n">
        <v>228.824285</v>
      </c>
      <c r="G124" t="n">
        <v>114.897152</v>
      </c>
      <c r="H124" t="n">
        <v>408.798022</v>
      </c>
      <c r="I124" t="n">
        <v>6590.793316</v>
      </c>
      <c r="J124" t="n">
        <v>7071.146917</v>
      </c>
      <c r="K124" t="n">
        <v>2576.928919</v>
      </c>
      <c r="L124" t="n">
        <v>10677.999207</v>
      </c>
      <c r="M124" t="n">
        <v>10677.999207</v>
      </c>
      <c r="N124" t="n">
        <v>10677.999207</v>
      </c>
      <c r="O124" t="n">
        <v>85.006417</v>
      </c>
      <c r="P124" t="n">
        <v>38.52237</v>
      </c>
      <c r="Q124" t="n">
        <v>10677.999207</v>
      </c>
      <c r="R124" t="n">
        <v>10677.999207</v>
      </c>
      <c r="S124" t="n">
        <v>85.006417</v>
      </c>
      <c r="T124" t="n">
        <v>85.006417</v>
      </c>
      <c r="U124" t="n">
        <v>38.52237</v>
      </c>
      <c r="V124" t="n">
        <v>38.52237</v>
      </c>
      <c r="W124" t="n">
        <v>88.306245</v>
      </c>
      <c r="X124" t="n">
        <v>11509.306401</v>
      </c>
    </row>
    <row r="125" ht="36" customHeight="1">
      <c r="A125" t="inlineStr">
        <is>
          <t>Pagrus auratus</t>
        </is>
      </c>
      <c r="B125" t="n">
        <v>3.59</v>
      </c>
      <c r="C125" t="n">
        <v>389.045145</v>
      </c>
      <c r="D125" s="11" t="inlineStr">
        <is>
          <t>Juvenile demersal fish (&gt; 30 cm) | Adult demersal fish (&gt; 30 cm)</t>
        </is>
      </c>
      <c r="E125" t="n">
        <v>140.953883</v>
      </c>
      <c r="F125" t="n">
        <v>228.824285</v>
      </c>
      <c r="G125" t="n">
        <v>114.897152</v>
      </c>
      <c r="H125" t="n">
        <v>408.798022</v>
      </c>
      <c r="I125" t="n">
        <v>6590.793316</v>
      </c>
      <c r="J125" t="n">
        <v>7071.146917</v>
      </c>
      <c r="K125" t="n">
        <v>2576.928919</v>
      </c>
      <c r="L125" t="n">
        <v>10677.999207</v>
      </c>
      <c r="M125" t="n">
        <v>10677.999207</v>
      </c>
      <c r="N125" t="n">
        <v>10677.999207</v>
      </c>
      <c r="O125" t="n">
        <v>85.006417</v>
      </c>
      <c r="P125" t="n">
        <v>38.52237</v>
      </c>
      <c r="Q125" t="n">
        <v>10677.999207</v>
      </c>
      <c r="R125" t="n">
        <v>10677.999207</v>
      </c>
      <c r="S125" t="n">
        <v>85.006417</v>
      </c>
      <c r="T125" t="n">
        <v>85.006417</v>
      </c>
      <c r="U125" t="n">
        <v>38.52237</v>
      </c>
      <c r="V125" t="n">
        <v>38.52237</v>
      </c>
      <c r="W125" t="n">
        <v>88.306245</v>
      </c>
      <c r="X125" t="n">
        <v>11509.306401</v>
      </c>
    </row>
    <row r="126" ht="21" customHeight="1">
      <c r="A126" t="inlineStr">
        <is>
          <t>Nemipterus hexodon</t>
        </is>
      </c>
      <c r="B126" t="n">
        <v>3.93</v>
      </c>
      <c r="C126" t="n">
        <v>851.1380380000001</v>
      </c>
      <c r="D126" s="11" t="inlineStr">
        <is>
          <t>Threadfin bream (nemipterids)</t>
        </is>
      </c>
      <c r="E126" t="n">
        <v>140.953883</v>
      </c>
      <c r="F126" t="n">
        <v>158.552335</v>
      </c>
      <c r="G126" t="n">
        <v>83.774152</v>
      </c>
      <c r="H126" t="n">
        <v>197.082776</v>
      </c>
      <c r="I126" t="n">
        <v>3502.459341</v>
      </c>
      <c r="J126" t="n">
        <v>3796.144916</v>
      </c>
      <c r="K126" t="n">
        <v>1780.391965</v>
      </c>
      <c r="L126" t="n">
        <v>4710.704014</v>
      </c>
      <c r="M126" t="n">
        <v>4710.704014</v>
      </c>
      <c r="N126" t="n">
        <v>4710.704014</v>
      </c>
      <c r="O126" t="n">
        <v>105.183965</v>
      </c>
      <c r="P126" t="n">
        <v>52.828865</v>
      </c>
      <c r="Q126" t="n">
        <v>4710.704014</v>
      </c>
      <c r="R126" t="n">
        <v>4710.704014</v>
      </c>
      <c r="S126" t="n">
        <v>105.183965</v>
      </c>
      <c r="T126" t="n">
        <v>105.183965</v>
      </c>
      <c r="U126" t="n">
        <v>52.828865</v>
      </c>
      <c r="V126" t="n">
        <v>52.828865</v>
      </c>
      <c r="W126" t="n">
        <v>109.611209</v>
      </c>
      <c r="X126" t="n">
        <v>5115.038689</v>
      </c>
    </row>
    <row r="127" ht="21" customHeight="1">
      <c r="A127" t="inlineStr">
        <is>
          <t>Penaeus penicillatus</t>
        </is>
      </c>
      <c r="B127" t="n">
        <v>2.7</v>
      </c>
      <c r="C127" t="n">
        <v>50.118723</v>
      </c>
      <c r="D127" s="11" t="inlineStr">
        <is>
          <t>Shrimps</t>
        </is>
      </c>
      <c r="E127" t="n">
        <v>140.953883</v>
      </c>
      <c r="F127" t="n">
        <v>20.606299</v>
      </c>
      <c r="G127" t="n">
        <v>14.077679</v>
      </c>
      <c r="H127" t="n">
        <v>22.715542</v>
      </c>
      <c r="I127" t="n">
        <v>131.71072</v>
      </c>
      <c r="J127" t="n">
        <v>131.71072</v>
      </c>
      <c r="K127" t="n">
        <v>125.125184</v>
      </c>
      <c r="L127" t="n">
        <v>130.894857</v>
      </c>
      <c r="M127" t="n">
        <v>130.894857</v>
      </c>
      <c r="N127" t="n">
        <v>130.894857</v>
      </c>
      <c r="O127" t="n">
        <v>12.255972</v>
      </c>
      <c r="P127" t="n">
        <v>8.448598</v>
      </c>
      <c r="Q127" t="n">
        <v>130.894857</v>
      </c>
      <c r="R127" t="n">
        <v>130.894857</v>
      </c>
      <c r="S127" t="n">
        <v>12.255972</v>
      </c>
      <c r="T127" t="n">
        <v>12.255972</v>
      </c>
      <c r="U127" t="n">
        <v>8.448598</v>
      </c>
      <c r="V127" t="n">
        <v>8.448598</v>
      </c>
      <c r="W127" t="n">
        <v>12.680707</v>
      </c>
      <c r="X127" t="n">
        <v>136.520004</v>
      </c>
    </row>
    <row r="128" ht="36" customHeight="1">
      <c r="A128" t="inlineStr">
        <is>
          <t>Thunnus obesus</t>
        </is>
      </c>
      <c r="B128" t="n">
        <v>4.49</v>
      </c>
      <c r="C128" t="n">
        <v>3090.295433</v>
      </c>
      <c r="D128" s="11" t="inlineStr">
        <is>
          <t>Juvenile large pelagic fish | Pelagic fish (&gt; 30 cm)</t>
        </is>
      </c>
      <c r="E128" t="n">
        <v>140.953883</v>
      </c>
      <c r="F128" t="n">
        <v>200.641254</v>
      </c>
      <c r="G128" t="n">
        <v>102.228748</v>
      </c>
      <c r="H128" t="n">
        <v>215.010584</v>
      </c>
      <c r="I128" t="n">
        <v>6244.222521</v>
      </c>
      <c r="J128" t="n">
        <v>6325.914048</v>
      </c>
      <c r="K128" t="n">
        <v>1872.204427</v>
      </c>
      <c r="L128" t="n">
        <v>7112.982475</v>
      </c>
      <c r="M128" t="n">
        <v>7112.982475</v>
      </c>
      <c r="N128" t="n">
        <v>7112.982475</v>
      </c>
      <c r="O128" t="n">
        <v>87.969483</v>
      </c>
      <c r="P128" t="n">
        <v>46.580547</v>
      </c>
      <c r="Q128" t="n">
        <v>7112.982475</v>
      </c>
      <c r="R128" t="n">
        <v>7112.982475</v>
      </c>
      <c r="S128" t="n">
        <v>87.969483</v>
      </c>
      <c r="T128" t="n">
        <v>87.969483</v>
      </c>
      <c r="U128" t="n">
        <v>46.580547</v>
      </c>
      <c r="V128" t="n">
        <v>46.580547</v>
      </c>
      <c r="W128" t="n">
        <v>93.060855</v>
      </c>
      <c r="X128" t="n">
        <v>7459.131892</v>
      </c>
    </row>
    <row r="129" ht="36" customHeight="1">
      <c r="A129" t="inlineStr">
        <is>
          <t>Muraenesocidae</t>
        </is>
      </c>
      <c r="B129" t="n">
        <v>3.9</v>
      </c>
      <c r="C129" t="n">
        <v>794.3282349999999</v>
      </c>
      <c r="D129" s="11" t="inlineStr">
        <is>
          <t>Juvenile demersal fish (&gt; 30 cm) | Adult demersal fish (&gt; 30 cm)</t>
        </is>
      </c>
      <c r="E129" t="n">
        <v>140.953883</v>
      </c>
      <c r="F129" t="n">
        <v>228.824285</v>
      </c>
      <c r="G129" t="n">
        <v>114.897152</v>
      </c>
      <c r="H129" t="n">
        <v>408.798022</v>
      </c>
      <c r="I129" t="n">
        <v>6590.793316</v>
      </c>
      <c r="J129" t="n">
        <v>7071.146917</v>
      </c>
      <c r="K129" t="n">
        <v>2576.928919</v>
      </c>
      <c r="L129" t="n">
        <v>10677.999207</v>
      </c>
      <c r="M129" t="n">
        <v>10677.999207</v>
      </c>
      <c r="N129" t="n">
        <v>10677.999207</v>
      </c>
      <c r="O129" t="n">
        <v>85.006417</v>
      </c>
      <c r="P129" t="n">
        <v>38.52237</v>
      </c>
      <c r="Q129" t="n">
        <v>10677.999207</v>
      </c>
      <c r="R129" t="n">
        <v>10677.999207</v>
      </c>
      <c r="S129" t="n">
        <v>85.006417</v>
      </c>
      <c r="T129" t="n">
        <v>85.006417</v>
      </c>
      <c r="U129" t="n">
        <v>38.52237</v>
      </c>
      <c r="V129" t="n">
        <v>38.52237</v>
      </c>
      <c r="W129" t="n">
        <v>88.306245</v>
      </c>
      <c r="X129" t="n">
        <v>11509.306401</v>
      </c>
    </row>
    <row r="130" ht="21" customHeight="1">
      <c r="A130" t="inlineStr">
        <is>
          <t>Dussumieria acuta</t>
        </is>
      </c>
      <c r="B130" t="n">
        <v>3.4</v>
      </c>
      <c r="C130" t="n">
        <v>251.188643</v>
      </c>
      <c r="D130" s="11" t="inlineStr">
        <is>
          <t>Pelagic fish (≤ 30 cm)</t>
        </is>
      </c>
      <c r="E130" t="n">
        <v>140.953883</v>
      </c>
      <c r="F130" t="n">
        <v>60.479203</v>
      </c>
      <c r="G130" t="n">
        <v>36.07884</v>
      </c>
      <c r="H130" t="n">
        <v>45.98261</v>
      </c>
      <c r="I130" t="n">
        <v>395.888053</v>
      </c>
      <c r="J130" t="n">
        <v>395.888053</v>
      </c>
      <c r="K130" t="n">
        <v>376.09365</v>
      </c>
      <c r="L130" t="n">
        <v>393.787233</v>
      </c>
      <c r="M130" t="n">
        <v>393.787233</v>
      </c>
      <c r="N130" t="n">
        <v>393.787233</v>
      </c>
      <c r="O130" t="n">
        <v>20.916473</v>
      </c>
      <c r="P130" t="n">
        <v>13.510088</v>
      </c>
      <c r="Q130" t="n">
        <v>393.787233</v>
      </c>
      <c r="R130" t="n">
        <v>393.787233</v>
      </c>
      <c r="S130" t="n">
        <v>20.916473</v>
      </c>
      <c r="T130" t="n">
        <v>20.916473</v>
      </c>
      <c r="U130" t="n">
        <v>13.510088</v>
      </c>
      <c r="V130" t="n">
        <v>13.510088</v>
      </c>
      <c r="W130" t="n">
        <v>21.939981</v>
      </c>
      <c r="X130" t="n">
        <v>405.784084</v>
      </c>
    </row>
    <row r="131" ht="21" customHeight="1">
      <c r="A131" t="inlineStr">
        <is>
          <t>Pennahia argentata</t>
        </is>
      </c>
      <c r="B131" t="n">
        <v>3.47</v>
      </c>
      <c r="C131" t="n">
        <v>295.120923</v>
      </c>
      <c r="D131" s="11" t="inlineStr">
        <is>
          <t>Croakers (≤ 30 cm)</t>
        </is>
      </c>
      <c r="E131" t="n">
        <v>140.953883</v>
      </c>
      <c r="F131" t="n">
        <v>201.414719</v>
      </c>
      <c r="G131" t="n">
        <v>103.26244</v>
      </c>
      <c r="H131" t="n">
        <v>246.307264</v>
      </c>
      <c r="I131" t="n">
        <v>1402.335676</v>
      </c>
      <c r="J131" t="n">
        <v>1449.344811</v>
      </c>
      <c r="K131" t="n">
        <v>1136.286332</v>
      </c>
      <c r="L131" t="n">
        <v>1692.571887</v>
      </c>
      <c r="M131" t="n">
        <v>1692.571887</v>
      </c>
      <c r="N131" t="n">
        <v>1692.571887</v>
      </c>
      <c r="O131" t="n">
        <v>68.15794</v>
      </c>
      <c r="P131" t="n">
        <v>34.55496</v>
      </c>
      <c r="Q131" t="n">
        <v>1692.571887</v>
      </c>
      <c r="R131" t="n">
        <v>1692.571887</v>
      </c>
      <c r="S131" t="n">
        <v>68.15794</v>
      </c>
      <c r="T131" t="n">
        <v>68.15794</v>
      </c>
      <c r="U131" t="n">
        <v>34.55496</v>
      </c>
      <c r="V131" t="n">
        <v>34.55496</v>
      </c>
      <c r="W131" t="n">
        <v>71.462779</v>
      </c>
      <c r="X131" t="n">
        <v>1758.686512</v>
      </c>
    </row>
    <row r="132" ht="21" customHeight="1">
      <c r="A132" t="inlineStr">
        <is>
          <t>Stephanolepis cirrhifer</t>
        </is>
      </c>
      <c r="B132" t="n">
        <v>2.84</v>
      </c>
      <c r="C132" t="n">
        <v>69.183097</v>
      </c>
      <c r="D132" s="11" t="inlineStr">
        <is>
          <t>Demesral fish (≤ 30 cm)</t>
        </is>
      </c>
      <c r="E132" t="n">
        <v>140.953883</v>
      </c>
      <c r="F132" t="n">
        <v>95.34341499999999</v>
      </c>
      <c r="G132" t="n">
        <v>53.708528</v>
      </c>
      <c r="H132" t="n">
        <v>114.11959</v>
      </c>
      <c r="I132" t="n">
        <v>569.846189</v>
      </c>
      <c r="J132" t="n">
        <v>594.287325</v>
      </c>
      <c r="K132" t="n">
        <v>564.572959</v>
      </c>
      <c r="L132" t="n">
        <v>738.02552</v>
      </c>
      <c r="M132" t="n">
        <v>738.02552</v>
      </c>
      <c r="N132" t="n">
        <v>738.02552</v>
      </c>
      <c r="O132" t="n">
        <v>39.685535</v>
      </c>
      <c r="P132" t="n">
        <v>21.622034</v>
      </c>
      <c r="Q132" t="n">
        <v>738.02552</v>
      </c>
      <c r="R132" t="n">
        <v>738.02552</v>
      </c>
      <c r="S132" t="n">
        <v>39.685535</v>
      </c>
      <c r="T132" t="n">
        <v>39.685535</v>
      </c>
      <c r="U132" t="n">
        <v>21.622034</v>
      </c>
      <c r="V132" t="n">
        <v>21.622034</v>
      </c>
      <c r="W132" t="n">
        <v>41.109943</v>
      </c>
      <c r="X132" t="n">
        <v>772.895549</v>
      </c>
    </row>
    <row r="133" ht="21" customHeight="1">
      <c r="A133" t="inlineStr">
        <is>
          <t>Stromateidae</t>
        </is>
      </c>
      <c r="B133" t="n">
        <v>3.62</v>
      </c>
      <c r="C133" t="n">
        <v>416.869383</v>
      </c>
      <c r="D133" s="11" t="inlineStr">
        <is>
          <t>Pomfret (stromateids)</t>
        </is>
      </c>
      <c r="E133" t="n">
        <v>140.953883</v>
      </c>
      <c r="F133" t="n">
        <v>342.280115</v>
      </c>
      <c r="G133" t="n">
        <v>164.146984</v>
      </c>
      <c r="H133" t="n">
        <v>260.083928</v>
      </c>
      <c r="I133" t="n">
        <v>1585.623721</v>
      </c>
      <c r="J133" t="n">
        <v>1650.152477</v>
      </c>
      <c r="K133" t="n">
        <v>1567.644853</v>
      </c>
      <c r="L133" t="n">
        <v>2274.19106</v>
      </c>
      <c r="M133" t="n">
        <v>2274.19106</v>
      </c>
      <c r="N133" t="n">
        <v>2274.19106</v>
      </c>
      <c r="O133" t="n">
        <v>105.127985</v>
      </c>
      <c r="P133" t="n">
        <v>50.974766</v>
      </c>
      <c r="Q133" t="n">
        <v>2274.19106</v>
      </c>
      <c r="R133" t="n">
        <v>2274.19106</v>
      </c>
      <c r="S133" t="n">
        <v>105.127985</v>
      </c>
      <c r="T133" t="n">
        <v>105.127985</v>
      </c>
      <c r="U133" t="n">
        <v>50.974766</v>
      </c>
      <c r="V133" t="n">
        <v>50.974766</v>
      </c>
      <c r="W133" t="n">
        <v>111.155847</v>
      </c>
      <c r="X133" t="n">
        <v>2438.947747</v>
      </c>
    </row>
    <row r="134" ht="21" customHeight="1">
      <c r="A134" t="inlineStr">
        <is>
          <t>Lutjanus johnii</t>
        </is>
      </c>
      <c r="B134" t="n">
        <v>4.2</v>
      </c>
      <c r="C134" t="n">
        <v>1584.893192</v>
      </c>
      <c r="D134" s="11" t="inlineStr">
        <is>
          <t>Snappers</t>
        </is>
      </c>
      <c r="E134" t="n">
        <v>140.953883</v>
      </c>
      <c r="F134" t="n">
        <v>554.842266</v>
      </c>
      <c r="G134" t="n">
        <v>250.381754</v>
      </c>
      <c r="H134" t="n">
        <v>650.642591</v>
      </c>
      <c r="I134" t="n">
        <v>3230.237663</v>
      </c>
      <c r="J134" t="n">
        <v>3367.037571</v>
      </c>
      <c r="K134" t="n">
        <v>3198.685692</v>
      </c>
      <c r="L134" t="n">
        <v>4133.4309</v>
      </c>
      <c r="M134" t="n">
        <v>4133.4309</v>
      </c>
      <c r="N134" t="n">
        <v>4133.4309</v>
      </c>
      <c r="O134" t="n">
        <v>205.658598</v>
      </c>
      <c r="P134" t="n">
        <v>91.38801100000001</v>
      </c>
      <c r="Q134" t="n">
        <v>4133.4309</v>
      </c>
      <c r="R134" t="n">
        <v>4133.4309</v>
      </c>
      <c r="S134" t="n">
        <v>205.658598</v>
      </c>
      <c r="T134" t="n">
        <v>205.658598</v>
      </c>
      <c r="U134" t="n">
        <v>91.38801100000001</v>
      </c>
      <c r="V134" t="n">
        <v>91.38801100000001</v>
      </c>
      <c r="W134" t="n">
        <v>216.473302</v>
      </c>
      <c r="X134" t="n">
        <v>4393.486979</v>
      </c>
    </row>
    <row r="135" ht="36" customHeight="1">
      <c r="A135" t="inlineStr">
        <is>
          <t>Elagatis bipinnulata</t>
        </is>
      </c>
      <c r="B135" t="n">
        <v>4.27</v>
      </c>
      <c r="C135" t="n">
        <v>1862.087137</v>
      </c>
      <c r="D135" s="11" t="inlineStr">
        <is>
          <t>Juvenile large pelagic fish | Pelagic fish (&gt; 30 cm)</t>
        </is>
      </c>
      <c r="E135" t="n">
        <v>140.953883</v>
      </c>
      <c r="F135" t="n">
        <v>200.641254</v>
      </c>
      <c r="G135" t="n">
        <v>102.228748</v>
      </c>
      <c r="H135" t="n">
        <v>215.010584</v>
      </c>
      <c r="I135" t="n">
        <v>6244.222521</v>
      </c>
      <c r="J135" t="n">
        <v>6325.914048</v>
      </c>
      <c r="K135" t="n">
        <v>1872.204427</v>
      </c>
      <c r="L135" t="n">
        <v>7112.982475</v>
      </c>
      <c r="M135" t="n">
        <v>7112.982475</v>
      </c>
      <c r="N135" t="n">
        <v>7112.982475</v>
      </c>
      <c r="O135" t="n">
        <v>87.969483</v>
      </c>
      <c r="P135" t="n">
        <v>46.580547</v>
      </c>
      <c r="Q135" t="n">
        <v>7112.982475</v>
      </c>
      <c r="R135" t="n">
        <v>7112.982475</v>
      </c>
      <c r="S135" t="n">
        <v>87.969483</v>
      </c>
      <c r="T135" t="n">
        <v>87.969483</v>
      </c>
      <c r="U135" t="n">
        <v>46.580547</v>
      </c>
      <c r="V135" t="n">
        <v>46.580547</v>
      </c>
      <c r="W135" t="n">
        <v>93.060855</v>
      </c>
      <c r="X135" t="n">
        <v>7459.131892</v>
      </c>
    </row>
    <row r="136" ht="21" customHeight="1">
      <c r="A136" t="inlineStr">
        <is>
          <t>Saurida</t>
        </is>
      </c>
      <c r="B136" t="n">
        <v>4.35</v>
      </c>
      <c r="C136" t="n">
        <v>2238.721139</v>
      </c>
      <c r="D136" s="11" t="inlineStr">
        <is>
          <t>Lizard fish (synodontids)</t>
        </is>
      </c>
      <c r="E136" t="n">
        <v>140.953883</v>
      </c>
      <c r="F136" t="n">
        <v>667.104795</v>
      </c>
      <c r="G136" t="n">
        <v>294.137165</v>
      </c>
      <c r="H136" t="n">
        <v>674.482249</v>
      </c>
      <c r="I136" t="n">
        <v>9604.557183999999</v>
      </c>
      <c r="J136" t="n">
        <v>10115.319409</v>
      </c>
      <c r="K136" t="n">
        <v>2437.791978</v>
      </c>
      <c r="L136" t="n">
        <v>16798.641648</v>
      </c>
      <c r="M136" t="n">
        <v>16798.641648</v>
      </c>
      <c r="N136" t="n">
        <v>16798.641648</v>
      </c>
      <c r="O136" t="n">
        <v>88.03658900000001</v>
      </c>
      <c r="P136" t="n">
        <v>38.159556</v>
      </c>
      <c r="Q136" t="n">
        <v>16798.641648</v>
      </c>
      <c r="R136" t="n">
        <v>16798.641648</v>
      </c>
      <c r="S136" t="n">
        <v>88.03658900000001</v>
      </c>
      <c r="T136" t="n">
        <v>88.03658900000001</v>
      </c>
      <c r="U136" t="n">
        <v>38.159556</v>
      </c>
      <c r="V136" t="n">
        <v>38.159556</v>
      </c>
      <c r="W136" t="n">
        <v>92.54017</v>
      </c>
      <c r="X136" t="n">
        <v>18119.633615</v>
      </c>
    </row>
    <row r="137" ht="21" customHeight="1">
      <c r="A137" t="inlineStr">
        <is>
          <t>Serranidae</t>
        </is>
      </c>
      <c r="B137" t="n">
        <v>3.98</v>
      </c>
      <c r="C137" t="n">
        <v>954.992586</v>
      </c>
      <c r="D137" s="11" t="inlineStr">
        <is>
          <t>Adult groupers</t>
        </is>
      </c>
      <c r="E137" t="n">
        <v>140.953883</v>
      </c>
      <c r="F137" t="n">
        <v>539.046528</v>
      </c>
      <c r="G137" t="n">
        <v>244.14</v>
      </c>
      <c r="H137" t="n">
        <v>669.483011</v>
      </c>
      <c r="I137" t="n">
        <v>10399.759602</v>
      </c>
      <c r="J137" t="n">
        <v>10694.630086</v>
      </c>
      <c r="K137" t="n">
        <v>4010.486282</v>
      </c>
      <c r="L137" t="n">
        <v>14214.100911</v>
      </c>
      <c r="M137" t="n">
        <v>14214.100911</v>
      </c>
      <c r="N137" t="n">
        <v>14214.100911</v>
      </c>
      <c r="O137" t="n">
        <v>203.72024</v>
      </c>
      <c r="P137" t="n">
        <v>90.708206</v>
      </c>
      <c r="Q137" t="n">
        <v>14214.100911</v>
      </c>
      <c r="R137" t="n">
        <v>14214.100911</v>
      </c>
      <c r="S137" t="n">
        <v>203.72024</v>
      </c>
      <c r="T137" t="n">
        <v>203.72024</v>
      </c>
      <c r="U137" t="n">
        <v>90.708206</v>
      </c>
      <c r="V137" t="n">
        <v>90.708206</v>
      </c>
      <c r="W137" t="n">
        <v>213.076898</v>
      </c>
      <c r="X137" t="n">
        <v>15231.972848</v>
      </c>
    </row>
    <row r="138" ht="21" customHeight="1">
      <c r="A138" t="inlineStr">
        <is>
          <t>Tegillarca granosa</t>
        </is>
      </c>
      <c r="B138" t="n">
        <v>2</v>
      </c>
      <c r="C138" t="n">
        <v>10</v>
      </c>
      <c r="D138" s="11" t="inlineStr">
        <is>
          <t>Non-ceph molluscs</t>
        </is>
      </c>
      <c r="E138" t="n">
        <v>140.953883</v>
      </c>
      <c r="F138" t="n">
        <v>14.712171</v>
      </c>
      <c r="G138" t="n">
        <v>10.486582</v>
      </c>
      <c r="H138" t="n">
        <v>17.347998</v>
      </c>
      <c r="I138" t="n">
        <v>87.52377799999999</v>
      </c>
      <c r="J138" t="n">
        <v>87.52377799999999</v>
      </c>
      <c r="K138" t="n">
        <v>33.521607</v>
      </c>
      <c r="L138" t="n">
        <v>92.59366</v>
      </c>
      <c r="M138" t="n">
        <v>92.59366</v>
      </c>
      <c r="N138" t="n">
        <v>92.59366</v>
      </c>
      <c r="O138" t="n">
        <v>4.448657</v>
      </c>
      <c r="P138" t="n">
        <v>3.058348</v>
      </c>
      <c r="Q138" t="n">
        <v>92.59366</v>
      </c>
      <c r="R138" t="n">
        <v>92.59366</v>
      </c>
      <c r="S138" t="n">
        <v>4.448657</v>
      </c>
      <c r="T138" t="n">
        <v>4.448657</v>
      </c>
      <c r="U138" t="n">
        <v>3.058348</v>
      </c>
      <c r="V138" t="n">
        <v>3.058348</v>
      </c>
      <c r="W138" t="n">
        <v>4.556294</v>
      </c>
      <c r="X138" t="n">
        <v>96.447226</v>
      </c>
    </row>
    <row r="139" ht="21" customHeight="1">
      <c r="A139" t="inlineStr">
        <is>
          <t>Pristipomoides</t>
        </is>
      </c>
      <c r="B139" t="n">
        <v>3.91</v>
      </c>
      <c r="C139" t="n">
        <v>812.830516</v>
      </c>
      <c r="D139" s="11" t="inlineStr">
        <is>
          <t>Snappers</t>
        </is>
      </c>
      <c r="E139" t="n">
        <v>140.953883</v>
      </c>
      <c r="F139" t="n">
        <v>554.842266</v>
      </c>
      <c r="G139" t="n">
        <v>250.381754</v>
      </c>
      <c r="H139" t="n">
        <v>650.642591</v>
      </c>
      <c r="I139" t="n">
        <v>3230.237663</v>
      </c>
      <c r="J139" t="n">
        <v>3367.037571</v>
      </c>
      <c r="K139" t="n">
        <v>3198.685692</v>
      </c>
      <c r="L139" t="n">
        <v>4133.4309</v>
      </c>
      <c r="M139" t="n">
        <v>4133.4309</v>
      </c>
      <c r="N139" t="n">
        <v>4133.4309</v>
      </c>
      <c r="O139" t="n">
        <v>205.658598</v>
      </c>
      <c r="P139" t="n">
        <v>91.38801100000001</v>
      </c>
      <c r="Q139" t="n">
        <v>4133.4309</v>
      </c>
      <c r="R139" t="n">
        <v>4133.4309</v>
      </c>
      <c r="S139" t="n">
        <v>205.658598</v>
      </c>
      <c r="T139" t="n">
        <v>205.658598</v>
      </c>
      <c r="U139" t="n">
        <v>91.38801100000001</v>
      </c>
      <c r="V139" t="n">
        <v>91.38801100000001</v>
      </c>
      <c r="W139" t="n">
        <v>216.473302</v>
      </c>
      <c r="X139" t="n">
        <v>4393.486979</v>
      </c>
    </row>
    <row r="140" ht="21" customHeight="1">
      <c r="A140" t="inlineStr">
        <is>
          <t>Apogonidae</t>
        </is>
      </c>
      <c r="B140" t="n">
        <v>3.54</v>
      </c>
      <c r="C140" t="n">
        <v>346.73685</v>
      </c>
      <c r="D140" s="11" t="inlineStr">
        <is>
          <t>Demesral fish (≤ 30 cm)</t>
        </is>
      </c>
      <c r="E140" t="n">
        <v>140.953883</v>
      </c>
      <c r="F140" t="n">
        <v>95.34341499999999</v>
      </c>
      <c r="G140" t="n">
        <v>53.708528</v>
      </c>
      <c r="H140" t="n">
        <v>114.11959</v>
      </c>
      <c r="I140" t="n">
        <v>569.846189</v>
      </c>
      <c r="J140" t="n">
        <v>594.287325</v>
      </c>
      <c r="K140" t="n">
        <v>564.572959</v>
      </c>
      <c r="L140" t="n">
        <v>738.02552</v>
      </c>
      <c r="M140" t="n">
        <v>738.02552</v>
      </c>
      <c r="N140" t="n">
        <v>738.02552</v>
      </c>
      <c r="O140" t="n">
        <v>39.685535</v>
      </c>
      <c r="P140" t="n">
        <v>21.622034</v>
      </c>
      <c r="Q140" t="n">
        <v>738.02552</v>
      </c>
      <c r="R140" t="n">
        <v>738.02552</v>
      </c>
      <c r="S140" t="n">
        <v>39.685535</v>
      </c>
      <c r="T140" t="n">
        <v>39.685535</v>
      </c>
      <c r="U140" t="n">
        <v>21.622034</v>
      </c>
      <c r="V140" t="n">
        <v>21.622034</v>
      </c>
      <c r="W140" t="n">
        <v>41.109943</v>
      </c>
      <c r="X140" t="n">
        <v>772.895549</v>
      </c>
    </row>
    <row r="141" ht="66" customHeight="1">
      <c r="A141" t="inlineStr">
        <is>
          <t>Miscellaneous aquatic invertebrates</t>
        </is>
      </c>
      <c r="B141" t="n">
        <v>2.43</v>
      </c>
      <c r="C141" t="n">
        <v>26.915348</v>
      </c>
      <c r="D141" s="11" t="inlineStr">
        <is>
          <t>Polychaetes | Echinoderms | Benthic crustaceans | Non-ceph molluscs | Sessile/other invertebrates</t>
        </is>
      </c>
      <c r="E141" t="n">
        <v>140.953883</v>
      </c>
      <c r="F141" t="n">
        <v>14.897287</v>
      </c>
      <c r="G141" t="n">
        <v>10.601089</v>
      </c>
      <c r="H141" t="n">
        <v>18.274513</v>
      </c>
      <c r="I141" t="n">
        <v>95.149017</v>
      </c>
      <c r="J141" t="n">
        <v>95.149017</v>
      </c>
      <c r="K141" t="n">
        <v>40.179908</v>
      </c>
      <c r="L141" t="n">
        <v>103.926902</v>
      </c>
      <c r="M141" t="n">
        <v>103.926902</v>
      </c>
      <c r="N141" t="n">
        <v>103.926902</v>
      </c>
      <c r="O141" t="n">
        <v>5.06752</v>
      </c>
      <c r="P141" t="n">
        <v>3.473792</v>
      </c>
      <c r="Q141" t="n">
        <v>103.926902</v>
      </c>
      <c r="R141" t="n">
        <v>103.926902</v>
      </c>
      <c r="S141" t="n">
        <v>5.06752</v>
      </c>
      <c r="T141" t="n">
        <v>5.06752</v>
      </c>
      <c r="U141" t="n">
        <v>3.473792</v>
      </c>
      <c r="V141" t="n">
        <v>3.473792</v>
      </c>
      <c r="W141" t="n">
        <v>5.182583</v>
      </c>
      <c r="X141" t="n">
        <v>108.431266</v>
      </c>
    </row>
    <row r="142" ht="36" customHeight="1">
      <c r="A142" t="inlineStr">
        <is>
          <t>Scomber australasicus</t>
        </is>
      </c>
      <c r="B142" t="n">
        <v>4.23</v>
      </c>
      <c r="C142" t="n">
        <v>1698.243652</v>
      </c>
      <c r="D142" s="11" t="inlineStr">
        <is>
          <t>Juvenile large pelagic fish | Pelagic fish (&gt; 30 cm)</t>
        </is>
      </c>
      <c r="E142" t="n">
        <v>140.953883</v>
      </c>
      <c r="F142" t="n">
        <v>200.641254</v>
      </c>
      <c r="G142" t="n">
        <v>102.228748</v>
      </c>
      <c r="H142" t="n">
        <v>215.010584</v>
      </c>
      <c r="I142" t="n">
        <v>6244.222521</v>
      </c>
      <c r="J142" t="n">
        <v>6325.914048</v>
      </c>
      <c r="K142" t="n">
        <v>1872.204427</v>
      </c>
      <c r="L142" t="n">
        <v>7112.982475</v>
      </c>
      <c r="M142" t="n">
        <v>7112.982475</v>
      </c>
      <c r="N142" t="n">
        <v>7112.982475</v>
      </c>
      <c r="O142" t="n">
        <v>87.969483</v>
      </c>
      <c r="P142" t="n">
        <v>46.580547</v>
      </c>
      <c r="Q142" t="n">
        <v>7112.982475</v>
      </c>
      <c r="R142" t="n">
        <v>7112.982475</v>
      </c>
      <c r="S142" t="n">
        <v>87.969483</v>
      </c>
      <c r="T142" t="n">
        <v>87.969483</v>
      </c>
      <c r="U142" t="n">
        <v>46.580547</v>
      </c>
      <c r="V142" t="n">
        <v>46.580547</v>
      </c>
      <c r="W142" t="n">
        <v>93.060855</v>
      </c>
      <c r="X142" t="n">
        <v>7459.131892</v>
      </c>
    </row>
    <row r="143" ht="21" customHeight="1">
      <c r="A143" t="inlineStr">
        <is>
          <t>Sepia</t>
        </is>
      </c>
      <c r="B143" t="n">
        <v>3.69</v>
      </c>
      <c r="C143" t="n">
        <v>489.778819</v>
      </c>
      <c r="D143" s="11" t="inlineStr">
        <is>
          <t>Cephalopods</t>
        </is>
      </c>
      <c r="E143" t="n">
        <v>140.953883</v>
      </c>
      <c r="F143" t="n">
        <v>170.518341</v>
      </c>
      <c r="G143" t="n">
        <v>89.274901</v>
      </c>
      <c r="H143" t="n">
        <v>176.937394</v>
      </c>
      <c r="I143" t="n">
        <v>1050.872908</v>
      </c>
      <c r="J143" t="n">
        <v>1075.829695</v>
      </c>
      <c r="K143" t="n">
        <v>537.914847</v>
      </c>
      <c r="L143" t="n">
        <v>1659.687874</v>
      </c>
      <c r="M143" t="n">
        <v>1659.687874</v>
      </c>
      <c r="N143" t="n">
        <v>1659.687874</v>
      </c>
      <c r="O143" t="n">
        <v>31.362197</v>
      </c>
      <c r="P143" t="n">
        <v>16.184075</v>
      </c>
      <c r="Q143" t="n">
        <v>1659.687874</v>
      </c>
      <c r="R143" t="n">
        <v>1659.687874</v>
      </c>
      <c r="S143" t="n">
        <v>31.362197</v>
      </c>
      <c r="T143" t="n">
        <v>31.362197</v>
      </c>
      <c r="U143" t="n">
        <v>16.184075</v>
      </c>
      <c r="V143" t="n">
        <v>16.184075</v>
      </c>
      <c r="W143" t="n">
        <v>32.286772</v>
      </c>
      <c r="X143" t="n">
        <v>1775.112325</v>
      </c>
    </row>
    <row r="144" ht="21" customHeight="1">
      <c r="A144" t="inlineStr">
        <is>
          <t>Epinephelus coioides</t>
        </is>
      </c>
      <c r="B144" t="n">
        <v>4</v>
      </c>
      <c r="C144" t="n">
        <v>1000</v>
      </c>
      <c r="D144" s="11" t="inlineStr">
        <is>
          <t>Adult groupers</t>
        </is>
      </c>
      <c r="E144" t="n">
        <v>140.953883</v>
      </c>
      <c r="F144" t="n">
        <v>539.046528</v>
      </c>
      <c r="G144" t="n">
        <v>244.14</v>
      </c>
      <c r="H144" t="n">
        <v>669.483011</v>
      </c>
      <c r="I144" t="n">
        <v>10399.759602</v>
      </c>
      <c r="J144" t="n">
        <v>10694.630086</v>
      </c>
      <c r="K144" t="n">
        <v>4010.486282</v>
      </c>
      <c r="L144" t="n">
        <v>14214.100911</v>
      </c>
      <c r="M144" t="n">
        <v>14214.100911</v>
      </c>
      <c r="N144" t="n">
        <v>14214.100911</v>
      </c>
      <c r="O144" t="n">
        <v>203.72024</v>
      </c>
      <c r="P144" t="n">
        <v>90.708206</v>
      </c>
      <c r="Q144" t="n">
        <v>14214.100911</v>
      </c>
      <c r="R144" t="n">
        <v>14214.100911</v>
      </c>
      <c r="S144" t="n">
        <v>203.72024</v>
      </c>
      <c r="T144" t="n">
        <v>203.72024</v>
      </c>
      <c r="U144" t="n">
        <v>90.708206</v>
      </c>
      <c r="V144" t="n">
        <v>90.708206</v>
      </c>
      <c r="W144" t="n">
        <v>213.076898</v>
      </c>
      <c r="X144" t="n">
        <v>15231.972848</v>
      </c>
    </row>
    <row r="145" ht="51" customHeight="1">
      <c r="A145" t="inlineStr">
        <is>
          <t>Larimichthys polyactis</t>
        </is>
      </c>
      <c r="B145" t="n">
        <v>3.64</v>
      </c>
      <c r="C145" t="n">
        <v>436.515832</v>
      </c>
      <c r="D145" s="11" t="inlineStr">
        <is>
          <t>Croakers (≤ 30 cm) | Juvenile large croakers | Croakers (&gt; 30 cm)</t>
        </is>
      </c>
      <c r="E145" t="n">
        <v>140.953883</v>
      </c>
      <c r="F145" t="n">
        <v>251.096546</v>
      </c>
      <c r="G145" t="n">
        <v>124.902538</v>
      </c>
      <c r="H145" t="n">
        <v>340.610317</v>
      </c>
      <c r="I145" t="n">
        <v>2592.828475</v>
      </c>
      <c r="J145" t="n">
        <v>2668.302146</v>
      </c>
      <c r="K145" t="n">
        <v>1626.885542</v>
      </c>
      <c r="L145" t="n">
        <v>3240.975912</v>
      </c>
      <c r="M145" t="n">
        <v>3240.975912</v>
      </c>
      <c r="N145" t="n">
        <v>3240.975912</v>
      </c>
      <c r="O145" t="n">
        <v>87.234846</v>
      </c>
      <c r="P145" t="n">
        <v>41.935227</v>
      </c>
      <c r="Q145" t="n">
        <v>3240.975912</v>
      </c>
      <c r="R145" t="n">
        <v>3240.975912</v>
      </c>
      <c r="S145" t="n">
        <v>87.234846</v>
      </c>
      <c r="T145" t="n">
        <v>87.234846</v>
      </c>
      <c r="U145" t="n">
        <v>41.935227</v>
      </c>
      <c r="V145" t="n">
        <v>41.935227</v>
      </c>
      <c r="W145" t="n">
        <v>91.178747</v>
      </c>
      <c r="X145" t="n">
        <v>3446.878316</v>
      </c>
    </row>
    <row r="146" ht="36" customHeight="1">
      <c r="A146" t="inlineStr">
        <is>
          <t>Tetraodontidae</t>
        </is>
      </c>
      <c r="B146" t="n">
        <v>3.5</v>
      </c>
      <c r="C146" t="n">
        <v>316.227766</v>
      </c>
      <c r="D146" s="11" t="inlineStr">
        <is>
          <t>Juvenile demersal fish (&gt; 30 cm) | Adult demersal fish (&gt; 30 cm)</t>
        </is>
      </c>
      <c r="E146" t="n">
        <v>140.953883</v>
      </c>
      <c r="F146" t="n">
        <v>228.824285</v>
      </c>
      <c r="G146" t="n">
        <v>114.897152</v>
      </c>
      <c r="H146" t="n">
        <v>408.798022</v>
      </c>
      <c r="I146" t="n">
        <v>6590.793316</v>
      </c>
      <c r="J146" t="n">
        <v>7071.146917</v>
      </c>
      <c r="K146" t="n">
        <v>2576.928919</v>
      </c>
      <c r="L146" t="n">
        <v>10677.999207</v>
      </c>
      <c r="M146" t="n">
        <v>10677.999207</v>
      </c>
      <c r="N146" t="n">
        <v>10677.999207</v>
      </c>
      <c r="O146" t="n">
        <v>85.006417</v>
      </c>
      <c r="P146" t="n">
        <v>38.52237</v>
      </c>
      <c r="Q146" t="n">
        <v>10677.999207</v>
      </c>
      <c r="R146" t="n">
        <v>10677.999207</v>
      </c>
      <c r="S146" t="n">
        <v>85.006417</v>
      </c>
      <c r="T146" t="n">
        <v>85.006417</v>
      </c>
      <c r="U146" t="n">
        <v>38.52237</v>
      </c>
      <c r="V146" t="n">
        <v>38.52237</v>
      </c>
      <c r="W146" t="n">
        <v>88.306245</v>
      </c>
      <c r="X146" t="n">
        <v>11509.306401</v>
      </c>
    </row>
    <row r="147" ht="21" customHeight="1">
      <c r="A147" t="inlineStr">
        <is>
          <t>Exocoetidae</t>
        </is>
      </c>
      <c r="B147" t="n">
        <v>3.57</v>
      </c>
      <c r="C147" t="n">
        <v>371.535229</v>
      </c>
      <c r="D147" s="11" t="inlineStr">
        <is>
          <t>Pelagic fish (≤ 30 cm)</t>
        </is>
      </c>
      <c r="E147" t="n">
        <v>140.953883</v>
      </c>
      <c r="F147" t="n">
        <v>60.479203</v>
      </c>
      <c r="G147" t="n">
        <v>36.07884</v>
      </c>
      <c r="H147" t="n">
        <v>45.98261</v>
      </c>
      <c r="I147" t="n">
        <v>395.888053</v>
      </c>
      <c r="J147" t="n">
        <v>395.888053</v>
      </c>
      <c r="K147" t="n">
        <v>376.09365</v>
      </c>
      <c r="L147" t="n">
        <v>393.787233</v>
      </c>
      <c r="M147" t="n">
        <v>393.787233</v>
      </c>
      <c r="N147" t="n">
        <v>393.787233</v>
      </c>
      <c r="O147" t="n">
        <v>20.916473</v>
      </c>
      <c r="P147" t="n">
        <v>13.510088</v>
      </c>
      <c r="Q147" t="n">
        <v>393.787233</v>
      </c>
      <c r="R147" t="n">
        <v>393.787233</v>
      </c>
      <c r="S147" t="n">
        <v>20.916473</v>
      </c>
      <c r="T147" t="n">
        <v>20.916473</v>
      </c>
      <c r="U147" t="n">
        <v>13.510088</v>
      </c>
      <c r="V147" t="n">
        <v>13.510088</v>
      </c>
      <c r="W147" t="n">
        <v>21.939981</v>
      </c>
      <c r="X147" t="n">
        <v>405.784084</v>
      </c>
    </row>
    <row r="148" ht="21" customHeight="1">
      <c r="A148" t="inlineStr">
        <is>
          <t>Upeneus</t>
        </is>
      </c>
      <c r="B148" t="n">
        <v>3.54</v>
      </c>
      <c r="C148" t="n">
        <v>346.73685</v>
      </c>
      <c r="D148" s="11" t="inlineStr">
        <is>
          <t>Demesral fish (≤ 30 cm)</t>
        </is>
      </c>
      <c r="E148" t="n">
        <v>140.953883</v>
      </c>
      <c r="F148" t="n">
        <v>95.34341499999999</v>
      </c>
      <c r="G148" t="n">
        <v>53.708528</v>
      </c>
      <c r="H148" t="n">
        <v>114.11959</v>
      </c>
      <c r="I148" t="n">
        <v>569.846189</v>
      </c>
      <c r="J148" t="n">
        <v>594.287325</v>
      </c>
      <c r="K148" t="n">
        <v>564.572959</v>
      </c>
      <c r="L148" t="n">
        <v>738.02552</v>
      </c>
      <c r="M148" t="n">
        <v>738.02552</v>
      </c>
      <c r="N148" t="n">
        <v>738.02552</v>
      </c>
      <c r="O148" t="n">
        <v>39.685535</v>
      </c>
      <c r="P148" t="n">
        <v>21.622034</v>
      </c>
      <c r="Q148" t="n">
        <v>738.02552</v>
      </c>
      <c r="R148" t="n">
        <v>738.02552</v>
      </c>
      <c r="S148" t="n">
        <v>39.685535</v>
      </c>
      <c r="T148" t="n">
        <v>39.685535</v>
      </c>
      <c r="U148" t="n">
        <v>21.622034</v>
      </c>
      <c r="V148" t="n">
        <v>21.622034</v>
      </c>
      <c r="W148" t="n">
        <v>41.109943</v>
      </c>
      <c r="X148" t="n">
        <v>772.895549</v>
      </c>
    </row>
    <row r="149" ht="36" customHeight="1">
      <c r="A149" t="inlineStr">
        <is>
          <t>Seriola</t>
        </is>
      </c>
      <c r="B149" t="n">
        <v>4.39</v>
      </c>
      <c r="C149" t="n">
        <v>2454.708916</v>
      </c>
      <c r="D149" s="11" t="inlineStr">
        <is>
          <t>Juvenile large pelagic fish | Pelagic fish (&gt; 30 cm)</t>
        </is>
      </c>
      <c r="E149" t="n">
        <v>140.953883</v>
      </c>
      <c r="F149" t="n">
        <v>200.641254</v>
      </c>
      <c r="G149" t="n">
        <v>102.228748</v>
      </c>
      <c r="H149" t="n">
        <v>215.010584</v>
      </c>
      <c r="I149" t="n">
        <v>6244.222521</v>
      </c>
      <c r="J149" t="n">
        <v>6325.914048</v>
      </c>
      <c r="K149" t="n">
        <v>1872.204427</v>
      </c>
      <c r="L149" t="n">
        <v>7112.982475</v>
      </c>
      <c r="M149" t="n">
        <v>7112.982475</v>
      </c>
      <c r="N149" t="n">
        <v>7112.982475</v>
      </c>
      <c r="O149" t="n">
        <v>87.969483</v>
      </c>
      <c r="P149" t="n">
        <v>46.580547</v>
      </c>
      <c r="Q149" t="n">
        <v>7112.982475</v>
      </c>
      <c r="R149" t="n">
        <v>7112.982475</v>
      </c>
      <c r="S149" t="n">
        <v>87.969483</v>
      </c>
      <c r="T149" t="n">
        <v>87.969483</v>
      </c>
      <c r="U149" t="n">
        <v>46.580547</v>
      </c>
      <c r="V149" t="n">
        <v>46.580547</v>
      </c>
      <c r="W149" t="n">
        <v>93.060855</v>
      </c>
      <c r="X149" t="n">
        <v>7459.131892</v>
      </c>
    </row>
    <row r="150" ht="36" customHeight="1">
      <c r="A150" t="inlineStr">
        <is>
          <t>Conger myriaster</t>
        </is>
      </c>
      <c r="B150" t="n">
        <v>3.98</v>
      </c>
      <c r="C150" t="n">
        <v>954.992586</v>
      </c>
      <c r="D150" s="11" t="inlineStr">
        <is>
          <t>Juvenile demersal fish (&gt; 30 cm) | Adult demersal fish (&gt; 30 cm)</t>
        </is>
      </c>
      <c r="E150" t="n">
        <v>140.953883</v>
      </c>
      <c r="F150" t="n">
        <v>228.824285</v>
      </c>
      <c r="G150" t="n">
        <v>114.897152</v>
      </c>
      <c r="H150" t="n">
        <v>408.798022</v>
      </c>
      <c r="I150" t="n">
        <v>6590.793316</v>
      </c>
      <c r="J150" t="n">
        <v>7071.146917</v>
      </c>
      <c r="K150" t="n">
        <v>2576.928919</v>
      </c>
      <c r="L150" t="n">
        <v>10677.999207</v>
      </c>
      <c r="M150" t="n">
        <v>10677.999207</v>
      </c>
      <c r="N150" t="n">
        <v>10677.999207</v>
      </c>
      <c r="O150" t="n">
        <v>85.006417</v>
      </c>
      <c r="P150" t="n">
        <v>38.52237</v>
      </c>
      <c r="Q150" t="n">
        <v>10677.999207</v>
      </c>
      <c r="R150" t="n">
        <v>10677.999207</v>
      </c>
      <c r="S150" t="n">
        <v>85.006417</v>
      </c>
      <c r="T150" t="n">
        <v>85.006417</v>
      </c>
      <c r="U150" t="n">
        <v>38.52237</v>
      </c>
      <c r="V150" t="n">
        <v>38.52237</v>
      </c>
      <c r="W150" t="n">
        <v>88.306245</v>
      </c>
      <c r="X150" t="n">
        <v>11509.306401</v>
      </c>
    </row>
    <row r="151" ht="36" customHeight="1">
      <c r="A151" t="inlineStr">
        <is>
          <t>Mugil</t>
        </is>
      </c>
      <c r="B151" t="n">
        <v>2.26</v>
      </c>
      <c r="C151" t="n">
        <v>18.197009</v>
      </c>
      <c r="D151" s="11" t="inlineStr">
        <is>
          <t>Juvenile demersal fish (&gt; 30 cm) | Adult demersal fish (&gt; 30 cm)</t>
        </is>
      </c>
      <c r="E151" t="n">
        <v>140.953883</v>
      </c>
      <c r="F151" t="n">
        <v>228.824285</v>
      </c>
      <c r="G151" t="n">
        <v>114.897152</v>
      </c>
      <c r="H151" t="n">
        <v>408.798022</v>
      </c>
      <c r="I151" t="n">
        <v>6590.793316</v>
      </c>
      <c r="J151" t="n">
        <v>7071.146917</v>
      </c>
      <c r="K151" t="n">
        <v>2576.928919</v>
      </c>
      <c r="L151" t="n">
        <v>10677.999207</v>
      </c>
      <c r="M151" t="n">
        <v>10677.999207</v>
      </c>
      <c r="N151" t="n">
        <v>10677.999207</v>
      </c>
      <c r="O151" t="n">
        <v>85.006417</v>
      </c>
      <c r="P151" t="n">
        <v>38.52237</v>
      </c>
      <c r="Q151" t="n">
        <v>10677.999207</v>
      </c>
      <c r="R151" t="n">
        <v>10677.999207</v>
      </c>
      <c r="S151" t="n">
        <v>85.006417</v>
      </c>
      <c r="T151" t="n">
        <v>85.006417</v>
      </c>
      <c r="U151" t="n">
        <v>38.52237</v>
      </c>
      <c r="V151" t="n">
        <v>38.52237</v>
      </c>
      <c r="W151" t="n">
        <v>88.306245</v>
      </c>
      <c r="X151" t="n">
        <v>11509.306401</v>
      </c>
    </row>
    <row r="152" ht="51" customHeight="1">
      <c r="A152" t="inlineStr">
        <is>
          <t>Psettodes erumei</t>
        </is>
      </c>
      <c r="B152" t="n">
        <v>4.39</v>
      </c>
      <c r="C152" t="n">
        <v>2454.708916</v>
      </c>
      <c r="D152" s="11" t="inlineStr">
        <is>
          <t>Demesral fish (≤ 30 cm) | Juvenile demersal fish (&gt; 30 cm) | Adult demersal fish (&gt; 30 cm)</t>
        </is>
      </c>
      <c r="E152" t="n">
        <v>140.953883</v>
      </c>
      <c r="F152" t="n">
        <v>177.371403</v>
      </c>
      <c r="G152" t="n">
        <v>91.310768</v>
      </c>
      <c r="H152" t="n">
        <v>295.208302</v>
      </c>
      <c r="I152" t="n">
        <v>4269.898312</v>
      </c>
      <c r="J152" t="n">
        <v>4574.511297</v>
      </c>
      <c r="K152" t="n">
        <v>1801.225895</v>
      </c>
      <c r="L152" t="n">
        <v>6846.4367</v>
      </c>
      <c r="M152" t="n">
        <v>6846.4367</v>
      </c>
      <c r="N152" t="n">
        <v>6846.4367</v>
      </c>
      <c r="O152" t="n">
        <v>67.536573</v>
      </c>
      <c r="P152" t="n">
        <v>32.007796</v>
      </c>
      <c r="Q152" t="n">
        <v>6846.4367</v>
      </c>
      <c r="R152" t="n">
        <v>6846.4367</v>
      </c>
      <c r="S152" t="n">
        <v>67.536573</v>
      </c>
      <c r="T152" t="n">
        <v>67.536573</v>
      </c>
      <c r="U152" t="n">
        <v>32.007796</v>
      </c>
      <c r="V152" t="n">
        <v>32.007796</v>
      </c>
      <c r="W152" t="n">
        <v>70.113483</v>
      </c>
      <c r="X152" t="n">
        <v>7370.741192</v>
      </c>
    </row>
    <row r="153" ht="21" customHeight="1">
      <c r="A153" t="inlineStr">
        <is>
          <t>Acetes</t>
        </is>
      </c>
      <c r="B153" t="n">
        <v>2.7</v>
      </c>
      <c r="C153" t="n">
        <v>50.118723</v>
      </c>
      <c r="D153" s="11" t="inlineStr">
        <is>
          <t>Zooplankton</t>
        </is>
      </c>
      <c r="E153" t="n">
        <v>140.953883</v>
      </c>
      <c r="F153" t="n">
        <v>10</v>
      </c>
      <c r="G153" t="n">
        <v>7.482941</v>
      </c>
      <c r="H153" t="n">
        <v>7.482941</v>
      </c>
      <c r="I153" t="n">
        <v>115.384615</v>
      </c>
      <c r="J153" t="n">
        <v>115.384615</v>
      </c>
      <c r="K153" t="n">
        <v>6</v>
      </c>
      <c r="L153" t="n">
        <v>114.728394</v>
      </c>
      <c r="M153" t="n">
        <v>114.728394</v>
      </c>
      <c r="N153" t="n">
        <v>114.728394</v>
      </c>
      <c r="O153" t="n">
        <v>6.05984</v>
      </c>
      <c r="P153" t="n">
        <v>4.848511</v>
      </c>
      <c r="Q153" t="n">
        <v>114.728394</v>
      </c>
      <c r="R153" t="n">
        <v>114.728394</v>
      </c>
      <c r="S153" t="n">
        <v>6.05984</v>
      </c>
      <c r="T153" t="n">
        <v>6.05984</v>
      </c>
      <c r="U153" t="n">
        <v>4.848511</v>
      </c>
      <c r="V153" t="n">
        <v>4.848511</v>
      </c>
      <c r="W153" t="n">
        <v>6.224783</v>
      </c>
      <c r="X153" t="n">
        <v>116.846993</v>
      </c>
    </row>
    <row r="154" ht="21" customHeight="1">
      <c r="A154" t="inlineStr">
        <is>
          <t>Cypselurus poecilopterus</t>
        </is>
      </c>
      <c r="B154" t="n">
        <v>3.4</v>
      </c>
      <c r="C154" t="n">
        <v>251.188643</v>
      </c>
      <c r="D154" s="11" t="inlineStr">
        <is>
          <t>Pelagic fish (≤ 30 cm)</t>
        </is>
      </c>
      <c r="E154" t="n">
        <v>140.953883</v>
      </c>
      <c r="F154" t="n">
        <v>60.479203</v>
      </c>
      <c r="G154" t="n">
        <v>36.07884</v>
      </c>
      <c r="H154" t="n">
        <v>45.98261</v>
      </c>
      <c r="I154" t="n">
        <v>395.888053</v>
      </c>
      <c r="J154" t="n">
        <v>395.888053</v>
      </c>
      <c r="K154" t="n">
        <v>376.09365</v>
      </c>
      <c r="L154" t="n">
        <v>393.787233</v>
      </c>
      <c r="M154" t="n">
        <v>393.787233</v>
      </c>
      <c r="N154" t="n">
        <v>393.787233</v>
      </c>
      <c r="O154" t="n">
        <v>20.916473</v>
      </c>
      <c r="P154" t="n">
        <v>13.510088</v>
      </c>
      <c r="Q154" t="n">
        <v>393.787233</v>
      </c>
      <c r="R154" t="n">
        <v>393.787233</v>
      </c>
      <c r="S154" t="n">
        <v>20.916473</v>
      </c>
      <c r="T154" t="n">
        <v>20.916473</v>
      </c>
      <c r="U154" t="n">
        <v>13.510088</v>
      </c>
      <c r="V154" t="n">
        <v>13.510088</v>
      </c>
      <c r="W154" t="n">
        <v>21.939981</v>
      </c>
      <c r="X154" t="n">
        <v>405.784084</v>
      </c>
    </row>
    <row r="155" ht="36" customHeight="1">
      <c r="A155" t="inlineStr">
        <is>
          <t>Decapterus russelli</t>
        </is>
      </c>
      <c r="B155" t="n">
        <v>3.68</v>
      </c>
      <c r="C155" t="n">
        <v>478.630092</v>
      </c>
      <c r="D155" s="11" t="inlineStr">
        <is>
          <t>Juvenile large pelagic fish | Pelagic fish (&gt; 30 cm)</t>
        </is>
      </c>
      <c r="E155" t="n">
        <v>140.953883</v>
      </c>
      <c r="F155" t="n">
        <v>200.641254</v>
      </c>
      <c r="G155" t="n">
        <v>102.228748</v>
      </c>
      <c r="H155" t="n">
        <v>215.010584</v>
      </c>
      <c r="I155" t="n">
        <v>6244.222521</v>
      </c>
      <c r="J155" t="n">
        <v>6325.914048</v>
      </c>
      <c r="K155" t="n">
        <v>1872.204427</v>
      </c>
      <c r="L155" t="n">
        <v>7112.982475</v>
      </c>
      <c r="M155" t="n">
        <v>7112.982475</v>
      </c>
      <c r="N155" t="n">
        <v>7112.982475</v>
      </c>
      <c r="O155" t="n">
        <v>87.969483</v>
      </c>
      <c r="P155" t="n">
        <v>46.580547</v>
      </c>
      <c r="Q155" t="n">
        <v>7112.982475</v>
      </c>
      <c r="R155" t="n">
        <v>7112.982475</v>
      </c>
      <c r="S155" t="n">
        <v>87.969483</v>
      </c>
      <c r="T155" t="n">
        <v>87.969483</v>
      </c>
      <c r="U155" t="n">
        <v>46.580547</v>
      </c>
      <c r="V155" t="n">
        <v>46.580547</v>
      </c>
      <c r="W155" t="n">
        <v>93.060855</v>
      </c>
      <c r="X155" t="n">
        <v>7459.131892</v>
      </c>
    </row>
    <row r="156" ht="36" customHeight="1">
      <c r="A156" t="inlineStr">
        <is>
          <t>Lethrinidae</t>
        </is>
      </c>
      <c r="B156" t="n">
        <v>3.59</v>
      </c>
      <c r="C156" t="n">
        <v>389.045145</v>
      </c>
      <c r="D156" s="11" t="inlineStr">
        <is>
          <t>Juvenile demersal fish (&gt; 30 cm) | Adult demersal fish (&gt; 30 cm)</t>
        </is>
      </c>
      <c r="E156" t="n">
        <v>140.953883</v>
      </c>
      <c r="F156" t="n">
        <v>228.824285</v>
      </c>
      <c r="G156" t="n">
        <v>114.897152</v>
      </c>
      <c r="H156" t="n">
        <v>408.798022</v>
      </c>
      <c r="I156" t="n">
        <v>6590.793316</v>
      </c>
      <c r="J156" t="n">
        <v>7071.146917</v>
      </c>
      <c r="K156" t="n">
        <v>2576.928919</v>
      </c>
      <c r="L156" t="n">
        <v>10677.999207</v>
      </c>
      <c r="M156" t="n">
        <v>10677.999207</v>
      </c>
      <c r="N156" t="n">
        <v>10677.999207</v>
      </c>
      <c r="O156" t="n">
        <v>85.006417</v>
      </c>
      <c r="P156" t="n">
        <v>38.52237</v>
      </c>
      <c r="Q156" t="n">
        <v>10677.999207</v>
      </c>
      <c r="R156" t="n">
        <v>10677.999207</v>
      </c>
      <c r="S156" t="n">
        <v>85.006417</v>
      </c>
      <c r="T156" t="n">
        <v>85.006417</v>
      </c>
      <c r="U156" t="n">
        <v>38.52237</v>
      </c>
      <c r="V156" t="n">
        <v>38.52237</v>
      </c>
      <c r="W156" t="n">
        <v>88.306245</v>
      </c>
      <c r="X156" t="n">
        <v>11509.306401</v>
      </c>
    </row>
    <row r="157" ht="36" customHeight="1">
      <c r="A157" t="inlineStr">
        <is>
          <t>Scomberoides</t>
        </is>
      </c>
      <c r="B157" t="n">
        <v>4.47</v>
      </c>
      <c r="C157" t="n">
        <v>2951.209227</v>
      </c>
      <c r="D157" s="11" t="inlineStr">
        <is>
          <t>Juvenile large pelagic fish | Pelagic fish (&gt; 30 cm)</t>
        </is>
      </c>
      <c r="E157" t="n">
        <v>140.953883</v>
      </c>
      <c r="F157" t="n">
        <v>200.641254</v>
      </c>
      <c r="G157" t="n">
        <v>102.228748</v>
      </c>
      <c r="H157" t="n">
        <v>215.010584</v>
      </c>
      <c r="I157" t="n">
        <v>6244.222521</v>
      </c>
      <c r="J157" t="n">
        <v>6325.914048</v>
      </c>
      <c r="K157" t="n">
        <v>1872.204427</v>
      </c>
      <c r="L157" t="n">
        <v>7112.982475</v>
      </c>
      <c r="M157" t="n">
        <v>7112.982475</v>
      </c>
      <c r="N157" t="n">
        <v>7112.982475</v>
      </c>
      <c r="O157" t="n">
        <v>87.969483</v>
      </c>
      <c r="P157" t="n">
        <v>46.580547</v>
      </c>
      <c r="Q157" t="n">
        <v>7112.982475</v>
      </c>
      <c r="R157" t="n">
        <v>7112.982475</v>
      </c>
      <c r="S157" t="n">
        <v>87.969483</v>
      </c>
      <c r="T157" t="n">
        <v>87.969483</v>
      </c>
      <c r="U157" t="n">
        <v>46.580547</v>
      </c>
      <c r="V157" t="n">
        <v>46.580547</v>
      </c>
      <c r="W157" t="n">
        <v>93.060855</v>
      </c>
      <c r="X157" t="n">
        <v>7459.131892</v>
      </c>
    </row>
    <row r="158" ht="36" customHeight="1">
      <c r="A158" t="inlineStr">
        <is>
          <t>Caranx</t>
        </is>
      </c>
      <c r="B158" t="n">
        <v>4.12</v>
      </c>
      <c r="C158" t="n">
        <v>1318.256739</v>
      </c>
      <c r="D158" s="11" t="inlineStr">
        <is>
          <t>Juvenile large pelagic fish | Pelagic fish (&gt; 30 cm)</t>
        </is>
      </c>
      <c r="E158" t="n">
        <v>140.953883</v>
      </c>
      <c r="F158" t="n">
        <v>200.641254</v>
      </c>
      <c r="G158" t="n">
        <v>102.228748</v>
      </c>
      <c r="H158" t="n">
        <v>215.010584</v>
      </c>
      <c r="I158" t="n">
        <v>6244.222521</v>
      </c>
      <c r="J158" t="n">
        <v>6325.914048</v>
      </c>
      <c r="K158" t="n">
        <v>1872.204427</v>
      </c>
      <c r="L158" t="n">
        <v>7112.982475</v>
      </c>
      <c r="M158" t="n">
        <v>7112.982475</v>
      </c>
      <c r="N158" t="n">
        <v>7112.982475</v>
      </c>
      <c r="O158" t="n">
        <v>87.969483</v>
      </c>
      <c r="P158" t="n">
        <v>46.580547</v>
      </c>
      <c r="Q158" t="n">
        <v>7112.982475</v>
      </c>
      <c r="R158" t="n">
        <v>7112.982475</v>
      </c>
      <c r="S158" t="n">
        <v>87.969483</v>
      </c>
      <c r="T158" t="n">
        <v>87.969483</v>
      </c>
      <c r="U158" t="n">
        <v>46.580547</v>
      </c>
      <c r="V158" t="n">
        <v>46.580547</v>
      </c>
      <c r="W158" t="n">
        <v>93.060855</v>
      </c>
      <c r="X158" t="n">
        <v>7459.131892</v>
      </c>
    </row>
    <row r="159" ht="36" customHeight="1">
      <c r="A159" t="inlineStr">
        <is>
          <t>Muraenesox</t>
        </is>
      </c>
      <c r="B159" t="n">
        <v>3.99</v>
      </c>
      <c r="C159" t="n">
        <v>977.237221</v>
      </c>
      <c r="D159" s="11" t="inlineStr">
        <is>
          <t>Juvenile demersal fish (&gt; 30 cm) | Adult demersal fish (&gt; 30 cm)</t>
        </is>
      </c>
      <c r="E159" t="n">
        <v>140.953883</v>
      </c>
      <c r="F159" t="n">
        <v>228.824285</v>
      </c>
      <c r="G159" t="n">
        <v>114.897152</v>
      </c>
      <c r="H159" t="n">
        <v>408.798022</v>
      </c>
      <c r="I159" t="n">
        <v>6590.793316</v>
      </c>
      <c r="J159" t="n">
        <v>7071.146917</v>
      </c>
      <c r="K159" t="n">
        <v>2576.928919</v>
      </c>
      <c r="L159" t="n">
        <v>10677.999207</v>
      </c>
      <c r="M159" t="n">
        <v>10677.999207</v>
      </c>
      <c r="N159" t="n">
        <v>10677.999207</v>
      </c>
      <c r="O159" t="n">
        <v>85.006417</v>
      </c>
      <c r="P159" t="n">
        <v>38.52237</v>
      </c>
      <c r="Q159" t="n">
        <v>10677.999207</v>
      </c>
      <c r="R159" t="n">
        <v>10677.999207</v>
      </c>
      <c r="S159" t="n">
        <v>85.006417</v>
      </c>
      <c r="T159" t="n">
        <v>85.006417</v>
      </c>
      <c r="U159" t="n">
        <v>38.52237</v>
      </c>
      <c r="V159" t="n">
        <v>38.52237</v>
      </c>
      <c r="W159" t="n">
        <v>88.306245</v>
      </c>
      <c r="X159" t="n">
        <v>11509.306401</v>
      </c>
    </row>
    <row r="160" ht="21" customHeight="1">
      <c r="A160" t="inlineStr">
        <is>
          <t>Cephalopholis boenak</t>
        </is>
      </c>
      <c r="B160" t="n">
        <v>4.07</v>
      </c>
      <c r="C160" t="n">
        <v>1174.897555</v>
      </c>
      <c r="D160" s="11" t="inlineStr">
        <is>
          <t>Adult groupers</t>
        </is>
      </c>
      <c r="E160" t="n">
        <v>140.953883</v>
      </c>
      <c r="F160" t="n">
        <v>539.046528</v>
      </c>
      <c r="G160" t="n">
        <v>244.14</v>
      </c>
      <c r="H160" t="n">
        <v>669.483011</v>
      </c>
      <c r="I160" t="n">
        <v>10399.759602</v>
      </c>
      <c r="J160" t="n">
        <v>10694.630086</v>
      </c>
      <c r="K160" t="n">
        <v>4010.486282</v>
      </c>
      <c r="L160" t="n">
        <v>14214.100911</v>
      </c>
      <c r="M160" t="n">
        <v>14214.100911</v>
      </c>
      <c r="N160" t="n">
        <v>14214.100911</v>
      </c>
      <c r="O160" t="n">
        <v>203.72024</v>
      </c>
      <c r="P160" t="n">
        <v>90.708206</v>
      </c>
      <c r="Q160" t="n">
        <v>14214.100911</v>
      </c>
      <c r="R160" t="n">
        <v>14214.100911</v>
      </c>
      <c r="S160" t="n">
        <v>203.72024</v>
      </c>
      <c r="T160" t="n">
        <v>203.72024</v>
      </c>
      <c r="U160" t="n">
        <v>90.708206</v>
      </c>
      <c r="V160" t="n">
        <v>90.708206</v>
      </c>
      <c r="W160" t="n">
        <v>213.076898</v>
      </c>
      <c r="X160" t="n">
        <v>15231.972848</v>
      </c>
    </row>
    <row r="161" ht="21" customHeight="1">
      <c r="A161" t="inlineStr">
        <is>
          <t>Decapterus maruadsi</t>
        </is>
      </c>
      <c r="B161" t="n">
        <v>3.4</v>
      </c>
      <c r="C161" t="n">
        <v>251.188643</v>
      </c>
      <c r="D161" s="11" t="inlineStr">
        <is>
          <t>Pelagic fish (≤ 30 cm)</t>
        </is>
      </c>
      <c r="E161" t="n">
        <v>140.953883</v>
      </c>
      <c r="F161" t="n">
        <v>60.479203</v>
      </c>
      <c r="G161" t="n">
        <v>36.07884</v>
      </c>
      <c r="H161" t="n">
        <v>45.98261</v>
      </c>
      <c r="I161" t="n">
        <v>395.888053</v>
      </c>
      <c r="J161" t="n">
        <v>395.888053</v>
      </c>
      <c r="K161" t="n">
        <v>376.09365</v>
      </c>
      <c r="L161" t="n">
        <v>393.787233</v>
      </c>
      <c r="M161" t="n">
        <v>393.787233</v>
      </c>
      <c r="N161" t="n">
        <v>393.787233</v>
      </c>
      <c r="O161" t="n">
        <v>20.916473</v>
      </c>
      <c r="P161" t="n">
        <v>13.510088</v>
      </c>
      <c r="Q161" t="n">
        <v>393.787233</v>
      </c>
      <c r="R161" t="n">
        <v>393.787233</v>
      </c>
      <c r="S161" t="n">
        <v>20.916473</v>
      </c>
      <c r="T161" t="n">
        <v>20.916473</v>
      </c>
      <c r="U161" t="n">
        <v>13.510088</v>
      </c>
      <c r="V161" t="n">
        <v>13.510088</v>
      </c>
      <c r="W161" t="n">
        <v>21.939981</v>
      </c>
      <c r="X161" t="n">
        <v>405.784084</v>
      </c>
    </row>
    <row r="162" ht="21" customHeight="1">
      <c r="A162" t="inlineStr">
        <is>
          <t>Veneridae</t>
        </is>
      </c>
      <c r="B162" t="n">
        <v>2</v>
      </c>
      <c r="C162" t="n">
        <v>10</v>
      </c>
      <c r="D162" s="11" t="inlineStr">
        <is>
          <t>Non-ceph molluscs</t>
        </is>
      </c>
      <c r="E162" t="n">
        <v>140.953883</v>
      </c>
      <c r="F162" t="n">
        <v>14.712171</v>
      </c>
      <c r="G162" t="n">
        <v>10.486582</v>
      </c>
      <c r="H162" t="n">
        <v>17.347998</v>
      </c>
      <c r="I162" t="n">
        <v>87.52377799999999</v>
      </c>
      <c r="J162" t="n">
        <v>87.52377799999999</v>
      </c>
      <c r="K162" t="n">
        <v>33.521607</v>
      </c>
      <c r="L162" t="n">
        <v>92.59366</v>
      </c>
      <c r="M162" t="n">
        <v>92.59366</v>
      </c>
      <c r="N162" t="n">
        <v>92.59366</v>
      </c>
      <c r="O162" t="n">
        <v>4.448657</v>
      </c>
      <c r="P162" t="n">
        <v>3.058348</v>
      </c>
      <c r="Q162" t="n">
        <v>92.59366</v>
      </c>
      <c r="R162" t="n">
        <v>92.59366</v>
      </c>
      <c r="S162" t="n">
        <v>4.448657</v>
      </c>
      <c r="T162" t="n">
        <v>4.448657</v>
      </c>
      <c r="U162" t="n">
        <v>3.058348</v>
      </c>
      <c r="V162" t="n">
        <v>3.058348</v>
      </c>
      <c r="W162" t="n">
        <v>4.556294</v>
      </c>
      <c r="X162" t="n">
        <v>96.447226</v>
      </c>
    </row>
    <row r="163" ht="21" customHeight="1">
      <c r="A163" t="inlineStr">
        <is>
          <t>Isurus</t>
        </is>
      </c>
      <c r="B163" t="n">
        <v>4.5</v>
      </c>
      <c r="C163" t="n">
        <v>3162.27766</v>
      </c>
      <c r="D163" s="11" t="inlineStr">
        <is>
          <t>Pelagic sharks and rays</t>
        </is>
      </c>
      <c r="E163" t="n">
        <v>140.953883</v>
      </c>
      <c r="F163" t="n">
        <v>908.988005</v>
      </c>
      <c r="G163" t="n">
        <v>385.472886</v>
      </c>
      <c r="H163" t="n">
        <v>784.4685459999999</v>
      </c>
      <c r="I163" t="n">
        <v>125208.792952</v>
      </c>
      <c r="J163" t="n">
        <v>126616.154086</v>
      </c>
      <c r="K163" t="n">
        <v>63308.077043</v>
      </c>
      <c r="L163" t="n">
        <v>172174.15174</v>
      </c>
      <c r="M163" t="n">
        <v>172174.151739</v>
      </c>
      <c r="N163" t="n">
        <v>172174.151739</v>
      </c>
      <c r="O163" t="n">
        <v>202.141045</v>
      </c>
      <c r="P163" t="n">
        <v>87.49926499999999</v>
      </c>
      <c r="Q163" t="n">
        <v>172174.151739</v>
      </c>
      <c r="R163" t="n">
        <v>172174.151739</v>
      </c>
      <c r="S163" t="n">
        <v>202.141045</v>
      </c>
      <c r="T163" t="n">
        <v>202.141045</v>
      </c>
      <c r="U163" t="n">
        <v>87.49926499999999</v>
      </c>
      <c r="V163" t="n">
        <v>87.49926499999999</v>
      </c>
      <c r="W163" t="n">
        <v>214.928725</v>
      </c>
      <c r="X163" t="n">
        <v>183923.261916</v>
      </c>
    </row>
    <row r="164" ht="36" customHeight="1">
      <c r="A164" t="inlineStr">
        <is>
          <t>Sphyraenidae</t>
        </is>
      </c>
      <c r="B164" t="n">
        <v>4.4</v>
      </c>
      <c r="C164" t="n">
        <v>2511.886432</v>
      </c>
      <c r="D164" s="11" t="inlineStr">
        <is>
          <t>Juvenile large pelagic fish | Pelagic fish (&gt; 30 cm)</t>
        </is>
      </c>
      <c r="E164" t="n">
        <v>140.953883</v>
      </c>
      <c r="F164" t="n">
        <v>200.641254</v>
      </c>
      <c r="G164" t="n">
        <v>102.228748</v>
      </c>
      <c r="H164" t="n">
        <v>215.010584</v>
      </c>
      <c r="I164" t="n">
        <v>6244.222521</v>
      </c>
      <c r="J164" t="n">
        <v>6325.914048</v>
      </c>
      <c r="K164" t="n">
        <v>1872.204427</v>
      </c>
      <c r="L164" t="n">
        <v>7112.982475</v>
      </c>
      <c r="M164" t="n">
        <v>7112.982475</v>
      </c>
      <c r="N164" t="n">
        <v>7112.982475</v>
      </c>
      <c r="O164" t="n">
        <v>87.969483</v>
      </c>
      <c r="P164" t="n">
        <v>46.580547</v>
      </c>
      <c r="Q164" t="n">
        <v>7112.982475</v>
      </c>
      <c r="R164" t="n">
        <v>7112.982475</v>
      </c>
      <c r="S164" t="n">
        <v>87.969483</v>
      </c>
      <c r="T164" t="n">
        <v>87.969483</v>
      </c>
      <c r="U164" t="n">
        <v>46.580547</v>
      </c>
      <c r="V164" t="n">
        <v>46.580547</v>
      </c>
      <c r="W164" t="n">
        <v>93.060855</v>
      </c>
      <c r="X164" t="n">
        <v>7459.131892</v>
      </c>
    </row>
    <row r="165" ht="21" customHeight="1">
      <c r="A165" t="inlineStr">
        <is>
          <t>Mene maculata</t>
        </is>
      </c>
      <c r="B165" t="n">
        <v>3.45</v>
      </c>
      <c r="C165" t="n">
        <v>281.838293</v>
      </c>
      <c r="D165" s="11" t="inlineStr">
        <is>
          <t>Benthopelagic fish</t>
        </is>
      </c>
      <c r="E165" t="n">
        <v>140.953883</v>
      </c>
      <c r="F165" t="n">
        <v>57.638856</v>
      </c>
      <c r="G165" t="n">
        <v>34.593347</v>
      </c>
      <c r="H165" t="n">
        <v>74.650282</v>
      </c>
      <c r="I165" t="n">
        <v>512.103289</v>
      </c>
      <c r="J165" t="n">
        <v>553.467817</v>
      </c>
      <c r="K165" t="n">
        <v>525.794426</v>
      </c>
      <c r="L165" t="n">
        <v>602.712303</v>
      </c>
      <c r="M165" t="n">
        <v>602.712303</v>
      </c>
      <c r="N165" t="n">
        <v>602.712303</v>
      </c>
      <c r="O165" t="n">
        <v>31.190871</v>
      </c>
      <c r="P165" t="n">
        <v>18.283791</v>
      </c>
      <c r="Q165" t="n">
        <v>602.712303</v>
      </c>
      <c r="R165" t="n">
        <v>602.712303</v>
      </c>
      <c r="S165" t="n">
        <v>31.190871</v>
      </c>
      <c r="T165" t="n">
        <v>31.190871</v>
      </c>
      <c r="U165" t="n">
        <v>18.283791</v>
      </c>
      <c r="V165" t="n">
        <v>18.283791</v>
      </c>
      <c r="W165" t="n">
        <v>32.089433</v>
      </c>
      <c r="X165" t="n">
        <v>622.065443</v>
      </c>
    </row>
    <row r="166" ht="36" customHeight="1">
      <c r="A166" t="inlineStr">
        <is>
          <t>Chirocentrus</t>
        </is>
      </c>
      <c r="B166" t="n">
        <v>4.3</v>
      </c>
      <c r="C166" t="n">
        <v>1995.262315</v>
      </c>
      <c r="D166" s="11" t="inlineStr">
        <is>
          <t>Juvenile large pelagic fish | Pelagic fish (&gt; 30 cm)</t>
        </is>
      </c>
      <c r="E166" t="n">
        <v>140.953883</v>
      </c>
      <c r="F166" t="n">
        <v>200.641254</v>
      </c>
      <c r="G166" t="n">
        <v>102.228748</v>
      </c>
      <c r="H166" t="n">
        <v>215.010584</v>
      </c>
      <c r="I166" t="n">
        <v>6244.222521</v>
      </c>
      <c r="J166" t="n">
        <v>6325.914048</v>
      </c>
      <c r="K166" t="n">
        <v>1872.204427</v>
      </c>
      <c r="L166" t="n">
        <v>7112.982475</v>
      </c>
      <c r="M166" t="n">
        <v>7112.982475</v>
      </c>
      <c r="N166" t="n">
        <v>7112.982475</v>
      </c>
      <c r="O166" t="n">
        <v>87.969483</v>
      </c>
      <c r="P166" t="n">
        <v>46.580547</v>
      </c>
      <c r="Q166" t="n">
        <v>7112.982475</v>
      </c>
      <c r="R166" t="n">
        <v>7112.982475</v>
      </c>
      <c r="S166" t="n">
        <v>87.969483</v>
      </c>
      <c r="T166" t="n">
        <v>87.969483</v>
      </c>
      <c r="U166" t="n">
        <v>46.580547</v>
      </c>
      <c r="V166" t="n">
        <v>46.580547</v>
      </c>
      <c r="W166" t="n">
        <v>93.060855</v>
      </c>
      <c r="X166" t="n">
        <v>7459.131892</v>
      </c>
    </row>
    <row r="167" ht="21" customHeight="1">
      <c r="A167" t="inlineStr">
        <is>
          <t>Portunus</t>
        </is>
      </c>
      <c r="B167" t="n">
        <v>3.26</v>
      </c>
      <c r="C167" t="n">
        <v>181.970086</v>
      </c>
      <c r="D167" s="11" t="inlineStr">
        <is>
          <t>Crabs</t>
        </is>
      </c>
      <c r="E167" t="n">
        <v>140.953883</v>
      </c>
      <c r="F167" t="n">
        <v>33.254785</v>
      </c>
      <c r="G167" t="n">
        <v>21.389991</v>
      </c>
      <c r="H167" t="n">
        <v>53.354334</v>
      </c>
      <c r="I167" t="n">
        <v>151.084056</v>
      </c>
      <c r="J167" t="n">
        <v>151.084056</v>
      </c>
      <c r="K167" t="n">
        <v>143.529853</v>
      </c>
      <c r="L167" t="n">
        <v>173.938876</v>
      </c>
      <c r="M167" t="n">
        <v>173.938876</v>
      </c>
      <c r="N167" t="n">
        <v>173.938876</v>
      </c>
      <c r="O167" t="n">
        <v>13.215653</v>
      </c>
      <c r="P167" t="n">
        <v>8.00437</v>
      </c>
      <c r="Q167" t="n">
        <v>173.938876</v>
      </c>
      <c r="R167" t="n">
        <v>173.938876</v>
      </c>
      <c r="S167" t="n">
        <v>13.215653</v>
      </c>
      <c r="T167" t="n">
        <v>13.215653</v>
      </c>
      <c r="U167" t="n">
        <v>8.00437</v>
      </c>
      <c r="V167" t="n">
        <v>8.00437</v>
      </c>
      <c r="W167" t="n">
        <v>13.539814</v>
      </c>
      <c r="X167" t="n">
        <v>184.933079</v>
      </c>
    </row>
    <row r="168" ht="51" customHeight="1">
      <c r="A168" t="inlineStr">
        <is>
          <t>Pleuronectiformes</t>
        </is>
      </c>
      <c r="B168" t="n">
        <v>3.57</v>
      </c>
      <c r="C168" t="n">
        <v>371.535229</v>
      </c>
      <c r="D168" s="11" t="inlineStr">
        <is>
          <t>Demesral fish (≤ 30 cm) | Juvenile demersal fish (&gt; 30 cm) | Adult demersal fish (&gt; 30 cm)</t>
        </is>
      </c>
      <c r="E168" t="n">
        <v>140.953883</v>
      </c>
      <c r="F168" t="n">
        <v>177.371403</v>
      </c>
      <c r="G168" t="n">
        <v>91.310768</v>
      </c>
      <c r="H168" t="n">
        <v>295.208302</v>
      </c>
      <c r="I168" t="n">
        <v>4269.898312</v>
      </c>
      <c r="J168" t="n">
        <v>4574.511297</v>
      </c>
      <c r="K168" t="n">
        <v>1801.225895</v>
      </c>
      <c r="L168" t="n">
        <v>6846.4367</v>
      </c>
      <c r="M168" t="n">
        <v>6846.4367</v>
      </c>
      <c r="N168" t="n">
        <v>6846.4367</v>
      </c>
      <c r="O168" t="n">
        <v>67.536573</v>
      </c>
      <c r="P168" t="n">
        <v>32.007796</v>
      </c>
      <c r="Q168" t="n">
        <v>6846.4367</v>
      </c>
      <c r="R168" t="n">
        <v>6846.4367</v>
      </c>
      <c r="S168" t="n">
        <v>67.536573</v>
      </c>
      <c r="T168" t="n">
        <v>67.536573</v>
      </c>
      <c r="U168" t="n">
        <v>32.007796</v>
      </c>
      <c r="V168" t="n">
        <v>32.007796</v>
      </c>
      <c r="W168" t="n">
        <v>70.113483</v>
      </c>
      <c r="X168" t="n">
        <v>7370.741192</v>
      </c>
    </row>
    <row r="169" ht="51" customHeight="1">
      <c r="A169" t="inlineStr">
        <is>
          <t>Paralichthys olivaceus</t>
        </is>
      </c>
      <c r="B169" t="n">
        <v>4.25</v>
      </c>
      <c r="C169" t="n">
        <v>1778.27941</v>
      </c>
      <c r="D169" s="11" t="inlineStr">
        <is>
          <t>Demesral fish (≤ 30 cm) | Juvenile demersal fish (&gt; 30 cm) | Adult demersal fish (&gt; 30 cm)</t>
        </is>
      </c>
      <c r="E169" t="n">
        <v>140.953883</v>
      </c>
      <c r="F169" t="n">
        <v>177.371403</v>
      </c>
      <c r="G169" t="n">
        <v>91.310768</v>
      </c>
      <c r="H169" t="n">
        <v>295.208302</v>
      </c>
      <c r="I169" t="n">
        <v>4269.898312</v>
      </c>
      <c r="J169" t="n">
        <v>4574.511297</v>
      </c>
      <c r="K169" t="n">
        <v>1801.225895</v>
      </c>
      <c r="L169" t="n">
        <v>6846.4367</v>
      </c>
      <c r="M169" t="n">
        <v>6846.4367</v>
      </c>
      <c r="N169" t="n">
        <v>6846.4367</v>
      </c>
      <c r="O169" t="n">
        <v>67.536573</v>
      </c>
      <c r="P169" t="n">
        <v>32.007796</v>
      </c>
      <c r="Q169" t="n">
        <v>6846.4367</v>
      </c>
      <c r="R169" t="n">
        <v>6846.4367</v>
      </c>
      <c r="S169" t="n">
        <v>67.536573</v>
      </c>
      <c r="T169" t="n">
        <v>67.536573</v>
      </c>
      <c r="U169" t="n">
        <v>32.007796</v>
      </c>
      <c r="V169" t="n">
        <v>32.007796</v>
      </c>
      <c r="W169" t="n">
        <v>70.113483</v>
      </c>
      <c r="X169" t="n">
        <v>7370.741192</v>
      </c>
    </row>
    <row r="170" ht="21" customHeight="1">
      <c r="A170" t="inlineStr">
        <is>
          <t>Polynemidae</t>
        </is>
      </c>
      <c r="B170" t="n">
        <v>3.62</v>
      </c>
      <c r="C170" t="n">
        <v>416.869383</v>
      </c>
      <c r="D170" s="11" t="inlineStr">
        <is>
          <t>Demesral fish (≤ 30 cm)</t>
        </is>
      </c>
      <c r="E170" t="n">
        <v>140.953883</v>
      </c>
      <c r="F170" t="n">
        <v>95.34341499999999</v>
      </c>
      <c r="G170" t="n">
        <v>53.708528</v>
      </c>
      <c r="H170" t="n">
        <v>114.11959</v>
      </c>
      <c r="I170" t="n">
        <v>569.846189</v>
      </c>
      <c r="J170" t="n">
        <v>594.287325</v>
      </c>
      <c r="K170" t="n">
        <v>564.572959</v>
      </c>
      <c r="L170" t="n">
        <v>738.02552</v>
      </c>
      <c r="M170" t="n">
        <v>738.02552</v>
      </c>
      <c r="N170" t="n">
        <v>738.02552</v>
      </c>
      <c r="O170" t="n">
        <v>39.685535</v>
      </c>
      <c r="P170" t="n">
        <v>21.622034</v>
      </c>
      <c r="Q170" t="n">
        <v>738.02552</v>
      </c>
      <c r="R170" t="n">
        <v>738.02552</v>
      </c>
      <c r="S170" t="n">
        <v>39.685535</v>
      </c>
      <c r="T170" t="n">
        <v>39.685535</v>
      </c>
      <c r="U170" t="n">
        <v>21.622034</v>
      </c>
      <c r="V170" t="n">
        <v>21.622034</v>
      </c>
      <c r="W170" t="n">
        <v>41.109943</v>
      </c>
      <c r="X170" t="n">
        <v>772.895549</v>
      </c>
    </row>
    <row r="171" ht="36" customHeight="1">
      <c r="A171" t="inlineStr">
        <is>
          <t>Caranx ignobilis</t>
        </is>
      </c>
      <c r="B171" t="n">
        <v>4.22</v>
      </c>
      <c r="C171" t="n">
        <v>1659.586907</v>
      </c>
      <c r="D171" s="11" t="inlineStr">
        <is>
          <t>Juvenile large pelagic fish | Pelagic fish (&gt; 30 cm)</t>
        </is>
      </c>
      <c r="E171" t="n">
        <v>140.953883</v>
      </c>
      <c r="F171" t="n">
        <v>200.641254</v>
      </c>
      <c r="G171" t="n">
        <v>102.228748</v>
      </c>
      <c r="H171" t="n">
        <v>215.010584</v>
      </c>
      <c r="I171" t="n">
        <v>6244.222521</v>
      </c>
      <c r="J171" t="n">
        <v>6325.914048</v>
      </c>
      <c r="K171" t="n">
        <v>1872.204427</v>
      </c>
      <c r="L171" t="n">
        <v>7112.982475</v>
      </c>
      <c r="M171" t="n">
        <v>7112.982475</v>
      </c>
      <c r="N171" t="n">
        <v>7112.982475</v>
      </c>
      <c r="O171" t="n">
        <v>87.969483</v>
      </c>
      <c r="P171" t="n">
        <v>46.580547</v>
      </c>
      <c r="Q171" t="n">
        <v>7112.982475</v>
      </c>
      <c r="R171" t="n">
        <v>7112.982475</v>
      </c>
      <c r="S171" t="n">
        <v>87.969483</v>
      </c>
      <c r="T171" t="n">
        <v>87.969483</v>
      </c>
      <c r="U171" t="n">
        <v>46.580547</v>
      </c>
      <c r="V171" t="n">
        <v>46.580547</v>
      </c>
      <c r="W171" t="n">
        <v>93.060855</v>
      </c>
      <c r="X171" t="n">
        <v>7459.131892</v>
      </c>
    </row>
    <row r="172" ht="36" customHeight="1">
      <c r="A172" t="inlineStr">
        <is>
          <t>Pomadasys</t>
        </is>
      </c>
      <c r="B172" t="n">
        <v>3.59</v>
      </c>
      <c r="C172" t="n">
        <v>389.045145</v>
      </c>
      <c r="D172" s="11" t="inlineStr">
        <is>
          <t>Juvenile demersal fish (&gt; 30 cm) | Adult demersal fish (&gt; 30 cm)</t>
        </is>
      </c>
      <c r="E172" t="n">
        <v>140.953883</v>
      </c>
      <c r="F172" t="n">
        <v>228.824285</v>
      </c>
      <c r="G172" t="n">
        <v>114.897152</v>
      </c>
      <c r="H172" t="n">
        <v>408.798022</v>
      </c>
      <c r="I172" t="n">
        <v>6590.793316</v>
      </c>
      <c r="J172" t="n">
        <v>7071.146917</v>
      </c>
      <c r="K172" t="n">
        <v>2576.928919</v>
      </c>
      <c r="L172" t="n">
        <v>10677.999207</v>
      </c>
      <c r="M172" t="n">
        <v>10677.999207</v>
      </c>
      <c r="N172" t="n">
        <v>10677.999207</v>
      </c>
      <c r="O172" t="n">
        <v>85.006417</v>
      </c>
      <c r="P172" t="n">
        <v>38.52237</v>
      </c>
      <c r="Q172" t="n">
        <v>10677.999207</v>
      </c>
      <c r="R172" t="n">
        <v>10677.999207</v>
      </c>
      <c r="S172" t="n">
        <v>85.006417</v>
      </c>
      <c r="T172" t="n">
        <v>85.006417</v>
      </c>
      <c r="U172" t="n">
        <v>38.52237</v>
      </c>
      <c r="V172" t="n">
        <v>38.52237</v>
      </c>
      <c r="W172" t="n">
        <v>88.306245</v>
      </c>
      <c r="X172" t="n">
        <v>11509.306401</v>
      </c>
    </row>
    <row r="173" ht="21" customHeight="1">
      <c r="A173" t="inlineStr">
        <is>
          <t>Gastropoda</t>
        </is>
      </c>
      <c r="B173" t="n">
        <v>3.06</v>
      </c>
      <c r="C173" t="n">
        <v>114.815362</v>
      </c>
      <c r="D173" s="11" t="inlineStr">
        <is>
          <t>Non-ceph molluscs</t>
        </is>
      </c>
      <c r="E173" t="n">
        <v>140.953883</v>
      </c>
      <c r="F173" t="n">
        <v>14.712171</v>
      </c>
      <c r="G173" t="n">
        <v>10.486582</v>
      </c>
      <c r="H173" t="n">
        <v>17.347998</v>
      </c>
      <c r="I173" t="n">
        <v>87.52377799999999</v>
      </c>
      <c r="J173" t="n">
        <v>87.52377799999999</v>
      </c>
      <c r="K173" t="n">
        <v>33.521607</v>
      </c>
      <c r="L173" t="n">
        <v>92.59366</v>
      </c>
      <c r="M173" t="n">
        <v>92.59366</v>
      </c>
      <c r="N173" t="n">
        <v>92.59366</v>
      </c>
      <c r="O173" t="n">
        <v>4.448657</v>
      </c>
      <c r="P173" t="n">
        <v>3.058348</v>
      </c>
      <c r="Q173" t="n">
        <v>92.59366</v>
      </c>
      <c r="R173" t="n">
        <v>92.59366</v>
      </c>
      <c r="S173" t="n">
        <v>4.448657</v>
      </c>
      <c r="T173" t="n">
        <v>4.448657</v>
      </c>
      <c r="U173" t="n">
        <v>3.058348</v>
      </c>
      <c r="V173" t="n">
        <v>3.058348</v>
      </c>
      <c r="W173" t="n">
        <v>4.556294</v>
      </c>
      <c r="X173" t="n">
        <v>96.447226</v>
      </c>
    </row>
    <row r="174" ht="21" customHeight="1">
      <c r="A174" t="inlineStr">
        <is>
          <t>Psenopsis anomala</t>
        </is>
      </c>
      <c r="B174" t="n">
        <v>4</v>
      </c>
      <c r="C174" t="n">
        <v>1000</v>
      </c>
      <c r="D174" s="11" t="inlineStr">
        <is>
          <t>Melon seed</t>
        </is>
      </c>
      <c r="E174" t="n">
        <v>140.953883</v>
      </c>
      <c r="F174" t="n">
        <v>105.954074</v>
      </c>
      <c r="G174" t="n">
        <v>58.897834</v>
      </c>
      <c r="H174" t="n">
        <v>94.696302</v>
      </c>
      <c r="I174" t="n">
        <v>1687.26083</v>
      </c>
      <c r="J174" t="n">
        <v>1714.476263</v>
      </c>
      <c r="K174" t="n">
        <v>1652.755118</v>
      </c>
      <c r="L174" t="n">
        <v>1871.214813</v>
      </c>
      <c r="M174" t="n">
        <v>1871.214813</v>
      </c>
      <c r="N174" t="n">
        <v>1871.214813</v>
      </c>
      <c r="O174" t="n">
        <v>83.98319100000001</v>
      </c>
      <c r="P174" t="n">
        <v>49.600357</v>
      </c>
      <c r="Q174" t="n">
        <v>1871.214813</v>
      </c>
      <c r="R174" t="n">
        <v>1871.214813</v>
      </c>
      <c r="S174" t="n">
        <v>83.98319100000001</v>
      </c>
      <c r="T174" t="n">
        <v>83.98319100000001</v>
      </c>
      <c r="U174" t="n">
        <v>49.600357</v>
      </c>
      <c r="V174" t="n">
        <v>49.600357</v>
      </c>
      <c r="W174" t="n">
        <v>88.607298</v>
      </c>
      <c r="X174" t="n">
        <v>1933.149653</v>
      </c>
    </row>
    <row r="175" ht="36" customHeight="1">
      <c r="A175" t="inlineStr">
        <is>
          <t>Platycephalus indicus</t>
        </is>
      </c>
      <c r="B175" t="n">
        <v>3.6</v>
      </c>
      <c r="C175" t="n">
        <v>398.107171</v>
      </c>
      <c r="D175" s="11" t="inlineStr">
        <is>
          <t>Juvenile demersal fish (&gt; 30 cm) | Adult demersal fish (&gt; 30 cm)</t>
        </is>
      </c>
      <c r="E175" t="n">
        <v>140.953883</v>
      </c>
      <c r="F175" t="n">
        <v>228.824285</v>
      </c>
      <c r="G175" t="n">
        <v>114.897152</v>
      </c>
      <c r="H175" t="n">
        <v>408.798022</v>
      </c>
      <c r="I175" t="n">
        <v>6590.793316</v>
      </c>
      <c r="J175" t="n">
        <v>7071.146917</v>
      </c>
      <c r="K175" t="n">
        <v>2576.928919</v>
      </c>
      <c r="L175" t="n">
        <v>10677.999207</v>
      </c>
      <c r="M175" t="n">
        <v>10677.999207</v>
      </c>
      <c r="N175" t="n">
        <v>10677.999207</v>
      </c>
      <c r="O175" t="n">
        <v>85.006417</v>
      </c>
      <c r="P175" t="n">
        <v>38.52237</v>
      </c>
      <c r="Q175" t="n">
        <v>10677.999207</v>
      </c>
      <c r="R175" t="n">
        <v>10677.999207</v>
      </c>
      <c r="S175" t="n">
        <v>85.006417</v>
      </c>
      <c r="T175" t="n">
        <v>85.006417</v>
      </c>
      <c r="U175" t="n">
        <v>38.52237</v>
      </c>
      <c r="V175" t="n">
        <v>38.52237</v>
      </c>
      <c r="W175" t="n">
        <v>88.306245</v>
      </c>
      <c r="X175" t="n">
        <v>11509.306401</v>
      </c>
    </row>
    <row r="176" ht="21" customHeight="1">
      <c r="A176" t="inlineStr">
        <is>
          <t>Ommastrephidae</t>
        </is>
      </c>
      <c r="B176" t="n">
        <v>4.09</v>
      </c>
      <c r="C176" t="n">
        <v>1230.268771</v>
      </c>
      <c r="D176" s="11" t="inlineStr">
        <is>
          <t>Cephalopods</t>
        </is>
      </c>
      <c r="E176" t="n">
        <v>140.953883</v>
      </c>
      <c r="F176" t="n">
        <v>170.518341</v>
      </c>
      <c r="G176" t="n">
        <v>89.274901</v>
      </c>
      <c r="H176" t="n">
        <v>176.937394</v>
      </c>
      <c r="I176" t="n">
        <v>1050.872908</v>
      </c>
      <c r="J176" t="n">
        <v>1075.829695</v>
      </c>
      <c r="K176" t="n">
        <v>537.914847</v>
      </c>
      <c r="L176" t="n">
        <v>1659.687874</v>
      </c>
      <c r="M176" t="n">
        <v>1659.687874</v>
      </c>
      <c r="N176" t="n">
        <v>1659.687874</v>
      </c>
      <c r="O176" t="n">
        <v>31.362197</v>
      </c>
      <c r="P176" t="n">
        <v>16.184075</v>
      </c>
      <c r="Q176" t="n">
        <v>1659.687874</v>
      </c>
      <c r="R176" t="n">
        <v>1659.687874</v>
      </c>
      <c r="S176" t="n">
        <v>31.362197</v>
      </c>
      <c r="T176" t="n">
        <v>31.362197</v>
      </c>
      <c r="U176" t="n">
        <v>16.184075</v>
      </c>
      <c r="V176" t="n">
        <v>16.184075</v>
      </c>
      <c r="W176" t="n">
        <v>32.286772</v>
      </c>
      <c r="X176" t="n">
        <v>1775.112325</v>
      </c>
    </row>
    <row r="177" ht="21" customHeight="1">
      <c r="A177" t="inlineStr">
        <is>
          <t>Gobiidae</t>
        </is>
      </c>
      <c r="B177" t="n">
        <v>3.11</v>
      </c>
      <c r="C177" t="n">
        <v>128.824955</v>
      </c>
      <c r="D177" s="11" t="inlineStr">
        <is>
          <t>Demesral fish (≤ 30 cm)</t>
        </is>
      </c>
      <c r="E177" t="n">
        <v>140.953883</v>
      </c>
      <c r="F177" t="n">
        <v>95.34341499999999</v>
      </c>
      <c r="G177" t="n">
        <v>53.708528</v>
      </c>
      <c r="H177" t="n">
        <v>114.11959</v>
      </c>
      <c r="I177" t="n">
        <v>569.846189</v>
      </c>
      <c r="J177" t="n">
        <v>594.287325</v>
      </c>
      <c r="K177" t="n">
        <v>564.572959</v>
      </c>
      <c r="L177" t="n">
        <v>738.02552</v>
      </c>
      <c r="M177" t="n">
        <v>738.02552</v>
      </c>
      <c r="N177" t="n">
        <v>738.02552</v>
      </c>
      <c r="O177" t="n">
        <v>39.685535</v>
      </c>
      <c r="P177" t="n">
        <v>21.622034</v>
      </c>
      <c r="Q177" t="n">
        <v>738.02552</v>
      </c>
      <c r="R177" t="n">
        <v>738.02552</v>
      </c>
      <c r="S177" t="n">
        <v>39.685535</v>
      </c>
      <c r="T177" t="n">
        <v>39.685535</v>
      </c>
      <c r="U177" t="n">
        <v>21.622034</v>
      </c>
      <c r="V177" t="n">
        <v>21.622034</v>
      </c>
      <c r="W177" t="n">
        <v>41.109943</v>
      </c>
      <c r="X177" t="n">
        <v>772.895549</v>
      </c>
    </row>
    <row r="178" ht="21" customHeight="1">
      <c r="A178" t="inlineStr">
        <is>
          <t>Cephea</t>
        </is>
      </c>
      <c r="B178" t="n">
        <v>3.46</v>
      </c>
      <c r="C178" t="n">
        <v>288.40315</v>
      </c>
      <c r="D178" s="11" t="inlineStr">
        <is>
          <t>Jellyfish</t>
        </is>
      </c>
      <c r="E178" t="n">
        <v>140.953883</v>
      </c>
      <c r="F178" t="n">
        <v>103.790936</v>
      </c>
      <c r="G178" t="n">
        <v>57.845447</v>
      </c>
      <c r="H178" t="n">
        <v>56.932587</v>
      </c>
      <c r="I178" t="n">
        <v>468.918008</v>
      </c>
      <c r="J178" t="n">
        <v>473.97462</v>
      </c>
      <c r="K178" t="n">
        <v>450.275889</v>
      </c>
      <c r="L178" t="n">
        <v>711.02964</v>
      </c>
      <c r="M178" t="n">
        <v>711.02964</v>
      </c>
      <c r="N178" t="n">
        <v>711.02964</v>
      </c>
      <c r="O178" t="n">
        <v>34.656914</v>
      </c>
      <c r="P178" t="n">
        <v>19.970973</v>
      </c>
      <c r="Q178" t="n">
        <v>711.02964</v>
      </c>
      <c r="R178" t="n">
        <v>711.02964</v>
      </c>
      <c r="S178" t="n">
        <v>34.656914</v>
      </c>
      <c r="T178" t="n">
        <v>34.656914</v>
      </c>
      <c r="U178" t="n">
        <v>19.970973</v>
      </c>
      <c r="V178" t="n">
        <v>19.970973</v>
      </c>
      <c r="W178" t="n">
        <v>36.368369</v>
      </c>
      <c r="X178" t="n">
        <v>756.8536319999999</v>
      </c>
    </row>
    <row r="179" ht="36" customHeight="1">
      <c r="A179" t="inlineStr">
        <is>
          <t>Haemulidae</t>
        </is>
      </c>
      <c r="B179" t="n">
        <v>3.36</v>
      </c>
      <c r="C179" t="n">
        <v>229.086765</v>
      </c>
      <c r="D179" s="11" t="inlineStr">
        <is>
          <t>Juvenile demersal fish (&gt; 30 cm) | Adult demersal fish (&gt; 30 cm)</t>
        </is>
      </c>
      <c r="E179" t="n">
        <v>140.953883</v>
      </c>
      <c r="F179" t="n">
        <v>228.824285</v>
      </c>
      <c r="G179" t="n">
        <v>114.897152</v>
      </c>
      <c r="H179" t="n">
        <v>408.798022</v>
      </c>
      <c r="I179" t="n">
        <v>6590.793316</v>
      </c>
      <c r="J179" t="n">
        <v>7071.146917</v>
      </c>
      <c r="K179" t="n">
        <v>2576.928919</v>
      </c>
      <c r="L179" t="n">
        <v>10677.999207</v>
      </c>
      <c r="M179" t="n">
        <v>10677.999207</v>
      </c>
      <c r="N179" t="n">
        <v>10677.999207</v>
      </c>
      <c r="O179" t="n">
        <v>85.006417</v>
      </c>
      <c r="P179" t="n">
        <v>38.52237</v>
      </c>
      <c r="Q179" t="n">
        <v>10677.999207</v>
      </c>
      <c r="R179" t="n">
        <v>10677.999207</v>
      </c>
      <c r="S179" t="n">
        <v>85.006417</v>
      </c>
      <c r="T179" t="n">
        <v>85.006417</v>
      </c>
      <c r="U179" t="n">
        <v>38.52237</v>
      </c>
      <c r="V179" t="n">
        <v>38.52237</v>
      </c>
      <c r="W179" t="n">
        <v>88.306245</v>
      </c>
      <c r="X179" t="n">
        <v>11509.306401</v>
      </c>
    </row>
    <row r="180" ht="21" customHeight="1">
      <c r="A180" t="inlineStr">
        <is>
          <t>Mytilidae</t>
        </is>
      </c>
      <c r="B180" t="n">
        <v>2</v>
      </c>
      <c r="C180" t="n">
        <v>10</v>
      </c>
      <c r="D180" s="11" t="inlineStr">
        <is>
          <t>Non-ceph molluscs</t>
        </is>
      </c>
      <c r="E180" t="n">
        <v>140.953883</v>
      </c>
      <c r="F180" t="n">
        <v>14.712171</v>
      </c>
      <c r="G180" t="n">
        <v>10.486582</v>
      </c>
      <c r="H180" t="n">
        <v>17.347998</v>
      </c>
      <c r="I180" t="n">
        <v>87.52377799999999</v>
      </c>
      <c r="J180" t="n">
        <v>87.52377799999999</v>
      </c>
      <c r="K180" t="n">
        <v>33.521607</v>
      </c>
      <c r="L180" t="n">
        <v>92.59366</v>
      </c>
      <c r="M180" t="n">
        <v>92.59366</v>
      </c>
      <c r="N180" t="n">
        <v>92.59366</v>
      </c>
      <c r="O180" t="n">
        <v>4.448657</v>
      </c>
      <c r="P180" t="n">
        <v>3.058348</v>
      </c>
      <c r="Q180" t="n">
        <v>92.59366</v>
      </c>
      <c r="R180" t="n">
        <v>92.59366</v>
      </c>
      <c r="S180" t="n">
        <v>4.448657</v>
      </c>
      <c r="T180" t="n">
        <v>4.448657</v>
      </c>
      <c r="U180" t="n">
        <v>3.058348</v>
      </c>
      <c r="V180" t="n">
        <v>3.058348</v>
      </c>
      <c r="W180" t="n">
        <v>4.556294</v>
      </c>
      <c r="X180" t="n">
        <v>96.447226</v>
      </c>
    </row>
    <row r="181" ht="21" customHeight="1">
      <c r="A181" t="inlineStr">
        <is>
          <t>Upeneus moluccensis</t>
        </is>
      </c>
      <c r="B181" t="n">
        <v>3.63</v>
      </c>
      <c r="C181" t="n">
        <v>426.579519</v>
      </c>
      <c r="D181" s="11" t="inlineStr">
        <is>
          <t>Demesral fish (≤ 30 cm)</t>
        </is>
      </c>
      <c r="E181" t="n">
        <v>140.953883</v>
      </c>
      <c r="F181" t="n">
        <v>95.34341499999999</v>
      </c>
      <c r="G181" t="n">
        <v>53.708528</v>
      </c>
      <c r="H181" t="n">
        <v>114.11959</v>
      </c>
      <c r="I181" t="n">
        <v>569.846189</v>
      </c>
      <c r="J181" t="n">
        <v>594.287325</v>
      </c>
      <c r="K181" t="n">
        <v>564.572959</v>
      </c>
      <c r="L181" t="n">
        <v>738.02552</v>
      </c>
      <c r="M181" t="n">
        <v>738.02552</v>
      </c>
      <c r="N181" t="n">
        <v>738.02552</v>
      </c>
      <c r="O181" t="n">
        <v>39.685535</v>
      </c>
      <c r="P181" t="n">
        <v>21.622034</v>
      </c>
      <c r="Q181" t="n">
        <v>738.02552</v>
      </c>
      <c r="R181" t="n">
        <v>738.02552</v>
      </c>
      <c r="S181" t="n">
        <v>39.685535</v>
      </c>
      <c r="T181" t="n">
        <v>39.685535</v>
      </c>
      <c r="U181" t="n">
        <v>21.622034</v>
      </c>
      <c r="V181" t="n">
        <v>21.622034</v>
      </c>
      <c r="W181" t="n">
        <v>41.109943</v>
      </c>
      <c r="X181" t="n">
        <v>772.895549</v>
      </c>
    </row>
    <row r="182" ht="21" customHeight="1">
      <c r="A182" t="inlineStr">
        <is>
          <t>Perna viridis</t>
        </is>
      </c>
      <c r="B182" t="n">
        <v>2</v>
      </c>
      <c r="C182" t="n">
        <v>10</v>
      </c>
      <c r="D182" s="11" t="inlineStr">
        <is>
          <t>Non-ceph molluscs</t>
        </is>
      </c>
      <c r="E182" t="n">
        <v>140.953883</v>
      </c>
      <c r="F182" t="n">
        <v>14.712171</v>
      </c>
      <c r="G182" t="n">
        <v>10.486582</v>
      </c>
      <c r="H182" t="n">
        <v>17.347998</v>
      </c>
      <c r="I182" t="n">
        <v>87.52377799999999</v>
      </c>
      <c r="J182" t="n">
        <v>87.52377799999999</v>
      </c>
      <c r="K182" t="n">
        <v>33.521607</v>
      </c>
      <c r="L182" t="n">
        <v>92.59366</v>
      </c>
      <c r="M182" t="n">
        <v>92.59366</v>
      </c>
      <c r="N182" t="n">
        <v>92.59366</v>
      </c>
      <c r="O182" t="n">
        <v>4.448657</v>
      </c>
      <c r="P182" t="n">
        <v>3.058348</v>
      </c>
      <c r="Q182" t="n">
        <v>92.59366</v>
      </c>
      <c r="R182" t="n">
        <v>92.59366</v>
      </c>
      <c r="S182" t="n">
        <v>4.448657</v>
      </c>
      <c r="T182" t="n">
        <v>4.448657</v>
      </c>
      <c r="U182" t="n">
        <v>3.058348</v>
      </c>
      <c r="V182" t="n">
        <v>3.058348</v>
      </c>
      <c r="W182" t="n">
        <v>4.556294</v>
      </c>
      <c r="X182" t="n">
        <v>96.447226</v>
      </c>
    </row>
    <row r="183" ht="36" customHeight="1">
      <c r="A183" t="inlineStr">
        <is>
          <t>Terapon</t>
        </is>
      </c>
      <c r="B183" t="n">
        <v>3.5</v>
      </c>
      <c r="C183" t="n">
        <v>316.227766</v>
      </c>
      <c r="D183" s="11" t="inlineStr">
        <is>
          <t>Juvenile demersal fish (&gt; 30 cm) | Adult demersal fish (&gt; 30 cm)</t>
        </is>
      </c>
      <c r="E183" t="n">
        <v>140.953883</v>
      </c>
      <c r="F183" t="n">
        <v>228.824285</v>
      </c>
      <c r="G183" t="n">
        <v>114.897152</v>
      </c>
      <c r="H183" t="n">
        <v>408.798022</v>
      </c>
      <c r="I183" t="n">
        <v>6590.793316</v>
      </c>
      <c r="J183" t="n">
        <v>7071.146917</v>
      </c>
      <c r="K183" t="n">
        <v>2576.928919</v>
      </c>
      <c r="L183" t="n">
        <v>10677.999207</v>
      </c>
      <c r="M183" t="n">
        <v>10677.999207</v>
      </c>
      <c r="N183" t="n">
        <v>10677.999207</v>
      </c>
      <c r="O183" t="n">
        <v>85.006417</v>
      </c>
      <c r="P183" t="n">
        <v>38.52237</v>
      </c>
      <c r="Q183" t="n">
        <v>10677.999207</v>
      </c>
      <c r="R183" t="n">
        <v>10677.999207</v>
      </c>
      <c r="S183" t="n">
        <v>85.006417</v>
      </c>
      <c r="T183" t="n">
        <v>85.006417</v>
      </c>
      <c r="U183" t="n">
        <v>38.52237</v>
      </c>
      <c r="V183" t="n">
        <v>38.52237</v>
      </c>
      <c r="W183" t="n">
        <v>88.306245</v>
      </c>
      <c r="X183" t="n">
        <v>11509.306401</v>
      </c>
    </row>
    <row r="184" ht="21" customHeight="1">
      <c r="A184" t="inlineStr">
        <is>
          <t>Pampus chinensis</t>
        </is>
      </c>
      <c r="B184" t="n">
        <v>3.6</v>
      </c>
      <c r="C184" t="n">
        <v>398.107171</v>
      </c>
      <c r="D184" s="11" t="inlineStr">
        <is>
          <t>Pomfret (stromateids)</t>
        </is>
      </c>
      <c r="E184" t="n">
        <v>140.953883</v>
      </c>
      <c r="F184" t="n">
        <v>342.280115</v>
      </c>
      <c r="G184" t="n">
        <v>164.146984</v>
      </c>
      <c r="H184" t="n">
        <v>260.083928</v>
      </c>
      <c r="I184" t="n">
        <v>1585.623721</v>
      </c>
      <c r="J184" t="n">
        <v>1650.152477</v>
      </c>
      <c r="K184" t="n">
        <v>1567.644853</v>
      </c>
      <c r="L184" t="n">
        <v>2274.19106</v>
      </c>
      <c r="M184" t="n">
        <v>2274.19106</v>
      </c>
      <c r="N184" t="n">
        <v>2274.19106</v>
      </c>
      <c r="O184" t="n">
        <v>105.127985</v>
      </c>
      <c r="P184" t="n">
        <v>50.974766</v>
      </c>
      <c r="Q184" t="n">
        <v>2274.19106</v>
      </c>
      <c r="R184" t="n">
        <v>2274.19106</v>
      </c>
      <c r="S184" t="n">
        <v>105.127985</v>
      </c>
      <c r="T184" t="n">
        <v>105.127985</v>
      </c>
      <c r="U184" t="n">
        <v>50.974766</v>
      </c>
      <c r="V184" t="n">
        <v>50.974766</v>
      </c>
      <c r="W184" t="n">
        <v>111.155847</v>
      </c>
      <c r="X184" t="n">
        <v>2438.947747</v>
      </c>
    </row>
    <row r="185" ht="21" customHeight="1">
      <c r="A185" t="inlineStr">
        <is>
          <t>Rhizostomeae</t>
        </is>
      </c>
      <c r="B185" t="n">
        <v>3.46</v>
      </c>
      <c r="C185" t="n">
        <v>288.40315</v>
      </c>
      <c r="D185" s="11" t="inlineStr">
        <is>
          <t>Jellyfish</t>
        </is>
      </c>
      <c r="E185" t="n">
        <v>140.953883</v>
      </c>
      <c r="F185" t="n">
        <v>103.790936</v>
      </c>
      <c r="G185" t="n">
        <v>57.845447</v>
      </c>
      <c r="H185" t="n">
        <v>56.932587</v>
      </c>
      <c r="I185" t="n">
        <v>468.918008</v>
      </c>
      <c r="J185" t="n">
        <v>473.97462</v>
      </c>
      <c r="K185" t="n">
        <v>450.275889</v>
      </c>
      <c r="L185" t="n">
        <v>711.02964</v>
      </c>
      <c r="M185" t="n">
        <v>711.02964</v>
      </c>
      <c r="N185" t="n">
        <v>711.02964</v>
      </c>
      <c r="O185" t="n">
        <v>34.656914</v>
      </c>
      <c r="P185" t="n">
        <v>19.970973</v>
      </c>
      <c r="Q185" t="n">
        <v>711.02964</v>
      </c>
      <c r="R185" t="n">
        <v>711.02964</v>
      </c>
      <c r="S185" t="n">
        <v>34.656914</v>
      </c>
      <c r="T185" t="n">
        <v>34.656914</v>
      </c>
      <c r="U185" t="n">
        <v>19.970973</v>
      </c>
      <c r="V185" t="n">
        <v>19.970973</v>
      </c>
      <c r="W185" t="n">
        <v>36.368369</v>
      </c>
      <c r="X185" t="n">
        <v>756.8536319999999</v>
      </c>
    </row>
    <row r="186" ht="36" customHeight="1">
      <c r="A186" t="inlineStr">
        <is>
          <t>Sillago</t>
        </is>
      </c>
      <c r="B186" t="n">
        <v>3.33</v>
      </c>
      <c r="C186" t="n">
        <v>213.796209</v>
      </c>
      <c r="D186" s="11" t="inlineStr">
        <is>
          <t>Juvenile demersal fish (&gt; 30 cm) | Adult demersal fish (&gt; 30 cm)</t>
        </is>
      </c>
      <c r="E186" t="n">
        <v>140.953883</v>
      </c>
      <c r="F186" t="n">
        <v>228.824285</v>
      </c>
      <c r="G186" t="n">
        <v>114.897152</v>
      </c>
      <c r="H186" t="n">
        <v>408.798022</v>
      </c>
      <c r="I186" t="n">
        <v>6590.793316</v>
      </c>
      <c r="J186" t="n">
        <v>7071.146917</v>
      </c>
      <c r="K186" t="n">
        <v>2576.928919</v>
      </c>
      <c r="L186" t="n">
        <v>10677.999207</v>
      </c>
      <c r="M186" t="n">
        <v>10677.999207</v>
      </c>
      <c r="N186" t="n">
        <v>10677.999207</v>
      </c>
      <c r="O186" t="n">
        <v>85.006417</v>
      </c>
      <c r="P186" t="n">
        <v>38.52237</v>
      </c>
      <c r="Q186" t="n">
        <v>10677.999207</v>
      </c>
      <c r="R186" t="n">
        <v>10677.999207</v>
      </c>
      <c r="S186" t="n">
        <v>85.006417</v>
      </c>
      <c r="T186" t="n">
        <v>85.006417</v>
      </c>
      <c r="U186" t="n">
        <v>38.52237</v>
      </c>
      <c r="V186" t="n">
        <v>38.52237</v>
      </c>
      <c r="W186" t="n">
        <v>88.306245</v>
      </c>
      <c r="X186" t="n">
        <v>11509.306401</v>
      </c>
    </row>
    <row r="187" ht="21" customHeight="1">
      <c r="A187" t="inlineStr">
        <is>
          <t>Scyllaridae</t>
        </is>
      </c>
      <c r="B187" t="n">
        <v>2.87</v>
      </c>
      <c r="C187" t="n">
        <v>74.131024</v>
      </c>
      <c r="D187" s="11" t="inlineStr">
        <is>
          <t>Benthic crustaceans</t>
        </is>
      </c>
      <c r="E187" t="n">
        <v>140.953883</v>
      </c>
      <c r="F187" t="n">
        <v>15.812995</v>
      </c>
      <c r="G187" t="n">
        <v>11.169278</v>
      </c>
      <c r="H187" t="n">
        <v>22.580939</v>
      </c>
      <c r="I187" t="n">
        <v>110.765161</v>
      </c>
      <c r="J187" t="n">
        <v>110.765161</v>
      </c>
      <c r="K187" t="n">
        <v>69.11746100000001</v>
      </c>
      <c r="L187" t="n">
        <v>113.463496</v>
      </c>
      <c r="M187" t="n">
        <v>113.463496</v>
      </c>
      <c r="N187" t="n">
        <v>113.463496</v>
      </c>
      <c r="O187" t="n">
        <v>8.170260000000001</v>
      </c>
      <c r="P187" t="n">
        <v>5.693764</v>
      </c>
      <c r="Q187" t="n">
        <v>113.463496</v>
      </c>
      <c r="R187" t="n">
        <v>113.463496</v>
      </c>
      <c r="S187" t="n">
        <v>8.170260000000001</v>
      </c>
      <c r="T187" t="n">
        <v>8.170260000000001</v>
      </c>
      <c r="U187" t="n">
        <v>5.693764</v>
      </c>
      <c r="V187" t="n">
        <v>5.693764</v>
      </c>
      <c r="W187" t="n">
        <v>8.298344999999999</v>
      </c>
      <c r="X187" t="n">
        <v>118.931059</v>
      </c>
    </row>
    <row r="188" ht="21" customHeight="1">
      <c r="A188" t="inlineStr">
        <is>
          <t>Anodontostoma chacunda</t>
        </is>
      </c>
      <c r="B188" t="n">
        <v>2.84</v>
      </c>
      <c r="C188" t="n">
        <v>69.183097</v>
      </c>
      <c r="D188" s="11" t="inlineStr">
        <is>
          <t>Pelagic fish (≤ 30 cm)</t>
        </is>
      </c>
      <c r="E188" t="n">
        <v>140.953883</v>
      </c>
      <c r="F188" t="n">
        <v>60.479203</v>
      </c>
      <c r="G188" t="n">
        <v>36.07884</v>
      </c>
      <c r="H188" t="n">
        <v>45.98261</v>
      </c>
      <c r="I188" t="n">
        <v>395.888053</v>
      </c>
      <c r="J188" t="n">
        <v>395.888053</v>
      </c>
      <c r="K188" t="n">
        <v>376.09365</v>
      </c>
      <c r="L188" t="n">
        <v>393.787233</v>
      </c>
      <c r="M188" t="n">
        <v>393.787233</v>
      </c>
      <c r="N188" t="n">
        <v>393.787233</v>
      </c>
      <c r="O188" t="n">
        <v>20.916473</v>
      </c>
      <c r="P188" t="n">
        <v>13.510088</v>
      </c>
      <c r="Q188" t="n">
        <v>393.787233</v>
      </c>
      <c r="R188" t="n">
        <v>393.787233</v>
      </c>
      <c r="S188" t="n">
        <v>20.916473</v>
      </c>
      <c r="T188" t="n">
        <v>20.916473</v>
      </c>
      <c r="U188" t="n">
        <v>13.510088</v>
      </c>
      <c r="V188" t="n">
        <v>13.510088</v>
      </c>
      <c r="W188" t="n">
        <v>21.939981</v>
      </c>
      <c r="X188" t="n">
        <v>405.784084</v>
      </c>
    </row>
    <row r="189" ht="21" customHeight="1">
      <c r="A189" t="inlineStr">
        <is>
          <t>Echinoidea</t>
        </is>
      </c>
      <c r="B189" t="n">
        <v>2.51</v>
      </c>
      <c r="C189" t="n">
        <v>32.359366</v>
      </c>
      <c r="D189" s="11" t="inlineStr">
        <is>
          <t>Echinoderms</t>
        </is>
      </c>
      <c r="E189" t="n">
        <v>140.953883</v>
      </c>
      <c r="F189" t="n">
        <v>18.617087</v>
      </c>
      <c r="G189" t="n">
        <v>12.882339</v>
      </c>
      <c r="H189" t="n">
        <v>42.220898</v>
      </c>
      <c r="I189" t="n">
        <v>603.989501</v>
      </c>
      <c r="J189" t="n">
        <v>603.989501</v>
      </c>
      <c r="K189" t="n">
        <v>240.387821</v>
      </c>
      <c r="L189" t="n">
        <v>1080.992157</v>
      </c>
      <c r="M189" t="n">
        <v>1080.992157</v>
      </c>
      <c r="N189" t="n">
        <v>1080.992157</v>
      </c>
      <c r="O189" t="n">
        <v>17.290347</v>
      </c>
      <c r="P189" t="n">
        <v>9.498851999999999</v>
      </c>
      <c r="Q189" t="n">
        <v>1080.992157</v>
      </c>
      <c r="R189" t="n">
        <v>1080.992157</v>
      </c>
      <c r="S189" t="n">
        <v>17.290347</v>
      </c>
      <c r="T189" t="n">
        <v>17.290347</v>
      </c>
      <c r="U189" t="n">
        <v>9.498851999999999</v>
      </c>
      <c r="V189" t="n">
        <v>9.498851999999999</v>
      </c>
      <c r="W189" t="n">
        <v>17.932707</v>
      </c>
      <c r="X189" t="n">
        <v>1135.08839</v>
      </c>
    </row>
    <row r="190" ht="21" customHeight="1">
      <c r="A190" t="inlineStr">
        <is>
          <t>Ariomma indica</t>
        </is>
      </c>
      <c r="B190" t="n">
        <v>3.63</v>
      </c>
      <c r="C190" t="n">
        <v>426.579519</v>
      </c>
      <c r="D190" s="11" t="inlineStr">
        <is>
          <t>Benthopelagic fish</t>
        </is>
      </c>
      <c r="E190" t="n">
        <v>140.953883</v>
      </c>
      <c r="F190" t="n">
        <v>57.638856</v>
      </c>
      <c r="G190" t="n">
        <v>34.593347</v>
      </c>
      <c r="H190" t="n">
        <v>74.650282</v>
      </c>
      <c r="I190" t="n">
        <v>512.103289</v>
      </c>
      <c r="J190" t="n">
        <v>553.467817</v>
      </c>
      <c r="K190" t="n">
        <v>525.794426</v>
      </c>
      <c r="L190" t="n">
        <v>602.712303</v>
      </c>
      <c r="M190" t="n">
        <v>602.712303</v>
      </c>
      <c r="N190" t="n">
        <v>602.712303</v>
      </c>
      <c r="O190" t="n">
        <v>31.190871</v>
      </c>
      <c r="P190" t="n">
        <v>18.283791</v>
      </c>
      <c r="Q190" t="n">
        <v>602.712303</v>
      </c>
      <c r="R190" t="n">
        <v>602.712303</v>
      </c>
      <c r="S190" t="n">
        <v>31.190871</v>
      </c>
      <c r="T190" t="n">
        <v>31.190871</v>
      </c>
      <c r="U190" t="n">
        <v>18.283791</v>
      </c>
      <c r="V190" t="n">
        <v>18.283791</v>
      </c>
      <c r="W190" t="n">
        <v>32.089433</v>
      </c>
      <c r="X190" t="n">
        <v>622.065443</v>
      </c>
    </row>
    <row r="191" ht="21" customHeight="1">
      <c r="A191" t="inlineStr">
        <is>
          <t>Lutjanus quinquelineatus</t>
        </is>
      </c>
      <c r="B191" t="n">
        <v>3.68</v>
      </c>
      <c r="C191" t="n">
        <v>478.630092</v>
      </c>
      <c r="D191" s="11" t="inlineStr">
        <is>
          <t>Snappers</t>
        </is>
      </c>
      <c r="E191" t="n">
        <v>140.953883</v>
      </c>
      <c r="F191" t="n">
        <v>554.842266</v>
      </c>
      <c r="G191" t="n">
        <v>250.381754</v>
      </c>
      <c r="H191" t="n">
        <v>650.642591</v>
      </c>
      <c r="I191" t="n">
        <v>3230.237663</v>
      </c>
      <c r="J191" t="n">
        <v>3367.037571</v>
      </c>
      <c r="K191" t="n">
        <v>3198.685692</v>
      </c>
      <c r="L191" t="n">
        <v>4133.4309</v>
      </c>
      <c r="M191" t="n">
        <v>4133.4309</v>
      </c>
      <c r="N191" t="n">
        <v>4133.4309</v>
      </c>
      <c r="O191" t="n">
        <v>205.658598</v>
      </c>
      <c r="P191" t="n">
        <v>91.38801100000001</v>
      </c>
      <c r="Q191" t="n">
        <v>4133.4309</v>
      </c>
      <c r="R191" t="n">
        <v>4133.4309</v>
      </c>
      <c r="S191" t="n">
        <v>205.658598</v>
      </c>
      <c r="T191" t="n">
        <v>205.658598</v>
      </c>
      <c r="U191" t="n">
        <v>91.38801100000001</v>
      </c>
      <c r="V191" t="n">
        <v>91.38801100000001</v>
      </c>
      <c r="W191" t="n">
        <v>216.473302</v>
      </c>
      <c r="X191" t="n">
        <v>4393.486979</v>
      </c>
    </row>
    <row r="192" ht="36" customHeight="1">
      <c r="A192" t="inlineStr">
        <is>
          <t>Platycaranx talamparoides</t>
        </is>
      </c>
      <c r="B192" t="n">
        <v>4.4</v>
      </c>
      <c r="C192" t="n">
        <v>2511.886432</v>
      </c>
      <c r="D192" s="11" t="inlineStr">
        <is>
          <t>Juvenile large pelagic fish | Pelagic fish (&gt; 30 cm)</t>
        </is>
      </c>
      <c r="E192" t="n">
        <v>140.953883</v>
      </c>
      <c r="F192" t="n">
        <v>200.641254</v>
      </c>
      <c r="G192" t="n">
        <v>102.228748</v>
      </c>
      <c r="H192" t="n">
        <v>215.010584</v>
      </c>
      <c r="I192" t="n">
        <v>6244.222521</v>
      </c>
      <c r="J192" t="n">
        <v>6325.914048</v>
      </c>
      <c r="K192" t="n">
        <v>1872.204427</v>
      </c>
      <c r="L192" t="n">
        <v>7112.982475</v>
      </c>
      <c r="M192" t="n">
        <v>7112.982475</v>
      </c>
      <c r="N192" t="n">
        <v>7112.982475</v>
      </c>
      <c r="O192" t="n">
        <v>87.969483</v>
      </c>
      <c r="P192" t="n">
        <v>46.580547</v>
      </c>
      <c r="Q192" t="n">
        <v>7112.982475</v>
      </c>
      <c r="R192" t="n">
        <v>7112.982475</v>
      </c>
      <c r="S192" t="n">
        <v>87.969483</v>
      </c>
      <c r="T192" t="n">
        <v>87.969483</v>
      </c>
      <c r="U192" t="n">
        <v>46.580547</v>
      </c>
      <c r="V192" t="n">
        <v>46.580547</v>
      </c>
      <c r="W192" t="n">
        <v>93.060855</v>
      </c>
      <c r="X192" t="n">
        <v>7459.131892</v>
      </c>
    </row>
    <row r="193" ht="36" customHeight="1">
      <c r="A193" t="inlineStr">
        <is>
          <t>Planiliza haematocheilus</t>
        </is>
      </c>
      <c r="B193" t="n">
        <v>2.5</v>
      </c>
      <c r="C193" t="n">
        <v>31.622777</v>
      </c>
      <c r="D193" s="11" t="inlineStr">
        <is>
          <t>Juvenile demersal fish (&gt; 30 cm) | Adult demersal fish (&gt; 30 cm)</t>
        </is>
      </c>
      <c r="E193" t="n">
        <v>140.953883</v>
      </c>
      <c r="F193" t="n">
        <v>228.824285</v>
      </c>
      <c r="G193" t="n">
        <v>114.897152</v>
      </c>
      <c r="H193" t="n">
        <v>408.798022</v>
      </c>
      <c r="I193" t="n">
        <v>6590.793316</v>
      </c>
      <c r="J193" t="n">
        <v>7071.146917</v>
      </c>
      <c r="K193" t="n">
        <v>2576.928919</v>
      </c>
      <c r="L193" t="n">
        <v>10677.999207</v>
      </c>
      <c r="M193" t="n">
        <v>10677.999207</v>
      </c>
      <c r="N193" t="n">
        <v>10677.999207</v>
      </c>
      <c r="O193" t="n">
        <v>85.006417</v>
      </c>
      <c r="P193" t="n">
        <v>38.52237</v>
      </c>
      <c r="Q193" t="n">
        <v>10677.999207</v>
      </c>
      <c r="R193" t="n">
        <v>10677.999207</v>
      </c>
      <c r="S193" t="n">
        <v>85.006417</v>
      </c>
      <c r="T193" t="n">
        <v>85.006417</v>
      </c>
      <c r="U193" t="n">
        <v>38.52237</v>
      </c>
      <c r="V193" t="n">
        <v>38.52237</v>
      </c>
      <c r="W193" t="n">
        <v>88.306245</v>
      </c>
      <c r="X193" t="n">
        <v>11509.306401</v>
      </c>
    </row>
    <row r="194" ht="36" customHeight="1">
      <c r="A194" t="inlineStr">
        <is>
          <t>Plotosus</t>
        </is>
      </c>
      <c r="B194" t="n">
        <v>3.49</v>
      </c>
      <c r="C194" t="n">
        <v>309.029543</v>
      </c>
      <c r="D194" s="11" t="inlineStr">
        <is>
          <t>Juvenile demersal fish (&gt; 30 cm) | Adult demersal fish (&gt; 30 cm)</t>
        </is>
      </c>
      <c r="E194" t="n">
        <v>140.953883</v>
      </c>
      <c r="F194" t="n">
        <v>228.824285</v>
      </c>
      <c r="G194" t="n">
        <v>114.897152</v>
      </c>
      <c r="H194" t="n">
        <v>408.798022</v>
      </c>
      <c r="I194" t="n">
        <v>6590.793316</v>
      </c>
      <c r="J194" t="n">
        <v>7071.146917</v>
      </c>
      <c r="K194" t="n">
        <v>2576.928919</v>
      </c>
      <c r="L194" t="n">
        <v>10677.999207</v>
      </c>
      <c r="M194" t="n">
        <v>10677.999207</v>
      </c>
      <c r="N194" t="n">
        <v>10677.999207</v>
      </c>
      <c r="O194" t="n">
        <v>85.006417</v>
      </c>
      <c r="P194" t="n">
        <v>38.52237</v>
      </c>
      <c r="Q194" t="n">
        <v>10677.999207</v>
      </c>
      <c r="R194" t="n">
        <v>10677.999207</v>
      </c>
      <c r="S194" t="n">
        <v>85.006417</v>
      </c>
      <c r="T194" t="n">
        <v>85.006417</v>
      </c>
      <c r="U194" t="n">
        <v>38.52237</v>
      </c>
      <c r="V194" t="n">
        <v>38.52237</v>
      </c>
      <c r="W194" t="n">
        <v>88.306245</v>
      </c>
      <c r="X194" t="n">
        <v>11509.306401</v>
      </c>
    </row>
    <row r="195" ht="36" customHeight="1">
      <c r="A195" t="inlineStr">
        <is>
          <t>Hemiramphus</t>
        </is>
      </c>
      <c r="B195" t="n">
        <v>3.05</v>
      </c>
      <c r="C195" t="n">
        <v>112.201845</v>
      </c>
      <c r="D195" s="11" t="inlineStr">
        <is>
          <t>Juvenile large pelagic fish | Pelagic fish (&gt; 30 cm)</t>
        </is>
      </c>
      <c r="E195" t="n">
        <v>140.953883</v>
      </c>
      <c r="F195" t="n">
        <v>200.641254</v>
      </c>
      <c r="G195" t="n">
        <v>102.228748</v>
      </c>
      <c r="H195" t="n">
        <v>215.010584</v>
      </c>
      <c r="I195" t="n">
        <v>6244.222521</v>
      </c>
      <c r="J195" t="n">
        <v>6325.914048</v>
      </c>
      <c r="K195" t="n">
        <v>1872.204427</v>
      </c>
      <c r="L195" t="n">
        <v>7112.982475</v>
      </c>
      <c r="M195" t="n">
        <v>7112.982475</v>
      </c>
      <c r="N195" t="n">
        <v>7112.982475</v>
      </c>
      <c r="O195" t="n">
        <v>87.969483</v>
      </c>
      <c r="P195" t="n">
        <v>46.580547</v>
      </c>
      <c r="Q195" t="n">
        <v>7112.982475</v>
      </c>
      <c r="R195" t="n">
        <v>7112.982475</v>
      </c>
      <c r="S195" t="n">
        <v>87.969483</v>
      </c>
      <c r="T195" t="n">
        <v>87.969483</v>
      </c>
      <c r="U195" t="n">
        <v>46.580547</v>
      </c>
      <c r="V195" t="n">
        <v>46.580547</v>
      </c>
      <c r="W195" t="n">
        <v>93.060855</v>
      </c>
      <c r="X195" t="n">
        <v>7459.131892</v>
      </c>
    </row>
    <row r="196" ht="36" customHeight="1">
      <c r="A196" t="inlineStr">
        <is>
          <t>Scomber</t>
        </is>
      </c>
      <c r="B196" t="n">
        <v>3.65</v>
      </c>
      <c r="C196" t="n">
        <v>446.683592</v>
      </c>
      <c r="D196" s="11" t="inlineStr">
        <is>
          <t>Juvenile large pelagic fish | Pelagic fish (&gt; 30 cm)</t>
        </is>
      </c>
      <c r="E196" t="n">
        <v>140.953883</v>
      </c>
      <c r="F196" t="n">
        <v>200.641254</v>
      </c>
      <c r="G196" t="n">
        <v>102.228748</v>
      </c>
      <c r="H196" t="n">
        <v>215.010584</v>
      </c>
      <c r="I196" t="n">
        <v>6244.222521</v>
      </c>
      <c r="J196" t="n">
        <v>6325.914048</v>
      </c>
      <c r="K196" t="n">
        <v>1872.204427</v>
      </c>
      <c r="L196" t="n">
        <v>7112.982475</v>
      </c>
      <c r="M196" t="n">
        <v>7112.982475</v>
      </c>
      <c r="N196" t="n">
        <v>7112.982475</v>
      </c>
      <c r="O196" t="n">
        <v>87.969483</v>
      </c>
      <c r="P196" t="n">
        <v>46.580547</v>
      </c>
      <c r="Q196" t="n">
        <v>7112.982475</v>
      </c>
      <c r="R196" t="n">
        <v>7112.982475</v>
      </c>
      <c r="S196" t="n">
        <v>87.969483</v>
      </c>
      <c r="T196" t="n">
        <v>87.969483</v>
      </c>
      <c r="U196" t="n">
        <v>46.580547</v>
      </c>
      <c r="V196" t="n">
        <v>46.580547</v>
      </c>
      <c r="W196" t="n">
        <v>93.060855</v>
      </c>
      <c r="X196" t="n">
        <v>7459.131892</v>
      </c>
    </row>
    <row r="197" ht="21" customHeight="1">
      <c r="A197" t="inlineStr">
        <is>
          <t>Cypselurus</t>
        </is>
      </c>
      <c r="B197" t="n">
        <v>3.4</v>
      </c>
      <c r="C197" t="n">
        <v>251.188643</v>
      </c>
      <c r="D197" s="11" t="inlineStr">
        <is>
          <t>Pelagic fish (≤ 30 cm)</t>
        </is>
      </c>
      <c r="E197" t="n">
        <v>140.953883</v>
      </c>
      <c r="F197" t="n">
        <v>60.479203</v>
      </c>
      <c r="G197" t="n">
        <v>36.07884</v>
      </c>
      <c r="H197" t="n">
        <v>45.98261</v>
      </c>
      <c r="I197" t="n">
        <v>395.888053</v>
      </c>
      <c r="J197" t="n">
        <v>395.888053</v>
      </c>
      <c r="K197" t="n">
        <v>376.09365</v>
      </c>
      <c r="L197" t="n">
        <v>393.787233</v>
      </c>
      <c r="M197" t="n">
        <v>393.787233</v>
      </c>
      <c r="N197" t="n">
        <v>393.787233</v>
      </c>
      <c r="O197" t="n">
        <v>20.916473</v>
      </c>
      <c r="P197" t="n">
        <v>13.510088</v>
      </c>
      <c r="Q197" t="n">
        <v>393.787233</v>
      </c>
      <c r="R197" t="n">
        <v>393.787233</v>
      </c>
      <c r="S197" t="n">
        <v>20.916473</v>
      </c>
      <c r="T197" t="n">
        <v>20.916473</v>
      </c>
      <c r="U197" t="n">
        <v>13.510088</v>
      </c>
      <c r="V197" t="n">
        <v>13.510088</v>
      </c>
      <c r="W197" t="n">
        <v>21.939981</v>
      </c>
      <c r="X197" t="n">
        <v>405.784084</v>
      </c>
    </row>
    <row r="198" ht="21" customHeight="1">
      <c r="A198" t="inlineStr">
        <is>
          <t>Sergestidae</t>
        </is>
      </c>
      <c r="B198" t="n">
        <v>2.93</v>
      </c>
      <c r="C198" t="n">
        <v>85.113804</v>
      </c>
      <c r="D198" s="11" t="inlineStr">
        <is>
          <t>Zooplankton | Shrimps</t>
        </is>
      </c>
      <c r="E198" t="n">
        <v>140.953883</v>
      </c>
      <c r="F198" t="n">
        <v>16.936545</v>
      </c>
      <c r="G198" t="n">
        <v>11.795915</v>
      </c>
      <c r="H198" t="n">
        <v>17.445099</v>
      </c>
      <c r="I198" t="n">
        <v>126.061927</v>
      </c>
      <c r="J198" t="n">
        <v>126.061927</v>
      </c>
      <c r="K198" t="n">
        <v>83.90815499999999</v>
      </c>
      <c r="L198" t="n">
        <v>125.3013</v>
      </c>
      <c r="M198" t="n">
        <v>125.3013</v>
      </c>
      <c r="N198" t="n">
        <v>125.3013</v>
      </c>
      <c r="O198" t="n">
        <v>10.112125</v>
      </c>
      <c r="P198" t="n">
        <v>7.202976</v>
      </c>
      <c r="Q198" t="n">
        <v>125.3013</v>
      </c>
      <c r="R198" t="n">
        <v>125.3013</v>
      </c>
      <c r="S198" t="n">
        <v>10.112125</v>
      </c>
      <c r="T198" t="n">
        <v>10.112125</v>
      </c>
      <c r="U198" t="n">
        <v>7.202976</v>
      </c>
      <c r="V198" t="n">
        <v>7.202976</v>
      </c>
      <c r="W198" t="n">
        <v>10.446973</v>
      </c>
      <c r="X198" t="n">
        <v>129.71319</v>
      </c>
    </row>
    <row r="199" ht="21" customHeight="1">
      <c r="A199" t="inlineStr">
        <is>
          <t>Prionace glauca</t>
        </is>
      </c>
      <c r="B199" t="n">
        <v>4.35</v>
      </c>
      <c r="C199" t="n">
        <v>2238.721139</v>
      </c>
      <c r="D199" s="11" t="inlineStr">
        <is>
          <t>Pelagic sharks and rays</t>
        </is>
      </c>
      <c r="E199" t="n">
        <v>140.953883</v>
      </c>
      <c r="F199" t="n">
        <v>908.988005</v>
      </c>
      <c r="G199" t="n">
        <v>385.472886</v>
      </c>
      <c r="H199" t="n">
        <v>784.4685459999999</v>
      </c>
      <c r="I199" t="n">
        <v>125208.792952</v>
      </c>
      <c r="J199" t="n">
        <v>126616.154086</v>
      </c>
      <c r="K199" t="n">
        <v>63308.077043</v>
      </c>
      <c r="L199" t="n">
        <v>172174.15174</v>
      </c>
      <c r="M199" t="n">
        <v>172174.151739</v>
      </c>
      <c r="N199" t="n">
        <v>172174.151739</v>
      </c>
      <c r="O199" t="n">
        <v>202.141045</v>
      </c>
      <c r="P199" t="n">
        <v>87.49926499999999</v>
      </c>
      <c r="Q199" t="n">
        <v>172174.151739</v>
      </c>
      <c r="R199" t="n">
        <v>172174.151739</v>
      </c>
      <c r="S199" t="n">
        <v>202.141045</v>
      </c>
      <c r="T199" t="n">
        <v>202.141045</v>
      </c>
      <c r="U199" t="n">
        <v>87.49926499999999</v>
      </c>
      <c r="V199" t="n">
        <v>87.49926499999999</v>
      </c>
      <c r="W199" t="n">
        <v>214.928725</v>
      </c>
      <c r="X199" t="n">
        <v>183923.261916</v>
      </c>
    </row>
    <row r="200" ht="21" customHeight="1">
      <c r="A200" t="inlineStr">
        <is>
          <t>Xiphias gladius</t>
        </is>
      </c>
      <c r="B200" t="n">
        <v>4.53</v>
      </c>
      <c r="C200" t="n">
        <v>3388.441561</v>
      </c>
      <c r="D200" s="11" t="inlineStr">
        <is>
          <t>Unresolved</t>
        </is>
      </c>
    </row>
    <row r="201" ht="21" customHeight="1">
      <c r="A201" t="inlineStr">
        <is>
          <t>Scylla serrata</t>
        </is>
      </c>
      <c r="B201" t="n">
        <v>3.17</v>
      </c>
      <c r="C201" t="n">
        <v>147.910839</v>
      </c>
      <c r="D201" s="11" t="inlineStr">
        <is>
          <t>Crabs</t>
        </is>
      </c>
      <c r="E201" t="n">
        <v>140.953883</v>
      </c>
      <c r="F201" t="n">
        <v>33.254785</v>
      </c>
      <c r="G201" t="n">
        <v>21.389991</v>
      </c>
      <c r="H201" t="n">
        <v>53.354334</v>
      </c>
      <c r="I201" t="n">
        <v>151.084056</v>
      </c>
      <c r="J201" t="n">
        <v>151.084056</v>
      </c>
      <c r="K201" t="n">
        <v>143.529853</v>
      </c>
      <c r="L201" t="n">
        <v>173.938876</v>
      </c>
      <c r="M201" t="n">
        <v>173.938876</v>
      </c>
      <c r="N201" t="n">
        <v>173.938876</v>
      </c>
      <c r="O201" t="n">
        <v>13.215653</v>
      </c>
      <c r="P201" t="n">
        <v>8.00437</v>
      </c>
      <c r="Q201" t="n">
        <v>173.938876</v>
      </c>
      <c r="R201" t="n">
        <v>173.938876</v>
      </c>
      <c r="S201" t="n">
        <v>13.215653</v>
      </c>
      <c r="T201" t="n">
        <v>13.215653</v>
      </c>
      <c r="U201" t="n">
        <v>8.00437</v>
      </c>
      <c r="V201" t="n">
        <v>8.00437</v>
      </c>
      <c r="W201" t="n">
        <v>13.539814</v>
      </c>
      <c r="X201" t="n">
        <v>184.933079</v>
      </c>
    </row>
    <row r="202" ht="36" customHeight="1">
      <c r="A202" t="inlineStr">
        <is>
          <t>Malacostraca</t>
        </is>
      </c>
      <c r="B202" t="n">
        <v>3</v>
      </c>
      <c r="C202" t="n">
        <v>100</v>
      </c>
      <c r="D202" s="11" t="inlineStr">
        <is>
          <t>Zooplankton | Benthic crustaceans | Shrimps | Crabs</t>
        </is>
      </c>
      <c r="E202" t="n">
        <v>140.953883</v>
      </c>
      <c r="F202" t="n">
        <v>20.231565</v>
      </c>
      <c r="G202" t="n">
        <v>13.734934</v>
      </c>
      <c r="H202" t="n">
        <v>25.09025</v>
      </c>
      <c r="I202" t="n">
        <v>130.411041</v>
      </c>
      <c r="J202" t="n">
        <v>130.411041</v>
      </c>
      <c r="K202" t="n">
        <v>95.393377</v>
      </c>
      <c r="L202" t="n">
        <v>134.682411</v>
      </c>
      <c r="M202" t="n">
        <v>134.682411</v>
      </c>
      <c r="N202" t="n">
        <v>134.682411</v>
      </c>
      <c r="O202" t="n">
        <v>10.649241</v>
      </c>
      <c r="P202" t="n">
        <v>7.289446</v>
      </c>
      <c r="Q202" t="n">
        <v>134.682411</v>
      </c>
      <c r="R202" t="n">
        <v>134.682411</v>
      </c>
      <c r="S202" t="n">
        <v>10.649241</v>
      </c>
      <c r="T202" t="n">
        <v>10.649241</v>
      </c>
      <c r="U202" t="n">
        <v>7.289446</v>
      </c>
      <c r="V202" t="n">
        <v>7.289446</v>
      </c>
      <c r="W202" t="n">
        <v>10.971178</v>
      </c>
      <c r="X202" t="n">
        <v>140.50161</v>
      </c>
    </row>
    <row r="203" ht="36" customHeight="1">
      <c r="A203" t="inlineStr">
        <is>
          <t>Scyris indica</t>
        </is>
      </c>
      <c r="B203" t="n">
        <v>4.09</v>
      </c>
      <c r="C203" t="n">
        <v>1230.268771</v>
      </c>
      <c r="D203" s="11" t="inlineStr">
        <is>
          <t>Juvenile large pelagic fish | Pelagic fish (&gt; 30 cm)</t>
        </is>
      </c>
      <c r="E203" t="n">
        <v>140.953883</v>
      </c>
      <c r="F203" t="n">
        <v>200.641254</v>
      </c>
      <c r="G203" t="n">
        <v>102.228748</v>
      </c>
      <c r="H203" t="n">
        <v>215.010584</v>
      </c>
      <c r="I203" t="n">
        <v>6244.222521</v>
      </c>
      <c r="J203" t="n">
        <v>6325.914048</v>
      </c>
      <c r="K203" t="n">
        <v>1872.204427</v>
      </c>
      <c r="L203" t="n">
        <v>7112.982475</v>
      </c>
      <c r="M203" t="n">
        <v>7112.982475</v>
      </c>
      <c r="N203" t="n">
        <v>7112.982475</v>
      </c>
      <c r="O203" t="n">
        <v>87.969483</v>
      </c>
      <c r="P203" t="n">
        <v>46.580547</v>
      </c>
      <c r="Q203" t="n">
        <v>7112.982475</v>
      </c>
      <c r="R203" t="n">
        <v>7112.982475</v>
      </c>
      <c r="S203" t="n">
        <v>87.969483</v>
      </c>
      <c r="T203" t="n">
        <v>87.969483</v>
      </c>
      <c r="U203" t="n">
        <v>46.580547</v>
      </c>
      <c r="V203" t="n">
        <v>46.580547</v>
      </c>
      <c r="W203" t="n">
        <v>93.060855</v>
      </c>
      <c r="X203" t="n">
        <v>7459.131892</v>
      </c>
    </row>
    <row r="204" ht="21" customHeight="1">
      <c r="A204" t="inlineStr">
        <is>
          <t>Metapenaeus joyneri</t>
        </is>
      </c>
      <c r="B204" t="n">
        <v>3.2</v>
      </c>
      <c r="C204" t="n">
        <v>158.489319</v>
      </c>
      <c r="D204" s="11" t="inlineStr">
        <is>
          <t>Shrimps</t>
        </is>
      </c>
      <c r="E204" t="n">
        <v>140.953883</v>
      </c>
      <c r="F204" t="n">
        <v>20.606299</v>
      </c>
      <c r="G204" t="n">
        <v>14.077679</v>
      </c>
      <c r="H204" t="n">
        <v>22.715542</v>
      </c>
      <c r="I204" t="n">
        <v>131.71072</v>
      </c>
      <c r="J204" t="n">
        <v>131.71072</v>
      </c>
      <c r="K204" t="n">
        <v>125.125184</v>
      </c>
      <c r="L204" t="n">
        <v>130.894857</v>
      </c>
      <c r="M204" t="n">
        <v>130.894857</v>
      </c>
      <c r="N204" t="n">
        <v>130.894857</v>
      </c>
      <c r="O204" t="n">
        <v>12.255972</v>
      </c>
      <c r="P204" t="n">
        <v>8.448598</v>
      </c>
      <c r="Q204" t="n">
        <v>130.894857</v>
      </c>
      <c r="R204" t="n">
        <v>130.894857</v>
      </c>
      <c r="S204" t="n">
        <v>12.255972</v>
      </c>
      <c r="T204" t="n">
        <v>12.255972</v>
      </c>
      <c r="U204" t="n">
        <v>8.448598</v>
      </c>
      <c r="V204" t="n">
        <v>8.448598</v>
      </c>
      <c r="W204" t="n">
        <v>12.680707</v>
      </c>
      <c r="X204" t="n">
        <v>136.520004</v>
      </c>
    </row>
    <row r="205" ht="51" customHeight="1">
      <c r="A205" t="inlineStr">
        <is>
          <t>Gadiformes</t>
        </is>
      </c>
      <c r="D205" s="11" t="inlineStr">
        <is>
          <t>Demesral fish (≤ 30 cm) | Juvenile demersal fish (&gt; 30 cm) | Adult demersal fish (&gt; 30 cm)</t>
        </is>
      </c>
      <c r="E205" t="n">
        <v>140.953883</v>
      </c>
      <c r="F205" t="n">
        <v>177.371403</v>
      </c>
      <c r="G205" t="n">
        <v>91.310768</v>
      </c>
      <c r="H205" t="n">
        <v>295.208302</v>
      </c>
      <c r="I205" t="n">
        <v>4269.898312</v>
      </c>
      <c r="J205" t="n">
        <v>4574.511297</v>
      </c>
      <c r="K205" t="n">
        <v>1801.225895</v>
      </c>
      <c r="L205" t="n">
        <v>6846.4367</v>
      </c>
      <c r="M205" t="n">
        <v>6846.4367</v>
      </c>
      <c r="N205" t="n">
        <v>6846.4367</v>
      </c>
      <c r="O205" t="n">
        <v>67.536573</v>
      </c>
      <c r="P205" t="n">
        <v>32.007796</v>
      </c>
      <c r="Q205" t="n">
        <v>6846.4367</v>
      </c>
      <c r="R205" t="n">
        <v>6846.4367</v>
      </c>
      <c r="S205" t="n">
        <v>67.536573</v>
      </c>
      <c r="T205" t="n">
        <v>67.536573</v>
      </c>
      <c r="U205" t="n">
        <v>32.007796</v>
      </c>
      <c r="V205" t="n">
        <v>32.007796</v>
      </c>
      <c r="W205" t="n">
        <v>70.113483</v>
      </c>
      <c r="X205" t="n">
        <v>7370.741192</v>
      </c>
    </row>
    <row r="206" ht="51" customHeight="1">
      <c r="A206" t="inlineStr">
        <is>
          <t>Cynoglossus</t>
        </is>
      </c>
      <c r="B206" t="n">
        <v>3.36</v>
      </c>
      <c r="C206" t="n">
        <v>229.086765</v>
      </c>
      <c r="D206" s="11" t="inlineStr">
        <is>
          <t>Demesral fish (≤ 30 cm) | Juvenile demersal fish (&gt; 30 cm) | Adult demersal fish (&gt; 30 cm)</t>
        </is>
      </c>
      <c r="E206" t="n">
        <v>140.953883</v>
      </c>
      <c r="F206" t="n">
        <v>177.371403</v>
      </c>
      <c r="G206" t="n">
        <v>91.310768</v>
      </c>
      <c r="H206" t="n">
        <v>295.208302</v>
      </c>
      <c r="I206" t="n">
        <v>4269.898312</v>
      </c>
      <c r="J206" t="n">
        <v>4574.511297</v>
      </c>
      <c r="K206" t="n">
        <v>1801.225895</v>
      </c>
      <c r="L206" t="n">
        <v>6846.4367</v>
      </c>
      <c r="M206" t="n">
        <v>6846.4367</v>
      </c>
      <c r="N206" t="n">
        <v>6846.4367</v>
      </c>
      <c r="O206" t="n">
        <v>67.536573</v>
      </c>
      <c r="P206" t="n">
        <v>32.007796</v>
      </c>
      <c r="Q206" t="n">
        <v>6846.4367</v>
      </c>
      <c r="R206" t="n">
        <v>6846.4367</v>
      </c>
      <c r="S206" t="n">
        <v>67.536573</v>
      </c>
      <c r="T206" t="n">
        <v>67.536573</v>
      </c>
      <c r="U206" t="n">
        <v>32.007796</v>
      </c>
      <c r="V206" t="n">
        <v>32.007796</v>
      </c>
      <c r="W206" t="n">
        <v>70.113483</v>
      </c>
      <c r="X206" t="n">
        <v>7370.741192</v>
      </c>
    </row>
    <row r="207" ht="21" customHeight="1">
      <c r="A207" t="inlineStr">
        <is>
          <t>Gerreidae</t>
        </is>
      </c>
      <c r="B207" t="n">
        <v>3.03</v>
      </c>
      <c r="C207" t="n">
        <v>107.151931</v>
      </c>
      <c r="D207" s="11" t="inlineStr">
        <is>
          <t>Benthopelagic fish</t>
        </is>
      </c>
      <c r="E207" t="n">
        <v>140.953883</v>
      </c>
      <c r="F207" t="n">
        <v>57.638856</v>
      </c>
      <c r="G207" t="n">
        <v>34.593347</v>
      </c>
      <c r="H207" t="n">
        <v>74.650282</v>
      </c>
      <c r="I207" t="n">
        <v>512.103289</v>
      </c>
      <c r="J207" t="n">
        <v>553.467817</v>
      </c>
      <c r="K207" t="n">
        <v>525.794426</v>
      </c>
      <c r="L207" t="n">
        <v>602.712303</v>
      </c>
      <c r="M207" t="n">
        <v>602.712303</v>
      </c>
      <c r="N207" t="n">
        <v>602.712303</v>
      </c>
      <c r="O207" t="n">
        <v>31.190871</v>
      </c>
      <c r="P207" t="n">
        <v>18.283791</v>
      </c>
      <c r="Q207" t="n">
        <v>602.712303</v>
      </c>
      <c r="R207" t="n">
        <v>602.712303</v>
      </c>
      <c r="S207" t="n">
        <v>31.190871</v>
      </c>
      <c r="T207" t="n">
        <v>31.190871</v>
      </c>
      <c r="U207" t="n">
        <v>18.283791</v>
      </c>
      <c r="V207" t="n">
        <v>18.283791</v>
      </c>
      <c r="W207" t="n">
        <v>32.089433</v>
      </c>
      <c r="X207" t="n">
        <v>622.065443</v>
      </c>
    </row>
    <row r="208" ht="21" customHeight="1">
      <c r="A208" t="inlineStr">
        <is>
          <t>Panulirus longipes</t>
        </is>
      </c>
      <c r="B208" t="n">
        <v>2.6</v>
      </c>
      <c r="C208" t="n">
        <v>39.810717</v>
      </c>
      <c r="D208" s="11" t="inlineStr">
        <is>
          <t>Benthic crustaceans</t>
        </is>
      </c>
      <c r="E208" t="n">
        <v>140.953883</v>
      </c>
      <c r="F208" t="n">
        <v>15.812995</v>
      </c>
      <c r="G208" t="n">
        <v>11.169278</v>
      </c>
      <c r="H208" t="n">
        <v>22.580939</v>
      </c>
      <c r="I208" t="n">
        <v>110.765161</v>
      </c>
      <c r="J208" t="n">
        <v>110.765161</v>
      </c>
      <c r="K208" t="n">
        <v>69.11746100000001</v>
      </c>
      <c r="L208" t="n">
        <v>113.463496</v>
      </c>
      <c r="M208" t="n">
        <v>113.463496</v>
      </c>
      <c r="N208" t="n">
        <v>113.463496</v>
      </c>
      <c r="O208" t="n">
        <v>8.170260000000001</v>
      </c>
      <c r="P208" t="n">
        <v>5.693764</v>
      </c>
      <c r="Q208" t="n">
        <v>113.463496</v>
      </c>
      <c r="R208" t="n">
        <v>113.463496</v>
      </c>
      <c r="S208" t="n">
        <v>8.170260000000001</v>
      </c>
      <c r="T208" t="n">
        <v>8.170260000000001</v>
      </c>
      <c r="U208" t="n">
        <v>5.693764</v>
      </c>
      <c r="V208" t="n">
        <v>5.693764</v>
      </c>
      <c r="W208" t="n">
        <v>8.298344999999999</v>
      </c>
      <c r="X208" t="n">
        <v>118.931059</v>
      </c>
    </row>
    <row r="209" ht="21" customHeight="1">
      <c r="A209" t="inlineStr">
        <is>
          <t>Epinephelus maculatus</t>
        </is>
      </c>
      <c r="B209" t="n">
        <v>3.98</v>
      </c>
      <c r="C209" t="n">
        <v>954.992586</v>
      </c>
      <c r="D209" s="11" t="inlineStr">
        <is>
          <t>Adult groupers</t>
        </is>
      </c>
      <c r="E209" t="n">
        <v>140.953883</v>
      </c>
      <c r="F209" t="n">
        <v>539.046528</v>
      </c>
      <c r="G209" t="n">
        <v>244.14</v>
      </c>
      <c r="H209" t="n">
        <v>669.483011</v>
      </c>
      <c r="I209" t="n">
        <v>10399.759602</v>
      </c>
      <c r="J209" t="n">
        <v>10694.630086</v>
      </c>
      <c r="K209" t="n">
        <v>4010.486282</v>
      </c>
      <c r="L209" t="n">
        <v>14214.100911</v>
      </c>
      <c r="M209" t="n">
        <v>14214.100911</v>
      </c>
      <c r="N209" t="n">
        <v>14214.100911</v>
      </c>
      <c r="O209" t="n">
        <v>203.72024</v>
      </c>
      <c r="P209" t="n">
        <v>90.708206</v>
      </c>
      <c r="Q209" t="n">
        <v>14214.100911</v>
      </c>
      <c r="R209" t="n">
        <v>14214.100911</v>
      </c>
      <c r="S209" t="n">
        <v>203.72024</v>
      </c>
      <c r="T209" t="n">
        <v>203.72024</v>
      </c>
      <c r="U209" t="n">
        <v>90.708206</v>
      </c>
      <c r="V209" t="n">
        <v>90.708206</v>
      </c>
      <c r="W209" t="n">
        <v>213.076898</v>
      </c>
      <c r="X209" t="n">
        <v>15231.972848</v>
      </c>
    </row>
    <row r="210" ht="36" customHeight="1">
      <c r="A210" t="inlineStr">
        <is>
          <t>Pagrus major</t>
        </is>
      </c>
      <c r="B210" t="n">
        <v>3.7</v>
      </c>
      <c r="C210" t="n">
        <v>501.187234</v>
      </c>
      <c r="D210" s="11" t="inlineStr">
        <is>
          <t>Juvenile demersal fish (&gt; 30 cm) | Adult demersal fish (&gt; 30 cm)</t>
        </is>
      </c>
      <c r="E210" t="n">
        <v>140.953883</v>
      </c>
      <c r="F210" t="n">
        <v>228.824285</v>
      </c>
      <c r="G210" t="n">
        <v>114.897152</v>
      </c>
      <c r="H210" t="n">
        <v>408.798022</v>
      </c>
      <c r="I210" t="n">
        <v>6590.793316</v>
      </c>
      <c r="J210" t="n">
        <v>7071.146917</v>
      </c>
      <c r="K210" t="n">
        <v>2576.928919</v>
      </c>
      <c r="L210" t="n">
        <v>10677.999207</v>
      </c>
      <c r="M210" t="n">
        <v>10677.999207</v>
      </c>
      <c r="N210" t="n">
        <v>10677.999207</v>
      </c>
      <c r="O210" t="n">
        <v>85.006417</v>
      </c>
      <c r="P210" t="n">
        <v>38.52237</v>
      </c>
      <c r="Q210" t="n">
        <v>10677.999207</v>
      </c>
      <c r="R210" t="n">
        <v>10677.999207</v>
      </c>
      <c r="S210" t="n">
        <v>85.006417</v>
      </c>
      <c r="T210" t="n">
        <v>85.006417</v>
      </c>
      <c r="U210" t="n">
        <v>38.52237</v>
      </c>
      <c r="V210" t="n">
        <v>38.52237</v>
      </c>
      <c r="W210" t="n">
        <v>88.306245</v>
      </c>
      <c r="X210" t="n">
        <v>11509.306401</v>
      </c>
    </row>
    <row r="211" ht="36" customHeight="1">
      <c r="A211" t="inlineStr">
        <is>
          <t>Caesio</t>
        </is>
      </c>
      <c r="B211" t="n">
        <v>3.4</v>
      </c>
      <c r="C211" t="n">
        <v>251.188643</v>
      </c>
      <c r="D211" s="11" t="inlineStr">
        <is>
          <t>Juvenile demersal fish (&gt; 30 cm) | Adult demersal fish (&gt; 30 cm)</t>
        </is>
      </c>
      <c r="E211" t="n">
        <v>140.953883</v>
      </c>
      <c r="F211" t="n">
        <v>228.824285</v>
      </c>
      <c r="G211" t="n">
        <v>114.897152</v>
      </c>
      <c r="H211" t="n">
        <v>408.798022</v>
      </c>
      <c r="I211" t="n">
        <v>6590.793316</v>
      </c>
      <c r="J211" t="n">
        <v>7071.146917</v>
      </c>
      <c r="K211" t="n">
        <v>2576.928919</v>
      </c>
      <c r="L211" t="n">
        <v>10677.999207</v>
      </c>
      <c r="M211" t="n">
        <v>10677.999207</v>
      </c>
      <c r="N211" t="n">
        <v>10677.999207</v>
      </c>
      <c r="O211" t="n">
        <v>85.006417</v>
      </c>
      <c r="P211" t="n">
        <v>38.52237</v>
      </c>
      <c r="Q211" t="n">
        <v>10677.999207</v>
      </c>
      <c r="R211" t="n">
        <v>10677.999207</v>
      </c>
      <c r="S211" t="n">
        <v>85.006417</v>
      </c>
      <c r="T211" t="n">
        <v>85.006417</v>
      </c>
      <c r="U211" t="n">
        <v>38.52237</v>
      </c>
      <c r="V211" t="n">
        <v>38.52237</v>
      </c>
      <c r="W211" t="n">
        <v>88.306245</v>
      </c>
      <c r="X211" t="n">
        <v>11509.306401</v>
      </c>
    </row>
    <row r="212" ht="21" customHeight="1">
      <c r="A212" t="inlineStr">
        <is>
          <t>Penaeus monodon</t>
        </is>
      </c>
      <c r="B212" t="n">
        <v>2.6</v>
      </c>
      <c r="C212" t="n">
        <v>39.810717</v>
      </c>
      <c r="D212" s="11" t="inlineStr">
        <is>
          <t>Shrimps</t>
        </is>
      </c>
      <c r="E212" t="n">
        <v>140.953883</v>
      </c>
      <c r="F212" t="n">
        <v>20.606299</v>
      </c>
      <c r="G212" t="n">
        <v>14.077679</v>
      </c>
      <c r="H212" t="n">
        <v>22.715542</v>
      </c>
      <c r="I212" t="n">
        <v>131.71072</v>
      </c>
      <c r="J212" t="n">
        <v>131.71072</v>
      </c>
      <c r="K212" t="n">
        <v>125.125184</v>
      </c>
      <c r="L212" t="n">
        <v>130.894857</v>
      </c>
      <c r="M212" t="n">
        <v>130.894857</v>
      </c>
      <c r="N212" t="n">
        <v>130.894857</v>
      </c>
      <c r="O212" t="n">
        <v>12.255972</v>
      </c>
      <c r="P212" t="n">
        <v>8.448598</v>
      </c>
      <c r="Q212" t="n">
        <v>130.894857</v>
      </c>
      <c r="R212" t="n">
        <v>130.894857</v>
      </c>
      <c r="S212" t="n">
        <v>12.255972</v>
      </c>
      <c r="T212" t="n">
        <v>12.255972</v>
      </c>
      <c r="U212" t="n">
        <v>8.448598</v>
      </c>
      <c r="V212" t="n">
        <v>8.448598</v>
      </c>
      <c r="W212" t="n">
        <v>12.680707</v>
      </c>
      <c r="X212" t="n">
        <v>136.520004</v>
      </c>
    </row>
    <row r="213" ht="36" customHeight="1">
      <c r="A213" t="inlineStr">
        <is>
          <t>Carcharhinidae</t>
        </is>
      </c>
      <c r="B213" t="n">
        <v>4.24</v>
      </c>
      <c r="C213" t="n">
        <v>1737.800829</v>
      </c>
      <c r="D213" s="11" t="inlineStr">
        <is>
          <t>Demersal sharks and rays | Pelagic sharks and rays</t>
        </is>
      </c>
      <c r="E213" t="n">
        <v>140.953883</v>
      </c>
      <c r="F213" t="n">
        <v>420.661524</v>
      </c>
      <c r="G213" t="n">
        <v>193.90261</v>
      </c>
      <c r="H213" t="n">
        <v>636.3346</v>
      </c>
      <c r="I213" t="n">
        <v>32064.514055</v>
      </c>
      <c r="J213" t="n">
        <v>32388.465997</v>
      </c>
      <c r="K213" t="n">
        <v>15001.444266</v>
      </c>
      <c r="L213" t="n">
        <v>47447.371867</v>
      </c>
      <c r="M213" t="n">
        <v>47447.371867</v>
      </c>
      <c r="N213" t="n">
        <v>47447.371867</v>
      </c>
      <c r="O213" t="n">
        <v>134.659687</v>
      </c>
      <c r="P213" t="n">
        <v>58.748438</v>
      </c>
      <c r="Q213" t="n">
        <v>47447.371867</v>
      </c>
      <c r="R213" t="n">
        <v>47447.371867</v>
      </c>
      <c r="S213" t="n">
        <v>134.659687</v>
      </c>
      <c r="T213" t="n">
        <v>134.659687</v>
      </c>
      <c r="U213" t="n">
        <v>58.748438</v>
      </c>
      <c r="V213" t="n">
        <v>58.748438</v>
      </c>
      <c r="W213" t="n">
        <v>141.372985</v>
      </c>
      <c r="X213" t="n">
        <v>50905.953173</v>
      </c>
    </row>
    <row r="214" ht="51" customHeight="1">
      <c r="A214" t="inlineStr">
        <is>
          <t>Paralichthyidae</t>
        </is>
      </c>
      <c r="B214" t="n">
        <v>4.06</v>
      </c>
      <c r="C214" t="n">
        <v>1148.153621</v>
      </c>
      <c r="D214" s="11" t="inlineStr">
        <is>
          <t>Demesral fish (≤ 30 cm) | Juvenile demersal fish (&gt; 30 cm) | Adult demersal fish (&gt; 30 cm)</t>
        </is>
      </c>
      <c r="E214" t="n">
        <v>140.953883</v>
      </c>
      <c r="F214" t="n">
        <v>177.371403</v>
      </c>
      <c r="G214" t="n">
        <v>91.310768</v>
      </c>
      <c r="H214" t="n">
        <v>295.208302</v>
      </c>
      <c r="I214" t="n">
        <v>4269.898312</v>
      </c>
      <c r="J214" t="n">
        <v>4574.511297</v>
      </c>
      <c r="K214" t="n">
        <v>1801.225895</v>
      </c>
      <c r="L214" t="n">
        <v>6846.4367</v>
      </c>
      <c r="M214" t="n">
        <v>6846.4367</v>
      </c>
      <c r="N214" t="n">
        <v>6846.4367</v>
      </c>
      <c r="O214" t="n">
        <v>67.536573</v>
      </c>
      <c r="P214" t="n">
        <v>32.007796</v>
      </c>
      <c r="Q214" t="n">
        <v>6846.4367</v>
      </c>
      <c r="R214" t="n">
        <v>6846.4367</v>
      </c>
      <c r="S214" t="n">
        <v>67.536573</v>
      </c>
      <c r="T214" t="n">
        <v>67.536573</v>
      </c>
      <c r="U214" t="n">
        <v>32.007796</v>
      </c>
      <c r="V214" t="n">
        <v>32.007796</v>
      </c>
      <c r="W214" t="n">
        <v>70.113483</v>
      </c>
      <c r="X214" t="n">
        <v>7370.741192</v>
      </c>
    </row>
    <row r="215" ht="36" customHeight="1">
      <c r="A215" t="inlineStr">
        <is>
          <t>Sillaginidae</t>
        </is>
      </c>
      <c r="B215" t="n">
        <v>3.25</v>
      </c>
      <c r="C215" t="n">
        <v>177.827941</v>
      </c>
      <c r="D215" s="11" t="inlineStr">
        <is>
          <t>Juvenile demersal fish (&gt; 30 cm) | Adult demersal fish (&gt; 30 cm)</t>
        </is>
      </c>
      <c r="E215" t="n">
        <v>140.953883</v>
      </c>
      <c r="F215" t="n">
        <v>228.824285</v>
      </c>
      <c r="G215" t="n">
        <v>114.897152</v>
      </c>
      <c r="H215" t="n">
        <v>408.798022</v>
      </c>
      <c r="I215" t="n">
        <v>6590.793316</v>
      </c>
      <c r="J215" t="n">
        <v>7071.146917</v>
      </c>
      <c r="K215" t="n">
        <v>2576.928919</v>
      </c>
      <c r="L215" t="n">
        <v>10677.999207</v>
      </c>
      <c r="M215" t="n">
        <v>10677.999207</v>
      </c>
      <c r="N215" t="n">
        <v>10677.999207</v>
      </c>
      <c r="O215" t="n">
        <v>85.006417</v>
      </c>
      <c r="P215" t="n">
        <v>38.52237</v>
      </c>
      <c r="Q215" t="n">
        <v>10677.999207</v>
      </c>
      <c r="R215" t="n">
        <v>10677.999207</v>
      </c>
      <c r="S215" t="n">
        <v>85.006417</v>
      </c>
      <c r="T215" t="n">
        <v>85.006417</v>
      </c>
      <c r="U215" t="n">
        <v>38.52237</v>
      </c>
      <c r="V215" t="n">
        <v>38.52237</v>
      </c>
      <c r="W215" t="n">
        <v>88.306245</v>
      </c>
      <c r="X215" t="n">
        <v>11509.306401</v>
      </c>
    </row>
    <row r="216" ht="21" customHeight="1">
      <c r="A216" t="inlineStr">
        <is>
          <t>Thryssa</t>
        </is>
      </c>
      <c r="B216" t="n">
        <v>3.34</v>
      </c>
      <c r="C216" t="n">
        <v>218.776162</v>
      </c>
      <c r="D216" s="11" t="inlineStr">
        <is>
          <t>Pelagic fish (≤ 30 cm)</t>
        </is>
      </c>
      <c r="E216" t="n">
        <v>140.953883</v>
      </c>
      <c r="F216" t="n">
        <v>60.479203</v>
      </c>
      <c r="G216" t="n">
        <v>36.07884</v>
      </c>
      <c r="H216" t="n">
        <v>45.98261</v>
      </c>
      <c r="I216" t="n">
        <v>395.888053</v>
      </c>
      <c r="J216" t="n">
        <v>395.888053</v>
      </c>
      <c r="K216" t="n">
        <v>376.09365</v>
      </c>
      <c r="L216" t="n">
        <v>393.787233</v>
      </c>
      <c r="M216" t="n">
        <v>393.787233</v>
      </c>
      <c r="N216" t="n">
        <v>393.787233</v>
      </c>
      <c r="O216" t="n">
        <v>20.916473</v>
      </c>
      <c r="P216" t="n">
        <v>13.510088</v>
      </c>
      <c r="Q216" t="n">
        <v>393.787233</v>
      </c>
      <c r="R216" t="n">
        <v>393.787233</v>
      </c>
      <c r="S216" t="n">
        <v>20.916473</v>
      </c>
      <c r="T216" t="n">
        <v>20.916473</v>
      </c>
      <c r="U216" t="n">
        <v>13.510088</v>
      </c>
      <c r="V216" t="n">
        <v>13.510088</v>
      </c>
      <c r="W216" t="n">
        <v>21.939981</v>
      </c>
      <c r="X216" t="n">
        <v>405.784084</v>
      </c>
    </row>
    <row r="217" ht="36" customHeight="1">
      <c r="A217" t="inlineStr">
        <is>
          <t>Rachycentridae</t>
        </is>
      </c>
      <c r="B217" t="n">
        <v>3.96</v>
      </c>
      <c r="C217" t="n">
        <v>912.010839</v>
      </c>
      <c r="D217" s="11" t="inlineStr">
        <is>
          <t>Juvenile large pelagic fish | Pelagic fish (&gt; 30 cm)</t>
        </is>
      </c>
      <c r="E217" t="n">
        <v>140.953883</v>
      </c>
      <c r="F217" t="n">
        <v>200.641254</v>
      </c>
      <c r="G217" t="n">
        <v>102.228748</v>
      </c>
      <c r="H217" t="n">
        <v>215.010584</v>
      </c>
      <c r="I217" t="n">
        <v>6244.222521</v>
      </c>
      <c r="J217" t="n">
        <v>6325.914048</v>
      </c>
      <c r="K217" t="n">
        <v>1872.204427</v>
      </c>
      <c r="L217" t="n">
        <v>7112.982475</v>
      </c>
      <c r="M217" t="n">
        <v>7112.982475</v>
      </c>
      <c r="N217" t="n">
        <v>7112.982475</v>
      </c>
      <c r="O217" t="n">
        <v>87.969483</v>
      </c>
      <c r="P217" t="n">
        <v>46.580547</v>
      </c>
      <c r="Q217" t="n">
        <v>7112.982475</v>
      </c>
      <c r="R217" t="n">
        <v>7112.982475</v>
      </c>
      <c r="S217" t="n">
        <v>87.969483</v>
      </c>
      <c r="T217" t="n">
        <v>87.969483</v>
      </c>
      <c r="U217" t="n">
        <v>46.580547</v>
      </c>
      <c r="V217" t="n">
        <v>46.580547</v>
      </c>
      <c r="W217" t="n">
        <v>93.060855</v>
      </c>
      <c r="X217" t="n">
        <v>7459.131892</v>
      </c>
    </row>
    <row r="218" ht="36" customHeight="1">
      <c r="A218" t="inlineStr">
        <is>
          <t>Tylosurus crocodilus</t>
        </is>
      </c>
      <c r="B218" t="n">
        <v>4.43</v>
      </c>
      <c r="C218" t="n">
        <v>2691.534804</v>
      </c>
      <c r="D218" s="11" t="inlineStr">
        <is>
          <t>Juvenile large pelagic fish | Pelagic fish (&gt; 30 cm)</t>
        </is>
      </c>
      <c r="E218" t="n">
        <v>140.953883</v>
      </c>
      <c r="F218" t="n">
        <v>200.641254</v>
      </c>
      <c r="G218" t="n">
        <v>102.228748</v>
      </c>
      <c r="H218" t="n">
        <v>215.010584</v>
      </c>
      <c r="I218" t="n">
        <v>6244.222521</v>
      </c>
      <c r="J218" t="n">
        <v>6325.914048</v>
      </c>
      <c r="K218" t="n">
        <v>1872.204427</v>
      </c>
      <c r="L218" t="n">
        <v>7112.982475</v>
      </c>
      <c r="M218" t="n">
        <v>7112.982475</v>
      </c>
      <c r="N218" t="n">
        <v>7112.982475</v>
      </c>
      <c r="O218" t="n">
        <v>87.969483</v>
      </c>
      <c r="P218" t="n">
        <v>46.580547</v>
      </c>
      <c r="Q218" t="n">
        <v>7112.982475</v>
      </c>
      <c r="R218" t="n">
        <v>7112.982475</v>
      </c>
      <c r="S218" t="n">
        <v>87.969483</v>
      </c>
      <c r="T218" t="n">
        <v>87.969483</v>
      </c>
      <c r="U218" t="n">
        <v>46.580547</v>
      </c>
      <c r="V218" t="n">
        <v>46.580547</v>
      </c>
      <c r="W218" t="n">
        <v>93.060855</v>
      </c>
      <c r="X218" t="n">
        <v>7459.131892</v>
      </c>
    </row>
    <row r="219" ht="21" customHeight="1">
      <c r="A219" t="inlineStr">
        <is>
          <t>Acanthuridae</t>
        </is>
      </c>
      <c r="B219" t="n">
        <v>2.28</v>
      </c>
      <c r="C219" t="n">
        <v>19.054607</v>
      </c>
      <c r="D219" s="11" t="inlineStr">
        <is>
          <t>Demesral fish (≤ 30 cm)</t>
        </is>
      </c>
      <c r="E219" t="n">
        <v>140.953883</v>
      </c>
      <c r="F219" t="n">
        <v>95.34341499999999</v>
      </c>
      <c r="G219" t="n">
        <v>53.708528</v>
      </c>
      <c r="H219" t="n">
        <v>114.11959</v>
      </c>
      <c r="I219" t="n">
        <v>569.846189</v>
      </c>
      <c r="J219" t="n">
        <v>594.287325</v>
      </c>
      <c r="K219" t="n">
        <v>564.572959</v>
      </c>
      <c r="L219" t="n">
        <v>738.02552</v>
      </c>
      <c r="M219" t="n">
        <v>738.02552</v>
      </c>
      <c r="N219" t="n">
        <v>738.02552</v>
      </c>
      <c r="O219" t="n">
        <v>39.685535</v>
      </c>
      <c r="P219" t="n">
        <v>21.622034</v>
      </c>
      <c r="Q219" t="n">
        <v>738.02552</v>
      </c>
      <c r="R219" t="n">
        <v>738.02552</v>
      </c>
      <c r="S219" t="n">
        <v>39.685535</v>
      </c>
      <c r="T219" t="n">
        <v>39.685535</v>
      </c>
      <c r="U219" t="n">
        <v>21.622034</v>
      </c>
      <c r="V219" t="n">
        <v>21.622034</v>
      </c>
      <c r="W219" t="n">
        <v>41.109943</v>
      </c>
      <c r="X219" t="n">
        <v>772.895549</v>
      </c>
    </row>
    <row r="220" ht="36" customHeight="1">
      <c r="A220" t="inlineStr">
        <is>
          <t>Trachurus japonicus</t>
        </is>
      </c>
      <c r="B220" t="n">
        <v>3.4</v>
      </c>
      <c r="C220" t="n">
        <v>251.188643</v>
      </c>
      <c r="D220" s="11" t="inlineStr">
        <is>
          <t>Juvenile large pelagic fish | Pelagic fish (&gt; 30 cm)</t>
        </is>
      </c>
      <c r="E220" t="n">
        <v>140.953883</v>
      </c>
      <c r="F220" t="n">
        <v>200.641254</v>
      </c>
      <c r="G220" t="n">
        <v>102.228748</v>
      </c>
      <c r="H220" t="n">
        <v>215.010584</v>
      </c>
      <c r="I220" t="n">
        <v>6244.222521</v>
      </c>
      <c r="J220" t="n">
        <v>6325.914048</v>
      </c>
      <c r="K220" t="n">
        <v>1872.204427</v>
      </c>
      <c r="L220" t="n">
        <v>7112.982475</v>
      </c>
      <c r="M220" t="n">
        <v>7112.982475</v>
      </c>
      <c r="N220" t="n">
        <v>7112.982475</v>
      </c>
      <c r="O220" t="n">
        <v>87.969483</v>
      </c>
      <c r="P220" t="n">
        <v>46.580547</v>
      </c>
      <c r="Q220" t="n">
        <v>7112.982475</v>
      </c>
      <c r="R220" t="n">
        <v>7112.982475</v>
      </c>
      <c r="S220" t="n">
        <v>87.969483</v>
      </c>
      <c r="T220" t="n">
        <v>87.969483</v>
      </c>
      <c r="U220" t="n">
        <v>46.580547</v>
      </c>
      <c r="V220" t="n">
        <v>46.580547</v>
      </c>
      <c r="W220" t="n">
        <v>93.060855</v>
      </c>
      <c r="X220" t="n">
        <v>7459.131892</v>
      </c>
    </row>
    <row r="221" ht="36" customHeight="1">
      <c r="A221" t="inlineStr">
        <is>
          <t>Lactarius lactarius</t>
        </is>
      </c>
      <c r="B221" t="n">
        <v>3.97</v>
      </c>
      <c r="C221" t="n">
        <v>933.2543010000001</v>
      </c>
      <c r="D221" s="11" t="inlineStr">
        <is>
          <t>Juvenile large pelagic fish | Pelagic fish (&gt; 30 cm)</t>
        </is>
      </c>
      <c r="E221" t="n">
        <v>140.953883</v>
      </c>
      <c r="F221" t="n">
        <v>200.641254</v>
      </c>
      <c r="G221" t="n">
        <v>102.228748</v>
      </c>
      <c r="H221" t="n">
        <v>215.010584</v>
      </c>
      <c r="I221" t="n">
        <v>6244.222521</v>
      </c>
      <c r="J221" t="n">
        <v>6325.914048</v>
      </c>
      <c r="K221" t="n">
        <v>1872.204427</v>
      </c>
      <c r="L221" t="n">
        <v>7112.982475</v>
      </c>
      <c r="M221" t="n">
        <v>7112.982475</v>
      </c>
      <c r="N221" t="n">
        <v>7112.982475</v>
      </c>
      <c r="O221" t="n">
        <v>87.969483</v>
      </c>
      <c r="P221" t="n">
        <v>46.580547</v>
      </c>
      <c r="Q221" t="n">
        <v>7112.982475</v>
      </c>
      <c r="R221" t="n">
        <v>7112.982475</v>
      </c>
      <c r="S221" t="n">
        <v>87.969483</v>
      </c>
      <c r="T221" t="n">
        <v>87.969483</v>
      </c>
      <c r="U221" t="n">
        <v>46.580547</v>
      </c>
      <c r="V221" t="n">
        <v>46.580547</v>
      </c>
      <c r="W221" t="n">
        <v>93.060855</v>
      </c>
      <c r="X221" t="n">
        <v>7459.131892</v>
      </c>
    </row>
    <row r="222" ht="36" customHeight="1">
      <c r="A222" t="inlineStr">
        <is>
          <t>Lethrinus</t>
        </is>
      </c>
      <c r="B222" t="n">
        <v>3.75</v>
      </c>
      <c r="C222" t="n">
        <v>562.341325</v>
      </c>
      <c r="D222" s="11" t="inlineStr">
        <is>
          <t>Juvenile demersal fish (&gt; 30 cm) | Adult demersal fish (&gt; 30 cm)</t>
        </is>
      </c>
      <c r="E222" t="n">
        <v>140.953883</v>
      </c>
      <c r="F222" t="n">
        <v>228.824285</v>
      </c>
      <c r="G222" t="n">
        <v>114.897152</v>
      </c>
      <c r="H222" t="n">
        <v>408.798022</v>
      </c>
      <c r="I222" t="n">
        <v>6590.793316</v>
      </c>
      <c r="J222" t="n">
        <v>7071.146917</v>
      </c>
      <c r="K222" t="n">
        <v>2576.928919</v>
      </c>
      <c r="L222" t="n">
        <v>10677.999207</v>
      </c>
      <c r="M222" t="n">
        <v>10677.999207</v>
      </c>
      <c r="N222" t="n">
        <v>10677.999207</v>
      </c>
      <c r="O222" t="n">
        <v>85.006417</v>
      </c>
      <c r="P222" t="n">
        <v>38.52237</v>
      </c>
      <c r="Q222" t="n">
        <v>10677.999207</v>
      </c>
      <c r="R222" t="n">
        <v>10677.999207</v>
      </c>
      <c r="S222" t="n">
        <v>85.006417</v>
      </c>
      <c r="T222" t="n">
        <v>85.006417</v>
      </c>
      <c r="U222" t="n">
        <v>38.52237</v>
      </c>
      <c r="V222" t="n">
        <v>38.52237</v>
      </c>
      <c r="W222" t="n">
        <v>88.306245</v>
      </c>
      <c r="X222" t="n">
        <v>11509.306401</v>
      </c>
    </row>
    <row r="223" ht="36" customHeight="1">
      <c r="A223" t="inlineStr">
        <is>
          <t>Balistidae</t>
        </is>
      </c>
      <c r="B223" t="n">
        <v>3.25</v>
      </c>
      <c r="C223" t="n">
        <v>177.827941</v>
      </c>
      <c r="D223" s="11" t="inlineStr">
        <is>
          <t>Juvenile demersal fish (&gt; 30 cm) | Adult demersal fish (&gt; 30 cm)</t>
        </is>
      </c>
      <c r="E223" t="n">
        <v>140.953883</v>
      </c>
      <c r="F223" t="n">
        <v>228.824285</v>
      </c>
      <c r="G223" t="n">
        <v>114.897152</v>
      </c>
      <c r="H223" t="n">
        <v>408.798022</v>
      </c>
      <c r="I223" t="n">
        <v>6590.793316</v>
      </c>
      <c r="J223" t="n">
        <v>7071.146917</v>
      </c>
      <c r="K223" t="n">
        <v>2576.928919</v>
      </c>
      <c r="L223" t="n">
        <v>10677.999207</v>
      </c>
      <c r="M223" t="n">
        <v>10677.999207</v>
      </c>
      <c r="N223" t="n">
        <v>10677.999207</v>
      </c>
      <c r="O223" t="n">
        <v>85.006417</v>
      </c>
      <c r="P223" t="n">
        <v>38.52237</v>
      </c>
      <c r="Q223" t="n">
        <v>10677.999207</v>
      </c>
      <c r="R223" t="n">
        <v>10677.999207</v>
      </c>
      <c r="S223" t="n">
        <v>85.006417</v>
      </c>
      <c r="T223" t="n">
        <v>85.006417</v>
      </c>
      <c r="U223" t="n">
        <v>38.52237</v>
      </c>
      <c r="V223" t="n">
        <v>38.52237</v>
      </c>
      <c r="W223" t="n">
        <v>88.306245</v>
      </c>
      <c r="X223" t="n">
        <v>11509.306401</v>
      </c>
    </row>
    <row r="224" ht="36" customHeight="1">
      <c r="A224" t="inlineStr">
        <is>
          <t>Gymnocranius</t>
        </is>
      </c>
      <c r="B224" t="n">
        <v>3.4</v>
      </c>
      <c r="C224" t="n">
        <v>251.188643</v>
      </c>
      <c r="D224" s="11" t="inlineStr">
        <is>
          <t>Juvenile demersal fish (&gt; 30 cm) | Adult demersal fish (&gt; 30 cm)</t>
        </is>
      </c>
      <c r="E224" t="n">
        <v>140.953883</v>
      </c>
      <c r="F224" t="n">
        <v>228.824285</v>
      </c>
      <c r="G224" t="n">
        <v>114.897152</v>
      </c>
      <c r="H224" t="n">
        <v>408.798022</v>
      </c>
      <c r="I224" t="n">
        <v>6590.793316</v>
      </c>
      <c r="J224" t="n">
        <v>7071.146917</v>
      </c>
      <c r="K224" t="n">
        <v>2576.928919</v>
      </c>
      <c r="L224" t="n">
        <v>10677.999207</v>
      </c>
      <c r="M224" t="n">
        <v>10677.999207</v>
      </c>
      <c r="N224" t="n">
        <v>10677.999207</v>
      </c>
      <c r="O224" t="n">
        <v>85.006417</v>
      </c>
      <c r="P224" t="n">
        <v>38.52237</v>
      </c>
      <c r="Q224" t="n">
        <v>10677.999207</v>
      </c>
      <c r="R224" t="n">
        <v>10677.999207</v>
      </c>
      <c r="S224" t="n">
        <v>85.006417</v>
      </c>
      <c r="T224" t="n">
        <v>85.006417</v>
      </c>
      <c r="U224" t="n">
        <v>38.52237</v>
      </c>
      <c r="V224" t="n">
        <v>38.52237</v>
      </c>
      <c r="W224" t="n">
        <v>88.306245</v>
      </c>
      <c r="X224" t="n">
        <v>11509.306401</v>
      </c>
    </row>
    <row r="225" ht="21" customHeight="1">
      <c r="A225" t="inlineStr">
        <is>
          <t>Penaeus latisulcatus</t>
        </is>
      </c>
      <c r="B225" t="n">
        <v>2.7</v>
      </c>
      <c r="C225" t="n">
        <v>50.118723</v>
      </c>
      <c r="D225" s="11" t="inlineStr">
        <is>
          <t>Shrimps</t>
        </is>
      </c>
      <c r="E225" t="n">
        <v>140.953883</v>
      </c>
      <c r="F225" t="n">
        <v>20.606299</v>
      </c>
      <c r="G225" t="n">
        <v>14.077679</v>
      </c>
      <c r="H225" t="n">
        <v>22.715542</v>
      </c>
      <c r="I225" t="n">
        <v>131.71072</v>
      </c>
      <c r="J225" t="n">
        <v>131.71072</v>
      </c>
      <c r="K225" t="n">
        <v>125.125184</v>
      </c>
      <c r="L225" t="n">
        <v>130.894857</v>
      </c>
      <c r="M225" t="n">
        <v>130.894857</v>
      </c>
      <c r="N225" t="n">
        <v>130.894857</v>
      </c>
      <c r="O225" t="n">
        <v>12.255972</v>
      </c>
      <c r="P225" t="n">
        <v>8.448598</v>
      </c>
      <c r="Q225" t="n">
        <v>130.894857</v>
      </c>
      <c r="R225" t="n">
        <v>130.894857</v>
      </c>
      <c r="S225" t="n">
        <v>12.255972</v>
      </c>
      <c r="T225" t="n">
        <v>12.255972</v>
      </c>
      <c r="U225" t="n">
        <v>8.448598</v>
      </c>
      <c r="V225" t="n">
        <v>8.448598</v>
      </c>
      <c r="W225" t="n">
        <v>12.680707</v>
      </c>
      <c r="X225" t="n">
        <v>136.520004</v>
      </c>
    </row>
    <row r="226" ht="21" customHeight="1">
      <c r="A226" t="inlineStr">
        <is>
          <t>Dussumieria elopsoides</t>
        </is>
      </c>
      <c r="B226" t="n">
        <v>3.4</v>
      </c>
      <c r="C226" t="n">
        <v>251.188643</v>
      </c>
      <c r="D226" s="11" t="inlineStr">
        <is>
          <t>Pelagic fish (≤ 30 cm)</t>
        </is>
      </c>
      <c r="E226" t="n">
        <v>140.953883</v>
      </c>
      <c r="F226" t="n">
        <v>60.479203</v>
      </c>
      <c r="G226" t="n">
        <v>36.07884</v>
      </c>
      <c r="H226" t="n">
        <v>45.98261</v>
      </c>
      <c r="I226" t="n">
        <v>395.888053</v>
      </c>
      <c r="J226" t="n">
        <v>395.888053</v>
      </c>
      <c r="K226" t="n">
        <v>376.09365</v>
      </c>
      <c r="L226" t="n">
        <v>393.787233</v>
      </c>
      <c r="M226" t="n">
        <v>393.787233</v>
      </c>
      <c r="N226" t="n">
        <v>393.787233</v>
      </c>
      <c r="O226" t="n">
        <v>20.916473</v>
      </c>
      <c r="P226" t="n">
        <v>13.510088</v>
      </c>
      <c r="Q226" t="n">
        <v>393.787233</v>
      </c>
      <c r="R226" t="n">
        <v>393.787233</v>
      </c>
      <c r="S226" t="n">
        <v>20.916473</v>
      </c>
      <c r="T226" t="n">
        <v>20.916473</v>
      </c>
      <c r="U226" t="n">
        <v>13.510088</v>
      </c>
      <c r="V226" t="n">
        <v>13.510088</v>
      </c>
      <c r="W226" t="n">
        <v>21.939981</v>
      </c>
      <c r="X226" t="n">
        <v>405.784084</v>
      </c>
    </row>
    <row r="227" ht="36" customHeight="1">
      <c r="A227" t="inlineStr">
        <is>
          <t>Megalops cyprinoides</t>
        </is>
      </c>
      <c r="B227" t="n">
        <v>3.48</v>
      </c>
      <c r="C227" t="n">
        <v>301.995172</v>
      </c>
      <c r="D227" s="11" t="inlineStr">
        <is>
          <t>Juvenile large pelagic fish | Pelagic fish (&gt; 30 cm)</t>
        </is>
      </c>
      <c r="E227" t="n">
        <v>140.953883</v>
      </c>
      <c r="F227" t="n">
        <v>200.641254</v>
      </c>
      <c r="G227" t="n">
        <v>102.228748</v>
      </c>
      <c r="H227" t="n">
        <v>215.010584</v>
      </c>
      <c r="I227" t="n">
        <v>6244.222521</v>
      </c>
      <c r="J227" t="n">
        <v>6325.914048</v>
      </c>
      <c r="K227" t="n">
        <v>1872.204427</v>
      </c>
      <c r="L227" t="n">
        <v>7112.982475</v>
      </c>
      <c r="M227" t="n">
        <v>7112.982475</v>
      </c>
      <c r="N227" t="n">
        <v>7112.982475</v>
      </c>
      <c r="O227" t="n">
        <v>87.969483</v>
      </c>
      <c r="P227" t="n">
        <v>46.580547</v>
      </c>
      <c r="Q227" t="n">
        <v>7112.982475</v>
      </c>
      <c r="R227" t="n">
        <v>7112.982475</v>
      </c>
      <c r="S227" t="n">
        <v>87.969483</v>
      </c>
      <c r="T227" t="n">
        <v>87.969483</v>
      </c>
      <c r="U227" t="n">
        <v>46.580547</v>
      </c>
      <c r="V227" t="n">
        <v>46.580547</v>
      </c>
      <c r="W227" t="n">
        <v>93.060855</v>
      </c>
      <c r="X227" t="n">
        <v>7459.131892</v>
      </c>
    </row>
    <row r="228" ht="36" customHeight="1">
      <c r="A228" t="inlineStr">
        <is>
          <t>Plectorhinchus</t>
        </is>
      </c>
      <c r="B228" t="n">
        <v>3.43</v>
      </c>
      <c r="C228" t="n">
        <v>269.15348</v>
      </c>
      <c r="D228" s="11" t="inlineStr">
        <is>
          <t>Juvenile demersal fish (&gt; 30 cm) | Adult demersal fish (&gt; 30 cm)</t>
        </is>
      </c>
      <c r="E228" t="n">
        <v>140.953883</v>
      </c>
      <c r="F228" t="n">
        <v>228.824285</v>
      </c>
      <c r="G228" t="n">
        <v>114.897152</v>
      </c>
      <c r="H228" t="n">
        <v>408.798022</v>
      </c>
      <c r="I228" t="n">
        <v>6590.793316</v>
      </c>
      <c r="J228" t="n">
        <v>7071.146917</v>
      </c>
      <c r="K228" t="n">
        <v>2576.928919</v>
      </c>
      <c r="L228" t="n">
        <v>10677.999207</v>
      </c>
      <c r="M228" t="n">
        <v>10677.999207</v>
      </c>
      <c r="N228" t="n">
        <v>10677.999207</v>
      </c>
      <c r="O228" t="n">
        <v>85.006417</v>
      </c>
      <c r="P228" t="n">
        <v>38.52237</v>
      </c>
      <c r="Q228" t="n">
        <v>10677.999207</v>
      </c>
      <c r="R228" t="n">
        <v>10677.999207</v>
      </c>
      <c r="S228" t="n">
        <v>85.006417</v>
      </c>
      <c r="T228" t="n">
        <v>85.006417</v>
      </c>
      <c r="U228" t="n">
        <v>38.52237</v>
      </c>
      <c r="V228" t="n">
        <v>38.52237</v>
      </c>
      <c r="W228" t="n">
        <v>88.306245</v>
      </c>
      <c r="X228" t="n">
        <v>11509.306401</v>
      </c>
    </row>
    <row r="229" ht="21" customHeight="1">
      <c r="A229" t="inlineStr">
        <is>
          <t>Apostichopus japonicus</t>
        </is>
      </c>
      <c r="B229" t="n">
        <v>2.3</v>
      </c>
      <c r="C229" t="n">
        <v>19.952623</v>
      </c>
      <c r="D229" s="11" t="inlineStr">
        <is>
          <t>Echinoderms</t>
        </is>
      </c>
      <c r="E229" t="n">
        <v>140.953883</v>
      </c>
      <c r="F229" t="n">
        <v>18.617087</v>
      </c>
      <c r="G229" t="n">
        <v>12.882339</v>
      </c>
      <c r="H229" t="n">
        <v>42.220898</v>
      </c>
      <c r="I229" t="n">
        <v>603.989501</v>
      </c>
      <c r="J229" t="n">
        <v>603.989501</v>
      </c>
      <c r="K229" t="n">
        <v>240.387821</v>
      </c>
      <c r="L229" t="n">
        <v>1080.992157</v>
      </c>
      <c r="M229" t="n">
        <v>1080.992157</v>
      </c>
      <c r="N229" t="n">
        <v>1080.992157</v>
      </c>
      <c r="O229" t="n">
        <v>17.290347</v>
      </c>
      <c r="P229" t="n">
        <v>9.498851999999999</v>
      </c>
      <c r="Q229" t="n">
        <v>1080.992157</v>
      </c>
      <c r="R229" t="n">
        <v>1080.992157</v>
      </c>
      <c r="S229" t="n">
        <v>17.290347</v>
      </c>
      <c r="T229" t="n">
        <v>17.290347</v>
      </c>
      <c r="U229" t="n">
        <v>9.498851999999999</v>
      </c>
      <c r="V229" t="n">
        <v>9.498851999999999</v>
      </c>
      <c r="W229" t="n">
        <v>17.932707</v>
      </c>
      <c r="X229" t="n">
        <v>1135.08839</v>
      </c>
    </row>
    <row r="230" ht="21" customHeight="1">
      <c r="A230" t="inlineStr">
        <is>
          <t>Portunidae</t>
        </is>
      </c>
      <c r="B230" t="n">
        <v>3.56</v>
      </c>
      <c r="C230" t="n">
        <v>363.078055</v>
      </c>
      <c r="D230" s="11" t="inlineStr">
        <is>
          <t>Crabs</t>
        </is>
      </c>
      <c r="E230" t="n">
        <v>140.953883</v>
      </c>
      <c r="F230" t="n">
        <v>33.254785</v>
      </c>
      <c r="G230" t="n">
        <v>21.389991</v>
      </c>
      <c r="H230" t="n">
        <v>53.354334</v>
      </c>
      <c r="I230" t="n">
        <v>151.084056</v>
      </c>
      <c r="J230" t="n">
        <v>151.084056</v>
      </c>
      <c r="K230" t="n">
        <v>143.529853</v>
      </c>
      <c r="L230" t="n">
        <v>173.938876</v>
      </c>
      <c r="M230" t="n">
        <v>173.938876</v>
      </c>
      <c r="N230" t="n">
        <v>173.938876</v>
      </c>
      <c r="O230" t="n">
        <v>13.215653</v>
      </c>
      <c r="P230" t="n">
        <v>8.00437</v>
      </c>
      <c r="Q230" t="n">
        <v>173.938876</v>
      </c>
      <c r="R230" t="n">
        <v>173.938876</v>
      </c>
      <c r="S230" t="n">
        <v>13.215653</v>
      </c>
      <c r="T230" t="n">
        <v>13.215653</v>
      </c>
      <c r="U230" t="n">
        <v>8.00437</v>
      </c>
      <c r="V230" t="n">
        <v>8.00437</v>
      </c>
      <c r="W230" t="n">
        <v>13.539814</v>
      </c>
      <c r="X230" t="n">
        <v>184.933079</v>
      </c>
    </row>
    <row r="231" ht="21" customHeight="1">
      <c r="A231" t="inlineStr">
        <is>
          <t>Haliotidae</t>
        </is>
      </c>
      <c r="B231" t="n">
        <v>2</v>
      </c>
      <c r="C231" t="n">
        <v>10</v>
      </c>
      <c r="D231" s="11" t="inlineStr">
        <is>
          <t>Non-ceph molluscs</t>
        </is>
      </c>
      <c r="E231" t="n">
        <v>140.953883</v>
      </c>
      <c r="F231" t="n">
        <v>14.712171</v>
      </c>
      <c r="G231" t="n">
        <v>10.486582</v>
      </c>
      <c r="H231" t="n">
        <v>17.347998</v>
      </c>
      <c r="I231" t="n">
        <v>87.52377799999999</v>
      </c>
      <c r="J231" t="n">
        <v>87.52377799999999</v>
      </c>
      <c r="K231" t="n">
        <v>33.521607</v>
      </c>
      <c r="L231" t="n">
        <v>92.59366</v>
      </c>
      <c r="M231" t="n">
        <v>92.59366</v>
      </c>
      <c r="N231" t="n">
        <v>92.59366</v>
      </c>
      <c r="O231" t="n">
        <v>4.448657</v>
      </c>
      <c r="P231" t="n">
        <v>3.058348</v>
      </c>
      <c r="Q231" t="n">
        <v>92.59366</v>
      </c>
      <c r="R231" t="n">
        <v>92.59366</v>
      </c>
      <c r="S231" t="n">
        <v>4.448657</v>
      </c>
      <c r="T231" t="n">
        <v>4.448657</v>
      </c>
      <c r="U231" t="n">
        <v>3.058348</v>
      </c>
      <c r="V231" t="n">
        <v>3.058348</v>
      </c>
      <c r="W231" t="n">
        <v>4.556294</v>
      </c>
      <c r="X231" t="n">
        <v>96.447226</v>
      </c>
    </row>
    <row r="232" ht="36" customHeight="1">
      <c r="A232" t="inlineStr">
        <is>
          <t>Batoidea</t>
        </is>
      </c>
      <c r="B232" t="n">
        <v>3.72</v>
      </c>
      <c r="C232" t="n">
        <v>524.80746</v>
      </c>
      <c r="D232" s="11" t="inlineStr">
        <is>
          <t>Demersal sharks and rays | Pelagic sharks and rays</t>
        </is>
      </c>
      <c r="E232" t="n">
        <v>140.953883</v>
      </c>
      <c r="F232" t="n">
        <v>420.661524</v>
      </c>
      <c r="G232" t="n">
        <v>193.90261</v>
      </c>
      <c r="H232" t="n">
        <v>636.3346</v>
      </c>
      <c r="I232" t="n">
        <v>32064.514055</v>
      </c>
      <c r="J232" t="n">
        <v>32388.465997</v>
      </c>
      <c r="K232" t="n">
        <v>15001.444266</v>
      </c>
      <c r="L232" t="n">
        <v>47447.371867</v>
      </c>
      <c r="M232" t="n">
        <v>47447.371867</v>
      </c>
      <c r="N232" t="n">
        <v>47447.371867</v>
      </c>
      <c r="O232" t="n">
        <v>134.659687</v>
      </c>
      <c r="P232" t="n">
        <v>58.748438</v>
      </c>
      <c r="Q232" t="n">
        <v>47447.371867</v>
      </c>
      <c r="R232" t="n">
        <v>47447.371867</v>
      </c>
      <c r="S232" t="n">
        <v>134.659687</v>
      </c>
      <c r="T232" t="n">
        <v>134.659687</v>
      </c>
      <c r="U232" t="n">
        <v>58.748438</v>
      </c>
      <c r="V232" t="n">
        <v>58.748438</v>
      </c>
      <c r="W232" t="n">
        <v>141.372985</v>
      </c>
      <c r="X232" t="n">
        <v>50905.953173</v>
      </c>
    </row>
    <row r="233" ht="21" customHeight="1">
      <c r="A233" t="inlineStr">
        <is>
          <t>Istiophorus</t>
        </is>
      </c>
      <c r="B233" t="n">
        <v>4.5</v>
      </c>
      <c r="C233" t="n">
        <v>3162.27766</v>
      </c>
      <c r="D233" s="11" t="inlineStr">
        <is>
          <t>Unresolved</t>
        </is>
      </c>
    </row>
    <row r="234" ht="36" customHeight="1">
      <c r="A234" t="inlineStr">
        <is>
          <t>Platycaranx malabaricus</t>
        </is>
      </c>
      <c r="B234" t="n">
        <v>3.88</v>
      </c>
      <c r="C234" t="n">
        <v>758.577575</v>
      </c>
      <c r="D234" s="11" t="inlineStr">
        <is>
          <t>Juvenile large pelagic fish | Pelagic fish (&gt; 30 cm)</t>
        </is>
      </c>
      <c r="E234" t="n">
        <v>140.953883</v>
      </c>
      <c r="F234" t="n">
        <v>200.641254</v>
      </c>
      <c r="G234" t="n">
        <v>102.228748</v>
      </c>
      <c r="H234" t="n">
        <v>215.010584</v>
      </c>
      <c r="I234" t="n">
        <v>6244.222521</v>
      </c>
      <c r="J234" t="n">
        <v>6325.914048</v>
      </c>
      <c r="K234" t="n">
        <v>1872.204427</v>
      </c>
      <c r="L234" t="n">
        <v>7112.982475</v>
      </c>
      <c r="M234" t="n">
        <v>7112.982475</v>
      </c>
      <c r="N234" t="n">
        <v>7112.982475</v>
      </c>
      <c r="O234" t="n">
        <v>87.969483</v>
      </c>
      <c r="P234" t="n">
        <v>46.580547</v>
      </c>
      <c r="Q234" t="n">
        <v>7112.982475</v>
      </c>
      <c r="R234" t="n">
        <v>7112.982475</v>
      </c>
      <c r="S234" t="n">
        <v>87.969483</v>
      </c>
      <c r="T234" t="n">
        <v>87.969483</v>
      </c>
      <c r="U234" t="n">
        <v>46.580547</v>
      </c>
      <c r="V234" t="n">
        <v>46.580547</v>
      </c>
      <c r="W234" t="n">
        <v>93.060855</v>
      </c>
      <c r="X234" t="n">
        <v>7459.131892</v>
      </c>
    </row>
    <row r="235" ht="21" customHeight="1">
      <c r="A235" t="inlineStr">
        <is>
          <t>Nemipterus japonicus</t>
        </is>
      </c>
      <c r="B235" t="n">
        <v>3.77</v>
      </c>
      <c r="C235" t="n">
        <v>588.843655</v>
      </c>
      <c r="D235" s="11" t="inlineStr">
        <is>
          <t>Threadfin bream (nemipterids)</t>
        </is>
      </c>
      <c r="E235" t="n">
        <v>140.953883</v>
      </c>
      <c r="F235" t="n">
        <v>158.552335</v>
      </c>
      <c r="G235" t="n">
        <v>83.774152</v>
      </c>
      <c r="H235" t="n">
        <v>197.082776</v>
      </c>
      <c r="I235" t="n">
        <v>3502.459341</v>
      </c>
      <c r="J235" t="n">
        <v>3796.144916</v>
      </c>
      <c r="K235" t="n">
        <v>1780.391965</v>
      </c>
      <c r="L235" t="n">
        <v>4710.704014</v>
      </c>
      <c r="M235" t="n">
        <v>4710.704014</v>
      </c>
      <c r="N235" t="n">
        <v>4710.704014</v>
      </c>
      <c r="O235" t="n">
        <v>105.183965</v>
      </c>
      <c r="P235" t="n">
        <v>52.828865</v>
      </c>
      <c r="Q235" t="n">
        <v>4710.704014</v>
      </c>
      <c r="R235" t="n">
        <v>4710.704014</v>
      </c>
      <c r="S235" t="n">
        <v>105.183965</v>
      </c>
      <c r="T235" t="n">
        <v>105.183965</v>
      </c>
      <c r="U235" t="n">
        <v>52.828865</v>
      </c>
      <c r="V235" t="n">
        <v>52.828865</v>
      </c>
      <c r="W235" t="n">
        <v>109.611209</v>
      </c>
      <c r="X235" t="n">
        <v>5115.038689</v>
      </c>
    </row>
    <row r="236" ht="51" customHeight="1">
      <c r="A236" t="inlineStr">
        <is>
          <t>Bothidae</t>
        </is>
      </c>
      <c r="B236" t="n">
        <v>3.77</v>
      </c>
      <c r="C236" t="n">
        <v>588.843655</v>
      </c>
      <c r="D236" s="11" t="inlineStr">
        <is>
          <t>Demesral fish (≤ 30 cm) | Juvenile demersal fish (&gt; 30 cm) | Adult demersal fish (&gt; 30 cm)</t>
        </is>
      </c>
      <c r="E236" t="n">
        <v>140.953883</v>
      </c>
      <c r="F236" t="n">
        <v>177.371403</v>
      </c>
      <c r="G236" t="n">
        <v>91.310768</v>
      </c>
      <c r="H236" t="n">
        <v>295.208302</v>
      </c>
      <c r="I236" t="n">
        <v>4269.898312</v>
      </c>
      <c r="J236" t="n">
        <v>4574.511297</v>
      </c>
      <c r="K236" t="n">
        <v>1801.225895</v>
      </c>
      <c r="L236" t="n">
        <v>6846.4367</v>
      </c>
      <c r="M236" t="n">
        <v>6846.4367</v>
      </c>
      <c r="N236" t="n">
        <v>6846.4367</v>
      </c>
      <c r="O236" t="n">
        <v>67.536573</v>
      </c>
      <c r="P236" t="n">
        <v>32.007796</v>
      </c>
      <c r="Q236" t="n">
        <v>6846.4367</v>
      </c>
      <c r="R236" t="n">
        <v>6846.4367</v>
      </c>
      <c r="S236" t="n">
        <v>67.536573</v>
      </c>
      <c r="T236" t="n">
        <v>67.536573</v>
      </c>
      <c r="U236" t="n">
        <v>32.007796</v>
      </c>
      <c r="V236" t="n">
        <v>32.007796</v>
      </c>
      <c r="W236" t="n">
        <v>70.113483</v>
      </c>
      <c r="X236" t="n">
        <v>7370.741192</v>
      </c>
    </row>
    <row r="237" ht="21" customHeight="1">
      <c r="A237" t="inlineStr">
        <is>
          <t>Drepane</t>
        </is>
      </c>
      <c r="B237" t="n">
        <v>3.32</v>
      </c>
      <c r="C237" t="n">
        <v>208.929613</v>
      </c>
      <c r="D237" s="11" t="inlineStr">
        <is>
          <t>Benthopelagic fish</t>
        </is>
      </c>
      <c r="E237" t="n">
        <v>140.953883</v>
      </c>
      <c r="F237" t="n">
        <v>57.638856</v>
      </c>
      <c r="G237" t="n">
        <v>34.593347</v>
      </c>
      <c r="H237" t="n">
        <v>74.650282</v>
      </c>
      <c r="I237" t="n">
        <v>512.103289</v>
      </c>
      <c r="J237" t="n">
        <v>553.467817</v>
      </c>
      <c r="K237" t="n">
        <v>525.794426</v>
      </c>
      <c r="L237" t="n">
        <v>602.712303</v>
      </c>
      <c r="M237" t="n">
        <v>602.712303</v>
      </c>
      <c r="N237" t="n">
        <v>602.712303</v>
      </c>
      <c r="O237" t="n">
        <v>31.190871</v>
      </c>
      <c r="P237" t="n">
        <v>18.283791</v>
      </c>
      <c r="Q237" t="n">
        <v>602.712303</v>
      </c>
      <c r="R237" t="n">
        <v>602.712303</v>
      </c>
      <c r="S237" t="n">
        <v>31.190871</v>
      </c>
      <c r="T237" t="n">
        <v>31.190871</v>
      </c>
      <c r="U237" t="n">
        <v>18.283791</v>
      </c>
      <c r="V237" t="n">
        <v>18.283791</v>
      </c>
      <c r="W237" t="n">
        <v>32.089433</v>
      </c>
      <c r="X237" t="n">
        <v>622.065443</v>
      </c>
    </row>
    <row r="238" ht="36" customHeight="1">
      <c r="A238" t="inlineStr">
        <is>
          <t>Lateolabrax japonicus</t>
        </is>
      </c>
      <c r="B238" t="n">
        <v>3.36</v>
      </c>
      <c r="C238" t="n">
        <v>229.086765</v>
      </c>
      <c r="D238" s="11" t="inlineStr">
        <is>
          <t>Juvenile demersal fish (&gt; 30 cm) | Adult demersal fish (&gt; 30 cm)</t>
        </is>
      </c>
      <c r="E238" t="n">
        <v>140.953883</v>
      </c>
      <c r="F238" t="n">
        <v>228.824285</v>
      </c>
      <c r="G238" t="n">
        <v>114.897152</v>
      </c>
      <c r="H238" t="n">
        <v>408.798022</v>
      </c>
      <c r="I238" t="n">
        <v>6590.793316</v>
      </c>
      <c r="J238" t="n">
        <v>7071.146917</v>
      </c>
      <c r="K238" t="n">
        <v>2576.928919</v>
      </c>
      <c r="L238" t="n">
        <v>10677.999207</v>
      </c>
      <c r="M238" t="n">
        <v>10677.999207</v>
      </c>
      <c r="N238" t="n">
        <v>10677.999207</v>
      </c>
      <c r="O238" t="n">
        <v>85.006417</v>
      </c>
      <c r="P238" t="n">
        <v>38.52237</v>
      </c>
      <c r="Q238" t="n">
        <v>10677.999207</v>
      </c>
      <c r="R238" t="n">
        <v>10677.999207</v>
      </c>
      <c r="S238" t="n">
        <v>85.006417</v>
      </c>
      <c r="T238" t="n">
        <v>85.006417</v>
      </c>
      <c r="U238" t="n">
        <v>38.52237</v>
      </c>
      <c r="V238" t="n">
        <v>38.52237</v>
      </c>
      <c r="W238" t="n">
        <v>88.306245</v>
      </c>
      <c r="X238" t="n">
        <v>11509.306401</v>
      </c>
    </row>
    <row r="239" ht="36" customHeight="1">
      <c r="A239" t="inlineStr">
        <is>
          <t>Auxis rochei</t>
        </is>
      </c>
      <c r="B239" t="n">
        <v>4.13</v>
      </c>
      <c r="C239" t="n">
        <v>1348.962883</v>
      </c>
      <c r="D239" s="11" t="inlineStr">
        <is>
          <t>Juvenile large pelagic fish | Pelagic fish (&gt; 30 cm)</t>
        </is>
      </c>
      <c r="E239" t="n">
        <v>140.953883</v>
      </c>
      <c r="F239" t="n">
        <v>200.641254</v>
      </c>
      <c r="G239" t="n">
        <v>102.228748</v>
      </c>
      <c r="H239" t="n">
        <v>215.010584</v>
      </c>
      <c r="I239" t="n">
        <v>6244.222521</v>
      </c>
      <c r="J239" t="n">
        <v>6325.914048</v>
      </c>
      <c r="K239" t="n">
        <v>1872.204427</v>
      </c>
      <c r="L239" t="n">
        <v>7112.982475</v>
      </c>
      <c r="M239" t="n">
        <v>7112.982475</v>
      </c>
      <c r="N239" t="n">
        <v>7112.982475</v>
      </c>
      <c r="O239" t="n">
        <v>87.969483</v>
      </c>
      <c r="P239" t="n">
        <v>46.580547</v>
      </c>
      <c r="Q239" t="n">
        <v>7112.982475</v>
      </c>
      <c r="R239" t="n">
        <v>7112.982475</v>
      </c>
      <c r="S239" t="n">
        <v>87.969483</v>
      </c>
      <c r="T239" t="n">
        <v>87.969483</v>
      </c>
      <c r="U239" t="n">
        <v>46.580547</v>
      </c>
      <c r="V239" t="n">
        <v>46.580547</v>
      </c>
      <c r="W239" t="n">
        <v>93.060855</v>
      </c>
      <c r="X239" t="n">
        <v>7459.131892</v>
      </c>
    </row>
    <row r="240" ht="36" customHeight="1">
      <c r="A240" t="inlineStr">
        <is>
          <t>Nibea mitsukurii</t>
        </is>
      </c>
      <c r="B240" t="n">
        <v>3.5</v>
      </c>
      <c r="C240" t="n">
        <v>316.227766</v>
      </c>
      <c r="D240" s="11" t="inlineStr">
        <is>
          <t>Juvenile large croakers | Croakers (&gt; 30 cm)</t>
        </is>
      </c>
      <c r="E240" t="n">
        <v>140.953883</v>
      </c>
      <c r="F240" t="n">
        <v>265.549442</v>
      </c>
      <c r="G240" t="n">
        <v>131.19784</v>
      </c>
      <c r="H240" t="n">
        <v>368.043932</v>
      </c>
      <c r="I240" t="n">
        <v>2939.153653</v>
      </c>
      <c r="J240" t="n">
        <v>3022.907916</v>
      </c>
      <c r="K240" t="n">
        <v>1769.605312</v>
      </c>
      <c r="L240" t="n">
        <v>3691.420719</v>
      </c>
      <c r="M240" t="n">
        <v>3691.420719</v>
      </c>
      <c r="N240" t="n">
        <v>3691.420719</v>
      </c>
      <c r="O240" t="n">
        <v>92.784491</v>
      </c>
      <c r="P240" t="n">
        <v>44.082214</v>
      </c>
      <c r="Q240" t="n">
        <v>3691.420719</v>
      </c>
      <c r="R240" t="n">
        <v>3691.420719</v>
      </c>
      <c r="S240" t="n">
        <v>92.784491</v>
      </c>
      <c r="T240" t="n">
        <v>92.784491</v>
      </c>
      <c r="U240" t="n">
        <v>44.082214</v>
      </c>
      <c r="V240" t="n">
        <v>44.082214</v>
      </c>
      <c r="W240" t="n">
        <v>96.91430099999999</v>
      </c>
      <c r="X240" t="n">
        <v>3937.988659</v>
      </c>
    </row>
    <row r="241" ht="21" customHeight="1">
      <c r="A241" t="inlineStr">
        <is>
          <t>Meretrix lusoria</t>
        </is>
      </c>
      <c r="B241" t="n">
        <v>2</v>
      </c>
      <c r="C241" t="n">
        <v>10</v>
      </c>
      <c r="D241" s="11" t="inlineStr">
        <is>
          <t>Non-ceph molluscs</t>
        </is>
      </c>
      <c r="E241" t="n">
        <v>140.953883</v>
      </c>
      <c r="F241" t="n">
        <v>14.712171</v>
      </c>
      <c r="G241" t="n">
        <v>10.486582</v>
      </c>
      <c r="H241" t="n">
        <v>17.347998</v>
      </c>
      <c r="I241" t="n">
        <v>87.52377799999999</v>
      </c>
      <c r="J241" t="n">
        <v>87.52377799999999</v>
      </c>
      <c r="K241" t="n">
        <v>33.521607</v>
      </c>
      <c r="L241" t="n">
        <v>92.59366</v>
      </c>
      <c r="M241" t="n">
        <v>92.59366</v>
      </c>
      <c r="N241" t="n">
        <v>92.59366</v>
      </c>
      <c r="O241" t="n">
        <v>4.448657</v>
      </c>
      <c r="P241" t="n">
        <v>3.058348</v>
      </c>
      <c r="Q241" t="n">
        <v>92.59366</v>
      </c>
      <c r="R241" t="n">
        <v>92.59366</v>
      </c>
      <c r="S241" t="n">
        <v>4.448657</v>
      </c>
      <c r="T241" t="n">
        <v>4.448657</v>
      </c>
      <c r="U241" t="n">
        <v>3.058348</v>
      </c>
      <c r="V241" t="n">
        <v>3.058348</v>
      </c>
      <c r="W241" t="n">
        <v>4.556294</v>
      </c>
      <c r="X241" t="n">
        <v>96.447226</v>
      </c>
    </row>
    <row r="242" ht="36" customHeight="1">
      <c r="A242" t="inlineStr">
        <is>
          <t>Hemiramphidae</t>
        </is>
      </c>
      <c r="B242" t="n">
        <v>2.82</v>
      </c>
      <c r="C242" t="n">
        <v>66.069345</v>
      </c>
      <c r="D242" s="11" t="inlineStr">
        <is>
          <t>Juvenile large pelagic fish | Pelagic fish (&gt; 30 cm)</t>
        </is>
      </c>
      <c r="E242" t="n">
        <v>140.953883</v>
      </c>
      <c r="F242" t="n">
        <v>200.641254</v>
      </c>
      <c r="G242" t="n">
        <v>102.228748</v>
      </c>
      <c r="H242" t="n">
        <v>215.010584</v>
      </c>
      <c r="I242" t="n">
        <v>6244.222521</v>
      </c>
      <c r="J242" t="n">
        <v>6325.914048</v>
      </c>
      <c r="K242" t="n">
        <v>1872.204427</v>
      </c>
      <c r="L242" t="n">
        <v>7112.982475</v>
      </c>
      <c r="M242" t="n">
        <v>7112.982475</v>
      </c>
      <c r="N242" t="n">
        <v>7112.982475</v>
      </c>
      <c r="O242" t="n">
        <v>87.969483</v>
      </c>
      <c r="P242" t="n">
        <v>46.580547</v>
      </c>
      <c r="Q242" t="n">
        <v>7112.982475</v>
      </c>
      <c r="R242" t="n">
        <v>7112.982475</v>
      </c>
      <c r="S242" t="n">
        <v>87.969483</v>
      </c>
      <c r="T242" t="n">
        <v>87.969483</v>
      </c>
      <c r="U242" t="n">
        <v>46.580547</v>
      </c>
      <c r="V242" t="n">
        <v>46.580547</v>
      </c>
      <c r="W242" t="n">
        <v>93.060855</v>
      </c>
      <c r="X242" t="n">
        <v>7459.131892</v>
      </c>
    </row>
    <row r="243" ht="21" customHeight="1">
      <c r="A243" t="inlineStr">
        <is>
          <t>Istiophorus platypterus</t>
        </is>
      </c>
      <c r="B243" t="n">
        <v>4.5</v>
      </c>
      <c r="C243" t="n">
        <v>3162.27766</v>
      </c>
      <c r="D243" s="11" t="inlineStr">
        <is>
          <t>Unresolved</t>
        </is>
      </c>
    </row>
    <row r="244" ht="21" customHeight="1">
      <c r="A244" t="inlineStr">
        <is>
          <t>Modiolus</t>
        </is>
      </c>
      <c r="D244" s="11" t="inlineStr">
        <is>
          <t>Non-ceph molluscs</t>
        </is>
      </c>
      <c r="E244" t="n">
        <v>140.953883</v>
      </c>
      <c r="F244" t="n">
        <v>14.712171</v>
      </c>
      <c r="G244" t="n">
        <v>10.486582</v>
      </c>
      <c r="H244" t="n">
        <v>17.347998</v>
      </c>
      <c r="I244" t="n">
        <v>87.52377799999999</v>
      </c>
      <c r="J244" t="n">
        <v>87.52377799999999</v>
      </c>
      <c r="K244" t="n">
        <v>33.521607</v>
      </c>
      <c r="L244" t="n">
        <v>92.59366</v>
      </c>
      <c r="M244" t="n">
        <v>92.59366</v>
      </c>
      <c r="N244" t="n">
        <v>92.59366</v>
      </c>
      <c r="O244" t="n">
        <v>4.448657</v>
      </c>
      <c r="P244" t="n">
        <v>3.058348</v>
      </c>
      <c r="Q244" t="n">
        <v>92.59366</v>
      </c>
      <c r="R244" t="n">
        <v>92.59366</v>
      </c>
      <c r="S244" t="n">
        <v>4.448657</v>
      </c>
      <c r="T244" t="n">
        <v>4.448657</v>
      </c>
      <c r="U244" t="n">
        <v>3.058348</v>
      </c>
      <c r="V244" t="n">
        <v>3.058348</v>
      </c>
      <c r="W244" t="n">
        <v>4.556294</v>
      </c>
      <c r="X244" t="n">
        <v>96.447226</v>
      </c>
    </row>
    <row r="245" ht="21" customHeight="1">
      <c r="A245" t="inlineStr">
        <is>
          <t>Istiompax indica</t>
        </is>
      </c>
      <c r="B245" t="n">
        <v>4.5</v>
      </c>
      <c r="C245" t="n">
        <v>3162.27766</v>
      </c>
      <c r="D245" s="11" t="inlineStr">
        <is>
          <t>Unresolved</t>
        </is>
      </c>
    </row>
    <row r="246" ht="51" customHeight="1">
      <c r="A246" t="inlineStr">
        <is>
          <t>Marine pelagic fishes not identified</t>
        </is>
      </c>
      <c r="B246" t="n">
        <v>3.35</v>
      </c>
      <c r="C246" t="n">
        <v>223.872114</v>
      </c>
      <c r="D246" s="11" t="inlineStr">
        <is>
          <t>Pelagic fish (≤ 30 cm) | Juvenile large pelagic fish | Pelagic fish (&gt; 30 cm)</t>
        </is>
      </c>
      <c r="E246" t="n">
        <v>140.953883</v>
      </c>
      <c r="F246" t="n">
        <v>94.940534</v>
      </c>
      <c r="G246" t="n">
        <v>52.342971</v>
      </c>
      <c r="H246" t="n">
        <v>87.541141</v>
      </c>
      <c r="I246" t="n">
        <v>1833.804999</v>
      </c>
      <c r="J246" t="n">
        <v>1853.890312</v>
      </c>
      <c r="K246" t="n">
        <v>743.939069</v>
      </c>
      <c r="L246" t="n">
        <v>2045.820774</v>
      </c>
      <c r="M246" t="n">
        <v>2045.820774</v>
      </c>
      <c r="N246" t="n">
        <v>2045.820774</v>
      </c>
      <c r="O246" t="n">
        <v>37.402647</v>
      </c>
      <c r="P246" t="n">
        <v>21.641048</v>
      </c>
      <c r="Q246" t="n">
        <v>2045.820774</v>
      </c>
      <c r="R246" t="n">
        <v>2045.820774</v>
      </c>
      <c r="S246" t="n">
        <v>37.402647</v>
      </c>
      <c r="T246" t="n">
        <v>37.402647</v>
      </c>
      <c r="U246" t="n">
        <v>21.641048</v>
      </c>
      <c r="V246" t="n">
        <v>21.641048</v>
      </c>
      <c r="W246" t="n">
        <v>39.426311</v>
      </c>
      <c r="X246" t="n">
        <v>2139.974971</v>
      </c>
    </row>
    <row r="247" ht="21" customHeight="1">
      <c r="A247" t="inlineStr">
        <is>
          <t>Sardinella zunasi</t>
        </is>
      </c>
      <c r="B247" t="n">
        <v>3.12</v>
      </c>
      <c r="C247" t="n">
        <v>131.825674</v>
      </c>
      <c r="D247" s="11" t="inlineStr">
        <is>
          <t>Pelagic fish (≤ 30 cm)</t>
        </is>
      </c>
      <c r="E247" t="n">
        <v>140.953883</v>
      </c>
      <c r="F247" t="n">
        <v>60.479203</v>
      </c>
      <c r="G247" t="n">
        <v>36.07884</v>
      </c>
      <c r="H247" t="n">
        <v>45.98261</v>
      </c>
      <c r="I247" t="n">
        <v>395.888053</v>
      </c>
      <c r="J247" t="n">
        <v>395.888053</v>
      </c>
      <c r="K247" t="n">
        <v>376.09365</v>
      </c>
      <c r="L247" t="n">
        <v>393.787233</v>
      </c>
      <c r="M247" t="n">
        <v>393.787233</v>
      </c>
      <c r="N247" t="n">
        <v>393.787233</v>
      </c>
      <c r="O247" t="n">
        <v>20.916473</v>
      </c>
      <c r="P247" t="n">
        <v>13.510088</v>
      </c>
      <c r="Q247" t="n">
        <v>393.787233</v>
      </c>
      <c r="R247" t="n">
        <v>393.787233</v>
      </c>
      <c r="S247" t="n">
        <v>20.916473</v>
      </c>
      <c r="T247" t="n">
        <v>20.916473</v>
      </c>
      <c r="U247" t="n">
        <v>13.510088</v>
      </c>
      <c r="V247" t="n">
        <v>13.510088</v>
      </c>
      <c r="W247" t="n">
        <v>21.939981</v>
      </c>
      <c r="X247" t="n">
        <v>405.784084</v>
      </c>
    </row>
    <row r="248" ht="36" customHeight="1">
      <c r="A248" t="inlineStr">
        <is>
          <t>Muraenidae</t>
        </is>
      </c>
      <c r="B248" t="n">
        <v>4.07</v>
      </c>
      <c r="C248" t="n">
        <v>1174.897555</v>
      </c>
      <c r="D248" s="11" t="inlineStr">
        <is>
          <t>Juvenile demersal fish (&gt; 30 cm) | Adult demersal fish (&gt; 30 cm)</t>
        </is>
      </c>
      <c r="E248" t="n">
        <v>140.953883</v>
      </c>
      <c r="F248" t="n">
        <v>228.824285</v>
      </c>
      <c r="G248" t="n">
        <v>114.897152</v>
      </c>
      <c r="H248" t="n">
        <v>408.798022</v>
      </c>
      <c r="I248" t="n">
        <v>6590.793316</v>
      </c>
      <c r="J248" t="n">
        <v>7071.146917</v>
      </c>
      <c r="K248" t="n">
        <v>2576.928919</v>
      </c>
      <c r="L248" t="n">
        <v>10677.999207</v>
      </c>
      <c r="M248" t="n">
        <v>10677.999207</v>
      </c>
      <c r="N248" t="n">
        <v>10677.999207</v>
      </c>
      <c r="O248" t="n">
        <v>85.006417</v>
      </c>
      <c r="P248" t="n">
        <v>38.52237</v>
      </c>
      <c r="Q248" t="n">
        <v>10677.999207</v>
      </c>
      <c r="R248" t="n">
        <v>10677.999207</v>
      </c>
      <c r="S248" t="n">
        <v>85.006417</v>
      </c>
      <c r="T248" t="n">
        <v>85.006417</v>
      </c>
      <c r="U248" t="n">
        <v>38.52237</v>
      </c>
      <c r="V248" t="n">
        <v>38.52237</v>
      </c>
      <c r="W248" t="n">
        <v>88.306245</v>
      </c>
      <c r="X248" t="n">
        <v>11509.306401</v>
      </c>
    </row>
    <row r="249" ht="36" customHeight="1">
      <c r="A249" t="inlineStr">
        <is>
          <t>Rachycentron canadum</t>
        </is>
      </c>
      <c r="B249" t="n">
        <v>3.96</v>
      </c>
      <c r="C249" t="n">
        <v>912.010839</v>
      </c>
      <c r="D249" s="11" t="inlineStr">
        <is>
          <t>Juvenile large pelagic fish | Pelagic fish (&gt; 30 cm)</t>
        </is>
      </c>
      <c r="E249" t="n">
        <v>140.953883</v>
      </c>
      <c r="F249" t="n">
        <v>200.641254</v>
      </c>
      <c r="G249" t="n">
        <v>102.228748</v>
      </c>
      <c r="H249" t="n">
        <v>215.010584</v>
      </c>
      <c r="I249" t="n">
        <v>6244.222521</v>
      </c>
      <c r="J249" t="n">
        <v>6325.914048</v>
      </c>
      <c r="K249" t="n">
        <v>1872.204427</v>
      </c>
      <c r="L249" t="n">
        <v>7112.982475</v>
      </c>
      <c r="M249" t="n">
        <v>7112.982475</v>
      </c>
      <c r="N249" t="n">
        <v>7112.982475</v>
      </c>
      <c r="O249" t="n">
        <v>87.969483</v>
      </c>
      <c r="P249" t="n">
        <v>46.580547</v>
      </c>
      <c r="Q249" t="n">
        <v>7112.982475</v>
      </c>
      <c r="R249" t="n">
        <v>7112.982475</v>
      </c>
      <c r="S249" t="n">
        <v>87.969483</v>
      </c>
      <c r="T249" t="n">
        <v>87.969483</v>
      </c>
      <c r="U249" t="n">
        <v>46.580547</v>
      </c>
      <c r="V249" t="n">
        <v>46.580547</v>
      </c>
      <c r="W249" t="n">
        <v>93.060855</v>
      </c>
      <c r="X249" t="n">
        <v>7459.131892</v>
      </c>
    </row>
    <row r="250" ht="21" customHeight="1">
      <c r="A250" t="inlineStr">
        <is>
          <t>Mierspenaeopsis hardwickii</t>
        </is>
      </c>
      <c r="B250" t="n">
        <v>2.71</v>
      </c>
      <c r="C250" t="n">
        <v>51.286138</v>
      </c>
      <c r="D250" s="11" t="inlineStr">
        <is>
          <t>Shrimps</t>
        </is>
      </c>
      <c r="E250" t="n">
        <v>140.953883</v>
      </c>
      <c r="F250" t="n">
        <v>20.606299</v>
      </c>
      <c r="G250" t="n">
        <v>14.077679</v>
      </c>
      <c r="H250" t="n">
        <v>22.715542</v>
      </c>
      <c r="I250" t="n">
        <v>131.71072</v>
      </c>
      <c r="J250" t="n">
        <v>131.71072</v>
      </c>
      <c r="K250" t="n">
        <v>125.125184</v>
      </c>
      <c r="L250" t="n">
        <v>130.894857</v>
      </c>
      <c r="M250" t="n">
        <v>130.894857</v>
      </c>
      <c r="N250" t="n">
        <v>130.894857</v>
      </c>
      <c r="O250" t="n">
        <v>12.255972</v>
      </c>
      <c r="P250" t="n">
        <v>8.448598</v>
      </c>
      <c r="Q250" t="n">
        <v>130.894857</v>
      </c>
      <c r="R250" t="n">
        <v>130.894857</v>
      </c>
      <c r="S250" t="n">
        <v>12.255972</v>
      </c>
      <c r="T250" t="n">
        <v>12.255972</v>
      </c>
      <c r="U250" t="n">
        <v>8.448598</v>
      </c>
      <c r="V250" t="n">
        <v>8.448598</v>
      </c>
      <c r="W250" t="n">
        <v>12.680707</v>
      </c>
      <c r="X250" t="n">
        <v>136.520004</v>
      </c>
    </row>
    <row r="251" ht="21" customHeight="1">
      <c r="A251" t="inlineStr">
        <is>
          <t>Ibacus ciliatus</t>
        </is>
      </c>
      <c r="B251" t="n">
        <v>2.6</v>
      </c>
      <c r="C251" t="n">
        <v>39.810717</v>
      </c>
      <c r="D251" s="11" t="inlineStr">
        <is>
          <t>Benthic crustaceans</t>
        </is>
      </c>
      <c r="E251" t="n">
        <v>140.953883</v>
      </c>
      <c r="F251" t="n">
        <v>15.812995</v>
      </c>
      <c r="G251" t="n">
        <v>11.169278</v>
      </c>
      <c r="H251" t="n">
        <v>22.580939</v>
      </c>
      <c r="I251" t="n">
        <v>110.765161</v>
      </c>
      <c r="J251" t="n">
        <v>110.765161</v>
      </c>
      <c r="K251" t="n">
        <v>69.11746100000001</v>
      </c>
      <c r="L251" t="n">
        <v>113.463496</v>
      </c>
      <c r="M251" t="n">
        <v>113.463496</v>
      </c>
      <c r="N251" t="n">
        <v>113.463496</v>
      </c>
      <c r="O251" t="n">
        <v>8.170260000000001</v>
      </c>
      <c r="P251" t="n">
        <v>5.693764</v>
      </c>
      <c r="Q251" t="n">
        <v>113.463496</v>
      </c>
      <c r="R251" t="n">
        <v>113.463496</v>
      </c>
      <c r="S251" t="n">
        <v>8.170260000000001</v>
      </c>
      <c r="T251" t="n">
        <v>8.170260000000001</v>
      </c>
      <c r="U251" t="n">
        <v>5.693764</v>
      </c>
      <c r="V251" t="n">
        <v>5.693764</v>
      </c>
      <c r="W251" t="n">
        <v>8.298344999999999</v>
      </c>
      <c r="X251" t="n">
        <v>118.931059</v>
      </c>
    </row>
    <row r="252" ht="21" customHeight="1">
      <c r="A252" t="inlineStr">
        <is>
          <t>Istiophoridae</t>
        </is>
      </c>
      <c r="B252" t="n">
        <v>4.48</v>
      </c>
      <c r="C252" t="n">
        <v>3019.95172</v>
      </c>
      <c r="D252" s="11" t="inlineStr">
        <is>
          <t>Unresolved</t>
        </is>
      </c>
    </row>
    <row r="253" ht="21" customHeight="1">
      <c r="A253" t="inlineStr">
        <is>
          <t>Panulirus polyphagus</t>
        </is>
      </c>
      <c r="B253" t="n">
        <v>2.94</v>
      </c>
      <c r="C253" t="n">
        <v>87.09635900000001</v>
      </c>
      <c r="D253" s="11" t="inlineStr">
        <is>
          <t>Benthic crustaceans</t>
        </is>
      </c>
      <c r="E253" t="n">
        <v>140.953883</v>
      </c>
      <c r="F253" t="n">
        <v>15.812995</v>
      </c>
      <c r="G253" t="n">
        <v>11.169278</v>
      </c>
      <c r="H253" t="n">
        <v>22.580939</v>
      </c>
      <c r="I253" t="n">
        <v>110.765161</v>
      </c>
      <c r="J253" t="n">
        <v>110.765161</v>
      </c>
      <c r="K253" t="n">
        <v>69.11746100000001</v>
      </c>
      <c r="L253" t="n">
        <v>113.463496</v>
      </c>
      <c r="M253" t="n">
        <v>113.463496</v>
      </c>
      <c r="N253" t="n">
        <v>113.463496</v>
      </c>
      <c r="O253" t="n">
        <v>8.170260000000001</v>
      </c>
      <c r="P253" t="n">
        <v>5.693764</v>
      </c>
      <c r="Q253" t="n">
        <v>113.463496</v>
      </c>
      <c r="R253" t="n">
        <v>113.463496</v>
      </c>
      <c r="S253" t="n">
        <v>8.170260000000001</v>
      </c>
      <c r="T253" t="n">
        <v>8.170260000000001</v>
      </c>
      <c r="U253" t="n">
        <v>5.693764</v>
      </c>
      <c r="V253" t="n">
        <v>5.693764</v>
      </c>
      <c r="W253" t="n">
        <v>8.298344999999999</v>
      </c>
      <c r="X253" t="n">
        <v>118.931059</v>
      </c>
    </row>
    <row r="254" ht="21" customHeight="1">
      <c r="A254" t="inlineStr">
        <is>
          <t>Mierspenaeopsis sculptilis</t>
        </is>
      </c>
      <c r="D254" s="11" t="inlineStr">
        <is>
          <t>Shrimps</t>
        </is>
      </c>
      <c r="E254" t="n">
        <v>140.953883</v>
      </c>
      <c r="F254" t="n">
        <v>20.606299</v>
      </c>
      <c r="G254" t="n">
        <v>14.077679</v>
      </c>
      <c r="H254" t="n">
        <v>22.715542</v>
      </c>
      <c r="I254" t="n">
        <v>131.71072</v>
      </c>
      <c r="J254" t="n">
        <v>131.71072</v>
      </c>
      <c r="K254" t="n">
        <v>125.125184</v>
      </c>
      <c r="L254" t="n">
        <v>130.894857</v>
      </c>
      <c r="M254" t="n">
        <v>130.894857</v>
      </c>
      <c r="N254" t="n">
        <v>130.894857</v>
      </c>
      <c r="O254" t="n">
        <v>12.255972</v>
      </c>
      <c r="P254" t="n">
        <v>8.448598</v>
      </c>
      <c r="Q254" t="n">
        <v>130.894857</v>
      </c>
      <c r="R254" t="n">
        <v>130.894857</v>
      </c>
      <c r="S254" t="n">
        <v>12.255972</v>
      </c>
      <c r="T254" t="n">
        <v>12.255972</v>
      </c>
      <c r="U254" t="n">
        <v>8.448598</v>
      </c>
      <c r="V254" t="n">
        <v>8.448598</v>
      </c>
      <c r="W254" t="n">
        <v>12.680707</v>
      </c>
      <c r="X254" t="n">
        <v>136.520004</v>
      </c>
    </row>
    <row r="255" ht="21" customHeight="1">
      <c r="A255" t="inlineStr">
        <is>
          <t>Acanthurus</t>
        </is>
      </c>
      <c r="B255" t="n">
        <v>2.03</v>
      </c>
      <c r="C255" t="n">
        <v>10.715193</v>
      </c>
      <c r="D255" s="11" t="inlineStr">
        <is>
          <t>Demesral fish (≤ 30 cm)</t>
        </is>
      </c>
      <c r="E255" t="n">
        <v>140.953883</v>
      </c>
      <c r="F255" t="n">
        <v>95.34341499999999</v>
      </c>
      <c r="G255" t="n">
        <v>53.708528</v>
      </c>
      <c r="H255" t="n">
        <v>114.11959</v>
      </c>
      <c r="I255" t="n">
        <v>569.846189</v>
      </c>
      <c r="J255" t="n">
        <v>594.287325</v>
      </c>
      <c r="K255" t="n">
        <v>564.572959</v>
      </c>
      <c r="L255" t="n">
        <v>738.02552</v>
      </c>
      <c r="M255" t="n">
        <v>738.02552</v>
      </c>
      <c r="N255" t="n">
        <v>738.02552</v>
      </c>
      <c r="O255" t="n">
        <v>39.685535</v>
      </c>
      <c r="P255" t="n">
        <v>21.622034</v>
      </c>
      <c r="Q255" t="n">
        <v>738.02552</v>
      </c>
      <c r="R255" t="n">
        <v>738.02552</v>
      </c>
      <c r="S255" t="n">
        <v>39.685535</v>
      </c>
      <c r="T255" t="n">
        <v>39.685535</v>
      </c>
      <c r="U255" t="n">
        <v>21.622034</v>
      </c>
      <c r="V255" t="n">
        <v>21.622034</v>
      </c>
      <c r="W255" t="n">
        <v>41.109943</v>
      </c>
      <c r="X255" t="n">
        <v>772.895549</v>
      </c>
    </row>
    <row r="256" ht="21" customHeight="1">
      <c r="A256" t="inlineStr">
        <is>
          <t>Palinuridae</t>
        </is>
      </c>
      <c r="B256" t="n">
        <v>3.14</v>
      </c>
      <c r="C256" t="n">
        <v>138.038426</v>
      </c>
      <c r="D256" s="11" t="inlineStr">
        <is>
          <t>Benthic crustaceans</t>
        </is>
      </c>
      <c r="E256" t="n">
        <v>140.953883</v>
      </c>
      <c r="F256" t="n">
        <v>15.812995</v>
      </c>
      <c r="G256" t="n">
        <v>11.169278</v>
      </c>
      <c r="H256" t="n">
        <v>22.580939</v>
      </c>
      <c r="I256" t="n">
        <v>110.765161</v>
      </c>
      <c r="J256" t="n">
        <v>110.765161</v>
      </c>
      <c r="K256" t="n">
        <v>69.11746100000001</v>
      </c>
      <c r="L256" t="n">
        <v>113.463496</v>
      </c>
      <c r="M256" t="n">
        <v>113.463496</v>
      </c>
      <c r="N256" t="n">
        <v>113.463496</v>
      </c>
      <c r="O256" t="n">
        <v>8.170260000000001</v>
      </c>
      <c r="P256" t="n">
        <v>5.693764</v>
      </c>
      <c r="Q256" t="n">
        <v>113.463496</v>
      </c>
      <c r="R256" t="n">
        <v>113.463496</v>
      </c>
      <c r="S256" t="n">
        <v>8.170260000000001</v>
      </c>
      <c r="T256" t="n">
        <v>8.170260000000001</v>
      </c>
      <c r="U256" t="n">
        <v>5.693764</v>
      </c>
      <c r="V256" t="n">
        <v>5.693764</v>
      </c>
      <c r="W256" t="n">
        <v>8.298344999999999</v>
      </c>
      <c r="X256" t="n">
        <v>118.931059</v>
      </c>
    </row>
    <row r="257" ht="36" customHeight="1">
      <c r="A257" t="inlineStr">
        <is>
          <t>Terapontidae</t>
        </is>
      </c>
      <c r="B257" t="n">
        <v>3.64</v>
      </c>
      <c r="C257" t="n">
        <v>436.515832</v>
      </c>
      <c r="D257" s="11" t="inlineStr">
        <is>
          <t>Juvenile demersal fish (&gt; 30 cm) | Adult demersal fish (&gt; 30 cm)</t>
        </is>
      </c>
      <c r="E257" t="n">
        <v>140.953883</v>
      </c>
      <c r="F257" t="n">
        <v>228.824285</v>
      </c>
      <c r="G257" t="n">
        <v>114.897152</v>
      </c>
      <c r="H257" t="n">
        <v>408.798022</v>
      </c>
      <c r="I257" t="n">
        <v>6590.793316</v>
      </c>
      <c r="J257" t="n">
        <v>7071.146917</v>
      </c>
      <c r="K257" t="n">
        <v>2576.928919</v>
      </c>
      <c r="L257" t="n">
        <v>10677.999207</v>
      </c>
      <c r="M257" t="n">
        <v>10677.999207</v>
      </c>
      <c r="N257" t="n">
        <v>10677.999207</v>
      </c>
      <c r="O257" t="n">
        <v>85.006417</v>
      </c>
      <c r="P257" t="n">
        <v>38.52237</v>
      </c>
      <c r="Q257" t="n">
        <v>10677.999207</v>
      </c>
      <c r="R257" t="n">
        <v>10677.999207</v>
      </c>
      <c r="S257" t="n">
        <v>85.006417</v>
      </c>
      <c r="T257" t="n">
        <v>85.006417</v>
      </c>
      <c r="U257" t="n">
        <v>38.52237</v>
      </c>
      <c r="V257" t="n">
        <v>38.52237</v>
      </c>
      <c r="W257" t="n">
        <v>88.306245</v>
      </c>
      <c r="X257" t="n">
        <v>11509.306401</v>
      </c>
    </row>
    <row r="258" ht="21" customHeight="1">
      <c r="A258" t="inlineStr">
        <is>
          <t>Octopus vulgaris</t>
        </is>
      </c>
      <c r="B258" t="n">
        <v>3.6</v>
      </c>
      <c r="C258" t="n">
        <v>398.107171</v>
      </c>
      <c r="D258" s="11" t="inlineStr">
        <is>
          <t>Cephalopods</t>
        </is>
      </c>
      <c r="E258" t="n">
        <v>140.953883</v>
      </c>
      <c r="F258" t="n">
        <v>170.518341</v>
      </c>
      <c r="G258" t="n">
        <v>89.274901</v>
      </c>
      <c r="H258" t="n">
        <v>176.937394</v>
      </c>
      <c r="I258" t="n">
        <v>1050.872908</v>
      </c>
      <c r="J258" t="n">
        <v>1075.829695</v>
      </c>
      <c r="K258" t="n">
        <v>537.914847</v>
      </c>
      <c r="L258" t="n">
        <v>1659.687874</v>
      </c>
      <c r="M258" t="n">
        <v>1659.687874</v>
      </c>
      <c r="N258" t="n">
        <v>1659.687874</v>
      </c>
      <c r="O258" t="n">
        <v>31.362197</v>
      </c>
      <c r="P258" t="n">
        <v>16.184075</v>
      </c>
      <c r="Q258" t="n">
        <v>1659.687874</v>
      </c>
      <c r="R258" t="n">
        <v>1659.687874</v>
      </c>
      <c r="S258" t="n">
        <v>31.362197</v>
      </c>
      <c r="T258" t="n">
        <v>31.362197</v>
      </c>
      <c r="U258" t="n">
        <v>16.184075</v>
      </c>
      <c r="V258" t="n">
        <v>16.184075</v>
      </c>
      <c r="W258" t="n">
        <v>32.286772</v>
      </c>
      <c r="X258" t="n">
        <v>1775.112325</v>
      </c>
    </row>
    <row r="259" ht="21" customHeight="1">
      <c r="A259" t="inlineStr">
        <is>
          <t>Solenocera crassicornis</t>
        </is>
      </c>
      <c r="B259" t="n">
        <v>2.2</v>
      </c>
      <c r="C259" t="n">
        <v>15.848932</v>
      </c>
      <c r="D259" s="11" t="inlineStr">
        <is>
          <t>Shrimps</t>
        </is>
      </c>
      <c r="E259" t="n">
        <v>140.953883</v>
      </c>
      <c r="F259" t="n">
        <v>20.606299</v>
      </c>
      <c r="G259" t="n">
        <v>14.077679</v>
      </c>
      <c r="H259" t="n">
        <v>22.715542</v>
      </c>
      <c r="I259" t="n">
        <v>131.71072</v>
      </c>
      <c r="J259" t="n">
        <v>131.71072</v>
      </c>
      <c r="K259" t="n">
        <v>125.125184</v>
      </c>
      <c r="L259" t="n">
        <v>130.894857</v>
      </c>
      <c r="M259" t="n">
        <v>130.894857</v>
      </c>
      <c r="N259" t="n">
        <v>130.894857</v>
      </c>
      <c r="O259" t="n">
        <v>12.255972</v>
      </c>
      <c r="P259" t="n">
        <v>8.448598</v>
      </c>
      <c r="Q259" t="n">
        <v>130.894857</v>
      </c>
      <c r="R259" t="n">
        <v>130.894857</v>
      </c>
      <c r="S259" t="n">
        <v>12.255972</v>
      </c>
      <c r="T259" t="n">
        <v>12.255972</v>
      </c>
      <c r="U259" t="n">
        <v>8.448598</v>
      </c>
      <c r="V259" t="n">
        <v>8.448598</v>
      </c>
      <c r="W259" t="n">
        <v>12.680707</v>
      </c>
      <c r="X259" t="n">
        <v>136.520004</v>
      </c>
    </row>
    <row r="260" ht="36" customHeight="1">
      <c r="A260" t="inlineStr">
        <is>
          <t>Thunnus alalunga</t>
        </is>
      </c>
      <c r="B260" t="n">
        <v>4.3</v>
      </c>
      <c r="C260" t="n">
        <v>1995.262315</v>
      </c>
      <c r="D260" s="11" t="inlineStr">
        <is>
          <t>Juvenile large pelagic fish | Pelagic fish (&gt; 30 cm)</t>
        </is>
      </c>
      <c r="E260" t="n">
        <v>140.953883</v>
      </c>
      <c r="F260" t="n">
        <v>200.641254</v>
      </c>
      <c r="G260" t="n">
        <v>102.228748</v>
      </c>
      <c r="H260" t="n">
        <v>215.010584</v>
      </c>
      <c r="I260" t="n">
        <v>6244.222521</v>
      </c>
      <c r="J260" t="n">
        <v>6325.914048</v>
      </c>
      <c r="K260" t="n">
        <v>1872.204427</v>
      </c>
      <c r="L260" t="n">
        <v>7112.982475</v>
      </c>
      <c r="M260" t="n">
        <v>7112.982475</v>
      </c>
      <c r="N260" t="n">
        <v>7112.982475</v>
      </c>
      <c r="O260" t="n">
        <v>87.969483</v>
      </c>
      <c r="P260" t="n">
        <v>46.580547</v>
      </c>
      <c r="Q260" t="n">
        <v>7112.982475</v>
      </c>
      <c r="R260" t="n">
        <v>7112.982475</v>
      </c>
      <c r="S260" t="n">
        <v>87.969483</v>
      </c>
      <c r="T260" t="n">
        <v>87.969483</v>
      </c>
      <c r="U260" t="n">
        <v>46.580547</v>
      </c>
      <c r="V260" t="n">
        <v>46.580547</v>
      </c>
      <c r="W260" t="n">
        <v>93.060855</v>
      </c>
      <c r="X260" t="n">
        <v>7459.131892</v>
      </c>
    </row>
    <row r="261" ht="36" customHeight="1">
      <c r="A261" t="inlineStr">
        <is>
          <t>Scorpaenidae</t>
        </is>
      </c>
      <c r="B261" t="n">
        <v>3.92</v>
      </c>
      <c r="C261" t="n">
        <v>831.763771</v>
      </c>
      <c r="D261" s="11" t="inlineStr">
        <is>
          <t>Juvenile demersal fish (&gt; 30 cm) | Adult demersal fish (&gt; 30 cm)</t>
        </is>
      </c>
      <c r="E261" t="n">
        <v>140.953883</v>
      </c>
      <c r="F261" t="n">
        <v>228.824285</v>
      </c>
      <c r="G261" t="n">
        <v>114.897152</v>
      </c>
      <c r="H261" t="n">
        <v>408.798022</v>
      </c>
      <c r="I261" t="n">
        <v>6590.793316</v>
      </c>
      <c r="J261" t="n">
        <v>7071.146917</v>
      </c>
      <c r="K261" t="n">
        <v>2576.928919</v>
      </c>
      <c r="L261" t="n">
        <v>10677.999207</v>
      </c>
      <c r="M261" t="n">
        <v>10677.999207</v>
      </c>
      <c r="N261" t="n">
        <v>10677.999207</v>
      </c>
      <c r="O261" t="n">
        <v>85.006417</v>
      </c>
      <c r="P261" t="n">
        <v>38.52237</v>
      </c>
      <c r="Q261" t="n">
        <v>10677.999207</v>
      </c>
      <c r="R261" t="n">
        <v>10677.999207</v>
      </c>
      <c r="S261" t="n">
        <v>85.006417</v>
      </c>
      <c r="T261" t="n">
        <v>85.006417</v>
      </c>
      <c r="U261" t="n">
        <v>38.52237</v>
      </c>
      <c r="V261" t="n">
        <v>38.52237</v>
      </c>
      <c r="W261" t="n">
        <v>88.306245</v>
      </c>
      <c r="X261" t="n">
        <v>11509.306401</v>
      </c>
    </row>
    <row r="262" ht="21" customHeight="1">
      <c r="A262" t="inlineStr">
        <is>
          <t>Carcharhinus falciformis</t>
        </is>
      </c>
      <c r="B262" t="n">
        <v>4.51</v>
      </c>
      <c r="C262" t="n">
        <v>3235.936569</v>
      </c>
      <c r="D262" s="11" t="inlineStr">
        <is>
          <t>Pelagic sharks and rays</t>
        </is>
      </c>
      <c r="E262" t="n">
        <v>140.953883</v>
      </c>
      <c r="F262" t="n">
        <v>908.988005</v>
      </c>
      <c r="G262" t="n">
        <v>385.472886</v>
      </c>
      <c r="H262" t="n">
        <v>784.4685459999999</v>
      </c>
      <c r="I262" t="n">
        <v>125208.792952</v>
      </c>
      <c r="J262" t="n">
        <v>126616.154086</v>
      </c>
      <c r="K262" t="n">
        <v>63308.077043</v>
      </c>
      <c r="L262" t="n">
        <v>172174.15174</v>
      </c>
      <c r="M262" t="n">
        <v>172174.151739</v>
      </c>
      <c r="N262" t="n">
        <v>172174.151739</v>
      </c>
      <c r="O262" t="n">
        <v>202.141045</v>
      </c>
      <c r="P262" t="n">
        <v>87.49926499999999</v>
      </c>
      <c r="Q262" t="n">
        <v>172174.151739</v>
      </c>
      <c r="R262" t="n">
        <v>172174.151739</v>
      </c>
      <c r="S262" t="n">
        <v>202.141045</v>
      </c>
      <c r="T262" t="n">
        <v>202.141045</v>
      </c>
      <c r="U262" t="n">
        <v>87.49926499999999</v>
      </c>
      <c r="V262" t="n">
        <v>87.49926499999999</v>
      </c>
      <c r="W262" t="n">
        <v>214.928725</v>
      </c>
      <c r="X262" t="n">
        <v>183923.261916</v>
      </c>
    </row>
    <row r="263" ht="21" customHeight="1">
      <c r="A263" t="inlineStr">
        <is>
          <t>Metapenaeus affinis</t>
        </is>
      </c>
      <c r="D263" s="11" t="inlineStr">
        <is>
          <t>Shrimps</t>
        </is>
      </c>
      <c r="E263" t="n">
        <v>140.953883</v>
      </c>
      <c r="F263" t="n">
        <v>20.606299</v>
      </c>
      <c r="G263" t="n">
        <v>14.077679</v>
      </c>
      <c r="H263" t="n">
        <v>22.715542</v>
      </c>
      <c r="I263" t="n">
        <v>131.71072</v>
      </c>
      <c r="J263" t="n">
        <v>131.71072</v>
      </c>
      <c r="K263" t="n">
        <v>125.125184</v>
      </c>
      <c r="L263" t="n">
        <v>130.894857</v>
      </c>
      <c r="M263" t="n">
        <v>130.894857</v>
      </c>
      <c r="N263" t="n">
        <v>130.894857</v>
      </c>
      <c r="O263" t="n">
        <v>12.255972</v>
      </c>
      <c r="P263" t="n">
        <v>8.448598</v>
      </c>
      <c r="Q263" t="n">
        <v>130.894857</v>
      </c>
      <c r="R263" t="n">
        <v>130.894857</v>
      </c>
      <c r="S263" t="n">
        <v>12.255972</v>
      </c>
      <c r="T263" t="n">
        <v>12.255972</v>
      </c>
      <c r="U263" t="n">
        <v>8.448598</v>
      </c>
      <c r="V263" t="n">
        <v>8.448598</v>
      </c>
      <c r="W263" t="n">
        <v>12.680707</v>
      </c>
      <c r="X263" t="n">
        <v>136.520004</v>
      </c>
    </row>
    <row r="264" ht="51" customHeight="1">
      <c r="A264" t="inlineStr">
        <is>
          <t>Marine groundfishes not identified</t>
        </is>
      </c>
      <c r="B264" t="n">
        <v>3.22</v>
      </c>
      <c r="C264" t="n">
        <v>165.958691</v>
      </c>
      <c r="D264" s="11" t="inlineStr">
        <is>
          <t>Demesral fish (≤ 30 cm) | Juvenile demersal fish (&gt; 30 cm) | Adult demersal fish (&gt; 30 cm)</t>
        </is>
      </c>
      <c r="E264" t="n">
        <v>140.953883</v>
      </c>
      <c r="F264" t="n">
        <v>177.371403</v>
      </c>
      <c r="G264" t="n">
        <v>91.310768</v>
      </c>
      <c r="H264" t="n">
        <v>295.208302</v>
      </c>
      <c r="I264" t="n">
        <v>4269.898312</v>
      </c>
      <c r="J264" t="n">
        <v>4574.511297</v>
      </c>
      <c r="K264" t="n">
        <v>1801.225895</v>
      </c>
      <c r="L264" t="n">
        <v>6846.4367</v>
      </c>
      <c r="M264" t="n">
        <v>6846.4367</v>
      </c>
      <c r="N264" t="n">
        <v>6846.4367</v>
      </c>
      <c r="O264" t="n">
        <v>67.536573</v>
      </c>
      <c r="P264" t="n">
        <v>32.007796</v>
      </c>
      <c r="Q264" t="n">
        <v>6846.4367</v>
      </c>
      <c r="R264" t="n">
        <v>6846.4367</v>
      </c>
      <c r="S264" t="n">
        <v>67.536573</v>
      </c>
      <c r="T264" t="n">
        <v>67.536573</v>
      </c>
      <c r="U264" t="n">
        <v>32.007796</v>
      </c>
      <c r="V264" t="n">
        <v>32.007796</v>
      </c>
      <c r="W264" t="n">
        <v>70.113483</v>
      </c>
      <c r="X264" t="n">
        <v>7370.741192</v>
      </c>
    </row>
    <row r="265" ht="21" customHeight="1">
      <c r="A265" t="inlineStr">
        <is>
          <t>Sardinella albella</t>
        </is>
      </c>
      <c r="B265" t="n">
        <v>2.68</v>
      </c>
      <c r="C265" t="n">
        <v>47.863009</v>
      </c>
      <c r="D265" s="11" t="inlineStr">
        <is>
          <t>Pelagic fish (≤ 30 cm)</t>
        </is>
      </c>
      <c r="E265" t="n">
        <v>140.953883</v>
      </c>
      <c r="F265" t="n">
        <v>60.479203</v>
      </c>
      <c r="G265" t="n">
        <v>36.07884</v>
      </c>
      <c r="H265" t="n">
        <v>45.98261</v>
      </c>
      <c r="I265" t="n">
        <v>395.888053</v>
      </c>
      <c r="J265" t="n">
        <v>395.888053</v>
      </c>
      <c r="K265" t="n">
        <v>376.09365</v>
      </c>
      <c r="L265" t="n">
        <v>393.787233</v>
      </c>
      <c r="M265" t="n">
        <v>393.787233</v>
      </c>
      <c r="N265" t="n">
        <v>393.787233</v>
      </c>
      <c r="O265" t="n">
        <v>20.916473</v>
      </c>
      <c r="P265" t="n">
        <v>13.510088</v>
      </c>
      <c r="Q265" t="n">
        <v>393.787233</v>
      </c>
      <c r="R265" t="n">
        <v>393.787233</v>
      </c>
      <c r="S265" t="n">
        <v>20.916473</v>
      </c>
      <c r="T265" t="n">
        <v>20.916473</v>
      </c>
      <c r="U265" t="n">
        <v>13.510088</v>
      </c>
      <c r="V265" t="n">
        <v>13.510088</v>
      </c>
      <c r="W265" t="n">
        <v>21.939981</v>
      </c>
      <c r="X265" t="n">
        <v>405.784084</v>
      </c>
    </row>
    <row r="266" ht="21" customHeight="1">
      <c r="A266" t="inlineStr">
        <is>
          <t>Placuna placenta</t>
        </is>
      </c>
      <c r="B266" t="n">
        <v>2.41</v>
      </c>
      <c r="C266" t="n">
        <v>25.703958</v>
      </c>
      <c r="D266" s="11" t="inlineStr">
        <is>
          <t>Non-ceph molluscs</t>
        </is>
      </c>
      <c r="E266" t="n">
        <v>140.953883</v>
      </c>
      <c r="F266" t="n">
        <v>14.712171</v>
      </c>
      <c r="G266" t="n">
        <v>10.486582</v>
      </c>
      <c r="H266" t="n">
        <v>17.347998</v>
      </c>
      <c r="I266" t="n">
        <v>87.52377799999999</v>
      </c>
      <c r="J266" t="n">
        <v>87.52377799999999</v>
      </c>
      <c r="K266" t="n">
        <v>33.521607</v>
      </c>
      <c r="L266" t="n">
        <v>92.59366</v>
      </c>
      <c r="M266" t="n">
        <v>92.59366</v>
      </c>
      <c r="N266" t="n">
        <v>92.59366</v>
      </c>
      <c r="O266" t="n">
        <v>4.448657</v>
      </c>
      <c r="P266" t="n">
        <v>3.058348</v>
      </c>
      <c r="Q266" t="n">
        <v>92.59366</v>
      </c>
      <c r="R266" t="n">
        <v>92.59366</v>
      </c>
      <c r="S266" t="n">
        <v>4.448657</v>
      </c>
      <c r="T266" t="n">
        <v>4.448657</v>
      </c>
      <c r="U266" t="n">
        <v>3.058348</v>
      </c>
      <c r="V266" t="n">
        <v>3.058348</v>
      </c>
      <c r="W266" t="n">
        <v>4.556294</v>
      </c>
      <c r="X266" t="n">
        <v>96.447226</v>
      </c>
    </row>
    <row r="267" ht="36" customHeight="1">
      <c r="A267" t="inlineStr">
        <is>
          <t>Scaridae</t>
        </is>
      </c>
      <c r="B267" t="n">
        <v>2</v>
      </c>
      <c r="C267" t="n">
        <v>10</v>
      </c>
      <c r="D267" s="11" t="inlineStr">
        <is>
          <t>Juvenile demersal fish (&gt; 30 cm) | Adult demersal fish (&gt; 30 cm)</t>
        </is>
      </c>
      <c r="E267" t="n">
        <v>140.953883</v>
      </c>
      <c r="F267" t="n">
        <v>228.824285</v>
      </c>
      <c r="G267" t="n">
        <v>114.897152</v>
      </c>
      <c r="H267" t="n">
        <v>408.798022</v>
      </c>
      <c r="I267" t="n">
        <v>6590.793316</v>
      </c>
      <c r="J267" t="n">
        <v>7071.146917</v>
      </c>
      <c r="K267" t="n">
        <v>2576.928919</v>
      </c>
      <c r="L267" t="n">
        <v>10677.999207</v>
      </c>
      <c r="M267" t="n">
        <v>10677.999207</v>
      </c>
      <c r="N267" t="n">
        <v>10677.999207</v>
      </c>
      <c r="O267" t="n">
        <v>85.006417</v>
      </c>
      <c r="P267" t="n">
        <v>38.52237</v>
      </c>
      <c r="Q267" t="n">
        <v>10677.999207</v>
      </c>
      <c r="R267" t="n">
        <v>10677.999207</v>
      </c>
      <c r="S267" t="n">
        <v>85.006417</v>
      </c>
      <c r="T267" t="n">
        <v>85.006417</v>
      </c>
      <c r="U267" t="n">
        <v>38.52237</v>
      </c>
      <c r="V267" t="n">
        <v>38.52237</v>
      </c>
      <c r="W267" t="n">
        <v>88.306245</v>
      </c>
      <c r="X267" t="n">
        <v>11509.306401</v>
      </c>
    </row>
    <row r="268" ht="36" customHeight="1">
      <c r="A268" t="inlineStr">
        <is>
          <t>Seriolina nigrofasciata</t>
        </is>
      </c>
      <c r="B268" t="n">
        <v>4.17</v>
      </c>
      <c r="C268" t="n">
        <v>1479.108388</v>
      </c>
      <c r="D268" s="11" t="inlineStr">
        <is>
          <t>Juvenile large pelagic fish | Pelagic fish (&gt; 30 cm)</t>
        </is>
      </c>
      <c r="E268" t="n">
        <v>140.953883</v>
      </c>
      <c r="F268" t="n">
        <v>200.641254</v>
      </c>
      <c r="G268" t="n">
        <v>102.228748</v>
      </c>
      <c r="H268" t="n">
        <v>215.010584</v>
      </c>
      <c r="I268" t="n">
        <v>6244.222521</v>
      </c>
      <c r="J268" t="n">
        <v>6325.914048</v>
      </c>
      <c r="K268" t="n">
        <v>1872.204427</v>
      </c>
      <c r="L268" t="n">
        <v>7112.982475</v>
      </c>
      <c r="M268" t="n">
        <v>7112.982475</v>
      </c>
      <c r="N268" t="n">
        <v>7112.982475</v>
      </c>
      <c r="O268" t="n">
        <v>87.969483</v>
      </c>
      <c r="P268" t="n">
        <v>46.580547</v>
      </c>
      <c r="Q268" t="n">
        <v>7112.982475</v>
      </c>
      <c r="R268" t="n">
        <v>7112.982475</v>
      </c>
      <c r="S268" t="n">
        <v>87.969483</v>
      </c>
      <c r="T268" t="n">
        <v>87.969483</v>
      </c>
      <c r="U268" t="n">
        <v>46.580547</v>
      </c>
      <c r="V268" t="n">
        <v>46.580547</v>
      </c>
      <c r="W268" t="n">
        <v>93.060855</v>
      </c>
      <c r="X268" t="n">
        <v>7459.131892</v>
      </c>
    </row>
    <row r="269" ht="21" customHeight="1">
      <c r="A269" t="inlineStr">
        <is>
          <t>Saurida undosquamis</t>
        </is>
      </c>
      <c r="B269" t="n">
        <v>4.46</v>
      </c>
      <c r="C269" t="n">
        <v>2884.031503</v>
      </c>
      <c r="D269" s="11" t="inlineStr">
        <is>
          <t>Lizard fish (synodontids)</t>
        </is>
      </c>
      <c r="E269" t="n">
        <v>140.953883</v>
      </c>
      <c r="F269" t="n">
        <v>667.104795</v>
      </c>
      <c r="G269" t="n">
        <v>294.137165</v>
      </c>
      <c r="H269" t="n">
        <v>674.482249</v>
      </c>
      <c r="I269" t="n">
        <v>9604.557183999999</v>
      </c>
      <c r="J269" t="n">
        <v>10115.319409</v>
      </c>
      <c r="K269" t="n">
        <v>2437.791978</v>
      </c>
      <c r="L269" t="n">
        <v>16798.641648</v>
      </c>
      <c r="M269" t="n">
        <v>16798.641648</v>
      </c>
      <c r="N269" t="n">
        <v>16798.641648</v>
      </c>
      <c r="O269" t="n">
        <v>88.03658900000001</v>
      </c>
      <c r="P269" t="n">
        <v>38.159556</v>
      </c>
      <c r="Q269" t="n">
        <v>16798.641648</v>
      </c>
      <c r="R269" t="n">
        <v>16798.641648</v>
      </c>
      <c r="S269" t="n">
        <v>88.03658900000001</v>
      </c>
      <c r="T269" t="n">
        <v>88.03658900000001</v>
      </c>
      <c r="U269" t="n">
        <v>38.159556</v>
      </c>
      <c r="V269" t="n">
        <v>38.159556</v>
      </c>
      <c r="W269" t="n">
        <v>92.54017</v>
      </c>
      <c r="X269" t="n">
        <v>18119.633615</v>
      </c>
    </row>
    <row r="270" ht="21" customHeight="1">
      <c r="A270" t="inlineStr">
        <is>
          <t>Atule mate</t>
        </is>
      </c>
      <c r="D270" s="11" t="inlineStr">
        <is>
          <t>Pelagic fish (≤ 30 cm)</t>
        </is>
      </c>
      <c r="E270" t="n">
        <v>140.953883</v>
      </c>
      <c r="F270" t="n">
        <v>60.479203</v>
      </c>
      <c r="G270" t="n">
        <v>36.07884</v>
      </c>
      <c r="H270" t="n">
        <v>45.98261</v>
      </c>
      <c r="I270" t="n">
        <v>395.888053</v>
      </c>
      <c r="J270" t="n">
        <v>395.888053</v>
      </c>
      <c r="K270" t="n">
        <v>376.09365</v>
      </c>
      <c r="L270" t="n">
        <v>393.787233</v>
      </c>
      <c r="M270" t="n">
        <v>393.787233</v>
      </c>
      <c r="N270" t="n">
        <v>393.787233</v>
      </c>
      <c r="O270" t="n">
        <v>20.916473</v>
      </c>
      <c r="P270" t="n">
        <v>13.510088</v>
      </c>
      <c r="Q270" t="n">
        <v>393.787233</v>
      </c>
      <c r="R270" t="n">
        <v>393.787233</v>
      </c>
      <c r="S270" t="n">
        <v>20.916473</v>
      </c>
      <c r="T270" t="n">
        <v>20.916473</v>
      </c>
      <c r="U270" t="n">
        <v>13.510088</v>
      </c>
      <c r="V270" t="n">
        <v>13.510088</v>
      </c>
      <c r="W270" t="n">
        <v>21.939981</v>
      </c>
      <c r="X270" t="n">
        <v>405.784084</v>
      </c>
    </row>
    <row r="271" ht="36" customHeight="1">
      <c r="A271" t="inlineStr">
        <is>
          <t>Scarus</t>
        </is>
      </c>
      <c r="B271" t="n">
        <v>2</v>
      </c>
      <c r="C271" t="n">
        <v>10</v>
      </c>
      <c r="D271" s="11" t="inlineStr">
        <is>
          <t>Juvenile demersal fish (&gt; 30 cm) | Adult demersal fish (&gt; 30 cm)</t>
        </is>
      </c>
      <c r="E271" t="n">
        <v>140.953883</v>
      </c>
      <c r="F271" t="n">
        <v>228.824285</v>
      </c>
      <c r="G271" t="n">
        <v>114.897152</v>
      </c>
      <c r="H271" t="n">
        <v>408.798022</v>
      </c>
      <c r="I271" t="n">
        <v>6590.793316</v>
      </c>
      <c r="J271" t="n">
        <v>7071.146917</v>
      </c>
      <c r="K271" t="n">
        <v>2576.928919</v>
      </c>
      <c r="L271" t="n">
        <v>10677.999207</v>
      </c>
      <c r="M271" t="n">
        <v>10677.999207</v>
      </c>
      <c r="N271" t="n">
        <v>10677.999207</v>
      </c>
      <c r="O271" t="n">
        <v>85.006417</v>
      </c>
      <c r="P271" t="n">
        <v>38.52237</v>
      </c>
      <c r="Q271" t="n">
        <v>10677.999207</v>
      </c>
      <c r="R271" t="n">
        <v>10677.999207</v>
      </c>
      <c r="S271" t="n">
        <v>85.006417</v>
      </c>
      <c r="T271" t="n">
        <v>85.006417</v>
      </c>
      <c r="U271" t="n">
        <v>38.52237</v>
      </c>
      <c r="V271" t="n">
        <v>38.52237</v>
      </c>
      <c r="W271" t="n">
        <v>88.306245</v>
      </c>
      <c r="X271" t="n">
        <v>11509.306401</v>
      </c>
    </row>
    <row r="272" ht="36" customHeight="1">
      <c r="A272" t="inlineStr">
        <is>
          <t>Thunnus</t>
        </is>
      </c>
      <c r="D272" s="11" t="inlineStr">
        <is>
          <t>Juvenile large pelagic fish | Pelagic fish (&gt; 30 cm)</t>
        </is>
      </c>
      <c r="E272" t="n">
        <v>140.953883</v>
      </c>
      <c r="F272" t="n">
        <v>200.641254</v>
      </c>
      <c r="G272" t="n">
        <v>102.228748</v>
      </c>
      <c r="H272" t="n">
        <v>215.010584</v>
      </c>
      <c r="I272" t="n">
        <v>6244.222521</v>
      </c>
      <c r="J272" t="n">
        <v>6325.914048</v>
      </c>
      <c r="K272" t="n">
        <v>1872.204427</v>
      </c>
      <c r="L272" t="n">
        <v>7112.982475</v>
      </c>
      <c r="M272" t="n">
        <v>7112.982475</v>
      </c>
      <c r="N272" t="n">
        <v>7112.982475</v>
      </c>
      <c r="O272" t="n">
        <v>87.969483</v>
      </c>
      <c r="P272" t="n">
        <v>46.580547</v>
      </c>
      <c r="Q272" t="n">
        <v>7112.982475</v>
      </c>
      <c r="R272" t="n">
        <v>7112.982475</v>
      </c>
      <c r="S272" t="n">
        <v>87.969483</v>
      </c>
      <c r="T272" t="n">
        <v>87.969483</v>
      </c>
      <c r="U272" t="n">
        <v>46.580547</v>
      </c>
      <c r="V272" t="n">
        <v>46.580547</v>
      </c>
      <c r="W272" t="n">
        <v>93.060855</v>
      </c>
      <c r="X272" t="n">
        <v>7459.131892</v>
      </c>
    </row>
    <row r="273" ht="21" customHeight="1">
      <c r="A273" t="inlineStr">
        <is>
          <t>Ruditapes philippinarum</t>
        </is>
      </c>
      <c r="B273" t="n">
        <v>2</v>
      </c>
      <c r="C273" t="n">
        <v>10</v>
      </c>
      <c r="D273" s="11" t="inlineStr">
        <is>
          <t>Non-ceph molluscs</t>
        </is>
      </c>
      <c r="E273" t="n">
        <v>140.953883</v>
      </c>
      <c r="F273" t="n">
        <v>14.712171</v>
      </c>
      <c r="G273" t="n">
        <v>10.486582</v>
      </c>
      <c r="H273" t="n">
        <v>17.347998</v>
      </c>
      <c r="I273" t="n">
        <v>87.52377799999999</v>
      </c>
      <c r="J273" t="n">
        <v>87.52377799999999</v>
      </c>
      <c r="K273" t="n">
        <v>33.521607</v>
      </c>
      <c r="L273" t="n">
        <v>92.59366</v>
      </c>
      <c r="M273" t="n">
        <v>92.59366</v>
      </c>
      <c r="N273" t="n">
        <v>92.59366</v>
      </c>
      <c r="O273" t="n">
        <v>4.448657</v>
      </c>
      <c r="P273" t="n">
        <v>3.058348</v>
      </c>
      <c r="Q273" t="n">
        <v>92.59366</v>
      </c>
      <c r="R273" t="n">
        <v>92.59366</v>
      </c>
      <c r="S273" t="n">
        <v>4.448657</v>
      </c>
      <c r="T273" t="n">
        <v>4.448657</v>
      </c>
      <c r="U273" t="n">
        <v>3.058348</v>
      </c>
      <c r="V273" t="n">
        <v>3.058348</v>
      </c>
      <c r="W273" t="n">
        <v>4.556294</v>
      </c>
      <c r="X273" t="n">
        <v>96.447226</v>
      </c>
    </row>
    <row r="274" ht="21" customHeight="1">
      <c r="A274" t="inlineStr">
        <is>
          <t>Metapenaeus tenuipes</t>
        </is>
      </c>
      <c r="D274" s="11" t="inlineStr">
        <is>
          <t>Shrimps</t>
        </is>
      </c>
      <c r="E274" t="n">
        <v>140.953883</v>
      </c>
      <c r="F274" t="n">
        <v>20.606299</v>
      </c>
      <c r="G274" t="n">
        <v>14.077679</v>
      </c>
      <c r="H274" t="n">
        <v>22.715542</v>
      </c>
      <c r="I274" t="n">
        <v>131.71072</v>
      </c>
      <c r="J274" t="n">
        <v>131.71072</v>
      </c>
      <c r="K274" t="n">
        <v>125.125184</v>
      </c>
      <c r="L274" t="n">
        <v>130.894857</v>
      </c>
      <c r="M274" t="n">
        <v>130.894857</v>
      </c>
      <c r="N274" t="n">
        <v>130.894857</v>
      </c>
      <c r="O274" t="n">
        <v>12.255972</v>
      </c>
      <c r="P274" t="n">
        <v>8.448598</v>
      </c>
      <c r="Q274" t="n">
        <v>130.894857</v>
      </c>
      <c r="R274" t="n">
        <v>130.894857</v>
      </c>
      <c r="S274" t="n">
        <v>12.255972</v>
      </c>
      <c r="T274" t="n">
        <v>12.255972</v>
      </c>
      <c r="U274" t="n">
        <v>8.448598</v>
      </c>
      <c r="V274" t="n">
        <v>8.448598</v>
      </c>
      <c r="W274" t="n">
        <v>12.680707</v>
      </c>
      <c r="X274" t="n">
        <v>136.520004</v>
      </c>
    </row>
    <row r="275" ht="36" customHeight="1">
      <c r="A275" t="inlineStr">
        <is>
          <t>Acanthocybium solandri</t>
        </is>
      </c>
      <c r="B275" t="n">
        <v>4.26</v>
      </c>
      <c r="C275" t="n">
        <v>1819.700859</v>
      </c>
      <c r="D275" s="11" t="inlineStr">
        <is>
          <t>Juvenile large pelagic fish | Pelagic fish (&gt; 30 cm)</t>
        </is>
      </c>
      <c r="E275" t="n">
        <v>140.953883</v>
      </c>
      <c r="F275" t="n">
        <v>200.641254</v>
      </c>
      <c r="G275" t="n">
        <v>102.228748</v>
      </c>
      <c r="H275" t="n">
        <v>215.010584</v>
      </c>
      <c r="I275" t="n">
        <v>6244.222521</v>
      </c>
      <c r="J275" t="n">
        <v>6325.914048</v>
      </c>
      <c r="K275" t="n">
        <v>1872.204427</v>
      </c>
      <c r="L275" t="n">
        <v>7112.982475</v>
      </c>
      <c r="M275" t="n">
        <v>7112.982475</v>
      </c>
      <c r="N275" t="n">
        <v>7112.982475</v>
      </c>
      <c r="O275" t="n">
        <v>87.969483</v>
      </c>
      <c r="P275" t="n">
        <v>46.580547</v>
      </c>
      <c r="Q275" t="n">
        <v>7112.982475</v>
      </c>
      <c r="R275" t="n">
        <v>7112.982475</v>
      </c>
      <c r="S275" t="n">
        <v>87.969483</v>
      </c>
      <c r="T275" t="n">
        <v>87.969483</v>
      </c>
      <c r="U275" t="n">
        <v>46.580547</v>
      </c>
      <c r="V275" t="n">
        <v>46.580547</v>
      </c>
      <c r="W275" t="n">
        <v>93.060855</v>
      </c>
      <c r="X275" t="n">
        <v>7459.131892</v>
      </c>
    </row>
    <row r="276" ht="36" customHeight="1">
      <c r="A276" t="inlineStr">
        <is>
          <t>Acanthopagrus schlegelii</t>
        </is>
      </c>
      <c r="B276" t="n">
        <v>3.24</v>
      </c>
      <c r="C276" t="n">
        <v>173.780083</v>
      </c>
      <c r="D276" s="11" t="inlineStr">
        <is>
          <t>Juvenile demersal fish (&gt; 30 cm) | Adult demersal fish (&gt; 30 cm)</t>
        </is>
      </c>
      <c r="E276" t="n">
        <v>140.953883</v>
      </c>
      <c r="F276" t="n">
        <v>228.824285</v>
      </c>
      <c r="G276" t="n">
        <v>114.897152</v>
      </c>
      <c r="H276" t="n">
        <v>408.798022</v>
      </c>
      <c r="I276" t="n">
        <v>6590.793316</v>
      </c>
      <c r="J276" t="n">
        <v>7071.146917</v>
      </c>
      <c r="K276" t="n">
        <v>2576.928919</v>
      </c>
      <c r="L276" t="n">
        <v>10677.999207</v>
      </c>
      <c r="M276" t="n">
        <v>10677.999207</v>
      </c>
      <c r="N276" t="n">
        <v>10677.999207</v>
      </c>
      <c r="O276" t="n">
        <v>85.006417</v>
      </c>
      <c r="P276" t="n">
        <v>38.52237</v>
      </c>
      <c r="Q276" t="n">
        <v>10677.999207</v>
      </c>
      <c r="R276" t="n">
        <v>10677.999207</v>
      </c>
      <c r="S276" t="n">
        <v>85.006417</v>
      </c>
      <c r="T276" t="n">
        <v>85.006417</v>
      </c>
      <c r="U276" t="n">
        <v>38.52237</v>
      </c>
      <c r="V276" t="n">
        <v>38.52237</v>
      </c>
      <c r="W276" t="n">
        <v>88.306245</v>
      </c>
      <c r="X276" t="n">
        <v>11509.306401</v>
      </c>
    </row>
    <row r="277" ht="21" customHeight="1">
      <c r="A277" t="inlineStr">
        <is>
          <t>Lobotes surinamensis</t>
        </is>
      </c>
      <c r="B277" t="n">
        <v>4.04</v>
      </c>
      <c r="C277" t="n">
        <v>1096.478196</v>
      </c>
      <c r="D277" s="11" t="inlineStr">
        <is>
          <t>Benthopelagic fish</t>
        </is>
      </c>
      <c r="E277" t="n">
        <v>140.953883</v>
      </c>
      <c r="F277" t="n">
        <v>57.638856</v>
      </c>
      <c r="G277" t="n">
        <v>34.593347</v>
      </c>
      <c r="H277" t="n">
        <v>74.650282</v>
      </c>
      <c r="I277" t="n">
        <v>512.103289</v>
      </c>
      <c r="J277" t="n">
        <v>553.467817</v>
      </c>
      <c r="K277" t="n">
        <v>525.794426</v>
      </c>
      <c r="L277" t="n">
        <v>602.712303</v>
      </c>
      <c r="M277" t="n">
        <v>602.712303</v>
      </c>
      <c r="N277" t="n">
        <v>602.712303</v>
      </c>
      <c r="O277" t="n">
        <v>31.190871</v>
      </c>
      <c r="P277" t="n">
        <v>18.283791</v>
      </c>
      <c r="Q277" t="n">
        <v>602.712303</v>
      </c>
      <c r="R277" t="n">
        <v>602.712303</v>
      </c>
      <c r="S277" t="n">
        <v>31.190871</v>
      </c>
      <c r="T277" t="n">
        <v>31.190871</v>
      </c>
      <c r="U277" t="n">
        <v>18.283791</v>
      </c>
      <c r="V277" t="n">
        <v>18.283791</v>
      </c>
      <c r="W277" t="n">
        <v>32.089433</v>
      </c>
      <c r="X277" t="n">
        <v>622.065443</v>
      </c>
    </row>
    <row r="278" ht="21" customHeight="1">
      <c r="A278" t="inlineStr">
        <is>
          <t>Sepioteuthis lessoniana</t>
        </is>
      </c>
      <c r="B278" t="n">
        <v>3.98</v>
      </c>
      <c r="C278" t="n">
        <v>954.992586</v>
      </c>
      <c r="D278" s="11" t="inlineStr">
        <is>
          <t>Cephalopods</t>
        </is>
      </c>
      <c r="E278" t="n">
        <v>140.953883</v>
      </c>
      <c r="F278" t="n">
        <v>170.518341</v>
      </c>
      <c r="G278" t="n">
        <v>89.274901</v>
      </c>
      <c r="H278" t="n">
        <v>176.937394</v>
      </c>
      <c r="I278" t="n">
        <v>1050.872908</v>
      </c>
      <c r="J278" t="n">
        <v>1075.829695</v>
      </c>
      <c r="K278" t="n">
        <v>537.914847</v>
      </c>
      <c r="L278" t="n">
        <v>1659.687874</v>
      </c>
      <c r="M278" t="n">
        <v>1659.687874</v>
      </c>
      <c r="N278" t="n">
        <v>1659.687874</v>
      </c>
      <c r="O278" t="n">
        <v>31.362197</v>
      </c>
      <c r="P278" t="n">
        <v>16.184075</v>
      </c>
      <c r="Q278" t="n">
        <v>1659.687874</v>
      </c>
      <c r="R278" t="n">
        <v>1659.687874</v>
      </c>
      <c r="S278" t="n">
        <v>31.362197</v>
      </c>
      <c r="T278" t="n">
        <v>31.362197</v>
      </c>
      <c r="U278" t="n">
        <v>16.184075</v>
      </c>
      <c r="V278" t="n">
        <v>16.184075</v>
      </c>
      <c r="W278" t="n">
        <v>32.286772</v>
      </c>
      <c r="X278" t="n">
        <v>1775.112325</v>
      </c>
    </row>
    <row r="279" ht="36" customHeight="1">
      <c r="A279" t="inlineStr">
        <is>
          <t>Eleutheronema tetradactylum</t>
        </is>
      </c>
      <c r="B279" t="n">
        <v>4.06</v>
      </c>
      <c r="C279" t="n">
        <v>1148.153621</v>
      </c>
      <c r="D279" s="11" t="inlineStr">
        <is>
          <t>Juvenile demersal fish (&gt; 30 cm) | Adult demersal fish (&gt; 30 cm)</t>
        </is>
      </c>
      <c r="E279" t="n">
        <v>140.953883</v>
      </c>
      <c r="F279" t="n">
        <v>228.824285</v>
      </c>
      <c r="G279" t="n">
        <v>114.897152</v>
      </c>
      <c r="H279" t="n">
        <v>408.798022</v>
      </c>
      <c r="I279" t="n">
        <v>6590.793316</v>
      </c>
      <c r="J279" t="n">
        <v>7071.146917</v>
      </c>
      <c r="K279" t="n">
        <v>2576.928919</v>
      </c>
      <c r="L279" t="n">
        <v>10677.999207</v>
      </c>
      <c r="M279" t="n">
        <v>10677.999207</v>
      </c>
      <c r="N279" t="n">
        <v>10677.999207</v>
      </c>
      <c r="O279" t="n">
        <v>85.006417</v>
      </c>
      <c r="P279" t="n">
        <v>38.52237</v>
      </c>
      <c r="Q279" t="n">
        <v>10677.999207</v>
      </c>
      <c r="R279" t="n">
        <v>10677.999207</v>
      </c>
      <c r="S279" t="n">
        <v>85.006417</v>
      </c>
      <c r="T279" t="n">
        <v>85.006417</v>
      </c>
      <c r="U279" t="n">
        <v>38.52237</v>
      </c>
      <c r="V279" t="n">
        <v>38.52237</v>
      </c>
      <c r="W279" t="n">
        <v>88.306245</v>
      </c>
      <c r="X279" t="n">
        <v>11509.306401</v>
      </c>
    </row>
    <row r="280" ht="36" customHeight="1">
      <c r="A280" t="inlineStr">
        <is>
          <t>Scatophagus</t>
        </is>
      </c>
      <c r="B280" t="n">
        <v>2.75</v>
      </c>
      <c r="C280" t="n">
        <v>56.234133</v>
      </c>
      <c r="D280" s="11" t="inlineStr">
        <is>
          <t>Juvenile demersal fish (&gt; 30 cm) | Adult demersal fish (&gt; 30 cm)</t>
        </is>
      </c>
      <c r="E280" t="n">
        <v>140.953883</v>
      </c>
      <c r="F280" t="n">
        <v>228.824285</v>
      </c>
      <c r="G280" t="n">
        <v>114.897152</v>
      </c>
      <c r="H280" t="n">
        <v>408.798022</v>
      </c>
      <c r="I280" t="n">
        <v>6590.793316</v>
      </c>
      <c r="J280" t="n">
        <v>7071.146917</v>
      </c>
      <c r="K280" t="n">
        <v>2576.928919</v>
      </c>
      <c r="L280" t="n">
        <v>10677.999207</v>
      </c>
      <c r="M280" t="n">
        <v>10677.999207</v>
      </c>
      <c r="N280" t="n">
        <v>10677.999207</v>
      </c>
      <c r="O280" t="n">
        <v>85.006417</v>
      </c>
      <c r="P280" t="n">
        <v>38.52237</v>
      </c>
      <c r="Q280" t="n">
        <v>10677.999207</v>
      </c>
      <c r="R280" t="n">
        <v>10677.999207</v>
      </c>
      <c r="S280" t="n">
        <v>85.006417</v>
      </c>
      <c r="T280" t="n">
        <v>85.006417</v>
      </c>
      <c r="U280" t="n">
        <v>38.52237</v>
      </c>
      <c r="V280" t="n">
        <v>38.52237</v>
      </c>
      <c r="W280" t="n">
        <v>88.306245</v>
      </c>
      <c r="X280" t="n">
        <v>11509.306401</v>
      </c>
    </row>
    <row r="281" ht="36" customHeight="1">
      <c r="A281" t="inlineStr">
        <is>
          <t>Thunnus orientalis</t>
        </is>
      </c>
      <c r="B281" t="n">
        <v>4.05</v>
      </c>
      <c r="C281" t="n">
        <v>1122.018454</v>
      </c>
      <c r="D281" s="11" t="inlineStr">
        <is>
          <t>Juvenile large pelagic fish | Pelagic fish (&gt; 30 cm)</t>
        </is>
      </c>
      <c r="E281" t="n">
        <v>140.953883</v>
      </c>
      <c r="F281" t="n">
        <v>200.641254</v>
      </c>
      <c r="G281" t="n">
        <v>102.228748</v>
      </c>
      <c r="H281" t="n">
        <v>215.010584</v>
      </c>
      <c r="I281" t="n">
        <v>6244.222521</v>
      </c>
      <c r="J281" t="n">
        <v>6325.914048</v>
      </c>
      <c r="K281" t="n">
        <v>1872.204427</v>
      </c>
      <c r="L281" t="n">
        <v>7112.982475</v>
      </c>
      <c r="M281" t="n">
        <v>7112.982475</v>
      </c>
      <c r="N281" t="n">
        <v>7112.982475</v>
      </c>
      <c r="O281" t="n">
        <v>87.969483</v>
      </c>
      <c r="P281" t="n">
        <v>46.580547</v>
      </c>
      <c r="Q281" t="n">
        <v>7112.982475</v>
      </c>
      <c r="R281" t="n">
        <v>7112.982475</v>
      </c>
      <c r="S281" t="n">
        <v>87.969483</v>
      </c>
      <c r="T281" t="n">
        <v>87.969483</v>
      </c>
      <c r="U281" t="n">
        <v>46.580547</v>
      </c>
      <c r="V281" t="n">
        <v>46.580547</v>
      </c>
      <c r="W281" t="n">
        <v>93.060855</v>
      </c>
      <c r="X281" t="n">
        <v>7459.131892</v>
      </c>
    </row>
    <row r="282" ht="21" customHeight="1">
      <c r="A282" t="inlineStr">
        <is>
          <t>Siganus canaliculatus</t>
        </is>
      </c>
      <c r="B282" t="n">
        <v>2.76</v>
      </c>
      <c r="C282" t="n">
        <v>57.543994</v>
      </c>
      <c r="D282" s="11" t="inlineStr">
        <is>
          <t>Demesral fish (≤ 30 cm)</t>
        </is>
      </c>
      <c r="E282" t="n">
        <v>140.953883</v>
      </c>
      <c r="F282" t="n">
        <v>95.34341499999999</v>
      </c>
      <c r="G282" t="n">
        <v>53.708528</v>
      </c>
      <c r="H282" t="n">
        <v>114.11959</v>
      </c>
      <c r="I282" t="n">
        <v>569.846189</v>
      </c>
      <c r="J282" t="n">
        <v>594.287325</v>
      </c>
      <c r="K282" t="n">
        <v>564.572959</v>
      </c>
      <c r="L282" t="n">
        <v>738.02552</v>
      </c>
      <c r="M282" t="n">
        <v>738.02552</v>
      </c>
      <c r="N282" t="n">
        <v>738.02552</v>
      </c>
      <c r="O282" t="n">
        <v>39.685535</v>
      </c>
      <c r="P282" t="n">
        <v>21.622034</v>
      </c>
      <c r="Q282" t="n">
        <v>738.02552</v>
      </c>
      <c r="R282" t="n">
        <v>738.02552</v>
      </c>
      <c r="S282" t="n">
        <v>39.685535</v>
      </c>
      <c r="T282" t="n">
        <v>39.685535</v>
      </c>
      <c r="U282" t="n">
        <v>21.622034</v>
      </c>
      <c r="V282" t="n">
        <v>21.622034</v>
      </c>
      <c r="W282" t="n">
        <v>41.109943</v>
      </c>
      <c r="X282" t="n">
        <v>772.895549</v>
      </c>
    </row>
    <row r="283" ht="36" customHeight="1">
      <c r="A283" t="inlineStr">
        <is>
          <t>Polydactylus sexfilis</t>
        </is>
      </c>
      <c r="B283" t="n">
        <v>3.43</v>
      </c>
      <c r="C283" t="n">
        <v>269.15348</v>
      </c>
      <c r="D283" s="11" t="inlineStr">
        <is>
          <t>Juvenile demersal fish (&gt; 30 cm) | Adult demersal fish (&gt; 30 cm)</t>
        </is>
      </c>
      <c r="E283" t="n">
        <v>140.953883</v>
      </c>
      <c r="F283" t="n">
        <v>228.824285</v>
      </c>
      <c r="G283" t="n">
        <v>114.897152</v>
      </c>
      <c r="H283" t="n">
        <v>408.798022</v>
      </c>
      <c r="I283" t="n">
        <v>6590.793316</v>
      </c>
      <c r="J283" t="n">
        <v>7071.146917</v>
      </c>
      <c r="K283" t="n">
        <v>2576.928919</v>
      </c>
      <c r="L283" t="n">
        <v>10677.999207</v>
      </c>
      <c r="M283" t="n">
        <v>10677.999207</v>
      </c>
      <c r="N283" t="n">
        <v>10677.999207</v>
      </c>
      <c r="O283" t="n">
        <v>85.006417</v>
      </c>
      <c r="P283" t="n">
        <v>38.52237</v>
      </c>
      <c r="Q283" t="n">
        <v>10677.999207</v>
      </c>
      <c r="R283" t="n">
        <v>10677.999207</v>
      </c>
      <c r="S283" t="n">
        <v>85.006417</v>
      </c>
      <c r="T283" t="n">
        <v>85.006417</v>
      </c>
      <c r="U283" t="n">
        <v>38.52237</v>
      </c>
      <c r="V283" t="n">
        <v>38.52237</v>
      </c>
      <c r="W283" t="n">
        <v>88.306245</v>
      </c>
      <c r="X283" t="n">
        <v>11509.306401</v>
      </c>
    </row>
    <row r="284" ht="21" customHeight="1">
      <c r="A284" t="inlineStr">
        <is>
          <t>Hilsa kelee</t>
        </is>
      </c>
      <c r="B284" t="n">
        <v>3.25</v>
      </c>
      <c r="C284" t="n">
        <v>177.827941</v>
      </c>
      <c r="D284" s="11" t="inlineStr">
        <is>
          <t>Pelagic fish (≤ 30 cm)</t>
        </is>
      </c>
      <c r="E284" t="n">
        <v>140.953883</v>
      </c>
      <c r="F284" t="n">
        <v>60.479203</v>
      </c>
      <c r="G284" t="n">
        <v>36.07884</v>
      </c>
      <c r="H284" t="n">
        <v>45.98261</v>
      </c>
      <c r="I284" t="n">
        <v>395.888053</v>
      </c>
      <c r="J284" t="n">
        <v>395.888053</v>
      </c>
      <c r="K284" t="n">
        <v>376.09365</v>
      </c>
      <c r="L284" t="n">
        <v>393.787233</v>
      </c>
      <c r="M284" t="n">
        <v>393.787233</v>
      </c>
      <c r="N284" t="n">
        <v>393.787233</v>
      </c>
      <c r="O284" t="n">
        <v>20.916473</v>
      </c>
      <c r="P284" t="n">
        <v>13.510088</v>
      </c>
      <c r="Q284" t="n">
        <v>393.787233</v>
      </c>
      <c r="R284" t="n">
        <v>393.787233</v>
      </c>
      <c r="S284" t="n">
        <v>20.916473</v>
      </c>
      <c r="T284" t="n">
        <v>20.916473</v>
      </c>
      <c r="U284" t="n">
        <v>13.510088</v>
      </c>
      <c r="V284" t="n">
        <v>13.510088</v>
      </c>
      <c r="W284" t="n">
        <v>21.939981</v>
      </c>
      <c r="X284" t="n">
        <v>405.784084</v>
      </c>
    </row>
    <row r="285" ht="21" customHeight="1">
      <c r="A285" t="inlineStr">
        <is>
          <t>Thenus orientalis</t>
        </is>
      </c>
      <c r="B285" t="n">
        <v>2.5</v>
      </c>
      <c r="C285" t="n">
        <v>31.622777</v>
      </c>
      <c r="D285" s="11" t="inlineStr">
        <is>
          <t>Benthic crustaceans</t>
        </is>
      </c>
      <c r="E285" t="n">
        <v>140.953883</v>
      </c>
      <c r="F285" t="n">
        <v>15.812995</v>
      </c>
      <c r="G285" t="n">
        <v>11.169278</v>
      </c>
      <c r="H285" t="n">
        <v>22.580939</v>
      </c>
      <c r="I285" t="n">
        <v>110.765161</v>
      </c>
      <c r="J285" t="n">
        <v>110.765161</v>
      </c>
      <c r="K285" t="n">
        <v>69.11746100000001</v>
      </c>
      <c r="L285" t="n">
        <v>113.463496</v>
      </c>
      <c r="M285" t="n">
        <v>113.463496</v>
      </c>
      <c r="N285" t="n">
        <v>113.463496</v>
      </c>
      <c r="O285" t="n">
        <v>8.170260000000001</v>
      </c>
      <c r="P285" t="n">
        <v>5.693764</v>
      </c>
      <c r="Q285" t="n">
        <v>113.463496</v>
      </c>
      <c r="R285" t="n">
        <v>113.463496</v>
      </c>
      <c r="S285" t="n">
        <v>8.170260000000001</v>
      </c>
      <c r="T285" t="n">
        <v>8.170260000000001</v>
      </c>
      <c r="U285" t="n">
        <v>5.693764</v>
      </c>
      <c r="V285" t="n">
        <v>5.693764</v>
      </c>
      <c r="W285" t="n">
        <v>8.298344999999999</v>
      </c>
      <c r="X285" t="n">
        <v>118.931059</v>
      </c>
    </row>
    <row r="286" ht="21" customHeight="1">
      <c r="A286" t="inlineStr">
        <is>
          <t>Acetes sibogae</t>
        </is>
      </c>
      <c r="D286" s="11" t="inlineStr">
        <is>
          <t>Zooplankton</t>
        </is>
      </c>
      <c r="E286" t="n">
        <v>140.953883</v>
      </c>
      <c r="F286" t="n">
        <v>10</v>
      </c>
      <c r="G286" t="n">
        <v>7.482941</v>
      </c>
      <c r="H286" t="n">
        <v>7.482941</v>
      </c>
      <c r="I286" t="n">
        <v>115.384615</v>
      </c>
      <c r="J286" t="n">
        <v>115.384615</v>
      </c>
      <c r="K286" t="n">
        <v>6</v>
      </c>
      <c r="L286" t="n">
        <v>114.728394</v>
      </c>
      <c r="M286" t="n">
        <v>114.728394</v>
      </c>
      <c r="N286" t="n">
        <v>114.728394</v>
      </c>
      <c r="O286" t="n">
        <v>6.05984</v>
      </c>
      <c r="P286" t="n">
        <v>4.848511</v>
      </c>
      <c r="Q286" t="n">
        <v>114.728394</v>
      </c>
      <c r="R286" t="n">
        <v>114.728394</v>
      </c>
      <c r="S286" t="n">
        <v>6.05984</v>
      </c>
      <c r="T286" t="n">
        <v>6.05984</v>
      </c>
      <c r="U286" t="n">
        <v>4.848511</v>
      </c>
      <c r="V286" t="n">
        <v>4.848511</v>
      </c>
      <c r="W286" t="n">
        <v>6.224783</v>
      </c>
      <c r="X286" t="n">
        <v>116.846993</v>
      </c>
    </row>
    <row r="287" ht="21" customHeight="1">
      <c r="A287" t="inlineStr">
        <is>
          <t>Kajikia audax</t>
        </is>
      </c>
      <c r="B287" t="n">
        <v>4.58</v>
      </c>
      <c r="C287" t="n">
        <v>3801.893963</v>
      </c>
      <c r="D287" s="11" t="inlineStr">
        <is>
          <t>Unresolved</t>
        </is>
      </c>
    </row>
    <row r="288" ht="21" customHeight="1">
      <c r="A288" t="inlineStr">
        <is>
          <t>Penaeus semisulcatus</t>
        </is>
      </c>
      <c r="B288" t="n">
        <v>2</v>
      </c>
      <c r="C288" t="n">
        <v>10</v>
      </c>
      <c r="D288" s="11" t="inlineStr">
        <is>
          <t>Shrimps</t>
        </is>
      </c>
      <c r="E288" t="n">
        <v>140.953883</v>
      </c>
      <c r="F288" t="n">
        <v>20.606299</v>
      </c>
      <c r="G288" t="n">
        <v>14.077679</v>
      </c>
      <c r="H288" t="n">
        <v>22.715542</v>
      </c>
      <c r="I288" t="n">
        <v>131.71072</v>
      </c>
      <c r="J288" t="n">
        <v>131.71072</v>
      </c>
      <c r="K288" t="n">
        <v>125.125184</v>
      </c>
      <c r="L288" t="n">
        <v>130.894857</v>
      </c>
      <c r="M288" t="n">
        <v>130.894857</v>
      </c>
      <c r="N288" t="n">
        <v>130.894857</v>
      </c>
      <c r="O288" t="n">
        <v>12.255972</v>
      </c>
      <c r="P288" t="n">
        <v>8.448598</v>
      </c>
      <c r="Q288" t="n">
        <v>130.894857</v>
      </c>
      <c r="R288" t="n">
        <v>130.894857</v>
      </c>
      <c r="S288" t="n">
        <v>12.255972</v>
      </c>
      <c r="T288" t="n">
        <v>12.255972</v>
      </c>
      <c r="U288" t="n">
        <v>8.448598</v>
      </c>
      <c r="V288" t="n">
        <v>8.448598</v>
      </c>
      <c r="W288" t="n">
        <v>12.680707</v>
      </c>
      <c r="X288" t="n">
        <v>136.520004</v>
      </c>
    </row>
    <row r="289" ht="36" customHeight="1">
      <c r="A289" t="inlineStr">
        <is>
          <t>Siganidae</t>
        </is>
      </c>
      <c r="B289" t="n">
        <v>2.11</v>
      </c>
      <c r="C289" t="n">
        <v>12.882496</v>
      </c>
      <c r="D289" s="11" t="inlineStr">
        <is>
          <t>Juvenile demersal fish (&gt; 30 cm) | Adult demersal fish (&gt; 30 cm)</t>
        </is>
      </c>
      <c r="E289" t="n">
        <v>140.953883</v>
      </c>
      <c r="F289" t="n">
        <v>228.824285</v>
      </c>
      <c r="G289" t="n">
        <v>114.897152</v>
      </c>
      <c r="H289" t="n">
        <v>408.798022</v>
      </c>
      <c r="I289" t="n">
        <v>6590.793316</v>
      </c>
      <c r="J289" t="n">
        <v>7071.146917</v>
      </c>
      <c r="K289" t="n">
        <v>2576.928919</v>
      </c>
      <c r="L289" t="n">
        <v>10677.999207</v>
      </c>
      <c r="M289" t="n">
        <v>10677.999207</v>
      </c>
      <c r="N289" t="n">
        <v>10677.999207</v>
      </c>
      <c r="O289" t="n">
        <v>85.006417</v>
      </c>
      <c r="P289" t="n">
        <v>38.52237</v>
      </c>
      <c r="Q289" t="n">
        <v>10677.999207</v>
      </c>
      <c r="R289" t="n">
        <v>10677.999207</v>
      </c>
      <c r="S289" t="n">
        <v>85.006417</v>
      </c>
      <c r="T289" t="n">
        <v>85.006417</v>
      </c>
      <c r="U289" t="n">
        <v>38.52237</v>
      </c>
      <c r="V289" t="n">
        <v>38.52237</v>
      </c>
      <c r="W289" t="n">
        <v>88.306245</v>
      </c>
      <c r="X289" t="n">
        <v>11509.306401</v>
      </c>
    </row>
    <row r="290" ht="21" customHeight="1">
      <c r="A290" t="inlineStr">
        <is>
          <t>Gerres</t>
        </is>
      </c>
      <c r="B290" t="n">
        <v>3.27</v>
      </c>
      <c r="C290" t="n">
        <v>186.208714</v>
      </c>
      <c r="D290" s="11" t="inlineStr">
        <is>
          <t>Benthopelagic fish</t>
        </is>
      </c>
      <c r="E290" t="n">
        <v>140.953883</v>
      </c>
      <c r="F290" t="n">
        <v>57.638856</v>
      </c>
      <c r="G290" t="n">
        <v>34.593347</v>
      </c>
      <c r="H290" t="n">
        <v>74.650282</v>
      </c>
      <c r="I290" t="n">
        <v>512.103289</v>
      </c>
      <c r="J290" t="n">
        <v>553.467817</v>
      </c>
      <c r="K290" t="n">
        <v>525.794426</v>
      </c>
      <c r="L290" t="n">
        <v>602.712303</v>
      </c>
      <c r="M290" t="n">
        <v>602.712303</v>
      </c>
      <c r="N290" t="n">
        <v>602.712303</v>
      </c>
      <c r="O290" t="n">
        <v>31.190871</v>
      </c>
      <c r="P290" t="n">
        <v>18.283791</v>
      </c>
      <c r="Q290" t="n">
        <v>602.712303</v>
      </c>
      <c r="R290" t="n">
        <v>602.712303</v>
      </c>
      <c r="S290" t="n">
        <v>31.190871</v>
      </c>
      <c r="T290" t="n">
        <v>31.190871</v>
      </c>
      <c r="U290" t="n">
        <v>18.283791</v>
      </c>
      <c r="V290" t="n">
        <v>18.283791</v>
      </c>
      <c r="W290" t="n">
        <v>32.089433</v>
      </c>
      <c r="X290" t="n">
        <v>622.065443</v>
      </c>
    </row>
    <row r="291" ht="36" customHeight="1">
      <c r="A291" t="inlineStr">
        <is>
          <t>Gnathanodon speciosus</t>
        </is>
      </c>
      <c r="B291" t="n">
        <v>3.84</v>
      </c>
      <c r="C291" t="n">
        <v>691.830971</v>
      </c>
      <c r="D291" s="11" t="inlineStr">
        <is>
          <t>Juvenile large pelagic fish | Pelagic fish (&gt; 30 cm)</t>
        </is>
      </c>
      <c r="E291" t="n">
        <v>140.953883</v>
      </c>
      <c r="F291" t="n">
        <v>200.641254</v>
      </c>
      <c r="G291" t="n">
        <v>102.228748</v>
      </c>
      <c r="H291" t="n">
        <v>215.010584</v>
      </c>
      <c r="I291" t="n">
        <v>6244.222521</v>
      </c>
      <c r="J291" t="n">
        <v>6325.914048</v>
      </c>
      <c r="K291" t="n">
        <v>1872.204427</v>
      </c>
      <c r="L291" t="n">
        <v>7112.982475</v>
      </c>
      <c r="M291" t="n">
        <v>7112.982475</v>
      </c>
      <c r="N291" t="n">
        <v>7112.982475</v>
      </c>
      <c r="O291" t="n">
        <v>87.969483</v>
      </c>
      <c r="P291" t="n">
        <v>46.580547</v>
      </c>
      <c r="Q291" t="n">
        <v>7112.982475</v>
      </c>
      <c r="R291" t="n">
        <v>7112.982475</v>
      </c>
      <c r="S291" t="n">
        <v>87.969483</v>
      </c>
      <c r="T291" t="n">
        <v>87.969483</v>
      </c>
      <c r="U291" t="n">
        <v>46.580547</v>
      </c>
      <c r="V291" t="n">
        <v>46.580547</v>
      </c>
      <c r="W291" t="n">
        <v>93.060855</v>
      </c>
      <c r="X291" t="n">
        <v>7459.131892</v>
      </c>
    </row>
    <row r="292" ht="21" customHeight="1">
      <c r="A292" t="inlineStr">
        <is>
          <t>Epinephelus malabaricus</t>
        </is>
      </c>
      <c r="B292" t="n">
        <v>4.16</v>
      </c>
      <c r="C292" t="n">
        <v>1445.439771</v>
      </c>
      <c r="D292" s="11" t="inlineStr">
        <is>
          <t>Adult groupers</t>
        </is>
      </c>
      <c r="E292" t="n">
        <v>140.953883</v>
      </c>
      <c r="F292" t="n">
        <v>539.046528</v>
      </c>
      <c r="G292" t="n">
        <v>244.14</v>
      </c>
      <c r="H292" t="n">
        <v>669.483011</v>
      </c>
      <c r="I292" t="n">
        <v>10399.759602</v>
      </c>
      <c r="J292" t="n">
        <v>10694.630086</v>
      </c>
      <c r="K292" t="n">
        <v>4010.486282</v>
      </c>
      <c r="L292" t="n">
        <v>14214.100911</v>
      </c>
      <c r="M292" t="n">
        <v>14214.100911</v>
      </c>
      <c r="N292" t="n">
        <v>14214.100911</v>
      </c>
      <c r="O292" t="n">
        <v>203.72024</v>
      </c>
      <c r="P292" t="n">
        <v>90.708206</v>
      </c>
      <c r="Q292" t="n">
        <v>14214.100911</v>
      </c>
      <c r="R292" t="n">
        <v>14214.100911</v>
      </c>
      <c r="S292" t="n">
        <v>203.72024</v>
      </c>
      <c r="T292" t="n">
        <v>203.72024</v>
      </c>
      <c r="U292" t="n">
        <v>90.708206</v>
      </c>
      <c r="V292" t="n">
        <v>90.708206</v>
      </c>
      <c r="W292" t="n">
        <v>213.076898</v>
      </c>
      <c r="X292" t="n">
        <v>15231.972848</v>
      </c>
    </row>
    <row r="293" ht="36" customHeight="1">
      <c r="A293" t="inlineStr">
        <is>
          <t>Hyporhamphus</t>
        </is>
      </c>
      <c r="B293" t="n">
        <v>3.3</v>
      </c>
      <c r="C293" t="n">
        <v>199.526231</v>
      </c>
      <c r="D293" s="11" t="inlineStr">
        <is>
          <t>Juvenile large pelagic fish | Pelagic fish (&gt; 30 cm)</t>
        </is>
      </c>
      <c r="E293" t="n">
        <v>140.953883</v>
      </c>
      <c r="F293" t="n">
        <v>200.641254</v>
      </c>
      <c r="G293" t="n">
        <v>102.228748</v>
      </c>
      <c r="H293" t="n">
        <v>215.010584</v>
      </c>
      <c r="I293" t="n">
        <v>6244.222521</v>
      </c>
      <c r="J293" t="n">
        <v>6325.914048</v>
      </c>
      <c r="K293" t="n">
        <v>1872.204427</v>
      </c>
      <c r="L293" t="n">
        <v>7112.982475</v>
      </c>
      <c r="M293" t="n">
        <v>7112.982475</v>
      </c>
      <c r="N293" t="n">
        <v>7112.982475</v>
      </c>
      <c r="O293" t="n">
        <v>87.969483</v>
      </c>
      <c r="P293" t="n">
        <v>46.580547</v>
      </c>
      <c r="Q293" t="n">
        <v>7112.982475</v>
      </c>
      <c r="R293" t="n">
        <v>7112.982475</v>
      </c>
      <c r="S293" t="n">
        <v>87.969483</v>
      </c>
      <c r="T293" t="n">
        <v>87.969483</v>
      </c>
      <c r="U293" t="n">
        <v>46.580547</v>
      </c>
      <c r="V293" t="n">
        <v>46.580547</v>
      </c>
      <c r="W293" t="n">
        <v>93.060855</v>
      </c>
      <c r="X293" t="n">
        <v>7459.131892</v>
      </c>
    </row>
    <row r="294" ht="21" customHeight="1">
      <c r="A294" t="inlineStr">
        <is>
          <t>Makaira mazara</t>
        </is>
      </c>
      <c r="B294" t="n">
        <v>4.46</v>
      </c>
      <c r="C294" t="n">
        <v>2884.031503</v>
      </c>
      <c r="D294" s="11" t="inlineStr">
        <is>
          <t>Unresolved</t>
        </is>
      </c>
    </row>
    <row r="295" ht="36" customHeight="1">
      <c r="A295" t="inlineStr">
        <is>
          <t>Hyporhamphus sajori</t>
        </is>
      </c>
      <c r="B295" t="n">
        <v>3.4</v>
      </c>
      <c r="C295" t="n">
        <v>251.188643</v>
      </c>
      <c r="D295" s="11" t="inlineStr">
        <is>
          <t>Juvenile large pelagic fish | Pelagic fish (&gt; 30 cm)</t>
        </is>
      </c>
      <c r="E295" t="n">
        <v>140.953883</v>
      </c>
      <c r="F295" t="n">
        <v>200.641254</v>
      </c>
      <c r="G295" t="n">
        <v>102.228748</v>
      </c>
      <c r="H295" t="n">
        <v>215.010584</v>
      </c>
      <c r="I295" t="n">
        <v>6244.222521</v>
      </c>
      <c r="J295" t="n">
        <v>6325.914048</v>
      </c>
      <c r="K295" t="n">
        <v>1872.204427</v>
      </c>
      <c r="L295" t="n">
        <v>7112.982475</v>
      </c>
      <c r="M295" t="n">
        <v>7112.982475</v>
      </c>
      <c r="N295" t="n">
        <v>7112.982475</v>
      </c>
      <c r="O295" t="n">
        <v>87.969483</v>
      </c>
      <c r="P295" t="n">
        <v>46.580547</v>
      </c>
      <c r="Q295" t="n">
        <v>7112.982475</v>
      </c>
      <c r="R295" t="n">
        <v>7112.982475</v>
      </c>
      <c r="S295" t="n">
        <v>87.969483</v>
      </c>
      <c r="T295" t="n">
        <v>87.969483</v>
      </c>
      <c r="U295" t="n">
        <v>46.580547</v>
      </c>
      <c r="V295" t="n">
        <v>46.580547</v>
      </c>
      <c r="W295" t="n">
        <v>93.060855</v>
      </c>
      <c r="X295" t="n">
        <v>7459.131892</v>
      </c>
    </row>
    <row r="296" ht="21" customHeight="1">
      <c r="A296" t="inlineStr">
        <is>
          <t>Carcharhinus longimanus</t>
        </is>
      </c>
      <c r="B296" t="n">
        <v>4.16</v>
      </c>
      <c r="C296" t="n">
        <v>1445.439771</v>
      </c>
      <c r="D296" s="11" t="inlineStr">
        <is>
          <t>Pelagic sharks and rays</t>
        </is>
      </c>
      <c r="E296" t="n">
        <v>140.953883</v>
      </c>
      <c r="F296" t="n">
        <v>908.988005</v>
      </c>
      <c r="G296" t="n">
        <v>385.472886</v>
      </c>
      <c r="H296" t="n">
        <v>784.4685459999999</v>
      </c>
      <c r="I296" t="n">
        <v>125208.792952</v>
      </c>
      <c r="J296" t="n">
        <v>126616.154086</v>
      </c>
      <c r="K296" t="n">
        <v>63308.077043</v>
      </c>
      <c r="L296" t="n">
        <v>172174.15174</v>
      </c>
      <c r="M296" t="n">
        <v>172174.151739</v>
      </c>
      <c r="N296" t="n">
        <v>172174.151739</v>
      </c>
      <c r="O296" t="n">
        <v>202.141045</v>
      </c>
      <c r="P296" t="n">
        <v>87.49926499999999</v>
      </c>
      <c r="Q296" t="n">
        <v>172174.151739</v>
      </c>
      <c r="R296" t="n">
        <v>172174.151739</v>
      </c>
      <c r="S296" t="n">
        <v>202.141045</v>
      </c>
      <c r="T296" t="n">
        <v>202.141045</v>
      </c>
      <c r="U296" t="n">
        <v>87.49926499999999</v>
      </c>
      <c r="V296" t="n">
        <v>87.49926499999999</v>
      </c>
      <c r="W296" t="n">
        <v>214.928725</v>
      </c>
      <c r="X296" t="n">
        <v>183923.261916</v>
      </c>
    </row>
    <row r="297" ht="21" customHeight="1">
      <c r="A297" t="inlineStr">
        <is>
          <t>Ambassidae</t>
        </is>
      </c>
      <c r="B297" t="n">
        <v>3.3</v>
      </c>
      <c r="C297" t="n">
        <v>199.526231</v>
      </c>
      <c r="D297" s="11" t="inlineStr">
        <is>
          <t>Demesral fish (≤ 30 cm)</t>
        </is>
      </c>
      <c r="E297" t="n">
        <v>140.953883</v>
      </c>
      <c r="F297" t="n">
        <v>95.34341499999999</v>
      </c>
      <c r="G297" t="n">
        <v>53.708528</v>
      </c>
      <c r="H297" t="n">
        <v>114.11959</v>
      </c>
      <c r="I297" t="n">
        <v>569.846189</v>
      </c>
      <c r="J297" t="n">
        <v>594.287325</v>
      </c>
      <c r="K297" t="n">
        <v>564.572959</v>
      </c>
      <c r="L297" t="n">
        <v>738.02552</v>
      </c>
      <c r="M297" t="n">
        <v>738.02552</v>
      </c>
      <c r="N297" t="n">
        <v>738.02552</v>
      </c>
      <c r="O297" t="n">
        <v>39.685535</v>
      </c>
      <c r="P297" t="n">
        <v>21.622034</v>
      </c>
      <c r="Q297" t="n">
        <v>738.02552</v>
      </c>
      <c r="R297" t="n">
        <v>738.02552</v>
      </c>
      <c r="S297" t="n">
        <v>39.685535</v>
      </c>
      <c r="T297" t="n">
        <v>39.685535</v>
      </c>
      <c r="U297" t="n">
        <v>21.622034</v>
      </c>
      <c r="V297" t="n">
        <v>21.622034</v>
      </c>
      <c r="W297" t="n">
        <v>41.109943</v>
      </c>
      <c r="X297" t="n">
        <v>772.895549</v>
      </c>
    </row>
    <row r="298" ht="21" customHeight="1">
      <c r="A298" t="inlineStr">
        <is>
          <t>Gazza minuta</t>
        </is>
      </c>
      <c r="B298" t="n">
        <v>4.19</v>
      </c>
      <c r="C298" t="n">
        <v>1548.816619</v>
      </c>
      <c r="D298" s="11" t="inlineStr">
        <is>
          <t>Demesral fish (≤ 30 cm)</t>
        </is>
      </c>
      <c r="E298" t="n">
        <v>140.953883</v>
      </c>
      <c r="F298" t="n">
        <v>95.34341499999999</v>
      </c>
      <c r="G298" t="n">
        <v>53.708528</v>
      </c>
      <c r="H298" t="n">
        <v>114.11959</v>
      </c>
      <c r="I298" t="n">
        <v>569.846189</v>
      </c>
      <c r="J298" t="n">
        <v>594.287325</v>
      </c>
      <c r="K298" t="n">
        <v>564.572959</v>
      </c>
      <c r="L298" t="n">
        <v>738.02552</v>
      </c>
      <c r="M298" t="n">
        <v>738.02552</v>
      </c>
      <c r="N298" t="n">
        <v>738.02552</v>
      </c>
      <c r="O298" t="n">
        <v>39.685535</v>
      </c>
      <c r="P298" t="n">
        <v>21.622034</v>
      </c>
      <c r="Q298" t="n">
        <v>738.02552</v>
      </c>
      <c r="R298" t="n">
        <v>738.02552</v>
      </c>
      <c r="S298" t="n">
        <v>39.685535</v>
      </c>
      <c r="T298" t="n">
        <v>39.685535</v>
      </c>
      <c r="U298" t="n">
        <v>21.622034</v>
      </c>
      <c r="V298" t="n">
        <v>21.622034</v>
      </c>
      <c r="W298" t="n">
        <v>41.109943</v>
      </c>
      <c r="X298" t="n">
        <v>772.895549</v>
      </c>
    </row>
    <row r="299" ht="36" customHeight="1">
      <c r="A299" t="inlineStr">
        <is>
          <t>Aluterus</t>
        </is>
      </c>
      <c r="B299" t="n">
        <v>2.81</v>
      </c>
      <c r="C299" t="n">
        <v>64.565423</v>
      </c>
      <c r="D299" s="11" t="inlineStr">
        <is>
          <t>Juvenile demersal fish (&gt; 30 cm) | Adult demersal fish (&gt; 30 cm)</t>
        </is>
      </c>
      <c r="E299" t="n">
        <v>140.953883</v>
      </c>
      <c r="F299" t="n">
        <v>228.824285</v>
      </c>
      <c r="G299" t="n">
        <v>114.897152</v>
      </c>
      <c r="H299" t="n">
        <v>408.798022</v>
      </c>
      <c r="I299" t="n">
        <v>6590.793316</v>
      </c>
      <c r="J299" t="n">
        <v>7071.146917</v>
      </c>
      <c r="K299" t="n">
        <v>2576.928919</v>
      </c>
      <c r="L299" t="n">
        <v>10677.999207</v>
      </c>
      <c r="M299" t="n">
        <v>10677.999207</v>
      </c>
      <c r="N299" t="n">
        <v>10677.999207</v>
      </c>
      <c r="O299" t="n">
        <v>85.006417</v>
      </c>
      <c r="P299" t="n">
        <v>38.52237</v>
      </c>
      <c r="Q299" t="n">
        <v>10677.999207</v>
      </c>
      <c r="R299" t="n">
        <v>10677.999207</v>
      </c>
      <c r="S299" t="n">
        <v>85.006417</v>
      </c>
      <c r="T299" t="n">
        <v>85.006417</v>
      </c>
      <c r="U299" t="n">
        <v>38.52237</v>
      </c>
      <c r="V299" t="n">
        <v>38.52237</v>
      </c>
      <c r="W299" t="n">
        <v>88.306245</v>
      </c>
      <c r="X299" t="n">
        <v>11509.306401</v>
      </c>
    </row>
    <row r="300" ht="21" customHeight="1">
      <c r="A300" t="inlineStr">
        <is>
          <t>Hemitriakis japanica</t>
        </is>
      </c>
      <c r="D300" s="11" t="inlineStr">
        <is>
          <t>Demersal sharks and rays</t>
        </is>
      </c>
      <c r="E300" t="n">
        <v>140.953883</v>
      </c>
      <c r="F300" t="n">
        <v>308.68601</v>
      </c>
      <c r="G300" t="n">
        <v>149.974663</v>
      </c>
      <c r="H300" t="n">
        <v>602.366804</v>
      </c>
      <c r="I300" t="n">
        <v>10706.101486</v>
      </c>
      <c r="J300" t="n">
        <v>10781.622707</v>
      </c>
      <c r="K300" t="n">
        <v>3924.510665</v>
      </c>
      <c r="L300" t="n">
        <v>18846.946222</v>
      </c>
      <c r="M300" t="n">
        <v>18846.946222</v>
      </c>
      <c r="N300" t="n">
        <v>18846.946222</v>
      </c>
      <c r="O300" t="n">
        <v>119.185901</v>
      </c>
      <c r="P300" t="n">
        <v>52.155741</v>
      </c>
      <c r="Q300" t="n">
        <v>18846.946222</v>
      </c>
      <c r="R300" t="n">
        <v>18846.946222</v>
      </c>
      <c r="S300" t="n">
        <v>119.185901</v>
      </c>
      <c r="T300" t="n">
        <v>119.185901</v>
      </c>
      <c r="U300" t="n">
        <v>52.155741</v>
      </c>
      <c r="V300" t="n">
        <v>52.155741</v>
      </c>
      <c r="W300" t="n">
        <v>124.506314</v>
      </c>
      <c r="X300" t="n">
        <v>20404.471037</v>
      </c>
    </row>
    <row r="301" ht="21" customHeight="1">
      <c r="A301" t="inlineStr">
        <is>
          <t>Echinodermata</t>
        </is>
      </c>
      <c r="B301" t="n">
        <v>2.3</v>
      </c>
      <c r="C301" t="n">
        <v>19.952623</v>
      </c>
      <c r="D301" s="11" t="inlineStr">
        <is>
          <t>Echinoderms</t>
        </is>
      </c>
      <c r="E301" t="n">
        <v>140.953883</v>
      </c>
      <c r="F301" t="n">
        <v>18.617087</v>
      </c>
      <c r="G301" t="n">
        <v>12.882339</v>
      </c>
      <c r="H301" t="n">
        <v>42.220898</v>
      </c>
      <c r="I301" t="n">
        <v>603.989501</v>
      </c>
      <c r="J301" t="n">
        <v>603.989501</v>
      </c>
      <c r="K301" t="n">
        <v>240.387821</v>
      </c>
      <c r="L301" t="n">
        <v>1080.992157</v>
      </c>
      <c r="M301" t="n">
        <v>1080.992157</v>
      </c>
      <c r="N301" t="n">
        <v>1080.992157</v>
      </c>
      <c r="O301" t="n">
        <v>17.290347</v>
      </c>
      <c r="P301" t="n">
        <v>9.498851999999999</v>
      </c>
      <c r="Q301" t="n">
        <v>1080.992157</v>
      </c>
      <c r="R301" t="n">
        <v>1080.992157</v>
      </c>
      <c r="S301" t="n">
        <v>17.290347</v>
      </c>
      <c r="T301" t="n">
        <v>17.290347</v>
      </c>
      <c r="U301" t="n">
        <v>9.498851999999999</v>
      </c>
      <c r="V301" t="n">
        <v>9.498851999999999</v>
      </c>
      <c r="W301" t="n">
        <v>17.932707</v>
      </c>
      <c r="X301" t="n">
        <v>1135.08839</v>
      </c>
    </row>
    <row r="302" ht="21" customHeight="1">
      <c r="A302" t="inlineStr">
        <is>
          <t>Dasyatidae</t>
        </is>
      </c>
      <c r="B302" t="n">
        <v>3.38</v>
      </c>
      <c r="C302" t="n">
        <v>239.883292</v>
      </c>
      <c r="D302" s="11" t="inlineStr">
        <is>
          <t>Demersal sharks and rays</t>
        </is>
      </c>
      <c r="E302" t="n">
        <v>140.953883</v>
      </c>
      <c r="F302" t="n">
        <v>308.68601</v>
      </c>
      <c r="G302" t="n">
        <v>149.974663</v>
      </c>
      <c r="H302" t="n">
        <v>602.366804</v>
      </c>
      <c r="I302" t="n">
        <v>10706.101486</v>
      </c>
      <c r="J302" t="n">
        <v>10781.622707</v>
      </c>
      <c r="K302" t="n">
        <v>3924.510665</v>
      </c>
      <c r="L302" t="n">
        <v>18846.946222</v>
      </c>
      <c r="M302" t="n">
        <v>18846.946222</v>
      </c>
      <c r="N302" t="n">
        <v>18846.946222</v>
      </c>
      <c r="O302" t="n">
        <v>119.185901</v>
      </c>
      <c r="P302" t="n">
        <v>52.155741</v>
      </c>
      <c r="Q302" t="n">
        <v>18846.946222</v>
      </c>
      <c r="R302" t="n">
        <v>18846.946222</v>
      </c>
      <c r="S302" t="n">
        <v>119.185901</v>
      </c>
      <c r="T302" t="n">
        <v>119.185901</v>
      </c>
      <c r="U302" t="n">
        <v>52.155741</v>
      </c>
      <c r="V302" t="n">
        <v>52.155741</v>
      </c>
      <c r="W302" t="n">
        <v>124.506314</v>
      </c>
      <c r="X302" t="n">
        <v>20404.471037</v>
      </c>
    </row>
    <row r="303" ht="21" customHeight="1">
      <c r="A303" t="inlineStr">
        <is>
          <t>Chanos chanos</t>
        </is>
      </c>
      <c r="B303" t="n">
        <v>2.03</v>
      </c>
      <c r="C303" t="n">
        <v>10.715193</v>
      </c>
      <c r="D303" s="11" t="inlineStr">
        <is>
          <t>Benthopelagic fish</t>
        </is>
      </c>
      <c r="E303" t="n">
        <v>140.953883</v>
      </c>
      <c r="F303" t="n">
        <v>57.638856</v>
      </c>
      <c r="G303" t="n">
        <v>34.593347</v>
      </c>
      <c r="H303" t="n">
        <v>74.650282</v>
      </c>
      <c r="I303" t="n">
        <v>512.103289</v>
      </c>
      <c r="J303" t="n">
        <v>553.467817</v>
      </c>
      <c r="K303" t="n">
        <v>525.794426</v>
      </c>
      <c r="L303" t="n">
        <v>602.712303</v>
      </c>
      <c r="M303" t="n">
        <v>602.712303</v>
      </c>
      <c r="N303" t="n">
        <v>602.712303</v>
      </c>
      <c r="O303" t="n">
        <v>31.190871</v>
      </c>
      <c r="P303" t="n">
        <v>18.283791</v>
      </c>
      <c r="Q303" t="n">
        <v>602.712303</v>
      </c>
      <c r="R303" t="n">
        <v>602.712303</v>
      </c>
      <c r="S303" t="n">
        <v>31.190871</v>
      </c>
      <c r="T303" t="n">
        <v>31.190871</v>
      </c>
      <c r="U303" t="n">
        <v>18.283791</v>
      </c>
      <c r="V303" t="n">
        <v>18.283791</v>
      </c>
      <c r="W303" t="n">
        <v>32.089433</v>
      </c>
      <c r="X303" t="n">
        <v>622.065443</v>
      </c>
    </row>
    <row r="304" ht="36" customHeight="1">
      <c r="A304" t="inlineStr">
        <is>
          <t>Sphyraena obtusata</t>
        </is>
      </c>
      <c r="D304" s="11" t="inlineStr">
        <is>
          <t>Juvenile large pelagic fish | Pelagic fish (&gt; 30 cm)</t>
        </is>
      </c>
      <c r="E304" t="n">
        <v>140.953883</v>
      </c>
      <c r="F304" t="n">
        <v>200.641254</v>
      </c>
      <c r="G304" t="n">
        <v>102.228748</v>
      </c>
      <c r="H304" t="n">
        <v>215.010584</v>
      </c>
      <c r="I304" t="n">
        <v>6244.222521</v>
      </c>
      <c r="J304" t="n">
        <v>6325.914048</v>
      </c>
      <c r="K304" t="n">
        <v>1872.204427</v>
      </c>
      <c r="L304" t="n">
        <v>7112.982475</v>
      </c>
      <c r="M304" t="n">
        <v>7112.982475</v>
      </c>
      <c r="N304" t="n">
        <v>7112.982475</v>
      </c>
      <c r="O304" t="n">
        <v>87.969483</v>
      </c>
      <c r="P304" t="n">
        <v>46.580547</v>
      </c>
      <c r="Q304" t="n">
        <v>7112.982475</v>
      </c>
      <c r="R304" t="n">
        <v>7112.982475</v>
      </c>
      <c r="S304" t="n">
        <v>87.969483</v>
      </c>
      <c r="T304" t="n">
        <v>87.969483</v>
      </c>
      <c r="U304" t="n">
        <v>46.580547</v>
      </c>
      <c r="V304" t="n">
        <v>46.580547</v>
      </c>
      <c r="W304" t="n">
        <v>93.060855</v>
      </c>
      <c r="X304" t="n">
        <v>7459.131892</v>
      </c>
    </row>
    <row r="305" ht="36" customHeight="1">
      <c r="A305" t="inlineStr">
        <is>
          <t>Parupeneus barberinus</t>
        </is>
      </c>
      <c r="B305" t="n">
        <v>3.22</v>
      </c>
      <c r="C305" t="n">
        <v>165.958691</v>
      </c>
      <c r="D305" s="11" t="inlineStr">
        <is>
          <t>Juvenile demersal fish (&gt; 30 cm) | Adult demersal fish (&gt; 30 cm)</t>
        </is>
      </c>
      <c r="E305" t="n">
        <v>140.953883</v>
      </c>
      <c r="F305" t="n">
        <v>228.824285</v>
      </c>
      <c r="G305" t="n">
        <v>114.897152</v>
      </c>
      <c r="H305" t="n">
        <v>408.798022</v>
      </c>
      <c r="I305" t="n">
        <v>6590.793316</v>
      </c>
      <c r="J305" t="n">
        <v>7071.146917</v>
      </c>
      <c r="K305" t="n">
        <v>2576.928919</v>
      </c>
      <c r="L305" t="n">
        <v>10677.999207</v>
      </c>
      <c r="M305" t="n">
        <v>10677.999207</v>
      </c>
      <c r="N305" t="n">
        <v>10677.999207</v>
      </c>
      <c r="O305" t="n">
        <v>85.006417</v>
      </c>
      <c r="P305" t="n">
        <v>38.52237</v>
      </c>
      <c r="Q305" t="n">
        <v>10677.999207</v>
      </c>
      <c r="R305" t="n">
        <v>10677.999207</v>
      </c>
      <c r="S305" t="n">
        <v>85.006417</v>
      </c>
      <c r="T305" t="n">
        <v>85.006417</v>
      </c>
      <c r="U305" t="n">
        <v>38.52237</v>
      </c>
      <c r="V305" t="n">
        <v>38.52237</v>
      </c>
      <c r="W305" t="n">
        <v>88.306245</v>
      </c>
      <c r="X305" t="n">
        <v>11509.306401</v>
      </c>
    </row>
    <row r="306" ht="51" customHeight="1">
      <c r="A306" t="inlineStr">
        <is>
          <t>Psettodidae</t>
        </is>
      </c>
      <c r="B306" t="n">
        <v>3.83</v>
      </c>
      <c r="C306" t="n">
        <v>676.082975</v>
      </c>
      <c r="D306" s="11" t="inlineStr">
        <is>
          <t>Demesral fish (≤ 30 cm) | Juvenile demersal fish (&gt; 30 cm) | Adult demersal fish (&gt; 30 cm)</t>
        </is>
      </c>
      <c r="E306" t="n">
        <v>140.953883</v>
      </c>
      <c r="F306" t="n">
        <v>177.371403</v>
      </c>
      <c r="G306" t="n">
        <v>91.310768</v>
      </c>
      <c r="H306" t="n">
        <v>295.208302</v>
      </c>
      <c r="I306" t="n">
        <v>4269.898312</v>
      </c>
      <c r="J306" t="n">
        <v>4574.511297</v>
      </c>
      <c r="K306" t="n">
        <v>1801.225895</v>
      </c>
      <c r="L306" t="n">
        <v>6846.4367</v>
      </c>
      <c r="M306" t="n">
        <v>6846.4367</v>
      </c>
      <c r="N306" t="n">
        <v>6846.4367</v>
      </c>
      <c r="O306" t="n">
        <v>67.536573</v>
      </c>
      <c r="P306" t="n">
        <v>32.007796</v>
      </c>
      <c r="Q306" t="n">
        <v>6846.4367</v>
      </c>
      <c r="R306" t="n">
        <v>6846.4367</v>
      </c>
      <c r="S306" t="n">
        <v>67.536573</v>
      </c>
      <c r="T306" t="n">
        <v>67.536573</v>
      </c>
      <c r="U306" t="n">
        <v>32.007796</v>
      </c>
      <c r="V306" t="n">
        <v>32.007796</v>
      </c>
      <c r="W306" t="n">
        <v>70.113483</v>
      </c>
      <c r="X306" t="n">
        <v>7370.741192</v>
      </c>
    </row>
    <row r="307" ht="21" customHeight="1">
      <c r="A307" t="inlineStr">
        <is>
          <t>Panulirus</t>
        </is>
      </c>
      <c r="B307" t="n">
        <v>2.6</v>
      </c>
      <c r="C307" t="n">
        <v>39.810717</v>
      </c>
      <c r="D307" s="11" t="inlineStr">
        <is>
          <t>Benthic crustaceans</t>
        </is>
      </c>
      <c r="E307" t="n">
        <v>140.953883</v>
      </c>
      <c r="F307" t="n">
        <v>15.812995</v>
      </c>
      <c r="G307" t="n">
        <v>11.169278</v>
      </c>
      <c r="H307" t="n">
        <v>22.580939</v>
      </c>
      <c r="I307" t="n">
        <v>110.765161</v>
      </c>
      <c r="J307" t="n">
        <v>110.765161</v>
      </c>
      <c r="K307" t="n">
        <v>69.11746100000001</v>
      </c>
      <c r="L307" t="n">
        <v>113.463496</v>
      </c>
      <c r="M307" t="n">
        <v>113.463496</v>
      </c>
      <c r="N307" t="n">
        <v>113.463496</v>
      </c>
      <c r="O307" t="n">
        <v>8.170260000000001</v>
      </c>
      <c r="P307" t="n">
        <v>5.693764</v>
      </c>
      <c r="Q307" t="n">
        <v>113.463496</v>
      </c>
      <c r="R307" t="n">
        <v>113.463496</v>
      </c>
      <c r="S307" t="n">
        <v>8.170260000000001</v>
      </c>
      <c r="T307" t="n">
        <v>8.170260000000001</v>
      </c>
      <c r="U307" t="n">
        <v>5.693764</v>
      </c>
      <c r="V307" t="n">
        <v>5.693764</v>
      </c>
      <c r="W307" t="n">
        <v>8.298344999999999</v>
      </c>
      <c r="X307" t="n">
        <v>118.931059</v>
      </c>
    </row>
    <row r="308" ht="21" customHeight="1">
      <c r="A308" t="inlineStr">
        <is>
          <t>Rhincodon typus</t>
        </is>
      </c>
      <c r="D308" s="11" t="inlineStr">
        <is>
          <t>Pelagic sharks and rays</t>
        </is>
      </c>
      <c r="E308" t="n">
        <v>140.953883</v>
      </c>
      <c r="F308" t="n">
        <v>908.988005</v>
      </c>
      <c r="G308" t="n">
        <v>385.472886</v>
      </c>
      <c r="H308" t="n">
        <v>784.4685459999999</v>
      </c>
      <c r="I308" t="n">
        <v>125208.792952</v>
      </c>
      <c r="J308" t="n">
        <v>126616.154086</v>
      </c>
      <c r="K308" t="n">
        <v>63308.077043</v>
      </c>
      <c r="L308" t="n">
        <v>172174.15174</v>
      </c>
      <c r="M308" t="n">
        <v>172174.151739</v>
      </c>
      <c r="N308" t="n">
        <v>172174.151739</v>
      </c>
      <c r="O308" t="n">
        <v>202.141045</v>
      </c>
      <c r="P308" t="n">
        <v>87.49926499999999</v>
      </c>
      <c r="Q308" t="n">
        <v>172174.151739</v>
      </c>
      <c r="R308" t="n">
        <v>172174.151739</v>
      </c>
      <c r="S308" t="n">
        <v>202.141045</v>
      </c>
      <c r="T308" t="n">
        <v>202.141045</v>
      </c>
      <c r="U308" t="n">
        <v>87.49926499999999</v>
      </c>
      <c r="V308" t="n">
        <v>87.49926499999999</v>
      </c>
      <c r="W308" t="n">
        <v>214.928725</v>
      </c>
      <c r="X308" t="n">
        <v>183923.261916</v>
      </c>
    </row>
    <row r="309" ht="36" customHeight="1">
      <c r="A309" t="inlineStr">
        <is>
          <t>Cheilopogon unicolor</t>
        </is>
      </c>
      <c r="B309" t="n">
        <v>3.7</v>
      </c>
      <c r="C309" t="n">
        <v>501.187234</v>
      </c>
      <c r="D309" s="11" t="inlineStr">
        <is>
          <t>Juvenile large pelagic fish | Pelagic fish (&gt; 30 cm)</t>
        </is>
      </c>
      <c r="E309" t="n">
        <v>140.953883</v>
      </c>
      <c r="F309" t="n">
        <v>200.641254</v>
      </c>
      <c r="G309" t="n">
        <v>102.228748</v>
      </c>
      <c r="H309" t="n">
        <v>215.010584</v>
      </c>
      <c r="I309" t="n">
        <v>6244.222521</v>
      </c>
      <c r="J309" t="n">
        <v>6325.914048</v>
      </c>
      <c r="K309" t="n">
        <v>1872.204427</v>
      </c>
      <c r="L309" t="n">
        <v>7112.982475</v>
      </c>
      <c r="M309" t="n">
        <v>7112.982475</v>
      </c>
      <c r="N309" t="n">
        <v>7112.982475</v>
      </c>
      <c r="O309" t="n">
        <v>87.969483</v>
      </c>
      <c r="P309" t="n">
        <v>46.580547</v>
      </c>
      <c r="Q309" t="n">
        <v>7112.982475</v>
      </c>
      <c r="R309" t="n">
        <v>7112.982475</v>
      </c>
      <c r="S309" t="n">
        <v>87.969483</v>
      </c>
      <c r="T309" t="n">
        <v>87.969483</v>
      </c>
      <c r="U309" t="n">
        <v>46.580547</v>
      </c>
      <c r="V309" t="n">
        <v>46.580547</v>
      </c>
      <c r="W309" t="n">
        <v>93.060855</v>
      </c>
      <c r="X309" t="n">
        <v>7459.131892</v>
      </c>
    </row>
    <row r="310" ht="21" customHeight="1">
      <c r="A310" t="inlineStr">
        <is>
          <t>Mizuhopecten yessoensis</t>
        </is>
      </c>
      <c r="B310" t="n">
        <v>2.1</v>
      </c>
      <c r="C310" t="n">
        <v>12.589254</v>
      </c>
      <c r="D310" s="11" t="inlineStr">
        <is>
          <t>Non-ceph molluscs</t>
        </is>
      </c>
      <c r="E310" t="n">
        <v>140.953883</v>
      </c>
      <c r="F310" t="n">
        <v>14.712171</v>
      </c>
      <c r="G310" t="n">
        <v>10.486582</v>
      </c>
      <c r="H310" t="n">
        <v>17.347998</v>
      </c>
      <c r="I310" t="n">
        <v>87.52377799999999</v>
      </c>
      <c r="J310" t="n">
        <v>87.52377799999999</v>
      </c>
      <c r="K310" t="n">
        <v>33.521607</v>
      </c>
      <c r="L310" t="n">
        <v>92.59366</v>
      </c>
      <c r="M310" t="n">
        <v>92.59366</v>
      </c>
      <c r="N310" t="n">
        <v>92.59366</v>
      </c>
      <c r="O310" t="n">
        <v>4.448657</v>
      </c>
      <c r="P310" t="n">
        <v>3.058348</v>
      </c>
      <c r="Q310" t="n">
        <v>92.59366</v>
      </c>
      <c r="R310" t="n">
        <v>92.59366</v>
      </c>
      <c r="S310" t="n">
        <v>4.448657</v>
      </c>
      <c r="T310" t="n">
        <v>4.448657</v>
      </c>
      <c r="U310" t="n">
        <v>3.058348</v>
      </c>
      <c r="V310" t="n">
        <v>3.058348</v>
      </c>
      <c r="W310" t="n">
        <v>4.556294</v>
      </c>
      <c r="X310" t="n">
        <v>96.447226</v>
      </c>
    </row>
    <row r="311" ht="36" customHeight="1">
      <c r="A311" t="inlineStr">
        <is>
          <t>Evynnis tumifrons</t>
        </is>
      </c>
      <c r="B311" t="n">
        <v>3.97</v>
      </c>
      <c r="C311" t="n">
        <v>933.2543010000001</v>
      </c>
      <c r="D311" s="11" t="inlineStr">
        <is>
          <t>Juvenile demersal fish (&gt; 30 cm) | Adult demersal fish (&gt; 30 cm)</t>
        </is>
      </c>
      <c r="E311" t="n">
        <v>140.953883</v>
      </c>
      <c r="F311" t="n">
        <v>228.824285</v>
      </c>
      <c r="G311" t="n">
        <v>114.897152</v>
      </c>
      <c r="H311" t="n">
        <v>408.798022</v>
      </c>
      <c r="I311" t="n">
        <v>6590.793316</v>
      </c>
      <c r="J311" t="n">
        <v>7071.146917</v>
      </c>
      <c r="K311" t="n">
        <v>2576.928919</v>
      </c>
      <c r="L311" t="n">
        <v>10677.999207</v>
      </c>
      <c r="M311" t="n">
        <v>10677.999207</v>
      </c>
      <c r="N311" t="n">
        <v>10677.999207</v>
      </c>
      <c r="O311" t="n">
        <v>85.006417</v>
      </c>
      <c r="P311" t="n">
        <v>38.52237</v>
      </c>
      <c r="Q311" t="n">
        <v>10677.999207</v>
      </c>
      <c r="R311" t="n">
        <v>10677.999207</v>
      </c>
      <c r="S311" t="n">
        <v>85.006417</v>
      </c>
      <c r="T311" t="n">
        <v>85.006417</v>
      </c>
      <c r="U311" t="n">
        <v>38.52237</v>
      </c>
      <c r="V311" t="n">
        <v>38.52237</v>
      </c>
      <c r="W311" t="n">
        <v>88.306245</v>
      </c>
      <c r="X311" t="n">
        <v>11509.306401</v>
      </c>
    </row>
    <row r="312" ht="36" customHeight="1">
      <c r="A312" t="inlineStr">
        <is>
          <t>Ephippidae</t>
        </is>
      </c>
      <c r="B312" t="n">
        <v>3.57</v>
      </c>
      <c r="C312" t="n">
        <v>371.535229</v>
      </c>
      <c r="D312" s="11" t="inlineStr">
        <is>
          <t>Juvenile demersal fish (&gt; 30 cm) | Adult demersal fish (&gt; 30 cm)</t>
        </is>
      </c>
      <c r="E312" t="n">
        <v>140.953883</v>
      </c>
      <c r="F312" t="n">
        <v>228.824285</v>
      </c>
      <c r="G312" t="n">
        <v>114.897152</v>
      </c>
      <c r="H312" t="n">
        <v>408.798022</v>
      </c>
      <c r="I312" t="n">
        <v>6590.793316</v>
      </c>
      <c r="J312" t="n">
        <v>7071.146917</v>
      </c>
      <c r="K312" t="n">
        <v>2576.928919</v>
      </c>
      <c r="L312" t="n">
        <v>10677.999207</v>
      </c>
      <c r="M312" t="n">
        <v>10677.999207</v>
      </c>
      <c r="N312" t="n">
        <v>10677.999207</v>
      </c>
      <c r="O312" t="n">
        <v>85.006417</v>
      </c>
      <c r="P312" t="n">
        <v>38.52237</v>
      </c>
      <c r="Q312" t="n">
        <v>10677.999207</v>
      </c>
      <c r="R312" t="n">
        <v>10677.999207</v>
      </c>
      <c r="S312" t="n">
        <v>85.006417</v>
      </c>
      <c r="T312" t="n">
        <v>85.006417</v>
      </c>
      <c r="U312" t="n">
        <v>38.52237</v>
      </c>
      <c r="V312" t="n">
        <v>38.52237</v>
      </c>
      <c r="W312" t="n">
        <v>88.306245</v>
      </c>
      <c r="X312" t="n">
        <v>11509.306401</v>
      </c>
    </row>
    <row r="313" ht="36" customHeight="1">
      <c r="A313" t="inlineStr">
        <is>
          <t>Mola mola</t>
        </is>
      </c>
      <c r="B313" t="n">
        <v>3.68</v>
      </c>
      <c r="C313" t="n">
        <v>478.630092</v>
      </c>
      <c r="D313" s="11" t="inlineStr">
        <is>
          <t>Juvenile large pelagic fish | Pelagic fish (&gt; 30 cm)</t>
        </is>
      </c>
      <c r="E313" t="n">
        <v>140.953883</v>
      </c>
      <c r="F313" t="n">
        <v>200.641254</v>
      </c>
      <c r="G313" t="n">
        <v>102.228748</v>
      </c>
      <c r="H313" t="n">
        <v>215.010584</v>
      </c>
      <c r="I313" t="n">
        <v>6244.222521</v>
      </c>
      <c r="J313" t="n">
        <v>6325.914048</v>
      </c>
      <c r="K313" t="n">
        <v>1872.204427</v>
      </c>
      <c r="L313" t="n">
        <v>7112.982475</v>
      </c>
      <c r="M313" t="n">
        <v>7112.982475</v>
      </c>
      <c r="N313" t="n">
        <v>7112.982475</v>
      </c>
      <c r="O313" t="n">
        <v>87.969483</v>
      </c>
      <c r="P313" t="n">
        <v>46.580547</v>
      </c>
      <c r="Q313" t="n">
        <v>7112.982475</v>
      </c>
      <c r="R313" t="n">
        <v>7112.982475</v>
      </c>
      <c r="S313" t="n">
        <v>87.969483</v>
      </c>
      <c r="T313" t="n">
        <v>87.969483</v>
      </c>
      <c r="U313" t="n">
        <v>46.580547</v>
      </c>
      <c r="V313" t="n">
        <v>46.580547</v>
      </c>
      <c r="W313" t="n">
        <v>93.060855</v>
      </c>
      <c r="X313" t="n">
        <v>7459.131892</v>
      </c>
    </row>
    <row r="314" ht="36" customHeight="1">
      <c r="A314" t="inlineStr">
        <is>
          <t>Latidae</t>
        </is>
      </c>
      <c r="B314" t="n">
        <v>4.35</v>
      </c>
      <c r="C314" t="n">
        <v>2238.721139</v>
      </c>
      <c r="D314" s="11" t="inlineStr">
        <is>
          <t>Juvenile demersal fish (&gt; 30 cm) | Adult demersal fish (&gt; 30 cm)</t>
        </is>
      </c>
      <c r="E314" t="n">
        <v>140.953883</v>
      </c>
      <c r="F314" t="n">
        <v>228.824285</v>
      </c>
      <c r="G314" t="n">
        <v>114.897152</v>
      </c>
      <c r="H314" t="n">
        <v>408.798022</v>
      </c>
      <c r="I314" t="n">
        <v>6590.793316</v>
      </c>
      <c r="J314" t="n">
        <v>7071.146917</v>
      </c>
      <c r="K314" t="n">
        <v>2576.928919</v>
      </c>
      <c r="L314" t="n">
        <v>10677.999207</v>
      </c>
      <c r="M314" t="n">
        <v>10677.999207</v>
      </c>
      <c r="N314" t="n">
        <v>10677.999207</v>
      </c>
      <c r="O314" t="n">
        <v>85.006417</v>
      </c>
      <c r="P314" t="n">
        <v>38.52237</v>
      </c>
      <c r="Q314" t="n">
        <v>10677.999207</v>
      </c>
      <c r="R314" t="n">
        <v>10677.999207</v>
      </c>
      <c r="S314" t="n">
        <v>85.006417</v>
      </c>
      <c r="T314" t="n">
        <v>85.006417</v>
      </c>
      <c r="U314" t="n">
        <v>38.52237</v>
      </c>
      <c r="V314" t="n">
        <v>38.52237</v>
      </c>
      <c r="W314" t="n">
        <v>88.306245</v>
      </c>
      <c r="X314" t="n">
        <v>11509.306401</v>
      </c>
    </row>
    <row r="315" ht="21" customHeight="1">
      <c r="A315" t="inlineStr">
        <is>
          <t>Ranina ranina</t>
        </is>
      </c>
      <c r="B315" t="n">
        <v>3.92</v>
      </c>
      <c r="C315" t="n">
        <v>831.763771</v>
      </c>
      <c r="D315" s="11" t="inlineStr">
        <is>
          <t>Crabs</t>
        </is>
      </c>
      <c r="E315" t="n">
        <v>140.953883</v>
      </c>
      <c r="F315" t="n">
        <v>33.254785</v>
      </c>
      <c r="G315" t="n">
        <v>21.389991</v>
      </c>
      <c r="H315" t="n">
        <v>53.354334</v>
      </c>
      <c r="I315" t="n">
        <v>151.084056</v>
      </c>
      <c r="J315" t="n">
        <v>151.084056</v>
      </c>
      <c r="K315" t="n">
        <v>143.529853</v>
      </c>
      <c r="L315" t="n">
        <v>173.938876</v>
      </c>
      <c r="M315" t="n">
        <v>173.938876</v>
      </c>
      <c r="N315" t="n">
        <v>173.938876</v>
      </c>
      <c r="O315" t="n">
        <v>13.215653</v>
      </c>
      <c r="P315" t="n">
        <v>8.00437</v>
      </c>
      <c r="Q315" t="n">
        <v>173.938876</v>
      </c>
      <c r="R315" t="n">
        <v>173.938876</v>
      </c>
      <c r="S315" t="n">
        <v>13.215653</v>
      </c>
      <c r="T315" t="n">
        <v>13.215653</v>
      </c>
      <c r="U315" t="n">
        <v>8.00437</v>
      </c>
      <c r="V315" t="n">
        <v>8.00437</v>
      </c>
      <c r="W315" t="n">
        <v>13.539814</v>
      </c>
      <c r="X315" t="n">
        <v>184.933079</v>
      </c>
    </row>
    <row r="316" ht="21" customHeight="1">
      <c r="A316" t="inlineStr">
        <is>
          <t>Ozius guttatus</t>
        </is>
      </c>
      <c r="D316" s="11" t="inlineStr">
        <is>
          <t>Crabs</t>
        </is>
      </c>
      <c r="E316" t="n">
        <v>140.953883</v>
      </c>
      <c r="F316" t="n">
        <v>33.254785</v>
      </c>
      <c r="G316" t="n">
        <v>21.389991</v>
      </c>
      <c r="H316" t="n">
        <v>53.354334</v>
      </c>
      <c r="I316" t="n">
        <v>151.084056</v>
      </c>
      <c r="J316" t="n">
        <v>151.084056</v>
      </c>
      <c r="K316" t="n">
        <v>143.529853</v>
      </c>
      <c r="L316" t="n">
        <v>173.938876</v>
      </c>
      <c r="M316" t="n">
        <v>173.938876</v>
      </c>
      <c r="N316" t="n">
        <v>173.938876</v>
      </c>
      <c r="O316" t="n">
        <v>13.215653</v>
      </c>
      <c r="P316" t="n">
        <v>8.00437</v>
      </c>
      <c r="Q316" t="n">
        <v>173.938876</v>
      </c>
      <c r="R316" t="n">
        <v>173.938876</v>
      </c>
      <c r="S316" t="n">
        <v>13.215653</v>
      </c>
      <c r="T316" t="n">
        <v>13.215653</v>
      </c>
      <c r="U316" t="n">
        <v>8.00437</v>
      </c>
      <c r="V316" t="n">
        <v>8.00437</v>
      </c>
      <c r="W316" t="n">
        <v>13.539814</v>
      </c>
      <c r="X316" t="n">
        <v>184.933079</v>
      </c>
    </row>
    <row r="317" ht="36" customHeight="1">
      <c r="A317" t="inlineStr">
        <is>
          <t>Sphyraena barracuda</t>
        </is>
      </c>
      <c r="B317" t="n">
        <v>4.49</v>
      </c>
      <c r="C317" t="n">
        <v>3090.295433</v>
      </c>
      <c r="D317" s="11" t="inlineStr">
        <is>
          <t>Juvenile large pelagic fish | Pelagic fish (&gt; 30 cm)</t>
        </is>
      </c>
      <c r="E317" t="n">
        <v>140.953883</v>
      </c>
      <c r="F317" t="n">
        <v>200.641254</v>
      </c>
      <c r="G317" t="n">
        <v>102.228748</v>
      </c>
      <c r="H317" t="n">
        <v>215.010584</v>
      </c>
      <c r="I317" t="n">
        <v>6244.222521</v>
      </c>
      <c r="J317" t="n">
        <v>6325.914048</v>
      </c>
      <c r="K317" t="n">
        <v>1872.204427</v>
      </c>
      <c r="L317" t="n">
        <v>7112.982475</v>
      </c>
      <c r="M317" t="n">
        <v>7112.982475</v>
      </c>
      <c r="N317" t="n">
        <v>7112.982475</v>
      </c>
      <c r="O317" t="n">
        <v>87.969483</v>
      </c>
      <c r="P317" t="n">
        <v>46.580547</v>
      </c>
      <c r="Q317" t="n">
        <v>7112.982475</v>
      </c>
      <c r="R317" t="n">
        <v>7112.982475</v>
      </c>
      <c r="S317" t="n">
        <v>87.969483</v>
      </c>
      <c r="T317" t="n">
        <v>87.969483</v>
      </c>
      <c r="U317" t="n">
        <v>46.580547</v>
      </c>
      <c r="V317" t="n">
        <v>46.580547</v>
      </c>
      <c r="W317" t="n">
        <v>93.060855</v>
      </c>
      <c r="X317" t="n">
        <v>7459.131892</v>
      </c>
    </row>
    <row r="318" ht="21" customHeight="1">
      <c r="A318" t="inlineStr">
        <is>
          <t>Melicertus canaliculatus</t>
        </is>
      </c>
      <c r="D318" s="11" t="inlineStr">
        <is>
          <t>Shrimps</t>
        </is>
      </c>
      <c r="E318" t="n">
        <v>140.953883</v>
      </c>
      <c r="F318" t="n">
        <v>20.606299</v>
      </c>
      <c r="G318" t="n">
        <v>14.077679</v>
      </c>
      <c r="H318" t="n">
        <v>22.715542</v>
      </c>
      <c r="I318" t="n">
        <v>131.71072</v>
      </c>
      <c r="J318" t="n">
        <v>131.71072</v>
      </c>
      <c r="K318" t="n">
        <v>125.125184</v>
      </c>
      <c r="L318" t="n">
        <v>130.894857</v>
      </c>
      <c r="M318" t="n">
        <v>130.894857</v>
      </c>
      <c r="N318" t="n">
        <v>130.894857</v>
      </c>
      <c r="O318" t="n">
        <v>12.255972</v>
      </c>
      <c r="P318" t="n">
        <v>8.448598</v>
      </c>
      <c r="Q318" t="n">
        <v>130.894857</v>
      </c>
      <c r="R318" t="n">
        <v>130.894857</v>
      </c>
      <c r="S318" t="n">
        <v>12.255972</v>
      </c>
      <c r="T318" t="n">
        <v>12.255972</v>
      </c>
      <c r="U318" t="n">
        <v>8.448598</v>
      </c>
      <c r="V318" t="n">
        <v>8.448598</v>
      </c>
      <c r="W318" t="n">
        <v>12.680707</v>
      </c>
      <c r="X318" t="n">
        <v>136.520004</v>
      </c>
    </row>
    <row r="319" ht="36" customHeight="1">
      <c r="A319" t="inlineStr">
        <is>
          <t>Seriola dumerili</t>
        </is>
      </c>
      <c r="B319" t="n">
        <v>4.5</v>
      </c>
      <c r="C319" t="n">
        <v>3162.27766</v>
      </c>
      <c r="D319" s="11" t="inlineStr">
        <is>
          <t>Juvenile large pelagic fish | Pelagic fish (&gt; 30 cm)</t>
        </is>
      </c>
      <c r="E319" t="n">
        <v>140.953883</v>
      </c>
      <c r="F319" t="n">
        <v>200.641254</v>
      </c>
      <c r="G319" t="n">
        <v>102.228748</v>
      </c>
      <c r="H319" t="n">
        <v>215.010584</v>
      </c>
      <c r="I319" t="n">
        <v>6244.222521</v>
      </c>
      <c r="J319" t="n">
        <v>6325.914048</v>
      </c>
      <c r="K319" t="n">
        <v>1872.204427</v>
      </c>
      <c r="L319" t="n">
        <v>7112.982475</v>
      </c>
      <c r="M319" t="n">
        <v>7112.982475</v>
      </c>
      <c r="N319" t="n">
        <v>7112.982475</v>
      </c>
      <c r="O319" t="n">
        <v>87.969483</v>
      </c>
      <c r="P319" t="n">
        <v>46.580547</v>
      </c>
      <c r="Q319" t="n">
        <v>7112.982475</v>
      </c>
      <c r="R319" t="n">
        <v>7112.982475</v>
      </c>
      <c r="S319" t="n">
        <v>87.969483</v>
      </c>
      <c r="T319" t="n">
        <v>87.969483</v>
      </c>
      <c r="U319" t="n">
        <v>46.580547</v>
      </c>
      <c r="V319" t="n">
        <v>46.580547</v>
      </c>
      <c r="W319" t="n">
        <v>93.060855</v>
      </c>
      <c r="X319" t="n">
        <v>7459.131892</v>
      </c>
    </row>
    <row r="320" ht="36" customHeight="1">
      <c r="A320" t="inlineStr">
        <is>
          <t>Labridae</t>
        </is>
      </c>
      <c r="B320" t="n">
        <v>3.46</v>
      </c>
      <c r="C320" t="n">
        <v>288.40315</v>
      </c>
      <c r="D320" s="11" t="inlineStr">
        <is>
          <t>Juvenile demersal fish (&gt; 30 cm) | Adult demersal fish (&gt; 30 cm)</t>
        </is>
      </c>
      <c r="E320" t="n">
        <v>140.953883</v>
      </c>
      <c r="F320" t="n">
        <v>228.824285</v>
      </c>
      <c r="G320" t="n">
        <v>114.897152</v>
      </c>
      <c r="H320" t="n">
        <v>408.798022</v>
      </c>
      <c r="I320" t="n">
        <v>6590.793316</v>
      </c>
      <c r="J320" t="n">
        <v>7071.146917</v>
      </c>
      <c r="K320" t="n">
        <v>2576.928919</v>
      </c>
      <c r="L320" t="n">
        <v>10677.999207</v>
      </c>
      <c r="M320" t="n">
        <v>10677.999207</v>
      </c>
      <c r="N320" t="n">
        <v>10677.999207</v>
      </c>
      <c r="O320" t="n">
        <v>85.006417</v>
      </c>
      <c r="P320" t="n">
        <v>38.52237</v>
      </c>
      <c r="Q320" t="n">
        <v>10677.999207</v>
      </c>
      <c r="R320" t="n">
        <v>10677.999207</v>
      </c>
      <c r="S320" t="n">
        <v>85.006417</v>
      </c>
      <c r="T320" t="n">
        <v>85.006417</v>
      </c>
      <c r="U320" t="n">
        <v>38.52237</v>
      </c>
      <c r="V320" t="n">
        <v>38.52237</v>
      </c>
      <c r="W320" t="n">
        <v>88.306245</v>
      </c>
      <c r="X320" t="n">
        <v>11509.306401</v>
      </c>
    </row>
    <row r="321" ht="21" customHeight="1">
      <c r="A321" t="inlineStr">
        <is>
          <t>Octopus</t>
        </is>
      </c>
      <c r="B321" t="n">
        <v>3.8</v>
      </c>
      <c r="C321" t="n">
        <v>630.957344</v>
      </c>
      <c r="D321" s="11" t="inlineStr">
        <is>
          <t>Cephalopods</t>
        </is>
      </c>
      <c r="E321" t="n">
        <v>140.953883</v>
      </c>
      <c r="F321" t="n">
        <v>170.518341</v>
      </c>
      <c r="G321" t="n">
        <v>89.274901</v>
      </c>
      <c r="H321" t="n">
        <v>176.937394</v>
      </c>
      <c r="I321" t="n">
        <v>1050.872908</v>
      </c>
      <c r="J321" t="n">
        <v>1075.829695</v>
      </c>
      <c r="K321" t="n">
        <v>537.914847</v>
      </c>
      <c r="L321" t="n">
        <v>1659.687874</v>
      </c>
      <c r="M321" t="n">
        <v>1659.687874</v>
      </c>
      <c r="N321" t="n">
        <v>1659.687874</v>
      </c>
      <c r="O321" t="n">
        <v>31.362197</v>
      </c>
      <c r="P321" t="n">
        <v>16.184075</v>
      </c>
      <c r="Q321" t="n">
        <v>1659.687874</v>
      </c>
      <c r="R321" t="n">
        <v>1659.687874</v>
      </c>
      <c r="S321" t="n">
        <v>31.362197</v>
      </c>
      <c r="T321" t="n">
        <v>31.362197</v>
      </c>
      <c r="U321" t="n">
        <v>16.184075</v>
      </c>
      <c r="V321" t="n">
        <v>16.184075</v>
      </c>
      <c r="W321" t="n">
        <v>32.286772</v>
      </c>
      <c r="X321" t="n">
        <v>1775.112325</v>
      </c>
    </row>
    <row r="322" ht="36" customHeight="1">
      <c r="A322" t="inlineStr">
        <is>
          <t>Plotosidae</t>
        </is>
      </c>
      <c r="B322" t="n">
        <v>3.49</v>
      </c>
      <c r="C322" t="n">
        <v>309.029543</v>
      </c>
      <c r="D322" s="11" t="inlineStr">
        <is>
          <t>Juvenile demersal fish (&gt; 30 cm) | Adult demersal fish (&gt; 30 cm)</t>
        </is>
      </c>
      <c r="E322" t="n">
        <v>140.953883</v>
      </c>
      <c r="F322" t="n">
        <v>228.824285</v>
      </c>
      <c r="G322" t="n">
        <v>114.897152</v>
      </c>
      <c r="H322" t="n">
        <v>408.798022</v>
      </c>
      <c r="I322" t="n">
        <v>6590.793316</v>
      </c>
      <c r="J322" t="n">
        <v>7071.146917</v>
      </c>
      <c r="K322" t="n">
        <v>2576.928919</v>
      </c>
      <c r="L322" t="n">
        <v>10677.999207</v>
      </c>
      <c r="M322" t="n">
        <v>10677.999207</v>
      </c>
      <c r="N322" t="n">
        <v>10677.999207</v>
      </c>
      <c r="O322" t="n">
        <v>85.006417</v>
      </c>
      <c r="P322" t="n">
        <v>38.52237</v>
      </c>
      <c r="Q322" t="n">
        <v>10677.999207</v>
      </c>
      <c r="R322" t="n">
        <v>10677.999207</v>
      </c>
      <c r="S322" t="n">
        <v>85.006417</v>
      </c>
      <c r="T322" t="n">
        <v>85.006417</v>
      </c>
      <c r="U322" t="n">
        <v>38.52237</v>
      </c>
      <c r="V322" t="n">
        <v>38.52237</v>
      </c>
      <c r="W322" t="n">
        <v>88.306245</v>
      </c>
      <c r="X322" t="n">
        <v>11509.306401</v>
      </c>
    </row>
    <row r="323" ht="21" customHeight="1">
      <c r="A323" t="inlineStr">
        <is>
          <t>Alopias</t>
        </is>
      </c>
      <c r="B323" t="n">
        <v>4.5</v>
      </c>
      <c r="C323" t="n">
        <v>3162.27766</v>
      </c>
      <c r="D323" s="11" t="inlineStr">
        <is>
          <t>Pelagic sharks and rays</t>
        </is>
      </c>
      <c r="E323" t="n">
        <v>140.953883</v>
      </c>
      <c r="F323" t="n">
        <v>908.988005</v>
      </c>
      <c r="G323" t="n">
        <v>385.472886</v>
      </c>
      <c r="H323" t="n">
        <v>784.4685459999999</v>
      </c>
      <c r="I323" t="n">
        <v>125208.792952</v>
      </c>
      <c r="J323" t="n">
        <v>126616.154086</v>
      </c>
      <c r="K323" t="n">
        <v>63308.077043</v>
      </c>
      <c r="L323" t="n">
        <v>172174.15174</v>
      </c>
      <c r="M323" t="n">
        <v>172174.151739</v>
      </c>
      <c r="N323" t="n">
        <v>172174.151739</v>
      </c>
      <c r="O323" t="n">
        <v>202.141045</v>
      </c>
      <c r="P323" t="n">
        <v>87.49926499999999</v>
      </c>
      <c r="Q323" t="n">
        <v>172174.151739</v>
      </c>
      <c r="R323" t="n">
        <v>172174.151739</v>
      </c>
      <c r="S323" t="n">
        <v>202.141045</v>
      </c>
      <c r="T323" t="n">
        <v>202.141045</v>
      </c>
      <c r="U323" t="n">
        <v>87.49926499999999</v>
      </c>
      <c r="V323" t="n">
        <v>87.49926499999999</v>
      </c>
      <c r="W323" t="n">
        <v>214.928725</v>
      </c>
      <c r="X323" t="n">
        <v>183923.261916</v>
      </c>
    </row>
    <row r="324" ht="36" customHeight="1">
      <c r="A324" t="inlineStr">
        <is>
          <t>Elops machnata</t>
        </is>
      </c>
      <c r="B324" t="n">
        <v>3.97</v>
      </c>
      <c r="C324" t="n">
        <v>933.2543010000001</v>
      </c>
      <c r="D324" s="11" t="inlineStr">
        <is>
          <t>Juvenile large pelagic fish | Pelagic fish (&gt; 30 cm)</t>
        </is>
      </c>
      <c r="E324" t="n">
        <v>140.953883</v>
      </c>
      <c r="F324" t="n">
        <v>200.641254</v>
      </c>
      <c r="G324" t="n">
        <v>102.228748</v>
      </c>
      <c r="H324" t="n">
        <v>215.010584</v>
      </c>
      <c r="I324" t="n">
        <v>6244.222521</v>
      </c>
      <c r="J324" t="n">
        <v>6325.914048</v>
      </c>
      <c r="K324" t="n">
        <v>1872.204427</v>
      </c>
      <c r="L324" t="n">
        <v>7112.982475</v>
      </c>
      <c r="M324" t="n">
        <v>7112.982475</v>
      </c>
      <c r="N324" t="n">
        <v>7112.982475</v>
      </c>
      <c r="O324" t="n">
        <v>87.969483</v>
      </c>
      <c r="P324" t="n">
        <v>46.580547</v>
      </c>
      <c r="Q324" t="n">
        <v>7112.982475</v>
      </c>
      <c r="R324" t="n">
        <v>7112.982475</v>
      </c>
      <c r="S324" t="n">
        <v>87.969483</v>
      </c>
      <c r="T324" t="n">
        <v>87.969483</v>
      </c>
      <c r="U324" t="n">
        <v>46.580547</v>
      </c>
      <c r="V324" t="n">
        <v>46.580547</v>
      </c>
      <c r="W324" t="n">
        <v>93.060855</v>
      </c>
      <c r="X324" t="n">
        <v>7459.131892</v>
      </c>
    </row>
    <row r="325" ht="21" customHeight="1">
      <c r="A325" t="inlineStr">
        <is>
          <t>Pellona ditchela</t>
        </is>
      </c>
      <c r="B325" t="n">
        <v>3.37</v>
      </c>
      <c r="C325" t="n">
        <v>234.422882</v>
      </c>
      <c r="D325" s="11" t="inlineStr">
        <is>
          <t>Pelagic fish (≤ 30 cm)</t>
        </is>
      </c>
      <c r="E325" t="n">
        <v>140.953883</v>
      </c>
      <c r="F325" t="n">
        <v>60.479203</v>
      </c>
      <c r="G325" t="n">
        <v>36.07884</v>
      </c>
      <c r="H325" t="n">
        <v>45.98261</v>
      </c>
      <c r="I325" t="n">
        <v>395.888053</v>
      </c>
      <c r="J325" t="n">
        <v>395.888053</v>
      </c>
      <c r="K325" t="n">
        <v>376.09365</v>
      </c>
      <c r="L325" t="n">
        <v>393.787233</v>
      </c>
      <c r="M325" t="n">
        <v>393.787233</v>
      </c>
      <c r="N325" t="n">
        <v>393.787233</v>
      </c>
      <c r="O325" t="n">
        <v>20.916473</v>
      </c>
      <c r="P325" t="n">
        <v>13.510088</v>
      </c>
      <c r="Q325" t="n">
        <v>393.787233</v>
      </c>
      <c r="R325" t="n">
        <v>393.787233</v>
      </c>
      <c r="S325" t="n">
        <v>20.916473</v>
      </c>
      <c r="T325" t="n">
        <v>20.916473</v>
      </c>
      <c r="U325" t="n">
        <v>13.510088</v>
      </c>
      <c r="V325" t="n">
        <v>13.510088</v>
      </c>
      <c r="W325" t="n">
        <v>21.939981</v>
      </c>
      <c r="X325" t="n">
        <v>405.784084</v>
      </c>
    </row>
    <row r="326" ht="21" customHeight="1">
      <c r="A326" t="inlineStr">
        <is>
          <t>Chaetodontidae</t>
        </is>
      </c>
      <c r="B326" t="n">
        <v>3.24</v>
      </c>
      <c r="C326" t="n">
        <v>173.780083</v>
      </c>
      <c r="D326" s="11" t="inlineStr">
        <is>
          <t>Demesral fish (≤ 30 cm)</t>
        </is>
      </c>
      <c r="E326" t="n">
        <v>140.953883</v>
      </c>
      <c r="F326" t="n">
        <v>95.34341499999999</v>
      </c>
      <c r="G326" t="n">
        <v>53.708528</v>
      </c>
      <c r="H326" t="n">
        <v>114.11959</v>
      </c>
      <c r="I326" t="n">
        <v>569.846189</v>
      </c>
      <c r="J326" t="n">
        <v>594.287325</v>
      </c>
      <c r="K326" t="n">
        <v>564.572959</v>
      </c>
      <c r="L326" t="n">
        <v>738.02552</v>
      </c>
      <c r="M326" t="n">
        <v>738.02552</v>
      </c>
      <c r="N326" t="n">
        <v>738.02552</v>
      </c>
      <c r="O326" t="n">
        <v>39.685535</v>
      </c>
      <c r="P326" t="n">
        <v>21.622034</v>
      </c>
      <c r="Q326" t="n">
        <v>738.02552</v>
      </c>
      <c r="R326" t="n">
        <v>738.02552</v>
      </c>
      <c r="S326" t="n">
        <v>39.685535</v>
      </c>
      <c r="T326" t="n">
        <v>39.685535</v>
      </c>
      <c r="U326" t="n">
        <v>21.622034</v>
      </c>
      <c r="V326" t="n">
        <v>21.622034</v>
      </c>
      <c r="W326" t="n">
        <v>41.109943</v>
      </c>
      <c r="X326" t="n">
        <v>772.895549</v>
      </c>
    </row>
    <row r="327" ht="36" customHeight="1">
      <c r="A327" t="inlineStr">
        <is>
          <t>Congridae</t>
        </is>
      </c>
      <c r="D327" s="11" t="inlineStr">
        <is>
          <t>Juvenile demersal fish (&gt; 30 cm) | Adult demersal fish (&gt; 30 cm)</t>
        </is>
      </c>
      <c r="E327" t="n">
        <v>140.953883</v>
      </c>
      <c r="F327" t="n">
        <v>228.824285</v>
      </c>
      <c r="G327" t="n">
        <v>114.897152</v>
      </c>
      <c r="H327" t="n">
        <v>408.798022</v>
      </c>
      <c r="I327" t="n">
        <v>6590.793316</v>
      </c>
      <c r="J327" t="n">
        <v>7071.146917</v>
      </c>
      <c r="K327" t="n">
        <v>2576.928919</v>
      </c>
      <c r="L327" t="n">
        <v>10677.999207</v>
      </c>
      <c r="M327" t="n">
        <v>10677.999207</v>
      </c>
      <c r="N327" t="n">
        <v>10677.999207</v>
      </c>
      <c r="O327" t="n">
        <v>85.006417</v>
      </c>
      <c r="P327" t="n">
        <v>38.52237</v>
      </c>
      <c r="Q327" t="n">
        <v>10677.999207</v>
      </c>
      <c r="R327" t="n">
        <v>10677.999207</v>
      </c>
      <c r="S327" t="n">
        <v>85.006417</v>
      </c>
      <c r="T327" t="n">
        <v>85.006417</v>
      </c>
      <c r="U327" t="n">
        <v>38.52237</v>
      </c>
      <c r="V327" t="n">
        <v>38.52237</v>
      </c>
      <c r="W327" t="n">
        <v>88.306245</v>
      </c>
      <c r="X327" t="n">
        <v>11509.306401</v>
      </c>
    </row>
    <row r="328" ht="36" customHeight="1">
      <c r="A328" t="inlineStr">
        <is>
          <t>Lethrinus miniatus</t>
        </is>
      </c>
      <c r="B328" t="n">
        <v>4.19</v>
      </c>
      <c r="C328" t="n">
        <v>1548.816619</v>
      </c>
      <c r="D328" s="11" t="inlineStr">
        <is>
          <t>Juvenile demersal fish (&gt; 30 cm) | Adult demersal fish (&gt; 30 cm)</t>
        </is>
      </c>
      <c r="E328" t="n">
        <v>140.953883</v>
      </c>
      <c r="F328" t="n">
        <v>228.824285</v>
      </c>
      <c r="G328" t="n">
        <v>114.897152</v>
      </c>
      <c r="H328" t="n">
        <v>408.798022</v>
      </c>
      <c r="I328" t="n">
        <v>6590.793316</v>
      </c>
      <c r="J328" t="n">
        <v>7071.146917</v>
      </c>
      <c r="K328" t="n">
        <v>2576.928919</v>
      </c>
      <c r="L328" t="n">
        <v>10677.999207</v>
      </c>
      <c r="M328" t="n">
        <v>10677.999207</v>
      </c>
      <c r="N328" t="n">
        <v>10677.999207</v>
      </c>
      <c r="O328" t="n">
        <v>85.006417</v>
      </c>
      <c r="P328" t="n">
        <v>38.52237</v>
      </c>
      <c r="Q328" t="n">
        <v>10677.999207</v>
      </c>
      <c r="R328" t="n">
        <v>10677.999207</v>
      </c>
      <c r="S328" t="n">
        <v>85.006417</v>
      </c>
      <c r="T328" t="n">
        <v>85.006417</v>
      </c>
      <c r="U328" t="n">
        <v>38.52237</v>
      </c>
      <c r="V328" t="n">
        <v>38.52237</v>
      </c>
      <c r="W328" t="n">
        <v>88.306245</v>
      </c>
      <c r="X328" t="n">
        <v>11509.306401</v>
      </c>
    </row>
    <row r="329" ht="21" customHeight="1">
      <c r="A329" t="inlineStr">
        <is>
          <t>Scylla</t>
        </is>
      </c>
      <c r="B329" t="n">
        <v>3.17</v>
      </c>
      <c r="C329" t="n">
        <v>147.910839</v>
      </c>
      <c r="D329" s="11" t="inlineStr">
        <is>
          <t>Crabs</t>
        </is>
      </c>
      <c r="E329" t="n">
        <v>140.953883</v>
      </c>
      <c r="F329" t="n">
        <v>33.254785</v>
      </c>
      <c r="G329" t="n">
        <v>21.389991</v>
      </c>
      <c r="H329" t="n">
        <v>53.354334</v>
      </c>
      <c r="I329" t="n">
        <v>151.084056</v>
      </c>
      <c r="J329" t="n">
        <v>151.084056</v>
      </c>
      <c r="K329" t="n">
        <v>143.529853</v>
      </c>
      <c r="L329" t="n">
        <v>173.938876</v>
      </c>
      <c r="M329" t="n">
        <v>173.938876</v>
      </c>
      <c r="N329" t="n">
        <v>173.938876</v>
      </c>
      <c r="O329" t="n">
        <v>13.215653</v>
      </c>
      <c r="P329" t="n">
        <v>8.00437</v>
      </c>
      <c r="Q329" t="n">
        <v>173.938876</v>
      </c>
      <c r="R329" t="n">
        <v>173.938876</v>
      </c>
      <c r="S329" t="n">
        <v>13.215653</v>
      </c>
      <c r="T329" t="n">
        <v>13.215653</v>
      </c>
      <c r="U329" t="n">
        <v>8.00437</v>
      </c>
      <c r="V329" t="n">
        <v>8.00437</v>
      </c>
      <c r="W329" t="n">
        <v>13.539814</v>
      </c>
      <c r="X329" t="n">
        <v>184.933079</v>
      </c>
    </row>
    <row r="330" ht="21" customHeight="1">
      <c r="A330" t="inlineStr">
        <is>
          <t>Hemitrygon akajei</t>
        </is>
      </c>
      <c r="B330" t="n">
        <v>3.84</v>
      </c>
      <c r="C330" t="n">
        <v>691.830971</v>
      </c>
      <c r="D330" s="11" t="inlineStr">
        <is>
          <t>Demersal sharks and rays</t>
        </is>
      </c>
      <c r="E330" t="n">
        <v>140.953883</v>
      </c>
      <c r="F330" t="n">
        <v>308.68601</v>
      </c>
      <c r="G330" t="n">
        <v>149.974663</v>
      </c>
      <c r="H330" t="n">
        <v>602.366804</v>
      </c>
      <c r="I330" t="n">
        <v>10706.101486</v>
      </c>
      <c r="J330" t="n">
        <v>10781.622707</v>
      </c>
      <c r="K330" t="n">
        <v>3924.510665</v>
      </c>
      <c r="L330" t="n">
        <v>18846.946222</v>
      </c>
      <c r="M330" t="n">
        <v>18846.946222</v>
      </c>
      <c r="N330" t="n">
        <v>18846.946222</v>
      </c>
      <c r="O330" t="n">
        <v>119.185901</v>
      </c>
      <c r="P330" t="n">
        <v>52.155741</v>
      </c>
      <c r="Q330" t="n">
        <v>18846.946222</v>
      </c>
      <c r="R330" t="n">
        <v>18846.946222</v>
      </c>
      <c r="S330" t="n">
        <v>119.185901</v>
      </c>
      <c r="T330" t="n">
        <v>119.185901</v>
      </c>
      <c r="U330" t="n">
        <v>52.155741</v>
      </c>
      <c r="V330" t="n">
        <v>52.155741</v>
      </c>
      <c r="W330" t="n">
        <v>124.506314</v>
      </c>
      <c r="X330" t="n">
        <v>20404.471037</v>
      </c>
    </row>
    <row r="331" ht="21" customHeight="1">
      <c r="A331" t="inlineStr">
        <is>
          <t>Lepidocybium flavobrunneum</t>
        </is>
      </c>
      <c r="D331" s="11" t="inlineStr">
        <is>
          <t>Unresolved</t>
        </is>
      </c>
    </row>
    <row r="332" ht="21" customHeight="1">
      <c r="A332" t="inlineStr">
        <is>
          <t>Charybdis feriatus</t>
        </is>
      </c>
      <c r="D332" s="11" t="inlineStr">
        <is>
          <t>Crabs</t>
        </is>
      </c>
      <c r="E332" t="n">
        <v>140.953883</v>
      </c>
      <c r="F332" t="n">
        <v>33.254785</v>
      </c>
      <c r="G332" t="n">
        <v>21.389991</v>
      </c>
      <c r="H332" t="n">
        <v>53.354334</v>
      </c>
      <c r="I332" t="n">
        <v>151.084056</v>
      </c>
      <c r="J332" t="n">
        <v>151.084056</v>
      </c>
      <c r="K332" t="n">
        <v>143.529853</v>
      </c>
      <c r="L332" t="n">
        <v>173.938876</v>
      </c>
      <c r="M332" t="n">
        <v>173.938876</v>
      </c>
      <c r="N332" t="n">
        <v>173.938876</v>
      </c>
      <c r="O332" t="n">
        <v>13.215653</v>
      </c>
      <c r="P332" t="n">
        <v>8.00437</v>
      </c>
      <c r="Q332" t="n">
        <v>173.938876</v>
      </c>
      <c r="R332" t="n">
        <v>173.938876</v>
      </c>
      <c r="S332" t="n">
        <v>13.215653</v>
      </c>
      <c r="T332" t="n">
        <v>13.215653</v>
      </c>
      <c r="U332" t="n">
        <v>8.00437</v>
      </c>
      <c r="V332" t="n">
        <v>8.00437</v>
      </c>
      <c r="W332" t="n">
        <v>13.539814</v>
      </c>
      <c r="X332" t="n">
        <v>184.933079</v>
      </c>
    </row>
    <row r="333" ht="21" customHeight="1">
      <c r="A333" t="inlineStr">
        <is>
          <t>Encrasicholina punctifer</t>
        </is>
      </c>
      <c r="B333" t="n">
        <v>3.25</v>
      </c>
      <c r="C333" t="n">
        <v>177.827941</v>
      </c>
      <c r="D333" s="11" t="inlineStr">
        <is>
          <t>Pelagic fish (≤ 30 cm)</t>
        </is>
      </c>
      <c r="E333" t="n">
        <v>140.953883</v>
      </c>
      <c r="F333" t="n">
        <v>60.479203</v>
      </c>
      <c r="G333" t="n">
        <v>36.07884</v>
      </c>
      <c r="H333" t="n">
        <v>45.98261</v>
      </c>
      <c r="I333" t="n">
        <v>395.888053</v>
      </c>
      <c r="J333" t="n">
        <v>395.888053</v>
      </c>
      <c r="K333" t="n">
        <v>376.09365</v>
      </c>
      <c r="L333" t="n">
        <v>393.787233</v>
      </c>
      <c r="M333" t="n">
        <v>393.787233</v>
      </c>
      <c r="N333" t="n">
        <v>393.787233</v>
      </c>
      <c r="O333" t="n">
        <v>20.916473</v>
      </c>
      <c r="P333" t="n">
        <v>13.510088</v>
      </c>
      <c r="Q333" t="n">
        <v>393.787233</v>
      </c>
      <c r="R333" t="n">
        <v>393.787233</v>
      </c>
      <c r="S333" t="n">
        <v>20.916473</v>
      </c>
      <c r="T333" t="n">
        <v>20.916473</v>
      </c>
      <c r="U333" t="n">
        <v>13.510088</v>
      </c>
      <c r="V333" t="n">
        <v>13.510088</v>
      </c>
      <c r="W333" t="n">
        <v>21.939981</v>
      </c>
      <c r="X333" t="n">
        <v>405.784084</v>
      </c>
    </row>
    <row r="334" ht="21" customHeight="1">
      <c r="A334" t="inlineStr">
        <is>
          <t>Spongia</t>
        </is>
      </c>
      <c r="B334" t="n">
        <v>2</v>
      </c>
      <c r="C334" t="n">
        <v>10</v>
      </c>
      <c r="D334" s="11" t="inlineStr">
        <is>
          <t>Sessile/other invertebrates</t>
        </is>
      </c>
      <c r="E334" t="n">
        <v>140.953883</v>
      </c>
      <c r="F334" t="n">
        <v>39.810717</v>
      </c>
      <c r="G334" t="n">
        <v>25.033164</v>
      </c>
      <c r="H334" t="n">
        <v>36.589822</v>
      </c>
      <c r="I334" t="n">
        <v>741.629495</v>
      </c>
      <c r="J334" t="n">
        <v>741.629495</v>
      </c>
      <c r="K334" t="n">
        <v>626.676923</v>
      </c>
      <c r="L334" t="n">
        <v>737.355125</v>
      </c>
      <c r="M334" t="n">
        <v>737.355125</v>
      </c>
      <c r="N334" t="n">
        <v>737.355125</v>
      </c>
      <c r="O334" t="n">
        <v>36.442813</v>
      </c>
      <c r="P334" t="n">
        <v>23.922587</v>
      </c>
      <c r="Q334" t="n">
        <v>737.355125</v>
      </c>
      <c r="R334" t="n">
        <v>737.355125</v>
      </c>
      <c r="S334" t="n">
        <v>36.442813</v>
      </c>
      <c r="T334" t="n">
        <v>36.442813</v>
      </c>
      <c r="U334" t="n">
        <v>23.922587</v>
      </c>
      <c r="V334" t="n">
        <v>23.922587</v>
      </c>
      <c r="W334" t="n">
        <v>37.547619</v>
      </c>
      <c r="X334" t="n">
        <v>765.5198799999999</v>
      </c>
    </row>
    <row r="335" ht="21" customHeight="1">
      <c r="A335" t="inlineStr">
        <is>
          <t>Amusium pleuronectes</t>
        </is>
      </c>
      <c r="B335" t="n">
        <v>2</v>
      </c>
      <c r="C335" t="n">
        <v>10</v>
      </c>
      <c r="D335" s="11" t="inlineStr">
        <is>
          <t>Non-ceph molluscs</t>
        </is>
      </c>
      <c r="E335" t="n">
        <v>140.953883</v>
      </c>
      <c r="F335" t="n">
        <v>14.712171</v>
      </c>
      <c r="G335" t="n">
        <v>10.486582</v>
      </c>
      <c r="H335" t="n">
        <v>17.347998</v>
      </c>
      <c r="I335" t="n">
        <v>87.52377799999999</v>
      </c>
      <c r="J335" t="n">
        <v>87.52377799999999</v>
      </c>
      <c r="K335" t="n">
        <v>33.521607</v>
      </c>
      <c r="L335" t="n">
        <v>92.59366</v>
      </c>
      <c r="M335" t="n">
        <v>92.59366</v>
      </c>
      <c r="N335" t="n">
        <v>92.59366</v>
      </c>
      <c r="O335" t="n">
        <v>4.448657</v>
      </c>
      <c r="P335" t="n">
        <v>3.058348</v>
      </c>
      <c r="Q335" t="n">
        <v>92.59366</v>
      </c>
      <c r="R335" t="n">
        <v>92.59366</v>
      </c>
      <c r="S335" t="n">
        <v>4.448657</v>
      </c>
      <c r="T335" t="n">
        <v>4.448657</v>
      </c>
      <c r="U335" t="n">
        <v>3.058348</v>
      </c>
      <c r="V335" t="n">
        <v>3.058348</v>
      </c>
      <c r="W335" t="n">
        <v>4.556294</v>
      </c>
      <c r="X335" t="n">
        <v>96.447226</v>
      </c>
    </row>
    <row r="336" ht="36" customHeight="1">
      <c r="A336" t="inlineStr">
        <is>
          <t>Scatophagus argus</t>
        </is>
      </c>
      <c r="B336" t="n">
        <v>2.99</v>
      </c>
      <c r="C336" t="n">
        <v>97.723722</v>
      </c>
      <c r="D336" s="11" t="inlineStr">
        <is>
          <t>Juvenile demersal fish (&gt; 30 cm) | Adult demersal fish (&gt; 30 cm)</t>
        </is>
      </c>
      <c r="E336" t="n">
        <v>140.953883</v>
      </c>
      <c r="F336" t="n">
        <v>228.824285</v>
      </c>
      <c r="G336" t="n">
        <v>114.897152</v>
      </c>
      <c r="H336" t="n">
        <v>408.798022</v>
      </c>
      <c r="I336" t="n">
        <v>6590.793316</v>
      </c>
      <c r="J336" t="n">
        <v>7071.146917</v>
      </c>
      <c r="K336" t="n">
        <v>2576.928919</v>
      </c>
      <c r="L336" t="n">
        <v>10677.999207</v>
      </c>
      <c r="M336" t="n">
        <v>10677.999207</v>
      </c>
      <c r="N336" t="n">
        <v>10677.999207</v>
      </c>
      <c r="O336" t="n">
        <v>85.006417</v>
      </c>
      <c r="P336" t="n">
        <v>38.52237</v>
      </c>
      <c r="Q336" t="n">
        <v>10677.999207</v>
      </c>
      <c r="R336" t="n">
        <v>10677.999207</v>
      </c>
      <c r="S336" t="n">
        <v>85.006417</v>
      </c>
      <c r="T336" t="n">
        <v>85.006417</v>
      </c>
      <c r="U336" t="n">
        <v>38.52237</v>
      </c>
      <c r="V336" t="n">
        <v>38.52237</v>
      </c>
      <c r="W336" t="n">
        <v>88.306245</v>
      </c>
      <c r="X336" t="n">
        <v>11509.306401</v>
      </c>
    </row>
    <row r="337" ht="21" customHeight="1">
      <c r="A337" t="inlineStr">
        <is>
          <t>Podophthalmus vigil</t>
        </is>
      </c>
      <c r="D337" s="11" t="inlineStr">
        <is>
          <t>Crabs</t>
        </is>
      </c>
      <c r="E337" t="n">
        <v>140.953883</v>
      </c>
      <c r="F337" t="n">
        <v>33.254785</v>
      </c>
      <c r="G337" t="n">
        <v>21.389991</v>
      </c>
      <c r="H337" t="n">
        <v>53.354334</v>
      </c>
      <c r="I337" t="n">
        <v>151.084056</v>
      </c>
      <c r="J337" t="n">
        <v>151.084056</v>
      </c>
      <c r="K337" t="n">
        <v>143.529853</v>
      </c>
      <c r="L337" t="n">
        <v>173.938876</v>
      </c>
      <c r="M337" t="n">
        <v>173.938876</v>
      </c>
      <c r="N337" t="n">
        <v>173.938876</v>
      </c>
      <c r="O337" t="n">
        <v>13.215653</v>
      </c>
      <c r="P337" t="n">
        <v>8.00437</v>
      </c>
      <c r="Q337" t="n">
        <v>173.938876</v>
      </c>
      <c r="R337" t="n">
        <v>173.938876</v>
      </c>
      <c r="S337" t="n">
        <v>13.215653</v>
      </c>
      <c r="T337" t="n">
        <v>13.215653</v>
      </c>
      <c r="U337" t="n">
        <v>8.00437</v>
      </c>
      <c r="V337" t="n">
        <v>8.00437</v>
      </c>
      <c r="W337" t="n">
        <v>13.539814</v>
      </c>
      <c r="X337" t="n">
        <v>184.933079</v>
      </c>
    </row>
    <row r="338" ht="36" customHeight="1">
      <c r="A338" t="inlineStr">
        <is>
          <t>Drepane punctata</t>
        </is>
      </c>
      <c r="B338" t="n">
        <v>3.32</v>
      </c>
      <c r="C338" t="n">
        <v>208.929613</v>
      </c>
      <c r="D338" s="11" t="inlineStr">
        <is>
          <t>Juvenile demersal fish (&gt; 30 cm) | Adult demersal fish (&gt; 30 cm)</t>
        </is>
      </c>
      <c r="E338" t="n">
        <v>140.953883</v>
      </c>
      <c r="F338" t="n">
        <v>228.824285</v>
      </c>
      <c r="G338" t="n">
        <v>114.897152</v>
      </c>
      <c r="H338" t="n">
        <v>408.798022</v>
      </c>
      <c r="I338" t="n">
        <v>6590.793316</v>
      </c>
      <c r="J338" t="n">
        <v>7071.146917</v>
      </c>
      <c r="K338" t="n">
        <v>2576.928919</v>
      </c>
      <c r="L338" t="n">
        <v>10677.999207</v>
      </c>
      <c r="M338" t="n">
        <v>10677.999207</v>
      </c>
      <c r="N338" t="n">
        <v>10677.999207</v>
      </c>
      <c r="O338" t="n">
        <v>85.006417</v>
      </c>
      <c r="P338" t="n">
        <v>38.52237</v>
      </c>
      <c r="Q338" t="n">
        <v>10677.999207</v>
      </c>
      <c r="R338" t="n">
        <v>10677.999207</v>
      </c>
      <c r="S338" t="n">
        <v>85.006417</v>
      </c>
      <c r="T338" t="n">
        <v>85.006417</v>
      </c>
      <c r="U338" t="n">
        <v>38.52237</v>
      </c>
      <c r="V338" t="n">
        <v>38.52237</v>
      </c>
      <c r="W338" t="n">
        <v>88.306245</v>
      </c>
      <c r="X338" t="n">
        <v>11509.306401</v>
      </c>
    </row>
    <row r="339" ht="21" customHeight="1">
      <c r="A339" t="inlineStr">
        <is>
          <t>Charybdis anisodon</t>
        </is>
      </c>
      <c r="D339" s="11" t="inlineStr">
        <is>
          <t>Crabs</t>
        </is>
      </c>
      <c r="E339" t="n">
        <v>140.953883</v>
      </c>
      <c r="F339" t="n">
        <v>33.254785</v>
      </c>
      <c r="G339" t="n">
        <v>21.389991</v>
      </c>
      <c r="H339" t="n">
        <v>53.354334</v>
      </c>
      <c r="I339" t="n">
        <v>151.084056</v>
      </c>
      <c r="J339" t="n">
        <v>151.084056</v>
      </c>
      <c r="K339" t="n">
        <v>143.529853</v>
      </c>
      <c r="L339" t="n">
        <v>173.938876</v>
      </c>
      <c r="M339" t="n">
        <v>173.938876</v>
      </c>
      <c r="N339" t="n">
        <v>173.938876</v>
      </c>
      <c r="O339" t="n">
        <v>13.215653</v>
      </c>
      <c r="P339" t="n">
        <v>8.00437</v>
      </c>
      <c r="Q339" t="n">
        <v>173.938876</v>
      </c>
      <c r="R339" t="n">
        <v>173.938876</v>
      </c>
      <c r="S339" t="n">
        <v>13.215653</v>
      </c>
      <c r="T339" t="n">
        <v>13.215653</v>
      </c>
      <c r="U339" t="n">
        <v>8.00437</v>
      </c>
      <c r="V339" t="n">
        <v>8.00437</v>
      </c>
      <c r="W339" t="n">
        <v>13.539814</v>
      </c>
      <c r="X339" t="n">
        <v>184.933079</v>
      </c>
    </row>
    <row r="340" ht="21" customHeight="1">
      <c r="A340" t="inlineStr">
        <is>
          <t>Beryx</t>
        </is>
      </c>
      <c r="D340" s="11" t="inlineStr">
        <is>
          <t>Benthopelagic fish</t>
        </is>
      </c>
      <c r="E340" t="n">
        <v>140.953883</v>
      </c>
      <c r="F340" t="n">
        <v>57.638856</v>
      </c>
      <c r="G340" t="n">
        <v>34.593347</v>
      </c>
      <c r="H340" t="n">
        <v>74.650282</v>
      </c>
      <c r="I340" t="n">
        <v>512.103289</v>
      </c>
      <c r="J340" t="n">
        <v>553.467817</v>
      </c>
      <c r="K340" t="n">
        <v>525.794426</v>
      </c>
      <c r="L340" t="n">
        <v>602.712303</v>
      </c>
      <c r="M340" t="n">
        <v>602.712303</v>
      </c>
      <c r="N340" t="n">
        <v>602.712303</v>
      </c>
      <c r="O340" t="n">
        <v>31.190871</v>
      </c>
      <c r="P340" t="n">
        <v>18.283791</v>
      </c>
      <c r="Q340" t="n">
        <v>602.712303</v>
      </c>
      <c r="R340" t="n">
        <v>602.712303</v>
      </c>
      <c r="S340" t="n">
        <v>31.190871</v>
      </c>
      <c r="T340" t="n">
        <v>31.190871</v>
      </c>
      <c r="U340" t="n">
        <v>18.283791</v>
      </c>
      <c r="V340" t="n">
        <v>18.283791</v>
      </c>
      <c r="W340" t="n">
        <v>32.089433</v>
      </c>
      <c r="X340" t="n">
        <v>622.065443</v>
      </c>
    </row>
    <row r="341" ht="21" customHeight="1">
      <c r="A341" t="inlineStr">
        <is>
          <t>Magallana gigas</t>
        </is>
      </c>
      <c r="B341" t="n">
        <v>2</v>
      </c>
      <c r="C341" t="n">
        <v>10</v>
      </c>
      <c r="D341" s="11" t="inlineStr">
        <is>
          <t>Non-ceph molluscs</t>
        </is>
      </c>
      <c r="E341" t="n">
        <v>140.953883</v>
      </c>
      <c r="F341" t="n">
        <v>14.712171</v>
      </c>
      <c r="G341" t="n">
        <v>10.486582</v>
      </c>
      <c r="H341" t="n">
        <v>17.347998</v>
      </c>
      <c r="I341" t="n">
        <v>87.52377799999999</v>
      </c>
      <c r="J341" t="n">
        <v>87.52377799999999</v>
      </c>
      <c r="K341" t="n">
        <v>33.521607</v>
      </c>
      <c r="L341" t="n">
        <v>92.59366</v>
      </c>
      <c r="M341" t="n">
        <v>92.59366</v>
      </c>
      <c r="N341" t="n">
        <v>92.59366</v>
      </c>
      <c r="O341" t="n">
        <v>4.448657</v>
      </c>
      <c r="P341" t="n">
        <v>3.058348</v>
      </c>
      <c r="Q341" t="n">
        <v>92.59366</v>
      </c>
      <c r="R341" t="n">
        <v>92.59366</v>
      </c>
      <c r="S341" t="n">
        <v>4.448657</v>
      </c>
      <c r="T341" t="n">
        <v>4.448657</v>
      </c>
      <c r="U341" t="n">
        <v>3.058348</v>
      </c>
      <c r="V341" t="n">
        <v>3.058348</v>
      </c>
      <c r="W341" t="n">
        <v>4.556294</v>
      </c>
      <c r="X341" t="n">
        <v>96.447226</v>
      </c>
    </row>
    <row r="342" ht="36" customHeight="1">
      <c r="A342" t="inlineStr">
        <is>
          <t>Sillago sihama</t>
        </is>
      </c>
      <c r="B342" t="n">
        <v>3.33</v>
      </c>
      <c r="C342" t="n">
        <v>213.796209</v>
      </c>
      <c r="D342" s="11" t="inlineStr">
        <is>
          <t>Juvenile demersal fish (&gt; 30 cm) | Adult demersal fish (&gt; 30 cm)</t>
        </is>
      </c>
      <c r="E342" t="n">
        <v>140.953883</v>
      </c>
      <c r="F342" t="n">
        <v>228.824285</v>
      </c>
      <c r="G342" t="n">
        <v>114.897152</v>
      </c>
      <c r="H342" t="n">
        <v>408.798022</v>
      </c>
      <c r="I342" t="n">
        <v>6590.793316</v>
      </c>
      <c r="J342" t="n">
        <v>7071.146917</v>
      </c>
      <c r="K342" t="n">
        <v>2576.928919</v>
      </c>
      <c r="L342" t="n">
        <v>10677.999207</v>
      </c>
      <c r="M342" t="n">
        <v>10677.999207</v>
      </c>
      <c r="N342" t="n">
        <v>10677.999207</v>
      </c>
      <c r="O342" t="n">
        <v>85.006417</v>
      </c>
      <c r="P342" t="n">
        <v>38.52237</v>
      </c>
      <c r="Q342" t="n">
        <v>10677.999207</v>
      </c>
      <c r="R342" t="n">
        <v>10677.999207</v>
      </c>
      <c r="S342" t="n">
        <v>85.006417</v>
      </c>
      <c r="T342" t="n">
        <v>85.006417</v>
      </c>
      <c r="U342" t="n">
        <v>38.52237</v>
      </c>
      <c r="V342" t="n">
        <v>38.52237</v>
      </c>
      <c r="W342" t="n">
        <v>88.306245</v>
      </c>
      <c r="X342" t="n">
        <v>11509.306401</v>
      </c>
    </row>
    <row r="343" ht="21" customHeight="1">
      <c r="A343" t="inlineStr">
        <is>
          <t>Pteriomorphia</t>
        </is>
      </c>
      <c r="B343" t="n">
        <v>2.27</v>
      </c>
      <c r="C343" t="n">
        <v>18.620871</v>
      </c>
      <c r="D343" s="11" t="inlineStr">
        <is>
          <t>Non-ceph molluscs</t>
        </is>
      </c>
      <c r="E343" t="n">
        <v>140.953883</v>
      </c>
      <c r="F343" t="n">
        <v>14.712171</v>
      </c>
      <c r="G343" t="n">
        <v>10.486582</v>
      </c>
      <c r="H343" t="n">
        <v>17.347998</v>
      </c>
      <c r="I343" t="n">
        <v>87.52377799999999</v>
      </c>
      <c r="J343" t="n">
        <v>87.52377799999999</v>
      </c>
      <c r="K343" t="n">
        <v>33.521607</v>
      </c>
      <c r="L343" t="n">
        <v>92.59366</v>
      </c>
      <c r="M343" t="n">
        <v>92.59366</v>
      </c>
      <c r="N343" t="n">
        <v>92.59366</v>
      </c>
      <c r="O343" t="n">
        <v>4.448657</v>
      </c>
      <c r="P343" t="n">
        <v>3.058348</v>
      </c>
      <c r="Q343" t="n">
        <v>92.59366</v>
      </c>
      <c r="R343" t="n">
        <v>92.59366</v>
      </c>
      <c r="S343" t="n">
        <v>4.448657</v>
      </c>
      <c r="T343" t="n">
        <v>4.448657</v>
      </c>
      <c r="U343" t="n">
        <v>3.058348</v>
      </c>
      <c r="V343" t="n">
        <v>3.058348</v>
      </c>
      <c r="W343" t="n">
        <v>4.556294</v>
      </c>
      <c r="X343" t="n">
        <v>96.447226</v>
      </c>
    </row>
    <row r="344" ht="21" customHeight="1">
      <c r="A344" t="inlineStr">
        <is>
          <t>Metapenaeus ensis</t>
        </is>
      </c>
      <c r="B344" t="n">
        <v>2.7</v>
      </c>
      <c r="C344" t="n">
        <v>50.118723</v>
      </c>
      <c r="D344" s="11" t="inlineStr">
        <is>
          <t>Shrimps</t>
        </is>
      </c>
      <c r="E344" t="n">
        <v>140.953883</v>
      </c>
      <c r="F344" t="n">
        <v>20.606299</v>
      </c>
      <c r="G344" t="n">
        <v>14.077679</v>
      </c>
      <c r="H344" t="n">
        <v>22.715542</v>
      </c>
      <c r="I344" t="n">
        <v>131.71072</v>
      </c>
      <c r="J344" t="n">
        <v>131.71072</v>
      </c>
      <c r="K344" t="n">
        <v>125.125184</v>
      </c>
      <c r="L344" t="n">
        <v>130.894857</v>
      </c>
      <c r="M344" t="n">
        <v>130.894857</v>
      </c>
      <c r="N344" t="n">
        <v>130.894857</v>
      </c>
      <c r="O344" t="n">
        <v>12.255972</v>
      </c>
      <c r="P344" t="n">
        <v>8.448598</v>
      </c>
      <c r="Q344" t="n">
        <v>130.894857</v>
      </c>
      <c r="R344" t="n">
        <v>130.894857</v>
      </c>
      <c r="S344" t="n">
        <v>12.255972</v>
      </c>
      <c r="T344" t="n">
        <v>12.255972</v>
      </c>
      <c r="U344" t="n">
        <v>8.448598</v>
      </c>
      <c r="V344" t="n">
        <v>8.448598</v>
      </c>
      <c r="W344" t="n">
        <v>12.680707</v>
      </c>
      <c r="X344" t="n">
        <v>136.520004</v>
      </c>
    </row>
    <row r="345" ht="21" customHeight="1">
      <c r="A345" t="inlineStr">
        <is>
          <t>Macolor</t>
        </is>
      </c>
      <c r="B345" t="n">
        <v>3.99</v>
      </c>
      <c r="C345" t="n">
        <v>977.237221</v>
      </c>
      <c r="D345" s="11" t="inlineStr">
        <is>
          <t>Snappers</t>
        </is>
      </c>
      <c r="E345" t="n">
        <v>140.953883</v>
      </c>
      <c r="F345" t="n">
        <v>554.842266</v>
      </c>
      <c r="G345" t="n">
        <v>250.381754</v>
      </c>
      <c r="H345" t="n">
        <v>650.642591</v>
      </c>
      <c r="I345" t="n">
        <v>3230.237663</v>
      </c>
      <c r="J345" t="n">
        <v>3367.037571</v>
      </c>
      <c r="K345" t="n">
        <v>3198.685692</v>
      </c>
      <c r="L345" t="n">
        <v>4133.4309</v>
      </c>
      <c r="M345" t="n">
        <v>4133.4309</v>
      </c>
      <c r="N345" t="n">
        <v>4133.4309</v>
      </c>
      <c r="O345" t="n">
        <v>205.658598</v>
      </c>
      <c r="P345" t="n">
        <v>91.38801100000001</v>
      </c>
      <c r="Q345" t="n">
        <v>4133.4309</v>
      </c>
      <c r="R345" t="n">
        <v>4133.4309</v>
      </c>
      <c r="S345" t="n">
        <v>205.658598</v>
      </c>
      <c r="T345" t="n">
        <v>205.658598</v>
      </c>
      <c r="U345" t="n">
        <v>91.38801100000001</v>
      </c>
      <c r="V345" t="n">
        <v>91.38801100000001</v>
      </c>
      <c r="W345" t="n">
        <v>216.473302</v>
      </c>
      <c r="X345" t="n">
        <v>4393.486979</v>
      </c>
    </row>
    <row r="346" ht="21" customHeight="1">
      <c r="A346" t="inlineStr">
        <is>
          <t>Haliotis</t>
        </is>
      </c>
      <c r="D346" s="11" t="inlineStr">
        <is>
          <t>Non-ceph molluscs</t>
        </is>
      </c>
      <c r="E346" t="n">
        <v>140.953883</v>
      </c>
      <c r="F346" t="n">
        <v>14.712171</v>
      </c>
      <c r="G346" t="n">
        <v>10.486582</v>
      </c>
      <c r="H346" t="n">
        <v>17.347998</v>
      </c>
      <c r="I346" t="n">
        <v>87.52377799999999</v>
      </c>
      <c r="J346" t="n">
        <v>87.52377799999999</v>
      </c>
      <c r="K346" t="n">
        <v>33.521607</v>
      </c>
      <c r="L346" t="n">
        <v>92.59366</v>
      </c>
      <c r="M346" t="n">
        <v>92.59366</v>
      </c>
      <c r="N346" t="n">
        <v>92.59366</v>
      </c>
      <c r="O346" t="n">
        <v>4.448657</v>
      </c>
      <c r="P346" t="n">
        <v>3.058348</v>
      </c>
      <c r="Q346" t="n">
        <v>92.59366</v>
      </c>
      <c r="R346" t="n">
        <v>92.59366</v>
      </c>
      <c r="S346" t="n">
        <v>4.448657</v>
      </c>
      <c r="T346" t="n">
        <v>4.448657</v>
      </c>
      <c r="U346" t="n">
        <v>3.058348</v>
      </c>
      <c r="V346" t="n">
        <v>3.058348</v>
      </c>
      <c r="W346" t="n">
        <v>4.556294</v>
      </c>
      <c r="X346" t="n">
        <v>96.447226</v>
      </c>
    </row>
    <row r="347" ht="21" customHeight="1">
      <c r="A347" t="inlineStr">
        <is>
          <t>Berycidae</t>
        </is>
      </c>
      <c r="B347" t="n">
        <v>3.99</v>
      </c>
      <c r="C347" t="n">
        <v>977.237221</v>
      </c>
      <c r="D347" s="11" t="inlineStr">
        <is>
          <t>Benthopelagic fish</t>
        </is>
      </c>
      <c r="E347" t="n">
        <v>140.953883</v>
      </c>
      <c r="F347" t="n">
        <v>57.638856</v>
      </c>
      <c r="G347" t="n">
        <v>34.593347</v>
      </c>
      <c r="H347" t="n">
        <v>74.650282</v>
      </c>
      <c r="I347" t="n">
        <v>512.103289</v>
      </c>
      <c r="J347" t="n">
        <v>553.467817</v>
      </c>
      <c r="K347" t="n">
        <v>525.794426</v>
      </c>
      <c r="L347" t="n">
        <v>602.712303</v>
      </c>
      <c r="M347" t="n">
        <v>602.712303</v>
      </c>
      <c r="N347" t="n">
        <v>602.712303</v>
      </c>
      <c r="O347" t="n">
        <v>31.190871</v>
      </c>
      <c r="P347" t="n">
        <v>18.283791</v>
      </c>
      <c r="Q347" t="n">
        <v>602.712303</v>
      </c>
      <c r="R347" t="n">
        <v>602.712303</v>
      </c>
      <c r="S347" t="n">
        <v>31.190871</v>
      </c>
      <c r="T347" t="n">
        <v>31.190871</v>
      </c>
      <c r="U347" t="n">
        <v>18.283791</v>
      </c>
      <c r="V347" t="n">
        <v>18.283791</v>
      </c>
      <c r="W347" t="n">
        <v>32.089433</v>
      </c>
      <c r="X347" t="n">
        <v>622.065443</v>
      </c>
    </row>
    <row r="348" ht="21" customHeight="1">
      <c r="A348" t="inlineStr">
        <is>
          <t>Makaira</t>
        </is>
      </c>
      <c r="B348" t="n">
        <v>4.47</v>
      </c>
      <c r="C348" t="n">
        <v>2951.209227</v>
      </c>
      <c r="D348" s="11" t="inlineStr">
        <is>
          <t>Unresolved</t>
        </is>
      </c>
    </row>
    <row r="349" ht="21" customHeight="1">
      <c r="A349" t="inlineStr">
        <is>
          <t>Lutjanus bohar</t>
        </is>
      </c>
      <c r="B349" t="n">
        <v>4.27</v>
      </c>
      <c r="C349" t="n">
        <v>1862.087137</v>
      </c>
      <c r="D349" s="11" t="inlineStr">
        <is>
          <t>Snappers</t>
        </is>
      </c>
      <c r="E349" t="n">
        <v>140.953883</v>
      </c>
      <c r="F349" t="n">
        <v>554.842266</v>
      </c>
      <c r="G349" t="n">
        <v>250.381754</v>
      </c>
      <c r="H349" t="n">
        <v>650.642591</v>
      </c>
      <c r="I349" t="n">
        <v>3230.237663</v>
      </c>
      <c r="J349" t="n">
        <v>3367.037571</v>
      </c>
      <c r="K349" t="n">
        <v>3198.685692</v>
      </c>
      <c r="L349" t="n">
        <v>4133.4309</v>
      </c>
      <c r="M349" t="n">
        <v>4133.4309</v>
      </c>
      <c r="N349" t="n">
        <v>4133.4309</v>
      </c>
      <c r="O349" t="n">
        <v>205.658598</v>
      </c>
      <c r="P349" t="n">
        <v>91.38801100000001</v>
      </c>
      <c r="Q349" t="n">
        <v>4133.4309</v>
      </c>
      <c r="R349" t="n">
        <v>4133.4309</v>
      </c>
      <c r="S349" t="n">
        <v>205.658598</v>
      </c>
      <c r="T349" t="n">
        <v>205.658598</v>
      </c>
      <c r="U349" t="n">
        <v>91.38801100000001</v>
      </c>
      <c r="V349" t="n">
        <v>91.38801100000001</v>
      </c>
      <c r="W349" t="n">
        <v>216.473302</v>
      </c>
      <c r="X349" t="n">
        <v>4393.486979</v>
      </c>
    </row>
    <row r="350" ht="36" customHeight="1">
      <c r="A350" t="inlineStr">
        <is>
          <t>Pomadasys argenteus</t>
        </is>
      </c>
      <c r="B350" t="n">
        <v>3.47</v>
      </c>
      <c r="C350" t="n">
        <v>295.120923</v>
      </c>
      <c r="D350" s="11" t="inlineStr">
        <is>
          <t>Juvenile demersal fish (&gt; 30 cm) | Adult demersal fish (&gt; 30 cm)</t>
        </is>
      </c>
      <c r="E350" t="n">
        <v>140.953883</v>
      </c>
      <c r="F350" t="n">
        <v>228.824285</v>
      </c>
      <c r="G350" t="n">
        <v>114.897152</v>
      </c>
      <c r="H350" t="n">
        <v>408.798022</v>
      </c>
      <c r="I350" t="n">
        <v>6590.793316</v>
      </c>
      <c r="J350" t="n">
        <v>7071.146917</v>
      </c>
      <c r="K350" t="n">
        <v>2576.928919</v>
      </c>
      <c r="L350" t="n">
        <v>10677.999207</v>
      </c>
      <c r="M350" t="n">
        <v>10677.999207</v>
      </c>
      <c r="N350" t="n">
        <v>10677.999207</v>
      </c>
      <c r="O350" t="n">
        <v>85.006417</v>
      </c>
      <c r="P350" t="n">
        <v>38.52237</v>
      </c>
      <c r="Q350" t="n">
        <v>10677.999207</v>
      </c>
      <c r="R350" t="n">
        <v>10677.999207</v>
      </c>
      <c r="S350" t="n">
        <v>85.006417</v>
      </c>
      <c r="T350" t="n">
        <v>85.006417</v>
      </c>
      <c r="U350" t="n">
        <v>38.52237</v>
      </c>
      <c r="V350" t="n">
        <v>38.52237</v>
      </c>
      <c r="W350" t="n">
        <v>88.306245</v>
      </c>
      <c r="X350" t="n">
        <v>11509.306401</v>
      </c>
    </row>
    <row r="351" ht="36" customHeight="1">
      <c r="A351" t="inlineStr">
        <is>
          <t>Caranx sexfasciatus</t>
        </is>
      </c>
      <c r="B351" t="n">
        <v>4.5</v>
      </c>
      <c r="C351" t="n">
        <v>3162.27766</v>
      </c>
      <c r="D351" s="11" t="inlineStr">
        <is>
          <t>Juvenile large pelagic fish | Pelagic fish (&gt; 30 cm)</t>
        </is>
      </c>
      <c r="E351" t="n">
        <v>140.953883</v>
      </c>
      <c r="F351" t="n">
        <v>200.641254</v>
      </c>
      <c r="G351" t="n">
        <v>102.228748</v>
      </c>
      <c r="H351" t="n">
        <v>215.010584</v>
      </c>
      <c r="I351" t="n">
        <v>6244.222521</v>
      </c>
      <c r="J351" t="n">
        <v>6325.914048</v>
      </c>
      <c r="K351" t="n">
        <v>1872.204427</v>
      </c>
      <c r="L351" t="n">
        <v>7112.982475</v>
      </c>
      <c r="M351" t="n">
        <v>7112.982475</v>
      </c>
      <c r="N351" t="n">
        <v>7112.982475</v>
      </c>
      <c r="O351" t="n">
        <v>87.969483</v>
      </c>
      <c r="P351" t="n">
        <v>46.580547</v>
      </c>
      <c r="Q351" t="n">
        <v>7112.982475</v>
      </c>
      <c r="R351" t="n">
        <v>7112.982475</v>
      </c>
      <c r="S351" t="n">
        <v>87.969483</v>
      </c>
      <c r="T351" t="n">
        <v>87.969483</v>
      </c>
      <c r="U351" t="n">
        <v>46.580547</v>
      </c>
      <c r="V351" t="n">
        <v>46.580547</v>
      </c>
      <c r="W351" t="n">
        <v>93.060855</v>
      </c>
      <c r="X351" t="n">
        <v>7459.131892</v>
      </c>
    </row>
    <row r="352" ht="21" customHeight="1">
      <c r="A352" t="inlineStr">
        <is>
          <t>Spratelloides</t>
        </is>
      </c>
      <c r="D352" s="11" t="inlineStr">
        <is>
          <t>Pelagic fish (≤ 30 cm)</t>
        </is>
      </c>
      <c r="E352" t="n">
        <v>140.953883</v>
      </c>
      <c r="F352" t="n">
        <v>60.479203</v>
      </c>
      <c r="G352" t="n">
        <v>36.07884</v>
      </c>
      <c r="H352" t="n">
        <v>45.98261</v>
      </c>
      <c r="I352" t="n">
        <v>395.888053</v>
      </c>
      <c r="J352" t="n">
        <v>395.888053</v>
      </c>
      <c r="K352" t="n">
        <v>376.09365</v>
      </c>
      <c r="L352" t="n">
        <v>393.787233</v>
      </c>
      <c r="M352" t="n">
        <v>393.787233</v>
      </c>
      <c r="N352" t="n">
        <v>393.787233</v>
      </c>
      <c r="O352" t="n">
        <v>20.916473</v>
      </c>
      <c r="P352" t="n">
        <v>13.510088</v>
      </c>
      <c r="Q352" t="n">
        <v>393.787233</v>
      </c>
      <c r="R352" t="n">
        <v>393.787233</v>
      </c>
      <c r="S352" t="n">
        <v>20.916473</v>
      </c>
      <c r="T352" t="n">
        <v>20.916473</v>
      </c>
      <c r="U352" t="n">
        <v>13.510088</v>
      </c>
      <c r="V352" t="n">
        <v>13.510088</v>
      </c>
      <c r="W352" t="n">
        <v>21.939981</v>
      </c>
      <c r="X352" t="n">
        <v>405.784084</v>
      </c>
    </row>
    <row r="353" ht="36" customHeight="1">
      <c r="A353" t="inlineStr">
        <is>
          <t>Nibea albiflora</t>
        </is>
      </c>
      <c r="B353" t="n">
        <v>3.5</v>
      </c>
      <c r="C353" t="n">
        <v>316.227766</v>
      </c>
      <c r="D353" s="11" t="inlineStr">
        <is>
          <t>Juvenile large croakers | Croakers (&gt; 30 cm)</t>
        </is>
      </c>
      <c r="E353" t="n">
        <v>140.953883</v>
      </c>
      <c r="F353" t="n">
        <v>265.549442</v>
      </c>
      <c r="G353" t="n">
        <v>131.19784</v>
      </c>
      <c r="H353" t="n">
        <v>368.043932</v>
      </c>
      <c r="I353" t="n">
        <v>2939.153653</v>
      </c>
      <c r="J353" t="n">
        <v>3022.907916</v>
      </c>
      <c r="K353" t="n">
        <v>1769.605312</v>
      </c>
      <c r="L353" t="n">
        <v>3691.420719</v>
      </c>
      <c r="M353" t="n">
        <v>3691.420719</v>
      </c>
      <c r="N353" t="n">
        <v>3691.420719</v>
      </c>
      <c r="O353" t="n">
        <v>92.784491</v>
      </c>
      <c r="P353" t="n">
        <v>44.082214</v>
      </c>
      <c r="Q353" t="n">
        <v>3691.420719</v>
      </c>
      <c r="R353" t="n">
        <v>3691.420719</v>
      </c>
      <c r="S353" t="n">
        <v>92.784491</v>
      </c>
      <c r="T353" t="n">
        <v>92.784491</v>
      </c>
      <c r="U353" t="n">
        <v>44.082214</v>
      </c>
      <c r="V353" t="n">
        <v>44.082214</v>
      </c>
      <c r="W353" t="n">
        <v>96.91430099999999</v>
      </c>
      <c r="X353" t="n">
        <v>3937.988659</v>
      </c>
    </row>
    <row r="354" ht="36" customHeight="1">
      <c r="A354" t="inlineStr">
        <is>
          <t>Bramidae</t>
        </is>
      </c>
      <c r="B354" t="n">
        <v>4.14</v>
      </c>
      <c r="C354" t="n">
        <v>1380.384265</v>
      </c>
      <c r="D354" s="11" t="inlineStr">
        <is>
          <t>Juvenile large pelagic fish | Pelagic fish (&gt; 30 cm)</t>
        </is>
      </c>
      <c r="E354" t="n">
        <v>140.953883</v>
      </c>
      <c r="F354" t="n">
        <v>200.641254</v>
      </c>
      <c r="G354" t="n">
        <v>102.228748</v>
      </c>
      <c r="H354" t="n">
        <v>215.010584</v>
      </c>
      <c r="I354" t="n">
        <v>6244.222521</v>
      </c>
      <c r="J354" t="n">
        <v>6325.914048</v>
      </c>
      <c r="K354" t="n">
        <v>1872.204427</v>
      </c>
      <c r="L354" t="n">
        <v>7112.982475</v>
      </c>
      <c r="M354" t="n">
        <v>7112.982475</v>
      </c>
      <c r="N354" t="n">
        <v>7112.982475</v>
      </c>
      <c r="O354" t="n">
        <v>87.969483</v>
      </c>
      <c r="P354" t="n">
        <v>46.580547</v>
      </c>
      <c r="Q354" t="n">
        <v>7112.982475</v>
      </c>
      <c r="R354" t="n">
        <v>7112.982475</v>
      </c>
      <c r="S354" t="n">
        <v>87.969483</v>
      </c>
      <c r="T354" t="n">
        <v>87.969483</v>
      </c>
      <c r="U354" t="n">
        <v>46.580547</v>
      </c>
      <c r="V354" t="n">
        <v>46.580547</v>
      </c>
      <c r="W354" t="n">
        <v>93.060855</v>
      </c>
      <c r="X354" t="n">
        <v>7459.131892</v>
      </c>
    </row>
    <row r="355" ht="36" customHeight="1">
      <c r="A355" t="inlineStr">
        <is>
          <t>Anguilliformes</t>
        </is>
      </c>
      <c r="B355" t="n">
        <v>3.89</v>
      </c>
      <c r="C355" t="n">
        <v>776.247117</v>
      </c>
      <c r="D355" s="11" t="inlineStr">
        <is>
          <t>Juvenile demersal fish (&gt; 30 cm) | Adult demersal fish (&gt; 30 cm)</t>
        </is>
      </c>
      <c r="E355" t="n">
        <v>140.953883</v>
      </c>
      <c r="F355" t="n">
        <v>228.824285</v>
      </c>
      <c r="G355" t="n">
        <v>114.897152</v>
      </c>
      <c r="H355" t="n">
        <v>408.798022</v>
      </c>
      <c r="I355" t="n">
        <v>6590.793316</v>
      </c>
      <c r="J355" t="n">
        <v>7071.146917</v>
      </c>
      <c r="K355" t="n">
        <v>2576.928919</v>
      </c>
      <c r="L355" t="n">
        <v>10677.999207</v>
      </c>
      <c r="M355" t="n">
        <v>10677.999207</v>
      </c>
      <c r="N355" t="n">
        <v>10677.999207</v>
      </c>
      <c r="O355" t="n">
        <v>85.006417</v>
      </c>
      <c r="P355" t="n">
        <v>38.52237</v>
      </c>
      <c r="Q355" t="n">
        <v>10677.999207</v>
      </c>
      <c r="R355" t="n">
        <v>10677.999207</v>
      </c>
      <c r="S355" t="n">
        <v>85.006417</v>
      </c>
      <c r="T355" t="n">
        <v>85.006417</v>
      </c>
      <c r="U355" t="n">
        <v>38.52237</v>
      </c>
      <c r="V355" t="n">
        <v>38.52237</v>
      </c>
      <c r="W355" t="n">
        <v>88.306245</v>
      </c>
      <c r="X355" t="n">
        <v>11509.306401</v>
      </c>
    </row>
    <row r="356" ht="21" customHeight="1">
      <c r="A356" t="inlineStr">
        <is>
          <t>Crassostrea</t>
        </is>
      </c>
      <c r="D356" s="11" t="inlineStr">
        <is>
          <t>Non-ceph molluscs</t>
        </is>
      </c>
      <c r="E356" t="n">
        <v>140.953883</v>
      </c>
      <c r="F356" t="n">
        <v>14.712171</v>
      </c>
      <c r="G356" t="n">
        <v>10.486582</v>
      </c>
      <c r="H356" t="n">
        <v>17.347998</v>
      </c>
      <c r="I356" t="n">
        <v>87.52377799999999</v>
      </c>
      <c r="J356" t="n">
        <v>87.52377799999999</v>
      </c>
      <c r="K356" t="n">
        <v>33.521607</v>
      </c>
      <c r="L356" t="n">
        <v>92.59366</v>
      </c>
      <c r="M356" t="n">
        <v>92.59366</v>
      </c>
      <c r="N356" t="n">
        <v>92.59366</v>
      </c>
      <c r="O356" t="n">
        <v>4.448657</v>
      </c>
      <c r="P356" t="n">
        <v>3.058348</v>
      </c>
      <c r="Q356" t="n">
        <v>92.59366</v>
      </c>
      <c r="R356" t="n">
        <v>92.59366</v>
      </c>
      <c r="S356" t="n">
        <v>4.448657</v>
      </c>
      <c r="T356" t="n">
        <v>4.448657</v>
      </c>
      <c r="U356" t="n">
        <v>3.058348</v>
      </c>
      <c r="V356" t="n">
        <v>3.058348</v>
      </c>
      <c r="W356" t="n">
        <v>4.556294</v>
      </c>
      <c r="X356" t="n">
        <v>96.447226</v>
      </c>
    </row>
    <row r="357" ht="21" customHeight="1">
      <c r="A357" t="inlineStr">
        <is>
          <t>Hippocampus</t>
        </is>
      </c>
      <c r="B357" t="n">
        <v>3.33</v>
      </c>
      <c r="C357" t="n">
        <v>213.796209</v>
      </c>
      <c r="D357" s="11" t="inlineStr">
        <is>
          <t>Demesral fish (≤ 30 cm)</t>
        </is>
      </c>
      <c r="E357" t="n">
        <v>140.953883</v>
      </c>
      <c r="F357" t="n">
        <v>95.34341499999999</v>
      </c>
      <c r="G357" t="n">
        <v>53.708528</v>
      </c>
      <c r="H357" t="n">
        <v>114.11959</v>
      </c>
      <c r="I357" t="n">
        <v>569.846189</v>
      </c>
      <c r="J357" t="n">
        <v>594.287325</v>
      </c>
      <c r="K357" t="n">
        <v>564.572959</v>
      </c>
      <c r="L357" t="n">
        <v>738.02552</v>
      </c>
      <c r="M357" t="n">
        <v>738.02552</v>
      </c>
      <c r="N357" t="n">
        <v>738.02552</v>
      </c>
      <c r="O357" t="n">
        <v>39.685535</v>
      </c>
      <c r="P357" t="n">
        <v>21.622034</v>
      </c>
      <c r="Q357" t="n">
        <v>738.02552</v>
      </c>
      <c r="R357" t="n">
        <v>738.02552</v>
      </c>
      <c r="S357" t="n">
        <v>39.685535</v>
      </c>
      <c r="T357" t="n">
        <v>39.685535</v>
      </c>
      <c r="U357" t="n">
        <v>21.622034</v>
      </c>
      <c r="V357" t="n">
        <v>21.622034</v>
      </c>
      <c r="W357" t="n">
        <v>41.109943</v>
      </c>
      <c r="X357" t="n">
        <v>772.895549</v>
      </c>
    </row>
    <row r="358" ht="21" customHeight="1">
      <c r="A358" t="inlineStr">
        <is>
          <t>Holothuriidae</t>
        </is>
      </c>
      <c r="D358" s="11" t="inlineStr">
        <is>
          <t>Echinoderms</t>
        </is>
      </c>
      <c r="E358" t="n">
        <v>140.953883</v>
      </c>
      <c r="F358" t="n">
        <v>18.617087</v>
      </c>
      <c r="G358" t="n">
        <v>12.882339</v>
      </c>
      <c r="H358" t="n">
        <v>42.220898</v>
      </c>
      <c r="I358" t="n">
        <v>603.989501</v>
      </c>
      <c r="J358" t="n">
        <v>603.989501</v>
      </c>
      <c r="K358" t="n">
        <v>240.387821</v>
      </c>
      <c r="L358" t="n">
        <v>1080.992157</v>
      </c>
      <c r="M358" t="n">
        <v>1080.992157</v>
      </c>
      <c r="N358" t="n">
        <v>1080.992157</v>
      </c>
      <c r="O358" t="n">
        <v>17.290347</v>
      </c>
      <c r="P358" t="n">
        <v>9.498851999999999</v>
      </c>
      <c r="Q358" t="n">
        <v>1080.992157</v>
      </c>
      <c r="R358" t="n">
        <v>1080.992157</v>
      </c>
      <c r="S358" t="n">
        <v>17.290347</v>
      </c>
      <c r="T358" t="n">
        <v>17.290347</v>
      </c>
      <c r="U358" t="n">
        <v>9.498851999999999</v>
      </c>
      <c r="V358" t="n">
        <v>9.498851999999999</v>
      </c>
      <c r="W358" t="n">
        <v>17.932707</v>
      </c>
      <c r="X358" t="n">
        <v>1135.08839</v>
      </c>
    </row>
    <row r="359" ht="21" customHeight="1">
      <c r="A359" t="inlineStr">
        <is>
          <t>Isurus oxyrinchus</t>
        </is>
      </c>
      <c r="B359" t="n">
        <v>4.5</v>
      </c>
      <c r="C359" t="n">
        <v>3162.27766</v>
      </c>
      <c r="D359" s="11" t="inlineStr">
        <is>
          <t>Pelagic sharks and rays</t>
        </is>
      </c>
      <c r="E359" t="n">
        <v>140.953883</v>
      </c>
      <c r="F359" t="n">
        <v>908.988005</v>
      </c>
      <c r="G359" t="n">
        <v>385.472886</v>
      </c>
      <c r="H359" t="n">
        <v>784.4685459999999</v>
      </c>
      <c r="I359" t="n">
        <v>125208.792952</v>
      </c>
      <c r="J359" t="n">
        <v>126616.154086</v>
      </c>
      <c r="K359" t="n">
        <v>63308.077043</v>
      </c>
      <c r="L359" t="n">
        <v>172174.15174</v>
      </c>
      <c r="M359" t="n">
        <v>172174.151739</v>
      </c>
      <c r="N359" t="n">
        <v>172174.151739</v>
      </c>
      <c r="O359" t="n">
        <v>202.141045</v>
      </c>
      <c r="P359" t="n">
        <v>87.49926499999999</v>
      </c>
      <c r="Q359" t="n">
        <v>172174.151739</v>
      </c>
      <c r="R359" t="n">
        <v>172174.151739</v>
      </c>
      <c r="S359" t="n">
        <v>202.141045</v>
      </c>
      <c r="T359" t="n">
        <v>202.141045</v>
      </c>
      <c r="U359" t="n">
        <v>87.49926499999999</v>
      </c>
      <c r="V359" t="n">
        <v>87.49926499999999</v>
      </c>
      <c r="W359" t="n">
        <v>214.928725</v>
      </c>
      <c r="X359" t="n">
        <v>183923.261916</v>
      </c>
    </row>
    <row r="360" ht="21" customHeight="1">
      <c r="A360" t="inlineStr">
        <is>
          <t>Amblygaster sirm</t>
        </is>
      </c>
      <c r="B360" t="n">
        <v>3.2</v>
      </c>
      <c r="C360" t="n">
        <v>158.489319</v>
      </c>
      <c r="D360" s="11" t="inlineStr">
        <is>
          <t>Pelagic fish (≤ 30 cm)</t>
        </is>
      </c>
      <c r="E360" t="n">
        <v>140.953883</v>
      </c>
      <c r="F360" t="n">
        <v>60.479203</v>
      </c>
      <c r="G360" t="n">
        <v>36.07884</v>
      </c>
      <c r="H360" t="n">
        <v>45.98261</v>
      </c>
      <c r="I360" t="n">
        <v>395.888053</v>
      </c>
      <c r="J360" t="n">
        <v>395.888053</v>
      </c>
      <c r="K360" t="n">
        <v>376.09365</v>
      </c>
      <c r="L360" t="n">
        <v>393.787233</v>
      </c>
      <c r="M360" t="n">
        <v>393.787233</v>
      </c>
      <c r="N360" t="n">
        <v>393.787233</v>
      </c>
      <c r="O360" t="n">
        <v>20.916473</v>
      </c>
      <c r="P360" t="n">
        <v>13.510088</v>
      </c>
      <c r="Q360" t="n">
        <v>393.787233</v>
      </c>
      <c r="R360" t="n">
        <v>393.787233</v>
      </c>
      <c r="S360" t="n">
        <v>20.916473</v>
      </c>
      <c r="T360" t="n">
        <v>20.916473</v>
      </c>
      <c r="U360" t="n">
        <v>13.510088</v>
      </c>
      <c r="V360" t="n">
        <v>13.510088</v>
      </c>
      <c r="W360" t="n">
        <v>21.939981</v>
      </c>
      <c r="X360" t="n">
        <v>405.784084</v>
      </c>
    </row>
    <row r="361" ht="21" customHeight="1">
      <c r="A361" t="inlineStr">
        <is>
          <t>Lampris guttatus</t>
        </is>
      </c>
      <c r="B361" t="n">
        <v>4.22</v>
      </c>
      <c r="C361" t="n">
        <v>1659.586907</v>
      </c>
      <c r="D361" s="11" t="inlineStr">
        <is>
          <t>Unresolved</t>
        </is>
      </c>
    </row>
    <row r="362" ht="21" customHeight="1">
      <c r="A362" t="inlineStr">
        <is>
          <t>Pectinidae</t>
        </is>
      </c>
      <c r="D362" s="11" t="inlineStr">
        <is>
          <t>Non-ceph molluscs</t>
        </is>
      </c>
      <c r="E362" t="n">
        <v>140.953883</v>
      </c>
      <c r="F362" t="n">
        <v>14.712171</v>
      </c>
      <c r="G362" t="n">
        <v>10.486582</v>
      </c>
      <c r="H362" t="n">
        <v>17.347998</v>
      </c>
      <c r="I362" t="n">
        <v>87.52377799999999</v>
      </c>
      <c r="J362" t="n">
        <v>87.52377799999999</v>
      </c>
      <c r="K362" t="n">
        <v>33.521607</v>
      </c>
      <c r="L362" t="n">
        <v>92.59366</v>
      </c>
      <c r="M362" t="n">
        <v>92.59366</v>
      </c>
      <c r="N362" t="n">
        <v>92.59366</v>
      </c>
      <c r="O362" t="n">
        <v>4.448657</v>
      </c>
      <c r="P362" t="n">
        <v>3.058348</v>
      </c>
      <c r="Q362" t="n">
        <v>92.59366</v>
      </c>
      <c r="R362" t="n">
        <v>92.59366</v>
      </c>
      <c r="S362" t="n">
        <v>4.448657</v>
      </c>
      <c r="T362" t="n">
        <v>4.448657</v>
      </c>
      <c r="U362" t="n">
        <v>3.058348</v>
      </c>
      <c r="V362" t="n">
        <v>3.058348</v>
      </c>
      <c r="W362" t="n">
        <v>4.556294</v>
      </c>
      <c r="X362" t="n">
        <v>96.447226</v>
      </c>
    </row>
    <row r="363" ht="36" customHeight="1">
      <c r="A363" t="inlineStr">
        <is>
          <t>Gymnosarda unicolor</t>
        </is>
      </c>
      <c r="B363" t="n">
        <v>4.5</v>
      </c>
      <c r="C363" t="n">
        <v>3162.27766</v>
      </c>
      <c r="D363" s="11" t="inlineStr">
        <is>
          <t>Juvenile large pelagic fish | Pelagic fish (&gt; 30 cm)</t>
        </is>
      </c>
      <c r="E363" t="n">
        <v>140.953883</v>
      </c>
      <c r="F363" t="n">
        <v>200.641254</v>
      </c>
      <c r="G363" t="n">
        <v>102.228748</v>
      </c>
      <c r="H363" t="n">
        <v>215.010584</v>
      </c>
      <c r="I363" t="n">
        <v>6244.222521</v>
      </c>
      <c r="J363" t="n">
        <v>6325.914048</v>
      </c>
      <c r="K363" t="n">
        <v>1872.204427</v>
      </c>
      <c r="L363" t="n">
        <v>7112.982475</v>
      </c>
      <c r="M363" t="n">
        <v>7112.982475</v>
      </c>
      <c r="N363" t="n">
        <v>7112.982475</v>
      </c>
      <c r="O363" t="n">
        <v>87.969483</v>
      </c>
      <c r="P363" t="n">
        <v>46.580547</v>
      </c>
      <c r="Q363" t="n">
        <v>7112.982475</v>
      </c>
      <c r="R363" t="n">
        <v>7112.982475</v>
      </c>
      <c r="S363" t="n">
        <v>87.969483</v>
      </c>
      <c r="T363" t="n">
        <v>87.969483</v>
      </c>
      <c r="U363" t="n">
        <v>46.580547</v>
      </c>
      <c r="V363" t="n">
        <v>46.580547</v>
      </c>
      <c r="W363" t="n">
        <v>93.060855</v>
      </c>
      <c r="X363" t="n">
        <v>7459.131892</v>
      </c>
    </row>
    <row r="364" ht="36" customHeight="1">
      <c r="A364" t="inlineStr">
        <is>
          <t>Tenualosa toli</t>
        </is>
      </c>
      <c r="D364" s="11" t="inlineStr">
        <is>
          <t>Juvenile large pelagic fish | Pelagic fish (&gt; 30 cm)</t>
        </is>
      </c>
      <c r="E364" t="n">
        <v>140.953883</v>
      </c>
      <c r="F364" t="n">
        <v>200.641254</v>
      </c>
      <c r="G364" t="n">
        <v>102.228748</v>
      </c>
      <c r="H364" t="n">
        <v>215.010584</v>
      </c>
      <c r="I364" t="n">
        <v>6244.222521</v>
      </c>
      <c r="J364" t="n">
        <v>6325.914048</v>
      </c>
      <c r="K364" t="n">
        <v>1872.204427</v>
      </c>
      <c r="L364" t="n">
        <v>7112.982475</v>
      </c>
      <c r="M364" t="n">
        <v>7112.982475</v>
      </c>
      <c r="N364" t="n">
        <v>7112.982475</v>
      </c>
      <c r="O364" t="n">
        <v>87.969483</v>
      </c>
      <c r="P364" t="n">
        <v>46.580547</v>
      </c>
      <c r="Q364" t="n">
        <v>7112.982475</v>
      </c>
      <c r="R364" t="n">
        <v>7112.982475</v>
      </c>
      <c r="S364" t="n">
        <v>87.969483</v>
      </c>
      <c r="T364" t="n">
        <v>87.969483</v>
      </c>
      <c r="U364" t="n">
        <v>46.580547</v>
      </c>
      <c r="V364" t="n">
        <v>46.580547</v>
      </c>
      <c r="W364" t="n">
        <v>93.060855</v>
      </c>
      <c r="X364" t="n">
        <v>7459.131892</v>
      </c>
    </row>
    <row r="365" ht="21" customHeight="1">
      <c r="A365" t="inlineStr">
        <is>
          <t>Sphyrna</t>
        </is>
      </c>
      <c r="B365" t="n">
        <v>4.2</v>
      </c>
      <c r="C365" t="n">
        <v>1584.893192</v>
      </c>
      <c r="D365" s="11" t="inlineStr">
        <is>
          <t>Pelagic sharks and rays</t>
        </is>
      </c>
      <c r="E365" t="n">
        <v>140.953883</v>
      </c>
      <c r="F365" t="n">
        <v>908.988005</v>
      </c>
      <c r="G365" t="n">
        <v>385.472886</v>
      </c>
      <c r="H365" t="n">
        <v>784.4685459999999</v>
      </c>
      <c r="I365" t="n">
        <v>125208.792952</v>
      </c>
      <c r="J365" t="n">
        <v>126616.154086</v>
      </c>
      <c r="K365" t="n">
        <v>63308.077043</v>
      </c>
      <c r="L365" t="n">
        <v>172174.15174</v>
      </c>
      <c r="M365" t="n">
        <v>172174.151739</v>
      </c>
      <c r="N365" t="n">
        <v>172174.151739</v>
      </c>
      <c r="O365" t="n">
        <v>202.141045</v>
      </c>
      <c r="P365" t="n">
        <v>87.49926499999999</v>
      </c>
      <c r="Q365" t="n">
        <v>172174.151739</v>
      </c>
      <c r="R365" t="n">
        <v>172174.151739</v>
      </c>
      <c r="S365" t="n">
        <v>202.141045</v>
      </c>
      <c r="T365" t="n">
        <v>202.141045</v>
      </c>
      <c r="U365" t="n">
        <v>87.49926499999999</v>
      </c>
      <c r="V365" t="n">
        <v>87.49926499999999</v>
      </c>
      <c r="W365" t="n">
        <v>214.928725</v>
      </c>
      <c r="X365" t="n">
        <v>183923.261916</v>
      </c>
    </row>
    <row r="366" ht="21" customHeight="1">
      <c r="A366" t="inlineStr">
        <is>
          <t>Ostreidae</t>
        </is>
      </c>
      <c r="B366" t="n">
        <v>2</v>
      </c>
      <c r="C366" t="n">
        <v>10</v>
      </c>
      <c r="D366" s="11" t="inlineStr">
        <is>
          <t>Non-ceph molluscs</t>
        </is>
      </c>
      <c r="E366" t="n">
        <v>140.953883</v>
      </c>
      <c r="F366" t="n">
        <v>14.712171</v>
      </c>
      <c r="G366" t="n">
        <v>10.486582</v>
      </c>
      <c r="H366" t="n">
        <v>17.347998</v>
      </c>
      <c r="I366" t="n">
        <v>87.52377799999999</v>
      </c>
      <c r="J366" t="n">
        <v>87.52377799999999</v>
      </c>
      <c r="K366" t="n">
        <v>33.521607</v>
      </c>
      <c r="L366" t="n">
        <v>92.59366</v>
      </c>
      <c r="M366" t="n">
        <v>92.59366</v>
      </c>
      <c r="N366" t="n">
        <v>92.59366</v>
      </c>
      <c r="O366" t="n">
        <v>4.448657</v>
      </c>
      <c r="P366" t="n">
        <v>3.058348</v>
      </c>
      <c r="Q366" t="n">
        <v>92.59366</v>
      </c>
      <c r="R366" t="n">
        <v>92.59366</v>
      </c>
      <c r="S366" t="n">
        <v>4.448657</v>
      </c>
      <c r="T366" t="n">
        <v>4.448657</v>
      </c>
      <c r="U366" t="n">
        <v>3.058348</v>
      </c>
      <c r="V366" t="n">
        <v>3.058348</v>
      </c>
      <c r="W366" t="n">
        <v>4.556294</v>
      </c>
      <c r="X366" t="n">
        <v>96.447226</v>
      </c>
    </row>
    <row r="367" ht="21" customHeight="1">
      <c r="A367" t="inlineStr">
        <is>
          <t>Tripneustes gratilla</t>
        </is>
      </c>
      <c r="B367" t="n">
        <v>2</v>
      </c>
      <c r="C367" t="n">
        <v>10</v>
      </c>
      <c r="D367" s="11" t="inlineStr">
        <is>
          <t>Echinoderms</t>
        </is>
      </c>
      <c r="E367" t="n">
        <v>140.953883</v>
      </c>
      <c r="F367" t="n">
        <v>18.617087</v>
      </c>
      <c r="G367" t="n">
        <v>12.882339</v>
      </c>
      <c r="H367" t="n">
        <v>42.220898</v>
      </c>
      <c r="I367" t="n">
        <v>603.989501</v>
      </c>
      <c r="J367" t="n">
        <v>603.989501</v>
      </c>
      <c r="K367" t="n">
        <v>240.387821</v>
      </c>
      <c r="L367" t="n">
        <v>1080.992157</v>
      </c>
      <c r="M367" t="n">
        <v>1080.992157</v>
      </c>
      <c r="N367" t="n">
        <v>1080.992157</v>
      </c>
      <c r="O367" t="n">
        <v>17.290347</v>
      </c>
      <c r="P367" t="n">
        <v>9.498851999999999</v>
      </c>
      <c r="Q367" t="n">
        <v>1080.992157</v>
      </c>
      <c r="R367" t="n">
        <v>1080.992157</v>
      </c>
      <c r="S367" t="n">
        <v>17.290347</v>
      </c>
      <c r="T367" t="n">
        <v>17.290347</v>
      </c>
      <c r="U367" t="n">
        <v>9.498851999999999</v>
      </c>
      <c r="V367" t="n">
        <v>9.498851999999999</v>
      </c>
      <c r="W367" t="n">
        <v>17.932707</v>
      </c>
      <c r="X367" t="n">
        <v>1135.08839</v>
      </c>
    </row>
    <row r="368" ht="21" customHeight="1">
      <c r="A368" t="inlineStr">
        <is>
          <t>Lutjanus argentimaculatus</t>
        </is>
      </c>
      <c r="D368" s="11" t="inlineStr">
        <is>
          <t>Snappers</t>
        </is>
      </c>
      <c r="E368" t="n">
        <v>140.953883</v>
      </c>
      <c r="F368" t="n">
        <v>554.842266</v>
      </c>
      <c r="G368" t="n">
        <v>250.381754</v>
      </c>
      <c r="H368" t="n">
        <v>650.642591</v>
      </c>
      <c r="I368" t="n">
        <v>3230.237663</v>
      </c>
      <c r="J368" t="n">
        <v>3367.037571</v>
      </c>
      <c r="K368" t="n">
        <v>3198.685692</v>
      </c>
      <c r="L368" t="n">
        <v>4133.4309</v>
      </c>
      <c r="M368" t="n">
        <v>4133.4309</v>
      </c>
      <c r="N368" t="n">
        <v>4133.4309</v>
      </c>
      <c r="O368" t="n">
        <v>205.658598</v>
      </c>
      <c r="P368" t="n">
        <v>91.38801100000001</v>
      </c>
      <c r="Q368" t="n">
        <v>4133.4309</v>
      </c>
      <c r="R368" t="n">
        <v>4133.4309</v>
      </c>
      <c r="S368" t="n">
        <v>205.658598</v>
      </c>
      <c r="T368" t="n">
        <v>205.658598</v>
      </c>
      <c r="U368" t="n">
        <v>91.38801100000001</v>
      </c>
      <c r="V368" t="n">
        <v>91.38801100000001</v>
      </c>
      <c r="W368" t="n">
        <v>216.473302</v>
      </c>
      <c r="X368" t="n">
        <v>4393.486979</v>
      </c>
    </row>
    <row r="369" ht="36" customHeight="1">
      <c r="A369" t="inlineStr">
        <is>
          <t>Pomatomus saltatrix</t>
        </is>
      </c>
      <c r="B369" t="n">
        <v>4.53</v>
      </c>
      <c r="C369" t="n">
        <v>3388.441561</v>
      </c>
      <c r="D369" s="11" t="inlineStr">
        <is>
          <t>Juvenile large pelagic fish | Pelagic fish (&gt; 30 cm)</t>
        </is>
      </c>
      <c r="E369" t="n">
        <v>140.953883</v>
      </c>
      <c r="F369" t="n">
        <v>200.641254</v>
      </c>
      <c r="G369" t="n">
        <v>102.228748</v>
      </c>
      <c r="H369" t="n">
        <v>215.010584</v>
      </c>
      <c r="I369" t="n">
        <v>6244.222521</v>
      </c>
      <c r="J369" t="n">
        <v>6325.914048</v>
      </c>
      <c r="K369" t="n">
        <v>1872.204427</v>
      </c>
      <c r="L369" t="n">
        <v>7112.982475</v>
      </c>
      <c r="M369" t="n">
        <v>7112.982475</v>
      </c>
      <c r="N369" t="n">
        <v>7112.982475</v>
      </c>
      <c r="O369" t="n">
        <v>87.969483</v>
      </c>
      <c r="P369" t="n">
        <v>46.580547</v>
      </c>
      <c r="Q369" t="n">
        <v>7112.982475</v>
      </c>
      <c r="R369" t="n">
        <v>7112.982475</v>
      </c>
      <c r="S369" t="n">
        <v>87.969483</v>
      </c>
      <c r="T369" t="n">
        <v>87.969483</v>
      </c>
      <c r="U369" t="n">
        <v>46.580547</v>
      </c>
      <c r="V369" t="n">
        <v>46.580547</v>
      </c>
      <c r="W369" t="n">
        <v>93.060855</v>
      </c>
      <c r="X369" t="n">
        <v>7459.131892</v>
      </c>
    </row>
    <row r="370" ht="36" customHeight="1">
      <c r="A370" t="inlineStr">
        <is>
          <t>Sphyraena jello</t>
        </is>
      </c>
      <c r="B370" t="n">
        <v>4.5</v>
      </c>
      <c r="C370" t="n">
        <v>3162.27766</v>
      </c>
      <c r="D370" s="11" t="inlineStr">
        <is>
          <t>Juvenile large pelagic fish | Pelagic fish (&gt; 30 cm)</t>
        </is>
      </c>
      <c r="E370" t="n">
        <v>140.953883</v>
      </c>
      <c r="F370" t="n">
        <v>200.641254</v>
      </c>
      <c r="G370" t="n">
        <v>102.228748</v>
      </c>
      <c r="H370" t="n">
        <v>215.010584</v>
      </c>
      <c r="I370" t="n">
        <v>6244.222521</v>
      </c>
      <c r="J370" t="n">
        <v>6325.914048</v>
      </c>
      <c r="K370" t="n">
        <v>1872.204427</v>
      </c>
      <c r="L370" t="n">
        <v>7112.982475</v>
      </c>
      <c r="M370" t="n">
        <v>7112.982475</v>
      </c>
      <c r="N370" t="n">
        <v>7112.982475</v>
      </c>
      <c r="O370" t="n">
        <v>87.969483</v>
      </c>
      <c r="P370" t="n">
        <v>46.580547</v>
      </c>
      <c r="Q370" t="n">
        <v>7112.982475</v>
      </c>
      <c r="R370" t="n">
        <v>7112.982475</v>
      </c>
      <c r="S370" t="n">
        <v>87.969483</v>
      </c>
      <c r="T370" t="n">
        <v>87.969483</v>
      </c>
      <c r="U370" t="n">
        <v>46.580547</v>
      </c>
      <c r="V370" t="n">
        <v>46.580547</v>
      </c>
      <c r="W370" t="n">
        <v>93.060855</v>
      </c>
      <c r="X370" t="n">
        <v>7459.131892</v>
      </c>
    </row>
    <row r="371" ht="21" customHeight="1">
      <c r="A371" t="inlineStr">
        <is>
          <t>Echinozoa</t>
        </is>
      </c>
      <c r="D371" s="11" t="inlineStr">
        <is>
          <t>Echinoderms</t>
        </is>
      </c>
      <c r="E371" t="n">
        <v>140.953883</v>
      </c>
      <c r="F371" t="n">
        <v>18.617087</v>
      </c>
      <c r="G371" t="n">
        <v>12.882339</v>
      </c>
      <c r="H371" t="n">
        <v>42.220898</v>
      </c>
      <c r="I371" t="n">
        <v>603.989501</v>
      </c>
      <c r="J371" t="n">
        <v>603.989501</v>
      </c>
      <c r="K371" t="n">
        <v>240.387821</v>
      </c>
      <c r="L371" t="n">
        <v>1080.992157</v>
      </c>
      <c r="M371" t="n">
        <v>1080.992157</v>
      </c>
      <c r="N371" t="n">
        <v>1080.992157</v>
      </c>
      <c r="O371" t="n">
        <v>17.290347</v>
      </c>
      <c r="P371" t="n">
        <v>9.498851999999999</v>
      </c>
      <c r="Q371" t="n">
        <v>1080.992157</v>
      </c>
      <c r="R371" t="n">
        <v>1080.992157</v>
      </c>
      <c r="S371" t="n">
        <v>17.290347</v>
      </c>
      <c r="T371" t="n">
        <v>17.290347</v>
      </c>
      <c r="U371" t="n">
        <v>9.498851999999999</v>
      </c>
      <c r="V371" t="n">
        <v>9.498851999999999</v>
      </c>
      <c r="W371" t="n">
        <v>17.932707</v>
      </c>
      <c r="X371" t="n">
        <v>1135.08839</v>
      </c>
    </row>
    <row r="372" ht="21" customHeight="1">
      <c r="A372" t="inlineStr">
        <is>
          <t>Tetrapturus angustirostris</t>
        </is>
      </c>
      <c r="D372" s="11" t="inlineStr">
        <is>
          <t>Unresolved</t>
        </is>
      </c>
    </row>
    <row r="373" ht="21" customHeight="1">
      <c r="A373" t="inlineStr">
        <is>
          <t>Sphyrna lewini</t>
        </is>
      </c>
      <c r="D373" s="11" t="inlineStr">
        <is>
          <t>Pelagic sharks and rays</t>
        </is>
      </c>
      <c r="E373" t="n">
        <v>140.953883</v>
      </c>
      <c r="F373" t="n">
        <v>908.988005</v>
      </c>
      <c r="G373" t="n">
        <v>385.472886</v>
      </c>
      <c r="H373" t="n">
        <v>784.4685459999999</v>
      </c>
      <c r="I373" t="n">
        <v>125208.792952</v>
      </c>
      <c r="J373" t="n">
        <v>126616.154086</v>
      </c>
      <c r="K373" t="n">
        <v>63308.077043</v>
      </c>
      <c r="L373" t="n">
        <v>172174.15174</v>
      </c>
      <c r="M373" t="n">
        <v>172174.151739</v>
      </c>
      <c r="N373" t="n">
        <v>172174.151739</v>
      </c>
      <c r="O373" t="n">
        <v>202.141045</v>
      </c>
      <c r="P373" t="n">
        <v>87.49926499999999</v>
      </c>
      <c r="Q373" t="n">
        <v>172174.151739</v>
      </c>
      <c r="R373" t="n">
        <v>172174.151739</v>
      </c>
      <c r="S373" t="n">
        <v>202.141045</v>
      </c>
      <c r="T373" t="n">
        <v>202.141045</v>
      </c>
      <c r="U373" t="n">
        <v>87.49926499999999</v>
      </c>
      <c r="V373" t="n">
        <v>87.49926499999999</v>
      </c>
      <c r="W373" t="n">
        <v>214.928725</v>
      </c>
      <c r="X373" t="n">
        <v>183923.261916</v>
      </c>
    </row>
    <row r="374" ht="21" customHeight="1">
      <c r="A374" t="inlineStr">
        <is>
          <t>Trochus niloticus</t>
        </is>
      </c>
      <c r="D374" s="11" t="inlineStr">
        <is>
          <t>Non-ceph molluscs</t>
        </is>
      </c>
      <c r="E374" t="n">
        <v>140.953883</v>
      </c>
      <c r="F374" t="n">
        <v>14.712171</v>
      </c>
      <c r="G374" t="n">
        <v>10.486582</v>
      </c>
      <c r="H374" t="n">
        <v>17.347998</v>
      </c>
      <c r="I374" t="n">
        <v>87.52377799999999</v>
      </c>
      <c r="J374" t="n">
        <v>87.52377799999999</v>
      </c>
      <c r="K374" t="n">
        <v>33.521607</v>
      </c>
      <c r="L374" t="n">
        <v>92.59366</v>
      </c>
      <c r="M374" t="n">
        <v>92.59366</v>
      </c>
      <c r="N374" t="n">
        <v>92.59366</v>
      </c>
      <c r="O374" t="n">
        <v>4.448657</v>
      </c>
      <c r="P374" t="n">
        <v>3.058348</v>
      </c>
      <c r="Q374" t="n">
        <v>92.59366</v>
      </c>
      <c r="R374" t="n">
        <v>92.59366</v>
      </c>
      <c r="S374" t="n">
        <v>4.448657</v>
      </c>
      <c r="T374" t="n">
        <v>4.448657</v>
      </c>
      <c r="U374" t="n">
        <v>3.058348</v>
      </c>
      <c r="V374" t="n">
        <v>3.058348</v>
      </c>
      <c r="W374" t="n">
        <v>4.556294</v>
      </c>
      <c r="X374" t="n">
        <v>96.447226</v>
      </c>
    </row>
    <row r="375" ht="21" customHeight="1">
      <c r="A375" t="inlineStr">
        <is>
          <t>Holothuroidea</t>
        </is>
      </c>
      <c r="D375" s="11" t="inlineStr">
        <is>
          <t>Echinoderms</t>
        </is>
      </c>
      <c r="E375" t="n">
        <v>140.953883</v>
      </c>
      <c r="F375" t="n">
        <v>18.617087</v>
      </c>
      <c r="G375" t="n">
        <v>12.882339</v>
      </c>
      <c r="H375" t="n">
        <v>42.220898</v>
      </c>
      <c r="I375" t="n">
        <v>603.989501</v>
      </c>
      <c r="J375" t="n">
        <v>603.989501</v>
      </c>
      <c r="K375" t="n">
        <v>240.387821</v>
      </c>
      <c r="L375" t="n">
        <v>1080.992157</v>
      </c>
      <c r="M375" t="n">
        <v>1080.992157</v>
      </c>
      <c r="N375" t="n">
        <v>1080.992157</v>
      </c>
      <c r="O375" t="n">
        <v>17.290347</v>
      </c>
      <c r="P375" t="n">
        <v>9.498851999999999</v>
      </c>
      <c r="Q375" t="n">
        <v>1080.992157</v>
      </c>
      <c r="R375" t="n">
        <v>1080.992157</v>
      </c>
      <c r="S375" t="n">
        <v>17.290347</v>
      </c>
      <c r="T375" t="n">
        <v>17.290347</v>
      </c>
      <c r="U375" t="n">
        <v>9.498851999999999</v>
      </c>
      <c r="V375" t="n">
        <v>9.498851999999999</v>
      </c>
      <c r="W375" t="n">
        <v>17.932707</v>
      </c>
      <c r="X375" t="n">
        <v>1135.08839</v>
      </c>
    </row>
    <row r="376" ht="21" customHeight="1">
      <c r="A376" t="inlineStr">
        <is>
          <t>Pinctada</t>
        </is>
      </c>
      <c r="D376" s="11" t="inlineStr">
        <is>
          <t>Non-ceph molluscs</t>
        </is>
      </c>
      <c r="E376" t="n">
        <v>140.953883</v>
      </c>
      <c r="F376" t="n">
        <v>14.712171</v>
      </c>
      <c r="G376" t="n">
        <v>10.486582</v>
      </c>
      <c r="H376" t="n">
        <v>17.347998</v>
      </c>
      <c r="I376" t="n">
        <v>87.52377799999999</v>
      </c>
      <c r="J376" t="n">
        <v>87.52377799999999</v>
      </c>
      <c r="K376" t="n">
        <v>33.521607</v>
      </c>
      <c r="L376" t="n">
        <v>92.59366</v>
      </c>
      <c r="M376" t="n">
        <v>92.59366</v>
      </c>
      <c r="N376" t="n">
        <v>92.59366</v>
      </c>
      <c r="O376" t="n">
        <v>4.448657</v>
      </c>
      <c r="P376" t="n">
        <v>3.058348</v>
      </c>
      <c r="Q376" t="n">
        <v>92.59366</v>
      </c>
      <c r="R376" t="n">
        <v>92.59366</v>
      </c>
      <c r="S376" t="n">
        <v>4.448657</v>
      </c>
      <c r="T376" t="n">
        <v>4.448657</v>
      </c>
      <c r="U376" t="n">
        <v>3.058348</v>
      </c>
      <c r="V376" t="n">
        <v>3.058348</v>
      </c>
      <c r="W376" t="n">
        <v>4.556294</v>
      </c>
      <c r="X376" t="n">
        <v>96.447226</v>
      </c>
    </row>
    <row r="377" ht="21" customHeight="1">
      <c r="A377" t="inlineStr">
        <is>
          <t>Carcharhinus amblyrhynchos</t>
        </is>
      </c>
      <c r="D377" s="11" t="inlineStr">
        <is>
          <t>Demersal sharks and rays</t>
        </is>
      </c>
      <c r="E377" t="n">
        <v>140.953883</v>
      </c>
      <c r="F377" t="n">
        <v>308.68601</v>
      </c>
      <c r="G377" t="n">
        <v>149.974663</v>
      </c>
      <c r="H377" t="n">
        <v>602.366804</v>
      </c>
      <c r="I377" t="n">
        <v>10706.101486</v>
      </c>
      <c r="J377" t="n">
        <v>10781.622707</v>
      </c>
      <c r="K377" t="n">
        <v>3924.510665</v>
      </c>
      <c r="L377" t="n">
        <v>18846.946222</v>
      </c>
      <c r="M377" t="n">
        <v>18846.946222</v>
      </c>
      <c r="N377" t="n">
        <v>18846.946222</v>
      </c>
      <c r="O377" t="n">
        <v>119.185901</v>
      </c>
      <c r="P377" t="n">
        <v>52.155741</v>
      </c>
      <c r="Q377" t="n">
        <v>18846.946222</v>
      </c>
      <c r="R377" t="n">
        <v>18846.946222</v>
      </c>
      <c r="S377" t="n">
        <v>119.185901</v>
      </c>
      <c r="T377" t="n">
        <v>119.185901</v>
      </c>
      <c r="U377" t="n">
        <v>52.155741</v>
      </c>
      <c r="V377" t="n">
        <v>52.155741</v>
      </c>
      <c r="W377" t="n">
        <v>124.506314</v>
      </c>
      <c r="X377" t="n">
        <v>20404.471037</v>
      </c>
    </row>
    <row r="378" ht="21" customHeight="1">
      <c r="A378" t="inlineStr">
        <is>
          <t>Sphyrnidae</t>
        </is>
      </c>
      <c r="D378" s="11" t="inlineStr">
        <is>
          <t>Pelagic sharks and rays</t>
        </is>
      </c>
      <c r="E378" t="n">
        <v>140.953883</v>
      </c>
      <c r="F378" t="n">
        <v>908.988005</v>
      </c>
      <c r="G378" t="n">
        <v>385.472886</v>
      </c>
      <c r="H378" t="n">
        <v>784.4685459999999</v>
      </c>
      <c r="I378" t="n">
        <v>125208.792952</v>
      </c>
      <c r="J378" t="n">
        <v>126616.154086</v>
      </c>
      <c r="K378" t="n">
        <v>63308.077043</v>
      </c>
      <c r="L378" t="n">
        <v>172174.15174</v>
      </c>
      <c r="M378" t="n">
        <v>172174.151739</v>
      </c>
      <c r="N378" t="n">
        <v>172174.151739</v>
      </c>
      <c r="O378" t="n">
        <v>202.141045</v>
      </c>
      <c r="P378" t="n">
        <v>87.49926499999999</v>
      </c>
      <c r="Q378" t="n">
        <v>172174.151739</v>
      </c>
      <c r="R378" t="n">
        <v>172174.151739</v>
      </c>
      <c r="S378" t="n">
        <v>202.141045</v>
      </c>
      <c r="T378" t="n">
        <v>202.141045</v>
      </c>
      <c r="U378" t="n">
        <v>87.49926499999999</v>
      </c>
      <c r="V378" t="n">
        <v>87.49926499999999</v>
      </c>
      <c r="W378" t="n">
        <v>214.928725</v>
      </c>
      <c r="X378" t="n">
        <v>183923.261916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3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6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1" t="inlineStr">
        <is>
          <t>Total PPR by method and year — every taxon summed, tonnes wet weight equivalent of primary production.</t>
        </is>
      </c>
    </row>
    <row r="2">
      <c r="A2" t="inlineStr">
        <is>
          <t>Internal sources: primary producers and detritus; excludes imports. The simple chain rows are unpartitioned references; model rows use this scope.</t>
        </is>
      </c>
    </row>
    <row r="3">
      <c r="A3" t="inlineStr">
        <is>
          <t>Methods are not alternatives to be averaged. They rest on different assumptions and the spread between them is the result.</t>
        </is>
      </c>
    </row>
    <row r="4">
      <c r="A4" t="inlineStr">
        <is>
          <t>The two grey rows aggregate the catch to a group before exponentiating, which understates the total: SPPR is convex in trophic level, so they measure the Jensen effect rather than the PPR.</t>
        </is>
      </c>
    </row>
    <row r="5">
      <c r="A5" s="4" t="inlineStr">
        <is>
          <t>method</t>
        </is>
      </c>
      <c r="B5" s="4" t="inlineStr">
        <is>
          <t>status</t>
        </is>
      </c>
      <c r="C5" s="4" t="n">
        <v>1950</v>
      </c>
      <c r="D5" s="4" t="n">
        <v>1951</v>
      </c>
      <c r="E5" s="4" t="n">
        <v>1952</v>
      </c>
      <c r="F5" s="4" t="n">
        <v>1953</v>
      </c>
      <c r="G5" s="4" t="n">
        <v>1954</v>
      </c>
      <c r="H5" s="4" t="n">
        <v>1955</v>
      </c>
      <c r="I5" s="4" t="n">
        <v>1956</v>
      </c>
      <c r="J5" s="4" t="n">
        <v>1957</v>
      </c>
      <c r="K5" s="4" t="n">
        <v>1958</v>
      </c>
      <c r="L5" s="4" t="n">
        <v>1959</v>
      </c>
      <c r="M5" s="4" t="n">
        <v>1960</v>
      </c>
      <c r="N5" s="4" t="n">
        <v>1961</v>
      </c>
      <c r="O5" s="4" t="n">
        <v>1962</v>
      </c>
      <c r="P5" s="4" t="n">
        <v>1963</v>
      </c>
      <c r="Q5" s="4" t="n">
        <v>1964</v>
      </c>
      <c r="R5" s="4" t="n">
        <v>1965</v>
      </c>
      <c r="S5" s="4" t="n">
        <v>1966</v>
      </c>
      <c r="T5" s="4" t="n">
        <v>1967</v>
      </c>
      <c r="U5" s="4" t="n">
        <v>1968</v>
      </c>
      <c r="V5" s="4" t="n">
        <v>1969</v>
      </c>
      <c r="W5" s="4" t="n">
        <v>1970</v>
      </c>
      <c r="X5" s="4" t="n">
        <v>1971</v>
      </c>
      <c r="Y5" s="4" t="n">
        <v>1972</v>
      </c>
      <c r="Z5" s="4" t="n">
        <v>1973</v>
      </c>
      <c r="AA5" s="4" t="n">
        <v>1974</v>
      </c>
      <c r="AB5" s="4" t="n">
        <v>1975</v>
      </c>
      <c r="AC5" s="4" t="n">
        <v>1976</v>
      </c>
      <c r="AD5" s="4" t="n">
        <v>1977</v>
      </c>
      <c r="AE5" s="4" t="n">
        <v>1978</v>
      </c>
      <c r="AF5" s="4" t="n">
        <v>1979</v>
      </c>
      <c r="AG5" s="4" t="n">
        <v>1980</v>
      </c>
      <c r="AH5" s="4" t="n">
        <v>1981</v>
      </c>
      <c r="AI5" s="4" t="n">
        <v>1982</v>
      </c>
      <c r="AJ5" s="4" t="n">
        <v>1983</v>
      </c>
      <c r="AK5" s="4" t="n">
        <v>1984</v>
      </c>
      <c r="AL5" s="4" t="n">
        <v>1985</v>
      </c>
      <c r="AM5" s="4" t="n">
        <v>1986</v>
      </c>
      <c r="AN5" s="4" t="n">
        <v>1987</v>
      </c>
      <c r="AO5" s="4" t="n">
        <v>1988</v>
      </c>
      <c r="AP5" s="4" t="n">
        <v>1989</v>
      </c>
      <c r="AQ5" s="4" t="n">
        <v>1990</v>
      </c>
      <c r="AR5" s="4" t="n">
        <v>1991</v>
      </c>
      <c r="AS5" s="4" t="n">
        <v>1992</v>
      </c>
      <c r="AT5" s="4" t="n">
        <v>1993</v>
      </c>
      <c r="AU5" s="4" t="n">
        <v>1994</v>
      </c>
      <c r="AV5" s="4" t="n">
        <v>1995</v>
      </c>
      <c r="AW5" s="4" t="n">
        <v>1996</v>
      </c>
      <c r="AX5" s="4" t="n">
        <v>1997</v>
      </c>
      <c r="AY5" s="4" t="n">
        <v>1998</v>
      </c>
      <c r="AZ5" s="4" t="n">
        <v>1999</v>
      </c>
      <c r="BA5" s="4" t="n">
        <v>2000</v>
      </c>
      <c r="BB5" s="4" t="n">
        <v>2001</v>
      </c>
      <c r="BC5" s="4" t="n">
        <v>2002</v>
      </c>
      <c r="BD5" s="4" t="n">
        <v>2003</v>
      </c>
      <c r="BE5" s="4" t="n">
        <v>2004</v>
      </c>
      <c r="BF5" s="4" t="n">
        <v>2005</v>
      </c>
      <c r="BG5" s="4" t="n">
        <v>2006</v>
      </c>
      <c r="BH5" s="4" t="n">
        <v>2007</v>
      </c>
      <c r="BI5" s="4" t="n">
        <v>2008</v>
      </c>
      <c r="BJ5" s="4" t="n">
        <v>2009</v>
      </c>
      <c r="BK5" s="4" t="n">
        <v>2010</v>
      </c>
      <c r="BL5" s="4" t="n">
        <v>2011</v>
      </c>
      <c r="BM5" s="4" t="n">
        <v>2012</v>
      </c>
      <c r="BN5" s="4" t="n">
        <v>2013</v>
      </c>
      <c r="BO5" s="4" t="n">
        <v>2014</v>
      </c>
      <c r="BP5" s="4" t="n">
        <v>2015</v>
      </c>
      <c r="BQ5" s="4" t="n">
        <v>2016</v>
      </c>
      <c r="BR5" s="4" t="n">
        <v>2017</v>
      </c>
      <c r="BS5" s="4" t="n">
        <v>2018</v>
      </c>
      <c r="BT5" s="4" t="n">
        <v>2019</v>
      </c>
    </row>
    <row r="6">
      <c r="A6" s="3" t="inlineStr">
        <is>
          <t>simple trophic chain, per taxon</t>
        </is>
      </c>
      <c r="B6" t="inlineStr">
        <is>
          <t>ok</t>
        </is>
      </c>
      <c r="C6" t="n">
        <v>529201121.408</v>
      </c>
      <c r="D6" t="n">
        <v>671908727.003</v>
      </c>
      <c r="E6" t="n">
        <v>809476842.367</v>
      </c>
      <c r="F6" t="n">
        <v>823020425.451</v>
      </c>
      <c r="G6" t="n">
        <v>1066341433.782</v>
      </c>
      <c r="H6" t="n">
        <v>1291769291.911</v>
      </c>
      <c r="I6" t="n">
        <v>1410283387.042</v>
      </c>
      <c r="J6" t="n">
        <v>1410658519.899</v>
      </c>
      <c r="K6" t="n">
        <v>1442459390.052</v>
      </c>
      <c r="L6" t="n">
        <v>1582528198.463</v>
      </c>
      <c r="M6" t="n">
        <v>1744051142.508</v>
      </c>
      <c r="N6" t="n">
        <v>1704972049.741</v>
      </c>
      <c r="O6" t="n">
        <v>1871921089.826</v>
      </c>
      <c r="P6" t="n">
        <v>2012519229.388</v>
      </c>
      <c r="Q6" t="n">
        <v>2021690999.084</v>
      </c>
      <c r="R6" t="n">
        <v>2140043508.014</v>
      </c>
      <c r="S6" t="n">
        <v>2201497309.604</v>
      </c>
      <c r="T6" t="n">
        <v>2207225976.168</v>
      </c>
      <c r="U6" t="n">
        <v>2274005904.799</v>
      </c>
      <c r="V6" t="n">
        <v>2254954379.378</v>
      </c>
      <c r="W6" t="n">
        <v>2183640185.353</v>
      </c>
      <c r="X6" t="n">
        <v>2258568174.156</v>
      </c>
      <c r="Y6" t="n">
        <v>2456380945.333</v>
      </c>
      <c r="Z6" t="n">
        <v>2623704166.609</v>
      </c>
      <c r="AA6" t="n">
        <v>2632179468.044</v>
      </c>
      <c r="AB6" t="n">
        <v>2585898633.144</v>
      </c>
      <c r="AC6" t="n">
        <v>2584707409.545</v>
      </c>
      <c r="AD6" t="n">
        <v>2600006598.381</v>
      </c>
      <c r="AE6" t="n">
        <v>2475430599.232</v>
      </c>
      <c r="AF6" t="n">
        <v>2648685511.595</v>
      </c>
      <c r="AG6" t="n">
        <v>2583552999.876</v>
      </c>
      <c r="AH6" t="n">
        <v>2698533692.361</v>
      </c>
      <c r="AI6" t="n">
        <v>2856220420.731</v>
      </c>
      <c r="AJ6" t="n">
        <v>2970787071.719</v>
      </c>
      <c r="AK6" t="n">
        <v>3009747423.799</v>
      </c>
      <c r="AL6" t="n">
        <v>3058991582.644</v>
      </c>
      <c r="AM6" t="n">
        <v>3144725004.555</v>
      </c>
      <c r="AN6" t="n">
        <v>3277813240.519</v>
      </c>
      <c r="AO6" t="n">
        <v>3384829112.511</v>
      </c>
      <c r="AP6" t="n">
        <v>3547193273.059</v>
      </c>
      <c r="AQ6" t="n">
        <v>3829433702.847</v>
      </c>
      <c r="AR6" t="n">
        <v>4118840962.499</v>
      </c>
      <c r="AS6" t="n">
        <v>4344567911.978</v>
      </c>
      <c r="AT6" t="n">
        <v>4270965924.346</v>
      </c>
      <c r="AU6" t="n">
        <v>5032726638.098</v>
      </c>
      <c r="AV6" t="n">
        <v>5514843622.143</v>
      </c>
      <c r="AW6" t="n">
        <v>6135156638.927</v>
      </c>
      <c r="AX6" t="n">
        <v>6159835614.401</v>
      </c>
      <c r="AY6" t="n">
        <v>6424693700.808</v>
      </c>
      <c r="AZ6" t="n">
        <v>6298431019.347</v>
      </c>
      <c r="BA6" t="n">
        <v>6084812039.217</v>
      </c>
      <c r="BB6" t="n">
        <v>6396671197.315</v>
      </c>
      <c r="BC6" t="n">
        <v>6524855902.472</v>
      </c>
      <c r="BD6" t="n">
        <v>6904839599.908</v>
      </c>
      <c r="BE6" t="n">
        <v>6843063361.043</v>
      </c>
      <c r="BF6" t="n">
        <v>6716452500.005</v>
      </c>
      <c r="BG6" t="n">
        <v>6840669943.079</v>
      </c>
      <c r="BH6" t="n">
        <v>6829467293.882</v>
      </c>
      <c r="BI6" t="n">
        <v>6697773972.205</v>
      </c>
      <c r="BJ6" t="n">
        <v>7224822488.669</v>
      </c>
      <c r="BK6" t="n">
        <v>7270196645.183</v>
      </c>
      <c r="BL6" t="n">
        <v>6892165290.281</v>
      </c>
      <c r="BM6" t="n">
        <v>7362882325.306</v>
      </c>
      <c r="BN6" t="n">
        <v>7806376031.998</v>
      </c>
      <c r="BO6" t="n">
        <v>7660623072.467</v>
      </c>
      <c r="BP6" t="n">
        <v>7923551080.904</v>
      </c>
      <c r="BQ6" t="n">
        <v>7965661872.902</v>
      </c>
      <c r="BR6" t="n">
        <v>7905591515.317</v>
      </c>
      <c r="BS6" t="n">
        <v>7864812392.776</v>
      </c>
      <c r="BT6" t="n">
        <v>8070990710.106</v>
      </c>
    </row>
    <row r="7">
      <c r="A7" s="17" t="inlineStr">
        <is>
          <t>simple, aggregated to SAU functional group</t>
        </is>
      </c>
      <c r="B7" t="inlineStr">
        <is>
          <t>Jensen comparison, not a PPR estimate</t>
        </is>
      </c>
      <c r="C7" t="n">
        <v>452775457.006</v>
      </c>
      <c r="D7" t="n">
        <v>577496635.5779999</v>
      </c>
      <c r="E7" t="n">
        <v>690236712.374</v>
      </c>
      <c r="F7" t="n">
        <v>703866485.142</v>
      </c>
      <c r="G7" t="n">
        <v>930789325.9170001</v>
      </c>
      <c r="H7" t="n">
        <v>1092708929.593</v>
      </c>
      <c r="I7" t="n">
        <v>1187472549.125</v>
      </c>
      <c r="J7" t="n">
        <v>1195023069.506</v>
      </c>
      <c r="K7" t="n">
        <v>1236613894.528</v>
      </c>
      <c r="L7" t="n">
        <v>1340025350.599</v>
      </c>
      <c r="M7" t="n">
        <v>1457728553.177</v>
      </c>
      <c r="N7" t="n">
        <v>1433172318.934</v>
      </c>
      <c r="O7" t="n">
        <v>1570057213.665</v>
      </c>
      <c r="P7" t="n">
        <v>1678821741.8</v>
      </c>
      <c r="Q7" t="n">
        <v>1683742293.139</v>
      </c>
      <c r="R7" t="n">
        <v>1762146939.422</v>
      </c>
      <c r="S7" t="n">
        <v>1790173797.899</v>
      </c>
      <c r="T7" t="n">
        <v>1809971103.335</v>
      </c>
      <c r="U7" t="n">
        <v>1859637934.432</v>
      </c>
      <c r="V7" t="n">
        <v>1825817802.097</v>
      </c>
      <c r="W7" t="n">
        <v>1778505957.304</v>
      </c>
      <c r="X7" t="n">
        <v>1840557009.115</v>
      </c>
      <c r="Y7" t="n">
        <v>2038946857.593</v>
      </c>
      <c r="Z7" t="n">
        <v>2186399460.522</v>
      </c>
      <c r="AA7" t="n">
        <v>2195678077.656</v>
      </c>
      <c r="AB7" t="n">
        <v>2106761653.818</v>
      </c>
      <c r="AC7" t="n">
        <v>2077889980.347</v>
      </c>
      <c r="AD7" t="n">
        <v>2055514941.109</v>
      </c>
      <c r="AE7" t="n">
        <v>1962780507.6</v>
      </c>
      <c r="AF7" t="n">
        <v>2085899988.221</v>
      </c>
      <c r="AG7" t="n">
        <v>2056927037.449</v>
      </c>
      <c r="AH7" t="n">
        <v>2155316773.318</v>
      </c>
      <c r="AI7" t="n">
        <v>2301934476.851</v>
      </c>
      <c r="AJ7" t="n">
        <v>2366857818.556</v>
      </c>
      <c r="AK7" t="n">
        <v>2401441649.441</v>
      </c>
      <c r="AL7" t="n">
        <v>2422969561.31</v>
      </c>
      <c r="AM7" t="n">
        <v>2462968780.999</v>
      </c>
      <c r="AN7" t="n">
        <v>2564006402.923</v>
      </c>
      <c r="AO7" t="n">
        <v>2634238796.052</v>
      </c>
      <c r="AP7" t="n">
        <v>2779639085.814</v>
      </c>
      <c r="AQ7" t="n">
        <v>3067376728.46</v>
      </c>
      <c r="AR7" t="n">
        <v>3315950573.894</v>
      </c>
      <c r="AS7" t="n">
        <v>3458565132.835</v>
      </c>
      <c r="AT7" t="n">
        <v>3393994860.826</v>
      </c>
      <c r="AU7" t="n">
        <v>4063300178.018</v>
      </c>
      <c r="AV7" t="n">
        <v>4249117265.073</v>
      </c>
      <c r="AW7" t="n">
        <v>4723014257.615</v>
      </c>
      <c r="AX7" t="n">
        <v>4695782866.468</v>
      </c>
      <c r="AY7" t="n">
        <v>5008375558.694</v>
      </c>
      <c r="AZ7" t="n">
        <v>4834566012.697</v>
      </c>
      <c r="BA7" t="n">
        <v>4659113064.135</v>
      </c>
      <c r="BB7" t="n">
        <v>4870290380.773</v>
      </c>
      <c r="BC7" t="n">
        <v>4970967549.879</v>
      </c>
      <c r="BD7" t="n">
        <v>5246047277.67</v>
      </c>
      <c r="BE7" t="n">
        <v>5115728056.65</v>
      </c>
      <c r="BF7" t="n">
        <v>5107308950.689</v>
      </c>
      <c r="BG7" t="n">
        <v>5266702814.717</v>
      </c>
      <c r="BH7" t="n">
        <v>5304751577.946</v>
      </c>
      <c r="BI7" t="n">
        <v>5146833701.954</v>
      </c>
      <c r="BJ7" t="n">
        <v>5596231873.752</v>
      </c>
      <c r="BK7" t="n">
        <v>5640911399.735</v>
      </c>
      <c r="BL7" t="n">
        <v>5261568054.783</v>
      </c>
      <c r="BM7" t="n">
        <v>5661868023.547</v>
      </c>
      <c r="BN7" t="n">
        <v>6025325841.64</v>
      </c>
      <c r="BO7" t="n">
        <v>5855540910.118</v>
      </c>
      <c r="BP7" t="n">
        <v>6054387219.022</v>
      </c>
      <c r="BQ7" t="n">
        <v>6119807076.283</v>
      </c>
      <c r="BR7" t="n">
        <v>6070646918.227</v>
      </c>
      <c r="BS7" t="n">
        <v>5995142598.936</v>
      </c>
      <c r="BT7" t="n">
        <v>6177614143.622</v>
      </c>
    </row>
    <row r="8">
      <c r="A8" s="17" t="inlineStr">
        <is>
          <t>simple, aggregated to SAU commercial group</t>
        </is>
      </c>
      <c r="B8" t="inlineStr">
        <is>
          <t>Jensen comparison, not a PPR estimate</t>
        </is>
      </c>
      <c r="C8" t="n">
        <v>352524161.985</v>
      </c>
      <c r="D8" t="n">
        <v>447322875.375</v>
      </c>
      <c r="E8" t="n">
        <v>534503977.032</v>
      </c>
      <c r="F8" t="n">
        <v>546225561.725</v>
      </c>
      <c r="G8" t="n">
        <v>734840275.38</v>
      </c>
      <c r="H8" t="n">
        <v>884983464.847</v>
      </c>
      <c r="I8" t="n">
        <v>962002696.425</v>
      </c>
      <c r="J8" t="n">
        <v>965220830.105</v>
      </c>
      <c r="K8" t="n">
        <v>1002871386.059</v>
      </c>
      <c r="L8" t="n">
        <v>1096243663.163</v>
      </c>
      <c r="M8" t="n">
        <v>1200744359.541</v>
      </c>
      <c r="N8" t="n">
        <v>1174481715.165</v>
      </c>
      <c r="O8" t="n">
        <v>1284149723.093</v>
      </c>
      <c r="P8" t="n">
        <v>1372462994.917</v>
      </c>
      <c r="Q8" t="n">
        <v>1373343411.581</v>
      </c>
      <c r="R8" t="n">
        <v>1434498620.386</v>
      </c>
      <c r="S8" t="n">
        <v>1475042105.44</v>
      </c>
      <c r="T8" t="n">
        <v>1493982775.711</v>
      </c>
      <c r="U8" t="n">
        <v>1534173413.738</v>
      </c>
      <c r="V8" t="n">
        <v>1514437562.909</v>
      </c>
      <c r="W8" t="n">
        <v>1458815321.031</v>
      </c>
      <c r="X8" t="n">
        <v>1503115003.096</v>
      </c>
      <c r="Y8" t="n">
        <v>1649534941.452</v>
      </c>
      <c r="Z8" t="n">
        <v>1768592161.063</v>
      </c>
      <c r="AA8" t="n">
        <v>1763266989.862</v>
      </c>
      <c r="AB8" t="n">
        <v>1726029046.87</v>
      </c>
      <c r="AC8" t="n">
        <v>1696083652.078</v>
      </c>
      <c r="AD8" t="n">
        <v>1717125961.004</v>
      </c>
      <c r="AE8" t="n">
        <v>1601249844.677</v>
      </c>
      <c r="AF8" t="n">
        <v>1702256199.741</v>
      </c>
      <c r="AG8" t="n">
        <v>1663041180.188</v>
      </c>
      <c r="AH8" t="n">
        <v>1717806699.279</v>
      </c>
      <c r="AI8" t="n">
        <v>1799126642.941</v>
      </c>
      <c r="AJ8" t="n">
        <v>1884833735.909</v>
      </c>
      <c r="AK8" t="n">
        <v>1911433532.43</v>
      </c>
      <c r="AL8" t="n">
        <v>1941204922.973</v>
      </c>
      <c r="AM8" t="n">
        <v>1990220139.633</v>
      </c>
      <c r="AN8" t="n">
        <v>2088591954.669</v>
      </c>
      <c r="AO8" t="n">
        <v>2161112965.195</v>
      </c>
      <c r="AP8" t="n">
        <v>2268846585.779</v>
      </c>
      <c r="AQ8" t="n">
        <v>2439850510.747</v>
      </c>
      <c r="AR8" t="n">
        <v>2612719363.181</v>
      </c>
      <c r="AS8" t="n">
        <v>2769242412.564</v>
      </c>
      <c r="AT8" t="n">
        <v>2744446837.13</v>
      </c>
      <c r="AU8" t="n">
        <v>3151511421.136</v>
      </c>
      <c r="AV8" t="n">
        <v>3423595948.18</v>
      </c>
      <c r="AW8" t="n">
        <v>3795718004.549</v>
      </c>
      <c r="AX8" t="n">
        <v>3852852532.657</v>
      </c>
      <c r="AY8" t="n">
        <v>3991702026.062</v>
      </c>
      <c r="AZ8" t="n">
        <v>3958635016.714</v>
      </c>
      <c r="BA8" t="n">
        <v>3843172699.588</v>
      </c>
      <c r="BB8" t="n">
        <v>3976494640.444</v>
      </c>
      <c r="BC8" t="n">
        <v>4058816069.39</v>
      </c>
      <c r="BD8" t="n">
        <v>4313138547.089</v>
      </c>
      <c r="BE8" t="n">
        <v>4304393802.591</v>
      </c>
      <c r="BF8" t="n">
        <v>4223691645.031</v>
      </c>
      <c r="BG8" t="n">
        <v>4310443698.596</v>
      </c>
      <c r="BH8" t="n">
        <v>4303091381.068</v>
      </c>
      <c r="BI8" t="n">
        <v>4176231625.207</v>
      </c>
      <c r="BJ8" t="n">
        <v>4487373975.996</v>
      </c>
      <c r="BK8" t="n">
        <v>4504006913.857</v>
      </c>
      <c r="BL8" t="n">
        <v>4363247230.522</v>
      </c>
      <c r="BM8" t="n">
        <v>4652468666.503</v>
      </c>
      <c r="BN8" t="n">
        <v>4903028088.888</v>
      </c>
      <c r="BO8" t="n">
        <v>4811938832.712</v>
      </c>
      <c r="BP8" t="n">
        <v>4951933871.304</v>
      </c>
      <c r="BQ8" t="n">
        <v>5028078762.75</v>
      </c>
      <c r="BR8" t="n">
        <v>5008397765.987</v>
      </c>
      <c r="BS8" t="n">
        <v>4929279651.182</v>
      </c>
      <c r="BT8" t="n">
        <v>5121239745.054</v>
      </c>
    </row>
    <row r="9">
      <c r="A9" t="inlineStr">
        <is>
          <t>SPPR_1986</t>
        </is>
      </c>
      <c r="B9" t="inlineStr">
        <is>
          <t>ok</t>
        </is>
      </c>
      <c r="C9" t="n">
        <v>94376241.675</v>
      </c>
      <c r="D9" t="n">
        <v>113698027.711</v>
      </c>
      <c r="E9" t="n">
        <v>130798611.575</v>
      </c>
      <c r="F9" t="n">
        <v>133005587.131</v>
      </c>
      <c r="G9" t="n">
        <v>173662195.325</v>
      </c>
      <c r="H9" t="n">
        <v>191914765.392</v>
      </c>
      <c r="I9" t="n">
        <v>213107394.541</v>
      </c>
      <c r="J9" t="n">
        <v>209660913.529</v>
      </c>
      <c r="K9" t="n">
        <v>226828642.889</v>
      </c>
      <c r="L9" t="n">
        <v>238260573.663</v>
      </c>
      <c r="M9" t="n">
        <v>266483568.233</v>
      </c>
      <c r="N9" t="n">
        <v>257535448.837</v>
      </c>
      <c r="O9" t="n">
        <v>288999847.655</v>
      </c>
      <c r="P9" t="n">
        <v>305438284.444</v>
      </c>
      <c r="Q9" t="n">
        <v>317626531.045</v>
      </c>
      <c r="R9" t="n">
        <v>335050177.967</v>
      </c>
      <c r="S9" t="n">
        <v>352122762.046</v>
      </c>
      <c r="T9" t="n">
        <v>343955256.671</v>
      </c>
      <c r="U9" t="n">
        <v>359158180.945</v>
      </c>
      <c r="V9" t="n">
        <v>371145968.29</v>
      </c>
      <c r="W9" t="n">
        <v>382739948.388</v>
      </c>
      <c r="X9" t="n">
        <v>378810064.624</v>
      </c>
      <c r="Y9" t="n">
        <v>395454138.891</v>
      </c>
      <c r="Z9" t="n">
        <v>433374634.881</v>
      </c>
      <c r="AA9" t="n">
        <v>441848646.447</v>
      </c>
      <c r="AB9" t="n">
        <v>451725592.873</v>
      </c>
      <c r="AC9" t="n">
        <v>455869226.293</v>
      </c>
      <c r="AD9" t="n">
        <v>482342402.586</v>
      </c>
      <c r="AE9" t="n">
        <v>478833595.29</v>
      </c>
      <c r="AF9" t="n">
        <v>486236225.977</v>
      </c>
      <c r="AG9" t="n">
        <v>484810731.026</v>
      </c>
      <c r="AH9" t="n">
        <v>503441228.759</v>
      </c>
      <c r="AI9" t="n">
        <v>541537053.0549999</v>
      </c>
      <c r="AJ9" t="n">
        <v>575594808.663</v>
      </c>
      <c r="AK9" t="n">
        <v>603539314.021</v>
      </c>
      <c r="AL9" t="n">
        <v>647313465.776</v>
      </c>
      <c r="AM9" t="n">
        <v>664227258.117</v>
      </c>
      <c r="AN9" t="n">
        <v>722817649.72</v>
      </c>
      <c r="AO9" t="n">
        <v>746607210.673</v>
      </c>
      <c r="AP9" t="n">
        <v>758578205.1950001</v>
      </c>
      <c r="AQ9" t="n">
        <v>810499072.331</v>
      </c>
      <c r="AR9" t="n">
        <v>836760432.573</v>
      </c>
      <c r="AS9" t="n">
        <v>913106110.353</v>
      </c>
      <c r="AT9" t="n">
        <v>923930664.08</v>
      </c>
      <c r="AU9" t="n">
        <v>1069950309.824</v>
      </c>
      <c r="AV9" t="n">
        <v>1159085273.262</v>
      </c>
      <c r="AW9" t="n">
        <v>1260484795.734</v>
      </c>
      <c r="AX9" t="n">
        <v>1322343325.744</v>
      </c>
      <c r="AY9" t="n">
        <v>1327173710.726</v>
      </c>
      <c r="AZ9" t="n">
        <v>1266747193.374</v>
      </c>
      <c r="BA9" t="n">
        <v>1260802386.821</v>
      </c>
      <c r="BB9" t="n">
        <v>1318704520.347</v>
      </c>
      <c r="BC9" t="n">
        <v>1326615010.834</v>
      </c>
      <c r="BD9" t="n">
        <v>1367201295.444</v>
      </c>
      <c r="BE9" t="n">
        <v>1317949614.904</v>
      </c>
      <c r="BF9" t="n">
        <v>1308197530.785</v>
      </c>
      <c r="BG9" t="n">
        <v>1295092112.63</v>
      </c>
      <c r="BH9" t="n">
        <v>1294060858.502</v>
      </c>
      <c r="BI9" t="n">
        <v>1279355764.032</v>
      </c>
      <c r="BJ9" t="n">
        <v>1386374429.824</v>
      </c>
      <c r="BK9" t="n">
        <v>1401930472.047</v>
      </c>
      <c r="BL9" t="n">
        <v>1342082656.366</v>
      </c>
      <c r="BM9" t="n">
        <v>1448761155.474</v>
      </c>
      <c r="BN9" t="n">
        <v>1532921247.883</v>
      </c>
      <c r="BO9" t="n">
        <v>1499689433.541</v>
      </c>
      <c r="BP9" t="n">
        <v>1550768897.193</v>
      </c>
      <c r="BQ9" t="n">
        <v>1551471087.152</v>
      </c>
      <c r="BR9" t="n">
        <v>1514239030.506</v>
      </c>
      <c r="BS9" t="n">
        <v>1511262649.017</v>
      </c>
      <c r="BT9" t="n">
        <v>1559531470.817</v>
      </c>
    </row>
    <row r="10">
      <c r="A10" t="inlineStr">
        <is>
          <t>SPPR_1995_TE0.1</t>
        </is>
      </c>
      <c r="B10" t="inlineStr">
        <is>
          <t>ok</t>
        </is>
      </c>
      <c r="C10" t="n">
        <v>152464274.568</v>
      </c>
      <c r="D10" t="n">
        <v>193153466.71</v>
      </c>
      <c r="E10" t="n">
        <v>232937049.119</v>
      </c>
      <c r="F10" t="n">
        <v>236968570.216</v>
      </c>
      <c r="G10" t="n">
        <v>294275509.239</v>
      </c>
      <c r="H10" t="n">
        <v>344163509.159</v>
      </c>
      <c r="I10" t="n">
        <v>382481765.047</v>
      </c>
      <c r="J10" t="n">
        <v>379663008.273</v>
      </c>
      <c r="K10" t="n">
        <v>391702636.189</v>
      </c>
      <c r="L10" t="n">
        <v>420077786.41</v>
      </c>
      <c r="M10" t="n">
        <v>472671262.349</v>
      </c>
      <c r="N10" t="n">
        <v>451506913.89</v>
      </c>
      <c r="O10" t="n">
        <v>503661565.635</v>
      </c>
      <c r="P10" t="n">
        <v>531892928.009</v>
      </c>
      <c r="Q10" t="n">
        <v>539361981.817</v>
      </c>
      <c r="R10" t="n">
        <v>584890797.221</v>
      </c>
      <c r="S10" t="n">
        <v>614036920.089</v>
      </c>
      <c r="T10" t="n">
        <v>603363160.826</v>
      </c>
      <c r="U10" t="n">
        <v>627162694.929</v>
      </c>
      <c r="V10" t="n">
        <v>640742043.092</v>
      </c>
      <c r="W10" t="n">
        <v>632836316.568</v>
      </c>
      <c r="X10" t="n">
        <v>648733749.811</v>
      </c>
      <c r="Y10" t="n">
        <v>695888151.608</v>
      </c>
      <c r="Z10" t="n">
        <v>748044879.113</v>
      </c>
      <c r="AA10" t="n">
        <v>751676823.397</v>
      </c>
      <c r="AB10" t="n">
        <v>737502516.661</v>
      </c>
      <c r="AC10" t="n">
        <v>734897749.874</v>
      </c>
      <c r="AD10" t="n">
        <v>746860440.049</v>
      </c>
      <c r="AE10" t="n">
        <v>744602531.658</v>
      </c>
      <c r="AF10" t="n">
        <v>775216269.239</v>
      </c>
      <c r="AG10" t="n">
        <v>766250978.5319999</v>
      </c>
      <c r="AH10" t="n">
        <v>806361586.573</v>
      </c>
      <c r="AI10" t="n">
        <v>865845820.387</v>
      </c>
      <c r="AJ10" t="n">
        <v>879609825.83</v>
      </c>
      <c r="AK10" t="n">
        <v>918491655.123</v>
      </c>
      <c r="AL10" t="n">
        <v>949641073.095</v>
      </c>
      <c r="AM10" t="n">
        <v>964606336.98</v>
      </c>
      <c r="AN10" t="n">
        <v>1020065596.381</v>
      </c>
      <c r="AO10" t="n">
        <v>1019742451.7</v>
      </c>
      <c r="AP10" t="n">
        <v>1073873080.409</v>
      </c>
      <c r="AQ10" t="n">
        <v>1145608935.674</v>
      </c>
      <c r="AR10" t="n">
        <v>1212766707.595</v>
      </c>
      <c r="AS10" t="n">
        <v>1289276899.203</v>
      </c>
      <c r="AT10" t="n">
        <v>1256522116.458</v>
      </c>
      <c r="AU10" t="n">
        <v>1473573418.261</v>
      </c>
      <c r="AV10" t="n">
        <v>1596916285.306</v>
      </c>
      <c r="AW10" t="n">
        <v>1733889987.03</v>
      </c>
      <c r="AX10" t="n">
        <v>1718107528.733</v>
      </c>
      <c r="AY10" t="n">
        <v>1734019275.998</v>
      </c>
      <c r="AZ10" t="n">
        <v>1711826368.439</v>
      </c>
      <c r="BA10" t="n">
        <v>1695370284.528</v>
      </c>
      <c r="BB10" t="n">
        <v>1785621019.13</v>
      </c>
      <c r="BC10" t="n">
        <v>1812675258.683</v>
      </c>
      <c r="BD10" t="n">
        <v>1939804723.326</v>
      </c>
      <c r="BE10" t="n">
        <v>1876774019.529</v>
      </c>
      <c r="BF10" t="n">
        <v>1846380901.097</v>
      </c>
      <c r="BG10" t="n">
        <v>1859481631.375</v>
      </c>
      <c r="BH10" t="n">
        <v>1850001863.338</v>
      </c>
      <c r="BI10" t="n">
        <v>1855488043.691</v>
      </c>
      <c r="BJ10" t="n">
        <v>2004420709.263</v>
      </c>
      <c r="BK10" t="n">
        <v>2013114077.898</v>
      </c>
      <c r="BL10" t="n">
        <v>1899290146.139</v>
      </c>
      <c r="BM10" t="n">
        <v>2030656393.595</v>
      </c>
      <c r="BN10" t="n">
        <v>2161461981.858</v>
      </c>
      <c r="BO10" t="n">
        <v>2108374512.851</v>
      </c>
      <c r="BP10" t="n">
        <v>2186928892.726</v>
      </c>
      <c r="BQ10" t="n">
        <v>2204049819.017</v>
      </c>
      <c r="BR10" t="n">
        <v>2179292585.051</v>
      </c>
      <c r="BS10" t="n">
        <v>2195345683.525</v>
      </c>
      <c r="BT10" t="n">
        <v>2260661509.193</v>
      </c>
    </row>
    <row r="11">
      <c r="A11" t="inlineStr">
        <is>
          <t>SPPR_1995_TEmean</t>
        </is>
      </c>
      <c r="B11" t="inlineStr">
        <is>
          <t>ok</t>
        </is>
      </c>
      <c r="C11" t="n">
        <v>73302084.09999999</v>
      </c>
      <c r="D11" t="n">
        <v>92129217.56200001</v>
      </c>
      <c r="E11" t="n">
        <v>110468507.989</v>
      </c>
      <c r="F11" t="n">
        <v>112410512.762</v>
      </c>
      <c r="G11" t="n">
        <v>140168381.953</v>
      </c>
      <c r="H11" t="n">
        <v>163047234.403</v>
      </c>
      <c r="I11" t="n">
        <v>180798071.289</v>
      </c>
      <c r="J11" t="n">
        <v>179618670.246</v>
      </c>
      <c r="K11" t="n">
        <v>186392288.787</v>
      </c>
      <c r="L11" t="n">
        <v>199439167.792</v>
      </c>
      <c r="M11" t="n">
        <v>224812806.404</v>
      </c>
      <c r="N11" t="n">
        <v>214642380.328</v>
      </c>
      <c r="O11" t="n">
        <v>239793874.814</v>
      </c>
      <c r="P11" t="n">
        <v>253362769.188</v>
      </c>
      <c r="Q11" t="n">
        <v>257738389.453</v>
      </c>
      <c r="R11" t="n">
        <v>278790340.2</v>
      </c>
      <c r="S11" t="n">
        <v>293221908.096</v>
      </c>
      <c r="T11" t="n">
        <v>287750357.058</v>
      </c>
      <c r="U11" t="n">
        <v>299050558.007</v>
      </c>
      <c r="V11" t="n">
        <v>306118949.416</v>
      </c>
      <c r="W11" t="n">
        <v>304164117.132</v>
      </c>
      <c r="X11" t="n">
        <v>310061101.05</v>
      </c>
      <c r="Y11" t="n">
        <v>331688303.018</v>
      </c>
      <c r="Z11" t="n">
        <v>356923141.391</v>
      </c>
      <c r="AA11" t="n">
        <v>359055117.694</v>
      </c>
      <c r="AB11" t="n">
        <v>353585001.506</v>
      </c>
      <c r="AC11" t="n">
        <v>353124771.416</v>
      </c>
      <c r="AD11" t="n">
        <v>361301743.399</v>
      </c>
      <c r="AE11" t="n">
        <v>360635968.85</v>
      </c>
      <c r="AF11" t="n">
        <v>374482107.18</v>
      </c>
      <c r="AG11" t="n">
        <v>370964673.168</v>
      </c>
      <c r="AH11" t="n">
        <v>389554736.503</v>
      </c>
      <c r="AI11" t="n">
        <v>418307371.223</v>
      </c>
      <c r="AJ11" t="n">
        <v>426348527.886</v>
      </c>
      <c r="AK11" t="n">
        <v>445981351.582</v>
      </c>
      <c r="AL11" t="n">
        <v>462852950.405</v>
      </c>
      <c r="AM11" t="n">
        <v>470657701.374</v>
      </c>
      <c r="AN11" t="n">
        <v>500320783.533</v>
      </c>
      <c r="AO11" t="n">
        <v>501109638.825</v>
      </c>
      <c r="AP11" t="n">
        <v>527240513.478</v>
      </c>
      <c r="AQ11" t="n">
        <v>562319016.403</v>
      </c>
      <c r="AR11" t="n">
        <v>593235771.867</v>
      </c>
      <c r="AS11" t="n">
        <v>631711046.3710001</v>
      </c>
      <c r="AT11" t="n">
        <v>616719585.487</v>
      </c>
      <c r="AU11" t="n">
        <v>720867212.976</v>
      </c>
      <c r="AV11" t="n">
        <v>780714995.1619999</v>
      </c>
      <c r="AW11" t="n">
        <v>849430028.33</v>
      </c>
      <c r="AX11" t="n">
        <v>846343559.1339999</v>
      </c>
      <c r="AY11" t="n">
        <v>853152934.321</v>
      </c>
      <c r="AZ11" t="n">
        <v>839411656.515</v>
      </c>
      <c r="BA11" t="n">
        <v>831607855.2970001</v>
      </c>
      <c r="BB11" t="n">
        <v>874888608.263</v>
      </c>
      <c r="BC11" t="n">
        <v>888054275.498</v>
      </c>
      <c r="BD11" t="n">
        <v>948258001.242</v>
      </c>
      <c r="BE11" t="n">
        <v>917052183.772</v>
      </c>
      <c r="BF11" t="n">
        <v>903760961.74</v>
      </c>
      <c r="BG11" t="n">
        <v>907430515.41</v>
      </c>
      <c r="BH11" t="n">
        <v>903913570.525</v>
      </c>
      <c r="BI11" t="n">
        <v>906047186.877</v>
      </c>
      <c r="BJ11" t="n">
        <v>979321860.874</v>
      </c>
      <c r="BK11" t="n">
        <v>984292474.719</v>
      </c>
      <c r="BL11" t="n">
        <v>931679254.897</v>
      </c>
      <c r="BM11" t="n">
        <v>998029888.49</v>
      </c>
      <c r="BN11" t="n">
        <v>1061529648.642</v>
      </c>
      <c r="BO11" t="n">
        <v>1035363672.679</v>
      </c>
      <c r="BP11" t="n">
        <v>1073284224.36</v>
      </c>
      <c r="BQ11" t="n">
        <v>1081883037.678</v>
      </c>
      <c r="BR11" t="n">
        <v>1068001260.699</v>
      </c>
      <c r="BS11" t="n">
        <v>1074355100.183</v>
      </c>
      <c r="BT11" t="n">
        <v>1107788789.607</v>
      </c>
    </row>
    <row r="12">
      <c r="A12" t="inlineStr">
        <is>
          <t>Ulanowicz_globalTEmean</t>
        </is>
      </c>
      <c r="B12" t="inlineStr">
        <is>
          <t>ok</t>
        </is>
      </c>
      <c r="C12" t="n">
        <v>196670121.914</v>
      </c>
      <c r="D12" t="n">
        <v>246904866.306</v>
      </c>
      <c r="E12" t="n">
        <v>295405330.184</v>
      </c>
      <c r="F12" t="n">
        <v>300670354.137</v>
      </c>
      <c r="G12" t="n">
        <v>367602849.419</v>
      </c>
      <c r="H12" t="n">
        <v>420906877.917</v>
      </c>
      <c r="I12" t="n">
        <v>467919149.705</v>
      </c>
      <c r="J12" t="n">
        <v>464568708.075</v>
      </c>
      <c r="K12" t="n">
        <v>486037394.536</v>
      </c>
      <c r="L12" t="n">
        <v>514665817.329</v>
      </c>
      <c r="M12" t="n">
        <v>583641097.0140001</v>
      </c>
      <c r="N12" t="n">
        <v>553875296.673</v>
      </c>
      <c r="O12" t="n">
        <v>619313564.592</v>
      </c>
      <c r="P12" t="n">
        <v>647248783.006</v>
      </c>
      <c r="Q12" t="n">
        <v>664463396.457</v>
      </c>
      <c r="R12" t="n">
        <v>721879505.796</v>
      </c>
      <c r="S12" t="n">
        <v>767290591.837</v>
      </c>
      <c r="T12" t="n">
        <v>749959893.166</v>
      </c>
      <c r="U12" t="n">
        <v>778319781.608</v>
      </c>
      <c r="V12" t="n">
        <v>803136609.808</v>
      </c>
      <c r="W12" t="n">
        <v>801793031.123</v>
      </c>
      <c r="X12" t="n">
        <v>815136247.124</v>
      </c>
      <c r="Y12" t="n">
        <v>870277749.561</v>
      </c>
      <c r="Z12" t="n">
        <v>948673279.4170001</v>
      </c>
      <c r="AA12" t="n">
        <v>947914121.071</v>
      </c>
      <c r="AB12" t="n">
        <v>931594878.742</v>
      </c>
      <c r="AC12" t="n">
        <v>925713286.222</v>
      </c>
      <c r="AD12" t="n">
        <v>955155918.669</v>
      </c>
      <c r="AE12" t="n">
        <v>955510451.8890001</v>
      </c>
      <c r="AF12" t="n">
        <v>978465595.092</v>
      </c>
      <c r="AG12" t="n">
        <v>968579036.359</v>
      </c>
      <c r="AH12" t="n">
        <v>1021460346.679</v>
      </c>
      <c r="AI12" t="n">
        <v>1088276106.277</v>
      </c>
      <c r="AJ12" t="n">
        <v>1094566904.543</v>
      </c>
      <c r="AK12" t="n">
        <v>1161667722.695</v>
      </c>
      <c r="AL12" t="n">
        <v>1202520751.202</v>
      </c>
      <c r="AM12" t="n">
        <v>1215945978.094</v>
      </c>
      <c r="AN12" t="n">
        <v>1290862964.426</v>
      </c>
      <c r="AO12" t="n">
        <v>1275436274.474</v>
      </c>
      <c r="AP12" t="n">
        <v>1341562109.968</v>
      </c>
      <c r="AQ12" t="n">
        <v>1420488759.888</v>
      </c>
      <c r="AR12" t="n">
        <v>1485123370.317</v>
      </c>
      <c r="AS12" t="n">
        <v>1560953965.709</v>
      </c>
      <c r="AT12" t="n">
        <v>1516541320.073</v>
      </c>
      <c r="AU12" t="n">
        <v>1772867097.496</v>
      </c>
      <c r="AV12" t="n">
        <v>1908314821.255</v>
      </c>
      <c r="AW12" t="n">
        <v>2066254857.964</v>
      </c>
      <c r="AX12" t="n">
        <v>2047395379.817</v>
      </c>
      <c r="AY12" t="n">
        <v>2065684682.383</v>
      </c>
      <c r="AZ12" t="n">
        <v>2048972529.35</v>
      </c>
      <c r="BA12" t="n">
        <v>2037328417.94</v>
      </c>
      <c r="BB12" t="n">
        <v>2136216890.524</v>
      </c>
      <c r="BC12" t="n">
        <v>2169136119.988</v>
      </c>
      <c r="BD12" t="n">
        <v>2342391118.977</v>
      </c>
      <c r="BE12" t="n">
        <v>2273223539.077</v>
      </c>
      <c r="BF12" t="n">
        <v>2223816675.574</v>
      </c>
      <c r="BG12" t="n">
        <v>2245429282.212</v>
      </c>
      <c r="BH12" t="n">
        <v>2233661046.529</v>
      </c>
      <c r="BI12" t="n">
        <v>2238156720.743</v>
      </c>
      <c r="BJ12" t="n">
        <v>2416576607.018</v>
      </c>
      <c r="BK12" t="n">
        <v>2419806778.688</v>
      </c>
      <c r="BL12" t="n">
        <v>2283417008.396</v>
      </c>
      <c r="BM12" t="n">
        <v>2439814353.581</v>
      </c>
      <c r="BN12" t="n">
        <v>2611214690.646</v>
      </c>
      <c r="BO12" t="n">
        <v>2518493344.766</v>
      </c>
      <c r="BP12" t="n">
        <v>2622639923.284</v>
      </c>
      <c r="BQ12" t="n">
        <v>2633886571.042</v>
      </c>
      <c r="BR12" t="n">
        <v>2600513446.409</v>
      </c>
      <c r="BS12" t="n">
        <v>2622881051.488</v>
      </c>
      <c r="BT12" t="n">
        <v>2700979478.333</v>
      </c>
    </row>
    <row r="13">
      <c r="A13" t="inlineStr">
        <is>
          <t>Ulanowicz_TE</t>
        </is>
      </c>
      <c r="B13" t="inlineStr">
        <is>
          <t>ok</t>
        </is>
      </c>
      <c r="C13" t="n">
        <v>3512804938.959</v>
      </c>
      <c r="D13" t="n">
        <v>4421275437.618</v>
      </c>
      <c r="E13" t="n">
        <v>5312960917.473</v>
      </c>
      <c r="F13" t="n">
        <v>5436296670.514</v>
      </c>
      <c r="G13" t="n">
        <v>6651457015.285</v>
      </c>
      <c r="H13" t="n">
        <v>7611731915.95</v>
      </c>
      <c r="I13" t="n">
        <v>8451476503.72</v>
      </c>
      <c r="J13" t="n">
        <v>8401056849.097</v>
      </c>
      <c r="K13" t="n">
        <v>8909554192.99</v>
      </c>
      <c r="L13" t="n">
        <v>9540075232.643999</v>
      </c>
      <c r="M13" t="n">
        <v>10711745445.22</v>
      </c>
      <c r="N13" t="n">
        <v>10390714790.032</v>
      </c>
      <c r="O13" t="n">
        <v>11786682282.459</v>
      </c>
      <c r="P13" t="n">
        <v>12392481121.66</v>
      </c>
      <c r="Q13" t="n">
        <v>12676054034.594</v>
      </c>
      <c r="R13" t="n">
        <v>13664071173.126</v>
      </c>
      <c r="S13" t="n">
        <v>14343932896.472</v>
      </c>
      <c r="T13" t="n">
        <v>14400093699.853</v>
      </c>
      <c r="U13" t="n">
        <v>15229221096.311</v>
      </c>
      <c r="V13" t="n">
        <v>15666442023.556</v>
      </c>
      <c r="W13" t="n">
        <v>15150269009.923</v>
      </c>
      <c r="X13" t="n">
        <v>15319971421.166</v>
      </c>
      <c r="Y13" t="n">
        <v>16002953389.588</v>
      </c>
      <c r="Z13" t="n">
        <v>17500376430.431</v>
      </c>
      <c r="AA13" t="n">
        <v>17366946291.753</v>
      </c>
      <c r="AB13" t="n">
        <v>17358458347.945</v>
      </c>
      <c r="AC13" t="n">
        <v>17517145354.242</v>
      </c>
      <c r="AD13" t="n">
        <v>17982846848.694</v>
      </c>
      <c r="AE13" t="n">
        <v>17670220154.086</v>
      </c>
      <c r="AF13" t="n">
        <v>18353774689.951</v>
      </c>
      <c r="AG13" t="n">
        <v>18334816738.437</v>
      </c>
      <c r="AH13" t="n">
        <v>19236233265.155</v>
      </c>
      <c r="AI13" t="n">
        <v>20477403463.967</v>
      </c>
      <c r="AJ13" t="n">
        <v>20979599480.493</v>
      </c>
      <c r="AK13" t="n">
        <v>21800404684.513</v>
      </c>
      <c r="AL13" t="n">
        <v>22541047874.71</v>
      </c>
      <c r="AM13" t="n">
        <v>22836349114.568</v>
      </c>
      <c r="AN13" t="n">
        <v>24136319538.924</v>
      </c>
      <c r="AO13" t="n">
        <v>23378192239.803</v>
      </c>
      <c r="AP13" t="n">
        <v>24469045803.507</v>
      </c>
      <c r="AQ13" t="n">
        <v>26122932382.676</v>
      </c>
      <c r="AR13" t="n">
        <v>27316476612.468</v>
      </c>
      <c r="AS13" t="n">
        <v>28188499703.024</v>
      </c>
      <c r="AT13" t="n">
        <v>26912633588.169</v>
      </c>
      <c r="AU13" t="n">
        <v>31260105791.041</v>
      </c>
      <c r="AV13" t="n">
        <v>33480692691.195</v>
      </c>
      <c r="AW13" t="n">
        <v>36022737604.557</v>
      </c>
      <c r="AX13" t="n">
        <v>35680744215.709</v>
      </c>
      <c r="AY13" t="n">
        <v>35710969334.849</v>
      </c>
      <c r="AZ13" t="n">
        <v>37203417702.202</v>
      </c>
      <c r="BA13" t="n">
        <v>36056125209.285</v>
      </c>
      <c r="BB13" t="n">
        <v>36872717325.202</v>
      </c>
      <c r="BC13" t="n">
        <v>37745038351.277</v>
      </c>
      <c r="BD13" t="n">
        <v>39994079916.058</v>
      </c>
      <c r="BE13" t="n">
        <v>40262136518.095</v>
      </c>
      <c r="BF13" t="n">
        <v>38776388132.829</v>
      </c>
      <c r="BG13" t="n">
        <v>39112977396.645</v>
      </c>
      <c r="BH13" t="n">
        <v>38463016805.89</v>
      </c>
      <c r="BI13" t="n">
        <v>38580025985.557</v>
      </c>
      <c r="BJ13" t="n">
        <v>41609214384.208</v>
      </c>
      <c r="BK13" t="n">
        <v>41287613172.797</v>
      </c>
      <c r="BL13" t="n">
        <v>39450509193.542</v>
      </c>
      <c r="BM13" t="n">
        <v>41838950061.934</v>
      </c>
      <c r="BN13" t="n">
        <v>44388007701.19</v>
      </c>
      <c r="BO13" t="n">
        <v>42933796527.154</v>
      </c>
      <c r="BP13" t="n">
        <v>44537769571.857</v>
      </c>
      <c r="BQ13" t="n">
        <v>44798938709.345</v>
      </c>
      <c r="BR13" t="n">
        <v>44143703362.402</v>
      </c>
      <c r="BS13" t="n">
        <v>44382171205.327</v>
      </c>
      <c r="BT13" t="n">
        <v>45767656362.112</v>
      </c>
    </row>
    <row r="14">
      <c r="A14" t="inlineStr">
        <is>
          <t>EwE_TE_noEE</t>
        </is>
      </c>
      <c r="B14" t="inlineStr">
        <is>
          <t>ok</t>
        </is>
      </c>
      <c r="C14" t="n">
        <v>3655816390.432</v>
      </c>
      <c r="D14" t="n">
        <v>4596909316.778</v>
      </c>
      <c r="E14" t="n">
        <v>5520795334.182</v>
      </c>
      <c r="F14" t="n">
        <v>5647805918.612</v>
      </c>
      <c r="G14" t="n">
        <v>6904713494.43</v>
      </c>
      <c r="H14" t="n">
        <v>7899464444.151</v>
      </c>
      <c r="I14" t="n">
        <v>8771511059.882999</v>
      </c>
      <c r="J14" t="n">
        <v>8718322805.447001</v>
      </c>
      <c r="K14" t="n">
        <v>9244442757.148001</v>
      </c>
      <c r="L14" t="n">
        <v>9891560395.238001</v>
      </c>
      <c r="M14" t="n">
        <v>11119436452.989</v>
      </c>
      <c r="N14" t="n">
        <v>10767619282.785</v>
      </c>
      <c r="O14" t="n">
        <v>12213735926.274</v>
      </c>
      <c r="P14" t="n">
        <v>12834902685.017</v>
      </c>
      <c r="Q14" t="n">
        <v>13132535190.733</v>
      </c>
      <c r="R14" t="n">
        <v>14169575283.47</v>
      </c>
      <c r="S14" t="n">
        <v>14889004206.678</v>
      </c>
      <c r="T14" t="n">
        <v>14926444372.453</v>
      </c>
      <c r="U14" t="n">
        <v>15777334791.431</v>
      </c>
      <c r="V14" t="n">
        <v>16240804058.167</v>
      </c>
      <c r="W14" t="n">
        <v>15719840304.606</v>
      </c>
      <c r="X14" t="n">
        <v>15898928401.191</v>
      </c>
      <c r="Y14" t="n">
        <v>16613579558.593</v>
      </c>
      <c r="Z14" t="n">
        <v>18180013155.161</v>
      </c>
      <c r="AA14" t="n">
        <v>18040768387.839</v>
      </c>
      <c r="AB14" t="n">
        <v>18025461284.262</v>
      </c>
      <c r="AC14" t="n">
        <v>18176782716.136</v>
      </c>
      <c r="AD14" t="n">
        <v>18683096516.897</v>
      </c>
      <c r="AE14" t="n">
        <v>18381808336.025</v>
      </c>
      <c r="AF14" t="n">
        <v>19062718855.86</v>
      </c>
      <c r="AG14" t="n">
        <v>19024510321.832</v>
      </c>
      <c r="AH14" t="n">
        <v>19969773216.612</v>
      </c>
      <c r="AI14" t="n">
        <v>21260088917.148</v>
      </c>
      <c r="AJ14" t="n">
        <v>21745415023.089</v>
      </c>
      <c r="AK14" t="n">
        <v>22641372091.372</v>
      </c>
      <c r="AL14" t="n">
        <v>23408535106.116</v>
      </c>
      <c r="AM14" t="n">
        <v>23716889272.16</v>
      </c>
      <c r="AN14" t="n">
        <v>25076229212.065</v>
      </c>
      <c r="AO14" t="n">
        <v>24293203971.449</v>
      </c>
      <c r="AP14" t="n">
        <v>25426867016.888</v>
      </c>
      <c r="AQ14" t="n">
        <v>27122947007.14</v>
      </c>
      <c r="AR14" t="n">
        <v>28349534339.93</v>
      </c>
      <c r="AS14" t="n">
        <v>29268582731.214</v>
      </c>
      <c r="AT14" t="n">
        <v>27958057409.233</v>
      </c>
      <c r="AU14" t="n">
        <v>32462460404.124</v>
      </c>
      <c r="AV14" t="n">
        <v>34769745582.637</v>
      </c>
      <c r="AW14" t="n">
        <v>37414519590.378</v>
      </c>
      <c r="AX14" t="n">
        <v>37057431778.422</v>
      </c>
      <c r="AY14" t="n">
        <v>37092817449.316</v>
      </c>
      <c r="AZ14" t="n">
        <v>38563464079.54</v>
      </c>
      <c r="BA14" t="n">
        <v>37423011394.757</v>
      </c>
      <c r="BB14" t="n">
        <v>38317461515.96</v>
      </c>
      <c r="BC14" t="n">
        <v>39202693981.637</v>
      </c>
      <c r="BD14" t="n">
        <v>41564364604.755</v>
      </c>
      <c r="BE14" t="n">
        <v>41770626211.978</v>
      </c>
      <c r="BF14" t="n">
        <v>40252785408.22</v>
      </c>
      <c r="BG14" t="n">
        <v>40609732729.117</v>
      </c>
      <c r="BH14" t="n">
        <v>39931181279.324</v>
      </c>
      <c r="BI14" t="n">
        <v>40067562878.463</v>
      </c>
      <c r="BJ14" t="n">
        <v>43224401042.954</v>
      </c>
      <c r="BK14" t="n">
        <v>42898921261.303</v>
      </c>
      <c r="BL14" t="n">
        <v>40958283098.823</v>
      </c>
      <c r="BM14" t="n">
        <v>43436638877.701</v>
      </c>
      <c r="BN14" t="n">
        <v>46120146864.588</v>
      </c>
      <c r="BO14" t="n">
        <v>44575789660.51</v>
      </c>
      <c r="BP14" t="n">
        <v>46252104220.477</v>
      </c>
      <c r="BQ14" t="n">
        <v>46528736269.906</v>
      </c>
      <c r="BR14" t="n">
        <v>45848551324.005</v>
      </c>
      <c r="BS14" t="n">
        <v>46122456256.53</v>
      </c>
      <c r="BT14" t="n">
        <v>47557990847.26</v>
      </c>
    </row>
    <row r="15">
      <c r="A15" t="inlineStr">
        <is>
          <t>EwE_TE_EE</t>
        </is>
      </c>
      <c r="B15" t="inlineStr">
        <is>
          <t>ok</t>
        </is>
      </c>
      <c r="C15" t="n">
        <v>1375660893.406</v>
      </c>
      <c r="D15" t="n">
        <v>1725736462.51</v>
      </c>
      <c r="E15" t="n">
        <v>2067886234.771</v>
      </c>
      <c r="F15" t="n">
        <v>2118250830.019</v>
      </c>
      <c r="G15" t="n">
        <v>2571434122.849</v>
      </c>
      <c r="H15" t="n">
        <v>2870945272.899</v>
      </c>
      <c r="I15" t="n">
        <v>3197600520.518</v>
      </c>
      <c r="J15" t="n">
        <v>3180807721.135</v>
      </c>
      <c r="K15" t="n">
        <v>3417000335.389</v>
      </c>
      <c r="L15" t="n">
        <v>3636948341.753</v>
      </c>
      <c r="M15" t="n">
        <v>4114446443.128</v>
      </c>
      <c r="N15" t="n">
        <v>4004465554.591</v>
      </c>
      <c r="O15" t="n">
        <v>4576440075.535</v>
      </c>
      <c r="P15" t="n">
        <v>4802001968.239</v>
      </c>
      <c r="Q15" t="n">
        <v>4913779981.713</v>
      </c>
      <c r="R15" t="n">
        <v>5288527898.331</v>
      </c>
      <c r="S15" t="n">
        <v>5549496739.986</v>
      </c>
      <c r="T15" t="n">
        <v>5596575793.359</v>
      </c>
      <c r="U15" t="n">
        <v>5958603143.592</v>
      </c>
      <c r="V15" t="n">
        <v>6161370143.295</v>
      </c>
      <c r="W15" t="n">
        <v>5957547982.218</v>
      </c>
      <c r="X15" t="n">
        <v>6030642033.966</v>
      </c>
      <c r="Y15" t="n">
        <v>6254665381.515</v>
      </c>
      <c r="Z15" t="n">
        <v>6881766237.979</v>
      </c>
      <c r="AA15" t="n">
        <v>6867782181.228</v>
      </c>
      <c r="AB15" t="n">
        <v>6900950570.697</v>
      </c>
      <c r="AC15" t="n">
        <v>6893749304.533</v>
      </c>
      <c r="AD15" t="n">
        <v>7018068136.915</v>
      </c>
      <c r="AE15" t="n">
        <v>6930647915.884</v>
      </c>
      <c r="AF15" t="n">
        <v>7152685090.03</v>
      </c>
      <c r="AG15" t="n">
        <v>7102627604.983</v>
      </c>
      <c r="AH15" t="n">
        <v>7456149015.509</v>
      </c>
      <c r="AI15" t="n">
        <v>7914280021.712</v>
      </c>
      <c r="AJ15" t="n">
        <v>8083223986.035</v>
      </c>
      <c r="AK15" t="n">
        <v>8436258186.019</v>
      </c>
      <c r="AL15" t="n">
        <v>8741967588.030001</v>
      </c>
      <c r="AM15" t="n">
        <v>8825617224.719999</v>
      </c>
      <c r="AN15" t="n">
        <v>9301854759.584999</v>
      </c>
      <c r="AO15" t="n">
        <v>9040010458.108999</v>
      </c>
      <c r="AP15" t="n">
        <v>9438948134.561001</v>
      </c>
      <c r="AQ15" t="n">
        <v>10010108249.876</v>
      </c>
      <c r="AR15" t="n">
        <v>10336496821.973</v>
      </c>
      <c r="AS15" t="n">
        <v>10701868851.992</v>
      </c>
      <c r="AT15" t="n">
        <v>10308382985.116</v>
      </c>
      <c r="AU15" t="n">
        <v>11873102973.271</v>
      </c>
      <c r="AV15" t="n">
        <v>12701401758.217</v>
      </c>
      <c r="AW15" t="n">
        <v>13697858733.23</v>
      </c>
      <c r="AX15" t="n">
        <v>13603764909.754</v>
      </c>
      <c r="AY15" t="n">
        <v>13562018501.595</v>
      </c>
      <c r="AZ15" t="n">
        <v>14298560674.651</v>
      </c>
      <c r="BA15" t="n">
        <v>13868480367.222</v>
      </c>
      <c r="BB15" t="n">
        <v>14015966610.891</v>
      </c>
      <c r="BC15" t="n">
        <v>14307436994.611</v>
      </c>
      <c r="BD15" t="n">
        <v>15258604754.043</v>
      </c>
      <c r="BE15" t="n">
        <v>15368819403.671</v>
      </c>
      <c r="BF15" t="n">
        <v>14712219914.776</v>
      </c>
      <c r="BG15" t="n">
        <v>14772315400.969</v>
      </c>
      <c r="BH15" t="n">
        <v>14441318165.751</v>
      </c>
      <c r="BI15" t="n">
        <v>14520946369.098</v>
      </c>
      <c r="BJ15" t="n">
        <v>15716840333.85</v>
      </c>
      <c r="BK15" t="n">
        <v>15533351006.42</v>
      </c>
      <c r="BL15" t="n">
        <v>14909421673.736</v>
      </c>
      <c r="BM15" t="n">
        <v>15770647141.407</v>
      </c>
      <c r="BN15" t="n">
        <v>16736876343.755</v>
      </c>
      <c r="BO15" t="n">
        <v>16172958956.169</v>
      </c>
      <c r="BP15" t="n">
        <v>16780520679.452</v>
      </c>
      <c r="BQ15" t="n">
        <v>16900940741.682</v>
      </c>
      <c r="BR15" t="n">
        <v>16581958439.745</v>
      </c>
      <c r="BS15" t="n">
        <v>16669569459.425</v>
      </c>
      <c r="BT15" t="n">
        <v>17205681033.921</v>
      </c>
    </row>
    <row r="16">
      <c r="A16" t="inlineStr">
        <is>
          <t>SPPR_2015</t>
        </is>
      </c>
      <c r="B16" t="inlineStr">
        <is>
          <t>ok</t>
        </is>
      </c>
      <c r="C16" t="n">
        <v>5340072572.595</v>
      </c>
      <c r="D16" t="n">
        <v>6769291557.963</v>
      </c>
      <c r="E16" t="n">
        <v>8164556708.786</v>
      </c>
      <c r="F16" t="n">
        <v>8340909675.555</v>
      </c>
      <c r="G16" t="n">
        <v>10126933469.151</v>
      </c>
      <c r="H16" t="n">
        <v>11600292619.832</v>
      </c>
      <c r="I16" t="n">
        <v>12952016465.107</v>
      </c>
      <c r="J16" t="n">
        <v>12850113538.406</v>
      </c>
      <c r="K16" t="n">
        <v>13566499932.819</v>
      </c>
      <c r="L16" t="n">
        <v>14496515164.821</v>
      </c>
      <c r="M16" t="n">
        <v>16308704405.034</v>
      </c>
      <c r="N16" t="n">
        <v>15788073155.659</v>
      </c>
      <c r="O16" t="n">
        <v>17871025011.59</v>
      </c>
      <c r="P16" t="n">
        <v>18729830484.907</v>
      </c>
      <c r="Q16" t="n">
        <v>19130404644.276</v>
      </c>
      <c r="R16" t="n">
        <v>20740259265.684</v>
      </c>
      <c r="S16" t="n">
        <v>21847512083.02</v>
      </c>
      <c r="T16" t="n">
        <v>21839740232.481</v>
      </c>
      <c r="U16" t="n">
        <v>23047048062.489</v>
      </c>
      <c r="V16" t="n">
        <v>23747341407.195</v>
      </c>
      <c r="W16" t="n">
        <v>22863880013.327</v>
      </c>
      <c r="X16" t="n">
        <v>23335682890.392</v>
      </c>
      <c r="Y16" t="n">
        <v>24401391960.776</v>
      </c>
      <c r="Z16" t="n">
        <v>26769035110.084</v>
      </c>
      <c r="AA16" t="n">
        <v>26492184962.726</v>
      </c>
      <c r="AB16" t="n">
        <v>26430673773.807</v>
      </c>
      <c r="AC16" t="n">
        <v>26597277215.004</v>
      </c>
      <c r="AD16" t="n">
        <v>27145228585.223</v>
      </c>
      <c r="AE16" t="n">
        <v>26653477435.282</v>
      </c>
      <c r="AF16" t="n">
        <v>27611385084.981</v>
      </c>
      <c r="AG16" t="n">
        <v>27388290930.962</v>
      </c>
      <c r="AH16" t="n">
        <v>28840226559.929</v>
      </c>
      <c r="AI16" t="n">
        <v>30660416279.636</v>
      </c>
      <c r="AJ16" t="n">
        <v>31173279448.601</v>
      </c>
      <c r="AK16" t="n">
        <v>32535407178.252</v>
      </c>
      <c r="AL16" t="n">
        <v>33536181131.98</v>
      </c>
      <c r="AM16" t="n">
        <v>33939217891.851</v>
      </c>
      <c r="AN16" t="n">
        <v>35677643973.566</v>
      </c>
      <c r="AO16" t="n">
        <v>34543022562.67</v>
      </c>
      <c r="AP16" t="n">
        <v>36112686603.848</v>
      </c>
      <c r="AQ16" t="n">
        <v>38401458605.324</v>
      </c>
      <c r="AR16" t="n">
        <v>40121190743.977</v>
      </c>
      <c r="AS16" t="n">
        <v>41527576436.005</v>
      </c>
      <c r="AT16" t="n">
        <v>39858730393.975</v>
      </c>
      <c r="AU16" t="n">
        <v>46364379109.498</v>
      </c>
      <c r="AV16" t="n">
        <v>49564012143.529</v>
      </c>
      <c r="AW16" t="n">
        <v>53418537133.759</v>
      </c>
      <c r="AX16" t="n">
        <v>52535126179.991</v>
      </c>
      <c r="AY16" t="n">
        <v>52692761575.16</v>
      </c>
      <c r="AZ16" t="n">
        <v>54895125621.113</v>
      </c>
      <c r="BA16" t="n">
        <v>53398660822.347</v>
      </c>
      <c r="BB16" t="n">
        <v>54648937853.425</v>
      </c>
      <c r="BC16" t="n">
        <v>55709186437.649</v>
      </c>
      <c r="BD16" t="n">
        <v>59198944189.217</v>
      </c>
      <c r="BE16" t="n">
        <v>59422686506.778</v>
      </c>
      <c r="BF16" t="n">
        <v>57074486152.916</v>
      </c>
      <c r="BG16" t="n">
        <v>57753079172.888</v>
      </c>
      <c r="BH16" t="n">
        <v>56680358677.976</v>
      </c>
      <c r="BI16" t="n">
        <v>56821420071.376</v>
      </c>
      <c r="BJ16" t="n">
        <v>61339711904.474</v>
      </c>
      <c r="BK16" t="n">
        <v>60734685215.701</v>
      </c>
      <c r="BL16" t="n">
        <v>57731266428.731</v>
      </c>
      <c r="BM16" t="n">
        <v>60909222738.389</v>
      </c>
      <c r="BN16" t="n">
        <v>64823923943.924</v>
      </c>
      <c r="BO16" t="n">
        <v>62592062769.806</v>
      </c>
      <c r="BP16" t="n">
        <v>64930829925.852</v>
      </c>
      <c r="BQ16" t="n">
        <v>65374943890.854</v>
      </c>
      <c r="BR16" t="n">
        <v>64582742489.672</v>
      </c>
      <c r="BS16" t="n">
        <v>65268580832.158</v>
      </c>
      <c r="BT16" t="n">
        <v>67221200544.741</v>
      </c>
    </row>
    <row r="17">
      <c r="A17" t="inlineStr">
        <is>
          <t>new_TE_noEEfix</t>
        </is>
      </c>
      <c r="B17" t="inlineStr">
        <is>
          <t>ok</t>
        </is>
      </c>
      <c r="C17" t="n">
        <v>5340072572.594</v>
      </c>
      <c r="D17" t="n">
        <v>6769291557.962</v>
      </c>
      <c r="E17" t="n">
        <v>8164556708.785</v>
      </c>
      <c r="F17" t="n">
        <v>8340909675.554</v>
      </c>
      <c r="G17" t="n">
        <v>10126933469.149</v>
      </c>
      <c r="H17" t="n">
        <v>11600292619.83</v>
      </c>
      <c r="I17" t="n">
        <v>12952016465.106</v>
      </c>
      <c r="J17" t="n">
        <v>12850113538.404</v>
      </c>
      <c r="K17" t="n">
        <v>13566499932.817</v>
      </c>
      <c r="L17" t="n">
        <v>14496515164.818</v>
      </c>
      <c r="M17" t="n">
        <v>16308704405.031</v>
      </c>
      <c r="N17" t="n">
        <v>15788073155.656</v>
      </c>
      <c r="O17" t="n">
        <v>17871025011.586</v>
      </c>
      <c r="P17" t="n">
        <v>18729830484.902</v>
      </c>
      <c r="Q17" t="n">
        <v>19130404644.272</v>
      </c>
      <c r="R17" t="n">
        <v>20740259265.68</v>
      </c>
      <c r="S17" t="n">
        <v>21847512083.016</v>
      </c>
      <c r="T17" t="n">
        <v>21839740232.475</v>
      </c>
      <c r="U17" t="n">
        <v>23047048062.481</v>
      </c>
      <c r="V17" t="n">
        <v>23747341407.186</v>
      </c>
      <c r="W17" t="n">
        <v>22863880013.321</v>
      </c>
      <c r="X17" t="n">
        <v>23335682890.385</v>
      </c>
      <c r="Y17" t="n">
        <v>24401391960.77</v>
      </c>
      <c r="Z17" t="n">
        <v>26769035110.077</v>
      </c>
      <c r="AA17" t="n">
        <v>26492184962.719</v>
      </c>
      <c r="AB17" t="n">
        <v>26430673773.8</v>
      </c>
      <c r="AC17" t="n">
        <v>26597277214.998</v>
      </c>
      <c r="AD17" t="n">
        <v>27145228585.217</v>
      </c>
      <c r="AE17" t="n">
        <v>26653477435.276</v>
      </c>
      <c r="AF17" t="n">
        <v>27611385084.974</v>
      </c>
      <c r="AG17" t="n">
        <v>27388290930.956</v>
      </c>
      <c r="AH17" t="n">
        <v>28840226559.922</v>
      </c>
      <c r="AI17" t="n">
        <v>30660416279.63</v>
      </c>
      <c r="AJ17" t="n">
        <v>31173279448.594</v>
      </c>
      <c r="AK17" t="n">
        <v>32535407178.245</v>
      </c>
      <c r="AL17" t="n">
        <v>33536181131.975</v>
      </c>
      <c r="AM17" t="n">
        <v>33939217891.846</v>
      </c>
      <c r="AN17" t="n">
        <v>35677643973.56</v>
      </c>
      <c r="AO17" t="n">
        <v>34543022562.664</v>
      </c>
      <c r="AP17" t="n">
        <v>36112686603.842</v>
      </c>
      <c r="AQ17" t="n">
        <v>38401458605.319</v>
      </c>
      <c r="AR17" t="n">
        <v>40121190743.972</v>
      </c>
      <c r="AS17" t="n">
        <v>41527576436</v>
      </c>
      <c r="AT17" t="n">
        <v>39858730393.97</v>
      </c>
      <c r="AU17" t="n">
        <v>46364379109.494</v>
      </c>
      <c r="AV17" t="n">
        <v>49564012143.525</v>
      </c>
      <c r="AW17" t="n">
        <v>53418537133.755</v>
      </c>
      <c r="AX17" t="n">
        <v>52535126179.987</v>
      </c>
      <c r="AY17" t="n">
        <v>52692761575.156</v>
      </c>
      <c r="AZ17" t="n">
        <v>54895125621.11</v>
      </c>
      <c r="BA17" t="n">
        <v>53398660822.344</v>
      </c>
      <c r="BB17" t="n">
        <v>54648937853.421</v>
      </c>
      <c r="BC17" t="n">
        <v>55709186437.646</v>
      </c>
      <c r="BD17" t="n">
        <v>59198944189.215</v>
      </c>
      <c r="BE17" t="n">
        <v>59422686506.773</v>
      </c>
      <c r="BF17" t="n">
        <v>57074486152.91</v>
      </c>
      <c r="BG17" t="n">
        <v>57753079172.884</v>
      </c>
      <c r="BH17" t="n">
        <v>56680358677.975</v>
      </c>
      <c r="BI17" t="n">
        <v>56821420071.374</v>
      </c>
      <c r="BJ17" t="n">
        <v>61339711904.471</v>
      </c>
      <c r="BK17" t="n">
        <v>60734685215.699</v>
      </c>
      <c r="BL17" t="n">
        <v>57731266428.729</v>
      </c>
      <c r="BM17" t="n">
        <v>60909222738.387</v>
      </c>
      <c r="BN17" t="n">
        <v>64823923943.923</v>
      </c>
      <c r="BO17" t="n">
        <v>62592062769.805</v>
      </c>
      <c r="BP17" t="n">
        <v>64930829925.851</v>
      </c>
      <c r="BQ17" t="n">
        <v>65374943890.853</v>
      </c>
      <c r="BR17" t="n">
        <v>64582742489.671</v>
      </c>
      <c r="BS17" t="n">
        <v>65268580832.157</v>
      </c>
      <c r="BT17" t="n">
        <v>67221200544.74</v>
      </c>
    </row>
    <row r="18">
      <c r="A18" t="inlineStr">
        <is>
          <t>new_TE_EEfix</t>
        </is>
      </c>
      <c r="B18" t="inlineStr">
        <is>
          <t>ok</t>
        </is>
      </c>
      <c r="C18" t="n">
        <v>5340072572.594</v>
      </c>
      <c r="D18" t="n">
        <v>6769291557.962</v>
      </c>
      <c r="E18" t="n">
        <v>8164556708.785</v>
      </c>
      <c r="F18" t="n">
        <v>8340909675.554</v>
      </c>
      <c r="G18" t="n">
        <v>10126933469.149</v>
      </c>
      <c r="H18" t="n">
        <v>11600292619.83</v>
      </c>
      <c r="I18" t="n">
        <v>12952016465.106</v>
      </c>
      <c r="J18" t="n">
        <v>12850113538.404</v>
      </c>
      <c r="K18" t="n">
        <v>13566499932.817</v>
      </c>
      <c r="L18" t="n">
        <v>14496515164.818</v>
      </c>
      <c r="M18" t="n">
        <v>16308704405.031</v>
      </c>
      <c r="N18" t="n">
        <v>15788073155.656</v>
      </c>
      <c r="O18" t="n">
        <v>17871025011.586</v>
      </c>
      <c r="P18" t="n">
        <v>18729830484.902</v>
      </c>
      <c r="Q18" t="n">
        <v>19130404644.272</v>
      </c>
      <c r="R18" t="n">
        <v>20740259265.68</v>
      </c>
      <c r="S18" t="n">
        <v>21847512083.016</v>
      </c>
      <c r="T18" t="n">
        <v>21839740232.475</v>
      </c>
      <c r="U18" t="n">
        <v>23047048062.481</v>
      </c>
      <c r="V18" t="n">
        <v>23747341407.186</v>
      </c>
      <c r="W18" t="n">
        <v>22863880013.321</v>
      </c>
      <c r="X18" t="n">
        <v>23335682890.385</v>
      </c>
      <c r="Y18" t="n">
        <v>24401391960.77</v>
      </c>
      <c r="Z18" t="n">
        <v>26769035110.077</v>
      </c>
      <c r="AA18" t="n">
        <v>26492184962.719</v>
      </c>
      <c r="AB18" t="n">
        <v>26430673773.8</v>
      </c>
      <c r="AC18" t="n">
        <v>26597277214.998</v>
      </c>
      <c r="AD18" t="n">
        <v>27145228585.217</v>
      </c>
      <c r="AE18" t="n">
        <v>26653477435.276</v>
      </c>
      <c r="AF18" t="n">
        <v>27611385084.974</v>
      </c>
      <c r="AG18" t="n">
        <v>27388290930.956</v>
      </c>
      <c r="AH18" t="n">
        <v>28840226559.922</v>
      </c>
      <c r="AI18" t="n">
        <v>30660416279.63</v>
      </c>
      <c r="AJ18" t="n">
        <v>31173279448.594</v>
      </c>
      <c r="AK18" t="n">
        <v>32535407178.245</v>
      </c>
      <c r="AL18" t="n">
        <v>33536181131.975</v>
      </c>
      <c r="AM18" t="n">
        <v>33939217891.846</v>
      </c>
      <c r="AN18" t="n">
        <v>35677643973.56</v>
      </c>
      <c r="AO18" t="n">
        <v>34543022562.664</v>
      </c>
      <c r="AP18" t="n">
        <v>36112686603.842</v>
      </c>
      <c r="AQ18" t="n">
        <v>38401458605.319</v>
      </c>
      <c r="AR18" t="n">
        <v>40121190743.972</v>
      </c>
      <c r="AS18" t="n">
        <v>41527576436</v>
      </c>
      <c r="AT18" t="n">
        <v>39858730393.97</v>
      </c>
      <c r="AU18" t="n">
        <v>46364379109.494</v>
      </c>
      <c r="AV18" t="n">
        <v>49564012143.525</v>
      </c>
      <c r="AW18" t="n">
        <v>53418537133.755</v>
      </c>
      <c r="AX18" t="n">
        <v>52535126179.987</v>
      </c>
      <c r="AY18" t="n">
        <v>52692761575.156</v>
      </c>
      <c r="AZ18" t="n">
        <v>54895125621.11</v>
      </c>
      <c r="BA18" t="n">
        <v>53398660822.344</v>
      </c>
      <c r="BB18" t="n">
        <v>54648937853.421</v>
      </c>
      <c r="BC18" t="n">
        <v>55709186437.646</v>
      </c>
      <c r="BD18" t="n">
        <v>59198944189.215</v>
      </c>
      <c r="BE18" t="n">
        <v>59422686506.773</v>
      </c>
      <c r="BF18" t="n">
        <v>57074486152.91</v>
      </c>
      <c r="BG18" t="n">
        <v>57753079172.884</v>
      </c>
      <c r="BH18" t="n">
        <v>56680358677.975</v>
      </c>
      <c r="BI18" t="n">
        <v>56821420071.374</v>
      </c>
      <c r="BJ18" t="n">
        <v>61339711904.471</v>
      </c>
      <c r="BK18" t="n">
        <v>60734685215.699</v>
      </c>
      <c r="BL18" t="n">
        <v>57731266428.729</v>
      </c>
      <c r="BM18" t="n">
        <v>60909222738.387</v>
      </c>
      <c r="BN18" t="n">
        <v>64823923943.923</v>
      </c>
      <c r="BO18" t="n">
        <v>62592062769.805</v>
      </c>
      <c r="BP18" t="n">
        <v>64930829925.851</v>
      </c>
      <c r="BQ18" t="n">
        <v>65374943890.853</v>
      </c>
      <c r="BR18" t="n">
        <v>64582742489.671</v>
      </c>
      <c r="BS18" t="n">
        <v>65268580832.157</v>
      </c>
      <c r="BT18" t="n">
        <v>67221200544.74</v>
      </c>
    </row>
    <row r="19">
      <c r="A19" t="inlineStr">
        <is>
          <t>new_GE</t>
        </is>
      </c>
      <c r="B19" t="inlineStr">
        <is>
          <t>ok</t>
        </is>
      </c>
      <c r="C19" t="n">
        <v>47670597.7</v>
      </c>
      <c r="D19" t="n">
        <v>58695949.638</v>
      </c>
      <c r="E19" t="n">
        <v>69275384.498</v>
      </c>
      <c r="F19" t="n">
        <v>70761306.90700001</v>
      </c>
      <c r="G19" t="n">
        <v>88835269.307</v>
      </c>
      <c r="H19" t="n">
        <v>100746926.06</v>
      </c>
      <c r="I19" t="n">
        <v>110920012.08</v>
      </c>
      <c r="J19" t="n">
        <v>111087937.845</v>
      </c>
      <c r="K19" t="n">
        <v>120175192.53</v>
      </c>
      <c r="L19" t="n">
        <v>127158935.935</v>
      </c>
      <c r="M19" t="n">
        <v>144111104.724</v>
      </c>
      <c r="N19" t="n">
        <v>140820142.889</v>
      </c>
      <c r="O19" t="n">
        <v>156154215.776</v>
      </c>
      <c r="P19" t="n">
        <v>164184857.499</v>
      </c>
      <c r="Q19" t="n">
        <v>170162185.23</v>
      </c>
      <c r="R19" t="n">
        <v>181854123.492</v>
      </c>
      <c r="S19" t="n">
        <v>194429327.121</v>
      </c>
      <c r="T19" t="n">
        <v>192204179.107</v>
      </c>
      <c r="U19" t="n">
        <v>198892784.702</v>
      </c>
      <c r="V19" t="n">
        <v>204679053.53</v>
      </c>
      <c r="W19" t="n">
        <v>205956818.308</v>
      </c>
      <c r="X19" t="n">
        <v>206382437.962</v>
      </c>
      <c r="Y19" t="n">
        <v>221622784.1</v>
      </c>
      <c r="Z19" t="n">
        <v>239353868.987</v>
      </c>
      <c r="AA19" t="n">
        <v>239189813.202</v>
      </c>
      <c r="AB19" t="n">
        <v>236788996.965</v>
      </c>
      <c r="AC19" t="n">
        <v>238033725.971</v>
      </c>
      <c r="AD19" t="n">
        <v>245987346.98</v>
      </c>
      <c r="AE19" t="n">
        <v>245810975.412</v>
      </c>
      <c r="AF19" t="n">
        <v>253994591.423</v>
      </c>
      <c r="AG19" t="n">
        <v>256092744.474</v>
      </c>
      <c r="AH19" t="n">
        <v>268344923.882</v>
      </c>
      <c r="AI19" t="n">
        <v>285128368.029</v>
      </c>
      <c r="AJ19" t="n">
        <v>292318988.996</v>
      </c>
      <c r="AK19" t="n">
        <v>304916822.37</v>
      </c>
      <c r="AL19" t="n">
        <v>319672751.71</v>
      </c>
      <c r="AM19" t="n">
        <v>326844369.206</v>
      </c>
      <c r="AN19" t="n">
        <v>350702075.271</v>
      </c>
      <c r="AO19" t="n">
        <v>347469622.956</v>
      </c>
      <c r="AP19" t="n">
        <v>367141250.929</v>
      </c>
      <c r="AQ19" t="n">
        <v>392920767.025</v>
      </c>
      <c r="AR19" t="n">
        <v>412831175.499</v>
      </c>
      <c r="AS19" t="n">
        <v>435655700.451</v>
      </c>
      <c r="AT19" t="n">
        <v>418235098.37</v>
      </c>
      <c r="AU19" t="n">
        <v>480785436.286</v>
      </c>
      <c r="AV19" t="n">
        <v>524237229.191</v>
      </c>
      <c r="AW19" t="n">
        <v>570166213.929</v>
      </c>
      <c r="AX19" t="n">
        <v>568989082.798</v>
      </c>
      <c r="AY19" t="n">
        <v>571132447.826</v>
      </c>
      <c r="AZ19" t="n">
        <v>559302110.836</v>
      </c>
      <c r="BA19" t="n">
        <v>552138140.16</v>
      </c>
      <c r="BB19" t="n">
        <v>577360877.5700001</v>
      </c>
      <c r="BC19" t="n">
        <v>589097117.332</v>
      </c>
      <c r="BD19" t="n">
        <v>628149779.972</v>
      </c>
      <c r="BE19" t="n">
        <v>611235059.126</v>
      </c>
      <c r="BF19" t="n">
        <v>599861943.332</v>
      </c>
      <c r="BG19" t="n">
        <v>601698292.536</v>
      </c>
      <c r="BH19" t="n">
        <v>598339468.038</v>
      </c>
      <c r="BI19" t="n">
        <v>599031581.952</v>
      </c>
      <c r="BJ19" t="n">
        <v>649917813.835</v>
      </c>
      <c r="BK19" t="n">
        <v>653618908.9299999</v>
      </c>
      <c r="BL19" t="n">
        <v>620557611.031</v>
      </c>
      <c r="BM19" t="n">
        <v>668335034.255</v>
      </c>
      <c r="BN19" t="n">
        <v>711491721.674</v>
      </c>
      <c r="BO19" t="n">
        <v>691670300.54</v>
      </c>
      <c r="BP19" t="n">
        <v>718452540.405</v>
      </c>
      <c r="BQ19" t="n">
        <v>723599026.6950001</v>
      </c>
      <c r="BR19" t="n">
        <v>708042113.863</v>
      </c>
      <c r="BS19" t="n">
        <v>709384977.865</v>
      </c>
      <c r="BT19" t="n">
        <v>730497800.211</v>
      </c>
    </row>
    <row r="20">
      <c r="A20" t="inlineStr">
        <is>
          <t>new_WithEgestion</t>
        </is>
      </c>
      <c r="B20" t="inlineStr">
        <is>
          <t>ok</t>
        </is>
      </c>
      <c r="C20" t="n">
        <v>22932172.28</v>
      </c>
      <c r="D20" t="n">
        <v>28079433.302</v>
      </c>
      <c r="E20" t="n">
        <v>33004263.394</v>
      </c>
      <c r="F20" t="n">
        <v>33725763.205</v>
      </c>
      <c r="G20" t="n">
        <v>42758690.498</v>
      </c>
      <c r="H20" t="n">
        <v>48443380.424</v>
      </c>
      <c r="I20" t="n">
        <v>53178813.402</v>
      </c>
      <c r="J20" t="n">
        <v>53298199.383</v>
      </c>
      <c r="K20" t="n">
        <v>57737890.453</v>
      </c>
      <c r="L20" t="n">
        <v>61138728.935</v>
      </c>
      <c r="M20" t="n">
        <v>69160873.16599999</v>
      </c>
      <c r="N20" t="n">
        <v>67611803.14300001</v>
      </c>
      <c r="O20" t="n">
        <v>75058671.138</v>
      </c>
      <c r="P20" t="n">
        <v>79137982.55500001</v>
      </c>
      <c r="Q20" t="n">
        <v>82082709.58400001</v>
      </c>
      <c r="R20" t="n">
        <v>87404060.06200001</v>
      </c>
      <c r="S20" t="n">
        <v>93169805.59199999</v>
      </c>
      <c r="T20" t="n">
        <v>92127716.57700001</v>
      </c>
      <c r="U20" t="n">
        <v>95376236.95100001</v>
      </c>
      <c r="V20" t="n">
        <v>98062281.167</v>
      </c>
      <c r="W20" t="n">
        <v>99053948.38500001</v>
      </c>
      <c r="X20" t="n">
        <v>98792678.579</v>
      </c>
      <c r="Y20" t="n">
        <v>105918447.194</v>
      </c>
      <c r="Z20" t="n">
        <v>114261093.2</v>
      </c>
      <c r="AA20" t="n">
        <v>114576037.983</v>
      </c>
      <c r="AB20" t="n">
        <v>113668900.849</v>
      </c>
      <c r="AC20" t="n">
        <v>114485316.571</v>
      </c>
      <c r="AD20" t="n">
        <v>118803308.609</v>
      </c>
      <c r="AE20" t="n">
        <v>118850033.926</v>
      </c>
      <c r="AF20" t="n">
        <v>122938861.46</v>
      </c>
      <c r="AG20" t="n">
        <v>124194126.968</v>
      </c>
      <c r="AH20" t="n">
        <v>129874139.088</v>
      </c>
      <c r="AI20" t="n">
        <v>138240823.284</v>
      </c>
      <c r="AJ20" t="n">
        <v>142507560.454</v>
      </c>
      <c r="AK20" t="n">
        <v>148289975.53</v>
      </c>
      <c r="AL20" t="n">
        <v>155983425.327</v>
      </c>
      <c r="AM20" t="n">
        <v>159672482.956</v>
      </c>
      <c r="AN20" t="n">
        <v>171842708.093</v>
      </c>
      <c r="AO20" t="n">
        <v>170982956.717</v>
      </c>
      <c r="AP20" t="n">
        <v>180434619.785</v>
      </c>
      <c r="AQ20" t="n">
        <v>193464442.864</v>
      </c>
      <c r="AR20" t="n">
        <v>203245712.936</v>
      </c>
      <c r="AS20" t="n">
        <v>215088718.998</v>
      </c>
      <c r="AT20" t="n">
        <v>207042053.914</v>
      </c>
      <c r="AU20" t="n">
        <v>237795618.814</v>
      </c>
      <c r="AV20" t="n">
        <v>259591351.804</v>
      </c>
      <c r="AW20" t="n">
        <v>282574490.634</v>
      </c>
      <c r="AX20" t="n">
        <v>283804487.834</v>
      </c>
      <c r="AY20" t="n">
        <v>284706512.875</v>
      </c>
      <c r="AZ20" t="n">
        <v>277769546.104</v>
      </c>
      <c r="BA20" t="n">
        <v>273995691.572</v>
      </c>
      <c r="BB20" t="n">
        <v>286695241.986</v>
      </c>
      <c r="BC20" t="n">
        <v>292564357.308</v>
      </c>
      <c r="BD20" t="n">
        <v>310552713.685</v>
      </c>
      <c r="BE20" t="n">
        <v>301902264.008</v>
      </c>
      <c r="BF20" t="n">
        <v>296985733.439</v>
      </c>
      <c r="BG20" t="n">
        <v>297069806.008</v>
      </c>
      <c r="BH20" t="n">
        <v>295691484.148</v>
      </c>
      <c r="BI20" t="n">
        <v>295976043.412</v>
      </c>
      <c r="BJ20" t="n">
        <v>321108898.277</v>
      </c>
      <c r="BK20" t="n">
        <v>323463465.899</v>
      </c>
      <c r="BL20" t="n">
        <v>307874854.924</v>
      </c>
      <c r="BM20" t="n">
        <v>332256164.967</v>
      </c>
      <c r="BN20" t="n">
        <v>353066948.975</v>
      </c>
      <c r="BO20" t="n">
        <v>344254314.844</v>
      </c>
      <c r="BP20" t="n">
        <v>357198103.941</v>
      </c>
      <c r="BQ20" t="n">
        <v>359708136.729</v>
      </c>
      <c r="BR20" t="n">
        <v>351580772.503</v>
      </c>
      <c r="BS20" t="n">
        <v>351698577.606</v>
      </c>
      <c r="BT20" t="n">
        <v>362452720.83</v>
      </c>
    </row>
    <row r="21">
      <c r="A21" t="inlineStr">
        <is>
          <t>sym_TE_asPP</t>
        </is>
      </c>
      <c r="B21" t="inlineStr">
        <is>
          <t>ok</t>
        </is>
      </c>
      <c r="C21" t="n">
        <v>5340072572.594</v>
      </c>
      <c r="D21" t="n">
        <v>6769291557.962</v>
      </c>
      <c r="E21" t="n">
        <v>8164556708.785</v>
      </c>
      <c r="F21" t="n">
        <v>8340909675.554</v>
      </c>
      <c r="G21" t="n">
        <v>10126933469.149</v>
      </c>
      <c r="H21" t="n">
        <v>11600292619.83</v>
      </c>
      <c r="I21" t="n">
        <v>12952016465.106</v>
      </c>
      <c r="J21" t="n">
        <v>12850113538.404</v>
      </c>
      <c r="K21" t="n">
        <v>13566499932.817</v>
      </c>
      <c r="L21" t="n">
        <v>14496515164.818</v>
      </c>
      <c r="M21" t="n">
        <v>16308704405.031</v>
      </c>
      <c r="N21" t="n">
        <v>15788073155.656</v>
      </c>
      <c r="O21" t="n">
        <v>17871025011.586</v>
      </c>
      <c r="P21" t="n">
        <v>18729830484.902</v>
      </c>
      <c r="Q21" t="n">
        <v>19130404644.272</v>
      </c>
      <c r="R21" t="n">
        <v>20740259265.68</v>
      </c>
      <c r="S21" t="n">
        <v>21847512083.016</v>
      </c>
      <c r="T21" t="n">
        <v>21839740232.475</v>
      </c>
      <c r="U21" t="n">
        <v>23047048062.481</v>
      </c>
      <c r="V21" t="n">
        <v>23747341407.186</v>
      </c>
      <c r="W21" t="n">
        <v>22863880013.321</v>
      </c>
      <c r="X21" t="n">
        <v>23335682890.385</v>
      </c>
      <c r="Y21" t="n">
        <v>24401391960.77</v>
      </c>
      <c r="Z21" t="n">
        <v>26769035110.077</v>
      </c>
      <c r="AA21" t="n">
        <v>26492184962.719</v>
      </c>
      <c r="AB21" t="n">
        <v>26430673773.8</v>
      </c>
      <c r="AC21" t="n">
        <v>26597277214.998</v>
      </c>
      <c r="AD21" t="n">
        <v>27145228585.217</v>
      </c>
      <c r="AE21" t="n">
        <v>26653477435.276</v>
      </c>
      <c r="AF21" t="n">
        <v>27611385084.974</v>
      </c>
      <c r="AG21" t="n">
        <v>27388290930.956</v>
      </c>
      <c r="AH21" t="n">
        <v>28840226559.922</v>
      </c>
      <c r="AI21" t="n">
        <v>30660416279.63</v>
      </c>
      <c r="AJ21" t="n">
        <v>31173279448.594</v>
      </c>
      <c r="AK21" t="n">
        <v>32535407178.245</v>
      </c>
      <c r="AL21" t="n">
        <v>33536181131.975</v>
      </c>
      <c r="AM21" t="n">
        <v>33939217891.846</v>
      </c>
      <c r="AN21" t="n">
        <v>35677643973.56</v>
      </c>
      <c r="AO21" t="n">
        <v>34543022562.664</v>
      </c>
      <c r="AP21" t="n">
        <v>36112686603.842</v>
      </c>
      <c r="AQ21" t="n">
        <v>38401458605.319</v>
      </c>
      <c r="AR21" t="n">
        <v>40121190743.972</v>
      </c>
      <c r="AS21" t="n">
        <v>41527576436</v>
      </c>
      <c r="AT21" t="n">
        <v>39858730393.97</v>
      </c>
      <c r="AU21" t="n">
        <v>46364379109.494</v>
      </c>
      <c r="AV21" t="n">
        <v>49564012143.525</v>
      </c>
      <c r="AW21" t="n">
        <v>53418537133.755</v>
      </c>
      <c r="AX21" t="n">
        <v>52535126179.987</v>
      </c>
      <c r="AY21" t="n">
        <v>52692761575.156</v>
      </c>
      <c r="AZ21" t="n">
        <v>54895125621.11</v>
      </c>
      <c r="BA21" t="n">
        <v>53398660822.344</v>
      </c>
      <c r="BB21" t="n">
        <v>54648937853.421</v>
      </c>
      <c r="BC21" t="n">
        <v>55709186437.646</v>
      </c>
      <c r="BD21" t="n">
        <v>59198944189.215</v>
      </c>
      <c r="BE21" t="n">
        <v>59422686506.773</v>
      </c>
      <c r="BF21" t="n">
        <v>57074486152.91</v>
      </c>
      <c r="BG21" t="n">
        <v>57753079172.884</v>
      </c>
      <c r="BH21" t="n">
        <v>56680358677.975</v>
      </c>
      <c r="BI21" t="n">
        <v>56821420071.374</v>
      </c>
      <c r="BJ21" t="n">
        <v>61339711904.471</v>
      </c>
      <c r="BK21" t="n">
        <v>60734685215.699</v>
      </c>
      <c r="BL21" t="n">
        <v>57731266428.729</v>
      </c>
      <c r="BM21" t="n">
        <v>60909222738.387</v>
      </c>
      <c r="BN21" t="n">
        <v>64823923943.923</v>
      </c>
      <c r="BO21" t="n">
        <v>62592062769.805</v>
      </c>
      <c r="BP21" t="n">
        <v>64930829925.851</v>
      </c>
      <c r="BQ21" t="n">
        <v>65374943890.853</v>
      </c>
      <c r="BR21" t="n">
        <v>64582742489.671</v>
      </c>
      <c r="BS21" t="n">
        <v>65268580832.157</v>
      </c>
      <c r="BT21" t="n">
        <v>67221200544.74</v>
      </c>
    </row>
    <row r="22">
      <c r="A22" t="inlineStr">
        <is>
          <t>sym_TE_asDC</t>
        </is>
      </c>
      <c r="B22" t="inlineStr">
        <is>
          <t>ok</t>
        </is>
      </c>
      <c r="C22" t="n">
        <v>5340072572.594</v>
      </c>
      <c r="D22" t="n">
        <v>6769291557.962</v>
      </c>
      <c r="E22" t="n">
        <v>8164556708.785</v>
      </c>
      <c r="F22" t="n">
        <v>8340909675.554</v>
      </c>
      <c r="G22" t="n">
        <v>10126933469.149</v>
      </c>
      <c r="H22" t="n">
        <v>11600292619.83</v>
      </c>
      <c r="I22" t="n">
        <v>12952016465.106</v>
      </c>
      <c r="J22" t="n">
        <v>12850113538.404</v>
      </c>
      <c r="K22" t="n">
        <v>13566499932.817</v>
      </c>
      <c r="L22" t="n">
        <v>14496515164.818</v>
      </c>
      <c r="M22" t="n">
        <v>16308704405.031</v>
      </c>
      <c r="N22" t="n">
        <v>15788073155.656</v>
      </c>
      <c r="O22" t="n">
        <v>17871025011.586</v>
      </c>
      <c r="P22" t="n">
        <v>18729830484.902</v>
      </c>
      <c r="Q22" t="n">
        <v>19130404644.272</v>
      </c>
      <c r="R22" t="n">
        <v>20740259265.68</v>
      </c>
      <c r="S22" t="n">
        <v>21847512083.016</v>
      </c>
      <c r="T22" t="n">
        <v>21839740232.475</v>
      </c>
      <c r="U22" t="n">
        <v>23047048062.481</v>
      </c>
      <c r="V22" t="n">
        <v>23747341407.186</v>
      </c>
      <c r="W22" t="n">
        <v>22863880013.321</v>
      </c>
      <c r="X22" t="n">
        <v>23335682890.385</v>
      </c>
      <c r="Y22" t="n">
        <v>24401391960.77</v>
      </c>
      <c r="Z22" t="n">
        <v>26769035110.077</v>
      </c>
      <c r="AA22" t="n">
        <v>26492184962.719</v>
      </c>
      <c r="AB22" t="n">
        <v>26430673773.8</v>
      </c>
      <c r="AC22" t="n">
        <v>26597277214.998</v>
      </c>
      <c r="AD22" t="n">
        <v>27145228585.217</v>
      </c>
      <c r="AE22" t="n">
        <v>26653477435.276</v>
      </c>
      <c r="AF22" t="n">
        <v>27611385084.974</v>
      </c>
      <c r="AG22" t="n">
        <v>27388290930.956</v>
      </c>
      <c r="AH22" t="n">
        <v>28840226559.922</v>
      </c>
      <c r="AI22" t="n">
        <v>30660416279.63</v>
      </c>
      <c r="AJ22" t="n">
        <v>31173279448.594</v>
      </c>
      <c r="AK22" t="n">
        <v>32535407178.245</v>
      </c>
      <c r="AL22" t="n">
        <v>33536181131.975</v>
      </c>
      <c r="AM22" t="n">
        <v>33939217891.846</v>
      </c>
      <c r="AN22" t="n">
        <v>35677643973.56</v>
      </c>
      <c r="AO22" t="n">
        <v>34543022562.664</v>
      </c>
      <c r="AP22" t="n">
        <v>36112686603.842</v>
      </c>
      <c r="AQ22" t="n">
        <v>38401458605.319</v>
      </c>
      <c r="AR22" t="n">
        <v>40121190743.972</v>
      </c>
      <c r="AS22" t="n">
        <v>41527576436</v>
      </c>
      <c r="AT22" t="n">
        <v>39858730393.97</v>
      </c>
      <c r="AU22" t="n">
        <v>46364379109.494</v>
      </c>
      <c r="AV22" t="n">
        <v>49564012143.525</v>
      </c>
      <c r="AW22" t="n">
        <v>53418537133.755</v>
      </c>
      <c r="AX22" t="n">
        <v>52535126179.987</v>
      </c>
      <c r="AY22" t="n">
        <v>52692761575.156</v>
      </c>
      <c r="AZ22" t="n">
        <v>54895125621.11</v>
      </c>
      <c r="BA22" t="n">
        <v>53398660822.344</v>
      </c>
      <c r="BB22" t="n">
        <v>54648937853.421</v>
      </c>
      <c r="BC22" t="n">
        <v>55709186437.646</v>
      </c>
      <c r="BD22" t="n">
        <v>59198944189.215</v>
      </c>
      <c r="BE22" t="n">
        <v>59422686506.773</v>
      </c>
      <c r="BF22" t="n">
        <v>57074486152.91</v>
      </c>
      <c r="BG22" t="n">
        <v>57753079172.884</v>
      </c>
      <c r="BH22" t="n">
        <v>56680358677.975</v>
      </c>
      <c r="BI22" t="n">
        <v>56821420071.374</v>
      </c>
      <c r="BJ22" t="n">
        <v>61339711904.471</v>
      </c>
      <c r="BK22" t="n">
        <v>60734685215.699</v>
      </c>
      <c r="BL22" t="n">
        <v>57731266428.729</v>
      </c>
      <c r="BM22" t="n">
        <v>60909222738.387</v>
      </c>
      <c r="BN22" t="n">
        <v>64823923943.923</v>
      </c>
      <c r="BO22" t="n">
        <v>62592062769.805</v>
      </c>
      <c r="BP22" t="n">
        <v>64930829925.851</v>
      </c>
      <c r="BQ22" t="n">
        <v>65374943890.853</v>
      </c>
      <c r="BR22" t="n">
        <v>64582742489.671</v>
      </c>
      <c r="BS22" t="n">
        <v>65268580832.157</v>
      </c>
      <c r="BT22" t="n">
        <v>67221200544.74</v>
      </c>
    </row>
    <row r="23">
      <c r="A23" t="inlineStr">
        <is>
          <t>sym_GE_asPP</t>
        </is>
      </c>
      <c r="B23" t="inlineStr">
        <is>
          <t>ok</t>
        </is>
      </c>
      <c r="C23" t="n">
        <v>47670597.7</v>
      </c>
      <c r="D23" t="n">
        <v>58695949.638</v>
      </c>
      <c r="E23" t="n">
        <v>69275384.498</v>
      </c>
      <c r="F23" t="n">
        <v>70761306.90700001</v>
      </c>
      <c r="G23" t="n">
        <v>88835269.307</v>
      </c>
      <c r="H23" t="n">
        <v>100746926.06</v>
      </c>
      <c r="I23" t="n">
        <v>110920012.08</v>
      </c>
      <c r="J23" t="n">
        <v>111087937.845</v>
      </c>
      <c r="K23" t="n">
        <v>120175192.53</v>
      </c>
      <c r="L23" t="n">
        <v>127158935.935</v>
      </c>
      <c r="M23" t="n">
        <v>144111104.724</v>
      </c>
      <c r="N23" t="n">
        <v>140820142.889</v>
      </c>
      <c r="O23" t="n">
        <v>156154215.776</v>
      </c>
      <c r="P23" t="n">
        <v>164184857.499</v>
      </c>
      <c r="Q23" t="n">
        <v>170162185.23</v>
      </c>
      <c r="R23" t="n">
        <v>181854123.492</v>
      </c>
      <c r="S23" t="n">
        <v>194429327.121</v>
      </c>
      <c r="T23" t="n">
        <v>192204179.107</v>
      </c>
      <c r="U23" t="n">
        <v>198892784.702</v>
      </c>
      <c r="V23" t="n">
        <v>204679053.53</v>
      </c>
      <c r="W23" t="n">
        <v>205956818.308</v>
      </c>
      <c r="X23" t="n">
        <v>206382437.962</v>
      </c>
      <c r="Y23" t="n">
        <v>221622784.1</v>
      </c>
      <c r="Z23" t="n">
        <v>239353868.987</v>
      </c>
      <c r="AA23" t="n">
        <v>239189813.202</v>
      </c>
      <c r="AB23" t="n">
        <v>236788996.965</v>
      </c>
      <c r="AC23" t="n">
        <v>238033725.971</v>
      </c>
      <c r="AD23" t="n">
        <v>245987346.98</v>
      </c>
      <c r="AE23" t="n">
        <v>245810975.412</v>
      </c>
      <c r="AF23" t="n">
        <v>253994591.423</v>
      </c>
      <c r="AG23" t="n">
        <v>256092744.474</v>
      </c>
      <c r="AH23" t="n">
        <v>268344923.882</v>
      </c>
      <c r="AI23" t="n">
        <v>285128368.029</v>
      </c>
      <c r="AJ23" t="n">
        <v>292318988.996</v>
      </c>
      <c r="AK23" t="n">
        <v>304916822.37</v>
      </c>
      <c r="AL23" t="n">
        <v>319672751.71</v>
      </c>
      <c r="AM23" t="n">
        <v>326844369.206</v>
      </c>
      <c r="AN23" t="n">
        <v>350702075.271</v>
      </c>
      <c r="AO23" t="n">
        <v>347469622.956</v>
      </c>
      <c r="AP23" t="n">
        <v>367141250.929</v>
      </c>
      <c r="AQ23" t="n">
        <v>392920767.025</v>
      </c>
      <c r="AR23" t="n">
        <v>412831175.499</v>
      </c>
      <c r="AS23" t="n">
        <v>435655700.451</v>
      </c>
      <c r="AT23" t="n">
        <v>418235098.37</v>
      </c>
      <c r="AU23" t="n">
        <v>480785436.286</v>
      </c>
      <c r="AV23" t="n">
        <v>524237229.191</v>
      </c>
      <c r="AW23" t="n">
        <v>570166213.929</v>
      </c>
      <c r="AX23" t="n">
        <v>568989082.798</v>
      </c>
      <c r="AY23" t="n">
        <v>571132447.826</v>
      </c>
      <c r="AZ23" t="n">
        <v>559302110.836</v>
      </c>
      <c r="BA23" t="n">
        <v>552138140.16</v>
      </c>
      <c r="BB23" t="n">
        <v>577360877.5700001</v>
      </c>
      <c r="BC23" t="n">
        <v>589097117.332</v>
      </c>
      <c r="BD23" t="n">
        <v>628149779.972</v>
      </c>
      <c r="BE23" t="n">
        <v>611235059.126</v>
      </c>
      <c r="BF23" t="n">
        <v>599861943.332</v>
      </c>
      <c r="BG23" t="n">
        <v>601698292.536</v>
      </c>
      <c r="BH23" t="n">
        <v>598339468.038</v>
      </c>
      <c r="BI23" t="n">
        <v>599031581.952</v>
      </c>
      <c r="BJ23" t="n">
        <v>649917813.835</v>
      </c>
      <c r="BK23" t="n">
        <v>653618908.9299999</v>
      </c>
      <c r="BL23" t="n">
        <v>620557611.031</v>
      </c>
      <c r="BM23" t="n">
        <v>668335034.255</v>
      </c>
      <c r="BN23" t="n">
        <v>711491721.674</v>
      </c>
      <c r="BO23" t="n">
        <v>691670300.54</v>
      </c>
      <c r="BP23" t="n">
        <v>718452540.405</v>
      </c>
      <c r="BQ23" t="n">
        <v>723599026.6950001</v>
      </c>
      <c r="BR23" t="n">
        <v>708042113.863</v>
      </c>
      <c r="BS23" t="n">
        <v>709384977.865</v>
      </c>
      <c r="BT23" t="n">
        <v>730497800.211</v>
      </c>
    </row>
    <row r="24">
      <c r="A24" t="inlineStr">
        <is>
          <t>sym_GE_asDC</t>
        </is>
      </c>
      <c r="B24" t="inlineStr">
        <is>
          <t>ok</t>
        </is>
      </c>
      <c r="C24" t="n">
        <v>47670597.7</v>
      </c>
      <c r="D24" t="n">
        <v>58695949.638</v>
      </c>
      <c r="E24" t="n">
        <v>69275384.498</v>
      </c>
      <c r="F24" t="n">
        <v>70761306.90700001</v>
      </c>
      <c r="G24" t="n">
        <v>88835269.307</v>
      </c>
      <c r="H24" t="n">
        <v>100746926.06</v>
      </c>
      <c r="I24" t="n">
        <v>110920012.08</v>
      </c>
      <c r="J24" t="n">
        <v>111087937.845</v>
      </c>
      <c r="K24" t="n">
        <v>120175192.53</v>
      </c>
      <c r="L24" t="n">
        <v>127158935.935</v>
      </c>
      <c r="M24" t="n">
        <v>144111104.724</v>
      </c>
      <c r="N24" t="n">
        <v>140820142.889</v>
      </c>
      <c r="O24" t="n">
        <v>156154215.776</v>
      </c>
      <c r="P24" t="n">
        <v>164184857.499</v>
      </c>
      <c r="Q24" t="n">
        <v>170162185.23</v>
      </c>
      <c r="R24" t="n">
        <v>181854123.492</v>
      </c>
      <c r="S24" t="n">
        <v>194429327.121</v>
      </c>
      <c r="T24" t="n">
        <v>192204179.107</v>
      </c>
      <c r="U24" t="n">
        <v>198892784.702</v>
      </c>
      <c r="V24" t="n">
        <v>204679053.53</v>
      </c>
      <c r="W24" t="n">
        <v>205956818.308</v>
      </c>
      <c r="X24" t="n">
        <v>206382437.962</v>
      </c>
      <c r="Y24" t="n">
        <v>221622784.1</v>
      </c>
      <c r="Z24" t="n">
        <v>239353868.987</v>
      </c>
      <c r="AA24" t="n">
        <v>239189813.202</v>
      </c>
      <c r="AB24" t="n">
        <v>236788996.965</v>
      </c>
      <c r="AC24" t="n">
        <v>238033725.971</v>
      </c>
      <c r="AD24" t="n">
        <v>245987346.98</v>
      </c>
      <c r="AE24" t="n">
        <v>245810975.412</v>
      </c>
      <c r="AF24" t="n">
        <v>253994591.423</v>
      </c>
      <c r="AG24" t="n">
        <v>256092744.474</v>
      </c>
      <c r="AH24" t="n">
        <v>268344923.882</v>
      </c>
      <c r="AI24" t="n">
        <v>285128368.029</v>
      </c>
      <c r="AJ24" t="n">
        <v>292318988.996</v>
      </c>
      <c r="AK24" t="n">
        <v>304916822.37</v>
      </c>
      <c r="AL24" t="n">
        <v>319672751.71</v>
      </c>
      <c r="AM24" t="n">
        <v>326844369.206</v>
      </c>
      <c r="AN24" t="n">
        <v>350702075.271</v>
      </c>
      <c r="AO24" t="n">
        <v>347469622.956</v>
      </c>
      <c r="AP24" t="n">
        <v>367141250.929</v>
      </c>
      <c r="AQ24" t="n">
        <v>392920767.025</v>
      </c>
      <c r="AR24" t="n">
        <v>412831175.499</v>
      </c>
      <c r="AS24" t="n">
        <v>435655700.451</v>
      </c>
      <c r="AT24" t="n">
        <v>418235098.37</v>
      </c>
      <c r="AU24" t="n">
        <v>480785436.286</v>
      </c>
      <c r="AV24" t="n">
        <v>524237229.191</v>
      </c>
      <c r="AW24" t="n">
        <v>570166213.929</v>
      </c>
      <c r="AX24" t="n">
        <v>568989082.798</v>
      </c>
      <c r="AY24" t="n">
        <v>571132447.826</v>
      </c>
      <c r="AZ24" t="n">
        <v>559302110.836</v>
      </c>
      <c r="BA24" t="n">
        <v>552138140.16</v>
      </c>
      <c r="BB24" t="n">
        <v>577360877.5700001</v>
      </c>
      <c r="BC24" t="n">
        <v>589097117.332</v>
      </c>
      <c r="BD24" t="n">
        <v>628149779.972</v>
      </c>
      <c r="BE24" t="n">
        <v>611235059.126</v>
      </c>
      <c r="BF24" t="n">
        <v>599861943.332</v>
      </c>
      <c r="BG24" t="n">
        <v>601698292.536</v>
      </c>
      <c r="BH24" t="n">
        <v>598339468.038</v>
      </c>
      <c r="BI24" t="n">
        <v>599031581.952</v>
      </c>
      <c r="BJ24" t="n">
        <v>649917813.835</v>
      </c>
      <c r="BK24" t="n">
        <v>653618908.9299999</v>
      </c>
      <c r="BL24" t="n">
        <v>620557611.031</v>
      </c>
      <c r="BM24" t="n">
        <v>668335034.255</v>
      </c>
      <c r="BN24" t="n">
        <v>711491721.674</v>
      </c>
      <c r="BO24" t="n">
        <v>691670300.54</v>
      </c>
      <c r="BP24" t="n">
        <v>718452540.405</v>
      </c>
      <c r="BQ24" t="n">
        <v>723599026.6950001</v>
      </c>
      <c r="BR24" t="n">
        <v>708042113.863</v>
      </c>
      <c r="BS24" t="n">
        <v>709384977.865</v>
      </c>
      <c r="BT24" t="n">
        <v>730497800.211</v>
      </c>
    </row>
    <row r="25">
      <c r="A25" t="inlineStr">
        <is>
          <t>sym_WithEgestion_asPP</t>
        </is>
      </c>
      <c r="B25" t="inlineStr">
        <is>
          <t>ok</t>
        </is>
      </c>
      <c r="C25" t="n">
        <v>22932172.28</v>
      </c>
      <c r="D25" t="n">
        <v>28079433.302</v>
      </c>
      <c r="E25" t="n">
        <v>33004263.394</v>
      </c>
      <c r="F25" t="n">
        <v>33725763.205</v>
      </c>
      <c r="G25" t="n">
        <v>42758690.498</v>
      </c>
      <c r="H25" t="n">
        <v>48443380.424</v>
      </c>
      <c r="I25" t="n">
        <v>53178813.402</v>
      </c>
      <c r="J25" t="n">
        <v>53298199.383</v>
      </c>
      <c r="K25" t="n">
        <v>57737890.453</v>
      </c>
      <c r="L25" t="n">
        <v>61138728.935</v>
      </c>
      <c r="M25" t="n">
        <v>69160873.16599999</v>
      </c>
      <c r="N25" t="n">
        <v>67611803.14300001</v>
      </c>
      <c r="O25" t="n">
        <v>75058671.138</v>
      </c>
      <c r="P25" t="n">
        <v>79137982.55500001</v>
      </c>
      <c r="Q25" t="n">
        <v>82082709.58400001</v>
      </c>
      <c r="R25" t="n">
        <v>87404060.06200001</v>
      </c>
      <c r="S25" t="n">
        <v>93169805.59199999</v>
      </c>
      <c r="T25" t="n">
        <v>92127716.57700001</v>
      </c>
      <c r="U25" t="n">
        <v>95376236.95100001</v>
      </c>
      <c r="V25" t="n">
        <v>98062281.167</v>
      </c>
      <c r="W25" t="n">
        <v>99053948.38500001</v>
      </c>
      <c r="X25" t="n">
        <v>98792678.579</v>
      </c>
      <c r="Y25" t="n">
        <v>105918447.194</v>
      </c>
      <c r="Z25" t="n">
        <v>114261093.2</v>
      </c>
      <c r="AA25" t="n">
        <v>114576037.983</v>
      </c>
      <c r="AB25" t="n">
        <v>113668900.849</v>
      </c>
      <c r="AC25" t="n">
        <v>114485316.571</v>
      </c>
      <c r="AD25" t="n">
        <v>118803308.609</v>
      </c>
      <c r="AE25" t="n">
        <v>118850033.926</v>
      </c>
      <c r="AF25" t="n">
        <v>122938861.46</v>
      </c>
      <c r="AG25" t="n">
        <v>124194126.968</v>
      </c>
      <c r="AH25" t="n">
        <v>129874139.088</v>
      </c>
      <c r="AI25" t="n">
        <v>138240823.284</v>
      </c>
      <c r="AJ25" t="n">
        <v>142507560.454</v>
      </c>
      <c r="AK25" t="n">
        <v>148289975.53</v>
      </c>
      <c r="AL25" t="n">
        <v>155983425.327</v>
      </c>
      <c r="AM25" t="n">
        <v>159672482.956</v>
      </c>
      <c r="AN25" t="n">
        <v>171842708.093</v>
      </c>
      <c r="AO25" t="n">
        <v>170982956.717</v>
      </c>
      <c r="AP25" t="n">
        <v>180434619.785</v>
      </c>
      <c r="AQ25" t="n">
        <v>193464442.864</v>
      </c>
      <c r="AR25" t="n">
        <v>203245712.936</v>
      </c>
      <c r="AS25" t="n">
        <v>215088718.998</v>
      </c>
      <c r="AT25" t="n">
        <v>207042053.914</v>
      </c>
      <c r="AU25" t="n">
        <v>237795618.814</v>
      </c>
      <c r="AV25" t="n">
        <v>259591351.804</v>
      </c>
      <c r="AW25" t="n">
        <v>282574490.634</v>
      </c>
      <c r="AX25" t="n">
        <v>283804487.834</v>
      </c>
      <c r="AY25" t="n">
        <v>284706512.875</v>
      </c>
      <c r="AZ25" t="n">
        <v>277769546.104</v>
      </c>
      <c r="BA25" t="n">
        <v>273995691.572</v>
      </c>
      <c r="BB25" t="n">
        <v>286695241.986</v>
      </c>
      <c r="BC25" t="n">
        <v>292564357.308</v>
      </c>
      <c r="BD25" t="n">
        <v>310552713.685</v>
      </c>
      <c r="BE25" t="n">
        <v>301902264.008</v>
      </c>
      <c r="BF25" t="n">
        <v>296985733.439</v>
      </c>
      <c r="BG25" t="n">
        <v>297069806.008</v>
      </c>
      <c r="BH25" t="n">
        <v>295691484.148</v>
      </c>
      <c r="BI25" t="n">
        <v>295976043.412</v>
      </c>
      <c r="BJ25" t="n">
        <v>321108898.277</v>
      </c>
      <c r="BK25" t="n">
        <v>323463465.899</v>
      </c>
      <c r="BL25" t="n">
        <v>307874854.924</v>
      </c>
      <c r="BM25" t="n">
        <v>332256164.967</v>
      </c>
      <c r="BN25" t="n">
        <v>353066948.975</v>
      </c>
      <c r="BO25" t="n">
        <v>344254314.844</v>
      </c>
      <c r="BP25" t="n">
        <v>357198103.941</v>
      </c>
      <c r="BQ25" t="n">
        <v>359708136.729</v>
      </c>
      <c r="BR25" t="n">
        <v>351580772.503</v>
      </c>
      <c r="BS25" t="n">
        <v>351698577.606</v>
      </c>
      <c r="BT25" t="n">
        <v>362452720.83</v>
      </c>
    </row>
    <row r="26">
      <c r="A26" t="inlineStr">
        <is>
          <t>sym_WithEgestion_asDC</t>
        </is>
      </c>
      <c r="B26" t="inlineStr">
        <is>
          <t>ok</t>
        </is>
      </c>
      <c r="C26" t="n">
        <v>22932172.28</v>
      </c>
      <c r="D26" t="n">
        <v>28079433.302</v>
      </c>
      <c r="E26" t="n">
        <v>33004263.394</v>
      </c>
      <c r="F26" t="n">
        <v>33725763.205</v>
      </c>
      <c r="G26" t="n">
        <v>42758690.498</v>
      </c>
      <c r="H26" t="n">
        <v>48443380.424</v>
      </c>
      <c r="I26" t="n">
        <v>53178813.402</v>
      </c>
      <c r="J26" t="n">
        <v>53298199.383</v>
      </c>
      <c r="K26" t="n">
        <v>57737890.453</v>
      </c>
      <c r="L26" t="n">
        <v>61138728.935</v>
      </c>
      <c r="M26" t="n">
        <v>69160873.16599999</v>
      </c>
      <c r="N26" t="n">
        <v>67611803.14300001</v>
      </c>
      <c r="O26" t="n">
        <v>75058671.138</v>
      </c>
      <c r="P26" t="n">
        <v>79137982.55500001</v>
      </c>
      <c r="Q26" t="n">
        <v>82082709.58400001</v>
      </c>
      <c r="R26" t="n">
        <v>87404060.06200001</v>
      </c>
      <c r="S26" t="n">
        <v>93169805.59199999</v>
      </c>
      <c r="T26" t="n">
        <v>92127716.57700001</v>
      </c>
      <c r="U26" t="n">
        <v>95376236.95100001</v>
      </c>
      <c r="V26" t="n">
        <v>98062281.167</v>
      </c>
      <c r="W26" t="n">
        <v>99053948.38500001</v>
      </c>
      <c r="X26" t="n">
        <v>98792678.579</v>
      </c>
      <c r="Y26" t="n">
        <v>105918447.194</v>
      </c>
      <c r="Z26" t="n">
        <v>114261093.2</v>
      </c>
      <c r="AA26" t="n">
        <v>114576037.983</v>
      </c>
      <c r="AB26" t="n">
        <v>113668900.849</v>
      </c>
      <c r="AC26" t="n">
        <v>114485316.571</v>
      </c>
      <c r="AD26" t="n">
        <v>118803308.609</v>
      </c>
      <c r="AE26" t="n">
        <v>118850033.926</v>
      </c>
      <c r="AF26" t="n">
        <v>122938861.46</v>
      </c>
      <c r="AG26" t="n">
        <v>124194126.968</v>
      </c>
      <c r="AH26" t="n">
        <v>129874139.088</v>
      </c>
      <c r="AI26" t="n">
        <v>138240823.284</v>
      </c>
      <c r="AJ26" t="n">
        <v>142507560.454</v>
      </c>
      <c r="AK26" t="n">
        <v>148289975.53</v>
      </c>
      <c r="AL26" t="n">
        <v>155983425.327</v>
      </c>
      <c r="AM26" t="n">
        <v>159672482.956</v>
      </c>
      <c r="AN26" t="n">
        <v>171842708.093</v>
      </c>
      <c r="AO26" t="n">
        <v>170982956.717</v>
      </c>
      <c r="AP26" t="n">
        <v>180434619.785</v>
      </c>
      <c r="AQ26" t="n">
        <v>193464442.864</v>
      </c>
      <c r="AR26" t="n">
        <v>203245712.936</v>
      </c>
      <c r="AS26" t="n">
        <v>215088718.998</v>
      </c>
      <c r="AT26" t="n">
        <v>207042053.914</v>
      </c>
      <c r="AU26" t="n">
        <v>237795618.814</v>
      </c>
      <c r="AV26" t="n">
        <v>259591351.804</v>
      </c>
      <c r="AW26" t="n">
        <v>282574490.634</v>
      </c>
      <c r="AX26" t="n">
        <v>283804487.834</v>
      </c>
      <c r="AY26" t="n">
        <v>284706512.875</v>
      </c>
      <c r="AZ26" t="n">
        <v>277769546.104</v>
      </c>
      <c r="BA26" t="n">
        <v>273995691.572</v>
      </c>
      <c r="BB26" t="n">
        <v>286695241.986</v>
      </c>
      <c r="BC26" t="n">
        <v>292564357.308</v>
      </c>
      <c r="BD26" t="n">
        <v>310552713.685</v>
      </c>
      <c r="BE26" t="n">
        <v>301902264.008</v>
      </c>
      <c r="BF26" t="n">
        <v>296985733.439</v>
      </c>
      <c r="BG26" t="n">
        <v>297069806.008</v>
      </c>
      <c r="BH26" t="n">
        <v>295691484.148</v>
      </c>
      <c r="BI26" t="n">
        <v>295976043.412</v>
      </c>
      <c r="BJ26" t="n">
        <v>321108898.277</v>
      </c>
      <c r="BK26" t="n">
        <v>323463465.899</v>
      </c>
      <c r="BL26" t="n">
        <v>307874854.924</v>
      </c>
      <c r="BM26" t="n">
        <v>332256164.967</v>
      </c>
      <c r="BN26" t="n">
        <v>353066948.975</v>
      </c>
      <c r="BO26" t="n">
        <v>344254314.844</v>
      </c>
      <c r="BP26" t="n">
        <v>357198103.941</v>
      </c>
      <c r="BQ26" t="n">
        <v>359708136.729</v>
      </c>
      <c r="BR26" t="n">
        <v>351580772.503</v>
      </c>
      <c r="BS26" t="n">
        <v>351698577.606</v>
      </c>
      <c r="BT26" t="n">
        <v>362452720.83</v>
      </c>
    </row>
    <row r="27">
      <c r="A27" t="inlineStr">
        <is>
          <t>MC_new_GE</t>
        </is>
      </c>
      <c r="B27" t="inlineStr">
        <is>
          <t>ok</t>
        </is>
      </c>
      <c r="C27" t="n">
        <v>50043170.01</v>
      </c>
      <c r="D27" t="n">
        <v>61662173.241</v>
      </c>
      <c r="E27" t="n">
        <v>72811082.131</v>
      </c>
      <c r="F27" t="n">
        <v>74376576.347</v>
      </c>
      <c r="G27" t="n">
        <v>93413112.36499999</v>
      </c>
      <c r="H27" t="n">
        <v>105982775.129</v>
      </c>
      <c r="I27" t="n">
        <v>116692096.041</v>
      </c>
      <c r="J27" t="n">
        <v>116861273.52</v>
      </c>
      <c r="K27" t="n">
        <v>126374221.275</v>
      </c>
      <c r="L27" t="n">
        <v>133752777.57</v>
      </c>
      <c r="M27" t="n">
        <v>151477218.646</v>
      </c>
      <c r="N27" t="n">
        <v>148098503.079</v>
      </c>
      <c r="O27" t="n">
        <v>164175380.715</v>
      </c>
      <c r="P27" t="n">
        <v>172617634.269</v>
      </c>
      <c r="Q27" t="n">
        <v>178863406.956</v>
      </c>
      <c r="R27" t="n">
        <v>191105031.065</v>
      </c>
      <c r="S27" t="n">
        <v>204245902.144</v>
      </c>
      <c r="T27" t="n">
        <v>201987413.747</v>
      </c>
      <c r="U27" t="n">
        <v>209000910.257</v>
      </c>
      <c r="V27" t="n">
        <v>214997257.67</v>
      </c>
      <c r="W27" t="n">
        <v>216225510.812</v>
      </c>
      <c r="X27" t="n">
        <v>216720902.909</v>
      </c>
      <c r="Y27" t="n">
        <v>232817877.842</v>
      </c>
      <c r="Z27" t="n">
        <v>251374626.918</v>
      </c>
      <c r="AA27" t="n">
        <v>251167543.888</v>
      </c>
      <c r="AB27" t="n">
        <v>248553038.804</v>
      </c>
      <c r="AC27" t="n">
        <v>249857523.627</v>
      </c>
      <c r="AD27" t="n">
        <v>258057317.482</v>
      </c>
      <c r="AE27" t="n">
        <v>257802718.32</v>
      </c>
      <c r="AF27" t="n">
        <v>266539938.989</v>
      </c>
      <c r="AG27" t="n">
        <v>268825994.23</v>
      </c>
      <c r="AH27" t="n">
        <v>281738144.363</v>
      </c>
      <c r="AI27" t="n">
        <v>299360028.606</v>
      </c>
      <c r="AJ27" t="n">
        <v>306945389.553</v>
      </c>
      <c r="AK27" t="n">
        <v>319963506.973</v>
      </c>
      <c r="AL27" t="n">
        <v>335396046.023</v>
      </c>
      <c r="AM27" t="n">
        <v>342901988.646</v>
      </c>
      <c r="AN27" t="n">
        <v>367823629.838</v>
      </c>
      <c r="AO27" t="n">
        <v>364382717.909</v>
      </c>
      <c r="AP27" t="n">
        <v>385092393.919</v>
      </c>
      <c r="AQ27" t="n">
        <v>412294028.171</v>
      </c>
      <c r="AR27" t="n">
        <v>433411785.534</v>
      </c>
      <c r="AS27" t="n">
        <v>457314444.536</v>
      </c>
      <c r="AT27" t="n">
        <v>438875324.326</v>
      </c>
      <c r="AU27" t="n">
        <v>504707049.692</v>
      </c>
      <c r="AV27" t="n">
        <v>550415621.801</v>
      </c>
      <c r="AW27" t="n">
        <v>598559327.909</v>
      </c>
      <c r="AX27" t="n">
        <v>597156966.465</v>
      </c>
      <c r="AY27" t="n">
        <v>599494239.142</v>
      </c>
      <c r="AZ27" t="n">
        <v>587000635.613</v>
      </c>
      <c r="BA27" t="n">
        <v>579307179.918</v>
      </c>
      <c r="BB27" t="n">
        <v>605862820.7410001</v>
      </c>
      <c r="BC27" t="n">
        <v>618248128.158</v>
      </c>
      <c r="BD27" t="n">
        <v>659096640.5700001</v>
      </c>
      <c r="BE27" t="n">
        <v>641488618.5</v>
      </c>
      <c r="BF27" t="n">
        <v>629477301.541</v>
      </c>
      <c r="BG27" t="n">
        <v>631498931.716</v>
      </c>
      <c r="BH27" t="n">
        <v>627948153.64</v>
      </c>
      <c r="BI27" t="n">
        <v>628653470.501</v>
      </c>
      <c r="BJ27" t="n">
        <v>682066201.651</v>
      </c>
      <c r="BK27" t="n">
        <v>685956046.678</v>
      </c>
      <c r="BL27" t="n">
        <v>651095869.0420001</v>
      </c>
      <c r="BM27" t="n">
        <v>701235946.492</v>
      </c>
      <c r="BN27" t="n">
        <v>746455663.48</v>
      </c>
      <c r="BO27" t="n">
        <v>725785352.066</v>
      </c>
      <c r="BP27" t="n">
        <v>753855625.972</v>
      </c>
      <c r="BQ27" t="n">
        <v>759190255.2130001</v>
      </c>
      <c r="BR27" t="n">
        <v>742859727.02</v>
      </c>
      <c r="BS27" t="n">
        <v>744171361.808</v>
      </c>
      <c r="BT27" t="n">
        <v>766264627.3660001</v>
      </c>
    </row>
    <row r="28">
      <c r="A28" t="inlineStr">
        <is>
          <t>MC_new_TE_EEfix</t>
        </is>
      </c>
      <c r="B28" t="inlineStr">
        <is>
          <t>ok</t>
        </is>
      </c>
      <c r="C28" t="n">
        <v>5759184324.613</v>
      </c>
      <c r="D28" t="n">
        <v>7308595322.17</v>
      </c>
      <c r="E28" t="n">
        <v>8819605168.629999</v>
      </c>
      <c r="F28" t="n">
        <v>9008848445.702999</v>
      </c>
      <c r="G28" t="n">
        <v>10930364893.261</v>
      </c>
      <c r="H28" t="n">
        <v>12514364864.473</v>
      </c>
      <c r="I28" t="n">
        <v>13979843208.093</v>
      </c>
      <c r="J28" t="n">
        <v>13866044100.749</v>
      </c>
      <c r="K28" t="n">
        <v>14623755708.044</v>
      </c>
      <c r="L28" t="n">
        <v>15622811599.462</v>
      </c>
      <c r="M28" t="n">
        <v>17567833221.374</v>
      </c>
      <c r="N28" t="n">
        <v>16995716175.767</v>
      </c>
      <c r="O28" t="n">
        <v>19236358885.566</v>
      </c>
      <c r="P28" t="n">
        <v>20152544115.09</v>
      </c>
      <c r="Q28" t="n">
        <v>20578384689.182</v>
      </c>
      <c r="R28" t="n">
        <v>22316888549.479</v>
      </c>
      <c r="S28" t="n">
        <v>23496655338.706</v>
      </c>
      <c r="T28" t="n">
        <v>23480313473.259</v>
      </c>
      <c r="U28" t="n">
        <v>24778340153.69</v>
      </c>
      <c r="V28" t="n">
        <v>25529792566.093</v>
      </c>
      <c r="W28" t="n">
        <v>24572909085.694</v>
      </c>
      <c r="X28" t="n">
        <v>25098411408.319</v>
      </c>
      <c r="Y28" t="n">
        <v>26251170226.681</v>
      </c>
      <c r="Z28" t="n">
        <v>28815054169.593</v>
      </c>
      <c r="AA28" t="n">
        <v>28528954233.953</v>
      </c>
      <c r="AB28" t="n">
        <v>28438076236.066</v>
      </c>
      <c r="AC28" t="n">
        <v>28588465322.419</v>
      </c>
      <c r="AD28" t="n">
        <v>29154878172.096</v>
      </c>
      <c r="AE28" t="n">
        <v>28643177981.217</v>
      </c>
      <c r="AF28" t="n">
        <v>29659234066.374</v>
      </c>
      <c r="AG28" t="n">
        <v>29393513275.679</v>
      </c>
      <c r="AH28" t="n">
        <v>30975724444.155</v>
      </c>
      <c r="AI28" t="n">
        <v>32934632262.908</v>
      </c>
      <c r="AJ28" t="n">
        <v>33443634703.517</v>
      </c>
      <c r="AK28" t="n">
        <v>34925002529.246</v>
      </c>
      <c r="AL28" t="n">
        <v>35982737022.253</v>
      </c>
      <c r="AM28" t="n">
        <v>36391771559.57</v>
      </c>
      <c r="AN28" t="n">
        <v>38226257125.55</v>
      </c>
      <c r="AO28" t="n">
        <v>37010130285.52</v>
      </c>
      <c r="AP28" t="n">
        <v>38687162321.809</v>
      </c>
      <c r="AQ28" t="n">
        <v>41136369952.022</v>
      </c>
      <c r="AR28" t="n">
        <v>42979891404.743</v>
      </c>
      <c r="AS28" t="n">
        <v>44493593084.272</v>
      </c>
      <c r="AT28" t="n">
        <v>42725477427.498</v>
      </c>
      <c r="AU28" t="n">
        <v>49748965323.027</v>
      </c>
      <c r="AV28" t="n">
        <v>53190522017.536</v>
      </c>
      <c r="AW28" t="n">
        <v>57307433501.959</v>
      </c>
      <c r="AX28" t="n">
        <v>56330984975.72</v>
      </c>
      <c r="AY28" t="n">
        <v>56523371660.972</v>
      </c>
      <c r="AZ28" t="n">
        <v>58855811218.969</v>
      </c>
      <c r="BA28" t="n">
        <v>57278765893.826</v>
      </c>
      <c r="BB28" t="n">
        <v>58641805771.225</v>
      </c>
      <c r="BC28" t="n">
        <v>59761146961.011</v>
      </c>
      <c r="BD28" t="n">
        <v>63546787186.061</v>
      </c>
      <c r="BE28" t="n">
        <v>63734482824.488</v>
      </c>
      <c r="BF28" t="n">
        <v>61185234489.102</v>
      </c>
      <c r="BG28" t="n">
        <v>61941321519.815</v>
      </c>
      <c r="BH28" t="n">
        <v>60763814096.501</v>
      </c>
      <c r="BI28" t="n">
        <v>60939464489.01</v>
      </c>
      <c r="BJ28" t="n">
        <v>65799931924.022</v>
      </c>
      <c r="BK28" t="n">
        <v>65142093771.427</v>
      </c>
      <c r="BL28" t="n">
        <v>61867702713.896</v>
      </c>
      <c r="BM28" t="n">
        <v>65247377182.29</v>
      </c>
      <c r="BN28" t="n">
        <v>69471480427.687</v>
      </c>
      <c r="BO28" t="n">
        <v>67070356785.362</v>
      </c>
      <c r="BP28" t="n">
        <v>69584863032.789</v>
      </c>
      <c r="BQ28" t="n">
        <v>70048268162.84399</v>
      </c>
      <c r="BR28" t="n">
        <v>69195756041.024</v>
      </c>
      <c r="BS28" t="n">
        <v>69928086126.11301</v>
      </c>
      <c r="BT28" t="n">
        <v>72006423599.07899</v>
      </c>
    </row>
    <row r="30">
      <c r="A30" t="inlineStr">
        <is>
          <t>Catch tonnage on a named group: 386,762,122 of 387,582,302 (99.8 %). Unresolved taxa contribute nothing to the model rows and everything to the simple row, so the two are not directly comparable until coverage is 100 %.</t>
        </is>
      </c>
    </row>
    <row r="31">
      <c r="A31" t="inlineStr">
        <is>
          <t>Coverage by year, %:</t>
        </is>
      </c>
    </row>
    <row r="32">
      <c r="A32" t="inlineStr">
        <is>
          <t>catch on a named group, %</t>
        </is>
      </c>
      <c r="B32" t="inlineStr"/>
      <c r="C32" t="n">
        <v>99.94</v>
      </c>
      <c r="D32" t="n">
        <v>99.95999999999999</v>
      </c>
      <c r="E32" t="n">
        <v>99.95999999999999</v>
      </c>
      <c r="F32" t="n">
        <v>99.95999999999999</v>
      </c>
      <c r="G32" t="n">
        <v>99.97</v>
      </c>
      <c r="H32" t="n">
        <v>99.97</v>
      </c>
      <c r="I32" t="n">
        <v>99.95999999999999</v>
      </c>
      <c r="J32" t="n">
        <v>99.97</v>
      </c>
      <c r="K32" t="n">
        <v>99.92</v>
      </c>
      <c r="L32" t="n">
        <v>99.94</v>
      </c>
      <c r="M32" t="n">
        <v>99.93000000000001</v>
      </c>
      <c r="N32" t="n">
        <v>99.93000000000001</v>
      </c>
      <c r="O32" t="n">
        <v>99.92</v>
      </c>
      <c r="P32" t="n">
        <v>99.91</v>
      </c>
      <c r="Q32" t="n">
        <v>99.92</v>
      </c>
      <c r="R32" t="n">
        <v>99.91</v>
      </c>
      <c r="S32" t="n">
        <v>99.92</v>
      </c>
      <c r="T32" t="n">
        <v>99.89</v>
      </c>
      <c r="U32" t="n">
        <v>99.88</v>
      </c>
      <c r="V32" t="n">
        <v>99.87</v>
      </c>
      <c r="W32" t="n">
        <v>99.88</v>
      </c>
      <c r="X32" t="n">
        <v>99.87</v>
      </c>
      <c r="Y32" t="n">
        <v>99.89</v>
      </c>
      <c r="Z32" t="n">
        <v>99.88</v>
      </c>
      <c r="AA32" t="n">
        <v>99.89</v>
      </c>
      <c r="AB32" t="n">
        <v>99.86</v>
      </c>
      <c r="AC32" t="n">
        <v>99.89</v>
      </c>
      <c r="AD32" t="n">
        <v>99.88</v>
      </c>
      <c r="AE32" t="n">
        <v>99.88</v>
      </c>
      <c r="AF32" t="n">
        <v>99.90000000000001</v>
      </c>
      <c r="AG32" t="n">
        <v>99.90000000000001</v>
      </c>
      <c r="AH32" t="n">
        <v>99.89</v>
      </c>
      <c r="AI32" t="n">
        <v>99.90000000000001</v>
      </c>
      <c r="AJ32" t="n">
        <v>99.91</v>
      </c>
      <c r="AK32" t="n">
        <v>99.90000000000001</v>
      </c>
      <c r="AL32" t="n">
        <v>99.90000000000001</v>
      </c>
      <c r="AM32" t="n">
        <v>99.90000000000001</v>
      </c>
      <c r="AN32" t="n">
        <v>99.91</v>
      </c>
      <c r="AO32" t="n">
        <v>99.89</v>
      </c>
      <c r="AP32" t="n">
        <v>99.88</v>
      </c>
      <c r="AQ32" t="n">
        <v>99.77</v>
      </c>
      <c r="AR32" t="n">
        <v>99.75</v>
      </c>
      <c r="AS32" t="n">
        <v>99.8</v>
      </c>
      <c r="AT32" t="n">
        <v>99.88</v>
      </c>
      <c r="AU32" t="n">
        <v>99.89</v>
      </c>
      <c r="AV32" t="n">
        <v>99.84</v>
      </c>
      <c r="AW32" t="n">
        <v>99.86</v>
      </c>
      <c r="AX32" t="n">
        <v>99.87</v>
      </c>
      <c r="AY32" t="n">
        <v>99.87</v>
      </c>
      <c r="AZ32" t="n">
        <v>99.87</v>
      </c>
      <c r="BA32" t="n">
        <v>99.88</v>
      </c>
      <c r="BB32" t="n">
        <v>99.86</v>
      </c>
      <c r="BC32" t="n">
        <v>99.87</v>
      </c>
      <c r="BD32" t="n">
        <v>99.91</v>
      </c>
      <c r="BE32" t="n">
        <v>99.83</v>
      </c>
      <c r="BF32" t="n">
        <v>99.77</v>
      </c>
      <c r="BG32" t="n">
        <v>99.18000000000001</v>
      </c>
      <c r="BH32" t="n">
        <v>99.3</v>
      </c>
      <c r="BI32" t="n">
        <v>99.70999999999999</v>
      </c>
      <c r="BJ32" t="n">
        <v>99.55</v>
      </c>
      <c r="BK32" t="n">
        <v>99.73999999999999</v>
      </c>
      <c r="BL32" t="n">
        <v>99.78</v>
      </c>
      <c r="BM32" t="n">
        <v>99.81999999999999</v>
      </c>
      <c r="BN32" t="n">
        <v>99.73</v>
      </c>
      <c r="BO32" t="n">
        <v>99.70999999999999</v>
      </c>
      <c r="BP32" t="n">
        <v>99.76000000000001</v>
      </c>
      <c r="BQ32" t="n">
        <v>99.66</v>
      </c>
      <c r="BR32" t="n">
        <v>99.66</v>
      </c>
      <c r="BS32" t="n">
        <v>99.7</v>
      </c>
      <c r="BT32" t="n">
        <v>99.66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378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40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  <col width="21" customWidth="1" min="24" max="24"/>
  </cols>
  <sheetData>
    <row r="1">
      <c r="A1" s="1" t="inlineStr">
        <is>
          <t>Specific PPR per taxon — LME_036, model 36_2_South_China_Sea_SCS-2007_Northern_South_China_Sea_(1970s)</t>
        </is>
      </c>
    </row>
    <row r="2">
      <c r="A2" t="inlineStr">
        <is>
          <t>sppr_simple is the trophic-chain estimate (1/TE)^(TL-1) at TE=0.1, applied to the taxon's own trophic level and needing no model.</t>
        </is>
      </c>
    </row>
    <row r="3">
      <c r="A3" t="inlineStr">
        <is>
          <t>Primary producers only; excludes detritus and imports. Blank means unavailable, not zero. sppr_simple is an unpartitioned reference.</t>
        </is>
      </c>
    </row>
    <row r="4" ht="42" customHeight="1">
      <c r="A4" s="18" t="inlineStr">
        <is>
          <t>taxon</t>
        </is>
      </c>
      <c r="B4" s="18" t="inlineStr">
        <is>
          <t>trophic_level</t>
        </is>
      </c>
      <c r="C4" s="18" t="inlineStr">
        <is>
          <t>sppr_simple</t>
        </is>
      </c>
      <c r="D4" s="18" t="inlineStr">
        <is>
          <t>Ecopath group</t>
        </is>
      </c>
      <c r="E4" s="18" t="inlineStr">
        <is>
          <t>SPPR_1986</t>
        </is>
      </c>
      <c r="F4" s="18" t="inlineStr">
        <is>
          <t>SPPR_1995_TE0.1</t>
        </is>
      </c>
      <c r="G4" s="18" t="inlineStr">
        <is>
          <t>SPPR_1995_TEmean</t>
        </is>
      </c>
      <c r="H4" s="18" t="inlineStr">
        <is>
          <t>Ulanowicz_globalTEmean</t>
        </is>
      </c>
      <c r="I4" s="18" t="inlineStr">
        <is>
          <t>Ulanowicz_TE</t>
        </is>
      </c>
      <c r="J4" s="18" t="inlineStr">
        <is>
          <t>EwE_TE_noEE</t>
        </is>
      </c>
      <c r="K4" s="18" t="inlineStr">
        <is>
          <t>EwE_TE_EE</t>
        </is>
      </c>
      <c r="L4" s="18" t="inlineStr">
        <is>
          <t>SPPR_2015</t>
        </is>
      </c>
      <c r="M4" s="18" t="inlineStr">
        <is>
          <t>new_TE_noEEfix</t>
        </is>
      </c>
      <c r="N4" s="18" t="inlineStr">
        <is>
          <t>new_TE_EEfix</t>
        </is>
      </c>
      <c r="O4" s="18" t="inlineStr">
        <is>
          <t>new_GE</t>
        </is>
      </c>
      <c r="P4" s="18" t="inlineStr">
        <is>
          <t>new_WithEgestion</t>
        </is>
      </c>
      <c r="Q4" s="18" t="inlineStr">
        <is>
          <t>sym_TE_asPP</t>
        </is>
      </c>
      <c r="R4" s="18" t="inlineStr">
        <is>
          <t>sym_TE_asDC</t>
        </is>
      </c>
      <c r="S4" s="18" t="inlineStr">
        <is>
          <t>sym_GE_asPP</t>
        </is>
      </c>
      <c r="T4" s="18" t="inlineStr">
        <is>
          <t>sym_GE_asDC</t>
        </is>
      </c>
      <c r="U4" s="18" t="inlineStr">
        <is>
          <t>sym_WithEgestion_asPP</t>
        </is>
      </c>
      <c r="V4" s="18" t="inlineStr">
        <is>
          <t>sym_WithEgestion_asDC</t>
        </is>
      </c>
      <c r="W4" s="18" t="inlineStr">
        <is>
          <t>MC_new_GE</t>
        </is>
      </c>
      <c r="X4" s="18" t="inlineStr">
        <is>
          <t>MC_new_TE_EEfix</t>
        </is>
      </c>
    </row>
    <row r="5" ht="51" customHeight="1">
      <c r="A5" t="inlineStr">
        <is>
          <t>Marine fishes not identified</t>
        </is>
      </c>
      <c r="B5" t="n">
        <v>3.28</v>
      </c>
      <c r="C5" t="n">
        <v>190.546072</v>
      </c>
      <c r="D5" s="11" t="inlineStr">
        <is>
          <t>Demesral fish (≤ 30 cm) | Juvenile demersal fish (&gt; 30 cm) | Adult demersal fish (&gt; 30 cm)</t>
        </is>
      </c>
      <c r="H5" t="n">
        <v>126.494265</v>
      </c>
      <c r="I5" t="n">
        <v>2895.31657</v>
      </c>
      <c r="J5" t="n">
        <v>3100.990647</v>
      </c>
      <c r="K5" t="n">
        <v>1221.259727</v>
      </c>
      <c r="L5" t="n">
        <v>6846.4367</v>
      </c>
      <c r="M5" t="n">
        <v>4683.836246</v>
      </c>
      <c r="N5" t="n">
        <v>4683.836246</v>
      </c>
      <c r="O5" t="n">
        <v>33.070685</v>
      </c>
      <c r="P5" t="n">
        <v>15.260526</v>
      </c>
      <c r="Q5" t="n">
        <v>4683.836246</v>
      </c>
      <c r="R5" t="n">
        <v>4683.836246</v>
      </c>
      <c r="S5" t="n">
        <v>33.070685</v>
      </c>
      <c r="T5" t="n">
        <v>33.070685</v>
      </c>
      <c r="U5" t="n">
        <v>15.260526</v>
      </c>
      <c r="V5" t="n">
        <v>15.260526</v>
      </c>
      <c r="W5" t="n">
        <v>34.564338</v>
      </c>
      <c r="X5" t="n">
        <v>5045.299884</v>
      </c>
    </row>
    <row r="6" ht="36" customHeight="1">
      <c r="A6" t="inlineStr">
        <is>
          <t>Trichiurus lepturus</t>
        </is>
      </c>
      <c r="B6" t="n">
        <v>4.42</v>
      </c>
      <c r="C6" t="n">
        <v>2630.267992</v>
      </c>
      <c r="D6" s="11" t="inlineStr">
        <is>
          <t>Juvenile Hairtail (trichiurids) | Adult hairtail (trichiurids)</t>
        </is>
      </c>
      <c r="H6" t="n">
        <v>463.933016</v>
      </c>
      <c r="I6" t="n">
        <v>10530.572825</v>
      </c>
      <c r="J6" t="n">
        <v>10989.061423</v>
      </c>
      <c r="K6" t="n">
        <v>3598.801835</v>
      </c>
      <c r="L6" t="n">
        <v>26383.951313</v>
      </c>
      <c r="M6" t="n">
        <v>18168.399163</v>
      </c>
      <c r="N6" t="n">
        <v>18168.399163</v>
      </c>
      <c r="O6" t="n">
        <v>94.286998</v>
      </c>
      <c r="P6" t="n">
        <v>40.774771</v>
      </c>
      <c r="Q6" t="n">
        <v>18168.399163</v>
      </c>
      <c r="R6" t="n">
        <v>18168.399163</v>
      </c>
      <c r="S6" t="n">
        <v>94.286998</v>
      </c>
      <c r="T6" t="n">
        <v>94.286998</v>
      </c>
      <c r="U6" t="n">
        <v>40.774771</v>
      </c>
      <c r="V6" t="n">
        <v>40.774771</v>
      </c>
      <c r="W6" t="n">
        <v>100.623017</v>
      </c>
      <c r="X6" t="n">
        <v>19911.031856</v>
      </c>
    </row>
    <row r="7" ht="21" customHeight="1">
      <c r="A7" t="inlineStr">
        <is>
          <t>Scyphozoa</t>
        </is>
      </c>
      <c r="B7" t="n">
        <v>3.46</v>
      </c>
      <c r="C7" t="n">
        <v>288.40315</v>
      </c>
      <c r="D7" s="11" t="inlineStr">
        <is>
          <t>Jellyfish</t>
        </is>
      </c>
      <c r="H7" t="n">
        <v>39.760554</v>
      </c>
      <c r="I7" t="n">
        <v>328.238379</v>
      </c>
      <c r="J7" t="n">
        <v>331.758128</v>
      </c>
      <c r="K7" t="n">
        <v>315.170222</v>
      </c>
      <c r="L7" t="n">
        <v>711.02964</v>
      </c>
      <c r="M7" t="n">
        <v>500.527879</v>
      </c>
      <c r="N7" t="n">
        <v>500.527879</v>
      </c>
      <c r="O7" t="n">
        <v>24.014036</v>
      </c>
      <c r="P7" t="n">
        <v>13.841438</v>
      </c>
      <c r="Q7" t="n">
        <v>500.527879</v>
      </c>
      <c r="R7" t="n">
        <v>500.527879</v>
      </c>
      <c r="S7" t="n">
        <v>24.014036</v>
      </c>
      <c r="T7" t="n">
        <v>24.014036</v>
      </c>
      <c r="U7" t="n">
        <v>13.841438</v>
      </c>
      <c r="V7" t="n">
        <v>13.841438</v>
      </c>
      <c r="W7" t="n">
        <v>25.185127</v>
      </c>
      <c r="X7" t="n">
        <v>532.786051</v>
      </c>
    </row>
    <row r="8" ht="21" customHeight="1">
      <c r="A8" t="inlineStr">
        <is>
          <t>Synodontidae</t>
        </is>
      </c>
      <c r="B8" t="n">
        <v>4.3</v>
      </c>
      <c r="C8" t="n">
        <v>1995.262315</v>
      </c>
      <c r="D8" s="11" t="inlineStr">
        <is>
          <t>Lizard fish (synodontids)</t>
        </is>
      </c>
      <c r="H8" t="n">
        <v>334.225369</v>
      </c>
      <c r="I8" t="n">
        <v>6549.676201</v>
      </c>
      <c r="J8" t="n">
        <v>6897.830047</v>
      </c>
      <c r="K8" t="n">
        <v>1662.377041</v>
      </c>
      <c r="L8" t="n">
        <v>16798.641648</v>
      </c>
      <c r="M8" t="n">
        <v>11531.29792</v>
      </c>
      <c r="N8" t="n">
        <v>11531.29792</v>
      </c>
      <c r="O8" t="n">
        <v>47.733364</v>
      </c>
      <c r="P8" t="n">
        <v>20.713886</v>
      </c>
      <c r="Q8" t="n">
        <v>11531.29792</v>
      </c>
      <c r="R8" t="n">
        <v>11531.29792</v>
      </c>
      <c r="S8" t="n">
        <v>47.733364</v>
      </c>
      <c r="T8" t="n">
        <v>47.733364</v>
      </c>
      <c r="U8" t="n">
        <v>20.713886</v>
      </c>
      <c r="V8" t="n">
        <v>20.713886</v>
      </c>
      <c r="W8" t="n">
        <v>50.435105</v>
      </c>
      <c r="X8" t="n">
        <v>12443.762725</v>
      </c>
    </row>
    <row r="9" ht="36" customHeight="1">
      <c r="A9" t="inlineStr">
        <is>
          <t>Alepes</t>
        </is>
      </c>
      <c r="B9" t="n">
        <v>3.32</v>
      </c>
      <c r="C9" t="n">
        <v>208.929613</v>
      </c>
      <c r="D9" s="11" t="inlineStr">
        <is>
          <t>Juvenile large pelagic fish | Pelagic fish (&gt; 30 cm)</t>
        </is>
      </c>
      <c r="H9" t="n">
        <v>134.939141</v>
      </c>
      <c r="I9" t="n">
        <v>4341.841291</v>
      </c>
      <c r="J9" t="n">
        <v>4398.007385</v>
      </c>
      <c r="K9" t="n">
        <v>1301.694746</v>
      </c>
      <c r="L9" t="n">
        <v>7112.982475</v>
      </c>
      <c r="M9" t="n">
        <v>4967.292392</v>
      </c>
      <c r="N9" t="n">
        <v>4967.292392</v>
      </c>
      <c r="O9" t="n">
        <v>58.311114</v>
      </c>
      <c r="P9" t="n">
        <v>31.032685</v>
      </c>
      <c r="Q9" t="n">
        <v>4967.292392</v>
      </c>
      <c r="R9" t="n">
        <v>4967.292392</v>
      </c>
      <c r="S9" t="n">
        <v>58.311114</v>
      </c>
      <c r="T9" t="n">
        <v>58.311114</v>
      </c>
      <c r="U9" t="n">
        <v>31.032685</v>
      </c>
      <c r="V9" t="n">
        <v>31.032685</v>
      </c>
      <c r="W9" t="n">
        <v>61.724923</v>
      </c>
      <c r="X9" t="n">
        <v>5208.68705</v>
      </c>
    </row>
    <row r="10" ht="51" customHeight="1">
      <c r="A10" t="inlineStr">
        <is>
          <t>Carangidae</t>
        </is>
      </c>
      <c r="B10" t="n">
        <v>4.05</v>
      </c>
      <c r="C10" t="n">
        <v>1122.018454</v>
      </c>
      <c r="D10" s="11" t="inlineStr">
        <is>
          <t>Pelagic fish (≤ 30 cm) | Juvenile large pelagic fish | Pelagic fish (&gt; 30 cm)</t>
        </is>
      </c>
      <c r="H10" t="n">
        <v>56.961714</v>
      </c>
      <c r="I10" t="n">
        <v>1276.465343</v>
      </c>
      <c r="J10" t="n">
        <v>1290.274775</v>
      </c>
      <c r="K10" t="n">
        <v>518.5439699999999</v>
      </c>
      <c r="L10" t="n">
        <v>2045.820774</v>
      </c>
      <c r="M10" t="n">
        <v>1430.319122</v>
      </c>
      <c r="N10" t="n">
        <v>1430.319122</v>
      </c>
      <c r="O10" t="n">
        <v>25.28788</v>
      </c>
      <c r="P10" t="n">
        <v>14.738601</v>
      </c>
      <c r="Q10" t="n">
        <v>1430.319122</v>
      </c>
      <c r="R10" t="n">
        <v>1430.319122</v>
      </c>
      <c r="S10" t="n">
        <v>25.28788</v>
      </c>
      <c r="T10" t="n">
        <v>25.28788</v>
      </c>
      <c r="U10" t="n">
        <v>14.738601</v>
      </c>
      <c r="V10" t="n">
        <v>14.738601</v>
      </c>
      <c r="W10" t="n">
        <v>26.656442</v>
      </c>
      <c r="X10" t="n">
        <v>1496.039737</v>
      </c>
    </row>
    <row r="11" ht="21" customHeight="1">
      <c r="A11" t="inlineStr">
        <is>
          <t>Mollusca</t>
        </is>
      </c>
      <c r="B11" t="n">
        <v>2.1</v>
      </c>
      <c r="C11" t="n">
        <v>12.589254</v>
      </c>
      <c r="D11" s="11" t="inlineStr">
        <is>
          <t>Non-ceph molluscs</t>
        </is>
      </c>
      <c r="H11" t="n">
        <v>5.373346</v>
      </c>
      <c r="I11" t="n">
        <v>57.395403</v>
      </c>
      <c r="J11" t="n">
        <v>57.395403</v>
      </c>
      <c r="K11" t="n">
        <v>21.98244</v>
      </c>
      <c r="L11" t="n">
        <v>92.59366</v>
      </c>
      <c r="M11" t="n">
        <v>61.118924</v>
      </c>
      <c r="N11" t="n">
        <v>61.118924</v>
      </c>
      <c r="O11" t="n">
        <v>1.571536</v>
      </c>
      <c r="P11" t="n">
        <v>1.01605</v>
      </c>
      <c r="Q11" t="n">
        <v>61.118924</v>
      </c>
      <c r="R11" t="n">
        <v>61.118924</v>
      </c>
      <c r="S11" t="n">
        <v>1.571536</v>
      </c>
      <c r="T11" t="n">
        <v>1.571536</v>
      </c>
      <c r="U11" t="n">
        <v>1.01605</v>
      </c>
      <c r="V11" t="n">
        <v>1.01605</v>
      </c>
      <c r="W11" t="n">
        <v>1.626148</v>
      </c>
      <c r="X11" t="n">
        <v>63.787046</v>
      </c>
    </row>
    <row r="12" ht="21" customHeight="1">
      <c r="A12" t="inlineStr">
        <is>
          <t>Acetes japonicus</t>
        </is>
      </c>
      <c r="B12" t="n">
        <v>2.54</v>
      </c>
      <c r="C12" t="n">
        <v>34.673685</v>
      </c>
      <c r="D12" s="11" t="inlineStr">
        <is>
          <t>Zooplankton</t>
        </is>
      </c>
      <c r="H12" t="n">
        <v>5.238059</v>
      </c>
      <c r="I12" t="n">
        <v>80.769231</v>
      </c>
      <c r="J12" t="n">
        <v>80.769231</v>
      </c>
      <c r="K12" t="n">
        <v>4.2</v>
      </c>
      <c r="L12" t="n">
        <v>114.728394</v>
      </c>
      <c r="M12" t="n">
        <v>80.769231</v>
      </c>
      <c r="N12" t="n">
        <v>80.769231</v>
      </c>
      <c r="O12" t="n">
        <v>4.2</v>
      </c>
      <c r="P12" t="n">
        <v>3.36</v>
      </c>
      <c r="Q12" t="n">
        <v>80.769231</v>
      </c>
      <c r="R12" t="n">
        <v>80.769231</v>
      </c>
      <c r="S12" t="n">
        <v>4.2</v>
      </c>
      <c r="T12" t="n">
        <v>4.2</v>
      </c>
      <c r="U12" t="n">
        <v>3.36</v>
      </c>
      <c r="V12" t="n">
        <v>3.36</v>
      </c>
      <c r="W12" t="n">
        <v>4.311623</v>
      </c>
      <c r="X12" t="n">
        <v>82.260733</v>
      </c>
    </row>
    <row r="13" ht="51" customHeight="1">
      <c r="A13" t="inlineStr">
        <is>
          <t>Perciformes</t>
        </is>
      </c>
      <c r="B13" t="n">
        <v>3.53</v>
      </c>
      <c r="C13" t="n">
        <v>338.844156</v>
      </c>
      <c r="D13" s="11" t="inlineStr">
        <is>
          <t>Demesral fish (≤ 30 cm) | Juvenile demersal fish (&gt; 30 cm) | Adult demersal fish (&gt; 30 cm)</t>
        </is>
      </c>
      <c r="H13" t="n">
        <v>126.494265</v>
      </c>
      <c r="I13" t="n">
        <v>2895.31657</v>
      </c>
      <c r="J13" t="n">
        <v>3100.990647</v>
      </c>
      <c r="K13" t="n">
        <v>1221.259727</v>
      </c>
      <c r="L13" t="n">
        <v>6846.4367</v>
      </c>
      <c r="M13" t="n">
        <v>4683.836246</v>
      </c>
      <c r="N13" t="n">
        <v>4683.836246</v>
      </c>
      <c r="O13" t="n">
        <v>33.070685</v>
      </c>
      <c r="P13" t="n">
        <v>15.260526</v>
      </c>
      <c r="Q13" t="n">
        <v>4683.836246</v>
      </c>
      <c r="R13" t="n">
        <v>4683.836246</v>
      </c>
      <c r="S13" t="n">
        <v>33.070685</v>
      </c>
      <c r="T13" t="n">
        <v>33.070685</v>
      </c>
      <c r="U13" t="n">
        <v>15.260526</v>
      </c>
      <c r="V13" t="n">
        <v>15.260526</v>
      </c>
      <c r="W13" t="n">
        <v>34.564338</v>
      </c>
      <c r="X13" t="n">
        <v>5045.299884</v>
      </c>
    </row>
    <row r="14" ht="21" customHeight="1">
      <c r="A14" t="inlineStr">
        <is>
          <t>Nemipterus</t>
        </is>
      </c>
      <c r="B14" t="n">
        <v>3.72</v>
      </c>
      <c r="C14" t="n">
        <v>524.80746</v>
      </c>
      <c r="D14" s="11" t="inlineStr">
        <is>
          <t>Threadfin bream (nemipterids)</t>
        </is>
      </c>
      <c r="H14" t="n">
        <v>75.29344</v>
      </c>
      <c r="I14" t="n">
        <v>2351.601599</v>
      </c>
      <c r="J14" t="n">
        <v>2551.708963</v>
      </c>
      <c r="K14" t="n">
        <v>1196.751504</v>
      </c>
      <c r="L14" t="n">
        <v>4710.704014</v>
      </c>
      <c r="M14" t="n">
        <v>3197.137719</v>
      </c>
      <c r="N14" t="n">
        <v>3197.137719</v>
      </c>
      <c r="O14" t="n">
        <v>47.386821</v>
      </c>
      <c r="P14" t="n">
        <v>22.758425</v>
      </c>
      <c r="Q14" t="n">
        <v>3197.137719</v>
      </c>
      <c r="R14" t="n">
        <v>3197.137719</v>
      </c>
      <c r="S14" t="n">
        <v>47.386821</v>
      </c>
      <c r="T14" t="n">
        <v>47.386821</v>
      </c>
      <c r="U14" t="n">
        <v>22.758425</v>
      </c>
      <c r="V14" t="n">
        <v>22.758425</v>
      </c>
      <c r="W14" t="n">
        <v>49.846385</v>
      </c>
      <c r="X14" t="n">
        <v>3474.67582</v>
      </c>
    </row>
    <row r="15" ht="36" customHeight="1">
      <c r="A15" t="inlineStr">
        <is>
          <t>Miscellaneous marine crustaceans</t>
        </is>
      </c>
      <c r="B15" t="n">
        <v>2.7</v>
      </c>
      <c r="C15" t="n">
        <v>50.118723</v>
      </c>
      <c r="D15" s="11" t="inlineStr">
        <is>
          <t>Zooplankton | Benthic crustaceans | Shrimps | Crabs</t>
        </is>
      </c>
      <c r="H15" t="n">
        <v>9.019912</v>
      </c>
      <c r="I15" t="n">
        <v>87.815798</v>
      </c>
      <c r="J15" t="n">
        <v>87.815798</v>
      </c>
      <c r="K15" t="n">
        <v>63.579479</v>
      </c>
      <c r="L15" t="n">
        <v>134.682411</v>
      </c>
      <c r="M15" t="n">
        <v>91.32078300000001</v>
      </c>
      <c r="N15" t="n">
        <v>91.32078300000001</v>
      </c>
      <c r="O15" t="n">
        <v>4.600543</v>
      </c>
      <c r="P15" t="n">
        <v>3.11926</v>
      </c>
      <c r="Q15" t="n">
        <v>91.32078300000001</v>
      </c>
      <c r="R15" t="n">
        <v>91.32078300000001</v>
      </c>
      <c r="S15" t="n">
        <v>4.600543</v>
      </c>
      <c r="T15" t="n">
        <v>4.600543</v>
      </c>
      <c r="U15" t="n">
        <v>3.11926</v>
      </c>
      <c r="V15" t="n">
        <v>3.11926</v>
      </c>
      <c r="W15" t="n">
        <v>4.778635</v>
      </c>
      <c r="X15" t="n">
        <v>95.337259</v>
      </c>
    </row>
    <row r="16" ht="21" customHeight="1">
      <c r="A16" t="inlineStr">
        <is>
          <t>Leiognathidae</t>
        </is>
      </c>
      <c r="B16" t="n">
        <v>3.24</v>
      </c>
      <c r="C16" t="n">
        <v>173.780083</v>
      </c>
      <c r="D16" s="11" t="inlineStr">
        <is>
          <t>Benthopelagic fish</t>
        </is>
      </c>
      <c r="H16" t="n">
        <v>45.344864</v>
      </c>
      <c r="I16" t="n">
        <v>356.10635</v>
      </c>
      <c r="J16" t="n">
        <v>384.755747</v>
      </c>
      <c r="K16" t="n">
        <v>365.51796</v>
      </c>
      <c r="L16" t="n">
        <v>602.712303</v>
      </c>
      <c r="M16" t="n">
        <v>421.28566</v>
      </c>
      <c r="N16" t="n">
        <v>421.28566</v>
      </c>
      <c r="O16" t="n">
        <v>20.384878</v>
      </c>
      <c r="P16" t="n">
        <v>12.067619</v>
      </c>
      <c r="Q16" t="n">
        <v>421.28566</v>
      </c>
      <c r="R16" t="n">
        <v>421.28566</v>
      </c>
      <c r="S16" t="n">
        <v>20.384878</v>
      </c>
      <c r="T16" t="n">
        <v>20.384878</v>
      </c>
      <c r="U16" t="n">
        <v>12.067619</v>
      </c>
      <c r="V16" t="n">
        <v>12.067619</v>
      </c>
      <c r="W16" t="n">
        <v>20.990919</v>
      </c>
      <c r="X16" t="n">
        <v>434.828134</v>
      </c>
    </row>
    <row r="17" ht="21" customHeight="1">
      <c r="A17" t="inlineStr">
        <is>
          <t>Engraulis japonicus</t>
        </is>
      </c>
      <c r="B17" t="n">
        <v>3.14</v>
      </c>
      <c r="C17" t="n">
        <v>138.038426</v>
      </c>
      <c r="D17" s="11" t="inlineStr">
        <is>
          <t>Pelagic fish (≤ 30 cm)</t>
        </is>
      </c>
      <c r="H17" t="n">
        <v>31.538936</v>
      </c>
      <c r="I17" t="n">
        <v>277.068801</v>
      </c>
      <c r="J17" t="n">
        <v>277.068801</v>
      </c>
      <c r="K17" t="n">
        <v>263.215361</v>
      </c>
      <c r="L17" t="n">
        <v>393.787233</v>
      </c>
      <c r="M17" t="n">
        <v>277.168933</v>
      </c>
      <c r="N17" t="n">
        <v>277.168933</v>
      </c>
      <c r="O17" t="n">
        <v>14.521402</v>
      </c>
      <c r="P17" t="n">
        <v>9.426283</v>
      </c>
      <c r="Q17" t="n">
        <v>277.168933</v>
      </c>
      <c r="R17" t="n">
        <v>277.168933</v>
      </c>
      <c r="S17" t="n">
        <v>14.521402</v>
      </c>
      <c r="T17" t="n">
        <v>14.521402</v>
      </c>
      <c r="U17" t="n">
        <v>9.426283</v>
      </c>
      <c r="V17" t="n">
        <v>9.426283</v>
      </c>
      <c r="W17" t="n">
        <v>15.223157</v>
      </c>
      <c r="X17" t="n">
        <v>285.614997</v>
      </c>
    </row>
    <row r="18" ht="36" customHeight="1">
      <c r="A18" t="inlineStr">
        <is>
          <t>Scomberomorus</t>
        </is>
      </c>
      <c r="B18" t="n">
        <v>4.35</v>
      </c>
      <c r="C18" t="n">
        <v>2238.721139</v>
      </c>
      <c r="D18" s="11" t="inlineStr">
        <is>
          <t>Juvenile large pelagic fish | Pelagic fish (&gt; 30 cm)</t>
        </is>
      </c>
      <c r="H18" t="n">
        <v>134.939141</v>
      </c>
      <c r="I18" t="n">
        <v>4341.841291</v>
      </c>
      <c r="J18" t="n">
        <v>4398.007385</v>
      </c>
      <c r="K18" t="n">
        <v>1301.694746</v>
      </c>
      <c r="L18" t="n">
        <v>7112.982475</v>
      </c>
      <c r="M18" t="n">
        <v>4967.292392</v>
      </c>
      <c r="N18" t="n">
        <v>4967.292392</v>
      </c>
      <c r="O18" t="n">
        <v>58.311114</v>
      </c>
      <c r="P18" t="n">
        <v>31.032685</v>
      </c>
      <c r="Q18" t="n">
        <v>4967.292392</v>
      </c>
      <c r="R18" t="n">
        <v>4967.292392</v>
      </c>
      <c r="S18" t="n">
        <v>58.311114</v>
      </c>
      <c r="T18" t="n">
        <v>58.311114</v>
      </c>
      <c r="U18" t="n">
        <v>31.032685</v>
      </c>
      <c r="V18" t="n">
        <v>31.032685</v>
      </c>
      <c r="W18" t="n">
        <v>61.724923</v>
      </c>
      <c r="X18" t="n">
        <v>5208.68705</v>
      </c>
    </row>
    <row r="19" ht="36" customHeight="1">
      <c r="A19" t="inlineStr">
        <is>
          <t>Scombridae</t>
        </is>
      </c>
      <c r="B19" t="n">
        <v>4.26</v>
      </c>
      <c r="C19" t="n">
        <v>1819.700859</v>
      </c>
      <c r="D19" s="11" t="inlineStr">
        <is>
          <t>Juvenile large pelagic fish | Pelagic fish (&gt; 30 cm)</t>
        </is>
      </c>
      <c r="H19" t="n">
        <v>134.939141</v>
      </c>
      <c r="I19" t="n">
        <v>4341.841291</v>
      </c>
      <c r="J19" t="n">
        <v>4398.007385</v>
      </c>
      <c r="K19" t="n">
        <v>1301.694746</v>
      </c>
      <c r="L19" t="n">
        <v>7112.982475</v>
      </c>
      <c r="M19" t="n">
        <v>4967.292392</v>
      </c>
      <c r="N19" t="n">
        <v>4967.292392</v>
      </c>
      <c r="O19" t="n">
        <v>58.311114</v>
      </c>
      <c r="P19" t="n">
        <v>31.032685</v>
      </c>
      <c r="Q19" t="n">
        <v>4967.292392</v>
      </c>
      <c r="R19" t="n">
        <v>4967.292392</v>
      </c>
      <c r="S19" t="n">
        <v>58.311114</v>
      </c>
      <c r="T19" t="n">
        <v>58.311114</v>
      </c>
      <c r="U19" t="n">
        <v>31.032685</v>
      </c>
      <c r="V19" t="n">
        <v>31.032685</v>
      </c>
      <c r="W19" t="n">
        <v>61.724923</v>
      </c>
      <c r="X19" t="n">
        <v>5208.68705</v>
      </c>
    </row>
    <row r="20" ht="21" customHeight="1">
      <c r="A20" t="inlineStr">
        <is>
          <t>Sparidae</t>
        </is>
      </c>
      <c r="B20" t="n">
        <v>3.31</v>
      </c>
      <c r="C20" t="n">
        <v>204.173794</v>
      </c>
      <c r="D20" s="11" t="inlineStr">
        <is>
          <t>Benthopelagic fish</t>
        </is>
      </c>
      <c r="H20" t="n">
        <v>45.344864</v>
      </c>
      <c r="I20" t="n">
        <v>356.10635</v>
      </c>
      <c r="J20" t="n">
        <v>384.755747</v>
      </c>
      <c r="K20" t="n">
        <v>365.51796</v>
      </c>
      <c r="L20" t="n">
        <v>602.712303</v>
      </c>
      <c r="M20" t="n">
        <v>421.28566</v>
      </c>
      <c r="N20" t="n">
        <v>421.28566</v>
      </c>
      <c r="O20" t="n">
        <v>20.384878</v>
      </c>
      <c r="P20" t="n">
        <v>12.067619</v>
      </c>
      <c r="Q20" t="n">
        <v>421.28566</v>
      </c>
      <c r="R20" t="n">
        <v>421.28566</v>
      </c>
      <c r="S20" t="n">
        <v>20.384878</v>
      </c>
      <c r="T20" t="n">
        <v>20.384878</v>
      </c>
      <c r="U20" t="n">
        <v>12.067619</v>
      </c>
      <c r="V20" t="n">
        <v>12.067619</v>
      </c>
      <c r="W20" t="n">
        <v>20.990919</v>
      </c>
      <c r="X20" t="n">
        <v>434.828134</v>
      </c>
    </row>
    <row r="21" ht="51" customHeight="1">
      <c r="A21" t="inlineStr">
        <is>
          <t>Sciaenidae</t>
        </is>
      </c>
      <c r="B21" t="n">
        <v>3.76</v>
      </c>
      <c r="C21" t="n">
        <v>575.439937</v>
      </c>
      <c r="D21" s="11" t="inlineStr">
        <is>
          <t>Croakers (≤ 30 cm) | Juvenile large croakers | Croakers (&gt; 30 cm)</t>
        </is>
      </c>
      <c r="H21" t="n">
        <v>171.215196</v>
      </c>
      <c r="I21" t="n">
        <v>1774.929351</v>
      </c>
      <c r="J21" t="n">
        <v>1826.685959</v>
      </c>
      <c r="K21" t="n">
        <v>1113.560652</v>
      </c>
      <c r="L21" t="n">
        <v>3240.975912</v>
      </c>
      <c r="M21" t="n">
        <v>2233.907555</v>
      </c>
      <c r="N21" t="n">
        <v>2233.907555</v>
      </c>
      <c r="O21" t="n">
        <v>48.674225</v>
      </c>
      <c r="P21" t="n">
        <v>23.114525</v>
      </c>
      <c r="Q21" t="n">
        <v>2233.907555</v>
      </c>
      <c r="R21" t="n">
        <v>2233.907555</v>
      </c>
      <c r="S21" t="n">
        <v>48.674225</v>
      </c>
      <c r="T21" t="n">
        <v>48.674225</v>
      </c>
      <c r="U21" t="n">
        <v>23.114525</v>
      </c>
      <c r="V21" t="n">
        <v>23.114525</v>
      </c>
      <c r="W21" t="n">
        <v>51.10279</v>
      </c>
      <c r="X21" t="n">
        <v>2376.544826</v>
      </c>
    </row>
    <row r="22" ht="21" customHeight="1">
      <c r="A22" t="inlineStr">
        <is>
          <t>Dendrobranchiata</t>
        </is>
      </c>
      <c r="B22" t="n">
        <v>3.24</v>
      </c>
      <c r="C22" t="n">
        <v>173.780083</v>
      </c>
      <c r="D22" s="11" t="inlineStr">
        <is>
          <t>Shrimps</t>
        </is>
      </c>
      <c r="H22" t="n">
        <v>8.702252</v>
      </c>
      <c r="I22" t="n">
        <v>88.674335</v>
      </c>
      <c r="J22" t="n">
        <v>88.674335</v>
      </c>
      <c r="K22" t="n">
        <v>84.240618</v>
      </c>
      <c r="L22" t="n">
        <v>130.894857</v>
      </c>
      <c r="M22" t="n">
        <v>88.674335</v>
      </c>
      <c r="N22" t="n">
        <v>88.674335</v>
      </c>
      <c r="O22" t="n">
        <v>5.151693</v>
      </c>
      <c r="P22" t="n">
        <v>3.42724</v>
      </c>
      <c r="Q22" t="n">
        <v>88.674335</v>
      </c>
      <c r="R22" t="n">
        <v>88.674335</v>
      </c>
      <c r="S22" t="n">
        <v>5.151693</v>
      </c>
      <c r="T22" t="n">
        <v>5.151693</v>
      </c>
      <c r="U22" t="n">
        <v>3.42724</v>
      </c>
      <c r="V22" t="n">
        <v>3.42724</v>
      </c>
      <c r="W22" t="n">
        <v>5.382228</v>
      </c>
      <c r="X22" t="n">
        <v>92.561423</v>
      </c>
    </row>
    <row r="23" ht="21" customHeight="1">
      <c r="A23" t="inlineStr">
        <is>
          <t>Sardinella</t>
        </is>
      </c>
      <c r="B23" t="n">
        <v>2.77</v>
      </c>
      <c r="C23" t="n">
        <v>58.884366</v>
      </c>
      <c r="D23" s="11" t="inlineStr">
        <is>
          <t>Pelagic fish (≤ 30 cm)</t>
        </is>
      </c>
      <c r="H23" t="n">
        <v>31.538936</v>
      </c>
      <c r="I23" t="n">
        <v>277.068801</v>
      </c>
      <c r="J23" t="n">
        <v>277.068801</v>
      </c>
      <c r="K23" t="n">
        <v>263.215361</v>
      </c>
      <c r="L23" t="n">
        <v>393.787233</v>
      </c>
      <c r="M23" t="n">
        <v>277.168933</v>
      </c>
      <c r="N23" t="n">
        <v>277.168933</v>
      </c>
      <c r="O23" t="n">
        <v>14.521402</v>
      </c>
      <c r="P23" t="n">
        <v>9.426283</v>
      </c>
      <c r="Q23" t="n">
        <v>277.168933</v>
      </c>
      <c r="R23" t="n">
        <v>277.168933</v>
      </c>
      <c r="S23" t="n">
        <v>14.521402</v>
      </c>
      <c r="T23" t="n">
        <v>14.521402</v>
      </c>
      <c r="U23" t="n">
        <v>9.426283</v>
      </c>
      <c r="V23" t="n">
        <v>9.426283</v>
      </c>
      <c r="W23" t="n">
        <v>15.223157</v>
      </c>
      <c r="X23" t="n">
        <v>285.614997</v>
      </c>
    </row>
    <row r="24" ht="51" customHeight="1">
      <c r="A24" t="inlineStr">
        <is>
          <t>Marine finfishes not identified</t>
        </is>
      </c>
      <c r="B24" t="n">
        <v>3.23</v>
      </c>
      <c r="C24" t="n">
        <v>169.824365</v>
      </c>
      <c r="D24" s="11" t="inlineStr">
        <is>
          <t>Demesral fish (≤ 30 cm) | Juvenile demersal fish (&gt; 30 cm) | Adult demersal fish (&gt; 30 cm)</t>
        </is>
      </c>
      <c r="H24" t="n">
        <v>126.494265</v>
      </c>
      <c r="I24" t="n">
        <v>2895.31657</v>
      </c>
      <c r="J24" t="n">
        <v>3100.990647</v>
      </c>
      <c r="K24" t="n">
        <v>1221.259727</v>
      </c>
      <c r="L24" t="n">
        <v>6846.4367</v>
      </c>
      <c r="M24" t="n">
        <v>4683.836246</v>
      </c>
      <c r="N24" t="n">
        <v>4683.836246</v>
      </c>
      <c r="O24" t="n">
        <v>33.070685</v>
      </c>
      <c r="P24" t="n">
        <v>15.260526</v>
      </c>
      <c r="Q24" t="n">
        <v>4683.836246</v>
      </c>
      <c r="R24" t="n">
        <v>4683.836246</v>
      </c>
      <c r="S24" t="n">
        <v>33.070685</v>
      </c>
      <c r="T24" t="n">
        <v>33.070685</v>
      </c>
      <c r="U24" t="n">
        <v>15.260526</v>
      </c>
      <c r="V24" t="n">
        <v>15.260526</v>
      </c>
      <c r="W24" t="n">
        <v>34.564338</v>
      </c>
      <c r="X24" t="n">
        <v>5045.299884</v>
      </c>
    </row>
    <row r="25" ht="21" customHeight="1">
      <c r="A25" t="inlineStr">
        <is>
          <t>Priacanthus</t>
        </is>
      </c>
      <c r="B25" t="n">
        <v>3.81</v>
      </c>
      <c r="C25" t="n">
        <v>645.654229</v>
      </c>
      <c r="D25" s="11" t="inlineStr">
        <is>
          <t>Bigeyes (priacanthids)</t>
        </is>
      </c>
      <c r="H25" t="n">
        <v>193.813464</v>
      </c>
      <c r="I25" t="n">
        <v>7254.269109</v>
      </c>
      <c r="J25" t="n">
        <v>7445.748833</v>
      </c>
      <c r="K25" t="n">
        <v>2442.205617</v>
      </c>
      <c r="L25" t="n">
        <v>16970.336092</v>
      </c>
      <c r="M25" t="n">
        <v>11606.388394</v>
      </c>
      <c r="N25" t="n">
        <v>11606.388394</v>
      </c>
      <c r="O25" t="n">
        <v>106.798413</v>
      </c>
      <c r="P25" t="n">
        <v>47.527255</v>
      </c>
      <c r="Q25" t="n">
        <v>11606.388394</v>
      </c>
      <c r="R25" t="n">
        <v>11606.388394</v>
      </c>
      <c r="S25" t="n">
        <v>106.798413</v>
      </c>
      <c r="T25" t="n">
        <v>106.798413</v>
      </c>
      <c r="U25" t="n">
        <v>47.527255</v>
      </c>
      <c r="V25" t="n">
        <v>47.527255</v>
      </c>
      <c r="W25" t="n">
        <v>113.377905</v>
      </c>
      <c r="X25" t="n">
        <v>12105.0183</v>
      </c>
    </row>
    <row r="26" ht="21" customHeight="1">
      <c r="A26" t="inlineStr">
        <is>
          <t>Penaeidae</t>
        </is>
      </c>
      <c r="B26" t="n">
        <v>3.31</v>
      </c>
      <c r="C26" t="n">
        <v>204.173794</v>
      </c>
      <c r="D26" s="11" t="inlineStr">
        <is>
          <t>Shrimps</t>
        </is>
      </c>
      <c r="H26" t="n">
        <v>8.702252</v>
      </c>
      <c r="I26" t="n">
        <v>88.674335</v>
      </c>
      <c r="J26" t="n">
        <v>88.674335</v>
      </c>
      <c r="K26" t="n">
        <v>84.240618</v>
      </c>
      <c r="L26" t="n">
        <v>130.894857</v>
      </c>
      <c r="M26" t="n">
        <v>88.674335</v>
      </c>
      <c r="N26" t="n">
        <v>88.674335</v>
      </c>
      <c r="O26" t="n">
        <v>5.151693</v>
      </c>
      <c r="P26" t="n">
        <v>3.42724</v>
      </c>
      <c r="Q26" t="n">
        <v>88.674335</v>
      </c>
      <c r="R26" t="n">
        <v>88.674335</v>
      </c>
      <c r="S26" t="n">
        <v>5.151693</v>
      </c>
      <c r="T26" t="n">
        <v>5.151693</v>
      </c>
      <c r="U26" t="n">
        <v>3.42724</v>
      </c>
      <c r="V26" t="n">
        <v>3.42724</v>
      </c>
      <c r="W26" t="n">
        <v>5.382228</v>
      </c>
      <c r="X26" t="n">
        <v>92.561423</v>
      </c>
    </row>
    <row r="27" ht="21" customHeight="1">
      <c r="A27" t="inlineStr">
        <is>
          <t>Loliginidae</t>
        </is>
      </c>
      <c r="B27" t="n">
        <v>3.9</v>
      </c>
      <c r="C27" t="n">
        <v>794.3282349999999</v>
      </c>
      <c r="D27" s="11" t="inlineStr">
        <is>
          <t>Cephalopods</t>
        </is>
      </c>
      <c r="H27" t="n">
        <v>99.09704499999999</v>
      </c>
      <c r="I27" t="n">
        <v>726.768274</v>
      </c>
      <c r="J27" t="n">
        <v>743.903747</v>
      </c>
      <c r="K27" t="n">
        <v>371.951873</v>
      </c>
      <c r="L27" t="n">
        <v>1659.687874</v>
      </c>
      <c r="M27" t="n">
        <v>1154.615618</v>
      </c>
      <c r="N27" t="n">
        <v>1154.615618</v>
      </c>
      <c r="O27" t="n">
        <v>19.267286</v>
      </c>
      <c r="P27" t="n">
        <v>9.928678</v>
      </c>
      <c r="Q27" t="n">
        <v>1154.615618</v>
      </c>
      <c r="R27" t="n">
        <v>1154.615618</v>
      </c>
      <c r="S27" t="n">
        <v>19.267286</v>
      </c>
      <c r="T27" t="n">
        <v>19.267286</v>
      </c>
      <c r="U27" t="n">
        <v>9.928678</v>
      </c>
      <c r="V27" t="n">
        <v>9.928678</v>
      </c>
      <c r="W27" t="n">
        <v>19.883589</v>
      </c>
      <c r="X27" t="n">
        <v>1235.144457</v>
      </c>
    </row>
    <row r="28" ht="36" customHeight="1">
      <c r="A28" t="inlineStr">
        <is>
          <t>Scomber japonicus</t>
        </is>
      </c>
      <c r="B28" t="n">
        <v>3.38</v>
      </c>
      <c r="C28" t="n">
        <v>239.883292</v>
      </c>
      <c r="D28" s="11" t="inlineStr">
        <is>
          <t>Juvenile large pelagic fish | Pelagic fish (&gt; 30 cm)</t>
        </is>
      </c>
      <c r="H28" t="n">
        <v>134.939141</v>
      </c>
      <c r="I28" t="n">
        <v>4341.841291</v>
      </c>
      <c r="J28" t="n">
        <v>4398.007385</v>
      </c>
      <c r="K28" t="n">
        <v>1301.694746</v>
      </c>
      <c r="L28" t="n">
        <v>7112.982475</v>
      </c>
      <c r="M28" t="n">
        <v>4967.292392</v>
      </c>
      <c r="N28" t="n">
        <v>4967.292392</v>
      </c>
      <c r="O28" t="n">
        <v>58.311114</v>
      </c>
      <c r="P28" t="n">
        <v>31.032685</v>
      </c>
      <c r="Q28" t="n">
        <v>4967.292392</v>
      </c>
      <c r="R28" t="n">
        <v>4967.292392</v>
      </c>
      <c r="S28" t="n">
        <v>58.311114</v>
      </c>
      <c r="T28" t="n">
        <v>58.311114</v>
      </c>
      <c r="U28" t="n">
        <v>31.032685</v>
      </c>
      <c r="V28" t="n">
        <v>31.032685</v>
      </c>
      <c r="W28" t="n">
        <v>61.724923</v>
      </c>
      <c r="X28" t="n">
        <v>5208.68705</v>
      </c>
    </row>
    <row r="29" ht="21" customHeight="1">
      <c r="A29" t="inlineStr">
        <is>
          <t>Portunus trituberculatus</t>
        </is>
      </c>
      <c r="B29" t="n">
        <v>3.73</v>
      </c>
      <c r="C29" t="n">
        <v>537.031796</v>
      </c>
      <c r="D29" s="11" t="inlineStr">
        <is>
          <t>Crabs</t>
        </is>
      </c>
      <c r="H29" t="n">
        <v>15.007847</v>
      </c>
      <c r="I29" t="n">
        <v>98.72009199999999</v>
      </c>
      <c r="J29" t="n">
        <v>98.72009199999999</v>
      </c>
      <c r="K29" t="n">
        <v>93.784087</v>
      </c>
      <c r="L29" t="n">
        <v>173.938876</v>
      </c>
      <c r="M29" t="n">
        <v>115.203607</v>
      </c>
      <c r="N29" t="n">
        <v>115.203607</v>
      </c>
      <c r="O29" t="n">
        <v>4.263184</v>
      </c>
      <c r="P29" t="n">
        <v>2.411197</v>
      </c>
      <c r="Q29" t="n">
        <v>115.203607</v>
      </c>
      <c r="R29" t="n">
        <v>115.203607</v>
      </c>
      <c r="S29" t="n">
        <v>4.263184</v>
      </c>
      <c r="T29" t="n">
        <v>4.263184</v>
      </c>
      <c r="U29" t="n">
        <v>2.411197</v>
      </c>
      <c r="V29" t="n">
        <v>2.411197</v>
      </c>
      <c r="W29" t="n">
        <v>4.428691</v>
      </c>
      <c r="X29" t="n">
        <v>122.757859</v>
      </c>
    </row>
    <row r="30" ht="36" customHeight="1">
      <c r="A30" t="inlineStr">
        <is>
          <t>Monacanthidae</t>
        </is>
      </c>
      <c r="B30" t="n">
        <v>3</v>
      </c>
      <c r="C30" t="n">
        <v>100</v>
      </c>
      <c r="D30" s="11" t="inlineStr">
        <is>
          <t>Juvenile demersal fish (&gt; 30 cm) | Adult demersal fish (&gt; 30 cm)</t>
        </is>
      </c>
      <c r="H30" t="n">
        <v>175.842593</v>
      </c>
      <c r="I30" t="n">
        <v>4469.123499</v>
      </c>
      <c r="J30" t="n">
        <v>4793.322749</v>
      </c>
      <c r="K30" t="n">
        <v>1747.151432</v>
      </c>
      <c r="L30" t="n">
        <v>10677.999207</v>
      </c>
      <c r="M30" t="n">
        <v>7305.602239</v>
      </c>
      <c r="N30" t="n">
        <v>7305.602239</v>
      </c>
      <c r="O30" t="n">
        <v>41.400447</v>
      </c>
      <c r="P30" t="n">
        <v>18.192821</v>
      </c>
      <c r="Q30" t="n">
        <v>7305.602239</v>
      </c>
      <c r="R30" t="n">
        <v>7305.602239</v>
      </c>
      <c r="S30" t="n">
        <v>41.400447</v>
      </c>
      <c r="T30" t="n">
        <v>41.400447</v>
      </c>
      <c r="U30" t="n">
        <v>18.192821</v>
      </c>
      <c r="V30" t="n">
        <v>18.192821</v>
      </c>
      <c r="W30" t="n">
        <v>43.295832</v>
      </c>
      <c r="X30" t="n">
        <v>7878.655066</v>
      </c>
    </row>
    <row r="31" ht="21" customHeight="1">
      <c r="A31" t="inlineStr">
        <is>
          <t>Trachysalambria curvirostris</t>
        </is>
      </c>
      <c r="B31" t="n">
        <v>2.7</v>
      </c>
      <c r="C31" t="n">
        <v>50.118723</v>
      </c>
      <c r="D31" s="11" t="inlineStr">
        <is>
          <t>Shrimps</t>
        </is>
      </c>
      <c r="H31" t="n">
        <v>8.702252</v>
      </c>
      <c r="I31" t="n">
        <v>88.674335</v>
      </c>
      <c r="J31" t="n">
        <v>88.674335</v>
      </c>
      <c r="K31" t="n">
        <v>84.240618</v>
      </c>
      <c r="L31" t="n">
        <v>130.894857</v>
      </c>
      <c r="M31" t="n">
        <v>88.674335</v>
      </c>
      <c r="N31" t="n">
        <v>88.674335</v>
      </c>
      <c r="O31" t="n">
        <v>5.151693</v>
      </c>
      <c r="P31" t="n">
        <v>3.42724</v>
      </c>
      <c r="Q31" t="n">
        <v>88.674335</v>
      </c>
      <c r="R31" t="n">
        <v>88.674335</v>
      </c>
      <c r="S31" t="n">
        <v>5.151693</v>
      </c>
      <c r="T31" t="n">
        <v>5.151693</v>
      </c>
      <c r="U31" t="n">
        <v>3.42724</v>
      </c>
      <c r="V31" t="n">
        <v>3.42724</v>
      </c>
      <c r="W31" t="n">
        <v>5.382228</v>
      </c>
      <c r="X31" t="n">
        <v>92.561423</v>
      </c>
    </row>
    <row r="32" ht="36" customHeight="1">
      <c r="A32" t="inlineStr">
        <is>
          <t>Larimichthys crocea</t>
        </is>
      </c>
      <c r="B32" t="n">
        <v>3.72</v>
      </c>
      <c r="C32" t="n">
        <v>524.80746</v>
      </c>
      <c r="D32" s="11" t="inlineStr">
        <is>
          <t>Juvenile large croakers | Croakers (&gt; 30 cm)</t>
        </is>
      </c>
      <c r="H32" t="n">
        <v>186.20618</v>
      </c>
      <c r="I32" t="n">
        <v>2011.85117</v>
      </c>
      <c r="J32" t="n">
        <v>2069.253476</v>
      </c>
      <c r="K32" t="n">
        <v>1211.061254</v>
      </c>
      <c r="L32" t="n">
        <v>3691.420719</v>
      </c>
      <c r="M32" t="n">
        <v>2544.206248</v>
      </c>
      <c r="N32" t="n">
        <v>2544.206248</v>
      </c>
      <c r="O32" t="n">
        <v>52.008808</v>
      </c>
      <c r="P32" t="n">
        <v>24.402038</v>
      </c>
      <c r="Q32" t="n">
        <v>2544.206248</v>
      </c>
      <c r="R32" t="n">
        <v>2544.206248</v>
      </c>
      <c r="S32" t="n">
        <v>52.008808</v>
      </c>
      <c r="T32" t="n">
        <v>52.008808</v>
      </c>
      <c r="U32" t="n">
        <v>24.402038</v>
      </c>
      <c r="V32" t="n">
        <v>24.402038</v>
      </c>
      <c r="W32" t="n">
        <v>54.568994</v>
      </c>
      <c r="X32" t="n">
        <v>2714.954335</v>
      </c>
    </row>
    <row r="33" ht="51" customHeight="1">
      <c r="A33" t="inlineStr">
        <is>
          <t>Clupeidae</t>
        </is>
      </c>
      <c r="B33" t="n">
        <v>3.16</v>
      </c>
      <c r="C33" t="n">
        <v>144.543977</v>
      </c>
      <c r="D33" s="11" t="inlineStr">
        <is>
          <t>Pelagic fish (≤ 30 cm) | Juvenile large pelagic fish | Pelagic fish (&gt; 30 cm)</t>
        </is>
      </c>
      <c r="H33" t="n">
        <v>56.961714</v>
      </c>
      <c r="I33" t="n">
        <v>1276.465343</v>
      </c>
      <c r="J33" t="n">
        <v>1290.274775</v>
      </c>
      <c r="K33" t="n">
        <v>518.5439699999999</v>
      </c>
      <c r="L33" t="n">
        <v>2045.820774</v>
      </c>
      <c r="M33" t="n">
        <v>1430.319122</v>
      </c>
      <c r="N33" t="n">
        <v>1430.319122</v>
      </c>
      <c r="O33" t="n">
        <v>25.28788</v>
      </c>
      <c r="P33" t="n">
        <v>14.738601</v>
      </c>
      <c r="Q33" t="n">
        <v>1430.319122</v>
      </c>
      <c r="R33" t="n">
        <v>1430.319122</v>
      </c>
      <c r="S33" t="n">
        <v>25.28788</v>
      </c>
      <c r="T33" t="n">
        <v>25.28788</v>
      </c>
      <c r="U33" t="n">
        <v>14.738601</v>
      </c>
      <c r="V33" t="n">
        <v>14.738601</v>
      </c>
      <c r="W33" t="n">
        <v>26.656442</v>
      </c>
      <c r="X33" t="n">
        <v>1496.039737</v>
      </c>
    </row>
    <row r="34" ht="36" customHeight="1">
      <c r="A34" t="inlineStr">
        <is>
          <t>Muraenesox cinereus</t>
        </is>
      </c>
      <c r="B34" t="n">
        <v>4.38</v>
      </c>
      <c r="C34" t="n">
        <v>2398.832919</v>
      </c>
      <c r="D34" s="11" t="inlineStr">
        <is>
          <t>Juvenile demersal fish (&gt; 30 cm) | Adult demersal fish (&gt; 30 cm)</t>
        </is>
      </c>
      <c r="H34" t="n">
        <v>175.842593</v>
      </c>
      <c r="I34" t="n">
        <v>4469.123499</v>
      </c>
      <c r="J34" t="n">
        <v>4793.322749</v>
      </c>
      <c r="K34" t="n">
        <v>1747.151432</v>
      </c>
      <c r="L34" t="n">
        <v>10677.999207</v>
      </c>
      <c r="M34" t="n">
        <v>7305.602239</v>
      </c>
      <c r="N34" t="n">
        <v>7305.602239</v>
      </c>
      <c r="O34" t="n">
        <v>41.400447</v>
      </c>
      <c r="P34" t="n">
        <v>18.192821</v>
      </c>
      <c r="Q34" t="n">
        <v>7305.602239</v>
      </c>
      <c r="R34" t="n">
        <v>7305.602239</v>
      </c>
      <c r="S34" t="n">
        <v>41.400447</v>
      </c>
      <c r="T34" t="n">
        <v>41.400447</v>
      </c>
      <c r="U34" t="n">
        <v>18.192821</v>
      </c>
      <c r="V34" t="n">
        <v>18.192821</v>
      </c>
      <c r="W34" t="n">
        <v>43.295832</v>
      </c>
      <c r="X34" t="n">
        <v>7878.655066</v>
      </c>
    </row>
    <row r="35" ht="21" customHeight="1">
      <c r="A35" t="inlineStr">
        <is>
          <t>Portunus pelagicus</t>
        </is>
      </c>
      <c r="B35" t="n">
        <v>2.48</v>
      </c>
      <c r="C35" t="n">
        <v>30.199517</v>
      </c>
      <c r="D35" s="11" t="inlineStr">
        <is>
          <t>Crabs</t>
        </is>
      </c>
      <c r="H35" t="n">
        <v>15.007847</v>
      </c>
      <c r="I35" t="n">
        <v>98.72009199999999</v>
      </c>
      <c r="J35" t="n">
        <v>98.72009199999999</v>
      </c>
      <c r="K35" t="n">
        <v>93.784087</v>
      </c>
      <c r="L35" t="n">
        <v>173.938876</v>
      </c>
      <c r="M35" t="n">
        <v>115.203607</v>
      </c>
      <c r="N35" t="n">
        <v>115.203607</v>
      </c>
      <c r="O35" t="n">
        <v>4.263184</v>
      </c>
      <c r="P35" t="n">
        <v>2.411197</v>
      </c>
      <c r="Q35" t="n">
        <v>115.203607</v>
      </c>
      <c r="R35" t="n">
        <v>115.203607</v>
      </c>
      <c r="S35" t="n">
        <v>4.263184</v>
      </c>
      <c r="T35" t="n">
        <v>4.263184</v>
      </c>
      <c r="U35" t="n">
        <v>2.411197</v>
      </c>
      <c r="V35" t="n">
        <v>2.411197</v>
      </c>
      <c r="W35" t="n">
        <v>4.428691</v>
      </c>
      <c r="X35" t="n">
        <v>122.757859</v>
      </c>
    </row>
    <row r="36" ht="21" customHeight="1">
      <c r="A36" t="inlineStr">
        <is>
          <t>Engraulidae</t>
        </is>
      </c>
      <c r="B36" t="n">
        <v>3.2</v>
      </c>
      <c r="C36" t="n">
        <v>158.489319</v>
      </c>
      <c r="D36" s="11" t="inlineStr">
        <is>
          <t>Pelagic fish (≤ 30 cm)</t>
        </is>
      </c>
      <c r="H36" t="n">
        <v>31.538936</v>
      </c>
      <c r="I36" t="n">
        <v>277.068801</v>
      </c>
      <c r="J36" t="n">
        <v>277.068801</v>
      </c>
      <c r="K36" t="n">
        <v>263.215361</v>
      </c>
      <c r="L36" t="n">
        <v>393.787233</v>
      </c>
      <c r="M36" t="n">
        <v>277.168933</v>
      </c>
      <c r="N36" t="n">
        <v>277.168933</v>
      </c>
      <c r="O36" t="n">
        <v>14.521402</v>
      </c>
      <c r="P36" t="n">
        <v>9.426283</v>
      </c>
      <c r="Q36" t="n">
        <v>277.168933</v>
      </c>
      <c r="R36" t="n">
        <v>277.168933</v>
      </c>
      <c r="S36" t="n">
        <v>14.521402</v>
      </c>
      <c r="T36" t="n">
        <v>14.521402</v>
      </c>
      <c r="U36" t="n">
        <v>9.426283</v>
      </c>
      <c r="V36" t="n">
        <v>9.426283</v>
      </c>
      <c r="W36" t="n">
        <v>15.223157</v>
      </c>
      <c r="X36" t="n">
        <v>285.614997</v>
      </c>
    </row>
    <row r="37" ht="21" customHeight="1">
      <c r="A37" t="inlineStr">
        <is>
          <t>Pampus</t>
        </is>
      </c>
      <c r="B37" t="n">
        <v>3.41</v>
      </c>
      <c r="C37" t="n">
        <v>257.039578</v>
      </c>
      <c r="D37" s="11" t="inlineStr">
        <is>
          <t>Pomfret (stromateids)</t>
        </is>
      </c>
      <c r="H37" t="n">
        <v>174.433913</v>
      </c>
      <c r="I37" t="n">
        <v>1107.715094</v>
      </c>
      <c r="J37" t="n">
        <v>1152.41915</v>
      </c>
      <c r="K37" t="n">
        <v>1094.798192</v>
      </c>
      <c r="L37" t="n">
        <v>2274.19106</v>
      </c>
      <c r="M37" t="n">
        <v>1598.007907</v>
      </c>
      <c r="N37" t="n">
        <v>1598.007907</v>
      </c>
      <c r="O37" t="n">
        <v>71.350959</v>
      </c>
      <c r="P37" t="n">
        <v>34.506697</v>
      </c>
      <c r="Q37" t="n">
        <v>1598.007907</v>
      </c>
      <c r="R37" t="n">
        <v>1598.007907</v>
      </c>
      <c r="S37" t="n">
        <v>71.350959</v>
      </c>
      <c r="T37" t="n">
        <v>71.350959</v>
      </c>
      <c r="U37" t="n">
        <v>34.506697</v>
      </c>
      <c r="V37" t="n">
        <v>34.506697</v>
      </c>
      <c r="W37" t="n">
        <v>75.453034</v>
      </c>
      <c r="X37" t="n">
        <v>1713.88012</v>
      </c>
    </row>
    <row r="38" ht="21" customHeight="1">
      <c r="A38" t="inlineStr">
        <is>
          <t>Nemipteridae</t>
        </is>
      </c>
      <c r="B38" t="n">
        <v>3.51</v>
      </c>
      <c r="C38" t="n">
        <v>323.593657</v>
      </c>
      <c r="D38" s="11" t="inlineStr">
        <is>
          <t>Threadfin bream (nemipterids)</t>
        </is>
      </c>
      <c r="H38" t="n">
        <v>75.29344</v>
      </c>
      <c r="I38" t="n">
        <v>2351.601599</v>
      </c>
      <c r="J38" t="n">
        <v>2551.708963</v>
      </c>
      <c r="K38" t="n">
        <v>1196.751504</v>
      </c>
      <c r="L38" t="n">
        <v>4710.704014</v>
      </c>
      <c r="M38" t="n">
        <v>3197.137719</v>
      </c>
      <c r="N38" t="n">
        <v>3197.137719</v>
      </c>
      <c r="O38" t="n">
        <v>47.386821</v>
      </c>
      <c r="P38" t="n">
        <v>22.758425</v>
      </c>
      <c r="Q38" t="n">
        <v>3197.137719</v>
      </c>
      <c r="R38" t="n">
        <v>3197.137719</v>
      </c>
      <c r="S38" t="n">
        <v>47.386821</v>
      </c>
      <c r="T38" t="n">
        <v>47.386821</v>
      </c>
      <c r="U38" t="n">
        <v>22.758425</v>
      </c>
      <c r="V38" t="n">
        <v>22.758425</v>
      </c>
      <c r="W38" t="n">
        <v>49.846385</v>
      </c>
      <c r="X38" t="n">
        <v>3474.67582</v>
      </c>
    </row>
    <row r="39" ht="21" customHeight="1">
      <c r="A39" t="inlineStr">
        <is>
          <t>Sepiidae</t>
        </is>
      </c>
      <c r="B39" t="n">
        <v>3.6</v>
      </c>
      <c r="C39" t="n">
        <v>398.107171</v>
      </c>
      <c r="D39" s="11" t="inlineStr">
        <is>
          <t>Cephalopods</t>
        </is>
      </c>
      <c r="H39" t="n">
        <v>99.09704499999999</v>
      </c>
      <c r="I39" t="n">
        <v>726.768274</v>
      </c>
      <c r="J39" t="n">
        <v>743.903747</v>
      </c>
      <c r="K39" t="n">
        <v>371.951873</v>
      </c>
      <c r="L39" t="n">
        <v>1659.687874</v>
      </c>
      <c r="M39" t="n">
        <v>1154.615618</v>
      </c>
      <c r="N39" t="n">
        <v>1154.615618</v>
      </c>
      <c r="O39" t="n">
        <v>19.267286</v>
      </c>
      <c r="P39" t="n">
        <v>9.928678</v>
      </c>
      <c r="Q39" t="n">
        <v>1154.615618</v>
      </c>
      <c r="R39" t="n">
        <v>1154.615618</v>
      </c>
      <c r="S39" t="n">
        <v>19.267286</v>
      </c>
      <c r="T39" t="n">
        <v>19.267286</v>
      </c>
      <c r="U39" t="n">
        <v>9.928678</v>
      </c>
      <c r="V39" t="n">
        <v>9.928678</v>
      </c>
      <c r="W39" t="n">
        <v>19.883589</v>
      </c>
      <c r="X39" t="n">
        <v>1235.144457</v>
      </c>
    </row>
    <row r="40" ht="36" customHeight="1">
      <c r="A40" t="inlineStr">
        <is>
          <t>Decapterus</t>
        </is>
      </c>
      <c r="B40" t="n">
        <v>3.63</v>
      </c>
      <c r="C40" t="n">
        <v>426.579519</v>
      </c>
      <c r="D40" s="11" t="inlineStr">
        <is>
          <t>Juvenile large pelagic fish | Pelagic fish (&gt; 30 cm)</t>
        </is>
      </c>
      <c r="H40" t="n">
        <v>134.939141</v>
      </c>
      <c r="I40" t="n">
        <v>4341.841291</v>
      </c>
      <c r="J40" t="n">
        <v>4398.007385</v>
      </c>
      <c r="K40" t="n">
        <v>1301.694746</v>
      </c>
      <c r="L40" t="n">
        <v>7112.982475</v>
      </c>
      <c r="M40" t="n">
        <v>4967.292392</v>
      </c>
      <c r="N40" t="n">
        <v>4967.292392</v>
      </c>
      <c r="O40" t="n">
        <v>58.311114</v>
      </c>
      <c r="P40" t="n">
        <v>31.032685</v>
      </c>
      <c r="Q40" t="n">
        <v>4967.292392</v>
      </c>
      <c r="R40" t="n">
        <v>4967.292392</v>
      </c>
      <c r="S40" t="n">
        <v>58.311114</v>
      </c>
      <c r="T40" t="n">
        <v>58.311114</v>
      </c>
      <c r="U40" t="n">
        <v>31.032685</v>
      </c>
      <c r="V40" t="n">
        <v>31.032685</v>
      </c>
      <c r="W40" t="n">
        <v>61.724923</v>
      </c>
      <c r="X40" t="n">
        <v>5208.68705</v>
      </c>
    </row>
    <row r="41" ht="21" customHeight="1">
      <c r="A41" t="inlineStr">
        <is>
          <t>Teuthida</t>
        </is>
      </c>
      <c r="B41" t="n">
        <v>4.13</v>
      </c>
      <c r="C41" t="n">
        <v>1348.962883</v>
      </c>
      <c r="D41" s="11" t="inlineStr">
        <is>
          <t>Cephalopods</t>
        </is>
      </c>
      <c r="H41" t="n">
        <v>99.09704499999999</v>
      </c>
      <c r="I41" t="n">
        <v>726.768274</v>
      </c>
      <c r="J41" t="n">
        <v>743.903747</v>
      </c>
      <c r="K41" t="n">
        <v>371.951873</v>
      </c>
      <c r="L41" t="n">
        <v>1659.687874</v>
      </c>
      <c r="M41" t="n">
        <v>1154.615618</v>
      </c>
      <c r="N41" t="n">
        <v>1154.615618</v>
      </c>
      <c r="O41" t="n">
        <v>19.267286</v>
      </c>
      <c r="P41" t="n">
        <v>9.928678</v>
      </c>
      <c r="Q41" t="n">
        <v>1154.615618</v>
      </c>
      <c r="R41" t="n">
        <v>1154.615618</v>
      </c>
      <c r="S41" t="n">
        <v>19.267286</v>
      </c>
      <c r="T41" t="n">
        <v>19.267286</v>
      </c>
      <c r="U41" t="n">
        <v>9.928678</v>
      </c>
      <c r="V41" t="n">
        <v>9.928678</v>
      </c>
      <c r="W41" t="n">
        <v>19.883589</v>
      </c>
      <c r="X41" t="n">
        <v>1235.144457</v>
      </c>
    </row>
    <row r="42" ht="21" customHeight="1">
      <c r="A42" t="inlineStr">
        <is>
          <t>Saurida tumbil</t>
        </is>
      </c>
      <c r="B42" t="n">
        <v>4.4</v>
      </c>
      <c r="C42" t="n">
        <v>2511.886432</v>
      </c>
      <c r="D42" s="11" t="inlineStr">
        <is>
          <t>Lizard fish (synodontids)</t>
        </is>
      </c>
      <c r="H42" t="n">
        <v>334.225369</v>
      </c>
      <c r="I42" t="n">
        <v>6549.676201</v>
      </c>
      <c r="J42" t="n">
        <v>6897.830047</v>
      </c>
      <c r="K42" t="n">
        <v>1662.377041</v>
      </c>
      <c r="L42" t="n">
        <v>16798.641648</v>
      </c>
      <c r="M42" t="n">
        <v>11531.29792</v>
      </c>
      <c r="N42" t="n">
        <v>11531.29792</v>
      </c>
      <c r="O42" t="n">
        <v>47.733364</v>
      </c>
      <c r="P42" t="n">
        <v>20.713886</v>
      </c>
      <c r="Q42" t="n">
        <v>11531.29792</v>
      </c>
      <c r="R42" t="n">
        <v>11531.29792</v>
      </c>
      <c r="S42" t="n">
        <v>47.733364</v>
      </c>
      <c r="T42" t="n">
        <v>47.733364</v>
      </c>
      <c r="U42" t="n">
        <v>20.713886</v>
      </c>
      <c r="V42" t="n">
        <v>20.713886</v>
      </c>
      <c r="W42" t="n">
        <v>50.435105</v>
      </c>
      <c r="X42" t="n">
        <v>12443.762725</v>
      </c>
    </row>
    <row r="43" ht="36" customHeight="1">
      <c r="A43" t="inlineStr">
        <is>
          <t>Scombroidei</t>
        </is>
      </c>
      <c r="B43" t="n">
        <v>4.2</v>
      </c>
      <c r="C43" t="n">
        <v>1584.893192</v>
      </c>
      <c r="D43" s="11" t="inlineStr">
        <is>
          <t>Juvenile large pelagic fish | Pelagic fish (&gt; 30 cm)</t>
        </is>
      </c>
      <c r="H43" t="n">
        <v>134.939141</v>
      </c>
      <c r="I43" t="n">
        <v>4341.841291</v>
      </c>
      <c r="J43" t="n">
        <v>4398.007385</v>
      </c>
      <c r="K43" t="n">
        <v>1301.694746</v>
      </c>
      <c r="L43" t="n">
        <v>7112.982475</v>
      </c>
      <c r="M43" t="n">
        <v>4967.292392</v>
      </c>
      <c r="N43" t="n">
        <v>4967.292392</v>
      </c>
      <c r="O43" t="n">
        <v>58.311114</v>
      </c>
      <c r="P43" t="n">
        <v>31.032685</v>
      </c>
      <c r="Q43" t="n">
        <v>4967.292392</v>
      </c>
      <c r="R43" t="n">
        <v>4967.292392</v>
      </c>
      <c r="S43" t="n">
        <v>58.311114</v>
      </c>
      <c r="T43" t="n">
        <v>58.311114</v>
      </c>
      <c r="U43" t="n">
        <v>31.032685</v>
      </c>
      <c r="V43" t="n">
        <v>31.032685</v>
      </c>
      <c r="W43" t="n">
        <v>61.724923</v>
      </c>
      <c r="X43" t="n">
        <v>5208.68705</v>
      </c>
    </row>
    <row r="44" ht="36" customHeight="1">
      <c r="A44" t="inlineStr">
        <is>
          <t>Decapoda</t>
        </is>
      </c>
      <c r="B44" t="n">
        <v>3.43</v>
      </c>
      <c r="C44" t="n">
        <v>269.15348</v>
      </c>
      <c r="D44" s="11" t="inlineStr">
        <is>
          <t>Zooplankton | Benthic crustaceans | Shrimps | Crabs</t>
        </is>
      </c>
      <c r="H44" t="n">
        <v>9.019912</v>
      </c>
      <c r="I44" t="n">
        <v>87.815798</v>
      </c>
      <c r="J44" t="n">
        <v>87.815798</v>
      </c>
      <c r="K44" t="n">
        <v>63.579479</v>
      </c>
      <c r="L44" t="n">
        <v>134.682411</v>
      </c>
      <c r="M44" t="n">
        <v>91.32078300000001</v>
      </c>
      <c r="N44" t="n">
        <v>91.32078300000001</v>
      </c>
      <c r="O44" t="n">
        <v>4.600543</v>
      </c>
      <c r="P44" t="n">
        <v>3.11926</v>
      </c>
      <c r="Q44" t="n">
        <v>91.32078300000001</v>
      </c>
      <c r="R44" t="n">
        <v>91.32078300000001</v>
      </c>
      <c r="S44" t="n">
        <v>4.600543</v>
      </c>
      <c r="T44" t="n">
        <v>4.600543</v>
      </c>
      <c r="U44" t="n">
        <v>3.11926</v>
      </c>
      <c r="V44" t="n">
        <v>3.11926</v>
      </c>
      <c r="W44" t="n">
        <v>4.778635</v>
      </c>
      <c r="X44" t="n">
        <v>95.337259</v>
      </c>
    </row>
    <row r="45" ht="36" customHeight="1">
      <c r="A45" t="inlineStr">
        <is>
          <t>Auxis thazard</t>
        </is>
      </c>
      <c r="B45" t="n">
        <v>4.37</v>
      </c>
      <c r="C45" t="n">
        <v>2344.228815</v>
      </c>
      <c r="D45" s="11" t="inlineStr">
        <is>
          <t>Juvenile large pelagic fish | Pelagic fish (&gt; 30 cm)</t>
        </is>
      </c>
      <c r="H45" t="n">
        <v>134.939141</v>
      </c>
      <c r="I45" t="n">
        <v>4341.841291</v>
      </c>
      <c r="J45" t="n">
        <v>4398.007385</v>
      </c>
      <c r="K45" t="n">
        <v>1301.694746</v>
      </c>
      <c r="L45" t="n">
        <v>7112.982475</v>
      </c>
      <c r="M45" t="n">
        <v>4967.292392</v>
      </c>
      <c r="N45" t="n">
        <v>4967.292392</v>
      </c>
      <c r="O45" t="n">
        <v>58.311114</v>
      </c>
      <c r="P45" t="n">
        <v>31.032685</v>
      </c>
      <c r="Q45" t="n">
        <v>4967.292392</v>
      </c>
      <c r="R45" t="n">
        <v>4967.292392</v>
      </c>
      <c r="S45" t="n">
        <v>58.311114</v>
      </c>
      <c r="T45" t="n">
        <v>58.311114</v>
      </c>
      <c r="U45" t="n">
        <v>31.032685</v>
      </c>
      <c r="V45" t="n">
        <v>31.032685</v>
      </c>
      <c r="W45" t="n">
        <v>61.724923</v>
      </c>
      <c r="X45" t="n">
        <v>5208.68705</v>
      </c>
    </row>
    <row r="46" ht="21" customHeight="1">
      <c r="A46" t="inlineStr">
        <is>
          <t>Priacanthidae</t>
        </is>
      </c>
      <c r="B46" t="n">
        <v>3.79</v>
      </c>
      <c r="C46" t="n">
        <v>616.595002</v>
      </c>
      <c r="D46" s="11" t="inlineStr">
        <is>
          <t>Bigeyes (priacanthids)</t>
        </is>
      </c>
      <c r="H46" t="n">
        <v>193.813464</v>
      </c>
      <c r="I46" t="n">
        <v>7254.269109</v>
      </c>
      <c r="J46" t="n">
        <v>7445.748833</v>
      </c>
      <c r="K46" t="n">
        <v>2442.205617</v>
      </c>
      <c r="L46" t="n">
        <v>16970.336092</v>
      </c>
      <c r="M46" t="n">
        <v>11606.388394</v>
      </c>
      <c r="N46" t="n">
        <v>11606.388394</v>
      </c>
      <c r="O46" t="n">
        <v>106.798413</v>
      </c>
      <c r="P46" t="n">
        <v>47.527255</v>
      </c>
      <c r="Q46" t="n">
        <v>11606.388394</v>
      </c>
      <c r="R46" t="n">
        <v>11606.388394</v>
      </c>
      <c r="S46" t="n">
        <v>106.798413</v>
      </c>
      <c r="T46" t="n">
        <v>106.798413</v>
      </c>
      <c r="U46" t="n">
        <v>47.527255</v>
      </c>
      <c r="V46" t="n">
        <v>47.527255</v>
      </c>
      <c r="W46" t="n">
        <v>113.377905</v>
      </c>
      <c r="X46" t="n">
        <v>12105.0183</v>
      </c>
    </row>
    <row r="47" ht="36" customHeight="1">
      <c r="A47" t="inlineStr">
        <is>
          <t>Ariidae</t>
        </is>
      </c>
      <c r="B47" t="n">
        <v>3.48</v>
      </c>
      <c r="C47" t="n">
        <v>301.995172</v>
      </c>
      <c r="D47" s="11" t="inlineStr">
        <is>
          <t>Juvenile demersal fish (&gt; 30 cm) | Adult demersal fish (&gt; 30 cm)</t>
        </is>
      </c>
      <c r="H47" t="n">
        <v>175.842593</v>
      </c>
      <c r="I47" t="n">
        <v>4469.123499</v>
      </c>
      <c r="J47" t="n">
        <v>4793.322749</v>
      </c>
      <c r="K47" t="n">
        <v>1747.151432</v>
      </c>
      <c r="L47" t="n">
        <v>10677.999207</v>
      </c>
      <c r="M47" t="n">
        <v>7305.602239</v>
      </c>
      <c r="N47" t="n">
        <v>7305.602239</v>
      </c>
      <c r="O47" t="n">
        <v>41.400447</v>
      </c>
      <c r="P47" t="n">
        <v>18.192821</v>
      </c>
      <c r="Q47" t="n">
        <v>7305.602239</v>
      </c>
      <c r="R47" t="n">
        <v>7305.602239</v>
      </c>
      <c r="S47" t="n">
        <v>41.400447</v>
      </c>
      <c r="T47" t="n">
        <v>41.400447</v>
      </c>
      <c r="U47" t="n">
        <v>18.192821</v>
      </c>
      <c r="V47" t="n">
        <v>18.192821</v>
      </c>
      <c r="W47" t="n">
        <v>43.295832</v>
      </c>
      <c r="X47" t="n">
        <v>7878.655066</v>
      </c>
    </row>
    <row r="48" ht="21" customHeight="1">
      <c r="A48" t="inlineStr">
        <is>
          <t>Sepiida</t>
        </is>
      </c>
      <c r="B48" t="n">
        <v>3.7</v>
      </c>
      <c r="C48" t="n">
        <v>501.187234</v>
      </c>
      <c r="D48" s="11" t="inlineStr">
        <is>
          <t>Cephalopods</t>
        </is>
      </c>
      <c r="H48" t="n">
        <v>99.09704499999999</v>
      </c>
      <c r="I48" t="n">
        <v>726.768274</v>
      </c>
      <c r="J48" t="n">
        <v>743.903747</v>
      </c>
      <c r="K48" t="n">
        <v>371.951873</v>
      </c>
      <c r="L48" t="n">
        <v>1659.687874</v>
      </c>
      <c r="M48" t="n">
        <v>1154.615618</v>
      </c>
      <c r="N48" t="n">
        <v>1154.615618</v>
      </c>
      <c r="O48" t="n">
        <v>19.267286</v>
      </c>
      <c r="P48" t="n">
        <v>9.928678</v>
      </c>
      <c r="Q48" t="n">
        <v>1154.615618</v>
      </c>
      <c r="R48" t="n">
        <v>1154.615618</v>
      </c>
      <c r="S48" t="n">
        <v>19.267286</v>
      </c>
      <c r="T48" t="n">
        <v>19.267286</v>
      </c>
      <c r="U48" t="n">
        <v>9.928678</v>
      </c>
      <c r="V48" t="n">
        <v>9.928678</v>
      </c>
      <c r="W48" t="n">
        <v>19.883589</v>
      </c>
      <c r="X48" t="n">
        <v>1235.144457</v>
      </c>
    </row>
    <row r="49" ht="21" customHeight="1">
      <c r="A49" t="inlineStr">
        <is>
          <t>Harpadon nehereus</t>
        </is>
      </c>
      <c r="B49" t="n">
        <v>4.2</v>
      </c>
      <c r="C49" t="n">
        <v>1584.893192</v>
      </c>
      <c r="D49" s="11" t="inlineStr">
        <is>
          <t>Lizard fish (synodontids)</t>
        </is>
      </c>
      <c r="H49" t="n">
        <v>334.225369</v>
      </c>
      <c r="I49" t="n">
        <v>6549.676201</v>
      </c>
      <c r="J49" t="n">
        <v>6897.830047</v>
      </c>
      <c r="K49" t="n">
        <v>1662.377041</v>
      </c>
      <c r="L49" t="n">
        <v>16798.641648</v>
      </c>
      <c r="M49" t="n">
        <v>11531.29792</v>
      </c>
      <c r="N49" t="n">
        <v>11531.29792</v>
      </c>
      <c r="O49" t="n">
        <v>47.733364</v>
      </c>
      <c r="P49" t="n">
        <v>20.713886</v>
      </c>
      <c r="Q49" t="n">
        <v>11531.29792</v>
      </c>
      <c r="R49" t="n">
        <v>11531.29792</v>
      </c>
      <c r="S49" t="n">
        <v>47.733364</v>
      </c>
      <c r="T49" t="n">
        <v>47.733364</v>
      </c>
      <c r="U49" t="n">
        <v>20.713886</v>
      </c>
      <c r="V49" t="n">
        <v>20.713886</v>
      </c>
      <c r="W49" t="n">
        <v>50.435105</v>
      </c>
      <c r="X49" t="n">
        <v>12443.762725</v>
      </c>
    </row>
    <row r="50" ht="21" customHeight="1">
      <c r="A50" t="inlineStr">
        <is>
          <t>Squillidae</t>
        </is>
      </c>
      <c r="B50" t="n">
        <v>3.5</v>
      </c>
      <c r="C50" t="n">
        <v>316.227766</v>
      </c>
      <c r="D50" s="11" t="inlineStr">
        <is>
          <t>Benthic crustaceans</t>
        </is>
      </c>
      <c r="H50" t="n">
        <v>7.00619</v>
      </c>
      <c r="I50" t="n">
        <v>71.47126299999999</v>
      </c>
      <c r="J50" t="n">
        <v>71.47126299999999</v>
      </c>
      <c r="K50" t="n">
        <v>44.598068</v>
      </c>
      <c r="L50" t="n">
        <v>113.463496</v>
      </c>
      <c r="M50" t="n">
        <v>73.744072</v>
      </c>
      <c r="N50" t="n">
        <v>73.744072</v>
      </c>
      <c r="O50" t="n">
        <v>2.758573</v>
      </c>
      <c r="P50" t="n">
        <v>1.846527</v>
      </c>
      <c r="Q50" t="n">
        <v>73.744072</v>
      </c>
      <c r="R50" t="n">
        <v>73.744072</v>
      </c>
      <c r="S50" t="n">
        <v>2.758573</v>
      </c>
      <c r="T50" t="n">
        <v>2.758573</v>
      </c>
      <c r="U50" t="n">
        <v>1.846527</v>
      </c>
      <c r="V50" t="n">
        <v>1.846527</v>
      </c>
      <c r="W50" t="n">
        <v>2.824619</v>
      </c>
      <c r="X50" t="n">
        <v>77.46539799999999</v>
      </c>
    </row>
    <row r="51" ht="21" customHeight="1">
      <c r="A51" t="inlineStr">
        <is>
          <t>Todarodes pacificus</t>
        </is>
      </c>
      <c r="B51" t="n">
        <v>4.28</v>
      </c>
      <c r="C51" t="n">
        <v>1905.460718</v>
      </c>
      <c r="D51" s="11" t="inlineStr">
        <is>
          <t>Cephalopods</t>
        </is>
      </c>
      <c r="H51" t="n">
        <v>99.09704499999999</v>
      </c>
      <c r="I51" t="n">
        <v>726.768274</v>
      </c>
      <c r="J51" t="n">
        <v>743.903747</v>
      </c>
      <c r="K51" t="n">
        <v>371.951873</v>
      </c>
      <c r="L51" t="n">
        <v>1659.687874</v>
      </c>
      <c r="M51" t="n">
        <v>1154.615618</v>
      </c>
      <c r="N51" t="n">
        <v>1154.615618</v>
      </c>
      <c r="O51" t="n">
        <v>19.267286</v>
      </c>
      <c r="P51" t="n">
        <v>9.928678</v>
      </c>
      <c r="Q51" t="n">
        <v>1154.615618</v>
      </c>
      <c r="R51" t="n">
        <v>1154.615618</v>
      </c>
      <c r="S51" t="n">
        <v>19.267286</v>
      </c>
      <c r="T51" t="n">
        <v>19.267286</v>
      </c>
      <c r="U51" t="n">
        <v>9.928678</v>
      </c>
      <c r="V51" t="n">
        <v>9.928678</v>
      </c>
      <c r="W51" t="n">
        <v>19.883589</v>
      </c>
      <c r="X51" t="n">
        <v>1235.144457</v>
      </c>
    </row>
    <row r="52" ht="36" customHeight="1">
      <c r="A52" t="inlineStr">
        <is>
          <t>Elasmobranchii</t>
        </is>
      </c>
      <c r="B52" t="n">
        <v>4.05</v>
      </c>
      <c r="C52" t="n">
        <v>1122.018454</v>
      </c>
      <c r="D52" s="11" t="inlineStr">
        <is>
          <t>Demersal sharks and rays | Pelagic sharks and rays</t>
        </is>
      </c>
      <c r="H52" t="n">
        <v>304.84076</v>
      </c>
      <c r="I52" t="n">
        <v>22014.382452</v>
      </c>
      <c r="J52" t="n">
        <v>22231.430218</v>
      </c>
      <c r="K52" t="n">
        <v>10306.364543</v>
      </c>
      <c r="L52" t="n">
        <v>47447.371867</v>
      </c>
      <c r="M52" t="n">
        <v>32772.930566</v>
      </c>
      <c r="N52" t="n">
        <v>32772.930566</v>
      </c>
      <c r="O52" t="n">
        <v>71.882007</v>
      </c>
      <c r="P52" t="n">
        <v>30.788806</v>
      </c>
      <c r="Q52" t="n">
        <v>32772.930566</v>
      </c>
      <c r="R52" t="n">
        <v>32772.930566</v>
      </c>
      <c r="S52" t="n">
        <v>71.882007</v>
      </c>
      <c r="T52" t="n">
        <v>71.882007</v>
      </c>
      <c r="U52" t="n">
        <v>30.788806</v>
      </c>
      <c r="V52" t="n">
        <v>30.788806</v>
      </c>
      <c r="W52" t="n">
        <v>75.96293799999999</v>
      </c>
      <c r="X52" t="n">
        <v>35173.815829</v>
      </c>
    </row>
    <row r="53" ht="36" customHeight="1">
      <c r="A53" t="inlineStr">
        <is>
          <t>Rastrelliger brachysoma</t>
        </is>
      </c>
      <c r="B53" t="n">
        <v>2.72</v>
      </c>
      <c r="C53" t="n">
        <v>52.480746</v>
      </c>
      <c r="D53" s="11" t="inlineStr">
        <is>
          <t>Juvenile large pelagic fish | Pelagic fish (&gt; 30 cm)</t>
        </is>
      </c>
      <c r="H53" t="n">
        <v>134.939141</v>
      </c>
      <c r="I53" t="n">
        <v>4341.841291</v>
      </c>
      <c r="J53" t="n">
        <v>4398.007385</v>
      </c>
      <c r="K53" t="n">
        <v>1301.694746</v>
      </c>
      <c r="L53" t="n">
        <v>7112.982475</v>
      </c>
      <c r="M53" t="n">
        <v>4967.292392</v>
      </c>
      <c r="N53" t="n">
        <v>4967.292392</v>
      </c>
      <c r="O53" t="n">
        <v>58.311114</v>
      </c>
      <c r="P53" t="n">
        <v>31.032685</v>
      </c>
      <c r="Q53" t="n">
        <v>4967.292392</v>
      </c>
      <c r="R53" t="n">
        <v>4967.292392</v>
      </c>
      <c r="S53" t="n">
        <v>58.311114</v>
      </c>
      <c r="T53" t="n">
        <v>58.311114</v>
      </c>
      <c r="U53" t="n">
        <v>31.032685</v>
      </c>
      <c r="V53" t="n">
        <v>31.032685</v>
      </c>
      <c r="W53" t="n">
        <v>61.724923</v>
      </c>
      <c r="X53" t="n">
        <v>5208.68705</v>
      </c>
    </row>
    <row r="54" ht="36" customHeight="1">
      <c r="A54" t="inlineStr">
        <is>
          <t>Chondrichthyes</t>
        </is>
      </c>
      <c r="B54" t="n">
        <v>4</v>
      </c>
      <c r="C54" t="n">
        <v>1000</v>
      </c>
      <c r="D54" s="11" t="inlineStr">
        <is>
          <t>Demersal sharks and rays | Pelagic sharks and rays</t>
        </is>
      </c>
      <c r="H54" t="n">
        <v>304.84076</v>
      </c>
      <c r="I54" t="n">
        <v>22014.382452</v>
      </c>
      <c r="J54" t="n">
        <v>22231.430218</v>
      </c>
      <c r="K54" t="n">
        <v>10306.364543</v>
      </c>
      <c r="L54" t="n">
        <v>47447.371867</v>
      </c>
      <c r="M54" t="n">
        <v>32772.930566</v>
      </c>
      <c r="N54" t="n">
        <v>32772.930566</v>
      </c>
      <c r="O54" t="n">
        <v>71.882007</v>
      </c>
      <c r="P54" t="n">
        <v>30.788806</v>
      </c>
      <c r="Q54" t="n">
        <v>32772.930566</v>
      </c>
      <c r="R54" t="n">
        <v>32772.930566</v>
      </c>
      <c r="S54" t="n">
        <v>71.882007</v>
      </c>
      <c r="T54" t="n">
        <v>71.882007</v>
      </c>
      <c r="U54" t="n">
        <v>30.788806</v>
      </c>
      <c r="V54" t="n">
        <v>30.788806</v>
      </c>
      <c r="W54" t="n">
        <v>75.96293799999999</v>
      </c>
      <c r="X54" t="n">
        <v>35173.815829</v>
      </c>
    </row>
    <row r="55" ht="36" customHeight="1">
      <c r="A55" t="inlineStr">
        <is>
          <t>Thunnus albacares</t>
        </is>
      </c>
      <c r="B55" t="n">
        <v>4.41</v>
      </c>
      <c r="C55" t="n">
        <v>2570.395783</v>
      </c>
      <c r="D55" s="11" t="inlineStr">
        <is>
          <t>Juvenile large pelagic fish | Pelagic fish (&gt; 30 cm)</t>
        </is>
      </c>
      <c r="H55" t="n">
        <v>134.939141</v>
      </c>
      <c r="I55" t="n">
        <v>4341.841291</v>
      </c>
      <c r="J55" t="n">
        <v>4398.007385</v>
      </c>
      <c r="K55" t="n">
        <v>1301.694746</v>
      </c>
      <c r="L55" t="n">
        <v>7112.982475</v>
      </c>
      <c r="M55" t="n">
        <v>4967.292392</v>
      </c>
      <c r="N55" t="n">
        <v>4967.292392</v>
      </c>
      <c r="O55" t="n">
        <v>58.311114</v>
      </c>
      <c r="P55" t="n">
        <v>31.032685</v>
      </c>
      <c r="Q55" t="n">
        <v>4967.292392</v>
      </c>
      <c r="R55" t="n">
        <v>4967.292392</v>
      </c>
      <c r="S55" t="n">
        <v>58.311114</v>
      </c>
      <c r="T55" t="n">
        <v>58.311114</v>
      </c>
      <c r="U55" t="n">
        <v>31.032685</v>
      </c>
      <c r="V55" t="n">
        <v>31.032685</v>
      </c>
      <c r="W55" t="n">
        <v>61.724923</v>
      </c>
      <c r="X55" t="n">
        <v>5208.68705</v>
      </c>
    </row>
    <row r="56" ht="21" customHeight="1">
      <c r="A56" t="inlineStr">
        <is>
          <t>Stolephorus</t>
        </is>
      </c>
      <c r="B56" t="n">
        <v>3.44</v>
      </c>
      <c r="C56" t="n">
        <v>275.42287</v>
      </c>
      <c r="D56" s="11" t="inlineStr">
        <is>
          <t>Pelagic fish (≤ 30 cm)</t>
        </is>
      </c>
      <c r="H56" t="n">
        <v>31.538936</v>
      </c>
      <c r="I56" t="n">
        <v>277.068801</v>
      </c>
      <c r="J56" t="n">
        <v>277.068801</v>
      </c>
      <c r="K56" t="n">
        <v>263.215361</v>
      </c>
      <c r="L56" t="n">
        <v>393.787233</v>
      </c>
      <c r="M56" t="n">
        <v>277.168933</v>
      </c>
      <c r="N56" t="n">
        <v>277.168933</v>
      </c>
      <c r="O56" t="n">
        <v>14.521402</v>
      </c>
      <c r="P56" t="n">
        <v>9.426283</v>
      </c>
      <c r="Q56" t="n">
        <v>277.168933</v>
      </c>
      <c r="R56" t="n">
        <v>277.168933</v>
      </c>
      <c r="S56" t="n">
        <v>14.521402</v>
      </c>
      <c r="T56" t="n">
        <v>14.521402</v>
      </c>
      <c r="U56" t="n">
        <v>9.426283</v>
      </c>
      <c r="V56" t="n">
        <v>9.426283</v>
      </c>
      <c r="W56" t="n">
        <v>15.223157</v>
      </c>
      <c r="X56" t="n">
        <v>285.614997</v>
      </c>
    </row>
    <row r="57" ht="36" customHeight="1">
      <c r="A57" t="inlineStr">
        <is>
          <t>Scomberomorus commerson</t>
        </is>
      </c>
      <c r="B57" t="n">
        <v>4.5</v>
      </c>
      <c r="C57" t="n">
        <v>3162.27766</v>
      </c>
      <c r="D57" s="11" t="inlineStr">
        <is>
          <t>Juvenile large pelagic fish | Pelagic fish (&gt; 30 cm)</t>
        </is>
      </c>
      <c r="H57" t="n">
        <v>134.939141</v>
      </c>
      <c r="I57" t="n">
        <v>4341.841291</v>
      </c>
      <c r="J57" t="n">
        <v>4398.007385</v>
      </c>
      <c r="K57" t="n">
        <v>1301.694746</v>
      </c>
      <c r="L57" t="n">
        <v>7112.982475</v>
      </c>
      <c r="M57" t="n">
        <v>4967.292392</v>
      </c>
      <c r="N57" t="n">
        <v>4967.292392</v>
      </c>
      <c r="O57" t="n">
        <v>58.311114</v>
      </c>
      <c r="P57" t="n">
        <v>31.032685</v>
      </c>
      <c r="Q57" t="n">
        <v>4967.292392</v>
      </c>
      <c r="R57" t="n">
        <v>4967.292392</v>
      </c>
      <c r="S57" t="n">
        <v>58.311114</v>
      </c>
      <c r="T57" t="n">
        <v>58.311114</v>
      </c>
      <c r="U57" t="n">
        <v>31.032685</v>
      </c>
      <c r="V57" t="n">
        <v>31.032685</v>
      </c>
      <c r="W57" t="n">
        <v>61.724923</v>
      </c>
      <c r="X57" t="n">
        <v>5208.68705</v>
      </c>
    </row>
    <row r="58" ht="36" customHeight="1">
      <c r="A58" t="inlineStr">
        <is>
          <t>Rastrelliger kanagurta</t>
        </is>
      </c>
      <c r="B58" t="n">
        <v>3.19</v>
      </c>
      <c r="C58" t="n">
        <v>154.881662</v>
      </c>
      <c r="D58" s="11" t="inlineStr">
        <is>
          <t>Juvenile large pelagic fish | Pelagic fish (&gt; 30 cm)</t>
        </is>
      </c>
      <c r="H58" t="n">
        <v>134.939141</v>
      </c>
      <c r="I58" t="n">
        <v>4341.841291</v>
      </c>
      <c r="J58" t="n">
        <v>4398.007385</v>
      </c>
      <c r="K58" t="n">
        <v>1301.694746</v>
      </c>
      <c r="L58" t="n">
        <v>7112.982475</v>
      </c>
      <c r="M58" t="n">
        <v>4967.292392</v>
      </c>
      <c r="N58" t="n">
        <v>4967.292392</v>
      </c>
      <c r="O58" t="n">
        <v>58.311114</v>
      </c>
      <c r="P58" t="n">
        <v>31.032685</v>
      </c>
      <c r="Q58" t="n">
        <v>4967.292392</v>
      </c>
      <c r="R58" t="n">
        <v>4967.292392</v>
      </c>
      <c r="S58" t="n">
        <v>58.311114</v>
      </c>
      <c r="T58" t="n">
        <v>58.311114</v>
      </c>
      <c r="U58" t="n">
        <v>31.032685</v>
      </c>
      <c r="V58" t="n">
        <v>31.032685</v>
      </c>
      <c r="W58" t="n">
        <v>61.724923</v>
      </c>
      <c r="X58" t="n">
        <v>5208.68705</v>
      </c>
    </row>
    <row r="59" ht="36" customHeight="1">
      <c r="A59" t="inlineStr">
        <is>
          <t>Rastrelliger</t>
        </is>
      </c>
      <c r="B59" t="n">
        <v>3.1</v>
      </c>
      <c r="C59" t="n">
        <v>125.892541</v>
      </c>
      <c r="D59" s="11" t="inlineStr">
        <is>
          <t>Juvenile large pelagic fish | Pelagic fish (&gt; 30 cm)</t>
        </is>
      </c>
      <c r="H59" t="n">
        <v>134.939141</v>
      </c>
      <c r="I59" t="n">
        <v>4341.841291</v>
      </c>
      <c r="J59" t="n">
        <v>4398.007385</v>
      </c>
      <c r="K59" t="n">
        <v>1301.694746</v>
      </c>
      <c r="L59" t="n">
        <v>7112.982475</v>
      </c>
      <c r="M59" t="n">
        <v>4967.292392</v>
      </c>
      <c r="N59" t="n">
        <v>4967.292392</v>
      </c>
      <c r="O59" t="n">
        <v>58.311114</v>
      </c>
      <c r="P59" t="n">
        <v>31.032685</v>
      </c>
      <c r="Q59" t="n">
        <v>4967.292392</v>
      </c>
      <c r="R59" t="n">
        <v>4967.292392</v>
      </c>
      <c r="S59" t="n">
        <v>58.311114</v>
      </c>
      <c r="T59" t="n">
        <v>58.311114</v>
      </c>
      <c r="U59" t="n">
        <v>31.032685</v>
      </c>
      <c r="V59" t="n">
        <v>31.032685</v>
      </c>
      <c r="W59" t="n">
        <v>61.724923</v>
      </c>
      <c r="X59" t="n">
        <v>5208.68705</v>
      </c>
    </row>
    <row r="60" ht="21" customHeight="1">
      <c r="A60" t="inlineStr">
        <is>
          <t>Epinephelus</t>
        </is>
      </c>
      <c r="B60" t="n">
        <v>3.84</v>
      </c>
      <c r="C60" t="n">
        <v>691.830971</v>
      </c>
      <c r="D60" s="11" t="inlineStr">
        <is>
          <t>Adult groupers</t>
        </is>
      </c>
      <c r="H60" t="n">
        <v>289.336004</v>
      </c>
      <c r="I60" t="n">
        <v>7059.021807</v>
      </c>
      <c r="J60" t="n">
        <v>7260.732834</v>
      </c>
      <c r="K60" t="n">
        <v>2722.774813</v>
      </c>
      <c r="L60" t="n">
        <v>14214.100911</v>
      </c>
      <c r="M60" t="n">
        <v>9730.75452</v>
      </c>
      <c r="N60" t="n">
        <v>9730.75452</v>
      </c>
      <c r="O60" t="n">
        <v>100.399835</v>
      </c>
      <c r="P60" t="n">
        <v>43.4623</v>
      </c>
      <c r="Q60" t="n">
        <v>9730.75452</v>
      </c>
      <c r="R60" t="n">
        <v>9730.75452</v>
      </c>
      <c r="S60" t="n">
        <v>100.399835</v>
      </c>
      <c r="T60" t="n">
        <v>100.399835</v>
      </c>
      <c r="U60" t="n">
        <v>43.4623</v>
      </c>
      <c r="V60" t="n">
        <v>43.4623</v>
      </c>
      <c r="W60" t="n">
        <v>105.723999</v>
      </c>
      <c r="X60" t="n">
        <v>10434.203054</v>
      </c>
    </row>
    <row r="61" ht="36" customHeight="1">
      <c r="A61" t="inlineStr">
        <is>
          <t>Mullidae</t>
        </is>
      </c>
      <c r="B61" t="n">
        <v>3.46</v>
      </c>
      <c r="C61" t="n">
        <v>288.40315</v>
      </c>
      <c r="D61" s="11" t="inlineStr">
        <is>
          <t>Juvenile demersal fish (&gt; 30 cm) | Adult demersal fish (&gt; 30 cm)</t>
        </is>
      </c>
      <c r="H61" t="n">
        <v>175.842593</v>
      </c>
      <c r="I61" t="n">
        <v>4469.123499</v>
      </c>
      <c r="J61" t="n">
        <v>4793.322749</v>
      </c>
      <c r="K61" t="n">
        <v>1747.151432</v>
      </c>
      <c r="L61" t="n">
        <v>10677.999207</v>
      </c>
      <c r="M61" t="n">
        <v>7305.602239</v>
      </c>
      <c r="N61" t="n">
        <v>7305.602239</v>
      </c>
      <c r="O61" t="n">
        <v>41.400447</v>
      </c>
      <c r="P61" t="n">
        <v>18.192821</v>
      </c>
      <c r="Q61" t="n">
        <v>7305.602239</v>
      </c>
      <c r="R61" t="n">
        <v>7305.602239</v>
      </c>
      <c r="S61" t="n">
        <v>41.400447</v>
      </c>
      <c r="T61" t="n">
        <v>41.400447</v>
      </c>
      <c r="U61" t="n">
        <v>18.192821</v>
      </c>
      <c r="V61" t="n">
        <v>18.192821</v>
      </c>
      <c r="W61" t="n">
        <v>43.295832</v>
      </c>
      <c r="X61" t="n">
        <v>7878.655066</v>
      </c>
    </row>
    <row r="62" ht="36" customHeight="1">
      <c r="A62" t="inlineStr">
        <is>
          <t>Decapterus macrosoma</t>
        </is>
      </c>
      <c r="B62" t="n">
        <v>3.4</v>
      </c>
      <c r="C62" t="n">
        <v>251.188643</v>
      </c>
      <c r="D62" s="11" t="inlineStr">
        <is>
          <t>Juvenile large pelagic fish | Pelagic fish (&gt; 30 cm)</t>
        </is>
      </c>
      <c r="H62" t="n">
        <v>134.939141</v>
      </c>
      <c r="I62" t="n">
        <v>4341.841291</v>
      </c>
      <c r="J62" t="n">
        <v>4398.007385</v>
      </c>
      <c r="K62" t="n">
        <v>1301.694746</v>
      </c>
      <c r="L62" t="n">
        <v>7112.982475</v>
      </c>
      <c r="M62" t="n">
        <v>4967.292392</v>
      </c>
      <c r="N62" t="n">
        <v>4967.292392</v>
      </c>
      <c r="O62" t="n">
        <v>58.311114</v>
      </c>
      <c r="P62" t="n">
        <v>31.032685</v>
      </c>
      <c r="Q62" t="n">
        <v>4967.292392</v>
      </c>
      <c r="R62" t="n">
        <v>4967.292392</v>
      </c>
      <c r="S62" t="n">
        <v>58.311114</v>
      </c>
      <c r="T62" t="n">
        <v>58.311114</v>
      </c>
      <c r="U62" t="n">
        <v>31.032685</v>
      </c>
      <c r="V62" t="n">
        <v>31.032685</v>
      </c>
      <c r="W62" t="n">
        <v>61.724923</v>
      </c>
      <c r="X62" t="n">
        <v>5208.68705</v>
      </c>
    </row>
    <row r="63" ht="36" customHeight="1">
      <c r="A63" t="inlineStr">
        <is>
          <t>Katsuwonus pelamis</t>
        </is>
      </c>
      <c r="B63" t="n">
        <v>4.43</v>
      </c>
      <c r="C63" t="n">
        <v>2691.534804</v>
      </c>
      <c r="D63" s="11" t="inlineStr">
        <is>
          <t>Juvenile large pelagic fish | Pelagic fish (&gt; 30 cm)</t>
        </is>
      </c>
      <c r="H63" t="n">
        <v>134.939141</v>
      </c>
      <c r="I63" t="n">
        <v>4341.841291</v>
      </c>
      <c r="J63" t="n">
        <v>4398.007385</v>
      </c>
      <c r="K63" t="n">
        <v>1301.694746</v>
      </c>
      <c r="L63" t="n">
        <v>7112.982475</v>
      </c>
      <c r="M63" t="n">
        <v>4967.292392</v>
      </c>
      <c r="N63" t="n">
        <v>4967.292392</v>
      </c>
      <c r="O63" t="n">
        <v>58.311114</v>
      </c>
      <c r="P63" t="n">
        <v>31.032685</v>
      </c>
      <c r="Q63" t="n">
        <v>4967.292392</v>
      </c>
      <c r="R63" t="n">
        <v>4967.292392</v>
      </c>
      <c r="S63" t="n">
        <v>58.311114</v>
      </c>
      <c r="T63" t="n">
        <v>58.311114</v>
      </c>
      <c r="U63" t="n">
        <v>31.032685</v>
      </c>
      <c r="V63" t="n">
        <v>31.032685</v>
      </c>
      <c r="W63" t="n">
        <v>61.724923</v>
      </c>
      <c r="X63" t="n">
        <v>5208.68705</v>
      </c>
    </row>
    <row r="64" ht="21" customHeight="1">
      <c r="A64" t="inlineStr">
        <is>
          <t>Penaeus chinensis</t>
        </is>
      </c>
      <c r="B64" t="n">
        <v>2</v>
      </c>
      <c r="C64" t="n">
        <v>10</v>
      </c>
      <c r="D64" s="11" t="inlineStr">
        <is>
          <t>Shrimps</t>
        </is>
      </c>
      <c r="H64" t="n">
        <v>8.702252</v>
      </c>
      <c r="I64" t="n">
        <v>88.674335</v>
      </c>
      <c r="J64" t="n">
        <v>88.674335</v>
      </c>
      <c r="K64" t="n">
        <v>84.240618</v>
      </c>
      <c r="L64" t="n">
        <v>130.894857</v>
      </c>
      <c r="M64" t="n">
        <v>88.674335</v>
      </c>
      <c r="N64" t="n">
        <v>88.674335</v>
      </c>
      <c r="O64" t="n">
        <v>5.151693</v>
      </c>
      <c r="P64" t="n">
        <v>3.42724</v>
      </c>
      <c r="Q64" t="n">
        <v>88.674335</v>
      </c>
      <c r="R64" t="n">
        <v>88.674335</v>
      </c>
      <c r="S64" t="n">
        <v>5.151693</v>
      </c>
      <c r="T64" t="n">
        <v>5.151693</v>
      </c>
      <c r="U64" t="n">
        <v>3.42724</v>
      </c>
      <c r="V64" t="n">
        <v>3.42724</v>
      </c>
      <c r="W64" t="n">
        <v>5.382228</v>
      </c>
      <c r="X64" t="n">
        <v>92.561423</v>
      </c>
    </row>
    <row r="65" ht="21" customHeight="1">
      <c r="A65" t="inlineStr">
        <is>
          <t>Selaroides leptolepis</t>
        </is>
      </c>
      <c r="B65" t="n">
        <v>3.84</v>
      </c>
      <c r="C65" t="n">
        <v>691.830971</v>
      </c>
      <c r="D65" s="11" t="inlineStr">
        <is>
          <t>Pelagic fish (≤ 30 cm)</t>
        </is>
      </c>
      <c r="H65" t="n">
        <v>31.538936</v>
      </c>
      <c r="I65" t="n">
        <v>277.068801</v>
      </c>
      <c r="J65" t="n">
        <v>277.068801</v>
      </c>
      <c r="K65" t="n">
        <v>263.215361</v>
      </c>
      <c r="L65" t="n">
        <v>393.787233</v>
      </c>
      <c r="M65" t="n">
        <v>277.168933</v>
      </c>
      <c r="N65" t="n">
        <v>277.168933</v>
      </c>
      <c r="O65" t="n">
        <v>14.521402</v>
      </c>
      <c r="P65" t="n">
        <v>9.426283</v>
      </c>
      <c r="Q65" t="n">
        <v>277.168933</v>
      </c>
      <c r="R65" t="n">
        <v>277.168933</v>
      </c>
      <c r="S65" t="n">
        <v>14.521402</v>
      </c>
      <c r="T65" t="n">
        <v>14.521402</v>
      </c>
      <c r="U65" t="n">
        <v>9.426283</v>
      </c>
      <c r="V65" t="n">
        <v>9.426283</v>
      </c>
      <c r="W65" t="n">
        <v>15.223157</v>
      </c>
      <c r="X65" t="n">
        <v>285.614997</v>
      </c>
    </row>
    <row r="66" ht="36" customHeight="1">
      <c r="A66" t="inlineStr">
        <is>
          <t>Mugilidae</t>
        </is>
      </c>
      <c r="B66" t="n">
        <v>2.53</v>
      </c>
      <c r="C66" t="n">
        <v>33.884416</v>
      </c>
      <c r="D66" s="11" t="inlineStr">
        <is>
          <t>Juvenile demersal fish (&gt; 30 cm) | Adult demersal fish (&gt; 30 cm)</t>
        </is>
      </c>
      <c r="H66" t="n">
        <v>175.842593</v>
      </c>
      <c r="I66" t="n">
        <v>4469.123499</v>
      </c>
      <c r="J66" t="n">
        <v>4793.322749</v>
      </c>
      <c r="K66" t="n">
        <v>1747.151432</v>
      </c>
      <c r="L66" t="n">
        <v>10677.999207</v>
      </c>
      <c r="M66" t="n">
        <v>7305.602239</v>
      </c>
      <c r="N66" t="n">
        <v>7305.602239</v>
      </c>
      <c r="O66" t="n">
        <v>41.400447</v>
      </c>
      <c r="P66" t="n">
        <v>18.192821</v>
      </c>
      <c r="Q66" t="n">
        <v>7305.602239</v>
      </c>
      <c r="R66" t="n">
        <v>7305.602239</v>
      </c>
      <c r="S66" t="n">
        <v>41.400447</v>
      </c>
      <c r="T66" t="n">
        <v>41.400447</v>
      </c>
      <c r="U66" t="n">
        <v>18.192821</v>
      </c>
      <c r="V66" t="n">
        <v>18.192821</v>
      </c>
      <c r="W66" t="n">
        <v>43.295832</v>
      </c>
      <c r="X66" t="n">
        <v>7878.655066</v>
      </c>
    </row>
    <row r="67" ht="36" customHeight="1">
      <c r="A67" t="inlineStr">
        <is>
          <t>Ilisha elongata</t>
        </is>
      </c>
      <c r="B67" t="n">
        <v>3.79</v>
      </c>
      <c r="C67" t="n">
        <v>616.595002</v>
      </c>
      <c r="D67" s="11" t="inlineStr">
        <is>
          <t>Juvenile large pelagic fish | Pelagic fish (&gt; 30 cm)</t>
        </is>
      </c>
      <c r="H67" t="n">
        <v>134.939141</v>
      </c>
      <c r="I67" t="n">
        <v>4341.841291</v>
      </c>
      <c r="J67" t="n">
        <v>4398.007385</v>
      </c>
      <c r="K67" t="n">
        <v>1301.694746</v>
      </c>
      <c r="L67" t="n">
        <v>7112.982475</v>
      </c>
      <c r="M67" t="n">
        <v>4967.292392</v>
      </c>
      <c r="N67" t="n">
        <v>4967.292392</v>
      </c>
      <c r="O67" t="n">
        <v>58.311114</v>
      </c>
      <c r="P67" t="n">
        <v>31.032685</v>
      </c>
      <c r="Q67" t="n">
        <v>4967.292392</v>
      </c>
      <c r="R67" t="n">
        <v>4967.292392</v>
      </c>
      <c r="S67" t="n">
        <v>58.311114</v>
      </c>
      <c r="T67" t="n">
        <v>58.311114</v>
      </c>
      <c r="U67" t="n">
        <v>31.032685</v>
      </c>
      <c r="V67" t="n">
        <v>31.032685</v>
      </c>
      <c r="W67" t="n">
        <v>61.724923</v>
      </c>
      <c r="X67" t="n">
        <v>5208.68705</v>
      </c>
    </row>
    <row r="68" ht="36" customHeight="1">
      <c r="A68" t="inlineStr">
        <is>
          <t>Sardinops sagax</t>
        </is>
      </c>
      <c r="B68" t="n">
        <v>2.84</v>
      </c>
      <c r="C68" t="n">
        <v>69.183097</v>
      </c>
      <c r="D68" s="11" t="inlineStr">
        <is>
          <t>Juvenile large pelagic fish | Pelagic fish (&gt; 30 cm)</t>
        </is>
      </c>
      <c r="H68" t="n">
        <v>134.939141</v>
      </c>
      <c r="I68" t="n">
        <v>4341.841291</v>
      </c>
      <c r="J68" t="n">
        <v>4398.007385</v>
      </c>
      <c r="K68" t="n">
        <v>1301.694746</v>
      </c>
      <c r="L68" t="n">
        <v>7112.982475</v>
      </c>
      <c r="M68" t="n">
        <v>4967.292392</v>
      </c>
      <c r="N68" t="n">
        <v>4967.292392</v>
      </c>
      <c r="O68" t="n">
        <v>58.311114</v>
      </c>
      <c r="P68" t="n">
        <v>31.032685</v>
      </c>
      <c r="Q68" t="n">
        <v>4967.292392</v>
      </c>
      <c r="R68" t="n">
        <v>4967.292392</v>
      </c>
      <c r="S68" t="n">
        <v>58.311114</v>
      </c>
      <c r="T68" t="n">
        <v>58.311114</v>
      </c>
      <c r="U68" t="n">
        <v>31.032685</v>
      </c>
      <c r="V68" t="n">
        <v>31.032685</v>
      </c>
      <c r="W68" t="n">
        <v>61.724923</v>
      </c>
      <c r="X68" t="n">
        <v>5208.68705</v>
      </c>
    </row>
    <row r="69" ht="21" customHeight="1">
      <c r="A69" t="inlineStr">
        <is>
          <t>Sardinella lemuru</t>
        </is>
      </c>
      <c r="B69" t="n">
        <v>2.48</v>
      </c>
      <c r="C69" t="n">
        <v>30.199517</v>
      </c>
      <c r="D69" s="11" t="inlineStr">
        <is>
          <t>Pelagic fish (≤ 30 cm)</t>
        </is>
      </c>
      <c r="H69" t="n">
        <v>31.538936</v>
      </c>
      <c r="I69" t="n">
        <v>277.068801</v>
      </c>
      <c r="J69" t="n">
        <v>277.068801</v>
      </c>
      <c r="K69" t="n">
        <v>263.215361</v>
      </c>
      <c r="L69" t="n">
        <v>393.787233</v>
      </c>
      <c r="M69" t="n">
        <v>277.168933</v>
      </c>
      <c r="N69" t="n">
        <v>277.168933</v>
      </c>
      <c r="O69" t="n">
        <v>14.521402</v>
      </c>
      <c r="P69" t="n">
        <v>9.426283</v>
      </c>
      <c r="Q69" t="n">
        <v>277.168933</v>
      </c>
      <c r="R69" t="n">
        <v>277.168933</v>
      </c>
      <c r="S69" t="n">
        <v>14.521402</v>
      </c>
      <c r="T69" t="n">
        <v>14.521402</v>
      </c>
      <c r="U69" t="n">
        <v>9.426283</v>
      </c>
      <c r="V69" t="n">
        <v>9.426283</v>
      </c>
      <c r="W69" t="n">
        <v>15.223157</v>
      </c>
      <c r="X69" t="n">
        <v>285.614997</v>
      </c>
    </row>
    <row r="70" ht="36" customHeight="1">
      <c r="A70" t="inlineStr">
        <is>
          <t>Coryphaena hippurus</t>
        </is>
      </c>
      <c r="B70" t="n">
        <v>4.37</v>
      </c>
      <c r="C70" t="n">
        <v>2344.228815</v>
      </c>
      <c r="D70" s="11" t="inlineStr">
        <is>
          <t>Juvenile large pelagic fish | Pelagic fish (&gt; 30 cm)</t>
        </is>
      </c>
      <c r="H70" t="n">
        <v>134.939141</v>
      </c>
      <c r="I70" t="n">
        <v>4341.841291</v>
      </c>
      <c r="J70" t="n">
        <v>4398.007385</v>
      </c>
      <c r="K70" t="n">
        <v>1301.694746</v>
      </c>
      <c r="L70" t="n">
        <v>7112.982475</v>
      </c>
      <c r="M70" t="n">
        <v>4967.292392</v>
      </c>
      <c r="N70" t="n">
        <v>4967.292392</v>
      </c>
      <c r="O70" t="n">
        <v>58.311114</v>
      </c>
      <c r="P70" t="n">
        <v>31.032685</v>
      </c>
      <c r="Q70" t="n">
        <v>4967.292392</v>
      </c>
      <c r="R70" t="n">
        <v>4967.292392</v>
      </c>
      <c r="S70" t="n">
        <v>58.311114</v>
      </c>
      <c r="T70" t="n">
        <v>58.311114</v>
      </c>
      <c r="U70" t="n">
        <v>31.032685</v>
      </c>
      <c r="V70" t="n">
        <v>31.032685</v>
      </c>
      <c r="W70" t="n">
        <v>61.724923</v>
      </c>
      <c r="X70" t="n">
        <v>5208.68705</v>
      </c>
    </row>
    <row r="71" ht="36" customHeight="1">
      <c r="A71" t="inlineStr">
        <is>
          <t>Cololabis saira</t>
        </is>
      </c>
      <c r="B71" t="n">
        <v>3.71</v>
      </c>
      <c r="C71" t="n">
        <v>512.861384</v>
      </c>
      <c r="D71" s="11" t="inlineStr">
        <is>
          <t>Juvenile large pelagic fish | Pelagic fish (&gt; 30 cm)</t>
        </is>
      </c>
      <c r="H71" t="n">
        <v>134.939141</v>
      </c>
      <c r="I71" t="n">
        <v>4341.841291</v>
      </c>
      <c r="J71" t="n">
        <v>4398.007385</v>
      </c>
      <c r="K71" t="n">
        <v>1301.694746</v>
      </c>
      <c r="L71" t="n">
        <v>7112.982475</v>
      </c>
      <c r="M71" t="n">
        <v>4967.292392</v>
      </c>
      <c r="N71" t="n">
        <v>4967.292392</v>
      </c>
      <c r="O71" t="n">
        <v>58.311114</v>
      </c>
      <c r="P71" t="n">
        <v>31.032685</v>
      </c>
      <c r="Q71" t="n">
        <v>4967.292392</v>
      </c>
      <c r="R71" t="n">
        <v>4967.292392</v>
      </c>
      <c r="S71" t="n">
        <v>58.311114</v>
      </c>
      <c r="T71" t="n">
        <v>58.311114</v>
      </c>
      <c r="U71" t="n">
        <v>31.032685</v>
      </c>
      <c r="V71" t="n">
        <v>31.032685</v>
      </c>
      <c r="W71" t="n">
        <v>61.724923</v>
      </c>
      <c r="X71" t="n">
        <v>5208.68705</v>
      </c>
    </row>
    <row r="72" ht="36" customHeight="1">
      <c r="A72" t="inlineStr">
        <is>
          <t>Netuma thalassina</t>
        </is>
      </c>
      <c r="B72" t="n">
        <v>3.54</v>
      </c>
      <c r="C72" t="n">
        <v>346.73685</v>
      </c>
      <c r="D72" s="11" t="inlineStr">
        <is>
          <t>Juvenile demersal fish (&gt; 30 cm) | Adult demersal fish (&gt; 30 cm)</t>
        </is>
      </c>
      <c r="H72" t="n">
        <v>175.842593</v>
      </c>
      <c r="I72" t="n">
        <v>4469.123499</v>
      </c>
      <c r="J72" t="n">
        <v>4793.322749</v>
      </c>
      <c r="K72" t="n">
        <v>1747.151432</v>
      </c>
      <c r="L72" t="n">
        <v>10677.999207</v>
      </c>
      <c r="M72" t="n">
        <v>7305.602239</v>
      </c>
      <c r="N72" t="n">
        <v>7305.602239</v>
      </c>
      <c r="O72" t="n">
        <v>41.400447</v>
      </c>
      <c r="P72" t="n">
        <v>18.192821</v>
      </c>
      <c r="Q72" t="n">
        <v>7305.602239</v>
      </c>
      <c r="R72" t="n">
        <v>7305.602239</v>
      </c>
      <c r="S72" t="n">
        <v>41.400447</v>
      </c>
      <c r="T72" t="n">
        <v>41.400447</v>
      </c>
      <c r="U72" t="n">
        <v>18.192821</v>
      </c>
      <c r="V72" t="n">
        <v>18.192821</v>
      </c>
      <c r="W72" t="n">
        <v>43.295832</v>
      </c>
      <c r="X72" t="n">
        <v>7878.655066</v>
      </c>
    </row>
    <row r="73" ht="21" customHeight="1">
      <c r="A73" t="inlineStr">
        <is>
          <t>Priacanthus macracanthus</t>
        </is>
      </c>
      <c r="B73" t="n">
        <v>4.11</v>
      </c>
      <c r="C73" t="n">
        <v>1288.249552</v>
      </c>
      <c r="D73" s="11" t="inlineStr">
        <is>
          <t>Bigeyes (priacanthids)</t>
        </is>
      </c>
      <c r="H73" t="n">
        <v>193.813464</v>
      </c>
      <c r="I73" t="n">
        <v>7254.269109</v>
      </c>
      <c r="J73" t="n">
        <v>7445.748833</v>
      </c>
      <c r="K73" t="n">
        <v>2442.205617</v>
      </c>
      <c r="L73" t="n">
        <v>16970.336092</v>
      </c>
      <c r="M73" t="n">
        <v>11606.388394</v>
      </c>
      <c r="N73" t="n">
        <v>11606.388394</v>
      </c>
      <c r="O73" t="n">
        <v>106.798413</v>
      </c>
      <c r="P73" t="n">
        <v>47.527255</v>
      </c>
      <c r="Q73" t="n">
        <v>11606.388394</v>
      </c>
      <c r="R73" t="n">
        <v>11606.388394</v>
      </c>
      <c r="S73" t="n">
        <v>106.798413</v>
      </c>
      <c r="T73" t="n">
        <v>106.798413</v>
      </c>
      <c r="U73" t="n">
        <v>47.527255</v>
      </c>
      <c r="V73" t="n">
        <v>47.527255</v>
      </c>
      <c r="W73" t="n">
        <v>113.377905</v>
      </c>
      <c r="X73" t="n">
        <v>12105.0183</v>
      </c>
    </row>
    <row r="74" ht="21" customHeight="1">
      <c r="A74" t="inlineStr">
        <is>
          <t>Nemipterus virgatus</t>
        </is>
      </c>
      <c r="B74" t="n">
        <v>3.99</v>
      </c>
      <c r="C74" t="n">
        <v>977.237221</v>
      </c>
      <c r="D74" s="11" t="inlineStr">
        <is>
          <t>Threadfin bream (nemipterids)</t>
        </is>
      </c>
      <c r="H74" t="n">
        <v>75.29344</v>
      </c>
      <c r="I74" t="n">
        <v>2351.601599</v>
      </c>
      <c r="J74" t="n">
        <v>2551.708963</v>
      </c>
      <c r="K74" t="n">
        <v>1196.751504</v>
      </c>
      <c r="L74" t="n">
        <v>4710.704014</v>
      </c>
      <c r="M74" t="n">
        <v>3197.137719</v>
      </c>
      <c r="N74" t="n">
        <v>3197.137719</v>
      </c>
      <c r="O74" t="n">
        <v>47.386821</v>
      </c>
      <c r="P74" t="n">
        <v>22.758425</v>
      </c>
      <c r="Q74" t="n">
        <v>3197.137719</v>
      </c>
      <c r="R74" t="n">
        <v>3197.137719</v>
      </c>
      <c r="S74" t="n">
        <v>47.386821</v>
      </c>
      <c r="T74" t="n">
        <v>47.386821</v>
      </c>
      <c r="U74" t="n">
        <v>22.758425</v>
      </c>
      <c r="V74" t="n">
        <v>22.758425</v>
      </c>
      <c r="W74" t="n">
        <v>49.846385</v>
      </c>
      <c r="X74" t="n">
        <v>3474.67582</v>
      </c>
    </row>
    <row r="75" ht="21" customHeight="1">
      <c r="A75" t="inlineStr">
        <is>
          <t>Parastromateus niger</t>
        </is>
      </c>
      <c r="B75" t="n">
        <v>2.93</v>
      </c>
      <c r="C75" t="n">
        <v>85.113804</v>
      </c>
      <c r="D75" s="11" t="inlineStr">
        <is>
          <t>Benthopelagic fish</t>
        </is>
      </c>
      <c r="H75" t="n">
        <v>45.344864</v>
      </c>
      <c r="I75" t="n">
        <v>356.10635</v>
      </c>
      <c r="J75" t="n">
        <v>384.755747</v>
      </c>
      <c r="K75" t="n">
        <v>365.51796</v>
      </c>
      <c r="L75" t="n">
        <v>602.712303</v>
      </c>
      <c r="M75" t="n">
        <v>421.28566</v>
      </c>
      <c r="N75" t="n">
        <v>421.28566</v>
      </c>
      <c r="O75" t="n">
        <v>20.384878</v>
      </c>
      <c r="P75" t="n">
        <v>12.067619</v>
      </c>
      <c r="Q75" t="n">
        <v>421.28566</v>
      </c>
      <c r="R75" t="n">
        <v>421.28566</v>
      </c>
      <c r="S75" t="n">
        <v>20.384878</v>
      </c>
      <c r="T75" t="n">
        <v>20.384878</v>
      </c>
      <c r="U75" t="n">
        <v>12.067619</v>
      </c>
      <c r="V75" t="n">
        <v>12.067619</v>
      </c>
      <c r="W75" t="n">
        <v>20.990919</v>
      </c>
      <c r="X75" t="n">
        <v>434.828134</v>
      </c>
    </row>
    <row r="76" ht="21" customHeight="1">
      <c r="A76" t="inlineStr">
        <is>
          <t>Mugil cephalus</t>
        </is>
      </c>
      <c r="B76" t="n">
        <v>2.14</v>
      </c>
      <c r="C76" t="n">
        <v>13.803843</v>
      </c>
      <c r="D76" s="11" t="inlineStr">
        <is>
          <t>Benthopelagic fish</t>
        </is>
      </c>
      <c r="H76" t="n">
        <v>45.344864</v>
      </c>
      <c r="I76" t="n">
        <v>356.10635</v>
      </c>
      <c r="J76" t="n">
        <v>384.755747</v>
      </c>
      <c r="K76" t="n">
        <v>365.51796</v>
      </c>
      <c r="L76" t="n">
        <v>602.712303</v>
      </c>
      <c r="M76" t="n">
        <v>421.28566</v>
      </c>
      <c r="N76" t="n">
        <v>421.28566</v>
      </c>
      <c r="O76" t="n">
        <v>20.384878</v>
      </c>
      <c r="P76" t="n">
        <v>12.067619</v>
      </c>
      <c r="Q76" t="n">
        <v>421.28566</v>
      </c>
      <c r="R76" t="n">
        <v>421.28566</v>
      </c>
      <c r="S76" t="n">
        <v>20.384878</v>
      </c>
      <c r="T76" t="n">
        <v>20.384878</v>
      </c>
      <c r="U76" t="n">
        <v>12.067619</v>
      </c>
      <c r="V76" t="n">
        <v>12.067619</v>
      </c>
      <c r="W76" t="n">
        <v>20.990919</v>
      </c>
      <c r="X76" t="n">
        <v>434.828134</v>
      </c>
    </row>
    <row r="77" ht="21" customHeight="1">
      <c r="A77" t="inlineStr">
        <is>
          <t>Cephalopoda</t>
        </is>
      </c>
      <c r="B77" t="n">
        <v>3.81</v>
      </c>
      <c r="C77" t="n">
        <v>645.654229</v>
      </c>
      <c r="D77" s="11" t="inlineStr">
        <is>
          <t>Cephalopods</t>
        </is>
      </c>
      <c r="H77" t="n">
        <v>99.09704499999999</v>
      </c>
      <c r="I77" t="n">
        <v>726.768274</v>
      </c>
      <c r="J77" t="n">
        <v>743.903747</v>
      </c>
      <c r="K77" t="n">
        <v>371.951873</v>
      </c>
      <c r="L77" t="n">
        <v>1659.687874</v>
      </c>
      <c r="M77" t="n">
        <v>1154.615618</v>
      </c>
      <c r="N77" t="n">
        <v>1154.615618</v>
      </c>
      <c r="O77" t="n">
        <v>19.267286</v>
      </c>
      <c r="P77" t="n">
        <v>9.928678</v>
      </c>
      <c r="Q77" t="n">
        <v>1154.615618</v>
      </c>
      <c r="R77" t="n">
        <v>1154.615618</v>
      </c>
      <c r="S77" t="n">
        <v>19.267286</v>
      </c>
      <c r="T77" t="n">
        <v>19.267286</v>
      </c>
      <c r="U77" t="n">
        <v>9.928678</v>
      </c>
      <c r="V77" t="n">
        <v>9.928678</v>
      </c>
      <c r="W77" t="n">
        <v>19.883589</v>
      </c>
      <c r="X77" t="n">
        <v>1235.144457</v>
      </c>
    </row>
    <row r="78" ht="21" customHeight="1">
      <c r="A78" t="inlineStr">
        <is>
          <t>Leiognathus</t>
        </is>
      </c>
      <c r="B78" t="n">
        <v>3.22</v>
      </c>
      <c r="C78" t="n">
        <v>165.958691</v>
      </c>
      <c r="D78" s="11" t="inlineStr">
        <is>
          <t>Benthopelagic fish</t>
        </is>
      </c>
      <c r="H78" t="n">
        <v>45.344864</v>
      </c>
      <c r="I78" t="n">
        <v>356.10635</v>
      </c>
      <c r="J78" t="n">
        <v>384.755747</v>
      </c>
      <c r="K78" t="n">
        <v>365.51796</v>
      </c>
      <c r="L78" t="n">
        <v>602.712303</v>
      </c>
      <c r="M78" t="n">
        <v>421.28566</v>
      </c>
      <c r="N78" t="n">
        <v>421.28566</v>
      </c>
      <c r="O78" t="n">
        <v>20.384878</v>
      </c>
      <c r="P78" t="n">
        <v>12.067619</v>
      </c>
      <c r="Q78" t="n">
        <v>421.28566</v>
      </c>
      <c r="R78" t="n">
        <v>421.28566</v>
      </c>
      <c r="S78" t="n">
        <v>20.384878</v>
      </c>
      <c r="T78" t="n">
        <v>20.384878</v>
      </c>
      <c r="U78" t="n">
        <v>12.067619</v>
      </c>
      <c r="V78" t="n">
        <v>12.067619</v>
      </c>
      <c r="W78" t="n">
        <v>20.990919</v>
      </c>
      <c r="X78" t="n">
        <v>434.828134</v>
      </c>
    </row>
    <row r="79" ht="21" customHeight="1">
      <c r="A79" t="inlineStr">
        <is>
          <t>Octopodidae</t>
        </is>
      </c>
      <c r="B79" t="n">
        <v>3.59</v>
      </c>
      <c r="C79" t="n">
        <v>389.045145</v>
      </c>
      <c r="D79" s="11" t="inlineStr">
        <is>
          <t>Cephalopods</t>
        </is>
      </c>
      <c r="H79" t="n">
        <v>99.09704499999999</v>
      </c>
      <c r="I79" t="n">
        <v>726.768274</v>
      </c>
      <c r="J79" t="n">
        <v>743.903747</v>
      </c>
      <c r="K79" t="n">
        <v>371.951873</v>
      </c>
      <c r="L79" t="n">
        <v>1659.687874</v>
      </c>
      <c r="M79" t="n">
        <v>1154.615618</v>
      </c>
      <c r="N79" t="n">
        <v>1154.615618</v>
      </c>
      <c r="O79" t="n">
        <v>19.267286</v>
      </c>
      <c r="P79" t="n">
        <v>9.928678</v>
      </c>
      <c r="Q79" t="n">
        <v>1154.615618</v>
      </c>
      <c r="R79" t="n">
        <v>1154.615618</v>
      </c>
      <c r="S79" t="n">
        <v>19.267286</v>
      </c>
      <c r="T79" t="n">
        <v>19.267286</v>
      </c>
      <c r="U79" t="n">
        <v>9.928678</v>
      </c>
      <c r="V79" t="n">
        <v>9.928678</v>
      </c>
      <c r="W79" t="n">
        <v>19.883589</v>
      </c>
      <c r="X79" t="n">
        <v>1235.144457</v>
      </c>
    </row>
    <row r="80" ht="21" customHeight="1">
      <c r="A80" t="inlineStr">
        <is>
          <t>Dasyatis</t>
        </is>
      </c>
      <c r="B80" t="n">
        <v>3.28</v>
      </c>
      <c r="C80" t="n">
        <v>190.546072</v>
      </c>
      <c r="D80" s="11" t="inlineStr">
        <is>
          <t>Demersal sharks and rays</t>
        </is>
      </c>
      <c r="H80" t="n">
        <v>265.296573</v>
      </c>
      <c r="I80" t="n">
        <v>7268.387336</v>
      </c>
      <c r="J80" t="n">
        <v>7315.723404</v>
      </c>
      <c r="K80" t="n">
        <v>2662.923319</v>
      </c>
      <c r="L80" t="n">
        <v>18846.946222</v>
      </c>
      <c r="M80" t="n">
        <v>12899.244148</v>
      </c>
      <c r="N80" t="n">
        <v>12899.244148</v>
      </c>
      <c r="O80" t="n">
        <v>58.377455</v>
      </c>
      <c r="P80" t="n">
        <v>24.766119</v>
      </c>
      <c r="Q80" t="n">
        <v>12899.244148</v>
      </c>
      <c r="R80" t="n">
        <v>12899.244148</v>
      </c>
      <c r="S80" t="n">
        <v>58.377455</v>
      </c>
      <c r="T80" t="n">
        <v>58.377455</v>
      </c>
      <c r="U80" t="n">
        <v>24.766119</v>
      </c>
      <c r="V80" t="n">
        <v>24.766119</v>
      </c>
      <c r="W80" t="n">
        <v>61.462709</v>
      </c>
      <c r="X80" t="n">
        <v>13974.158015</v>
      </c>
    </row>
    <row r="81" ht="36" customHeight="1">
      <c r="A81" t="inlineStr">
        <is>
          <t>Euthynnus affinis</t>
        </is>
      </c>
      <c r="B81" t="n">
        <v>4.5</v>
      </c>
      <c r="C81" t="n">
        <v>3162.27766</v>
      </c>
      <c r="D81" s="11" t="inlineStr">
        <is>
          <t>Juvenile large pelagic fish | Pelagic fish (&gt; 30 cm)</t>
        </is>
      </c>
      <c r="H81" t="n">
        <v>134.939141</v>
      </c>
      <c r="I81" t="n">
        <v>4341.841291</v>
      </c>
      <c r="J81" t="n">
        <v>4398.007385</v>
      </c>
      <c r="K81" t="n">
        <v>1301.694746</v>
      </c>
      <c r="L81" t="n">
        <v>7112.982475</v>
      </c>
      <c r="M81" t="n">
        <v>4967.292392</v>
      </c>
      <c r="N81" t="n">
        <v>4967.292392</v>
      </c>
      <c r="O81" t="n">
        <v>58.311114</v>
      </c>
      <c r="P81" t="n">
        <v>31.032685</v>
      </c>
      <c r="Q81" t="n">
        <v>4967.292392</v>
      </c>
      <c r="R81" t="n">
        <v>4967.292392</v>
      </c>
      <c r="S81" t="n">
        <v>58.311114</v>
      </c>
      <c r="T81" t="n">
        <v>58.311114</v>
      </c>
      <c r="U81" t="n">
        <v>31.032685</v>
      </c>
      <c r="V81" t="n">
        <v>31.032685</v>
      </c>
      <c r="W81" t="n">
        <v>61.724923</v>
      </c>
      <c r="X81" t="n">
        <v>5208.68705</v>
      </c>
    </row>
    <row r="82" ht="36" customHeight="1">
      <c r="A82" t="inlineStr">
        <is>
          <t>Auxis</t>
        </is>
      </c>
      <c r="B82" t="n">
        <v>4.24</v>
      </c>
      <c r="C82" t="n">
        <v>1737.800829</v>
      </c>
      <c r="D82" s="11" t="inlineStr">
        <is>
          <t>Juvenile large pelagic fish | Pelagic fish (&gt; 30 cm)</t>
        </is>
      </c>
      <c r="H82" t="n">
        <v>134.939141</v>
      </c>
      <c r="I82" t="n">
        <v>4341.841291</v>
      </c>
      <c r="J82" t="n">
        <v>4398.007385</v>
      </c>
      <c r="K82" t="n">
        <v>1301.694746</v>
      </c>
      <c r="L82" t="n">
        <v>7112.982475</v>
      </c>
      <c r="M82" t="n">
        <v>4967.292392</v>
      </c>
      <c r="N82" t="n">
        <v>4967.292392</v>
      </c>
      <c r="O82" t="n">
        <v>58.311114</v>
      </c>
      <c r="P82" t="n">
        <v>31.032685</v>
      </c>
      <c r="Q82" t="n">
        <v>4967.292392</v>
      </c>
      <c r="R82" t="n">
        <v>4967.292392</v>
      </c>
      <c r="S82" t="n">
        <v>58.311114</v>
      </c>
      <c r="T82" t="n">
        <v>58.311114</v>
      </c>
      <c r="U82" t="n">
        <v>31.032685</v>
      </c>
      <c r="V82" t="n">
        <v>31.032685</v>
      </c>
      <c r="W82" t="n">
        <v>61.724923</v>
      </c>
      <c r="X82" t="n">
        <v>5208.68705</v>
      </c>
    </row>
    <row r="83" ht="21" customHeight="1">
      <c r="A83" t="inlineStr">
        <is>
          <t>Pampus argenteus</t>
        </is>
      </c>
      <c r="B83" t="n">
        <v>3.3</v>
      </c>
      <c r="C83" t="n">
        <v>199.526231</v>
      </c>
      <c r="D83" s="11" t="inlineStr">
        <is>
          <t>Pomfret (stromateids)</t>
        </is>
      </c>
      <c r="H83" t="n">
        <v>174.433913</v>
      </c>
      <c r="I83" t="n">
        <v>1107.715094</v>
      </c>
      <c r="J83" t="n">
        <v>1152.41915</v>
      </c>
      <c r="K83" t="n">
        <v>1094.798192</v>
      </c>
      <c r="L83" t="n">
        <v>2274.19106</v>
      </c>
      <c r="M83" t="n">
        <v>1598.007907</v>
      </c>
      <c r="N83" t="n">
        <v>1598.007907</v>
      </c>
      <c r="O83" t="n">
        <v>71.350959</v>
      </c>
      <c r="P83" t="n">
        <v>34.506697</v>
      </c>
      <c r="Q83" t="n">
        <v>1598.007907</v>
      </c>
      <c r="R83" t="n">
        <v>1598.007907</v>
      </c>
      <c r="S83" t="n">
        <v>71.350959</v>
      </c>
      <c r="T83" t="n">
        <v>71.350959</v>
      </c>
      <c r="U83" t="n">
        <v>34.506697</v>
      </c>
      <c r="V83" t="n">
        <v>34.506697</v>
      </c>
      <c r="W83" t="n">
        <v>75.453034</v>
      </c>
      <c r="X83" t="n">
        <v>1713.88012</v>
      </c>
    </row>
    <row r="84" ht="21" customHeight="1">
      <c r="A84" t="inlineStr">
        <is>
          <t>Spratelloides gracilis</t>
        </is>
      </c>
      <c r="B84" t="n">
        <v>3.06</v>
      </c>
      <c r="C84" t="n">
        <v>114.815362</v>
      </c>
      <c r="D84" s="11" t="inlineStr">
        <is>
          <t>Pelagic fish (≤ 30 cm)</t>
        </is>
      </c>
      <c r="H84" t="n">
        <v>31.538936</v>
      </c>
      <c r="I84" t="n">
        <v>277.068801</v>
      </c>
      <c r="J84" t="n">
        <v>277.068801</v>
      </c>
      <c r="K84" t="n">
        <v>263.215361</v>
      </c>
      <c r="L84" t="n">
        <v>393.787233</v>
      </c>
      <c r="M84" t="n">
        <v>277.168933</v>
      </c>
      <c r="N84" t="n">
        <v>277.168933</v>
      </c>
      <c r="O84" t="n">
        <v>14.521402</v>
      </c>
      <c r="P84" t="n">
        <v>9.426283</v>
      </c>
      <c r="Q84" t="n">
        <v>277.168933</v>
      </c>
      <c r="R84" t="n">
        <v>277.168933</v>
      </c>
      <c r="S84" t="n">
        <v>14.521402</v>
      </c>
      <c r="T84" t="n">
        <v>14.521402</v>
      </c>
      <c r="U84" t="n">
        <v>9.426283</v>
      </c>
      <c r="V84" t="n">
        <v>9.426283</v>
      </c>
      <c r="W84" t="n">
        <v>15.223157</v>
      </c>
      <c r="X84" t="n">
        <v>285.614997</v>
      </c>
    </row>
    <row r="85" ht="21" customHeight="1">
      <c r="A85" t="inlineStr">
        <is>
          <t>Bivalvia</t>
        </is>
      </c>
      <c r="B85" t="n">
        <v>2.23</v>
      </c>
      <c r="C85" t="n">
        <v>16.982437</v>
      </c>
      <c r="D85" s="11" t="inlineStr">
        <is>
          <t>Non-ceph molluscs</t>
        </is>
      </c>
      <c r="H85" t="n">
        <v>5.373346</v>
      </c>
      <c r="I85" t="n">
        <v>57.395403</v>
      </c>
      <c r="J85" t="n">
        <v>57.395403</v>
      </c>
      <c r="K85" t="n">
        <v>21.98244</v>
      </c>
      <c r="L85" t="n">
        <v>92.59366</v>
      </c>
      <c r="M85" t="n">
        <v>61.118924</v>
      </c>
      <c r="N85" t="n">
        <v>61.118924</v>
      </c>
      <c r="O85" t="n">
        <v>1.571536</v>
      </c>
      <c r="P85" t="n">
        <v>1.01605</v>
      </c>
      <c r="Q85" t="n">
        <v>61.118924</v>
      </c>
      <c r="R85" t="n">
        <v>61.118924</v>
      </c>
      <c r="S85" t="n">
        <v>1.571536</v>
      </c>
      <c r="T85" t="n">
        <v>1.571536</v>
      </c>
      <c r="U85" t="n">
        <v>1.01605</v>
      </c>
      <c r="V85" t="n">
        <v>1.01605</v>
      </c>
      <c r="W85" t="n">
        <v>1.626148</v>
      </c>
      <c r="X85" t="n">
        <v>63.787046</v>
      </c>
    </row>
    <row r="86" ht="21" customHeight="1">
      <c r="A86" t="inlineStr">
        <is>
          <t>Dussumieria</t>
        </is>
      </c>
      <c r="B86" t="n">
        <v>3.4</v>
      </c>
      <c r="C86" t="n">
        <v>251.188643</v>
      </c>
      <c r="D86" s="11" t="inlineStr">
        <is>
          <t>Pelagic fish (≤ 30 cm)</t>
        </is>
      </c>
      <c r="H86" t="n">
        <v>31.538936</v>
      </c>
      <c r="I86" t="n">
        <v>277.068801</v>
      </c>
      <c r="J86" t="n">
        <v>277.068801</v>
      </c>
      <c r="K86" t="n">
        <v>263.215361</v>
      </c>
      <c r="L86" t="n">
        <v>393.787233</v>
      </c>
      <c r="M86" t="n">
        <v>277.168933</v>
      </c>
      <c r="N86" t="n">
        <v>277.168933</v>
      </c>
      <c r="O86" t="n">
        <v>14.521402</v>
      </c>
      <c r="P86" t="n">
        <v>9.426283</v>
      </c>
      <c r="Q86" t="n">
        <v>277.168933</v>
      </c>
      <c r="R86" t="n">
        <v>277.168933</v>
      </c>
      <c r="S86" t="n">
        <v>14.521402</v>
      </c>
      <c r="T86" t="n">
        <v>14.521402</v>
      </c>
      <c r="U86" t="n">
        <v>9.426283</v>
      </c>
      <c r="V86" t="n">
        <v>9.426283</v>
      </c>
      <c r="W86" t="n">
        <v>15.223157</v>
      </c>
      <c r="X86" t="n">
        <v>285.614997</v>
      </c>
    </row>
    <row r="87" ht="36" customHeight="1">
      <c r="A87" t="inlineStr">
        <is>
          <t>Carcharhinus</t>
        </is>
      </c>
      <c r="B87" t="n">
        <v>4.26</v>
      </c>
      <c r="C87" t="n">
        <v>1819.700859</v>
      </c>
      <c r="D87" s="11" t="inlineStr">
        <is>
          <t>Demersal sharks and rays | Pelagic sharks and rays</t>
        </is>
      </c>
      <c r="H87" t="n">
        <v>304.84076</v>
      </c>
      <c r="I87" t="n">
        <v>22014.382452</v>
      </c>
      <c r="J87" t="n">
        <v>22231.430218</v>
      </c>
      <c r="K87" t="n">
        <v>10306.364543</v>
      </c>
      <c r="L87" t="n">
        <v>47447.371867</v>
      </c>
      <c r="M87" t="n">
        <v>32772.930566</v>
      </c>
      <c r="N87" t="n">
        <v>32772.930566</v>
      </c>
      <c r="O87" t="n">
        <v>71.882007</v>
      </c>
      <c r="P87" t="n">
        <v>30.788806</v>
      </c>
      <c r="Q87" t="n">
        <v>32772.930566</v>
      </c>
      <c r="R87" t="n">
        <v>32772.930566</v>
      </c>
      <c r="S87" t="n">
        <v>71.882007</v>
      </c>
      <c r="T87" t="n">
        <v>71.882007</v>
      </c>
      <c r="U87" t="n">
        <v>30.788806</v>
      </c>
      <c r="V87" t="n">
        <v>30.788806</v>
      </c>
      <c r="W87" t="n">
        <v>75.96293799999999</v>
      </c>
      <c r="X87" t="n">
        <v>35173.815829</v>
      </c>
    </row>
    <row r="88" ht="21" customHeight="1">
      <c r="A88" t="inlineStr">
        <is>
          <t>Lutjanus</t>
        </is>
      </c>
      <c r="B88" t="n">
        <v>4.02</v>
      </c>
      <c r="C88" t="n">
        <v>1047.128548</v>
      </c>
      <c r="D88" s="11" t="inlineStr">
        <is>
          <t>Snappers</t>
        </is>
      </c>
      <c r="H88" t="n">
        <v>267.052731</v>
      </c>
      <c r="I88" t="n">
        <v>2184.150638</v>
      </c>
      <c r="J88" t="n">
        <v>2277.683197</v>
      </c>
      <c r="K88" t="n">
        <v>2163.799037</v>
      </c>
      <c r="L88" t="n">
        <v>4133.4309</v>
      </c>
      <c r="M88" t="n">
        <v>2817.724532</v>
      </c>
      <c r="N88" t="n">
        <v>2817.724532</v>
      </c>
      <c r="O88" t="n">
        <v>100.301142</v>
      </c>
      <c r="P88" t="n">
        <v>43.53974</v>
      </c>
      <c r="Q88" t="n">
        <v>2817.724532</v>
      </c>
      <c r="R88" t="n">
        <v>2817.724532</v>
      </c>
      <c r="S88" t="n">
        <v>100.301142</v>
      </c>
      <c r="T88" t="n">
        <v>100.301142</v>
      </c>
      <c r="U88" t="n">
        <v>43.53974</v>
      </c>
      <c r="V88" t="n">
        <v>43.53974</v>
      </c>
      <c r="W88" t="n">
        <v>106.305314</v>
      </c>
      <c r="X88" t="n">
        <v>2997.143608</v>
      </c>
    </row>
    <row r="89" ht="21" customHeight="1">
      <c r="A89" t="inlineStr">
        <is>
          <t>Penaeus merguiensis</t>
        </is>
      </c>
      <c r="B89" t="n">
        <v>3.77</v>
      </c>
      <c r="C89" t="n">
        <v>588.843655</v>
      </c>
      <c r="D89" s="11" t="inlineStr">
        <is>
          <t>Shrimps</t>
        </is>
      </c>
      <c r="H89" t="n">
        <v>8.702252</v>
      </c>
      <c r="I89" t="n">
        <v>88.674335</v>
      </c>
      <c r="J89" t="n">
        <v>88.674335</v>
      </c>
      <c r="K89" t="n">
        <v>84.240618</v>
      </c>
      <c r="L89" t="n">
        <v>130.894857</v>
      </c>
      <c r="M89" t="n">
        <v>88.674335</v>
      </c>
      <c r="N89" t="n">
        <v>88.674335</v>
      </c>
      <c r="O89" t="n">
        <v>5.151693</v>
      </c>
      <c r="P89" t="n">
        <v>3.42724</v>
      </c>
      <c r="Q89" t="n">
        <v>88.674335</v>
      </c>
      <c r="R89" t="n">
        <v>88.674335</v>
      </c>
      <c r="S89" t="n">
        <v>5.151693</v>
      </c>
      <c r="T89" t="n">
        <v>5.151693</v>
      </c>
      <c r="U89" t="n">
        <v>3.42724</v>
      </c>
      <c r="V89" t="n">
        <v>3.42724</v>
      </c>
      <c r="W89" t="n">
        <v>5.382228</v>
      </c>
      <c r="X89" t="n">
        <v>92.561423</v>
      </c>
    </row>
    <row r="90" ht="21" customHeight="1">
      <c r="A90" t="inlineStr">
        <is>
          <t>Octopoda</t>
        </is>
      </c>
      <c r="B90" t="n">
        <v>3.58</v>
      </c>
      <c r="C90" t="n">
        <v>380.189396</v>
      </c>
      <c r="D90" s="11" t="inlineStr">
        <is>
          <t>Cephalopods</t>
        </is>
      </c>
      <c r="H90" t="n">
        <v>99.09704499999999</v>
      </c>
      <c r="I90" t="n">
        <v>726.768274</v>
      </c>
      <c r="J90" t="n">
        <v>743.903747</v>
      </c>
      <c r="K90" t="n">
        <v>371.951873</v>
      </c>
      <c r="L90" t="n">
        <v>1659.687874</v>
      </c>
      <c r="M90" t="n">
        <v>1154.615618</v>
      </c>
      <c r="N90" t="n">
        <v>1154.615618</v>
      </c>
      <c r="O90" t="n">
        <v>19.267286</v>
      </c>
      <c r="P90" t="n">
        <v>9.928678</v>
      </c>
      <c r="Q90" t="n">
        <v>1154.615618</v>
      </c>
      <c r="R90" t="n">
        <v>1154.615618</v>
      </c>
      <c r="S90" t="n">
        <v>19.267286</v>
      </c>
      <c r="T90" t="n">
        <v>19.267286</v>
      </c>
      <c r="U90" t="n">
        <v>9.928678</v>
      </c>
      <c r="V90" t="n">
        <v>9.928678</v>
      </c>
      <c r="W90" t="n">
        <v>19.883589</v>
      </c>
      <c r="X90" t="n">
        <v>1235.144457</v>
      </c>
    </row>
    <row r="91" ht="21" customHeight="1">
      <c r="A91" t="inlineStr">
        <is>
          <t>Clupanodon thrissa</t>
        </is>
      </c>
      <c r="B91" t="n">
        <v>3.01</v>
      </c>
      <c r="C91" t="n">
        <v>102.329299</v>
      </c>
      <c r="D91" s="11" t="inlineStr">
        <is>
          <t>Pelagic fish (≤ 30 cm)</t>
        </is>
      </c>
      <c r="H91" t="n">
        <v>31.538936</v>
      </c>
      <c r="I91" t="n">
        <v>277.068801</v>
      </c>
      <c r="J91" t="n">
        <v>277.068801</v>
      </c>
      <c r="K91" t="n">
        <v>263.215361</v>
      </c>
      <c r="L91" t="n">
        <v>393.787233</v>
      </c>
      <c r="M91" t="n">
        <v>277.168933</v>
      </c>
      <c r="N91" t="n">
        <v>277.168933</v>
      </c>
      <c r="O91" t="n">
        <v>14.521402</v>
      </c>
      <c r="P91" t="n">
        <v>9.426283</v>
      </c>
      <c r="Q91" t="n">
        <v>277.168933</v>
      </c>
      <c r="R91" t="n">
        <v>277.168933</v>
      </c>
      <c r="S91" t="n">
        <v>14.521402</v>
      </c>
      <c r="T91" t="n">
        <v>14.521402</v>
      </c>
      <c r="U91" t="n">
        <v>9.426283</v>
      </c>
      <c r="V91" t="n">
        <v>9.426283</v>
      </c>
      <c r="W91" t="n">
        <v>15.223157</v>
      </c>
      <c r="X91" t="n">
        <v>285.614997</v>
      </c>
    </row>
    <row r="92" ht="21" customHeight="1">
      <c r="A92" t="inlineStr">
        <is>
          <t>Sardinella fimbriata</t>
        </is>
      </c>
      <c r="B92" t="n">
        <v>2.7</v>
      </c>
      <c r="C92" t="n">
        <v>50.118723</v>
      </c>
      <c r="D92" s="11" t="inlineStr">
        <is>
          <t>Pelagic fish (≤ 30 cm)</t>
        </is>
      </c>
      <c r="H92" t="n">
        <v>31.538936</v>
      </c>
      <c r="I92" t="n">
        <v>277.068801</v>
      </c>
      <c r="J92" t="n">
        <v>277.068801</v>
      </c>
      <c r="K92" t="n">
        <v>263.215361</v>
      </c>
      <c r="L92" t="n">
        <v>393.787233</v>
      </c>
      <c r="M92" t="n">
        <v>277.168933</v>
      </c>
      <c r="N92" t="n">
        <v>277.168933</v>
      </c>
      <c r="O92" t="n">
        <v>14.521402</v>
      </c>
      <c r="P92" t="n">
        <v>9.426283</v>
      </c>
      <c r="Q92" t="n">
        <v>277.168933</v>
      </c>
      <c r="R92" t="n">
        <v>277.168933</v>
      </c>
      <c r="S92" t="n">
        <v>14.521402</v>
      </c>
      <c r="T92" t="n">
        <v>14.521402</v>
      </c>
      <c r="U92" t="n">
        <v>9.426283</v>
      </c>
      <c r="V92" t="n">
        <v>9.426283</v>
      </c>
      <c r="W92" t="n">
        <v>15.223157</v>
      </c>
      <c r="X92" t="n">
        <v>285.614997</v>
      </c>
    </row>
    <row r="93" ht="21" customHeight="1">
      <c r="A93" t="inlineStr">
        <is>
          <t>Ruvettus pretiosus</t>
        </is>
      </c>
      <c r="B93" t="n">
        <v>4.18</v>
      </c>
      <c r="C93" t="n">
        <v>1513.561248</v>
      </c>
      <c r="D93" s="11" t="inlineStr">
        <is>
          <t>Unresolved</t>
        </is>
      </c>
    </row>
    <row r="94" ht="36" customHeight="1">
      <c r="A94" t="inlineStr">
        <is>
          <t>Lates calcarifer</t>
        </is>
      </c>
      <c r="B94" t="n">
        <v>4.35</v>
      </c>
      <c r="C94" t="n">
        <v>2238.721139</v>
      </c>
      <c r="D94" s="11" t="inlineStr">
        <is>
          <t>Juvenile demersal fish (&gt; 30 cm) | Adult demersal fish (&gt; 30 cm)</t>
        </is>
      </c>
      <c r="H94" t="n">
        <v>175.842593</v>
      </c>
      <c r="I94" t="n">
        <v>4469.123499</v>
      </c>
      <c r="J94" t="n">
        <v>4793.322749</v>
      </c>
      <c r="K94" t="n">
        <v>1747.151432</v>
      </c>
      <c r="L94" t="n">
        <v>10677.999207</v>
      </c>
      <c r="M94" t="n">
        <v>7305.602239</v>
      </c>
      <c r="N94" t="n">
        <v>7305.602239</v>
      </c>
      <c r="O94" t="n">
        <v>41.400447</v>
      </c>
      <c r="P94" t="n">
        <v>18.192821</v>
      </c>
      <c r="Q94" t="n">
        <v>7305.602239</v>
      </c>
      <c r="R94" t="n">
        <v>7305.602239</v>
      </c>
      <c r="S94" t="n">
        <v>41.400447</v>
      </c>
      <c r="T94" t="n">
        <v>41.400447</v>
      </c>
      <c r="U94" t="n">
        <v>18.192821</v>
      </c>
      <c r="V94" t="n">
        <v>18.192821</v>
      </c>
      <c r="W94" t="n">
        <v>43.295832</v>
      </c>
      <c r="X94" t="n">
        <v>7878.655066</v>
      </c>
    </row>
    <row r="95" ht="36" customHeight="1">
      <c r="A95" t="inlineStr">
        <is>
          <t>Carangoides</t>
        </is>
      </c>
      <c r="B95" t="n">
        <v>4.34</v>
      </c>
      <c r="C95" t="n">
        <v>2187.761624</v>
      </c>
      <c r="D95" s="11" t="inlineStr">
        <is>
          <t>Juvenile large pelagic fish | Pelagic fish (&gt; 30 cm)</t>
        </is>
      </c>
      <c r="H95" t="n">
        <v>134.939141</v>
      </c>
      <c r="I95" t="n">
        <v>4341.841291</v>
      </c>
      <c r="J95" t="n">
        <v>4398.007385</v>
      </c>
      <c r="K95" t="n">
        <v>1301.694746</v>
      </c>
      <c r="L95" t="n">
        <v>7112.982475</v>
      </c>
      <c r="M95" t="n">
        <v>4967.292392</v>
      </c>
      <c r="N95" t="n">
        <v>4967.292392</v>
      </c>
      <c r="O95" t="n">
        <v>58.311114</v>
      </c>
      <c r="P95" t="n">
        <v>31.032685</v>
      </c>
      <c r="Q95" t="n">
        <v>4967.292392</v>
      </c>
      <c r="R95" t="n">
        <v>4967.292392</v>
      </c>
      <c r="S95" t="n">
        <v>58.311114</v>
      </c>
      <c r="T95" t="n">
        <v>58.311114</v>
      </c>
      <c r="U95" t="n">
        <v>31.032685</v>
      </c>
      <c r="V95" t="n">
        <v>31.032685</v>
      </c>
      <c r="W95" t="n">
        <v>61.724923</v>
      </c>
      <c r="X95" t="n">
        <v>5208.68705</v>
      </c>
    </row>
    <row r="96" ht="36" customHeight="1">
      <c r="A96" t="inlineStr">
        <is>
          <t>Scomberomorus niphonius</t>
        </is>
      </c>
      <c r="B96" t="n">
        <v>4.5</v>
      </c>
      <c r="C96" t="n">
        <v>3162.27766</v>
      </c>
      <c r="D96" s="11" t="inlineStr">
        <is>
          <t>Juvenile large pelagic fish | Pelagic fish (&gt; 30 cm)</t>
        </is>
      </c>
      <c r="H96" t="n">
        <v>134.939141</v>
      </c>
      <c r="I96" t="n">
        <v>4341.841291</v>
      </c>
      <c r="J96" t="n">
        <v>4398.007385</v>
      </c>
      <c r="K96" t="n">
        <v>1301.694746</v>
      </c>
      <c r="L96" t="n">
        <v>7112.982475</v>
      </c>
      <c r="M96" t="n">
        <v>4967.292392</v>
      </c>
      <c r="N96" t="n">
        <v>4967.292392</v>
      </c>
      <c r="O96" t="n">
        <v>58.311114</v>
      </c>
      <c r="P96" t="n">
        <v>31.032685</v>
      </c>
      <c r="Q96" t="n">
        <v>4967.292392</v>
      </c>
      <c r="R96" t="n">
        <v>4967.292392</v>
      </c>
      <c r="S96" t="n">
        <v>58.311114</v>
      </c>
      <c r="T96" t="n">
        <v>58.311114</v>
      </c>
      <c r="U96" t="n">
        <v>31.032685</v>
      </c>
      <c r="V96" t="n">
        <v>31.032685</v>
      </c>
      <c r="W96" t="n">
        <v>61.724923</v>
      </c>
      <c r="X96" t="n">
        <v>5208.68705</v>
      </c>
    </row>
    <row r="97" ht="36" customHeight="1">
      <c r="A97" t="inlineStr">
        <is>
          <t>Megalaspis cordyla</t>
        </is>
      </c>
      <c r="B97" t="n">
        <v>4.24</v>
      </c>
      <c r="C97" t="n">
        <v>1737.800829</v>
      </c>
      <c r="D97" s="11" t="inlineStr">
        <is>
          <t>Juvenile large pelagic fish | Pelagic fish (&gt; 30 cm)</t>
        </is>
      </c>
      <c r="H97" t="n">
        <v>134.939141</v>
      </c>
      <c r="I97" t="n">
        <v>4341.841291</v>
      </c>
      <c r="J97" t="n">
        <v>4398.007385</v>
      </c>
      <c r="K97" t="n">
        <v>1301.694746</v>
      </c>
      <c r="L97" t="n">
        <v>7112.982475</v>
      </c>
      <c r="M97" t="n">
        <v>4967.292392</v>
      </c>
      <c r="N97" t="n">
        <v>4967.292392</v>
      </c>
      <c r="O97" t="n">
        <v>58.311114</v>
      </c>
      <c r="P97" t="n">
        <v>31.032685</v>
      </c>
      <c r="Q97" t="n">
        <v>4967.292392</v>
      </c>
      <c r="R97" t="n">
        <v>4967.292392</v>
      </c>
      <c r="S97" t="n">
        <v>58.311114</v>
      </c>
      <c r="T97" t="n">
        <v>58.311114</v>
      </c>
      <c r="U97" t="n">
        <v>31.032685</v>
      </c>
      <c r="V97" t="n">
        <v>31.032685</v>
      </c>
      <c r="W97" t="n">
        <v>61.724923</v>
      </c>
      <c r="X97" t="n">
        <v>5208.68705</v>
      </c>
    </row>
    <row r="98" ht="36" customHeight="1">
      <c r="A98" t="inlineStr">
        <is>
          <t>Scomberomorus guttatus</t>
        </is>
      </c>
      <c r="B98" t="n">
        <v>4.28</v>
      </c>
      <c r="C98" t="n">
        <v>1905.460718</v>
      </c>
      <c r="D98" s="11" t="inlineStr">
        <is>
          <t>Juvenile large pelagic fish | Pelagic fish (&gt; 30 cm)</t>
        </is>
      </c>
      <c r="H98" t="n">
        <v>134.939141</v>
      </c>
      <c r="I98" t="n">
        <v>4341.841291</v>
      </c>
      <c r="J98" t="n">
        <v>4398.007385</v>
      </c>
      <c r="K98" t="n">
        <v>1301.694746</v>
      </c>
      <c r="L98" t="n">
        <v>7112.982475</v>
      </c>
      <c r="M98" t="n">
        <v>4967.292392</v>
      </c>
      <c r="N98" t="n">
        <v>4967.292392</v>
      </c>
      <c r="O98" t="n">
        <v>58.311114</v>
      </c>
      <c r="P98" t="n">
        <v>31.032685</v>
      </c>
      <c r="Q98" t="n">
        <v>4967.292392</v>
      </c>
      <c r="R98" t="n">
        <v>4967.292392</v>
      </c>
      <c r="S98" t="n">
        <v>58.311114</v>
      </c>
      <c r="T98" t="n">
        <v>58.311114</v>
      </c>
      <c r="U98" t="n">
        <v>31.032685</v>
      </c>
      <c r="V98" t="n">
        <v>31.032685</v>
      </c>
      <c r="W98" t="n">
        <v>61.724923</v>
      </c>
      <c r="X98" t="n">
        <v>5208.68705</v>
      </c>
    </row>
    <row r="99" ht="36" customHeight="1">
      <c r="A99" t="inlineStr">
        <is>
          <t>Atrobucca nibe</t>
        </is>
      </c>
      <c r="B99" t="n">
        <v>3.03</v>
      </c>
      <c r="C99" t="n">
        <v>107.151931</v>
      </c>
      <c r="D99" s="11" t="inlineStr">
        <is>
          <t>Juvenile large croakers | Croakers (&gt; 30 cm)</t>
        </is>
      </c>
      <c r="H99" t="n">
        <v>186.20618</v>
      </c>
      <c r="I99" t="n">
        <v>2011.85117</v>
      </c>
      <c r="J99" t="n">
        <v>2069.253476</v>
      </c>
      <c r="K99" t="n">
        <v>1211.061254</v>
      </c>
      <c r="L99" t="n">
        <v>3691.420719</v>
      </c>
      <c r="M99" t="n">
        <v>2544.206248</v>
      </c>
      <c r="N99" t="n">
        <v>2544.206248</v>
      </c>
      <c r="O99" t="n">
        <v>52.008808</v>
      </c>
      <c r="P99" t="n">
        <v>24.402038</v>
      </c>
      <c r="Q99" t="n">
        <v>2544.206248</v>
      </c>
      <c r="R99" t="n">
        <v>2544.206248</v>
      </c>
      <c r="S99" t="n">
        <v>52.008808</v>
      </c>
      <c r="T99" t="n">
        <v>52.008808</v>
      </c>
      <c r="U99" t="n">
        <v>24.402038</v>
      </c>
      <c r="V99" t="n">
        <v>24.402038</v>
      </c>
      <c r="W99" t="n">
        <v>54.568994</v>
      </c>
      <c r="X99" t="n">
        <v>2714.954335</v>
      </c>
    </row>
    <row r="100" ht="36" customHeight="1">
      <c r="A100" t="inlineStr">
        <is>
          <t>Trichiuridae</t>
        </is>
      </c>
      <c r="B100" t="n">
        <v>4.15</v>
      </c>
      <c r="C100" t="n">
        <v>1412.537545</v>
      </c>
      <c r="D100" s="11" t="inlineStr">
        <is>
          <t>Juvenile Hairtail (trichiurids) | Adult hairtail (trichiurids)</t>
        </is>
      </c>
      <c r="H100" t="n">
        <v>463.933016</v>
      </c>
      <c r="I100" t="n">
        <v>10530.572825</v>
      </c>
      <c r="J100" t="n">
        <v>10989.061423</v>
      </c>
      <c r="K100" t="n">
        <v>3598.801835</v>
      </c>
      <c r="L100" t="n">
        <v>26383.951313</v>
      </c>
      <c r="M100" t="n">
        <v>18168.399163</v>
      </c>
      <c r="N100" t="n">
        <v>18168.399163</v>
      </c>
      <c r="O100" t="n">
        <v>94.286998</v>
      </c>
      <c r="P100" t="n">
        <v>40.774771</v>
      </c>
      <c r="Q100" t="n">
        <v>18168.399163</v>
      </c>
      <c r="R100" t="n">
        <v>18168.399163</v>
      </c>
      <c r="S100" t="n">
        <v>94.286998</v>
      </c>
      <c r="T100" t="n">
        <v>94.286998</v>
      </c>
      <c r="U100" t="n">
        <v>40.774771</v>
      </c>
      <c r="V100" t="n">
        <v>40.774771</v>
      </c>
      <c r="W100" t="n">
        <v>100.623017</v>
      </c>
      <c r="X100" t="n">
        <v>19911.031856</v>
      </c>
    </row>
    <row r="101" ht="36" customHeight="1">
      <c r="A101" t="inlineStr">
        <is>
          <t>Thunnus tonggol</t>
        </is>
      </c>
      <c r="B101" t="n">
        <v>4.5</v>
      </c>
      <c r="C101" t="n">
        <v>3162.27766</v>
      </c>
      <c r="D101" s="11" t="inlineStr">
        <is>
          <t>Juvenile large pelagic fish | Pelagic fish (&gt; 30 cm)</t>
        </is>
      </c>
      <c r="H101" t="n">
        <v>134.939141</v>
      </c>
      <c r="I101" t="n">
        <v>4341.841291</v>
      </c>
      <c r="J101" t="n">
        <v>4398.007385</v>
      </c>
      <c r="K101" t="n">
        <v>1301.694746</v>
      </c>
      <c r="L101" t="n">
        <v>7112.982475</v>
      </c>
      <c r="M101" t="n">
        <v>4967.292392</v>
      </c>
      <c r="N101" t="n">
        <v>4967.292392</v>
      </c>
      <c r="O101" t="n">
        <v>58.311114</v>
      </c>
      <c r="P101" t="n">
        <v>31.032685</v>
      </c>
      <c r="Q101" t="n">
        <v>4967.292392</v>
      </c>
      <c r="R101" t="n">
        <v>4967.292392</v>
      </c>
      <c r="S101" t="n">
        <v>58.311114</v>
      </c>
      <c r="T101" t="n">
        <v>58.311114</v>
      </c>
      <c r="U101" t="n">
        <v>31.032685</v>
      </c>
      <c r="V101" t="n">
        <v>31.032685</v>
      </c>
      <c r="W101" t="n">
        <v>61.724923</v>
      </c>
      <c r="X101" t="n">
        <v>5208.68705</v>
      </c>
    </row>
    <row r="102" ht="21" customHeight="1">
      <c r="A102" t="inlineStr">
        <is>
          <t>Penaeus indicus</t>
        </is>
      </c>
      <c r="B102" t="n">
        <v>2.7</v>
      </c>
      <c r="C102" t="n">
        <v>50.118723</v>
      </c>
      <c r="D102" s="11" t="inlineStr">
        <is>
          <t>Shrimps</t>
        </is>
      </c>
      <c r="H102" t="n">
        <v>8.702252</v>
      </c>
      <c r="I102" t="n">
        <v>88.674335</v>
      </c>
      <c r="J102" t="n">
        <v>88.674335</v>
      </c>
      <c r="K102" t="n">
        <v>84.240618</v>
      </c>
      <c r="L102" t="n">
        <v>130.894857</v>
      </c>
      <c r="M102" t="n">
        <v>88.674335</v>
      </c>
      <c r="N102" t="n">
        <v>88.674335</v>
      </c>
      <c r="O102" t="n">
        <v>5.151693</v>
      </c>
      <c r="P102" t="n">
        <v>3.42724</v>
      </c>
      <c r="Q102" t="n">
        <v>88.674335</v>
      </c>
      <c r="R102" t="n">
        <v>88.674335</v>
      </c>
      <c r="S102" t="n">
        <v>5.151693</v>
      </c>
      <c r="T102" t="n">
        <v>5.151693</v>
      </c>
      <c r="U102" t="n">
        <v>3.42724</v>
      </c>
      <c r="V102" t="n">
        <v>3.42724</v>
      </c>
      <c r="W102" t="n">
        <v>5.382228</v>
      </c>
      <c r="X102" t="n">
        <v>92.561423</v>
      </c>
    </row>
    <row r="103" ht="21" customHeight="1">
      <c r="A103" t="inlineStr">
        <is>
          <t>Rhopilema esculentum</t>
        </is>
      </c>
      <c r="B103" t="n">
        <v>3.01</v>
      </c>
      <c r="C103" t="n">
        <v>102.329299</v>
      </c>
      <c r="D103" s="11" t="inlineStr">
        <is>
          <t>Jellyfish</t>
        </is>
      </c>
      <c r="H103" t="n">
        <v>39.760554</v>
      </c>
      <c r="I103" t="n">
        <v>328.238379</v>
      </c>
      <c r="J103" t="n">
        <v>331.758128</v>
      </c>
      <c r="K103" t="n">
        <v>315.170222</v>
      </c>
      <c r="L103" t="n">
        <v>711.02964</v>
      </c>
      <c r="M103" t="n">
        <v>500.527879</v>
      </c>
      <c r="N103" t="n">
        <v>500.527879</v>
      </c>
      <c r="O103" t="n">
        <v>24.014036</v>
      </c>
      <c r="P103" t="n">
        <v>13.841438</v>
      </c>
      <c r="Q103" t="n">
        <v>500.527879</v>
      </c>
      <c r="R103" t="n">
        <v>500.527879</v>
      </c>
      <c r="S103" t="n">
        <v>24.014036</v>
      </c>
      <c r="T103" t="n">
        <v>24.014036</v>
      </c>
      <c r="U103" t="n">
        <v>13.841438</v>
      </c>
      <c r="V103" t="n">
        <v>13.841438</v>
      </c>
      <c r="W103" t="n">
        <v>25.185127</v>
      </c>
      <c r="X103" t="n">
        <v>532.786051</v>
      </c>
    </row>
    <row r="104" ht="51" customHeight="1">
      <c r="A104" t="inlineStr">
        <is>
          <t>Clupeiformes</t>
        </is>
      </c>
      <c r="B104" t="n">
        <v>3.24</v>
      </c>
      <c r="C104" t="n">
        <v>173.780083</v>
      </c>
      <c r="D104" s="11" t="inlineStr">
        <is>
          <t>Pelagic fish (≤ 30 cm) | Juvenile large pelagic fish | Pelagic fish (&gt; 30 cm)</t>
        </is>
      </c>
      <c r="H104" t="n">
        <v>56.961714</v>
      </c>
      <c r="I104" t="n">
        <v>1276.465343</v>
      </c>
      <c r="J104" t="n">
        <v>1290.274775</v>
      </c>
      <c r="K104" t="n">
        <v>518.5439699999999</v>
      </c>
      <c r="L104" t="n">
        <v>2045.820774</v>
      </c>
      <c r="M104" t="n">
        <v>1430.319122</v>
      </c>
      <c r="N104" t="n">
        <v>1430.319122</v>
      </c>
      <c r="O104" t="n">
        <v>25.28788</v>
      </c>
      <c r="P104" t="n">
        <v>14.738601</v>
      </c>
      <c r="Q104" t="n">
        <v>1430.319122</v>
      </c>
      <c r="R104" t="n">
        <v>1430.319122</v>
      </c>
      <c r="S104" t="n">
        <v>25.28788</v>
      </c>
      <c r="T104" t="n">
        <v>25.28788</v>
      </c>
      <c r="U104" t="n">
        <v>14.738601</v>
      </c>
      <c r="V104" t="n">
        <v>14.738601</v>
      </c>
      <c r="W104" t="n">
        <v>26.656442</v>
      </c>
      <c r="X104" t="n">
        <v>1496.039737</v>
      </c>
    </row>
    <row r="105" ht="36" customHeight="1">
      <c r="A105" t="inlineStr">
        <is>
          <t>Miichthys miiuy</t>
        </is>
      </c>
      <c r="B105" t="n">
        <v>3.5</v>
      </c>
      <c r="C105" t="n">
        <v>316.227766</v>
      </c>
      <c r="D105" s="11" t="inlineStr">
        <is>
          <t>Juvenile large croakers | Croakers (&gt; 30 cm)</t>
        </is>
      </c>
      <c r="H105" t="n">
        <v>186.20618</v>
      </c>
      <c r="I105" t="n">
        <v>2011.85117</v>
      </c>
      <c r="J105" t="n">
        <v>2069.253476</v>
      </c>
      <c r="K105" t="n">
        <v>1211.061254</v>
      </c>
      <c r="L105" t="n">
        <v>3691.420719</v>
      </c>
      <c r="M105" t="n">
        <v>2544.206248</v>
      </c>
      <c r="N105" t="n">
        <v>2544.206248</v>
      </c>
      <c r="O105" t="n">
        <v>52.008808</v>
      </c>
      <c r="P105" t="n">
        <v>24.402038</v>
      </c>
      <c r="Q105" t="n">
        <v>2544.206248</v>
      </c>
      <c r="R105" t="n">
        <v>2544.206248</v>
      </c>
      <c r="S105" t="n">
        <v>52.008808</v>
      </c>
      <c r="T105" t="n">
        <v>52.008808</v>
      </c>
      <c r="U105" t="n">
        <v>24.402038</v>
      </c>
      <c r="V105" t="n">
        <v>24.402038</v>
      </c>
      <c r="W105" t="n">
        <v>54.568994</v>
      </c>
      <c r="X105" t="n">
        <v>2714.954335</v>
      </c>
    </row>
    <row r="106" ht="36" customHeight="1">
      <c r="A106" t="inlineStr">
        <is>
          <t>Platycephalidae</t>
        </is>
      </c>
      <c r="B106" t="n">
        <v>3.9</v>
      </c>
      <c r="C106" t="n">
        <v>794.3282349999999</v>
      </c>
      <c r="D106" s="11" t="inlineStr">
        <is>
          <t>Juvenile demersal fish (&gt; 30 cm) | Adult demersal fish (&gt; 30 cm)</t>
        </is>
      </c>
      <c r="H106" t="n">
        <v>175.842593</v>
      </c>
      <c r="I106" t="n">
        <v>4469.123499</v>
      </c>
      <c r="J106" t="n">
        <v>4793.322749</v>
      </c>
      <c r="K106" t="n">
        <v>1747.151432</v>
      </c>
      <c r="L106" t="n">
        <v>10677.999207</v>
      </c>
      <c r="M106" t="n">
        <v>7305.602239</v>
      </c>
      <c r="N106" t="n">
        <v>7305.602239</v>
      </c>
      <c r="O106" t="n">
        <v>41.400447</v>
      </c>
      <c r="P106" t="n">
        <v>18.192821</v>
      </c>
      <c r="Q106" t="n">
        <v>7305.602239</v>
      </c>
      <c r="R106" t="n">
        <v>7305.602239</v>
      </c>
      <c r="S106" t="n">
        <v>41.400447</v>
      </c>
      <c r="T106" t="n">
        <v>41.400447</v>
      </c>
      <c r="U106" t="n">
        <v>18.192821</v>
      </c>
      <c r="V106" t="n">
        <v>18.192821</v>
      </c>
      <c r="W106" t="n">
        <v>43.295832</v>
      </c>
      <c r="X106" t="n">
        <v>7878.655066</v>
      </c>
    </row>
    <row r="107" ht="21" customHeight="1">
      <c r="A107" t="inlineStr">
        <is>
          <t>Lutjanidae</t>
        </is>
      </c>
      <c r="B107" t="n">
        <v>4.02</v>
      </c>
      <c r="C107" t="n">
        <v>1047.128548</v>
      </c>
      <c r="D107" s="11" t="inlineStr">
        <is>
          <t>Snappers</t>
        </is>
      </c>
      <c r="H107" t="n">
        <v>267.052731</v>
      </c>
      <c r="I107" t="n">
        <v>2184.150638</v>
      </c>
      <c r="J107" t="n">
        <v>2277.683197</v>
      </c>
      <c r="K107" t="n">
        <v>2163.799037</v>
      </c>
      <c r="L107" t="n">
        <v>4133.4309</v>
      </c>
      <c r="M107" t="n">
        <v>2817.724532</v>
      </c>
      <c r="N107" t="n">
        <v>2817.724532</v>
      </c>
      <c r="O107" t="n">
        <v>100.301142</v>
      </c>
      <c r="P107" t="n">
        <v>43.53974</v>
      </c>
      <c r="Q107" t="n">
        <v>2817.724532</v>
      </c>
      <c r="R107" t="n">
        <v>2817.724532</v>
      </c>
      <c r="S107" t="n">
        <v>100.301142</v>
      </c>
      <c r="T107" t="n">
        <v>100.301142</v>
      </c>
      <c r="U107" t="n">
        <v>43.53974</v>
      </c>
      <c r="V107" t="n">
        <v>43.53974</v>
      </c>
      <c r="W107" t="n">
        <v>106.305314</v>
      </c>
      <c r="X107" t="n">
        <v>2997.143608</v>
      </c>
    </row>
    <row r="108" ht="36" customHeight="1">
      <c r="A108" t="inlineStr">
        <is>
          <t>Chelidonichthys kumu</t>
        </is>
      </c>
      <c r="B108" t="n">
        <v>3.68</v>
      </c>
      <c r="C108" t="n">
        <v>478.630092</v>
      </c>
      <c r="D108" s="11" t="inlineStr">
        <is>
          <t>Juvenile demersal fish (&gt; 30 cm) | Adult demersal fish (&gt; 30 cm)</t>
        </is>
      </c>
      <c r="H108" t="n">
        <v>175.842593</v>
      </c>
      <c r="I108" t="n">
        <v>4469.123499</v>
      </c>
      <c r="J108" t="n">
        <v>4793.322749</v>
      </c>
      <c r="K108" t="n">
        <v>1747.151432</v>
      </c>
      <c r="L108" t="n">
        <v>10677.999207</v>
      </c>
      <c r="M108" t="n">
        <v>7305.602239</v>
      </c>
      <c r="N108" t="n">
        <v>7305.602239</v>
      </c>
      <c r="O108" t="n">
        <v>41.400447</v>
      </c>
      <c r="P108" t="n">
        <v>18.192821</v>
      </c>
      <c r="Q108" t="n">
        <v>7305.602239</v>
      </c>
      <c r="R108" t="n">
        <v>7305.602239</v>
      </c>
      <c r="S108" t="n">
        <v>41.400447</v>
      </c>
      <c r="T108" t="n">
        <v>41.400447</v>
      </c>
      <c r="U108" t="n">
        <v>18.192821</v>
      </c>
      <c r="V108" t="n">
        <v>18.192821</v>
      </c>
      <c r="W108" t="n">
        <v>43.295832</v>
      </c>
      <c r="X108" t="n">
        <v>7878.655066</v>
      </c>
    </row>
    <row r="109" ht="21" customHeight="1">
      <c r="A109" t="inlineStr">
        <is>
          <t>Chirocentrus dorab</t>
        </is>
      </c>
      <c r="B109" t="n">
        <v>4.2</v>
      </c>
      <c r="C109" t="n">
        <v>1584.893192</v>
      </c>
      <c r="D109" s="11" t="inlineStr">
        <is>
          <t>Benthopelagic fish</t>
        </is>
      </c>
      <c r="H109" t="n">
        <v>45.344864</v>
      </c>
      <c r="I109" t="n">
        <v>356.10635</v>
      </c>
      <c r="J109" t="n">
        <v>384.755747</v>
      </c>
      <c r="K109" t="n">
        <v>365.51796</v>
      </c>
      <c r="L109" t="n">
        <v>602.712303</v>
      </c>
      <c r="M109" t="n">
        <v>421.28566</v>
      </c>
      <c r="N109" t="n">
        <v>421.28566</v>
      </c>
      <c r="O109" t="n">
        <v>20.384878</v>
      </c>
      <c r="P109" t="n">
        <v>12.067619</v>
      </c>
      <c r="Q109" t="n">
        <v>421.28566</v>
      </c>
      <c r="R109" t="n">
        <v>421.28566</v>
      </c>
      <c r="S109" t="n">
        <v>20.384878</v>
      </c>
      <c r="T109" t="n">
        <v>20.384878</v>
      </c>
      <c r="U109" t="n">
        <v>12.067619</v>
      </c>
      <c r="V109" t="n">
        <v>12.067619</v>
      </c>
      <c r="W109" t="n">
        <v>20.990919</v>
      </c>
      <c r="X109" t="n">
        <v>434.828134</v>
      </c>
    </row>
    <row r="110" ht="21" customHeight="1">
      <c r="A110" t="inlineStr">
        <is>
          <t>Parapenaeopsis</t>
        </is>
      </c>
      <c r="B110" t="n">
        <v>2.72</v>
      </c>
      <c r="C110" t="n">
        <v>52.480746</v>
      </c>
      <c r="D110" s="11" t="inlineStr">
        <is>
          <t>Shrimps</t>
        </is>
      </c>
      <c r="H110" t="n">
        <v>8.702252</v>
      </c>
      <c r="I110" t="n">
        <v>88.674335</v>
      </c>
      <c r="J110" t="n">
        <v>88.674335</v>
      </c>
      <c r="K110" t="n">
        <v>84.240618</v>
      </c>
      <c r="L110" t="n">
        <v>130.894857</v>
      </c>
      <c r="M110" t="n">
        <v>88.674335</v>
      </c>
      <c r="N110" t="n">
        <v>88.674335</v>
      </c>
      <c r="O110" t="n">
        <v>5.151693</v>
      </c>
      <c r="P110" t="n">
        <v>3.42724</v>
      </c>
      <c r="Q110" t="n">
        <v>88.674335</v>
      </c>
      <c r="R110" t="n">
        <v>88.674335</v>
      </c>
      <c r="S110" t="n">
        <v>5.151693</v>
      </c>
      <c r="T110" t="n">
        <v>5.151693</v>
      </c>
      <c r="U110" t="n">
        <v>3.42724</v>
      </c>
      <c r="V110" t="n">
        <v>3.42724</v>
      </c>
      <c r="W110" t="n">
        <v>5.382228</v>
      </c>
      <c r="X110" t="n">
        <v>92.561423</v>
      </c>
    </row>
    <row r="111" ht="21" customHeight="1">
      <c r="A111" t="inlineStr">
        <is>
          <t>Lutjanus malabaricus</t>
        </is>
      </c>
      <c r="B111" t="n">
        <v>4.48</v>
      </c>
      <c r="C111" t="n">
        <v>3019.95172</v>
      </c>
      <c r="D111" s="11" t="inlineStr">
        <is>
          <t>Snappers</t>
        </is>
      </c>
      <c r="H111" t="n">
        <v>267.052731</v>
      </c>
      <c r="I111" t="n">
        <v>2184.150638</v>
      </c>
      <c r="J111" t="n">
        <v>2277.683197</v>
      </c>
      <c r="K111" t="n">
        <v>2163.799037</v>
      </c>
      <c r="L111" t="n">
        <v>4133.4309</v>
      </c>
      <c r="M111" t="n">
        <v>2817.724532</v>
      </c>
      <c r="N111" t="n">
        <v>2817.724532</v>
      </c>
      <c r="O111" t="n">
        <v>100.301142</v>
      </c>
      <c r="P111" t="n">
        <v>43.53974</v>
      </c>
      <c r="Q111" t="n">
        <v>2817.724532</v>
      </c>
      <c r="R111" t="n">
        <v>2817.724532</v>
      </c>
      <c r="S111" t="n">
        <v>100.301142</v>
      </c>
      <c r="T111" t="n">
        <v>100.301142</v>
      </c>
      <c r="U111" t="n">
        <v>43.53974</v>
      </c>
      <c r="V111" t="n">
        <v>43.53974</v>
      </c>
      <c r="W111" t="n">
        <v>106.305314</v>
      </c>
      <c r="X111" t="n">
        <v>2997.143608</v>
      </c>
    </row>
    <row r="112" ht="21" customHeight="1">
      <c r="A112" t="inlineStr">
        <is>
          <t>Charybdis</t>
        </is>
      </c>
      <c r="B112" t="n">
        <v>2.7</v>
      </c>
      <c r="C112" t="n">
        <v>50.118723</v>
      </c>
      <c r="D112" s="11" t="inlineStr">
        <is>
          <t>Crabs</t>
        </is>
      </c>
      <c r="H112" t="n">
        <v>15.007847</v>
      </c>
      <c r="I112" t="n">
        <v>98.72009199999999</v>
      </c>
      <c r="J112" t="n">
        <v>98.72009199999999</v>
      </c>
      <c r="K112" t="n">
        <v>93.784087</v>
      </c>
      <c r="L112" t="n">
        <v>173.938876</v>
      </c>
      <c r="M112" t="n">
        <v>115.203607</v>
      </c>
      <c r="N112" t="n">
        <v>115.203607</v>
      </c>
      <c r="O112" t="n">
        <v>4.263184</v>
      </c>
      <c r="P112" t="n">
        <v>2.411197</v>
      </c>
      <c r="Q112" t="n">
        <v>115.203607</v>
      </c>
      <c r="R112" t="n">
        <v>115.203607</v>
      </c>
      <c r="S112" t="n">
        <v>4.263184</v>
      </c>
      <c r="T112" t="n">
        <v>4.263184</v>
      </c>
      <c r="U112" t="n">
        <v>2.411197</v>
      </c>
      <c r="V112" t="n">
        <v>2.411197</v>
      </c>
      <c r="W112" t="n">
        <v>4.428691</v>
      </c>
      <c r="X112" t="n">
        <v>122.757859</v>
      </c>
    </row>
    <row r="113" ht="21" customHeight="1">
      <c r="A113" t="inlineStr">
        <is>
          <t>Penaeus japonicus</t>
        </is>
      </c>
      <c r="B113" t="n">
        <v>2.7</v>
      </c>
      <c r="C113" t="n">
        <v>50.118723</v>
      </c>
      <c r="D113" s="11" t="inlineStr">
        <is>
          <t>Shrimps</t>
        </is>
      </c>
      <c r="H113" t="n">
        <v>8.702252</v>
      </c>
      <c r="I113" t="n">
        <v>88.674335</v>
      </c>
      <c r="J113" t="n">
        <v>88.674335</v>
      </c>
      <c r="K113" t="n">
        <v>84.240618</v>
      </c>
      <c r="L113" t="n">
        <v>130.894857</v>
      </c>
      <c r="M113" t="n">
        <v>88.674335</v>
      </c>
      <c r="N113" t="n">
        <v>88.674335</v>
      </c>
      <c r="O113" t="n">
        <v>5.151693</v>
      </c>
      <c r="P113" t="n">
        <v>3.42724</v>
      </c>
      <c r="Q113" t="n">
        <v>88.674335</v>
      </c>
      <c r="R113" t="n">
        <v>88.674335</v>
      </c>
      <c r="S113" t="n">
        <v>5.151693</v>
      </c>
      <c r="T113" t="n">
        <v>5.151693</v>
      </c>
      <c r="U113" t="n">
        <v>3.42724</v>
      </c>
      <c r="V113" t="n">
        <v>3.42724</v>
      </c>
      <c r="W113" t="n">
        <v>5.382228</v>
      </c>
      <c r="X113" t="n">
        <v>92.561423</v>
      </c>
    </row>
    <row r="114" ht="36" customHeight="1">
      <c r="A114" t="inlineStr">
        <is>
          <t>Caesionidae</t>
        </is>
      </c>
      <c r="B114" t="n">
        <v>3.39</v>
      </c>
      <c r="C114" t="n">
        <v>245.470892</v>
      </c>
      <c r="D114" s="11" t="inlineStr">
        <is>
          <t>Juvenile demersal fish (&gt; 30 cm) | Adult demersal fish (&gt; 30 cm)</t>
        </is>
      </c>
      <c r="H114" t="n">
        <v>175.842593</v>
      </c>
      <c r="I114" t="n">
        <v>4469.123499</v>
      </c>
      <c r="J114" t="n">
        <v>4793.322749</v>
      </c>
      <c r="K114" t="n">
        <v>1747.151432</v>
      </c>
      <c r="L114" t="n">
        <v>10677.999207</v>
      </c>
      <c r="M114" t="n">
        <v>7305.602239</v>
      </c>
      <c r="N114" t="n">
        <v>7305.602239</v>
      </c>
      <c r="O114" t="n">
        <v>41.400447</v>
      </c>
      <c r="P114" t="n">
        <v>18.192821</v>
      </c>
      <c r="Q114" t="n">
        <v>7305.602239</v>
      </c>
      <c r="R114" t="n">
        <v>7305.602239</v>
      </c>
      <c r="S114" t="n">
        <v>41.400447</v>
      </c>
      <c r="T114" t="n">
        <v>41.400447</v>
      </c>
      <c r="U114" t="n">
        <v>18.192821</v>
      </c>
      <c r="V114" t="n">
        <v>18.192821</v>
      </c>
      <c r="W114" t="n">
        <v>43.295832</v>
      </c>
      <c r="X114" t="n">
        <v>7878.655066</v>
      </c>
    </row>
    <row r="115" ht="36" customHeight="1">
      <c r="A115" t="inlineStr">
        <is>
          <t>Trichiurus</t>
        </is>
      </c>
      <c r="B115" t="n">
        <v>4.42</v>
      </c>
      <c r="C115" t="n">
        <v>2630.267992</v>
      </c>
      <c r="D115" s="11" t="inlineStr">
        <is>
          <t>Juvenile Hairtail (trichiurids) | Adult hairtail (trichiurids)</t>
        </is>
      </c>
      <c r="H115" t="n">
        <v>463.933016</v>
      </c>
      <c r="I115" t="n">
        <v>10530.572825</v>
      </c>
      <c r="J115" t="n">
        <v>10989.061423</v>
      </c>
      <c r="K115" t="n">
        <v>3598.801835</v>
      </c>
      <c r="L115" t="n">
        <v>26383.951313</v>
      </c>
      <c r="M115" t="n">
        <v>18168.399163</v>
      </c>
      <c r="N115" t="n">
        <v>18168.399163</v>
      </c>
      <c r="O115" t="n">
        <v>94.286998</v>
      </c>
      <c r="P115" t="n">
        <v>40.774771</v>
      </c>
      <c r="Q115" t="n">
        <v>18168.399163</v>
      </c>
      <c r="R115" t="n">
        <v>18168.399163</v>
      </c>
      <c r="S115" t="n">
        <v>94.286998</v>
      </c>
      <c r="T115" t="n">
        <v>94.286998</v>
      </c>
      <c r="U115" t="n">
        <v>40.774771</v>
      </c>
      <c r="V115" t="n">
        <v>40.774771</v>
      </c>
      <c r="W115" t="n">
        <v>100.623017</v>
      </c>
      <c r="X115" t="n">
        <v>19911.031856</v>
      </c>
    </row>
    <row r="116" ht="36" customHeight="1">
      <c r="A116" t="inlineStr">
        <is>
          <t>Sphyraena</t>
        </is>
      </c>
      <c r="B116" t="n">
        <v>4.4</v>
      </c>
      <c r="C116" t="n">
        <v>2511.886432</v>
      </c>
      <c r="D116" s="11" t="inlineStr">
        <is>
          <t>Juvenile large pelagic fish | Pelagic fish (&gt; 30 cm)</t>
        </is>
      </c>
      <c r="H116" t="n">
        <v>134.939141</v>
      </c>
      <c r="I116" t="n">
        <v>4341.841291</v>
      </c>
      <c r="J116" t="n">
        <v>4398.007385</v>
      </c>
      <c r="K116" t="n">
        <v>1301.694746</v>
      </c>
      <c r="L116" t="n">
        <v>7112.982475</v>
      </c>
      <c r="M116" t="n">
        <v>4967.292392</v>
      </c>
      <c r="N116" t="n">
        <v>4967.292392</v>
      </c>
      <c r="O116" t="n">
        <v>58.311114</v>
      </c>
      <c r="P116" t="n">
        <v>31.032685</v>
      </c>
      <c r="Q116" t="n">
        <v>4967.292392</v>
      </c>
      <c r="R116" t="n">
        <v>4967.292392</v>
      </c>
      <c r="S116" t="n">
        <v>58.311114</v>
      </c>
      <c r="T116" t="n">
        <v>58.311114</v>
      </c>
      <c r="U116" t="n">
        <v>31.032685</v>
      </c>
      <c r="V116" t="n">
        <v>31.032685</v>
      </c>
      <c r="W116" t="n">
        <v>61.724923</v>
      </c>
      <c r="X116" t="n">
        <v>5208.68705</v>
      </c>
    </row>
    <row r="117" ht="21" customHeight="1">
      <c r="A117" t="inlineStr">
        <is>
          <t>Metapenaeus</t>
        </is>
      </c>
      <c r="B117" t="n">
        <v>2.7</v>
      </c>
      <c r="C117" t="n">
        <v>50.118723</v>
      </c>
      <c r="D117" s="11" t="inlineStr">
        <is>
          <t>Shrimps</t>
        </is>
      </c>
      <c r="H117" t="n">
        <v>8.702252</v>
      </c>
      <c r="I117" t="n">
        <v>88.674335</v>
      </c>
      <c r="J117" t="n">
        <v>88.674335</v>
      </c>
      <c r="K117" t="n">
        <v>84.240618</v>
      </c>
      <c r="L117" t="n">
        <v>130.894857</v>
      </c>
      <c r="M117" t="n">
        <v>88.674335</v>
      </c>
      <c r="N117" t="n">
        <v>88.674335</v>
      </c>
      <c r="O117" t="n">
        <v>5.151693</v>
      </c>
      <c r="P117" t="n">
        <v>3.42724</v>
      </c>
      <c r="Q117" t="n">
        <v>88.674335</v>
      </c>
      <c r="R117" t="n">
        <v>88.674335</v>
      </c>
      <c r="S117" t="n">
        <v>5.151693</v>
      </c>
      <c r="T117" t="n">
        <v>5.151693</v>
      </c>
      <c r="U117" t="n">
        <v>3.42724</v>
      </c>
      <c r="V117" t="n">
        <v>3.42724</v>
      </c>
      <c r="W117" t="n">
        <v>5.382228</v>
      </c>
      <c r="X117" t="n">
        <v>92.561423</v>
      </c>
    </row>
    <row r="118" ht="21" customHeight="1">
      <c r="A118" t="inlineStr">
        <is>
          <t>Pennahia</t>
        </is>
      </c>
      <c r="B118" t="n">
        <v>3.73</v>
      </c>
      <c r="C118" t="n">
        <v>537.031796</v>
      </c>
      <c r="D118" s="11" t="inlineStr">
        <is>
          <t>Croakers (≤ 30 cm)</t>
        </is>
      </c>
      <c r="H118" t="n">
        <v>119.683688</v>
      </c>
      <c r="I118" t="n">
        <v>960.510599</v>
      </c>
      <c r="J118" t="n">
        <v>992.8601180000001</v>
      </c>
      <c r="K118" t="n">
        <v>778.402333</v>
      </c>
      <c r="L118" t="n">
        <v>1692.571887</v>
      </c>
      <c r="M118" t="n">
        <v>1167.255797</v>
      </c>
      <c r="N118" t="n">
        <v>1167.255797</v>
      </c>
      <c r="O118" t="n">
        <v>37.211599</v>
      </c>
      <c r="P118" t="n">
        <v>18.688701</v>
      </c>
      <c r="Q118" t="n">
        <v>1167.255797</v>
      </c>
      <c r="R118" t="n">
        <v>1167.255797</v>
      </c>
      <c r="S118" t="n">
        <v>37.211599</v>
      </c>
      <c r="T118" t="n">
        <v>37.211599</v>
      </c>
      <c r="U118" t="n">
        <v>18.688701</v>
      </c>
      <c r="V118" t="n">
        <v>18.688701</v>
      </c>
      <c r="W118" t="n">
        <v>39.187717</v>
      </c>
      <c r="X118" t="n">
        <v>1213.262136</v>
      </c>
    </row>
    <row r="119" ht="36" customHeight="1">
      <c r="A119" t="inlineStr">
        <is>
          <t>Selar crumenophthalmus</t>
        </is>
      </c>
      <c r="B119" t="n">
        <v>3.81</v>
      </c>
      <c r="C119" t="n">
        <v>645.654229</v>
      </c>
      <c r="D119" s="11" t="inlineStr">
        <is>
          <t>Juvenile large pelagic fish | Pelagic fish (&gt; 30 cm)</t>
        </is>
      </c>
      <c r="H119" t="n">
        <v>134.939141</v>
      </c>
      <c r="I119" t="n">
        <v>4341.841291</v>
      </c>
      <c r="J119" t="n">
        <v>4398.007385</v>
      </c>
      <c r="K119" t="n">
        <v>1301.694746</v>
      </c>
      <c r="L119" t="n">
        <v>7112.982475</v>
      </c>
      <c r="M119" t="n">
        <v>4967.292392</v>
      </c>
      <c r="N119" t="n">
        <v>4967.292392</v>
      </c>
      <c r="O119" t="n">
        <v>58.311114</v>
      </c>
      <c r="P119" t="n">
        <v>31.032685</v>
      </c>
      <c r="Q119" t="n">
        <v>4967.292392</v>
      </c>
      <c r="R119" t="n">
        <v>4967.292392</v>
      </c>
      <c r="S119" t="n">
        <v>58.311114</v>
      </c>
      <c r="T119" t="n">
        <v>58.311114</v>
      </c>
      <c r="U119" t="n">
        <v>31.032685</v>
      </c>
      <c r="V119" t="n">
        <v>31.032685</v>
      </c>
      <c r="W119" t="n">
        <v>61.724923</v>
      </c>
      <c r="X119" t="n">
        <v>5208.68705</v>
      </c>
    </row>
    <row r="120" ht="21" customHeight="1">
      <c r="A120" t="inlineStr">
        <is>
          <t>Penaeus</t>
        </is>
      </c>
      <c r="B120" t="n">
        <v>2.7</v>
      </c>
      <c r="C120" t="n">
        <v>50.118723</v>
      </c>
      <c r="D120" s="11" t="inlineStr">
        <is>
          <t>Shrimps</t>
        </is>
      </c>
      <c r="H120" t="n">
        <v>8.702252</v>
      </c>
      <c r="I120" t="n">
        <v>88.674335</v>
      </c>
      <c r="J120" t="n">
        <v>88.674335</v>
      </c>
      <c r="K120" t="n">
        <v>84.240618</v>
      </c>
      <c r="L120" t="n">
        <v>130.894857</v>
      </c>
      <c r="M120" t="n">
        <v>88.674335</v>
      </c>
      <c r="N120" t="n">
        <v>88.674335</v>
      </c>
      <c r="O120" t="n">
        <v>5.151693</v>
      </c>
      <c r="P120" t="n">
        <v>3.42724</v>
      </c>
      <c r="Q120" t="n">
        <v>88.674335</v>
      </c>
      <c r="R120" t="n">
        <v>88.674335</v>
      </c>
      <c r="S120" t="n">
        <v>5.151693</v>
      </c>
      <c r="T120" t="n">
        <v>5.151693</v>
      </c>
      <c r="U120" t="n">
        <v>3.42724</v>
      </c>
      <c r="V120" t="n">
        <v>3.42724</v>
      </c>
      <c r="W120" t="n">
        <v>5.382228</v>
      </c>
      <c r="X120" t="n">
        <v>92.561423</v>
      </c>
    </row>
    <row r="121" ht="21" customHeight="1">
      <c r="A121" t="inlineStr">
        <is>
          <t>Himantura</t>
        </is>
      </c>
      <c r="B121" t="n">
        <v>3.85</v>
      </c>
      <c r="C121" t="n">
        <v>707.945784</v>
      </c>
      <c r="D121" s="11" t="inlineStr">
        <is>
          <t>Demersal sharks and rays</t>
        </is>
      </c>
      <c r="H121" t="n">
        <v>265.296573</v>
      </c>
      <c r="I121" t="n">
        <v>7268.387336</v>
      </c>
      <c r="J121" t="n">
        <v>7315.723404</v>
      </c>
      <c r="K121" t="n">
        <v>2662.923319</v>
      </c>
      <c r="L121" t="n">
        <v>18846.946222</v>
      </c>
      <c r="M121" t="n">
        <v>12899.244148</v>
      </c>
      <c r="N121" t="n">
        <v>12899.244148</v>
      </c>
      <c r="O121" t="n">
        <v>58.377455</v>
      </c>
      <c r="P121" t="n">
        <v>24.766119</v>
      </c>
      <c r="Q121" t="n">
        <v>12899.244148</v>
      </c>
      <c r="R121" t="n">
        <v>12899.244148</v>
      </c>
      <c r="S121" t="n">
        <v>58.377455</v>
      </c>
      <c r="T121" t="n">
        <v>58.377455</v>
      </c>
      <c r="U121" t="n">
        <v>24.766119</v>
      </c>
      <c r="V121" t="n">
        <v>24.766119</v>
      </c>
      <c r="W121" t="n">
        <v>61.462709</v>
      </c>
      <c r="X121" t="n">
        <v>13974.158015</v>
      </c>
    </row>
    <row r="122" ht="21" customHeight="1">
      <c r="A122" t="inlineStr">
        <is>
          <t>Menidae</t>
        </is>
      </c>
      <c r="B122" t="n">
        <v>3.45</v>
      </c>
      <c r="C122" t="n">
        <v>281.838293</v>
      </c>
      <c r="D122" s="11" t="inlineStr">
        <is>
          <t>Benthopelagic fish</t>
        </is>
      </c>
      <c r="H122" t="n">
        <v>45.344864</v>
      </c>
      <c r="I122" t="n">
        <v>356.10635</v>
      </c>
      <c r="J122" t="n">
        <v>384.755747</v>
      </c>
      <c r="K122" t="n">
        <v>365.51796</v>
      </c>
      <c r="L122" t="n">
        <v>602.712303</v>
      </c>
      <c r="M122" t="n">
        <v>421.28566</v>
      </c>
      <c r="N122" t="n">
        <v>421.28566</v>
      </c>
      <c r="O122" t="n">
        <v>20.384878</v>
      </c>
      <c r="P122" t="n">
        <v>12.067619</v>
      </c>
      <c r="Q122" t="n">
        <v>421.28566</v>
      </c>
      <c r="R122" t="n">
        <v>421.28566</v>
      </c>
      <c r="S122" t="n">
        <v>20.384878</v>
      </c>
      <c r="T122" t="n">
        <v>20.384878</v>
      </c>
      <c r="U122" t="n">
        <v>12.067619</v>
      </c>
      <c r="V122" t="n">
        <v>12.067619</v>
      </c>
      <c r="W122" t="n">
        <v>20.990919</v>
      </c>
      <c r="X122" t="n">
        <v>434.828134</v>
      </c>
    </row>
    <row r="123" ht="21" customHeight="1">
      <c r="A123" t="inlineStr">
        <is>
          <t>Scolopsis</t>
        </is>
      </c>
      <c r="B123" t="n">
        <v>3.3</v>
      </c>
      <c r="C123" t="n">
        <v>199.526231</v>
      </c>
      <c r="D123" s="11" t="inlineStr">
        <is>
          <t>Threadfin bream (nemipterids)</t>
        </is>
      </c>
      <c r="H123" t="n">
        <v>75.29344</v>
      </c>
      <c r="I123" t="n">
        <v>2351.601599</v>
      </c>
      <c r="J123" t="n">
        <v>2551.708963</v>
      </c>
      <c r="K123" t="n">
        <v>1196.751504</v>
      </c>
      <c r="L123" t="n">
        <v>4710.704014</v>
      </c>
      <c r="M123" t="n">
        <v>3197.137719</v>
      </c>
      <c r="N123" t="n">
        <v>3197.137719</v>
      </c>
      <c r="O123" t="n">
        <v>47.386821</v>
      </c>
      <c r="P123" t="n">
        <v>22.758425</v>
      </c>
      <c r="Q123" t="n">
        <v>3197.137719</v>
      </c>
      <c r="R123" t="n">
        <v>3197.137719</v>
      </c>
      <c r="S123" t="n">
        <v>47.386821</v>
      </c>
      <c r="T123" t="n">
        <v>47.386821</v>
      </c>
      <c r="U123" t="n">
        <v>22.758425</v>
      </c>
      <c r="V123" t="n">
        <v>22.758425</v>
      </c>
      <c r="W123" t="n">
        <v>49.846385</v>
      </c>
      <c r="X123" t="n">
        <v>3474.67582</v>
      </c>
    </row>
    <row r="124" ht="36" customHeight="1">
      <c r="A124" t="inlineStr">
        <is>
          <t>Siganus</t>
        </is>
      </c>
      <c r="B124" t="n">
        <v>2.11</v>
      </c>
      <c r="C124" t="n">
        <v>12.882496</v>
      </c>
      <c r="D124" s="11" t="inlineStr">
        <is>
          <t>Juvenile demersal fish (&gt; 30 cm) | Adult demersal fish (&gt; 30 cm)</t>
        </is>
      </c>
      <c r="H124" t="n">
        <v>175.842593</v>
      </c>
      <c r="I124" t="n">
        <v>4469.123499</v>
      </c>
      <c r="J124" t="n">
        <v>4793.322749</v>
      </c>
      <c r="K124" t="n">
        <v>1747.151432</v>
      </c>
      <c r="L124" t="n">
        <v>10677.999207</v>
      </c>
      <c r="M124" t="n">
        <v>7305.602239</v>
      </c>
      <c r="N124" t="n">
        <v>7305.602239</v>
      </c>
      <c r="O124" t="n">
        <v>41.400447</v>
      </c>
      <c r="P124" t="n">
        <v>18.192821</v>
      </c>
      <c r="Q124" t="n">
        <v>7305.602239</v>
      </c>
      <c r="R124" t="n">
        <v>7305.602239</v>
      </c>
      <c r="S124" t="n">
        <v>41.400447</v>
      </c>
      <c r="T124" t="n">
        <v>41.400447</v>
      </c>
      <c r="U124" t="n">
        <v>18.192821</v>
      </c>
      <c r="V124" t="n">
        <v>18.192821</v>
      </c>
      <c r="W124" t="n">
        <v>43.295832</v>
      </c>
      <c r="X124" t="n">
        <v>7878.655066</v>
      </c>
    </row>
    <row r="125" ht="36" customHeight="1">
      <c r="A125" t="inlineStr">
        <is>
          <t>Pagrus auratus</t>
        </is>
      </c>
      <c r="B125" t="n">
        <v>3.59</v>
      </c>
      <c r="C125" t="n">
        <v>389.045145</v>
      </c>
      <c r="D125" s="11" t="inlineStr">
        <is>
          <t>Juvenile demersal fish (&gt; 30 cm) | Adult demersal fish (&gt; 30 cm)</t>
        </is>
      </c>
      <c r="H125" t="n">
        <v>175.842593</v>
      </c>
      <c r="I125" t="n">
        <v>4469.123499</v>
      </c>
      <c r="J125" t="n">
        <v>4793.322749</v>
      </c>
      <c r="K125" t="n">
        <v>1747.151432</v>
      </c>
      <c r="L125" t="n">
        <v>10677.999207</v>
      </c>
      <c r="M125" t="n">
        <v>7305.602239</v>
      </c>
      <c r="N125" t="n">
        <v>7305.602239</v>
      </c>
      <c r="O125" t="n">
        <v>41.400447</v>
      </c>
      <c r="P125" t="n">
        <v>18.192821</v>
      </c>
      <c r="Q125" t="n">
        <v>7305.602239</v>
      </c>
      <c r="R125" t="n">
        <v>7305.602239</v>
      </c>
      <c r="S125" t="n">
        <v>41.400447</v>
      </c>
      <c r="T125" t="n">
        <v>41.400447</v>
      </c>
      <c r="U125" t="n">
        <v>18.192821</v>
      </c>
      <c r="V125" t="n">
        <v>18.192821</v>
      </c>
      <c r="W125" t="n">
        <v>43.295832</v>
      </c>
      <c r="X125" t="n">
        <v>7878.655066</v>
      </c>
    </row>
    <row r="126" ht="21" customHeight="1">
      <c r="A126" t="inlineStr">
        <is>
          <t>Nemipterus hexodon</t>
        </is>
      </c>
      <c r="B126" t="n">
        <v>3.93</v>
      </c>
      <c r="C126" t="n">
        <v>851.1380380000001</v>
      </c>
      <c r="D126" s="11" t="inlineStr">
        <is>
          <t>Threadfin bream (nemipterids)</t>
        </is>
      </c>
      <c r="H126" t="n">
        <v>75.29344</v>
      </c>
      <c r="I126" t="n">
        <v>2351.601599</v>
      </c>
      <c r="J126" t="n">
        <v>2551.708963</v>
      </c>
      <c r="K126" t="n">
        <v>1196.751504</v>
      </c>
      <c r="L126" t="n">
        <v>4710.704014</v>
      </c>
      <c r="M126" t="n">
        <v>3197.137719</v>
      </c>
      <c r="N126" t="n">
        <v>3197.137719</v>
      </c>
      <c r="O126" t="n">
        <v>47.386821</v>
      </c>
      <c r="P126" t="n">
        <v>22.758425</v>
      </c>
      <c r="Q126" t="n">
        <v>3197.137719</v>
      </c>
      <c r="R126" t="n">
        <v>3197.137719</v>
      </c>
      <c r="S126" t="n">
        <v>47.386821</v>
      </c>
      <c r="T126" t="n">
        <v>47.386821</v>
      </c>
      <c r="U126" t="n">
        <v>22.758425</v>
      </c>
      <c r="V126" t="n">
        <v>22.758425</v>
      </c>
      <c r="W126" t="n">
        <v>49.846385</v>
      </c>
      <c r="X126" t="n">
        <v>3474.67582</v>
      </c>
    </row>
    <row r="127" ht="21" customHeight="1">
      <c r="A127" t="inlineStr">
        <is>
          <t>Penaeus penicillatus</t>
        </is>
      </c>
      <c r="B127" t="n">
        <v>2.7</v>
      </c>
      <c r="C127" t="n">
        <v>50.118723</v>
      </c>
      <c r="D127" s="11" t="inlineStr">
        <is>
          <t>Shrimps</t>
        </is>
      </c>
      <c r="H127" t="n">
        <v>8.702252</v>
      </c>
      <c r="I127" t="n">
        <v>88.674335</v>
      </c>
      <c r="J127" t="n">
        <v>88.674335</v>
      </c>
      <c r="K127" t="n">
        <v>84.240618</v>
      </c>
      <c r="L127" t="n">
        <v>130.894857</v>
      </c>
      <c r="M127" t="n">
        <v>88.674335</v>
      </c>
      <c r="N127" t="n">
        <v>88.674335</v>
      </c>
      <c r="O127" t="n">
        <v>5.151693</v>
      </c>
      <c r="P127" t="n">
        <v>3.42724</v>
      </c>
      <c r="Q127" t="n">
        <v>88.674335</v>
      </c>
      <c r="R127" t="n">
        <v>88.674335</v>
      </c>
      <c r="S127" t="n">
        <v>5.151693</v>
      </c>
      <c r="T127" t="n">
        <v>5.151693</v>
      </c>
      <c r="U127" t="n">
        <v>3.42724</v>
      </c>
      <c r="V127" t="n">
        <v>3.42724</v>
      </c>
      <c r="W127" t="n">
        <v>5.382228</v>
      </c>
      <c r="X127" t="n">
        <v>92.561423</v>
      </c>
    </row>
    <row r="128" ht="36" customHeight="1">
      <c r="A128" t="inlineStr">
        <is>
          <t>Thunnus obesus</t>
        </is>
      </c>
      <c r="B128" t="n">
        <v>4.49</v>
      </c>
      <c r="C128" t="n">
        <v>3090.295433</v>
      </c>
      <c r="D128" s="11" t="inlineStr">
        <is>
          <t>Juvenile large pelagic fish | Pelagic fish (&gt; 30 cm)</t>
        </is>
      </c>
      <c r="H128" t="n">
        <v>134.939141</v>
      </c>
      <c r="I128" t="n">
        <v>4341.841291</v>
      </c>
      <c r="J128" t="n">
        <v>4398.007385</v>
      </c>
      <c r="K128" t="n">
        <v>1301.694746</v>
      </c>
      <c r="L128" t="n">
        <v>7112.982475</v>
      </c>
      <c r="M128" t="n">
        <v>4967.292392</v>
      </c>
      <c r="N128" t="n">
        <v>4967.292392</v>
      </c>
      <c r="O128" t="n">
        <v>58.311114</v>
      </c>
      <c r="P128" t="n">
        <v>31.032685</v>
      </c>
      <c r="Q128" t="n">
        <v>4967.292392</v>
      </c>
      <c r="R128" t="n">
        <v>4967.292392</v>
      </c>
      <c r="S128" t="n">
        <v>58.311114</v>
      </c>
      <c r="T128" t="n">
        <v>58.311114</v>
      </c>
      <c r="U128" t="n">
        <v>31.032685</v>
      </c>
      <c r="V128" t="n">
        <v>31.032685</v>
      </c>
      <c r="W128" t="n">
        <v>61.724923</v>
      </c>
      <c r="X128" t="n">
        <v>5208.68705</v>
      </c>
    </row>
    <row r="129" ht="36" customHeight="1">
      <c r="A129" t="inlineStr">
        <is>
          <t>Muraenesocidae</t>
        </is>
      </c>
      <c r="B129" t="n">
        <v>3.9</v>
      </c>
      <c r="C129" t="n">
        <v>794.3282349999999</v>
      </c>
      <c r="D129" s="11" t="inlineStr">
        <is>
          <t>Juvenile demersal fish (&gt; 30 cm) | Adult demersal fish (&gt; 30 cm)</t>
        </is>
      </c>
      <c r="H129" t="n">
        <v>175.842593</v>
      </c>
      <c r="I129" t="n">
        <v>4469.123499</v>
      </c>
      <c r="J129" t="n">
        <v>4793.322749</v>
      </c>
      <c r="K129" t="n">
        <v>1747.151432</v>
      </c>
      <c r="L129" t="n">
        <v>10677.999207</v>
      </c>
      <c r="M129" t="n">
        <v>7305.602239</v>
      </c>
      <c r="N129" t="n">
        <v>7305.602239</v>
      </c>
      <c r="O129" t="n">
        <v>41.400447</v>
      </c>
      <c r="P129" t="n">
        <v>18.192821</v>
      </c>
      <c r="Q129" t="n">
        <v>7305.602239</v>
      </c>
      <c r="R129" t="n">
        <v>7305.602239</v>
      </c>
      <c r="S129" t="n">
        <v>41.400447</v>
      </c>
      <c r="T129" t="n">
        <v>41.400447</v>
      </c>
      <c r="U129" t="n">
        <v>18.192821</v>
      </c>
      <c r="V129" t="n">
        <v>18.192821</v>
      </c>
      <c r="W129" t="n">
        <v>43.295832</v>
      </c>
      <c r="X129" t="n">
        <v>7878.655066</v>
      </c>
    </row>
    <row r="130" ht="21" customHeight="1">
      <c r="A130" t="inlineStr">
        <is>
          <t>Dussumieria acuta</t>
        </is>
      </c>
      <c r="B130" t="n">
        <v>3.4</v>
      </c>
      <c r="C130" t="n">
        <v>251.188643</v>
      </c>
      <c r="D130" s="11" t="inlineStr">
        <is>
          <t>Pelagic fish (≤ 30 cm)</t>
        </is>
      </c>
      <c r="H130" t="n">
        <v>31.538936</v>
      </c>
      <c r="I130" t="n">
        <v>277.068801</v>
      </c>
      <c r="J130" t="n">
        <v>277.068801</v>
      </c>
      <c r="K130" t="n">
        <v>263.215361</v>
      </c>
      <c r="L130" t="n">
        <v>393.787233</v>
      </c>
      <c r="M130" t="n">
        <v>277.168933</v>
      </c>
      <c r="N130" t="n">
        <v>277.168933</v>
      </c>
      <c r="O130" t="n">
        <v>14.521402</v>
      </c>
      <c r="P130" t="n">
        <v>9.426283</v>
      </c>
      <c r="Q130" t="n">
        <v>277.168933</v>
      </c>
      <c r="R130" t="n">
        <v>277.168933</v>
      </c>
      <c r="S130" t="n">
        <v>14.521402</v>
      </c>
      <c r="T130" t="n">
        <v>14.521402</v>
      </c>
      <c r="U130" t="n">
        <v>9.426283</v>
      </c>
      <c r="V130" t="n">
        <v>9.426283</v>
      </c>
      <c r="W130" t="n">
        <v>15.223157</v>
      </c>
      <c r="X130" t="n">
        <v>285.614997</v>
      </c>
    </row>
    <row r="131" ht="21" customHeight="1">
      <c r="A131" t="inlineStr">
        <is>
          <t>Pennahia argentata</t>
        </is>
      </c>
      <c r="B131" t="n">
        <v>3.47</v>
      </c>
      <c r="C131" t="n">
        <v>295.120923</v>
      </c>
      <c r="D131" s="11" t="inlineStr">
        <is>
          <t>Croakers (≤ 30 cm)</t>
        </is>
      </c>
      <c r="H131" t="n">
        <v>119.683688</v>
      </c>
      <c r="I131" t="n">
        <v>960.510599</v>
      </c>
      <c r="J131" t="n">
        <v>992.8601180000001</v>
      </c>
      <c r="K131" t="n">
        <v>778.402333</v>
      </c>
      <c r="L131" t="n">
        <v>1692.571887</v>
      </c>
      <c r="M131" t="n">
        <v>1167.255797</v>
      </c>
      <c r="N131" t="n">
        <v>1167.255797</v>
      </c>
      <c r="O131" t="n">
        <v>37.211599</v>
      </c>
      <c r="P131" t="n">
        <v>18.688701</v>
      </c>
      <c r="Q131" t="n">
        <v>1167.255797</v>
      </c>
      <c r="R131" t="n">
        <v>1167.255797</v>
      </c>
      <c r="S131" t="n">
        <v>37.211599</v>
      </c>
      <c r="T131" t="n">
        <v>37.211599</v>
      </c>
      <c r="U131" t="n">
        <v>18.688701</v>
      </c>
      <c r="V131" t="n">
        <v>18.688701</v>
      </c>
      <c r="W131" t="n">
        <v>39.187717</v>
      </c>
      <c r="X131" t="n">
        <v>1213.262136</v>
      </c>
    </row>
    <row r="132" ht="21" customHeight="1">
      <c r="A132" t="inlineStr">
        <is>
          <t>Stephanolepis cirrhifer</t>
        </is>
      </c>
      <c r="B132" t="n">
        <v>2.84</v>
      </c>
      <c r="C132" t="n">
        <v>69.183097</v>
      </c>
      <c r="D132" s="11" t="inlineStr">
        <is>
          <t>Demesral fish (≤ 30 cm)</t>
        </is>
      </c>
      <c r="H132" t="n">
        <v>47.821434</v>
      </c>
      <c r="I132" t="n">
        <v>386.298429</v>
      </c>
      <c r="J132" t="n">
        <v>403.015522</v>
      </c>
      <c r="K132" t="n">
        <v>382.864746</v>
      </c>
      <c r="L132" t="n">
        <v>738.02552</v>
      </c>
      <c r="M132" t="n">
        <v>504.12505</v>
      </c>
      <c r="N132" t="n">
        <v>504.12505</v>
      </c>
      <c r="O132" t="n">
        <v>19.791087</v>
      </c>
      <c r="P132" t="n">
        <v>10.585758</v>
      </c>
      <c r="Q132" t="n">
        <v>504.12505</v>
      </c>
      <c r="R132" t="n">
        <v>504.12505</v>
      </c>
      <c r="S132" t="n">
        <v>19.791087</v>
      </c>
      <c r="T132" t="n">
        <v>19.791087</v>
      </c>
      <c r="U132" t="n">
        <v>10.585758</v>
      </c>
      <c r="V132" t="n">
        <v>10.585758</v>
      </c>
      <c r="W132" t="n">
        <v>20.644284</v>
      </c>
      <c r="X132" t="n">
        <v>528.265792</v>
      </c>
    </row>
    <row r="133" ht="21" customHeight="1">
      <c r="A133" t="inlineStr">
        <is>
          <t>Stromateidae</t>
        </is>
      </c>
      <c r="B133" t="n">
        <v>3.62</v>
      </c>
      <c r="C133" t="n">
        <v>416.869383</v>
      </c>
      <c r="D133" s="11" t="inlineStr">
        <is>
          <t>Pomfret (stromateids)</t>
        </is>
      </c>
      <c r="H133" t="n">
        <v>174.433913</v>
      </c>
      <c r="I133" t="n">
        <v>1107.715094</v>
      </c>
      <c r="J133" t="n">
        <v>1152.41915</v>
      </c>
      <c r="K133" t="n">
        <v>1094.798192</v>
      </c>
      <c r="L133" t="n">
        <v>2274.19106</v>
      </c>
      <c r="M133" t="n">
        <v>1598.007907</v>
      </c>
      <c r="N133" t="n">
        <v>1598.007907</v>
      </c>
      <c r="O133" t="n">
        <v>71.350959</v>
      </c>
      <c r="P133" t="n">
        <v>34.506697</v>
      </c>
      <c r="Q133" t="n">
        <v>1598.007907</v>
      </c>
      <c r="R133" t="n">
        <v>1598.007907</v>
      </c>
      <c r="S133" t="n">
        <v>71.350959</v>
      </c>
      <c r="T133" t="n">
        <v>71.350959</v>
      </c>
      <c r="U133" t="n">
        <v>34.506697</v>
      </c>
      <c r="V133" t="n">
        <v>34.506697</v>
      </c>
      <c r="W133" t="n">
        <v>75.453034</v>
      </c>
      <c r="X133" t="n">
        <v>1713.88012</v>
      </c>
    </row>
    <row r="134" ht="21" customHeight="1">
      <c r="A134" t="inlineStr">
        <is>
          <t>Lutjanus johnii</t>
        </is>
      </c>
      <c r="B134" t="n">
        <v>4.2</v>
      </c>
      <c r="C134" t="n">
        <v>1584.893192</v>
      </c>
      <c r="D134" s="11" t="inlineStr">
        <is>
          <t>Snappers</t>
        </is>
      </c>
      <c r="H134" t="n">
        <v>267.052731</v>
      </c>
      <c r="I134" t="n">
        <v>2184.150638</v>
      </c>
      <c r="J134" t="n">
        <v>2277.683197</v>
      </c>
      <c r="K134" t="n">
        <v>2163.799037</v>
      </c>
      <c r="L134" t="n">
        <v>4133.4309</v>
      </c>
      <c r="M134" t="n">
        <v>2817.724532</v>
      </c>
      <c r="N134" t="n">
        <v>2817.724532</v>
      </c>
      <c r="O134" t="n">
        <v>100.301142</v>
      </c>
      <c r="P134" t="n">
        <v>43.53974</v>
      </c>
      <c r="Q134" t="n">
        <v>2817.724532</v>
      </c>
      <c r="R134" t="n">
        <v>2817.724532</v>
      </c>
      <c r="S134" t="n">
        <v>100.301142</v>
      </c>
      <c r="T134" t="n">
        <v>100.301142</v>
      </c>
      <c r="U134" t="n">
        <v>43.53974</v>
      </c>
      <c r="V134" t="n">
        <v>43.53974</v>
      </c>
      <c r="W134" t="n">
        <v>106.305314</v>
      </c>
      <c r="X134" t="n">
        <v>2997.143608</v>
      </c>
    </row>
    <row r="135" ht="36" customHeight="1">
      <c r="A135" t="inlineStr">
        <is>
          <t>Elagatis bipinnulata</t>
        </is>
      </c>
      <c r="B135" t="n">
        <v>4.27</v>
      </c>
      <c r="C135" t="n">
        <v>1862.087137</v>
      </c>
      <c r="D135" s="11" t="inlineStr">
        <is>
          <t>Juvenile large pelagic fish | Pelagic fish (&gt; 30 cm)</t>
        </is>
      </c>
      <c r="H135" t="n">
        <v>134.939141</v>
      </c>
      <c r="I135" t="n">
        <v>4341.841291</v>
      </c>
      <c r="J135" t="n">
        <v>4398.007385</v>
      </c>
      <c r="K135" t="n">
        <v>1301.694746</v>
      </c>
      <c r="L135" t="n">
        <v>7112.982475</v>
      </c>
      <c r="M135" t="n">
        <v>4967.292392</v>
      </c>
      <c r="N135" t="n">
        <v>4967.292392</v>
      </c>
      <c r="O135" t="n">
        <v>58.311114</v>
      </c>
      <c r="P135" t="n">
        <v>31.032685</v>
      </c>
      <c r="Q135" t="n">
        <v>4967.292392</v>
      </c>
      <c r="R135" t="n">
        <v>4967.292392</v>
      </c>
      <c r="S135" t="n">
        <v>58.311114</v>
      </c>
      <c r="T135" t="n">
        <v>58.311114</v>
      </c>
      <c r="U135" t="n">
        <v>31.032685</v>
      </c>
      <c r="V135" t="n">
        <v>31.032685</v>
      </c>
      <c r="W135" t="n">
        <v>61.724923</v>
      </c>
      <c r="X135" t="n">
        <v>5208.68705</v>
      </c>
    </row>
    <row r="136" ht="21" customHeight="1">
      <c r="A136" t="inlineStr">
        <is>
          <t>Saurida</t>
        </is>
      </c>
      <c r="B136" t="n">
        <v>4.35</v>
      </c>
      <c r="C136" t="n">
        <v>2238.721139</v>
      </c>
      <c r="D136" s="11" t="inlineStr">
        <is>
          <t>Lizard fish (synodontids)</t>
        </is>
      </c>
      <c r="H136" t="n">
        <v>334.225369</v>
      </c>
      <c r="I136" t="n">
        <v>6549.676201</v>
      </c>
      <c r="J136" t="n">
        <v>6897.830047</v>
      </c>
      <c r="K136" t="n">
        <v>1662.377041</v>
      </c>
      <c r="L136" t="n">
        <v>16798.641648</v>
      </c>
      <c r="M136" t="n">
        <v>11531.29792</v>
      </c>
      <c r="N136" t="n">
        <v>11531.29792</v>
      </c>
      <c r="O136" t="n">
        <v>47.733364</v>
      </c>
      <c r="P136" t="n">
        <v>20.713886</v>
      </c>
      <c r="Q136" t="n">
        <v>11531.29792</v>
      </c>
      <c r="R136" t="n">
        <v>11531.29792</v>
      </c>
      <c r="S136" t="n">
        <v>47.733364</v>
      </c>
      <c r="T136" t="n">
        <v>47.733364</v>
      </c>
      <c r="U136" t="n">
        <v>20.713886</v>
      </c>
      <c r="V136" t="n">
        <v>20.713886</v>
      </c>
      <c r="W136" t="n">
        <v>50.435105</v>
      </c>
      <c r="X136" t="n">
        <v>12443.762725</v>
      </c>
    </row>
    <row r="137" ht="21" customHeight="1">
      <c r="A137" t="inlineStr">
        <is>
          <t>Serranidae</t>
        </is>
      </c>
      <c r="B137" t="n">
        <v>3.98</v>
      </c>
      <c r="C137" t="n">
        <v>954.992586</v>
      </c>
      <c r="D137" s="11" t="inlineStr">
        <is>
          <t>Adult groupers</t>
        </is>
      </c>
      <c r="H137" t="n">
        <v>289.336004</v>
      </c>
      <c r="I137" t="n">
        <v>7059.021807</v>
      </c>
      <c r="J137" t="n">
        <v>7260.732834</v>
      </c>
      <c r="K137" t="n">
        <v>2722.774813</v>
      </c>
      <c r="L137" t="n">
        <v>14214.100911</v>
      </c>
      <c r="M137" t="n">
        <v>9730.75452</v>
      </c>
      <c r="N137" t="n">
        <v>9730.75452</v>
      </c>
      <c r="O137" t="n">
        <v>100.399835</v>
      </c>
      <c r="P137" t="n">
        <v>43.4623</v>
      </c>
      <c r="Q137" t="n">
        <v>9730.75452</v>
      </c>
      <c r="R137" t="n">
        <v>9730.75452</v>
      </c>
      <c r="S137" t="n">
        <v>100.399835</v>
      </c>
      <c r="T137" t="n">
        <v>100.399835</v>
      </c>
      <c r="U137" t="n">
        <v>43.4623</v>
      </c>
      <c r="V137" t="n">
        <v>43.4623</v>
      </c>
      <c r="W137" t="n">
        <v>105.723999</v>
      </c>
      <c r="X137" t="n">
        <v>10434.203054</v>
      </c>
    </row>
    <row r="138" ht="21" customHeight="1">
      <c r="A138" t="inlineStr">
        <is>
          <t>Tegillarca granosa</t>
        </is>
      </c>
      <c r="B138" t="n">
        <v>2</v>
      </c>
      <c r="C138" t="n">
        <v>10</v>
      </c>
      <c r="D138" s="11" t="inlineStr">
        <is>
          <t>Non-ceph molluscs</t>
        </is>
      </c>
      <c r="H138" t="n">
        <v>5.373346</v>
      </c>
      <c r="I138" t="n">
        <v>57.395403</v>
      </c>
      <c r="J138" t="n">
        <v>57.395403</v>
      </c>
      <c r="K138" t="n">
        <v>21.98244</v>
      </c>
      <c r="L138" t="n">
        <v>92.59366</v>
      </c>
      <c r="M138" t="n">
        <v>61.118924</v>
      </c>
      <c r="N138" t="n">
        <v>61.118924</v>
      </c>
      <c r="O138" t="n">
        <v>1.571536</v>
      </c>
      <c r="P138" t="n">
        <v>1.01605</v>
      </c>
      <c r="Q138" t="n">
        <v>61.118924</v>
      </c>
      <c r="R138" t="n">
        <v>61.118924</v>
      </c>
      <c r="S138" t="n">
        <v>1.571536</v>
      </c>
      <c r="T138" t="n">
        <v>1.571536</v>
      </c>
      <c r="U138" t="n">
        <v>1.01605</v>
      </c>
      <c r="V138" t="n">
        <v>1.01605</v>
      </c>
      <c r="W138" t="n">
        <v>1.626148</v>
      </c>
      <c r="X138" t="n">
        <v>63.787046</v>
      </c>
    </row>
    <row r="139" ht="21" customHeight="1">
      <c r="A139" t="inlineStr">
        <is>
          <t>Pristipomoides</t>
        </is>
      </c>
      <c r="B139" t="n">
        <v>3.91</v>
      </c>
      <c r="C139" t="n">
        <v>812.830516</v>
      </c>
      <c r="D139" s="11" t="inlineStr">
        <is>
          <t>Snappers</t>
        </is>
      </c>
      <c r="H139" t="n">
        <v>267.052731</v>
      </c>
      <c r="I139" t="n">
        <v>2184.150638</v>
      </c>
      <c r="J139" t="n">
        <v>2277.683197</v>
      </c>
      <c r="K139" t="n">
        <v>2163.799037</v>
      </c>
      <c r="L139" t="n">
        <v>4133.4309</v>
      </c>
      <c r="M139" t="n">
        <v>2817.724532</v>
      </c>
      <c r="N139" t="n">
        <v>2817.724532</v>
      </c>
      <c r="O139" t="n">
        <v>100.301142</v>
      </c>
      <c r="P139" t="n">
        <v>43.53974</v>
      </c>
      <c r="Q139" t="n">
        <v>2817.724532</v>
      </c>
      <c r="R139" t="n">
        <v>2817.724532</v>
      </c>
      <c r="S139" t="n">
        <v>100.301142</v>
      </c>
      <c r="T139" t="n">
        <v>100.301142</v>
      </c>
      <c r="U139" t="n">
        <v>43.53974</v>
      </c>
      <c r="V139" t="n">
        <v>43.53974</v>
      </c>
      <c r="W139" t="n">
        <v>106.305314</v>
      </c>
      <c r="X139" t="n">
        <v>2997.143608</v>
      </c>
    </row>
    <row r="140" ht="21" customHeight="1">
      <c r="A140" t="inlineStr">
        <is>
          <t>Apogonidae</t>
        </is>
      </c>
      <c r="B140" t="n">
        <v>3.54</v>
      </c>
      <c r="C140" t="n">
        <v>346.73685</v>
      </c>
      <c r="D140" s="11" t="inlineStr">
        <is>
          <t>Demesral fish (≤ 30 cm)</t>
        </is>
      </c>
      <c r="H140" t="n">
        <v>47.821434</v>
      </c>
      <c r="I140" t="n">
        <v>386.298429</v>
      </c>
      <c r="J140" t="n">
        <v>403.015522</v>
      </c>
      <c r="K140" t="n">
        <v>382.864746</v>
      </c>
      <c r="L140" t="n">
        <v>738.02552</v>
      </c>
      <c r="M140" t="n">
        <v>504.12505</v>
      </c>
      <c r="N140" t="n">
        <v>504.12505</v>
      </c>
      <c r="O140" t="n">
        <v>19.791087</v>
      </c>
      <c r="P140" t="n">
        <v>10.585758</v>
      </c>
      <c r="Q140" t="n">
        <v>504.12505</v>
      </c>
      <c r="R140" t="n">
        <v>504.12505</v>
      </c>
      <c r="S140" t="n">
        <v>19.791087</v>
      </c>
      <c r="T140" t="n">
        <v>19.791087</v>
      </c>
      <c r="U140" t="n">
        <v>10.585758</v>
      </c>
      <c r="V140" t="n">
        <v>10.585758</v>
      </c>
      <c r="W140" t="n">
        <v>20.644284</v>
      </c>
      <c r="X140" t="n">
        <v>528.265792</v>
      </c>
    </row>
    <row r="141" ht="66" customHeight="1">
      <c r="A141" t="inlineStr">
        <is>
          <t>Miscellaneous aquatic invertebrates</t>
        </is>
      </c>
      <c r="B141" t="n">
        <v>2.43</v>
      </c>
      <c r="C141" t="n">
        <v>26.915348</v>
      </c>
      <c r="D141" s="11" t="inlineStr">
        <is>
          <t>Polychaetes | Echinoderms | Benthic crustaceans | Non-ceph molluscs | Sessile/other invertebrates</t>
        </is>
      </c>
      <c r="H141" t="n">
        <v>5.758666</v>
      </c>
      <c r="I141" t="n">
        <v>62.431685</v>
      </c>
      <c r="J141" t="n">
        <v>62.431685</v>
      </c>
      <c r="K141" t="n">
        <v>26.328155</v>
      </c>
      <c r="L141" t="n">
        <v>103.926902</v>
      </c>
      <c r="M141" t="n">
        <v>68.785781</v>
      </c>
      <c r="N141" t="n">
        <v>68.785781</v>
      </c>
      <c r="O141" t="n">
        <v>1.81206</v>
      </c>
      <c r="P141" t="n">
        <v>1.170841</v>
      </c>
      <c r="Q141" t="n">
        <v>68.785781</v>
      </c>
      <c r="R141" t="n">
        <v>68.785781</v>
      </c>
      <c r="S141" t="n">
        <v>1.81206</v>
      </c>
      <c r="T141" t="n">
        <v>1.81206</v>
      </c>
      <c r="U141" t="n">
        <v>1.170841</v>
      </c>
      <c r="V141" t="n">
        <v>1.170841</v>
      </c>
      <c r="W141" t="n">
        <v>1.871348</v>
      </c>
      <c r="X141" t="n">
        <v>71.899525</v>
      </c>
    </row>
    <row r="142" ht="36" customHeight="1">
      <c r="A142" t="inlineStr">
        <is>
          <t>Scomber australasicus</t>
        </is>
      </c>
      <c r="B142" t="n">
        <v>4.23</v>
      </c>
      <c r="C142" t="n">
        <v>1698.243652</v>
      </c>
      <c r="D142" s="11" t="inlineStr">
        <is>
          <t>Juvenile large pelagic fish | Pelagic fish (&gt; 30 cm)</t>
        </is>
      </c>
      <c r="H142" t="n">
        <v>134.939141</v>
      </c>
      <c r="I142" t="n">
        <v>4341.841291</v>
      </c>
      <c r="J142" t="n">
        <v>4398.007385</v>
      </c>
      <c r="K142" t="n">
        <v>1301.694746</v>
      </c>
      <c r="L142" t="n">
        <v>7112.982475</v>
      </c>
      <c r="M142" t="n">
        <v>4967.292392</v>
      </c>
      <c r="N142" t="n">
        <v>4967.292392</v>
      </c>
      <c r="O142" t="n">
        <v>58.311114</v>
      </c>
      <c r="P142" t="n">
        <v>31.032685</v>
      </c>
      <c r="Q142" t="n">
        <v>4967.292392</v>
      </c>
      <c r="R142" t="n">
        <v>4967.292392</v>
      </c>
      <c r="S142" t="n">
        <v>58.311114</v>
      </c>
      <c r="T142" t="n">
        <v>58.311114</v>
      </c>
      <c r="U142" t="n">
        <v>31.032685</v>
      </c>
      <c r="V142" t="n">
        <v>31.032685</v>
      </c>
      <c r="W142" t="n">
        <v>61.724923</v>
      </c>
      <c r="X142" t="n">
        <v>5208.68705</v>
      </c>
    </row>
    <row r="143" ht="21" customHeight="1">
      <c r="A143" t="inlineStr">
        <is>
          <t>Sepia</t>
        </is>
      </c>
      <c r="B143" t="n">
        <v>3.69</v>
      </c>
      <c r="C143" t="n">
        <v>489.778819</v>
      </c>
      <c r="D143" s="11" t="inlineStr">
        <is>
          <t>Cephalopods</t>
        </is>
      </c>
      <c r="H143" t="n">
        <v>99.09704499999999</v>
      </c>
      <c r="I143" t="n">
        <v>726.768274</v>
      </c>
      <c r="J143" t="n">
        <v>743.903747</v>
      </c>
      <c r="K143" t="n">
        <v>371.951873</v>
      </c>
      <c r="L143" t="n">
        <v>1659.687874</v>
      </c>
      <c r="M143" t="n">
        <v>1154.615618</v>
      </c>
      <c r="N143" t="n">
        <v>1154.615618</v>
      </c>
      <c r="O143" t="n">
        <v>19.267286</v>
      </c>
      <c r="P143" t="n">
        <v>9.928678</v>
      </c>
      <c r="Q143" t="n">
        <v>1154.615618</v>
      </c>
      <c r="R143" t="n">
        <v>1154.615618</v>
      </c>
      <c r="S143" t="n">
        <v>19.267286</v>
      </c>
      <c r="T143" t="n">
        <v>19.267286</v>
      </c>
      <c r="U143" t="n">
        <v>9.928678</v>
      </c>
      <c r="V143" t="n">
        <v>9.928678</v>
      </c>
      <c r="W143" t="n">
        <v>19.883589</v>
      </c>
      <c r="X143" t="n">
        <v>1235.144457</v>
      </c>
    </row>
    <row r="144" ht="21" customHeight="1">
      <c r="A144" t="inlineStr">
        <is>
          <t>Epinephelus coioides</t>
        </is>
      </c>
      <c r="B144" t="n">
        <v>4</v>
      </c>
      <c r="C144" t="n">
        <v>1000</v>
      </c>
      <c r="D144" s="11" t="inlineStr">
        <is>
          <t>Adult groupers</t>
        </is>
      </c>
      <c r="H144" t="n">
        <v>289.336004</v>
      </c>
      <c r="I144" t="n">
        <v>7059.021807</v>
      </c>
      <c r="J144" t="n">
        <v>7260.732834</v>
      </c>
      <c r="K144" t="n">
        <v>2722.774813</v>
      </c>
      <c r="L144" t="n">
        <v>14214.100911</v>
      </c>
      <c r="M144" t="n">
        <v>9730.75452</v>
      </c>
      <c r="N144" t="n">
        <v>9730.75452</v>
      </c>
      <c r="O144" t="n">
        <v>100.399835</v>
      </c>
      <c r="P144" t="n">
        <v>43.4623</v>
      </c>
      <c r="Q144" t="n">
        <v>9730.75452</v>
      </c>
      <c r="R144" t="n">
        <v>9730.75452</v>
      </c>
      <c r="S144" t="n">
        <v>100.399835</v>
      </c>
      <c r="T144" t="n">
        <v>100.399835</v>
      </c>
      <c r="U144" t="n">
        <v>43.4623</v>
      </c>
      <c r="V144" t="n">
        <v>43.4623</v>
      </c>
      <c r="W144" t="n">
        <v>105.723999</v>
      </c>
      <c r="X144" t="n">
        <v>10434.203054</v>
      </c>
    </row>
    <row r="145" ht="51" customHeight="1">
      <c r="A145" t="inlineStr">
        <is>
          <t>Larimichthys polyactis</t>
        </is>
      </c>
      <c r="B145" t="n">
        <v>3.64</v>
      </c>
      <c r="C145" t="n">
        <v>436.515832</v>
      </c>
      <c r="D145" s="11" t="inlineStr">
        <is>
          <t>Croakers (≤ 30 cm) | Juvenile large croakers | Croakers (&gt; 30 cm)</t>
        </is>
      </c>
      <c r="H145" t="n">
        <v>171.215196</v>
      </c>
      <c r="I145" t="n">
        <v>1774.929351</v>
      </c>
      <c r="J145" t="n">
        <v>1826.685959</v>
      </c>
      <c r="K145" t="n">
        <v>1113.560652</v>
      </c>
      <c r="L145" t="n">
        <v>3240.975912</v>
      </c>
      <c r="M145" t="n">
        <v>2233.907555</v>
      </c>
      <c r="N145" t="n">
        <v>2233.907555</v>
      </c>
      <c r="O145" t="n">
        <v>48.674225</v>
      </c>
      <c r="P145" t="n">
        <v>23.114525</v>
      </c>
      <c r="Q145" t="n">
        <v>2233.907555</v>
      </c>
      <c r="R145" t="n">
        <v>2233.907555</v>
      </c>
      <c r="S145" t="n">
        <v>48.674225</v>
      </c>
      <c r="T145" t="n">
        <v>48.674225</v>
      </c>
      <c r="U145" t="n">
        <v>23.114525</v>
      </c>
      <c r="V145" t="n">
        <v>23.114525</v>
      </c>
      <c r="W145" t="n">
        <v>51.10279</v>
      </c>
      <c r="X145" t="n">
        <v>2376.544826</v>
      </c>
    </row>
    <row r="146" ht="36" customHeight="1">
      <c r="A146" t="inlineStr">
        <is>
          <t>Tetraodontidae</t>
        </is>
      </c>
      <c r="B146" t="n">
        <v>3.5</v>
      </c>
      <c r="C146" t="n">
        <v>316.227766</v>
      </c>
      <c r="D146" s="11" t="inlineStr">
        <is>
          <t>Juvenile demersal fish (&gt; 30 cm) | Adult demersal fish (&gt; 30 cm)</t>
        </is>
      </c>
      <c r="H146" t="n">
        <v>175.842593</v>
      </c>
      <c r="I146" t="n">
        <v>4469.123499</v>
      </c>
      <c r="J146" t="n">
        <v>4793.322749</v>
      </c>
      <c r="K146" t="n">
        <v>1747.151432</v>
      </c>
      <c r="L146" t="n">
        <v>10677.999207</v>
      </c>
      <c r="M146" t="n">
        <v>7305.602239</v>
      </c>
      <c r="N146" t="n">
        <v>7305.602239</v>
      </c>
      <c r="O146" t="n">
        <v>41.400447</v>
      </c>
      <c r="P146" t="n">
        <v>18.192821</v>
      </c>
      <c r="Q146" t="n">
        <v>7305.602239</v>
      </c>
      <c r="R146" t="n">
        <v>7305.602239</v>
      </c>
      <c r="S146" t="n">
        <v>41.400447</v>
      </c>
      <c r="T146" t="n">
        <v>41.400447</v>
      </c>
      <c r="U146" t="n">
        <v>18.192821</v>
      </c>
      <c r="V146" t="n">
        <v>18.192821</v>
      </c>
      <c r="W146" t="n">
        <v>43.295832</v>
      </c>
      <c r="X146" t="n">
        <v>7878.655066</v>
      </c>
    </row>
    <row r="147" ht="21" customHeight="1">
      <c r="A147" t="inlineStr">
        <is>
          <t>Exocoetidae</t>
        </is>
      </c>
      <c r="B147" t="n">
        <v>3.57</v>
      </c>
      <c r="C147" t="n">
        <v>371.535229</v>
      </c>
      <c r="D147" s="11" t="inlineStr">
        <is>
          <t>Pelagic fish (≤ 30 cm)</t>
        </is>
      </c>
      <c r="H147" t="n">
        <v>31.538936</v>
      </c>
      <c r="I147" t="n">
        <v>277.068801</v>
      </c>
      <c r="J147" t="n">
        <v>277.068801</v>
      </c>
      <c r="K147" t="n">
        <v>263.215361</v>
      </c>
      <c r="L147" t="n">
        <v>393.787233</v>
      </c>
      <c r="M147" t="n">
        <v>277.168933</v>
      </c>
      <c r="N147" t="n">
        <v>277.168933</v>
      </c>
      <c r="O147" t="n">
        <v>14.521402</v>
      </c>
      <c r="P147" t="n">
        <v>9.426283</v>
      </c>
      <c r="Q147" t="n">
        <v>277.168933</v>
      </c>
      <c r="R147" t="n">
        <v>277.168933</v>
      </c>
      <c r="S147" t="n">
        <v>14.521402</v>
      </c>
      <c r="T147" t="n">
        <v>14.521402</v>
      </c>
      <c r="U147" t="n">
        <v>9.426283</v>
      </c>
      <c r="V147" t="n">
        <v>9.426283</v>
      </c>
      <c r="W147" t="n">
        <v>15.223157</v>
      </c>
      <c r="X147" t="n">
        <v>285.614997</v>
      </c>
    </row>
    <row r="148" ht="21" customHeight="1">
      <c r="A148" t="inlineStr">
        <is>
          <t>Upeneus</t>
        </is>
      </c>
      <c r="B148" t="n">
        <v>3.54</v>
      </c>
      <c r="C148" t="n">
        <v>346.73685</v>
      </c>
      <c r="D148" s="11" t="inlineStr">
        <is>
          <t>Demesral fish (≤ 30 cm)</t>
        </is>
      </c>
      <c r="H148" t="n">
        <v>47.821434</v>
      </c>
      <c r="I148" t="n">
        <v>386.298429</v>
      </c>
      <c r="J148" t="n">
        <v>403.015522</v>
      </c>
      <c r="K148" t="n">
        <v>382.864746</v>
      </c>
      <c r="L148" t="n">
        <v>738.02552</v>
      </c>
      <c r="M148" t="n">
        <v>504.12505</v>
      </c>
      <c r="N148" t="n">
        <v>504.12505</v>
      </c>
      <c r="O148" t="n">
        <v>19.791087</v>
      </c>
      <c r="P148" t="n">
        <v>10.585758</v>
      </c>
      <c r="Q148" t="n">
        <v>504.12505</v>
      </c>
      <c r="R148" t="n">
        <v>504.12505</v>
      </c>
      <c r="S148" t="n">
        <v>19.791087</v>
      </c>
      <c r="T148" t="n">
        <v>19.791087</v>
      </c>
      <c r="U148" t="n">
        <v>10.585758</v>
      </c>
      <c r="V148" t="n">
        <v>10.585758</v>
      </c>
      <c r="W148" t="n">
        <v>20.644284</v>
      </c>
      <c r="X148" t="n">
        <v>528.265792</v>
      </c>
    </row>
    <row r="149" ht="36" customHeight="1">
      <c r="A149" t="inlineStr">
        <is>
          <t>Seriola</t>
        </is>
      </c>
      <c r="B149" t="n">
        <v>4.39</v>
      </c>
      <c r="C149" t="n">
        <v>2454.708916</v>
      </c>
      <c r="D149" s="11" t="inlineStr">
        <is>
          <t>Juvenile large pelagic fish | Pelagic fish (&gt; 30 cm)</t>
        </is>
      </c>
      <c r="H149" t="n">
        <v>134.939141</v>
      </c>
      <c r="I149" t="n">
        <v>4341.841291</v>
      </c>
      <c r="J149" t="n">
        <v>4398.007385</v>
      </c>
      <c r="K149" t="n">
        <v>1301.694746</v>
      </c>
      <c r="L149" t="n">
        <v>7112.982475</v>
      </c>
      <c r="M149" t="n">
        <v>4967.292392</v>
      </c>
      <c r="N149" t="n">
        <v>4967.292392</v>
      </c>
      <c r="O149" t="n">
        <v>58.311114</v>
      </c>
      <c r="P149" t="n">
        <v>31.032685</v>
      </c>
      <c r="Q149" t="n">
        <v>4967.292392</v>
      </c>
      <c r="R149" t="n">
        <v>4967.292392</v>
      </c>
      <c r="S149" t="n">
        <v>58.311114</v>
      </c>
      <c r="T149" t="n">
        <v>58.311114</v>
      </c>
      <c r="U149" t="n">
        <v>31.032685</v>
      </c>
      <c r="V149" t="n">
        <v>31.032685</v>
      </c>
      <c r="W149" t="n">
        <v>61.724923</v>
      </c>
      <c r="X149" t="n">
        <v>5208.68705</v>
      </c>
    </row>
    <row r="150" ht="36" customHeight="1">
      <c r="A150" t="inlineStr">
        <is>
          <t>Conger myriaster</t>
        </is>
      </c>
      <c r="B150" t="n">
        <v>3.98</v>
      </c>
      <c r="C150" t="n">
        <v>954.992586</v>
      </c>
      <c r="D150" s="11" t="inlineStr">
        <is>
          <t>Juvenile demersal fish (&gt; 30 cm) | Adult demersal fish (&gt; 30 cm)</t>
        </is>
      </c>
      <c r="H150" t="n">
        <v>175.842593</v>
      </c>
      <c r="I150" t="n">
        <v>4469.123499</v>
      </c>
      <c r="J150" t="n">
        <v>4793.322749</v>
      </c>
      <c r="K150" t="n">
        <v>1747.151432</v>
      </c>
      <c r="L150" t="n">
        <v>10677.999207</v>
      </c>
      <c r="M150" t="n">
        <v>7305.602239</v>
      </c>
      <c r="N150" t="n">
        <v>7305.602239</v>
      </c>
      <c r="O150" t="n">
        <v>41.400447</v>
      </c>
      <c r="P150" t="n">
        <v>18.192821</v>
      </c>
      <c r="Q150" t="n">
        <v>7305.602239</v>
      </c>
      <c r="R150" t="n">
        <v>7305.602239</v>
      </c>
      <c r="S150" t="n">
        <v>41.400447</v>
      </c>
      <c r="T150" t="n">
        <v>41.400447</v>
      </c>
      <c r="U150" t="n">
        <v>18.192821</v>
      </c>
      <c r="V150" t="n">
        <v>18.192821</v>
      </c>
      <c r="W150" t="n">
        <v>43.295832</v>
      </c>
      <c r="X150" t="n">
        <v>7878.655066</v>
      </c>
    </row>
    <row r="151" ht="36" customHeight="1">
      <c r="A151" t="inlineStr">
        <is>
          <t>Mugil</t>
        </is>
      </c>
      <c r="B151" t="n">
        <v>2.26</v>
      </c>
      <c r="C151" t="n">
        <v>18.197009</v>
      </c>
      <c r="D151" s="11" t="inlineStr">
        <is>
          <t>Juvenile demersal fish (&gt; 30 cm) | Adult demersal fish (&gt; 30 cm)</t>
        </is>
      </c>
      <c r="H151" t="n">
        <v>175.842593</v>
      </c>
      <c r="I151" t="n">
        <v>4469.123499</v>
      </c>
      <c r="J151" t="n">
        <v>4793.322749</v>
      </c>
      <c r="K151" t="n">
        <v>1747.151432</v>
      </c>
      <c r="L151" t="n">
        <v>10677.999207</v>
      </c>
      <c r="M151" t="n">
        <v>7305.602239</v>
      </c>
      <c r="N151" t="n">
        <v>7305.602239</v>
      </c>
      <c r="O151" t="n">
        <v>41.400447</v>
      </c>
      <c r="P151" t="n">
        <v>18.192821</v>
      </c>
      <c r="Q151" t="n">
        <v>7305.602239</v>
      </c>
      <c r="R151" t="n">
        <v>7305.602239</v>
      </c>
      <c r="S151" t="n">
        <v>41.400447</v>
      </c>
      <c r="T151" t="n">
        <v>41.400447</v>
      </c>
      <c r="U151" t="n">
        <v>18.192821</v>
      </c>
      <c r="V151" t="n">
        <v>18.192821</v>
      </c>
      <c r="W151" t="n">
        <v>43.295832</v>
      </c>
      <c r="X151" t="n">
        <v>7878.655066</v>
      </c>
    </row>
    <row r="152" ht="51" customHeight="1">
      <c r="A152" t="inlineStr">
        <is>
          <t>Psettodes erumei</t>
        </is>
      </c>
      <c r="B152" t="n">
        <v>4.39</v>
      </c>
      <c r="C152" t="n">
        <v>2454.708916</v>
      </c>
      <c r="D152" s="11" t="inlineStr">
        <is>
          <t>Demesral fish (≤ 30 cm) | Juvenile demersal fish (&gt; 30 cm) | Adult demersal fish (&gt; 30 cm)</t>
        </is>
      </c>
      <c r="H152" t="n">
        <v>126.494265</v>
      </c>
      <c r="I152" t="n">
        <v>2895.31657</v>
      </c>
      <c r="J152" t="n">
        <v>3100.990647</v>
      </c>
      <c r="K152" t="n">
        <v>1221.259727</v>
      </c>
      <c r="L152" t="n">
        <v>6846.4367</v>
      </c>
      <c r="M152" t="n">
        <v>4683.836246</v>
      </c>
      <c r="N152" t="n">
        <v>4683.836246</v>
      </c>
      <c r="O152" t="n">
        <v>33.070685</v>
      </c>
      <c r="P152" t="n">
        <v>15.260526</v>
      </c>
      <c r="Q152" t="n">
        <v>4683.836246</v>
      </c>
      <c r="R152" t="n">
        <v>4683.836246</v>
      </c>
      <c r="S152" t="n">
        <v>33.070685</v>
      </c>
      <c r="T152" t="n">
        <v>33.070685</v>
      </c>
      <c r="U152" t="n">
        <v>15.260526</v>
      </c>
      <c r="V152" t="n">
        <v>15.260526</v>
      </c>
      <c r="W152" t="n">
        <v>34.564338</v>
      </c>
      <c r="X152" t="n">
        <v>5045.299884</v>
      </c>
    </row>
    <row r="153" ht="21" customHeight="1">
      <c r="A153" t="inlineStr">
        <is>
          <t>Acetes</t>
        </is>
      </c>
      <c r="B153" t="n">
        <v>2.7</v>
      </c>
      <c r="C153" t="n">
        <v>50.118723</v>
      </c>
      <c r="D153" s="11" t="inlineStr">
        <is>
          <t>Zooplankton</t>
        </is>
      </c>
      <c r="H153" t="n">
        <v>5.238059</v>
      </c>
      <c r="I153" t="n">
        <v>80.769231</v>
      </c>
      <c r="J153" t="n">
        <v>80.769231</v>
      </c>
      <c r="K153" t="n">
        <v>4.2</v>
      </c>
      <c r="L153" t="n">
        <v>114.728394</v>
      </c>
      <c r="M153" t="n">
        <v>80.769231</v>
      </c>
      <c r="N153" t="n">
        <v>80.769231</v>
      </c>
      <c r="O153" t="n">
        <v>4.2</v>
      </c>
      <c r="P153" t="n">
        <v>3.36</v>
      </c>
      <c r="Q153" t="n">
        <v>80.769231</v>
      </c>
      <c r="R153" t="n">
        <v>80.769231</v>
      </c>
      <c r="S153" t="n">
        <v>4.2</v>
      </c>
      <c r="T153" t="n">
        <v>4.2</v>
      </c>
      <c r="U153" t="n">
        <v>3.36</v>
      </c>
      <c r="V153" t="n">
        <v>3.36</v>
      </c>
      <c r="W153" t="n">
        <v>4.311623</v>
      </c>
      <c r="X153" t="n">
        <v>82.260733</v>
      </c>
    </row>
    <row r="154" ht="21" customHeight="1">
      <c r="A154" t="inlineStr">
        <is>
          <t>Cypselurus poecilopterus</t>
        </is>
      </c>
      <c r="B154" t="n">
        <v>3.4</v>
      </c>
      <c r="C154" t="n">
        <v>251.188643</v>
      </c>
      <c r="D154" s="11" t="inlineStr">
        <is>
          <t>Pelagic fish (≤ 30 cm)</t>
        </is>
      </c>
      <c r="H154" t="n">
        <v>31.538936</v>
      </c>
      <c r="I154" t="n">
        <v>277.068801</v>
      </c>
      <c r="J154" t="n">
        <v>277.068801</v>
      </c>
      <c r="K154" t="n">
        <v>263.215361</v>
      </c>
      <c r="L154" t="n">
        <v>393.787233</v>
      </c>
      <c r="M154" t="n">
        <v>277.168933</v>
      </c>
      <c r="N154" t="n">
        <v>277.168933</v>
      </c>
      <c r="O154" t="n">
        <v>14.521402</v>
      </c>
      <c r="P154" t="n">
        <v>9.426283</v>
      </c>
      <c r="Q154" t="n">
        <v>277.168933</v>
      </c>
      <c r="R154" t="n">
        <v>277.168933</v>
      </c>
      <c r="S154" t="n">
        <v>14.521402</v>
      </c>
      <c r="T154" t="n">
        <v>14.521402</v>
      </c>
      <c r="U154" t="n">
        <v>9.426283</v>
      </c>
      <c r="V154" t="n">
        <v>9.426283</v>
      </c>
      <c r="W154" t="n">
        <v>15.223157</v>
      </c>
      <c r="X154" t="n">
        <v>285.614997</v>
      </c>
    </row>
    <row r="155" ht="36" customHeight="1">
      <c r="A155" t="inlineStr">
        <is>
          <t>Decapterus russelli</t>
        </is>
      </c>
      <c r="B155" t="n">
        <v>3.68</v>
      </c>
      <c r="C155" t="n">
        <v>478.630092</v>
      </c>
      <c r="D155" s="11" t="inlineStr">
        <is>
          <t>Juvenile large pelagic fish | Pelagic fish (&gt; 30 cm)</t>
        </is>
      </c>
      <c r="H155" t="n">
        <v>134.939141</v>
      </c>
      <c r="I155" t="n">
        <v>4341.841291</v>
      </c>
      <c r="J155" t="n">
        <v>4398.007385</v>
      </c>
      <c r="K155" t="n">
        <v>1301.694746</v>
      </c>
      <c r="L155" t="n">
        <v>7112.982475</v>
      </c>
      <c r="M155" t="n">
        <v>4967.292392</v>
      </c>
      <c r="N155" t="n">
        <v>4967.292392</v>
      </c>
      <c r="O155" t="n">
        <v>58.311114</v>
      </c>
      <c r="P155" t="n">
        <v>31.032685</v>
      </c>
      <c r="Q155" t="n">
        <v>4967.292392</v>
      </c>
      <c r="R155" t="n">
        <v>4967.292392</v>
      </c>
      <c r="S155" t="n">
        <v>58.311114</v>
      </c>
      <c r="T155" t="n">
        <v>58.311114</v>
      </c>
      <c r="U155" t="n">
        <v>31.032685</v>
      </c>
      <c r="V155" t="n">
        <v>31.032685</v>
      </c>
      <c r="W155" t="n">
        <v>61.724923</v>
      </c>
      <c r="X155" t="n">
        <v>5208.68705</v>
      </c>
    </row>
    <row r="156" ht="36" customHeight="1">
      <c r="A156" t="inlineStr">
        <is>
          <t>Lethrinidae</t>
        </is>
      </c>
      <c r="B156" t="n">
        <v>3.59</v>
      </c>
      <c r="C156" t="n">
        <v>389.045145</v>
      </c>
      <c r="D156" s="11" t="inlineStr">
        <is>
          <t>Juvenile demersal fish (&gt; 30 cm) | Adult demersal fish (&gt; 30 cm)</t>
        </is>
      </c>
      <c r="H156" t="n">
        <v>175.842593</v>
      </c>
      <c r="I156" t="n">
        <v>4469.123499</v>
      </c>
      <c r="J156" t="n">
        <v>4793.322749</v>
      </c>
      <c r="K156" t="n">
        <v>1747.151432</v>
      </c>
      <c r="L156" t="n">
        <v>10677.999207</v>
      </c>
      <c r="M156" t="n">
        <v>7305.602239</v>
      </c>
      <c r="N156" t="n">
        <v>7305.602239</v>
      </c>
      <c r="O156" t="n">
        <v>41.400447</v>
      </c>
      <c r="P156" t="n">
        <v>18.192821</v>
      </c>
      <c r="Q156" t="n">
        <v>7305.602239</v>
      </c>
      <c r="R156" t="n">
        <v>7305.602239</v>
      </c>
      <c r="S156" t="n">
        <v>41.400447</v>
      </c>
      <c r="T156" t="n">
        <v>41.400447</v>
      </c>
      <c r="U156" t="n">
        <v>18.192821</v>
      </c>
      <c r="V156" t="n">
        <v>18.192821</v>
      </c>
      <c r="W156" t="n">
        <v>43.295832</v>
      </c>
      <c r="X156" t="n">
        <v>7878.655066</v>
      </c>
    </row>
    <row r="157" ht="36" customHeight="1">
      <c r="A157" t="inlineStr">
        <is>
          <t>Scomberoides</t>
        </is>
      </c>
      <c r="B157" t="n">
        <v>4.47</v>
      </c>
      <c r="C157" t="n">
        <v>2951.209227</v>
      </c>
      <c r="D157" s="11" t="inlineStr">
        <is>
          <t>Juvenile large pelagic fish | Pelagic fish (&gt; 30 cm)</t>
        </is>
      </c>
      <c r="H157" t="n">
        <v>134.939141</v>
      </c>
      <c r="I157" t="n">
        <v>4341.841291</v>
      </c>
      <c r="J157" t="n">
        <v>4398.007385</v>
      </c>
      <c r="K157" t="n">
        <v>1301.694746</v>
      </c>
      <c r="L157" t="n">
        <v>7112.982475</v>
      </c>
      <c r="M157" t="n">
        <v>4967.292392</v>
      </c>
      <c r="N157" t="n">
        <v>4967.292392</v>
      </c>
      <c r="O157" t="n">
        <v>58.311114</v>
      </c>
      <c r="P157" t="n">
        <v>31.032685</v>
      </c>
      <c r="Q157" t="n">
        <v>4967.292392</v>
      </c>
      <c r="R157" t="n">
        <v>4967.292392</v>
      </c>
      <c r="S157" t="n">
        <v>58.311114</v>
      </c>
      <c r="T157" t="n">
        <v>58.311114</v>
      </c>
      <c r="U157" t="n">
        <v>31.032685</v>
      </c>
      <c r="V157" t="n">
        <v>31.032685</v>
      </c>
      <c r="W157" t="n">
        <v>61.724923</v>
      </c>
      <c r="X157" t="n">
        <v>5208.68705</v>
      </c>
    </row>
    <row r="158" ht="36" customHeight="1">
      <c r="A158" t="inlineStr">
        <is>
          <t>Caranx</t>
        </is>
      </c>
      <c r="B158" t="n">
        <v>4.12</v>
      </c>
      <c r="C158" t="n">
        <v>1318.256739</v>
      </c>
      <c r="D158" s="11" t="inlineStr">
        <is>
          <t>Juvenile large pelagic fish | Pelagic fish (&gt; 30 cm)</t>
        </is>
      </c>
      <c r="H158" t="n">
        <v>134.939141</v>
      </c>
      <c r="I158" t="n">
        <v>4341.841291</v>
      </c>
      <c r="J158" t="n">
        <v>4398.007385</v>
      </c>
      <c r="K158" t="n">
        <v>1301.694746</v>
      </c>
      <c r="L158" t="n">
        <v>7112.982475</v>
      </c>
      <c r="M158" t="n">
        <v>4967.292392</v>
      </c>
      <c r="N158" t="n">
        <v>4967.292392</v>
      </c>
      <c r="O158" t="n">
        <v>58.311114</v>
      </c>
      <c r="P158" t="n">
        <v>31.032685</v>
      </c>
      <c r="Q158" t="n">
        <v>4967.292392</v>
      </c>
      <c r="R158" t="n">
        <v>4967.292392</v>
      </c>
      <c r="S158" t="n">
        <v>58.311114</v>
      </c>
      <c r="T158" t="n">
        <v>58.311114</v>
      </c>
      <c r="U158" t="n">
        <v>31.032685</v>
      </c>
      <c r="V158" t="n">
        <v>31.032685</v>
      </c>
      <c r="W158" t="n">
        <v>61.724923</v>
      </c>
      <c r="X158" t="n">
        <v>5208.68705</v>
      </c>
    </row>
    <row r="159" ht="36" customHeight="1">
      <c r="A159" t="inlineStr">
        <is>
          <t>Muraenesox</t>
        </is>
      </c>
      <c r="B159" t="n">
        <v>3.99</v>
      </c>
      <c r="C159" t="n">
        <v>977.237221</v>
      </c>
      <c r="D159" s="11" t="inlineStr">
        <is>
          <t>Juvenile demersal fish (&gt; 30 cm) | Adult demersal fish (&gt; 30 cm)</t>
        </is>
      </c>
      <c r="H159" t="n">
        <v>175.842593</v>
      </c>
      <c r="I159" t="n">
        <v>4469.123499</v>
      </c>
      <c r="J159" t="n">
        <v>4793.322749</v>
      </c>
      <c r="K159" t="n">
        <v>1747.151432</v>
      </c>
      <c r="L159" t="n">
        <v>10677.999207</v>
      </c>
      <c r="M159" t="n">
        <v>7305.602239</v>
      </c>
      <c r="N159" t="n">
        <v>7305.602239</v>
      </c>
      <c r="O159" t="n">
        <v>41.400447</v>
      </c>
      <c r="P159" t="n">
        <v>18.192821</v>
      </c>
      <c r="Q159" t="n">
        <v>7305.602239</v>
      </c>
      <c r="R159" t="n">
        <v>7305.602239</v>
      </c>
      <c r="S159" t="n">
        <v>41.400447</v>
      </c>
      <c r="T159" t="n">
        <v>41.400447</v>
      </c>
      <c r="U159" t="n">
        <v>18.192821</v>
      </c>
      <c r="V159" t="n">
        <v>18.192821</v>
      </c>
      <c r="W159" t="n">
        <v>43.295832</v>
      </c>
      <c r="X159" t="n">
        <v>7878.655066</v>
      </c>
    </row>
    <row r="160" ht="21" customHeight="1">
      <c r="A160" t="inlineStr">
        <is>
          <t>Cephalopholis boenak</t>
        </is>
      </c>
      <c r="B160" t="n">
        <v>4.07</v>
      </c>
      <c r="C160" t="n">
        <v>1174.897555</v>
      </c>
      <c r="D160" s="11" t="inlineStr">
        <is>
          <t>Adult groupers</t>
        </is>
      </c>
      <c r="H160" t="n">
        <v>289.336004</v>
      </c>
      <c r="I160" t="n">
        <v>7059.021807</v>
      </c>
      <c r="J160" t="n">
        <v>7260.732834</v>
      </c>
      <c r="K160" t="n">
        <v>2722.774813</v>
      </c>
      <c r="L160" t="n">
        <v>14214.100911</v>
      </c>
      <c r="M160" t="n">
        <v>9730.75452</v>
      </c>
      <c r="N160" t="n">
        <v>9730.75452</v>
      </c>
      <c r="O160" t="n">
        <v>100.399835</v>
      </c>
      <c r="P160" t="n">
        <v>43.4623</v>
      </c>
      <c r="Q160" t="n">
        <v>9730.75452</v>
      </c>
      <c r="R160" t="n">
        <v>9730.75452</v>
      </c>
      <c r="S160" t="n">
        <v>100.399835</v>
      </c>
      <c r="T160" t="n">
        <v>100.399835</v>
      </c>
      <c r="U160" t="n">
        <v>43.4623</v>
      </c>
      <c r="V160" t="n">
        <v>43.4623</v>
      </c>
      <c r="W160" t="n">
        <v>105.723999</v>
      </c>
      <c r="X160" t="n">
        <v>10434.203054</v>
      </c>
    </row>
    <row r="161" ht="21" customHeight="1">
      <c r="A161" t="inlineStr">
        <is>
          <t>Decapterus maruadsi</t>
        </is>
      </c>
      <c r="B161" t="n">
        <v>3.4</v>
      </c>
      <c r="C161" t="n">
        <v>251.188643</v>
      </c>
      <c r="D161" s="11" t="inlineStr">
        <is>
          <t>Pelagic fish (≤ 30 cm)</t>
        </is>
      </c>
      <c r="H161" t="n">
        <v>31.538936</v>
      </c>
      <c r="I161" t="n">
        <v>277.068801</v>
      </c>
      <c r="J161" t="n">
        <v>277.068801</v>
      </c>
      <c r="K161" t="n">
        <v>263.215361</v>
      </c>
      <c r="L161" t="n">
        <v>393.787233</v>
      </c>
      <c r="M161" t="n">
        <v>277.168933</v>
      </c>
      <c r="N161" t="n">
        <v>277.168933</v>
      </c>
      <c r="O161" t="n">
        <v>14.521402</v>
      </c>
      <c r="P161" t="n">
        <v>9.426283</v>
      </c>
      <c r="Q161" t="n">
        <v>277.168933</v>
      </c>
      <c r="R161" t="n">
        <v>277.168933</v>
      </c>
      <c r="S161" t="n">
        <v>14.521402</v>
      </c>
      <c r="T161" t="n">
        <v>14.521402</v>
      </c>
      <c r="U161" t="n">
        <v>9.426283</v>
      </c>
      <c r="V161" t="n">
        <v>9.426283</v>
      </c>
      <c r="W161" t="n">
        <v>15.223157</v>
      </c>
      <c r="X161" t="n">
        <v>285.614997</v>
      </c>
    </row>
    <row r="162" ht="21" customHeight="1">
      <c r="A162" t="inlineStr">
        <is>
          <t>Veneridae</t>
        </is>
      </c>
      <c r="B162" t="n">
        <v>2</v>
      </c>
      <c r="C162" t="n">
        <v>10</v>
      </c>
      <c r="D162" s="11" t="inlineStr">
        <is>
          <t>Non-ceph molluscs</t>
        </is>
      </c>
      <c r="H162" t="n">
        <v>5.373346</v>
      </c>
      <c r="I162" t="n">
        <v>57.395403</v>
      </c>
      <c r="J162" t="n">
        <v>57.395403</v>
      </c>
      <c r="K162" t="n">
        <v>21.98244</v>
      </c>
      <c r="L162" t="n">
        <v>92.59366</v>
      </c>
      <c r="M162" t="n">
        <v>61.118924</v>
      </c>
      <c r="N162" t="n">
        <v>61.118924</v>
      </c>
      <c r="O162" t="n">
        <v>1.571536</v>
      </c>
      <c r="P162" t="n">
        <v>1.01605</v>
      </c>
      <c r="Q162" t="n">
        <v>61.118924</v>
      </c>
      <c r="R162" t="n">
        <v>61.118924</v>
      </c>
      <c r="S162" t="n">
        <v>1.571536</v>
      </c>
      <c r="T162" t="n">
        <v>1.571536</v>
      </c>
      <c r="U162" t="n">
        <v>1.01605</v>
      </c>
      <c r="V162" t="n">
        <v>1.01605</v>
      </c>
      <c r="W162" t="n">
        <v>1.626148</v>
      </c>
      <c r="X162" t="n">
        <v>63.787046</v>
      </c>
    </row>
    <row r="163" ht="21" customHeight="1">
      <c r="A163" t="inlineStr">
        <is>
          <t>Isurus</t>
        </is>
      </c>
      <c r="B163" t="n">
        <v>4.5</v>
      </c>
      <c r="C163" t="n">
        <v>3162.27766</v>
      </c>
      <c r="D163" s="11" t="inlineStr">
        <is>
          <t>Pelagic sharks and rays</t>
        </is>
      </c>
      <c r="H163" t="n">
        <v>477.293407</v>
      </c>
      <c r="I163" t="n">
        <v>86321.834013</v>
      </c>
      <c r="J163" t="n">
        <v>87278.99642</v>
      </c>
      <c r="K163" t="n">
        <v>43639.49821</v>
      </c>
      <c r="L163" t="n">
        <v>172174.15174</v>
      </c>
      <c r="M163" t="n">
        <v>119442.301921</v>
      </c>
      <c r="N163" t="n">
        <v>119442.301921</v>
      </c>
      <c r="O163" t="n">
        <v>130.775511</v>
      </c>
      <c r="P163" t="n">
        <v>57.053814</v>
      </c>
      <c r="Q163" t="n">
        <v>119442.301921</v>
      </c>
      <c r="R163" t="n">
        <v>119442.301921</v>
      </c>
      <c r="S163" t="n">
        <v>130.775511</v>
      </c>
      <c r="T163" t="n">
        <v>130.775511</v>
      </c>
      <c r="U163" t="n">
        <v>57.053814</v>
      </c>
      <c r="V163" t="n">
        <v>57.053814</v>
      </c>
      <c r="W163" t="n">
        <v>139.198598</v>
      </c>
      <c r="X163" t="n">
        <v>127625.763444</v>
      </c>
    </row>
    <row r="164" ht="36" customHeight="1">
      <c r="A164" t="inlineStr">
        <is>
          <t>Sphyraenidae</t>
        </is>
      </c>
      <c r="B164" t="n">
        <v>4.4</v>
      </c>
      <c r="C164" t="n">
        <v>2511.886432</v>
      </c>
      <c r="D164" s="11" t="inlineStr">
        <is>
          <t>Juvenile large pelagic fish | Pelagic fish (&gt; 30 cm)</t>
        </is>
      </c>
      <c r="H164" t="n">
        <v>134.939141</v>
      </c>
      <c r="I164" t="n">
        <v>4341.841291</v>
      </c>
      <c r="J164" t="n">
        <v>4398.007385</v>
      </c>
      <c r="K164" t="n">
        <v>1301.694746</v>
      </c>
      <c r="L164" t="n">
        <v>7112.982475</v>
      </c>
      <c r="M164" t="n">
        <v>4967.292392</v>
      </c>
      <c r="N164" t="n">
        <v>4967.292392</v>
      </c>
      <c r="O164" t="n">
        <v>58.311114</v>
      </c>
      <c r="P164" t="n">
        <v>31.032685</v>
      </c>
      <c r="Q164" t="n">
        <v>4967.292392</v>
      </c>
      <c r="R164" t="n">
        <v>4967.292392</v>
      </c>
      <c r="S164" t="n">
        <v>58.311114</v>
      </c>
      <c r="T164" t="n">
        <v>58.311114</v>
      </c>
      <c r="U164" t="n">
        <v>31.032685</v>
      </c>
      <c r="V164" t="n">
        <v>31.032685</v>
      </c>
      <c r="W164" t="n">
        <v>61.724923</v>
      </c>
      <c r="X164" t="n">
        <v>5208.68705</v>
      </c>
    </row>
    <row r="165" ht="21" customHeight="1">
      <c r="A165" t="inlineStr">
        <is>
          <t>Mene maculata</t>
        </is>
      </c>
      <c r="B165" t="n">
        <v>3.45</v>
      </c>
      <c r="C165" t="n">
        <v>281.838293</v>
      </c>
      <c r="D165" s="11" t="inlineStr">
        <is>
          <t>Benthopelagic fish</t>
        </is>
      </c>
      <c r="H165" t="n">
        <v>45.344864</v>
      </c>
      <c r="I165" t="n">
        <v>356.10635</v>
      </c>
      <c r="J165" t="n">
        <v>384.755747</v>
      </c>
      <c r="K165" t="n">
        <v>365.51796</v>
      </c>
      <c r="L165" t="n">
        <v>602.712303</v>
      </c>
      <c r="M165" t="n">
        <v>421.28566</v>
      </c>
      <c r="N165" t="n">
        <v>421.28566</v>
      </c>
      <c r="O165" t="n">
        <v>20.384878</v>
      </c>
      <c r="P165" t="n">
        <v>12.067619</v>
      </c>
      <c r="Q165" t="n">
        <v>421.28566</v>
      </c>
      <c r="R165" t="n">
        <v>421.28566</v>
      </c>
      <c r="S165" t="n">
        <v>20.384878</v>
      </c>
      <c r="T165" t="n">
        <v>20.384878</v>
      </c>
      <c r="U165" t="n">
        <v>12.067619</v>
      </c>
      <c r="V165" t="n">
        <v>12.067619</v>
      </c>
      <c r="W165" t="n">
        <v>20.990919</v>
      </c>
      <c r="X165" t="n">
        <v>434.828134</v>
      </c>
    </row>
    <row r="166" ht="36" customHeight="1">
      <c r="A166" t="inlineStr">
        <is>
          <t>Chirocentrus</t>
        </is>
      </c>
      <c r="B166" t="n">
        <v>4.3</v>
      </c>
      <c r="C166" t="n">
        <v>1995.262315</v>
      </c>
      <c r="D166" s="11" t="inlineStr">
        <is>
          <t>Juvenile large pelagic fish | Pelagic fish (&gt; 30 cm)</t>
        </is>
      </c>
      <c r="H166" t="n">
        <v>134.939141</v>
      </c>
      <c r="I166" t="n">
        <v>4341.841291</v>
      </c>
      <c r="J166" t="n">
        <v>4398.007385</v>
      </c>
      <c r="K166" t="n">
        <v>1301.694746</v>
      </c>
      <c r="L166" t="n">
        <v>7112.982475</v>
      </c>
      <c r="M166" t="n">
        <v>4967.292392</v>
      </c>
      <c r="N166" t="n">
        <v>4967.292392</v>
      </c>
      <c r="O166" t="n">
        <v>58.311114</v>
      </c>
      <c r="P166" t="n">
        <v>31.032685</v>
      </c>
      <c r="Q166" t="n">
        <v>4967.292392</v>
      </c>
      <c r="R166" t="n">
        <v>4967.292392</v>
      </c>
      <c r="S166" t="n">
        <v>58.311114</v>
      </c>
      <c r="T166" t="n">
        <v>58.311114</v>
      </c>
      <c r="U166" t="n">
        <v>31.032685</v>
      </c>
      <c r="V166" t="n">
        <v>31.032685</v>
      </c>
      <c r="W166" t="n">
        <v>61.724923</v>
      </c>
      <c r="X166" t="n">
        <v>5208.68705</v>
      </c>
    </row>
    <row r="167" ht="21" customHeight="1">
      <c r="A167" t="inlineStr">
        <is>
          <t>Portunus</t>
        </is>
      </c>
      <c r="B167" t="n">
        <v>3.26</v>
      </c>
      <c r="C167" t="n">
        <v>181.970086</v>
      </c>
      <c r="D167" s="11" t="inlineStr">
        <is>
          <t>Crabs</t>
        </is>
      </c>
      <c r="H167" t="n">
        <v>15.007847</v>
      </c>
      <c r="I167" t="n">
        <v>98.72009199999999</v>
      </c>
      <c r="J167" t="n">
        <v>98.72009199999999</v>
      </c>
      <c r="K167" t="n">
        <v>93.784087</v>
      </c>
      <c r="L167" t="n">
        <v>173.938876</v>
      </c>
      <c r="M167" t="n">
        <v>115.203607</v>
      </c>
      <c r="N167" t="n">
        <v>115.203607</v>
      </c>
      <c r="O167" t="n">
        <v>4.263184</v>
      </c>
      <c r="P167" t="n">
        <v>2.411197</v>
      </c>
      <c r="Q167" t="n">
        <v>115.203607</v>
      </c>
      <c r="R167" t="n">
        <v>115.203607</v>
      </c>
      <c r="S167" t="n">
        <v>4.263184</v>
      </c>
      <c r="T167" t="n">
        <v>4.263184</v>
      </c>
      <c r="U167" t="n">
        <v>2.411197</v>
      </c>
      <c r="V167" t="n">
        <v>2.411197</v>
      </c>
      <c r="W167" t="n">
        <v>4.428691</v>
      </c>
      <c r="X167" t="n">
        <v>122.757859</v>
      </c>
    </row>
    <row r="168" ht="51" customHeight="1">
      <c r="A168" t="inlineStr">
        <is>
          <t>Pleuronectiformes</t>
        </is>
      </c>
      <c r="B168" t="n">
        <v>3.57</v>
      </c>
      <c r="C168" t="n">
        <v>371.535229</v>
      </c>
      <c r="D168" s="11" t="inlineStr">
        <is>
          <t>Demesral fish (≤ 30 cm) | Juvenile demersal fish (&gt; 30 cm) | Adult demersal fish (&gt; 30 cm)</t>
        </is>
      </c>
      <c r="H168" t="n">
        <v>126.494265</v>
      </c>
      <c r="I168" t="n">
        <v>2895.31657</v>
      </c>
      <c r="J168" t="n">
        <v>3100.990647</v>
      </c>
      <c r="K168" t="n">
        <v>1221.259727</v>
      </c>
      <c r="L168" t="n">
        <v>6846.4367</v>
      </c>
      <c r="M168" t="n">
        <v>4683.836246</v>
      </c>
      <c r="N168" t="n">
        <v>4683.836246</v>
      </c>
      <c r="O168" t="n">
        <v>33.070685</v>
      </c>
      <c r="P168" t="n">
        <v>15.260526</v>
      </c>
      <c r="Q168" t="n">
        <v>4683.836246</v>
      </c>
      <c r="R168" t="n">
        <v>4683.836246</v>
      </c>
      <c r="S168" t="n">
        <v>33.070685</v>
      </c>
      <c r="T168" t="n">
        <v>33.070685</v>
      </c>
      <c r="U168" t="n">
        <v>15.260526</v>
      </c>
      <c r="V168" t="n">
        <v>15.260526</v>
      </c>
      <c r="W168" t="n">
        <v>34.564338</v>
      </c>
      <c r="X168" t="n">
        <v>5045.299884</v>
      </c>
    </row>
    <row r="169" ht="51" customHeight="1">
      <c r="A169" t="inlineStr">
        <is>
          <t>Paralichthys olivaceus</t>
        </is>
      </c>
      <c r="B169" t="n">
        <v>4.25</v>
      </c>
      <c r="C169" t="n">
        <v>1778.27941</v>
      </c>
      <c r="D169" s="11" t="inlineStr">
        <is>
          <t>Demesral fish (≤ 30 cm) | Juvenile demersal fish (&gt; 30 cm) | Adult demersal fish (&gt; 30 cm)</t>
        </is>
      </c>
      <c r="H169" t="n">
        <v>126.494265</v>
      </c>
      <c r="I169" t="n">
        <v>2895.31657</v>
      </c>
      <c r="J169" t="n">
        <v>3100.990647</v>
      </c>
      <c r="K169" t="n">
        <v>1221.259727</v>
      </c>
      <c r="L169" t="n">
        <v>6846.4367</v>
      </c>
      <c r="M169" t="n">
        <v>4683.836246</v>
      </c>
      <c r="N169" t="n">
        <v>4683.836246</v>
      </c>
      <c r="O169" t="n">
        <v>33.070685</v>
      </c>
      <c r="P169" t="n">
        <v>15.260526</v>
      </c>
      <c r="Q169" t="n">
        <v>4683.836246</v>
      </c>
      <c r="R169" t="n">
        <v>4683.836246</v>
      </c>
      <c r="S169" t="n">
        <v>33.070685</v>
      </c>
      <c r="T169" t="n">
        <v>33.070685</v>
      </c>
      <c r="U169" t="n">
        <v>15.260526</v>
      </c>
      <c r="V169" t="n">
        <v>15.260526</v>
      </c>
      <c r="W169" t="n">
        <v>34.564338</v>
      </c>
      <c r="X169" t="n">
        <v>5045.299884</v>
      </c>
    </row>
    <row r="170" ht="21" customHeight="1">
      <c r="A170" t="inlineStr">
        <is>
          <t>Polynemidae</t>
        </is>
      </c>
      <c r="B170" t="n">
        <v>3.62</v>
      </c>
      <c r="C170" t="n">
        <v>416.869383</v>
      </c>
      <c r="D170" s="11" t="inlineStr">
        <is>
          <t>Demesral fish (≤ 30 cm)</t>
        </is>
      </c>
      <c r="H170" t="n">
        <v>47.821434</v>
      </c>
      <c r="I170" t="n">
        <v>386.298429</v>
      </c>
      <c r="J170" t="n">
        <v>403.015522</v>
      </c>
      <c r="K170" t="n">
        <v>382.864746</v>
      </c>
      <c r="L170" t="n">
        <v>738.02552</v>
      </c>
      <c r="M170" t="n">
        <v>504.12505</v>
      </c>
      <c r="N170" t="n">
        <v>504.12505</v>
      </c>
      <c r="O170" t="n">
        <v>19.791087</v>
      </c>
      <c r="P170" t="n">
        <v>10.585758</v>
      </c>
      <c r="Q170" t="n">
        <v>504.12505</v>
      </c>
      <c r="R170" t="n">
        <v>504.12505</v>
      </c>
      <c r="S170" t="n">
        <v>19.791087</v>
      </c>
      <c r="T170" t="n">
        <v>19.791087</v>
      </c>
      <c r="U170" t="n">
        <v>10.585758</v>
      </c>
      <c r="V170" t="n">
        <v>10.585758</v>
      </c>
      <c r="W170" t="n">
        <v>20.644284</v>
      </c>
      <c r="X170" t="n">
        <v>528.265792</v>
      </c>
    </row>
    <row r="171" ht="36" customHeight="1">
      <c r="A171" t="inlineStr">
        <is>
          <t>Caranx ignobilis</t>
        </is>
      </c>
      <c r="B171" t="n">
        <v>4.22</v>
      </c>
      <c r="C171" t="n">
        <v>1659.586907</v>
      </c>
      <c r="D171" s="11" t="inlineStr">
        <is>
          <t>Juvenile large pelagic fish | Pelagic fish (&gt; 30 cm)</t>
        </is>
      </c>
      <c r="H171" t="n">
        <v>134.939141</v>
      </c>
      <c r="I171" t="n">
        <v>4341.841291</v>
      </c>
      <c r="J171" t="n">
        <v>4398.007385</v>
      </c>
      <c r="K171" t="n">
        <v>1301.694746</v>
      </c>
      <c r="L171" t="n">
        <v>7112.982475</v>
      </c>
      <c r="M171" t="n">
        <v>4967.292392</v>
      </c>
      <c r="N171" t="n">
        <v>4967.292392</v>
      </c>
      <c r="O171" t="n">
        <v>58.311114</v>
      </c>
      <c r="P171" t="n">
        <v>31.032685</v>
      </c>
      <c r="Q171" t="n">
        <v>4967.292392</v>
      </c>
      <c r="R171" t="n">
        <v>4967.292392</v>
      </c>
      <c r="S171" t="n">
        <v>58.311114</v>
      </c>
      <c r="T171" t="n">
        <v>58.311114</v>
      </c>
      <c r="U171" t="n">
        <v>31.032685</v>
      </c>
      <c r="V171" t="n">
        <v>31.032685</v>
      </c>
      <c r="W171" t="n">
        <v>61.724923</v>
      </c>
      <c r="X171" t="n">
        <v>5208.68705</v>
      </c>
    </row>
    <row r="172" ht="36" customHeight="1">
      <c r="A172" t="inlineStr">
        <is>
          <t>Pomadasys</t>
        </is>
      </c>
      <c r="B172" t="n">
        <v>3.59</v>
      </c>
      <c r="C172" t="n">
        <v>389.045145</v>
      </c>
      <c r="D172" s="11" t="inlineStr">
        <is>
          <t>Juvenile demersal fish (&gt; 30 cm) | Adult demersal fish (&gt; 30 cm)</t>
        </is>
      </c>
      <c r="H172" t="n">
        <v>175.842593</v>
      </c>
      <c r="I172" t="n">
        <v>4469.123499</v>
      </c>
      <c r="J172" t="n">
        <v>4793.322749</v>
      </c>
      <c r="K172" t="n">
        <v>1747.151432</v>
      </c>
      <c r="L172" t="n">
        <v>10677.999207</v>
      </c>
      <c r="M172" t="n">
        <v>7305.602239</v>
      </c>
      <c r="N172" t="n">
        <v>7305.602239</v>
      </c>
      <c r="O172" t="n">
        <v>41.400447</v>
      </c>
      <c r="P172" t="n">
        <v>18.192821</v>
      </c>
      <c r="Q172" t="n">
        <v>7305.602239</v>
      </c>
      <c r="R172" t="n">
        <v>7305.602239</v>
      </c>
      <c r="S172" t="n">
        <v>41.400447</v>
      </c>
      <c r="T172" t="n">
        <v>41.400447</v>
      </c>
      <c r="U172" t="n">
        <v>18.192821</v>
      </c>
      <c r="V172" t="n">
        <v>18.192821</v>
      </c>
      <c r="W172" t="n">
        <v>43.295832</v>
      </c>
      <c r="X172" t="n">
        <v>7878.655066</v>
      </c>
    </row>
    <row r="173" ht="21" customHeight="1">
      <c r="A173" t="inlineStr">
        <is>
          <t>Gastropoda</t>
        </is>
      </c>
      <c r="B173" t="n">
        <v>3.06</v>
      </c>
      <c r="C173" t="n">
        <v>114.815362</v>
      </c>
      <c r="D173" s="11" t="inlineStr">
        <is>
          <t>Non-ceph molluscs</t>
        </is>
      </c>
      <c r="H173" t="n">
        <v>5.373346</v>
      </c>
      <c r="I173" t="n">
        <v>57.395403</v>
      </c>
      <c r="J173" t="n">
        <v>57.395403</v>
      </c>
      <c r="K173" t="n">
        <v>21.98244</v>
      </c>
      <c r="L173" t="n">
        <v>92.59366</v>
      </c>
      <c r="M173" t="n">
        <v>61.118924</v>
      </c>
      <c r="N173" t="n">
        <v>61.118924</v>
      </c>
      <c r="O173" t="n">
        <v>1.571536</v>
      </c>
      <c r="P173" t="n">
        <v>1.01605</v>
      </c>
      <c r="Q173" t="n">
        <v>61.118924</v>
      </c>
      <c r="R173" t="n">
        <v>61.118924</v>
      </c>
      <c r="S173" t="n">
        <v>1.571536</v>
      </c>
      <c r="T173" t="n">
        <v>1.571536</v>
      </c>
      <c r="U173" t="n">
        <v>1.01605</v>
      </c>
      <c r="V173" t="n">
        <v>1.01605</v>
      </c>
      <c r="W173" t="n">
        <v>1.626148</v>
      </c>
      <c r="X173" t="n">
        <v>63.787046</v>
      </c>
    </row>
    <row r="174" ht="21" customHeight="1">
      <c r="A174" t="inlineStr">
        <is>
          <t>Psenopsis anomala</t>
        </is>
      </c>
      <c r="B174" t="n">
        <v>4</v>
      </c>
      <c r="C174" t="n">
        <v>1000</v>
      </c>
      <c r="D174" s="11" t="inlineStr">
        <is>
          <t>Melon seed</t>
        </is>
      </c>
      <c r="H174" t="n">
        <v>60.31974</v>
      </c>
      <c r="I174" t="n">
        <v>1177.16154</v>
      </c>
      <c r="J174" t="n">
        <v>1195.655025</v>
      </c>
      <c r="K174" t="n">
        <v>1152.611444</v>
      </c>
      <c r="L174" t="n">
        <v>1871.214813</v>
      </c>
      <c r="M174" t="n">
        <v>1311.730037</v>
      </c>
      <c r="N174" t="n">
        <v>1311.730037</v>
      </c>
      <c r="O174" t="n">
        <v>55.773896</v>
      </c>
      <c r="P174" t="n">
        <v>33.032951</v>
      </c>
      <c r="Q174" t="n">
        <v>1311.730037</v>
      </c>
      <c r="R174" t="n">
        <v>1311.730037</v>
      </c>
      <c r="S174" t="n">
        <v>55.773896</v>
      </c>
      <c r="T174" t="n">
        <v>55.773896</v>
      </c>
      <c r="U174" t="n">
        <v>33.032951</v>
      </c>
      <c r="V174" t="n">
        <v>33.032951</v>
      </c>
      <c r="W174" t="n">
        <v>58.879471</v>
      </c>
      <c r="X174" t="n">
        <v>1355.147411</v>
      </c>
    </row>
    <row r="175" ht="36" customHeight="1">
      <c r="A175" t="inlineStr">
        <is>
          <t>Platycephalus indicus</t>
        </is>
      </c>
      <c r="B175" t="n">
        <v>3.6</v>
      </c>
      <c r="C175" t="n">
        <v>398.107171</v>
      </c>
      <c r="D175" s="11" t="inlineStr">
        <is>
          <t>Juvenile demersal fish (&gt; 30 cm) | Adult demersal fish (&gt; 30 cm)</t>
        </is>
      </c>
      <c r="H175" t="n">
        <v>175.842593</v>
      </c>
      <c r="I175" t="n">
        <v>4469.123499</v>
      </c>
      <c r="J175" t="n">
        <v>4793.322749</v>
      </c>
      <c r="K175" t="n">
        <v>1747.151432</v>
      </c>
      <c r="L175" t="n">
        <v>10677.999207</v>
      </c>
      <c r="M175" t="n">
        <v>7305.602239</v>
      </c>
      <c r="N175" t="n">
        <v>7305.602239</v>
      </c>
      <c r="O175" t="n">
        <v>41.400447</v>
      </c>
      <c r="P175" t="n">
        <v>18.192821</v>
      </c>
      <c r="Q175" t="n">
        <v>7305.602239</v>
      </c>
      <c r="R175" t="n">
        <v>7305.602239</v>
      </c>
      <c r="S175" t="n">
        <v>41.400447</v>
      </c>
      <c r="T175" t="n">
        <v>41.400447</v>
      </c>
      <c r="U175" t="n">
        <v>18.192821</v>
      </c>
      <c r="V175" t="n">
        <v>18.192821</v>
      </c>
      <c r="W175" t="n">
        <v>43.295832</v>
      </c>
      <c r="X175" t="n">
        <v>7878.655066</v>
      </c>
    </row>
    <row r="176" ht="21" customHeight="1">
      <c r="A176" t="inlineStr">
        <is>
          <t>Ommastrephidae</t>
        </is>
      </c>
      <c r="B176" t="n">
        <v>4.09</v>
      </c>
      <c r="C176" t="n">
        <v>1230.268771</v>
      </c>
      <c r="D176" s="11" t="inlineStr">
        <is>
          <t>Cephalopods</t>
        </is>
      </c>
      <c r="H176" t="n">
        <v>99.09704499999999</v>
      </c>
      <c r="I176" t="n">
        <v>726.768274</v>
      </c>
      <c r="J176" t="n">
        <v>743.903747</v>
      </c>
      <c r="K176" t="n">
        <v>371.951873</v>
      </c>
      <c r="L176" t="n">
        <v>1659.687874</v>
      </c>
      <c r="M176" t="n">
        <v>1154.615618</v>
      </c>
      <c r="N176" t="n">
        <v>1154.615618</v>
      </c>
      <c r="O176" t="n">
        <v>19.267286</v>
      </c>
      <c r="P176" t="n">
        <v>9.928678</v>
      </c>
      <c r="Q176" t="n">
        <v>1154.615618</v>
      </c>
      <c r="R176" t="n">
        <v>1154.615618</v>
      </c>
      <c r="S176" t="n">
        <v>19.267286</v>
      </c>
      <c r="T176" t="n">
        <v>19.267286</v>
      </c>
      <c r="U176" t="n">
        <v>9.928678</v>
      </c>
      <c r="V176" t="n">
        <v>9.928678</v>
      </c>
      <c r="W176" t="n">
        <v>19.883589</v>
      </c>
      <c r="X176" t="n">
        <v>1235.144457</v>
      </c>
    </row>
    <row r="177" ht="21" customHeight="1">
      <c r="A177" t="inlineStr">
        <is>
          <t>Gobiidae</t>
        </is>
      </c>
      <c r="B177" t="n">
        <v>3.11</v>
      </c>
      <c r="C177" t="n">
        <v>128.824955</v>
      </c>
      <c r="D177" s="11" t="inlineStr">
        <is>
          <t>Demesral fish (≤ 30 cm)</t>
        </is>
      </c>
      <c r="H177" t="n">
        <v>47.821434</v>
      </c>
      <c r="I177" t="n">
        <v>386.298429</v>
      </c>
      <c r="J177" t="n">
        <v>403.015522</v>
      </c>
      <c r="K177" t="n">
        <v>382.864746</v>
      </c>
      <c r="L177" t="n">
        <v>738.02552</v>
      </c>
      <c r="M177" t="n">
        <v>504.12505</v>
      </c>
      <c r="N177" t="n">
        <v>504.12505</v>
      </c>
      <c r="O177" t="n">
        <v>19.791087</v>
      </c>
      <c r="P177" t="n">
        <v>10.585758</v>
      </c>
      <c r="Q177" t="n">
        <v>504.12505</v>
      </c>
      <c r="R177" t="n">
        <v>504.12505</v>
      </c>
      <c r="S177" t="n">
        <v>19.791087</v>
      </c>
      <c r="T177" t="n">
        <v>19.791087</v>
      </c>
      <c r="U177" t="n">
        <v>10.585758</v>
      </c>
      <c r="V177" t="n">
        <v>10.585758</v>
      </c>
      <c r="W177" t="n">
        <v>20.644284</v>
      </c>
      <c r="X177" t="n">
        <v>528.265792</v>
      </c>
    </row>
    <row r="178" ht="21" customHeight="1">
      <c r="A178" t="inlineStr">
        <is>
          <t>Cephea</t>
        </is>
      </c>
      <c r="B178" t="n">
        <v>3.46</v>
      </c>
      <c r="C178" t="n">
        <v>288.40315</v>
      </c>
      <c r="D178" s="11" t="inlineStr">
        <is>
          <t>Jellyfish</t>
        </is>
      </c>
      <c r="H178" t="n">
        <v>39.760554</v>
      </c>
      <c r="I178" t="n">
        <v>328.238379</v>
      </c>
      <c r="J178" t="n">
        <v>331.758128</v>
      </c>
      <c r="K178" t="n">
        <v>315.170222</v>
      </c>
      <c r="L178" t="n">
        <v>711.02964</v>
      </c>
      <c r="M178" t="n">
        <v>500.527879</v>
      </c>
      <c r="N178" t="n">
        <v>500.527879</v>
      </c>
      <c r="O178" t="n">
        <v>24.014036</v>
      </c>
      <c r="P178" t="n">
        <v>13.841438</v>
      </c>
      <c r="Q178" t="n">
        <v>500.527879</v>
      </c>
      <c r="R178" t="n">
        <v>500.527879</v>
      </c>
      <c r="S178" t="n">
        <v>24.014036</v>
      </c>
      <c r="T178" t="n">
        <v>24.014036</v>
      </c>
      <c r="U178" t="n">
        <v>13.841438</v>
      </c>
      <c r="V178" t="n">
        <v>13.841438</v>
      </c>
      <c r="W178" t="n">
        <v>25.185127</v>
      </c>
      <c r="X178" t="n">
        <v>532.786051</v>
      </c>
    </row>
    <row r="179" ht="36" customHeight="1">
      <c r="A179" t="inlineStr">
        <is>
          <t>Haemulidae</t>
        </is>
      </c>
      <c r="B179" t="n">
        <v>3.36</v>
      </c>
      <c r="C179" t="n">
        <v>229.086765</v>
      </c>
      <c r="D179" s="11" t="inlineStr">
        <is>
          <t>Juvenile demersal fish (&gt; 30 cm) | Adult demersal fish (&gt; 30 cm)</t>
        </is>
      </c>
      <c r="H179" t="n">
        <v>175.842593</v>
      </c>
      <c r="I179" t="n">
        <v>4469.123499</v>
      </c>
      <c r="J179" t="n">
        <v>4793.322749</v>
      </c>
      <c r="K179" t="n">
        <v>1747.151432</v>
      </c>
      <c r="L179" t="n">
        <v>10677.999207</v>
      </c>
      <c r="M179" t="n">
        <v>7305.602239</v>
      </c>
      <c r="N179" t="n">
        <v>7305.602239</v>
      </c>
      <c r="O179" t="n">
        <v>41.400447</v>
      </c>
      <c r="P179" t="n">
        <v>18.192821</v>
      </c>
      <c r="Q179" t="n">
        <v>7305.602239</v>
      </c>
      <c r="R179" t="n">
        <v>7305.602239</v>
      </c>
      <c r="S179" t="n">
        <v>41.400447</v>
      </c>
      <c r="T179" t="n">
        <v>41.400447</v>
      </c>
      <c r="U179" t="n">
        <v>18.192821</v>
      </c>
      <c r="V179" t="n">
        <v>18.192821</v>
      </c>
      <c r="W179" t="n">
        <v>43.295832</v>
      </c>
      <c r="X179" t="n">
        <v>7878.655066</v>
      </c>
    </row>
    <row r="180" ht="21" customHeight="1">
      <c r="A180" t="inlineStr">
        <is>
          <t>Mytilidae</t>
        </is>
      </c>
      <c r="B180" t="n">
        <v>2</v>
      </c>
      <c r="C180" t="n">
        <v>10</v>
      </c>
      <c r="D180" s="11" t="inlineStr">
        <is>
          <t>Non-ceph molluscs</t>
        </is>
      </c>
      <c r="H180" t="n">
        <v>5.373346</v>
      </c>
      <c r="I180" t="n">
        <v>57.395403</v>
      </c>
      <c r="J180" t="n">
        <v>57.395403</v>
      </c>
      <c r="K180" t="n">
        <v>21.98244</v>
      </c>
      <c r="L180" t="n">
        <v>92.59366</v>
      </c>
      <c r="M180" t="n">
        <v>61.118924</v>
      </c>
      <c r="N180" t="n">
        <v>61.118924</v>
      </c>
      <c r="O180" t="n">
        <v>1.571536</v>
      </c>
      <c r="P180" t="n">
        <v>1.01605</v>
      </c>
      <c r="Q180" t="n">
        <v>61.118924</v>
      </c>
      <c r="R180" t="n">
        <v>61.118924</v>
      </c>
      <c r="S180" t="n">
        <v>1.571536</v>
      </c>
      <c r="T180" t="n">
        <v>1.571536</v>
      </c>
      <c r="U180" t="n">
        <v>1.01605</v>
      </c>
      <c r="V180" t="n">
        <v>1.01605</v>
      </c>
      <c r="W180" t="n">
        <v>1.626148</v>
      </c>
      <c r="X180" t="n">
        <v>63.787046</v>
      </c>
    </row>
    <row r="181" ht="21" customHeight="1">
      <c r="A181" t="inlineStr">
        <is>
          <t>Upeneus moluccensis</t>
        </is>
      </c>
      <c r="B181" t="n">
        <v>3.63</v>
      </c>
      <c r="C181" t="n">
        <v>426.579519</v>
      </c>
      <c r="D181" s="11" t="inlineStr">
        <is>
          <t>Demesral fish (≤ 30 cm)</t>
        </is>
      </c>
      <c r="H181" t="n">
        <v>47.821434</v>
      </c>
      <c r="I181" t="n">
        <v>386.298429</v>
      </c>
      <c r="J181" t="n">
        <v>403.015522</v>
      </c>
      <c r="K181" t="n">
        <v>382.864746</v>
      </c>
      <c r="L181" t="n">
        <v>738.02552</v>
      </c>
      <c r="M181" t="n">
        <v>504.12505</v>
      </c>
      <c r="N181" t="n">
        <v>504.12505</v>
      </c>
      <c r="O181" t="n">
        <v>19.791087</v>
      </c>
      <c r="P181" t="n">
        <v>10.585758</v>
      </c>
      <c r="Q181" t="n">
        <v>504.12505</v>
      </c>
      <c r="R181" t="n">
        <v>504.12505</v>
      </c>
      <c r="S181" t="n">
        <v>19.791087</v>
      </c>
      <c r="T181" t="n">
        <v>19.791087</v>
      </c>
      <c r="U181" t="n">
        <v>10.585758</v>
      </c>
      <c r="V181" t="n">
        <v>10.585758</v>
      </c>
      <c r="W181" t="n">
        <v>20.644284</v>
      </c>
      <c r="X181" t="n">
        <v>528.265792</v>
      </c>
    </row>
    <row r="182" ht="21" customHeight="1">
      <c r="A182" t="inlineStr">
        <is>
          <t>Perna viridis</t>
        </is>
      </c>
      <c r="B182" t="n">
        <v>2</v>
      </c>
      <c r="C182" t="n">
        <v>10</v>
      </c>
      <c r="D182" s="11" t="inlineStr">
        <is>
          <t>Non-ceph molluscs</t>
        </is>
      </c>
      <c r="H182" t="n">
        <v>5.373346</v>
      </c>
      <c r="I182" t="n">
        <v>57.395403</v>
      </c>
      <c r="J182" t="n">
        <v>57.395403</v>
      </c>
      <c r="K182" t="n">
        <v>21.98244</v>
      </c>
      <c r="L182" t="n">
        <v>92.59366</v>
      </c>
      <c r="M182" t="n">
        <v>61.118924</v>
      </c>
      <c r="N182" t="n">
        <v>61.118924</v>
      </c>
      <c r="O182" t="n">
        <v>1.571536</v>
      </c>
      <c r="P182" t="n">
        <v>1.01605</v>
      </c>
      <c r="Q182" t="n">
        <v>61.118924</v>
      </c>
      <c r="R182" t="n">
        <v>61.118924</v>
      </c>
      <c r="S182" t="n">
        <v>1.571536</v>
      </c>
      <c r="T182" t="n">
        <v>1.571536</v>
      </c>
      <c r="U182" t="n">
        <v>1.01605</v>
      </c>
      <c r="V182" t="n">
        <v>1.01605</v>
      </c>
      <c r="W182" t="n">
        <v>1.626148</v>
      </c>
      <c r="X182" t="n">
        <v>63.787046</v>
      </c>
    </row>
    <row r="183" ht="36" customHeight="1">
      <c r="A183" t="inlineStr">
        <is>
          <t>Terapon</t>
        </is>
      </c>
      <c r="B183" t="n">
        <v>3.5</v>
      </c>
      <c r="C183" t="n">
        <v>316.227766</v>
      </c>
      <c r="D183" s="11" t="inlineStr">
        <is>
          <t>Juvenile demersal fish (&gt; 30 cm) | Adult demersal fish (&gt; 30 cm)</t>
        </is>
      </c>
      <c r="H183" t="n">
        <v>175.842593</v>
      </c>
      <c r="I183" t="n">
        <v>4469.123499</v>
      </c>
      <c r="J183" t="n">
        <v>4793.322749</v>
      </c>
      <c r="K183" t="n">
        <v>1747.151432</v>
      </c>
      <c r="L183" t="n">
        <v>10677.999207</v>
      </c>
      <c r="M183" t="n">
        <v>7305.602239</v>
      </c>
      <c r="N183" t="n">
        <v>7305.602239</v>
      </c>
      <c r="O183" t="n">
        <v>41.400447</v>
      </c>
      <c r="P183" t="n">
        <v>18.192821</v>
      </c>
      <c r="Q183" t="n">
        <v>7305.602239</v>
      </c>
      <c r="R183" t="n">
        <v>7305.602239</v>
      </c>
      <c r="S183" t="n">
        <v>41.400447</v>
      </c>
      <c r="T183" t="n">
        <v>41.400447</v>
      </c>
      <c r="U183" t="n">
        <v>18.192821</v>
      </c>
      <c r="V183" t="n">
        <v>18.192821</v>
      </c>
      <c r="W183" t="n">
        <v>43.295832</v>
      </c>
      <c r="X183" t="n">
        <v>7878.655066</v>
      </c>
    </row>
    <row r="184" ht="21" customHeight="1">
      <c r="A184" t="inlineStr">
        <is>
          <t>Pampus chinensis</t>
        </is>
      </c>
      <c r="B184" t="n">
        <v>3.6</v>
      </c>
      <c r="C184" t="n">
        <v>398.107171</v>
      </c>
      <c r="D184" s="11" t="inlineStr">
        <is>
          <t>Pomfret (stromateids)</t>
        </is>
      </c>
      <c r="H184" t="n">
        <v>174.433913</v>
      </c>
      <c r="I184" t="n">
        <v>1107.715094</v>
      </c>
      <c r="J184" t="n">
        <v>1152.41915</v>
      </c>
      <c r="K184" t="n">
        <v>1094.798192</v>
      </c>
      <c r="L184" t="n">
        <v>2274.19106</v>
      </c>
      <c r="M184" t="n">
        <v>1598.007907</v>
      </c>
      <c r="N184" t="n">
        <v>1598.007907</v>
      </c>
      <c r="O184" t="n">
        <v>71.350959</v>
      </c>
      <c r="P184" t="n">
        <v>34.506697</v>
      </c>
      <c r="Q184" t="n">
        <v>1598.007907</v>
      </c>
      <c r="R184" t="n">
        <v>1598.007907</v>
      </c>
      <c r="S184" t="n">
        <v>71.350959</v>
      </c>
      <c r="T184" t="n">
        <v>71.350959</v>
      </c>
      <c r="U184" t="n">
        <v>34.506697</v>
      </c>
      <c r="V184" t="n">
        <v>34.506697</v>
      </c>
      <c r="W184" t="n">
        <v>75.453034</v>
      </c>
      <c r="X184" t="n">
        <v>1713.88012</v>
      </c>
    </row>
    <row r="185" ht="21" customHeight="1">
      <c r="A185" t="inlineStr">
        <is>
          <t>Rhizostomeae</t>
        </is>
      </c>
      <c r="B185" t="n">
        <v>3.46</v>
      </c>
      <c r="C185" t="n">
        <v>288.40315</v>
      </c>
      <c r="D185" s="11" t="inlineStr">
        <is>
          <t>Jellyfish</t>
        </is>
      </c>
      <c r="H185" t="n">
        <v>39.760554</v>
      </c>
      <c r="I185" t="n">
        <v>328.238379</v>
      </c>
      <c r="J185" t="n">
        <v>331.758128</v>
      </c>
      <c r="K185" t="n">
        <v>315.170222</v>
      </c>
      <c r="L185" t="n">
        <v>711.02964</v>
      </c>
      <c r="M185" t="n">
        <v>500.527879</v>
      </c>
      <c r="N185" t="n">
        <v>500.527879</v>
      </c>
      <c r="O185" t="n">
        <v>24.014036</v>
      </c>
      <c r="P185" t="n">
        <v>13.841438</v>
      </c>
      <c r="Q185" t="n">
        <v>500.527879</v>
      </c>
      <c r="R185" t="n">
        <v>500.527879</v>
      </c>
      <c r="S185" t="n">
        <v>24.014036</v>
      </c>
      <c r="T185" t="n">
        <v>24.014036</v>
      </c>
      <c r="U185" t="n">
        <v>13.841438</v>
      </c>
      <c r="V185" t="n">
        <v>13.841438</v>
      </c>
      <c r="W185" t="n">
        <v>25.185127</v>
      </c>
      <c r="X185" t="n">
        <v>532.786051</v>
      </c>
    </row>
    <row r="186" ht="36" customHeight="1">
      <c r="A186" t="inlineStr">
        <is>
          <t>Sillago</t>
        </is>
      </c>
      <c r="B186" t="n">
        <v>3.33</v>
      </c>
      <c r="C186" t="n">
        <v>213.796209</v>
      </c>
      <c r="D186" s="11" t="inlineStr">
        <is>
          <t>Juvenile demersal fish (&gt; 30 cm) | Adult demersal fish (&gt; 30 cm)</t>
        </is>
      </c>
      <c r="H186" t="n">
        <v>175.842593</v>
      </c>
      <c r="I186" t="n">
        <v>4469.123499</v>
      </c>
      <c r="J186" t="n">
        <v>4793.322749</v>
      </c>
      <c r="K186" t="n">
        <v>1747.151432</v>
      </c>
      <c r="L186" t="n">
        <v>10677.999207</v>
      </c>
      <c r="M186" t="n">
        <v>7305.602239</v>
      </c>
      <c r="N186" t="n">
        <v>7305.602239</v>
      </c>
      <c r="O186" t="n">
        <v>41.400447</v>
      </c>
      <c r="P186" t="n">
        <v>18.192821</v>
      </c>
      <c r="Q186" t="n">
        <v>7305.602239</v>
      </c>
      <c r="R186" t="n">
        <v>7305.602239</v>
      </c>
      <c r="S186" t="n">
        <v>41.400447</v>
      </c>
      <c r="T186" t="n">
        <v>41.400447</v>
      </c>
      <c r="U186" t="n">
        <v>18.192821</v>
      </c>
      <c r="V186" t="n">
        <v>18.192821</v>
      </c>
      <c r="W186" t="n">
        <v>43.295832</v>
      </c>
      <c r="X186" t="n">
        <v>7878.655066</v>
      </c>
    </row>
    <row r="187" ht="21" customHeight="1">
      <c r="A187" t="inlineStr">
        <is>
          <t>Scyllaridae</t>
        </is>
      </c>
      <c r="B187" t="n">
        <v>2.87</v>
      </c>
      <c r="C187" t="n">
        <v>74.131024</v>
      </c>
      <c r="D187" s="11" t="inlineStr">
        <is>
          <t>Benthic crustaceans</t>
        </is>
      </c>
      <c r="H187" t="n">
        <v>7.00619</v>
      </c>
      <c r="I187" t="n">
        <v>71.47126299999999</v>
      </c>
      <c r="J187" t="n">
        <v>71.47126299999999</v>
      </c>
      <c r="K187" t="n">
        <v>44.598068</v>
      </c>
      <c r="L187" t="n">
        <v>113.463496</v>
      </c>
      <c r="M187" t="n">
        <v>73.744072</v>
      </c>
      <c r="N187" t="n">
        <v>73.744072</v>
      </c>
      <c r="O187" t="n">
        <v>2.758573</v>
      </c>
      <c r="P187" t="n">
        <v>1.846527</v>
      </c>
      <c r="Q187" t="n">
        <v>73.744072</v>
      </c>
      <c r="R187" t="n">
        <v>73.744072</v>
      </c>
      <c r="S187" t="n">
        <v>2.758573</v>
      </c>
      <c r="T187" t="n">
        <v>2.758573</v>
      </c>
      <c r="U187" t="n">
        <v>1.846527</v>
      </c>
      <c r="V187" t="n">
        <v>1.846527</v>
      </c>
      <c r="W187" t="n">
        <v>2.824619</v>
      </c>
      <c r="X187" t="n">
        <v>77.46539799999999</v>
      </c>
    </row>
    <row r="188" ht="21" customHeight="1">
      <c r="A188" t="inlineStr">
        <is>
          <t>Anodontostoma chacunda</t>
        </is>
      </c>
      <c r="B188" t="n">
        <v>2.84</v>
      </c>
      <c r="C188" t="n">
        <v>69.183097</v>
      </c>
      <c r="D188" s="11" t="inlineStr">
        <is>
          <t>Pelagic fish (≤ 30 cm)</t>
        </is>
      </c>
      <c r="H188" t="n">
        <v>31.538936</v>
      </c>
      <c r="I188" t="n">
        <v>277.068801</v>
      </c>
      <c r="J188" t="n">
        <v>277.068801</v>
      </c>
      <c r="K188" t="n">
        <v>263.215361</v>
      </c>
      <c r="L188" t="n">
        <v>393.787233</v>
      </c>
      <c r="M188" t="n">
        <v>277.168933</v>
      </c>
      <c r="N188" t="n">
        <v>277.168933</v>
      </c>
      <c r="O188" t="n">
        <v>14.521402</v>
      </c>
      <c r="P188" t="n">
        <v>9.426283</v>
      </c>
      <c r="Q188" t="n">
        <v>277.168933</v>
      </c>
      <c r="R188" t="n">
        <v>277.168933</v>
      </c>
      <c r="S188" t="n">
        <v>14.521402</v>
      </c>
      <c r="T188" t="n">
        <v>14.521402</v>
      </c>
      <c r="U188" t="n">
        <v>9.426283</v>
      </c>
      <c r="V188" t="n">
        <v>9.426283</v>
      </c>
      <c r="W188" t="n">
        <v>15.223157</v>
      </c>
      <c r="X188" t="n">
        <v>285.614997</v>
      </c>
    </row>
    <row r="189" ht="21" customHeight="1">
      <c r="A189" t="inlineStr">
        <is>
          <t>Echinoidea</t>
        </is>
      </c>
      <c r="B189" t="n">
        <v>2.51</v>
      </c>
      <c r="C189" t="n">
        <v>32.359366</v>
      </c>
      <c r="D189" s="11" t="inlineStr">
        <is>
          <t>Echinoderms</t>
        </is>
      </c>
      <c r="H189" t="n">
        <v>24.292661</v>
      </c>
      <c r="I189" t="n">
        <v>418.593928</v>
      </c>
      <c r="J189" t="n">
        <v>418.593928</v>
      </c>
      <c r="K189" t="n">
        <v>166.600383</v>
      </c>
      <c r="L189" t="n">
        <v>1080.992157</v>
      </c>
      <c r="M189" t="n">
        <v>753.402512</v>
      </c>
      <c r="N189" t="n">
        <v>753.402512</v>
      </c>
      <c r="O189" t="n">
        <v>10.622481</v>
      </c>
      <c r="P189" t="n">
        <v>5.780752</v>
      </c>
      <c r="Q189" t="n">
        <v>753.402512</v>
      </c>
      <c r="R189" t="n">
        <v>753.402512</v>
      </c>
      <c r="S189" t="n">
        <v>10.622481</v>
      </c>
      <c r="T189" t="n">
        <v>10.622481</v>
      </c>
      <c r="U189" t="n">
        <v>5.780752</v>
      </c>
      <c r="V189" t="n">
        <v>5.780752</v>
      </c>
      <c r="W189" t="n">
        <v>11.036237</v>
      </c>
      <c r="X189" t="n">
        <v>791.2975750000001</v>
      </c>
    </row>
    <row r="190" ht="21" customHeight="1">
      <c r="A190" t="inlineStr">
        <is>
          <t>Ariomma indica</t>
        </is>
      </c>
      <c r="B190" t="n">
        <v>3.63</v>
      </c>
      <c r="C190" t="n">
        <v>426.579519</v>
      </c>
      <c r="D190" s="11" t="inlineStr">
        <is>
          <t>Benthopelagic fish</t>
        </is>
      </c>
      <c r="H190" t="n">
        <v>45.344864</v>
      </c>
      <c r="I190" t="n">
        <v>356.10635</v>
      </c>
      <c r="J190" t="n">
        <v>384.755747</v>
      </c>
      <c r="K190" t="n">
        <v>365.51796</v>
      </c>
      <c r="L190" t="n">
        <v>602.712303</v>
      </c>
      <c r="M190" t="n">
        <v>421.28566</v>
      </c>
      <c r="N190" t="n">
        <v>421.28566</v>
      </c>
      <c r="O190" t="n">
        <v>20.384878</v>
      </c>
      <c r="P190" t="n">
        <v>12.067619</v>
      </c>
      <c r="Q190" t="n">
        <v>421.28566</v>
      </c>
      <c r="R190" t="n">
        <v>421.28566</v>
      </c>
      <c r="S190" t="n">
        <v>20.384878</v>
      </c>
      <c r="T190" t="n">
        <v>20.384878</v>
      </c>
      <c r="U190" t="n">
        <v>12.067619</v>
      </c>
      <c r="V190" t="n">
        <v>12.067619</v>
      </c>
      <c r="W190" t="n">
        <v>20.990919</v>
      </c>
      <c r="X190" t="n">
        <v>434.828134</v>
      </c>
    </row>
    <row r="191" ht="21" customHeight="1">
      <c r="A191" t="inlineStr">
        <is>
          <t>Lutjanus quinquelineatus</t>
        </is>
      </c>
      <c r="B191" t="n">
        <v>3.68</v>
      </c>
      <c r="C191" t="n">
        <v>478.630092</v>
      </c>
      <c r="D191" s="11" t="inlineStr">
        <is>
          <t>Snappers</t>
        </is>
      </c>
      <c r="H191" t="n">
        <v>267.052731</v>
      </c>
      <c r="I191" t="n">
        <v>2184.150638</v>
      </c>
      <c r="J191" t="n">
        <v>2277.683197</v>
      </c>
      <c r="K191" t="n">
        <v>2163.799037</v>
      </c>
      <c r="L191" t="n">
        <v>4133.4309</v>
      </c>
      <c r="M191" t="n">
        <v>2817.724532</v>
      </c>
      <c r="N191" t="n">
        <v>2817.724532</v>
      </c>
      <c r="O191" t="n">
        <v>100.301142</v>
      </c>
      <c r="P191" t="n">
        <v>43.53974</v>
      </c>
      <c r="Q191" t="n">
        <v>2817.724532</v>
      </c>
      <c r="R191" t="n">
        <v>2817.724532</v>
      </c>
      <c r="S191" t="n">
        <v>100.301142</v>
      </c>
      <c r="T191" t="n">
        <v>100.301142</v>
      </c>
      <c r="U191" t="n">
        <v>43.53974</v>
      </c>
      <c r="V191" t="n">
        <v>43.53974</v>
      </c>
      <c r="W191" t="n">
        <v>106.305314</v>
      </c>
      <c r="X191" t="n">
        <v>2997.143608</v>
      </c>
    </row>
    <row r="192" ht="36" customHeight="1">
      <c r="A192" t="inlineStr">
        <is>
          <t>Platycaranx talamparoides</t>
        </is>
      </c>
      <c r="B192" t="n">
        <v>4.4</v>
      </c>
      <c r="C192" t="n">
        <v>2511.886432</v>
      </c>
      <c r="D192" s="11" t="inlineStr">
        <is>
          <t>Juvenile large pelagic fish | Pelagic fish (&gt; 30 cm)</t>
        </is>
      </c>
      <c r="H192" t="n">
        <v>134.939141</v>
      </c>
      <c r="I192" t="n">
        <v>4341.841291</v>
      </c>
      <c r="J192" t="n">
        <v>4398.007385</v>
      </c>
      <c r="K192" t="n">
        <v>1301.694746</v>
      </c>
      <c r="L192" t="n">
        <v>7112.982475</v>
      </c>
      <c r="M192" t="n">
        <v>4967.292392</v>
      </c>
      <c r="N192" t="n">
        <v>4967.292392</v>
      </c>
      <c r="O192" t="n">
        <v>58.311114</v>
      </c>
      <c r="P192" t="n">
        <v>31.032685</v>
      </c>
      <c r="Q192" t="n">
        <v>4967.292392</v>
      </c>
      <c r="R192" t="n">
        <v>4967.292392</v>
      </c>
      <c r="S192" t="n">
        <v>58.311114</v>
      </c>
      <c r="T192" t="n">
        <v>58.311114</v>
      </c>
      <c r="U192" t="n">
        <v>31.032685</v>
      </c>
      <c r="V192" t="n">
        <v>31.032685</v>
      </c>
      <c r="W192" t="n">
        <v>61.724923</v>
      </c>
      <c r="X192" t="n">
        <v>5208.68705</v>
      </c>
    </row>
    <row r="193" ht="36" customHeight="1">
      <c r="A193" t="inlineStr">
        <is>
          <t>Planiliza haematocheilus</t>
        </is>
      </c>
      <c r="B193" t="n">
        <v>2.5</v>
      </c>
      <c r="C193" t="n">
        <v>31.622777</v>
      </c>
      <c r="D193" s="11" t="inlineStr">
        <is>
          <t>Juvenile demersal fish (&gt; 30 cm) | Adult demersal fish (&gt; 30 cm)</t>
        </is>
      </c>
      <c r="H193" t="n">
        <v>175.842593</v>
      </c>
      <c r="I193" t="n">
        <v>4469.123499</v>
      </c>
      <c r="J193" t="n">
        <v>4793.322749</v>
      </c>
      <c r="K193" t="n">
        <v>1747.151432</v>
      </c>
      <c r="L193" t="n">
        <v>10677.999207</v>
      </c>
      <c r="M193" t="n">
        <v>7305.602239</v>
      </c>
      <c r="N193" t="n">
        <v>7305.602239</v>
      </c>
      <c r="O193" t="n">
        <v>41.400447</v>
      </c>
      <c r="P193" t="n">
        <v>18.192821</v>
      </c>
      <c r="Q193" t="n">
        <v>7305.602239</v>
      </c>
      <c r="R193" t="n">
        <v>7305.602239</v>
      </c>
      <c r="S193" t="n">
        <v>41.400447</v>
      </c>
      <c r="T193" t="n">
        <v>41.400447</v>
      </c>
      <c r="U193" t="n">
        <v>18.192821</v>
      </c>
      <c r="V193" t="n">
        <v>18.192821</v>
      </c>
      <c r="W193" t="n">
        <v>43.295832</v>
      </c>
      <c r="X193" t="n">
        <v>7878.655066</v>
      </c>
    </row>
    <row r="194" ht="36" customHeight="1">
      <c r="A194" t="inlineStr">
        <is>
          <t>Plotosus</t>
        </is>
      </c>
      <c r="B194" t="n">
        <v>3.49</v>
      </c>
      <c r="C194" t="n">
        <v>309.029543</v>
      </c>
      <c r="D194" s="11" t="inlineStr">
        <is>
          <t>Juvenile demersal fish (&gt; 30 cm) | Adult demersal fish (&gt; 30 cm)</t>
        </is>
      </c>
      <c r="H194" t="n">
        <v>175.842593</v>
      </c>
      <c r="I194" t="n">
        <v>4469.123499</v>
      </c>
      <c r="J194" t="n">
        <v>4793.322749</v>
      </c>
      <c r="K194" t="n">
        <v>1747.151432</v>
      </c>
      <c r="L194" t="n">
        <v>10677.999207</v>
      </c>
      <c r="M194" t="n">
        <v>7305.602239</v>
      </c>
      <c r="N194" t="n">
        <v>7305.602239</v>
      </c>
      <c r="O194" t="n">
        <v>41.400447</v>
      </c>
      <c r="P194" t="n">
        <v>18.192821</v>
      </c>
      <c r="Q194" t="n">
        <v>7305.602239</v>
      </c>
      <c r="R194" t="n">
        <v>7305.602239</v>
      </c>
      <c r="S194" t="n">
        <v>41.400447</v>
      </c>
      <c r="T194" t="n">
        <v>41.400447</v>
      </c>
      <c r="U194" t="n">
        <v>18.192821</v>
      </c>
      <c r="V194" t="n">
        <v>18.192821</v>
      </c>
      <c r="W194" t="n">
        <v>43.295832</v>
      </c>
      <c r="X194" t="n">
        <v>7878.655066</v>
      </c>
    </row>
    <row r="195" ht="36" customHeight="1">
      <c r="A195" t="inlineStr">
        <is>
          <t>Hemiramphus</t>
        </is>
      </c>
      <c r="B195" t="n">
        <v>3.05</v>
      </c>
      <c r="C195" t="n">
        <v>112.201845</v>
      </c>
      <c r="D195" s="11" t="inlineStr">
        <is>
          <t>Juvenile large pelagic fish | Pelagic fish (&gt; 30 cm)</t>
        </is>
      </c>
      <c r="H195" t="n">
        <v>134.939141</v>
      </c>
      <c r="I195" t="n">
        <v>4341.841291</v>
      </c>
      <c r="J195" t="n">
        <v>4398.007385</v>
      </c>
      <c r="K195" t="n">
        <v>1301.694746</v>
      </c>
      <c r="L195" t="n">
        <v>7112.982475</v>
      </c>
      <c r="M195" t="n">
        <v>4967.292392</v>
      </c>
      <c r="N195" t="n">
        <v>4967.292392</v>
      </c>
      <c r="O195" t="n">
        <v>58.311114</v>
      </c>
      <c r="P195" t="n">
        <v>31.032685</v>
      </c>
      <c r="Q195" t="n">
        <v>4967.292392</v>
      </c>
      <c r="R195" t="n">
        <v>4967.292392</v>
      </c>
      <c r="S195" t="n">
        <v>58.311114</v>
      </c>
      <c r="T195" t="n">
        <v>58.311114</v>
      </c>
      <c r="U195" t="n">
        <v>31.032685</v>
      </c>
      <c r="V195" t="n">
        <v>31.032685</v>
      </c>
      <c r="W195" t="n">
        <v>61.724923</v>
      </c>
      <c r="X195" t="n">
        <v>5208.68705</v>
      </c>
    </row>
    <row r="196" ht="36" customHeight="1">
      <c r="A196" t="inlineStr">
        <is>
          <t>Scomber</t>
        </is>
      </c>
      <c r="B196" t="n">
        <v>3.65</v>
      </c>
      <c r="C196" t="n">
        <v>446.683592</v>
      </c>
      <c r="D196" s="11" t="inlineStr">
        <is>
          <t>Juvenile large pelagic fish | Pelagic fish (&gt; 30 cm)</t>
        </is>
      </c>
      <c r="H196" t="n">
        <v>134.939141</v>
      </c>
      <c r="I196" t="n">
        <v>4341.841291</v>
      </c>
      <c r="J196" t="n">
        <v>4398.007385</v>
      </c>
      <c r="K196" t="n">
        <v>1301.694746</v>
      </c>
      <c r="L196" t="n">
        <v>7112.982475</v>
      </c>
      <c r="M196" t="n">
        <v>4967.292392</v>
      </c>
      <c r="N196" t="n">
        <v>4967.292392</v>
      </c>
      <c r="O196" t="n">
        <v>58.311114</v>
      </c>
      <c r="P196" t="n">
        <v>31.032685</v>
      </c>
      <c r="Q196" t="n">
        <v>4967.292392</v>
      </c>
      <c r="R196" t="n">
        <v>4967.292392</v>
      </c>
      <c r="S196" t="n">
        <v>58.311114</v>
      </c>
      <c r="T196" t="n">
        <v>58.311114</v>
      </c>
      <c r="U196" t="n">
        <v>31.032685</v>
      </c>
      <c r="V196" t="n">
        <v>31.032685</v>
      </c>
      <c r="W196" t="n">
        <v>61.724923</v>
      </c>
      <c r="X196" t="n">
        <v>5208.68705</v>
      </c>
    </row>
    <row r="197" ht="21" customHeight="1">
      <c r="A197" t="inlineStr">
        <is>
          <t>Cypselurus</t>
        </is>
      </c>
      <c r="B197" t="n">
        <v>3.4</v>
      </c>
      <c r="C197" t="n">
        <v>251.188643</v>
      </c>
      <c r="D197" s="11" t="inlineStr">
        <is>
          <t>Pelagic fish (≤ 30 cm)</t>
        </is>
      </c>
      <c r="H197" t="n">
        <v>31.538936</v>
      </c>
      <c r="I197" t="n">
        <v>277.068801</v>
      </c>
      <c r="J197" t="n">
        <v>277.068801</v>
      </c>
      <c r="K197" t="n">
        <v>263.215361</v>
      </c>
      <c r="L197" t="n">
        <v>393.787233</v>
      </c>
      <c r="M197" t="n">
        <v>277.168933</v>
      </c>
      <c r="N197" t="n">
        <v>277.168933</v>
      </c>
      <c r="O197" t="n">
        <v>14.521402</v>
      </c>
      <c r="P197" t="n">
        <v>9.426283</v>
      </c>
      <c r="Q197" t="n">
        <v>277.168933</v>
      </c>
      <c r="R197" t="n">
        <v>277.168933</v>
      </c>
      <c r="S197" t="n">
        <v>14.521402</v>
      </c>
      <c r="T197" t="n">
        <v>14.521402</v>
      </c>
      <c r="U197" t="n">
        <v>9.426283</v>
      </c>
      <c r="V197" t="n">
        <v>9.426283</v>
      </c>
      <c r="W197" t="n">
        <v>15.223157</v>
      </c>
      <c r="X197" t="n">
        <v>285.614997</v>
      </c>
    </row>
    <row r="198" ht="21" customHeight="1">
      <c r="A198" t="inlineStr">
        <is>
          <t>Sergestidae</t>
        </is>
      </c>
      <c r="B198" t="n">
        <v>2.93</v>
      </c>
      <c r="C198" t="n">
        <v>85.113804</v>
      </c>
      <c r="D198" s="11" t="inlineStr">
        <is>
          <t>Zooplankton | Shrimps</t>
        </is>
      </c>
      <c r="H198" t="n">
        <v>7.503649</v>
      </c>
      <c r="I198" t="n">
        <v>85.939188</v>
      </c>
      <c r="J198" t="n">
        <v>85.939188</v>
      </c>
      <c r="K198" t="n">
        <v>56.546756</v>
      </c>
      <c r="L198" t="n">
        <v>125.3013</v>
      </c>
      <c r="M198" t="n">
        <v>85.939188</v>
      </c>
      <c r="N198" t="n">
        <v>85.939188</v>
      </c>
      <c r="O198" t="n">
        <v>4.822409</v>
      </c>
      <c r="P198" t="n">
        <v>3.403975</v>
      </c>
      <c r="Q198" t="n">
        <v>85.939188</v>
      </c>
      <c r="R198" t="n">
        <v>85.939188</v>
      </c>
      <c r="S198" t="n">
        <v>4.822409</v>
      </c>
      <c r="T198" t="n">
        <v>4.822409</v>
      </c>
      <c r="U198" t="n">
        <v>3.403975</v>
      </c>
      <c r="V198" t="n">
        <v>3.403975</v>
      </c>
      <c r="W198" t="n">
        <v>5.011801</v>
      </c>
      <c r="X198" t="n">
        <v>88.997409</v>
      </c>
    </row>
    <row r="199" ht="21" customHeight="1">
      <c r="A199" t="inlineStr">
        <is>
          <t>Prionace glauca</t>
        </is>
      </c>
      <c r="B199" t="n">
        <v>4.35</v>
      </c>
      <c r="C199" t="n">
        <v>2238.721139</v>
      </c>
      <c r="D199" s="11" t="inlineStr">
        <is>
          <t>Pelagic sharks and rays</t>
        </is>
      </c>
      <c r="H199" t="n">
        <v>477.293407</v>
      </c>
      <c r="I199" t="n">
        <v>86321.834013</v>
      </c>
      <c r="J199" t="n">
        <v>87278.99642</v>
      </c>
      <c r="K199" t="n">
        <v>43639.49821</v>
      </c>
      <c r="L199" t="n">
        <v>172174.15174</v>
      </c>
      <c r="M199" t="n">
        <v>119442.301921</v>
      </c>
      <c r="N199" t="n">
        <v>119442.301921</v>
      </c>
      <c r="O199" t="n">
        <v>130.775511</v>
      </c>
      <c r="P199" t="n">
        <v>57.053814</v>
      </c>
      <c r="Q199" t="n">
        <v>119442.301921</v>
      </c>
      <c r="R199" t="n">
        <v>119442.301921</v>
      </c>
      <c r="S199" t="n">
        <v>130.775511</v>
      </c>
      <c r="T199" t="n">
        <v>130.775511</v>
      </c>
      <c r="U199" t="n">
        <v>57.053814</v>
      </c>
      <c r="V199" t="n">
        <v>57.053814</v>
      </c>
      <c r="W199" t="n">
        <v>139.198598</v>
      </c>
      <c r="X199" t="n">
        <v>127625.763444</v>
      </c>
    </row>
    <row r="200" ht="21" customHeight="1">
      <c r="A200" t="inlineStr">
        <is>
          <t>Xiphias gladius</t>
        </is>
      </c>
      <c r="B200" t="n">
        <v>4.53</v>
      </c>
      <c r="C200" t="n">
        <v>3388.441561</v>
      </c>
      <c r="D200" s="11" t="inlineStr">
        <is>
          <t>Unresolved</t>
        </is>
      </c>
    </row>
    <row r="201" ht="21" customHeight="1">
      <c r="A201" t="inlineStr">
        <is>
          <t>Scylla serrata</t>
        </is>
      </c>
      <c r="B201" t="n">
        <v>3.17</v>
      </c>
      <c r="C201" t="n">
        <v>147.910839</v>
      </c>
      <c r="D201" s="11" t="inlineStr">
        <is>
          <t>Crabs</t>
        </is>
      </c>
      <c r="H201" t="n">
        <v>15.007847</v>
      </c>
      <c r="I201" t="n">
        <v>98.72009199999999</v>
      </c>
      <c r="J201" t="n">
        <v>98.72009199999999</v>
      </c>
      <c r="K201" t="n">
        <v>93.784087</v>
      </c>
      <c r="L201" t="n">
        <v>173.938876</v>
      </c>
      <c r="M201" t="n">
        <v>115.203607</v>
      </c>
      <c r="N201" t="n">
        <v>115.203607</v>
      </c>
      <c r="O201" t="n">
        <v>4.263184</v>
      </c>
      <c r="P201" t="n">
        <v>2.411197</v>
      </c>
      <c r="Q201" t="n">
        <v>115.203607</v>
      </c>
      <c r="R201" t="n">
        <v>115.203607</v>
      </c>
      <c r="S201" t="n">
        <v>4.263184</v>
      </c>
      <c r="T201" t="n">
        <v>4.263184</v>
      </c>
      <c r="U201" t="n">
        <v>2.411197</v>
      </c>
      <c r="V201" t="n">
        <v>2.411197</v>
      </c>
      <c r="W201" t="n">
        <v>4.428691</v>
      </c>
      <c r="X201" t="n">
        <v>122.757859</v>
      </c>
    </row>
    <row r="202" ht="36" customHeight="1">
      <c r="A202" t="inlineStr">
        <is>
          <t>Malacostraca</t>
        </is>
      </c>
      <c r="B202" t="n">
        <v>3</v>
      </c>
      <c r="C202" t="n">
        <v>100</v>
      </c>
      <c r="D202" s="11" t="inlineStr">
        <is>
          <t>Zooplankton | Benthic crustaceans | Shrimps | Crabs</t>
        </is>
      </c>
      <c r="H202" t="n">
        <v>9.019912</v>
      </c>
      <c r="I202" t="n">
        <v>87.815798</v>
      </c>
      <c r="J202" t="n">
        <v>87.815798</v>
      </c>
      <c r="K202" t="n">
        <v>63.579479</v>
      </c>
      <c r="L202" t="n">
        <v>134.682411</v>
      </c>
      <c r="M202" t="n">
        <v>91.32078300000001</v>
      </c>
      <c r="N202" t="n">
        <v>91.32078300000001</v>
      </c>
      <c r="O202" t="n">
        <v>4.600543</v>
      </c>
      <c r="P202" t="n">
        <v>3.11926</v>
      </c>
      <c r="Q202" t="n">
        <v>91.32078300000001</v>
      </c>
      <c r="R202" t="n">
        <v>91.32078300000001</v>
      </c>
      <c r="S202" t="n">
        <v>4.600543</v>
      </c>
      <c r="T202" t="n">
        <v>4.600543</v>
      </c>
      <c r="U202" t="n">
        <v>3.11926</v>
      </c>
      <c r="V202" t="n">
        <v>3.11926</v>
      </c>
      <c r="W202" t="n">
        <v>4.778635</v>
      </c>
      <c r="X202" t="n">
        <v>95.337259</v>
      </c>
    </row>
    <row r="203" ht="36" customHeight="1">
      <c r="A203" t="inlineStr">
        <is>
          <t>Scyris indica</t>
        </is>
      </c>
      <c r="B203" t="n">
        <v>4.09</v>
      </c>
      <c r="C203" t="n">
        <v>1230.268771</v>
      </c>
      <c r="D203" s="11" t="inlineStr">
        <is>
          <t>Juvenile large pelagic fish | Pelagic fish (&gt; 30 cm)</t>
        </is>
      </c>
      <c r="H203" t="n">
        <v>134.939141</v>
      </c>
      <c r="I203" t="n">
        <v>4341.841291</v>
      </c>
      <c r="J203" t="n">
        <v>4398.007385</v>
      </c>
      <c r="K203" t="n">
        <v>1301.694746</v>
      </c>
      <c r="L203" t="n">
        <v>7112.982475</v>
      </c>
      <c r="M203" t="n">
        <v>4967.292392</v>
      </c>
      <c r="N203" t="n">
        <v>4967.292392</v>
      </c>
      <c r="O203" t="n">
        <v>58.311114</v>
      </c>
      <c r="P203" t="n">
        <v>31.032685</v>
      </c>
      <c r="Q203" t="n">
        <v>4967.292392</v>
      </c>
      <c r="R203" t="n">
        <v>4967.292392</v>
      </c>
      <c r="S203" t="n">
        <v>58.311114</v>
      </c>
      <c r="T203" t="n">
        <v>58.311114</v>
      </c>
      <c r="U203" t="n">
        <v>31.032685</v>
      </c>
      <c r="V203" t="n">
        <v>31.032685</v>
      </c>
      <c r="W203" t="n">
        <v>61.724923</v>
      </c>
      <c r="X203" t="n">
        <v>5208.68705</v>
      </c>
    </row>
    <row r="204" ht="21" customHeight="1">
      <c r="A204" t="inlineStr">
        <is>
          <t>Metapenaeus joyneri</t>
        </is>
      </c>
      <c r="B204" t="n">
        <v>3.2</v>
      </c>
      <c r="C204" t="n">
        <v>158.489319</v>
      </c>
      <c r="D204" s="11" t="inlineStr">
        <is>
          <t>Shrimps</t>
        </is>
      </c>
      <c r="H204" t="n">
        <v>8.702252</v>
      </c>
      <c r="I204" t="n">
        <v>88.674335</v>
      </c>
      <c r="J204" t="n">
        <v>88.674335</v>
      </c>
      <c r="K204" t="n">
        <v>84.240618</v>
      </c>
      <c r="L204" t="n">
        <v>130.894857</v>
      </c>
      <c r="M204" t="n">
        <v>88.674335</v>
      </c>
      <c r="N204" t="n">
        <v>88.674335</v>
      </c>
      <c r="O204" t="n">
        <v>5.151693</v>
      </c>
      <c r="P204" t="n">
        <v>3.42724</v>
      </c>
      <c r="Q204" t="n">
        <v>88.674335</v>
      </c>
      <c r="R204" t="n">
        <v>88.674335</v>
      </c>
      <c r="S204" t="n">
        <v>5.151693</v>
      </c>
      <c r="T204" t="n">
        <v>5.151693</v>
      </c>
      <c r="U204" t="n">
        <v>3.42724</v>
      </c>
      <c r="V204" t="n">
        <v>3.42724</v>
      </c>
      <c r="W204" t="n">
        <v>5.382228</v>
      </c>
      <c r="X204" t="n">
        <v>92.561423</v>
      </c>
    </row>
    <row r="205" ht="51" customHeight="1">
      <c r="A205" t="inlineStr">
        <is>
          <t>Gadiformes</t>
        </is>
      </c>
      <c r="D205" s="11" t="inlineStr">
        <is>
          <t>Demesral fish (≤ 30 cm) | Juvenile demersal fish (&gt; 30 cm) | Adult demersal fish (&gt; 30 cm)</t>
        </is>
      </c>
      <c r="H205" t="n">
        <v>126.494265</v>
      </c>
      <c r="I205" t="n">
        <v>2895.31657</v>
      </c>
      <c r="J205" t="n">
        <v>3100.990647</v>
      </c>
      <c r="K205" t="n">
        <v>1221.259727</v>
      </c>
      <c r="L205" t="n">
        <v>6846.4367</v>
      </c>
      <c r="M205" t="n">
        <v>4683.836246</v>
      </c>
      <c r="N205" t="n">
        <v>4683.836246</v>
      </c>
      <c r="O205" t="n">
        <v>33.070685</v>
      </c>
      <c r="P205" t="n">
        <v>15.260526</v>
      </c>
      <c r="Q205" t="n">
        <v>4683.836246</v>
      </c>
      <c r="R205" t="n">
        <v>4683.836246</v>
      </c>
      <c r="S205" t="n">
        <v>33.070685</v>
      </c>
      <c r="T205" t="n">
        <v>33.070685</v>
      </c>
      <c r="U205" t="n">
        <v>15.260526</v>
      </c>
      <c r="V205" t="n">
        <v>15.260526</v>
      </c>
      <c r="W205" t="n">
        <v>34.564338</v>
      </c>
      <c r="X205" t="n">
        <v>5045.299884</v>
      </c>
    </row>
    <row r="206" ht="51" customHeight="1">
      <c r="A206" t="inlineStr">
        <is>
          <t>Cynoglossus</t>
        </is>
      </c>
      <c r="B206" t="n">
        <v>3.36</v>
      </c>
      <c r="C206" t="n">
        <v>229.086765</v>
      </c>
      <c r="D206" s="11" t="inlineStr">
        <is>
          <t>Demesral fish (≤ 30 cm) | Juvenile demersal fish (&gt; 30 cm) | Adult demersal fish (&gt; 30 cm)</t>
        </is>
      </c>
      <c r="H206" t="n">
        <v>126.494265</v>
      </c>
      <c r="I206" t="n">
        <v>2895.31657</v>
      </c>
      <c r="J206" t="n">
        <v>3100.990647</v>
      </c>
      <c r="K206" t="n">
        <v>1221.259727</v>
      </c>
      <c r="L206" t="n">
        <v>6846.4367</v>
      </c>
      <c r="M206" t="n">
        <v>4683.836246</v>
      </c>
      <c r="N206" t="n">
        <v>4683.836246</v>
      </c>
      <c r="O206" t="n">
        <v>33.070685</v>
      </c>
      <c r="P206" t="n">
        <v>15.260526</v>
      </c>
      <c r="Q206" t="n">
        <v>4683.836246</v>
      </c>
      <c r="R206" t="n">
        <v>4683.836246</v>
      </c>
      <c r="S206" t="n">
        <v>33.070685</v>
      </c>
      <c r="T206" t="n">
        <v>33.070685</v>
      </c>
      <c r="U206" t="n">
        <v>15.260526</v>
      </c>
      <c r="V206" t="n">
        <v>15.260526</v>
      </c>
      <c r="W206" t="n">
        <v>34.564338</v>
      </c>
      <c r="X206" t="n">
        <v>5045.299884</v>
      </c>
    </row>
    <row r="207" ht="21" customHeight="1">
      <c r="A207" t="inlineStr">
        <is>
          <t>Gerreidae</t>
        </is>
      </c>
      <c r="B207" t="n">
        <v>3.03</v>
      </c>
      <c r="C207" t="n">
        <v>107.151931</v>
      </c>
      <c r="D207" s="11" t="inlineStr">
        <is>
          <t>Benthopelagic fish</t>
        </is>
      </c>
      <c r="H207" t="n">
        <v>45.344864</v>
      </c>
      <c r="I207" t="n">
        <v>356.10635</v>
      </c>
      <c r="J207" t="n">
        <v>384.755747</v>
      </c>
      <c r="K207" t="n">
        <v>365.51796</v>
      </c>
      <c r="L207" t="n">
        <v>602.712303</v>
      </c>
      <c r="M207" t="n">
        <v>421.28566</v>
      </c>
      <c r="N207" t="n">
        <v>421.28566</v>
      </c>
      <c r="O207" t="n">
        <v>20.384878</v>
      </c>
      <c r="P207" t="n">
        <v>12.067619</v>
      </c>
      <c r="Q207" t="n">
        <v>421.28566</v>
      </c>
      <c r="R207" t="n">
        <v>421.28566</v>
      </c>
      <c r="S207" t="n">
        <v>20.384878</v>
      </c>
      <c r="T207" t="n">
        <v>20.384878</v>
      </c>
      <c r="U207" t="n">
        <v>12.067619</v>
      </c>
      <c r="V207" t="n">
        <v>12.067619</v>
      </c>
      <c r="W207" t="n">
        <v>20.990919</v>
      </c>
      <c r="X207" t="n">
        <v>434.828134</v>
      </c>
    </row>
    <row r="208" ht="21" customHeight="1">
      <c r="A208" t="inlineStr">
        <is>
          <t>Panulirus longipes</t>
        </is>
      </c>
      <c r="B208" t="n">
        <v>2.6</v>
      </c>
      <c r="C208" t="n">
        <v>39.810717</v>
      </c>
      <c r="D208" s="11" t="inlineStr">
        <is>
          <t>Benthic crustaceans</t>
        </is>
      </c>
      <c r="H208" t="n">
        <v>7.00619</v>
      </c>
      <c r="I208" t="n">
        <v>71.47126299999999</v>
      </c>
      <c r="J208" t="n">
        <v>71.47126299999999</v>
      </c>
      <c r="K208" t="n">
        <v>44.598068</v>
      </c>
      <c r="L208" t="n">
        <v>113.463496</v>
      </c>
      <c r="M208" t="n">
        <v>73.744072</v>
      </c>
      <c r="N208" t="n">
        <v>73.744072</v>
      </c>
      <c r="O208" t="n">
        <v>2.758573</v>
      </c>
      <c r="P208" t="n">
        <v>1.846527</v>
      </c>
      <c r="Q208" t="n">
        <v>73.744072</v>
      </c>
      <c r="R208" t="n">
        <v>73.744072</v>
      </c>
      <c r="S208" t="n">
        <v>2.758573</v>
      </c>
      <c r="T208" t="n">
        <v>2.758573</v>
      </c>
      <c r="U208" t="n">
        <v>1.846527</v>
      </c>
      <c r="V208" t="n">
        <v>1.846527</v>
      </c>
      <c r="W208" t="n">
        <v>2.824619</v>
      </c>
      <c r="X208" t="n">
        <v>77.46539799999999</v>
      </c>
    </row>
    <row r="209" ht="21" customHeight="1">
      <c r="A209" t="inlineStr">
        <is>
          <t>Epinephelus maculatus</t>
        </is>
      </c>
      <c r="B209" t="n">
        <v>3.98</v>
      </c>
      <c r="C209" t="n">
        <v>954.992586</v>
      </c>
      <c r="D209" s="11" t="inlineStr">
        <is>
          <t>Adult groupers</t>
        </is>
      </c>
      <c r="H209" t="n">
        <v>289.336004</v>
      </c>
      <c r="I209" t="n">
        <v>7059.021807</v>
      </c>
      <c r="J209" t="n">
        <v>7260.732834</v>
      </c>
      <c r="K209" t="n">
        <v>2722.774813</v>
      </c>
      <c r="L209" t="n">
        <v>14214.100911</v>
      </c>
      <c r="M209" t="n">
        <v>9730.75452</v>
      </c>
      <c r="N209" t="n">
        <v>9730.75452</v>
      </c>
      <c r="O209" t="n">
        <v>100.399835</v>
      </c>
      <c r="P209" t="n">
        <v>43.4623</v>
      </c>
      <c r="Q209" t="n">
        <v>9730.75452</v>
      </c>
      <c r="R209" t="n">
        <v>9730.75452</v>
      </c>
      <c r="S209" t="n">
        <v>100.399835</v>
      </c>
      <c r="T209" t="n">
        <v>100.399835</v>
      </c>
      <c r="U209" t="n">
        <v>43.4623</v>
      </c>
      <c r="V209" t="n">
        <v>43.4623</v>
      </c>
      <c r="W209" t="n">
        <v>105.723999</v>
      </c>
      <c r="X209" t="n">
        <v>10434.203054</v>
      </c>
    </row>
    <row r="210" ht="36" customHeight="1">
      <c r="A210" t="inlineStr">
        <is>
          <t>Pagrus major</t>
        </is>
      </c>
      <c r="B210" t="n">
        <v>3.7</v>
      </c>
      <c r="C210" t="n">
        <v>501.187234</v>
      </c>
      <c r="D210" s="11" t="inlineStr">
        <is>
          <t>Juvenile demersal fish (&gt; 30 cm) | Adult demersal fish (&gt; 30 cm)</t>
        </is>
      </c>
      <c r="H210" t="n">
        <v>175.842593</v>
      </c>
      <c r="I210" t="n">
        <v>4469.123499</v>
      </c>
      <c r="J210" t="n">
        <v>4793.322749</v>
      </c>
      <c r="K210" t="n">
        <v>1747.151432</v>
      </c>
      <c r="L210" t="n">
        <v>10677.999207</v>
      </c>
      <c r="M210" t="n">
        <v>7305.602239</v>
      </c>
      <c r="N210" t="n">
        <v>7305.602239</v>
      </c>
      <c r="O210" t="n">
        <v>41.400447</v>
      </c>
      <c r="P210" t="n">
        <v>18.192821</v>
      </c>
      <c r="Q210" t="n">
        <v>7305.602239</v>
      </c>
      <c r="R210" t="n">
        <v>7305.602239</v>
      </c>
      <c r="S210" t="n">
        <v>41.400447</v>
      </c>
      <c r="T210" t="n">
        <v>41.400447</v>
      </c>
      <c r="U210" t="n">
        <v>18.192821</v>
      </c>
      <c r="V210" t="n">
        <v>18.192821</v>
      </c>
      <c r="W210" t="n">
        <v>43.295832</v>
      </c>
      <c r="X210" t="n">
        <v>7878.655066</v>
      </c>
    </row>
    <row r="211" ht="36" customHeight="1">
      <c r="A211" t="inlineStr">
        <is>
          <t>Caesio</t>
        </is>
      </c>
      <c r="B211" t="n">
        <v>3.4</v>
      </c>
      <c r="C211" t="n">
        <v>251.188643</v>
      </c>
      <c r="D211" s="11" t="inlineStr">
        <is>
          <t>Juvenile demersal fish (&gt; 30 cm) | Adult demersal fish (&gt; 30 cm)</t>
        </is>
      </c>
      <c r="H211" t="n">
        <v>175.842593</v>
      </c>
      <c r="I211" t="n">
        <v>4469.123499</v>
      </c>
      <c r="J211" t="n">
        <v>4793.322749</v>
      </c>
      <c r="K211" t="n">
        <v>1747.151432</v>
      </c>
      <c r="L211" t="n">
        <v>10677.999207</v>
      </c>
      <c r="M211" t="n">
        <v>7305.602239</v>
      </c>
      <c r="N211" t="n">
        <v>7305.602239</v>
      </c>
      <c r="O211" t="n">
        <v>41.400447</v>
      </c>
      <c r="P211" t="n">
        <v>18.192821</v>
      </c>
      <c r="Q211" t="n">
        <v>7305.602239</v>
      </c>
      <c r="R211" t="n">
        <v>7305.602239</v>
      </c>
      <c r="S211" t="n">
        <v>41.400447</v>
      </c>
      <c r="T211" t="n">
        <v>41.400447</v>
      </c>
      <c r="U211" t="n">
        <v>18.192821</v>
      </c>
      <c r="V211" t="n">
        <v>18.192821</v>
      </c>
      <c r="W211" t="n">
        <v>43.295832</v>
      </c>
      <c r="X211" t="n">
        <v>7878.655066</v>
      </c>
    </row>
    <row r="212" ht="21" customHeight="1">
      <c r="A212" t="inlineStr">
        <is>
          <t>Penaeus monodon</t>
        </is>
      </c>
      <c r="B212" t="n">
        <v>2.6</v>
      </c>
      <c r="C212" t="n">
        <v>39.810717</v>
      </c>
      <c r="D212" s="11" t="inlineStr">
        <is>
          <t>Shrimps</t>
        </is>
      </c>
      <c r="H212" t="n">
        <v>8.702252</v>
      </c>
      <c r="I212" t="n">
        <v>88.674335</v>
      </c>
      <c r="J212" t="n">
        <v>88.674335</v>
      </c>
      <c r="K212" t="n">
        <v>84.240618</v>
      </c>
      <c r="L212" t="n">
        <v>130.894857</v>
      </c>
      <c r="M212" t="n">
        <v>88.674335</v>
      </c>
      <c r="N212" t="n">
        <v>88.674335</v>
      </c>
      <c r="O212" t="n">
        <v>5.151693</v>
      </c>
      <c r="P212" t="n">
        <v>3.42724</v>
      </c>
      <c r="Q212" t="n">
        <v>88.674335</v>
      </c>
      <c r="R212" t="n">
        <v>88.674335</v>
      </c>
      <c r="S212" t="n">
        <v>5.151693</v>
      </c>
      <c r="T212" t="n">
        <v>5.151693</v>
      </c>
      <c r="U212" t="n">
        <v>3.42724</v>
      </c>
      <c r="V212" t="n">
        <v>3.42724</v>
      </c>
      <c r="W212" t="n">
        <v>5.382228</v>
      </c>
      <c r="X212" t="n">
        <v>92.561423</v>
      </c>
    </row>
    <row r="213" ht="36" customHeight="1">
      <c r="A213" t="inlineStr">
        <is>
          <t>Carcharhinidae</t>
        </is>
      </c>
      <c r="B213" t="n">
        <v>4.24</v>
      </c>
      <c r="C213" t="n">
        <v>1737.800829</v>
      </c>
      <c r="D213" s="11" t="inlineStr">
        <is>
          <t>Demersal sharks and rays | Pelagic sharks and rays</t>
        </is>
      </c>
      <c r="H213" t="n">
        <v>304.84076</v>
      </c>
      <c r="I213" t="n">
        <v>22014.382452</v>
      </c>
      <c r="J213" t="n">
        <v>22231.430218</v>
      </c>
      <c r="K213" t="n">
        <v>10306.364543</v>
      </c>
      <c r="L213" t="n">
        <v>47447.371867</v>
      </c>
      <c r="M213" t="n">
        <v>32772.930566</v>
      </c>
      <c r="N213" t="n">
        <v>32772.930566</v>
      </c>
      <c r="O213" t="n">
        <v>71.882007</v>
      </c>
      <c r="P213" t="n">
        <v>30.788806</v>
      </c>
      <c r="Q213" t="n">
        <v>32772.930566</v>
      </c>
      <c r="R213" t="n">
        <v>32772.930566</v>
      </c>
      <c r="S213" t="n">
        <v>71.882007</v>
      </c>
      <c r="T213" t="n">
        <v>71.882007</v>
      </c>
      <c r="U213" t="n">
        <v>30.788806</v>
      </c>
      <c r="V213" t="n">
        <v>30.788806</v>
      </c>
      <c r="W213" t="n">
        <v>75.96293799999999</v>
      </c>
      <c r="X213" t="n">
        <v>35173.815829</v>
      </c>
    </row>
    <row r="214" ht="51" customHeight="1">
      <c r="A214" t="inlineStr">
        <is>
          <t>Paralichthyidae</t>
        </is>
      </c>
      <c r="B214" t="n">
        <v>4.06</v>
      </c>
      <c r="C214" t="n">
        <v>1148.153621</v>
      </c>
      <c r="D214" s="11" t="inlineStr">
        <is>
          <t>Demesral fish (≤ 30 cm) | Juvenile demersal fish (&gt; 30 cm) | Adult demersal fish (&gt; 30 cm)</t>
        </is>
      </c>
      <c r="H214" t="n">
        <v>126.494265</v>
      </c>
      <c r="I214" t="n">
        <v>2895.31657</v>
      </c>
      <c r="J214" t="n">
        <v>3100.990647</v>
      </c>
      <c r="K214" t="n">
        <v>1221.259727</v>
      </c>
      <c r="L214" t="n">
        <v>6846.4367</v>
      </c>
      <c r="M214" t="n">
        <v>4683.836246</v>
      </c>
      <c r="N214" t="n">
        <v>4683.836246</v>
      </c>
      <c r="O214" t="n">
        <v>33.070685</v>
      </c>
      <c r="P214" t="n">
        <v>15.260526</v>
      </c>
      <c r="Q214" t="n">
        <v>4683.836246</v>
      </c>
      <c r="R214" t="n">
        <v>4683.836246</v>
      </c>
      <c r="S214" t="n">
        <v>33.070685</v>
      </c>
      <c r="T214" t="n">
        <v>33.070685</v>
      </c>
      <c r="U214" t="n">
        <v>15.260526</v>
      </c>
      <c r="V214" t="n">
        <v>15.260526</v>
      </c>
      <c r="W214" t="n">
        <v>34.564338</v>
      </c>
      <c r="X214" t="n">
        <v>5045.299884</v>
      </c>
    </row>
    <row r="215" ht="36" customHeight="1">
      <c r="A215" t="inlineStr">
        <is>
          <t>Sillaginidae</t>
        </is>
      </c>
      <c r="B215" t="n">
        <v>3.25</v>
      </c>
      <c r="C215" t="n">
        <v>177.827941</v>
      </c>
      <c r="D215" s="11" t="inlineStr">
        <is>
          <t>Juvenile demersal fish (&gt; 30 cm) | Adult demersal fish (&gt; 30 cm)</t>
        </is>
      </c>
      <c r="H215" t="n">
        <v>175.842593</v>
      </c>
      <c r="I215" t="n">
        <v>4469.123499</v>
      </c>
      <c r="J215" t="n">
        <v>4793.322749</v>
      </c>
      <c r="K215" t="n">
        <v>1747.151432</v>
      </c>
      <c r="L215" t="n">
        <v>10677.999207</v>
      </c>
      <c r="M215" t="n">
        <v>7305.602239</v>
      </c>
      <c r="N215" t="n">
        <v>7305.602239</v>
      </c>
      <c r="O215" t="n">
        <v>41.400447</v>
      </c>
      <c r="P215" t="n">
        <v>18.192821</v>
      </c>
      <c r="Q215" t="n">
        <v>7305.602239</v>
      </c>
      <c r="R215" t="n">
        <v>7305.602239</v>
      </c>
      <c r="S215" t="n">
        <v>41.400447</v>
      </c>
      <c r="T215" t="n">
        <v>41.400447</v>
      </c>
      <c r="U215" t="n">
        <v>18.192821</v>
      </c>
      <c r="V215" t="n">
        <v>18.192821</v>
      </c>
      <c r="W215" t="n">
        <v>43.295832</v>
      </c>
      <c r="X215" t="n">
        <v>7878.655066</v>
      </c>
    </row>
    <row r="216" ht="21" customHeight="1">
      <c r="A216" t="inlineStr">
        <is>
          <t>Thryssa</t>
        </is>
      </c>
      <c r="B216" t="n">
        <v>3.34</v>
      </c>
      <c r="C216" t="n">
        <v>218.776162</v>
      </c>
      <c r="D216" s="11" t="inlineStr">
        <is>
          <t>Pelagic fish (≤ 30 cm)</t>
        </is>
      </c>
      <c r="H216" t="n">
        <v>31.538936</v>
      </c>
      <c r="I216" t="n">
        <v>277.068801</v>
      </c>
      <c r="J216" t="n">
        <v>277.068801</v>
      </c>
      <c r="K216" t="n">
        <v>263.215361</v>
      </c>
      <c r="L216" t="n">
        <v>393.787233</v>
      </c>
      <c r="M216" t="n">
        <v>277.168933</v>
      </c>
      <c r="N216" t="n">
        <v>277.168933</v>
      </c>
      <c r="O216" t="n">
        <v>14.521402</v>
      </c>
      <c r="P216" t="n">
        <v>9.426283</v>
      </c>
      <c r="Q216" t="n">
        <v>277.168933</v>
      </c>
      <c r="R216" t="n">
        <v>277.168933</v>
      </c>
      <c r="S216" t="n">
        <v>14.521402</v>
      </c>
      <c r="T216" t="n">
        <v>14.521402</v>
      </c>
      <c r="U216" t="n">
        <v>9.426283</v>
      </c>
      <c r="V216" t="n">
        <v>9.426283</v>
      </c>
      <c r="W216" t="n">
        <v>15.223157</v>
      </c>
      <c r="X216" t="n">
        <v>285.614997</v>
      </c>
    </row>
    <row r="217" ht="36" customHeight="1">
      <c r="A217" t="inlineStr">
        <is>
          <t>Rachycentridae</t>
        </is>
      </c>
      <c r="B217" t="n">
        <v>3.96</v>
      </c>
      <c r="C217" t="n">
        <v>912.010839</v>
      </c>
      <c r="D217" s="11" t="inlineStr">
        <is>
          <t>Juvenile large pelagic fish | Pelagic fish (&gt; 30 cm)</t>
        </is>
      </c>
      <c r="H217" t="n">
        <v>134.939141</v>
      </c>
      <c r="I217" t="n">
        <v>4341.841291</v>
      </c>
      <c r="J217" t="n">
        <v>4398.007385</v>
      </c>
      <c r="K217" t="n">
        <v>1301.694746</v>
      </c>
      <c r="L217" t="n">
        <v>7112.982475</v>
      </c>
      <c r="M217" t="n">
        <v>4967.292392</v>
      </c>
      <c r="N217" t="n">
        <v>4967.292392</v>
      </c>
      <c r="O217" t="n">
        <v>58.311114</v>
      </c>
      <c r="P217" t="n">
        <v>31.032685</v>
      </c>
      <c r="Q217" t="n">
        <v>4967.292392</v>
      </c>
      <c r="R217" t="n">
        <v>4967.292392</v>
      </c>
      <c r="S217" t="n">
        <v>58.311114</v>
      </c>
      <c r="T217" t="n">
        <v>58.311114</v>
      </c>
      <c r="U217" t="n">
        <v>31.032685</v>
      </c>
      <c r="V217" t="n">
        <v>31.032685</v>
      </c>
      <c r="W217" t="n">
        <v>61.724923</v>
      </c>
      <c r="X217" t="n">
        <v>5208.68705</v>
      </c>
    </row>
    <row r="218" ht="36" customHeight="1">
      <c r="A218" t="inlineStr">
        <is>
          <t>Tylosurus crocodilus</t>
        </is>
      </c>
      <c r="B218" t="n">
        <v>4.43</v>
      </c>
      <c r="C218" t="n">
        <v>2691.534804</v>
      </c>
      <c r="D218" s="11" t="inlineStr">
        <is>
          <t>Juvenile large pelagic fish | Pelagic fish (&gt; 30 cm)</t>
        </is>
      </c>
      <c r="H218" t="n">
        <v>134.939141</v>
      </c>
      <c r="I218" t="n">
        <v>4341.841291</v>
      </c>
      <c r="J218" t="n">
        <v>4398.007385</v>
      </c>
      <c r="K218" t="n">
        <v>1301.694746</v>
      </c>
      <c r="L218" t="n">
        <v>7112.982475</v>
      </c>
      <c r="M218" t="n">
        <v>4967.292392</v>
      </c>
      <c r="N218" t="n">
        <v>4967.292392</v>
      </c>
      <c r="O218" t="n">
        <v>58.311114</v>
      </c>
      <c r="P218" t="n">
        <v>31.032685</v>
      </c>
      <c r="Q218" t="n">
        <v>4967.292392</v>
      </c>
      <c r="R218" t="n">
        <v>4967.292392</v>
      </c>
      <c r="S218" t="n">
        <v>58.311114</v>
      </c>
      <c r="T218" t="n">
        <v>58.311114</v>
      </c>
      <c r="U218" t="n">
        <v>31.032685</v>
      </c>
      <c r="V218" t="n">
        <v>31.032685</v>
      </c>
      <c r="W218" t="n">
        <v>61.724923</v>
      </c>
      <c r="X218" t="n">
        <v>5208.68705</v>
      </c>
    </row>
    <row r="219" ht="21" customHeight="1">
      <c r="A219" t="inlineStr">
        <is>
          <t>Acanthuridae</t>
        </is>
      </c>
      <c r="B219" t="n">
        <v>2.28</v>
      </c>
      <c r="C219" t="n">
        <v>19.054607</v>
      </c>
      <c r="D219" s="11" t="inlineStr">
        <is>
          <t>Demesral fish (≤ 30 cm)</t>
        </is>
      </c>
      <c r="H219" t="n">
        <v>47.821434</v>
      </c>
      <c r="I219" t="n">
        <v>386.298429</v>
      </c>
      <c r="J219" t="n">
        <v>403.015522</v>
      </c>
      <c r="K219" t="n">
        <v>382.864746</v>
      </c>
      <c r="L219" t="n">
        <v>738.02552</v>
      </c>
      <c r="M219" t="n">
        <v>504.12505</v>
      </c>
      <c r="N219" t="n">
        <v>504.12505</v>
      </c>
      <c r="O219" t="n">
        <v>19.791087</v>
      </c>
      <c r="P219" t="n">
        <v>10.585758</v>
      </c>
      <c r="Q219" t="n">
        <v>504.12505</v>
      </c>
      <c r="R219" t="n">
        <v>504.12505</v>
      </c>
      <c r="S219" t="n">
        <v>19.791087</v>
      </c>
      <c r="T219" t="n">
        <v>19.791087</v>
      </c>
      <c r="U219" t="n">
        <v>10.585758</v>
      </c>
      <c r="V219" t="n">
        <v>10.585758</v>
      </c>
      <c r="W219" t="n">
        <v>20.644284</v>
      </c>
      <c r="X219" t="n">
        <v>528.265792</v>
      </c>
    </row>
    <row r="220" ht="36" customHeight="1">
      <c r="A220" t="inlineStr">
        <is>
          <t>Trachurus japonicus</t>
        </is>
      </c>
      <c r="B220" t="n">
        <v>3.4</v>
      </c>
      <c r="C220" t="n">
        <v>251.188643</v>
      </c>
      <c r="D220" s="11" t="inlineStr">
        <is>
          <t>Juvenile large pelagic fish | Pelagic fish (&gt; 30 cm)</t>
        </is>
      </c>
      <c r="H220" t="n">
        <v>134.939141</v>
      </c>
      <c r="I220" t="n">
        <v>4341.841291</v>
      </c>
      <c r="J220" t="n">
        <v>4398.007385</v>
      </c>
      <c r="K220" t="n">
        <v>1301.694746</v>
      </c>
      <c r="L220" t="n">
        <v>7112.982475</v>
      </c>
      <c r="M220" t="n">
        <v>4967.292392</v>
      </c>
      <c r="N220" t="n">
        <v>4967.292392</v>
      </c>
      <c r="O220" t="n">
        <v>58.311114</v>
      </c>
      <c r="P220" t="n">
        <v>31.032685</v>
      </c>
      <c r="Q220" t="n">
        <v>4967.292392</v>
      </c>
      <c r="R220" t="n">
        <v>4967.292392</v>
      </c>
      <c r="S220" t="n">
        <v>58.311114</v>
      </c>
      <c r="T220" t="n">
        <v>58.311114</v>
      </c>
      <c r="U220" t="n">
        <v>31.032685</v>
      </c>
      <c r="V220" t="n">
        <v>31.032685</v>
      </c>
      <c r="W220" t="n">
        <v>61.724923</v>
      </c>
      <c r="X220" t="n">
        <v>5208.68705</v>
      </c>
    </row>
    <row r="221" ht="36" customHeight="1">
      <c r="A221" t="inlineStr">
        <is>
          <t>Lactarius lactarius</t>
        </is>
      </c>
      <c r="B221" t="n">
        <v>3.97</v>
      </c>
      <c r="C221" t="n">
        <v>933.2543010000001</v>
      </c>
      <c r="D221" s="11" t="inlineStr">
        <is>
          <t>Juvenile large pelagic fish | Pelagic fish (&gt; 30 cm)</t>
        </is>
      </c>
      <c r="H221" t="n">
        <v>134.939141</v>
      </c>
      <c r="I221" t="n">
        <v>4341.841291</v>
      </c>
      <c r="J221" t="n">
        <v>4398.007385</v>
      </c>
      <c r="K221" t="n">
        <v>1301.694746</v>
      </c>
      <c r="L221" t="n">
        <v>7112.982475</v>
      </c>
      <c r="M221" t="n">
        <v>4967.292392</v>
      </c>
      <c r="N221" t="n">
        <v>4967.292392</v>
      </c>
      <c r="O221" t="n">
        <v>58.311114</v>
      </c>
      <c r="P221" t="n">
        <v>31.032685</v>
      </c>
      <c r="Q221" t="n">
        <v>4967.292392</v>
      </c>
      <c r="R221" t="n">
        <v>4967.292392</v>
      </c>
      <c r="S221" t="n">
        <v>58.311114</v>
      </c>
      <c r="T221" t="n">
        <v>58.311114</v>
      </c>
      <c r="U221" t="n">
        <v>31.032685</v>
      </c>
      <c r="V221" t="n">
        <v>31.032685</v>
      </c>
      <c r="W221" t="n">
        <v>61.724923</v>
      </c>
      <c r="X221" t="n">
        <v>5208.68705</v>
      </c>
    </row>
    <row r="222" ht="36" customHeight="1">
      <c r="A222" t="inlineStr">
        <is>
          <t>Lethrinus</t>
        </is>
      </c>
      <c r="B222" t="n">
        <v>3.75</v>
      </c>
      <c r="C222" t="n">
        <v>562.341325</v>
      </c>
      <c r="D222" s="11" t="inlineStr">
        <is>
          <t>Juvenile demersal fish (&gt; 30 cm) | Adult demersal fish (&gt; 30 cm)</t>
        </is>
      </c>
      <c r="H222" t="n">
        <v>175.842593</v>
      </c>
      <c r="I222" t="n">
        <v>4469.123499</v>
      </c>
      <c r="J222" t="n">
        <v>4793.322749</v>
      </c>
      <c r="K222" t="n">
        <v>1747.151432</v>
      </c>
      <c r="L222" t="n">
        <v>10677.999207</v>
      </c>
      <c r="M222" t="n">
        <v>7305.602239</v>
      </c>
      <c r="N222" t="n">
        <v>7305.602239</v>
      </c>
      <c r="O222" t="n">
        <v>41.400447</v>
      </c>
      <c r="P222" t="n">
        <v>18.192821</v>
      </c>
      <c r="Q222" t="n">
        <v>7305.602239</v>
      </c>
      <c r="R222" t="n">
        <v>7305.602239</v>
      </c>
      <c r="S222" t="n">
        <v>41.400447</v>
      </c>
      <c r="T222" t="n">
        <v>41.400447</v>
      </c>
      <c r="U222" t="n">
        <v>18.192821</v>
      </c>
      <c r="V222" t="n">
        <v>18.192821</v>
      </c>
      <c r="W222" t="n">
        <v>43.295832</v>
      </c>
      <c r="X222" t="n">
        <v>7878.655066</v>
      </c>
    </row>
    <row r="223" ht="36" customHeight="1">
      <c r="A223" t="inlineStr">
        <is>
          <t>Balistidae</t>
        </is>
      </c>
      <c r="B223" t="n">
        <v>3.25</v>
      </c>
      <c r="C223" t="n">
        <v>177.827941</v>
      </c>
      <c r="D223" s="11" t="inlineStr">
        <is>
          <t>Juvenile demersal fish (&gt; 30 cm) | Adult demersal fish (&gt; 30 cm)</t>
        </is>
      </c>
      <c r="H223" t="n">
        <v>175.842593</v>
      </c>
      <c r="I223" t="n">
        <v>4469.123499</v>
      </c>
      <c r="J223" t="n">
        <v>4793.322749</v>
      </c>
      <c r="K223" t="n">
        <v>1747.151432</v>
      </c>
      <c r="L223" t="n">
        <v>10677.999207</v>
      </c>
      <c r="M223" t="n">
        <v>7305.602239</v>
      </c>
      <c r="N223" t="n">
        <v>7305.602239</v>
      </c>
      <c r="O223" t="n">
        <v>41.400447</v>
      </c>
      <c r="P223" t="n">
        <v>18.192821</v>
      </c>
      <c r="Q223" t="n">
        <v>7305.602239</v>
      </c>
      <c r="R223" t="n">
        <v>7305.602239</v>
      </c>
      <c r="S223" t="n">
        <v>41.400447</v>
      </c>
      <c r="T223" t="n">
        <v>41.400447</v>
      </c>
      <c r="U223" t="n">
        <v>18.192821</v>
      </c>
      <c r="V223" t="n">
        <v>18.192821</v>
      </c>
      <c r="W223" t="n">
        <v>43.295832</v>
      </c>
      <c r="X223" t="n">
        <v>7878.655066</v>
      </c>
    </row>
    <row r="224" ht="36" customHeight="1">
      <c r="A224" t="inlineStr">
        <is>
          <t>Gymnocranius</t>
        </is>
      </c>
      <c r="B224" t="n">
        <v>3.4</v>
      </c>
      <c r="C224" t="n">
        <v>251.188643</v>
      </c>
      <c r="D224" s="11" t="inlineStr">
        <is>
          <t>Juvenile demersal fish (&gt; 30 cm) | Adult demersal fish (&gt; 30 cm)</t>
        </is>
      </c>
      <c r="H224" t="n">
        <v>175.842593</v>
      </c>
      <c r="I224" t="n">
        <v>4469.123499</v>
      </c>
      <c r="J224" t="n">
        <v>4793.322749</v>
      </c>
      <c r="K224" t="n">
        <v>1747.151432</v>
      </c>
      <c r="L224" t="n">
        <v>10677.999207</v>
      </c>
      <c r="M224" t="n">
        <v>7305.602239</v>
      </c>
      <c r="N224" t="n">
        <v>7305.602239</v>
      </c>
      <c r="O224" t="n">
        <v>41.400447</v>
      </c>
      <c r="P224" t="n">
        <v>18.192821</v>
      </c>
      <c r="Q224" t="n">
        <v>7305.602239</v>
      </c>
      <c r="R224" t="n">
        <v>7305.602239</v>
      </c>
      <c r="S224" t="n">
        <v>41.400447</v>
      </c>
      <c r="T224" t="n">
        <v>41.400447</v>
      </c>
      <c r="U224" t="n">
        <v>18.192821</v>
      </c>
      <c r="V224" t="n">
        <v>18.192821</v>
      </c>
      <c r="W224" t="n">
        <v>43.295832</v>
      </c>
      <c r="X224" t="n">
        <v>7878.655066</v>
      </c>
    </row>
    <row r="225" ht="21" customHeight="1">
      <c r="A225" t="inlineStr">
        <is>
          <t>Penaeus latisulcatus</t>
        </is>
      </c>
      <c r="B225" t="n">
        <v>2.7</v>
      </c>
      <c r="C225" t="n">
        <v>50.118723</v>
      </c>
      <c r="D225" s="11" t="inlineStr">
        <is>
          <t>Shrimps</t>
        </is>
      </c>
      <c r="H225" t="n">
        <v>8.702252</v>
      </c>
      <c r="I225" t="n">
        <v>88.674335</v>
      </c>
      <c r="J225" t="n">
        <v>88.674335</v>
      </c>
      <c r="K225" t="n">
        <v>84.240618</v>
      </c>
      <c r="L225" t="n">
        <v>130.894857</v>
      </c>
      <c r="M225" t="n">
        <v>88.674335</v>
      </c>
      <c r="N225" t="n">
        <v>88.674335</v>
      </c>
      <c r="O225" t="n">
        <v>5.151693</v>
      </c>
      <c r="P225" t="n">
        <v>3.42724</v>
      </c>
      <c r="Q225" t="n">
        <v>88.674335</v>
      </c>
      <c r="R225" t="n">
        <v>88.674335</v>
      </c>
      <c r="S225" t="n">
        <v>5.151693</v>
      </c>
      <c r="T225" t="n">
        <v>5.151693</v>
      </c>
      <c r="U225" t="n">
        <v>3.42724</v>
      </c>
      <c r="V225" t="n">
        <v>3.42724</v>
      </c>
      <c r="W225" t="n">
        <v>5.382228</v>
      </c>
      <c r="X225" t="n">
        <v>92.561423</v>
      </c>
    </row>
    <row r="226" ht="21" customHeight="1">
      <c r="A226" t="inlineStr">
        <is>
          <t>Dussumieria elopsoides</t>
        </is>
      </c>
      <c r="B226" t="n">
        <v>3.4</v>
      </c>
      <c r="C226" t="n">
        <v>251.188643</v>
      </c>
      <c r="D226" s="11" t="inlineStr">
        <is>
          <t>Pelagic fish (≤ 30 cm)</t>
        </is>
      </c>
      <c r="H226" t="n">
        <v>31.538936</v>
      </c>
      <c r="I226" t="n">
        <v>277.068801</v>
      </c>
      <c r="J226" t="n">
        <v>277.068801</v>
      </c>
      <c r="K226" t="n">
        <v>263.215361</v>
      </c>
      <c r="L226" t="n">
        <v>393.787233</v>
      </c>
      <c r="M226" t="n">
        <v>277.168933</v>
      </c>
      <c r="N226" t="n">
        <v>277.168933</v>
      </c>
      <c r="O226" t="n">
        <v>14.521402</v>
      </c>
      <c r="P226" t="n">
        <v>9.426283</v>
      </c>
      <c r="Q226" t="n">
        <v>277.168933</v>
      </c>
      <c r="R226" t="n">
        <v>277.168933</v>
      </c>
      <c r="S226" t="n">
        <v>14.521402</v>
      </c>
      <c r="T226" t="n">
        <v>14.521402</v>
      </c>
      <c r="U226" t="n">
        <v>9.426283</v>
      </c>
      <c r="V226" t="n">
        <v>9.426283</v>
      </c>
      <c r="W226" t="n">
        <v>15.223157</v>
      </c>
      <c r="X226" t="n">
        <v>285.614997</v>
      </c>
    </row>
    <row r="227" ht="36" customHeight="1">
      <c r="A227" t="inlineStr">
        <is>
          <t>Megalops cyprinoides</t>
        </is>
      </c>
      <c r="B227" t="n">
        <v>3.48</v>
      </c>
      <c r="C227" t="n">
        <v>301.995172</v>
      </c>
      <c r="D227" s="11" t="inlineStr">
        <is>
          <t>Juvenile large pelagic fish | Pelagic fish (&gt; 30 cm)</t>
        </is>
      </c>
      <c r="H227" t="n">
        <v>134.939141</v>
      </c>
      <c r="I227" t="n">
        <v>4341.841291</v>
      </c>
      <c r="J227" t="n">
        <v>4398.007385</v>
      </c>
      <c r="K227" t="n">
        <v>1301.694746</v>
      </c>
      <c r="L227" t="n">
        <v>7112.982475</v>
      </c>
      <c r="M227" t="n">
        <v>4967.292392</v>
      </c>
      <c r="N227" t="n">
        <v>4967.292392</v>
      </c>
      <c r="O227" t="n">
        <v>58.311114</v>
      </c>
      <c r="P227" t="n">
        <v>31.032685</v>
      </c>
      <c r="Q227" t="n">
        <v>4967.292392</v>
      </c>
      <c r="R227" t="n">
        <v>4967.292392</v>
      </c>
      <c r="S227" t="n">
        <v>58.311114</v>
      </c>
      <c r="T227" t="n">
        <v>58.311114</v>
      </c>
      <c r="U227" t="n">
        <v>31.032685</v>
      </c>
      <c r="V227" t="n">
        <v>31.032685</v>
      </c>
      <c r="W227" t="n">
        <v>61.724923</v>
      </c>
      <c r="X227" t="n">
        <v>5208.68705</v>
      </c>
    </row>
    <row r="228" ht="36" customHeight="1">
      <c r="A228" t="inlineStr">
        <is>
          <t>Plectorhinchus</t>
        </is>
      </c>
      <c r="B228" t="n">
        <v>3.43</v>
      </c>
      <c r="C228" t="n">
        <v>269.15348</v>
      </c>
      <c r="D228" s="11" t="inlineStr">
        <is>
          <t>Juvenile demersal fish (&gt; 30 cm) | Adult demersal fish (&gt; 30 cm)</t>
        </is>
      </c>
      <c r="H228" t="n">
        <v>175.842593</v>
      </c>
      <c r="I228" t="n">
        <v>4469.123499</v>
      </c>
      <c r="J228" t="n">
        <v>4793.322749</v>
      </c>
      <c r="K228" t="n">
        <v>1747.151432</v>
      </c>
      <c r="L228" t="n">
        <v>10677.999207</v>
      </c>
      <c r="M228" t="n">
        <v>7305.602239</v>
      </c>
      <c r="N228" t="n">
        <v>7305.602239</v>
      </c>
      <c r="O228" t="n">
        <v>41.400447</v>
      </c>
      <c r="P228" t="n">
        <v>18.192821</v>
      </c>
      <c r="Q228" t="n">
        <v>7305.602239</v>
      </c>
      <c r="R228" t="n">
        <v>7305.602239</v>
      </c>
      <c r="S228" t="n">
        <v>41.400447</v>
      </c>
      <c r="T228" t="n">
        <v>41.400447</v>
      </c>
      <c r="U228" t="n">
        <v>18.192821</v>
      </c>
      <c r="V228" t="n">
        <v>18.192821</v>
      </c>
      <c r="W228" t="n">
        <v>43.295832</v>
      </c>
      <c r="X228" t="n">
        <v>7878.655066</v>
      </c>
    </row>
    <row r="229" ht="21" customHeight="1">
      <c r="A229" t="inlineStr">
        <is>
          <t>Apostichopus japonicus</t>
        </is>
      </c>
      <c r="B229" t="n">
        <v>2.3</v>
      </c>
      <c r="C229" t="n">
        <v>19.952623</v>
      </c>
      <c r="D229" s="11" t="inlineStr">
        <is>
          <t>Echinoderms</t>
        </is>
      </c>
      <c r="H229" t="n">
        <v>24.292661</v>
      </c>
      <c r="I229" t="n">
        <v>418.593928</v>
      </c>
      <c r="J229" t="n">
        <v>418.593928</v>
      </c>
      <c r="K229" t="n">
        <v>166.600383</v>
      </c>
      <c r="L229" t="n">
        <v>1080.992157</v>
      </c>
      <c r="M229" t="n">
        <v>753.402512</v>
      </c>
      <c r="N229" t="n">
        <v>753.402512</v>
      </c>
      <c r="O229" t="n">
        <v>10.622481</v>
      </c>
      <c r="P229" t="n">
        <v>5.780752</v>
      </c>
      <c r="Q229" t="n">
        <v>753.402512</v>
      </c>
      <c r="R229" t="n">
        <v>753.402512</v>
      </c>
      <c r="S229" t="n">
        <v>10.622481</v>
      </c>
      <c r="T229" t="n">
        <v>10.622481</v>
      </c>
      <c r="U229" t="n">
        <v>5.780752</v>
      </c>
      <c r="V229" t="n">
        <v>5.780752</v>
      </c>
      <c r="W229" t="n">
        <v>11.036237</v>
      </c>
      <c r="X229" t="n">
        <v>791.2975750000001</v>
      </c>
    </row>
    <row r="230" ht="21" customHeight="1">
      <c r="A230" t="inlineStr">
        <is>
          <t>Portunidae</t>
        </is>
      </c>
      <c r="B230" t="n">
        <v>3.56</v>
      </c>
      <c r="C230" t="n">
        <v>363.078055</v>
      </c>
      <c r="D230" s="11" t="inlineStr">
        <is>
          <t>Crabs</t>
        </is>
      </c>
      <c r="H230" t="n">
        <v>15.007847</v>
      </c>
      <c r="I230" t="n">
        <v>98.72009199999999</v>
      </c>
      <c r="J230" t="n">
        <v>98.72009199999999</v>
      </c>
      <c r="K230" t="n">
        <v>93.784087</v>
      </c>
      <c r="L230" t="n">
        <v>173.938876</v>
      </c>
      <c r="M230" t="n">
        <v>115.203607</v>
      </c>
      <c r="N230" t="n">
        <v>115.203607</v>
      </c>
      <c r="O230" t="n">
        <v>4.263184</v>
      </c>
      <c r="P230" t="n">
        <v>2.411197</v>
      </c>
      <c r="Q230" t="n">
        <v>115.203607</v>
      </c>
      <c r="R230" t="n">
        <v>115.203607</v>
      </c>
      <c r="S230" t="n">
        <v>4.263184</v>
      </c>
      <c r="T230" t="n">
        <v>4.263184</v>
      </c>
      <c r="U230" t="n">
        <v>2.411197</v>
      </c>
      <c r="V230" t="n">
        <v>2.411197</v>
      </c>
      <c r="W230" t="n">
        <v>4.428691</v>
      </c>
      <c r="X230" t="n">
        <v>122.757859</v>
      </c>
    </row>
    <row r="231" ht="21" customHeight="1">
      <c r="A231" t="inlineStr">
        <is>
          <t>Haliotidae</t>
        </is>
      </c>
      <c r="B231" t="n">
        <v>2</v>
      </c>
      <c r="C231" t="n">
        <v>10</v>
      </c>
      <c r="D231" s="11" t="inlineStr">
        <is>
          <t>Non-ceph molluscs</t>
        </is>
      </c>
      <c r="H231" t="n">
        <v>5.373346</v>
      </c>
      <c r="I231" t="n">
        <v>57.395403</v>
      </c>
      <c r="J231" t="n">
        <v>57.395403</v>
      </c>
      <c r="K231" t="n">
        <v>21.98244</v>
      </c>
      <c r="L231" t="n">
        <v>92.59366</v>
      </c>
      <c r="M231" t="n">
        <v>61.118924</v>
      </c>
      <c r="N231" t="n">
        <v>61.118924</v>
      </c>
      <c r="O231" t="n">
        <v>1.571536</v>
      </c>
      <c r="P231" t="n">
        <v>1.01605</v>
      </c>
      <c r="Q231" t="n">
        <v>61.118924</v>
      </c>
      <c r="R231" t="n">
        <v>61.118924</v>
      </c>
      <c r="S231" t="n">
        <v>1.571536</v>
      </c>
      <c r="T231" t="n">
        <v>1.571536</v>
      </c>
      <c r="U231" t="n">
        <v>1.01605</v>
      </c>
      <c r="V231" t="n">
        <v>1.01605</v>
      </c>
      <c r="W231" t="n">
        <v>1.626148</v>
      </c>
      <c r="X231" t="n">
        <v>63.787046</v>
      </c>
    </row>
    <row r="232" ht="36" customHeight="1">
      <c r="A232" t="inlineStr">
        <is>
          <t>Batoidea</t>
        </is>
      </c>
      <c r="B232" t="n">
        <v>3.72</v>
      </c>
      <c r="C232" t="n">
        <v>524.80746</v>
      </c>
      <c r="D232" s="11" t="inlineStr">
        <is>
          <t>Demersal sharks and rays | Pelagic sharks and rays</t>
        </is>
      </c>
      <c r="H232" t="n">
        <v>304.84076</v>
      </c>
      <c r="I232" t="n">
        <v>22014.382452</v>
      </c>
      <c r="J232" t="n">
        <v>22231.430218</v>
      </c>
      <c r="K232" t="n">
        <v>10306.364543</v>
      </c>
      <c r="L232" t="n">
        <v>47447.371867</v>
      </c>
      <c r="M232" t="n">
        <v>32772.930566</v>
      </c>
      <c r="N232" t="n">
        <v>32772.930566</v>
      </c>
      <c r="O232" t="n">
        <v>71.882007</v>
      </c>
      <c r="P232" t="n">
        <v>30.788806</v>
      </c>
      <c r="Q232" t="n">
        <v>32772.930566</v>
      </c>
      <c r="R232" t="n">
        <v>32772.930566</v>
      </c>
      <c r="S232" t="n">
        <v>71.882007</v>
      </c>
      <c r="T232" t="n">
        <v>71.882007</v>
      </c>
      <c r="U232" t="n">
        <v>30.788806</v>
      </c>
      <c r="V232" t="n">
        <v>30.788806</v>
      </c>
      <c r="W232" t="n">
        <v>75.96293799999999</v>
      </c>
      <c r="X232" t="n">
        <v>35173.815829</v>
      </c>
    </row>
    <row r="233" ht="21" customHeight="1">
      <c r="A233" t="inlineStr">
        <is>
          <t>Istiophorus</t>
        </is>
      </c>
      <c r="B233" t="n">
        <v>4.5</v>
      </c>
      <c r="C233" t="n">
        <v>3162.27766</v>
      </c>
      <c r="D233" s="11" t="inlineStr">
        <is>
          <t>Unresolved</t>
        </is>
      </c>
    </row>
    <row r="234" ht="36" customHeight="1">
      <c r="A234" t="inlineStr">
        <is>
          <t>Platycaranx malabaricus</t>
        </is>
      </c>
      <c r="B234" t="n">
        <v>3.88</v>
      </c>
      <c r="C234" t="n">
        <v>758.577575</v>
      </c>
      <c r="D234" s="11" t="inlineStr">
        <is>
          <t>Juvenile large pelagic fish | Pelagic fish (&gt; 30 cm)</t>
        </is>
      </c>
      <c r="H234" t="n">
        <v>134.939141</v>
      </c>
      <c r="I234" t="n">
        <v>4341.841291</v>
      </c>
      <c r="J234" t="n">
        <v>4398.007385</v>
      </c>
      <c r="K234" t="n">
        <v>1301.694746</v>
      </c>
      <c r="L234" t="n">
        <v>7112.982475</v>
      </c>
      <c r="M234" t="n">
        <v>4967.292392</v>
      </c>
      <c r="N234" t="n">
        <v>4967.292392</v>
      </c>
      <c r="O234" t="n">
        <v>58.311114</v>
      </c>
      <c r="P234" t="n">
        <v>31.032685</v>
      </c>
      <c r="Q234" t="n">
        <v>4967.292392</v>
      </c>
      <c r="R234" t="n">
        <v>4967.292392</v>
      </c>
      <c r="S234" t="n">
        <v>58.311114</v>
      </c>
      <c r="T234" t="n">
        <v>58.311114</v>
      </c>
      <c r="U234" t="n">
        <v>31.032685</v>
      </c>
      <c r="V234" t="n">
        <v>31.032685</v>
      </c>
      <c r="W234" t="n">
        <v>61.724923</v>
      </c>
      <c r="X234" t="n">
        <v>5208.68705</v>
      </c>
    </row>
    <row r="235" ht="21" customHeight="1">
      <c r="A235" t="inlineStr">
        <is>
          <t>Nemipterus japonicus</t>
        </is>
      </c>
      <c r="B235" t="n">
        <v>3.77</v>
      </c>
      <c r="C235" t="n">
        <v>588.843655</v>
      </c>
      <c r="D235" s="11" t="inlineStr">
        <is>
          <t>Threadfin bream (nemipterids)</t>
        </is>
      </c>
      <c r="H235" t="n">
        <v>75.29344</v>
      </c>
      <c r="I235" t="n">
        <v>2351.601599</v>
      </c>
      <c r="J235" t="n">
        <v>2551.708963</v>
      </c>
      <c r="K235" t="n">
        <v>1196.751504</v>
      </c>
      <c r="L235" t="n">
        <v>4710.704014</v>
      </c>
      <c r="M235" t="n">
        <v>3197.137719</v>
      </c>
      <c r="N235" t="n">
        <v>3197.137719</v>
      </c>
      <c r="O235" t="n">
        <v>47.386821</v>
      </c>
      <c r="P235" t="n">
        <v>22.758425</v>
      </c>
      <c r="Q235" t="n">
        <v>3197.137719</v>
      </c>
      <c r="R235" t="n">
        <v>3197.137719</v>
      </c>
      <c r="S235" t="n">
        <v>47.386821</v>
      </c>
      <c r="T235" t="n">
        <v>47.386821</v>
      </c>
      <c r="U235" t="n">
        <v>22.758425</v>
      </c>
      <c r="V235" t="n">
        <v>22.758425</v>
      </c>
      <c r="W235" t="n">
        <v>49.846385</v>
      </c>
      <c r="X235" t="n">
        <v>3474.67582</v>
      </c>
    </row>
    <row r="236" ht="51" customHeight="1">
      <c r="A236" t="inlineStr">
        <is>
          <t>Bothidae</t>
        </is>
      </c>
      <c r="B236" t="n">
        <v>3.77</v>
      </c>
      <c r="C236" t="n">
        <v>588.843655</v>
      </c>
      <c r="D236" s="11" t="inlineStr">
        <is>
          <t>Demesral fish (≤ 30 cm) | Juvenile demersal fish (&gt; 30 cm) | Adult demersal fish (&gt; 30 cm)</t>
        </is>
      </c>
      <c r="H236" t="n">
        <v>126.494265</v>
      </c>
      <c r="I236" t="n">
        <v>2895.31657</v>
      </c>
      <c r="J236" t="n">
        <v>3100.990647</v>
      </c>
      <c r="K236" t="n">
        <v>1221.259727</v>
      </c>
      <c r="L236" t="n">
        <v>6846.4367</v>
      </c>
      <c r="M236" t="n">
        <v>4683.836246</v>
      </c>
      <c r="N236" t="n">
        <v>4683.836246</v>
      </c>
      <c r="O236" t="n">
        <v>33.070685</v>
      </c>
      <c r="P236" t="n">
        <v>15.260526</v>
      </c>
      <c r="Q236" t="n">
        <v>4683.836246</v>
      </c>
      <c r="R236" t="n">
        <v>4683.836246</v>
      </c>
      <c r="S236" t="n">
        <v>33.070685</v>
      </c>
      <c r="T236" t="n">
        <v>33.070685</v>
      </c>
      <c r="U236" t="n">
        <v>15.260526</v>
      </c>
      <c r="V236" t="n">
        <v>15.260526</v>
      </c>
      <c r="W236" t="n">
        <v>34.564338</v>
      </c>
      <c r="X236" t="n">
        <v>5045.299884</v>
      </c>
    </row>
    <row r="237" ht="21" customHeight="1">
      <c r="A237" t="inlineStr">
        <is>
          <t>Drepane</t>
        </is>
      </c>
      <c r="B237" t="n">
        <v>3.32</v>
      </c>
      <c r="C237" t="n">
        <v>208.929613</v>
      </c>
      <c r="D237" s="11" t="inlineStr">
        <is>
          <t>Benthopelagic fish</t>
        </is>
      </c>
      <c r="H237" t="n">
        <v>45.344864</v>
      </c>
      <c r="I237" t="n">
        <v>356.10635</v>
      </c>
      <c r="J237" t="n">
        <v>384.755747</v>
      </c>
      <c r="K237" t="n">
        <v>365.51796</v>
      </c>
      <c r="L237" t="n">
        <v>602.712303</v>
      </c>
      <c r="M237" t="n">
        <v>421.28566</v>
      </c>
      <c r="N237" t="n">
        <v>421.28566</v>
      </c>
      <c r="O237" t="n">
        <v>20.384878</v>
      </c>
      <c r="P237" t="n">
        <v>12.067619</v>
      </c>
      <c r="Q237" t="n">
        <v>421.28566</v>
      </c>
      <c r="R237" t="n">
        <v>421.28566</v>
      </c>
      <c r="S237" t="n">
        <v>20.384878</v>
      </c>
      <c r="T237" t="n">
        <v>20.384878</v>
      </c>
      <c r="U237" t="n">
        <v>12.067619</v>
      </c>
      <c r="V237" t="n">
        <v>12.067619</v>
      </c>
      <c r="W237" t="n">
        <v>20.990919</v>
      </c>
      <c r="X237" t="n">
        <v>434.828134</v>
      </c>
    </row>
    <row r="238" ht="36" customHeight="1">
      <c r="A238" t="inlineStr">
        <is>
          <t>Lateolabrax japonicus</t>
        </is>
      </c>
      <c r="B238" t="n">
        <v>3.36</v>
      </c>
      <c r="C238" t="n">
        <v>229.086765</v>
      </c>
      <c r="D238" s="11" t="inlineStr">
        <is>
          <t>Juvenile demersal fish (&gt; 30 cm) | Adult demersal fish (&gt; 30 cm)</t>
        </is>
      </c>
      <c r="H238" t="n">
        <v>175.842593</v>
      </c>
      <c r="I238" t="n">
        <v>4469.123499</v>
      </c>
      <c r="J238" t="n">
        <v>4793.322749</v>
      </c>
      <c r="K238" t="n">
        <v>1747.151432</v>
      </c>
      <c r="L238" t="n">
        <v>10677.999207</v>
      </c>
      <c r="M238" t="n">
        <v>7305.602239</v>
      </c>
      <c r="N238" t="n">
        <v>7305.602239</v>
      </c>
      <c r="O238" t="n">
        <v>41.400447</v>
      </c>
      <c r="P238" t="n">
        <v>18.192821</v>
      </c>
      <c r="Q238" t="n">
        <v>7305.602239</v>
      </c>
      <c r="R238" t="n">
        <v>7305.602239</v>
      </c>
      <c r="S238" t="n">
        <v>41.400447</v>
      </c>
      <c r="T238" t="n">
        <v>41.400447</v>
      </c>
      <c r="U238" t="n">
        <v>18.192821</v>
      </c>
      <c r="V238" t="n">
        <v>18.192821</v>
      </c>
      <c r="W238" t="n">
        <v>43.295832</v>
      </c>
      <c r="X238" t="n">
        <v>7878.655066</v>
      </c>
    </row>
    <row r="239" ht="36" customHeight="1">
      <c r="A239" t="inlineStr">
        <is>
          <t>Auxis rochei</t>
        </is>
      </c>
      <c r="B239" t="n">
        <v>4.13</v>
      </c>
      <c r="C239" t="n">
        <v>1348.962883</v>
      </c>
      <c r="D239" s="11" t="inlineStr">
        <is>
          <t>Juvenile large pelagic fish | Pelagic fish (&gt; 30 cm)</t>
        </is>
      </c>
      <c r="H239" t="n">
        <v>134.939141</v>
      </c>
      <c r="I239" t="n">
        <v>4341.841291</v>
      </c>
      <c r="J239" t="n">
        <v>4398.007385</v>
      </c>
      <c r="K239" t="n">
        <v>1301.694746</v>
      </c>
      <c r="L239" t="n">
        <v>7112.982475</v>
      </c>
      <c r="M239" t="n">
        <v>4967.292392</v>
      </c>
      <c r="N239" t="n">
        <v>4967.292392</v>
      </c>
      <c r="O239" t="n">
        <v>58.311114</v>
      </c>
      <c r="P239" t="n">
        <v>31.032685</v>
      </c>
      <c r="Q239" t="n">
        <v>4967.292392</v>
      </c>
      <c r="R239" t="n">
        <v>4967.292392</v>
      </c>
      <c r="S239" t="n">
        <v>58.311114</v>
      </c>
      <c r="T239" t="n">
        <v>58.311114</v>
      </c>
      <c r="U239" t="n">
        <v>31.032685</v>
      </c>
      <c r="V239" t="n">
        <v>31.032685</v>
      </c>
      <c r="W239" t="n">
        <v>61.724923</v>
      </c>
      <c r="X239" t="n">
        <v>5208.68705</v>
      </c>
    </row>
    <row r="240" ht="36" customHeight="1">
      <c r="A240" t="inlineStr">
        <is>
          <t>Nibea mitsukurii</t>
        </is>
      </c>
      <c r="B240" t="n">
        <v>3.5</v>
      </c>
      <c r="C240" t="n">
        <v>316.227766</v>
      </c>
      <c r="D240" s="11" t="inlineStr">
        <is>
          <t>Juvenile large croakers | Croakers (&gt; 30 cm)</t>
        </is>
      </c>
      <c r="H240" t="n">
        <v>186.20618</v>
      </c>
      <c r="I240" t="n">
        <v>2011.85117</v>
      </c>
      <c r="J240" t="n">
        <v>2069.253476</v>
      </c>
      <c r="K240" t="n">
        <v>1211.061254</v>
      </c>
      <c r="L240" t="n">
        <v>3691.420719</v>
      </c>
      <c r="M240" t="n">
        <v>2544.206248</v>
      </c>
      <c r="N240" t="n">
        <v>2544.206248</v>
      </c>
      <c r="O240" t="n">
        <v>52.008808</v>
      </c>
      <c r="P240" t="n">
        <v>24.402038</v>
      </c>
      <c r="Q240" t="n">
        <v>2544.206248</v>
      </c>
      <c r="R240" t="n">
        <v>2544.206248</v>
      </c>
      <c r="S240" t="n">
        <v>52.008808</v>
      </c>
      <c r="T240" t="n">
        <v>52.008808</v>
      </c>
      <c r="U240" t="n">
        <v>24.402038</v>
      </c>
      <c r="V240" t="n">
        <v>24.402038</v>
      </c>
      <c r="W240" t="n">
        <v>54.568994</v>
      </c>
      <c r="X240" t="n">
        <v>2714.954335</v>
      </c>
    </row>
    <row r="241" ht="21" customHeight="1">
      <c r="A241" t="inlineStr">
        <is>
          <t>Meretrix lusoria</t>
        </is>
      </c>
      <c r="B241" t="n">
        <v>2</v>
      </c>
      <c r="C241" t="n">
        <v>10</v>
      </c>
      <c r="D241" s="11" t="inlineStr">
        <is>
          <t>Non-ceph molluscs</t>
        </is>
      </c>
      <c r="H241" t="n">
        <v>5.373346</v>
      </c>
      <c r="I241" t="n">
        <v>57.395403</v>
      </c>
      <c r="J241" t="n">
        <v>57.395403</v>
      </c>
      <c r="K241" t="n">
        <v>21.98244</v>
      </c>
      <c r="L241" t="n">
        <v>92.59366</v>
      </c>
      <c r="M241" t="n">
        <v>61.118924</v>
      </c>
      <c r="N241" t="n">
        <v>61.118924</v>
      </c>
      <c r="O241" t="n">
        <v>1.571536</v>
      </c>
      <c r="P241" t="n">
        <v>1.01605</v>
      </c>
      <c r="Q241" t="n">
        <v>61.118924</v>
      </c>
      <c r="R241" t="n">
        <v>61.118924</v>
      </c>
      <c r="S241" t="n">
        <v>1.571536</v>
      </c>
      <c r="T241" t="n">
        <v>1.571536</v>
      </c>
      <c r="U241" t="n">
        <v>1.01605</v>
      </c>
      <c r="V241" t="n">
        <v>1.01605</v>
      </c>
      <c r="W241" t="n">
        <v>1.626148</v>
      </c>
      <c r="X241" t="n">
        <v>63.787046</v>
      </c>
    </row>
    <row r="242" ht="36" customHeight="1">
      <c r="A242" t="inlineStr">
        <is>
          <t>Hemiramphidae</t>
        </is>
      </c>
      <c r="B242" t="n">
        <v>2.82</v>
      </c>
      <c r="C242" t="n">
        <v>66.069345</v>
      </c>
      <c r="D242" s="11" t="inlineStr">
        <is>
          <t>Juvenile large pelagic fish | Pelagic fish (&gt; 30 cm)</t>
        </is>
      </c>
      <c r="H242" t="n">
        <v>134.939141</v>
      </c>
      <c r="I242" t="n">
        <v>4341.841291</v>
      </c>
      <c r="J242" t="n">
        <v>4398.007385</v>
      </c>
      <c r="K242" t="n">
        <v>1301.694746</v>
      </c>
      <c r="L242" t="n">
        <v>7112.982475</v>
      </c>
      <c r="M242" t="n">
        <v>4967.292392</v>
      </c>
      <c r="N242" t="n">
        <v>4967.292392</v>
      </c>
      <c r="O242" t="n">
        <v>58.311114</v>
      </c>
      <c r="P242" t="n">
        <v>31.032685</v>
      </c>
      <c r="Q242" t="n">
        <v>4967.292392</v>
      </c>
      <c r="R242" t="n">
        <v>4967.292392</v>
      </c>
      <c r="S242" t="n">
        <v>58.311114</v>
      </c>
      <c r="T242" t="n">
        <v>58.311114</v>
      </c>
      <c r="U242" t="n">
        <v>31.032685</v>
      </c>
      <c r="V242" t="n">
        <v>31.032685</v>
      </c>
      <c r="W242" t="n">
        <v>61.724923</v>
      </c>
      <c r="X242" t="n">
        <v>5208.68705</v>
      </c>
    </row>
    <row r="243" ht="21" customHeight="1">
      <c r="A243" t="inlineStr">
        <is>
          <t>Istiophorus platypterus</t>
        </is>
      </c>
      <c r="B243" t="n">
        <v>4.5</v>
      </c>
      <c r="C243" t="n">
        <v>3162.27766</v>
      </c>
      <c r="D243" s="11" t="inlineStr">
        <is>
          <t>Unresolved</t>
        </is>
      </c>
    </row>
    <row r="244" ht="21" customHeight="1">
      <c r="A244" t="inlineStr">
        <is>
          <t>Modiolus</t>
        </is>
      </c>
      <c r="D244" s="11" t="inlineStr">
        <is>
          <t>Non-ceph molluscs</t>
        </is>
      </c>
      <c r="H244" t="n">
        <v>5.373346</v>
      </c>
      <c r="I244" t="n">
        <v>57.395403</v>
      </c>
      <c r="J244" t="n">
        <v>57.395403</v>
      </c>
      <c r="K244" t="n">
        <v>21.98244</v>
      </c>
      <c r="L244" t="n">
        <v>92.59366</v>
      </c>
      <c r="M244" t="n">
        <v>61.118924</v>
      </c>
      <c r="N244" t="n">
        <v>61.118924</v>
      </c>
      <c r="O244" t="n">
        <v>1.571536</v>
      </c>
      <c r="P244" t="n">
        <v>1.01605</v>
      </c>
      <c r="Q244" t="n">
        <v>61.118924</v>
      </c>
      <c r="R244" t="n">
        <v>61.118924</v>
      </c>
      <c r="S244" t="n">
        <v>1.571536</v>
      </c>
      <c r="T244" t="n">
        <v>1.571536</v>
      </c>
      <c r="U244" t="n">
        <v>1.01605</v>
      </c>
      <c r="V244" t="n">
        <v>1.01605</v>
      </c>
      <c r="W244" t="n">
        <v>1.626148</v>
      </c>
      <c r="X244" t="n">
        <v>63.787046</v>
      </c>
    </row>
    <row r="245" ht="21" customHeight="1">
      <c r="A245" t="inlineStr">
        <is>
          <t>Istiompax indica</t>
        </is>
      </c>
      <c r="B245" t="n">
        <v>4.5</v>
      </c>
      <c r="C245" t="n">
        <v>3162.27766</v>
      </c>
      <c r="D245" s="11" t="inlineStr">
        <is>
          <t>Unresolved</t>
        </is>
      </c>
    </row>
    <row r="246" ht="51" customHeight="1">
      <c r="A246" t="inlineStr">
        <is>
          <t>Marine pelagic fishes not identified</t>
        </is>
      </c>
      <c r="B246" t="n">
        <v>3.35</v>
      </c>
      <c r="C246" t="n">
        <v>223.872114</v>
      </c>
      <c r="D246" s="11" t="inlineStr">
        <is>
          <t>Pelagic fish (≤ 30 cm) | Juvenile large pelagic fish | Pelagic fish (&gt; 30 cm)</t>
        </is>
      </c>
      <c r="H246" t="n">
        <v>56.961714</v>
      </c>
      <c r="I246" t="n">
        <v>1276.465343</v>
      </c>
      <c r="J246" t="n">
        <v>1290.274775</v>
      </c>
      <c r="K246" t="n">
        <v>518.5439699999999</v>
      </c>
      <c r="L246" t="n">
        <v>2045.820774</v>
      </c>
      <c r="M246" t="n">
        <v>1430.319122</v>
      </c>
      <c r="N246" t="n">
        <v>1430.319122</v>
      </c>
      <c r="O246" t="n">
        <v>25.28788</v>
      </c>
      <c r="P246" t="n">
        <v>14.738601</v>
      </c>
      <c r="Q246" t="n">
        <v>1430.319122</v>
      </c>
      <c r="R246" t="n">
        <v>1430.319122</v>
      </c>
      <c r="S246" t="n">
        <v>25.28788</v>
      </c>
      <c r="T246" t="n">
        <v>25.28788</v>
      </c>
      <c r="U246" t="n">
        <v>14.738601</v>
      </c>
      <c r="V246" t="n">
        <v>14.738601</v>
      </c>
      <c r="W246" t="n">
        <v>26.656442</v>
      </c>
      <c r="X246" t="n">
        <v>1496.039737</v>
      </c>
    </row>
    <row r="247" ht="21" customHeight="1">
      <c r="A247" t="inlineStr">
        <is>
          <t>Sardinella zunasi</t>
        </is>
      </c>
      <c r="B247" t="n">
        <v>3.12</v>
      </c>
      <c r="C247" t="n">
        <v>131.825674</v>
      </c>
      <c r="D247" s="11" t="inlineStr">
        <is>
          <t>Pelagic fish (≤ 30 cm)</t>
        </is>
      </c>
      <c r="H247" t="n">
        <v>31.538936</v>
      </c>
      <c r="I247" t="n">
        <v>277.068801</v>
      </c>
      <c r="J247" t="n">
        <v>277.068801</v>
      </c>
      <c r="K247" t="n">
        <v>263.215361</v>
      </c>
      <c r="L247" t="n">
        <v>393.787233</v>
      </c>
      <c r="M247" t="n">
        <v>277.168933</v>
      </c>
      <c r="N247" t="n">
        <v>277.168933</v>
      </c>
      <c r="O247" t="n">
        <v>14.521402</v>
      </c>
      <c r="P247" t="n">
        <v>9.426283</v>
      </c>
      <c r="Q247" t="n">
        <v>277.168933</v>
      </c>
      <c r="R247" t="n">
        <v>277.168933</v>
      </c>
      <c r="S247" t="n">
        <v>14.521402</v>
      </c>
      <c r="T247" t="n">
        <v>14.521402</v>
      </c>
      <c r="U247" t="n">
        <v>9.426283</v>
      </c>
      <c r="V247" t="n">
        <v>9.426283</v>
      </c>
      <c r="W247" t="n">
        <v>15.223157</v>
      </c>
      <c r="X247" t="n">
        <v>285.614997</v>
      </c>
    </row>
    <row r="248" ht="36" customHeight="1">
      <c r="A248" t="inlineStr">
        <is>
          <t>Muraenidae</t>
        </is>
      </c>
      <c r="B248" t="n">
        <v>4.07</v>
      </c>
      <c r="C248" t="n">
        <v>1174.897555</v>
      </c>
      <c r="D248" s="11" t="inlineStr">
        <is>
          <t>Juvenile demersal fish (&gt; 30 cm) | Adult demersal fish (&gt; 30 cm)</t>
        </is>
      </c>
      <c r="H248" t="n">
        <v>175.842593</v>
      </c>
      <c r="I248" t="n">
        <v>4469.123499</v>
      </c>
      <c r="J248" t="n">
        <v>4793.322749</v>
      </c>
      <c r="K248" t="n">
        <v>1747.151432</v>
      </c>
      <c r="L248" t="n">
        <v>10677.999207</v>
      </c>
      <c r="M248" t="n">
        <v>7305.602239</v>
      </c>
      <c r="N248" t="n">
        <v>7305.602239</v>
      </c>
      <c r="O248" t="n">
        <v>41.400447</v>
      </c>
      <c r="P248" t="n">
        <v>18.192821</v>
      </c>
      <c r="Q248" t="n">
        <v>7305.602239</v>
      </c>
      <c r="R248" t="n">
        <v>7305.602239</v>
      </c>
      <c r="S248" t="n">
        <v>41.400447</v>
      </c>
      <c r="T248" t="n">
        <v>41.400447</v>
      </c>
      <c r="U248" t="n">
        <v>18.192821</v>
      </c>
      <c r="V248" t="n">
        <v>18.192821</v>
      </c>
      <c r="W248" t="n">
        <v>43.295832</v>
      </c>
      <c r="X248" t="n">
        <v>7878.655066</v>
      </c>
    </row>
    <row r="249" ht="36" customHeight="1">
      <c r="A249" t="inlineStr">
        <is>
          <t>Rachycentron canadum</t>
        </is>
      </c>
      <c r="B249" t="n">
        <v>3.96</v>
      </c>
      <c r="C249" t="n">
        <v>912.010839</v>
      </c>
      <c r="D249" s="11" t="inlineStr">
        <is>
          <t>Juvenile large pelagic fish | Pelagic fish (&gt; 30 cm)</t>
        </is>
      </c>
      <c r="H249" t="n">
        <v>134.939141</v>
      </c>
      <c r="I249" t="n">
        <v>4341.841291</v>
      </c>
      <c r="J249" t="n">
        <v>4398.007385</v>
      </c>
      <c r="K249" t="n">
        <v>1301.694746</v>
      </c>
      <c r="L249" t="n">
        <v>7112.982475</v>
      </c>
      <c r="M249" t="n">
        <v>4967.292392</v>
      </c>
      <c r="N249" t="n">
        <v>4967.292392</v>
      </c>
      <c r="O249" t="n">
        <v>58.311114</v>
      </c>
      <c r="P249" t="n">
        <v>31.032685</v>
      </c>
      <c r="Q249" t="n">
        <v>4967.292392</v>
      </c>
      <c r="R249" t="n">
        <v>4967.292392</v>
      </c>
      <c r="S249" t="n">
        <v>58.311114</v>
      </c>
      <c r="T249" t="n">
        <v>58.311114</v>
      </c>
      <c r="U249" t="n">
        <v>31.032685</v>
      </c>
      <c r="V249" t="n">
        <v>31.032685</v>
      </c>
      <c r="W249" t="n">
        <v>61.724923</v>
      </c>
      <c r="X249" t="n">
        <v>5208.68705</v>
      </c>
    </row>
    <row r="250" ht="21" customHeight="1">
      <c r="A250" t="inlineStr">
        <is>
          <t>Mierspenaeopsis hardwickii</t>
        </is>
      </c>
      <c r="B250" t="n">
        <v>2.71</v>
      </c>
      <c r="C250" t="n">
        <v>51.286138</v>
      </c>
      <c r="D250" s="11" t="inlineStr">
        <is>
          <t>Shrimps</t>
        </is>
      </c>
      <c r="H250" t="n">
        <v>8.702252</v>
      </c>
      <c r="I250" t="n">
        <v>88.674335</v>
      </c>
      <c r="J250" t="n">
        <v>88.674335</v>
      </c>
      <c r="K250" t="n">
        <v>84.240618</v>
      </c>
      <c r="L250" t="n">
        <v>130.894857</v>
      </c>
      <c r="M250" t="n">
        <v>88.674335</v>
      </c>
      <c r="N250" t="n">
        <v>88.674335</v>
      </c>
      <c r="O250" t="n">
        <v>5.151693</v>
      </c>
      <c r="P250" t="n">
        <v>3.42724</v>
      </c>
      <c r="Q250" t="n">
        <v>88.674335</v>
      </c>
      <c r="R250" t="n">
        <v>88.674335</v>
      </c>
      <c r="S250" t="n">
        <v>5.151693</v>
      </c>
      <c r="T250" t="n">
        <v>5.151693</v>
      </c>
      <c r="U250" t="n">
        <v>3.42724</v>
      </c>
      <c r="V250" t="n">
        <v>3.42724</v>
      </c>
      <c r="W250" t="n">
        <v>5.382228</v>
      </c>
      <c r="X250" t="n">
        <v>92.561423</v>
      </c>
    </row>
    <row r="251" ht="21" customHeight="1">
      <c r="A251" t="inlineStr">
        <is>
          <t>Ibacus ciliatus</t>
        </is>
      </c>
      <c r="B251" t="n">
        <v>2.6</v>
      </c>
      <c r="C251" t="n">
        <v>39.810717</v>
      </c>
      <c r="D251" s="11" t="inlineStr">
        <is>
          <t>Benthic crustaceans</t>
        </is>
      </c>
      <c r="H251" t="n">
        <v>7.00619</v>
      </c>
      <c r="I251" t="n">
        <v>71.47126299999999</v>
      </c>
      <c r="J251" t="n">
        <v>71.47126299999999</v>
      </c>
      <c r="K251" t="n">
        <v>44.598068</v>
      </c>
      <c r="L251" t="n">
        <v>113.463496</v>
      </c>
      <c r="M251" t="n">
        <v>73.744072</v>
      </c>
      <c r="N251" t="n">
        <v>73.744072</v>
      </c>
      <c r="O251" t="n">
        <v>2.758573</v>
      </c>
      <c r="P251" t="n">
        <v>1.846527</v>
      </c>
      <c r="Q251" t="n">
        <v>73.744072</v>
      </c>
      <c r="R251" t="n">
        <v>73.744072</v>
      </c>
      <c r="S251" t="n">
        <v>2.758573</v>
      </c>
      <c r="T251" t="n">
        <v>2.758573</v>
      </c>
      <c r="U251" t="n">
        <v>1.846527</v>
      </c>
      <c r="V251" t="n">
        <v>1.846527</v>
      </c>
      <c r="W251" t="n">
        <v>2.824619</v>
      </c>
      <c r="X251" t="n">
        <v>77.46539799999999</v>
      </c>
    </row>
    <row r="252" ht="21" customHeight="1">
      <c r="A252" t="inlineStr">
        <is>
          <t>Istiophoridae</t>
        </is>
      </c>
      <c r="B252" t="n">
        <v>4.48</v>
      </c>
      <c r="C252" t="n">
        <v>3019.95172</v>
      </c>
      <c r="D252" s="11" t="inlineStr">
        <is>
          <t>Unresolved</t>
        </is>
      </c>
    </row>
    <row r="253" ht="21" customHeight="1">
      <c r="A253" t="inlineStr">
        <is>
          <t>Panulirus polyphagus</t>
        </is>
      </c>
      <c r="B253" t="n">
        <v>2.94</v>
      </c>
      <c r="C253" t="n">
        <v>87.09635900000001</v>
      </c>
      <c r="D253" s="11" t="inlineStr">
        <is>
          <t>Benthic crustaceans</t>
        </is>
      </c>
      <c r="H253" t="n">
        <v>7.00619</v>
      </c>
      <c r="I253" t="n">
        <v>71.47126299999999</v>
      </c>
      <c r="J253" t="n">
        <v>71.47126299999999</v>
      </c>
      <c r="K253" t="n">
        <v>44.598068</v>
      </c>
      <c r="L253" t="n">
        <v>113.463496</v>
      </c>
      <c r="M253" t="n">
        <v>73.744072</v>
      </c>
      <c r="N253" t="n">
        <v>73.744072</v>
      </c>
      <c r="O253" t="n">
        <v>2.758573</v>
      </c>
      <c r="P253" t="n">
        <v>1.846527</v>
      </c>
      <c r="Q253" t="n">
        <v>73.744072</v>
      </c>
      <c r="R253" t="n">
        <v>73.744072</v>
      </c>
      <c r="S253" t="n">
        <v>2.758573</v>
      </c>
      <c r="T253" t="n">
        <v>2.758573</v>
      </c>
      <c r="U253" t="n">
        <v>1.846527</v>
      </c>
      <c r="V253" t="n">
        <v>1.846527</v>
      </c>
      <c r="W253" t="n">
        <v>2.824619</v>
      </c>
      <c r="X253" t="n">
        <v>77.46539799999999</v>
      </c>
    </row>
    <row r="254" ht="21" customHeight="1">
      <c r="A254" t="inlineStr">
        <is>
          <t>Mierspenaeopsis sculptilis</t>
        </is>
      </c>
      <c r="D254" s="11" t="inlineStr">
        <is>
          <t>Shrimps</t>
        </is>
      </c>
      <c r="H254" t="n">
        <v>8.702252</v>
      </c>
      <c r="I254" t="n">
        <v>88.674335</v>
      </c>
      <c r="J254" t="n">
        <v>88.674335</v>
      </c>
      <c r="K254" t="n">
        <v>84.240618</v>
      </c>
      <c r="L254" t="n">
        <v>130.894857</v>
      </c>
      <c r="M254" t="n">
        <v>88.674335</v>
      </c>
      <c r="N254" t="n">
        <v>88.674335</v>
      </c>
      <c r="O254" t="n">
        <v>5.151693</v>
      </c>
      <c r="P254" t="n">
        <v>3.42724</v>
      </c>
      <c r="Q254" t="n">
        <v>88.674335</v>
      </c>
      <c r="R254" t="n">
        <v>88.674335</v>
      </c>
      <c r="S254" t="n">
        <v>5.151693</v>
      </c>
      <c r="T254" t="n">
        <v>5.151693</v>
      </c>
      <c r="U254" t="n">
        <v>3.42724</v>
      </c>
      <c r="V254" t="n">
        <v>3.42724</v>
      </c>
      <c r="W254" t="n">
        <v>5.382228</v>
      </c>
      <c r="X254" t="n">
        <v>92.561423</v>
      </c>
    </row>
    <row r="255" ht="21" customHeight="1">
      <c r="A255" t="inlineStr">
        <is>
          <t>Acanthurus</t>
        </is>
      </c>
      <c r="B255" t="n">
        <v>2.03</v>
      </c>
      <c r="C255" t="n">
        <v>10.715193</v>
      </c>
      <c r="D255" s="11" t="inlineStr">
        <is>
          <t>Demesral fish (≤ 30 cm)</t>
        </is>
      </c>
      <c r="H255" t="n">
        <v>47.821434</v>
      </c>
      <c r="I255" t="n">
        <v>386.298429</v>
      </c>
      <c r="J255" t="n">
        <v>403.015522</v>
      </c>
      <c r="K255" t="n">
        <v>382.864746</v>
      </c>
      <c r="L255" t="n">
        <v>738.02552</v>
      </c>
      <c r="M255" t="n">
        <v>504.12505</v>
      </c>
      <c r="N255" t="n">
        <v>504.12505</v>
      </c>
      <c r="O255" t="n">
        <v>19.791087</v>
      </c>
      <c r="P255" t="n">
        <v>10.585758</v>
      </c>
      <c r="Q255" t="n">
        <v>504.12505</v>
      </c>
      <c r="R255" t="n">
        <v>504.12505</v>
      </c>
      <c r="S255" t="n">
        <v>19.791087</v>
      </c>
      <c r="T255" t="n">
        <v>19.791087</v>
      </c>
      <c r="U255" t="n">
        <v>10.585758</v>
      </c>
      <c r="V255" t="n">
        <v>10.585758</v>
      </c>
      <c r="W255" t="n">
        <v>20.644284</v>
      </c>
      <c r="X255" t="n">
        <v>528.265792</v>
      </c>
    </row>
    <row r="256" ht="21" customHeight="1">
      <c r="A256" t="inlineStr">
        <is>
          <t>Palinuridae</t>
        </is>
      </c>
      <c r="B256" t="n">
        <v>3.14</v>
      </c>
      <c r="C256" t="n">
        <v>138.038426</v>
      </c>
      <c r="D256" s="11" t="inlineStr">
        <is>
          <t>Benthic crustaceans</t>
        </is>
      </c>
      <c r="H256" t="n">
        <v>7.00619</v>
      </c>
      <c r="I256" t="n">
        <v>71.47126299999999</v>
      </c>
      <c r="J256" t="n">
        <v>71.47126299999999</v>
      </c>
      <c r="K256" t="n">
        <v>44.598068</v>
      </c>
      <c r="L256" t="n">
        <v>113.463496</v>
      </c>
      <c r="M256" t="n">
        <v>73.744072</v>
      </c>
      <c r="N256" t="n">
        <v>73.744072</v>
      </c>
      <c r="O256" t="n">
        <v>2.758573</v>
      </c>
      <c r="P256" t="n">
        <v>1.846527</v>
      </c>
      <c r="Q256" t="n">
        <v>73.744072</v>
      </c>
      <c r="R256" t="n">
        <v>73.744072</v>
      </c>
      <c r="S256" t="n">
        <v>2.758573</v>
      </c>
      <c r="T256" t="n">
        <v>2.758573</v>
      </c>
      <c r="U256" t="n">
        <v>1.846527</v>
      </c>
      <c r="V256" t="n">
        <v>1.846527</v>
      </c>
      <c r="W256" t="n">
        <v>2.824619</v>
      </c>
      <c r="X256" t="n">
        <v>77.46539799999999</v>
      </c>
    </row>
    <row r="257" ht="36" customHeight="1">
      <c r="A257" t="inlineStr">
        <is>
          <t>Terapontidae</t>
        </is>
      </c>
      <c r="B257" t="n">
        <v>3.64</v>
      </c>
      <c r="C257" t="n">
        <v>436.515832</v>
      </c>
      <c r="D257" s="11" t="inlineStr">
        <is>
          <t>Juvenile demersal fish (&gt; 30 cm) | Adult demersal fish (&gt; 30 cm)</t>
        </is>
      </c>
      <c r="H257" t="n">
        <v>175.842593</v>
      </c>
      <c r="I257" t="n">
        <v>4469.123499</v>
      </c>
      <c r="J257" t="n">
        <v>4793.322749</v>
      </c>
      <c r="K257" t="n">
        <v>1747.151432</v>
      </c>
      <c r="L257" t="n">
        <v>10677.999207</v>
      </c>
      <c r="M257" t="n">
        <v>7305.602239</v>
      </c>
      <c r="N257" t="n">
        <v>7305.602239</v>
      </c>
      <c r="O257" t="n">
        <v>41.400447</v>
      </c>
      <c r="P257" t="n">
        <v>18.192821</v>
      </c>
      <c r="Q257" t="n">
        <v>7305.602239</v>
      </c>
      <c r="R257" t="n">
        <v>7305.602239</v>
      </c>
      <c r="S257" t="n">
        <v>41.400447</v>
      </c>
      <c r="T257" t="n">
        <v>41.400447</v>
      </c>
      <c r="U257" t="n">
        <v>18.192821</v>
      </c>
      <c r="V257" t="n">
        <v>18.192821</v>
      </c>
      <c r="W257" t="n">
        <v>43.295832</v>
      </c>
      <c r="X257" t="n">
        <v>7878.655066</v>
      </c>
    </row>
    <row r="258" ht="21" customHeight="1">
      <c r="A258" t="inlineStr">
        <is>
          <t>Octopus vulgaris</t>
        </is>
      </c>
      <c r="B258" t="n">
        <v>3.6</v>
      </c>
      <c r="C258" t="n">
        <v>398.107171</v>
      </c>
      <c r="D258" s="11" t="inlineStr">
        <is>
          <t>Cephalopods</t>
        </is>
      </c>
      <c r="H258" t="n">
        <v>99.09704499999999</v>
      </c>
      <c r="I258" t="n">
        <v>726.768274</v>
      </c>
      <c r="J258" t="n">
        <v>743.903747</v>
      </c>
      <c r="K258" t="n">
        <v>371.951873</v>
      </c>
      <c r="L258" t="n">
        <v>1659.687874</v>
      </c>
      <c r="M258" t="n">
        <v>1154.615618</v>
      </c>
      <c r="N258" t="n">
        <v>1154.615618</v>
      </c>
      <c r="O258" t="n">
        <v>19.267286</v>
      </c>
      <c r="P258" t="n">
        <v>9.928678</v>
      </c>
      <c r="Q258" t="n">
        <v>1154.615618</v>
      </c>
      <c r="R258" t="n">
        <v>1154.615618</v>
      </c>
      <c r="S258" t="n">
        <v>19.267286</v>
      </c>
      <c r="T258" t="n">
        <v>19.267286</v>
      </c>
      <c r="U258" t="n">
        <v>9.928678</v>
      </c>
      <c r="V258" t="n">
        <v>9.928678</v>
      </c>
      <c r="W258" t="n">
        <v>19.883589</v>
      </c>
      <c r="X258" t="n">
        <v>1235.144457</v>
      </c>
    </row>
    <row r="259" ht="21" customHeight="1">
      <c r="A259" t="inlineStr">
        <is>
          <t>Solenocera crassicornis</t>
        </is>
      </c>
      <c r="B259" t="n">
        <v>2.2</v>
      </c>
      <c r="C259" t="n">
        <v>15.848932</v>
      </c>
      <c r="D259" s="11" t="inlineStr">
        <is>
          <t>Shrimps</t>
        </is>
      </c>
      <c r="H259" t="n">
        <v>8.702252</v>
      </c>
      <c r="I259" t="n">
        <v>88.674335</v>
      </c>
      <c r="J259" t="n">
        <v>88.674335</v>
      </c>
      <c r="K259" t="n">
        <v>84.240618</v>
      </c>
      <c r="L259" t="n">
        <v>130.894857</v>
      </c>
      <c r="M259" t="n">
        <v>88.674335</v>
      </c>
      <c r="N259" t="n">
        <v>88.674335</v>
      </c>
      <c r="O259" t="n">
        <v>5.151693</v>
      </c>
      <c r="P259" t="n">
        <v>3.42724</v>
      </c>
      <c r="Q259" t="n">
        <v>88.674335</v>
      </c>
      <c r="R259" t="n">
        <v>88.674335</v>
      </c>
      <c r="S259" t="n">
        <v>5.151693</v>
      </c>
      <c r="T259" t="n">
        <v>5.151693</v>
      </c>
      <c r="U259" t="n">
        <v>3.42724</v>
      </c>
      <c r="V259" t="n">
        <v>3.42724</v>
      </c>
      <c r="W259" t="n">
        <v>5.382228</v>
      </c>
      <c r="X259" t="n">
        <v>92.561423</v>
      </c>
    </row>
    <row r="260" ht="36" customHeight="1">
      <c r="A260" t="inlineStr">
        <is>
          <t>Thunnus alalunga</t>
        </is>
      </c>
      <c r="B260" t="n">
        <v>4.3</v>
      </c>
      <c r="C260" t="n">
        <v>1995.262315</v>
      </c>
      <c r="D260" s="11" t="inlineStr">
        <is>
          <t>Juvenile large pelagic fish | Pelagic fish (&gt; 30 cm)</t>
        </is>
      </c>
      <c r="H260" t="n">
        <v>134.939141</v>
      </c>
      <c r="I260" t="n">
        <v>4341.841291</v>
      </c>
      <c r="J260" t="n">
        <v>4398.007385</v>
      </c>
      <c r="K260" t="n">
        <v>1301.694746</v>
      </c>
      <c r="L260" t="n">
        <v>7112.982475</v>
      </c>
      <c r="M260" t="n">
        <v>4967.292392</v>
      </c>
      <c r="N260" t="n">
        <v>4967.292392</v>
      </c>
      <c r="O260" t="n">
        <v>58.311114</v>
      </c>
      <c r="P260" t="n">
        <v>31.032685</v>
      </c>
      <c r="Q260" t="n">
        <v>4967.292392</v>
      </c>
      <c r="R260" t="n">
        <v>4967.292392</v>
      </c>
      <c r="S260" t="n">
        <v>58.311114</v>
      </c>
      <c r="T260" t="n">
        <v>58.311114</v>
      </c>
      <c r="U260" t="n">
        <v>31.032685</v>
      </c>
      <c r="V260" t="n">
        <v>31.032685</v>
      </c>
      <c r="W260" t="n">
        <v>61.724923</v>
      </c>
      <c r="X260" t="n">
        <v>5208.68705</v>
      </c>
    </row>
    <row r="261" ht="36" customHeight="1">
      <c r="A261" t="inlineStr">
        <is>
          <t>Scorpaenidae</t>
        </is>
      </c>
      <c r="B261" t="n">
        <v>3.92</v>
      </c>
      <c r="C261" t="n">
        <v>831.763771</v>
      </c>
      <c r="D261" s="11" t="inlineStr">
        <is>
          <t>Juvenile demersal fish (&gt; 30 cm) | Adult demersal fish (&gt; 30 cm)</t>
        </is>
      </c>
      <c r="H261" t="n">
        <v>175.842593</v>
      </c>
      <c r="I261" t="n">
        <v>4469.123499</v>
      </c>
      <c r="J261" t="n">
        <v>4793.322749</v>
      </c>
      <c r="K261" t="n">
        <v>1747.151432</v>
      </c>
      <c r="L261" t="n">
        <v>10677.999207</v>
      </c>
      <c r="M261" t="n">
        <v>7305.602239</v>
      </c>
      <c r="N261" t="n">
        <v>7305.602239</v>
      </c>
      <c r="O261" t="n">
        <v>41.400447</v>
      </c>
      <c r="P261" t="n">
        <v>18.192821</v>
      </c>
      <c r="Q261" t="n">
        <v>7305.602239</v>
      </c>
      <c r="R261" t="n">
        <v>7305.602239</v>
      </c>
      <c r="S261" t="n">
        <v>41.400447</v>
      </c>
      <c r="T261" t="n">
        <v>41.400447</v>
      </c>
      <c r="U261" t="n">
        <v>18.192821</v>
      </c>
      <c r="V261" t="n">
        <v>18.192821</v>
      </c>
      <c r="W261" t="n">
        <v>43.295832</v>
      </c>
      <c r="X261" t="n">
        <v>7878.655066</v>
      </c>
    </row>
    <row r="262" ht="21" customHeight="1">
      <c r="A262" t="inlineStr">
        <is>
          <t>Carcharhinus falciformis</t>
        </is>
      </c>
      <c r="B262" t="n">
        <v>4.51</v>
      </c>
      <c r="C262" t="n">
        <v>3235.936569</v>
      </c>
      <c r="D262" s="11" t="inlineStr">
        <is>
          <t>Pelagic sharks and rays</t>
        </is>
      </c>
      <c r="H262" t="n">
        <v>477.293407</v>
      </c>
      <c r="I262" t="n">
        <v>86321.834013</v>
      </c>
      <c r="J262" t="n">
        <v>87278.99642</v>
      </c>
      <c r="K262" t="n">
        <v>43639.49821</v>
      </c>
      <c r="L262" t="n">
        <v>172174.15174</v>
      </c>
      <c r="M262" t="n">
        <v>119442.301921</v>
      </c>
      <c r="N262" t="n">
        <v>119442.301921</v>
      </c>
      <c r="O262" t="n">
        <v>130.775511</v>
      </c>
      <c r="P262" t="n">
        <v>57.053814</v>
      </c>
      <c r="Q262" t="n">
        <v>119442.301921</v>
      </c>
      <c r="R262" t="n">
        <v>119442.301921</v>
      </c>
      <c r="S262" t="n">
        <v>130.775511</v>
      </c>
      <c r="T262" t="n">
        <v>130.775511</v>
      </c>
      <c r="U262" t="n">
        <v>57.053814</v>
      </c>
      <c r="V262" t="n">
        <v>57.053814</v>
      </c>
      <c r="W262" t="n">
        <v>139.198598</v>
      </c>
      <c r="X262" t="n">
        <v>127625.763444</v>
      </c>
    </row>
    <row r="263" ht="21" customHeight="1">
      <c r="A263" t="inlineStr">
        <is>
          <t>Metapenaeus affinis</t>
        </is>
      </c>
      <c r="D263" s="11" t="inlineStr">
        <is>
          <t>Shrimps</t>
        </is>
      </c>
      <c r="H263" t="n">
        <v>8.702252</v>
      </c>
      <c r="I263" t="n">
        <v>88.674335</v>
      </c>
      <c r="J263" t="n">
        <v>88.674335</v>
      </c>
      <c r="K263" t="n">
        <v>84.240618</v>
      </c>
      <c r="L263" t="n">
        <v>130.894857</v>
      </c>
      <c r="M263" t="n">
        <v>88.674335</v>
      </c>
      <c r="N263" t="n">
        <v>88.674335</v>
      </c>
      <c r="O263" t="n">
        <v>5.151693</v>
      </c>
      <c r="P263" t="n">
        <v>3.42724</v>
      </c>
      <c r="Q263" t="n">
        <v>88.674335</v>
      </c>
      <c r="R263" t="n">
        <v>88.674335</v>
      </c>
      <c r="S263" t="n">
        <v>5.151693</v>
      </c>
      <c r="T263" t="n">
        <v>5.151693</v>
      </c>
      <c r="U263" t="n">
        <v>3.42724</v>
      </c>
      <c r="V263" t="n">
        <v>3.42724</v>
      </c>
      <c r="W263" t="n">
        <v>5.382228</v>
      </c>
      <c r="X263" t="n">
        <v>92.561423</v>
      </c>
    </row>
    <row r="264" ht="51" customHeight="1">
      <c r="A264" t="inlineStr">
        <is>
          <t>Marine groundfishes not identified</t>
        </is>
      </c>
      <c r="B264" t="n">
        <v>3.22</v>
      </c>
      <c r="C264" t="n">
        <v>165.958691</v>
      </c>
      <c r="D264" s="11" t="inlineStr">
        <is>
          <t>Demesral fish (≤ 30 cm) | Juvenile demersal fish (&gt; 30 cm) | Adult demersal fish (&gt; 30 cm)</t>
        </is>
      </c>
      <c r="H264" t="n">
        <v>126.494265</v>
      </c>
      <c r="I264" t="n">
        <v>2895.31657</v>
      </c>
      <c r="J264" t="n">
        <v>3100.990647</v>
      </c>
      <c r="K264" t="n">
        <v>1221.259727</v>
      </c>
      <c r="L264" t="n">
        <v>6846.4367</v>
      </c>
      <c r="M264" t="n">
        <v>4683.836246</v>
      </c>
      <c r="N264" t="n">
        <v>4683.836246</v>
      </c>
      <c r="O264" t="n">
        <v>33.070685</v>
      </c>
      <c r="P264" t="n">
        <v>15.260526</v>
      </c>
      <c r="Q264" t="n">
        <v>4683.836246</v>
      </c>
      <c r="R264" t="n">
        <v>4683.836246</v>
      </c>
      <c r="S264" t="n">
        <v>33.070685</v>
      </c>
      <c r="T264" t="n">
        <v>33.070685</v>
      </c>
      <c r="U264" t="n">
        <v>15.260526</v>
      </c>
      <c r="V264" t="n">
        <v>15.260526</v>
      </c>
      <c r="W264" t="n">
        <v>34.564338</v>
      </c>
      <c r="X264" t="n">
        <v>5045.299884</v>
      </c>
    </row>
    <row r="265" ht="21" customHeight="1">
      <c r="A265" t="inlineStr">
        <is>
          <t>Sardinella albella</t>
        </is>
      </c>
      <c r="B265" t="n">
        <v>2.68</v>
      </c>
      <c r="C265" t="n">
        <v>47.863009</v>
      </c>
      <c r="D265" s="11" t="inlineStr">
        <is>
          <t>Pelagic fish (≤ 30 cm)</t>
        </is>
      </c>
      <c r="H265" t="n">
        <v>31.538936</v>
      </c>
      <c r="I265" t="n">
        <v>277.068801</v>
      </c>
      <c r="J265" t="n">
        <v>277.068801</v>
      </c>
      <c r="K265" t="n">
        <v>263.215361</v>
      </c>
      <c r="L265" t="n">
        <v>393.787233</v>
      </c>
      <c r="M265" t="n">
        <v>277.168933</v>
      </c>
      <c r="N265" t="n">
        <v>277.168933</v>
      </c>
      <c r="O265" t="n">
        <v>14.521402</v>
      </c>
      <c r="P265" t="n">
        <v>9.426283</v>
      </c>
      <c r="Q265" t="n">
        <v>277.168933</v>
      </c>
      <c r="R265" t="n">
        <v>277.168933</v>
      </c>
      <c r="S265" t="n">
        <v>14.521402</v>
      </c>
      <c r="T265" t="n">
        <v>14.521402</v>
      </c>
      <c r="U265" t="n">
        <v>9.426283</v>
      </c>
      <c r="V265" t="n">
        <v>9.426283</v>
      </c>
      <c r="W265" t="n">
        <v>15.223157</v>
      </c>
      <c r="X265" t="n">
        <v>285.614997</v>
      </c>
    </row>
    <row r="266" ht="21" customHeight="1">
      <c r="A266" t="inlineStr">
        <is>
          <t>Placuna placenta</t>
        </is>
      </c>
      <c r="B266" t="n">
        <v>2.41</v>
      </c>
      <c r="C266" t="n">
        <v>25.703958</v>
      </c>
      <c r="D266" s="11" t="inlineStr">
        <is>
          <t>Non-ceph molluscs</t>
        </is>
      </c>
      <c r="H266" t="n">
        <v>5.373346</v>
      </c>
      <c r="I266" t="n">
        <v>57.395403</v>
      </c>
      <c r="J266" t="n">
        <v>57.395403</v>
      </c>
      <c r="K266" t="n">
        <v>21.98244</v>
      </c>
      <c r="L266" t="n">
        <v>92.59366</v>
      </c>
      <c r="M266" t="n">
        <v>61.118924</v>
      </c>
      <c r="N266" t="n">
        <v>61.118924</v>
      </c>
      <c r="O266" t="n">
        <v>1.571536</v>
      </c>
      <c r="P266" t="n">
        <v>1.01605</v>
      </c>
      <c r="Q266" t="n">
        <v>61.118924</v>
      </c>
      <c r="R266" t="n">
        <v>61.118924</v>
      </c>
      <c r="S266" t="n">
        <v>1.571536</v>
      </c>
      <c r="T266" t="n">
        <v>1.571536</v>
      </c>
      <c r="U266" t="n">
        <v>1.01605</v>
      </c>
      <c r="V266" t="n">
        <v>1.01605</v>
      </c>
      <c r="W266" t="n">
        <v>1.626148</v>
      </c>
      <c r="X266" t="n">
        <v>63.787046</v>
      </c>
    </row>
    <row r="267" ht="36" customHeight="1">
      <c r="A267" t="inlineStr">
        <is>
          <t>Scaridae</t>
        </is>
      </c>
      <c r="B267" t="n">
        <v>2</v>
      </c>
      <c r="C267" t="n">
        <v>10</v>
      </c>
      <c r="D267" s="11" t="inlineStr">
        <is>
          <t>Juvenile demersal fish (&gt; 30 cm) | Adult demersal fish (&gt; 30 cm)</t>
        </is>
      </c>
      <c r="H267" t="n">
        <v>175.842593</v>
      </c>
      <c r="I267" t="n">
        <v>4469.123499</v>
      </c>
      <c r="J267" t="n">
        <v>4793.322749</v>
      </c>
      <c r="K267" t="n">
        <v>1747.151432</v>
      </c>
      <c r="L267" t="n">
        <v>10677.999207</v>
      </c>
      <c r="M267" t="n">
        <v>7305.602239</v>
      </c>
      <c r="N267" t="n">
        <v>7305.602239</v>
      </c>
      <c r="O267" t="n">
        <v>41.400447</v>
      </c>
      <c r="P267" t="n">
        <v>18.192821</v>
      </c>
      <c r="Q267" t="n">
        <v>7305.602239</v>
      </c>
      <c r="R267" t="n">
        <v>7305.602239</v>
      </c>
      <c r="S267" t="n">
        <v>41.400447</v>
      </c>
      <c r="T267" t="n">
        <v>41.400447</v>
      </c>
      <c r="U267" t="n">
        <v>18.192821</v>
      </c>
      <c r="V267" t="n">
        <v>18.192821</v>
      </c>
      <c r="W267" t="n">
        <v>43.295832</v>
      </c>
      <c r="X267" t="n">
        <v>7878.655066</v>
      </c>
    </row>
    <row r="268" ht="36" customHeight="1">
      <c r="A268" t="inlineStr">
        <is>
          <t>Seriolina nigrofasciata</t>
        </is>
      </c>
      <c r="B268" t="n">
        <v>4.17</v>
      </c>
      <c r="C268" t="n">
        <v>1479.108388</v>
      </c>
      <c r="D268" s="11" t="inlineStr">
        <is>
          <t>Juvenile large pelagic fish | Pelagic fish (&gt; 30 cm)</t>
        </is>
      </c>
      <c r="H268" t="n">
        <v>134.939141</v>
      </c>
      <c r="I268" t="n">
        <v>4341.841291</v>
      </c>
      <c r="J268" t="n">
        <v>4398.007385</v>
      </c>
      <c r="K268" t="n">
        <v>1301.694746</v>
      </c>
      <c r="L268" t="n">
        <v>7112.982475</v>
      </c>
      <c r="M268" t="n">
        <v>4967.292392</v>
      </c>
      <c r="N268" t="n">
        <v>4967.292392</v>
      </c>
      <c r="O268" t="n">
        <v>58.311114</v>
      </c>
      <c r="P268" t="n">
        <v>31.032685</v>
      </c>
      <c r="Q268" t="n">
        <v>4967.292392</v>
      </c>
      <c r="R268" t="n">
        <v>4967.292392</v>
      </c>
      <c r="S268" t="n">
        <v>58.311114</v>
      </c>
      <c r="T268" t="n">
        <v>58.311114</v>
      </c>
      <c r="U268" t="n">
        <v>31.032685</v>
      </c>
      <c r="V268" t="n">
        <v>31.032685</v>
      </c>
      <c r="W268" t="n">
        <v>61.724923</v>
      </c>
      <c r="X268" t="n">
        <v>5208.68705</v>
      </c>
    </row>
    <row r="269" ht="21" customHeight="1">
      <c r="A269" t="inlineStr">
        <is>
          <t>Saurida undosquamis</t>
        </is>
      </c>
      <c r="B269" t="n">
        <v>4.46</v>
      </c>
      <c r="C269" t="n">
        <v>2884.031503</v>
      </c>
      <c r="D269" s="11" t="inlineStr">
        <is>
          <t>Lizard fish (synodontids)</t>
        </is>
      </c>
      <c r="H269" t="n">
        <v>334.225369</v>
      </c>
      <c r="I269" t="n">
        <v>6549.676201</v>
      </c>
      <c r="J269" t="n">
        <v>6897.830047</v>
      </c>
      <c r="K269" t="n">
        <v>1662.377041</v>
      </c>
      <c r="L269" t="n">
        <v>16798.641648</v>
      </c>
      <c r="M269" t="n">
        <v>11531.29792</v>
      </c>
      <c r="N269" t="n">
        <v>11531.29792</v>
      </c>
      <c r="O269" t="n">
        <v>47.733364</v>
      </c>
      <c r="P269" t="n">
        <v>20.713886</v>
      </c>
      <c r="Q269" t="n">
        <v>11531.29792</v>
      </c>
      <c r="R269" t="n">
        <v>11531.29792</v>
      </c>
      <c r="S269" t="n">
        <v>47.733364</v>
      </c>
      <c r="T269" t="n">
        <v>47.733364</v>
      </c>
      <c r="U269" t="n">
        <v>20.713886</v>
      </c>
      <c r="V269" t="n">
        <v>20.713886</v>
      </c>
      <c r="W269" t="n">
        <v>50.435105</v>
      </c>
      <c r="X269" t="n">
        <v>12443.762725</v>
      </c>
    </row>
    <row r="270" ht="21" customHeight="1">
      <c r="A270" t="inlineStr">
        <is>
          <t>Atule mate</t>
        </is>
      </c>
      <c r="D270" s="11" t="inlineStr">
        <is>
          <t>Pelagic fish (≤ 30 cm)</t>
        </is>
      </c>
      <c r="H270" t="n">
        <v>31.538936</v>
      </c>
      <c r="I270" t="n">
        <v>277.068801</v>
      </c>
      <c r="J270" t="n">
        <v>277.068801</v>
      </c>
      <c r="K270" t="n">
        <v>263.215361</v>
      </c>
      <c r="L270" t="n">
        <v>393.787233</v>
      </c>
      <c r="M270" t="n">
        <v>277.168933</v>
      </c>
      <c r="N270" t="n">
        <v>277.168933</v>
      </c>
      <c r="O270" t="n">
        <v>14.521402</v>
      </c>
      <c r="P270" t="n">
        <v>9.426283</v>
      </c>
      <c r="Q270" t="n">
        <v>277.168933</v>
      </c>
      <c r="R270" t="n">
        <v>277.168933</v>
      </c>
      <c r="S270" t="n">
        <v>14.521402</v>
      </c>
      <c r="T270" t="n">
        <v>14.521402</v>
      </c>
      <c r="U270" t="n">
        <v>9.426283</v>
      </c>
      <c r="V270" t="n">
        <v>9.426283</v>
      </c>
      <c r="W270" t="n">
        <v>15.223157</v>
      </c>
      <c r="X270" t="n">
        <v>285.614997</v>
      </c>
    </row>
    <row r="271" ht="36" customHeight="1">
      <c r="A271" t="inlineStr">
        <is>
          <t>Scarus</t>
        </is>
      </c>
      <c r="B271" t="n">
        <v>2</v>
      </c>
      <c r="C271" t="n">
        <v>10</v>
      </c>
      <c r="D271" s="11" t="inlineStr">
        <is>
          <t>Juvenile demersal fish (&gt; 30 cm) | Adult demersal fish (&gt; 30 cm)</t>
        </is>
      </c>
      <c r="H271" t="n">
        <v>175.842593</v>
      </c>
      <c r="I271" t="n">
        <v>4469.123499</v>
      </c>
      <c r="J271" t="n">
        <v>4793.322749</v>
      </c>
      <c r="K271" t="n">
        <v>1747.151432</v>
      </c>
      <c r="L271" t="n">
        <v>10677.999207</v>
      </c>
      <c r="M271" t="n">
        <v>7305.602239</v>
      </c>
      <c r="N271" t="n">
        <v>7305.602239</v>
      </c>
      <c r="O271" t="n">
        <v>41.400447</v>
      </c>
      <c r="P271" t="n">
        <v>18.192821</v>
      </c>
      <c r="Q271" t="n">
        <v>7305.602239</v>
      </c>
      <c r="R271" t="n">
        <v>7305.602239</v>
      </c>
      <c r="S271" t="n">
        <v>41.400447</v>
      </c>
      <c r="T271" t="n">
        <v>41.400447</v>
      </c>
      <c r="U271" t="n">
        <v>18.192821</v>
      </c>
      <c r="V271" t="n">
        <v>18.192821</v>
      </c>
      <c r="W271" t="n">
        <v>43.295832</v>
      </c>
      <c r="X271" t="n">
        <v>7878.655066</v>
      </c>
    </row>
    <row r="272" ht="36" customHeight="1">
      <c r="A272" t="inlineStr">
        <is>
          <t>Thunnus</t>
        </is>
      </c>
      <c r="D272" s="11" t="inlineStr">
        <is>
          <t>Juvenile large pelagic fish | Pelagic fish (&gt; 30 cm)</t>
        </is>
      </c>
      <c r="H272" t="n">
        <v>134.939141</v>
      </c>
      <c r="I272" t="n">
        <v>4341.841291</v>
      </c>
      <c r="J272" t="n">
        <v>4398.007385</v>
      </c>
      <c r="K272" t="n">
        <v>1301.694746</v>
      </c>
      <c r="L272" t="n">
        <v>7112.982475</v>
      </c>
      <c r="M272" t="n">
        <v>4967.292392</v>
      </c>
      <c r="N272" t="n">
        <v>4967.292392</v>
      </c>
      <c r="O272" t="n">
        <v>58.311114</v>
      </c>
      <c r="P272" t="n">
        <v>31.032685</v>
      </c>
      <c r="Q272" t="n">
        <v>4967.292392</v>
      </c>
      <c r="R272" t="n">
        <v>4967.292392</v>
      </c>
      <c r="S272" t="n">
        <v>58.311114</v>
      </c>
      <c r="T272" t="n">
        <v>58.311114</v>
      </c>
      <c r="U272" t="n">
        <v>31.032685</v>
      </c>
      <c r="V272" t="n">
        <v>31.032685</v>
      </c>
      <c r="W272" t="n">
        <v>61.724923</v>
      </c>
      <c r="X272" t="n">
        <v>5208.68705</v>
      </c>
    </row>
    <row r="273" ht="21" customHeight="1">
      <c r="A273" t="inlineStr">
        <is>
          <t>Ruditapes philippinarum</t>
        </is>
      </c>
      <c r="B273" t="n">
        <v>2</v>
      </c>
      <c r="C273" t="n">
        <v>10</v>
      </c>
      <c r="D273" s="11" t="inlineStr">
        <is>
          <t>Non-ceph molluscs</t>
        </is>
      </c>
      <c r="H273" t="n">
        <v>5.373346</v>
      </c>
      <c r="I273" t="n">
        <v>57.395403</v>
      </c>
      <c r="J273" t="n">
        <v>57.395403</v>
      </c>
      <c r="K273" t="n">
        <v>21.98244</v>
      </c>
      <c r="L273" t="n">
        <v>92.59366</v>
      </c>
      <c r="M273" t="n">
        <v>61.118924</v>
      </c>
      <c r="N273" t="n">
        <v>61.118924</v>
      </c>
      <c r="O273" t="n">
        <v>1.571536</v>
      </c>
      <c r="P273" t="n">
        <v>1.01605</v>
      </c>
      <c r="Q273" t="n">
        <v>61.118924</v>
      </c>
      <c r="R273" t="n">
        <v>61.118924</v>
      </c>
      <c r="S273" t="n">
        <v>1.571536</v>
      </c>
      <c r="T273" t="n">
        <v>1.571536</v>
      </c>
      <c r="U273" t="n">
        <v>1.01605</v>
      </c>
      <c r="V273" t="n">
        <v>1.01605</v>
      </c>
      <c r="W273" t="n">
        <v>1.626148</v>
      </c>
      <c r="X273" t="n">
        <v>63.787046</v>
      </c>
    </row>
    <row r="274" ht="21" customHeight="1">
      <c r="A274" t="inlineStr">
        <is>
          <t>Metapenaeus tenuipes</t>
        </is>
      </c>
      <c r="D274" s="11" t="inlineStr">
        <is>
          <t>Shrimps</t>
        </is>
      </c>
      <c r="H274" t="n">
        <v>8.702252</v>
      </c>
      <c r="I274" t="n">
        <v>88.674335</v>
      </c>
      <c r="J274" t="n">
        <v>88.674335</v>
      </c>
      <c r="K274" t="n">
        <v>84.240618</v>
      </c>
      <c r="L274" t="n">
        <v>130.894857</v>
      </c>
      <c r="M274" t="n">
        <v>88.674335</v>
      </c>
      <c r="N274" t="n">
        <v>88.674335</v>
      </c>
      <c r="O274" t="n">
        <v>5.151693</v>
      </c>
      <c r="P274" t="n">
        <v>3.42724</v>
      </c>
      <c r="Q274" t="n">
        <v>88.674335</v>
      </c>
      <c r="R274" t="n">
        <v>88.674335</v>
      </c>
      <c r="S274" t="n">
        <v>5.151693</v>
      </c>
      <c r="T274" t="n">
        <v>5.151693</v>
      </c>
      <c r="U274" t="n">
        <v>3.42724</v>
      </c>
      <c r="V274" t="n">
        <v>3.42724</v>
      </c>
      <c r="W274" t="n">
        <v>5.382228</v>
      </c>
      <c r="X274" t="n">
        <v>92.561423</v>
      </c>
    </row>
    <row r="275" ht="36" customHeight="1">
      <c r="A275" t="inlineStr">
        <is>
          <t>Acanthocybium solandri</t>
        </is>
      </c>
      <c r="B275" t="n">
        <v>4.26</v>
      </c>
      <c r="C275" t="n">
        <v>1819.700859</v>
      </c>
      <c r="D275" s="11" t="inlineStr">
        <is>
          <t>Juvenile large pelagic fish | Pelagic fish (&gt; 30 cm)</t>
        </is>
      </c>
      <c r="H275" t="n">
        <v>134.939141</v>
      </c>
      <c r="I275" t="n">
        <v>4341.841291</v>
      </c>
      <c r="J275" t="n">
        <v>4398.007385</v>
      </c>
      <c r="K275" t="n">
        <v>1301.694746</v>
      </c>
      <c r="L275" t="n">
        <v>7112.982475</v>
      </c>
      <c r="M275" t="n">
        <v>4967.292392</v>
      </c>
      <c r="N275" t="n">
        <v>4967.292392</v>
      </c>
      <c r="O275" t="n">
        <v>58.311114</v>
      </c>
      <c r="P275" t="n">
        <v>31.032685</v>
      </c>
      <c r="Q275" t="n">
        <v>4967.292392</v>
      </c>
      <c r="R275" t="n">
        <v>4967.292392</v>
      </c>
      <c r="S275" t="n">
        <v>58.311114</v>
      </c>
      <c r="T275" t="n">
        <v>58.311114</v>
      </c>
      <c r="U275" t="n">
        <v>31.032685</v>
      </c>
      <c r="V275" t="n">
        <v>31.032685</v>
      </c>
      <c r="W275" t="n">
        <v>61.724923</v>
      </c>
      <c r="X275" t="n">
        <v>5208.68705</v>
      </c>
    </row>
    <row r="276" ht="36" customHeight="1">
      <c r="A276" t="inlineStr">
        <is>
          <t>Acanthopagrus schlegelii</t>
        </is>
      </c>
      <c r="B276" t="n">
        <v>3.24</v>
      </c>
      <c r="C276" t="n">
        <v>173.780083</v>
      </c>
      <c r="D276" s="11" t="inlineStr">
        <is>
          <t>Juvenile demersal fish (&gt; 30 cm) | Adult demersal fish (&gt; 30 cm)</t>
        </is>
      </c>
      <c r="H276" t="n">
        <v>175.842593</v>
      </c>
      <c r="I276" t="n">
        <v>4469.123499</v>
      </c>
      <c r="J276" t="n">
        <v>4793.322749</v>
      </c>
      <c r="K276" t="n">
        <v>1747.151432</v>
      </c>
      <c r="L276" t="n">
        <v>10677.999207</v>
      </c>
      <c r="M276" t="n">
        <v>7305.602239</v>
      </c>
      <c r="N276" t="n">
        <v>7305.602239</v>
      </c>
      <c r="O276" t="n">
        <v>41.400447</v>
      </c>
      <c r="P276" t="n">
        <v>18.192821</v>
      </c>
      <c r="Q276" t="n">
        <v>7305.602239</v>
      </c>
      <c r="R276" t="n">
        <v>7305.602239</v>
      </c>
      <c r="S276" t="n">
        <v>41.400447</v>
      </c>
      <c r="T276" t="n">
        <v>41.400447</v>
      </c>
      <c r="U276" t="n">
        <v>18.192821</v>
      </c>
      <c r="V276" t="n">
        <v>18.192821</v>
      </c>
      <c r="W276" t="n">
        <v>43.295832</v>
      </c>
      <c r="X276" t="n">
        <v>7878.655066</v>
      </c>
    </row>
    <row r="277" ht="21" customHeight="1">
      <c r="A277" t="inlineStr">
        <is>
          <t>Lobotes surinamensis</t>
        </is>
      </c>
      <c r="B277" t="n">
        <v>4.04</v>
      </c>
      <c r="C277" t="n">
        <v>1096.478196</v>
      </c>
      <c r="D277" s="11" t="inlineStr">
        <is>
          <t>Benthopelagic fish</t>
        </is>
      </c>
      <c r="H277" t="n">
        <v>45.344864</v>
      </c>
      <c r="I277" t="n">
        <v>356.10635</v>
      </c>
      <c r="J277" t="n">
        <v>384.755747</v>
      </c>
      <c r="K277" t="n">
        <v>365.51796</v>
      </c>
      <c r="L277" t="n">
        <v>602.712303</v>
      </c>
      <c r="M277" t="n">
        <v>421.28566</v>
      </c>
      <c r="N277" t="n">
        <v>421.28566</v>
      </c>
      <c r="O277" t="n">
        <v>20.384878</v>
      </c>
      <c r="P277" t="n">
        <v>12.067619</v>
      </c>
      <c r="Q277" t="n">
        <v>421.28566</v>
      </c>
      <c r="R277" t="n">
        <v>421.28566</v>
      </c>
      <c r="S277" t="n">
        <v>20.384878</v>
      </c>
      <c r="T277" t="n">
        <v>20.384878</v>
      </c>
      <c r="U277" t="n">
        <v>12.067619</v>
      </c>
      <c r="V277" t="n">
        <v>12.067619</v>
      </c>
      <c r="W277" t="n">
        <v>20.990919</v>
      </c>
      <c r="X277" t="n">
        <v>434.828134</v>
      </c>
    </row>
    <row r="278" ht="21" customHeight="1">
      <c r="A278" t="inlineStr">
        <is>
          <t>Sepioteuthis lessoniana</t>
        </is>
      </c>
      <c r="B278" t="n">
        <v>3.98</v>
      </c>
      <c r="C278" t="n">
        <v>954.992586</v>
      </c>
      <c r="D278" s="11" t="inlineStr">
        <is>
          <t>Cephalopods</t>
        </is>
      </c>
      <c r="H278" t="n">
        <v>99.09704499999999</v>
      </c>
      <c r="I278" t="n">
        <v>726.768274</v>
      </c>
      <c r="J278" t="n">
        <v>743.903747</v>
      </c>
      <c r="K278" t="n">
        <v>371.951873</v>
      </c>
      <c r="L278" t="n">
        <v>1659.687874</v>
      </c>
      <c r="M278" t="n">
        <v>1154.615618</v>
      </c>
      <c r="N278" t="n">
        <v>1154.615618</v>
      </c>
      <c r="O278" t="n">
        <v>19.267286</v>
      </c>
      <c r="P278" t="n">
        <v>9.928678</v>
      </c>
      <c r="Q278" t="n">
        <v>1154.615618</v>
      </c>
      <c r="R278" t="n">
        <v>1154.615618</v>
      </c>
      <c r="S278" t="n">
        <v>19.267286</v>
      </c>
      <c r="T278" t="n">
        <v>19.267286</v>
      </c>
      <c r="U278" t="n">
        <v>9.928678</v>
      </c>
      <c r="V278" t="n">
        <v>9.928678</v>
      </c>
      <c r="W278" t="n">
        <v>19.883589</v>
      </c>
      <c r="X278" t="n">
        <v>1235.144457</v>
      </c>
    </row>
    <row r="279" ht="36" customHeight="1">
      <c r="A279" t="inlineStr">
        <is>
          <t>Eleutheronema tetradactylum</t>
        </is>
      </c>
      <c r="B279" t="n">
        <v>4.06</v>
      </c>
      <c r="C279" t="n">
        <v>1148.153621</v>
      </c>
      <c r="D279" s="11" t="inlineStr">
        <is>
          <t>Juvenile demersal fish (&gt; 30 cm) | Adult demersal fish (&gt; 30 cm)</t>
        </is>
      </c>
      <c r="H279" t="n">
        <v>175.842593</v>
      </c>
      <c r="I279" t="n">
        <v>4469.123499</v>
      </c>
      <c r="J279" t="n">
        <v>4793.322749</v>
      </c>
      <c r="K279" t="n">
        <v>1747.151432</v>
      </c>
      <c r="L279" t="n">
        <v>10677.999207</v>
      </c>
      <c r="M279" t="n">
        <v>7305.602239</v>
      </c>
      <c r="N279" t="n">
        <v>7305.602239</v>
      </c>
      <c r="O279" t="n">
        <v>41.400447</v>
      </c>
      <c r="P279" t="n">
        <v>18.192821</v>
      </c>
      <c r="Q279" t="n">
        <v>7305.602239</v>
      </c>
      <c r="R279" t="n">
        <v>7305.602239</v>
      </c>
      <c r="S279" t="n">
        <v>41.400447</v>
      </c>
      <c r="T279" t="n">
        <v>41.400447</v>
      </c>
      <c r="U279" t="n">
        <v>18.192821</v>
      </c>
      <c r="V279" t="n">
        <v>18.192821</v>
      </c>
      <c r="W279" t="n">
        <v>43.295832</v>
      </c>
      <c r="X279" t="n">
        <v>7878.655066</v>
      </c>
    </row>
    <row r="280" ht="36" customHeight="1">
      <c r="A280" t="inlineStr">
        <is>
          <t>Scatophagus</t>
        </is>
      </c>
      <c r="B280" t="n">
        <v>2.75</v>
      </c>
      <c r="C280" t="n">
        <v>56.234133</v>
      </c>
      <c r="D280" s="11" t="inlineStr">
        <is>
          <t>Juvenile demersal fish (&gt; 30 cm) | Adult demersal fish (&gt; 30 cm)</t>
        </is>
      </c>
      <c r="H280" t="n">
        <v>175.842593</v>
      </c>
      <c r="I280" t="n">
        <v>4469.123499</v>
      </c>
      <c r="J280" t="n">
        <v>4793.322749</v>
      </c>
      <c r="K280" t="n">
        <v>1747.151432</v>
      </c>
      <c r="L280" t="n">
        <v>10677.999207</v>
      </c>
      <c r="M280" t="n">
        <v>7305.602239</v>
      </c>
      <c r="N280" t="n">
        <v>7305.602239</v>
      </c>
      <c r="O280" t="n">
        <v>41.400447</v>
      </c>
      <c r="P280" t="n">
        <v>18.192821</v>
      </c>
      <c r="Q280" t="n">
        <v>7305.602239</v>
      </c>
      <c r="R280" t="n">
        <v>7305.602239</v>
      </c>
      <c r="S280" t="n">
        <v>41.400447</v>
      </c>
      <c r="T280" t="n">
        <v>41.400447</v>
      </c>
      <c r="U280" t="n">
        <v>18.192821</v>
      </c>
      <c r="V280" t="n">
        <v>18.192821</v>
      </c>
      <c r="W280" t="n">
        <v>43.295832</v>
      </c>
      <c r="X280" t="n">
        <v>7878.655066</v>
      </c>
    </row>
    <row r="281" ht="36" customHeight="1">
      <c r="A281" t="inlineStr">
        <is>
          <t>Thunnus orientalis</t>
        </is>
      </c>
      <c r="B281" t="n">
        <v>4.05</v>
      </c>
      <c r="C281" t="n">
        <v>1122.018454</v>
      </c>
      <c r="D281" s="11" t="inlineStr">
        <is>
          <t>Juvenile large pelagic fish | Pelagic fish (&gt; 30 cm)</t>
        </is>
      </c>
      <c r="H281" t="n">
        <v>134.939141</v>
      </c>
      <c r="I281" t="n">
        <v>4341.841291</v>
      </c>
      <c r="J281" t="n">
        <v>4398.007385</v>
      </c>
      <c r="K281" t="n">
        <v>1301.694746</v>
      </c>
      <c r="L281" t="n">
        <v>7112.982475</v>
      </c>
      <c r="M281" t="n">
        <v>4967.292392</v>
      </c>
      <c r="N281" t="n">
        <v>4967.292392</v>
      </c>
      <c r="O281" t="n">
        <v>58.311114</v>
      </c>
      <c r="P281" t="n">
        <v>31.032685</v>
      </c>
      <c r="Q281" t="n">
        <v>4967.292392</v>
      </c>
      <c r="R281" t="n">
        <v>4967.292392</v>
      </c>
      <c r="S281" t="n">
        <v>58.311114</v>
      </c>
      <c r="T281" t="n">
        <v>58.311114</v>
      </c>
      <c r="U281" t="n">
        <v>31.032685</v>
      </c>
      <c r="V281" t="n">
        <v>31.032685</v>
      </c>
      <c r="W281" t="n">
        <v>61.724923</v>
      </c>
      <c r="X281" t="n">
        <v>5208.68705</v>
      </c>
    </row>
    <row r="282" ht="21" customHeight="1">
      <c r="A282" t="inlineStr">
        <is>
          <t>Siganus canaliculatus</t>
        </is>
      </c>
      <c r="B282" t="n">
        <v>2.76</v>
      </c>
      <c r="C282" t="n">
        <v>57.543994</v>
      </c>
      <c r="D282" s="11" t="inlineStr">
        <is>
          <t>Demesral fish (≤ 30 cm)</t>
        </is>
      </c>
      <c r="H282" t="n">
        <v>47.821434</v>
      </c>
      <c r="I282" t="n">
        <v>386.298429</v>
      </c>
      <c r="J282" t="n">
        <v>403.015522</v>
      </c>
      <c r="K282" t="n">
        <v>382.864746</v>
      </c>
      <c r="L282" t="n">
        <v>738.02552</v>
      </c>
      <c r="M282" t="n">
        <v>504.12505</v>
      </c>
      <c r="N282" t="n">
        <v>504.12505</v>
      </c>
      <c r="O282" t="n">
        <v>19.791087</v>
      </c>
      <c r="P282" t="n">
        <v>10.585758</v>
      </c>
      <c r="Q282" t="n">
        <v>504.12505</v>
      </c>
      <c r="R282" t="n">
        <v>504.12505</v>
      </c>
      <c r="S282" t="n">
        <v>19.791087</v>
      </c>
      <c r="T282" t="n">
        <v>19.791087</v>
      </c>
      <c r="U282" t="n">
        <v>10.585758</v>
      </c>
      <c r="V282" t="n">
        <v>10.585758</v>
      </c>
      <c r="W282" t="n">
        <v>20.644284</v>
      </c>
      <c r="X282" t="n">
        <v>528.265792</v>
      </c>
    </row>
    <row r="283" ht="36" customHeight="1">
      <c r="A283" t="inlineStr">
        <is>
          <t>Polydactylus sexfilis</t>
        </is>
      </c>
      <c r="B283" t="n">
        <v>3.43</v>
      </c>
      <c r="C283" t="n">
        <v>269.15348</v>
      </c>
      <c r="D283" s="11" t="inlineStr">
        <is>
          <t>Juvenile demersal fish (&gt; 30 cm) | Adult demersal fish (&gt; 30 cm)</t>
        </is>
      </c>
      <c r="H283" t="n">
        <v>175.842593</v>
      </c>
      <c r="I283" t="n">
        <v>4469.123499</v>
      </c>
      <c r="J283" t="n">
        <v>4793.322749</v>
      </c>
      <c r="K283" t="n">
        <v>1747.151432</v>
      </c>
      <c r="L283" t="n">
        <v>10677.999207</v>
      </c>
      <c r="M283" t="n">
        <v>7305.602239</v>
      </c>
      <c r="N283" t="n">
        <v>7305.602239</v>
      </c>
      <c r="O283" t="n">
        <v>41.400447</v>
      </c>
      <c r="P283" t="n">
        <v>18.192821</v>
      </c>
      <c r="Q283" t="n">
        <v>7305.602239</v>
      </c>
      <c r="R283" t="n">
        <v>7305.602239</v>
      </c>
      <c r="S283" t="n">
        <v>41.400447</v>
      </c>
      <c r="T283" t="n">
        <v>41.400447</v>
      </c>
      <c r="U283" t="n">
        <v>18.192821</v>
      </c>
      <c r="V283" t="n">
        <v>18.192821</v>
      </c>
      <c r="W283" t="n">
        <v>43.295832</v>
      </c>
      <c r="X283" t="n">
        <v>7878.655066</v>
      </c>
    </row>
    <row r="284" ht="21" customHeight="1">
      <c r="A284" t="inlineStr">
        <is>
          <t>Hilsa kelee</t>
        </is>
      </c>
      <c r="B284" t="n">
        <v>3.25</v>
      </c>
      <c r="C284" t="n">
        <v>177.827941</v>
      </c>
      <c r="D284" s="11" t="inlineStr">
        <is>
          <t>Pelagic fish (≤ 30 cm)</t>
        </is>
      </c>
      <c r="H284" t="n">
        <v>31.538936</v>
      </c>
      <c r="I284" t="n">
        <v>277.068801</v>
      </c>
      <c r="J284" t="n">
        <v>277.068801</v>
      </c>
      <c r="K284" t="n">
        <v>263.215361</v>
      </c>
      <c r="L284" t="n">
        <v>393.787233</v>
      </c>
      <c r="M284" t="n">
        <v>277.168933</v>
      </c>
      <c r="N284" t="n">
        <v>277.168933</v>
      </c>
      <c r="O284" t="n">
        <v>14.521402</v>
      </c>
      <c r="P284" t="n">
        <v>9.426283</v>
      </c>
      <c r="Q284" t="n">
        <v>277.168933</v>
      </c>
      <c r="R284" t="n">
        <v>277.168933</v>
      </c>
      <c r="S284" t="n">
        <v>14.521402</v>
      </c>
      <c r="T284" t="n">
        <v>14.521402</v>
      </c>
      <c r="U284" t="n">
        <v>9.426283</v>
      </c>
      <c r="V284" t="n">
        <v>9.426283</v>
      </c>
      <c r="W284" t="n">
        <v>15.223157</v>
      </c>
      <c r="X284" t="n">
        <v>285.614997</v>
      </c>
    </row>
    <row r="285" ht="21" customHeight="1">
      <c r="A285" t="inlineStr">
        <is>
          <t>Thenus orientalis</t>
        </is>
      </c>
      <c r="B285" t="n">
        <v>2.5</v>
      </c>
      <c r="C285" t="n">
        <v>31.622777</v>
      </c>
      <c r="D285" s="11" t="inlineStr">
        <is>
          <t>Benthic crustaceans</t>
        </is>
      </c>
      <c r="H285" t="n">
        <v>7.00619</v>
      </c>
      <c r="I285" t="n">
        <v>71.47126299999999</v>
      </c>
      <c r="J285" t="n">
        <v>71.47126299999999</v>
      </c>
      <c r="K285" t="n">
        <v>44.598068</v>
      </c>
      <c r="L285" t="n">
        <v>113.463496</v>
      </c>
      <c r="M285" t="n">
        <v>73.744072</v>
      </c>
      <c r="N285" t="n">
        <v>73.744072</v>
      </c>
      <c r="O285" t="n">
        <v>2.758573</v>
      </c>
      <c r="P285" t="n">
        <v>1.846527</v>
      </c>
      <c r="Q285" t="n">
        <v>73.744072</v>
      </c>
      <c r="R285" t="n">
        <v>73.744072</v>
      </c>
      <c r="S285" t="n">
        <v>2.758573</v>
      </c>
      <c r="T285" t="n">
        <v>2.758573</v>
      </c>
      <c r="U285" t="n">
        <v>1.846527</v>
      </c>
      <c r="V285" t="n">
        <v>1.846527</v>
      </c>
      <c r="W285" t="n">
        <v>2.824619</v>
      </c>
      <c r="X285" t="n">
        <v>77.46539799999999</v>
      </c>
    </row>
    <row r="286" ht="21" customHeight="1">
      <c r="A286" t="inlineStr">
        <is>
          <t>Acetes sibogae</t>
        </is>
      </c>
      <c r="D286" s="11" t="inlineStr">
        <is>
          <t>Zooplankton</t>
        </is>
      </c>
      <c r="H286" t="n">
        <v>5.238059</v>
      </c>
      <c r="I286" t="n">
        <v>80.769231</v>
      </c>
      <c r="J286" t="n">
        <v>80.769231</v>
      </c>
      <c r="K286" t="n">
        <v>4.2</v>
      </c>
      <c r="L286" t="n">
        <v>114.728394</v>
      </c>
      <c r="M286" t="n">
        <v>80.769231</v>
      </c>
      <c r="N286" t="n">
        <v>80.769231</v>
      </c>
      <c r="O286" t="n">
        <v>4.2</v>
      </c>
      <c r="P286" t="n">
        <v>3.36</v>
      </c>
      <c r="Q286" t="n">
        <v>80.769231</v>
      </c>
      <c r="R286" t="n">
        <v>80.769231</v>
      </c>
      <c r="S286" t="n">
        <v>4.2</v>
      </c>
      <c r="T286" t="n">
        <v>4.2</v>
      </c>
      <c r="U286" t="n">
        <v>3.36</v>
      </c>
      <c r="V286" t="n">
        <v>3.36</v>
      </c>
      <c r="W286" t="n">
        <v>4.311623</v>
      </c>
      <c r="X286" t="n">
        <v>82.260733</v>
      </c>
    </row>
    <row r="287" ht="21" customHeight="1">
      <c r="A287" t="inlineStr">
        <is>
          <t>Kajikia audax</t>
        </is>
      </c>
      <c r="B287" t="n">
        <v>4.58</v>
      </c>
      <c r="C287" t="n">
        <v>3801.893963</v>
      </c>
      <c r="D287" s="11" t="inlineStr">
        <is>
          <t>Unresolved</t>
        </is>
      </c>
    </row>
    <row r="288" ht="21" customHeight="1">
      <c r="A288" t="inlineStr">
        <is>
          <t>Penaeus semisulcatus</t>
        </is>
      </c>
      <c r="B288" t="n">
        <v>2</v>
      </c>
      <c r="C288" t="n">
        <v>10</v>
      </c>
      <c r="D288" s="11" t="inlineStr">
        <is>
          <t>Shrimps</t>
        </is>
      </c>
      <c r="H288" t="n">
        <v>8.702252</v>
      </c>
      <c r="I288" t="n">
        <v>88.674335</v>
      </c>
      <c r="J288" t="n">
        <v>88.674335</v>
      </c>
      <c r="K288" t="n">
        <v>84.240618</v>
      </c>
      <c r="L288" t="n">
        <v>130.894857</v>
      </c>
      <c r="M288" t="n">
        <v>88.674335</v>
      </c>
      <c r="N288" t="n">
        <v>88.674335</v>
      </c>
      <c r="O288" t="n">
        <v>5.151693</v>
      </c>
      <c r="P288" t="n">
        <v>3.42724</v>
      </c>
      <c r="Q288" t="n">
        <v>88.674335</v>
      </c>
      <c r="R288" t="n">
        <v>88.674335</v>
      </c>
      <c r="S288" t="n">
        <v>5.151693</v>
      </c>
      <c r="T288" t="n">
        <v>5.151693</v>
      </c>
      <c r="U288" t="n">
        <v>3.42724</v>
      </c>
      <c r="V288" t="n">
        <v>3.42724</v>
      </c>
      <c r="W288" t="n">
        <v>5.382228</v>
      </c>
      <c r="X288" t="n">
        <v>92.561423</v>
      </c>
    </row>
    <row r="289" ht="36" customHeight="1">
      <c r="A289" t="inlineStr">
        <is>
          <t>Siganidae</t>
        </is>
      </c>
      <c r="B289" t="n">
        <v>2.11</v>
      </c>
      <c r="C289" t="n">
        <v>12.882496</v>
      </c>
      <c r="D289" s="11" t="inlineStr">
        <is>
          <t>Juvenile demersal fish (&gt; 30 cm) | Adult demersal fish (&gt; 30 cm)</t>
        </is>
      </c>
      <c r="H289" t="n">
        <v>175.842593</v>
      </c>
      <c r="I289" t="n">
        <v>4469.123499</v>
      </c>
      <c r="J289" t="n">
        <v>4793.322749</v>
      </c>
      <c r="K289" t="n">
        <v>1747.151432</v>
      </c>
      <c r="L289" t="n">
        <v>10677.999207</v>
      </c>
      <c r="M289" t="n">
        <v>7305.602239</v>
      </c>
      <c r="N289" t="n">
        <v>7305.602239</v>
      </c>
      <c r="O289" t="n">
        <v>41.400447</v>
      </c>
      <c r="P289" t="n">
        <v>18.192821</v>
      </c>
      <c r="Q289" t="n">
        <v>7305.602239</v>
      </c>
      <c r="R289" t="n">
        <v>7305.602239</v>
      </c>
      <c r="S289" t="n">
        <v>41.400447</v>
      </c>
      <c r="T289" t="n">
        <v>41.400447</v>
      </c>
      <c r="U289" t="n">
        <v>18.192821</v>
      </c>
      <c r="V289" t="n">
        <v>18.192821</v>
      </c>
      <c r="W289" t="n">
        <v>43.295832</v>
      </c>
      <c r="X289" t="n">
        <v>7878.655066</v>
      </c>
    </row>
    <row r="290" ht="21" customHeight="1">
      <c r="A290" t="inlineStr">
        <is>
          <t>Gerres</t>
        </is>
      </c>
      <c r="B290" t="n">
        <v>3.27</v>
      </c>
      <c r="C290" t="n">
        <v>186.208714</v>
      </c>
      <c r="D290" s="11" t="inlineStr">
        <is>
          <t>Benthopelagic fish</t>
        </is>
      </c>
      <c r="H290" t="n">
        <v>45.344864</v>
      </c>
      <c r="I290" t="n">
        <v>356.10635</v>
      </c>
      <c r="J290" t="n">
        <v>384.755747</v>
      </c>
      <c r="K290" t="n">
        <v>365.51796</v>
      </c>
      <c r="L290" t="n">
        <v>602.712303</v>
      </c>
      <c r="M290" t="n">
        <v>421.28566</v>
      </c>
      <c r="N290" t="n">
        <v>421.28566</v>
      </c>
      <c r="O290" t="n">
        <v>20.384878</v>
      </c>
      <c r="P290" t="n">
        <v>12.067619</v>
      </c>
      <c r="Q290" t="n">
        <v>421.28566</v>
      </c>
      <c r="R290" t="n">
        <v>421.28566</v>
      </c>
      <c r="S290" t="n">
        <v>20.384878</v>
      </c>
      <c r="T290" t="n">
        <v>20.384878</v>
      </c>
      <c r="U290" t="n">
        <v>12.067619</v>
      </c>
      <c r="V290" t="n">
        <v>12.067619</v>
      </c>
      <c r="W290" t="n">
        <v>20.990919</v>
      </c>
      <c r="X290" t="n">
        <v>434.828134</v>
      </c>
    </row>
    <row r="291" ht="36" customHeight="1">
      <c r="A291" t="inlineStr">
        <is>
          <t>Gnathanodon speciosus</t>
        </is>
      </c>
      <c r="B291" t="n">
        <v>3.84</v>
      </c>
      <c r="C291" t="n">
        <v>691.830971</v>
      </c>
      <c r="D291" s="11" t="inlineStr">
        <is>
          <t>Juvenile large pelagic fish | Pelagic fish (&gt; 30 cm)</t>
        </is>
      </c>
      <c r="H291" t="n">
        <v>134.939141</v>
      </c>
      <c r="I291" t="n">
        <v>4341.841291</v>
      </c>
      <c r="J291" t="n">
        <v>4398.007385</v>
      </c>
      <c r="K291" t="n">
        <v>1301.694746</v>
      </c>
      <c r="L291" t="n">
        <v>7112.982475</v>
      </c>
      <c r="M291" t="n">
        <v>4967.292392</v>
      </c>
      <c r="N291" t="n">
        <v>4967.292392</v>
      </c>
      <c r="O291" t="n">
        <v>58.311114</v>
      </c>
      <c r="P291" t="n">
        <v>31.032685</v>
      </c>
      <c r="Q291" t="n">
        <v>4967.292392</v>
      </c>
      <c r="R291" t="n">
        <v>4967.292392</v>
      </c>
      <c r="S291" t="n">
        <v>58.311114</v>
      </c>
      <c r="T291" t="n">
        <v>58.311114</v>
      </c>
      <c r="U291" t="n">
        <v>31.032685</v>
      </c>
      <c r="V291" t="n">
        <v>31.032685</v>
      </c>
      <c r="W291" t="n">
        <v>61.724923</v>
      </c>
      <c r="X291" t="n">
        <v>5208.68705</v>
      </c>
    </row>
    <row r="292" ht="21" customHeight="1">
      <c r="A292" t="inlineStr">
        <is>
          <t>Epinephelus malabaricus</t>
        </is>
      </c>
      <c r="B292" t="n">
        <v>4.16</v>
      </c>
      <c r="C292" t="n">
        <v>1445.439771</v>
      </c>
      <c r="D292" s="11" t="inlineStr">
        <is>
          <t>Adult groupers</t>
        </is>
      </c>
      <c r="H292" t="n">
        <v>289.336004</v>
      </c>
      <c r="I292" t="n">
        <v>7059.021807</v>
      </c>
      <c r="J292" t="n">
        <v>7260.732834</v>
      </c>
      <c r="K292" t="n">
        <v>2722.774813</v>
      </c>
      <c r="L292" t="n">
        <v>14214.100911</v>
      </c>
      <c r="M292" t="n">
        <v>9730.75452</v>
      </c>
      <c r="N292" t="n">
        <v>9730.75452</v>
      </c>
      <c r="O292" t="n">
        <v>100.399835</v>
      </c>
      <c r="P292" t="n">
        <v>43.4623</v>
      </c>
      <c r="Q292" t="n">
        <v>9730.75452</v>
      </c>
      <c r="R292" t="n">
        <v>9730.75452</v>
      </c>
      <c r="S292" t="n">
        <v>100.399835</v>
      </c>
      <c r="T292" t="n">
        <v>100.399835</v>
      </c>
      <c r="U292" t="n">
        <v>43.4623</v>
      </c>
      <c r="V292" t="n">
        <v>43.4623</v>
      </c>
      <c r="W292" t="n">
        <v>105.723999</v>
      </c>
      <c r="X292" t="n">
        <v>10434.203054</v>
      </c>
    </row>
    <row r="293" ht="36" customHeight="1">
      <c r="A293" t="inlineStr">
        <is>
          <t>Hyporhamphus</t>
        </is>
      </c>
      <c r="B293" t="n">
        <v>3.3</v>
      </c>
      <c r="C293" t="n">
        <v>199.526231</v>
      </c>
      <c r="D293" s="11" t="inlineStr">
        <is>
          <t>Juvenile large pelagic fish | Pelagic fish (&gt; 30 cm)</t>
        </is>
      </c>
      <c r="H293" t="n">
        <v>134.939141</v>
      </c>
      <c r="I293" t="n">
        <v>4341.841291</v>
      </c>
      <c r="J293" t="n">
        <v>4398.007385</v>
      </c>
      <c r="K293" t="n">
        <v>1301.694746</v>
      </c>
      <c r="L293" t="n">
        <v>7112.982475</v>
      </c>
      <c r="M293" t="n">
        <v>4967.292392</v>
      </c>
      <c r="N293" t="n">
        <v>4967.292392</v>
      </c>
      <c r="O293" t="n">
        <v>58.311114</v>
      </c>
      <c r="P293" t="n">
        <v>31.032685</v>
      </c>
      <c r="Q293" t="n">
        <v>4967.292392</v>
      </c>
      <c r="R293" t="n">
        <v>4967.292392</v>
      </c>
      <c r="S293" t="n">
        <v>58.311114</v>
      </c>
      <c r="T293" t="n">
        <v>58.311114</v>
      </c>
      <c r="U293" t="n">
        <v>31.032685</v>
      </c>
      <c r="V293" t="n">
        <v>31.032685</v>
      </c>
      <c r="W293" t="n">
        <v>61.724923</v>
      </c>
      <c r="X293" t="n">
        <v>5208.68705</v>
      </c>
    </row>
    <row r="294" ht="21" customHeight="1">
      <c r="A294" t="inlineStr">
        <is>
          <t>Makaira mazara</t>
        </is>
      </c>
      <c r="B294" t="n">
        <v>4.46</v>
      </c>
      <c r="C294" t="n">
        <v>2884.031503</v>
      </c>
      <c r="D294" s="11" t="inlineStr">
        <is>
          <t>Unresolved</t>
        </is>
      </c>
    </row>
    <row r="295" ht="36" customHeight="1">
      <c r="A295" t="inlineStr">
        <is>
          <t>Hyporhamphus sajori</t>
        </is>
      </c>
      <c r="B295" t="n">
        <v>3.4</v>
      </c>
      <c r="C295" t="n">
        <v>251.188643</v>
      </c>
      <c r="D295" s="11" t="inlineStr">
        <is>
          <t>Juvenile large pelagic fish | Pelagic fish (&gt; 30 cm)</t>
        </is>
      </c>
      <c r="H295" t="n">
        <v>134.939141</v>
      </c>
      <c r="I295" t="n">
        <v>4341.841291</v>
      </c>
      <c r="J295" t="n">
        <v>4398.007385</v>
      </c>
      <c r="K295" t="n">
        <v>1301.694746</v>
      </c>
      <c r="L295" t="n">
        <v>7112.982475</v>
      </c>
      <c r="M295" t="n">
        <v>4967.292392</v>
      </c>
      <c r="N295" t="n">
        <v>4967.292392</v>
      </c>
      <c r="O295" t="n">
        <v>58.311114</v>
      </c>
      <c r="P295" t="n">
        <v>31.032685</v>
      </c>
      <c r="Q295" t="n">
        <v>4967.292392</v>
      </c>
      <c r="R295" t="n">
        <v>4967.292392</v>
      </c>
      <c r="S295" t="n">
        <v>58.311114</v>
      </c>
      <c r="T295" t="n">
        <v>58.311114</v>
      </c>
      <c r="U295" t="n">
        <v>31.032685</v>
      </c>
      <c r="V295" t="n">
        <v>31.032685</v>
      </c>
      <c r="W295" t="n">
        <v>61.724923</v>
      </c>
      <c r="X295" t="n">
        <v>5208.68705</v>
      </c>
    </row>
    <row r="296" ht="21" customHeight="1">
      <c r="A296" t="inlineStr">
        <is>
          <t>Carcharhinus longimanus</t>
        </is>
      </c>
      <c r="B296" t="n">
        <v>4.16</v>
      </c>
      <c r="C296" t="n">
        <v>1445.439771</v>
      </c>
      <c r="D296" s="11" t="inlineStr">
        <is>
          <t>Pelagic sharks and rays</t>
        </is>
      </c>
      <c r="H296" t="n">
        <v>477.293407</v>
      </c>
      <c r="I296" t="n">
        <v>86321.834013</v>
      </c>
      <c r="J296" t="n">
        <v>87278.99642</v>
      </c>
      <c r="K296" t="n">
        <v>43639.49821</v>
      </c>
      <c r="L296" t="n">
        <v>172174.15174</v>
      </c>
      <c r="M296" t="n">
        <v>119442.301921</v>
      </c>
      <c r="N296" t="n">
        <v>119442.301921</v>
      </c>
      <c r="O296" t="n">
        <v>130.775511</v>
      </c>
      <c r="P296" t="n">
        <v>57.053814</v>
      </c>
      <c r="Q296" t="n">
        <v>119442.301921</v>
      </c>
      <c r="R296" t="n">
        <v>119442.301921</v>
      </c>
      <c r="S296" t="n">
        <v>130.775511</v>
      </c>
      <c r="T296" t="n">
        <v>130.775511</v>
      </c>
      <c r="U296" t="n">
        <v>57.053814</v>
      </c>
      <c r="V296" t="n">
        <v>57.053814</v>
      </c>
      <c r="W296" t="n">
        <v>139.198598</v>
      </c>
      <c r="X296" t="n">
        <v>127625.763444</v>
      </c>
    </row>
    <row r="297" ht="21" customHeight="1">
      <c r="A297" t="inlineStr">
        <is>
          <t>Ambassidae</t>
        </is>
      </c>
      <c r="B297" t="n">
        <v>3.3</v>
      </c>
      <c r="C297" t="n">
        <v>199.526231</v>
      </c>
      <c r="D297" s="11" t="inlineStr">
        <is>
          <t>Demesral fish (≤ 30 cm)</t>
        </is>
      </c>
      <c r="H297" t="n">
        <v>47.821434</v>
      </c>
      <c r="I297" t="n">
        <v>386.298429</v>
      </c>
      <c r="J297" t="n">
        <v>403.015522</v>
      </c>
      <c r="K297" t="n">
        <v>382.864746</v>
      </c>
      <c r="L297" t="n">
        <v>738.02552</v>
      </c>
      <c r="M297" t="n">
        <v>504.12505</v>
      </c>
      <c r="N297" t="n">
        <v>504.12505</v>
      </c>
      <c r="O297" t="n">
        <v>19.791087</v>
      </c>
      <c r="P297" t="n">
        <v>10.585758</v>
      </c>
      <c r="Q297" t="n">
        <v>504.12505</v>
      </c>
      <c r="R297" t="n">
        <v>504.12505</v>
      </c>
      <c r="S297" t="n">
        <v>19.791087</v>
      </c>
      <c r="T297" t="n">
        <v>19.791087</v>
      </c>
      <c r="U297" t="n">
        <v>10.585758</v>
      </c>
      <c r="V297" t="n">
        <v>10.585758</v>
      </c>
      <c r="W297" t="n">
        <v>20.644284</v>
      </c>
      <c r="X297" t="n">
        <v>528.265792</v>
      </c>
    </row>
    <row r="298" ht="21" customHeight="1">
      <c r="A298" t="inlineStr">
        <is>
          <t>Gazza minuta</t>
        </is>
      </c>
      <c r="B298" t="n">
        <v>4.19</v>
      </c>
      <c r="C298" t="n">
        <v>1548.816619</v>
      </c>
      <c r="D298" s="11" t="inlineStr">
        <is>
          <t>Demesral fish (≤ 30 cm)</t>
        </is>
      </c>
      <c r="H298" t="n">
        <v>47.821434</v>
      </c>
      <c r="I298" t="n">
        <v>386.298429</v>
      </c>
      <c r="J298" t="n">
        <v>403.015522</v>
      </c>
      <c r="K298" t="n">
        <v>382.864746</v>
      </c>
      <c r="L298" t="n">
        <v>738.02552</v>
      </c>
      <c r="M298" t="n">
        <v>504.12505</v>
      </c>
      <c r="N298" t="n">
        <v>504.12505</v>
      </c>
      <c r="O298" t="n">
        <v>19.791087</v>
      </c>
      <c r="P298" t="n">
        <v>10.585758</v>
      </c>
      <c r="Q298" t="n">
        <v>504.12505</v>
      </c>
      <c r="R298" t="n">
        <v>504.12505</v>
      </c>
      <c r="S298" t="n">
        <v>19.791087</v>
      </c>
      <c r="T298" t="n">
        <v>19.791087</v>
      </c>
      <c r="U298" t="n">
        <v>10.585758</v>
      </c>
      <c r="V298" t="n">
        <v>10.585758</v>
      </c>
      <c r="W298" t="n">
        <v>20.644284</v>
      </c>
      <c r="X298" t="n">
        <v>528.265792</v>
      </c>
    </row>
    <row r="299" ht="36" customHeight="1">
      <c r="A299" t="inlineStr">
        <is>
          <t>Aluterus</t>
        </is>
      </c>
      <c r="B299" t="n">
        <v>2.81</v>
      </c>
      <c r="C299" t="n">
        <v>64.565423</v>
      </c>
      <c r="D299" s="11" t="inlineStr">
        <is>
          <t>Juvenile demersal fish (&gt; 30 cm) | Adult demersal fish (&gt; 30 cm)</t>
        </is>
      </c>
      <c r="H299" t="n">
        <v>175.842593</v>
      </c>
      <c r="I299" t="n">
        <v>4469.123499</v>
      </c>
      <c r="J299" t="n">
        <v>4793.322749</v>
      </c>
      <c r="K299" t="n">
        <v>1747.151432</v>
      </c>
      <c r="L299" t="n">
        <v>10677.999207</v>
      </c>
      <c r="M299" t="n">
        <v>7305.602239</v>
      </c>
      <c r="N299" t="n">
        <v>7305.602239</v>
      </c>
      <c r="O299" t="n">
        <v>41.400447</v>
      </c>
      <c r="P299" t="n">
        <v>18.192821</v>
      </c>
      <c r="Q299" t="n">
        <v>7305.602239</v>
      </c>
      <c r="R299" t="n">
        <v>7305.602239</v>
      </c>
      <c r="S299" t="n">
        <v>41.400447</v>
      </c>
      <c r="T299" t="n">
        <v>41.400447</v>
      </c>
      <c r="U299" t="n">
        <v>18.192821</v>
      </c>
      <c r="V299" t="n">
        <v>18.192821</v>
      </c>
      <c r="W299" t="n">
        <v>43.295832</v>
      </c>
      <c r="X299" t="n">
        <v>7878.655066</v>
      </c>
    </row>
    <row r="300" ht="21" customHeight="1">
      <c r="A300" t="inlineStr">
        <is>
          <t>Hemitriakis japanica</t>
        </is>
      </c>
      <c r="D300" s="11" t="inlineStr">
        <is>
          <t>Demersal sharks and rays</t>
        </is>
      </c>
      <c r="H300" t="n">
        <v>265.296573</v>
      </c>
      <c r="I300" t="n">
        <v>7268.387336</v>
      </c>
      <c r="J300" t="n">
        <v>7315.723404</v>
      </c>
      <c r="K300" t="n">
        <v>2662.923319</v>
      </c>
      <c r="L300" t="n">
        <v>18846.946222</v>
      </c>
      <c r="M300" t="n">
        <v>12899.244148</v>
      </c>
      <c r="N300" t="n">
        <v>12899.244148</v>
      </c>
      <c r="O300" t="n">
        <v>58.377455</v>
      </c>
      <c r="P300" t="n">
        <v>24.766119</v>
      </c>
      <c r="Q300" t="n">
        <v>12899.244148</v>
      </c>
      <c r="R300" t="n">
        <v>12899.244148</v>
      </c>
      <c r="S300" t="n">
        <v>58.377455</v>
      </c>
      <c r="T300" t="n">
        <v>58.377455</v>
      </c>
      <c r="U300" t="n">
        <v>24.766119</v>
      </c>
      <c r="V300" t="n">
        <v>24.766119</v>
      </c>
      <c r="W300" t="n">
        <v>61.462709</v>
      </c>
      <c r="X300" t="n">
        <v>13974.158015</v>
      </c>
    </row>
    <row r="301" ht="21" customHeight="1">
      <c r="A301" t="inlineStr">
        <is>
          <t>Echinodermata</t>
        </is>
      </c>
      <c r="B301" t="n">
        <v>2.3</v>
      </c>
      <c r="C301" t="n">
        <v>19.952623</v>
      </c>
      <c r="D301" s="11" t="inlineStr">
        <is>
          <t>Echinoderms</t>
        </is>
      </c>
      <c r="H301" t="n">
        <v>24.292661</v>
      </c>
      <c r="I301" t="n">
        <v>418.593928</v>
      </c>
      <c r="J301" t="n">
        <v>418.593928</v>
      </c>
      <c r="K301" t="n">
        <v>166.600383</v>
      </c>
      <c r="L301" t="n">
        <v>1080.992157</v>
      </c>
      <c r="M301" t="n">
        <v>753.402512</v>
      </c>
      <c r="N301" t="n">
        <v>753.402512</v>
      </c>
      <c r="O301" t="n">
        <v>10.622481</v>
      </c>
      <c r="P301" t="n">
        <v>5.780752</v>
      </c>
      <c r="Q301" t="n">
        <v>753.402512</v>
      </c>
      <c r="R301" t="n">
        <v>753.402512</v>
      </c>
      <c r="S301" t="n">
        <v>10.622481</v>
      </c>
      <c r="T301" t="n">
        <v>10.622481</v>
      </c>
      <c r="U301" t="n">
        <v>5.780752</v>
      </c>
      <c r="V301" t="n">
        <v>5.780752</v>
      </c>
      <c r="W301" t="n">
        <v>11.036237</v>
      </c>
      <c r="X301" t="n">
        <v>791.2975750000001</v>
      </c>
    </row>
    <row r="302" ht="21" customHeight="1">
      <c r="A302" t="inlineStr">
        <is>
          <t>Dasyatidae</t>
        </is>
      </c>
      <c r="B302" t="n">
        <v>3.38</v>
      </c>
      <c r="C302" t="n">
        <v>239.883292</v>
      </c>
      <c r="D302" s="11" t="inlineStr">
        <is>
          <t>Demersal sharks and rays</t>
        </is>
      </c>
      <c r="H302" t="n">
        <v>265.296573</v>
      </c>
      <c r="I302" t="n">
        <v>7268.387336</v>
      </c>
      <c r="J302" t="n">
        <v>7315.723404</v>
      </c>
      <c r="K302" t="n">
        <v>2662.923319</v>
      </c>
      <c r="L302" t="n">
        <v>18846.946222</v>
      </c>
      <c r="M302" t="n">
        <v>12899.244148</v>
      </c>
      <c r="N302" t="n">
        <v>12899.244148</v>
      </c>
      <c r="O302" t="n">
        <v>58.377455</v>
      </c>
      <c r="P302" t="n">
        <v>24.766119</v>
      </c>
      <c r="Q302" t="n">
        <v>12899.244148</v>
      </c>
      <c r="R302" t="n">
        <v>12899.244148</v>
      </c>
      <c r="S302" t="n">
        <v>58.377455</v>
      </c>
      <c r="T302" t="n">
        <v>58.377455</v>
      </c>
      <c r="U302" t="n">
        <v>24.766119</v>
      </c>
      <c r="V302" t="n">
        <v>24.766119</v>
      </c>
      <c r="W302" t="n">
        <v>61.462709</v>
      </c>
      <c r="X302" t="n">
        <v>13974.158015</v>
      </c>
    </row>
    <row r="303" ht="21" customHeight="1">
      <c r="A303" t="inlineStr">
        <is>
          <t>Chanos chanos</t>
        </is>
      </c>
      <c r="B303" t="n">
        <v>2.03</v>
      </c>
      <c r="C303" t="n">
        <v>10.715193</v>
      </c>
      <c r="D303" s="11" t="inlineStr">
        <is>
          <t>Benthopelagic fish</t>
        </is>
      </c>
      <c r="H303" t="n">
        <v>45.344864</v>
      </c>
      <c r="I303" t="n">
        <v>356.10635</v>
      </c>
      <c r="J303" t="n">
        <v>384.755747</v>
      </c>
      <c r="K303" t="n">
        <v>365.51796</v>
      </c>
      <c r="L303" t="n">
        <v>602.712303</v>
      </c>
      <c r="M303" t="n">
        <v>421.28566</v>
      </c>
      <c r="N303" t="n">
        <v>421.28566</v>
      </c>
      <c r="O303" t="n">
        <v>20.384878</v>
      </c>
      <c r="P303" t="n">
        <v>12.067619</v>
      </c>
      <c r="Q303" t="n">
        <v>421.28566</v>
      </c>
      <c r="R303" t="n">
        <v>421.28566</v>
      </c>
      <c r="S303" t="n">
        <v>20.384878</v>
      </c>
      <c r="T303" t="n">
        <v>20.384878</v>
      </c>
      <c r="U303" t="n">
        <v>12.067619</v>
      </c>
      <c r="V303" t="n">
        <v>12.067619</v>
      </c>
      <c r="W303" t="n">
        <v>20.990919</v>
      </c>
      <c r="X303" t="n">
        <v>434.828134</v>
      </c>
    </row>
    <row r="304" ht="36" customHeight="1">
      <c r="A304" t="inlineStr">
        <is>
          <t>Sphyraena obtusata</t>
        </is>
      </c>
      <c r="D304" s="11" t="inlineStr">
        <is>
          <t>Juvenile large pelagic fish | Pelagic fish (&gt; 30 cm)</t>
        </is>
      </c>
      <c r="H304" t="n">
        <v>134.939141</v>
      </c>
      <c r="I304" t="n">
        <v>4341.841291</v>
      </c>
      <c r="J304" t="n">
        <v>4398.007385</v>
      </c>
      <c r="K304" t="n">
        <v>1301.694746</v>
      </c>
      <c r="L304" t="n">
        <v>7112.982475</v>
      </c>
      <c r="M304" t="n">
        <v>4967.292392</v>
      </c>
      <c r="N304" t="n">
        <v>4967.292392</v>
      </c>
      <c r="O304" t="n">
        <v>58.311114</v>
      </c>
      <c r="P304" t="n">
        <v>31.032685</v>
      </c>
      <c r="Q304" t="n">
        <v>4967.292392</v>
      </c>
      <c r="R304" t="n">
        <v>4967.292392</v>
      </c>
      <c r="S304" t="n">
        <v>58.311114</v>
      </c>
      <c r="T304" t="n">
        <v>58.311114</v>
      </c>
      <c r="U304" t="n">
        <v>31.032685</v>
      </c>
      <c r="V304" t="n">
        <v>31.032685</v>
      </c>
      <c r="W304" t="n">
        <v>61.724923</v>
      </c>
      <c r="X304" t="n">
        <v>5208.68705</v>
      </c>
    </row>
    <row r="305" ht="36" customHeight="1">
      <c r="A305" t="inlineStr">
        <is>
          <t>Parupeneus barberinus</t>
        </is>
      </c>
      <c r="B305" t="n">
        <v>3.22</v>
      </c>
      <c r="C305" t="n">
        <v>165.958691</v>
      </c>
      <c r="D305" s="11" t="inlineStr">
        <is>
          <t>Juvenile demersal fish (&gt; 30 cm) | Adult demersal fish (&gt; 30 cm)</t>
        </is>
      </c>
      <c r="H305" t="n">
        <v>175.842593</v>
      </c>
      <c r="I305" t="n">
        <v>4469.123499</v>
      </c>
      <c r="J305" t="n">
        <v>4793.322749</v>
      </c>
      <c r="K305" t="n">
        <v>1747.151432</v>
      </c>
      <c r="L305" t="n">
        <v>10677.999207</v>
      </c>
      <c r="M305" t="n">
        <v>7305.602239</v>
      </c>
      <c r="N305" t="n">
        <v>7305.602239</v>
      </c>
      <c r="O305" t="n">
        <v>41.400447</v>
      </c>
      <c r="P305" t="n">
        <v>18.192821</v>
      </c>
      <c r="Q305" t="n">
        <v>7305.602239</v>
      </c>
      <c r="R305" t="n">
        <v>7305.602239</v>
      </c>
      <c r="S305" t="n">
        <v>41.400447</v>
      </c>
      <c r="T305" t="n">
        <v>41.400447</v>
      </c>
      <c r="U305" t="n">
        <v>18.192821</v>
      </c>
      <c r="V305" t="n">
        <v>18.192821</v>
      </c>
      <c r="W305" t="n">
        <v>43.295832</v>
      </c>
      <c r="X305" t="n">
        <v>7878.655066</v>
      </c>
    </row>
    <row r="306" ht="51" customHeight="1">
      <c r="A306" t="inlineStr">
        <is>
          <t>Psettodidae</t>
        </is>
      </c>
      <c r="B306" t="n">
        <v>3.83</v>
      </c>
      <c r="C306" t="n">
        <v>676.082975</v>
      </c>
      <c r="D306" s="11" t="inlineStr">
        <is>
          <t>Demesral fish (≤ 30 cm) | Juvenile demersal fish (&gt; 30 cm) | Adult demersal fish (&gt; 30 cm)</t>
        </is>
      </c>
      <c r="H306" t="n">
        <v>126.494265</v>
      </c>
      <c r="I306" t="n">
        <v>2895.31657</v>
      </c>
      <c r="J306" t="n">
        <v>3100.990647</v>
      </c>
      <c r="K306" t="n">
        <v>1221.259727</v>
      </c>
      <c r="L306" t="n">
        <v>6846.4367</v>
      </c>
      <c r="M306" t="n">
        <v>4683.836246</v>
      </c>
      <c r="N306" t="n">
        <v>4683.836246</v>
      </c>
      <c r="O306" t="n">
        <v>33.070685</v>
      </c>
      <c r="P306" t="n">
        <v>15.260526</v>
      </c>
      <c r="Q306" t="n">
        <v>4683.836246</v>
      </c>
      <c r="R306" t="n">
        <v>4683.836246</v>
      </c>
      <c r="S306" t="n">
        <v>33.070685</v>
      </c>
      <c r="T306" t="n">
        <v>33.070685</v>
      </c>
      <c r="U306" t="n">
        <v>15.260526</v>
      </c>
      <c r="V306" t="n">
        <v>15.260526</v>
      </c>
      <c r="W306" t="n">
        <v>34.564338</v>
      </c>
      <c r="X306" t="n">
        <v>5045.299884</v>
      </c>
    </row>
    <row r="307" ht="21" customHeight="1">
      <c r="A307" t="inlineStr">
        <is>
          <t>Panulirus</t>
        </is>
      </c>
      <c r="B307" t="n">
        <v>2.6</v>
      </c>
      <c r="C307" t="n">
        <v>39.810717</v>
      </c>
      <c r="D307" s="11" t="inlineStr">
        <is>
          <t>Benthic crustaceans</t>
        </is>
      </c>
      <c r="H307" t="n">
        <v>7.00619</v>
      </c>
      <c r="I307" t="n">
        <v>71.47126299999999</v>
      </c>
      <c r="J307" t="n">
        <v>71.47126299999999</v>
      </c>
      <c r="K307" t="n">
        <v>44.598068</v>
      </c>
      <c r="L307" t="n">
        <v>113.463496</v>
      </c>
      <c r="M307" t="n">
        <v>73.744072</v>
      </c>
      <c r="N307" t="n">
        <v>73.744072</v>
      </c>
      <c r="O307" t="n">
        <v>2.758573</v>
      </c>
      <c r="P307" t="n">
        <v>1.846527</v>
      </c>
      <c r="Q307" t="n">
        <v>73.744072</v>
      </c>
      <c r="R307" t="n">
        <v>73.744072</v>
      </c>
      <c r="S307" t="n">
        <v>2.758573</v>
      </c>
      <c r="T307" t="n">
        <v>2.758573</v>
      </c>
      <c r="U307" t="n">
        <v>1.846527</v>
      </c>
      <c r="V307" t="n">
        <v>1.846527</v>
      </c>
      <c r="W307" t="n">
        <v>2.824619</v>
      </c>
      <c r="X307" t="n">
        <v>77.46539799999999</v>
      </c>
    </row>
    <row r="308" ht="21" customHeight="1">
      <c r="A308" t="inlineStr">
        <is>
          <t>Rhincodon typus</t>
        </is>
      </c>
      <c r="D308" s="11" t="inlineStr">
        <is>
          <t>Pelagic sharks and rays</t>
        </is>
      </c>
      <c r="H308" t="n">
        <v>477.293407</v>
      </c>
      <c r="I308" t="n">
        <v>86321.834013</v>
      </c>
      <c r="J308" t="n">
        <v>87278.99642</v>
      </c>
      <c r="K308" t="n">
        <v>43639.49821</v>
      </c>
      <c r="L308" t="n">
        <v>172174.15174</v>
      </c>
      <c r="M308" t="n">
        <v>119442.301921</v>
      </c>
      <c r="N308" t="n">
        <v>119442.301921</v>
      </c>
      <c r="O308" t="n">
        <v>130.775511</v>
      </c>
      <c r="P308" t="n">
        <v>57.053814</v>
      </c>
      <c r="Q308" t="n">
        <v>119442.301921</v>
      </c>
      <c r="R308" t="n">
        <v>119442.301921</v>
      </c>
      <c r="S308" t="n">
        <v>130.775511</v>
      </c>
      <c r="T308" t="n">
        <v>130.775511</v>
      </c>
      <c r="U308" t="n">
        <v>57.053814</v>
      </c>
      <c r="V308" t="n">
        <v>57.053814</v>
      </c>
      <c r="W308" t="n">
        <v>139.198598</v>
      </c>
      <c r="X308" t="n">
        <v>127625.763444</v>
      </c>
    </row>
    <row r="309" ht="36" customHeight="1">
      <c r="A309" t="inlineStr">
        <is>
          <t>Cheilopogon unicolor</t>
        </is>
      </c>
      <c r="B309" t="n">
        <v>3.7</v>
      </c>
      <c r="C309" t="n">
        <v>501.187234</v>
      </c>
      <c r="D309" s="11" t="inlineStr">
        <is>
          <t>Juvenile large pelagic fish | Pelagic fish (&gt; 30 cm)</t>
        </is>
      </c>
      <c r="H309" t="n">
        <v>134.939141</v>
      </c>
      <c r="I309" t="n">
        <v>4341.841291</v>
      </c>
      <c r="J309" t="n">
        <v>4398.007385</v>
      </c>
      <c r="K309" t="n">
        <v>1301.694746</v>
      </c>
      <c r="L309" t="n">
        <v>7112.982475</v>
      </c>
      <c r="M309" t="n">
        <v>4967.292392</v>
      </c>
      <c r="N309" t="n">
        <v>4967.292392</v>
      </c>
      <c r="O309" t="n">
        <v>58.311114</v>
      </c>
      <c r="P309" t="n">
        <v>31.032685</v>
      </c>
      <c r="Q309" t="n">
        <v>4967.292392</v>
      </c>
      <c r="R309" t="n">
        <v>4967.292392</v>
      </c>
      <c r="S309" t="n">
        <v>58.311114</v>
      </c>
      <c r="T309" t="n">
        <v>58.311114</v>
      </c>
      <c r="U309" t="n">
        <v>31.032685</v>
      </c>
      <c r="V309" t="n">
        <v>31.032685</v>
      </c>
      <c r="W309" t="n">
        <v>61.724923</v>
      </c>
      <c r="X309" t="n">
        <v>5208.68705</v>
      </c>
    </row>
    <row r="310" ht="21" customHeight="1">
      <c r="A310" t="inlineStr">
        <is>
          <t>Mizuhopecten yessoensis</t>
        </is>
      </c>
      <c r="B310" t="n">
        <v>2.1</v>
      </c>
      <c r="C310" t="n">
        <v>12.589254</v>
      </c>
      <c r="D310" s="11" t="inlineStr">
        <is>
          <t>Non-ceph molluscs</t>
        </is>
      </c>
      <c r="H310" t="n">
        <v>5.373346</v>
      </c>
      <c r="I310" t="n">
        <v>57.395403</v>
      </c>
      <c r="J310" t="n">
        <v>57.395403</v>
      </c>
      <c r="K310" t="n">
        <v>21.98244</v>
      </c>
      <c r="L310" t="n">
        <v>92.59366</v>
      </c>
      <c r="M310" t="n">
        <v>61.118924</v>
      </c>
      <c r="N310" t="n">
        <v>61.118924</v>
      </c>
      <c r="O310" t="n">
        <v>1.571536</v>
      </c>
      <c r="P310" t="n">
        <v>1.01605</v>
      </c>
      <c r="Q310" t="n">
        <v>61.118924</v>
      </c>
      <c r="R310" t="n">
        <v>61.118924</v>
      </c>
      <c r="S310" t="n">
        <v>1.571536</v>
      </c>
      <c r="T310" t="n">
        <v>1.571536</v>
      </c>
      <c r="U310" t="n">
        <v>1.01605</v>
      </c>
      <c r="V310" t="n">
        <v>1.01605</v>
      </c>
      <c r="W310" t="n">
        <v>1.626148</v>
      </c>
      <c r="X310" t="n">
        <v>63.787046</v>
      </c>
    </row>
    <row r="311" ht="36" customHeight="1">
      <c r="A311" t="inlineStr">
        <is>
          <t>Evynnis tumifrons</t>
        </is>
      </c>
      <c r="B311" t="n">
        <v>3.97</v>
      </c>
      <c r="C311" t="n">
        <v>933.2543010000001</v>
      </c>
      <c r="D311" s="11" t="inlineStr">
        <is>
          <t>Juvenile demersal fish (&gt; 30 cm) | Adult demersal fish (&gt; 30 cm)</t>
        </is>
      </c>
      <c r="H311" t="n">
        <v>175.842593</v>
      </c>
      <c r="I311" t="n">
        <v>4469.123499</v>
      </c>
      <c r="J311" t="n">
        <v>4793.322749</v>
      </c>
      <c r="K311" t="n">
        <v>1747.151432</v>
      </c>
      <c r="L311" t="n">
        <v>10677.999207</v>
      </c>
      <c r="M311" t="n">
        <v>7305.602239</v>
      </c>
      <c r="N311" t="n">
        <v>7305.602239</v>
      </c>
      <c r="O311" t="n">
        <v>41.400447</v>
      </c>
      <c r="P311" t="n">
        <v>18.192821</v>
      </c>
      <c r="Q311" t="n">
        <v>7305.602239</v>
      </c>
      <c r="R311" t="n">
        <v>7305.602239</v>
      </c>
      <c r="S311" t="n">
        <v>41.400447</v>
      </c>
      <c r="T311" t="n">
        <v>41.400447</v>
      </c>
      <c r="U311" t="n">
        <v>18.192821</v>
      </c>
      <c r="V311" t="n">
        <v>18.192821</v>
      </c>
      <c r="W311" t="n">
        <v>43.295832</v>
      </c>
      <c r="X311" t="n">
        <v>7878.655066</v>
      </c>
    </row>
    <row r="312" ht="36" customHeight="1">
      <c r="A312" t="inlineStr">
        <is>
          <t>Ephippidae</t>
        </is>
      </c>
      <c r="B312" t="n">
        <v>3.57</v>
      </c>
      <c r="C312" t="n">
        <v>371.535229</v>
      </c>
      <c r="D312" s="11" t="inlineStr">
        <is>
          <t>Juvenile demersal fish (&gt; 30 cm) | Adult demersal fish (&gt; 30 cm)</t>
        </is>
      </c>
      <c r="H312" t="n">
        <v>175.842593</v>
      </c>
      <c r="I312" t="n">
        <v>4469.123499</v>
      </c>
      <c r="J312" t="n">
        <v>4793.322749</v>
      </c>
      <c r="K312" t="n">
        <v>1747.151432</v>
      </c>
      <c r="L312" t="n">
        <v>10677.999207</v>
      </c>
      <c r="M312" t="n">
        <v>7305.602239</v>
      </c>
      <c r="N312" t="n">
        <v>7305.602239</v>
      </c>
      <c r="O312" t="n">
        <v>41.400447</v>
      </c>
      <c r="P312" t="n">
        <v>18.192821</v>
      </c>
      <c r="Q312" t="n">
        <v>7305.602239</v>
      </c>
      <c r="R312" t="n">
        <v>7305.602239</v>
      </c>
      <c r="S312" t="n">
        <v>41.400447</v>
      </c>
      <c r="T312" t="n">
        <v>41.400447</v>
      </c>
      <c r="U312" t="n">
        <v>18.192821</v>
      </c>
      <c r="V312" t="n">
        <v>18.192821</v>
      </c>
      <c r="W312" t="n">
        <v>43.295832</v>
      </c>
      <c r="X312" t="n">
        <v>7878.655066</v>
      </c>
    </row>
    <row r="313" ht="36" customHeight="1">
      <c r="A313" t="inlineStr">
        <is>
          <t>Mola mola</t>
        </is>
      </c>
      <c r="B313" t="n">
        <v>3.68</v>
      </c>
      <c r="C313" t="n">
        <v>478.630092</v>
      </c>
      <c r="D313" s="11" t="inlineStr">
        <is>
          <t>Juvenile large pelagic fish | Pelagic fish (&gt; 30 cm)</t>
        </is>
      </c>
      <c r="H313" t="n">
        <v>134.939141</v>
      </c>
      <c r="I313" t="n">
        <v>4341.841291</v>
      </c>
      <c r="J313" t="n">
        <v>4398.007385</v>
      </c>
      <c r="K313" t="n">
        <v>1301.694746</v>
      </c>
      <c r="L313" t="n">
        <v>7112.982475</v>
      </c>
      <c r="M313" t="n">
        <v>4967.292392</v>
      </c>
      <c r="N313" t="n">
        <v>4967.292392</v>
      </c>
      <c r="O313" t="n">
        <v>58.311114</v>
      </c>
      <c r="P313" t="n">
        <v>31.032685</v>
      </c>
      <c r="Q313" t="n">
        <v>4967.292392</v>
      </c>
      <c r="R313" t="n">
        <v>4967.292392</v>
      </c>
      <c r="S313" t="n">
        <v>58.311114</v>
      </c>
      <c r="T313" t="n">
        <v>58.311114</v>
      </c>
      <c r="U313" t="n">
        <v>31.032685</v>
      </c>
      <c r="V313" t="n">
        <v>31.032685</v>
      </c>
      <c r="W313" t="n">
        <v>61.724923</v>
      </c>
      <c r="X313" t="n">
        <v>5208.68705</v>
      </c>
    </row>
    <row r="314" ht="36" customHeight="1">
      <c r="A314" t="inlineStr">
        <is>
          <t>Latidae</t>
        </is>
      </c>
      <c r="B314" t="n">
        <v>4.35</v>
      </c>
      <c r="C314" t="n">
        <v>2238.721139</v>
      </c>
      <c r="D314" s="11" t="inlineStr">
        <is>
          <t>Juvenile demersal fish (&gt; 30 cm) | Adult demersal fish (&gt; 30 cm)</t>
        </is>
      </c>
      <c r="H314" t="n">
        <v>175.842593</v>
      </c>
      <c r="I314" t="n">
        <v>4469.123499</v>
      </c>
      <c r="J314" t="n">
        <v>4793.322749</v>
      </c>
      <c r="K314" t="n">
        <v>1747.151432</v>
      </c>
      <c r="L314" t="n">
        <v>10677.999207</v>
      </c>
      <c r="M314" t="n">
        <v>7305.602239</v>
      </c>
      <c r="N314" t="n">
        <v>7305.602239</v>
      </c>
      <c r="O314" t="n">
        <v>41.400447</v>
      </c>
      <c r="P314" t="n">
        <v>18.192821</v>
      </c>
      <c r="Q314" t="n">
        <v>7305.602239</v>
      </c>
      <c r="R314" t="n">
        <v>7305.602239</v>
      </c>
      <c r="S314" t="n">
        <v>41.400447</v>
      </c>
      <c r="T314" t="n">
        <v>41.400447</v>
      </c>
      <c r="U314" t="n">
        <v>18.192821</v>
      </c>
      <c r="V314" t="n">
        <v>18.192821</v>
      </c>
      <c r="W314" t="n">
        <v>43.295832</v>
      </c>
      <c r="X314" t="n">
        <v>7878.655066</v>
      </c>
    </row>
    <row r="315" ht="21" customHeight="1">
      <c r="A315" t="inlineStr">
        <is>
          <t>Ranina ranina</t>
        </is>
      </c>
      <c r="B315" t="n">
        <v>3.92</v>
      </c>
      <c r="C315" t="n">
        <v>831.763771</v>
      </c>
      <c r="D315" s="11" t="inlineStr">
        <is>
          <t>Crabs</t>
        </is>
      </c>
      <c r="H315" t="n">
        <v>15.007847</v>
      </c>
      <c r="I315" t="n">
        <v>98.72009199999999</v>
      </c>
      <c r="J315" t="n">
        <v>98.72009199999999</v>
      </c>
      <c r="K315" t="n">
        <v>93.784087</v>
      </c>
      <c r="L315" t="n">
        <v>173.938876</v>
      </c>
      <c r="M315" t="n">
        <v>115.203607</v>
      </c>
      <c r="N315" t="n">
        <v>115.203607</v>
      </c>
      <c r="O315" t="n">
        <v>4.263184</v>
      </c>
      <c r="P315" t="n">
        <v>2.411197</v>
      </c>
      <c r="Q315" t="n">
        <v>115.203607</v>
      </c>
      <c r="R315" t="n">
        <v>115.203607</v>
      </c>
      <c r="S315" t="n">
        <v>4.263184</v>
      </c>
      <c r="T315" t="n">
        <v>4.263184</v>
      </c>
      <c r="U315" t="n">
        <v>2.411197</v>
      </c>
      <c r="V315" t="n">
        <v>2.411197</v>
      </c>
      <c r="W315" t="n">
        <v>4.428691</v>
      </c>
      <c r="X315" t="n">
        <v>122.757859</v>
      </c>
    </row>
    <row r="316" ht="21" customHeight="1">
      <c r="A316" t="inlineStr">
        <is>
          <t>Ozius guttatus</t>
        </is>
      </c>
      <c r="D316" s="11" t="inlineStr">
        <is>
          <t>Crabs</t>
        </is>
      </c>
      <c r="H316" t="n">
        <v>15.007847</v>
      </c>
      <c r="I316" t="n">
        <v>98.72009199999999</v>
      </c>
      <c r="J316" t="n">
        <v>98.72009199999999</v>
      </c>
      <c r="K316" t="n">
        <v>93.784087</v>
      </c>
      <c r="L316" t="n">
        <v>173.938876</v>
      </c>
      <c r="M316" t="n">
        <v>115.203607</v>
      </c>
      <c r="N316" t="n">
        <v>115.203607</v>
      </c>
      <c r="O316" t="n">
        <v>4.263184</v>
      </c>
      <c r="P316" t="n">
        <v>2.411197</v>
      </c>
      <c r="Q316" t="n">
        <v>115.203607</v>
      </c>
      <c r="R316" t="n">
        <v>115.203607</v>
      </c>
      <c r="S316" t="n">
        <v>4.263184</v>
      </c>
      <c r="T316" t="n">
        <v>4.263184</v>
      </c>
      <c r="U316" t="n">
        <v>2.411197</v>
      </c>
      <c r="V316" t="n">
        <v>2.411197</v>
      </c>
      <c r="W316" t="n">
        <v>4.428691</v>
      </c>
      <c r="X316" t="n">
        <v>122.757859</v>
      </c>
    </row>
    <row r="317" ht="36" customHeight="1">
      <c r="A317" t="inlineStr">
        <is>
          <t>Sphyraena barracuda</t>
        </is>
      </c>
      <c r="B317" t="n">
        <v>4.49</v>
      </c>
      <c r="C317" t="n">
        <v>3090.295433</v>
      </c>
      <c r="D317" s="11" t="inlineStr">
        <is>
          <t>Juvenile large pelagic fish | Pelagic fish (&gt; 30 cm)</t>
        </is>
      </c>
      <c r="H317" t="n">
        <v>134.939141</v>
      </c>
      <c r="I317" t="n">
        <v>4341.841291</v>
      </c>
      <c r="J317" t="n">
        <v>4398.007385</v>
      </c>
      <c r="K317" t="n">
        <v>1301.694746</v>
      </c>
      <c r="L317" t="n">
        <v>7112.982475</v>
      </c>
      <c r="M317" t="n">
        <v>4967.292392</v>
      </c>
      <c r="N317" t="n">
        <v>4967.292392</v>
      </c>
      <c r="O317" t="n">
        <v>58.311114</v>
      </c>
      <c r="P317" t="n">
        <v>31.032685</v>
      </c>
      <c r="Q317" t="n">
        <v>4967.292392</v>
      </c>
      <c r="R317" t="n">
        <v>4967.292392</v>
      </c>
      <c r="S317" t="n">
        <v>58.311114</v>
      </c>
      <c r="T317" t="n">
        <v>58.311114</v>
      </c>
      <c r="U317" t="n">
        <v>31.032685</v>
      </c>
      <c r="V317" t="n">
        <v>31.032685</v>
      </c>
      <c r="W317" t="n">
        <v>61.724923</v>
      </c>
      <c r="X317" t="n">
        <v>5208.68705</v>
      </c>
    </row>
    <row r="318" ht="21" customHeight="1">
      <c r="A318" t="inlineStr">
        <is>
          <t>Melicertus canaliculatus</t>
        </is>
      </c>
      <c r="D318" s="11" t="inlineStr">
        <is>
          <t>Shrimps</t>
        </is>
      </c>
      <c r="H318" t="n">
        <v>8.702252</v>
      </c>
      <c r="I318" t="n">
        <v>88.674335</v>
      </c>
      <c r="J318" t="n">
        <v>88.674335</v>
      </c>
      <c r="K318" t="n">
        <v>84.240618</v>
      </c>
      <c r="L318" t="n">
        <v>130.894857</v>
      </c>
      <c r="M318" t="n">
        <v>88.674335</v>
      </c>
      <c r="N318" t="n">
        <v>88.674335</v>
      </c>
      <c r="O318" t="n">
        <v>5.151693</v>
      </c>
      <c r="P318" t="n">
        <v>3.42724</v>
      </c>
      <c r="Q318" t="n">
        <v>88.674335</v>
      </c>
      <c r="R318" t="n">
        <v>88.674335</v>
      </c>
      <c r="S318" t="n">
        <v>5.151693</v>
      </c>
      <c r="T318" t="n">
        <v>5.151693</v>
      </c>
      <c r="U318" t="n">
        <v>3.42724</v>
      </c>
      <c r="V318" t="n">
        <v>3.42724</v>
      </c>
      <c r="W318" t="n">
        <v>5.382228</v>
      </c>
      <c r="X318" t="n">
        <v>92.561423</v>
      </c>
    </row>
    <row r="319" ht="36" customHeight="1">
      <c r="A319" t="inlineStr">
        <is>
          <t>Seriola dumerili</t>
        </is>
      </c>
      <c r="B319" t="n">
        <v>4.5</v>
      </c>
      <c r="C319" t="n">
        <v>3162.27766</v>
      </c>
      <c r="D319" s="11" t="inlineStr">
        <is>
          <t>Juvenile large pelagic fish | Pelagic fish (&gt; 30 cm)</t>
        </is>
      </c>
      <c r="H319" t="n">
        <v>134.939141</v>
      </c>
      <c r="I319" t="n">
        <v>4341.841291</v>
      </c>
      <c r="J319" t="n">
        <v>4398.007385</v>
      </c>
      <c r="K319" t="n">
        <v>1301.694746</v>
      </c>
      <c r="L319" t="n">
        <v>7112.982475</v>
      </c>
      <c r="M319" t="n">
        <v>4967.292392</v>
      </c>
      <c r="N319" t="n">
        <v>4967.292392</v>
      </c>
      <c r="O319" t="n">
        <v>58.311114</v>
      </c>
      <c r="P319" t="n">
        <v>31.032685</v>
      </c>
      <c r="Q319" t="n">
        <v>4967.292392</v>
      </c>
      <c r="R319" t="n">
        <v>4967.292392</v>
      </c>
      <c r="S319" t="n">
        <v>58.311114</v>
      </c>
      <c r="T319" t="n">
        <v>58.311114</v>
      </c>
      <c r="U319" t="n">
        <v>31.032685</v>
      </c>
      <c r="V319" t="n">
        <v>31.032685</v>
      </c>
      <c r="W319" t="n">
        <v>61.724923</v>
      </c>
      <c r="X319" t="n">
        <v>5208.68705</v>
      </c>
    </row>
    <row r="320" ht="36" customHeight="1">
      <c r="A320" t="inlineStr">
        <is>
          <t>Labridae</t>
        </is>
      </c>
      <c r="B320" t="n">
        <v>3.46</v>
      </c>
      <c r="C320" t="n">
        <v>288.40315</v>
      </c>
      <c r="D320" s="11" t="inlineStr">
        <is>
          <t>Juvenile demersal fish (&gt; 30 cm) | Adult demersal fish (&gt; 30 cm)</t>
        </is>
      </c>
      <c r="H320" t="n">
        <v>175.842593</v>
      </c>
      <c r="I320" t="n">
        <v>4469.123499</v>
      </c>
      <c r="J320" t="n">
        <v>4793.322749</v>
      </c>
      <c r="K320" t="n">
        <v>1747.151432</v>
      </c>
      <c r="L320" t="n">
        <v>10677.999207</v>
      </c>
      <c r="M320" t="n">
        <v>7305.602239</v>
      </c>
      <c r="N320" t="n">
        <v>7305.602239</v>
      </c>
      <c r="O320" t="n">
        <v>41.400447</v>
      </c>
      <c r="P320" t="n">
        <v>18.192821</v>
      </c>
      <c r="Q320" t="n">
        <v>7305.602239</v>
      </c>
      <c r="R320" t="n">
        <v>7305.602239</v>
      </c>
      <c r="S320" t="n">
        <v>41.400447</v>
      </c>
      <c r="T320" t="n">
        <v>41.400447</v>
      </c>
      <c r="U320" t="n">
        <v>18.192821</v>
      </c>
      <c r="V320" t="n">
        <v>18.192821</v>
      </c>
      <c r="W320" t="n">
        <v>43.295832</v>
      </c>
      <c r="X320" t="n">
        <v>7878.655066</v>
      </c>
    </row>
    <row r="321" ht="21" customHeight="1">
      <c r="A321" t="inlineStr">
        <is>
          <t>Octopus</t>
        </is>
      </c>
      <c r="B321" t="n">
        <v>3.8</v>
      </c>
      <c r="C321" t="n">
        <v>630.957344</v>
      </c>
      <c r="D321" s="11" t="inlineStr">
        <is>
          <t>Cephalopods</t>
        </is>
      </c>
      <c r="H321" t="n">
        <v>99.09704499999999</v>
      </c>
      <c r="I321" t="n">
        <v>726.768274</v>
      </c>
      <c r="J321" t="n">
        <v>743.903747</v>
      </c>
      <c r="K321" t="n">
        <v>371.951873</v>
      </c>
      <c r="L321" t="n">
        <v>1659.687874</v>
      </c>
      <c r="M321" t="n">
        <v>1154.615618</v>
      </c>
      <c r="N321" t="n">
        <v>1154.615618</v>
      </c>
      <c r="O321" t="n">
        <v>19.267286</v>
      </c>
      <c r="P321" t="n">
        <v>9.928678</v>
      </c>
      <c r="Q321" t="n">
        <v>1154.615618</v>
      </c>
      <c r="R321" t="n">
        <v>1154.615618</v>
      </c>
      <c r="S321" t="n">
        <v>19.267286</v>
      </c>
      <c r="T321" t="n">
        <v>19.267286</v>
      </c>
      <c r="U321" t="n">
        <v>9.928678</v>
      </c>
      <c r="V321" t="n">
        <v>9.928678</v>
      </c>
      <c r="W321" t="n">
        <v>19.883589</v>
      </c>
      <c r="X321" t="n">
        <v>1235.144457</v>
      </c>
    </row>
    <row r="322" ht="36" customHeight="1">
      <c r="A322" t="inlineStr">
        <is>
          <t>Plotosidae</t>
        </is>
      </c>
      <c r="B322" t="n">
        <v>3.49</v>
      </c>
      <c r="C322" t="n">
        <v>309.029543</v>
      </c>
      <c r="D322" s="11" t="inlineStr">
        <is>
          <t>Juvenile demersal fish (&gt; 30 cm) | Adult demersal fish (&gt; 30 cm)</t>
        </is>
      </c>
      <c r="H322" t="n">
        <v>175.842593</v>
      </c>
      <c r="I322" t="n">
        <v>4469.123499</v>
      </c>
      <c r="J322" t="n">
        <v>4793.322749</v>
      </c>
      <c r="K322" t="n">
        <v>1747.151432</v>
      </c>
      <c r="L322" t="n">
        <v>10677.999207</v>
      </c>
      <c r="M322" t="n">
        <v>7305.602239</v>
      </c>
      <c r="N322" t="n">
        <v>7305.602239</v>
      </c>
      <c r="O322" t="n">
        <v>41.400447</v>
      </c>
      <c r="P322" t="n">
        <v>18.192821</v>
      </c>
      <c r="Q322" t="n">
        <v>7305.602239</v>
      </c>
      <c r="R322" t="n">
        <v>7305.602239</v>
      </c>
      <c r="S322" t="n">
        <v>41.400447</v>
      </c>
      <c r="T322" t="n">
        <v>41.400447</v>
      </c>
      <c r="U322" t="n">
        <v>18.192821</v>
      </c>
      <c r="V322" t="n">
        <v>18.192821</v>
      </c>
      <c r="W322" t="n">
        <v>43.295832</v>
      </c>
      <c r="X322" t="n">
        <v>7878.655066</v>
      </c>
    </row>
    <row r="323" ht="21" customHeight="1">
      <c r="A323" t="inlineStr">
        <is>
          <t>Alopias</t>
        </is>
      </c>
      <c r="B323" t="n">
        <v>4.5</v>
      </c>
      <c r="C323" t="n">
        <v>3162.27766</v>
      </c>
      <c r="D323" s="11" t="inlineStr">
        <is>
          <t>Pelagic sharks and rays</t>
        </is>
      </c>
      <c r="H323" t="n">
        <v>477.293407</v>
      </c>
      <c r="I323" t="n">
        <v>86321.834013</v>
      </c>
      <c r="J323" t="n">
        <v>87278.99642</v>
      </c>
      <c r="K323" t="n">
        <v>43639.49821</v>
      </c>
      <c r="L323" t="n">
        <v>172174.15174</v>
      </c>
      <c r="M323" t="n">
        <v>119442.301921</v>
      </c>
      <c r="N323" t="n">
        <v>119442.301921</v>
      </c>
      <c r="O323" t="n">
        <v>130.775511</v>
      </c>
      <c r="P323" t="n">
        <v>57.053814</v>
      </c>
      <c r="Q323" t="n">
        <v>119442.301921</v>
      </c>
      <c r="R323" t="n">
        <v>119442.301921</v>
      </c>
      <c r="S323" t="n">
        <v>130.775511</v>
      </c>
      <c r="T323" t="n">
        <v>130.775511</v>
      </c>
      <c r="U323" t="n">
        <v>57.053814</v>
      </c>
      <c r="V323" t="n">
        <v>57.053814</v>
      </c>
      <c r="W323" t="n">
        <v>139.198598</v>
      </c>
      <c r="X323" t="n">
        <v>127625.763444</v>
      </c>
    </row>
    <row r="324" ht="36" customHeight="1">
      <c r="A324" t="inlineStr">
        <is>
          <t>Elops machnata</t>
        </is>
      </c>
      <c r="B324" t="n">
        <v>3.97</v>
      </c>
      <c r="C324" t="n">
        <v>933.2543010000001</v>
      </c>
      <c r="D324" s="11" t="inlineStr">
        <is>
          <t>Juvenile large pelagic fish | Pelagic fish (&gt; 30 cm)</t>
        </is>
      </c>
      <c r="H324" t="n">
        <v>134.939141</v>
      </c>
      <c r="I324" t="n">
        <v>4341.841291</v>
      </c>
      <c r="J324" t="n">
        <v>4398.007385</v>
      </c>
      <c r="K324" t="n">
        <v>1301.694746</v>
      </c>
      <c r="L324" t="n">
        <v>7112.982475</v>
      </c>
      <c r="M324" t="n">
        <v>4967.292392</v>
      </c>
      <c r="N324" t="n">
        <v>4967.292392</v>
      </c>
      <c r="O324" t="n">
        <v>58.311114</v>
      </c>
      <c r="P324" t="n">
        <v>31.032685</v>
      </c>
      <c r="Q324" t="n">
        <v>4967.292392</v>
      </c>
      <c r="R324" t="n">
        <v>4967.292392</v>
      </c>
      <c r="S324" t="n">
        <v>58.311114</v>
      </c>
      <c r="T324" t="n">
        <v>58.311114</v>
      </c>
      <c r="U324" t="n">
        <v>31.032685</v>
      </c>
      <c r="V324" t="n">
        <v>31.032685</v>
      </c>
      <c r="W324" t="n">
        <v>61.724923</v>
      </c>
      <c r="X324" t="n">
        <v>5208.68705</v>
      </c>
    </row>
    <row r="325" ht="21" customHeight="1">
      <c r="A325" t="inlineStr">
        <is>
          <t>Pellona ditchela</t>
        </is>
      </c>
      <c r="B325" t="n">
        <v>3.37</v>
      </c>
      <c r="C325" t="n">
        <v>234.422882</v>
      </c>
      <c r="D325" s="11" t="inlineStr">
        <is>
          <t>Pelagic fish (≤ 30 cm)</t>
        </is>
      </c>
      <c r="H325" t="n">
        <v>31.538936</v>
      </c>
      <c r="I325" t="n">
        <v>277.068801</v>
      </c>
      <c r="J325" t="n">
        <v>277.068801</v>
      </c>
      <c r="K325" t="n">
        <v>263.215361</v>
      </c>
      <c r="L325" t="n">
        <v>393.787233</v>
      </c>
      <c r="M325" t="n">
        <v>277.168933</v>
      </c>
      <c r="N325" t="n">
        <v>277.168933</v>
      </c>
      <c r="O325" t="n">
        <v>14.521402</v>
      </c>
      <c r="P325" t="n">
        <v>9.426283</v>
      </c>
      <c r="Q325" t="n">
        <v>277.168933</v>
      </c>
      <c r="R325" t="n">
        <v>277.168933</v>
      </c>
      <c r="S325" t="n">
        <v>14.521402</v>
      </c>
      <c r="T325" t="n">
        <v>14.521402</v>
      </c>
      <c r="U325" t="n">
        <v>9.426283</v>
      </c>
      <c r="V325" t="n">
        <v>9.426283</v>
      </c>
      <c r="W325" t="n">
        <v>15.223157</v>
      </c>
      <c r="X325" t="n">
        <v>285.614997</v>
      </c>
    </row>
    <row r="326" ht="21" customHeight="1">
      <c r="A326" t="inlineStr">
        <is>
          <t>Chaetodontidae</t>
        </is>
      </c>
      <c r="B326" t="n">
        <v>3.24</v>
      </c>
      <c r="C326" t="n">
        <v>173.780083</v>
      </c>
      <c r="D326" s="11" t="inlineStr">
        <is>
          <t>Demesral fish (≤ 30 cm)</t>
        </is>
      </c>
      <c r="H326" t="n">
        <v>47.821434</v>
      </c>
      <c r="I326" t="n">
        <v>386.298429</v>
      </c>
      <c r="J326" t="n">
        <v>403.015522</v>
      </c>
      <c r="K326" t="n">
        <v>382.864746</v>
      </c>
      <c r="L326" t="n">
        <v>738.02552</v>
      </c>
      <c r="M326" t="n">
        <v>504.12505</v>
      </c>
      <c r="N326" t="n">
        <v>504.12505</v>
      </c>
      <c r="O326" t="n">
        <v>19.791087</v>
      </c>
      <c r="P326" t="n">
        <v>10.585758</v>
      </c>
      <c r="Q326" t="n">
        <v>504.12505</v>
      </c>
      <c r="R326" t="n">
        <v>504.12505</v>
      </c>
      <c r="S326" t="n">
        <v>19.791087</v>
      </c>
      <c r="T326" t="n">
        <v>19.791087</v>
      </c>
      <c r="U326" t="n">
        <v>10.585758</v>
      </c>
      <c r="V326" t="n">
        <v>10.585758</v>
      </c>
      <c r="W326" t="n">
        <v>20.644284</v>
      </c>
      <c r="X326" t="n">
        <v>528.265792</v>
      </c>
    </row>
    <row r="327" ht="36" customHeight="1">
      <c r="A327" t="inlineStr">
        <is>
          <t>Congridae</t>
        </is>
      </c>
      <c r="D327" s="11" t="inlineStr">
        <is>
          <t>Juvenile demersal fish (&gt; 30 cm) | Adult demersal fish (&gt; 30 cm)</t>
        </is>
      </c>
      <c r="H327" t="n">
        <v>175.842593</v>
      </c>
      <c r="I327" t="n">
        <v>4469.123499</v>
      </c>
      <c r="J327" t="n">
        <v>4793.322749</v>
      </c>
      <c r="K327" t="n">
        <v>1747.151432</v>
      </c>
      <c r="L327" t="n">
        <v>10677.999207</v>
      </c>
      <c r="M327" t="n">
        <v>7305.602239</v>
      </c>
      <c r="N327" t="n">
        <v>7305.602239</v>
      </c>
      <c r="O327" t="n">
        <v>41.400447</v>
      </c>
      <c r="P327" t="n">
        <v>18.192821</v>
      </c>
      <c r="Q327" t="n">
        <v>7305.602239</v>
      </c>
      <c r="R327" t="n">
        <v>7305.602239</v>
      </c>
      <c r="S327" t="n">
        <v>41.400447</v>
      </c>
      <c r="T327" t="n">
        <v>41.400447</v>
      </c>
      <c r="U327" t="n">
        <v>18.192821</v>
      </c>
      <c r="V327" t="n">
        <v>18.192821</v>
      </c>
      <c r="W327" t="n">
        <v>43.295832</v>
      </c>
      <c r="X327" t="n">
        <v>7878.655066</v>
      </c>
    </row>
    <row r="328" ht="36" customHeight="1">
      <c r="A328" t="inlineStr">
        <is>
          <t>Lethrinus miniatus</t>
        </is>
      </c>
      <c r="B328" t="n">
        <v>4.19</v>
      </c>
      <c r="C328" t="n">
        <v>1548.816619</v>
      </c>
      <c r="D328" s="11" t="inlineStr">
        <is>
          <t>Juvenile demersal fish (&gt; 30 cm) | Adult demersal fish (&gt; 30 cm)</t>
        </is>
      </c>
      <c r="H328" t="n">
        <v>175.842593</v>
      </c>
      <c r="I328" t="n">
        <v>4469.123499</v>
      </c>
      <c r="J328" t="n">
        <v>4793.322749</v>
      </c>
      <c r="K328" t="n">
        <v>1747.151432</v>
      </c>
      <c r="L328" t="n">
        <v>10677.999207</v>
      </c>
      <c r="M328" t="n">
        <v>7305.602239</v>
      </c>
      <c r="N328" t="n">
        <v>7305.602239</v>
      </c>
      <c r="O328" t="n">
        <v>41.400447</v>
      </c>
      <c r="P328" t="n">
        <v>18.192821</v>
      </c>
      <c r="Q328" t="n">
        <v>7305.602239</v>
      </c>
      <c r="R328" t="n">
        <v>7305.602239</v>
      </c>
      <c r="S328" t="n">
        <v>41.400447</v>
      </c>
      <c r="T328" t="n">
        <v>41.400447</v>
      </c>
      <c r="U328" t="n">
        <v>18.192821</v>
      </c>
      <c r="V328" t="n">
        <v>18.192821</v>
      </c>
      <c r="W328" t="n">
        <v>43.295832</v>
      </c>
      <c r="X328" t="n">
        <v>7878.655066</v>
      </c>
    </row>
    <row r="329" ht="21" customHeight="1">
      <c r="A329" t="inlineStr">
        <is>
          <t>Scylla</t>
        </is>
      </c>
      <c r="B329" t="n">
        <v>3.17</v>
      </c>
      <c r="C329" t="n">
        <v>147.910839</v>
      </c>
      <c r="D329" s="11" t="inlineStr">
        <is>
          <t>Crabs</t>
        </is>
      </c>
      <c r="H329" t="n">
        <v>15.007847</v>
      </c>
      <c r="I329" t="n">
        <v>98.72009199999999</v>
      </c>
      <c r="J329" t="n">
        <v>98.72009199999999</v>
      </c>
      <c r="K329" t="n">
        <v>93.784087</v>
      </c>
      <c r="L329" t="n">
        <v>173.938876</v>
      </c>
      <c r="M329" t="n">
        <v>115.203607</v>
      </c>
      <c r="N329" t="n">
        <v>115.203607</v>
      </c>
      <c r="O329" t="n">
        <v>4.263184</v>
      </c>
      <c r="P329" t="n">
        <v>2.411197</v>
      </c>
      <c r="Q329" t="n">
        <v>115.203607</v>
      </c>
      <c r="R329" t="n">
        <v>115.203607</v>
      </c>
      <c r="S329" t="n">
        <v>4.263184</v>
      </c>
      <c r="T329" t="n">
        <v>4.263184</v>
      </c>
      <c r="U329" t="n">
        <v>2.411197</v>
      </c>
      <c r="V329" t="n">
        <v>2.411197</v>
      </c>
      <c r="W329" t="n">
        <v>4.428691</v>
      </c>
      <c r="X329" t="n">
        <v>122.757859</v>
      </c>
    </row>
    <row r="330" ht="21" customHeight="1">
      <c r="A330" t="inlineStr">
        <is>
          <t>Hemitrygon akajei</t>
        </is>
      </c>
      <c r="B330" t="n">
        <v>3.84</v>
      </c>
      <c r="C330" t="n">
        <v>691.830971</v>
      </c>
      <c r="D330" s="11" t="inlineStr">
        <is>
          <t>Demersal sharks and rays</t>
        </is>
      </c>
      <c r="H330" t="n">
        <v>265.296573</v>
      </c>
      <c r="I330" t="n">
        <v>7268.387336</v>
      </c>
      <c r="J330" t="n">
        <v>7315.723404</v>
      </c>
      <c r="K330" t="n">
        <v>2662.923319</v>
      </c>
      <c r="L330" t="n">
        <v>18846.946222</v>
      </c>
      <c r="M330" t="n">
        <v>12899.244148</v>
      </c>
      <c r="N330" t="n">
        <v>12899.244148</v>
      </c>
      <c r="O330" t="n">
        <v>58.377455</v>
      </c>
      <c r="P330" t="n">
        <v>24.766119</v>
      </c>
      <c r="Q330" t="n">
        <v>12899.244148</v>
      </c>
      <c r="R330" t="n">
        <v>12899.244148</v>
      </c>
      <c r="S330" t="n">
        <v>58.377455</v>
      </c>
      <c r="T330" t="n">
        <v>58.377455</v>
      </c>
      <c r="U330" t="n">
        <v>24.766119</v>
      </c>
      <c r="V330" t="n">
        <v>24.766119</v>
      </c>
      <c r="W330" t="n">
        <v>61.462709</v>
      </c>
      <c r="X330" t="n">
        <v>13974.158015</v>
      </c>
    </row>
    <row r="331" ht="21" customHeight="1">
      <c r="A331" t="inlineStr">
        <is>
          <t>Lepidocybium flavobrunneum</t>
        </is>
      </c>
      <c r="D331" s="11" t="inlineStr">
        <is>
          <t>Unresolved</t>
        </is>
      </c>
    </row>
    <row r="332" ht="21" customHeight="1">
      <c r="A332" t="inlineStr">
        <is>
          <t>Charybdis feriatus</t>
        </is>
      </c>
      <c r="D332" s="11" t="inlineStr">
        <is>
          <t>Crabs</t>
        </is>
      </c>
      <c r="H332" t="n">
        <v>15.007847</v>
      </c>
      <c r="I332" t="n">
        <v>98.72009199999999</v>
      </c>
      <c r="J332" t="n">
        <v>98.72009199999999</v>
      </c>
      <c r="K332" t="n">
        <v>93.784087</v>
      </c>
      <c r="L332" t="n">
        <v>173.938876</v>
      </c>
      <c r="M332" t="n">
        <v>115.203607</v>
      </c>
      <c r="N332" t="n">
        <v>115.203607</v>
      </c>
      <c r="O332" t="n">
        <v>4.263184</v>
      </c>
      <c r="P332" t="n">
        <v>2.411197</v>
      </c>
      <c r="Q332" t="n">
        <v>115.203607</v>
      </c>
      <c r="R332" t="n">
        <v>115.203607</v>
      </c>
      <c r="S332" t="n">
        <v>4.263184</v>
      </c>
      <c r="T332" t="n">
        <v>4.263184</v>
      </c>
      <c r="U332" t="n">
        <v>2.411197</v>
      </c>
      <c r="V332" t="n">
        <v>2.411197</v>
      </c>
      <c r="W332" t="n">
        <v>4.428691</v>
      </c>
      <c r="X332" t="n">
        <v>122.757859</v>
      </c>
    </row>
    <row r="333" ht="21" customHeight="1">
      <c r="A333" t="inlineStr">
        <is>
          <t>Encrasicholina punctifer</t>
        </is>
      </c>
      <c r="B333" t="n">
        <v>3.25</v>
      </c>
      <c r="C333" t="n">
        <v>177.827941</v>
      </c>
      <c r="D333" s="11" t="inlineStr">
        <is>
          <t>Pelagic fish (≤ 30 cm)</t>
        </is>
      </c>
      <c r="H333" t="n">
        <v>31.538936</v>
      </c>
      <c r="I333" t="n">
        <v>277.068801</v>
      </c>
      <c r="J333" t="n">
        <v>277.068801</v>
      </c>
      <c r="K333" t="n">
        <v>263.215361</v>
      </c>
      <c r="L333" t="n">
        <v>393.787233</v>
      </c>
      <c r="M333" t="n">
        <v>277.168933</v>
      </c>
      <c r="N333" t="n">
        <v>277.168933</v>
      </c>
      <c r="O333" t="n">
        <v>14.521402</v>
      </c>
      <c r="P333" t="n">
        <v>9.426283</v>
      </c>
      <c r="Q333" t="n">
        <v>277.168933</v>
      </c>
      <c r="R333" t="n">
        <v>277.168933</v>
      </c>
      <c r="S333" t="n">
        <v>14.521402</v>
      </c>
      <c r="T333" t="n">
        <v>14.521402</v>
      </c>
      <c r="U333" t="n">
        <v>9.426283</v>
      </c>
      <c r="V333" t="n">
        <v>9.426283</v>
      </c>
      <c r="W333" t="n">
        <v>15.223157</v>
      </c>
      <c r="X333" t="n">
        <v>285.614997</v>
      </c>
    </row>
    <row r="334" ht="21" customHeight="1">
      <c r="A334" t="inlineStr">
        <is>
          <t>Spongia</t>
        </is>
      </c>
      <c r="B334" t="n">
        <v>2</v>
      </c>
      <c r="C334" t="n">
        <v>10</v>
      </c>
      <c r="D334" s="11" t="inlineStr">
        <is>
          <t>Sessile/other invertebrates</t>
        </is>
      </c>
      <c r="H334" t="n">
        <v>23.517652</v>
      </c>
      <c r="I334" t="n">
        <v>516.158398</v>
      </c>
      <c r="J334" t="n">
        <v>516.158398</v>
      </c>
      <c r="K334" t="n">
        <v>436.153846</v>
      </c>
      <c r="L334" t="n">
        <v>737.355125</v>
      </c>
      <c r="M334" t="n">
        <v>516.158398</v>
      </c>
      <c r="N334" t="n">
        <v>516.158398</v>
      </c>
      <c r="O334" t="n">
        <v>22.68</v>
      </c>
      <c r="P334" t="n">
        <v>14.5152</v>
      </c>
      <c r="Q334" t="n">
        <v>516.158398</v>
      </c>
      <c r="R334" t="n">
        <v>516.158398</v>
      </c>
      <c r="S334" t="n">
        <v>22.68</v>
      </c>
      <c r="T334" t="n">
        <v>22.68</v>
      </c>
      <c r="U334" t="n">
        <v>14.5152</v>
      </c>
      <c r="V334" t="n">
        <v>14.5152</v>
      </c>
      <c r="W334" t="n">
        <v>23.4128</v>
      </c>
      <c r="X334" t="n">
        <v>535.928446</v>
      </c>
    </row>
    <row r="335" ht="21" customHeight="1">
      <c r="A335" t="inlineStr">
        <is>
          <t>Amusium pleuronectes</t>
        </is>
      </c>
      <c r="B335" t="n">
        <v>2</v>
      </c>
      <c r="C335" t="n">
        <v>10</v>
      </c>
      <c r="D335" s="11" t="inlineStr">
        <is>
          <t>Non-ceph molluscs</t>
        </is>
      </c>
      <c r="H335" t="n">
        <v>5.373346</v>
      </c>
      <c r="I335" t="n">
        <v>57.395403</v>
      </c>
      <c r="J335" t="n">
        <v>57.395403</v>
      </c>
      <c r="K335" t="n">
        <v>21.98244</v>
      </c>
      <c r="L335" t="n">
        <v>92.59366</v>
      </c>
      <c r="M335" t="n">
        <v>61.118924</v>
      </c>
      <c r="N335" t="n">
        <v>61.118924</v>
      </c>
      <c r="O335" t="n">
        <v>1.571536</v>
      </c>
      <c r="P335" t="n">
        <v>1.01605</v>
      </c>
      <c r="Q335" t="n">
        <v>61.118924</v>
      </c>
      <c r="R335" t="n">
        <v>61.118924</v>
      </c>
      <c r="S335" t="n">
        <v>1.571536</v>
      </c>
      <c r="T335" t="n">
        <v>1.571536</v>
      </c>
      <c r="U335" t="n">
        <v>1.01605</v>
      </c>
      <c r="V335" t="n">
        <v>1.01605</v>
      </c>
      <c r="W335" t="n">
        <v>1.626148</v>
      </c>
      <c r="X335" t="n">
        <v>63.787046</v>
      </c>
    </row>
    <row r="336" ht="36" customHeight="1">
      <c r="A336" t="inlineStr">
        <is>
          <t>Scatophagus argus</t>
        </is>
      </c>
      <c r="B336" t="n">
        <v>2.99</v>
      </c>
      <c r="C336" t="n">
        <v>97.723722</v>
      </c>
      <c r="D336" s="11" t="inlineStr">
        <is>
          <t>Juvenile demersal fish (&gt; 30 cm) | Adult demersal fish (&gt; 30 cm)</t>
        </is>
      </c>
      <c r="H336" t="n">
        <v>175.842593</v>
      </c>
      <c r="I336" t="n">
        <v>4469.123499</v>
      </c>
      <c r="J336" t="n">
        <v>4793.322749</v>
      </c>
      <c r="K336" t="n">
        <v>1747.151432</v>
      </c>
      <c r="L336" t="n">
        <v>10677.999207</v>
      </c>
      <c r="M336" t="n">
        <v>7305.602239</v>
      </c>
      <c r="N336" t="n">
        <v>7305.602239</v>
      </c>
      <c r="O336" t="n">
        <v>41.400447</v>
      </c>
      <c r="P336" t="n">
        <v>18.192821</v>
      </c>
      <c r="Q336" t="n">
        <v>7305.602239</v>
      </c>
      <c r="R336" t="n">
        <v>7305.602239</v>
      </c>
      <c r="S336" t="n">
        <v>41.400447</v>
      </c>
      <c r="T336" t="n">
        <v>41.400447</v>
      </c>
      <c r="U336" t="n">
        <v>18.192821</v>
      </c>
      <c r="V336" t="n">
        <v>18.192821</v>
      </c>
      <c r="W336" t="n">
        <v>43.295832</v>
      </c>
      <c r="X336" t="n">
        <v>7878.655066</v>
      </c>
    </row>
    <row r="337" ht="21" customHeight="1">
      <c r="A337" t="inlineStr">
        <is>
          <t>Podophthalmus vigil</t>
        </is>
      </c>
      <c r="D337" s="11" t="inlineStr">
        <is>
          <t>Crabs</t>
        </is>
      </c>
      <c r="H337" t="n">
        <v>15.007847</v>
      </c>
      <c r="I337" t="n">
        <v>98.72009199999999</v>
      </c>
      <c r="J337" t="n">
        <v>98.72009199999999</v>
      </c>
      <c r="K337" t="n">
        <v>93.784087</v>
      </c>
      <c r="L337" t="n">
        <v>173.938876</v>
      </c>
      <c r="M337" t="n">
        <v>115.203607</v>
      </c>
      <c r="N337" t="n">
        <v>115.203607</v>
      </c>
      <c r="O337" t="n">
        <v>4.263184</v>
      </c>
      <c r="P337" t="n">
        <v>2.411197</v>
      </c>
      <c r="Q337" t="n">
        <v>115.203607</v>
      </c>
      <c r="R337" t="n">
        <v>115.203607</v>
      </c>
      <c r="S337" t="n">
        <v>4.263184</v>
      </c>
      <c r="T337" t="n">
        <v>4.263184</v>
      </c>
      <c r="U337" t="n">
        <v>2.411197</v>
      </c>
      <c r="V337" t="n">
        <v>2.411197</v>
      </c>
      <c r="W337" t="n">
        <v>4.428691</v>
      </c>
      <c r="X337" t="n">
        <v>122.757859</v>
      </c>
    </row>
    <row r="338" ht="36" customHeight="1">
      <c r="A338" t="inlineStr">
        <is>
          <t>Drepane punctata</t>
        </is>
      </c>
      <c r="B338" t="n">
        <v>3.32</v>
      </c>
      <c r="C338" t="n">
        <v>208.929613</v>
      </c>
      <c r="D338" s="11" t="inlineStr">
        <is>
          <t>Juvenile demersal fish (&gt; 30 cm) | Adult demersal fish (&gt; 30 cm)</t>
        </is>
      </c>
      <c r="H338" t="n">
        <v>175.842593</v>
      </c>
      <c r="I338" t="n">
        <v>4469.123499</v>
      </c>
      <c r="J338" t="n">
        <v>4793.322749</v>
      </c>
      <c r="K338" t="n">
        <v>1747.151432</v>
      </c>
      <c r="L338" t="n">
        <v>10677.999207</v>
      </c>
      <c r="M338" t="n">
        <v>7305.602239</v>
      </c>
      <c r="N338" t="n">
        <v>7305.602239</v>
      </c>
      <c r="O338" t="n">
        <v>41.400447</v>
      </c>
      <c r="P338" t="n">
        <v>18.192821</v>
      </c>
      <c r="Q338" t="n">
        <v>7305.602239</v>
      </c>
      <c r="R338" t="n">
        <v>7305.602239</v>
      </c>
      <c r="S338" t="n">
        <v>41.400447</v>
      </c>
      <c r="T338" t="n">
        <v>41.400447</v>
      </c>
      <c r="U338" t="n">
        <v>18.192821</v>
      </c>
      <c r="V338" t="n">
        <v>18.192821</v>
      </c>
      <c r="W338" t="n">
        <v>43.295832</v>
      </c>
      <c r="X338" t="n">
        <v>7878.655066</v>
      </c>
    </row>
    <row r="339" ht="21" customHeight="1">
      <c r="A339" t="inlineStr">
        <is>
          <t>Charybdis anisodon</t>
        </is>
      </c>
      <c r="D339" s="11" t="inlineStr">
        <is>
          <t>Crabs</t>
        </is>
      </c>
      <c r="H339" t="n">
        <v>15.007847</v>
      </c>
      <c r="I339" t="n">
        <v>98.72009199999999</v>
      </c>
      <c r="J339" t="n">
        <v>98.72009199999999</v>
      </c>
      <c r="K339" t="n">
        <v>93.784087</v>
      </c>
      <c r="L339" t="n">
        <v>173.938876</v>
      </c>
      <c r="M339" t="n">
        <v>115.203607</v>
      </c>
      <c r="N339" t="n">
        <v>115.203607</v>
      </c>
      <c r="O339" t="n">
        <v>4.263184</v>
      </c>
      <c r="P339" t="n">
        <v>2.411197</v>
      </c>
      <c r="Q339" t="n">
        <v>115.203607</v>
      </c>
      <c r="R339" t="n">
        <v>115.203607</v>
      </c>
      <c r="S339" t="n">
        <v>4.263184</v>
      </c>
      <c r="T339" t="n">
        <v>4.263184</v>
      </c>
      <c r="U339" t="n">
        <v>2.411197</v>
      </c>
      <c r="V339" t="n">
        <v>2.411197</v>
      </c>
      <c r="W339" t="n">
        <v>4.428691</v>
      </c>
      <c r="X339" t="n">
        <v>122.757859</v>
      </c>
    </row>
    <row r="340" ht="21" customHeight="1">
      <c r="A340" t="inlineStr">
        <is>
          <t>Beryx</t>
        </is>
      </c>
      <c r="D340" s="11" t="inlineStr">
        <is>
          <t>Benthopelagic fish</t>
        </is>
      </c>
      <c r="H340" t="n">
        <v>45.344864</v>
      </c>
      <c r="I340" t="n">
        <v>356.10635</v>
      </c>
      <c r="J340" t="n">
        <v>384.755747</v>
      </c>
      <c r="K340" t="n">
        <v>365.51796</v>
      </c>
      <c r="L340" t="n">
        <v>602.712303</v>
      </c>
      <c r="M340" t="n">
        <v>421.28566</v>
      </c>
      <c r="N340" t="n">
        <v>421.28566</v>
      </c>
      <c r="O340" t="n">
        <v>20.384878</v>
      </c>
      <c r="P340" t="n">
        <v>12.067619</v>
      </c>
      <c r="Q340" t="n">
        <v>421.28566</v>
      </c>
      <c r="R340" t="n">
        <v>421.28566</v>
      </c>
      <c r="S340" t="n">
        <v>20.384878</v>
      </c>
      <c r="T340" t="n">
        <v>20.384878</v>
      </c>
      <c r="U340" t="n">
        <v>12.067619</v>
      </c>
      <c r="V340" t="n">
        <v>12.067619</v>
      </c>
      <c r="W340" t="n">
        <v>20.990919</v>
      </c>
      <c r="X340" t="n">
        <v>434.828134</v>
      </c>
    </row>
    <row r="341" ht="21" customHeight="1">
      <c r="A341" t="inlineStr">
        <is>
          <t>Magallana gigas</t>
        </is>
      </c>
      <c r="B341" t="n">
        <v>2</v>
      </c>
      <c r="C341" t="n">
        <v>10</v>
      </c>
      <c r="D341" s="11" t="inlineStr">
        <is>
          <t>Non-ceph molluscs</t>
        </is>
      </c>
      <c r="H341" t="n">
        <v>5.373346</v>
      </c>
      <c r="I341" t="n">
        <v>57.395403</v>
      </c>
      <c r="J341" t="n">
        <v>57.395403</v>
      </c>
      <c r="K341" t="n">
        <v>21.98244</v>
      </c>
      <c r="L341" t="n">
        <v>92.59366</v>
      </c>
      <c r="M341" t="n">
        <v>61.118924</v>
      </c>
      <c r="N341" t="n">
        <v>61.118924</v>
      </c>
      <c r="O341" t="n">
        <v>1.571536</v>
      </c>
      <c r="P341" t="n">
        <v>1.01605</v>
      </c>
      <c r="Q341" t="n">
        <v>61.118924</v>
      </c>
      <c r="R341" t="n">
        <v>61.118924</v>
      </c>
      <c r="S341" t="n">
        <v>1.571536</v>
      </c>
      <c r="T341" t="n">
        <v>1.571536</v>
      </c>
      <c r="U341" t="n">
        <v>1.01605</v>
      </c>
      <c r="V341" t="n">
        <v>1.01605</v>
      </c>
      <c r="W341" t="n">
        <v>1.626148</v>
      </c>
      <c r="X341" t="n">
        <v>63.787046</v>
      </c>
    </row>
    <row r="342" ht="36" customHeight="1">
      <c r="A342" t="inlineStr">
        <is>
          <t>Sillago sihama</t>
        </is>
      </c>
      <c r="B342" t="n">
        <v>3.33</v>
      </c>
      <c r="C342" t="n">
        <v>213.796209</v>
      </c>
      <c r="D342" s="11" t="inlineStr">
        <is>
          <t>Juvenile demersal fish (&gt; 30 cm) | Adult demersal fish (&gt; 30 cm)</t>
        </is>
      </c>
      <c r="H342" t="n">
        <v>175.842593</v>
      </c>
      <c r="I342" t="n">
        <v>4469.123499</v>
      </c>
      <c r="J342" t="n">
        <v>4793.322749</v>
      </c>
      <c r="K342" t="n">
        <v>1747.151432</v>
      </c>
      <c r="L342" t="n">
        <v>10677.999207</v>
      </c>
      <c r="M342" t="n">
        <v>7305.602239</v>
      </c>
      <c r="N342" t="n">
        <v>7305.602239</v>
      </c>
      <c r="O342" t="n">
        <v>41.400447</v>
      </c>
      <c r="P342" t="n">
        <v>18.192821</v>
      </c>
      <c r="Q342" t="n">
        <v>7305.602239</v>
      </c>
      <c r="R342" t="n">
        <v>7305.602239</v>
      </c>
      <c r="S342" t="n">
        <v>41.400447</v>
      </c>
      <c r="T342" t="n">
        <v>41.400447</v>
      </c>
      <c r="U342" t="n">
        <v>18.192821</v>
      </c>
      <c r="V342" t="n">
        <v>18.192821</v>
      </c>
      <c r="W342" t="n">
        <v>43.295832</v>
      </c>
      <c r="X342" t="n">
        <v>7878.655066</v>
      </c>
    </row>
    <row r="343" ht="21" customHeight="1">
      <c r="A343" t="inlineStr">
        <is>
          <t>Pteriomorphia</t>
        </is>
      </c>
      <c r="B343" t="n">
        <v>2.27</v>
      </c>
      <c r="C343" t="n">
        <v>18.620871</v>
      </c>
      <c r="D343" s="11" t="inlineStr">
        <is>
          <t>Non-ceph molluscs</t>
        </is>
      </c>
      <c r="H343" t="n">
        <v>5.373346</v>
      </c>
      <c r="I343" t="n">
        <v>57.395403</v>
      </c>
      <c r="J343" t="n">
        <v>57.395403</v>
      </c>
      <c r="K343" t="n">
        <v>21.98244</v>
      </c>
      <c r="L343" t="n">
        <v>92.59366</v>
      </c>
      <c r="M343" t="n">
        <v>61.118924</v>
      </c>
      <c r="N343" t="n">
        <v>61.118924</v>
      </c>
      <c r="O343" t="n">
        <v>1.571536</v>
      </c>
      <c r="P343" t="n">
        <v>1.01605</v>
      </c>
      <c r="Q343" t="n">
        <v>61.118924</v>
      </c>
      <c r="R343" t="n">
        <v>61.118924</v>
      </c>
      <c r="S343" t="n">
        <v>1.571536</v>
      </c>
      <c r="T343" t="n">
        <v>1.571536</v>
      </c>
      <c r="U343" t="n">
        <v>1.01605</v>
      </c>
      <c r="V343" t="n">
        <v>1.01605</v>
      </c>
      <c r="W343" t="n">
        <v>1.626148</v>
      </c>
      <c r="X343" t="n">
        <v>63.787046</v>
      </c>
    </row>
    <row r="344" ht="21" customHeight="1">
      <c r="A344" t="inlineStr">
        <is>
          <t>Metapenaeus ensis</t>
        </is>
      </c>
      <c r="B344" t="n">
        <v>2.7</v>
      </c>
      <c r="C344" t="n">
        <v>50.118723</v>
      </c>
      <c r="D344" s="11" t="inlineStr">
        <is>
          <t>Shrimps</t>
        </is>
      </c>
      <c r="H344" t="n">
        <v>8.702252</v>
      </c>
      <c r="I344" t="n">
        <v>88.674335</v>
      </c>
      <c r="J344" t="n">
        <v>88.674335</v>
      </c>
      <c r="K344" t="n">
        <v>84.240618</v>
      </c>
      <c r="L344" t="n">
        <v>130.894857</v>
      </c>
      <c r="M344" t="n">
        <v>88.674335</v>
      </c>
      <c r="N344" t="n">
        <v>88.674335</v>
      </c>
      <c r="O344" t="n">
        <v>5.151693</v>
      </c>
      <c r="P344" t="n">
        <v>3.42724</v>
      </c>
      <c r="Q344" t="n">
        <v>88.674335</v>
      </c>
      <c r="R344" t="n">
        <v>88.674335</v>
      </c>
      <c r="S344" t="n">
        <v>5.151693</v>
      </c>
      <c r="T344" t="n">
        <v>5.151693</v>
      </c>
      <c r="U344" t="n">
        <v>3.42724</v>
      </c>
      <c r="V344" t="n">
        <v>3.42724</v>
      </c>
      <c r="W344" t="n">
        <v>5.382228</v>
      </c>
      <c r="X344" t="n">
        <v>92.561423</v>
      </c>
    </row>
    <row r="345" ht="21" customHeight="1">
      <c r="A345" t="inlineStr">
        <is>
          <t>Macolor</t>
        </is>
      </c>
      <c r="B345" t="n">
        <v>3.99</v>
      </c>
      <c r="C345" t="n">
        <v>977.237221</v>
      </c>
      <c r="D345" s="11" t="inlineStr">
        <is>
          <t>Snappers</t>
        </is>
      </c>
      <c r="H345" t="n">
        <v>267.052731</v>
      </c>
      <c r="I345" t="n">
        <v>2184.150638</v>
      </c>
      <c r="J345" t="n">
        <v>2277.683197</v>
      </c>
      <c r="K345" t="n">
        <v>2163.799037</v>
      </c>
      <c r="L345" t="n">
        <v>4133.4309</v>
      </c>
      <c r="M345" t="n">
        <v>2817.724532</v>
      </c>
      <c r="N345" t="n">
        <v>2817.724532</v>
      </c>
      <c r="O345" t="n">
        <v>100.301142</v>
      </c>
      <c r="P345" t="n">
        <v>43.53974</v>
      </c>
      <c r="Q345" t="n">
        <v>2817.724532</v>
      </c>
      <c r="R345" t="n">
        <v>2817.724532</v>
      </c>
      <c r="S345" t="n">
        <v>100.301142</v>
      </c>
      <c r="T345" t="n">
        <v>100.301142</v>
      </c>
      <c r="U345" t="n">
        <v>43.53974</v>
      </c>
      <c r="V345" t="n">
        <v>43.53974</v>
      </c>
      <c r="W345" t="n">
        <v>106.305314</v>
      </c>
      <c r="X345" t="n">
        <v>2997.143608</v>
      </c>
    </row>
    <row r="346" ht="21" customHeight="1">
      <c r="A346" t="inlineStr">
        <is>
          <t>Haliotis</t>
        </is>
      </c>
      <c r="D346" s="11" t="inlineStr">
        <is>
          <t>Non-ceph molluscs</t>
        </is>
      </c>
      <c r="H346" t="n">
        <v>5.373346</v>
      </c>
      <c r="I346" t="n">
        <v>57.395403</v>
      </c>
      <c r="J346" t="n">
        <v>57.395403</v>
      </c>
      <c r="K346" t="n">
        <v>21.98244</v>
      </c>
      <c r="L346" t="n">
        <v>92.59366</v>
      </c>
      <c r="M346" t="n">
        <v>61.118924</v>
      </c>
      <c r="N346" t="n">
        <v>61.118924</v>
      </c>
      <c r="O346" t="n">
        <v>1.571536</v>
      </c>
      <c r="P346" t="n">
        <v>1.01605</v>
      </c>
      <c r="Q346" t="n">
        <v>61.118924</v>
      </c>
      <c r="R346" t="n">
        <v>61.118924</v>
      </c>
      <c r="S346" t="n">
        <v>1.571536</v>
      </c>
      <c r="T346" t="n">
        <v>1.571536</v>
      </c>
      <c r="U346" t="n">
        <v>1.01605</v>
      </c>
      <c r="V346" t="n">
        <v>1.01605</v>
      </c>
      <c r="W346" t="n">
        <v>1.626148</v>
      </c>
      <c r="X346" t="n">
        <v>63.787046</v>
      </c>
    </row>
    <row r="347" ht="21" customHeight="1">
      <c r="A347" t="inlineStr">
        <is>
          <t>Berycidae</t>
        </is>
      </c>
      <c r="B347" t="n">
        <v>3.99</v>
      </c>
      <c r="C347" t="n">
        <v>977.237221</v>
      </c>
      <c r="D347" s="11" t="inlineStr">
        <is>
          <t>Benthopelagic fish</t>
        </is>
      </c>
      <c r="H347" t="n">
        <v>45.344864</v>
      </c>
      <c r="I347" t="n">
        <v>356.10635</v>
      </c>
      <c r="J347" t="n">
        <v>384.755747</v>
      </c>
      <c r="K347" t="n">
        <v>365.51796</v>
      </c>
      <c r="L347" t="n">
        <v>602.712303</v>
      </c>
      <c r="M347" t="n">
        <v>421.28566</v>
      </c>
      <c r="N347" t="n">
        <v>421.28566</v>
      </c>
      <c r="O347" t="n">
        <v>20.384878</v>
      </c>
      <c r="P347" t="n">
        <v>12.067619</v>
      </c>
      <c r="Q347" t="n">
        <v>421.28566</v>
      </c>
      <c r="R347" t="n">
        <v>421.28566</v>
      </c>
      <c r="S347" t="n">
        <v>20.384878</v>
      </c>
      <c r="T347" t="n">
        <v>20.384878</v>
      </c>
      <c r="U347" t="n">
        <v>12.067619</v>
      </c>
      <c r="V347" t="n">
        <v>12.067619</v>
      </c>
      <c r="W347" t="n">
        <v>20.990919</v>
      </c>
      <c r="X347" t="n">
        <v>434.828134</v>
      </c>
    </row>
    <row r="348" ht="21" customHeight="1">
      <c r="A348" t="inlineStr">
        <is>
          <t>Makaira</t>
        </is>
      </c>
      <c r="B348" t="n">
        <v>4.47</v>
      </c>
      <c r="C348" t="n">
        <v>2951.209227</v>
      </c>
      <c r="D348" s="11" t="inlineStr">
        <is>
          <t>Unresolved</t>
        </is>
      </c>
    </row>
    <row r="349" ht="21" customHeight="1">
      <c r="A349" t="inlineStr">
        <is>
          <t>Lutjanus bohar</t>
        </is>
      </c>
      <c r="B349" t="n">
        <v>4.27</v>
      </c>
      <c r="C349" t="n">
        <v>1862.087137</v>
      </c>
      <c r="D349" s="11" t="inlineStr">
        <is>
          <t>Snappers</t>
        </is>
      </c>
      <c r="H349" t="n">
        <v>267.052731</v>
      </c>
      <c r="I349" t="n">
        <v>2184.150638</v>
      </c>
      <c r="J349" t="n">
        <v>2277.683197</v>
      </c>
      <c r="K349" t="n">
        <v>2163.799037</v>
      </c>
      <c r="L349" t="n">
        <v>4133.4309</v>
      </c>
      <c r="M349" t="n">
        <v>2817.724532</v>
      </c>
      <c r="N349" t="n">
        <v>2817.724532</v>
      </c>
      <c r="O349" t="n">
        <v>100.301142</v>
      </c>
      <c r="P349" t="n">
        <v>43.53974</v>
      </c>
      <c r="Q349" t="n">
        <v>2817.724532</v>
      </c>
      <c r="R349" t="n">
        <v>2817.724532</v>
      </c>
      <c r="S349" t="n">
        <v>100.301142</v>
      </c>
      <c r="T349" t="n">
        <v>100.301142</v>
      </c>
      <c r="U349" t="n">
        <v>43.53974</v>
      </c>
      <c r="V349" t="n">
        <v>43.53974</v>
      </c>
      <c r="W349" t="n">
        <v>106.305314</v>
      </c>
      <c r="X349" t="n">
        <v>2997.143608</v>
      </c>
    </row>
    <row r="350" ht="36" customHeight="1">
      <c r="A350" t="inlineStr">
        <is>
          <t>Pomadasys argenteus</t>
        </is>
      </c>
      <c r="B350" t="n">
        <v>3.47</v>
      </c>
      <c r="C350" t="n">
        <v>295.120923</v>
      </c>
      <c r="D350" s="11" t="inlineStr">
        <is>
          <t>Juvenile demersal fish (&gt; 30 cm) | Adult demersal fish (&gt; 30 cm)</t>
        </is>
      </c>
      <c r="H350" t="n">
        <v>175.842593</v>
      </c>
      <c r="I350" t="n">
        <v>4469.123499</v>
      </c>
      <c r="J350" t="n">
        <v>4793.322749</v>
      </c>
      <c r="K350" t="n">
        <v>1747.151432</v>
      </c>
      <c r="L350" t="n">
        <v>10677.999207</v>
      </c>
      <c r="M350" t="n">
        <v>7305.602239</v>
      </c>
      <c r="N350" t="n">
        <v>7305.602239</v>
      </c>
      <c r="O350" t="n">
        <v>41.400447</v>
      </c>
      <c r="P350" t="n">
        <v>18.192821</v>
      </c>
      <c r="Q350" t="n">
        <v>7305.602239</v>
      </c>
      <c r="R350" t="n">
        <v>7305.602239</v>
      </c>
      <c r="S350" t="n">
        <v>41.400447</v>
      </c>
      <c r="T350" t="n">
        <v>41.400447</v>
      </c>
      <c r="U350" t="n">
        <v>18.192821</v>
      </c>
      <c r="V350" t="n">
        <v>18.192821</v>
      </c>
      <c r="W350" t="n">
        <v>43.295832</v>
      </c>
      <c r="X350" t="n">
        <v>7878.655066</v>
      </c>
    </row>
    <row r="351" ht="36" customHeight="1">
      <c r="A351" t="inlineStr">
        <is>
          <t>Caranx sexfasciatus</t>
        </is>
      </c>
      <c r="B351" t="n">
        <v>4.5</v>
      </c>
      <c r="C351" t="n">
        <v>3162.27766</v>
      </c>
      <c r="D351" s="11" t="inlineStr">
        <is>
          <t>Juvenile large pelagic fish | Pelagic fish (&gt; 30 cm)</t>
        </is>
      </c>
      <c r="H351" t="n">
        <v>134.939141</v>
      </c>
      <c r="I351" t="n">
        <v>4341.841291</v>
      </c>
      <c r="J351" t="n">
        <v>4398.007385</v>
      </c>
      <c r="K351" t="n">
        <v>1301.694746</v>
      </c>
      <c r="L351" t="n">
        <v>7112.982475</v>
      </c>
      <c r="M351" t="n">
        <v>4967.292392</v>
      </c>
      <c r="N351" t="n">
        <v>4967.292392</v>
      </c>
      <c r="O351" t="n">
        <v>58.311114</v>
      </c>
      <c r="P351" t="n">
        <v>31.032685</v>
      </c>
      <c r="Q351" t="n">
        <v>4967.292392</v>
      </c>
      <c r="R351" t="n">
        <v>4967.292392</v>
      </c>
      <c r="S351" t="n">
        <v>58.311114</v>
      </c>
      <c r="T351" t="n">
        <v>58.311114</v>
      </c>
      <c r="U351" t="n">
        <v>31.032685</v>
      </c>
      <c r="V351" t="n">
        <v>31.032685</v>
      </c>
      <c r="W351" t="n">
        <v>61.724923</v>
      </c>
      <c r="X351" t="n">
        <v>5208.68705</v>
      </c>
    </row>
    <row r="352" ht="21" customHeight="1">
      <c r="A352" t="inlineStr">
        <is>
          <t>Spratelloides</t>
        </is>
      </c>
      <c r="D352" s="11" t="inlineStr">
        <is>
          <t>Pelagic fish (≤ 30 cm)</t>
        </is>
      </c>
      <c r="H352" t="n">
        <v>31.538936</v>
      </c>
      <c r="I352" t="n">
        <v>277.068801</v>
      </c>
      <c r="J352" t="n">
        <v>277.068801</v>
      </c>
      <c r="K352" t="n">
        <v>263.215361</v>
      </c>
      <c r="L352" t="n">
        <v>393.787233</v>
      </c>
      <c r="M352" t="n">
        <v>277.168933</v>
      </c>
      <c r="N352" t="n">
        <v>277.168933</v>
      </c>
      <c r="O352" t="n">
        <v>14.521402</v>
      </c>
      <c r="P352" t="n">
        <v>9.426283</v>
      </c>
      <c r="Q352" t="n">
        <v>277.168933</v>
      </c>
      <c r="R352" t="n">
        <v>277.168933</v>
      </c>
      <c r="S352" t="n">
        <v>14.521402</v>
      </c>
      <c r="T352" t="n">
        <v>14.521402</v>
      </c>
      <c r="U352" t="n">
        <v>9.426283</v>
      </c>
      <c r="V352" t="n">
        <v>9.426283</v>
      </c>
      <c r="W352" t="n">
        <v>15.223157</v>
      </c>
      <c r="X352" t="n">
        <v>285.614997</v>
      </c>
    </row>
    <row r="353" ht="36" customHeight="1">
      <c r="A353" t="inlineStr">
        <is>
          <t>Nibea albiflora</t>
        </is>
      </c>
      <c r="B353" t="n">
        <v>3.5</v>
      </c>
      <c r="C353" t="n">
        <v>316.227766</v>
      </c>
      <c r="D353" s="11" t="inlineStr">
        <is>
          <t>Juvenile large croakers | Croakers (&gt; 30 cm)</t>
        </is>
      </c>
      <c r="H353" t="n">
        <v>186.20618</v>
      </c>
      <c r="I353" t="n">
        <v>2011.85117</v>
      </c>
      <c r="J353" t="n">
        <v>2069.253476</v>
      </c>
      <c r="K353" t="n">
        <v>1211.061254</v>
      </c>
      <c r="L353" t="n">
        <v>3691.420719</v>
      </c>
      <c r="M353" t="n">
        <v>2544.206248</v>
      </c>
      <c r="N353" t="n">
        <v>2544.206248</v>
      </c>
      <c r="O353" t="n">
        <v>52.008808</v>
      </c>
      <c r="P353" t="n">
        <v>24.402038</v>
      </c>
      <c r="Q353" t="n">
        <v>2544.206248</v>
      </c>
      <c r="R353" t="n">
        <v>2544.206248</v>
      </c>
      <c r="S353" t="n">
        <v>52.008808</v>
      </c>
      <c r="T353" t="n">
        <v>52.008808</v>
      </c>
      <c r="U353" t="n">
        <v>24.402038</v>
      </c>
      <c r="V353" t="n">
        <v>24.402038</v>
      </c>
      <c r="W353" t="n">
        <v>54.568994</v>
      </c>
      <c r="X353" t="n">
        <v>2714.954335</v>
      </c>
    </row>
    <row r="354" ht="36" customHeight="1">
      <c r="A354" t="inlineStr">
        <is>
          <t>Bramidae</t>
        </is>
      </c>
      <c r="B354" t="n">
        <v>4.14</v>
      </c>
      <c r="C354" t="n">
        <v>1380.384265</v>
      </c>
      <c r="D354" s="11" t="inlineStr">
        <is>
          <t>Juvenile large pelagic fish | Pelagic fish (&gt; 30 cm)</t>
        </is>
      </c>
      <c r="H354" t="n">
        <v>134.939141</v>
      </c>
      <c r="I354" t="n">
        <v>4341.841291</v>
      </c>
      <c r="J354" t="n">
        <v>4398.007385</v>
      </c>
      <c r="K354" t="n">
        <v>1301.694746</v>
      </c>
      <c r="L354" t="n">
        <v>7112.982475</v>
      </c>
      <c r="M354" t="n">
        <v>4967.292392</v>
      </c>
      <c r="N354" t="n">
        <v>4967.292392</v>
      </c>
      <c r="O354" t="n">
        <v>58.311114</v>
      </c>
      <c r="P354" t="n">
        <v>31.032685</v>
      </c>
      <c r="Q354" t="n">
        <v>4967.292392</v>
      </c>
      <c r="R354" t="n">
        <v>4967.292392</v>
      </c>
      <c r="S354" t="n">
        <v>58.311114</v>
      </c>
      <c r="T354" t="n">
        <v>58.311114</v>
      </c>
      <c r="U354" t="n">
        <v>31.032685</v>
      </c>
      <c r="V354" t="n">
        <v>31.032685</v>
      </c>
      <c r="W354" t="n">
        <v>61.724923</v>
      </c>
      <c r="X354" t="n">
        <v>5208.68705</v>
      </c>
    </row>
    <row r="355" ht="36" customHeight="1">
      <c r="A355" t="inlineStr">
        <is>
          <t>Anguilliformes</t>
        </is>
      </c>
      <c r="B355" t="n">
        <v>3.89</v>
      </c>
      <c r="C355" t="n">
        <v>776.247117</v>
      </c>
      <c r="D355" s="11" t="inlineStr">
        <is>
          <t>Juvenile demersal fish (&gt; 30 cm) | Adult demersal fish (&gt; 30 cm)</t>
        </is>
      </c>
      <c r="H355" t="n">
        <v>175.842593</v>
      </c>
      <c r="I355" t="n">
        <v>4469.123499</v>
      </c>
      <c r="J355" t="n">
        <v>4793.322749</v>
      </c>
      <c r="K355" t="n">
        <v>1747.151432</v>
      </c>
      <c r="L355" t="n">
        <v>10677.999207</v>
      </c>
      <c r="M355" t="n">
        <v>7305.602239</v>
      </c>
      <c r="N355" t="n">
        <v>7305.602239</v>
      </c>
      <c r="O355" t="n">
        <v>41.400447</v>
      </c>
      <c r="P355" t="n">
        <v>18.192821</v>
      </c>
      <c r="Q355" t="n">
        <v>7305.602239</v>
      </c>
      <c r="R355" t="n">
        <v>7305.602239</v>
      </c>
      <c r="S355" t="n">
        <v>41.400447</v>
      </c>
      <c r="T355" t="n">
        <v>41.400447</v>
      </c>
      <c r="U355" t="n">
        <v>18.192821</v>
      </c>
      <c r="V355" t="n">
        <v>18.192821</v>
      </c>
      <c r="W355" t="n">
        <v>43.295832</v>
      </c>
      <c r="X355" t="n">
        <v>7878.655066</v>
      </c>
    </row>
    <row r="356" ht="21" customHeight="1">
      <c r="A356" t="inlineStr">
        <is>
          <t>Crassostrea</t>
        </is>
      </c>
      <c r="D356" s="11" t="inlineStr">
        <is>
          <t>Non-ceph molluscs</t>
        </is>
      </c>
      <c r="H356" t="n">
        <v>5.373346</v>
      </c>
      <c r="I356" t="n">
        <v>57.395403</v>
      </c>
      <c r="J356" t="n">
        <v>57.395403</v>
      </c>
      <c r="K356" t="n">
        <v>21.98244</v>
      </c>
      <c r="L356" t="n">
        <v>92.59366</v>
      </c>
      <c r="M356" t="n">
        <v>61.118924</v>
      </c>
      <c r="N356" t="n">
        <v>61.118924</v>
      </c>
      <c r="O356" t="n">
        <v>1.571536</v>
      </c>
      <c r="P356" t="n">
        <v>1.01605</v>
      </c>
      <c r="Q356" t="n">
        <v>61.118924</v>
      </c>
      <c r="R356" t="n">
        <v>61.118924</v>
      </c>
      <c r="S356" t="n">
        <v>1.571536</v>
      </c>
      <c r="T356" t="n">
        <v>1.571536</v>
      </c>
      <c r="U356" t="n">
        <v>1.01605</v>
      </c>
      <c r="V356" t="n">
        <v>1.01605</v>
      </c>
      <c r="W356" t="n">
        <v>1.626148</v>
      </c>
      <c r="X356" t="n">
        <v>63.787046</v>
      </c>
    </row>
    <row r="357" ht="21" customHeight="1">
      <c r="A357" t="inlineStr">
        <is>
          <t>Hippocampus</t>
        </is>
      </c>
      <c r="B357" t="n">
        <v>3.33</v>
      </c>
      <c r="C357" t="n">
        <v>213.796209</v>
      </c>
      <c r="D357" s="11" t="inlineStr">
        <is>
          <t>Demesral fish (≤ 30 cm)</t>
        </is>
      </c>
      <c r="H357" t="n">
        <v>47.821434</v>
      </c>
      <c r="I357" t="n">
        <v>386.298429</v>
      </c>
      <c r="J357" t="n">
        <v>403.015522</v>
      </c>
      <c r="K357" t="n">
        <v>382.864746</v>
      </c>
      <c r="L357" t="n">
        <v>738.02552</v>
      </c>
      <c r="M357" t="n">
        <v>504.12505</v>
      </c>
      <c r="N357" t="n">
        <v>504.12505</v>
      </c>
      <c r="O357" t="n">
        <v>19.791087</v>
      </c>
      <c r="P357" t="n">
        <v>10.585758</v>
      </c>
      <c r="Q357" t="n">
        <v>504.12505</v>
      </c>
      <c r="R357" t="n">
        <v>504.12505</v>
      </c>
      <c r="S357" t="n">
        <v>19.791087</v>
      </c>
      <c r="T357" t="n">
        <v>19.791087</v>
      </c>
      <c r="U357" t="n">
        <v>10.585758</v>
      </c>
      <c r="V357" t="n">
        <v>10.585758</v>
      </c>
      <c r="W357" t="n">
        <v>20.644284</v>
      </c>
      <c r="X357" t="n">
        <v>528.265792</v>
      </c>
    </row>
    <row r="358" ht="21" customHeight="1">
      <c r="A358" t="inlineStr">
        <is>
          <t>Holothuriidae</t>
        </is>
      </c>
      <c r="D358" s="11" t="inlineStr">
        <is>
          <t>Echinoderms</t>
        </is>
      </c>
      <c r="H358" t="n">
        <v>24.292661</v>
      </c>
      <c r="I358" t="n">
        <v>418.593928</v>
      </c>
      <c r="J358" t="n">
        <v>418.593928</v>
      </c>
      <c r="K358" t="n">
        <v>166.600383</v>
      </c>
      <c r="L358" t="n">
        <v>1080.992157</v>
      </c>
      <c r="M358" t="n">
        <v>753.402512</v>
      </c>
      <c r="N358" t="n">
        <v>753.402512</v>
      </c>
      <c r="O358" t="n">
        <v>10.622481</v>
      </c>
      <c r="P358" t="n">
        <v>5.780752</v>
      </c>
      <c r="Q358" t="n">
        <v>753.402512</v>
      </c>
      <c r="R358" t="n">
        <v>753.402512</v>
      </c>
      <c r="S358" t="n">
        <v>10.622481</v>
      </c>
      <c r="T358" t="n">
        <v>10.622481</v>
      </c>
      <c r="U358" t="n">
        <v>5.780752</v>
      </c>
      <c r="V358" t="n">
        <v>5.780752</v>
      </c>
      <c r="W358" t="n">
        <v>11.036237</v>
      </c>
      <c r="X358" t="n">
        <v>791.2975750000001</v>
      </c>
    </row>
    <row r="359" ht="21" customHeight="1">
      <c r="A359" t="inlineStr">
        <is>
          <t>Isurus oxyrinchus</t>
        </is>
      </c>
      <c r="B359" t="n">
        <v>4.5</v>
      </c>
      <c r="C359" t="n">
        <v>3162.27766</v>
      </c>
      <c r="D359" s="11" t="inlineStr">
        <is>
          <t>Pelagic sharks and rays</t>
        </is>
      </c>
      <c r="H359" t="n">
        <v>477.293407</v>
      </c>
      <c r="I359" t="n">
        <v>86321.834013</v>
      </c>
      <c r="J359" t="n">
        <v>87278.99642</v>
      </c>
      <c r="K359" t="n">
        <v>43639.49821</v>
      </c>
      <c r="L359" t="n">
        <v>172174.15174</v>
      </c>
      <c r="M359" t="n">
        <v>119442.301921</v>
      </c>
      <c r="N359" t="n">
        <v>119442.301921</v>
      </c>
      <c r="O359" t="n">
        <v>130.775511</v>
      </c>
      <c r="P359" t="n">
        <v>57.053814</v>
      </c>
      <c r="Q359" t="n">
        <v>119442.301921</v>
      </c>
      <c r="R359" t="n">
        <v>119442.301921</v>
      </c>
      <c r="S359" t="n">
        <v>130.775511</v>
      </c>
      <c r="T359" t="n">
        <v>130.775511</v>
      </c>
      <c r="U359" t="n">
        <v>57.053814</v>
      </c>
      <c r="V359" t="n">
        <v>57.053814</v>
      </c>
      <c r="W359" t="n">
        <v>139.198598</v>
      </c>
      <c r="X359" t="n">
        <v>127625.763444</v>
      </c>
    </row>
    <row r="360" ht="21" customHeight="1">
      <c r="A360" t="inlineStr">
        <is>
          <t>Amblygaster sirm</t>
        </is>
      </c>
      <c r="B360" t="n">
        <v>3.2</v>
      </c>
      <c r="C360" t="n">
        <v>158.489319</v>
      </c>
      <c r="D360" s="11" t="inlineStr">
        <is>
          <t>Pelagic fish (≤ 30 cm)</t>
        </is>
      </c>
      <c r="H360" t="n">
        <v>31.538936</v>
      </c>
      <c r="I360" t="n">
        <v>277.068801</v>
      </c>
      <c r="J360" t="n">
        <v>277.068801</v>
      </c>
      <c r="K360" t="n">
        <v>263.215361</v>
      </c>
      <c r="L360" t="n">
        <v>393.787233</v>
      </c>
      <c r="M360" t="n">
        <v>277.168933</v>
      </c>
      <c r="N360" t="n">
        <v>277.168933</v>
      </c>
      <c r="O360" t="n">
        <v>14.521402</v>
      </c>
      <c r="P360" t="n">
        <v>9.426283</v>
      </c>
      <c r="Q360" t="n">
        <v>277.168933</v>
      </c>
      <c r="R360" t="n">
        <v>277.168933</v>
      </c>
      <c r="S360" t="n">
        <v>14.521402</v>
      </c>
      <c r="T360" t="n">
        <v>14.521402</v>
      </c>
      <c r="U360" t="n">
        <v>9.426283</v>
      </c>
      <c r="V360" t="n">
        <v>9.426283</v>
      </c>
      <c r="W360" t="n">
        <v>15.223157</v>
      </c>
      <c r="X360" t="n">
        <v>285.614997</v>
      </c>
    </row>
    <row r="361" ht="21" customHeight="1">
      <c r="A361" t="inlineStr">
        <is>
          <t>Lampris guttatus</t>
        </is>
      </c>
      <c r="B361" t="n">
        <v>4.22</v>
      </c>
      <c r="C361" t="n">
        <v>1659.586907</v>
      </c>
      <c r="D361" s="11" t="inlineStr">
        <is>
          <t>Unresolved</t>
        </is>
      </c>
    </row>
    <row r="362" ht="21" customHeight="1">
      <c r="A362" t="inlineStr">
        <is>
          <t>Pectinidae</t>
        </is>
      </c>
      <c r="D362" s="11" t="inlineStr">
        <is>
          <t>Non-ceph molluscs</t>
        </is>
      </c>
      <c r="H362" t="n">
        <v>5.373346</v>
      </c>
      <c r="I362" t="n">
        <v>57.395403</v>
      </c>
      <c r="J362" t="n">
        <v>57.395403</v>
      </c>
      <c r="K362" t="n">
        <v>21.98244</v>
      </c>
      <c r="L362" t="n">
        <v>92.59366</v>
      </c>
      <c r="M362" t="n">
        <v>61.118924</v>
      </c>
      <c r="N362" t="n">
        <v>61.118924</v>
      </c>
      <c r="O362" t="n">
        <v>1.571536</v>
      </c>
      <c r="P362" t="n">
        <v>1.01605</v>
      </c>
      <c r="Q362" t="n">
        <v>61.118924</v>
      </c>
      <c r="R362" t="n">
        <v>61.118924</v>
      </c>
      <c r="S362" t="n">
        <v>1.571536</v>
      </c>
      <c r="T362" t="n">
        <v>1.571536</v>
      </c>
      <c r="U362" t="n">
        <v>1.01605</v>
      </c>
      <c r="V362" t="n">
        <v>1.01605</v>
      </c>
      <c r="W362" t="n">
        <v>1.626148</v>
      </c>
      <c r="X362" t="n">
        <v>63.787046</v>
      </c>
    </row>
    <row r="363" ht="36" customHeight="1">
      <c r="A363" t="inlineStr">
        <is>
          <t>Gymnosarda unicolor</t>
        </is>
      </c>
      <c r="B363" t="n">
        <v>4.5</v>
      </c>
      <c r="C363" t="n">
        <v>3162.27766</v>
      </c>
      <c r="D363" s="11" t="inlineStr">
        <is>
          <t>Juvenile large pelagic fish | Pelagic fish (&gt; 30 cm)</t>
        </is>
      </c>
      <c r="H363" t="n">
        <v>134.939141</v>
      </c>
      <c r="I363" t="n">
        <v>4341.841291</v>
      </c>
      <c r="J363" t="n">
        <v>4398.007385</v>
      </c>
      <c r="K363" t="n">
        <v>1301.694746</v>
      </c>
      <c r="L363" t="n">
        <v>7112.982475</v>
      </c>
      <c r="M363" t="n">
        <v>4967.292392</v>
      </c>
      <c r="N363" t="n">
        <v>4967.292392</v>
      </c>
      <c r="O363" t="n">
        <v>58.311114</v>
      </c>
      <c r="P363" t="n">
        <v>31.032685</v>
      </c>
      <c r="Q363" t="n">
        <v>4967.292392</v>
      </c>
      <c r="R363" t="n">
        <v>4967.292392</v>
      </c>
      <c r="S363" t="n">
        <v>58.311114</v>
      </c>
      <c r="T363" t="n">
        <v>58.311114</v>
      </c>
      <c r="U363" t="n">
        <v>31.032685</v>
      </c>
      <c r="V363" t="n">
        <v>31.032685</v>
      </c>
      <c r="W363" t="n">
        <v>61.724923</v>
      </c>
      <c r="X363" t="n">
        <v>5208.68705</v>
      </c>
    </row>
    <row r="364" ht="36" customHeight="1">
      <c r="A364" t="inlineStr">
        <is>
          <t>Tenualosa toli</t>
        </is>
      </c>
      <c r="D364" s="11" t="inlineStr">
        <is>
          <t>Juvenile large pelagic fish | Pelagic fish (&gt; 30 cm)</t>
        </is>
      </c>
      <c r="H364" t="n">
        <v>134.939141</v>
      </c>
      <c r="I364" t="n">
        <v>4341.841291</v>
      </c>
      <c r="J364" t="n">
        <v>4398.007385</v>
      </c>
      <c r="K364" t="n">
        <v>1301.694746</v>
      </c>
      <c r="L364" t="n">
        <v>7112.982475</v>
      </c>
      <c r="M364" t="n">
        <v>4967.292392</v>
      </c>
      <c r="N364" t="n">
        <v>4967.292392</v>
      </c>
      <c r="O364" t="n">
        <v>58.311114</v>
      </c>
      <c r="P364" t="n">
        <v>31.032685</v>
      </c>
      <c r="Q364" t="n">
        <v>4967.292392</v>
      </c>
      <c r="R364" t="n">
        <v>4967.292392</v>
      </c>
      <c r="S364" t="n">
        <v>58.311114</v>
      </c>
      <c r="T364" t="n">
        <v>58.311114</v>
      </c>
      <c r="U364" t="n">
        <v>31.032685</v>
      </c>
      <c r="V364" t="n">
        <v>31.032685</v>
      </c>
      <c r="W364" t="n">
        <v>61.724923</v>
      </c>
      <c r="X364" t="n">
        <v>5208.68705</v>
      </c>
    </row>
    <row r="365" ht="21" customHeight="1">
      <c r="A365" t="inlineStr">
        <is>
          <t>Sphyrna</t>
        </is>
      </c>
      <c r="B365" t="n">
        <v>4.2</v>
      </c>
      <c r="C365" t="n">
        <v>1584.893192</v>
      </c>
      <c r="D365" s="11" t="inlineStr">
        <is>
          <t>Pelagic sharks and rays</t>
        </is>
      </c>
      <c r="H365" t="n">
        <v>477.293407</v>
      </c>
      <c r="I365" t="n">
        <v>86321.834013</v>
      </c>
      <c r="J365" t="n">
        <v>87278.99642</v>
      </c>
      <c r="K365" t="n">
        <v>43639.49821</v>
      </c>
      <c r="L365" t="n">
        <v>172174.15174</v>
      </c>
      <c r="M365" t="n">
        <v>119442.301921</v>
      </c>
      <c r="N365" t="n">
        <v>119442.301921</v>
      </c>
      <c r="O365" t="n">
        <v>130.775511</v>
      </c>
      <c r="P365" t="n">
        <v>57.053814</v>
      </c>
      <c r="Q365" t="n">
        <v>119442.301921</v>
      </c>
      <c r="R365" t="n">
        <v>119442.301921</v>
      </c>
      <c r="S365" t="n">
        <v>130.775511</v>
      </c>
      <c r="T365" t="n">
        <v>130.775511</v>
      </c>
      <c r="U365" t="n">
        <v>57.053814</v>
      </c>
      <c r="V365" t="n">
        <v>57.053814</v>
      </c>
      <c r="W365" t="n">
        <v>139.198598</v>
      </c>
      <c r="X365" t="n">
        <v>127625.763444</v>
      </c>
    </row>
    <row r="366" ht="21" customHeight="1">
      <c r="A366" t="inlineStr">
        <is>
          <t>Ostreidae</t>
        </is>
      </c>
      <c r="B366" t="n">
        <v>2</v>
      </c>
      <c r="C366" t="n">
        <v>10</v>
      </c>
      <c r="D366" s="11" t="inlineStr">
        <is>
          <t>Non-ceph molluscs</t>
        </is>
      </c>
      <c r="H366" t="n">
        <v>5.373346</v>
      </c>
      <c r="I366" t="n">
        <v>57.395403</v>
      </c>
      <c r="J366" t="n">
        <v>57.395403</v>
      </c>
      <c r="K366" t="n">
        <v>21.98244</v>
      </c>
      <c r="L366" t="n">
        <v>92.59366</v>
      </c>
      <c r="M366" t="n">
        <v>61.118924</v>
      </c>
      <c r="N366" t="n">
        <v>61.118924</v>
      </c>
      <c r="O366" t="n">
        <v>1.571536</v>
      </c>
      <c r="P366" t="n">
        <v>1.01605</v>
      </c>
      <c r="Q366" t="n">
        <v>61.118924</v>
      </c>
      <c r="R366" t="n">
        <v>61.118924</v>
      </c>
      <c r="S366" t="n">
        <v>1.571536</v>
      </c>
      <c r="T366" t="n">
        <v>1.571536</v>
      </c>
      <c r="U366" t="n">
        <v>1.01605</v>
      </c>
      <c r="V366" t="n">
        <v>1.01605</v>
      </c>
      <c r="W366" t="n">
        <v>1.626148</v>
      </c>
      <c r="X366" t="n">
        <v>63.787046</v>
      </c>
    </row>
    <row r="367" ht="21" customHeight="1">
      <c r="A367" t="inlineStr">
        <is>
          <t>Tripneustes gratilla</t>
        </is>
      </c>
      <c r="B367" t="n">
        <v>2</v>
      </c>
      <c r="C367" t="n">
        <v>10</v>
      </c>
      <c r="D367" s="11" t="inlineStr">
        <is>
          <t>Echinoderms</t>
        </is>
      </c>
      <c r="H367" t="n">
        <v>24.292661</v>
      </c>
      <c r="I367" t="n">
        <v>418.593928</v>
      </c>
      <c r="J367" t="n">
        <v>418.593928</v>
      </c>
      <c r="K367" t="n">
        <v>166.600383</v>
      </c>
      <c r="L367" t="n">
        <v>1080.992157</v>
      </c>
      <c r="M367" t="n">
        <v>753.402512</v>
      </c>
      <c r="N367" t="n">
        <v>753.402512</v>
      </c>
      <c r="O367" t="n">
        <v>10.622481</v>
      </c>
      <c r="P367" t="n">
        <v>5.780752</v>
      </c>
      <c r="Q367" t="n">
        <v>753.402512</v>
      </c>
      <c r="R367" t="n">
        <v>753.402512</v>
      </c>
      <c r="S367" t="n">
        <v>10.622481</v>
      </c>
      <c r="T367" t="n">
        <v>10.622481</v>
      </c>
      <c r="U367" t="n">
        <v>5.780752</v>
      </c>
      <c r="V367" t="n">
        <v>5.780752</v>
      </c>
      <c r="W367" t="n">
        <v>11.036237</v>
      </c>
      <c r="X367" t="n">
        <v>791.2975750000001</v>
      </c>
    </row>
    <row r="368" ht="21" customHeight="1">
      <c r="A368" t="inlineStr">
        <is>
          <t>Lutjanus argentimaculatus</t>
        </is>
      </c>
      <c r="D368" s="11" t="inlineStr">
        <is>
          <t>Snappers</t>
        </is>
      </c>
      <c r="H368" t="n">
        <v>267.052731</v>
      </c>
      <c r="I368" t="n">
        <v>2184.150638</v>
      </c>
      <c r="J368" t="n">
        <v>2277.683197</v>
      </c>
      <c r="K368" t="n">
        <v>2163.799037</v>
      </c>
      <c r="L368" t="n">
        <v>4133.4309</v>
      </c>
      <c r="M368" t="n">
        <v>2817.724532</v>
      </c>
      <c r="N368" t="n">
        <v>2817.724532</v>
      </c>
      <c r="O368" t="n">
        <v>100.301142</v>
      </c>
      <c r="P368" t="n">
        <v>43.53974</v>
      </c>
      <c r="Q368" t="n">
        <v>2817.724532</v>
      </c>
      <c r="R368" t="n">
        <v>2817.724532</v>
      </c>
      <c r="S368" t="n">
        <v>100.301142</v>
      </c>
      <c r="T368" t="n">
        <v>100.301142</v>
      </c>
      <c r="U368" t="n">
        <v>43.53974</v>
      </c>
      <c r="V368" t="n">
        <v>43.53974</v>
      </c>
      <c r="W368" t="n">
        <v>106.305314</v>
      </c>
      <c r="X368" t="n">
        <v>2997.143608</v>
      </c>
    </row>
    <row r="369" ht="36" customHeight="1">
      <c r="A369" t="inlineStr">
        <is>
          <t>Pomatomus saltatrix</t>
        </is>
      </c>
      <c r="B369" t="n">
        <v>4.53</v>
      </c>
      <c r="C369" t="n">
        <v>3388.441561</v>
      </c>
      <c r="D369" s="11" t="inlineStr">
        <is>
          <t>Juvenile large pelagic fish | Pelagic fish (&gt; 30 cm)</t>
        </is>
      </c>
      <c r="H369" t="n">
        <v>134.939141</v>
      </c>
      <c r="I369" t="n">
        <v>4341.841291</v>
      </c>
      <c r="J369" t="n">
        <v>4398.007385</v>
      </c>
      <c r="K369" t="n">
        <v>1301.694746</v>
      </c>
      <c r="L369" t="n">
        <v>7112.982475</v>
      </c>
      <c r="M369" t="n">
        <v>4967.292392</v>
      </c>
      <c r="N369" t="n">
        <v>4967.292392</v>
      </c>
      <c r="O369" t="n">
        <v>58.311114</v>
      </c>
      <c r="P369" t="n">
        <v>31.032685</v>
      </c>
      <c r="Q369" t="n">
        <v>4967.292392</v>
      </c>
      <c r="R369" t="n">
        <v>4967.292392</v>
      </c>
      <c r="S369" t="n">
        <v>58.311114</v>
      </c>
      <c r="T369" t="n">
        <v>58.311114</v>
      </c>
      <c r="U369" t="n">
        <v>31.032685</v>
      </c>
      <c r="V369" t="n">
        <v>31.032685</v>
      </c>
      <c r="W369" t="n">
        <v>61.724923</v>
      </c>
      <c r="X369" t="n">
        <v>5208.68705</v>
      </c>
    </row>
    <row r="370" ht="36" customHeight="1">
      <c r="A370" t="inlineStr">
        <is>
          <t>Sphyraena jello</t>
        </is>
      </c>
      <c r="B370" t="n">
        <v>4.5</v>
      </c>
      <c r="C370" t="n">
        <v>3162.27766</v>
      </c>
      <c r="D370" s="11" t="inlineStr">
        <is>
          <t>Juvenile large pelagic fish | Pelagic fish (&gt; 30 cm)</t>
        </is>
      </c>
      <c r="H370" t="n">
        <v>134.939141</v>
      </c>
      <c r="I370" t="n">
        <v>4341.841291</v>
      </c>
      <c r="J370" t="n">
        <v>4398.007385</v>
      </c>
      <c r="K370" t="n">
        <v>1301.694746</v>
      </c>
      <c r="L370" t="n">
        <v>7112.982475</v>
      </c>
      <c r="M370" t="n">
        <v>4967.292392</v>
      </c>
      <c r="N370" t="n">
        <v>4967.292392</v>
      </c>
      <c r="O370" t="n">
        <v>58.311114</v>
      </c>
      <c r="P370" t="n">
        <v>31.032685</v>
      </c>
      <c r="Q370" t="n">
        <v>4967.292392</v>
      </c>
      <c r="R370" t="n">
        <v>4967.292392</v>
      </c>
      <c r="S370" t="n">
        <v>58.311114</v>
      </c>
      <c r="T370" t="n">
        <v>58.311114</v>
      </c>
      <c r="U370" t="n">
        <v>31.032685</v>
      </c>
      <c r="V370" t="n">
        <v>31.032685</v>
      </c>
      <c r="W370" t="n">
        <v>61.724923</v>
      </c>
      <c r="X370" t="n">
        <v>5208.68705</v>
      </c>
    </row>
    <row r="371" ht="21" customHeight="1">
      <c r="A371" t="inlineStr">
        <is>
          <t>Echinozoa</t>
        </is>
      </c>
      <c r="D371" s="11" t="inlineStr">
        <is>
          <t>Echinoderms</t>
        </is>
      </c>
      <c r="H371" t="n">
        <v>24.292661</v>
      </c>
      <c r="I371" t="n">
        <v>418.593928</v>
      </c>
      <c r="J371" t="n">
        <v>418.593928</v>
      </c>
      <c r="K371" t="n">
        <v>166.600383</v>
      </c>
      <c r="L371" t="n">
        <v>1080.992157</v>
      </c>
      <c r="M371" t="n">
        <v>753.402512</v>
      </c>
      <c r="N371" t="n">
        <v>753.402512</v>
      </c>
      <c r="O371" t="n">
        <v>10.622481</v>
      </c>
      <c r="P371" t="n">
        <v>5.780752</v>
      </c>
      <c r="Q371" t="n">
        <v>753.402512</v>
      </c>
      <c r="R371" t="n">
        <v>753.402512</v>
      </c>
      <c r="S371" t="n">
        <v>10.622481</v>
      </c>
      <c r="T371" t="n">
        <v>10.622481</v>
      </c>
      <c r="U371" t="n">
        <v>5.780752</v>
      </c>
      <c r="V371" t="n">
        <v>5.780752</v>
      </c>
      <c r="W371" t="n">
        <v>11.036237</v>
      </c>
      <c r="X371" t="n">
        <v>791.2975750000001</v>
      </c>
    </row>
    <row r="372" ht="21" customHeight="1">
      <c r="A372" t="inlineStr">
        <is>
          <t>Tetrapturus angustirostris</t>
        </is>
      </c>
      <c r="D372" s="11" t="inlineStr">
        <is>
          <t>Unresolved</t>
        </is>
      </c>
    </row>
    <row r="373" ht="21" customHeight="1">
      <c r="A373" t="inlineStr">
        <is>
          <t>Sphyrna lewini</t>
        </is>
      </c>
      <c r="D373" s="11" t="inlineStr">
        <is>
          <t>Pelagic sharks and rays</t>
        </is>
      </c>
      <c r="H373" t="n">
        <v>477.293407</v>
      </c>
      <c r="I373" t="n">
        <v>86321.834013</v>
      </c>
      <c r="J373" t="n">
        <v>87278.99642</v>
      </c>
      <c r="K373" t="n">
        <v>43639.49821</v>
      </c>
      <c r="L373" t="n">
        <v>172174.15174</v>
      </c>
      <c r="M373" t="n">
        <v>119442.301921</v>
      </c>
      <c r="N373" t="n">
        <v>119442.301921</v>
      </c>
      <c r="O373" t="n">
        <v>130.775511</v>
      </c>
      <c r="P373" t="n">
        <v>57.053814</v>
      </c>
      <c r="Q373" t="n">
        <v>119442.301921</v>
      </c>
      <c r="R373" t="n">
        <v>119442.301921</v>
      </c>
      <c r="S373" t="n">
        <v>130.775511</v>
      </c>
      <c r="T373" t="n">
        <v>130.775511</v>
      </c>
      <c r="U373" t="n">
        <v>57.053814</v>
      </c>
      <c r="V373" t="n">
        <v>57.053814</v>
      </c>
      <c r="W373" t="n">
        <v>139.198598</v>
      </c>
      <c r="X373" t="n">
        <v>127625.763444</v>
      </c>
    </row>
    <row r="374" ht="21" customHeight="1">
      <c r="A374" t="inlineStr">
        <is>
          <t>Trochus niloticus</t>
        </is>
      </c>
      <c r="D374" s="11" t="inlineStr">
        <is>
          <t>Non-ceph molluscs</t>
        </is>
      </c>
      <c r="H374" t="n">
        <v>5.373346</v>
      </c>
      <c r="I374" t="n">
        <v>57.395403</v>
      </c>
      <c r="J374" t="n">
        <v>57.395403</v>
      </c>
      <c r="K374" t="n">
        <v>21.98244</v>
      </c>
      <c r="L374" t="n">
        <v>92.59366</v>
      </c>
      <c r="M374" t="n">
        <v>61.118924</v>
      </c>
      <c r="N374" t="n">
        <v>61.118924</v>
      </c>
      <c r="O374" t="n">
        <v>1.571536</v>
      </c>
      <c r="P374" t="n">
        <v>1.01605</v>
      </c>
      <c r="Q374" t="n">
        <v>61.118924</v>
      </c>
      <c r="R374" t="n">
        <v>61.118924</v>
      </c>
      <c r="S374" t="n">
        <v>1.571536</v>
      </c>
      <c r="T374" t="n">
        <v>1.571536</v>
      </c>
      <c r="U374" t="n">
        <v>1.01605</v>
      </c>
      <c r="V374" t="n">
        <v>1.01605</v>
      </c>
      <c r="W374" t="n">
        <v>1.626148</v>
      </c>
      <c r="X374" t="n">
        <v>63.787046</v>
      </c>
    </row>
    <row r="375" ht="21" customHeight="1">
      <c r="A375" t="inlineStr">
        <is>
          <t>Holothuroidea</t>
        </is>
      </c>
      <c r="D375" s="11" t="inlineStr">
        <is>
          <t>Echinoderms</t>
        </is>
      </c>
      <c r="H375" t="n">
        <v>24.292661</v>
      </c>
      <c r="I375" t="n">
        <v>418.593928</v>
      </c>
      <c r="J375" t="n">
        <v>418.593928</v>
      </c>
      <c r="K375" t="n">
        <v>166.600383</v>
      </c>
      <c r="L375" t="n">
        <v>1080.992157</v>
      </c>
      <c r="M375" t="n">
        <v>753.402512</v>
      </c>
      <c r="N375" t="n">
        <v>753.402512</v>
      </c>
      <c r="O375" t="n">
        <v>10.622481</v>
      </c>
      <c r="P375" t="n">
        <v>5.780752</v>
      </c>
      <c r="Q375" t="n">
        <v>753.402512</v>
      </c>
      <c r="R375" t="n">
        <v>753.402512</v>
      </c>
      <c r="S375" t="n">
        <v>10.622481</v>
      </c>
      <c r="T375" t="n">
        <v>10.622481</v>
      </c>
      <c r="U375" t="n">
        <v>5.780752</v>
      </c>
      <c r="V375" t="n">
        <v>5.780752</v>
      </c>
      <c r="W375" t="n">
        <v>11.036237</v>
      </c>
      <c r="X375" t="n">
        <v>791.2975750000001</v>
      </c>
    </row>
    <row r="376" ht="21" customHeight="1">
      <c r="A376" t="inlineStr">
        <is>
          <t>Pinctada</t>
        </is>
      </c>
      <c r="D376" s="11" t="inlineStr">
        <is>
          <t>Non-ceph molluscs</t>
        </is>
      </c>
      <c r="H376" t="n">
        <v>5.373346</v>
      </c>
      <c r="I376" t="n">
        <v>57.395403</v>
      </c>
      <c r="J376" t="n">
        <v>57.395403</v>
      </c>
      <c r="K376" t="n">
        <v>21.98244</v>
      </c>
      <c r="L376" t="n">
        <v>92.59366</v>
      </c>
      <c r="M376" t="n">
        <v>61.118924</v>
      </c>
      <c r="N376" t="n">
        <v>61.118924</v>
      </c>
      <c r="O376" t="n">
        <v>1.571536</v>
      </c>
      <c r="P376" t="n">
        <v>1.01605</v>
      </c>
      <c r="Q376" t="n">
        <v>61.118924</v>
      </c>
      <c r="R376" t="n">
        <v>61.118924</v>
      </c>
      <c r="S376" t="n">
        <v>1.571536</v>
      </c>
      <c r="T376" t="n">
        <v>1.571536</v>
      </c>
      <c r="U376" t="n">
        <v>1.01605</v>
      </c>
      <c r="V376" t="n">
        <v>1.01605</v>
      </c>
      <c r="W376" t="n">
        <v>1.626148</v>
      </c>
      <c r="X376" t="n">
        <v>63.787046</v>
      </c>
    </row>
    <row r="377" ht="21" customHeight="1">
      <c r="A377" t="inlineStr">
        <is>
          <t>Carcharhinus amblyrhynchos</t>
        </is>
      </c>
      <c r="D377" s="11" t="inlineStr">
        <is>
          <t>Demersal sharks and rays</t>
        </is>
      </c>
      <c r="H377" t="n">
        <v>265.296573</v>
      </c>
      <c r="I377" t="n">
        <v>7268.387336</v>
      </c>
      <c r="J377" t="n">
        <v>7315.723404</v>
      </c>
      <c r="K377" t="n">
        <v>2662.923319</v>
      </c>
      <c r="L377" t="n">
        <v>18846.946222</v>
      </c>
      <c r="M377" t="n">
        <v>12899.244148</v>
      </c>
      <c r="N377" t="n">
        <v>12899.244148</v>
      </c>
      <c r="O377" t="n">
        <v>58.377455</v>
      </c>
      <c r="P377" t="n">
        <v>24.766119</v>
      </c>
      <c r="Q377" t="n">
        <v>12899.244148</v>
      </c>
      <c r="R377" t="n">
        <v>12899.244148</v>
      </c>
      <c r="S377" t="n">
        <v>58.377455</v>
      </c>
      <c r="T377" t="n">
        <v>58.377455</v>
      </c>
      <c r="U377" t="n">
        <v>24.766119</v>
      </c>
      <c r="V377" t="n">
        <v>24.766119</v>
      </c>
      <c r="W377" t="n">
        <v>61.462709</v>
      </c>
      <c r="X377" t="n">
        <v>13974.158015</v>
      </c>
    </row>
    <row r="378" ht="21" customHeight="1">
      <c r="A378" t="inlineStr">
        <is>
          <t>Sphyrnidae</t>
        </is>
      </c>
      <c r="D378" s="11" t="inlineStr">
        <is>
          <t>Pelagic sharks and rays</t>
        </is>
      </c>
      <c r="H378" t="n">
        <v>477.293407</v>
      </c>
      <c r="I378" t="n">
        <v>86321.834013</v>
      </c>
      <c r="J378" t="n">
        <v>87278.99642</v>
      </c>
      <c r="K378" t="n">
        <v>43639.49821</v>
      </c>
      <c r="L378" t="n">
        <v>172174.15174</v>
      </c>
      <c r="M378" t="n">
        <v>119442.301921</v>
      </c>
      <c r="N378" t="n">
        <v>119442.301921</v>
      </c>
      <c r="O378" t="n">
        <v>130.775511</v>
      </c>
      <c r="P378" t="n">
        <v>57.053814</v>
      </c>
      <c r="Q378" t="n">
        <v>119442.301921</v>
      </c>
      <c r="R378" t="n">
        <v>119442.301921</v>
      </c>
      <c r="S378" t="n">
        <v>130.775511</v>
      </c>
      <c r="T378" t="n">
        <v>130.775511</v>
      </c>
      <c r="U378" t="n">
        <v>57.053814</v>
      </c>
      <c r="V378" t="n">
        <v>57.053814</v>
      </c>
      <c r="W378" t="n">
        <v>139.198598</v>
      </c>
      <c r="X378" t="n">
        <v>127625.763444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T3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6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1" t="inlineStr">
        <is>
          <t>Total PPR by method and year — every taxon summed, tonnes wet weight equivalent of primary production.</t>
        </is>
      </c>
    </row>
    <row r="2">
      <c r="A2" t="inlineStr">
        <is>
          <t>Primary producers only; excludes detritus and imports. The simple chain rows are unpartitioned references; model rows use this scope.</t>
        </is>
      </c>
    </row>
    <row r="3">
      <c r="A3" t="inlineStr">
        <is>
          <t>Methods are not alternatives to be averaged. They rest on different assumptions and the spread between them is the result.</t>
        </is>
      </c>
    </row>
    <row r="4">
      <c r="A4" t="inlineStr">
        <is>
          <t>The two grey rows aggregate the catch to a group before exponentiating, which understates the total: SPPR is convex in trophic level, so they measure the Jensen effect rather than the PPR.</t>
        </is>
      </c>
    </row>
    <row r="5">
      <c r="A5" s="4" t="inlineStr">
        <is>
          <t>method</t>
        </is>
      </c>
      <c r="B5" s="4" t="inlineStr">
        <is>
          <t>status</t>
        </is>
      </c>
      <c r="C5" s="4" t="n">
        <v>1950</v>
      </c>
      <c r="D5" s="4" t="n">
        <v>1951</v>
      </c>
      <c r="E5" s="4" t="n">
        <v>1952</v>
      </c>
      <c r="F5" s="4" t="n">
        <v>1953</v>
      </c>
      <c r="G5" s="4" t="n">
        <v>1954</v>
      </c>
      <c r="H5" s="4" t="n">
        <v>1955</v>
      </c>
      <c r="I5" s="4" t="n">
        <v>1956</v>
      </c>
      <c r="J5" s="4" t="n">
        <v>1957</v>
      </c>
      <c r="K5" s="4" t="n">
        <v>1958</v>
      </c>
      <c r="L5" s="4" t="n">
        <v>1959</v>
      </c>
      <c r="M5" s="4" t="n">
        <v>1960</v>
      </c>
      <c r="N5" s="4" t="n">
        <v>1961</v>
      </c>
      <c r="O5" s="4" t="n">
        <v>1962</v>
      </c>
      <c r="P5" s="4" t="n">
        <v>1963</v>
      </c>
      <c r="Q5" s="4" t="n">
        <v>1964</v>
      </c>
      <c r="R5" s="4" t="n">
        <v>1965</v>
      </c>
      <c r="S5" s="4" t="n">
        <v>1966</v>
      </c>
      <c r="T5" s="4" t="n">
        <v>1967</v>
      </c>
      <c r="U5" s="4" t="n">
        <v>1968</v>
      </c>
      <c r="V5" s="4" t="n">
        <v>1969</v>
      </c>
      <c r="W5" s="4" t="n">
        <v>1970</v>
      </c>
      <c r="X5" s="4" t="n">
        <v>1971</v>
      </c>
      <c r="Y5" s="4" t="n">
        <v>1972</v>
      </c>
      <c r="Z5" s="4" t="n">
        <v>1973</v>
      </c>
      <c r="AA5" s="4" t="n">
        <v>1974</v>
      </c>
      <c r="AB5" s="4" t="n">
        <v>1975</v>
      </c>
      <c r="AC5" s="4" t="n">
        <v>1976</v>
      </c>
      <c r="AD5" s="4" t="n">
        <v>1977</v>
      </c>
      <c r="AE5" s="4" t="n">
        <v>1978</v>
      </c>
      <c r="AF5" s="4" t="n">
        <v>1979</v>
      </c>
      <c r="AG5" s="4" t="n">
        <v>1980</v>
      </c>
      <c r="AH5" s="4" t="n">
        <v>1981</v>
      </c>
      <c r="AI5" s="4" t="n">
        <v>1982</v>
      </c>
      <c r="AJ5" s="4" t="n">
        <v>1983</v>
      </c>
      <c r="AK5" s="4" t="n">
        <v>1984</v>
      </c>
      <c r="AL5" s="4" t="n">
        <v>1985</v>
      </c>
      <c r="AM5" s="4" t="n">
        <v>1986</v>
      </c>
      <c r="AN5" s="4" t="n">
        <v>1987</v>
      </c>
      <c r="AO5" s="4" t="n">
        <v>1988</v>
      </c>
      <c r="AP5" s="4" t="n">
        <v>1989</v>
      </c>
      <c r="AQ5" s="4" t="n">
        <v>1990</v>
      </c>
      <c r="AR5" s="4" t="n">
        <v>1991</v>
      </c>
      <c r="AS5" s="4" t="n">
        <v>1992</v>
      </c>
      <c r="AT5" s="4" t="n">
        <v>1993</v>
      </c>
      <c r="AU5" s="4" t="n">
        <v>1994</v>
      </c>
      <c r="AV5" s="4" t="n">
        <v>1995</v>
      </c>
      <c r="AW5" s="4" t="n">
        <v>1996</v>
      </c>
      <c r="AX5" s="4" t="n">
        <v>1997</v>
      </c>
      <c r="AY5" s="4" t="n">
        <v>1998</v>
      </c>
      <c r="AZ5" s="4" t="n">
        <v>1999</v>
      </c>
      <c r="BA5" s="4" t="n">
        <v>2000</v>
      </c>
      <c r="BB5" s="4" t="n">
        <v>2001</v>
      </c>
      <c r="BC5" s="4" t="n">
        <v>2002</v>
      </c>
      <c r="BD5" s="4" t="n">
        <v>2003</v>
      </c>
      <c r="BE5" s="4" t="n">
        <v>2004</v>
      </c>
      <c r="BF5" s="4" t="n">
        <v>2005</v>
      </c>
      <c r="BG5" s="4" t="n">
        <v>2006</v>
      </c>
      <c r="BH5" s="4" t="n">
        <v>2007</v>
      </c>
      <c r="BI5" s="4" t="n">
        <v>2008</v>
      </c>
      <c r="BJ5" s="4" t="n">
        <v>2009</v>
      </c>
      <c r="BK5" s="4" t="n">
        <v>2010</v>
      </c>
      <c r="BL5" s="4" t="n">
        <v>2011</v>
      </c>
      <c r="BM5" s="4" t="n">
        <v>2012</v>
      </c>
      <c r="BN5" s="4" t="n">
        <v>2013</v>
      </c>
      <c r="BO5" s="4" t="n">
        <v>2014</v>
      </c>
      <c r="BP5" s="4" t="n">
        <v>2015</v>
      </c>
      <c r="BQ5" s="4" t="n">
        <v>2016</v>
      </c>
      <c r="BR5" s="4" t="n">
        <v>2017</v>
      </c>
      <c r="BS5" s="4" t="n">
        <v>2018</v>
      </c>
      <c r="BT5" s="4" t="n">
        <v>2019</v>
      </c>
    </row>
    <row r="6">
      <c r="A6" s="3" t="inlineStr">
        <is>
          <t>simple trophic chain, per taxon</t>
        </is>
      </c>
      <c r="B6" t="inlineStr">
        <is>
          <t>ok</t>
        </is>
      </c>
      <c r="C6" t="n">
        <v>529201121.408</v>
      </c>
      <c r="D6" t="n">
        <v>671908727.003</v>
      </c>
      <c r="E6" t="n">
        <v>809476842.367</v>
      </c>
      <c r="F6" t="n">
        <v>823020425.451</v>
      </c>
      <c r="G6" t="n">
        <v>1066341433.782</v>
      </c>
      <c r="H6" t="n">
        <v>1291769291.911</v>
      </c>
      <c r="I6" t="n">
        <v>1410283387.042</v>
      </c>
      <c r="J6" t="n">
        <v>1410658519.899</v>
      </c>
      <c r="K6" t="n">
        <v>1442459390.052</v>
      </c>
      <c r="L6" t="n">
        <v>1582528198.463</v>
      </c>
      <c r="M6" t="n">
        <v>1744051142.508</v>
      </c>
      <c r="N6" t="n">
        <v>1704972049.741</v>
      </c>
      <c r="O6" t="n">
        <v>1871921089.826</v>
      </c>
      <c r="P6" t="n">
        <v>2012519229.388</v>
      </c>
      <c r="Q6" t="n">
        <v>2021690999.084</v>
      </c>
      <c r="R6" t="n">
        <v>2140043508.014</v>
      </c>
      <c r="S6" t="n">
        <v>2201497309.604</v>
      </c>
      <c r="T6" t="n">
        <v>2207225976.168</v>
      </c>
      <c r="U6" t="n">
        <v>2274005904.799</v>
      </c>
      <c r="V6" t="n">
        <v>2254954379.378</v>
      </c>
      <c r="W6" t="n">
        <v>2183640185.353</v>
      </c>
      <c r="X6" t="n">
        <v>2258568174.156</v>
      </c>
      <c r="Y6" t="n">
        <v>2456380945.333</v>
      </c>
      <c r="Z6" t="n">
        <v>2623704166.609</v>
      </c>
      <c r="AA6" t="n">
        <v>2632179468.044</v>
      </c>
      <c r="AB6" t="n">
        <v>2585898633.144</v>
      </c>
      <c r="AC6" t="n">
        <v>2584707409.545</v>
      </c>
      <c r="AD6" t="n">
        <v>2600006598.381</v>
      </c>
      <c r="AE6" t="n">
        <v>2475430599.232</v>
      </c>
      <c r="AF6" t="n">
        <v>2648685511.595</v>
      </c>
      <c r="AG6" t="n">
        <v>2583552999.876</v>
      </c>
      <c r="AH6" t="n">
        <v>2698533692.361</v>
      </c>
      <c r="AI6" t="n">
        <v>2856220420.731</v>
      </c>
      <c r="AJ6" t="n">
        <v>2970787071.719</v>
      </c>
      <c r="AK6" t="n">
        <v>3009747423.799</v>
      </c>
      <c r="AL6" t="n">
        <v>3058991582.644</v>
      </c>
      <c r="AM6" t="n">
        <v>3144725004.555</v>
      </c>
      <c r="AN6" t="n">
        <v>3277813240.519</v>
      </c>
      <c r="AO6" t="n">
        <v>3384829112.511</v>
      </c>
      <c r="AP6" t="n">
        <v>3547193273.059</v>
      </c>
      <c r="AQ6" t="n">
        <v>3829433702.847</v>
      </c>
      <c r="AR6" t="n">
        <v>4118840962.499</v>
      </c>
      <c r="AS6" t="n">
        <v>4344567911.978</v>
      </c>
      <c r="AT6" t="n">
        <v>4270965924.346</v>
      </c>
      <c r="AU6" t="n">
        <v>5032726638.098</v>
      </c>
      <c r="AV6" t="n">
        <v>5514843622.143</v>
      </c>
      <c r="AW6" t="n">
        <v>6135156638.927</v>
      </c>
      <c r="AX6" t="n">
        <v>6159835614.401</v>
      </c>
      <c r="AY6" t="n">
        <v>6424693700.808</v>
      </c>
      <c r="AZ6" t="n">
        <v>6298431019.347</v>
      </c>
      <c r="BA6" t="n">
        <v>6084812039.217</v>
      </c>
      <c r="BB6" t="n">
        <v>6396671197.315</v>
      </c>
      <c r="BC6" t="n">
        <v>6524855902.472</v>
      </c>
      <c r="BD6" t="n">
        <v>6904839599.908</v>
      </c>
      <c r="BE6" t="n">
        <v>6843063361.043</v>
      </c>
      <c r="BF6" t="n">
        <v>6716452500.005</v>
      </c>
      <c r="BG6" t="n">
        <v>6840669943.079</v>
      </c>
      <c r="BH6" t="n">
        <v>6829467293.882</v>
      </c>
      <c r="BI6" t="n">
        <v>6697773972.205</v>
      </c>
      <c r="BJ6" t="n">
        <v>7224822488.669</v>
      </c>
      <c r="BK6" t="n">
        <v>7270196645.183</v>
      </c>
      <c r="BL6" t="n">
        <v>6892165290.281</v>
      </c>
      <c r="BM6" t="n">
        <v>7362882325.306</v>
      </c>
      <c r="BN6" t="n">
        <v>7806376031.998</v>
      </c>
      <c r="BO6" t="n">
        <v>7660623072.467</v>
      </c>
      <c r="BP6" t="n">
        <v>7923551080.904</v>
      </c>
      <c r="BQ6" t="n">
        <v>7965661872.902</v>
      </c>
      <c r="BR6" t="n">
        <v>7905591515.317</v>
      </c>
      <c r="BS6" t="n">
        <v>7864812392.776</v>
      </c>
      <c r="BT6" t="n">
        <v>8070990710.106</v>
      </c>
    </row>
    <row r="7">
      <c r="A7" s="17" t="inlineStr">
        <is>
          <t>simple, aggregated to SAU functional group</t>
        </is>
      </c>
      <c r="B7" t="inlineStr">
        <is>
          <t>Jensen comparison, not a PPR estimate</t>
        </is>
      </c>
      <c r="C7" t="n">
        <v>452775457.006</v>
      </c>
      <c r="D7" t="n">
        <v>577496635.5779999</v>
      </c>
      <c r="E7" t="n">
        <v>690236712.374</v>
      </c>
      <c r="F7" t="n">
        <v>703866485.142</v>
      </c>
      <c r="G7" t="n">
        <v>930789325.9170001</v>
      </c>
      <c r="H7" t="n">
        <v>1092708929.593</v>
      </c>
      <c r="I7" t="n">
        <v>1187472549.125</v>
      </c>
      <c r="J7" t="n">
        <v>1195023069.506</v>
      </c>
      <c r="K7" t="n">
        <v>1236613894.528</v>
      </c>
      <c r="L7" t="n">
        <v>1340025350.599</v>
      </c>
      <c r="M7" t="n">
        <v>1457728553.177</v>
      </c>
      <c r="N7" t="n">
        <v>1433172318.934</v>
      </c>
      <c r="O7" t="n">
        <v>1570057213.665</v>
      </c>
      <c r="P7" t="n">
        <v>1678821741.8</v>
      </c>
      <c r="Q7" t="n">
        <v>1683742293.139</v>
      </c>
      <c r="R7" t="n">
        <v>1762146939.422</v>
      </c>
      <c r="S7" t="n">
        <v>1790173797.899</v>
      </c>
      <c r="T7" t="n">
        <v>1809971103.335</v>
      </c>
      <c r="U7" t="n">
        <v>1859637934.432</v>
      </c>
      <c r="V7" t="n">
        <v>1825817802.097</v>
      </c>
      <c r="W7" t="n">
        <v>1778505957.304</v>
      </c>
      <c r="X7" t="n">
        <v>1840557009.115</v>
      </c>
      <c r="Y7" t="n">
        <v>2038946857.593</v>
      </c>
      <c r="Z7" t="n">
        <v>2186399460.522</v>
      </c>
      <c r="AA7" t="n">
        <v>2195678077.656</v>
      </c>
      <c r="AB7" t="n">
        <v>2106761653.818</v>
      </c>
      <c r="AC7" t="n">
        <v>2077889980.347</v>
      </c>
      <c r="AD7" t="n">
        <v>2055514941.109</v>
      </c>
      <c r="AE7" t="n">
        <v>1962780507.6</v>
      </c>
      <c r="AF7" t="n">
        <v>2085899988.221</v>
      </c>
      <c r="AG7" t="n">
        <v>2056927037.449</v>
      </c>
      <c r="AH7" t="n">
        <v>2155316773.318</v>
      </c>
      <c r="AI7" t="n">
        <v>2301934476.851</v>
      </c>
      <c r="AJ7" t="n">
        <v>2366857818.556</v>
      </c>
      <c r="AK7" t="n">
        <v>2401441649.441</v>
      </c>
      <c r="AL7" t="n">
        <v>2422969561.31</v>
      </c>
      <c r="AM7" t="n">
        <v>2462968780.999</v>
      </c>
      <c r="AN7" t="n">
        <v>2564006402.923</v>
      </c>
      <c r="AO7" t="n">
        <v>2634238796.052</v>
      </c>
      <c r="AP7" t="n">
        <v>2779639085.814</v>
      </c>
      <c r="AQ7" t="n">
        <v>3067376728.46</v>
      </c>
      <c r="AR7" t="n">
        <v>3315950573.894</v>
      </c>
      <c r="AS7" t="n">
        <v>3458565132.835</v>
      </c>
      <c r="AT7" t="n">
        <v>3393994860.826</v>
      </c>
      <c r="AU7" t="n">
        <v>4063300178.018</v>
      </c>
      <c r="AV7" t="n">
        <v>4249117265.073</v>
      </c>
      <c r="AW7" t="n">
        <v>4723014257.615</v>
      </c>
      <c r="AX7" t="n">
        <v>4695782866.468</v>
      </c>
      <c r="AY7" t="n">
        <v>5008375558.694</v>
      </c>
      <c r="AZ7" t="n">
        <v>4834566012.697</v>
      </c>
      <c r="BA7" t="n">
        <v>4659113064.135</v>
      </c>
      <c r="BB7" t="n">
        <v>4870290380.773</v>
      </c>
      <c r="BC7" t="n">
        <v>4970967549.879</v>
      </c>
      <c r="BD7" t="n">
        <v>5246047277.67</v>
      </c>
      <c r="BE7" t="n">
        <v>5115728056.65</v>
      </c>
      <c r="BF7" t="n">
        <v>5107308950.689</v>
      </c>
      <c r="BG7" t="n">
        <v>5266702814.717</v>
      </c>
      <c r="BH7" t="n">
        <v>5304751577.946</v>
      </c>
      <c r="BI7" t="n">
        <v>5146833701.954</v>
      </c>
      <c r="BJ7" t="n">
        <v>5596231873.752</v>
      </c>
      <c r="BK7" t="n">
        <v>5640911399.735</v>
      </c>
      <c r="BL7" t="n">
        <v>5261568054.783</v>
      </c>
      <c r="BM7" t="n">
        <v>5661868023.547</v>
      </c>
      <c r="BN7" t="n">
        <v>6025325841.64</v>
      </c>
      <c r="BO7" t="n">
        <v>5855540910.118</v>
      </c>
      <c r="BP7" t="n">
        <v>6054387219.022</v>
      </c>
      <c r="BQ7" t="n">
        <v>6119807076.283</v>
      </c>
      <c r="BR7" t="n">
        <v>6070646918.227</v>
      </c>
      <c r="BS7" t="n">
        <v>5995142598.936</v>
      </c>
      <c r="BT7" t="n">
        <v>6177614143.622</v>
      </c>
    </row>
    <row r="8">
      <c r="A8" s="17" t="inlineStr">
        <is>
          <t>simple, aggregated to SAU commercial group</t>
        </is>
      </c>
      <c r="B8" t="inlineStr">
        <is>
          <t>Jensen comparison, not a PPR estimate</t>
        </is>
      </c>
      <c r="C8" t="n">
        <v>352524161.985</v>
      </c>
      <c r="D8" t="n">
        <v>447322875.375</v>
      </c>
      <c r="E8" t="n">
        <v>534503977.032</v>
      </c>
      <c r="F8" t="n">
        <v>546225561.725</v>
      </c>
      <c r="G8" t="n">
        <v>734840275.38</v>
      </c>
      <c r="H8" t="n">
        <v>884983464.847</v>
      </c>
      <c r="I8" t="n">
        <v>962002696.425</v>
      </c>
      <c r="J8" t="n">
        <v>965220830.105</v>
      </c>
      <c r="K8" t="n">
        <v>1002871386.059</v>
      </c>
      <c r="L8" t="n">
        <v>1096243663.163</v>
      </c>
      <c r="M8" t="n">
        <v>1200744359.541</v>
      </c>
      <c r="N8" t="n">
        <v>1174481715.165</v>
      </c>
      <c r="O8" t="n">
        <v>1284149723.093</v>
      </c>
      <c r="P8" t="n">
        <v>1372462994.917</v>
      </c>
      <c r="Q8" t="n">
        <v>1373343411.581</v>
      </c>
      <c r="R8" t="n">
        <v>1434498620.386</v>
      </c>
      <c r="S8" t="n">
        <v>1475042105.44</v>
      </c>
      <c r="T8" t="n">
        <v>1493982775.711</v>
      </c>
      <c r="U8" t="n">
        <v>1534173413.738</v>
      </c>
      <c r="V8" t="n">
        <v>1514437562.909</v>
      </c>
      <c r="W8" t="n">
        <v>1458815321.031</v>
      </c>
      <c r="X8" t="n">
        <v>1503115003.096</v>
      </c>
      <c r="Y8" t="n">
        <v>1649534941.452</v>
      </c>
      <c r="Z8" t="n">
        <v>1768592161.063</v>
      </c>
      <c r="AA8" t="n">
        <v>1763266989.862</v>
      </c>
      <c r="AB8" t="n">
        <v>1726029046.87</v>
      </c>
      <c r="AC8" t="n">
        <v>1696083652.078</v>
      </c>
      <c r="AD8" t="n">
        <v>1717125961.004</v>
      </c>
      <c r="AE8" t="n">
        <v>1601249844.677</v>
      </c>
      <c r="AF8" t="n">
        <v>1702256199.741</v>
      </c>
      <c r="AG8" t="n">
        <v>1663041180.188</v>
      </c>
      <c r="AH8" t="n">
        <v>1717806699.279</v>
      </c>
      <c r="AI8" t="n">
        <v>1799126642.941</v>
      </c>
      <c r="AJ8" t="n">
        <v>1884833735.909</v>
      </c>
      <c r="AK8" t="n">
        <v>1911433532.43</v>
      </c>
      <c r="AL8" t="n">
        <v>1941204922.973</v>
      </c>
      <c r="AM8" t="n">
        <v>1990220139.633</v>
      </c>
      <c r="AN8" t="n">
        <v>2088591954.669</v>
      </c>
      <c r="AO8" t="n">
        <v>2161112965.195</v>
      </c>
      <c r="AP8" t="n">
        <v>2268846585.779</v>
      </c>
      <c r="AQ8" t="n">
        <v>2439850510.747</v>
      </c>
      <c r="AR8" t="n">
        <v>2612719363.181</v>
      </c>
      <c r="AS8" t="n">
        <v>2769242412.564</v>
      </c>
      <c r="AT8" t="n">
        <v>2744446837.13</v>
      </c>
      <c r="AU8" t="n">
        <v>3151511421.136</v>
      </c>
      <c r="AV8" t="n">
        <v>3423595948.18</v>
      </c>
      <c r="AW8" t="n">
        <v>3795718004.549</v>
      </c>
      <c r="AX8" t="n">
        <v>3852852532.657</v>
      </c>
      <c r="AY8" t="n">
        <v>3991702026.062</v>
      </c>
      <c r="AZ8" t="n">
        <v>3958635016.714</v>
      </c>
      <c r="BA8" t="n">
        <v>3843172699.588</v>
      </c>
      <c r="BB8" t="n">
        <v>3976494640.444</v>
      </c>
      <c r="BC8" t="n">
        <v>4058816069.39</v>
      </c>
      <c r="BD8" t="n">
        <v>4313138547.089</v>
      </c>
      <c r="BE8" t="n">
        <v>4304393802.591</v>
      </c>
      <c r="BF8" t="n">
        <v>4223691645.031</v>
      </c>
      <c r="BG8" t="n">
        <v>4310443698.596</v>
      </c>
      <c r="BH8" t="n">
        <v>4303091381.068</v>
      </c>
      <c r="BI8" t="n">
        <v>4176231625.207</v>
      </c>
      <c r="BJ8" t="n">
        <v>4487373975.996</v>
      </c>
      <c r="BK8" t="n">
        <v>4504006913.857</v>
      </c>
      <c r="BL8" t="n">
        <v>4363247230.522</v>
      </c>
      <c r="BM8" t="n">
        <v>4652468666.503</v>
      </c>
      <c r="BN8" t="n">
        <v>4903028088.888</v>
      </c>
      <c r="BO8" t="n">
        <v>4811938832.712</v>
      </c>
      <c r="BP8" t="n">
        <v>4951933871.304</v>
      </c>
      <c r="BQ8" t="n">
        <v>5028078762.75</v>
      </c>
      <c r="BR8" t="n">
        <v>5008397765.987</v>
      </c>
      <c r="BS8" t="n">
        <v>4929279651.182</v>
      </c>
      <c r="BT8" t="n">
        <v>5121239745.054</v>
      </c>
    </row>
    <row r="9">
      <c r="A9" s="19" t="inlineStr">
        <is>
          <t>SPPR_1986</t>
        </is>
      </c>
      <c r="B9" s="9" t="inlineStr">
        <is>
          <t>did not resolve for any mapped group</t>
        </is>
      </c>
    </row>
    <row r="10">
      <c r="A10" s="19" t="inlineStr">
        <is>
          <t>SPPR_1995_TE0.1</t>
        </is>
      </c>
      <c r="B10" s="9" t="inlineStr">
        <is>
          <t>did not resolve for any mapped group</t>
        </is>
      </c>
    </row>
    <row r="11">
      <c r="A11" s="19" t="inlineStr">
        <is>
          <t>SPPR_1995_TEmean</t>
        </is>
      </c>
      <c r="B11" s="9" t="inlineStr">
        <is>
          <t>did not resolve for any mapped group</t>
        </is>
      </c>
    </row>
    <row r="12">
      <c r="A12" t="inlineStr">
        <is>
          <t>Ulanowicz_globalTEmean</t>
        </is>
      </c>
      <c r="B12" t="inlineStr">
        <is>
          <t>ok</t>
        </is>
      </c>
      <c r="C12" t="n">
        <v>97561036.095</v>
      </c>
      <c r="D12" t="n">
        <v>123144231.237</v>
      </c>
      <c r="E12" t="n">
        <v>147835134.808</v>
      </c>
      <c r="F12" t="n">
        <v>150541456.726</v>
      </c>
      <c r="G12" t="n">
        <v>185762508.185</v>
      </c>
      <c r="H12" t="n">
        <v>213674275.89</v>
      </c>
      <c r="I12" t="n">
        <v>237053908.204</v>
      </c>
      <c r="J12" t="n">
        <v>235354197.299</v>
      </c>
      <c r="K12" t="n">
        <v>244813365.314</v>
      </c>
      <c r="L12" t="n">
        <v>260396020.118</v>
      </c>
      <c r="M12" t="n">
        <v>292134358.511</v>
      </c>
      <c r="N12" t="n">
        <v>278618854.97</v>
      </c>
      <c r="O12" t="n">
        <v>311140475.694</v>
      </c>
      <c r="P12" t="n">
        <v>326149606.407</v>
      </c>
      <c r="Q12" t="n">
        <v>333688416.58</v>
      </c>
      <c r="R12" t="n">
        <v>360745840.279</v>
      </c>
      <c r="S12" t="n">
        <v>380151588.963</v>
      </c>
      <c r="T12" t="n">
        <v>373115284.028</v>
      </c>
      <c r="U12" t="n">
        <v>387352658.744</v>
      </c>
      <c r="V12" t="n">
        <v>397464773.839</v>
      </c>
      <c r="W12" t="n">
        <v>395861866.51</v>
      </c>
      <c r="X12" t="n">
        <v>401950763.764</v>
      </c>
      <c r="Y12" t="n">
        <v>429986892.484</v>
      </c>
      <c r="Z12" t="n">
        <v>466056276.994</v>
      </c>
      <c r="AA12" t="n">
        <v>467272816.785</v>
      </c>
      <c r="AB12" t="n">
        <v>457169927.296</v>
      </c>
      <c r="AC12" t="n">
        <v>455100615.647</v>
      </c>
      <c r="AD12" t="n">
        <v>468364976.073</v>
      </c>
      <c r="AE12" t="n">
        <v>468434711.099</v>
      </c>
      <c r="AF12" t="n">
        <v>483441290.87</v>
      </c>
      <c r="AG12" t="n">
        <v>480701840.346</v>
      </c>
      <c r="AH12" t="n">
        <v>507085370.521</v>
      </c>
      <c r="AI12" t="n">
        <v>541661568.602</v>
      </c>
      <c r="AJ12" t="n">
        <v>547216671.982</v>
      </c>
      <c r="AK12" t="n">
        <v>575674251.551</v>
      </c>
      <c r="AL12" t="n">
        <v>595719864.6440001</v>
      </c>
      <c r="AM12" t="n">
        <v>602085055.308</v>
      </c>
      <c r="AN12" t="n">
        <v>638026406.901</v>
      </c>
      <c r="AO12" t="n">
        <v>631719596.635</v>
      </c>
      <c r="AP12" t="n">
        <v>667630348.515</v>
      </c>
      <c r="AQ12" t="n">
        <v>710438036.63</v>
      </c>
      <c r="AR12" t="n">
        <v>747475385.599</v>
      </c>
      <c r="AS12" t="n">
        <v>785884911.8839999</v>
      </c>
      <c r="AT12" t="n">
        <v>762977939.051</v>
      </c>
      <c r="AU12" t="n">
        <v>896869621.73</v>
      </c>
      <c r="AV12" t="n">
        <v>968116489.9119999</v>
      </c>
      <c r="AW12" t="n">
        <v>1048775019.114</v>
      </c>
      <c r="AX12" t="n">
        <v>1040792820.58</v>
      </c>
      <c r="AY12" t="n">
        <v>1052031191.026</v>
      </c>
      <c r="AZ12" t="n">
        <v>1040985985.799</v>
      </c>
      <c r="BA12" t="n">
        <v>1030861885.457</v>
      </c>
      <c r="BB12" t="n">
        <v>1083695003.328</v>
      </c>
      <c r="BC12" t="n">
        <v>1102212862.449</v>
      </c>
      <c r="BD12" t="n">
        <v>1186213874.239</v>
      </c>
      <c r="BE12" t="n">
        <v>1153192967.71</v>
      </c>
      <c r="BF12" t="n">
        <v>1130057847.152</v>
      </c>
      <c r="BG12" t="n">
        <v>1139098689.994</v>
      </c>
      <c r="BH12" t="n">
        <v>1134853750.589</v>
      </c>
      <c r="BI12" t="n">
        <v>1137201132.329</v>
      </c>
      <c r="BJ12" t="n">
        <v>1227877274.713</v>
      </c>
      <c r="BK12" t="n">
        <v>1231101106.856</v>
      </c>
      <c r="BL12" t="n">
        <v>1162490483.343</v>
      </c>
      <c r="BM12" t="n">
        <v>1244767892.186</v>
      </c>
      <c r="BN12" t="n">
        <v>1327471078.009</v>
      </c>
      <c r="BO12" t="n">
        <v>1286734523.642</v>
      </c>
      <c r="BP12" t="n">
        <v>1337961962.457</v>
      </c>
      <c r="BQ12" t="n">
        <v>1342619822.553</v>
      </c>
      <c r="BR12" t="n">
        <v>1326222915.089</v>
      </c>
      <c r="BS12" t="n">
        <v>1332913471.77</v>
      </c>
      <c r="BT12" t="n">
        <v>1373841343.345</v>
      </c>
    </row>
    <row r="13">
      <c r="A13" t="inlineStr">
        <is>
          <t>Ulanowicz_TE</t>
        </is>
      </c>
      <c r="B13" t="inlineStr">
        <is>
          <t>ok</t>
        </is>
      </c>
      <c r="C13" t="n">
        <v>2405600374.07</v>
      </c>
      <c r="D13" t="n">
        <v>3028182476.601</v>
      </c>
      <c r="E13" t="n">
        <v>3639328130.867</v>
      </c>
      <c r="F13" t="n">
        <v>3724115355.509</v>
      </c>
      <c r="G13" t="n">
        <v>4558817887.827</v>
      </c>
      <c r="H13" t="n">
        <v>5217861075.836</v>
      </c>
      <c r="I13" t="n">
        <v>5792231176.586</v>
      </c>
      <c r="J13" t="n">
        <v>5757718133.283</v>
      </c>
      <c r="K13" t="n">
        <v>6104805010.45</v>
      </c>
      <c r="L13" t="n">
        <v>6538369723.023</v>
      </c>
      <c r="M13" t="n">
        <v>7337009612.752</v>
      </c>
      <c r="N13" t="n">
        <v>7118495499.413</v>
      </c>
      <c r="O13" t="n">
        <v>8075232005.297</v>
      </c>
      <c r="P13" t="n">
        <v>8491400866.429</v>
      </c>
      <c r="Q13" t="n">
        <v>8684718892.861</v>
      </c>
      <c r="R13" t="n">
        <v>9358276645.934999</v>
      </c>
      <c r="S13" t="n">
        <v>9818836704.754999</v>
      </c>
      <c r="T13" t="n">
        <v>9860854751.729</v>
      </c>
      <c r="U13" t="n">
        <v>10430121279.46</v>
      </c>
      <c r="V13" t="n">
        <v>10726767049.032</v>
      </c>
      <c r="W13" t="n">
        <v>10372356901.851</v>
      </c>
      <c r="X13" t="n">
        <v>10485419096.004</v>
      </c>
      <c r="Y13" t="n">
        <v>10953009363.105</v>
      </c>
      <c r="Z13" t="n">
        <v>11975315750.529</v>
      </c>
      <c r="AA13" t="n">
        <v>11885451523.245</v>
      </c>
      <c r="AB13" t="n">
        <v>11878814629.671</v>
      </c>
      <c r="AC13" t="n">
        <v>11988858247.899</v>
      </c>
      <c r="AD13" t="n">
        <v>12307652026.341</v>
      </c>
      <c r="AE13" t="n">
        <v>12092271833.134</v>
      </c>
      <c r="AF13" t="n">
        <v>12566242337.136</v>
      </c>
      <c r="AG13" t="n">
        <v>12558410973.791</v>
      </c>
      <c r="AH13" t="n">
        <v>13174977883.576</v>
      </c>
      <c r="AI13" t="n">
        <v>14027017874.995</v>
      </c>
      <c r="AJ13" t="n">
        <v>14377377876.479</v>
      </c>
      <c r="AK13" t="n">
        <v>14931935168.655</v>
      </c>
      <c r="AL13" t="n">
        <v>15440044077.923</v>
      </c>
      <c r="AM13" t="n">
        <v>15640480735.699</v>
      </c>
      <c r="AN13" t="n">
        <v>16531453320.852</v>
      </c>
      <c r="AO13" t="n">
        <v>16012945291.875</v>
      </c>
      <c r="AP13" t="n">
        <v>16763334727.224</v>
      </c>
      <c r="AQ13" t="n">
        <v>17903300414.647</v>
      </c>
      <c r="AR13" t="n">
        <v>18726372887.58</v>
      </c>
      <c r="AS13" t="n">
        <v>19320802535.47</v>
      </c>
      <c r="AT13" t="n">
        <v>18441831147.277</v>
      </c>
      <c r="AU13" t="n">
        <v>21428925502.233</v>
      </c>
      <c r="AV13" t="n">
        <v>22952329698.311</v>
      </c>
      <c r="AW13" t="n">
        <v>24693050542.953</v>
      </c>
      <c r="AX13" t="n">
        <v>24464172911.13</v>
      </c>
      <c r="AY13" t="n">
        <v>24486503161.294</v>
      </c>
      <c r="AZ13" t="n">
        <v>25511677796.849</v>
      </c>
      <c r="BA13" t="n">
        <v>24716006934.509</v>
      </c>
      <c r="BB13" t="n">
        <v>25276575883.358</v>
      </c>
      <c r="BC13" t="n">
        <v>25880090234.618</v>
      </c>
      <c r="BD13" t="n">
        <v>27413744413.306</v>
      </c>
      <c r="BE13" t="n">
        <v>27606529129.256</v>
      </c>
      <c r="BF13" t="n">
        <v>26589976095.714</v>
      </c>
      <c r="BG13" t="n">
        <v>26817122153.971</v>
      </c>
      <c r="BH13" t="n">
        <v>26374949555.644</v>
      </c>
      <c r="BI13" t="n">
        <v>26455307698.753</v>
      </c>
      <c r="BJ13" t="n">
        <v>28530227803.634</v>
      </c>
      <c r="BK13" t="n">
        <v>28312003984.487</v>
      </c>
      <c r="BL13" t="n">
        <v>27057010530.687</v>
      </c>
      <c r="BM13" t="n">
        <v>28701018598.778</v>
      </c>
      <c r="BN13" t="n">
        <v>30441807041.355</v>
      </c>
      <c r="BO13" t="n">
        <v>29452160083.074</v>
      </c>
      <c r="BP13" t="n">
        <v>30549770020.272</v>
      </c>
      <c r="BQ13" t="n">
        <v>30725614795.224</v>
      </c>
      <c r="BR13" t="n">
        <v>30275759945.299</v>
      </c>
      <c r="BS13" t="n">
        <v>30428872113.837</v>
      </c>
      <c r="BT13" t="n">
        <v>31380362588.598</v>
      </c>
    </row>
    <row r="14">
      <c r="A14" t="inlineStr">
        <is>
          <t>EwE_TE_noEE</t>
        </is>
      </c>
      <c r="B14" t="inlineStr">
        <is>
          <t>ok</t>
        </is>
      </c>
      <c r="C14" t="n">
        <v>2502784061.689</v>
      </c>
      <c r="D14" t="n">
        <v>3147603135.479</v>
      </c>
      <c r="E14" t="n">
        <v>3780698775.471</v>
      </c>
      <c r="F14" t="n">
        <v>3867983460.252</v>
      </c>
      <c r="G14" t="n">
        <v>4731155978.338</v>
      </c>
      <c r="H14" t="n">
        <v>5413760229.507</v>
      </c>
      <c r="I14" t="n">
        <v>6010136260.542</v>
      </c>
      <c r="J14" t="n">
        <v>5973739816.725</v>
      </c>
      <c r="K14" t="n">
        <v>6332765077.492</v>
      </c>
      <c r="L14" t="n">
        <v>6777711703.46</v>
      </c>
      <c r="M14" t="n">
        <v>7614455638.208</v>
      </c>
      <c r="N14" t="n">
        <v>7375182329.525</v>
      </c>
      <c r="O14" t="n">
        <v>8365944059.577</v>
      </c>
      <c r="P14" t="n">
        <v>8792638093.004999</v>
      </c>
      <c r="Q14" t="n">
        <v>8995439716.868</v>
      </c>
      <c r="R14" t="n">
        <v>9702284537.334999</v>
      </c>
      <c r="S14" t="n">
        <v>10189636462.947</v>
      </c>
      <c r="T14" t="n">
        <v>10219037119.717</v>
      </c>
      <c r="U14" t="n">
        <v>10803083175.987</v>
      </c>
      <c r="V14" t="n">
        <v>11117435264.696</v>
      </c>
      <c r="W14" t="n">
        <v>10759650391.604</v>
      </c>
      <c r="X14" t="n">
        <v>10879197204.724</v>
      </c>
      <c r="Y14" t="n">
        <v>11368515889.061</v>
      </c>
      <c r="Z14" t="n">
        <v>12437536906.798</v>
      </c>
      <c r="AA14" t="n">
        <v>12343760299.584</v>
      </c>
      <c r="AB14" t="n">
        <v>12332285696.531</v>
      </c>
      <c r="AC14" t="n">
        <v>12437295930.982</v>
      </c>
      <c r="AD14" t="n">
        <v>12783353784.774</v>
      </c>
      <c r="AE14" t="n">
        <v>12575592259.578</v>
      </c>
      <c r="AF14" t="n">
        <v>13048070061.853</v>
      </c>
      <c r="AG14" t="n">
        <v>13027192056.12</v>
      </c>
      <c r="AH14" t="n">
        <v>13673601014.718</v>
      </c>
      <c r="AI14" t="n">
        <v>14559057977.512</v>
      </c>
      <c r="AJ14" t="n">
        <v>14898078527.666</v>
      </c>
      <c r="AK14" t="n">
        <v>15503329759.604</v>
      </c>
      <c r="AL14" t="n">
        <v>16029384263.495</v>
      </c>
      <c r="AM14" t="n">
        <v>16238730538.698</v>
      </c>
      <c r="AN14" t="n">
        <v>17169882678.926</v>
      </c>
      <c r="AO14" t="n">
        <v>16634580342.449</v>
      </c>
      <c r="AP14" t="n">
        <v>17414121810.581</v>
      </c>
      <c r="AQ14" t="n">
        <v>18582978331.184</v>
      </c>
      <c r="AR14" t="n">
        <v>19428889921.789</v>
      </c>
      <c r="AS14" t="n">
        <v>20055398453.491</v>
      </c>
      <c r="AT14" t="n">
        <v>19152761426.871</v>
      </c>
      <c r="AU14" t="n">
        <v>22246821142.727</v>
      </c>
      <c r="AV14" t="n">
        <v>23829553232.289</v>
      </c>
      <c r="AW14" t="n">
        <v>25640115545.764</v>
      </c>
      <c r="AX14" t="n">
        <v>25400732212.938</v>
      </c>
      <c r="AY14" t="n">
        <v>25426755061.458</v>
      </c>
      <c r="AZ14" t="n">
        <v>26436806003.179</v>
      </c>
      <c r="BA14" t="n">
        <v>25645733163.6</v>
      </c>
      <c r="BB14" t="n">
        <v>26259516014.438</v>
      </c>
      <c r="BC14" t="n">
        <v>26871844379.571</v>
      </c>
      <c r="BD14" t="n">
        <v>28482174128.097</v>
      </c>
      <c r="BE14" t="n">
        <v>28632863297.766</v>
      </c>
      <c r="BF14" t="n">
        <v>27594544470.811</v>
      </c>
      <c r="BG14" t="n">
        <v>27835625495.11</v>
      </c>
      <c r="BH14" t="n">
        <v>27373969040.367</v>
      </c>
      <c r="BI14" t="n">
        <v>27467448447.29</v>
      </c>
      <c r="BJ14" t="n">
        <v>29629146199.465</v>
      </c>
      <c r="BK14" t="n">
        <v>29408466156.848</v>
      </c>
      <c r="BL14" t="n">
        <v>28082808264.08</v>
      </c>
      <c r="BM14" t="n">
        <v>29788031628.574</v>
      </c>
      <c r="BN14" t="n">
        <v>31620166215.344</v>
      </c>
      <c r="BO14" t="n">
        <v>30569605132.416</v>
      </c>
      <c r="BP14" t="n">
        <v>31716412963.137</v>
      </c>
      <c r="BQ14" t="n">
        <v>31902725546.985</v>
      </c>
      <c r="BR14" t="n">
        <v>31435983387.299</v>
      </c>
      <c r="BS14" t="n">
        <v>31613064505.211</v>
      </c>
      <c r="BT14" t="n">
        <v>32598519200.716</v>
      </c>
    </row>
    <row r="15">
      <c r="A15" t="inlineStr">
        <is>
          <t>EwE_TE_EE</t>
        </is>
      </c>
      <c r="B15" t="inlineStr">
        <is>
          <t>ok</t>
        </is>
      </c>
      <c r="C15" t="n">
        <v>941708179.774</v>
      </c>
      <c r="D15" t="n">
        <v>1181618591.403</v>
      </c>
      <c r="E15" t="n">
        <v>1416121734.719</v>
      </c>
      <c r="F15" t="n">
        <v>1450719269.497</v>
      </c>
      <c r="G15" t="n">
        <v>1762022712.303</v>
      </c>
      <c r="H15" t="n">
        <v>1967617205.168</v>
      </c>
      <c r="I15" t="n">
        <v>2191160175.681</v>
      </c>
      <c r="J15" t="n">
        <v>2179619136.749</v>
      </c>
      <c r="K15" t="n">
        <v>2340908772.03</v>
      </c>
      <c r="L15" t="n">
        <v>2492271726.568</v>
      </c>
      <c r="M15" t="n">
        <v>2817748550.798</v>
      </c>
      <c r="N15" t="n">
        <v>2743361141.793</v>
      </c>
      <c r="O15" t="n">
        <v>3135437466.442</v>
      </c>
      <c r="P15" t="n">
        <v>3290519677.46</v>
      </c>
      <c r="Q15" t="n">
        <v>3366461173.946</v>
      </c>
      <c r="R15" t="n">
        <v>3622018776.494</v>
      </c>
      <c r="S15" t="n">
        <v>3798688111.493</v>
      </c>
      <c r="T15" t="n">
        <v>3832473201.822</v>
      </c>
      <c r="U15" t="n">
        <v>4081061171.545</v>
      </c>
      <c r="V15" t="n">
        <v>4218833954.291</v>
      </c>
      <c r="W15" t="n">
        <v>4078262396.391</v>
      </c>
      <c r="X15" t="n">
        <v>4127647284.528</v>
      </c>
      <c r="Y15" t="n">
        <v>4280533330.166</v>
      </c>
      <c r="Z15" t="n">
        <v>4708511703.438</v>
      </c>
      <c r="AA15" t="n">
        <v>4699566108.201</v>
      </c>
      <c r="AB15" t="n">
        <v>4722235488.177</v>
      </c>
      <c r="AC15" t="n">
        <v>4718090660.562</v>
      </c>
      <c r="AD15" t="n">
        <v>4802552223.971</v>
      </c>
      <c r="AE15" t="n">
        <v>4741916962.725</v>
      </c>
      <c r="AF15" t="n">
        <v>4896378661.805</v>
      </c>
      <c r="AG15" t="n">
        <v>4863715396.424</v>
      </c>
      <c r="AH15" t="n">
        <v>5105505262.624</v>
      </c>
      <c r="AI15" t="n">
        <v>5419861061.573</v>
      </c>
      <c r="AJ15" t="n">
        <v>5538059120.234</v>
      </c>
      <c r="AK15" t="n">
        <v>5776532690.248</v>
      </c>
      <c r="AL15" t="n">
        <v>5986010438.935</v>
      </c>
      <c r="AM15" t="n">
        <v>6043037391.975</v>
      </c>
      <c r="AN15" t="n">
        <v>6368762838.273</v>
      </c>
      <c r="AO15" t="n">
        <v>6189941676.391</v>
      </c>
      <c r="AP15" t="n">
        <v>6464444329.097</v>
      </c>
      <c r="AQ15" t="n">
        <v>6857721494.473</v>
      </c>
      <c r="AR15" t="n">
        <v>7083219418.747</v>
      </c>
      <c r="AS15" t="n">
        <v>7333208415.982</v>
      </c>
      <c r="AT15" t="n">
        <v>7063088937.91</v>
      </c>
      <c r="AU15" t="n">
        <v>8137537530.808</v>
      </c>
      <c r="AV15" t="n">
        <v>8705348804.132999</v>
      </c>
      <c r="AW15" t="n">
        <v>9388428958.990999</v>
      </c>
      <c r="AX15" t="n">
        <v>9325942310.766001</v>
      </c>
      <c r="AY15" t="n">
        <v>9297749049.372999</v>
      </c>
      <c r="AZ15" t="n">
        <v>9804471701.188999</v>
      </c>
      <c r="BA15" t="n">
        <v>9505757371.801001</v>
      </c>
      <c r="BB15" t="n">
        <v>9606654278.642</v>
      </c>
      <c r="BC15" t="n">
        <v>9807887626.346001</v>
      </c>
      <c r="BD15" t="n">
        <v>10455863968.822</v>
      </c>
      <c r="BE15" t="n">
        <v>10535505777.251</v>
      </c>
      <c r="BF15" t="n">
        <v>10086109039.684</v>
      </c>
      <c r="BG15" t="n">
        <v>10125588561.914</v>
      </c>
      <c r="BH15" t="n">
        <v>9899771017.799999</v>
      </c>
      <c r="BI15" t="n">
        <v>9953954976.643</v>
      </c>
      <c r="BJ15" t="n">
        <v>10773326243.346</v>
      </c>
      <c r="BK15" t="n">
        <v>10648018289.119</v>
      </c>
      <c r="BL15" t="n">
        <v>10222375618.503</v>
      </c>
      <c r="BM15" t="n">
        <v>10814327353.382</v>
      </c>
      <c r="BN15" t="n">
        <v>11473449529.997</v>
      </c>
      <c r="BO15" t="n">
        <v>11090434073.268</v>
      </c>
      <c r="BP15" t="n">
        <v>11505540676.104</v>
      </c>
      <c r="BQ15" t="n">
        <v>11587624232.439</v>
      </c>
      <c r="BR15" t="n">
        <v>11369298868.09</v>
      </c>
      <c r="BS15" t="n">
        <v>11426619318.03</v>
      </c>
      <c r="BT15" t="n">
        <v>11795010675.607</v>
      </c>
    </row>
    <row r="16">
      <c r="A16" t="inlineStr">
        <is>
          <t>SPPR_2015</t>
        </is>
      </c>
      <c r="B16" t="inlineStr">
        <is>
          <t>ok</t>
        </is>
      </c>
      <c r="C16" t="n">
        <v>5340072572.595</v>
      </c>
      <c r="D16" t="n">
        <v>6769291557.963</v>
      </c>
      <c r="E16" t="n">
        <v>8164556708.786</v>
      </c>
      <c r="F16" t="n">
        <v>8340909675.555</v>
      </c>
      <c r="G16" t="n">
        <v>10126933469.151</v>
      </c>
      <c r="H16" t="n">
        <v>11600292619.832</v>
      </c>
      <c r="I16" t="n">
        <v>12952016465.107</v>
      </c>
      <c r="J16" t="n">
        <v>12850113538.406</v>
      </c>
      <c r="K16" t="n">
        <v>13566499932.819</v>
      </c>
      <c r="L16" t="n">
        <v>14496515164.821</v>
      </c>
      <c r="M16" t="n">
        <v>16308704405.034</v>
      </c>
      <c r="N16" t="n">
        <v>15788073155.659</v>
      </c>
      <c r="O16" t="n">
        <v>17871025011.59</v>
      </c>
      <c r="P16" t="n">
        <v>18729830484.907</v>
      </c>
      <c r="Q16" t="n">
        <v>19130404644.276</v>
      </c>
      <c r="R16" t="n">
        <v>20740259265.684</v>
      </c>
      <c r="S16" t="n">
        <v>21847512083.02</v>
      </c>
      <c r="T16" t="n">
        <v>21839740232.481</v>
      </c>
      <c r="U16" t="n">
        <v>23047048062.489</v>
      </c>
      <c r="V16" t="n">
        <v>23747341407.195</v>
      </c>
      <c r="W16" t="n">
        <v>22863880013.327</v>
      </c>
      <c r="X16" t="n">
        <v>23335682890.392</v>
      </c>
      <c r="Y16" t="n">
        <v>24401391960.776</v>
      </c>
      <c r="Z16" t="n">
        <v>26769035110.084</v>
      </c>
      <c r="AA16" t="n">
        <v>26492184962.726</v>
      </c>
      <c r="AB16" t="n">
        <v>26430673773.807</v>
      </c>
      <c r="AC16" t="n">
        <v>26597277215.004</v>
      </c>
      <c r="AD16" t="n">
        <v>27145228585.223</v>
      </c>
      <c r="AE16" t="n">
        <v>26653477435.282</v>
      </c>
      <c r="AF16" t="n">
        <v>27611385084.981</v>
      </c>
      <c r="AG16" t="n">
        <v>27388290930.962</v>
      </c>
      <c r="AH16" t="n">
        <v>28840226559.929</v>
      </c>
      <c r="AI16" t="n">
        <v>30660416279.636</v>
      </c>
      <c r="AJ16" t="n">
        <v>31173279448.601</v>
      </c>
      <c r="AK16" t="n">
        <v>32535407178.252</v>
      </c>
      <c r="AL16" t="n">
        <v>33536181131.98</v>
      </c>
      <c r="AM16" t="n">
        <v>33939217891.851</v>
      </c>
      <c r="AN16" t="n">
        <v>35677643973.566</v>
      </c>
      <c r="AO16" t="n">
        <v>34543022562.67</v>
      </c>
      <c r="AP16" t="n">
        <v>36112686603.848</v>
      </c>
      <c r="AQ16" t="n">
        <v>38401458605.324</v>
      </c>
      <c r="AR16" t="n">
        <v>40121190743.977</v>
      </c>
      <c r="AS16" t="n">
        <v>41527576436.005</v>
      </c>
      <c r="AT16" t="n">
        <v>39858730393.975</v>
      </c>
      <c r="AU16" t="n">
        <v>46364379109.498</v>
      </c>
      <c r="AV16" t="n">
        <v>49564012143.529</v>
      </c>
      <c r="AW16" t="n">
        <v>53418537133.759</v>
      </c>
      <c r="AX16" t="n">
        <v>52535126179.991</v>
      </c>
      <c r="AY16" t="n">
        <v>52692761575.16</v>
      </c>
      <c r="AZ16" t="n">
        <v>54895125621.113</v>
      </c>
      <c r="BA16" t="n">
        <v>53398660822.347</v>
      </c>
      <c r="BB16" t="n">
        <v>54648937853.425</v>
      </c>
      <c r="BC16" t="n">
        <v>55709186437.649</v>
      </c>
      <c r="BD16" t="n">
        <v>59198944189.217</v>
      </c>
      <c r="BE16" t="n">
        <v>59422686506.778</v>
      </c>
      <c r="BF16" t="n">
        <v>57074486152.916</v>
      </c>
      <c r="BG16" t="n">
        <v>57753079172.888</v>
      </c>
      <c r="BH16" t="n">
        <v>56680358677.976</v>
      </c>
      <c r="BI16" t="n">
        <v>56821420071.376</v>
      </c>
      <c r="BJ16" t="n">
        <v>61339711904.474</v>
      </c>
      <c r="BK16" t="n">
        <v>60734685215.701</v>
      </c>
      <c r="BL16" t="n">
        <v>57731266428.731</v>
      </c>
      <c r="BM16" t="n">
        <v>60909222738.389</v>
      </c>
      <c r="BN16" t="n">
        <v>64823923943.924</v>
      </c>
      <c r="BO16" t="n">
        <v>62592062769.806</v>
      </c>
      <c r="BP16" t="n">
        <v>64930829925.852</v>
      </c>
      <c r="BQ16" t="n">
        <v>65374943890.854</v>
      </c>
      <c r="BR16" t="n">
        <v>64582742489.672</v>
      </c>
      <c r="BS16" t="n">
        <v>65268580832.158</v>
      </c>
      <c r="BT16" t="n">
        <v>67221200544.741</v>
      </c>
    </row>
    <row r="17">
      <c r="A17" t="inlineStr">
        <is>
          <t>new_TE_noEEfix</t>
        </is>
      </c>
      <c r="B17" t="inlineStr">
        <is>
          <t>ok</t>
        </is>
      </c>
      <c r="C17" t="n">
        <v>3678562589.761</v>
      </c>
      <c r="D17" t="n">
        <v>4663717494.831</v>
      </c>
      <c r="E17" t="n">
        <v>5625542248.941</v>
      </c>
      <c r="F17" t="n">
        <v>5747401462.634</v>
      </c>
      <c r="G17" t="n">
        <v>6980242752.191</v>
      </c>
      <c r="H17" t="n">
        <v>7996233992.354</v>
      </c>
      <c r="I17" t="n">
        <v>8926732657.579</v>
      </c>
      <c r="J17" t="n">
        <v>8856520912.816</v>
      </c>
      <c r="K17" t="n">
        <v>9348852570.188</v>
      </c>
      <c r="L17" t="n">
        <v>9991397343.818001</v>
      </c>
      <c r="M17" t="n">
        <v>11235456154.071</v>
      </c>
      <c r="N17" t="n">
        <v>10878453436.358</v>
      </c>
      <c r="O17" t="n">
        <v>12314389726.262</v>
      </c>
      <c r="P17" t="n">
        <v>12907336211.26</v>
      </c>
      <c r="Q17" t="n">
        <v>13182091122.996</v>
      </c>
      <c r="R17" t="n">
        <v>14287635707.731</v>
      </c>
      <c r="S17" t="n">
        <v>15044422982.999</v>
      </c>
      <c r="T17" t="n">
        <v>15043415142.158</v>
      </c>
      <c r="U17" t="n">
        <v>15877280621.886</v>
      </c>
      <c r="V17" t="n">
        <v>16356758172.398</v>
      </c>
      <c r="W17" t="n">
        <v>15746658323.117</v>
      </c>
      <c r="X17" t="n">
        <v>16068519676.567</v>
      </c>
      <c r="Y17" t="n">
        <v>16802036663.479</v>
      </c>
      <c r="Z17" t="n">
        <v>18429867512.51</v>
      </c>
      <c r="AA17" t="n">
        <v>18241305460.621</v>
      </c>
      <c r="AB17" t="n">
        <v>18198040557.473</v>
      </c>
      <c r="AC17" t="n">
        <v>18313607665.799</v>
      </c>
      <c r="AD17" t="n">
        <v>18690001819.341</v>
      </c>
      <c r="AE17" t="n">
        <v>18350220049.86</v>
      </c>
      <c r="AF17" t="n">
        <v>19016331277.244</v>
      </c>
      <c r="AG17" t="n">
        <v>18867651443.614</v>
      </c>
      <c r="AH17" t="n">
        <v>19867178622.325</v>
      </c>
      <c r="AI17" t="n">
        <v>21123249746.396</v>
      </c>
      <c r="AJ17" t="n">
        <v>21483103424.451</v>
      </c>
      <c r="AK17" t="n">
        <v>22413217519.951</v>
      </c>
      <c r="AL17" t="n">
        <v>23103280479.827</v>
      </c>
      <c r="AM17" t="n">
        <v>23378392297.016</v>
      </c>
      <c r="AN17" t="n">
        <v>24575981350.329</v>
      </c>
      <c r="AO17" t="n">
        <v>23795265581.028</v>
      </c>
      <c r="AP17" t="n">
        <v>24879826710.34</v>
      </c>
      <c r="AQ17" t="n">
        <v>26464062475.381</v>
      </c>
      <c r="AR17" t="n">
        <v>27654181277.987</v>
      </c>
      <c r="AS17" t="n">
        <v>28620018420.505</v>
      </c>
      <c r="AT17" t="n">
        <v>27465300744.857</v>
      </c>
      <c r="AU17" t="n">
        <v>31957466251.704</v>
      </c>
      <c r="AV17" t="n">
        <v>34164065671.337</v>
      </c>
      <c r="AW17" t="n">
        <v>36818872252.137</v>
      </c>
      <c r="AX17" t="n">
        <v>36215582895.966</v>
      </c>
      <c r="AY17" t="n">
        <v>36325911857.284</v>
      </c>
      <c r="AZ17" t="n">
        <v>37847757840.846</v>
      </c>
      <c r="BA17" t="n">
        <v>36806104457.067</v>
      </c>
      <c r="BB17" t="n">
        <v>37667329839.789</v>
      </c>
      <c r="BC17" t="n">
        <v>38403831168.208</v>
      </c>
      <c r="BD17" t="n">
        <v>40801250049.627</v>
      </c>
      <c r="BE17" t="n">
        <v>40965618650.099</v>
      </c>
      <c r="BF17" t="n">
        <v>39348263948.611</v>
      </c>
      <c r="BG17" t="n">
        <v>39811722819.195</v>
      </c>
      <c r="BH17" t="n">
        <v>39074855403.758</v>
      </c>
      <c r="BI17" t="n">
        <v>39172993269.501</v>
      </c>
      <c r="BJ17" t="n">
        <v>42286163716.222</v>
      </c>
      <c r="BK17" t="n">
        <v>41871047792.654</v>
      </c>
      <c r="BL17" t="n">
        <v>39805826648.108</v>
      </c>
      <c r="BM17" t="n">
        <v>42002895392.089</v>
      </c>
      <c r="BN17" t="n">
        <v>44693781983.541</v>
      </c>
      <c r="BO17" t="n">
        <v>43163564008.094</v>
      </c>
      <c r="BP17" t="n">
        <v>44773279116.87</v>
      </c>
      <c r="BQ17" t="n">
        <v>45076029470.964</v>
      </c>
      <c r="BR17" t="n">
        <v>44528645109.754</v>
      </c>
      <c r="BS17" t="n">
        <v>44988920224.74</v>
      </c>
      <c r="BT17" t="n">
        <v>46336490792.416</v>
      </c>
    </row>
    <row r="18">
      <c r="A18" t="inlineStr">
        <is>
          <t>new_TE_EEfix</t>
        </is>
      </c>
      <c r="B18" t="inlineStr">
        <is>
          <t>ok</t>
        </is>
      </c>
      <c r="C18" t="n">
        <v>3678562589.761</v>
      </c>
      <c r="D18" t="n">
        <v>4663717494.831</v>
      </c>
      <c r="E18" t="n">
        <v>5625542248.941</v>
      </c>
      <c r="F18" t="n">
        <v>5747401462.634</v>
      </c>
      <c r="G18" t="n">
        <v>6980242752.191</v>
      </c>
      <c r="H18" t="n">
        <v>7996233992.354</v>
      </c>
      <c r="I18" t="n">
        <v>8926732657.579</v>
      </c>
      <c r="J18" t="n">
        <v>8856520912.816</v>
      </c>
      <c r="K18" t="n">
        <v>9348852570.188</v>
      </c>
      <c r="L18" t="n">
        <v>9991397343.818001</v>
      </c>
      <c r="M18" t="n">
        <v>11235456154.071</v>
      </c>
      <c r="N18" t="n">
        <v>10878453436.358</v>
      </c>
      <c r="O18" t="n">
        <v>12314389726.262</v>
      </c>
      <c r="P18" t="n">
        <v>12907336211.26</v>
      </c>
      <c r="Q18" t="n">
        <v>13182091122.996</v>
      </c>
      <c r="R18" t="n">
        <v>14287635707.731</v>
      </c>
      <c r="S18" t="n">
        <v>15044422982.999</v>
      </c>
      <c r="T18" t="n">
        <v>15043415142.158</v>
      </c>
      <c r="U18" t="n">
        <v>15877280621.886</v>
      </c>
      <c r="V18" t="n">
        <v>16356758172.398</v>
      </c>
      <c r="W18" t="n">
        <v>15746658323.117</v>
      </c>
      <c r="X18" t="n">
        <v>16068519676.567</v>
      </c>
      <c r="Y18" t="n">
        <v>16802036663.479</v>
      </c>
      <c r="Z18" t="n">
        <v>18429867512.51</v>
      </c>
      <c r="AA18" t="n">
        <v>18241305460.621</v>
      </c>
      <c r="AB18" t="n">
        <v>18198040557.473</v>
      </c>
      <c r="AC18" t="n">
        <v>18313607665.799</v>
      </c>
      <c r="AD18" t="n">
        <v>18690001819.341</v>
      </c>
      <c r="AE18" t="n">
        <v>18350220049.86</v>
      </c>
      <c r="AF18" t="n">
        <v>19016331277.244</v>
      </c>
      <c r="AG18" t="n">
        <v>18867651443.614</v>
      </c>
      <c r="AH18" t="n">
        <v>19867178622.325</v>
      </c>
      <c r="AI18" t="n">
        <v>21123249746.396</v>
      </c>
      <c r="AJ18" t="n">
        <v>21483103424.451</v>
      </c>
      <c r="AK18" t="n">
        <v>22413217519.951</v>
      </c>
      <c r="AL18" t="n">
        <v>23103280479.827</v>
      </c>
      <c r="AM18" t="n">
        <v>23378392297.016</v>
      </c>
      <c r="AN18" t="n">
        <v>24575981350.329</v>
      </c>
      <c r="AO18" t="n">
        <v>23795265581.028</v>
      </c>
      <c r="AP18" t="n">
        <v>24879826710.34</v>
      </c>
      <c r="AQ18" t="n">
        <v>26464062475.381</v>
      </c>
      <c r="AR18" t="n">
        <v>27654181277.987</v>
      </c>
      <c r="AS18" t="n">
        <v>28620018420.505</v>
      </c>
      <c r="AT18" t="n">
        <v>27465300744.857</v>
      </c>
      <c r="AU18" t="n">
        <v>31957466251.704</v>
      </c>
      <c r="AV18" t="n">
        <v>34164065671.337</v>
      </c>
      <c r="AW18" t="n">
        <v>36818872252.137</v>
      </c>
      <c r="AX18" t="n">
        <v>36215582895.966</v>
      </c>
      <c r="AY18" t="n">
        <v>36325911857.284</v>
      </c>
      <c r="AZ18" t="n">
        <v>37847757840.846</v>
      </c>
      <c r="BA18" t="n">
        <v>36806104457.067</v>
      </c>
      <c r="BB18" t="n">
        <v>37667329839.789</v>
      </c>
      <c r="BC18" t="n">
        <v>38403831168.208</v>
      </c>
      <c r="BD18" t="n">
        <v>40801250049.627</v>
      </c>
      <c r="BE18" t="n">
        <v>40965618650.099</v>
      </c>
      <c r="BF18" t="n">
        <v>39348263948.611</v>
      </c>
      <c r="BG18" t="n">
        <v>39811722819.195</v>
      </c>
      <c r="BH18" t="n">
        <v>39074855403.758</v>
      </c>
      <c r="BI18" t="n">
        <v>39172993269.501</v>
      </c>
      <c r="BJ18" t="n">
        <v>42286163716.222</v>
      </c>
      <c r="BK18" t="n">
        <v>41871047792.654</v>
      </c>
      <c r="BL18" t="n">
        <v>39805826648.108</v>
      </c>
      <c r="BM18" t="n">
        <v>42002895392.089</v>
      </c>
      <c r="BN18" t="n">
        <v>44693781983.541</v>
      </c>
      <c r="BO18" t="n">
        <v>43163564008.094</v>
      </c>
      <c r="BP18" t="n">
        <v>44773279116.87</v>
      </c>
      <c r="BQ18" t="n">
        <v>45076029470.964</v>
      </c>
      <c r="BR18" t="n">
        <v>44528645109.754</v>
      </c>
      <c r="BS18" t="n">
        <v>44988920224.74</v>
      </c>
      <c r="BT18" t="n">
        <v>46336490792.416</v>
      </c>
    </row>
    <row r="19">
      <c r="A19" t="inlineStr">
        <is>
          <t>new_GE</t>
        </is>
      </c>
      <c r="B19" t="inlineStr">
        <is>
          <t>ok</t>
        </is>
      </c>
      <c r="C19" t="n">
        <v>26573211.055</v>
      </c>
      <c r="D19" t="n">
        <v>32827391.134</v>
      </c>
      <c r="E19" t="n">
        <v>38823414.167</v>
      </c>
      <c r="F19" t="n">
        <v>39690514.472</v>
      </c>
      <c r="G19" t="n">
        <v>50297246.226</v>
      </c>
      <c r="H19" t="n">
        <v>57243845.632</v>
      </c>
      <c r="I19" t="n">
        <v>62841207.425</v>
      </c>
      <c r="J19" t="n">
        <v>62906145.954</v>
      </c>
      <c r="K19" t="n">
        <v>67622612.35699999</v>
      </c>
      <c r="L19" t="n">
        <v>71785626.69499999</v>
      </c>
      <c r="M19" t="n">
        <v>80524520.016</v>
      </c>
      <c r="N19" t="n">
        <v>78859650.58499999</v>
      </c>
      <c r="O19" t="n">
        <v>87439611.977</v>
      </c>
      <c r="P19" t="n">
        <v>92087029.418</v>
      </c>
      <c r="Q19" t="n">
        <v>95218402.625</v>
      </c>
      <c r="R19" t="n">
        <v>101280842.259</v>
      </c>
      <c r="S19" t="n">
        <v>107432042.004</v>
      </c>
      <c r="T19" t="n">
        <v>106564307.459</v>
      </c>
      <c r="U19" t="n">
        <v>110278407.525</v>
      </c>
      <c r="V19" t="n">
        <v>112977769.028</v>
      </c>
      <c r="W19" t="n">
        <v>113606931.128</v>
      </c>
      <c r="X19" t="n">
        <v>113457432.385</v>
      </c>
      <c r="Y19" t="n">
        <v>121943850.307</v>
      </c>
      <c r="Z19" t="n">
        <v>131154780.813</v>
      </c>
      <c r="AA19" t="n">
        <v>131412219.687</v>
      </c>
      <c r="AB19" t="n">
        <v>129767054.602</v>
      </c>
      <c r="AC19" t="n">
        <v>130815358.038</v>
      </c>
      <c r="AD19" t="n">
        <v>135364336.227</v>
      </c>
      <c r="AE19" t="n">
        <v>135231321.613</v>
      </c>
      <c r="AF19" t="n">
        <v>140582108.725</v>
      </c>
      <c r="AG19" t="n">
        <v>142578152.19</v>
      </c>
      <c r="AH19" t="n">
        <v>149455401.334</v>
      </c>
      <c r="AI19" t="n">
        <v>159202442.813</v>
      </c>
      <c r="AJ19" t="n">
        <v>163936493.523</v>
      </c>
      <c r="AK19" t="n">
        <v>169855908.16</v>
      </c>
      <c r="AL19" t="n">
        <v>178161025.881</v>
      </c>
      <c r="AM19" t="n">
        <v>182015237.829</v>
      </c>
      <c r="AN19" t="n">
        <v>195316648.826</v>
      </c>
      <c r="AO19" t="n">
        <v>193871731.182</v>
      </c>
      <c r="AP19" t="n">
        <v>205901355.886</v>
      </c>
      <c r="AQ19" t="n">
        <v>221369329.079</v>
      </c>
      <c r="AR19" t="n">
        <v>233611000.227</v>
      </c>
      <c r="AS19" t="n">
        <v>246644779.033</v>
      </c>
      <c r="AT19" t="n">
        <v>236677850.439</v>
      </c>
      <c r="AU19" t="n">
        <v>273410493.793</v>
      </c>
      <c r="AV19" t="n">
        <v>298204482.414</v>
      </c>
      <c r="AW19" t="n">
        <v>324581888.934</v>
      </c>
      <c r="AX19" t="n">
        <v>324831038.178</v>
      </c>
      <c r="AY19" t="n">
        <v>326496967.007</v>
      </c>
      <c r="AZ19" t="n">
        <v>319182670.833</v>
      </c>
      <c r="BA19" t="n">
        <v>313686200.71</v>
      </c>
      <c r="BB19" t="n">
        <v>328794103.978</v>
      </c>
      <c r="BC19" t="n">
        <v>336077243.163</v>
      </c>
      <c r="BD19" t="n">
        <v>356389387.341</v>
      </c>
      <c r="BE19" t="n">
        <v>347859063.841</v>
      </c>
      <c r="BF19" t="n">
        <v>342070195.158</v>
      </c>
      <c r="BG19" t="n">
        <v>342463533.652</v>
      </c>
      <c r="BH19" t="n">
        <v>341392692.497</v>
      </c>
      <c r="BI19" t="n">
        <v>341739536.689</v>
      </c>
      <c r="BJ19" t="n">
        <v>370862927.782</v>
      </c>
      <c r="BK19" t="n">
        <v>373343034.449</v>
      </c>
      <c r="BL19" t="n">
        <v>355065529.865</v>
      </c>
      <c r="BM19" t="n">
        <v>383308015.704</v>
      </c>
      <c r="BN19" t="n">
        <v>406688970.994</v>
      </c>
      <c r="BO19" t="n">
        <v>396903136.543</v>
      </c>
      <c r="BP19" t="n">
        <v>411455587.666</v>
      </c>
      <c r="BQ19" t="n">
        <v>414241503.873</v>
      </c>
      <c r="BR19" t="n">
        <v>405504665.802</v>
      </c>
      <c r="BS19" t="n">
        <v>405109810.906</v>
      </c>
      <c r="BT19" t="n">
        <v>417562398.339</v>
      </c>
    </row>
    <row r="20">
      <c r="A20" t="inlineStr">
        <is>
          <t>new_WithEgestion</t>
        </is>
      </c>
      <c r="B20" t="inlineStr">
        <is>
          <t>ok</t>
        </is>
      </c>
      <c r="C20" t="n">
        <v>12749332.693</v>
      </c>
      <c r="D20" t="n">
        <v>15668605.09</v>
      </c>
      <c r="E20" t="n">
        <v>18459492</v>
      </c>
      <c r="F20" t="n">
        <v>18883313.239</v>
      </c>
      <c r="G20" t="n">
        <v>24221908.73</v>
      </c>
      <c r="H20" t="n">
        <v>27565106.099</v>
      </c>
      <c r="I20" t="n">
        <v>30154792.692</v>
      </c>
      <c r="J20" t="n">
        <v>30207587.404</v>
      </c>
      <c r="K20" t="n">
        <v>32484772.661</v>
      </c>
      <c r="L20" t="n">
        <v>34534423.249</v>
      </c>
      <c r="M20" t="n">
        <v>38615748.453</v>
      </c>
      <c r="N20" t="n">
        <v>37866018.073</v>
      </c>
      <c r="O20" t="n">
        <v>42024594.21</v>
      </c>
      <c r="P20" t="n">
        <v>44396831.218</v>
      </c>
      <c r="Q20" t="n">
        <v>45917007.41</v>
      </c>
      <c r="R20" t="n">
        <v>48624642.561</v>
      </c>
      <c r="S20" t="n">
        <v>51372916.973</v>
      </c>
      <c r="T20" t="n">
        <v>51002530.228</v>
      </c>
      <c r="U20" t="n">
        <v>52782393.614</v>
      </c>
      <c r="V20" t="n">
        <v>53981992.724</v>
      </c>
      <c r="W20" t="n">
        <v>54456023.615</v>
      </c>
      <c r="X20" t="n">
        <v>54103447.385</v>
      </c>
      <c r="Y20" t="n">
        <v>58068438.329</v>
      </c>
      <c r="Z20" t="n">
        <v>62307388.741</v>
      </c>
      <c r="AA20" t="n">
        <v>62638438.698</v>
      </c>
      <c r="AB20" t="n">
        <v>61988039.051</v>
      </c>
      <c r="AC20" t="n">
        <v>62677760.163</v>
      </c>
      <c r="AD20" t="n">
        <v>65156009.454</v>
      </c>
      <c r="AE20" t="n">
        <v>65130982.934</v>
      </c>
      <c r="AF20" t="n">
        <v>67836390.233</v>
      </c>
      <c r="AG20" t="n">
        <v>69022462.68700001</v>
      </c>
      <c r="AH20" t="n">
        <v>72218725.579</v>
      </c>
      <c r="AI20" t="n">
        <v>77077479.317</v>
      </c>
      <c r="AJ20" t="n">
        <v>79865966.14399999</v>
      </c>
      <c r="AK20" t="n">
        <v>82454373.7</v>
      </c>
      <c r="AL20" t="n">
        <v>86758532.09900001</v>
      </c>
      <c r="AM20" t="n">
        <v>88751925.171</v>
      </c>
      <c r="AN20" t="n">
        <v>95514409.75</v>
      </c>
      <c r="AO20" t="n">
        <v>95233165.92</v>
      </c>
      <c r="AP20" t="n">
        <v>101124352.126</v>
      </c>
      <c r="AQ20" t="n">
        <v>109006013.493</v>
      </c>
      <c r="AR20" t="n">
        <v>115081783.315</v>
      </c>
      <c r="AS20" t="n">
        <v>121869795.989</v>
      </c>
      <c r="AT20" t="n">
        <v>117300797.423</v>
      </c>
      <c r="AU20" t="n">
        <v>135367051.226</v>
      </c>
      <c r="AV20" t="n">
        <v>147738472.214</v>
      </c>
      <c r="AW20" t="n">
        <v>161049843.676</v>
      </c>
      <c r="AX20" t="n">
        <v>162285692.383</v>
      </c>
      <c r="AY20" t="n">
        <v>163049534.215</v>
      </c>
      <c r="AZ20" t="n">
        <v>158790745.478</v>
      </c>
      <c r="BA20" t="n">
        <v>155818977.244</v>
      </c>
      <c r="BB20" t="n">
        <v>163471264.909</v>
      </c>
      <c r="BC20" t="n">
        <v>167138162.263</v>
      </c>
      <c r="BD20" t="n">
        <v>176247539.687</v>
      </c>
      <c r="BE20" t="n">
        <v>172035694.009</v>
      </c>
      <c r="BF20" t="n">
        <v>169605916.407</v>
      </c>
      <c r="BG20" t="n">
        <v>169303506.461</v>
      </c>
      <c r="BH20" t="n">
        <v>168998351.642</v>
      </c>
      <c r="BI20" t="n">
        <v>169070068.32</v>
      </c>
      <c r="BJ20" t="n">
        <v>183435321.039</v>
      </c>
      <c r="BK20" t="n">
        <v>184979781.72</v>
      </c>
      <c r="BL20" t="n">
        <v>176481549.71</v>
      </c>
      <c r="BM20" t="n">
        <v>190930366.868</v>
      </c>
      <c r="BN20" t="n">
        <v>202089043.338</v>
      </c>
      <c r="BO20" t="n">
        <v>197940341.789</v>
      </c>
      <c r="BP20" t="n">
        <v>204876044.128</v>
      </c>
      <c r="BQ20" t="n">
        <v>206274998.814</v>
      </c>
      <c r="BR20" t="n">
        <v>201739853.443</v>
      </c>
      <c r="BS20" t="n">
        <v>201249223.968</v>
      </c>
      <c r="BT20" t="n">
        <v>207683825.109</v>
      </c>
    </row>
    <row r="21">
      <c r="A21" t="inlineStr">
        <is>
          <t>sym_TE_asPP</t>
        </is>
      </c>
      <c r="B21" t="inlineStr">
        <is>
          <t>ok</t>
        </is>
      </c>
      <c r="C21" t="n">
        <v>3678562589.761</v>
      </c>
      <c r="D21" t="n">
        <v>4663717494.831</v>
      </c>
      <c r="E21" t="n">
        <v>5625542248.941</v>
      </c>
      <c r="F21" t="n">
        <v>5747401462.634</v>
      </c>
      <c r="G21" t="n">
        <v>6980242752.191</v>
      </c>
      <c r="H21" t="n">
        <v>7996233992.354</v>
      </c>
      <c r="I21" t="n">
        <v>8926732657.579</v>
      </c>
      <c r="J21" t="n">
        <v>8856520912.816</v>
      </c>
      <c r="K21" t="n">
        <v>9348852570.188</v>
      </c>
      <c r="L21" t="n">
        <v>9991397343.818001</v>
      </c>
      <c r="M21" t="n">
        <v>11235456154.071</v>
      </c>
      <c r="N21" t="n">
        <v>10878453436.358</v>
      </c>
      <c r="O21" t="n">
        <v>12314389726.262</v>
      </c>
      <c r="P21" t="n">
        <v>12907336211.26</v>
      </c>
      <c r="Q21" t="n">
        <v>13182091122.996</v>
      </c>
      <c r="R21" t="n">
        <v>14287635707.731</v>
      </c>
      <c r="S21" t="n">
        <v>15044422982.999</v>
      </c>
      <c r="T21" t="n">
        <v>15043415142.158</v>
      </c>
      <c r="U21" t="n">
        <v>15877280621.886</v>
      </c>
      <c r="V21" t="n">
        <v>16356758172.398</v>
      </c>
      <c r="W21" t="n">
        <v>15746658323.117</v>
      </c>
      <c r="X21" t="n">
        <v>16068519676.567</v>
      </c>
      <c r="Y21" t="n">
        <v>16802036663.479</v>
      </c>
      <c r="Z21" t="n">
        <v>18429867512.51</v>
      </c>
      <c r="AA21" t="n">
        <v>18241305460.621</v>
      </c>
      <c r="AB21" t="n">
        <v>18198040557.473</v>
      </c>
      <c r="AC21" t="n">
        <v>18313607665.799</v>
      </c>
      <c r="AD21" t="n">
        <v>18690001819.341</v>
      </c>
      <c r="AE21" t="n">
        <v>18350220049.86</v>
      </c>
      <c r="AF21" t="n">
        <v>19016331277.244</v>
      </c>
      <c r="AG21" t="n">
        <v>18867651443.614</v>
      </c>
      <c r="AH21" t="n">
        <v>19867178622.325</v>
      </c>
      <c r="AI21" t="n">
        <v>21123249746.396</v>
      </c>
      <c r="AJ21" t="n">
        <v>21483103424.451</v>
      </c>
      <c r="AK21" t="n">
        <v>22413217519.951</v>
      </c>
      <c r="AL21" t="n">
        <v>23103280479.827</v>
      </c>
      <c r="AM21" t="n">
        <v>23378392297.016</v>
      </c>
      <c r="AN21" t="n">
        <v>24575981350.329</v>
      </c>
      <c r="AO21" t="n">
        <v>23795265581.028</v>
      </c>
      <c r="AP21" t="n">
        <v>24879826710.34</v>
      </c>
      <c r="AQ21" t="n">
        <v>26464062475.381</v>
      </c>
      <c r="AR21" t="n">
        <v>27654181277.987</v>
      </c>
      <c r="AS21" t="n">
        <v>28620018420.505</v>
      </c>
      <c r="AT21" t="n">
        <v>27465300744.857</v>
      </c>
      <c r="AU21" t="n">
        <v>31957466251.704</v>
      </c>
      <c r="AV21" t="n">
        <v>34164065671.337</v>
      </c>
      <c r="AW21" t="n">
        <v>36818872252.137</v>
      </c>
      <c r="AX21" t="n">
        <v>36215582895.966</v>
      </c>
      <c r="AY21" t="n">
        <v>36325911857.284</v>
      </c>
      <c r="AZ21" t="n">
        <v>37847757840.846</v>
      </c>
      <c r="BA21" t="n">
        <v>36806104457.067</v>
      </c>
      <c r="BB21" t="n">
        <v>37667329839.789</v>
      </c>
      <c r="BC21" t="n">
        <v>38403831168.208</v>
      </c>
      <c r="BD21" t="n">
        <v>40801250049.627</v>
      </c>
      <c r="BE21" t="n">
        <v>40965618650.099</v>
      </c>
      <c r="BF21" t="n">
        <v>39348263948.611</v>
      </c>
      <c r="BG21" t="n">
        <v>39811722819.195</v>
      </c>
      <c r="BH21" t="n">
        <v>39074855403.758</v>
      </c>
      <c r="BI21" t="n">
        <v>39172993269.501</v>
      </c>
      <c r="BJ21" t="n">
        <v>42286163716.222</v>
      </c>
      <c r="BK21" t="n">
        <v>41871047792.654</v>
      </c>
      <c r="BL21" t="n">
        <v>39805826648.108</v>
      </c>
      <c r="BM21" t="n">
        <v>42002895392.089</v>
      </c>
      <c r="BN21" t="n">
        <v>44693781983.541</v>
      </c>
      <c r="BO21" t="n">
        <v>43163564008.094</v>
      </c>
      <c r="BP21" t="n">
        <v>44773279116.87</v>
      </c>
      <c r="BQ21" t="n">
        <v>45076029470.964</v>
      </c>
      <c r="BR21" t="n">
        <v>44528645109.754</v>
      </c>
      <c r="BS21" t="n">
        <v>44988920224.74</v>
      </c>
      <c r="BT21" t="n">
        <v>46336490792.416</v>
      </c>
    </row>
    <row r="22">
      <c r="A22" t="inlineStr">
        <is>
          <t>sym_TE_asDC</t>
        </is>
      </c>
      <c r="B22" t="inlineStr">
        <is>
          <t>ok</t>
        </is>
      </c>
      <c r="C22" t="n">
        <v>3678562589.761</v>
      </c>
      <c r="D22" t="n">
        <v>4663717494.831</v>
      </c>
      <c r="E22" t="n">
        <v>5625542248.941</v>
      </c>
      <c r="F22" t="n">
        <v>5747401462.634</v>
      </c>
      <c r="G22" t="n">
        <v>6980242752.191</v>
      </c>
      <c r="H22" t="n">
        <v>7996233992.354</v>
      </c>
      <c r="I22" t="n">
        <v>8926732657.579</v>
      </c>
      <c r="J22" t="n">
        <v>8856520912.816</v>
      </c>
      <c r="K22" t="n">
        <v>9348852570.188</v>
      </c>
      <c r="L22" t="n">
        <v>9991397343.818001</v>
      </c>
      <c r="M22" t="n">
        <v>11235456154.071</v>
      </c>
      <c r="N22" t="n">
        <v>10878453436.358</v>
      </c>
      <c r="O22" t="n">
        <v>12314389726.262</v>
      </c>
      <c r="P22" t="n">
        <v>12907336211.26</v>
      </c>
      <c r="Q22" t="n">
        <v>13182091122.996</v>
      </c>
      <c r="R22" t="n">
        <v>14287635707.731</v>
      </c>
      <c r="S22" t="n">
        <v>15044422982.999</v>
      </c>
      <c r="T22" t="n">
        <v>15043415142.158</v>
      </c>
      <c r="U22" t="n">
        <v>15877280621.886</v>
      </c>
      <c r="V22" t="n">
        <v>16356758172.398</v>
      </c>
      <c r="W22" t="n">
        <v>15746658323.117</v>
      </c>
      <c r="X22" t="n">
        <v>16068519676.567</v>
      </c>
      <c r="Y22" t="n">
        <v>16802036663.479</v>
      </c>
      <c r="Z22" t="n">
        <v>18429867512.51</v>
      </c>
      <c r="AA22" t="n">
        <v>18241305460.621</v>
      </c>
      <c r="AB22" t="n">
        <v>18198040557.473</v>
      </c>
      <c r="AC22" t="n">
        <v>18313607665.799</v>
      </c>
      <c r="AD22" t="n">
        <v>18690001819.341</v>
      </c>
      <c r="AE22" t="n">
        <v>18350220049.86</v>
      </c>
      <c r="AF22" t="n">
        <v>19016331277.244</v>
      </c>
      <c r="AG22" t="n">
        <v>18867651443.614</v>
      </c>
      <c r="AH22" t="n">
        <v>19867178622.325</v>
      </c>
      <c r="AI22" t="n">
        <v>21123249746.396</v>
      </c>
      <c r="AJ22" t="n">
        <v>21483103424.451</v>
      </c>
      <c r="AK22" t="n">
        <v>22413217519.951</v>
      </c>
      <c r="AL22" t="n">
        <v>23103280479.827</v>
      </c>
      <c r="AM22" t="n">
        <v>23378392297.016</v>
      </c>
      <c r="AN22" t="n">
        <v>24575981350.329</v>
      </c>
      <c r="AO22" t="n">
        <v>23795265581.028</v>
      </c>
      <c r="AP22" t="n">
        <v>24879826710.34</v>
      </c>
      <c r="AQ22" t="n">
        <v>26464062475.381</v>
      </c>
      <c r="AR22" t="n">
        <v>27654181277.987</v>
      </c>
      <c r="AS22" t="n">
        <v>28620018420.505</v>
      </c>
      <c r="AT22" t="n">
        <v>27465300744.857</v>
      </c>
      <c r="AU22" t="n">
        <v>31957466251.704</v>
      </c>
      <c r="AV22" t="n">
        <v>34164065671.337</v>
      </c>
      <c r="AW22" t="n">
        <v>36818872252.137</v>
      </c>
      <c r="AX22" t="n">
        <v>36215582895.966</v>
      </c>
      <c r="AY22" t="n">
        <v>36325911857.284</v>
      </c>
      <c r="AZ22" t="n">
        <v>37847757840.846</v>
      </c>
      <c r="BA22" t="n">
        <v>36806104457.067</v>
      </c>
      <c r="BB22" t="n">
        <v>37667329839.789</v>
      </c>
      <c r="BC22" t="n">
        <v>38403831168.208</v>
      </c>
      <c r="BD22" t="n">
        <v>40801250049.627</v>
      </c>
      <c r="BE22" t="n">
        <v>40965618650.099</v>
      </c>
      <c r="BF22" t="n">
        <v>39348263948.611</v>
      </c>
      <c r="BG22" t="n">
        <v>39811722819.195</v>
      </c>
      <c r="BH22" t="n">
        <v>39074855403.758</v>
      </c>
      <c r="BI22" t="n">
        <v>39172993269.501</v>
      </c>
      <c r="BJ22" t="n">
        <v>42286163716.222</v>
      </c>
      <c r="BK22" t="n">
        <v>41871047792.654</v>
      </c>
      <c r="BL22" t="n">
        <v>39805826648.108</v>
      </c>
      <c r="BM22" t="n">
        <v>42002895392.089</v>
      </c>
      <c r="BN22" t="n">
        <v>44693781983.541</v>
      </c>
      <c r="BO22" t="n">
        <v>43163564008.094</v>
      </c>
      <c r="BP22" t="n">
        <v>44773279116.87</v>
      </c>
      <c r="BQ22" t="n">
        <v>45076029470.964</v>
      </c>
      <c r="BR22" t="n">
        <v>44528645109.754</v>
      </c>
      <c r="BS22" t="n">
        <v>44988920224.74</v>
      </c>
      <c r="BT22" t="n">
        <v>46336490792.416</v>
      </c>
    </row>
    <row r="23">
      <c r="A23" t="inlineStr">
        <is>
          <t>sym_GE_asPP</t>
        </is>
      </c>
      <c r="B23" t="inlineStr">
        <is>
          <t>ok</t>
        </is>
      </c>
      <c r="C23" t="n">
        <v>26573211.055</v>
      </c>
      <c r="D23" t="n">
        <v>32827391.134</v>
      </c>
      <c r="E23" t="n">
        <v>38823414.167</v>
      </c>
      <c r="F23" t="n">
        <v>39690514.472</v>
      </c>
      <c r="G23" t="n">
        <v>50297246.226</v>
      </c>
      <c r="H23" t="n">
        <v>57243845.632</v>
      </c>
      <c r="I23" t="n">
        <v>62841207.425</v>
      </c>
      <c r="J23" t="n">
        <v>62906145.954</v>
      </c>
      <c r="K23" t="n">
        <v>67622612.35699999</v>
      </c>
      <c r="L23" t="n">
        <v>71785626.69499999</v>
      </c>
      <c r="M23" t="n">
        <v>80524520.016</v>
      </c>
      <c r="N23" t="n">
        <v>78859650.58499999</v>
      </c>
      <c r="O23" t="n">
        <v>87439611.977</v>
      </c>
      <c r="P23" t="n">
        <v>92087029.418</v>
      </c>
      <c r="Q23" t="n">
        <v>95218402.625</v>
      </c>
      <c r="R23" t="n">
        <v>101280842.259</v>
      </c>
      <c r="S23" t="n">
        <v>107432042.004</v>
      </c>
      <c r="T23" t="n">
        <v>106564307.459</v>
      </c>
      <c r="U23" t="n">
        <v>110278407.525</v>
      </c>
      <c r="V23" t="n">
        <v>112977769.028</v>
      </c>
      <c r="W23" t="n">
        <v>113606931.128</v>
      </c>
      <c r="X23" t="n">
        <v>113457432.385</v>
      </c>
      <c r="Y23" t="n">
        <v>121943850.307</v>
      </c>
      <c r="Z23" t="n">
        <v>131154780.813</v>
      </c>
      <c r="AA23" t="n">
        <v>131412219.687</v>
      </c>
      <c r="AB23" t="n">
        <v>129767054.602</v>
      </c>
      <c r="AC23" t="n">
        <v>130815358.038</v>
      </c>
      <c r="AD23" t="n">
        <v>135364336.227</v>
      </c>
      <c r="AE23" t="n">
        <v>135231321.613</v>
      </c>
      <c r="AF23" t="n">
        <v>140582108.725</v>
      </c>
      <c r="AG23" t="n">
        <v>142578152.19</v>
      </c>
      <c r="AH23" t="n">
        <v>149455401.334</v>
      </c>
      <c r="AI23" t="n">
        <v>159202442.813</v>
      </c>
      <c r="AJ23" t="n">
        <v>163936493.523</v>
      </c>
      <c r="AK23" t="n">
        <v>169855908.16</v>
      </c>
      <c r="AL23" t="n">
        <v>178161025.881</v>
      </c>
      <c r="AM23" t="n">
        <v>182015237.829</v>
      </c>
      <c r="AN23" t="n">
        <v>195316648.826</v>
      </c>
      <c r="AO23" t="n">
        <v>193871731.182</v>
      </c>
      <c r="AP23" t="n">
        <v>205901355.886</v>
      </c>
      <c r="AQ23" t="n">
        <v>221369329.079</v>
      </c>
      <c r="AR23" t="n">
        <v>233611000.227</v>
      </c>
      <c r="AS23" t="n">
        <v>246644779.033</v>
      </c>
      <c r="AT23" t="n">
        <v>236677850.439</v>
      </c>
      <c r="AU23" t="n">
        <v>273410493.793</v>
      </c>
      <c r="AV23" t="n">
        <v>298204482.414</v>
      </c>
      <c r="AW23" t="n">
        <v>324581888.934</v>
      </c>
      <c r="AX23" t="n">
        <v>324831038.178</v>
      </c>
      <c r="AY23" t="n">
        <v>326496967.007</v>
      </c>
      <c r="AZ23" t="n">
        <v>319182670.833</v>
      </c>
      <c r="BA23" t="n">
        <v>313686200.71</v>
      </c>
      <c r="BB23" t="n">
        <v>328794103.978</v>
      </c>
      <c r="BC23" t="n">
        <v>336077243.163</v>
      </c>
      <c r="BD23" t="n">
        <v>356389387.341</v>
      </c>
      <c r="BE23" t="n">
        <v>347859063.841</v>
      </c>
      <c r="BF23" t="n">
        <v>342070195.158</v>
      </c>
      <c r="BG23" t="n">
        <v>342463533.652</v>
      </c>
      <c r="BH23" t="n">
        <v>341392692.497</v>
      </c>
      <c r="BI23" t="n">
        <v>341739536.689</v>
      </c>
      <c r="BJ23" t="n">
        <v>370862927.782</v>
      </c>
      <c r="BK23" t="n">
        <v>373343034.449</v>
      </c>
      <c r="BL23" t="n">
        <v>355065529.865</v>
      </c>
      <c r="BM23" t="n">
        <v>383308015.704</v>
      </c>
      <c r="BN23" t="n">
        <v>406688970.994</v>
      </c>
      <c r="BO23" t="n">
        <v>396903136.543</v>
      </c>
      <c r="BP23" t="n">
        <v>411455587.666</v>
      </c>
      <c r="BQ23" t="n">
        <v>414241503.873</v>
      </c>
      <c r="BR23" t="n">
        <v>405504665.802</v>
      </c>
      <c r="BS23" t="n">
        <v>405109810.906</v>
      </c>
      <c r="BT23" t="n">
        <v>417562398.339</v>
      </c>
    </row>
    <row r="24">
      <c r="A24" t="inlineStr">
        <is>
          <t>sym_GE_asDC</t>
        </is>
      </c>
      <c r="B24" t="inlineStr">
        <is>
          <t>ok</t>
        </is>
      </c>
      <c r="C24" t="n">
        <v>26573211.055</v>
      </c>
      <c r="D24" t="n">
        <v>32827391.134</v>
      </c>
      <c r="E24" t="n">
        <v>38823414.167</v>
      </c>
      <c r="F24" t="n">
        <v>39690514.472</v>
      </c>
      <c r="G24" t="n">
        <v>50297246.226</v>
      </c>
      <c r="H24" t="n">
        <v>57243845.632</v>
      </c>
      <c r="I24" t="n">
        <v>62841207.425</v>
      </c>
      <c r="J24" t="n">
        <v>62906145.954</v>
      </c>
      <c r="K24" t="n">
        <v>67622612.35699999</v>
      </c>
      <c r="L24" t="n">
        <v>71785626.69499999</v>
      </c>
      <c r="M24" t="n">
        <v>80524520.016</v>
      </c>
      <c r="N24" t="n">
        <v>78859650.58499999</v>
      </c>
      <c r="O24" t="n">
        <v>87439611.977</v>
      </c>
      <c r="P24" t="n">
        <v>92087029.418</v>
      </c>
      <c r="Q24" t="n">
        <v>95218402.625</v>
      </c>
      <c r="R24" t="n">
        <v>101280842.259</v>
      </c>
      <c r="S24" t="n">
        <v>107432042.004</v>
      </c>
      <c r="T24" t="n">
        <v>106564307.459</v>
      </c>
      <c r="U24" t="n">
        <v>110278407.525</v>
      </c>
      <c r="V24" t="n">
        <v>112977769.028</v>
      </c>
      <c r="W24" t="n">
        <v>113606931.128</v>
      </c>
      <c r="X24" t="n">
        <v>113457432.385</v>
      </c>
      <c r="Y24" t="n">
        <v>121943850.307</v>
      </c>
      <c r="Z24" t="n">
        <v>131154780.813</v>
      </c>
      <c r="AA24" t="n">
        <v>131412219.687</v>
      </c>
      <c r="AB24" t="n">
        <v>129767054.602</v>
      </c>
      <c r="AC24" t="n">
        <v>130815358.038</v>
      </c>
      <c r="AD24" t="n">
        <v>135364336.227</v>
      </c>
      <c r="AE24" t="n">
        <v>135231321.613</v>
      </c>
      <c r="AF24" t="n">
        <v>140582108.725</v>
      </c>
      <c r="AG24" t="n">
        <v>142578152.19</v>
      </c>
      <c r="AH24" t="n">
        <v>149455401.334</v>
      </c>
      <c r="AI24" t="n">
        <v>159202442.813</v>
      </c>
      <c r="AJ24" t="n">
        <v>163936493.523</v>
      </c>
      <c r="AK24" t="n">
        <v>169855908.16</v>
      </c>
      <c r="AL24" t="n">
        <v>178161025.881</v>
      </c>
      <c r="AM24" t="n">
        <v>182015237.829</v>
      </c>
      <c r="AN24" t="n">
        <v>195316648.826</v>
      </c>
      <c r="AO24" t="n">
        <v>193871731.182</v>
      </c>
      <c r="AP24" t="n">
        <v>205901355.886</v>
      </c>
      <c r="AQ24" t="n">
        <v>221369329.079</v>
      </c>
      <c r="AR24" t="n">
        <v>233611000.227</v>
      </c>
      <c r="AS24" t="n">
        <v>246644779.033</v>
      </c>
      <c r="AT24" t="n">
        <v>236677850.439</v>
      </c>
      <c r="AU24" t="n">
        <v>273410493.793</v>
      </c>
      <c r="AV24" t="n">
        <v>298204482.414</v>
      </c>
      <c r="AW24" t="n">
        <v>324581888.934</v>
      </c>
      <c r="AX24" t="n">
        <v>324831038.178</v>
      </c>
      <c r="AY24" t="n">
        <v>326496967.007</v>
      </c>
      <c r="AZ24" t="n">
        <v>319182670.833</v>
      </c>
      <c r="BA24" t="n">
        <v>313686200.71</v>
      </c>
      <c r="BB24" t="n">
        <v>328794103.978</v>
      </c>
      <c r="BC24" t="n">
        <v>336077243.163</v>
      </c>
      <c r="BD24" t="n">
        <v>356389387.341</v>
      </c>
      <c r="BE24" t="n">
        <v>347859063.841</v>
      </c>
      <c r="BF24" t="n">
        <v>342070195.158</v>
      </c>
      <c r="BG24" t="n">
        <v>342463533.652</v>
      </c>
      <c r="BH24" t="n">
        <v>341392692.497</v>
      </c>
      <c r="BI24" t="n">
        <v>341739536.689</v>
      </c>
      <c r="BJ24" t="n">
        <v>370862927.782</v>
      </c>
      <c r="BK24" t="n">
        <v>373343034.449</v>
      </c>
      <c r="BL24" t="n">
        <v>355065529.865</v>
      </c>
      <c r="BM24" t="n">
        <v>383308015.704</v>
      </c>
      <c r="BN24" t="n">
        <v>406688970.994</v>
      </c>
      <c r="BO24" t="n">
        <v>396903136.543</v>
      </c>
      <c r="BP24" t="n">
        <v>411455587.666</v>
      </c>
      <c r="BQ24" t="n">
        <v>414241503.873</v>
      </c>
      <c r="BR24" t="n">
        <v>405504665.802</v>
      </c>
      <c r="BS24" t="n">
        <v>405109810.906</v>
      </c>
      <c r="BT24" t="n">
        <v>417562398.339</v>
      </c>
    </row>
    <row r="25">
      <c r="A25" t="inlineStr">
        <is>
          <t>sym_WithEgestion_asPP</t>
        </is>
      </c>
      <c r="B25" t="inlineStr">
        <is>
          <t>ok</t>
        </is>
      </c>
      <c r="C25" t="n">
        <v>12749332.693</v>
      </c>
      <c r="D25" t="n">
        <v>15668605.09</v>
      </c>
      <c r="E25" t="n">
        <v>18459492</v>
      </c>
      <c r="F25" t="n">
        <v>18883313.239</v>
      </c>
      <c r="G25" t="n">
        <v>24221908.73</v>
      </c>
      <c r="H25" t="n">
        <v>27565106.099</v>
      </c>
      <c r="I25" t="n">
        <v>30154792.692</v>
      </c>
      <c r="J25" t="n">
        <v>30207587.404</v>
      </c>
      <c r="K25" t="n">
        <v>32484772.661</v>
      </c>
      <c r="L25" t="n">
        <v>34534423.249</v>
      </c>
      <c r="M25" t="n">
        <v>38615748.453</v>
      </c>
      <c r="N25" t="n">
        <v>37866018.073</v>
      </c>
      <c r="O25" t="n">
        <v>42024594.21</v>
      </c>
      <c r="P25" t="n">
        <v>44396831.218</v>
      </c>
      <c r="Q25" t="n">
        <v>45917007.41</v>
      </c>
      <c r="R25" t="n">
        <v>48624642.561</v>
      </c>
      <c r="S25" t="n">
        <v>51372916.973</v>
      </c>
      <c r="T25" t="n">
        <v>51002530.228</v>
      </c>
      <c r="U25" t="n">
        <v>52782393.614</v>
      </c>
      <c r="V25" t="n">
        <v>53981992.724</v>
      </c>
      <c r="W25" t="n">
        <v>54456023.615</v>
      </c>
      <c r="X25" t="n">
        <v>54103447.385</v>
      </c>
      <c r="Y25" t="n">
        <v>58068438.329</v>
      </c>
      <c r="Z25" t="n">
        <v>62307388.741</v>
      </c>
      <c r="AA25" t="n">
        <v>62638438.698</v>
      </c>
      <c r="AB25" t="n">
        <v>61988039.051</v>
      </c>
      <c r="AC25" t="n">
        <v>62677760.163</v>
      </c>
      <c r="AD25" t="n">
        <v>65156009.454</v>
      </c>
      <c r="AE25" t="n">
        <v>65130982.934</v>
      </c>
      <c r="AF25" t="n">
        <v>67836390.233</v>
      </c>
      <c r="AG25" t="n">
        <v>69022462.68700001</v>
      </c>
      <c r="AH25" t="n">
        <v>72218725.579</v>
      </c>
      <c r="AI25" t="n">
        <v>77077479.317</v>
      </c>
      <c r="AJ25" t="n">
        <v>79865966.14399999</v>
      </c>
      <c r="AK25" t="n">
        <v>82454373.7</v>
      </c>
      <c r="AL25" t="n">
        <v>86758532.09900001</v>
      </c>
      <c r="AM25" t="n">
        <v>88751925.171</v>
      </c>
      <c r="AN25" t="n">
        <v>95514409.75</v>
      </c>
      <c r="AO25" t="n">
        <v>95233165.92</v>
      </c>
      <c r="AP25" t="n">
        <v>101124352.126</v>
      </c>
      <c r="AQ25" t="n">
        <v>109006013.493</v>
      </c>
      <c r="AR25" t="n">
        <v>115081783.315</v>
      </c>
      <c r="AS25" t="n">
        <v>121869795.989</v>
      </c>
      <c r="AT25" t="n">
        <v>117300797.423</v>
      </c>
      <c r="AU25" t="n">
        <v>135367051.226</v>
      </c>
      <c r="AV25" t="n">
        <v>147738472.214</v>
      </c>
      <c r="AW25" t="n">
        <v>161049843.676</v>
      </c>
      <c r="AX25" t="n">
        <v>162285692.383</v>
      </c>
      <c r="AY25" t="n">
        <v>163049534.215</v>
      </c>
      <c r="AZ25" t="n">
        <v>158790745.478</v>
      </c>
      <c r="BA25" t="n">
        <v>155818977.244</v>
      </c>
      <c r="BB25" t="n">
        <v>163471264.909</v>
      </c>
      <c r="BC25" t="n">
        <v>167138162.263</v>
      </c>
      <c r="BD25" t="n">
        <v>176247539.687</v>
      </c>
      <c r="BE25" t="n">
        <v>172035694.009</v>
      </c>
      <c r="BF25" t="n">
        <v>169605916.407</v>
      </c>
      <c r="BG25" t="n">
        <v>169303506.461</v>
      </c>
      <c r="BH25" t="n">
        <v>168998351.642</v>
      </c>
      <c r="BI25" t="n">
        <v>169070068.32</v>
      </c>
      <c r="BJ25" t="n">
        <v>183435321.039</v>
      </c>
      <c r="BK25" t="n">
        <v>184979781.72</v>
      </c>
      <c r="BL25" t="n">
        <v>176481549.71</v>
      </c>
      <c r="BM25" t="n">
        <v>190930366.868</v>
      </c>
      <c r="BN25" t="n">
        <v>202089043.338</v>
      </c>
      <c r="BO25" t="n">
        <v>197940341.789</v>
      </c>
      <c r="BP25" t="n">
        <v>204876044.128</v>
      </c>
      <c r="BQ25" t="n">
        <v>206274998.814</v>
      </c>
      <c r="BR25" t="n">
        <v>201739853.443</v>
      </c>
      <c r="BS25" t="n">
        <v>201249223.968</v>
      </c>
      <c r="BT25" t="n">
        <v>207683825.109</v>
      </c>
    </row>
    <row r="26">
      <c r="A26" t="inlineStr">
        <is>
          <t>sym_WithEgestion_asDC</t>
        </is>
      </c>
      <c r="B26" t="inlineStr">
        <is>
          <t>ok</t>
        </is>
      </c>
      <c r="C26" t="n">
        <v>12749332.693</v>
      </c>
      <c r="D26" t="n">
        <v>15668605.09</v>
      </c>
      <c r="E26" t="n">
        <v>18459492</v>
      </c>
      <c r="F26" t="n">
        <v>18883313.239</v>
      </c>
      <c r="G26" t="n">
        <v>24221908.73</v>
      </c>
      <c r="H26" t="n">
        <v>27565106.099</v>
      </c>
      <c r="I26" t="n">
        <v>30154792.692</v>
      </c>
      <c r="J26" t="n">
        <v>30207587.404</v>
      </c>
      <c r="K26" t="n">
        <v>32484772.661</v>
      </c>
      <c r="L26" t="n">
        <v>34534423.249</v>
      </c>
      <c r="M26" t="n">
        <v>38615748.453</v>
      </c>
      <c r="N26" t="n">
        <v>37866018.073</v>
      </c>
      <c r="O26" t="n">
        <v>42024594.21</v>
      </c>
      <c r="P26" t="n">
        <v>44396831.218</v>
      </c>
      <c r="Q26" t="n">
        <v>45917007.41</v>
      </c>
      <c r="R26" t="n">
        <v>48624642.561</v>
      </c>
      <c r="S26" t="n">
        <v>51372916.973</v>
      </c>
      <c r="T26" t="n">
        <v>51002530.228</v>
      </c>
      <c r="U26" t="n">
        <v>52782393.614</v>
      </c>
      <c r="V26" t="n">
        <v>53981992.724</v>
      </c>
      <c r="W26" t="n">
        <v>54456023.615</v>
      </c>
      <c r="X26" t="n">
        <v>54103447.385</v>
      </c>
      <c r="Y26" t="n">
        <v>58068438.329</v>
      </c>
      <c r="Z26" t="n">
        <v>62307388.741</v>
      </c>
      <c r="AA26" t="n">
        <v>62638438.698</v>
      </c>
      <c r="AB26" t="n">
        <v>61988039.051</v>
      </c>
      <c r="AC26" t="n">
        <v>62677760.163</v>
      </c>
      <c r="AD26" t="n">
        <v>65156009.454</v>
      </c>
      <c r="AE26" t="n">
        <v>65130982.934</v>
      </c>
      <c r="AF26" t="n">
        <v>67836390.233</v>
      </c>
      <c r="AG26" t="n">
        <v>69022462.68700001</v>
      </c>
      <c r="AH26" t="n">
        <v>72218725.579</v>
      </c>
      <c r="AI26" t="n">
        <v>77077479.317</v>
      </c>
      <c r="AJ26" t="n">
        <v>79865966.14399999</v>
      </c>
      <c r="AK26" t="n">
        <v>82454373.7</v>
      </c>
      <c r="AL26" t="n">
        <v>86758532.09900001</v>
      </c>
      <c r="AM26" t="n">
        <v>88751925.171</v>
      </c>
      <c r="AN26" t="n">
        <v>95514409.75</v>
      </c>
      <c r="AO26" t="n">
        <v>95233165.92</v>
      </c>
      <c r="AP26" t="n">
        <v>101124352.126</v>
      </c>
      <c r="AQ26" t="n">
        <v>109006013.493</v>
      </c>
      <c r="AR26" t="n">
        <v>115081783.315</v>
      </c>
      <c r="AS26" t="n">
        <v>121869795.989</v>
      </c>
      <c r="AT26" t="n">
        <v>117300797.423</v>
      </c>
      <c r="AU26" t="n">
        <v>135367051.226</v>
      </c>
      <c r="AV26" t="n">
        <v>147738472.214</v>
      </c>
      <c r="AW26" t="n">
        <v>161049843.676</v>
      </c>
      <c r="AX26" t="n">
        <v>162285692.383</v>
      </c>
      <c r="AY26" t="n">
        <v>163049534.215</v>
      </c>
      <c r="AZ26" t="n">
        <v>158790745.478</v>
      </c>
      <c r="BA26" t="n">
        <v>155818977.244</v>
      </c>
      <c r="BB26" t="n">
        <v>163471264.909</v>
      </c>
      <c r="BC26" t="n">
        <v>167138162.263</v>
      </c>
      <c r="BD26" t="n">
        <v>176247539.687</v>
      </c>
      <c r="BE26" t="n">
        <v>172035694.009</v>
      </c>
      <c r="BF26" t="n">
        <v>169605916.407</v>
      </c>
      <c r="BG26" t="n">
        <v>169303506.461</v>
      </c>
      <c r="BH26" t="n">
        <v>168998351.642</v>
      </c>
      <c r="BI26" t="n">
        <v>169070068.32</v>
      </c>
      <c r="BJ26" t="n">
        <v>183435321.039</v>
      </c>
      <c r="BK26" t="n">
        <v>184979781.72</v>
      </c>
      <c r="BL26" t="n">
        <v>176481549.71</v>
      </c>
      <c r="BM26" t="n">
        <v>190930366.868</v>
      </c>
      <c r="BN26" t="n">
        <v>202089043.338</v>
      </c>
      <c r="BO26" t="n">
        <v>197940341.789</v>
      </c>
      <c r="BP26" t="n">
        <v>204876044.128</v>
      </c>
      <c r="BQ26" t="n">
        <v>206274998.814</v>
      </c>
      <c r="BR26" t="n">
        <v>201739853.443</v>
      </c>
      <c r="BS26" t="n">
        <v>201249223.968</v>
      </c>
      <c r="BT26" t="n">
        <v>207683825.109</v>
      </c>
    </row>
    <row r="27">
      <c r="A27" t="inlineStr">
        <is>
          <t>MC_new_GE</t>
        </is>
      </c>
      <c r="B27" t="inlineStr">
        <is>
          <t>ok</t>
        </is>
      </c>
      <c r="C27" t="n">
        <v>28033981.255</v>
      </c>
      <c r="D27" t="n">
        <v>34653994.91</v>
      </c>
      <c r="E27" t="n">
        <v>41000829.235</v>
      </c>
      <c r="F27" t="n">
        <v>41917869.708</v>
      </c>
      <c r="G27" t="n">
        <v>53129845.517</v>
      </c>
      <c r="H27" t="n">
        <v>60487113.701</v>
      </c>
      <c r="I27" t="n">
        <v>66409909.433</v>
      </c>
      <c r="J27" t="n">
        <v>66474857.092</v>
      </c>
      <c r="K27" t="n">
        <v>71442989.43799999</v>
      </c>
      <c r="L27" t="n">
        <v>75854454.76899999</v>
      </c>
      <c r="M27" t="n">
        <v>85049456.03200001</v>
      </c>
      <c r="N27" t="n">
        <v>83327275.67200001</v>
      </c>
      <c r="O27" t="n">
        <v>92368245.338</v>
      </c>
      <c r="P27" t="n">
        <v>97273364.483</v>
      </c>
      <c r="Q27" t="n">
        <v>100565959.588</v>
      </c>
      <c r="R27" t="n">
        <v>106953386.887</v>
      </c>
      <c r="S27" t="n">
        <v>113426701.814</v>
      </c>
      <c r="T27" t="n">
        <v>112545162.502</v>
      </c>
      <c r="U27" t="n">
        <v>116460518.124</v>
      </c>
      <c r="V27" t="n">
        <v>119277073.535</v>
      </c>
      <c r="W27" t="n">
        <v>119881781.724</v>
      </c>
      <c r="X27" t="n">
        <v>119755967.415</v>
      </c>
      <c r="Y27" t="n">
        <v>128760283.33</v>
      </c>
      <c r="Z27" t="n">
        <v>138465013.159</v>
      </c>
      <c r="AA27" t="n">
        <v>138711346.845</v>
      </c>
      <c r="AB27" t="n">
        <v>136927788.427</v>
      </c>
      <c r="AC27" t="n">
        <v>138022629.184</v>
      </c>
      <c r="AD27" t="n">
        <v>142738039.284</v>
      </c>
      <c r="AE27" t="n">
        <v>142561176.582</v>
      </c>
      <c r="AF27" t="n">
        <v>148268930.816</v>
      </c>
      <c r="AG27" t="n">
        <v>150401110.844</v>
      </c>
      <c r="AH27" t="n">
        <v>157682445.741</v>
      </c>
      <c r="AI27" t="n">
        <v>167959269.1</v>
      </c>
      <c r="AJ27" t="n">
        <v>172955396.98</v>
      </c>
      <c r="AK27" t="n">
        <v>179112013.73</v>
      </c>
      <c r="AL27" t="n">
        <v>187840167.223</v>
      </c>
      <c r="AM27" t="n">
        <v>191893912.797</v>
      </c>
      <c r="AN27" t="n">
        <v>205862150.928</v>
      </c>
      <c r="AO27" t="n">
        <v>204297258.904</v>
      </c>
      <c r="AP27" t="n">
        <v>216990820.402</v>
      </c>
      <c r="AQ27" t="n">
        <v>233360109.468</v>
      </c>
      <c r="AR27" t="n">
        <v>246368725.401</v>
      </c>
      <c r="AS27" t="n">
        <v>260071103.247</v>
      </c>
      <c r="AT27" t="n">
        <v>249468792.384</v>
      </c>
      <c r="AU27" t="n">
        <v>288271973.455</v>
      </c>
      <c r="AV27" t="n">
        <v>314470963.553</v>
      </c>
      <c r="AW27" t="n">
        <v>342223792.147</v>
      </c>
      <c r="AX27" t="n">
        <v>342372157.306</v>
      </c>
      <c r="AY27" t="n">
        <v>344165630.348</v>
      </c>
      <c r="AZ27" t="n">
        <v>336424359.111</v>
      </c>
      <c r="BA27" t="n">
        <v>330564575.381</v>
      </c>
      <c r="BB27" t="n">
        <v>346519949.886</v>
      </c>
      <c r="BC27" t="n">
        <v>354226896.169</v>
      </c>
      <c r="BD27" t="n">
        <v>375607007.251</v>
      </c>
      <c r="BE27" t="n">
        <v>366663943.743</v>
      </c>
      <c r="BF27" t="n">
        <v>360501581.118</v>
      </c>
      <c r="BG27" t="n">
        <v>360985872.171</v>
      </c>
      <c r="BH27" t="n">
        <v>359820543.969</v>
      </c>
      <c r="BI27" t="n">
        <v>360183192.425</v>
      </c>
      <c r="BJ27" t="n">
        <v>390885969.651</v>
      </c>
      <c r="BK27" t="n">
        <v>393493544.42</v>
      </c>
      <c r="BL27" t="n">
        <v>374115712.409</v>
      </c>
      <c r="BM27" t="n">
        <v>403863676.673</v>
      </c>
      <c r="BN27" t="n">
        <v>428501671.825</v>
      </c>
      <c r="BO27" t="n">
        <v>418217070.498</v>
      </c>
      <c r="BP27" t="n">
        <v>433557153.464</v>
      </c>
      <c r="BQ27" t="n">
        <v>436452914.763</v>
      </c>
      <c r="BR27" t="n">
        <v>427232073.994</v>
      </c>
      <c r="BS27" t="n">
        <v>426779788.86</v>
      </c>
      <c r="BT27" t="n">
        <v>439857499.545</v>
      </c>
    </row>
    <row r="28">
      <c r="A28" t="inlineStr">
        <is>
          <t>MC_new_TE_EEfix</t>
        </is>
      </c>
      <c r="B28" t="inlineStr">
        <is>
          <t>ok</t>
        </is>
      </c>
      <c r="C28" t="n">
        <v>3968429537.661</v>
      </c>
      <c r="D28" t="n">
        <v>5036733627.335</v>
      </c>
      <c r="E28" t="n">
        <v>6078639191.78</v>
      </c>
      <c r="F28" t="n">
        <v>6209429936.543</v>
      </c>
      <c r="G28" t="n">
        <v>7536044202.358</v>
      </c>
      <c r="H28" t="n">
        <v>8628591656.826</v>
      </c>
      <c r="I28" t="n">
        <v>9637759719.756001</v>
      </c>
      <c r="J28" t="n">
        <v>9559324418.062</v>
      </c>
      <c r="K28" t="n">
        <v>10080272015.184</v>
      </c>
      <c r="L28" t="n">
        <v>10770652930.385</v>
      </c>
      <c r="M28" t="n">
        <v>12106487092.91</v>
      </c>
      <c r="N28" t="n">
        <v>11714027493.859</v>
      </c>
      <c r="O28" t="n">
        <v>13259117021.231</v>
      </c>
      <c r="P28" t="n">
        <v>13891831941.529</v>
      </c>
      <c r="Q28" t="n">
        <v>14184010789.673</v>
      </c>
      <c r="R28" t="n">
        <v>15378447174.481</v>
      </c>
      <c r="S28" t="n">
        <v>16185250598.62</v>
      </c>
      <c r="T28" t="n">
        <v>16178544558.935</v>
      </c>
      <c r="U28" t="n">
        <v>17075308413.179</v>
      </c>
      <c r="V28" t="n">
        <v>17590109147.044</v>
      </c>
      <c r="W28" t="n">
        <v>16929058103.019</v>
      </c>
      <c r="X28" t="n">
        <v>17288007665.713</v>
      </c>
      <c r="Y28" t="n">
        <v>18081649158.475</v>
      </c>
      <c r="Z28" t="n">
        <v>19845107985.568</v>
      </c>
      <c r="AA28" t="n">
        <v>19650148731.68</v>
      </c>
      <c r="AB28" t="n">
        <v>19586685862.556</v>
      </c>
      <c r="AC28" t="n">
        <v>19691154540.292</v>
      </c>
      <c r="AD28" t="n">
        <v>20080181690.892</v>
      </c>
      <c r="AE28" t="n">
        <v>19726420312.823</v>
      </c>
      <c r="AF28" t="n">
        <v>20433064799.887</v>
      </c>
      <c r="AG28" t="n">
        <v>20255075635.289</v>
      </c>
      <c r="AH28" t="n">
        <v>21344626862.381</v>
      </c>
      <c r="AI28" t="n">
        <v>22696690708.874</v>
      </c>
      <c r="AJ28" t="n">
        <v>23054251600.849</v>
      </c>
      <c r="AK28" t="n">
        <v>24066468054.734</v>
      </c>
      <c r="AL28" t="n">
        <v>24795982582.78</v>
      </c>
      <c r="AM28" t="n">
        <v>25075232889.219</v>
      </c>
      <c r="AN28" t="n">
        <v>26339274680.956</v>
      </c>
      <c r="AO28" t="n">
        <v>25502180416.416</v>
      </c>
      <c r="AP28" t="n">
        <v>26661088993.929</v>
      </c>
      <c r="AQ28" t="n">
        <v>28356514203.349</v>
      </c>
      <c r="AR28" t="n">
        <v>29632388407.879</v>
      </c>
      <c r="AS28" t="n">
        <v>30672378639.147</v>
      </c>
      <c r="AT28" t="n">
        <v>29448827062.579</v>
      </c>
      <c r="AU28" t="n">
        <v>34299388797.627</v>
      </c>
      <c r="AV28" t="n">
        <v>36673302770.708</v>
      </c>
      <c r="AW28" t="n">
        <v>39509716464.886</v>
      </c>
      <c r="AX28" t="n">
        <v>38842143318.927</v>
      </c>
      <c r="AY28" t="n">
        <v>38976462120.825</v>
      </c>
      <c r="AZ28" t="n">
        <v>40589015867.998</v>
      </c>
      <c r="BA28" t="n">
        <v>39491093949.478</v>
      </c>
      <c r="BB28" t="n">
        <v>40429960091.248</v>
      </c>
      <c r="BC28" t="n">
        <v>41207522680.911</v>
      </c>
      <c r="BD28" t="n">
        <v>43809287611.61</v>
      </c>
      <c r="BE28" t="n">
        <v>43949459825.285</v>
      </c>
      <c r="BF28" t="n">
        <v>42192962628.877</v>
      </c>
      <c r="BG28" t="n">
        <v>42709809150.307</v>
      </c>
      <c r="BH28" t="n">
        <v>41900499832.916</v>
      </c>
      <c r="BI28" t="n">
        <v>42022461838.691</v>
      </c>
      <c r="BJ28" t="n">
        <v>45372322487.583</v>
      </c>
      <c r="BK28" t="n">
        <v>44920619148.788</v>
      </c>
      <c r="BL28" t="n">
        <v>42668291330.175</v>
      </c>
      <c r="BM28" t="n">
        <v>45005031869.508</v>
      </c>
      <c r="BN28" t="n">
        <v>47909612935.024</v>
      </c>
      <c r="BO28" t="n">
        <v>46262598911.676</v>
      </c>
      <c r="BP28" t="n">
        <v>47993763481.983</v>
      </c>
      <c r="BQ28" t="n">
        <v>48309861537.07</v>
      </c>
      <c r="BR28" t="n">
        <v>47720777835.524</v>
      </c>
      <c r="BS28" t="n">
        <v>48212910535.728</v>
      </c>
      <c r="BT28" t="n">
        <v>49647541711.128</v>
      </c>
    </row>
    <row r="30">
      <c r="A30" t="inlineStr">
        <is>
          <t>Catch tonnage on a named group: 386,762,122 of 387,582,302 (99.8 %). Unresolved taxa contribute nothing to the model rows and everything to the simple row, so the two are not directly comparable until coverage is 100 %.</t>
        </is>
      </c>
    </row>
    <row r="31">
      <c r="A31" s="19" t="inlineStr">
        <is>
          <t>3 of 20 methods are flagged above. A flagged row is a property of this model under that method, not of the mapping; see model_health in the SPPR workbook.</t>
        </is>
      </c>
    </row>
    <row r="32">
      <c r="A32" t="inlineStr">
        <is>
          <t>Coverage by year, %:</t>
        </is>
      </c>
    </row>
    <row r="33">
      <c r="A33" t="inlineStr">
        <is>
          <t>catch on a named group, %</t>
        </is>
      </c>
      <c r="B33" t="inlineStr"/>
      <c r="C33" t="n">
        <v>99.94</v>
      </c>
      <c r="D33" t="n">
        <v>99.95999999999999</v>
      </c>
      <c r="E33" t="n">
        <v>99.95999999999999</v>
      </c>
      <c r="F33" t="n">
        <v>99.95999999999999</v>
      </c>
      <c r="G33" t="n">
        <v>99.97</v>
      </c>
      <c r="H33" t="n">
        <v>99.97</v>
      </c>
      <c r="I33" t="n">
        <v>99.95999999999999</v>
      </c>
      <c r="J33" t="n">
        <v>99.97</v>
      </c>
      <c r="K33" t="n">
        <v>99.92</v>
      </c>
      <c r="L33" t="n">
        <v>99.94</v>
      </c>
      <c r="M33" t="n">
        <v>99.93000000000001</v>
      </c>
      <c r="N33" t="n">
        <v>99.93000000000001</v>
      </c>
      <c r="O33" t="n">
        <v>99.92</v>
      </c>
      <c r="P33" t="n">
        <v>99.91</v>
      </c>
      <c r="Q33" t="n">
        <v>99.92</v>
      </c>
      <c r="R33" t="n">
        <v>99.91</v>
      </c>
      <c r="S33" t="n">
        <v>99.92</v>
      </c>
      <c r="T33" t="n">
        <v>99.89</v>
      </c>
      <c r="U33" t="n">
        <v>99.88</v>
      </c>
      <c r="V33" t="n">
        <v>99.87</v>
      </c>
      <c r="W33" t="n">
        <v>99.88</v>
      </c>
      <c r="X33" t="n">
        <v>99.87</v>
      </c>
      <c r="Y33" t="n">
        <v>99.89</v>
      </c>
      <c r="Z33" t="n">
        <v>99.88</v>
      </c>
      <c r="AA33" t="n">
        <v>99.89</v>
      </c>
      <c r="AB33" t="n">
        <v>99.86</v>
      </c>
      <c r="AC33" t="n">
        <v>99.89</v>
      </c>
      <c r="AD33" t="n">
        <v>99.88</v>
      </c>
      <c r="AE33" t="n">
        <v>99.88</v>
      </c>
      <c r="AF33" t="n">
        <v>99.90000000000001</v>
      </c>
      <c r="AG33" t="n">
        <v>99.90000000000001</v>
      </c>
      <c r="AH33" t="n">
        <v>99.89</v>
      </c>
      <c r="AI33" t="n">
        <v>99.90000000000001</v>
      </c>
      <c r="AJ33" t="n">
        <v>99.91</v>
      </c>
      <c r="AK33" t="n">
        <v>99.90000000000001</v>
      </c>
      <c r="AL33" t="n">
        <v>99.90000000000001</v>
      </c>
      <c r="AM33" t="n">
        <v>99.90000000000001</v>
      </c>
      <c r="AN33" t="n">
        <v>99.91</v>
      </c>
      <c r="AO33" t="n">
        <v>99.89</v>
      </c>
      <c r="AP33" t="n">
        <v>99.88</v>
      </c>
      <c r="AQ33" t="n">
        <v>99.77</v>
      </c>
      <c r="AR33" t="n">
        <v>99.75</v>
      </c>
      <c r="AS33" t="n">
        <v>99.8</v>
      </c>
      <c r="AT33" t="n">
        <v>99.88</v>
      </c>
      <c r="AU33" t="n">
        <v>99.89</v>
      </c>
      <c r="AV33" t="n">
        <v>99.84</v>
      </c>
      <c r="AW33" t="n">
        <v>99.86</v>
      </c>
      <c r="AX33" t="n">
        <v>99.87</v>
      </c>
      <c r="AY33" t="n">
        <v>99.87</v>
      </c>
      <c r="AZ33" t="n">
        <v>99.87</v>
      </c>
      <c r="BA33" t="n">
        <v>99.88</v>
      </c>
      <c r="BB33" t="n">
        <v>99.86</v>
      </c>
      <c r="BC33" t="n">
        <v>99.87</v>
      </c>
      <c r="BD33" t="n">
        <v>99.91</v>
      </c>
      <c r="BE33" t="n">
        <v>99.83</v>
      </c>
      <c r="BF33" t="n">
        <v>99.77</v>
      </c>
      <c r="BG33" t="n">
        <v>99.18000000000001</v>
      </c>
      <c r="BH33" t="n">
        <v>99.3</v>
      </c>
      <c r="BI33" t="n">
        <v>99.70999999999999</v>
      </c>
      <c r="BJ33" t="n">
        <v>99.55</v>
      </c>
      <c r="BK33" t="n">
        <v>99.73999999999999</v>
      </c>
      <c r="BL33" t="n">
        <v>99.78</v>
      </c>
      <c r="BM33" t="n">
        <v>99.81999999999999</v>
      </c>
      <c r="BN33" t="n">
        <v>99.73</v>
      </c>
      <c r="BO33" t="n">
        <v>99.70999999999999</v>
      </c>
      <c r="BP33" t="n">
        <v>99.76000000000001</v>
      </c>
      <c r="BQ33" t="n">
        <v>99.66</v>
      </c>
      <c r="BR33" t="n">
        <v>99.66</v>
      </c>
      <c r="BS33" t="n">
        <v>99.7</v>
      </c>
      <c r="BT33" t="n">
        <v>99.66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1" t="inlineStr">
        <is>
          <t>Recycling diagnostics from diagnose_sppr()</t>
        </is>
      </c>
    </row>
    <row r="2" ht="32" customHeight="1">
      <c r="A2" s="20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18" t="inlineStr">
        <is>
          <t>model</t>
        </is>
      </c>
      <c r="B4" s="18" t="inlineStr">
        <is>
          <t>TE_option</t>
        </is>
      </c>
      <c r="C4" s="18" t="inlineStr">
        <is>
          <t>b</t>
        </is>
      </c>
      <c r="D4" s="18" t="inlineStr">
        <is>
          <t>rho living</t>
        </is>
      </c>
      <c r="E4" s="18" t="inlineStr">
        <is>
          <t>diagnostic status</t>
        </is>
      </c>
      <c r="F4" s="18" t="inlineStr">
        <is>
          <t>b converges</t>
        </is>
      </c>
      <c r="G4" s="18" t="inlineStr">
        <is>
          <t>living converges</t>
        </is>
      </c>
      <c r="H4" s="18" t="inlineStr">
        <is>
          <t>input balanced</t>
        </is>
      </c>
      <c r="I4" s="18" t="inlineStr">
        <is>
          <t>configuration</t>
        </is>
      </c>
    </row>
    <row r="5">
      <c r="A5" t="inlineStr">
        <is>
          <t>36_2_South_China_Sea_SCS-2007_Northern_South_China_Sea_(1970s)</t>
        </is>
      </c>
      <c r="B5" t="inlineStr">
        <is>
          <t>GE</t>
        </is>
      </c>
      <c r="C5" s="21" t="n">
        <v>0.01631263510340195</v>
      </c>
      <c r="D5" s="21" t="n">
        <v>0.3212682901734352</v>
      </c>
      <c r="E5" t="inlineStr">
        <is>
          <t>WARN</t>
        </is>
      </c>
      <c r="F5" t="b">
        <v>1</v>
      </c>
      <c r="G5" t="b">
        <v>1</v>
      </c>
      <c r="H5" t="b">
        <v>1</v>
      </c>
      <c r="I5" t="inlineStr">
        <is>
          <t>{"TE_option": "GE", "det_collapse_mode": "never", "det_external_sppr": 0, "det_open_mode": "none", "det_theta": 1, "explicit_TE": false, "method": "single_detritus", "model": "South_China_Sea_SCS-2007_Northern_South_China_Sea (1970s)", "would_pool": false}</t>
        </is>
      </c>
    </row>
    <row r="6">
      <c r="A6" t="inlineStr">
        <is>
          <t>36_2_South_China_Sea_SCS-2007_Northern_South_China_Sea_(1970s)</t>
        </is>
      </c>
      <c r="B6" t="inlineStr">
        <is>
          <t>TE</t>
        </is>
      </c>
      <c r="C6" s="21" t="n">
        <v>0</v>
      </c>
      <c r="D6" s="21" t="n">
        <v>0.442252931323283</v>
      </c>
      <c r="E6" t="inlineStr">
        <is>
          <t>WARN</t>
        </is>
      </c>
      <c r="F6" t="b">
        <v>1</v>
      </c>
      <c r="G6" t="b">
        <v>1</v>
      </c>
      <c r="H6" t="b">
        <v>1</v>
      </c>
      <c r="I6" t="inlineStr">
        <is>
          <t>{"TE_option": "TE", "det_collapse_mode": "never", "det_external_sppr": 0, "det_open_mode": "none", "det_theta": 1, "explicit_TE": false, "method": null, "model": "South_China_Sea_SCS-2007_Northern_South_China_Sea (1970s)", "would_pool": false}</t>
        </is>
      </c>
    </row>
    <row r="7">
      <c r="A7" t="inlineStr">
        <is>
          <t>36_2_South_China_Sea_SCS-2007_Northern_South_China_Sea_(1970s)</t>
        </is>
      </c>
      <c r="B7" t="inlineStr">
        <is>
          <t>With Egestion</t>
        </is>
      </c>
      <c r="C7" s="21" t="n">
        <v>0.01651691203182949</v>
      </c>
      <c r="D7" s="21" t="n">
        <v>0.2570146321387488</v>
      </c>
      <c r="E7" t="inlineStr">
        <is>
          <t>OK</t>
        </is>
      </c>
      <c r="F7" t="b">
        <v>1</v>
      </c>
      <c r="G7" t="b">
        <v>1</v>
      </c>
      <c r="H7" t="b">
        <v>1</v>
      </c>
      <c r="I7" t="inlineStr">
        <is>
          <t>{"TE_option": "With Egestion", "det_collapse_mode": "never", "det_external_sppr": 0, "det_open_mode": "none", "det_theta": 1, "explicit_TE": false, "method": "single_detritus", "model": "South_China_Sea_SCS-2007_Northern_South_China_Sea (1970s)", "would_pool": false}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381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0" customWidth="1" min="2" max="2"/>
    <col width="14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>
      <c r="A1" s="1" t="inlineStr">
        <is>
          <t>PPR per taxon for one year — pick the year in the yellow cell.</t>
        </is>
      </c>
    </row>
    <row r="2">
      <c r="A2" t="inlineStr">
        <is>
          <t>PPR = that year's catch for the taxon x the taxon's SPPR under each method. Everything below recalculates when the year changes.</t>
        </is>
      </c>
    </row>
    <row r="4">
      <c r="A4" s="2" t="inlineStr">
        <is>
          <t>Year</t>
        </is>
      </c>
      <c r="B4" s="22" t="n">
        <v>2019</v>
      </c>
      <c r="C4" s="17" t="inlineStr">
        <is>
          <t>choose any year from 1950 to 2019</t>
        </is>
      </c>
    </row>
    <row r="6">
      <c r="A6" s="4" t="inlineStr">
        <is>
          <t>taxon</t>
        </is>
      </c>
      <c r="B6" s="4" t="inlineStr">
        <is>
          <t>Ecopath group</t>
        </is>
      </c>
      <c r="C6" s="4" t="inlineStr">
        <is>
          <t>catch tonnes</t>
        </is>
      </c>
      <c r="D6" s="4" t="inlineStr">
        <is>
          <t>SPPR_1986</t>
        </is>
      </c>
      <c r="E6" s="4" t="inlineStr">
        <is>
          <t>SPPR_1995_TE0.1</t>
        </is>
      </c>
      <c r="F6" s="4" t="inlineStr">
        <is>
          <t>SPPR_1995_TEmean</t>
        </is>
      </c>
      <c r="G6" s="4" t="inlineStr">
        <is>
          <t>Ulanowicz_globalTEmean</t>
        </is>
      </c>
      <c r="H6" s="4" t="inlineStr">
        <is>
          <t>Ulanowicz_TE</t>
        </is>
      </c>
      <c r="I6" s="4" t="inlineStr">
        <is>
          <t>EwE_TE_noEE</t>
        </is>
      </c>
      <c r="J6" s="4" t="inlineStr">
        <is>
          <t>EwE_TE_EE</t>
        </is>
      </c>
      <c r="K6" s="4" t="inlineStr">
        <is>
          <t>SPPR_2015</t>
        </is>
      </c>
      <c r="L6" s="4" t="inlineStr">
        <is>
          <t>new_TE_noEEfix</t>
        </is>
      </c>
      <c r="M6" s="4" t="inlineStr">
        <is>
          <t>new_TE_EEfix</t>
        </is>
      </c>
      <c r="N6" s="4" t="inlineStr">
        <is>
          <t>new_GE</t>
        </is>
      </c>
      <c r="O6" s="4" t="inlineStr">
        <is>
          <t>new_WithEgestion</t>
        </is>
      </c>
      <c r="P6" s="4" t="inlineStr">
        <is>
          <t>sym_TE_asPP</t>
        </is>
      </c>
      <c r="Q6" s="4" t="inlineStr">
        <is>
          <t>sym_TE_asDC</t>
        </is>
      </c>
      <c r="R6" s="4" t="inlineStr">
        <is>
          <t>sym_GE_asPP</t>
        </is>
      </c>
      <c r="S6" s="4" t="inlineStr">
        <is>
          <t>sym_GE_asDC</t>
        </is>
      </c>
      <c r="T6" s="4" t="inlineStr">
        <is>
          <t>sym_WithEgestion_asPP</t>
        </is>
      </c>
      <c r="U6" s="4" t="inlineStr">
        <is>
          <t>sym_WithEgestion_asDC</t>
        </is>
      </c>
      <c r="V6" s="4" t="inlineStr">
        <is>
          <t>MC_new_GE</t>
        </is>
      </c>
      <c r="W6" s="4" t="inlineStr">
        <is>
          <t>MC_new_TE_EEfix</t>
        </is>
      </c>
    </row>
    <row r="7">
      <c r="A7" s="2" t="inlineStr">
        <is>
          <t>ALL TAXA</t>
        </is>
      </c>
      <c r="C7" s="2">
        <f>SUM(C8:C381)</f>
        <v/>
      </c>
      <c r="D7" s="2">
        <f>IF(COUNT(D8:D381)=0,"",SUM(D8:D381))</f>
        <v/>
      </c>
      <c r="E7" s="2">
        <f>IF(COUNT(E8:E381)=0,"",SUM(E8:E381))</f>
        <v/>
      </c>
      <c r="F7" s="2">
        <f>IF(COUNT(F8:F381)=0,"",SUM(F8:F381))</f>
        <v/>
      </c>
      <c r="G7" s="2">
        <f>IF(COUNT(G8:G381)=0,"",SUM(G8:G381))</f>
        <v/>
      </c>
      <c r="H7" s="2">
        <f>IF(COUNT(H8:H381)=0,"",SUM(H8:H381))</f>
        <v/>
      </c>
      <c r="I7" s="2">
        <f>IF(COUNT(I8:I381)=0,"",SUM(I8:I381))</f>
        <v/>
      </c>
      <c r="J7" s="2">
        <f>IF(COUNT(J8:J381)=0,"",SUM(J8:J381))</f>
        <v/>
      </c>
      <c r="K7" s="2">
        <f>IF(COUNT(K8:K381)=0,"",SUM(K8:K381))</f>
        <v/>
      </c>
      <c r="L7" s="2">
        <f>IF(COUNT(L8:L381)=0,"",SUM(L8:L381))</f>
        <v/>
      </c>
      <c r="M7" s="2">
        <f>IF(COUNT(M8:M381)=0,"",SUM(M8:M381))</f>
        <v/>
      </c>
      <c r="N7" s="2">
        <f>IF(COUNT(N8:N381)=0,"",SUM(N8:N381))</f>
        <v/>
      </c>
      <c r="O7" s="2">
        <f>IF(COUNT(O8:O381)=0,"",SUM(O8:O381))</f>
        <v/>
      </c>
      <c r="P7" s="2">
        <f>IF(COUNT(P8:P381)=0,"",SUM(P8:P381))</f>
        <v/>
      </c>
      <c r="Q7" s="2">
        <f>IF(COUNT(Q8:Q381)=0,"",SUM(Q8:Q381))</f>
        <v/>
      </c>
      <c r="R7" s="2">
        <f>IF(COUNT(R8:R381)=0,"",SUM(R8:R381))</f>
        <v/>
      </c>
      <c r="S7" s="2">
        <f>IF(COUNT(S8:S381)=0,"",SUM(S8:S381))</f>
        <v/>
      </c>
      <c r="T7" s="2">
        <f>IF(COUNT(T8:T381)=0,"",SUM(T8:T381))</f>
        <v/>
      </c>
      <c r="U7" s="2">
        <f>IF(COUNT(U8:U381)=0,"",SUM(U8:U381))</f>
        <v/>
      </c>
      <c r="V7" s="2">
        <f>IF(COUNT(V8:V381)=0,"",SUM(V8:V381))</f>
        <v/>
      </c>
      <c r="W7" s="2">
        <f>IF(COUNT(W8:W381)=0,"",SUM(W8:W381))</f>
        <v/>
      </c>
    </row>
    <row r="8">
      <c r="A8" t="inlineStr">
        <is>
          <t>Marine fishes not identified</t>
        </is>
      </c>
      <c r="B8">
        <f>IFERROR(INDEX(SPPR!$D:$D,MATCH($A8,SPPR!$A:$A,0)),"")</f>
        <v/>
      </c>
      <c r="C8">
        <f>IFERROR(INDEX(Catch!$E:$BV,MATCH($A8,Catch!$A:$A,0),MATCH($B$4,Catch!$E$1:$BV$1,0)),0)</f>
        <v/>
      </c>
      <c r="D8">
        <f>IFERROR(IF(ISNUMBER(INDEX(SPPR!$E:$X,MATCH($A8,SPPR!$A:$A,0),1)),$C8*INDEX(SPPR!$E:$X,MATCH($A8,SPPR!$A:$A,0),1),""),"")</f>
        <v/>
      </c>
      <c r="E8">
        <f>IFERROR(IF(ISNUMBER(INDEX(SPPR!$E:$X,MATCH($A8,SPPR!$A:$A,0),2)),$C8*INDEX(SPPR!$E:$X,MATCH($A8,SPPR!$A:$A,0),2),""),"")</f>
        <v/>
      </c>
      <c r="F8">
        <f>IFERROR(IF(ISNUMBER(INDEX(SPPR!$E:$X,MATCH($A8,SPPR!$A:$A,0),3)),$C8*INDEX(SPPR!$E:$X,MATCH($A8,SPPR!$A:$A,0),3),""),"")</f>
        <v/>
      </c>
      <c r="G8">
        <f>IFERROR(IF(ISNUMBER(INDEX(SPPR!$E:$X,MATCH($A8,SPPR!$A:$A,0),4)),$C8*INDEX(SPPR!$E:$X,MATCH($A8,SPPR!$A:$A,0),4),""),"")</f>
        <v/>
      </c>
      <c r="H8">
        <f>IFERROR(IF(ISNUMBER(INDEX(SPPR!$E:$X,MATCH($A8,SPPR!$A:$A,0),5)),$C8*INDEX(SPPR!$E:$X,MATCH($A8,SPPR!$A:$A,0),5),""),"")</f>
        <v/>
      </c>
      <c r="I8">
        <f>IFERROR(IF(ISNUMBER(INDEX(SPPR!$E:$X,MATCH($A8,SPPR!$A:$A,0),6)),$C8*INDEX(SPPR!$E:$X,MATCH($A8,SPPR!$A:$A,0),6),""),"")</f>
        <v/>
      </c>
      <c r="J8">
        <f>IFERROR(IF(ISNUMBER(INDEX(SPPR!$E:$X,MATCH($A8,SPPR!$A:$A,0),7)),$C8*INDEX(SPPR!$E:$X,MATCH($A8,SPPR!$A:$A,0),7),""),"")</f>
        <v/>
      </c>
      <c r="K8">
        <f>IFERROR(IF(ISNUMBER(INDEX(SPPR!$E:$X,MATCH($A8,SPPR!$A:$A,0),8)),$C8*INDEX(SPPR!$E:$X,MATCH($A8,SPPR!$A:$A,0),8),""),"")</f>
        <v/>
      </c>
      <c r="L8">
        <f>IFERROR(IF(ISNUMBER(INDEX(SPPR!$E:$X,MATCH($A8,SPPR!$A:$A,0),9)),$C8*INDEX(SPPR!$E:$X,MATCH($A8,SPPR!$A:$A,0),9),""),"")</f>
        <v/>
      </c>
      <c r="M8">
        <f>IFERROR(IF(ISNUMBER(INDEX(SPPR!$E:$X,MATCH($A8,SPPR!$A:$A,0),10)),$C8*INDEX(SPPR!$E:$X,MATCH($A8,SPPR!$A:$A,0),10),""),"")</f>
        <v/>
      </c>
      <c r="N8">
        <f>IFERROR(IF(ISNUMBER(INDEX(SPPR!$E:$X,MATCH($A8,SPPR!$A:$A,0),11)),$C8*INDEX(SPPR!$E:$X,MATCH($A8,SPPR!$A:$A,0),11),""),"")</f>
        <v/>
      </c>
      <c r="O8">
        <f>IFERROR(IF(ISNUMBER(INDEX(SPPR!$E:$X,MATCH($A8,SPPR!$A:$A,0),12)),$C8*INDEX(SPPR!$E:$X,MATCH($A8,SPPR!$A:$A,0),12),""),"")</f>
        <v/>
      </c>
      <c r="P8">
        <f>IFERROR(IF(ISNUMBER(INDEX(SPPR!$E:$X,MATCH($A8,SPPR!$A:$A,0),13)),$C8*INDEX(SPPR!$E:$X,MATCH($A8,SPPR!$A:$A,0),13),""),"")</f>
        <v/>
      </c>
      <c r="Q8">
        <f>IFERROR(IF(ISNUMBER(INDEX(SPPR!$E:$X,MATCH($A8,SPPR!$A:$A,0),14)),$C8*INDEX(SPPR!$E:$X,MATCH($A8,SPPR!$A:$A,0),14),""),"")</f>
        <v/>
      </c>
      <c r="R8">
        <f>IFERROR(IF(ISNUMBER(INDEX(SPPR!$E:$X,MATCH($A8,SPPR!$A:$A,0),15)),$C8*INDEX(SPPR!$E:$X,MATCH($A8,SPPR!$A:$A,0),15),""),"")</f>
        <v/>
      </c>
      <c r="S8">
        <f>IFERROR(IF(ISNUMBER(INDEX(SPPR!$E:$X,MATCH($A8,SPPR!$A:$A,0),16)),$C8*INDEX(SPPR!$E:$X,MATCH($A8,SPPR!$A:$A,0),16),""),"")</f>
        <v/>
      </c>
      <c r="T8">
        <f>IFERROR(IF(ISNUMBER(INDEX(SPPR!$E:$X,MATCH($A8,SPPR!$A:$A,0),17)),$C8*INDEX(SPPR!$E:$X,MATCH($A8,SPPR!$A:$A,0),17),""),"")</f>
        <v/>
      </c>
      <c r="U8">
        <f>IFERROR(IF(ISNUMBER(INDEX(SPPR!$E:$X,MATCH($A8,SPPR!$A:$A,0),18)),$C8*INDEX(SPPR!$E:$X,MATCH($A8,SPPR!$A:$A,0),18),""),"")</f>
        <v/>
      </c>
      <c r="V8">
        <f>IFERROR(IF(ISNUMBER(INDEX(SPPR!$E:$X,MATCH($A8,SPPR!$A:$A,0),19)),$C8*INDEX(SPPR!$E:$X,MATCH($A8,SPPR!$A:$A,0),19),""),"")</f>
        <v/>
      </c>
      <c r="W8">
        <f>IFERROR(IF(ISNUMBER(INDEX(SPPR!$E:$X,MATCH($A8,SPPR!$A:$A,0),20)),$C8*INDEX(SPPR!$E:$X,MATCH($A8,SPPR!$A:$A,0),20),""),"")</f>
        <v/>
      </c>
    </row>
    <row r="9">
      <c r="A9" t="inlineStr">
        <is>
          <t>Trichiurus lepturus</t>
        </is>
      </c>
      <c r="B9">
        <f>IFERROR(INDEX(SPPR!$D:$D,MATCH($A9,SPPR!$A:$A,0)),"")</f>
        <v/>
      </c>
      <c r="C9">
        <f>IFERROR(INDEX(Catch!$E:$BV,MATCH($A9,Catch!$A:$A,0),MATCH($B$4,Catch!$E$1:$BV$1,0)),0)</f>
        <v/>
      </c>
      <c r="D9">
        <f>IFERROR(IF(ISNUMBER(INDEX(SPPR!$E:$X,MATCH($A9,SPPR!$A:$A,0),1)),$C9*INDEX(SPPR!$E:$X,MATCH($A9,SPPR!$A:$A,0),1),""),"")</f>
        <v/>
      </c>
      <c r="E9">
        <f>IFERROR(IF(ISNUMBER(INDEX(SPPR!$E:$X,MATCH($A9,SPPR!$A:$A,0),2)),$C9*INDEX(SPPR!$E:$X,MATCH($A9,SPPR!$A:$A,0),2),""),"")</f>
        <v/>
      </c>
      <c r="F9">
        <f>IFERROR(IF(ISNUMBER(INDEX(SPPR!$E:$X,MATCH($A9,SPPR!$A:$A,0),3)),$C9*INDEX(SPPR!$E:$X,MATCH($A9,SPPR!$A:$A,0),3),""),"")</f>
        <v/>
      </c>
      <c r="G9">
        <f>IFERROR(IF(ISNUMBER(INDEX(SPPR!$E:$X,MATCH($A9,SPPR!$A:$A,0),4)),$C9*INDEX(SPPR!$E:$X,MATCH($A9,SPPR!$A:$A,0),4),""),"")</f>
        <v/>
      </c>
      <c r="H9">
        <f>IFERROR(IF(ISNUMBER(INDEX(SPPR!$E:$X,MATCH($A9,SPPR!$A:$A,0),5)),$C9*INDEX(SPPR!$E:$X,MATCH($A9,SPPR!$A:$A,0),5),""),"")</f>
        <v/>
      </c>
      <c r="I9">
        <f>IFERROR(IF(ISNUMBER(INDEX(SPPR!$E:$X,MATCH($A9,SPPR!$A:$A,0),6)),$C9*INDEX(SPPR!$E:$X,MATCH($A9,SPPR!$A:$A,0),6),""),"")</f>
        <v/>
      </c>
      <c r="J9">
        <f>IFERROR(IF(ISNUMBER(INDEX(SPPR!$E:$X,MATCH($A9,SPPR!$A:$A,0),7)),$C9*INDEX(SPPR!$E:$X,MATCH($A9,SPPR!$A:$A,0),7),""),"")</f>
        <v/>
      </c>
      <c r="K9">
        <f>IFERROR(IF(ISNUMBER(INDEX(SPPR!$E:$X,MATCH($A9,SPPR!$A:$A,0),8)),$C9*INDEX(SPPR!$E:$X,MATCH($A9,SPPR!$A:$A,0),8),""),"")</f>
        <v/>
      </c>
      <c r="L9">
        <f>IFERROR(IF(ISNUMBER(INDEX(SPPR!$E:$X,MATCH($A9,SPPR!$A:$A,0),9)),$C9*INDEX(SPPR!$E:$X,MATCH($A9,SPPR!$A:$A,0),9),""),"")</f>
        <v/>
      </c>
      <c r="M9">
        <f>IFERROR(IF(ISNUMBER(INDEX(SPPR!$E:$X,MATCH($A9,SPPR!$A:$A,0),10)),$C9*INDEX(SPPR!$E:$X,MATCH($A9,SPPR!$A:$A,0),10),""),"")</f>
        <v/>
      </c>
      <c r="N9">
        <f>IFERROR(IF(ISNUMBER(INDEX(SPPR!$E:$X,MATCH($A9,SPPR!$A:$A,0),11)),$C9*INDEX(SPPR!$E:$X,MATCH($A9,SPPR!$A:$A,0),11),""),"")</f>
        <v/>
      </c>
      <c r="O9">
        <f>IFERROR(IF(ISNUMBER(INDEX(SPPR!$E:$X,MATCH($A9,SPPR!$A:$A,0),12)),$C9*INDEX(SPPR!$E:$X,MATCH($A9,SPPR!$A:$A,0),12),""),"")</f>
        <v/>
      </c>
      <c r="P9">
        <f>IFERROR(IF(ISNUMBER(INDEX(SPPR!$E:$X,MATCH($A9,SPPR!$A:$A,0),13)),$C9*INDEX(SPPR!$E:$X,MATCH($A9,SPPR!$A:$A,0),13),""),"")</f>
        <v/>
      </c>
      <c r="Q9">
        <f>IFERROR(IF(ISNUMBER(INDEX(SPPR!$E:$X,MATCH($A9,SPPR!$A:$A,0),14)),$C9*INDEX(SPPR!$E:$X,MATCH($A9,SPPR!$A:$A,0),14),""),"")</f>
        <v/>
      </c>
      <c r="R9">
        <f>IFERROR(IF(ISNUMBER(INDEX(SPPR!$E:$X,MATCH($A9,SPPR!$A:$A,0),15)),$C9*INDEX(SPPR!$E:$X,MATCH($A9,SPPR!$A:$A,0),15),""),"")</f>
        <v/>
      </c>
      <c r="S9">
        <f>IFERROR(IF(ISNUMBER(INDEX(SPPR!$E:$X,MATCH($A9,SPPR!$A:$A,0),16)),$C9*INDEX(SPPR!$E:$X,MATCH($A9,SPPR!$A:$A,0),16),""),"")</f>
        <v/>
      </c>
      <c r="T9">
        <f>IFERROR(IF(ISNUMBER(INDEX(SPPR!$E:$X,MATCH($A9,SPPR!$A:$A,0),17)),$C9*INDEX(SPPR!$E:$X,MATCH($A9,SPPR!$A:$A,0),17),""),"")</f>
        <v/>
      </c>
      <c r="U9">
        <f>IFERROR(IF(ISNUMBER(INDEX(SPPR!$E:$X,MATCH($A9,SPPR!$A:$A,0),18)),$C9*INDEX(SPPR!$E:$X,MATCH($A9,SPPR!$A:$A,0),18),""),"")</f>
        <v/>
      </c>
      <c r="V9">
        <f>IFERROR(IF(ISNUMBER(INDEX(SPPR!$E:$X,MATCH($A9,SPPR!$A:$A,0),19)),$C9*INDEX(SPPR!$E:$X,MATCH($A9,SPPR!$A:$A,0),19),""),"")</f>
        <v/>
      </c>
      <c r="W9">
        <f>IFERROR(IF(ISNUMBER(INDEX(SPPR!$E:$X,MATCH($A9,SPPR!$A:$A,0),20)),$C9*INDEX(SPPR!$E:$X,MATCH($A9,SPPR!$A:$A,0),20),""),"")</f>
        <v/>
      </c>
    </row>
    <row r="10">
      <c r="A10" t="inlineStr">
        <is>
          <t>Scyphozoa</t>
        </is>
      </c>
      <c r="B10">
        <f>IFERROR(INDEX(SPPR!$D:$D,MATCH($A10,SPPR!$A:$A,0)),"")</f>
        <v/>
      </c>
      <c r="C10">
        <f>IFERROR(INDEX(Catch!$E:$BV,MATCH($A10,Catch!$A:$A,0),MATCH($B$4,Catch!$E$1:$BV$1,0)),0)</f>
        <v/>
      </c>
      <c r="D10">
        <f>IFERROR(IF(ISNUMBER(INDEX(SPPR!$E:$X,MATCH($A10,SPPR!$A:$A,0),1)),$C10*INDEX(SPPR!$E:$X,MATCH($A10,SPPR!$A:$A,0),1),""),"")</f>
        <v/>
      </c>
      <c r="E10">
        <f>IFERROR(IF(ISNUMBER(INDEX(SPPR!$E:$X,MATCH($A10,SPPR!$A:$A,0),2)),$C10*INDEX(SPPR!$E:$X,MATCH($A10,SPPR!$A:$A,0),2),""),"")</f>
        <v/>
      </c>
      <c r="F10">
        <f>IFERROR(IF(ISNUMBER(INDEX(SPPR!$E:$X,MATCH($A10,SPPR!$A:$A,0),3)),$C10*INDEX(SPPR!$E:$X,MATCH($A10,SPPR!$A:$A,0),3),""),"")</f>
        <v/>
      </c>
      <c r="G10">
        <f>IFERROR(IF(ISNUMBER(INDEX(SPPR!$E:$X,MATCH($A10,SPPR!$A:$A,0),4)),$C10*INDEX(SPPR!$E:$X,MATCH($A10,SPPR!$A:$A,0),4),""),"")</f>
        <v/>
      </c>
      <c r="H10">
        <f>IFERROR(IF(ISNUMBER(INDEX(SPPR!$E:$X,MATCH($A10,SPPR!$A:$A,0),5)),$C10*INDEX(SPPR!$E:$X,MATCH($A10,SPPR!$A:$A,0),5),""),"")</f>
        <v/>
      </c>
      <c r="I10">
        <f>IFERROR(IF(ISNUMBER(INDEX(SPPR!$E:$X,MATCH($A10,SPPR!$A:$A,0),6)),$C10*INDEX(SPPR!$E:$X,MATCH($A10,SPPR!$A:$A,0),6),""),"")</f>
        <v/>
      </c>
      <c r="J10">
        <f>IFERROR(IF(ISNUMBER(INDEX(SPPR!$E:$X,MATCH($A10,SPPR!$A:$A,0),7)),$C10*INDEX(SPPR!$E:$X,MATCH($A10,SPPR!$A:$A,0),7),""),"")</f>
        <v/>
      </c>
      <c r="K10">
        <f>IFERROR(IF(ISNUMBER(INDEX(SPPR!$E:$X,MATCH($A10,SPPR!$A:$A,0),8)),$C10*INDEX(SPPR!$E:$X,MATCH($A10,SPPR!$A:$A,0),8),""),"")</f>
        <v/>
      </c>
      <c r="L10">
        <f>IFERROR(IF(ISNUMBER(INDEX(SPPR!$E:$X,MATCH($A10,SPPR!$A:$A,0),9)),$C10*INDEX(SPPR!$E:$X,MATCH($A10,SPPR!$A:$A,0),9),""),"")</f>
        <v/>
      </c>
      <c r="M10">
        <f>IFERROR(IF(ISNUMBER(INDEX(SPPR!$E:$X,MATCH($A10,SPPR!$A:$A,0),10)),$C10*INDEX(SPPR!$E:$X,MATCH($A10,SPPR!$A:$A,0),10),""),"")</f>
        <v/>
      </c>
      <c r="N10">
        <f>IFERROR(IF(ISNUMBER(INDEX(SPPR!$E:$X,MATCH($A10,SPPR!$A:$A,0),11)),$C10*INDEX(SPPR!$E:$X,MATCH($A10,SPPR!$A:$A,0),11),""),"")</f>
        <v/>
      </c>
      <c r="O10">
        <f>IFERROR(IF(ISNUMBER(INDEX(SPPR!$E:$X,MATCH($A10,SPPR!$A:$A,0),12)),$C10*INDEX(SPPR!$E:$X,MATCH($A10,SPPR!$A:$A,0),12),""),"")</f>
        <v/>
      </c>
      <c r="P10">
        <f>IFERROR(IF(ISNUMBER(INDEX(SPPR!$E:$X,MATCH($A10,SPPR!$A:$A,0),13)),$C10*INDEX(SPPR!$E:$X,MATCH($A10,SPPR!$A:$A,0),13),""),"")</f>
        <v/>
      </c>
      <c r="Q10">
        <f>IFERROR(IF(ISNUMBER(INDEX(SPPR!$E:$X,MATCH($A10,SPPR!$A:$A,0),14)),$C10*INDEX(SPPR!$E:$X,MATCH($A10,SPPR!$A:$A,0),14),""),"")</f>
        <v/>
      </c>
      <c r="R10">
        <f>IFERROR(IF(ISNUMBER(INDEX(SPPR!$E:$X,MATCH($A10,SPPR!$A:$A,0),15)),$C10*INDEX(SPPR!$E:$X,MATCH($A10,SPPR!$A:$A,0),15),""),"")</f>
        <v/>
      </c>
      <c r="S10">
        <f>IFERROR(IF(ISNUMBER(INDEX(SPPR!$E:$X,MATCH($A10,SPPR!$A:$A,0),16)),$C10*INDEX(SPPR!$E:$X,MATCH($A10,SPPR!$A:$A,0),16),""),"")</f>
        <v/>
      </c>
      <c r="T10">
        <f>IFERROR(IF(ISNUMBER(INDEX(SPPR!$E:$X,MATCH($A10,SPPR!$A:$A,0),17)),$C10*INDEX(SPPR!$E:$X,MATCH($A10,SPPR!$A:$A,0),17),""),"")</f>
        <v/>
      </c>
      <c r="U10">
        <f>IFERROR(IF(ISNUMBER(INDEX(SPPR!$E:$X,MATCH($A10,SPPR!$A:$A,0),18)),$C10*INDEX(SPPR!$E:$X,MATCH($A10,SPPR!$A:$A,0),18),""),"")</f>
        <v/>
      </c>
      <c r="V10">
        <f>IFERROR(IF(ISNUMBER(INDEX(SPPR!$E:$X,MATCH($A10,SPPR!$A:$A,0),19)),$C10*INDEX(SPPR!$E:$X,MATCH($A10,SPPR!$A:$A,0),19),""),"")</f>
        <v/>
      </c>
      <c r="W10">
        <f>IFERROR(IF(ISNUMBER(INDEX(SPPR!$E:$X,MATCH($A10,SPPR!$A:$A,0),20)),$C10*INDEX(SPPR!$E:$X,MATCH($A10,SPPR!$A:$A,0),20),""),"")</f>
        <v/>
      </c>
    </row>
    <row r="11">
      <c r="A11" t="inlineStr">
        <is>
          <t>Synodontidae</t>
        </is>
      </c>
      <c r="B11">
        <f>IFERROR(INDEX(SPPR!$D:$D,MATCH($A11,SPPR!$A:$A,0)),"")</f>
        <v/>
      </c>
      <c r="C11">
        <f>IFERROR(INDEX(Catch!$E:$BV,MATCH($A11,Catch!$A:$A,0),MATCH($B$4,Catch!$E$1:$BV$1,0)),0)</f>
        <v/>
      </c>
      <c r="D11">
        <f>IFERROR(IF(ISNUMBER(INDEX(SPPR!$E:$X,MATCH($A11,SPPR!$A:$A,0),1)),$C11*INDEX(SPPR!$E:$X,MATCH($A11,SPPR!$A:$A,0),1),""),"")</f>
        <v/>
      </c>
      <c r="E11">
        <f>IFERROR(IF(ISNUMBER(INDEX(SPPR!$E:$X,MATCH($A11,SPPR!$A:$A,0),2)),$C11*INDEX(SPPR!$E:$X,MATCH($A11,SPPR!$A:$A,0),2),""),"")</f>
        <v/>
      </c>
      <c r="F11">
        <f>IFERROR(IF(ISNUMBER(INDEX(SPPR!$E:$X,MATCH($A11,SPPR!$A:$A,0),3)),$C11*INDEX(SPPR!$E:$X,MATCH($A11,SPPR!$A:$A,0),3),""),"")</f>
        <v/>
      </c>
      <c r="G11">
        <f>IFERROR(IF(ISNUMBER(INDEX(SPPR!$E:$X,MATCH($A11,SPPR!$A:$A,0),4)),$C11*INDEX(SPPR!$E:$X,MATCH($A11,SPPR!$A:$A,0),4),""),"")</f>
        <v/>
      </c>
      <c r="H11">
        <f>IFERROR(IF(ISNUMBER(INDEX(SPPR!$E:$X,MATCH($A11,SPPR!$A:$A,0),5)),$C11*INDEX(SPPR!$E:$X,MATCH($A11,SPPR!$A:$A,0),5),""),"")</f>
        <v/>
      </c>
      <c r="I11">
        <f>IFERROR(IF(ISNUMBER(INDEX(SPPR!$E:$X,MATCH($A11,SPPR!$A:$A,0),6)),$C11*INDEX(SPPR!$E:$X,MATCH($A11,SPPR!$A:$A,0),6),""),"")</f>
        <v/>
      </c>
      <c r="J11">
        <f>IFERROR(IF(ISNUMBER(INDEX(SPPR!$E:$X,MATCH($A11,SPPR!$A:$A,0),7)),$C11*INDEX(SPPR!$E:$X,MATCH($A11,SPPR!$A:$A,0),7),""),"")</f>
        <v/>
      </c>
      <c r="K11">
        <f>IFERROR(IF(ISNUMBER(INDEX(SPPR!$E:$X,MATCH($A11,SPPR!$A:$A,0),8)),$C11*INDEX(SPPR!$E:$X,MATCH($A11,SPPR!$A:$A,0),8),""),"")</f>
        <v/>
      </c>
      <c r="L11">
        <f>IFERROR(IF(ISNUMBER(INDEX(SPPR!$E:$X,MATCH($A11,SPPR!$A:$A,0),9)),$C11*INDEX(SPPR!$E:$X,MATCH($A11,SPPR!$A:$A,0),9),""),"")</f>
        <v/>
      </c>
      <c r="M11">
        <f>IFERROR(IF(ISNUMBER(INDEX(SPPR!$E:$X,MATCH($A11,SPPR!$A:$A,0),10)),$C11*INDEX(SPPR!$E:$X,MATCH($A11,SPPR!$A:$A,0),10),""),"")</f>
        <v/>
      </c>
      <c r="N11">
        <f>IFERROR(IF(ISNUMBER(INDEX(SPPR!$E:$X,MATCH($A11,SPPR!$A:$A,0),11)),$C11*INDEX(SPPR!$E:$X,MATCH($A11,SPPR!$A:$A,0),11),""),"")</f>
        <v/>
      </c>
      <c r="O11">
        <f>IFERROR(IF(ISNUMBER(INDEX(SPPR!$E:$X,MATCH($A11,SPPR!$A:$A,0),12)),$C11*INDEX(SPPR!$E:$X,MATCH($A11,SPPR!$A:$A,0),12),""),"")</f>
        <v/>
      </c>
      <c r="P11">
        <f>IFERROR(IF(ISNUMBER(INDEX(SPPR!$E:$X,MATCH($A11,SPPR!$A:$A,0),13)),$C11*INDEX(SPPR!$E:$X,MATCH($A11,SPPR!$A:$A,0),13),""),"")</f>
        <v/>
      </c>
      <c r="Q11">
        <f>IFERROR(IF(ISNUMBER(INDEX(SPPR!$E:$X,MATCH($A11,SPPR!$A:$A,0),14)),$C11*INDEX(SPPR!$E:$X,MATCH($A11,SPPR!$A:$A,0),14),""),"")</f>
        <v/>
      </c>
      <c r="R11">
        <f>IFERROR(IF(ISNUMBER(INDEX(SPPR!$E:$X,MATCH($A11,SPPR!$A:$A,0),15)),$C11*INDEX(SPPR!$E:$X,MATCH($A11,SPPR!$A:$A,0),15),""),"")</f>
        <v/>
      </c>
      <c r="S11">
        <f>IFERROR(IF(ISNUMBER(INDEX(SPPR!$E:$X,MATCH($A11,SPPR!$A:$A,0),16)),$C11*INDEX(SPPR!$E:$X,MATCH($A11,SPPR!$A:$A,0),16),""),"")</f>
        <v/>
      </c>
      <c r="T11">
        <f>IFERROR(IF(ISNUMBER(INDEX(SPPR!$E:$X,MATCH($A11,SPPR!$A:$A,0),17)),$C11*INDEX(SPPR!$E:$X,MATCH($A11,SPPR!$A:$A,0),17),""),"")</f>
        <v/>
      </c>
      <c r="U11">
        <f>IFERROR(IF(ISNUMBER(INDEX(SPPR!$E:$X,MATCH($A11,SPPR!$A:$A,0),18)),$C11*INDEX(SPPR!$E:$X,MATCH($A11,SPPR!$A:$A,0),18),""),"")</f>
        <v/>
      </c>
      <c r="V11">
        <f>IFERROR(IF(ISNUMBER(INDEX(SPPR!$E:$X,MATCH($A11,SPPR!$A:$A,0),19)),$C11*INDEX(SPPR!$E:$X,MATCH($A11,SPPR!$A:$A,0),19),""),"")</f>
        <v/>
      </c>
      <c r="W11">
        <f>IFERROR(IF(ISNUMBER(INDEX(SPPR!$E:$X,MATCH($A11,SPPR!$A:$A,0),20)),$C11*INDEX(SPPR!$E:$X,MATCH($A11,SPPR!$A:$A,0),20),""),"")</f>
        <v/>
      </c>
    </row>
    <row r="12">
      <c r="A12" t="inlineStr">
        <is>
          <t>Alepes</t>
        </is>
      </c>
      <c r="B12">
        <f>IFERROR(INDEX(SPPR!$D:$D,MATCH($A12,SPPR!$A:$A,0)),"")</f>
        <v/>
      </c>
      <c r="C12">
        <f>IFERROR(INDEX(Catch!$E:$BV,MATCH($A12,Catch!$A:$A,0),MATCH($B$4,Catch!$E$1:$BV$1,0)),0)</f>
        <v/>
      </c>
      <c r="D12">
        <f>IFERROR(IF(ISNUMBER(INDEX(SPPR!$E:$X,MATCH($A12,SPPR!$A:$A,0),1)),$C12*INDEX(SPPR!$E:$X,MATCH($A12,SPPR!$A:$A,0),1),""),"")</f>
        <v/>
      </c>
      <c r="E12">
        <f>IFERROR(IF(ISNUMBER(INDEX(SPPR!$E:$X,MATCH($A12,SPPR!$A:$A,0),2)),$C12*INDEX(SPPR!$E:$X,MATCH($A12,SPPR!$A:$A,0),2),""),"")</f>
        <v/>
      </c>
      <c r="F12">
        <f>IFERROR(IF(ISNUMBER(INDEX(SPPR!$E:$X,MATCH($A12,SPPR!$A:$A,0),3)),$C12*INDEX(SPPR!$E:$X,MATCH($A12,SPPR!$A:$A,0),3),""),"")</f>
        <v/>
      </c>
      <c r="G12">
        <f>IFERROR(IF(ISNUMBER(INDEX(SPPR!$E:$X,MATCH($A12,SPPR!$A:$A,0),4)),$C12*INDEX(SPPR!$E:$X,MATCH($A12,SPPR!$A:$A,0),4),""),"")</f>
        <v/>
      </c>
      <c r="H12">
        <f>IFERROR(IF(ISNUMBER(INDEX(SPPR!$E:$X,MATCH($A12,SPPR!$A:$A,0),5)),$C12*INDEX(SPPR!$E:$X,MATCH($A12,SPPR!$A:$A,0),5),""),"")</f>
        <v/>
      </c>
      <c r="I12">
        <f>IFERROR(IF(ISNUMBER(INDEX(SPPR!$E:$X,MATCH($A12,SPPR!$A:$A,0),6)),$C12*INDEX(SPPR!$E:$X,MATCH($A12,SPPR!$A:$A,0),6),""),"")</f>
        <v/>
      </c>
      <c r="J12">
        <f>IFERROR(IF(ISNUMBER(INDEX(SPPR!$E:$X,MATCH($A12,SPPR!$A:$A,0),7)),$C12*INDEX(SPPR!$E:$X,MATCH($A12,SPPR!$A:$A,0),7),""),"")</f>
        <v/>
      </c>
      <c r="K12">
        <f>IFERROR(IF(ISNUMBER(INDEX(SPPR!$E:$X,MATCH($A12,SPPR!$A:$A,0),8)),$C12*INDEX(SPPR!$E:$X,MATCH($A12,SPPR!$A:$A,0),8),""),"")</f>
        <v/>
      </c>
      <c r="L12">
        <f>IFERROR(IF(ISNUMBER(INDEX(SPPR!$E:$X,MATCH($A12,SPPR!$A:$A,0),9)),$C12*INDEX(SPPR!$E:$X,MATCH($A12,SPPR!$A:$A,0),9),""),"")</f>
        <v/>
      </c>
      <c r="M12">
        <f>IFERROR(IF(ISNUMBER(INDEX(SPPR!$E:$X,MATCH($A12,SPPR!$A:$A,0),10)),$C12*INDEX(SPPR!$E:$X,MATCH($A12,SPPR!$A:$A,0),10),""),"")</f>
        <v/>
      </c>
      <c r="N12">
        <f>IFERROR(IF(ISNUMBER(INDEX(SPPR!$E:$X,MATCH($A12,SPPR!$A:$A,0),11)),$C12*INDEX(SPPR!$E:$X,MATCH($A12,SPPR!$A:$A,0),11),""),"")</f>
        <v/>
      </c>
      <c r="O12">
        <f>IFERROR(IF(ISNUMBER(INDEX(SPPR!$E:$X,MATCH($A12,SPPR!$A:$A,0),12)),$C12*INDEX(SPPR!$E:$X,MATCH($A12,SPPR!$A:$A,0),12),""),"")</f>
        <v/>
      </c>
      <c r="P12">
        <f>IFERROR(IF(ISNUMBER(INDEX(SPPR!$E:$X,MATCH($A12,SPPR!$A:$A,0),13)),$C12*INDEX(SPPR!$E:$X,MATCH($A12,SPPR!$A:$A,0),13),""),"")</f>
        <v/>
      </c>
      <c r="Q12">
        <f>IFERROR(IF(ISNUMBER(INDEX(SPPR!$E:$X,MATCH($A12,SPPR!$A:$A,0),14)),$C12*INDEX(SPPR!$E:$X,MATCH($A12,SPPR!$A:$A,0),14),""),"")</f>
        <v/>
      </c>
      <c r="R12">
        <f>IFERROR(IF(ISNUMBER(INDEX(SPPR!$E:$X,MATCH($A12,SPPR!$A:$A,0),15)),$C12*INDEX(SPPR!$E:$X,MATCH($A12,SPPR!$A:$A,0),15),""),"")</f>
        <v/>
      </c>
      <c r="S12">
        <f>IFERROR(IF(ISNUMBER(INDEX(SPPR!$E:$X,MATCH($A12,SPPR!$A:$A,0),16)),$C12*INDEX(SPPR!$E:$X,MATCH($A12,SPPR!$A:$A,0),16),""),"")</f>
        <v/>
      </c>
      <c r="T12">
        <f>IFERROR(IF(ISNUMBER(INDEX(SPPR!$E:$X,MATCH($A12,SPPR!$A:$A,0),17)),$C12*INDEX(SPPR!$E:$X,MATCH($A12,SPPR!$A:$A,0),17),""),"")</f>
        <v/>
      </c>
      <c r="U12">
        <f>IFERROR(IF(ISNUMBER(INDEX(SPPR!$E:$X,MATCH($A12,SPPR!$A:$A,0),18)),$C12*INDEX(SPPR!$E:$X,MATCH($A12,SPPR!$A:$A,0),18),""),"")</f>
        <v/>
      </c>
      <c r="V12">
        <f>IFERROR(IF(ISNUMBER(INDEX(SPPR!$E:$X,MATCH($A12,SPPR!$A:$A,0),19)),$C12*INDEX(SPPR!$E:$X,MATCH($A12,SPPR!$A:$A,0),19),""),"")</f>
        <v/>
      </c>
      <c r="W12">
        <f>IFERROR(IF(ISNUMBER(INDEX(SPPR!$E:$X,MATCH($A12,SPPR!$A:$A,0),20)),$C12*INDEX(SPPR!$E:$X,MATCH($A12,SPPR!$A:$A,0),20),""),"")</f>
        <v/>
      </c>
    </row>
    <row r="13">
      <c r="A13" t="inlineStr">
        <is>
          <t>Carangidae</t>
        </is>
      </c>
      <c r="B13">
        <f>IFERROR(INDEX(SPPR!$D:$D,MATCH($A13,SPPR!$A:$A,0)),"")</f>
        <v/>
      </c>
      <c r="C13">
        <f>IFERROR(INDEX(Catch!$E:$BV,MATCH($A13,Catch!$A:$A,0),MATCH($B$4,Catch!$E$1:$BV$1,0)),0)</f>
        <v/>
      </c>
      <c r="D13">
        <f>IFERROR(IF(ISNUMBER(INDEX(SPPR!$E:$X,MATCH($A13,SPPR!$A:$A,0),1)),$C13*INDEX(SPPR!$E:$X,MATCH($A13,SPPR!$A:$A,0),1),""),"")</f>
        <v/>
      </c>
      <c r="E13">
        <f>IFERROR(IF(ISNUMBER(INDEX(SPPR!$E:$X,MATCH($A13,SPPR!$A:$A,0),2)),$C13*INDEX(SPPR!$E:$X,MATCH($A13,SPPR!$A:$A,0),2),""),"")</f>
        <v/>
      </c>
      <c r="F13">
        <f>IFERROR(IF(ISNUMBER(INDEX(SPPR!$E:$X,MATCH($A13,SPPR!$A:$A,0),3)),$C13*INDEX(SPPR!$E:$X,MATCH($A13,SPPR!$A:$A,0),3),""),"")</f>
        <v/>
      </c>
      <c r="G13">
        <f>IFERROR(IF(ISNUMBER(INDEX(SPPR!$E:$X,MATCH($A13,SPPR!$A:$A,0),4)),$C13*INDEX(SPPR!$E:$X,MATCH($A13,SPPR!$A:$A,0),4),""),"")</f>
        <v/>
      </c>
      <c r="H13">
        <f>IFERROR(IF(ISNUMBER(INDEX(SPPR!$E:$X,MATCH($A13,SPPR!$A:$A,0),5)),$C13*INDEX(SPPR!$E:$X,MATCH($A13,SPPR!$A:$A,0),5),""),"")</f>
        <v/>
      </c>
      <c r="I13">
        <f>IFERROR(IF(ISNUMBER(INDEX(SPPR!$E:$X,MATCH($A13,SPPR!$A:$A,0),6)),$C13*INDEX(SPPR!$E:$X,MATCH($A13,SPPR!$A:$A,0),6),""),"")</f>
        <v/>
      </c>
      <c r="J13">
        <f>IFERROR(IF(ISNUMBER(INDEX(SPPR!$E:$X,MATCH($A13,SPPR!$A:$A,0),7)),$C13*INDEX(SPPR!$E:$X,MATCH($A13,SPPR!$A:$A,0),7),""),"")</f>
        <v/>
      </c>
      <c r="K13">
        <f>IFERROR(IF(ISNUMBER(INDEX(SPPR!$E:$X,MATCH($A13,SPPR!$A:$A,0),8)),$C13*INDEX(SPPR!$E:$X,MATCH($A13,SPPR!$A:$A,0),8),""),"")</f>
        <v/>
      </c>
      <c r="L13">
        <f>IFERROR(IF(ISNUMBER(INDEX(SPPR!$E:$X,MATCH($A13,SPPR!$A:$A,0),9)),$C13*INDEX(SPPR!$E:$X,MATCH($A13,SPPR!$A:$A,0),9),""),"")</f>
        <v/>
      </c>
      <c r="M13">
        <f>IFERROR(IF(ISNUMBER(INDEX(SPPR!$E:$X,MATCH($A13,SPPR!$A:$A,0),10)),$C13*INDEX(SPPR!$E:$X,MATCH($A13,SPPR!$A:$A,0),10),""),"")</f>
        <v/>
      </c>
      <c r="N13">
        <f>IFERROR(IF(ISNUMBER(INDEX(SPPR!$E:$X,MATCH($A13,SPPR!$A:$A,0),11)),$C13*INDEX(SPPR!$E:$X,MATCH($A13,SPPR!$A:$A,0),11),""),"")</f>
        <v/>
      </c>
      <c r="O13">
        <f>IFERROR(IF(ISNUMBER(INDEX(SPPR!$E:$X,MATCH($A13,SPPR!$A:$A,0),12)),$C13*INDEX(SPPR!$E:$X,MATCH($A13,SPPR!$A:$A,0),12),""),"")</f>
        <v/>
      </c>
      <c r="P13">
        <f>IFERROR(IF(ISNUMBER(INDEX(SPPR!$E:$X,MATCH($A13,SPPR!$A:$A,0),13)),$C13*INDEX(SPPR!$E:$X,MATCH($A13,SPPR!$A:$A,0),13),""),"")</f>
        <v/>
      </c>
      <c r="Q13">
        <f>IFERROR(IF(ISNUMBER(INDEX(SPPR!$E:$X,MATCH($A13,SPPR!$A:$A,0),14)),$C13*INDEX(SPPR!$E:$X,MATCH($A13,SPPR!$A:$A,0),14),""),"")</f>
        <v/>
      </c>
      <c r="R13">
        <f>IFERROR(IF(ISNUMBER(INDEX(SPPR!$E:$X,MATCH($A13,SPPR!$A:$A,0),15)),$C13*INDEX(SPPR!$E:$X,MATCH($A13,SPPR!$A:$A,0),15),""),"")</f>
        <v/>
      </c>
      <c r="S13">
        <f>IFERROR(IF(ISNUMBER(INDEX(SPPR!$E:$X,MATCH($A13,SPPR!$A:$A,0),16)),$C13*INDEX(SPPR!$E:$X,MATCH($A13,SPPR!$A:$A,0),16),""),"")</f>
        <v/>
      </c>
      <c r="T13">
        <f>IFERROR(IF(ISNUMBER(INDEX(SPPR!$E:$X,MATCH($A13,SPPR!$A:$A,0),17)),$C13*INDEX(SPPR!$E:$X,MATCH($A13,SPPR!$A:$A,0),17),""),"")</f>
        <v/>
      </c>
      <c r="U13">
        <f>IFERROR(IF(ISNUMBER(INDEX(SPPR!$E:$X,MATCH($A13,SPPR!$A:$A,0),18)),$C13*INDEX(SPPR!$E:$X,MATCH($A13,SPPR!$A:$A,0),18),""),"")</f>
        <v/>
      </c>
      <c r="V13">
        <f>IFERROR(IF(ISNUMBER(INDEX(SPPR!$E:$X,MATCH($A13,SPPR!$A:$A,0),19)),$C13*INDEX(SPPR!$E:$X,MATCH($A13,SPPR!$A:$A,0),19),""),"")</f>
        <v/>
      </c>
      <c r="W13">
        <f>IFERROR(IF(ISNUMBER(INDEX(SPPR!$E:$X,MATCH($A13,SPPR!$A:$A,0),20)),$C13*INDEX(SPPR!$E:$X,MATCH($A13,SPPR!$A:$A,0),20),""),"")</f>
        <v/>
      </c>
    </row>
    <row r="14">
      <c r="A14" t="inlineStr">
        <is>
          <t>Mollusca</t>
        </is>
      </c>
      <c r="B14">
        <f>IFERROR(INDEX(SPPR!$D:$D,MATCH($A14,SPPR!$A:$A,0)),"")</f>
        <v/>
      </c>
      <c r="C14">
        <f>IFERROR(INDEX(Catch!$E:$BV,MATCH($A14,Catch!$A:$A,0),MATCH($B$4,Catch!$E$1:$BV$1,0)),0)</f>
        <v/>
      </c>
      <c r="D14">
        <f>IFERROR(IF(ISNUMBER(INDEX(SPPR!$E:$X,MATCH($A14,SPPR!$A:$A,0),1)),$C14*INDEX(SPPR!$E:$X,MATCH($A14,SPPR!$A:$A,0),1),""),"")</f>
        <v/>
      </c>
      <c r="E14">
        <f>IFERROR(IF(ISNUMBER(INDEX(SPPR!$E:$X,MATCH($A14,SPPR!$A:$A,0),2)),$C14*INDEX(SPPR!$E:$X,MATCH($A14,SPPR!$A:$A,0),2),""),"")</f>
        <v/>
      </c>
      <c r="F14">
        <f>IFERROR(IF(ISNUMBER(INDEX(SPPR!$E:$X,MATCH($A14,SPPR!$A:$A,0),3)),$C14*INDEX(SPPR!$E:$X,MATCH($A14,SPPR!$A:$A,0),3),""),"")</f>
        <v/>
      </c>
      <c r="G14">
        <f>IFERROR(IF(ISNUMBER(INDEX(SPPR!$E:$X,MATCH($A14,SPPR!$A:$A,0),4)),$C14*INDEX(SPPR!$E:$X,MATCH($A14,SPPR!$A:$A,0),4),""),"")</f>
        <v/>
      </c>
      <c r="H14">
        <f>IFERROR(IF(ISNUMBER(INDEX(SPPR!$E:$X,MATCH($A14,SPPR!$A:$A,0),5)),$C14*INDEX(SPPR!$E:$X,MATCH($A14,SPPR!$A:$A,0),5),""),"")</f>
        <v/>
      </c>
      <c r="I14">
        <f>IFERROR(IF(ISNUMBER(INDEX(SPPR!$E:$X,MATCH($A14,SPPR!$A:$A,0),6)),$C14*INDEX(SPPR!$E:$X,MATCH($A14,SPPR!$A:$A,0),6),""),"")</f>
        <v/>
      </c>
      <c r="J14">
        <f>IFERROR(IF(ISNUMBER(INDEX(SPPR!$E:$X,MATCH($A14,SPPR!$A:$A,0),7)),$C14*INDEX(SPPR!$E:$X,MATCH($A14,SPPR!$A:$A,0),7),""),"")</f>
        <v/>
      </c>
      <c r="K14">
        <f>IFERROR(IF(ISNUMBER(INDEX(SPPR!$E:$X,MATCH($A14,SPPR!$A:$A,0),8)),$C14*INDEX(SPPR!$E:$X,MATCH($A14,SPPR!$A:$A,0),8),""),"")</f>
        <v/>
      </c>
      <c r="L14">
        <f>IFERROR(IF(ISNUMBER(INDEX(SPPR!$E:$X,MATCH($A14,SPPR!$A:$A,0),9)),$C14*INDEX(SPPR!$E:$X,MATCH($A14,SPPR!$A:$A,0),9),""),"")</f>
        <v/>
      </c>
      <c r="M14">
        <f>IFERROR(IF(ISNUMBER(INDEX(SPPR!$E:$X,MATCH($A14,SPPR!$A:$A,0),10)),$C14*INDEX(SPPR!$E:$X,MATCH($A14,SPPR!$A:$A,0),10),""),"")</f>
        <v/>
      </c>
      <c r="N14">
        <f>IFERROR(IF(ISNUMBER(INDEX(SPPR!$E:$X,MATCH($A14,SPPR!$A:$A,0),11)),$C14*INDEX(SPPR!$E:$X,MATCH($A14,SPPR!$A:$A,0),11),""),"")</f>
        <v/>
      </c>
      <c r="O14">
        <f>IFERROR(IF(ISNUMBER(INDEX(SPPR!$E:$X,MATCH($A14,SPPR!$A:$A,0),12)),$C14*INDEX(SPPR!$E:$X,MATCH($A14,SPPR!$A:$A,0),12),""),"")</f>
        <v/>
      </c>
      <c r="P14">
        <f>IFERROR(IF(ISNUMBER(INDEX(SPPR!$E:$X,MATCH($A14,SPPR!$A:$A,0),13)),$C14*INDEX(SPPR!$E:$X,MATCH($A14,SPPR!$A:$A,0),13),""),"")</f>
        <v/>
      </c>
      <c r="Q14">
        <f>IFERROR(IF(ISNUMBER(INDEX(SPPR!$E:$X,MATCH($A14,SPPR!$A:$A,0),14)),$C14*INDEX(SPPR!$E:$X,MATCH($A14,SPPR!$A:$A,0),14),""),"")</f>
        <v/>
      </c>
      <c r="R14">
        <f>IFERROR(IF(ISNUMBER(INDEX(SPPR!$E:$X,MATCH($A14,SPPR!$A:$A,0),15)),$C14*INDEX(SPPR!$E:$X,MATCH($A14,SPPR!$A:$A,0),15),""),"")</f>
        <v/>
      </c>
      <c r="S14">
        <f>IFERROR(IF(ISNUMBER(INDEX(SPPR!$E:$X,MATCH($A14,SPPR!$A:$A,0),16)),$C14*INDEX(SPPR!$E:$X,MATCH($A14,SPPR!$A:$A,0),16),""),"")</f>
        <v/>
      </c>
      <c r="T14">
        <f>IFERROR(IF(ISNUMBER(INDEX(SPPR!$E:$X,MATCH($A14,SPPR!$A:$A,0),17)),$C14*INDEX(SPPR!$E:$X,MATCH($A14,SPPR!$A:$A,0),17),""),"")</f>
        <v/>
      </c>
      <c r="U14">
        <f>IFERROR(IF(ISNUMBER(INDEX(SPPR!$E:$X,MATCH($A14,SPPR!$A:$A,0),18)),$C14*INDEX(SPPR!$E:$X,MATCH($A14,SPPR!$A:$A,0),18),""),"")</f>
        <v/>
      </c>
      <c r="V14">
        <f>IFERROR(IF(ISNUMBER(INDEX(SPPR!$E:$X,MATCH($A14,SPPR!$A:$A,0),19)),$C14*INDEX(SPPR!$E:$X,MATCH($A14,SPPR!$A:$A,0),19),""),"")</f>
        <v/>
      </c>
      <c r="W14">
        <f>IFERROR(IF(ISNUMBER(INDEX(SPPR!$E:$X,MATCH($A14,SPPR!$A:$A,0),20)),$C14*INDEX(SPPR!$E:$X,MATCH($A14,SPPR!$A:$A,0),20),""),"")</f>
        <v/>
      </c>
    </row>
    <row r="15">
      <c r="A15" t="inlineStr">
        <is>
          <t>Acetes japonicus</t>
        </is>
      </c>
      <c r="B15">
        <f>IFERROR(INDEX(SPPR!$D:$D,MATCH($A15,SPPR!$A:$A,0)),"")</f>
        <v/>
      </c>
      <c r="C15">
        <f>IFERROR(INDEX(Catch!$E:$BV,MATCH($A15,Catch!$A:$A,0),MATCH($B$4,Catch!$E$1:$BV$1,0)),0)</f>
        <v/>
      </c>
      <c r="D15">
        <f>IFERROR(IF(ISNUMBER(INDEX(SPPR!$E:$X,MATCH($A15,SPPR!$A:$A,0),1)),$C15*INDEX(SPPR!$E:$X,MATCH($A15,SPPR!$A:$A,0),1),""),"")</f>
        <v/>
      </c>
      <c r="E15">
        <f>IFERROR(IF(ISNUMBER(INDEX(SPPR!$E:$X,MATCH($A15,SPPR!$A:$A,0),2)),$C15*INDEX(SPPR!$E:$X,MATCH($A15,SPPR!$A:$A,0),2),""),"")</f>
        <v/>
      </c>
      <c r="F15">
        <f>IFERROR(IF(ISNUMBER(INDEX(SPPR!$E:$X,MATCH($A15,SPPR!$A:$A,0),3)),$C15*INDEX(SPPR!$E:$X,MATCH($A15,SPPR!$A:$A,0),3),""),"")</f>
        <v/>
      </c>
      <c r="G15">
        <f>IFERROR(IF(ISNUMBER(INDEX(SPPR!$E:$X,MATCH($A15,SPPR!$A:$A,0),4)),$C15*INDEX(SPPR!$E:$X,MATCH($A15,SPPR!$A:$A,0),4),""),"")</f>
        <v/>
      </c>
      <c r="H15">
        <f>IFERROR(IF(ISNUMBER(INDEX(SPPR!$E:$X,MATCH($A15,SPPR!$A:$A,0),5)),$C15*INDEX(SPPR!$E:$X,MATCH($A15,SPPR!$A:$A,0),5),""),"")</f>
        <v/>
      </c>
      <c r="I15">
        <f>IFERROR(IF(ISNUMBER(INDEX(SPPR!$E:$X,MATCH($A15,SPPR!$A:$A,0),6)),$C15*INDEX(SPPR!$E:$X,MATCH($A15,SPPR!$A:$A,0),6),""),"")</f>
        <v/>
      </c>
      <c r="J15">
        <f>IFERROR(IF(ISNUMBER(INDEX(SPPR!$E:$X,MATCH($A15,SPPR!$A:$A,0),7)),$C15*INDEX(SPPR!$E:$X,MATCH($A15,SPPR!$A:$A,0),7),""),"")</f>
        <v/>
      </c>
      <c r="K15">
        <f>IFERROR(IF(ISNUMBER(INDEX(SPPR!$E:$X,MATCH($A15,SPPR!$A:$A,0),8)),$C15*INDEX(SPPR!$E:$X,MATCH($A15,SPPR!$A:$A,0),8),""),"")</f>
        <v/>
      </c>
      <c r="L15">
        <f>IFERROR(IF(ISNUMBER(INDEX(SPPR!$E:$X,MATCH($A15,SPPR!$A:$A,0),9)),$C15*INDEX(SPPR!$E:$X,MATCH($A15,SPPR!$A:$A,0),9),""),"")</f>
        <v/>
      </c>
      <c r="M15">
        <f>IFERROR(IF(ISNUMBER(INDEX(SPPR!$E:$X,MATCH($A15,SPPR!$A:$A,0),10)),$C15*INDEX(SPPR!$E:$X,MATCH($A15,SPPR!$A:$A,0),10),""),"")</f>
        <v/>
      </c>
      <c r="N15">
        <f>IFERROR(IF(ISNUMBER(INDEX(SPPR!$E:$X,MATCH($A15,SPPR!$A:$A,0),11)),$C15*INDEX(SPPR!$E:$X,MATCH($A15,SPPR!$A:$A,0),11),""),"")</f>
        <v/>
      </c>
      <c r="O15">
        <f>IFERROR(IF(ISNUMBER(INDEX(SPPR!$E:$X,MATCH($A15,SPPR!$A:$A,0),12)),$C15*INDEX(SPPR!$E:$X,MATCH($A15,SPPR!$A:$A,0),12),""),"")</f>
        <v/>
      </c>
      <c r="P15">
        <f>IFERROR(IF(ISNUMBER(INDEX(SPPR!$E:$X,MATCH($A15,SPPR!$A:$A,0),13)),$C15*INDEX(SPPR!$E:$X,MATCH($A15,SPPR!$A:$A,0),13),""),"")</f>
        <v/>
      </c>
      <c r="Q15">
        <f>IFERROR(IF(ISNUMBER(INDEX(SPPR!$E:$X,MATCH($A15,SPPR!$A:$A,0),14)),$C15*INDEX(SPPR!$E:$X,MATCH($A15,SPPR!$A:$A,0),14),""),"")</f>
        <v/>
      </c>
      <c r="R15">
        <f>IFERROR(IF(ISNUMBER(INDEX(SPPR!$E:$X,MATCH($A15,SPPR!$A:$A,0),15)),$C15*INDEX(SPPR!$E:$X,MATCH($A15,SPPR!$A:$A,0),15),""),"")</f>
        <v/>
      </c>
      <c r="S15">
        <f>IFERROR(IF(ISNUMBER(INDEX(SPPR!$E:$X,MATCH($A15,SPPR!$A:$A,0),16)),$C15*INDEX(SPPR!$E:$X,MATCH($A15,SPPR!$A:$A,0),16),""),"")</f>
        <v/>
      </c>
      <c r="T15">
        <f>IFERROR(IF(ISNUMBER(INDEX(SPPR!$E:$X,MATCH($A15,SPPR!$A:$A,0),17)),$C15*INDEX(SPPR!$E:$X,MATCH($A15,SPPR!$A:$A,0),17),""),"")</f>
        <v/>
      </c>
      <c r="U15">
        <f>IFERROR(IF(ISNUMBER(INDEX(SPPR!$E:$X,MATCH($A15,SPPR!$A:$A,0),18)),$C15*INDEX(SPPR!$E:$X,MATCH($A15,SPPR!$A:$A,0),18),""),"")</f>
        <v/>
      </c>
      <c r="V15">
        <f>IFERROR(IF(ISNUMBER(INDEX(SPPR!$E:$X,MATCH($A15,SPPR!$A:$A,0),19)),$C15*INDEX(SPPR!$E:$X,MATCH($A15,SPPR!$A:$A,0),19),""),"")</f>
        <v/>
      </c>
      <c r="W15">
        <f>IFERROR(IF(ISNUMBER(INDEX(SPPR!$E:$X,MATCH($A15,SPPR!$A:$A,0),20)),$C15*INDEX(SPPR!$E:$X,MATCH($A15,SPPR!$A:$A,0),20),""),"")</f>
        <v/>
      </c>
    </row>
    <row r="16">
      <c r="A16" t="inlineStr">
        <is>
          <t>Perciformes</t>
        </is>
      </c>
      <c r="B16">
        <f>IFERROR(INDEX(SPPR!$D:$D,MATCH($A16,SPPR!$A:$A,0)),"")</f>
        <v/>
      </c>
      <c r="C16">
        <f>IFERROR(INDEX(Catch!$E:$BV,MATCH($A16,Catch!$A:$A,0),MATCH($B$4,Catch!$E$1:$BV$1,0)),0)</f>
        <v/>
      </c>
      <c r="D16">
        <f>IFERROR(IF(ISNUMBER(INDEX(SPPR!$E:$X,MATCH($A16,SPPR!$A:$A,0),1)),$C16*INDEX(SPPR!$E:$X,MATCH($A16,SPPR!$A:$A,0),1),""),"")</f>
        <v/>
      </c>
      <c r="E16">
        <f>IFERROR(IF(ISNUMBER(INDEX(SPPR!$E:$X,MATCH($A16,SPPR!$A:$A,0),2)),$C16*INDEX(SPPR!$E:$X,MATCH($A16,SPPR!$A:$A,0),2),""),"")</f>
        <v/>
      </c>
      <c r="F16">
        <f>IFERROR(IF(ISNUMBER(INDEX(SPPR!$E:$X,MATCH($A16,SPPR!$A:$A,0),3)),$C16*INDEX(SPPR!$E:$X,MATCH($A16,SPPR!$A:$A,0),3),""),"")</f>
        <v/>
      </c>
      <c r="G16">
        <f>IFERROR(IF(ISNUMBER(INDEX(SPPR!$E:$X,MATCH($A16,SPPR!$A:$A,0),4)),$C16*INDEX(SPPR!$E:$X,MATCH($A16,SPPR!$A:$A,0),4),""),"")</f>
        <v/>
      </c>
      <c r="H16">
        <f>IFERROR(IF(ISNUMBER(INDEX(SPPR!$E:$X,MATCH($A16,SPPR!$A:$A,0),5)),$C16*INDEX(SPPR!$E:$X,MATCH($A16,SPPR!$A:$A,0),5),""),"")</f>
        <v/>
      </c>
      <c r="I16">
        <f>IFERROR(IF(ISNUMBER(INDEX(SPPR!$E:$X,MATCH($A16,SPPR!$A:$A,0),6)),$C16*INDEX(SPPR!$E:$X,MATCH($A16,SPPR!$A:$A,0),6),""),"")</f>
        <v/>
      </c>
      <c r="J16">
        <f>IFERROR(IF(ISNUMBER(INDEX(SPPR!$E:$X,MATCH($A16,SPPR!$A:$A,0),7)),$C16*INDEX(SPPR!$E:$X,MATCH($A16,SPPR!$A:$A,0),7),""),"")</f>
        <v/>
      </c>
      <c r="K16">
        <f>IFERROR(IF(ISNUMBER(INDEX(SPPR!$E:$X,MATCH($A16,SPPR!$A:$A,0),8)),$C16*INDEX(SPPR!$E:$X,MATCH($A16,SPPR!$A:$A,0),8),""),"")</f>
        <v/>
      </c>
      <c r="L16">
        <f>IFERROR(IF(ISNUMBER(INDEX(SPPR!$E:$X,MATCH($A16,SPPR!$A:$A,0),9)),$C16*INDEX(SPPR!$E:$X,MATCH($A16,SPPR!$A:$A,0),9),""),"")</f>
        <v/>
      </c>
      <c r="M16">
        <f>IFERROR(IF(ISNUMBER(INDEX(SPPR!$E:$X,MATCH($A16,SPPR!$A:$A,0),10)),$C16*INDEX(SPPR!$E:$X,MATCH($A16,SPPR!$A:$A,0),10),""),"")</f>
        <v/>
      </c>
      <c r="N16">
        <f>IFERROR(IF(ISNUMBER(INDEX(SPPR!$E:$X,MATCH($A16,SPPR!$A:$A,0),11)),$C16*INDEX(SPPR!$E:$X,MATCH($A16,SPPR!$A:$A,0),11),""),"")</f>
        <v/>
      </c>
      <c r="O16">
        <f>IFERROR(IF(ISNUMBER(INDEX(SPPR!$E:$X,MATCH($A16,SPPR!$A:$A,0),12)),$C16*INDEX(SPPR!$E:$X,MATCH($A16,SPPR!$A:$A,0),12),""),"")</f>
        <v/>
      </c>
      <c r="P16">
        <f>IFERROR(IF(ISNUMBER(INDEX(SPPR!$E:$X,MATCH($A16,SPPR!$A:$A,0),13)),$C16*INDEX(SPPR!$E:$X,MATCH($A16,SPPR!$A:$A,0),13),""),"")</f>
        <v/>
      </c>
      <c r="Q16">
        <f>IFERROR(IF(ISNUMBER(INDEX(SPPR!$E:$X,MATCH($A16,SPPR!$A:$A,0),14)),$C16*INDEX(SPPR!$E:$X,MATCH($A16,SPPR!$A:$A,0),14),""),"")</f>
        <v/>
      </c>
      <c r="R16">
        <f>IFERROR(IF(ISNUMBER(INDEX(SPPR!$E:$X,MATCH($A16,SPPR!$A:$A,0),15)),$C16*INDEX(SPPR!$E:$X,MATCH($A16,SPPR!$A:$A,0),15),""),"")</f>
        <v/>
      </c>
      <c r="S16">
        <f>IFERROR(IF(ISNUMBER(INDEX(SPPR!$E:$X,MATCH($A16,SPPR!$A:$A,0),16)),$C16*INDEX(SPPR!$E:$X,MATCH($A16,SPPR!$A:$A,0),16),""),"")</f>
        <v/>
      </c>
      <c r="T16">
        <f>IFERROR(IF(ISNUMBER(INDEX(SPPR!$E:$X,MATCH($A16,SPPR!$A:$A,0),17)),$C16*INDEX(SPPR!$E:$X,MATCH($A16,SPPR!$A:$A,0),17),""),"")</f>
        <v/>
      </c>
      <c r="U16">
        <f>IFERROR(IF(ISNUMBER(INDEX(SPPR!$E:$X,MATCH($A16,SPPR!$A:$A,0),18)),$C16*INDEX(SPPR!$E:$X,MATCH($A16,SPPR!$A:$A,0),18),""),"")</f>
        <v/>
      </c>
      <c r="V16">
        <f>IFERROR(IF(ISNUMBER(INDEX(SPPR!$E:$X,MATCH($A16,SPPR!$A:$A,0),19)),$C16*INDEX(SPPR!$E:$X,MATCH($A16,SPPR!$A:$A,0),19),""),"")</f>
        <v/>
      </c>
      <c r="W16">
        <f>IFERROR(IF(ISNUMBER(INDEX(SPPR!$E:$X,MATCH($A16,SPPR!$A:$A,0),20)),$C16*INDEX(SPPR!$E:$X,MATCH($A16,SPPR!$A:$A,0),20),""),"")</f>
        <v/>
      </c>
    </row>
    <row r="17">
      <c r="A17" t="inlineStr">
        <is>
          <t>Nemipterus</t>
        </is>
      </c>
      <c r="B17">
        <f>IFERROR(INDEX(SPPR!$D:$D,MATCH($A17,SPPR!$A:$A,0)),"")</f>
        <v/>
      </c>
      <c r="C17">
        <f>IFERROR(INDEX(Catch!$E:$BV,MATCH($A17,Catch!$A:$A,0),MATCH($B$4,Catch!$E$1:$BV$1,0)),0)</f>
        <v/>
      </c>
      <c r="D17">
        <f>IFERROR(IF(ISNUMBER(INDEX(SPPR!$E:$X,MATCH($A17,SPPR!$A:$A,0),1)),$C17*INDEX(SPPR!$E:$X,MATCH($A17,SPPR!$A:$A,0),1),""),"")</f>
        <v/>
      </c>
      <c r="E17">
        <f>IFERROR(IF(ISNUMBER(INDEX(SPPR!$E:$X,MATCH($A17,SPPR!$A:$A,0),2)),$C17*INDEX(SPPR!$E:$X,MATCH($A17,SPPR!$A:$A,0),2),""),"")</f>
        <v/>
      </c>
      <c r="F17">
        <f>IFERROR(IF(ISNUMBER(INDEX(SPPR!$E:$X,MATCH($A17,SPPR!$A:$A,0),3)),$C17*INDEX(SPPR!$E:$X,MATCH($A17,SPPR!$A:$A,0),3),""),"")</f>
        <v/>
      </c>
      <c r="G17">
        <f>IFERROR(IF(ISNUMBER(INDEX(SPPR!$E:$X,MATCH($A17,SPPR!$A:$A,0),4)),$C17*INDEX(SPPR!$E:$X,MATCH($A17,SPPR!$A:$A,0),4),""),"")</f>
        <v/>
      </c>
      <c r="H17">
        <f>IFERROR(IF(ISNUMBER(INDEX(SPPR!$E:$X,MATCH($A17,SPPR!$A:$A,0),5)),$C17*INDEX(SPPR!$E:$X,MATCH($A17,SPPR!$A:$A,0),5),""),"")</f>
        <v/>
      </c>
      <c r="I17">
        <f>IFERROR(IF(ISNUMBER(INDEX(SPPR!$E:$X,MATCH($A17,SPPR!$A:$A,0),6)),$C17*INDEX(SPPR!$E:$X,MATCH($A17,SPPR!$A:$A,0),6),""),"")</f>
        <v/>
      </c>
      <c r="J17">
        <f>IFERROR(IF(ISNUMBER(INDEX(SPPR!$E:$X,MATCH($A17,SPPR!$A:$A,0),7)),$C17*INDEX(SPPR!$E:$X,MATCH($A17,SPPR!$A:$A,0),7),""),"")</f>
        <v/>
      </c>
      <c r="K17">
        <f>IFERROR(IF(ISNUMBER(INDEX(SPPR!$E:$X,MATCH($A17,SPPR!$A:$A,0),8)),$C17*INDEX(SPPR!$E:$X,MATCH($A17,SPPR!$A:$A,0),8),""),"")</f>
        <v/>
      </c>
      <c r="L17">
        <f>IFERROR(IF(ISNUMBER(INDEX(SPPR!$E:$X,MATCH($A17,SPPR!$A:$A,0),9)),$C17*INDEX(SPPR!$E:$X,MATCH($A17,SPPR!$A:$A,0),9),""),"")</f>
        <v/>
      </c>
      <c r="M17">
        <f>IFERROR(IF(ISNUMBER(INDEX(SPPR!$E:$X,MATCH($A17,SPPR!$A:$A,0),10)),$C17*INDEX(SPPR!$E:$X,MATCH($A17,SPPR!$A:$A,0),10),""),"")</f>
        <v/>
      </c>
      <c r="N17">
        <f>IFERROR(IF(ISNUMBER(INDEX(SPPR!$E:$X,MATCH($A17,SPPR!$A:$A,0),11)),$C17*INDEX(SPPR!$E:$X,MATCH($A17,SPPR!$A:$A,0),11),""),"")</f>
        <v/>
      </c>
      <c r="O17">
        <f>IFERROR(IF(ISNUMBER(INDEX(SPPR!$E:$X,MATCH($A17,SPPR!$A:$A,0),12)),$C17*INDEX(SPPR!$E:$X,MATCH($A17,SPPR!$A:$A,0),12),""),"")</f>
        <v/>
      </c>
      <c r="P17">
        <f>IFERROR(IF(ISNUMBER(INDEX(SPPR!$E:$X,MATCH($A17,SPPR!$A:$A,0),13)),$C17*INDEX(SPPR!$E:$X,MATCH($A17,SPPR!$A:$A,0),13),""),"")</f>
        <v/>
      </c>
      <c r="Q17">
        <f>IFERROR(IF(ISNUMBER(INDEX(SPPR!$E:$X,MATCH($A17,SPPR!$A:$A,0),14)),$C17*INDEX(SPPR!$E:$X,MATCH($A17,SPPR!$A:$A,0),14),""),"")</f>
        <v/>
      </c>
      <c r="R17">
        <f>IFERROR(IF(ISNUMBER(INDEX(SPPR!$E:$X,MATCH($A17,SPPR!$A:$A,0),15)),$C17*INDEX(SPPR!$E:$X,MATCH($A17,SPPR!$A:$A,0),15),""),"")</f>
        <v/>
      </c>
      <c r="S17">
        <f>IFERROR(IF(ISNUMBER(INDEX(SPPR!$E:$X,MATCH($A17,SPPR!$A:$A,0),16)),$C17*INDEX(SPPR!$E:$X,MATCH($A17,SPPR!$A:$A,0),16),""),"")</f>
        <v/>
      </c>
      <c r="T17">
        <f>IFERROR(IF(ISNUMBER(INDEX(SPPR!$E:$X,MATCH($A17,SPPR!$A:$A,0),17)),$C17*INDEX(SPPR!$E:$X,MATCH($A17,SPPR!$A:$A,0),17),""),"")</f>
        <v/>
      </c>
      <c r="U17">
        <f>IFERROR(IF(ISNUMBER(INDEX(SPPR!$E:$X,MATCH($A17,SPPR!$A:$A,0),18)),$C17*INDEX(SPPR!$E:$X,MATCH($A17,SPPR!$A:$A,0),18),""),"")</f>
        <v/>
      </c>
      <c r="V17">
        <f>IFERROR(IF(ISNUMBER(INDEX(SPPR!$E:$X,MATCH($A17,SPPR!$A:$A,0),19)),$C17*INDEX(SPPR!$E:$X,MATCH($A17,SPPR!$A:$A,0),19),""),"")</f>
        <v/>
      </c>
      <c r="W17">
        <f>IFERROR(IF(ISNUMBER(INDEX(SPPR!$E:$X,MATCH($A17,SPPR!$A:$A,0),20)),$C17*INDEX(SPPR!$E:$X,MATCH($A17,SPPR!$A:$A,0),20),""),"")</f>
        <v/>
      </c>
    </row>
    <row r="18">
      <c r="A18" t="inlineStr">
        <is>
          <t>Miscellaneous marine crustaceans</t>
        </is>
      </c>
      <c r="B18">
        <f>IFERROR(INDEX(SPPR!$D:$D,MATCH($A18,SPPR!$A:$A,0)),"")</f>
        <v/>
      </c>
      <c r="C18">
        <f>IFERROR(INDEX(Catch!$E:$BV,MATCH($A18,Catch!$A:$A,0),MATCH($B$4,Catch!$E$1:$BV$1,0)),0)</f>
        <v/>
      </c>
      <c r="D18">
        <f>IFERROR(IF(ISNUMBER(INDEX(SPPR!$E:$X,MATCH($A18,SPPR!$A:$A,0),1)),$C18*INDEX(SPPR!$E:$X,MATCH($A18,SPPR!$A:$A,0),1),""),"")</f>
        <v/>
      </c>
      <c r="E18">
        <f>IFERROR(IF(ISNUMBER(INDEX(SPPR!$E:$X,MATCH($A18,SPPR!$A:$A,0),2)),$C18*INDEX(SPPR!$E:$X,MATCH($A18,SPPR!$A:$A,0),2),""),"")</f>
        <v/>
      </c>
      <c r="F18">
        <f>IFERROR(IF(ISNUMBER(INDEX(SPPR!$E:$X,MATCH($A18,SPPR!$A:$A,0),3)),$C18*INDEX(SPPR!$E:$X,MATCH($A18,SPPR!$A:$A,0),3),""),"")</f>
        <v/>
      </c>
      <c r="G18">
        <f>IFERROR(IF(ISNUMBER(INDEX(SPPR!$E:$X,MATCH($A18,SPPR!$A:$A,0),4)),$C18*INDEX(SPPR!$E:$X,MATCH($A18,SPPR!$A:$A,0),4),""),"")</f>
        <v/>
      </c>
      <c r="H18">
        <f>IFERROR(IF(ISNUMBER(INDEX(SPPR!$E:$X,MATCH($A18,SPPR!$A:$A,0),5)),$C18*INDEX(SPPR!$E:$X,MATCH($A18,SPPR!$A:$A,0),5),""),"")</f>
        <v/>
      </c>
      <c r="I18">
        <f>IFERROR(IF(ISNUMBER(INDEX(SPPR!$E:$X,MATCH($A18,SPPR!$A:$A,0),6)),$C18*INDEX(SPPR!$E:$X,MATCH($A18,SPPR!$A:$A,0),6),""),"")</f>
        <v/>
      </c>
      <c r="J18">
        <f>IFERROR(IF(ISNUMBER(INDEX(SPPR!$E:$X,MATCH($A18,SPPR!$A:$A,0),7)),$C18*INDEX(SPPR!$E:$X,MATCH($A18,SPPR!$A:$A,0),7),""),"")</f>
        <v/>
      </c>
      <c r="K18">
        <f>IFERROR(IF(ISNUMBER(INDEX(SPPR!$E:$X,MATCH($A18,SPPR!$A:$A,0),8)),$C18*INDEX(SPPR!$E:$X,MATCH($A18,SPPR!$A:$A,0),8),""),"")</f>
        <v/>
      </c>
      <c r="L18">
        <f>IFERROR(IF(ISNUMBER(INDEX(SPPR!$E:$X,MATCH($A18,SPPR!$A:$A,0),9)),$C18*INDEX(SPPR!$E:$X,MATCH($A18,SPPR!$A:$A,0),9),""),"")</f>
        <v/>
      </c>
      <c r="M18">
        <f>IFERROR(IF(ISNUMBER(INDEX(SPPR!$E:$X,MATCH($A18,SPPR!$A:$A,0),10)),$C18*INDEX(SPPR!$E:$X,MATCH($A18,SPPR!$A:$A,0),10),""),"")</f>
        <v/>
      </c>
      <c r="N18">
        <f>IFERROR(IF(ISNUMBER(INDEX(SPPR!$E:$X,MATCH($A18,SPPR!$A:$A,0),11)),$C18*INDEX(SPPR!$E:$X,MATCH($A18,SPPR!$A:$A,0),11),""),"")</f>
        <v/>
      </c>
      <c r="O18">
        <f>IFERROR(IF(ISNUMBER(INDEX(SPPR!$E:$X,MATCH($A18,SPPR!$A:$A,0),12)),$C18*INDEX(SPPR!$E:$X,MATCH($A18,SPPR!$A:$A,0),12),""),"")</f>
        <v/>
      </c>
      <c r="P18">
        <f>IFERROR(IF(ISNUMBER(INDEX(SPPR!$E:$X,MATCH($A18,SPPR!$A:$A,0),13)),$C18*INDEX(SPPR!$E:$X,MATCH($A18,SPPR!$A:$A,0),13),""),"")</f>
        <v/>
      </c>
      <c r="Q18">
        <f>IFERROR(IF(ISNUMBER(INDEX(SPPR!$E:$X,MATCH($A18,SPPR!$A:$A,0),14)),$C18*INDEX(SPPR!$E:$X,MATCH($A18,SPPR!$A:$A,0),14),""),"")</f>
        <v/>
      </c>
      <c r="R18">
        <f>IFERROR(IF(ISNUMBER(INDEX(SPPR!$E:$X,MATCH($A18,SPPR!$A:$A,0),15)),$C18*INDEX(SPPR!$E:$X,MATCH($A18,SPPR!$A:$A,0),15),""),"")</f>
        <v/>
      </c>
      <c r="S18">
        <f>IFERROR(IF(ISNUMBER(INDEX(SPPR!$E:$X,MATCH($A18,SPPR!$A:$A,0),16)),$C18*INDEX(SPPR!$E:$X,MATCH($A18,SPPR!$A:$A,0),16),""),"")</f>
        <v/>
      </c>
      <c r="T18">
        <f>IFERROR(IF(ISNUMBER(INDEX(SPPR!$E:$X,MATCH($A18,SPPR!$A:$A,0),17)),$C18*INDEX(SPPR!$E:$X,MATCH($A18,SPPR!$A:$A,0),17),""),"")</f>
        <v/>
      </c>
      <c r="U18">
        <f>IFERROR(IF(ISNUMBER(INDEX(SPPR!$E:$X,MATCH($A18,SPPR!$A:$A,0),18)),$C18*INDEX(SPPR!$E:$X,MATCH($A18,SPPR!$A:$A,0),18),""),"")</f>
        <v/>
      </c>
      <c r="V18">
        <f>IFERROR(IF(ISNUMBER(INDEX(SPPR!$E:$X,MATCH($A18,SPPR!$A:$A,0),19)),$C18*INDEX(SPPR!$E:$X,MATCH($A18,SPPR!$A:$A,0),19),""),"")</f>
        <v/>
      </c>
      <c r="W18">
        <f>IFERROR(IF(ISNUMBER(INDEX(SPPR!$E:$X,MATCH($A18,SPPR!$A:$A,0),20)),$C18*INDEX(SPPR!$E:$X,MATCH($A18,SPPR!$A:$A,0),20),""),"")</f>
        <v/>
      </c>
    </row>
    <row r="19">
      <c r="A19" t="inlineStr">
        <is>
          <t>Leiognathidae</t>
        </is>
      </c>
      <c r="B19">
        <f>IFERROR(INDEX(SPPR!$D:$D,MATCH($A19,SPPR!$A:$A,0)),"")</f>
        <v/>
      </c>
      <c r="C19">
        <f>IFERROR(INDEX(Catch!$E:$BV,MATCH($A19,Catch!$A:$A,0),MATCH($B$4,Catch!$E$1:$BV$1,0)),0)</f>
        <v/>
      </c>
      <c r="D19">
        <f>IFERROR(IF(ISNUMBER(INDEX(SPPR!$E:$X,MATCH($A19,SPPR!$A:$A,0),1)),$C19*INDEX(SPPR!$E:$X,MATCH($A19,SPPR!$A:$A,0),1),""),"")</f>
        <v/>
      </c>
      <c r="E19">
        <f>IFERROR(IF(ISNUMBER(INDEX(SPPR!$E:$X,MATCH($A19,SPPR!$A:$A,0),2)),$C19*INDEX(SPPR!$E:$X,MATCH($A19,SPPR!$A:$A,0),2),""),"")</f>
        <v/>
      </c>
      <c r="F19">
        <f>IFERROR(IF(ISNUMBER(INDEX(SPPR!$E:$X,MATCH($A19,SPPR!$A:$A,0),3)),$C19*INDEX(SPPR!$E:$X,MATCH($A19,SPPR!$A:$A,0),3),""),"")</f>
        <v/>
      </c>
      <c r="G19">
        <f>IFERROR(IF(ISNUMBER(INDEX(SPPR!$E:$X,MATCH($A19,SPPR!$A:$A,0),4)),$C19*INDEX(SPPR!$E:$X,MATCH($A19,SPPR!$A:$A,0),4),""),"")</f>
        <v/>
      </c>
      <c r="H19">
        <f>IFERROR(IF(ISNUMBER(INDEX(SPPR!$E:$X,MATCH($A19,SPPR!$A:$A,0),5)),$C19*INDEX(SPPR!$E:$X,MATCH($A19,SPPR!$A:$A,0),5),""),"")</f>
        <v/>
      </c>
      <c r="I19">
        <f>IFERROR(IF(ISNUMBER(INDEX(SPPR!$E:$X,MATCH($A19,SPPR!$A:$A,0),6)),$C19*INDEX(SPPR!$E:$X,MATCH($A19,SPPR!$A:$A,0),6),""),"")</f>
        <v/>
      </c>
      <c r="J19">
        <f>IFERROR(IF(ISNUMBER(INDEX(SPPR!$E:$X,MATCH($A19,SPPR!$A:$A,0),7)),$C19*INDEX(SPPR!$E:$X,MATCH($A19,SPPR!$A:$A,0),7),""),"")</f>
        <v/>
      </c>
      <c r="K19">
        <f>IFERROR(IF(ISNUMBER(INDEX(SPPR!$E:$X,MATCH($A19,SPPR!$A:$A,0),8)),$C19*INDEX(SPPR!$E:$X,MATCH($A19,SPPR!$A:$A,0),8),""),"")</f>
        <v/>
      </c>
      <c r="L19">
        <f>IFERROR(IF(ISNUMBER(INDEX(SPPR!$E:$X,MATCH($A19,SPPR!$A:$A,0),9)),$C19*INDEX(SPPR!$E:$X,MATCH($A19,SPPR!$A:$A,0),9),""),"")</f>
        <v/>
      </c>
      <c r="M19">
        <f>IFERROR(IF(ISNUMBER(INDEX(SPPR!$E:$X,MATCH($A19,SPPR!$A:$A,0),10)),$C19*INDEX(SPPR!$E:$X,MATCH($A19,SPPR!$A:$A,0),10),""),"")</f>
        <v/>
      </c>
      <c r="N19">
        <f>IFERROR(IF(ISNUMBER(INDEX(SPPR!$E:$X,MATCH($A19,SPPR!$A:$A,0),11)),$C19*INDEX(SPPR!$E:$X,MATCH($A19,SPPR!$A:$A,0),11),""),"")</f>
        <v/>
      </c>
      <c r="O19">
        <f>IFERROR(IF(ISNUMBER(INDEX(SPPR!$E:$X,MATCH($A19,SPPR!$A:$A,0),12)),$C19*INDEX(SPPR!$E:$X,MATCH($A19,SPPR!$A:$A,0),12),""),"")</f>
        <v/>
      </c>
      <c r="P19">
        <f>IFERROR(IF(ISNUMBER(INDEX(SPPR!$E:$X,MATCH($A19,SPPR!$A:$A,0),13)),$C19*INDEX(SPPR!$E:$X,MATCH($A19,SPPR!$A:$A,0),13),""),"")</f>
        <v/>
      </c>
      <c r="Q19">
        <f>IFERROR(IF(ISNUMBER(INDEX(SPPR!$E:$X,MATCH($A19,SPPR!$A:$A,0),14)),$C19*INDEX(SPPR!$E:$X,MATCH($A19,SPPR!$A:$A,0),14),""),"")</f>
        <v/>
      </c>
      <c r="R19">
        <f>IFERROR(IF(ISNUMBER(INDEX(SPPR!$E:$X,MATCH($A19,SPPR!$A:$A,0),15)),$C19*INDEX(SPPR!$E:$X,MATCH($A19,SPPR!$A:$A,0),15),""),"")</f>
        <v/>
      </c>
      <c r="S19">
        <f>IFERROR(IF(ISNUMBER(INDEX(SPPR!$E:$X,MATCH($A19,SPPR!$A:$A,0),16)),$C19*INDEX(SPPR!$E:$X,MATCH($A19,SPPR!$A:$A,0),16),""),"")</f>
        <v/>
      </c>
      <c r="T19">
        <f>IFERROR(IF(ISNUMBER(INDEX(SPPR!$E:$X,MATCH($A19,SPPR!$A:$A,0),17)),$C19*INDEX(SPPR!$E:$X,MATCH($A19,SPPR!$A:$A,0),17),""),"")</f>
        <v/>
      </c>
      <c r="U19">
        <f>IFERROR(IF(ISNUMBER(INDEX(SPPR!$E:$X,MATCH($A19,SPPR!$A:$A,0),18)),$C19*INDEX(SPPR!$E:$X,MATCH($A19,SPPR!$A:$A,0),18),""),"")</f>
        <v/>
      </c>
      <c r="V19">
        <f>IFERROR(IF(ISNUMBER(INDEX(SPPR!$E:$X,MATCH($A19,SPPR!$A:$A,0),19)),$C19*INDEX(SPPR!$E:$X,MATCH($A19,SPPR!$A:$A,0),19),""),"")</f>
        <v/>
      </c>
      <c r="W19">
        <f>IFERROR(IF(ISNUMBER(INDEX(SPPR!$E:$X,MATCH($A19,SPPR!$A:$A,0),20)),$C19*INDEX(SPPR!$E:$X,MATCH($A19,SPPR!$A:$A,0),20),""),"")</f>
        <v/>
      </c>
    </row>
    <row r="20">
      <c r="A20" t="inlineStr">
        <is>
          <t>Engraulis japonicus</t>
        </is>
      </c>
      <c r="B20">
        <f>IFERROR(INDEX(SPPR!$D:$D,MATCH($A20,SPPR!$A:$A,0)),"")</f>
        <v/>
      </c>
      <c r="C20">
        <f>IFERROR(INDEX(Catch!$E:$BV,MATCH($A20,Catch!$A:$A,0),MATCH($B$4,Catch!$E$1:$BV$1,0)),0)</f>
        <v/>
      </c>
      <c r="D20">
        <f>IFERROR(IF(ISNUMBER(INDEX(SPPR!$E:$X,MATCH($A20,SPPR!$A:$A,0),1)),$C20*INDEX(SPPR!$E:$X,MATCH($A20,SPPR!$A:$A,0),1),""),"")</f>
        <v/>
      </c>
      <c r="E20">
        <f>IFERROR(IF(ISNUMBER(INDEX(SPPR!$E:$X,MATCH($A20,SPPR!$A:$A,0),2)),$C20*INDEX(SPPR!$E:$X,MATCH($A20,SPPR!$A:$A,0),2),""),"")</f>
        <v/>
      </c>
      <c r="F20">
        <f>IFERROR(IF(ISNUMBER(INDEX(SPPR!$E:$X,MATCH($A20,SPPR!$A:$A,0),3)),$C20*INDEX(SPPR!$E:$X,MATCH($A20,SPPR!$A:$A,0),3),""),"")</f>
        <v/>
      </c>
      <c r="G20">
        <f>IFERROR(IF(ISNUMBER(INDEX(SPPR!$E:$X,MATCH($A20,SPPR!$A:$A,0),4)),$C20*INDEX(SPPR!$E:$X,MATCH($A20,SPPR!$A:$A,0),4),""),"")</f>
        <v/>
      </c>
      <c r="H20">
        <f>IFERROR(IF(ISNUMBER(INDEX(SPPR!$E:$X,MATCH($A20,SPPR!$A:$A,0),5)),$C20*INDEX(SPPR!$E:$X,MATCH($A20,SPPR!$A:$A,0),5),""),"")</f>
        <v/>
      </c>
      <c r="I20">
        <f>IFERROR(IF(ISNUMBER(INDEX(SPPR!$E:$X,MATCH($A20,SPPR!$A:$A,0),6)),$C20*INDEX(SPPR!$E:$X,MATCH($A20,SPPR!$A:$A,0),6),""),"")</f>
        <v/>
      </c>
      <c r="J20">
        <f>IFERROR(IF(ISNUMBER(INDEX(SPPR!$E:$X,MATCH($A20,SPPR!$A:$A,0),7)),$C20*INDEX(SPPR!$E:$X,MATCH($A20,SPPR!$A:$A,0),7),""),"")</f>
        <v/>
      </c>
      <c r="K20">
        <f>IFERROR(IF(ISNUMBER(INDEX(SPPR!$E:$X,MATCH($A20,SPPR!$A:$A,0),8)),$C20*INDEX(SPPR!$E:$X,MATCH($A20,SPPR!$A:$A,0),8),""),"")</f>
        <v/>
      </c>
      <c r="L20">
        <f>IFERROR(IF(ISNUMBER(INDEX(SPPR!$E:$X,MATCH($A20,SPPR!$A:$A,0),9)),$C20*INDEX(SPPR!$E:$X,MATCH($A20,SPPR!$A:$A,0),9),""),"")</f>
        <v/>
      </c>
      <c r="M20">
        <f>IFERROR(IF(ISNUMBER(INDEX(SPPR!$E:$X,MATCH($A20,SPPR!$A:$A,0),10)),$C20*INDEX(SPPR!$E:$X,MATCH($A20,SPPR!$A:$A,0),10),""),"")</f>
        <v/>
      </c>
      <c r="N20">
        <f>IFERROR(IF(ISNUMBER(INDEX(SPPR!$E:$X,MATCH($A20,SPPR!$A:$A,0),11)),$C20*INDEX(SPPR!$E:$X,MATCH($A20,SPPR!$A:$A,0),11),""),"")</f>
        <v/>
      </c>
      <c r="O20">
        <f>IFERROR(IF(ISNUMBER(INDEX(SPPR!$E:$X,MATCH($A20,SPPR!$A:$A,0),12)),$C20*INDEX(SPPR!$E:$X,MATCH($A20,SPPR!$A:$A,0),12),""),"")</f>
        <v/>
      </c>
      <c r="P20">
        <f>IFERROR(IF(ISNUMBER(INDEX(SPPR!$E:$X,MATCH($A20,SPPR!$A:$A,0),13)),$C20*INDEX(SPPR!$E:$X,MATCH($A20,SPPR!$A:$A,0),13),""),"")</f>
        <v/>
      </c>
      <c r="Q20">
        <f>IFERROR(IF(ISNUMBER(INDEX(SPPR!$E:$X,MATCH($A20,SPPR!$A:$A,0),14)),$C20*INDEX(SPPR!$E:$X,MATCH($A20,SPPR!$A:$A,0),14),""),"")</f>
        <v/>
      </c>
      <c r="R20">
        <f>IFERROR(IF(ISNUMBER(INDEX(SPPR!$E:$X,MATCH($A20,SPPR!$A:$A,0),15)),$C20*INDEX(SPPR!$E:$X,MATCH($A20,SPPR!$A:$A,0),15),""),"")</f>
        <v/>
      </c>
      <c r="S20">
        <f>IFERROR(IF(ISNUMBER(INDEX(SPPR!$E:$X,MATCH($A20,SPPR!$A:$A,0),16)),$C20*INDEX(SPPR!$E:$X,MATCH($A20,SPPR!$A:$A,0),16),""),"")</f>
        <v/>
      </c>
      <c r="T20">
        <f>IFERROR(IF(ISNUMBER(INDEX(SPPR!$E:$X,MATCH($A20,SPPR!$A:$A,0),17)),$C20*INDEX(SPPR!$E:$X,MATCH($A20,SPPR!$A:$A,0),17),""),"")</f>
        <v/>
      </c>
      <c r="U20">
        <f>IFERROR(IF(ISNUMBER(INDEX(SPPR!$E:$X,MATCH($A20,SPPR!$A:$A,0),18)),$C20*INDEX(SPPR!$E:$X,MATCH($A20,SPPR!$A:$A,0),18),""),"")</f>
        <v/>
      </c>
      <c r="V20">
        <f>IFERROR(IF(ISNUMBER(INDEX(SPPR!$E:$X,MATCH($A20,SPPR!$A:$A,0),19)),$C20*INDEX(SPPR!$E:$X,MATCH($A20,SPPR!$A:$A,0),19),""),"")</f>
        <v/>
      </c>
      <c r="W20">
        <f>IFERROR(IF(ISNUMBER(INDEX(SPPR!$E:$X,MATCH($A20,SPPR!$A:$A,0),20)),$C20*INDEX(SPPR!$E:$X,MATCH($A20,SPPR!$A:$A,0),20),""),"")</f>
        <v/>
      </c>
    </row>
    <row r="21">
      <c r="A21" t="inlineStr">
        <is>
          <t>Scomberomorus</t>
        </is>
      </c>
      <c r="B21">
        <f>IFERROR(INDEX(SPPR!$D:$D,MATCH($A21,SPPR!$A:$A,0)),"")</f>
        <v/>
      </c>
      <c r="C21">
        <f>IFERROR(INDEX(Catch!$E:$BV,MATCH($A21,Catch!$A:$A,0),MATCH($B$4,Catch!$E$1:$BV$1,0)),0)</f>
        <v/>
      </c>
      <c r="D21">
        <f>IFERROR(IF(ISNUMBER(INDEX(SPPR!$E:$X,MATCH($A21,SPPR!$A:$A,0),1)),$C21*INDEX(SPPR!$E:$X,MATCH($A21,SPPR!$A:$A,0),1),""),"")</f>
        <v/>
      </c>
      <c r="E21">
        <f>IFERROR(IF(ISNUMBER(INDEX(SPPR!$E:$X,MATCH($A21,SPPR!$A:$A,0),2)),$C21*INDEX(SPPR!$E:$X,MATCH($A21,SPPR!$A:$A,0),2),""),"")</f>
        <v/>
      </c>
      <c r="F21">
        <f>IFERROR(IF(ISNUMBER(INDEX(SPPR!$E:$X,MATCH($A21,SPPR!$A:$A,0),3)),$C21*INDEX(SPPR!$E:$X,MATCH($A21,SPPR!$A:$A,0),3),""),"")</f>
        <v/>
      </c>
      <c r="G21">
        <f>IFERROR(IF(ISNUMBER(INDEX(SPPR!$E:$X,MATCH($A21,SPPR!$A:$A,0),4)),$C21*INDEX(SPPR!$E:$X,MATCH($A21,SPPR!$A:$A,0),4),""),"")</f>
        <v/>
      </c>
      <c r="H21">
        <f>IFERROR(IF(ISNUMBER(INDEX(SPPR!$E:$X,MATCH($A21,SPPR!$A:$A,0),5)),$C21*INDEX(SPPR!$E:$X,MATCH($A21,SPPR!$A:$A,0),5),""),"")</f>
        <v/>
      </c>
      <c r="I21">
        <f>IFERROR(IF(ISNUMBER(INDEX(SPPR!$E:$X,MATCH($A21,SPPR!$A:$A,0),6)),$C21*INDEX(SPPR!$E:$X,MATCH($A21,SPPR!$A:$A,0),6),""),"")</f>
        <v/>
      </c>
      <c r="J21">
        <f>IFERROR(IF(ISNUMBER(INDEX(SPPR!$E:$X,MATCH($A21,SPPR!$A:$A,0),7)),$C21*INDEX(SPPR!$E:$X,MATCH($A21,SPPR!$A:$A,0),7),""),"")</f>
        <v/>
      </c>
      <c r="K21">
        <f>IFERROR(IF(ISNUMBER(INDEX(SPPR!$E:$X,MATCH($A21,SPPR!$A:$A,0),8)),$C21*INDEX(SPPR!$E:$X,MATCH($A21,SPPR!$A:$A,0),8),""),"")</f>
        <v/>
      </c>
      <c r="L21">
        <f>IFERROR(IF(ISNUMBER(INDEX(SPPR!$E:$X,MATCH($A21,SPPR!$A:$A,0),9)),$C21*INDEX(SPPR!$E:$X,MATCH($A21,SPPR!$A:$A,0),9),""),"")</f>
        <v/>
      </c>
      <c r="M21">
        <f>IFERROR(IF(ISNUMBER(INDEX(SPPR!$E:$X,MATCH($A21,SPPR!$A:$A,0),10)),$C21*INDEX(SPPR!$E:$X,MATCH($A21,SPPR!$A:$A,0),10),""),"")</f>
        <v/>
      </c>
      <c r="N21">
        <f>IFERROR(IF(ISNUMBER(INDEX(SPPR!$E:$X,MATCH($A21,SPPR!$A:$A,0),11)),$C21*INDEX(SPPR!$E:$X,MATCH($A21,SPPR!$A:$A,0),11),""),"")</f>
        <v/>
      </c>
      <c r="O21">
        <f>IFERROR(IF(ISNUMBER(INDEX(SPPR!$E:$X,MATCH($A21,SPPR!$A:$A,0),12)),$C21*INDEX(SPPR!$E:$X,MATCH($A21,SPPR!$A:$A,0),12),""),"")</f>
        <v/>
      </c>
      <c r="P21">
        <f>IFERROR(IF(ISNUMBER(INDEX(SPPR!$E:$X,MATCH($A21,SPPR!$A:$A,0),13)),$C21*INDEX(SPPR!$E:$X,MATCH($A21,SPPR!$A:$A,0),13),""),"")</f>
        <v/>
      </c>
      <c r="Q21">
        <f>IFERROR(IF(ISNUMBER(INDEX(SPPR!$E:$X,MATCH($A21,SPPR!$A:$A,0),14)),$C21*INDEX(SPPR!$E:$X,MATCH($A21,SPPR!$A:$A,0),14),""),"")</f>
        <v/>
      </c>
      <c r="R21">
        <f>IFERROR(IF(ISNUMBER(INDEX(SPPR!$E:$X,MATCH($A21,SPPR!$A:$A,0),15)),$C21*INDEX(SPPR!$E:$X,MATCH($A21,SPPR!$A:$A,0),15),""),"")</f>
        <v/>
      </c>
      <c r="S21">
        <f>IFERROR(IF(ISNUMBER(INDEX(SPPR!$E:$X,MATCH($A21,SPPR!$A:$A,0),16)),$C21*INDEX(SPPR!$E:$X,MATCH($A21,SPPR!$A:$A,0),16),""),"")</f>
        <v/>
      </c>
      <c r="T21">
        <f>IFERROR(IF(ISNUMBER(INDEX(SPPR!$E:$X,MATCH($A21,SPPR!$A:$A,0),17)),$C21*INDEX(SPPR!$E:$X,MATCH($A21,SPPR!$A:$A,0),17),""),"")</f>
        <v/>
      </c>
      <c r="U21">
        <f>IFERROR(IF(ISNUMBER(INDEX(SPPR!$E:$X,MATCH($A21,SPPR!$A:$A,0),18)),$C21*INDEX(SPPR!$E:$X,MATCH($A21,SPPR!$A:$A,0),18),""),"")</f>
        <v/>
      </c>
      <c r="V21">
        <f>IFERROR(IF(ISNUMBER(INDEX(SPPR!$E:$X,MATCH($A21,SPPR!$A:$A,0),19)),$C21*INDEX(SPPR!$E:$X,MATCH($A21,SPPR!$A:$A,0),19),""),"")</f>
        <v/>
      </c>
      <c r="W21">
        <f>IFERROR(IF(ISNUMBER(INDEX(SPPR!$E:$X,MATCH($A21,SPPR!$A:$A,0),20)),$C21*INDEX(SPPR!$E:$X,MATCH($A21,SPPR!$A:$A,0),20),""),"")</f>
        <v/>
      </c>
    </row>
    <row r="22">
      <c r="A22" t="inlineStr">
        <is>
          <t>Scombridae</t>
        </is>
      </c>
      <c r="B22">
        <f>IFERROR(INDEX(SPPR!$D:$D,MATCH($A22,SPPR!$A:$A,0)),"")</f>
        <v/>
      </c>
      <c r="C22">
        <f>IFERROR(INDEX(Catch!$E:$BV,MATCH($A22,Catch!$A:$A,0),MATCH($B$4,Catch!$E$1:$BV$1,0)),0)</f>
        <v/>
      </c>
      <c r="D22">
        <f>IFERROR(IF(ISNUMBER(INDEX(SPPR!$E:$X,MATCH($A22,SPPR!$A:$A,0),1)),$C22*INDEX(SPPR!$E:$X,MATCH($A22,SPPR!$A:$A,0),1),""),"")</f>
        <v/>
      </c>
      <c r="E22">
        <f>IFERROR(IF(ISNUMBER(INDEX(SPPR!$E:$X,MATCH($A22,SPPR!$A:$A,0),2)),$C22*INDEX(SPPR!$E:$X,MATCH($A22,SPPR!$A:$A,0),2),""),"")</f>
        <v/>
      </c>
      <c r="F22">
        <f>IFERROR(IF(ISNUMBER(INDEX(SPPR!$E:$X,MATCH($A22,SPPR!$A:$A,0),3)),$C22*INDEX(SPPR!$E:$X,MATCH($A22,SPPR!$A:$A,0),3),""),"")</f>
        <v/>
      </c>
      <c r="G22">
        <f>IFERROR(IF(ISNUMBER(INDEX(SPPR!$E:$X,MATCH($A22,SPPR!$A:$A,0),4)),$C22*INDEX(SPPR!$E:$X,MATCH($A22,SPPR!$A:$A,0),4),""),"")</f>
        <v/>
      </c>
      <c r="H22">
        <f>IFERROR(IF(ISNUMBER(INDEX(SPPR!$E:$X,MATCH($A22,SPPR!$A:$A,0),5)),$C22*INDEX(SPPR!$E:$X,MATCH($A22,SPPR!$A:$A,0),5),""),"")</f>
        <v/>
      </c>
      <c r="I22">
        <f>IFERROR(IF(ISNUMBER(INDEX(SPPR!$E:$X,MATCH($A22,SPPR!$A:$A,0),6)),$C22*INDEX(SPPR!$E:$X,MATCH($A22,SPPR!$A:$A,0),6),""),"")</f>
        <v/>
      </c>
      <c r="J22">
        <f>IFERROR(IF(ISNUMBER(INDEX(SPPR!$E:$X,MATCH($A22,SPPR!$A:$A,0),7)),$C22*INDEX(SPPR!$E:$X,MATCH($A22,SPPR!$A:$A,0),7),""),"")</f>
        <v/>
      </c>
      <c r="K22">
        <f>IFERROR(IF(ISNUMBER(INDEX(SPPR!$E:$X,MATCH($A22,SPPR!$A:$A,0),8)),$C22*INDEX(SPPR!$E:$X,MATCH($A22,SPPR!$A:$A,0),8),""),"")</f>
        <v/>
      </c>
      <c r="L22">
        <f>IFERROR(IF(ISNUMBER(INDEX(SPPR!$E:$X,MATCH($A22,SPPR!$A:$A,0),9)),$C22*INDEX(SPPR!$E:$X,MATCH($A22,SPPR!$A:$A,0),9),""),"")</f>
        <v/>
      </c>
      <c r="M22">
        <f>IFERROR(IF(ISNUMBER(INDEX(SPPR!$E:$X,MATCH($A22,SPPR!$A:$A,0),10)),$C22*INDEX(SPPR!$E:$X,MATCH($A22,SPPR!$A:$A,0),10),""),"")</f>
        <v/>
      </c>
      <c r="N22">
        <f>IFERROR(IF(ISNUMBER(INDEX(SPPR!$E:$X,MATCH($A22,SPPR!$A:$A,0),11)),$C22*INDEX(SPPR!$E:$X,MATCH($A22,SPPR!$A:$A,0),11),""),"")</f>
        <v/>
      </c>
      <c r="O22">
        <f>IFERROR(IF(ISNUMBER(INDEX(SPPR!$E:$X,MATCH($A22,SPPR!$A:$A,0),12)),$C22*INDEX(SPPR!$E:$X,MATCH($A22,SPPR!$A:$A,0),12),""),"")</f>
        <v/>
      </c>
      <c r="P22">
        <f>IFERROR(IF(ISNUMBER(INDEX(SPPR!$E:$X,MATCH($A22,SPPR!$A:$A,0),13)),$C22*INDEX(SPPR!$E:$X,MATCH($A22,SPPR!$A:$A,0),13),""),"")</f>
        <v/>
      </c>
      <c r="Q22">
        <f>IFERROR(IF(ISNUMBER(INDEX(SPPR!$E:$X,MATCH($A22,SPPR!$A:$A,0),14)),$C22*INDEX(SPPR!$E:$X,MATCH($A22,SPPR!$A:$A,0),14),""),"")</f>
        <v/>
      </c>
      <c r="R22">
        <f>IFERROR(IF(ISNUMBER(INDEX(SPPR!$E:$X,MATCH($A22,SPPR!$A:$A,0),15)),$C22*INDEX(SPPR!$E:$X,MATCH($A22,SPPR!$A:$A,0),15),""),"")</f>
        <v/>
      </c>
      <c r="S22">
        <f>IFERROR(IF(ISNUMBER(INDEX(SPPR!$E:$X,MATCH($A22,SPPR!$A:$A,0),16)),$C22*INDEX(SPPR!$E:$X,MATCH($A22,SPPR!$A:$A,0),16),""),"")</f>
        <v/>
      </c>
      <c r="T22">
        <f>IFERROR(IF(ISNUMBER(INDEX(SPPR!$E:$X,MATCH($A22,SPPR!$A:$A,0),17)),$C22*INDEX(SPPR!$E:$X,MATCH($A22,SPPR!$A:$A,0),17),""),"")</f>
        <v/>
      </c>
      <c r="U22">
        <f>IFERROR(IF(ISNUMBER(INDEX(SPPR!$E:$X,MATCH($A22,SPPR!$A:$A,0),18)),$C22*INDEX(SPPR!$E:$X,MATCH($A22,SPPR!$A:$A,0),18),""),"")</f>
        <v/>
      </c>
      <c r="V22">
        <f>IFERROR(IF(ISNUMBER(INDEX(SPPR!$E:$X,MATCH($A22,SPPR!$A:$A,0),19)),$C22*INDEX(SPPR!$E:$X,MATCH($A22,SPPR!$A:$A,0),19),""),"")</f>
        <v/>
      </c>
      <c r="W22">
        <f>IFERROR(IF(ISNUMBER(INDEX(SPPR!$E:$X,MATCH($A22,SPPR!$A:$A,0),20)),$C22*INDEX(SPPR!$E:$X,MATCH($A22,SPPR!$A:$A,0),20),""),"")</f>
        <v/>
      </c>
    </row>
    <row r="23">
      <c r="A23" t="inlineStr">
        <is>
          <t>Sparidae</t>
        </is>
      </c>
      <c r="B23">
        <f>IFERROR(INDEX(SPPR!$D:$D,MATCH($A23,SPPR!$A:$A,0)),"")</f>
        <v/>
      </c>
      <c r="C23">
        <f>IFERROR(INDEX(Catch!$E:$BV,MATCH($A23,Catch!$A:$A,0),MATCH($B$4,Catch!$E$1:$BV$1,0)),0)</f>
        <v/>
      </c>
      <c r="D23">
        <f>IFERROR(IF(ISNUMBER(INDEX(SPPR!$E:$X,MATCH($A23,SPPR!$A:$A,0),1)),$C23*INDEX(SPPR!$E:$X,MATCH($A23,SPPR!$A:$A,0),1),""),"")</f>
        <v/>
      </c>
      <c r="E23">
        <f>IFERROR(IF(ISNUMBER(INDEX(SPPR!$E:$X,MATCH($A23,SPPR!$A:$A,0),2)),$C23*INDEX(SPPR!$E:$X,MATCH($A23,SPPR!$A:$A,0),2),""),"")</f>
        <v/>
      </c>
      <c r="F23">
        <f>IFERROR(IF(ISNUMBER(INDEX(SPPR!$E:$X,MATCH($A23,SPPR!$A:$A,0),3)),$C23*INDEX(SPPR!$E:$X,MATCH($A23,SPPR!$A:$A,0),3),""),"")</f>
        <v/>
      </c>
      <c r="G23">
        <f>IFERROR(IF(ISNUMBER(INDEX(SPPR!$E:$X,MATCH($A23,SPPR!$A:$A,0),4)),$C23*INDEX(SPPR!$E:$X,MATCH($A23,SPPR!$A:$A,0),4),""),"")</f>
        <v/>
      </c>
      <c r="H23">
        <f>IFERROR(IF(ISNUMBER(INDEX(SPPR!$E:$X,MATCH($A23,SPPR!$A:$A,0),5)),$C23*INDEX(SPPR!$E:$X,MATCH($A23,SPPR!$A:$A,0),5),""),"")</f>
        <v/>
      </c>
      <c r="I23">
        <f>IFERROR(IF(ISNUMBER(INDEX(SPPR!$E:$X,MATCH($A23,SPPR!$A:$A,0),6)),$C23*INDEX(SPPR!$E:$X,MATCH($A23,SPPR!$A:$A,0),6),""),"")</f>
        <v/>
      </c>
      <c r="J23">
        <f>IFERROR(IF(ISNUMBER(INDEX(SPPR!$E:$X,MATCH($A23,SPPR!$A:$A,0),7)),$C23*INDEX(SPPR!$E:$X,MATCH($A23,SPPR!$A:$A,0),7),""),"")</f>
        <v/>
      </c>
      <c r="K23">
        <f>IFERROR(IF(ISNUMBER(INDEX(SPPR!$E:$X,MATCH($A23,SPPR!$A:$A,0),8)),$C23*INDEX(SPPR!$E:$X,MATCH($A23,SPPR!$A:$A,0),8),""),"")</f>
        <v/>
      </c>
      <c r="L23">
        <f>IFERROR(IF(ISNUMBER(INDEX(SPPR!$E:$X,MATCH($A23,SPPR!$A:$A,0),9)),$C23*INDEX(SPPR!$E:$X,MATCH($A23,SPPR!$A:$A,0),9),""),"")</f>
        <v/>
      </c>
      <c r="M23">
        <f>IFERROR(IF(ISNUMBER(INDEX(SPPR!$E:$X,MATCH($A23,SPPR!$A:$A,0),10)),$C23*INDEX(SPPR!$E:$X,MATCH($A23,SPPR!$A:$A,0),10),""),"")</f>
        <v/>
      </c>
      <c r="N23">
        <f>IFERROR(IF(ISNUMBER(INDEX(SPPR!$E:$X,MATCH($A23,SPPR!$A:$A,0),11)),$C23*INDEX(SPPR!$E:$X,MATCH($A23,SPPR!$A:$A,0),11),""),"")</f>
        <v/>
      </c>
      <c r="O23">
        <f>IFERROR(IF(ISNUMBER(INDEX(SPPR!$E:$X,MATCH($A23,SPPR!$A:$A,0),12)),$C23*INDEX(SPPR!$E:$X,MATCH($A23,SPPR!$A:$A,0),12),""),"")</f>
        <v/>
      </c>
      <c r="P23">
        <f>IFERROR(IF(ISNUMBER(INDEX(SPPR!$E:$X,MATCH($A23,SPPR!$A:$A,0),13)),$C23*INDEX(SPPR!$E:$X,MATCH($A23,SPPR!$A:$A,0),13),""),"")</f>
        <v/>
      </c>
      <c r="Q23">
        <f>IFERROR(IF(ISNUMBER(INDEX(SPPR!$E:$X,MATCH($A23,SPPR!$A:$A,0),14)),$C23*INDEX(SPPR!$E:$X,MATCH($A23,SPPR!$A:$A,0),14),""),"")</f>
        <v/>
      </c>
      <c r="R23">
        <f>IFERROR(IF(ISNUMBER(INDEX(SPPR!$E:$X,MATCH($A23,SPPR!$A:$A,0),15)),$C23*INDEX(SPPR!$E:$X,MATCH($A23,SPPR!$A:$A,0),15),""),"")</f>
        <v/>
      </c>
      <c r="S23">
        <f>IFERROR(IF(ISNUMBER(INDEX(SPPR!$E:$X,MATCH($A23,SPPR!$A:$A,0),16)),$C23*INDEX(SPPR!$E:$X,MATCH($A23,SPPR!$A:$A,0),16),""),"")</f>
        <v/>
      </c>
      <c r="T23">
        <f>IFERROR(IF(ISNUMBER(INDEX(SPPR!$E:$X,MATCH($A23,SPPR!$A:$A,0),17)),$C23*INDEX(SPPR!$E:$X,MATCH($A23,SPPR!$A:$A,0),17),""),"")</f>
        <v/>
      </c>
      <c r="U23">
        <f>IFERROR(IF(ISNUMBER(INDEX(SPPR!$E:$X,MATCH($A23,SPPR!$A:$A,0),18)),$C23*INDEX(SPPR!$E:$X,MATCH($A23,SPPR!$A:$A,0),18),""),"")</f>
        <v/>
      </c>
      <c r="V23">
        <f>IFERROR(IF(ISNUMBER(INDEX(SPPR!$E:$X,MATCH($A23,SPPR!$A:$A,0),19)),$C23*INDEX(SPPR!$E:$X,MATCH($A23,SPPR!$A:$A,0),19),""),"")</f>
        <v/>
      </c>
      <c r="W23">
        <f>IFERROR(IF(ISNUMBER(INDEX(SPPR!$E:$X,MATCH($A23,SPPR!$A:$A,0),20)),$C23*INDEX(SPPR!$E:$X,MATCH($A23,SPPR!$A:$A,0),20),""),"")</f>
        <v/>
      </c>
    </row>
    <row r="24">
      <c r="A24" t="inlineStr">
        <is>
          <t>Sciaenidae</t>
        </is>
      </c>
      <c r="B24">
        <f>IFERROR(INDEX(SPPR!$D:$D,MATCH($A24,SPPR!$A:$A,0)),"")</f>
        <v/>
      </c>
      <c r="C24">
        <f>IFERROR(INDEX(Catch!$E:$BV,MATCH($A24,Catch!$A:$A,0),MATCH($B$4,Catch!$E$1:$BV$1,0)),0)</f>
        <v/>
      </c>
      <c r="D24">
        <f>IFERROR(IF(ISNUMBER(INDEX(SPPR!$E:$X,MATCH($A24,SPPR!$A:$A,0),1)),$C24*INDEX(SPPR!$E:$X,MATCH($A24,SPPR!$A:$A,0),1),""),"")</f>
        <v/>
      </c>
      <c r="E24">
        <f>IFERROR(IF(ISNUMBER(INDEX(SPPR!$E:$X,MATCH($A24,SPPR!$A:$A,0),2)),$C24*INDEX(SPPR!$E:$X,MATCH($A24,SPPR!$A:$A,0),2),""),"")</f>
        <v/>
      </c>
      <c r="F24">
        <f>IFERROR(IF(ISNUMBER(INDEX(SPPR!$E:$X,MATCH($A24,SPPR!$A:$A,0),3)),$C24*INDEX(SPPR!$E:$X,MATCH($A24,SPPR!$A:$A,0),3),""),"")</f>
        <v/>
      </c>
      <c r="G24">
        <f>IFERROR(IF(ISNUMBER(INDEX(SPPR!$E:$X,MATCH($A24,SPPR!$A:$A,0),4)),$C24*INDEX(SPPR!$E:$X,MATCH($A24,SPPR!$A:$A,0),4),""),"")</f>
        <v/>
      </c>
      <c r="H24">
        <f>IFERROR(IF(ISNUMBER(INDEX(SPPR!$E:$X,MATCH($A24,SPPR!$A:$A,0),5)),$C24*INDEX(SPPR!$E:$X,MATCH($A24,SPPR!$A:$A,0),5),""),"")</f>
        <v/>
      </c>
      <c r="I24">
        <f>IFERROR(IF(ISNUMBER(INDEX(SPPR!$E:$X,MATCH($A24,SPPR!$A:$A,0),6)),$C24*INDEX(SPPR!$E:$X,MATCH($A24,SPPR!$A:$A,0),6),""),"")</f>
        <v/>
      </c>
      <c r="J24">
        <f>IFERROR(IF(ISNUMBER(INDEX(SPPR!$E:$X,MATCH($A24,SPPR!$A:$A,0),7)),$C24*INDEX(SPPR!$E:$X,MATCH($A24,SPPR!$A:$A,0),7),""),"")</f>
        <v/>
      </c>
      <c r="K24">
        <f>IFERROR(IF(ISNUMBER(INDEX(SPPR!$E:$X,MATCH($A24,SPPR!$A:$A,0),8)),$C24*INDEX(SPPR!$E:$X,MATCH($A24,SPPR!$A:$A,0),8),""),"")</f>
        <v/>
      </c>
      <c r="L24">
        <f>IFERROR(IF(ISNUMBER(INDEX(SPPR!$E:$X,MATCH($A24,SPPR!$A:$A,0),9)),$C24*INDEX(SPPR!$E:$X,MATCH($A24,SPPR!$A:$A,0),9),""),"")</f>
        <v/>
      </c>
      <c r="M24">
        <f>IFERROR(IF(ISNUMBER(INDEX(SPPR!$E:$X,MATCH($A24,SPPR!$A:$A,0),10)),$C24*INDEX(SPPR!$E:$X,MATCH($A24,SPPR!$A:$A,0),10),""),"")</f>
        <v/>
      </c>
      <c r="N24">
        <f>IFERROR(IF(ISNUMBER(INDEX(SPPR!$E:$X,MATCH($A24,SPPR!$A:$A,0),11)),$C24*INDEX(SPPR!$E:$X,MATCH($A24,SPPR!$A:$A,0),11),""),"")</f>
        <v/>
      </c>
      <c r="O24">
        <f>IFERROR(IF(ISNUMBER(INDEX(SPPR!$E:$X,MATCH($A24,SPPR!$A:$A,0),12)),$C24*INDEX(SPPR!$E:$X,MATCH($A24,SPPR!$A:$A,0),12),""),"")</f>
        <v/>
      </c>
      <c r="P24">
        <f>IFERROR(IF(ISNUMBER(INDEX(SPPR!$E:$X,MATCH($A24,SPPR!$A:$A,0),13)),$C24*INDEX(SPPR!$E:$X,MATCH($A24,SPPR!$A:$A,0),13),""),"")</f>
        <v/>
      </c>
      <c r="Q24">
        <f>IFERROR(IF(ISNUMBER(INDEX(SPPR!$E:$X,MATCH($A24,SPPR!$A:$A,0),14)),$C24*INDEX(SPPR!$E:$X,MATCH($A24,SPPR!$A:$A,0),14),""),"")</f>
        <v/>
      </c>
      <c r="R24">
        <f>IFERROR(IF(ISNUMBER(INDEX(SPPR!$E:$X,MATCH($A24,SPPR!$A:$A,0),15)),$C24*INDEX(SPPR!$E:$X,MATCH($A24,SPPR!$A:$A,0),15),""),"")</f>
        <v/>
      </c>
      <c r="S24">
        <f>IFERROR(IF(ISNUMBER(INDEX(SPPR!$E:$X,MATCH($A24,SPPR!$A:$A,0),16)),$C24*INDEX(SPPR!$E:$X,MATCH($A24,SPPR!$A:$A,0),16),""),"")</f>
        <v/>
      </c>
      <c r="T24">
        <f>IFERROR(IF(ISNUMBER(INDEX(SPPR!$E:$X,MATCH($A24,SPPR!$A:$A,0),17)),$C24*INDEX(SPPR!$E:$X,MATCH($A24,SPPR!$A:$A,0),17),""),"")</f>
        <v/>
      </c>
      <c r="U24">
        <f>IFERROR(IF(ISNUMBER(INDEX(SPPR!$E:$X,MATCH($A24,SPPR!$A:$A,0),18)),$C24*INDEX(SPPR!$E:$X,MATCH($A24,SPPR!$A:$A,0),18),""),"")</f>
        <v/>
      </c>
      <c r="V24">
        <f>IFERROR(IF(ISNUMBER(INDEX(SPPR!$E:$X,MATCH($A24,SPPR!$A:$A,0),19)),$C24*INDEX(SPPR!$E:$X,MATCH($A24,SPPR!$A:$A,0),19),""),"")</f>
        <v/>
      </c>
      <c r="W24">
        <f>IFERROR(IF(ISNUMBER(INDEX(SPPR!$E:$X,MATCH($A24,SPPR!$A:$A,0),20)),$C24*INDEX(SPPR!$E:$X,MATCH($A24,SPPR!$A:$A,0),20),""),"")</f>
        <v/>
      </c>
    </row>
    <row r="25">
      <c r="A25" t="inlineStr">
        <is>
          <t>Dendrobranchiata</t>
        </is>
      </c>
      <c r="B25">
        <f>IFERROR(INDEX(SPPR!$D:$D,MATCH($A25,SPPR!$A:$A,0)),"")</f>
        <v/>
      </c>
      <c r="C25">
        <f>IFERROR(INDEX(Catch!$E:$BV,MATCH($A25,Catch!$A:$A,0),MATCH($B$4,Catch!$E$1:$BV$1,0)),0)</f>
        <v/>
      </c>
      <c r="D25">
        <f>IFERROR(IF(ISNUMBER(INDEX(SPPR!$E:$X,MATCH($A25,SPPR!$A:$A,0),1)),$C25*INDEX(SPPR!$E:$X,MATCH($A25,SPPR!$A:$A,0),1),""),"")</f>
        <v/>
      </c>
      <c r="E25">
        <f>IFERROR(IF(ISNUMBER(INDEX(SPPR!$E:$X,MATCH($A25,SPPR!$A:$A,0),2)),$C25*INDEX(SPPR!$E:$X,MATCH($A25,SPPR!$A:$A,0),2),""),"")</f>
        <v/>
      </c>
      <c r="F25">
        <f>IFERROR(IF(ISNUMBER(INDEX(SPPR!$E:$X,MATCH($A25,SPPR!$A:$A,0),3)),$C25*INDEX(SPPR!$E:$X,MATCH($A25,SPPR!$A:$A,0),3),""),"")</f>
        <v/>
      </c>
      <c r="G25">
        <f>IFERROR(IF(ISNUMBER(INDEX(SPPR!$E:$X,MATCH($A25,SPPR!$A:$A,0),4)),$C25*INDEX(SPPR!$E:$X,MATCH($A25,SPPR!$A:$A,0),4),""),"")</f>
        <v/>
      </c>
      <c r="H25">
        <f>IFERROR(IF(ISNUMBER(INDEX(SPPR!$E:$X,MATCH($A25,SPPR!$A:$A,0),5)),$C25*INDEX(SPPR!$E:$X,MATCH($A25,SPPR!$A:$A,0),5),""),"")</f>
        <v/>
      </c>
      <c r="I25">
        <f>IFERROR(IF(ISNUMBER(INDEX(SPPR!$E:$X,MATCH($A25,SPPR!$A:$A,0),6)),$C25*INDEX(SPPR!$E:$X,MATCH($A25,SPPR!$A:$A,0),6),""),"")</f>
        <v/>
      </c>
      <c r="J25">
        <f>IFERROR(IF(ISNUMBER(INDEX(SPPR!$E:$X,MATCH($A25,SPPR!$A:$A,0),7)),$C25*INDEX(SPPR!$E:$X,MATCH($A25,SPPR!$A:$A,0),7),""),"")</f>
        <v/>
      </c>
      <c r="K25">
        <f>IFERROR(IF(ISNUMBER(INDEX(SPPR!$E:$X,MATCH($A25,SPPR!$A:$A,0),8)),$C25*INDEX(SPPR!$E:$X,MATCH($A25,SPPR!$A:$A,0),8),""),"")</f>
        <v/>
      </c>
      <c r="L25">
        <f>IFERROR(IF(ISNUMBER(INDEX(SPPR!$E:$X,MATCH($A25,SPPR!$A:$A,0),9)),$C25*INDEX(SPPR!$E:$X,MATCH($A25,SPPR!$A:$A,0),9),""),"")</f>
        <v/>
      </c>
      <c r="M25">
        <f>IFERROR(IF(ISNUMBER(INDEX(SPPR!$E:$X,MATCH($A25,SPPR!$A:$A,0),10)),$C25*INDEX(SPPR!$E:$X,MATCH($A25,SPPR!$A:$A,0),10),""),"")</f>
        <v/>
      </c>
      <c r="N25">
        <f>IFERROR(IF(ISNUMBER(INDEX(SPPR!$E:$X,MATCH($A25,SPPR!$A:$A,0),11)),$C25*INDEX(SPPR!$E:$X,MATCH($A25,SPPR!$A:$A,0),11),""),"")</f>
        <v/>
      </c>
      <c r="O25">
        <f>IFERROR(IF(ISNUMBER(INDEX(SPPR!$E:$X,MATCH($A25,SPPR!$A:$A,0),12)),$C25*INDEX(SPPR!$E:$X,MATCH($A25,SPPR!$A:$A,0),12),""),"")</f>
        <v/>
      </c>
      <c r="P25">
        <f>IFERROR(IF(ISNUMBER(INDEX(SPPR!$E:$X,MATCH($A25,SPPR!$A:$A,0),13)),$C25*INDEX(SPPR!$E:$X,MATCH($A25,SPPR!$A:$A,0),13),""),"")</f>
        <v/>
      </c>
      <c r="Q25">
        <f>IFERROR(IF(ISNUMBER(INDEX(SPPR!$E:$X,MATCH($A25,SPPR!$A:$A,0),14)),$C25*INDEX(SPPR!$E:$X,MATCH($A25,SPPR!$A:$A,0),14),""),"")</f>
        <v/>
      </c>
      <c r="R25">
        <f>IFERROR(IF(ISNUMBER(INDEX(SPPR!$E:$X,MATCH($A25,SPPR!$A:$A,0),15)),$C25*INDEX(SPPR!$E:$X,MATCH($A25,SPPR!$A:$A,0),15),""),"")</f>
        <v/>
      </c>
      <c r="S25">
        <f>IFERROR(IF(ISNUMBER(INDEX(SPPR!$E:$X,MATCH($A25,SPPR!$A:$A,0),16)),$C25*INDEX(SPPR!$E:$X,MATCH($A25,SPPR!$A:$A,0),16),""),"")</f>
        <v/>
      </c>
      <c r="T25">
        <f>IFERROR(IF(ISNUMBER(INDEX(SPPR!$E:$X,MATCH($A25,SPPR!$A:$A,0),17)),$C25*INDEX(SPPR!$E:$X,MATCH($A25,SPPR!$A:$A,0),17),""),"")</f>
        <v/>
      </c>
      <c r="U25">
        <f>IFERROR(IF(ISNUMBER(INDEX(SPPR!$E:$X,MATCH($A25,SPPR!$A:$A,0),18)),$C25*INDEX(SPPR!$E:$X,MATCH($A25,SPPR!$A:$A,0),18),""),"")</f>
        <v/>
      </c>
      <c r="V25">
        <f>IFERROR(IF(ISNUMBER(INDEX(SPPR!$E:$X,MATCH($A25,SPPR!$A:$A,0),19)),$C25*INDEX(SPPR!$E:$X,MATCH($A25,SPPR!$A:$A,0),19),""),"")</f>
        <v/>
      </c>
      <c r="W25">
        <f>IFERROR(IF(ISNUMBER(INDEX(SPPR!$E:$X,MATCH($A25,SPPR!$A:$A,0),20)),$C25*INDEX(SPPR!$E:$X,MATCH($A25,SPPR!$A:$A,0),20),""),"")</f>
        <v/>
      </c>
    </row>
    <row r="26">
      <c r="A26" t="inlineStr">
        <is>
          <t>Sardinella</t>
        </is>
      </c>
      <c r="B26">
        <f>IFERROR(INDEX(SPPR!$D:$D,MATCH($A26,SPPR!$A:$A,0)),"")</f>
        <v/>
      </c>
      <c r="C26">
        <f>IFERROR(INDEX(Catch!$E:$BV,MATCH($A26,Catch!$A:$A,0),MATCH($B$4,Catch!$E$1:$BV$1,0)),0)</f>
        <v/>
      </c>
      <c r="D26">
        <f>IFERROR(IF(ISNUMBER(INDEX(SPPR!$E:$X,MATCH($A26,SPPR!$A:$A,0),1)),$C26*INDEX(SPPR!$E:$X,MATCH($A26,SPPR!$A:$A,0),1),""),"")</f>
        <v/>
      </c>
      <c r="E26">
        <f>IFERROR(IF(ISNUMBER(INDEX(SPPR!$E:$X,MATCH($A26,SPPR!$A:$A,0),2)),$C26*INDEX(SPPR!$E:$X,MATCH($A26,SPPR!$A:$A,0),2),""),"")</f>
        <v/>
      </c>
      <c r="F26">
        <f>IFERROR(IF(ISNUMBER(INDEX(SPPR!$E:$X,MATCH($A26,SPPR!$A:$A,0),3)),$C26*INDEX(SPPR!$E:$X,MATCH($A26,SPPR!$A:$A,0),3),""),"")</f>
        <v/>
      </c>
      <c r="G26">
        <f>IFERROR(IF(ISNUMBER(INDEX(SPPR!$E:$X,MATCH($A26,SPPR!$A:$A,0),4)),$C26*INDEX(SPPR!$E:$X,MATCH($A26,SPPR!$A:$A,0),4),""),"")</f>
        <v/>
      </c>
      <c r="H26">
        <f>IFERROR(IF(ISNUMBER(INDEX(SPPR!$E:$X,MATCH($A26,SPPR!$A:$A,0),5)),$C26*INDEX(SPPR!$E:$X,MATCH($A26,SPPR!$A:$A,0),5),""),"")</f>
        <v/>
      </c>
      <c r="I26">
        <f>IFERROR(IF(ISNUMBER(INDEX(SPPR!$E:$X,MATCH($A26,SPPR!$A:$A,0),6)),$C26*INDEX(SPPR!$E:$X,MATCH($A26,SPPR!$A:$A,0),6),""),"")</f>
        <v/>
      </c>
      <c r="J26">
        <f>IFERROR(IF(ISNUMBER(INDEX(SPPR!$E:$X,MATCH($A26,SPPR!$A:$A,0),7)),$C26*INDEX(SPPR!$E:$X,MATCH($A26,SPPR!$A:$A,0),7),""),"")</f>
        <v/>
      </c>
      <c r="K26">
        <f>IFERROR(IF(ISNUMBER(INDEX(SPPR!$E:$X,MATCH($A26,SPPR!$A:$A,0),8)),$C26*INDEX(SPPR!$E:$X,MATCH($A26,SPPR!$A:$A,0),8),""),"")</f>
        <v/>
      </c>
      <c r="L26">
        <f>IFERROR(IF(ISNUMBER(INDEX(SPPR!$E:$X,MATCH($A26,SPPR!$A:$A,0),9)),$C26*INDEX(SPPR!$E:$X,MATCH($A26,SPPR!$A:$A,0),9),""),"")</f>
        <v/>
      </c>
      <c r="M26">
        <f>IFERROR(IF(ISNUMBER(INDEX(SPPR!$E:$X,MATCH($A26,SPPR!$A:$A,0),10)),$C26*INDEX(SPPR!$E:$X,MATCH($A26,SPPR!$A:$A,0),10),""),"")</f>
        <v/>
      </c>
      <c r="N26">
        <f>IFERROR(IF(ISNUMBER(INDEX(SPPR!$E:$X,MATCH($A26,SPPR!$A:$A,0),11)),$C26*INDEX(SPPR!$E:$X,MATCH($A26,SPPR!$A:$A,0),11),""),"")</f>
        <v/>
      </c>
      <c r="O26">
        <f>IFERROR(IF(ISNUMBER(INDEX(SPPR!$E:$X,MATCH($A26,SPPR!$A:$A,0),12)),$C26*INDEX(SPPR!$E:$X,MATCH($A26,SPPR!$A:$A,0),12),""),"")</f>
        <v/>
      </c>
      <c r="P26">
        <f>IFERROR(IF(ISNUMBER(INDEX(SPPR!$E:$X,MATCH($A26,SPPR!$A:$A,0),13)),$C26*INDEX(SPPR!$E:$X,MATCH($A26,SPPR!$A:$A,0),13),""),"")</f>
        <v/>
      </c>
      <c r="Q26">
        <f>IFERROR(IF(ISNUMBER(INDEX(SPPR!$E:$X,MATCH($A26,SPPR!$A:$A,0),14)),$C26*INDEX(SPPR!$E:$X,MATCH($A26,SPPR!$A:$A,0),14),""),"")</f>
        <v/>
      </c>
      <c r="R26">
        <f>IFERROR(IF(ISNUMBER(INDEX(SPPR!$E:$X,MATCH($A26,SPPR!$A:$A,0),15)),$C26*INDEX(SPPR!$E:$X,MATCH($A26,SPPR!$A:$A,0),15),""),"")</f>
        <v/>
      </c>
      <c r="S26">
        <f>IFERROR(IF(ISNUMBER(INDEX(SPPR!$E:$X,MATCH($A26,SPPR!$A:$A,0),16)),$C26*INDEX(SPPR!$E:$X,MATCH($A26,SPPR!$A:$A,0),16),""),"")</f>
        <v/>
      </c>
      <c r="T26">
        <f>IFERROR(IF(ISNUMBER(INDEX(SPPR!$E:$X,MATCH($A26,SPPR!$A:$A,0),17)),$C26*INDEX(SPPR!$E:$X,MATCH($A26,SPPR!$A:$A,0),17),""),"")</f>
        <v/>
      </c>
      <c r="U26">
        <f>IFERROR(IF(ISNUMBER(INDEX(SPPR!$E:$X,MATCH($A26,SPPR!$A:$A,0),18)),$C26*INDEX(SPPR!$E:$X,MATCH($A26,SPPR!$A:$A,0),18),""),"")</f>
        <v/>
      </c>
      <c r="V26">
        <f>IFERROR(IF(ISNUMBER(INDEX(SPPR!$E:$X,MATCH($A26,SPPR!$A:$A,0),19)),$C26*INDEX(SPPR!$E:$X,MATCH($A26,SPPR!$A:$A,0),19),""),"")</f>
        <v/>
      </c>
      <c r="W26">
        <f>IFERROR(IF(ISNUMBER(INDEX(SPPR!$E:$X,MATCH($A26,SPPR!$A:$A,0),20)),$C26*INDEX(SPPR!$E:$X,MATCH($A26,SPPR!$A:$A,0),20),""),"")</f>
        <v/>
      </c>
    </row>
    <row r="27">
      <c r="A27" t="inlineStr">
        <is>
          <t>Marine finfishes not identified</t>
        </is>
      </c>
      <c r="B27">
        <f>IFERROR(INDEX(SPPR!$D:$D,MATCH($A27,SPPR!$A:$A,0)),"")</f>
        <v/>
      </c>
      <c r="C27">
        <f>IFERROR(INDEX(Catch!$E:$BV,MATCH($A27,Catch!$A:$A,0),MATCH($B$4,Catch!$E$1:$BV$1,0)),0)</f>
        <v/>
      </c>
      <c r="D27">
        <f>IFERROR(IF(ISNUMBER(INDEX(SPPR!$E:$X,MATCH($A27,SPPR!$A:$A,0),1)),$C27*INDEX(SPPR!$E:$X,MATCH($A27,SPPR!$A:$A,0),1),""),"")</f>
        <v/>
      </c>
      <c r="E27">
        <f>IFERROR(IF(ISNUMBER(INDEX(SPPR!$E:$X,MATCH($A27,SPPR!$A:$A,0),2)),$C27*INDEX(SPPR!$E:$X,MATCH($A27,SPPR!$A:$A,0),2),""),"")</f>
        <v/>
      </c>
      <c r="F27">
        <f>IFERROR(IF(ISNUMBER(INDEX(SPPR!$E:$X,MATCH($A27,SPPR!$A:$A,0),3)),$C27*INDEX(SPPR!$E:$X,MATCH($A27,SPPR!$A:$A,0),3),""),"")</f>
        <v/>
      </c>
      <c r="G27">
        <f>IFERROR(IF(ISNUMBER(INDEX(SPPR!$E:$X,MATCH($A27,SPPR!$A:$A,0),4)),$C27*INDEX(SPPR!$E:$X,MATCH($A27,SPPR!$A:$A,0),4),""),"")</f>
        <v/>
      </c>
      <c r="H27">
        <f>IFERROR(IF(ISNUMBER(INDEX(SPPR!$E:$X,MATCH($A27,SPPR!$A:$A,0),5)),$C27*INDEX(SPPR!$E:$X,MATCH($A27,SPPR!$A:$A,0),5),""),"")</f>
        <v/>
      </c>
      <c r="I27">
        <f>IFERROR(IF(ISNUMBER(INDEX(SPPR!$E:$X,MATCH($A27,SPPR!$A:$A,0),6)),$C27*INDEX(SPPR!$E:$X,MATCH($A27,SPPR!$A:$A,0),6),""),"")</f>
        <v/>
      </c>
      <c r="J27">
        <f>IFERROR(IF(ISNUMBER(INDEX(SPPR!$E:$X,MATCH($A27,SPPR!$A:$A,0),7)),$C27*INDEX(SPPR!$E:$X,MATCH($A27,SPPR!$A:$A,0),7),""),"")</f>
        <v/>
      </c>
      <c r="K27">
        <f>IFERROR(IF(ISNUMBER(INDEX(SPPR!$E:$X,MATCH($A27,SPPR!$A:$A,0),8)),$C27*INDEX(SPPR!$E:$X,MATCH($A27,SPPR!$A:$A,0),8),""),"")</f>
        <v/>
      </c>
      <c r="L27">
        <f>IFERROR(IF(ISNUMBER(INDEX(SPPR!$E:$X,MATCH($A27,SPPR!$A:$A,0),9)),$C27*INDEX(SPPR!$E:$X,MATCH($A27,SPPR!$A:$A,0),9),""),"")</f>
        <v/>
      </c>
      <c r="M27">
        <f>IFERROR(IF(ISNUMBER(INDEX(SPPR!$E:$X,MATCH($A27,SPPR!$A:$A,0),10)),$C27*INDEX(SPPR!$E:$X,MATCH($A27,SPPR!$A:$A,0),10),""),"")</f>
        <v/>
      </c>
      <c r="N27">
        <f>IFERROR(IF(ISNUMBER(INDEX(SPPR!$E:$X,MATCH($A27,SPPR!$A:$A,0),11)),$C27*INDEX(SPPR!$E:$X,MATCH($A27,SPPR!$A:$A,0),11),""),"")</f>
        <v/>
      </c>
      <c r="O27">
        <f>IFERROR(IF(ISNUMBER(INDEX(SPPR!$E:$X,MATCH($A27,SPPR!$A:$A,0),12)),$C27*INDEX(SPPR!$E:$X,MATCH($A27,SPPR!$A:$A,0),12),""),"")</f>
        <v/>
      </c>
      <c r="P27">
        <f>IFERROR(IF(ISNUMBER(INDEX(SPPR!$E:$X,MATCH($A27,SPPR!$A:$A,0),13)),$C27*INDEX(SPPR!$E:$X,MATCH($A27,SPPR!$A:$A,0),13),""),"")</f>
        <v/>
      </c>
      <c r="Q27">
        <f>IFERROR(IF(ISNUMBER(INDEX(SPPR!$E:$X,MATCH($A27,SPPR!$A:$A,0),14)),$C27*INDEX(SPPR!$E:$X,MATCH($A27,SPPR!$A:$A,0),14),""),"")</f>
        <v/>
      </c>
      <c r="R27">
        <f>IFERROR(IF(ISNUMBER(INDEX(SPPR!$E:$X,MATCH($A27,SPPR!$A:$A,0),15)),$C27*INDEX(SPPR!$E:$X,MATCH($A27,SPPR!$A:$A,0),15),""),"")</f>
        <v/>
      </c>
      <c r="S27">
        <f>IFERROR(IF(ISNUMBER(INDEX(SPPR!$E:$X,MATCH($A27,SPPR!$A:$A,0),16)),$C27*INDEX(SPPR!$E:$X,MATCH($A27,SPPR!$A:$A,0),16),""),"")</f>
        <v/>
      </c>
      <c r="T27">
        <f>IFERROR(IF(ISNUMBER(INDEX(SPPR!$E:$X,MATCH($A27,SPPR!$A:$A,0),17)),$C27*INDEX(SPPR!$E:$X,MATCH($A27,SPPR!$A:$A,0),17),""),"")</f>
        <v/>
      </c>
      <c r="U27">
        <f>IFERROR(IF(ISNUMBER(INDEX(SPPR!$E:$X,MATCH($A27,SPPR!$A:$A,0),18)),$C27*INDEX(SPPR!$E:$X,MATCH($A27,SPPR!$A:$A,0),18),""),"")</f>
        <v/>
      </c>
      <c r="V27">
        <f>IFERROR(IF(ISNUMBER(INDEX(SPPR!$E:$X,MATCH($A27,SPPR!$A:$A,0),19)),$C27*INDEX(SPPR!$E:$X,MATCH($A27,SPPR!$A:$A,0),19),""),"")</f>
        <v/>
      </c>
      <c r="W27">
        <f>IFERROR(IF(ISNUMBER(INDEX(SPPR!$E:$X,MATCH($A27,SPPR!$A:$A,0),20)),$C27*INDEX(SPPR!$E:$X,MATCH($A27,SPPR!$A:$A,0),20),""),"")</f>
        <v/>
      </c>
    </row>
    <row r="28">
      <c r="A28" t="inlineStr">
        <is>
          <t>Priacanthus</t>
        </is>
      </c>
      <c r="B28">
        <f>IFERROR(INDEX(SPPR!$D:$D,MATCH($A28,SPPR!$A:$A,0)),"")</f>
        <v/>
      </c>
      <c r="C28">
        <f>IFERROR(INDEX(Catch!$E:$BV,MATCH($A28,Catch!$A:$A,0),MATCH($B$4,Catch!$E$1:$BV$1,0)),0)</f>
        <v/>
      </c>
      <c r="D28">
        <f>IFERROR(IF(ISNUMBER(INDEX(SPPR!$E:$X,MATCH($A28,SPPR!$A:$A,0),1)),$C28*INDEX(SPPR!$E:$X,MATCH($A28,SPPR!$A:$A,0),1),""),"")</f>
        <v/>
      </c>
      <c r="E28">
        <f>IFERROR(IF(ISNUMBER(INDEX(SPPR!$E:$X,MATCH($A28,SPPR!$A:$A,0),2)),$C28*INDEX(SPPR!$E:$X,MATCH($A28,SPPR!$A:$A,0),2),""),"")</f>
        <v/>
      </c>
      <c r="F28">
        <f>IFERROR(IF(ISNUMBER(INDEX(SPPR!$E:$X,MATCH($A28,SPPR!$A:$A,0),3)),$C28*INDEX(SPPR!$E:$X,MATCH($A28,SPPR!$A:$A,0),3),""),"")</f>
        <v/>
      </c>
      <c r="G28">
        <f>IFERROR(IF(ISNUMBER(INDEX(SPPR!$E:$X,MATCH($A28,SPPR!$A:$A,0),4)),$C28*INDEX(SPPR!$E:$X,MATCH($A28,SPPR!$A:$A,0),4),""),"")</f>
        <v/>
      </c>
      <c r="H28">
        <f>IFERROR(IF(ISNUMBER(INDEX(SPPR!$E:$X,MATCH($A28,SPPR!$A:$A,0),5)),$C28*INDEX(SPPR!$E:$X,MATCH($A28,SPPR!$A:$A,0),5),""),"")</f>
        <v/>
      </c>
      <c r="I28">
        <f>IFERROR(IF(ISNUMBER(INDEX(SPPR!$E:$X,MATCH($A28,SPPR!$A:$A,0),6)),$C28*INDEX(SPPR!$E:$X,MATCH($A28,SPPR!$A:$A,0),6),""),"")</f>
        <v/>
      </c>
      <c r="J28">
        <f>IFERROR(IF(ISNUMBER(INDEX(SPPR!$E:$X,MATCH($A28,SPPR!$A:$A,0),7)),$C28*INDEX(SPPR!$E:$X,MATCH($A28,SPPR!$A:$A,0),7),""),"")</f>
        <v/>
      </c>
      <c r="K28">
        <f>IFERROR(IF(ISNUMBER(INDEX(SPPR!$E:$X,MATCH($A28,SPPR!$A:$A,0),8)),$C28*INDEX(SPPR!$E:$X,MATCH($A28,SPPR!$A:$A,0),8),""),"")</f>
        <v/>
      </c>
      <c r="L28">
        <f>IFERROR(IF(ISNUMBER(INDEX(SPPR!$E:$X,MATCH($A28,SPPR!$A:$A,0),9)),$C28*INDEX(SPPR!$E:$X,MATCH($A28,SPPR!$A:$A,0),9),""),"")</f>
        <v/>
      </c>
      <c r="M28">
        <f>IFERROR(IF(ISNUMBER(INDEX(SPPR!$E:$X,MATCH($A28,SPPR!$A:$A,0),10)),$C28*INDEX(SPPR!$E:$X,MATCH($A28,SPPR!$A:$A,0),10),""),"")</f>
        <v/>
      </c>
      <c r="N28">
        <f>IFERROR(IF(ISNUMBER(INDEX(SPPR!$E:$X,MATCH($A28,SPPR!$A:$A,0),11)),$C28*INDEX(SPPR!$E:$X,MATCH($A28,SPPR!$A:$A,0),11),""),"")</f>
        <v/>
      </c>
      <c r="O28">
        <f>IFERROR(IF(ISNUMBER(INDEX(SPPR!$E:$X,MATCH($A28,SPPR!$A:$A,0),12)),$C28*INDEX(SPPR!$E:$X,MATCH($A28,SPPR!$A:$A,0),12),""),"")</f>
        <v/>
      </c>
      <c r="P28">
        <f>IFERROR(IF(ISNUMBER(INDEX(SPPR!$E:$X,MATCH($A28,SPPR!$A:$A,0),13)),$C28*INDEX(SPPR!$E:$X,MATCH($A28,SPPR!$A:$A,0),13),""),"")</f>
        <v/>
      </c>
      <c r="Q28">
        <f>IFERROR(IF(ISNUMBER(INDEX(SPPR!$E:$X,MATCH($A28,SPPR!$A:$A,0),14)),$C28*INDEX(SPPR!$E:$X,MATCH($A28,SPPR!$A:$A,0),14),""),"")</f>
        <v/>
      </c>
      <c r="R28">
        <f>IFERROR(IF(ISNUMBER(INDEX(SPPR!$E:$X,MATCH($A28,SPPR!$A:$A,0),15)),$C28*INDEX(SPPR!$E:$X,MATCH($A28,SPPR!$A:$A,0),15),""),"")</f>
        <v/>
      </c>
      <c r="S28">
        <f>IFERROR(IF(ISNUMBER(INDEX(SPPR!$E:$X,MATCH($A28,SPPR!$A:$A,0),16)),$C28*INDEX(SPPR!$E:$X,MATCH($A28,SPPR!$A:$A,0),16),""),"")</f>
        <v/>
      </c>
      <c r="T28">
        <f>IFERROR(IF(ISNUMBER(INDEX(SPPR!$E:$X,MATCH($A28,SPPR!$A:$A,0),17)),$C28*INDEX(SPPR!$E:$X,MATCH($A28,SPPR!$A:$A,0),17),""),"")</f>
        <v/>
      </c>
      <c r="U28">
        <f>IFERROR(IF(ISNUMBER(INDEX(SPPR!$E:$X,MATCH($A28,SPPR!$A:$A,0),18)),$C28*INDEX(SPPR!$E:$X,MATCH($A28,SPPR!$A:$A,0),18),""),"")</f>
        <v/>
      </c>
      <c r="V28">
        <f>IFERROR(IF(ISNUMBER(INDEX(SPPR!$E:$X,MATCH($A28,SPPR!$A:$A,0),19)),$C28*INDEX(SPPR!$E:$X,MATCH($A28,SPPR!$A:$A,0),19),""),"")</f>
        <v/>
      </c>
      <c r="W28">
        <f>IFERROR(IF(ISNUMBER(INDEX(SPPR!$E:$X,MATCH($A28,SPPR!$A:$A,0),20)),$C28*INDEX(SPPR!$E:$X,MATCH($A28,SPPR!$A:$A,0),20),""),"")</f>
        <v/>
      </c>
    </row>
    <row r="29">
      <c r="A29" t="inlineStr">
        <is>
          <t>Penaeidae</t>
        </is>
      </c>
      <c r="B29">
        <f>IFERROR(INDEX(SPPR!$D:$D,MATCH($A29,SPPR!$A:$A,0)),"")</f>
        <v/>
      </c>
      <c r="C29">
        <f>IFERROR(INDEX(Catch!$E:$BV,MATCH($A29,Catch!$A:$A,0),MATCH($B$4,Catch!$E$1:$BV$1,0)),0)</f>
        <v/>
      </c>
      <c r="D29">
        <f>IFERROR(IF(ISNUMBER(INDEX(SPPR!$E:$X,MATCH($A29,SPPR!$A:$A,0),1)),$C29*INDEX(SPPR!$E:$X,MATCH($A29,SPPR!$A:$A,0),1),""),"")</f>
        <v/>
      </c>
      <c r="E29">
        <f>IFERROR(IF(ISNUMBER(INDEX(SPPR!$E:$X,MATCH($A29,SPPR!$A:$A,0),2)),$C29*INDEX(SPPR!$E:$X,MATCH($A29,SPPR!$A:$A,0),2),""),"")</f>
        <v/>
      </c>
      <c r="F29">
        <f>IFERROR(IF(ISNUMBER(INDEX(SPPR!$E:$X,MATCH($A29,SPPR!$A:$A,0),3)),$C29*INDEX(SPPR!$E:$X,MATCH($A29,SPPR!$A:$A,0),3),""),"")</f>
        <v/>
      </c>
      <c r="G29">
        <f>IFERROR(IF(ISNUMBER(INDEX(SPPR!$E:$X,MATCH($A29,SPPR!$A:$A,0),4)),$C29*INDEX(SPPR!$E:$X,MATCH($A29,SPPR!$A:$A,0),4),""),"")</f>
        <v/>
      </c>
      <c r="H29">
        <f>IFERROR(IF(ISNUMBER(INDEX(SPPR!$E:$X,MATCH($A29,SPPR!$A:$A,0),5)),$C29*INDEX(SPPR!$E:$X,MATCH($A29,SPPR!$A:$A,0),5),""),"")</f>
        <v/>
      </c>
      <c r="I29">
        <f>IFERROR(IF(ISNUMBER(INDEX(SPPR!$E:$X,MATCH($A29,SPPR!$A:$A,0),6)),$C29*INDEX(SPPR!$E:$X,MATCH($A29,SPPR!$A:$A,0),6),""),"")</f>
        <v/>
      </c>
      <c r="J29">
        <f>IFERROR(IF(ISNUMBER(INDEX(SPPR!$E:$X,MATCH($A29,SPPR!$A:$A,0),7)),$C29*INDEX(SPPR!$E:$X,MATCH($A29,SPPR!$A:$A,0),7),""),"")</f>
        <v/>
      </c>
      <c r="K29">
        <f>IFERROR(IF(ISNUMBER(INDEX(SPPR!$E:$X,MATCH($A29,SPPR!$A:$A,0),8)),$C29*INDEX(SPPR!$E:$X,MATCH($A29,SPPR!$A:$A,0),8),""),"")</f>
        <v/>
      </c>
      <c r="L29">
        <f>IFERROR(IF(ISNUMBER(INDEX(SPPR!$E:$X,MATCH($A29,SPPR!$A:$A,0),9)),$C29*INDEX(SPPR!$E:$X,MATCH($A29,SPPR!$A:$A,0),9),""),"")</f>
        <v/>
      </c>
      <c r="M29">
        <f>IFERROR(IF(ISNUMBER(INDEX(SPPR!$E:$X,MATCH($A29,SPPR!$A:$A,0),10)),$C29*INDEX(SPPR!$E:$X,MATCH($A29,SPPR!$A:$A,0),10),""),"")</f>
        <v/>
      </c>
      <c r="N29">
        <f>IFERROR(IF(ISNUMBER(INDEX(SPPR!$E:$X,MATCH($A29,SPPR!$A:$A,0),11)),$C29*INDEX(SPPR!$E:$X,MATCH($A29,SPPR!$A:$A,0),11),""),"")</f>
        <v/>
      </c>
      <c r="O29">
        <f>IFERROR(IF(ISNUMBER(INDEX(SPPR!$E:$X,MATCH($A29,SPPR!$A:$A,0),12)),$C29*INDEX(SPPR!$E:$X,MATCH($A29,SPPR!$A:$A,0),12),""),"")</f>
        <v/>
      </c>
      <c r="P29">
        <f>IFERROR(IF(ISNUMBER(INDEX(SPPR!$E:$X,MATCH($A29,SPPR!$A:$A,0),13)),$C29*INDEX(SPPR!$E:$X,MATCH($A29,SPPR!$A:$A,0),13),""),"")</f>
        <v/>
      </c>
      <c r="Q29">
        <f>IFERROR(IF(ISNUMBER(INDEX(SPPR!$E:$X,MATCH($A29,SPPR!$A:$A,0),14)),$C29*INDEX(SPPR!$E:$X,MATCH($A29,SPPR!$A:$A,0),14),""),"")</f>
        <v/>
      </c>
      <c r="R29">
        <f>IFERROR(IF(ISNUMBER(INDEX(SPPR!$E:$X,MATCH($A29,SPPR!$A:$A,0),15)),$C29*INDEX(SPPR!$E:$X,MATCH($A29,SPPR!$A:$A,0),15),""),"")</f>
        <v/>
      </c>
      <c r="S29">
        <f>IFERROR(IF(ISNUMBER(INDEX(SPPR!$E:$X,MATCH($A29,SPPR!$A:$A,0),16)),$C29*INDEX(SPPR!$E:$X,MATCH($A29,SPPR!$A:$A,0),16),""),"")</f>
        <v/>
      </c>
      <c r="T29">
        <f>IFERROR(IF(ISNUMBER(INDEX(SPPR!$E:$X,MATCH($A29,SPPR!$A:$A,0),17)),$C29*INDEX(SPPR!$E:$X,MATCH($A29,SPPR!$A:$A,0),17),""),"")</f>
        <v/>
      </c>
      <c r="U29">
        <f>IFERROR(IF(ISNUMBER(INDEX(SPPR!$E:$X,MATCH($A29,SPPR!$A:$A,0),18)),$C29*INDEX(SPPR!$E:$X,MATCH($A29,SPPR!$A:$A,0),18),""),"")</f>
        <v/>
      </c>
      <c r="V29">
        <f>IFERROR(IF(ISNUMBER(INDEX(SPPR!$E:$X,MATCH($A29,SPPR!$A:$A,0),19)),$C29*INDEX(SPPR!$E:$X,MATCH($A29,SPPR!$A:$A,0),19),""),"")</f>
        <v/>
      </c>
      <c r="W29">
        <f>IFERROR(IF(ISNUMBER(INDEX(SPPR!$E:$X,MATCH($A29,SPPR!$A:$A,0),20)),$C29*INDEX(SPPR!$E:$X,MATCH($A29,SPPR!$A:$A,0),20),""),"")</f>
        <v/>
      </c>
    </row>
    <row r="30">
      <c r="A30" t="inlineStr">
        <is>
          <t>Loliginidae</t>
        </is>
      </c>
      <c r="B30">
        <f>IFERROR(INDEX(SPPR!$D:$D,MATCH($A30,SPPR!$A:$A,0)),"")</f>
        <v/>
      </c>
      <c r="C30">
        <f>IFERROR(INDEX(Catch!$E:$BV,MATCH($A30,Catch!$A:$A,0),MATCH($B$4,Catch!$E$1:$BV$1,0)),0)</f>
        <v/>
      </c>
      <c r="D30">
        <f>IFERROR(IF(ISNUMBER(INDEX(SPPR!$E:$X,MATCH($A30,SPPR!$A:$A,0),1)),$C30*INDEX(SPPR!$E:$X,MATCH($A30,SPPR!$A:$A,0),1),""),"")</f>
        <v/>
      </c>
      <c r="E30">
        <f>IFERROR(IF(ISNUMBER(INDEX(SPPR!$E:$X,MATCH($A30,SPPR!$A:$A,0),2)),$C30*INDEX(SPPR!$E:$X,MATCH($A30,SPPR!$A:$A,0),2),""),"")</f>
        <v/>
      </c>
      <c r="F30">
        <f>IFERROR(IF(ISNUMBER(INDEX(SPPR!$E:$X,MATCH($A30,SPPR!$A:$A,0),3)),$C30*INDEX(SPPR!$E:$X,MATCH($A30,SPPR!$A:$A,0),3),""),"")</f>
        <v/>
      </c>
      <c r="G30">
        <f>IFERROR(IF(ISNUMBER(INDEX(SPPR!$E:$X,MATCH($A30,SPPR!$A:$A,0),4)),$C30*INDEX(SPPR!$E:$X,MATCH($A30,SPPR!$A:$A,0),4),""),"")</f>
        <v/>
      </c>
      <c r="H30">
        <f>IFERROR(IF(ISNUMBER(INDEX(SPPR!$E:$X,MATCH($A30,SPPR!$A:$A,0),5)),$C30*INDEX(SPPR!$E:$X,MATCH($A30,SPPR!$A:$A,0),5),""),"")</f>
        <v/>
      </c>
      <c r="I30">
        <f>IFERROR(IF(ISNUMBER(INDEX(SPPR!$E:$X,MATCH($A30,SPPR!$A:$A,0),6)),$C30*INDEX(SPPR!$E:$X,MATCH($A30,SPPR!$A:$A,0),6),""),"")</f>
        <v/>
      </c>
      <c r="J30">
        <f>IFERROR(IF(ISNUMBER(INDEX(SPPR!$E:$X,MATCH($A30,SPPR!$A:$A,0),7)),$C30*INDEX(SPPR!$E:$X,MATCH($A30,SPPR!$A:$A,0),7),""),"")</f>
        <v/>
      </c>
      <c r="K30">
        <f>IFERROR(IF(ISNUMBER(INDEX(SPPR!$E:$X,MATCH($A30,SPPR!$A:$A,0),8)),$C30*INDEX(SPPR!$E:$X,MATCH($A30,SPPR!$A:$A,0),8),""),"")</f>
        <v/>
      </c>
      <c r="L30">
        <f>IFERROR(IF(ISNUMBER(INDEX(SPPR!$E:$X,MATCH($A30,SPPR!$A:$A,0),9)),$C30*INDEX(SPPR!$E:$X,MATCH($A30,SPPR!$A:$A,0),9),""),"")</f>
        <v/>
      </c>
      <c r="M30">
        <f>IFERROR(IF(ISNUMBER(INDEX(SPPR!$E:$X,MATCH($A30,SPPR!$A:$A,0),10)),$C30*INDEX(SPPR!$E:$X,MATCH($A30,SPPR!$A:$A,0),10),""),"")</f>
        <v/>
      </c>
      <c r="N30">
        <f>IFERROR(IF(ISNUMBER(INDEX(SPPR!$E:$X,MATCH($A30,SPPR!$A:$A,0),11)),$C30*INDEX(SPPR!$E:$X,MATCH($A30,SPPR!$A:$A,0),11),""),"")</f>
        <v/>
      </c>
      <c r="O30">
        <f>IFERROR(IF(ISNUMBER(INDEX(SPPR!$E:$X,MATCH($A30,SPPR!$A:$A,0),12)),$C30*INDEX(SPPR!$E:$X,MATCH($A30,SPPR!$A:$A,0),12),""),"")</f>
        <v/>
      </c>
      <c r="P30">
        <f>IFERROR(IF(ISNUMBER(INDEX(SPPR!$E:$X,MATCH($A30,SPPR!$A:$A,0),13)),$C30*INDEX(SPPR!$E:$X,MATCH($A30,SPPR!$A:$A,0),13),""),"")</f>
        <v/>
      </c>
      <c r="Q30">
        <f>IFERROR(IF(ISNUMBER(INDEX(SPPR!$E:$X,MATCH($A30,SPPR!$A:$A,0),14)),$C30*INDEX(SPPR!$E:$X,MATCH($A30,SPPR!$A:$A,0),14),""),"")</f>
        <v/>
      </c>
      <c r="R30">
        <f>IFERROR(IF(ISNUMBER(INDEX(SPPR!$E:$X,MATCH($A30,SPPR!$A:$A,0),15)),$C30*INDEX(SPPR!$E:$X,MATCH($A30,SPPR!$A:$A,0),15),""),"")</f>
        <v/>
      </c>
      <c r="S30">
        <f>IFERROR(IF(ISNUMBER(INDEX(SPPR!$E:$X,MATCH($A30,SPPR!$A:$A,0),16)),$C30*INDEX(SPPR!$E:$X,MATCH($A30,SPPR!$A:$A,0),16),""),"")</f>
        <v/>
      </c>
      <c r="T30">
        <f>IFERROR(IF(ISNUMBER(INDEX(SPPR!$E:$X,MATCH($A30,SPPR!$A:$A,0),17)),$C30*INDEX(SPPR!$E:$X,MATCH($A30,SPPR!$A:$A,0),17),""),"")</f>
        <v/>
      </c>
      <c r="U30">
        <f>IFERROR(IF(ISNUMBER(INDEX(SPPR!$E:$X,MATCH($A30,SPPR!$A:$A,0),18)),$C30*INDEX(SPPR!$E:$X,MATCH($A30,SPPR!$A:$A,0),18),""),"")</f>
        <v/>
      </c>
      <c r="V30">
        <f>IFERROR(IF(ISNUMBER(INDEX(SPPR!$E:$X,MATCH($A30,SPPR!$A:$A,0),19)),$C30*INDEX(SPPR!$E:$X,MATCH($A30,SPPR!$A:$A,0),19),""),"")</f>
        <v/>
      </c>
      <c r="W30">
        <f>IFERROR(IF(ISNUMBER(INDEX(SPPR!$E:$X,MATCH($A30,SPPR!$A:$A,0),20)),$C30*INDEX(SPPR!$E:$X,MATCH($A30,SPPR!$A:$A,0),20),""),"")</f>
        <v/>
      </c>
    </row>
    <row r="31">
      <c r="A31" t="inlineStr">
        <is>
          <t>Scomber japonicus</t>
        </is>
      </c>
      <c r="B31">
        <f>IFERROR(INDEX(SPPR!$D:$D,MATCH($A31,SPPR!$A:$A,0)),"")</f>
        <v/>
      </c>
      <c r="C31">
        <f>IFERROR(INDEX(Catch!$E:$BV,MATCH($A31,Catch!$A:$A,0),MATCH($B$4,Catch!$E$1:$BV$1,0)),0)</f>
        <v/>
      </c>
      <c r="D31">
        <f>IFERROR(IF(ISNUMBER(INDEX(SPPR!$E:$X,MATCH($A31,SPPR!$A:$A,0),1)),$C31*INDEX(SPPR!$E:$X,MATCH($A31,SPPR!$A:$A,0),1),""),"")</f>
        <v/>
      </c>
      <c r="E31">
        <f>IFERROR(IF(ISNUMBER(INDEX(SPPR!$E:$X,MATCH($A31,SPPR!$A:$A,0),2)),$C31*INDEX(SPPR!$E:$X,MATCH($A31,SPPR!$A:$A,0),2),""),"")</f>
        <v/>
      </c>
      <c r="F31">
        <f>IFERROR(IF(ISNUMBER(INDEX(SPPR!$E:$X,MATCH($A31,SPPR!$A:$A,0),3)),$C31*INDEX(SPPR!$E:$X,MATCH($A31,SPPR!$A:$A,0),3),""),"")</f>
        <v/>
      </c>
      <c r="G31">
        <f>IFERROR(IF(ISNUMBER(INDEX(SPPR!$E:$X,MATCH($A31,SPPR!$A:$A,0),4)),$C31*INDEX(SPPR!$E:$X,MATCH($A31,SPPR!$A:$A,0),4),""),"")</f>
        <v/>
      </c>
      <c r="H31">
        <f>IFERROR(IF(ISNUMBER(INDEX(SPPR!$E:$X,MATCH($A31,SPPR!$A:$A,0),5)),$C31*INDEX(SPPR!$E:$X,MATCH($A31,SPPR!$A:$A,0),5),""),"")</f>
        <v/>
      </c>
      <c r="I31">
        <f>IFERROR(IF(ISNUMBER(INDEX(SPPR!$E:$X,MATCH($A31,SPPR!$A:$A,0),6)),$C31*INDEX(SPPR!$E:$X,MATCH($A31,SPPR!$A:$A,0),6),""),"")</f>
        <v/>
      </c>
      <c r="J31">
        <f>IFERROR(IF(ISNUMBER(INDEX(SPPR!$E:$X,MATCH($A31,SPPR!$A:$A,0),7)),$C31*INDEX(SPPR!$E:$X,MATCH($A31,SPPR!$A:$A,0),7),""),"")</f>
        <v/>
      </c>
      <c r="K31">
        <f>IFERROR(IF(ISNUMBER(INDEX(SPPR!$E:$X,MATCH($A31,SPPR!$A:$A,0),8)),$C31*INDEX(SPPR!$E:$X,MATCH($A31,SPPR!$A:$A,0),8),""),"")</f>
        <v/>
      </c>
      <c r="L31">
        <f>IFERROR(IF(ISNUMBER(INDEX(SPPR!$E:$X,MATCH($A31,SPPR!$A:$A,0),9)),$C31*INDEX(SPPR!$E:$X,MATCH($A31,SPPR!$A:$A,0),9),""),"")</f>
        <v/>
      </c>
      <c r="M31">
        <f>IFERROR(IF(ISNUMBER(INDEX(SPPR!$E:$X,MATCH($A31,SPPR!$A:$A,0),10)),$C31*INDEX(SPPR!$E:$X,MATCH($A31,SPPR!$A:$A,0),10),""),"")</f>
        <v/>
      </c>
      <c r="N31">
        <f>IFERROR(IF(ISNUMBER(INDEX(SPPR!$E:$X,MATCH($A31,SPPR!$A:$A,0),11)),$C31*INDEX(SPPR!$E:$X,MATCH($A31,SPPR!$A:$A,0),11),""),"")</f>
        <v/>
      </c>
      <c r="O31">
        <f>IFERROR(IF(ISNUMBER(INDEX(SPPR!$E:$X,MATCH($A31,SPPR!$A:$A,0),12)),$C31*INDEX(SPPR!$E:$X,MATCH($A31,SPPR!$A:$A,0),12),""),"")</f>
        <v/>
      </c>
      <c r="P31">
        <f>IFERROR(IF(ISNUMBER(INDEX(SPPR!$E:$X,MATCH($A31,SPPR!$A:$A,0),13)),$C31*INDEX(SPPR!$E:$X,MATCH($A31,SPPR!$A:$A,0),13),""),"")</f>
        <v/>
      </c>
      <c r="Q31">
        <f>IFERROR(IF(ISNUMBER(INDEX(SPPR!$E:$X,MATCH($A31,SPPR!$A:$A,0),14)),$C31*INDEX(SPPR!$E:$X,MATCH($A31,SPPR!$A:$A,0),14),""),"")</f>
        <v/>
      </c>
      <c r="R31">
        <f>IFERROR(IF(ISNUMBER(INDEX(SPPR!$E:$X,MATCH($A31,SPPR!$A:$A,0),15)),$C31*INDEX(SPPR!$E:$X,MATCH($A31,SPPR!$A:$A,0),15),""),"")</f>
        <v/>
      </c>
      <c r="S31">
        <f>IFERROR(IF(ISNUMBER(INDEX(SPPR!$E:$X,MATCH($A31,SPPR!$A:$A,0),16)),$C31*INDEX(SPPR!$E:$X,MATCH($A31,SPPR!$A:$A,0),16),""),"")</f>
        <v/>
      </c>
      <c r="T31">
        <f>IFERROR(IF(ISNUMBER(INDEX(SPPR!$E:$X,MATCH($A31,SPPR!$A:$A,0),17)),$C31*INDEX(SPPR!$E:$X,MATCH($A31,SPPR!$A:$A,0),17),""),"")</f>
        <v/>
      </c>
      <c r="U31">
        <f>IFERROR(IF(ISNUMBER(INDEX(SPPR!$E:$X,MATCH($A31,SPPR!$A:$A,0),18)),$C31*INDEX(SPPR!$E:$X,MATCH($A31,SPPR!$A:$A,0),18),""),"")</f>
        <v/>
      </c>
      <c r="V31">
        <f>IFERROR(IF(ISNUMBER(INDEX(SPPR!$E:$X,MATCH($A31,SPPR!$A:$A,0),19)),$C31*INDEX(SPPR!$E:$X,MATCH($A31,SPPR!$A:$A,0),19),""),"")</f>
        <v/>
      </c>
      <c r="W31">
        <f>IFERROR(IF(ISNUMBER(INDEX(SPPR!$E:$X,MATCH($A31,SPPR!$A:$A,0),20)),$C31*INDEX(SPPR!$E:$X,MATCH($A31,SPPR!$A:$A,0),20),""),"")</f>
        <v/>
      </c>
    </row>
    <row r="32">
      <c r="A32" t="inlineStr">
        <is>
          <t>Portunus trituberculatus</t>
        </is>
      </c>
      <c r="B32">
        <f>IFERROR(INDEX(SPPR!$D:$D,MATCH($A32,SPPR!$A:$A,0)),"")</f>
        <v/>
      </c>
      <c r="C32">
        <f>IFERROR(INDEX(Catch!$E:$BV,MATCH($A32,Catch!$A:$A,0),MATCH($B$4,Catch!$E$1:$BV$1,0)),0)</f>
        <v/>
      </c>
      <c r="D32">
        <f>IFERROR(IF(ISNUMBER(INDEX(SPPR!$E:$X,MATCH($A32,SPPR!$A:$A,0),1)),$C32*INDEX(SPPR!$E:$X,MATCH($A32,SPPR!$A:$A,0),1),""),"")</f>
        <v/>
      </c>
      <c r="E32">
        <f>IFERROR(IF(ISNUMBER(INDEX(SPPR!$E:$X,MATCH($A32,SPPR!$A:$A,0),2)),$C32*INDEX(SPPR!$E:$X,MATCH($A32,SPPR!$A:$A,0),2),""),"")</f>
        <v/>
      </c>
      <c r="F32">
        <f>IFERROR(IF(ISNUMBER(INDEX(SPPR!$E:$X,MATCH($A32,SPPR!$A:$A,0),3)),$C32*INDEX(SPPR!$E:$X,MATCH($A32,SPPR!$A:$A,0),3),""),"")</f>
        <v/>
      </c>
      <c r="G32">
        <f>IFERROR(IF(ISNUMBER(INDEX(SPPR!$E:$X,MATCH($A32,SPPR!$A:$A,0),4)),$C32*INDEX(SPPR!$E:$X,MATCH($A32,SPPR!$A:$A,0),4),""),"")</f>
        <v/>
      </c>
      <c r="H32">
        <f>IFERROR(IF(ISNUMBER(INDEX(SPPR!$E:$X,MATCH($A32,SPPR!$A:$A,0),5)),$C32*INDEX(SPPR!$E:$X,MATCH($A32,SPPR!$A:$A,0),5),""),"")</f>
        <v/>
      </c>
      <c r="I32">
        <f>IFERROR(IF(ISNUMBER(INDEX(SPPR!$E:$X,MATCH($A32,SPPR!$A:$A,0),6)),$C32*INDEX(SPPR!$E:$X,MATCH($A32,SPPR!$A:$A,0),6),""),"")</f>
        <v/>
      </c>
      <c r="J32">
        <f>IFERROR(IF(ISNUMBER(INDEX(SPPR!$E:$X,MATCH($A32,SPPR!$A:$A,0),7)),$C32*INDEX(SPPR!$E:$X,MATCH($A32,SPPR!$A:$A,0),7),""),"")</f>
        <v/>
      </c>
      <c r="K32">
        <f>IFERROR(IF(ISNUMBER(INDEX(SPPR!$E:$X,MATCH($A32,SPPR!$A:$A,0),8)),$C32*INDEX(SPPR!$E:$X,MATCH($A32,SPPR!$A:$A,0),8),""),"")</f>
        <v/>
      </c>
      <c r="L32">
        <f>IFERROR(IF(ISNUMBER(INDEX(SPPR!$E:$X,MATCH($A32,SPPR!$A:$A,0),9)),$C32*INDEX(SPPR!$E:$X,MATCH($A32,SPPR!$A:$A,0),9),""),"")</f>
        <v/>
      </c>
      <c r="M32">
        <f>IFERROR(IF(ISNUMBER(INDEX(SPPR!$E:$X,MATCH($A32,SPPR!$A:$A,0),10)),$C32*INDEX(SPPR!$E:$X,MATCH($A32,SPPR!$A:$A,0),10),""),"")</f>
        <v/>
      </c>
      <c r="N32">
        <f>IFERROR(IF(ISNUMBER(INDEX(SPPR!$E:$X,MATCH($A32,SPPR!$A:$A,0),11)),$C32*INDEX(SPPR!$E:$X,MATCH($A32,SPPR!$A:$A,0),11),""),"")</f>
        <v/>
      </c>
      <c r="O32">
        <f>IFERROR(IF(ISNUMBER(INDEX(SPPR!$E:$X,MATCH($A32,SPPR!$A:$A,0),12)),$C32*INDEX(SPPR!$E:$X,MATCH($A32,SPPR!$A:$A,0),12),""),"")</f>
        <v/>
      </c>
      <c r="P32">
        <f>IFERROR(IF(ISNUMBER(INDEX(SPPR!$E:$X,MATCH($A32,SPPR!$A:$A,0),13)),$C32*INDEX(SPPR!$E:$X,MATCH($A32,SPPR!$A:$A,0),13),""),"")</f>
        <v/>
      </c>
      <c r="Q32">
        <f>IFERROR(IF(ISNUMBER(INDEX(SPPR!$E:$X,MATCH($A32,SPPR!$A:$A,0),14)),$C32*INDEX(SPPR!$E:$X,MATCH($A32,SPPR!$A:$A,0),14),""),"")</f>
        <v/>
      </c>
      <c r="R32">
        <f>IFERROR(IF(ISNUMBER(INDEX(SPPR!$E:$X,MATCH($A32,SPPR!$A:$A,0),15)),$C32*INDEX(SPPR!$E:$X,MATCH($A32,SPPR!$A:$A,0),15),""),"")</f>
        <v/>
      </c>
      <c r="S32">
        <f>IFERROR(IF(ISNUMBER(INDEX(SPPR!$E:$X,MATCH($A32,SPPR!$A:$A,0),16)),$C32*INDEX(SPPR!$E:$X,MATCH($A32,SPPR!$A:$A,0),16),""),"")</f>
        <v/>
      </c>
      <c r="T32">
        <f>IFERROR(IF(ISNUMBER(INDEX(SPPR!$E:$X,MATCH($A32,SPPR!$A:$A,0),17)),$C32*INDEX(SPPR!$E:$X,MATCH($A32,SPPR!$A:$A,0),17),""),"")</f>
        <v/>
      </c>
      <c r="U32">
        <f>IFERROR(IF(ISNUMBER(INDEX(SPPR!$E:$X,MATCH($A32,SPPR!$A:$A,0),18)),$C32*INDEX(SPPR!$E:$X,MATCH($A32,SPPR!$A:$A,0),18),""),"")</f>
        <v/>
      </c>
      <c r="V32">
        <f>IFERROR(IF(ISNUMBER(INDEX(SPPR!$E:$X,MATCH($A32,SPPR!$A:$A,0),19)),$C32*INDEX(SPPR!$E:$X,MATCH($A32,SPPR!$A:$A,0),19),""),"")</f>
        <v/>
      </c>
      <c r="W32">
        <f>IFERROR(IF(ISNUMBER(INDEX(SPPR!$E:$X,MATCH($A32,SPPR!$A:$A,0),20)),$C32*INDEX(SPPR!$E:$X,MATCH($A32,SPPR!$A:$A,0),20),""),"")</f>
        <v/>
      </c>
    </row>
    <row r="33">
      <c r="A33" t="inlineStr">
        <is>
          <t>Monacanthidae</t>
        </is>
      </c>
      <c r="B33">
        <f>IFERROR(INDEX(SPPR!$D:$D,MATCH($A33,SPPR!$A:$A,0)),"")</f>
        <v/>
      </c>
      <c r="C33">
        <f>IFERROR(INDEX(Catch!$E:$BV,MATCH($A33,Catch!$A:$A,0),MATCH($B$4,Catch!$E$1:$BV$1,0)),0)</f>
        <v/>
      </c>
      <c r="D33">
        <f>IFERROR(IF(ISNUMBER(INDEX(SPPR!$E:$X,MATCH($A33,SPPR!$A:$A,0),1)),$C33*INDEX(SPPR!$E:$X,MATCH($A33,SPPR!$A:$A,0),1),""),"")</f>
        <v/>
      </c>
      <c r="E33">
        <f>IFERROR(IF(ISNUMBER(INDEX(SPPR!$E:$X,MATCH($A33,SPPR!$A:$A,0),2)),$C33*INDEX(SPPR!$E:$X,MATCH($A33,SPPR!$A:$A,0),2),""),"")</f>
        <v/>
      </c>
      <c r="F33">
        <f>IFERROR(IF(ISNUMBER(INDEX(SPPR!$E:$X,MATCH($A33,SPPR!$A:$A,0),3)),$C33*INDEX(SPPR!$E:$X,MATCH($A33,SPPR!$A:$A,0),3),""),"")</f>
        <v/>
      </c>
      <c r="G33">
        <f>IFERROR(IF(ISNUMBER(INDEX(SPPR!$E:$X,MATCH($A33,SPPR!$A:$A,0),4)),$C33*INDEX(SPPR!$E:$X,MATCH($A33,SPPR!$A:$A,0),4),""),"")</f>
        <v/>
      </c>
      <c r="H33">
        <f>IFERROR(IF(ISNUMBER(INDEX(SPPR!$E:$X,MATCH($A33,SPPR!$A:$A,0),5)),$C33*INDEX(SPPR!$E:$X,MATCH($A33,SPPR!$A:$A,0),5),""),"")</f>
        <v/>
      </c>
      <c r="I33">
        <f>IFERROR(IF(ISNUMBER(INDEX(SPPR!$E:$X,MATCH($A33,SPPR!$A:$A,0),6)),$C33*INDEX(SPPR!$E:$X,MATCH($A33,SPPR!$A:$A,0),6),""),"")</f>
        <v/>
      </c>
      <c r="J33">
        <f>IFERROR(IF(ISNUMBER(INDEX(SPPR!$E:$X,MATCH($A33,SPPR!$A:$A,0),7)),$C33*INDEX(SPPR!$E:$X,MATCH($A33,SPPR!$A:$A,0),7),""),"")</f>
        <v/>
      </c>
      <c r="K33">
        <f>IFERROR(IF(ISNUMBER(INDEX(SPPR!$E:$X,MATCH($A33,SPPR!$A:$A,0),8)),$C33*INDEX(SPPR!$E:$X,MATCH($A33,SPPR!$A:$A,0),8),""),"")</f>
        <v/>
      </c>
      <c r="L33">
        <f>IFERROR(IF(ISNUMBER(INDEX(SPPR!$E:$X,MATCH($A33,SPPR!$A:$A,0),9)),$C33*INDEX(SPPR!$E:$X,MATCH($A33,SPPR!$A:$A,0),9),""),"")</f>
        <v/>
      </c>
      <c r="M33">
        <f>IFERROR(IF(ISNUMBER(INDEX(SPPR!$E:$X,MATCH($A33,SPPR!$A:$A,0),10)),$C33*INDEX(SPPR!$E:$X,MATCH($A33,SPPR!$A:$A,0),10),""),"")</f>
        <v/>
      </c>
      <c r="N33">
        <f>IFERROR(IF(ISNUMBER(INDEX(SPPR!$E:$X,MATCH($A33,SPPR!$A:$A,0),11)),$C33*INDEX(SPPR!$E:$X,MATCH($A33,SPPR!$A:$A,0),11),""),"")</f>
        <v/>
      </c>
      <c r="O33">
        <f>IFERROR(IF(ISNUMBER(INDEX(SPPR!$E:$X,MATCH($A33,SPPR!$A:$A,0),12)),$C33*INDEX(SPPR!$E:$X,MATCH($A33,SPPR!$A:$A,0),12),""),"")</f>
        <v/>
      </c>
      <c r="P33">
        <f>IFERROR(IF(ISNUMBER(INDEX(SPPR!$E:$X,MATCH($A33,SPPR!$A:$A,0),13)),$C33*INDEX(SPPR!$E:$X,MATCH($A33,SPPR!$A:$A,0),13),""),"")</f>
        <v/>
      </c>
      <c r="Q33">
        <f>IFERROR(IF(ISNUMBER(INDEX(SPPR!$E:$X,MATCH($A33,SPPR!$A:$A,0),14)),$C33*INDEX(SPPR!$E:$X,MATCH($A33,SPPR!$A:$A,0),14),""),"")</f>
        <v/>
      </c>
      <c r="R33">
        <f>IFERROR(IF(ISNUMBER(INDEX(SPPR!$E:$X,MATCH($A33,SPPR!$A:$A,0),15)),$C33*INDEX(SPPR!$E:$X,MATCH($A33,SPPR!$A:$A,0),15),""),"")</f>
        <v/>
      </c>
      <c r="S33">
        <f>IFERROR(IF(ISNUMBER(INDEX(SPPR!$E:$X,MATCH($A33,SPPR!$A:$A,0),16)),$C33*INDEX(SPPR!$E:$X,MATCH($A33,SPPR!$A:$A,0),16),""),"")</f>
        <v/>
      </c>
      <c r="T33">
        <f>IFERROR(IF(ISNUMBER(INDEX(SPPR!$E:$X,MATCH($A33,SPPR!$A:$A,0),17)),$C33*INDEX(SPPR!$E:$X,MATCH($A33,SPPR!$A:$A,0),17),""),"")</f>
        <v/>
      </c>
      <c r="U33">
        <f>IFERROR(IF(ISNUMBER(INDEX(SPPR!$E:$X,MATCH($A33,SPPR!$A:$A,0),18)),$C33*INDEX(SPPR!$E:$X,MATCH($A33,SPPR!$A:$A,0),18),""),"")</f>
        <v/>
      </c>
      <c r="V33">
        <f>IFERROR(IF(ISNUMBER(INDEX(SPPR!$E:$X,MATCH($A33,SPPR!$A:$A,0),19)),$C33*INDEX(SPPR!$E:$X,MATCH($A33,SPPR!$A:$A,0),19),""),"")</f>
        <v/>
      </c>
      <c r="W33">
        <f>IFERROR(IF(ISNUMBER(INDEX(SPPR!$E:$X,MATCH($A33,SPPR!$A:$A,0),20)),$C33*INDEX(SPPR!$E:$X,MATCH($A33,SPPR!$A:$A,0),20),""),"")</f>
        <v/>
      </c>
    </row>
    <row r="34">
      <c r="A34" t="inlineStr">
        <is>
          <t>Trachysalambria curvirostris</t>
        </is>
      </c>
      <c r="B34">
        <f>IFERROR(INDEX(SPPR!$D:$D,MATCH($A34,SPPR!$A:$A,0)),"")</f>
        <v/>
      </c>
      <c r="C34">
        <f>IFERROR(INDEX(Catch!$E:$BV,MATCH($A34,Catch!$A:$A,0),MATCH($B$4,Catch!$E$1:$BV$1,0)),0)</f>
        <v/>
      </c>
      <c r="D34">
        <f>IFERROR(IF(ISNUMBER(INDEX(SPPR!$E:$X,MATCH($A34,SPPR!$A:$A,0),1)),$C34*INDEX(SPPR!$E:$X,MATCH($A34,SPPR!$A:$A,0),1),""),"")</f>
        <v/>
      </c>
      <c r="E34">
        <f>IFERROR(IF(ISNUMBER(INDEX(SPPR!$E:$X,MATCH($A34,SPPR!$A:$A,0),2)),$C34*INDEX(SPPR!$E:$X,MATCH($A34,SPPR!$A:$A,0),2),""),"")</f>
        <v/>
      </c>
      <c r="F34">
        <f>IFERROR(IF(ISNUMBER(INDEX(SPPR!$E:$X,MATCH($A34,SPPR!$A:$A,0),3)),$C34*INDEX(SPPR!$E:$X,MATCH($A34,SPPR!$A:$A,0),3),""),"")</f>
        <v/>
      </c>
      <c r="G34">
        <f>IFERROR(IF(ISNUMBER(INDEX(SPPR!$E:$X,MATCH($A34,SPPR!$A:$A,0),4)),$C34*INDEX(SPPR!$E:$X,MATCH($A34,SPPR!$A:$A,0),4),""),"")</f>
        <v/>
      </c>
      <c r="H34">
        <f>IFERROR(IF(ISNUMBER(INDEX(SPPR!$E:$X,MATCH($A34,SPPR!$A:$A,0),5)),$C34*INDEX(SPPR!$E:$X,MATCH($A34,SPPR!$A:$A,0),5),""),"")</f>
        <v/>
      </c>
      <c r="I34">
        <f>IFERROR(IF(ISNUMBER(INDEX(SPPR!$E:$X,MATCH($A34,SPPR!$A:$A,0),6)),$C34*INDEX(SPPR!$E:$X,MATCH($A34,SPPR!$A:$A,0),6),""),"")</f>
        <v/>
      </c>
      <c r="J34">
        <f>IFERROR(IF(ISNUMBER(INDEX(SPPR!$E:$X,MATCH($A34,SPPR!$A:$A,0),7)),$C34*INDEX(SPPR!$E:$X,MATCH($A34,SPPR!$A:$A,0),7),""),"")</f>
        <v/>
      </c>
      <c r="K34">
        <f>IFERROR(IF(ISNUMBER(INDEX(SPPR!$E:$X,MATCH($A34,SPPR!$A:$A,0),8)),$C34*INDEX(SPPR!$E:$X,MATCH($A34,SPPR!$A:$A,0),8),""),"")</f>
        <v/>
      </c>
      <c r="L34">
        <f>IFERROR(IF(ISNUMBER(INDEX(SPPR!$E:$X,MATCH($A34,SPPR!$A:$A,0),9)),$C34*INDEX(SPPR!$E:$X,MATCH($A34,SPPR!$A:$A,0),9),""),"")</f>
        <v/>
      </c>
      <c r="M34">
        <f>IFERROR(IF(ISNUMBER(INDEX(SPPR!$E:$X,MATCH($A34,SPPR!$A:$A,0),10)),$C34*INDEX(SPPR!$E:$X,MATCH($A34,SPPR!$A:$A,0),10),""),"")</f>
        <v/>
      </c>
      <c r="N34">
        <f>IFERROR(IF(ISNUMBER(INDEX(SPPR!$E:$X,MATCH($A34,SPPR!$A:$A,0),11)),$C34*INDEX(SPPR!$E:$X,MATCH($A34,SPPR!$A:$A,0),11),""),"")</f>
        <v/>
      </c>
      <c r="O34">
        <f>IFERROR(IF(ISNUMBER(INDEX(SPPR!$E:$X,MATCH($A34,SPPR!$A:$A,0),12)),$C34*INDEX(SPPR!$E:$X,MATCH($A34,SPPR!$A:$A,0),12),""),"")</f>
        <v/>
      </c>
      <c r="P34">
        <f>IFERROR(IF(ISNUMBER(INDEX(SPPR!$E:$X,MATCH($A34,SPPR!$A:$A,0),13)),$C34*INDEX(SPPR!$E:$X,MATCH($A34,SPPR!$A:$A,0),13),""),"")</f>
        <v/>
      </c>
      <c r="Q34">
        <f>IFERROR(IF(ISNUMBER(INDEX(SPPR!$E:$X,MATCH($A34,SPPR!$A:$A,0),14)),$C34*INDEX(SPPR!$E:$X,MATCH($A34,SPPR!$A:$A,0),14),""),"")</f>
        <v/>
      </c>
      <c r="R34">
        <f>IFERROR(IF(ISNUMBER(INDEX(SPPR!$E:$X,MATCH($A34,SPPR!$A:$A,0),15)),$C34*INDEX(SPPR!$E:$X,MATCH($A34,SPPR!$A:$A,0),15),""),"")</f>
        <v/>
      </c>
      <c r="S34">
        <f>IFERROR(IF(ISNUMBER(INDEX(SPPR!$E:$X,MATCH($A34,SPPR!$A:$A,0),16)),$C34*INDEX(SPPR!$E:$X,MATCH($A34,SPPR!$A:$A,0),16),""),"")</f>
        <v/>
      </c>
      <c r="T34">
        <f>IFERROR(IF(ISNUMBER(INDEX(SPPR!$E:$X,MATCH($A34,SPPR!$A:$A,0),17)),$C34*INDEX(SPPR!$E:$X,MATCH($A34,SPPR!$A:$A,0),17),""),"")</f>
        <v/>
      </c>
      <c r="U34">
        <f>IFERROR(IF(ISNUMBER(INDEX(SPPR!$E:$X,MATCH($A34,SPPR!$A:$A,0),18)),$C34*INDEX(SPPR!$E:$X,MATCH($A34,SPPR!$A:$A,0),18),""),"")</f>
        <v/>
      </c>
      <c r="V34">
        <f>IFERROR(IF(ISNUMBER(INDEX(SPPR!$E:$X,MATCH($A34,SPPR!$A:$A,0),19)),$C34*INDEX(SPPR!$E:$X,MATCH($A34,SPPR!$A:$A,0),19),""),"")</f>
        <v/>
      </c>
      <c r="W34">
        <f>IFERROR(IF(ISNUMBER(INDEX(SPPR!$E:$X,MATCH($A34,SPPR!$A:$A,0),20)),$C34*INDEX(SPPR!$E:$X,MATCH($A34,SPPR!$A:$A,0),20),""),"")</f>
        <v/>
      </c>
    </row>
    <row r="35">
      <c r="A35" t="inlineStr">
        <is>
          <t>Larimichthys crocea</t>
        </is>
      </c>
      <c r="B35">
        <f>IFERROR(INDEX(SPPR!$D:$D,MATCH($A35,SPPR!$A:$A,0)),"")</f>
        <v/>
      </c>
      <c r="C35">
        <f>IFERROR(INDEX(Catch!$E:$BV,MATCH($A35,Catch!$A:$A,0),MATCH($B$4,Catch!$E$1:$BV$1,0)),0)</f>
        <v/>
      </c>
      <c r="D35">
        <f>IFERROR(IF(ISNUMBER(INDEX(SPPR!$E:$X,MATCH($A35,SPPR!$A:$A,0),1)),$C35*INDEX(SPPR!$E:$X,MATCH($A35,SPPR!$A:$A,0),1),""),"")</f>
        <v/>
      </c>
      <c r="E35">
        <f>IFERROR(IF(ISNUMBER(INDEX(SPPR!$E:$X,MATCH($A35,SPPR!$A:$A,0),2)),$C35*INDEX(SPPR!$E:$X,MATCH($A35,SPPR!$A:$A,0),2),""),"")</f>
        <v/>
      </c>
      <c r="F35">
        <f>IFERROR(IF(ISNUMBER(INDEX(SPPR!$E:$X,MATCH($A35,SPPR!$A:$A,0),3)),$C35*INDEX(SPPR!$E:$X,MATCH($A35,SPPR!$A:$A,0),3),""),"")</f>
        <v/>
      </c>
      <c r="G35">
        <f>IFERROR(IF(ISNUMBER(INDEX(SPPR!$E:$X,MATCH($A35,SPPR!$A:$A,0),4)),$C35*INDEX(SPPR!$E:$X,MATCH($A35,SPPR!$A:$A,0),4),""),"")</f>
        <v/>
      </c>
      <c r="H35">
        <f>IFERROR(IF(ISNUMBER(INDEX(SPPR!$E:$X,MATCH($A35,SPPR!$A:$A,0),5)),$C35*INDEX(SPPR!$E:$X,MATCH($A35,SPPR!$A:$A,0),5),""),"")</f>
        <v/>
      </c>
      <c r="I35">
        <f>IFERROR(IF(ISNUMBER(INDEX(SPPR!$E:$X,MATCH($A35,SPPR!$A:$A,0),6)),$C35*INDEX(SPPR!$E:$X,MATCH($A35,SPPR!$A:$A,0),6),""),"")</f>
        <v/>
      </c>
      <c r="J35">
        <f>IFERROR(IF(ISNUMBER(INDEX(SPPR!$E:$X,MATCH($A35,SPPR!$A:$A,0),7)),$C35*INDEX(SPPR!$E:$X,MATCH($A35,SPPR!$A:$A,0),7),""),"")</f>
        <v/>
      </c>
      <c r="K35">
        <f>IFERROR(IF(ISNUMBER(INDEX(SPPR!$E:$X,MATCH($A35,SPPR!$A:$A,0),8)),$C35*INDEX(SPPR!$E:$X,MATCH($A35,SPPR!$A:$A,0),8),""),"")</f>
        <v/>
      </c>
      <c r="L35">
        <f>IFERROR(IF(ISNUMBER(INDEX(SPPR!$E:$X,MATCH($A35,SPPR!$A:$A,0),9)),$C35*INDEX(SPPR!$E:$X,MATCH($A35,SPPR!$A:$A,0),9),""),"")</f>
        <v/>
      </c>
      <c r="M35">
        <f>IFERROR(IF(ISNUMBER(INDEX(SPPR!$E:$X,MATCH($A35,SPPR!$A:$A,0),10)),$C35*INDEX(SPPR!$E:$X,MATCH($A35,SPPR!$A:$A,0),10),""),"")</f>
        <v/>
      </c>
      <c r="N35">
        <f>IFERROR(IF(ISNUMBER(INDEX(SPPR!$E:$X,MATCH($A35,SPPR!$A:$A,0),11)),$C35*INDEX(SPPR!$E:$X,MATCH($A35,SPPR!$A:$A,0),11),""),"")</f>
        <v/>
      </c>
      <c r="O35">
        <f>IFERROR(IF(ISNUMBER(INDEX(SPPR!$E:$X,MATCH($A35,SPPR!$A:$A,0),12)),$C35*INDEX(SPPR!$E:$X,MATCH($A35,SPPR!$A:$A,0),12),""),"")</f>
        <v/>
      </c>
      <c r="P35">
        <f>IFERROR(IF(ISNUMBER(INDEX(SPPR!$E:$X,MATCH($A35,SPPR!$A:$A,0),13)),$C35*INDEX(SPPR!$E:$X,MATCH($A35,SPPR!$A:$A,0),13),""),"")</f>
        <v/>
      </c>
      <c r="Q35">
        <f>IFERROR(IF(ISNUMBER(INDEX(SPPR!$E:$X,MATCH($A35,SPPR!$A:$A,0),14)),$C35*INDEX(SPPR!$E:$X,MATCH($A35,SPPR!$A:$A,0),14),""),"")</f>
        <v/>
      </c>
      <c r="R35">
        <f>IFERROR(IF(ISNUMBER(INDEX(SPPR!$E:$X,MATCH($A35,SPPR!$A:$A,0),15)),$C35*INDEX(SPPR!$E:$X,MATCH($A35,SPPR!$A:$A,0),15),""),"")</f>
        <v/>
      </c>
      <c r="S35">
        <f>IFERROR(IF(ISNUMBER(INDEX(SPPR!$E:$X,MATCH($A35,SPPR!$A:$A,0),16)),$C35*INDEX(SPPR!$E:$X,MATCH($A35,SPPR!$A:$A,0),16),""),"")</f>
        <v/>
      </c>
      <c r="T35">
        <f>IFERROR(IF(ISNUMBER(INDEX(SPPR!$E:$X,MATCH($A35,SPPR!$A:$A,0),17)),$C35*INDEX(SPPR!$E:$X,MATCH($A35,SPPR!$A:$A,0),17),""),"")</f>
        <v/>
      </c>
      <c r="U35">
        <f>IFERROR(IF(ISNUMBER(INDEX(SPPR!$E:$X,MATCH($A35,SPPR!$A:$A,0),18)),$C35*INDEX(SPPR!$E:$X,MATCH($A35,SPPR!$A:$A,0),18),""),"")</f>
        <v/>
      </c>
      <c r="V35">
        <f>IFERROR(IF(ISNUMBER(INDEX(SPPR!$E:$X,MATCH($A35,SPPR!$A:$A,0),19)),$C35*INDEX(SPPR!$E:$X,MATCH($A35,SPPR!$A:$A,0),19),""),"")</f>
        <v/>
      </c>
      <c r="W35">
        <f>IFERROR(IF(ISNUMBER(INDEX(SPPR!$E:$X,MATCH($A35,SPPR!$A:$A,0),20)),$C35*INDEX(SPPR!$E:$X,MATCH($A35,SPPR!$A:$A,0),20),""),"")</f>
        <v/>
      </c>
    </row>
    <row r="36">
      <c r="A36" t="inlineStr">
        <is>
          <t>Clupeidae</t>
        </is>
      </c>
      <c r="B36">
        <f>IFERROR(INDEX(SPPR!$D:$D,MATCH($A36,SPPR!$A:$A,0)),"")</f>
        <v/>
      </c>
      <c r="C36">
        <f>IFERROR(INDEX(Catch!$E:$BV,MATCH($A36,Catch!$A:$A,0),MATCH($B$4,Catch!$E$1:$BV$1,0)),0)</f>
        <v/>
      </c>
      <c r="D36">
        <f>IFERROR(IF(ISNUMBER(INDEX(SPPR!$E:$X,MATCH($A36,SPPR!$A:$A,0),1)),$C36*INDEX(SPPR!$E:$X,MATCH($A36,SPPR!$A:$A,0),1),""),"")</f>
        <v/>
      </c>
      <c r="E36">
        <f>IFERROR(IF(ISNUMBER(INDEX(SPPR!$E:$X,MATCH($A36,SPPR!$A:$A,0),2)),$C36*INDEX(SPPR!$E:$X,MATCH($A36,SPPR!$A:$A,0),2),""),"")</f>
        <v/>
      </c>
      <c r="F36">
        <f>IFERROR(IF(ISNUMBER(INDEX(SPPR!$E:$X,MATCH($A36,SPPR!$A:$A,0),3)),$C36*INDEX(SPPR!$E:$X,MATCH($A36,SPPR!$A:$A,0),3),""),"")</f>
        <v/>
      </c>
      <c r="G36">
        <f>IFERROR(IF(ISNUMBER(INDEX(SPPR!$E:$X,MATCH($A36,SPPR!$A:$A,0),4)),$C36*INDEX(SPPR!$E:$X,MATCH($A36,SPPR!$A:$A,0),4),""),"")</f>
        <v/>
      </c>
      <c r="H36">
        <f>IFERROR(IF(ISNUMBER(INDEX(SPPR!$E:$X,MATCH($A36,SPPR!$A:$A,0),5)),$C36*INDEX(SPPR!$E:$X,MATCH($A36,SPPR!$A:$A,0),5),""),"")</f>
        <v/>
      </c>
      <c r="I36">
        <f>IFERROR(IF(ISNUMBER(INDEX(SPPR!$E:$X,MATCH($A36,SPPR!$A:$A,0),6)),$C36*INDEX(SPPR!$E:$X,MATCH($A36,SPPR!$A:$A,0),6),""),"")</f>
        <v/>
      </c>
      <c r="J36">
        <f>IFERROR(IF(ISNUMBER(INDEX(SPPR!$E:$X,MATCH($A36,SPPR!$A:$A,0),7)),$C36*INDEX(SPPR!$E:$X,MATCH($A36,SPPR!$A:$A,0),7),""),"")</f>
        <v/>
      </c>
      <c r="K36">
        <f>IFERROR(IF(ISNUMBER(INDEX(SPPR!$E:$X,MATCH($A36,SPPR!$A:$A,0),8)),$C36*INDEX(SPPR!$E:$X,MATCH($A36,SPPR!$A:$A,0),8),""),"")</f>
        <v/>
      </c>
      <c r="L36">
        <f>IFERROR(IF(ISNUMBER(INDEX(SPPR!$E:$X,MATCH($A36,SPPR!$A:$A,0),9)),$C36*INDEX(SPPR!$E:$X,MATCH($A36,SPPR!$A:$A,0),9),""),"")</f>
        <v/>
      </c>
      <c r="M36">
        <f>IFERROR(IF(ISNUMBER(INDEX(SPPR!$E:$X,MATCH($A36,SPPR!$A:$A,0),10)),$C36*INDEX(SPPR!$E:$X,MATCH($A36,SPPR!$A:$A,0),10),""),"")</f>
        <v/>
      </c>
      <c r="N36">
        <f>IFERROR(IF(ISNUMBER(INDEX(SPPR!$E:$X,MATCH($A36,SPPR!$A:$A,0),11)),$C36*INDEX(SPPR!$E:$X,MATCH($A36,SPPR!$A:$A,0),11),""),"")</f>
        <v/>
      </c>
      <c r="O36">
        <f>IFERROR(IF(ISNUMBER(INDEX(SPPR!$E:$X,MATCH($A36,SPPR!$A:$A,0),12)),$C36*INDEX(SPPR!$E:$X,MATCH($A36,SPPR!$A:$A,0),12),""),"")</f>
        <v/>
      </c>
      <c r="P36">
        <f>IFERROR(IF(ISNUMBER(INDEX(SPPR!$E:$X,MATCH($A36,SPPR!$A:$A,0),13)),$C36*INDEX(SPPR!$E:$X,MATCH($A36,SPPR!$A:$A,0),13),""),"")</f>
        <v/>
      </c>
      <c r="Q36">
        <f>IFERROR(IF(ISNUMBER(INDEX(SPPR!$E:$X,MATCH($A36,SPPR!$A:$A,0),14)),$C36*INDEX(SPPR!$E:$X,MATCH($A36,SPPR!$A:$A,0),14),""),"")</f>
        <v/>
      </c>
      <c r="R36">
        <f>IFERROR(IF(ISNUMBER(INDEX(SPPR!$E:$X,MATCH($A36,SPPR!$A:$A,0),15)),$C36*INDEX(SPPR!$E:$X,MATCH($A36,SPPR!$A:$A,0),15),""),"")</f>
        <v/>
      </c>
      <c r="S36">
        <f>IFERROR(IF(ISNUMBER(INDEX(SPPR!$E:$X,MATCH($A36,SPPR!$A:$A,0),16)),$C36*INDEX(SPPR!$E:$X,MATCH($A36,SPPR!$A:$A,0),16),""),"")</f>
        <v/>
      </c>
      <c r="T36">
        <f>IFERROR(IF(ISNUMBER(INDEX(SPPR!$E:$X,MATCH($A36,SPPR!$A:$A,0),17)),$C36*INDEX(SPPR!$E:$X,MATCH($A36,SPPR!$A:$A,0),17),""),"")</f>
        <v/>
      </c>
      <c r="U36">
        <f>IFERROR(IF(ISNUMBER(INDEX(SPPR!$E:$X,MATCH($A36,SPPR!$A:$A,0),18)),$C36*INDEX(SPPR!$E:$X,MATCH($A36,SPPR!$A:$A,0),18),""),"")</f>
        <v/>
      </c>
      <c r="V36">
        <f>IFERROR(IF(ISNUMBER(INDEX(SPPR!$E:$X,MATCH($A36,SPPR!$A:$A,0),19)),$C36*INDEX(SPPR!$E:$X,MATCH($A36,SPPR!$A:$A,0),19),""),"")</f>
        <v/>
      </c>
      <c r="W36">
        <f>IFERROR(IF(ISNUMBER(INDEX(SPPR!$E:$X,MATCH($A36,SPPR!$A:$A,0),20)),$C36*INDEX(SPPR!$E:$X,MATCH($A36,SPPR!$A:$A,0),20),""),"")</f>
        <v/>
      </c>
    </row>
    <row r="37">
      <c r="A37" t="inlineStr">
        <is>
          <t>Muraenesox cinereus</t>
        </is>
      </c>
      <c r="B37">
        <f>IFERROR(INDEX(SPPR!$D:$D,MATCH($A37,SPPR!$A:$A,0)),"")</f>
        <v/>
      </c>
      <c r="C37">
        <f>IFERROR(INDEX(Catch!$E:$BV,MATCH($A37,Catch!$A:$A,0),MATCH($B$4,Catch!$E$1:$BV$1,0)),0)</f>
        <v/>
      </c>
      <c r="D37">
        <f>IFERROR(IF(ISNUMBER(INDEX(SPPR!$E:$X,MATCH($A37,SPPR!$A:$A,0),1)),$C37*INDEX(SPPR!$E:$X,MATCH($A37,SPPR!$A:$A,0),1),""),"")</f>
        <v/>
      </c>
      <c r="E37">
        <f>IFERROR(IF(ISNUMBER(INDEX(SPPR!$E:$X,MATCH($A37,SPPR!$A:$A,0),2)),$C37*INDEX(SPPR!$E:$X,MATCH($A37,SPPR!$A:$A,0),2),""),"")</f>
        <v/>
      </c>
      <c r="F37">
        <f>IFERROR(IF(ISNUMBER(INDEX(SPPR!$E:$X,MATCH($A37,SPPR!$A:$A,0),3)),$C37*INDEX(SPPR!$E:$X,MATCH($A37,SPPR!$A:$A,0),3),""),"")</f>
        <v/>
      </c>
      <c r="G37">
        <f>IFERROR(IF(ISNUMBER(INDEX(SPPR!$E:$X,MATCH($A37,SPPR!$A:$A,0),4)),$C37*INDEX(SPPR!$E:$X,MATCH($A37,SPPR!$A:$A,0),4),""),"")</f>
        <v/>
      </c>
      <c r="H37">
        <f>IFERROR(IF(ISNUMBER(INDEX(SPPR!$E:$X,MATCH($A37,SPPR!$A:$A,0),5)),$C37*INDEX(SPPR!$E:$X,MATCH($A37,SPPR!$A:$A,0),5),""),"")</f>
        <v/>
      </c>
      <c r="I37">
        <f>IFERROR(IF(ISNUMBER(INDEX(SPPR!$E:$X,MATCH($A37,SPPR!$A:$A,0),6)),$C37*INDEX(SPPR!$E:$X,MATCH($A37,SPPR!$A:$A,0),6),""),"")</f>
        <v/>
      </c>
      <c r="J37">
        <f>IFERROR(IF(ISNUMBER(INDEX(SPPR!$E:$X,MATCH($A37,SPPR!$A:$A,0),7)),$C37*INDEX(SPPR!$E:$X,MATCH($A37,SPPR!$A:$A,0),7),""),"")</f>
        <v/>
      </c>
      <c r="K37">
        <f>IFERROR(IF(ISNUMBER(INDEX(SPPR!$E:$X,MATCH($A37,SPPR!$A:$A,0),8)),$C37*INDEX(SPPR!$E:$X,MATCH($A37,SPPR!$A:$A,0),8),""),"")</f>
        <v/>
      </c>
      <c r="L37">
        <f>IFERROR(IF(ISNUMBER(INDEX(SPPR!$E:$X,MATCH($A37,SPPR!$A:$A,0),9)),$C37*INDEX(SPPR!$E:$X,MATCH($A37,SPPR!$A:$A,0),9),""),"")</f>
        <v/>
      </c>
      <c r="M37">
        <f>IFERROR(IF(ISNUMBER(INDEX(SPPR!$E:$X,MATCH($A37,SPPR!$A:$A,0),10)),$C37*INDEX(SPPR!$E:$X,MATCH($A37,SPPR!$A:$A,0),10),""),"")</f>
        <v/>
      </c>
      <c r="N37">
        <f>IFERROR(IF(ISNUMBER(INDEX(SPPR!$E:$X,MATCH($A37,SPPR!$A:$A,0),11)),$C37*INDEX(SPPR!$E:$X,MATCH($A37,SPPR!$A:$A,0),11),""),"")</f>
        <v/>
      </c>
      <c r="O37">
        <f>IFERROR(IF(ISNUMBER(INDEX(SPPR!$E:$X,MATCH($A37,SPPR!$A:$A,0),12)),$C37*INDEX(SPPR!$E:$X,MATCH($A37,SPPR!$A:$A,0),12),""),"")</f>
        <v/>
      </c>
      <c r="P37">
        <f>IFERROR(IF(ISNUMBER(INDEX(SPPR!$E:$X,MATCH($A37,SPPR!$A:$A,0),13)),$C37*INDEX(SPPR!$E:$X,MATCH($A37,SPPR!$A:$A,0),13),""),"")</f>
        <v/>
      </c>
      <c r="Q37">
        <f>IFERROR(IF(ISNUMBER(INDEX(SPPR!$E:$X,MATCH($A37,SPPR!$A:$A,0),14)),$C37*INDEX(SPPR!$E:$X,MATCH($A37,SPPR!$A:$A,0),14),""),"")</f>
        <v/>
      </c>
      <c r="R37">
        <f>IFERROR(IF(ISNUMBER(INDEX(SPPR!$E:$X,MATCH($A37,SPPR!$A:$A,0),15)),$C37*INDEX(SPPR!$E:$X,MATCH($A37,SPPR!$A:$A,0),15),""),"")</f>
        <v/>
      </c>
      <c r="S37">
        <f>IFERROR(IF(ISNUMBER(INDEX(SPPR!$E:$X,MATCH($A37,SPPR!$A:$A,0),16)),$C37*INDEX(SPPR!$E:$X,MATCH($A37,SPPR!$A:$A,0),16),""),"")</f>
        <v/>
      </c>
      <c r="T37">
        <f>IFERROR(IF(ISNUMBER(INDEX(SPPR!$E:$X,MATCH($A37,SPPR!$A:$A,0),17)),$C37*INDEX(SPPR!$E:$X,MATCH($A37,SPPR!$A:$A,0),17),""),"")</f>
        <v/>
      </c>
      <c r="U37">
        <f>IFERROR(IF(ISNUMBER(INDEX(SPPR!$E:$X,MATCH($A37,SPPR!$A:$A,0),18)),$C37*INDEX(SPPR!$E:$X,MATCH($A37,SPPR!$A:$A,0),18),""),"")</f>
        <v/>
      </c>
      <c r="V37">
        <f>IFERROR(IF(ISNUMBER(INDEX(SPPR!$E:$X,MATCH($A37,SPPR!$A:$A,0),19)),$C37*INDEX(SPPR!$E:$X,MATCH($A37,SPPR!$A:$A,0),19),""),"")</f>
        <v/>
      </c>
      <c r="W37">
        <f>IFERROR(IF(ISNUMBER(INDEX(SPPR!$E:$X,MATCH($A37,SPPR!$A:$A,0),20)),$C37*INDEX(SPPR!$E:$X,MATCH($A37,SPPR!$A:$A,0),20),""),"")</f>
        <v/>
      </c>
    </row>
    <row r="38">
      <c r="A38" t="inlineStr">
        <is>
          <t>Portunus pelagicus</t>
        </is>
      </c>
      <c r="B38">
        <f>IFERROR(INDEX(SPPR!$D:$D,MATCH($A38,SPPR!$A:$A,0)),"")</f>
        <v/>
      </c>
      <c r="C38">
        <f>IFERROR(INDEX(Catch!$E:$BV,MATCH($A38,Catch!$A:$A,0),MATCH($B$4,Catch!$E$1:$BV$1,0)),0)</f>
        <v/>
      </c>
      <c r="D38">
        <f>IFERROR(IF(ISNUMBER(INDEX(SPPR!$E:$X,MATCH($A38,SPPR!$A:$A,0),1)),$C38*INDEX(SPPR!$E:$X,MATCH($A38,SPPR!$A:$A,0),1),""),"")</f>
        <v/>
      </c>
      <c r="E38">
        <f>IFERROR(IF(ISNUMBER(INDEX(SPPR!$E:$X,MATCH($A38,SPPR!$A:$A,0),2)),$C38*INDEX(SPPR!$E:$X,MATCH($A38,SPPR!$A:$A,0),2),""),"")</f>
        <v/>
      </c>
      <c r="F38">
        <f>IFERROR(IF(ISNUMBER(INDEX(SPPR!$E:$X,MATCH($A38,SPPR!$A:$A,0),3)),$C38*INDEX(SPPR!$E:$X,MATCH($A38,SPPR!$A:$A,0),3),""),"")</f>
        <v/>
      </c>
      <c r="G38">
        <f>IFERROR(IF(ISNUMBER(INDEX(SPPR!$E:$X,MATCH($A38,SPPR!$A:$A,0),4)),$C38*INDEX(SPPR!$E:$X,MATCH($A38,SPPR!$A:$A,0),4),""),"")</f>
        <v/>
      </c>
      <c r="H38">
        <f>IFERROR(IF(ISNUMBER(INDEX(SPPR!$E:$X,MATCH($A38,SPPR!$A:$A,0),5)),$C38*INDEX(SPPR!$E:$X,MATCH($A38,SPPR!$A:$A,0),5),""),"")</f>
        <v/>
      </c>
      <c r="I38">
        <f>IFERROR(IF(ISNUMBER(INDEX(SPPR!$E:$X,MATCH($A38,SPPR!$A:$A,0),6)),$C38*INDEX(SPPR!$E:$X,MATCH($A38,SPPR!$A:$A,0),6),""),"")</f>
        <v/>
      </c>
      <c r="J38">
        <f>IFERROR(IF(ISNUMBER(INDEX(SPPR!$E:$X,MATCH($A38,SPPR!$A:$A,0),7)),$C38*INDEX(SPPR!$E:$X,MATCH($A38,SPPR!$A:$A,0),7),""),"")</f>
        <v/>
      </c>
      <c r="K38">
        <f>IFERROR(IF(ISNUMBER(INDEX(SPPR!$E:$X,MATCH($A38,SPPR!$A:$A,0),8)),$C38*INDEX(SPPR!$E:$X,MATCH($A38,SPPR!$A:$A,0),8),""),"")</f>
        <v/>
      </c>
      <c r="L38">
        <f>IFERROR(IF(ISNUMBER(INDEX(SPPR!$E:$X,MATCH($A38,SPPR!$A:$A,0),9)),$C38*INDEX(SPPR!$E:$X,MATCH($A38,SPPR!$A:$A,0),9),""),"")</f>
        <v/>
      </c>
      <c r="M38">
        <f>IFERROR(IF(ISNUMBER(INDEX(SPPR!$E:$X,MATCH($A38,SPPR!$A:$A,0),10)),$C38*INDEX(SPPR!$E:$X,MATCH($A38,SPPR!$A:$A,0),10),""),"")</f>
        <v/>
      </c>
      <c r="N38">
        <f>IFERROR(IF(ISNUMBER(INDEX(SPPR!$E:$X,MATCH($A38,SPPR!$A:$A,0),11)),$C38*INDEX(SPPR!$E:$X,MATCH($A38,SPPR!$A:$A,0),11),""),"")</f>
        <v/>
      </c>
      <c r="O38">
        <f>IFERROR(IF(ISNUMBER(INDEX(SPPR!$E:$X,MATCH($A38,SPPR!$A:$A,0),12)),$C38*INDEX(SPPR!$E:$X,MATCH($A38,SPPR!$A:$A,0),12),""),"")</f>
        <v/>
      </c>
      <c r="P38">
        <f>IFERROR(IF(ISNUMBER(INDEX(SPPR!$E:$X,MATCH($A38,SPPR!$A:$A,0),13)),$C38*INDEX(SPPR!$E:$X,MATCH($A38,SPPR!$A:$A,0),13),""),"")</f>
        <v/>
      </c>
      <c r="Q38">
        <f>IFERROR(IF(ISNUMBER(INDEX(SPPR!$E:$X,MATCH($A38,SPPR!$A:$A,0),14)),$C38*INDEX(SPPR!$E:$X,MATCH($A38,SPPR!$A:$A,0),14),""),"")</f>
        <v/>
      </c>
      <c r="R38">
        <f>IFERROR(IF(ISNUMBER(INDEX(SPPR!$E:$X,MATCH($A38,SPPR!$A:$A,0),15)),$C38*INDEX(SPPR!$E:$X,MATCH($A38,SPPR!$A:$A,0),15),""),"")</f>
        <v/>
      </c>
      <c r="S38">
        <f>IFERROR(IF(ISNUMBER(INDEX(SPPR!$E:$X,MATCH($A38,SPPR!$A:$A,0),16)),$C38*INDEX(SPPR!$E:$X,MATCH($A38,SPPR!$A:$A,0),16),""),"")</f>
        <v/>
      </c>
      <c r="T38">
        <f>IFERROR(IF(ISNUMBER(INDEX(SPPR!$E:$X,MATCH($A38,SPPR!$A:$A,0),17)),$C38*INDEX(SPPR!$E:$X,MATCH($A38,SPPR!$A:$A,0),17),""),"")</f>
        <v/>
      </c>
      <c r="U38">
        <f>IFERROR(IF(ISNUMBER(INDEX(SPPR!$E:$X,MATCH($A38,SPPR!$A:$A,0),18)),$C38*INDEX(SPPR!$E:$X,MATCH($A38,SPPR!$A:$A,0),18),""),"")</f>
        <v/>
      </c>
      <c r="V38">
        <f>IFERROR(IF(ISNUMBER(INDEX(SPPR!$E:$X,MATCH($A38,SPPR!$A:$A,0),19)),$C38*INDEX(SPPR!$E:$X,MATCH($A38,SPPR!$A:$A,0),19),""),"")</f>
        <v/>
      </c>
      <c r="W38">
        <f>IFERROR(IF(ISNUMBER(INDEX(SPPR!$E:$X,MATCH($A38,SPPR!$A:$A,0),20)),$C38*INDEX(SPPR!$E:$X,MATCH($A38,SPPR!$A:$A,0),20),""),"")</f>
        <v/>
      </c>
    </row>
    <row r="39">
      <c r="A39" t="inlineStr">
        <is>
          <t>Engraulidae</t>
        </is>
      </c>
      <c r="B39">
        <f>IFERROR(INDEX(SPPR!$D:$D,MATCH($A39,SPPR!$A:$A,0)),"")</f>
        <v/>
      </c>
      <c r="C39">
        <f>IFERROR(INDEX(Catch!$E:$BV,MATCH($A39,Catch!$A:$A,0),MATCH($B$4,Catch!$E$1:$BV$1,0)),0)</f>
        <v/>
      </c>
      <c r="D39">
        <f>IFERROR(IF(ISNUMBER(INDEX(SPPR!$E:$X,MATCH($A39,SPPR!$A:$A,0),1)),$C39*INDEX(SPPR!$E:$X,MATCH($A39,SPPR!$A:$A,0),1),""),"")</f>
        <v/>
      </c>
      <c r="E39">
        <f>IFERROR(IF(ISNUMBER(INDEX(SPPR!$E:$X,MATCH($A39,SPPR!$A:$A,0),2)),$C39*INDEX(SPPR!$E:$X,MATCH($A39,SPPR!$A:$A,0),2),""),"")</f>
        <v/>
      </c>
      <c r="F39">
        <f>IFERROR(IF(ISNUMBER(INDEX(SPPR!$E:$X,MATCH($A39,SPPR!$A:$A,0),3)),$C39*INDEX(SPPR!$E:$X,MATCH($A39,SPPR!$A:$A,0),3),""),"")</f>
        <v/>
      </c>
      <c r="G39">
        <f>IFERROR(IF(ISNUMBER(INDEX(SPPR!$E:$X,MATCH($A39,SPPR!$A:$A,0),4)),$C39*INDEX(SPPR!$E:$X,MATCH($A39,SPPR!$A:$A,0),4),""),"")</f>
        <v/>
      </c>
      <c r="H39">
        <f>IFERROR(IF(ISNUMBER(INDEX(SPPR!$E:$X,MATCH($A39,SPPR!$A:$A,0),5)),$C39*INDEX(SPPR!$E:$X,MATCH($A39,SPPR!$A:$A,0),5),""),"")</f>
        <v/>
      </c>
      <c r="I39">
        <f>IFERROR(IF(ISNUMBER(INDEX(SPPR!$E:$X,MATCH($A39,SPPR!$A:$A,0),6)),$C39*INDEX(SPPR!$E:$X,MATCH($A39,SPPR!$A:$A,0),6),""),"")</f>
        <v/>
      </c>
      <c r="J39">
        <f>IFERROR(IF(ISNUMBER(INDEX(SPPR!$E:$X,MATCH($A39,SPPR!$A:$A,0),7)),$C39*INDEX(SPPR!$E:$X,MATCH($A39,SPPR!$A:$A,0),7),""),"")</f>
        <v/>
      </c>
      <c r="K39">
        <f>IFERROR(IF(ISNUMBER(INDEX(SPPR!$E:$X,MATCH($A39,SPPR!$A:$A,0),8)),$C39*INDEX(SPPR!$E:$X,MATCH($A39,SPPR!$A:$A,0),8),""),"")</f>
        <v/>
      </c>
      <c r="L39">
        <f>IFERROR(IF(ISNUMBER(INDEX(SPPR!$E:$X,MATCH($A39,SPPR!$A:$A,0),9)),$C39*INDEX(SPPR!$E:$X,MATCH($A39,SPPR!$A:$A,0),9),""),"")</f>
        <v/>
      </c>
      <c r="M39">
        <f>IFERROR(IF(ISNUMBER(INDEX(SPPR!$E:$X,MATCH($A39,SPPR!$A:$A,0),10)),$C39*INDEX(SPPR!$E:$X,MATCH($A39,SPPR!$A:$A,0),10),""),"")</f>
        <v/>
      </c>
      <c r="N39">
        <f>IFERROR(IF(ISNUMBER(INDEX(SPPR!$E:$X,MATCH($A39,SPPR!$A:$A,0),11)),$C39*INDEX(SPPR!$E:$X,MATCH($A39,SPPR!$A:$A,0),11),""),"")</f>
        <v/>
      </c>
      <c r="O39">
        <f>IFERROR(IF(ISNUMBER(INDEX(SPPR!$E:$X,MATCH($A39,SPPR!$A:$A,0),12)),$C39*INDEX(SPPR!$E:$X,MATCH($A39,SPPR!$A:$A,0),12),""),"")</f>
        <v/>
      </c>
      <c r="P39">
        <f>IFERROR(IF(ISNUMBER(INDEX(SPPR!$E:$X,MATCH($A39,SPPR!$A:$A,0),13)),$C39*INDEX(SPPR!$E:$X,MATCH($A39,SPPR!$A:$A,0),13),""),"")</f>
        <v/>
      </c>
      <c r="Q39">
        <f>IFERROR(IF(ISNUMBER(INDEX(SPPR!$E:$X,MATCH($A39,SPPR!$A:$A,0),14)),$C39*INDEX(SPPR!$E:$X,MATCH($A39,SPPR!$A:$A,0),14),""),"")</f>
        <v/>
      </c>
      <c r="R39">
        <f>IFERROR(IF(ISNUMBER(INDEX(SPPR!$E:$X,MATCH($A39,SPPR!$A:$A,0),15)),$C39*INDEX(SPPR!$E:$X,MATCH($A39,SPPR!$A:$A,0),15),""),"")</f>
        <v/>
      </c>
      <c r="S39">
        <f>IFERROR(IF(ISNUMBER(INDEX(SPPR!$E:$X,MATCH($A39,SPPR!$A:$A,0),16)),$C39*INDEX(SPPR!$E:$X,MATCH($A39,SPPR!$A:$A,0),16),""),"")</f>
        <v/>
      </c>
      <c r="T39">
        <f>IFERROR(IF(ISNUMBER(INDEX(SPPR!$E:$X,MATCH($A39,SPPR!$A:$A,0),17)),$C39*INDEX(SPPR!$E:$X,MATCH($A39,SPPR!$A:$A,0),17),""),"")</f>
        <v/>
      </c>
      <c r="U39">
        <f>IFERROR(IF(ISNUMBER(INDEX(SPPR!$E:$X,MATCH($A39,SPPR!$A:$A,0),18)),$C39*INDEX(SPPR!$E:$X,MATCH($A39,SPPR!$A:$A,0),18),""),"")</f>
        <v/>
      </c>
      <c r="V39">
        <f>IFERROR(IF(ISNUMBER(INDEX(SPPR!$E:$X,MATCH($A39,SPPR!$A:$A,0),19)),$C39*INDEX(SPPR!$E:$X,MATCH($A39,SPPR!$A:$A,0),19),""),"")</f>
        <v/>
      </c>
      <c r="W39">
        <f>IFERROR(IF(ISNUMBER(INDEX(SPPR!$E:$X,MATCH($A39,SPPR!$A:$A,0),20)),$C39*INDEX(SPPR!$E:$X,MATCH($A39,SPPR!$A:$A,0),20),""),"")</f>
        <v/>
      </c>
    </row>
    <row r="40">
      <c r="A40" t="inlineStr">
        <is>
          <t>Pampus</t>
        </is>
      </c>
      <c r="B40">
        <f>IFERROR(INDEX(SPPR!$D:$D,MATCH($A40,SPPR!$A:$A,0)),"")</f>
        <v/>
      </c>
      <c r="C40">
        <f>IFERROR(INDEX(Catch!$E:$BV,MATCH($A40,Catch!$A:$A,0),MATCH($B$4,Catch!$E$1:$BV$1,0)),0)</f>
        <v/>
      </c>
      <c r="D40">
        <f>IFERROR(IF(ISNUMBER(INDEX(SPPR!$E:$X,MATCH($A40,SPPR!$A:$A,0),1)),$C40*INDEX(SPPR!$E:$X,MATCH($A40,SPPR!$A:$A,0),1),""),"")</f>
        <v/>
      </c>
      <c r="E40">
        <f>IFERROR(IF(ISNUMBER(INDEX(SPPR!$E:$X,MATCH($A40,SPPR!$A:$A,0),2)),$C40*INDEX(SPPR!$E:$X,MATCH($A40,SPPR!$A:$A,0),2),""),"")</f>
        <v/>
      </c>
      <c r="F40">
        <f>IFERROR(IF(ISNUMBER(INDEX(SPPR!$E:$X,MATCH($A40,SPPR!$A:$A,0),3)),$C40*INDEX(SPPR!$E:$X,MATCH($A40,SPPR!$A:$A,0),3),""),"")</f>
        <v/>
      </c>
      <c r="G40">
        <f>IFERROR(IF(ISNUMBER(INDEX(SPPR!$E:$X,MATCH($A40,SPPR!$A:$A,0),4)),$C40*INDEX(SPPR!$E:$X,MATCH($A40,SPPR!$A:$A,0),4),""),"")</f>
        <v/>
      </c>
      <c r="H40">
        <f>IFERROR(IF(ISNUMBER(INDEX(SPPR!$E:$X,MATCH($A40,SPPR!$A:$A,0),5)),$C40*INDEX(SPPR!$E:$X,MATCH($A40,SPPR!$A:$A,0),5),""),"")</f>
        <v/>
      </c>
      <c r="I40">
        <f>IFERROR(IF(ISNUMBER(INDEX(SPPR!$E:$X,MATCH($A40,SPPR!$A:$A,0),6)),$C40*INDEX(SPPR!$E:$X,MATCH($A40,SPPR!$A:$A,0),6),""),"")</f>
        <v/>
      </c>
      <c r="J40">
        <f>IFERROR(IF(ISNUMBER(INDEX(SPPR!$E:$X,MATCH($A40,SPPR!$A:$A,0),7)),$C40*INDEX(SPPR!$E:$X,MATCH($A40,SPPR!$A:$A,0),7),""),"")</f>
        <v/>
      </c>
      <c r="K40">
        <f>IFERROR(IF(ISNUMBER(INDEX(SPPR!$E:$X,MATCH($A40,SPPR!$A:$A,0),8)),$C40*INDEX(SPPR!$E:$X,MATCH($A40,SPPR!$A:$A,0),8),""),"")</f>
        <v/>
      </c>
      <c r="L40">
        <f>IFERROR(IF(ISNUMBER(INDEX(SPPR!$E:$X,MATCH($A40,SPPR!$A:$A,0),9)),$C40*INDEX(SPPR!$E:$X,MATCH($A40,SPPR!$A:$A,0),9),""),"")</f>
        <v/>
      </c>
      <c r="M40">
        <f>IFERROR(IF(ISNUMBER(INDEX(SPPR!$E:$X,MATCH($A40,SPPR!$A:$A,0),10)),$C40*INDEX(SPPR!$E:$X,MATCH($A40,SPPR!$A:$A,0),10),""),"")</f>
        <v/>
      </c>
      <c r="N40">
        <f>IFERROR(IF(ISNUMBER(INDEX(SPPR!$E:$X,MATCH($A40,SPPR!$A:$A,0),11)),$C40*INDEX(SPPR!$E:$X,MATCH($A40,SPPR!$A:$A,0),11),""),"")</f>
        <v/>
      </c>
      <c r="O40">
        <f>IFERROR(IF(ISNUMBER(INDEX(SPPR!$E:$X,MATCH($A40,SPPR!$A:$A,0),12)),$C40*INDEX(SPPR!$E:$X,MATCH($A40,SPPR!$A:$A,0),12),""),"")</f>
        <v/>
      </c>
      <c r="P40">
        <f>IFERROR(IF(ISNUMBER(INDEX(SPPR!$E:$X,MATCH($A40,SPPR!$A:$A,0),13)),$C40*INDEX(SPPR!$E:$X,MATCH($A40,SPPR!$A:$A,0),13),""),"")</f>
        <v/>
      </c>
      <c r="Q40">
        <f>IFERROR(IF(ISNUMBER(INDEX(SPPR!$E:$X,MATCH($A40,SPPR!$A:$A,0),14)),$C40*INDEX(SPPR!$E:$X,MATCH($A40,SPPR!$A:$A,0),14),""),"")</f>
        <v/>
      </c>
      <c r="R40">
        <f>IFERROR(IF(ISNUMBER(INDEX(SPPR!$E:$X,MATCH($A40,SPPR!$A:$A,0),15)),$C40*INDEX(SPPR!$E:$X,MATCH($A40,SPPR!$A:$A,0),15),""),"")</f>
        <v/>
      </c>
      <c r="S40">
        <f>IFERROR(IF(ISNUMBER(INDEX(SPPR!$E:$X,MATCH($A40,SPPR!$A:$A,0),16)),$C40*INDEX(SPPR!$E:$X,MATCH($A40,SPPR!$A:$A,0),16),""),"")</f>
        <v/>
      </c>
      <c r="T40">
        <f>IFERROR(IF(ISNUMBER(INDEX(SPPR!$E:$X,MATCH($A40,SPPR!$A:$A,0),17)),$C40*INDEX(SPPR!$E:$X,MATCH($A40,SPPR!$A:$A,0),17),""),"")</f>
        <v/>
      </c>
      <c r="U40">
        <f>IFERROR(IF(ISNUMBER(INDEX(SPPR!$E:$X,MATCH($A40,SPPR!$A:$A,0),18)),$C40*INDEX(SPPR!$E:$X,MATCH($A40,SPPR!$A:$A,0),18),""),"")</f>
        <v/>
      </c>
      <c r="V40">
        <f>IFERROR(IF(ISNUMBER(INDEX(SPPR!$E:$X,MATCH($A40,SPPR!$A:$A,0),19)),$C40*INDEX(SPPR!$E:$X,MATCH($A40,SPPR!$A:$A,0),19),""),"")</f>
        <v/>
      </c>
      <c r="W40">
        <f>IFERROR(IF(ISNUMBER(INDEX(SPPR!$E:$X,MATCH($A40,SPPR!$A:$A,0),20)),$C40*INDEX(SPPR!$E:$X,MATCH($A40,SPPR!$A:$A,0),20),""),"")</f>
        <v/>
      </c>
    </row>
    <row r="41">
      <c r="A41" t="inlineStr">
        <is>
          <t>Nemipteridae</t>
        </is>
      </c>
      <c r="B41">
        <f>IFERROR(INDEX(SPPR!$D:$D,MATCH($A41,SPPR!$A:$A,0)),"")</f>
        <v/>
      </c>
      <c r="C41">
        <f>IFERROR(INDEX(Catch!$E:$BV,MATCH($A41,Catch!$A:$A,0),MATCH($B$4,Catch!$E$1:$BV$1,0)),0)</f>
        <v/>
      </c>
      <c r="D41">
        <f>IFERROR(IF(ISNUMBER(INDEX(SPPR!$E:$X,MATCH($A41,SPPR!$A:$A,0),1)),$C41*INDEX(SPPR!$E:$X,MATCH($A41,SPPR!$A:$A,0),1),""),"")</f>
        <v/>
      </c>
      <c r="E41">
        <f>IFERROR(IF(ISNUMBER(INDEX(SPPR!$E:$X,MATCH($A41,SPPR!$A:$A,0),2)),$C41*INDEX(SPPR!$E:$X,MATCH($A41,SPPR!$A:$A,0),2),""),"")</f>
        <v/>
      </c>
      <c r="F41">
        <f>IFERROR(IF(ISNUMBER(INDEX(SPPR!$E:$X,MATCH($A41,SPPR!$A:$A,0),3)),$C41*INDEX(SPPR!$E:$X,MATCH($A41,SPPR!$A:$A,0),3),""),"")</f>
        <v/>
      </c>
      <c r="G41">
        <f>IFERROR(IF(ISNUMBER(INDEX(SPPR!$E:$X,MATCH($A41,SPPR!$A:$A,0),4)),$C41*INDEX(SPPR!$E:$X,MATCH($A41,SPPR!$A:$A,0),4),""),"")</f>
        <v/>
      </c>
      <c r="H41">
        <f>IFERROR(IF(ISNUMBER(INDEX(SPPR!$E:$X,MATCH($A41,SPPR!$A:$A,0),5)),$C41*INDEX(SPPR!$E:$X,MATCH($A41,SPPR!$A:$A,0),5),""),"")</f>
        <v/>
      </c>
      <c r="I41">
        <f>IFERROR(IF(ISNUMBER(INDEX(SPPR!$E:$X,MATCH($A41,SPPR!$A:$A,0),6)),$C41*INDEX(SPPR!$E:$X,MATCH($A41,SPPR!$A:$A,0),6),""),"")</f>
        <v/>
      </c>
      <c r="J41">
        <f>IFERROR(IF(ISNUMBER(INDEX(SPPR!$E:$X,MATCH($A41,SPPR!$A:$A,0),7)),$C41*INDEX(SPPR!$E:$X,MATCH($A41,SPPR!$A:$A,0),7),""),"")</f>
        <v/>
      </c>
      <c r="K41">
        <f>IFERROR(IF(ISNUMBER(INDEX(SPPR!$E:$X,MATCH($A41,SPPR!$A:$A,0),8)),$C41*INDEX(SPPR!$E:$X,MATCH($A41,SPPR!$A:$A,0),8),""),"")</f>
        <v/>
      </c>
      <c r="L41">
        <f>IFERROR(IF(ISNUMBER(INDEX(SPPR!$E:$X,MATCH($A41,SPPR!$A:$A,0),9)),$C41*INDEX(SPPR!$E:$X,MATCH($A41,SPPR!$A:$A,0),9),""),"")</f>
        <v/>
      </c>
      <c r="M41">
        <f>IFERROR(IF(ISNUMBER(INDEX(SPPR!$E:$X,MATCH($A41,SPPR!$A:$A,0),10)),$C41*INDEX(SPPR!$E:$X,MATCH($A41,SPPR!$A:$A,0),10),""),"")</f>
        <v/>
      </c>
      <c r="N41">
        <f>IFERROR(IF(ISNUMBER(INDEX(SPPR!$E:$X,MATCH($A41,SPPR!$A:$A,0),11)),$C41*INDEX(SPPR!$E:$X,MATCH($A41,SPPR!$A:$A,0),11),""),"")</f>
        <v/>
      </c>
      <c r="O41">
        <f>IFERROR(IF(ISNUMBER(INDEX(SPPR!$E:$X,MATCH($A41,SPPR!$A:$A,0),12)),$C41*INDEX(SPPR!$E:$X,MATCH($A41,SPPR!$A:$A,0),12),""),"")</f>
        <v/>
      </c>
      <c r="P41">
        <f>IFERROR(IF(ISNUMBER(INDEX(SPPR!$E:$X,MATCH($A41,SPPR!$A:$A,0),13)),$C41*INDEX(SPPR!$E:$X,MATCH($A41,SPPR!$A:$A,0),13),""),"")</f>
        <v/>
      </c>
      <c r="Q41">
        <f>IFERROR(IF(ISNUMBER(INDEX(SPPR!$E:$X,MATCH($A41,SPPR!$A:$A,0),14)),$C41*INDEX(SPPR!$E:$X,MATCH($A41,SPPR!$A:$A,0),14),""),"")</f>
        <v/>
      </c>
      <c r="R41">
        <f>IFERROR(IF(ISNUMBER(INDEX(SPPR!$E:$X,MATCH($A41,SPPR!$A:$A,0),15)),$C41*INDEX(SPPR!$E:$X,MATCH($A41,SPPR!$A:$A,0),15),""),"")</f>
        <v/>
      </c>
      <c r="S41">
        <f>IFERROR(IF(ISNUMBER(INDEX(SPPR!$E:$X,MATCH($A41,SPPR!$A:$A,0),16)),$C41*INDEX(SPPR!$E:$X,MATCH($A41,SPPR!$A:$A,0),16),""),"")</f>
        <v/>
      </c>
      <c r="T41">
        <f>IFERROR(IF(ISNUMBER(INDEX(SPPR!$E:$X,MATCH($A41,SPPR!$A:$A,0),17)),$C41*INDEX(SPPR!$E:$X,MATCH($A41,SPPR!$A:$A,0),17),""),"")</f>
        <v/>
      </c>
      <c r="U41">
        <f>IFERROR(IF(ISNUMBER(INDEX(SPPR!$E:$X,MATCH($A41,SPPR!$A:$A,0),18)),$C41*INDEX(SPPR!$E:$X,MATCH($A41,SPPR!$A:$A,0),18),""),"")</f>
        <v/>
      </c>
      <c r="V41">
        <f>IFERROR(IF(ISNUMBER(INDEX(SPPR!$E:$X,MATCH($A41,SPPR!$A:$A,0),19)),$C41*INDEX(SPPR!$E:$X,MATCH($A41,SPPR!$A:$A,0),19),""),"")</f>
        <v/>
      </c>
      <c r="W41">
        <f>IFERROR(IF(ISNUMBER(INDEX(SPPR!$E:$X,MATCH($A41,SPPR!$A:$A,0),20)),$C41*INDEX(SPPR!$E:$X,MATCH($A41,SPPR!$A:$A,0),20),""),"")</f>
        <v/>
      </c>
    </row>
    <row r="42">
      <c r="A42" t="inlineStr">
        <is>
          <t>Sepiidae</t>
        </is>
      </c>
      <c r="B42">
        <f>IFERROR(INDEX(SPPR!$D:$D,MATCH($A42,SPPR!$A:$A,0)),"")</f>
        <v/>
      </c>
      <c r="C42">
        <f>IFERROR(INDEX(Catch!$E:$BV,MATCH($A42,Catch!$A:$A,0),MATCH($B$4,Catch!$E$1:$BV$1,0)),0)</f>
        <v/>
      </c>
      <c r="D42">
        <f>IFERROR(IF(ISNUMBER(INDEX(SPPR!$E:$X,MATCH($A42,SPPR!$A:$A,0),1)),$C42*INDEX(SPPR!$E:$X,MATCH($A42,SPPR!$A:$A,0),1),""),"")</f>
        <v/>
      </c>
      <c r="E42">
        <f>IFERROR(IF(ISNUMBER(INDEX(SPPR!$E:$X,MATCH($A42,SPPR!$A:$A,0),2)),$C42*INDEX(SPPR!$E:$X,MATCH($A42,SPPR!$A:$A,0),2),""),"")</f>
        <v/>
      </c>
      <c r="F42">
        <f>IFERROR(IF(ISNUMBER(INDEX(SPPR!$E:$X,MATCH($A42,SPPR!$A:$A,0),3)),$C42*INDEX(SPPR!$E:$X,MATCH($A42,SPPR!$A:$A,0),3),""),"")</f>
        <v/>
      </c>
      <c r="G42">
        <f>IFERROR(IF(ISNUMBER(INDEX(SPPR!$E:$X,MATCH($A42,SPPR!$A:$A,0),4)),$C42*INDEX(SPPR!$E:$X,MATCH($A42,SPPR!$A:$A,0),4),""),"")</f>
        <v/>
      </c>
      <c r="H42">
        <f>IFERROR(IF(ISNUMBER(INDEX(SPPR!$E:$X,MATCH($A42,SPPR!$A:$A,0),5)),$C42*INDEX(SPPR!$E:$X,MATCH($A42,SPPR!$A:$A,0),5),""),"")</f>
        <v/>
      </c>
      <c r="I42">
        <f>IFERROR(IF(ISNUMBER(INDEX(SPPR!$E:$X,MATCH($A42,SPPR!$A:$A,0),6)),$C42*INDEX(SPPR!$E:$X,MATCH($A42,SPPR!$A:$A,0),6),""),"")</f>
        <v/>
      </c>
      <c r="J42">
        <f>IFERROR(IF(ISNUMBER(INDEX(SPPR!$E:$X,MATCH($A42,SPPR!$A:$A,0),7)),$C42*INDEX(SPPR!$E:$X,MATCH($A42,SPPR!$A:$A,0),7),""),"")</f>
        <v/>
      </c>
      <c r="K42">
        <f>IFERROR(IF(ISNUMBER(INDEX(SPPR!$E:$X,MATCH($A42,SPPR!$A:$A,0),8)),$C42*INDEX(SPPR!$E:$X,MATCH($A42,SPPR!$A:$A,0),8),""),"")</f>
        <v/>
      </c>
      <c r="L42">
        <f>IFERROR(IF(ISNUMBER(INDEX(SPPR!$E:$X,MATCH($A42,SPPR!$A:$A,0),9)),$C42*INDEX(SPPR!$E:$X,MATCH($A42,SPPR!$A:$A,0),9),""),"")</f>
        <v/>
      </c>
      <c r="M42">
        <f>IFERROR(IF(ISNUMBER(INDEX(SPPR!$E:$X,MATCH($A42,SPPR!$A:$A,0),10)),$C42*INDEX(SPPR!$E:$X,MATCH($A42,SPPR!$A:$A,0),10),""),"")</f>
        <v/>
      </c>
      <c r="N42">
        <f>IFERROR(IF(ISNUMBER(INDEX(SPPR!$E:$X,MATCH($A42,SPPR!$A:$A,0),11)),$C42*INDEX(SPPR!$E:$X,MATCH($A42,SPPR!$A:$A,0),11),""),"")</f>
        <v/>
      </c>
      <c r="O42">
        <f>IFERROR(IF(ISNUMBER(INDEX(SPPR!$E:$X,MATCH($A42,SPPR!$A:$A,0),12)),$C42*INDEX(SPPR!$E:$X,MATCH($A42,SPPR!$A:$A,0),12),""),"")</f>
        <v/>
      </c>
      <c r="P42">
        <f>IFERROR(IF(ISNUMBER(INDEX(SPPR!$E:$X,MATCH($A42,SPPR!$A:$A,0),13)),$C42*INDEX(SPPR!$E:$X,MATCH($A42,SPPR!$A:$A,0),13),""),"")</f>
        <v/>
      </c>
      <c r="Q42">
        <f>IFERROR(IF(ISNUMBER(INDEX(SPPR!$E:$X,MATCH($A42,SPPR!$A:$A,0),14)),$C42*INDEX(SPPR!$E:$X,MATCH($A42,SPPR!$A:$A,0),14),""),"")</f>
        <v/>
      </c>
      <c r="R42">
        <f>IFERROR(IF(ISNUMBER(INDEX(SPPR!$E:$X,MATCH($A42,SPPR!$A:$A,0),15)),$C42*INDEX(SPPR!$E:$X,MATCH($A42,SPPR!$A:$A,0),15),""),"")</f>
        <v/>
      </c>
      <c r="S42">
        <f>IFERROR(IF(ISNUMBER(INDEX(SPPR!$E:$X,MATCH($A42,SPPR!$A:$A,0),16)),$C42*INDEX(SPPR!$E:$X,MATCH($A42,SPPR!$A:$A,0),16),""),"")</f>
        <v/>
      </c>
      <c r="T42">
        <f>IFERROR(IF(ISNUMBER(INDEX(SPPR!$E:$X,MATCH($A42,SPPR!$A:$A,0),17)),$C42*INDEX(SPPR!$E:$X,MATCH($A42,SPPR!$A:$A,0),17),""),"")</f>
        <v/>
      </c>
      <c r="U42">
        <f>IFERROR(IF(ISNUMBER(INDEX(SPPR!$E:$X,MATCH($A42,SPPR!$A:$A,0),18)),$C42*INDEX(SPPR!$E:$X,MATCH($A42,SPPR!$A:$A,0),18),""),"")</f>
        <v/>
      </c>
      <c r="V42">
        <f>IFERROR(IF(ISNUMBER(INDEX(SPPR!$E:$X,MATCH($A42,SPPR!$A:$A,0),19)),$C42*INDEX(SPPR!$E:$X,MATCH($A42,SPPR!$A:$A,0),19),""),"")</f>
        <v/>
      </c>
      <c r="W42">
        <f>IFERROR(IF(ISNUMBER(INDEX(SPPR!$E:$X,MATCH($A42,SPPR!$A:$A,0),20)),$C42*INDEX(SPPR!$E:$X,MATCH($A42,SPPR!$A:$A,0),20),""),"")</f>
        <v/>
      </c>
    </row>
    <row r="43">
      <c r="A43" t="inlineStr">
        <is>
          <t>Decapterus</t>
        </is>
      </c>
      <c r="B43">
        <f>IFERROR(INDEX(SPPR!$D:$D,MATCH($A43,SPPR!$A:$A,0)),"")</f>
        <v/>
      </c>
      <c r="C43">
        <f>IFERROR(INDEX(Catch!$E:$BV,MATCH($A43,Catch!$A:$A,0),MATCH($B$4,Catch!$E$1:$BV$1,0)),0)</f>
        <v/>
      </c>
      <c r="D43">
        <f>IFERROR(IF(ISNUMBER(INDEX(SPPR!$E:$X,MATCH($A43,SPPR!$A:$A,0),1)),$C43*INDEX(SPPR!$E:$X,MATCH($A43,SPPR!$A:$A,0),1),""),"")</f>
        <v/>
      </c>
      <c r="E43">
        <f>IFERROR(IF(ISNUMBER(INDEX(SPPR!$E:$X,MATCH($A43,SPPR!$A:$A,0),2)),$C43*INDEX(SPPR!$E:$X,MATCH($A43,SPPR!$A:$A,0),2),""),"")</f>
        <v/>
      </c>
      <c r="F43">
        <f>IFERROR(IF(ISNUMBER(INDEX(SPPR!$E:$X,MATCH($A43,SPPR!$A:$A,0),3)),$C43*INDEX(SPPR!$E:$X,MATCH($A43,SPPR!$A:$A,0),3),""),"")</f>
        <v/>
      </c>
      <c r="G43">
        <f>IFERROR(IF(ISNUMBER(INDEX(SPPR!$E:$X,MATCH($A43,SPPR!$A:$A,0),4)),$C43*INDEX(SPPR!$E:$X,MATCH($A43,SPPR!$A:$A,0),4),""),"")</f>
        <v/>
      </c>
      <c r="H43">
        <f>IFERROR(IF(ISNUMBER(INDEX(SPPR!$E:$X,MATCH($A43,SPPR!$A:$A,0),5)),$C43*INDEX(SPPR!$E:$X,MATCH($A43,SPPR!$A:$A,0),5),""),"")</f>
        <v/>
      </c>
      <c r="I43">
        <f>IFERROR(IF(ISNUMBER(INDEX(SPPR!$E:$X,MATCH($A43,SPPR!$A:$A,0),6)),$C43*INDEX(SPPR!$E:$X,MATCH($A43,SPPR!$A:$A,0),6),""),"")</f>
        <v/>
      </c>
      <c r="J43">
        <f>IFERROR(IF(ISNUMBER(INDEX(SPPR!$E:$X,MATCH($A43,SPPR!$A:$A,0),7)),$C43*INDEX(SPPR!$E:$X,MATCH($A43,SPPR!$A:$A,0),7),""),"")</f>
        <v/>
      </c>
      <c r="K43">
        <f>IFERROR(IF(ISNUMBER(INDEX(SPPR!$E:$X,MATCH($A43,SPPR!$A:$A,0),8)),$C43*INDEX(SPPR!$E:$X,MATCH($A43,SPPR!$A:$A,0),8),""),"")</f>
        <v/>
      </c>
      <c r="L43">
        <f>IFERROR(IF(ISNUMBER(INDEX(SPPR!$E:$X,MATCH($A43,SPPR!$A:$A,0),9)),$C43*INDEX(SPPR!$E:$X,MATCH($A43,SPPR!$A:$A,0),9),""),"")</f>
        <v/>
      </c>
      <c r="M43">
        <f>IFERROR(IF(ISNUMBER(INDEX(SPPR!$E:$X,MATCH($A43,SPPR!$A:$A,0),10)),$C43*INDEX(SPPR!$E:$X,MATCH($A43,SPPR!$A:$A,0),10),""),"")</f>
        <v/>
      </c>
      <c r="N43">
        <f>IFERROR(IF(ISNUMBER(INDEX(SPPR!$E:$X,MATCH($A43,SPPR!$A:$A,0),11)),$C43*INDEX(SPPR!$E:$X,MATCH($A43,SPPR!$A:$A,0),11),""),"")</f>
        <v/>
      </c>
      <c r="O43">
        <f>IFERROR(IF(ISNUMBER(INDEX(SPPR!$E:$X,MATCH($A43,SPPR!$A:$A,0),12)),$C43*INDEX(SPPR!$E:$X,MATCH($A43,SPPR!$A:$A,0),12),""),"")</f>
        <v/>
      </c>
      <c r="P43">
        <f>IFERROR(IF(ISNUMBER(INDEX(SPPR!$E:$X,MATCH($A43,SPPR!$A:$A,0),13)),$C43*INDEX(SPPR!$E:$X,MATCH($A43,SPPR!$A:$A,0),13),""),"")</f>
        <v/>
      </c>
      <c r="Q43">
        <f>IFERROR(IF(ISNUMBER(INDEX(SPPR!$E:$X,MATCH($A43,SPPR!$A:$A,0),14)),$C43*INDEX(SPPR!$E:$X,MATCH($A43,SPPR!$A:$A,0),14),""),"")</f>
        <v/>
      </c>
      <c r="R43">
        <f>IFERROR(IF(ISNUMBER(INDEX(SPPR!$E:$X,MATCH($A43,SPPR!$A:$A,0),15)),$C43*INDEX(SPPR!$E:$X,MATCH($A43,SPPR!$A:$A,0),15),""),"")</f>
        <v/>
      </c>
      <c r="S43">
        <f>IFERROR(IF(ISNUMBER(INDEX(SPPR!$E:$X,MATCH($A43,SPPR!$A:$A,0),16)),$C43*INDEX(SPPR!$E:$X,MATCH($A43,SPPR!$A:$A,0),16),""),"")</f>
        <v/>
      </c>
      <c r="T43">
        <f>IFERROR(IF(ISNUMBER(INDEX(SPPR!$E:$X,MATCH($A43,SPPR!$A:$A,0),17)),$C43*INDEX(SPPR!$E:$X,MATCH($A43,SPPR!$A:$A,0),17),""),"")</f>
        <v/>
      </c>
      <c r="U43">
        <f>IFERROR(IF(ISNUMBER(INDEX(SPPR!$E:$X,MATCH($A43,SPPR!$A:$A,0),18)),$C43*INDEX(SPPR!$E:$X,MATCH($A43,SPPR!$A:$A,0),18),""),"")</f>
        <v/>
      </c>
      <c r="V43">
        <f>IFERROR(IF(ISNUMBER(INDEX(SPPR!$E:$X,MATCH($A43,SPPR!$A:$A,0),19)),$C43*INDEX(SPPR!$E:$X,MATCH($A43,SPPR!$A:$A,0),19),""),"")</f>
        <v/>
      </c>
      <c r="W43">
        <f>IFERROR(IF(ISNUMBER(INDEX(SPPR!$E:$X,MATCH($A43,SPPR!$A:$A,0),20)),$C43*INDEX(SPPR!$E:$X,MATCH($A43,SPPR!$A:$A,0),20),""),"")</f>
        <v/>
      </c>
    </row>
    <row r="44">
      <c r="A44" t="inlineStr">
        <is>
          <t>Teuthida</t>
        </is>
      </c>
      <c r="B44">
        <f>IFERROR(INDEX(SPPR!$D:$D,MATCH($A44,SPPR!$A:$A,0)),"")</f>
        <v/>
      </c>
      <c r="C44">
        <f>IFERROR(INDEX(Catch!$E:$BV,MATCH($A44,Catch!$A:$A,0),MATCH($B$4,Catch!$E$1:$BV$1,0)),0)</f>
        <v/>
      </c>
      <c r="D44">
        <f>IFERROR(IF(ISNUMBER(INDEX(SPPR!$E:$X,MATCH($A44,SPPR!$A:$A,0),1)),$C44*INDEX(SPPR!$E:$X,MATCH($A44,SPPR!$A:$A,0),1),""),"")</f>
        <v/>
      </c>
      <c r="E44">
        <f>IFERROR(IF(ISNUMBER(INDEX(SPPR!$E:$X,MATCH($A44,SPPR!$A:$A,0),2)),$C44*INDEX(SPPR!$E:$X,MATCH($A44,SPPR!$A:$A,0),2),""),"")</f>
        <v/>
      </c>
      <c r="F44">
        <f>IFERROR(IF(ISNUMBER(INDEX(SPPR!$E:$X,MATCH($A44,SPPR!$A:$A,0),3)),$C44*INDEX(SPPR!$E:$X,MATCH($A44,SPPR!$A:$A,0),3),""),"")</f>
        <v/>
      </c>
      <c r="G44">
        <f>IFERROR(IF(ISNUMBER(INDEX(SPPR!$E:$X,MATCH($A44,SPPR!$A:$A,0),4)),$C44*INDEX(SPPR!$E:$X,MATCH($A44,SPPR!$A:$A,0),4),""),"")</f>
        <v/>
      </c>
      <c r="H44">
        <f>IFERROR(IF(ISNUMBER(INDEX(SPPR!$E:$X,MATCH($A44,SPPR!$A:$A,0),5)),$C44*INDEX(SPPR!$E:$X,MATCH($A44,SPPR!$A:$A,0),5),""),"")</f>
        <v/>
      </c>
      <c r="I44">
        <f>IFERROR(IF(ISNUMBER(INDEX(SPPR!$E:$X,MATCH($A44,SPPR!$A:$A,0),6)),$C44*INDEX(SPPR!$E:$X,MATCH($A44,SPPR!$A:$A,0),6),""),"")</f>
        <v/>
      </c>
      <c r="J44">
        <f>IFERROR(IF(ISNUMBER(INDEX(SPPR!$E:$X,MATCH($A44,SPPR!$A:$A,0),7)),$C44*INDEX(SPPR!$E:$X,MATCH($A44,SPPR!$A:$A,0),7),""),"")</f>
        <v/>
      </c>
      <c r="K44">
        <f>IFERROR(IF(ISNUMBER(INDEX(SPPR!$E:$X,MATCH($A44,SPPR!$A:$A,0),8)),$C44*INDEX(SPPR!$E:$X,MATCH($A44,SPPR!$A:$A,0),8),""),"")</f>
        <v/>
      </c>
      <c r="L44">
        <f>IFERROR(IF(ISNUMBER(INDEX(SPPR!$E:$X,MATCH($A44,SPPR!$A:$A,0),9)),$C44*INDEX(SPPR!$E:$X,MATCH($A44,SPPR!$A:$A,0),9),""),"")</f>
        <v/>
      </c>
      <c r="M44">
        <f>IFERROR(IF(ISNUMBER(INDEX(SPPR!$E:$X,MATCH($A44,SPPR!$A:$A,0),10)),$C44*INDEX(SPPR!$E:$X,MATCH($A44,SPPR!$A:$A,0),10),""),"")</f>
        <v/>
      </c>
      <c r="N44">
        <f>IFERROR(IF(ISNUMBER(INDEX(SPPR!$E:$X,MATCH($A44,SPPR!$A:$A,0),11)),$C44*INDEX(SPPR!$E:$X,MATCH($A44,SPPR!$A:$A,0),11),""),"")</f>
        <v/>
      </c>
      <c r="O44">
        <f>IFERROR(IF(ISNUMBER(INDEX(SPPR!$E:$X,MATCH($A44,SPPR!$A:$A,0),12)),$C44*INDEX(SPPR!$E:$X,MATCH($A44,SPPR!$A:$A,0),12),""),"")</f>
        <v/>
      </c>
      <c r="P44">
        <f>IFERROR(IF(ISNUMBER(INDEX(SPPR!$E:$X,MATCH($A44,SPPR!$A:$A,0),13)),$C44*INDEX(SPPR!$E:$X,MATCH($A44,SPPR!$A:$A,0),13),""),"")</f>
        <v/>
      </c>
      <c r="Q44">
        <f>IFERROR(IF(ISNUMBER(INDEX(SPPR!$E:$X,MATCH($A44,SPPR!$A:$A,0),14)),$C44*INDEX(SPPR!$E:$X,MATCH($A44,SPPR!$A:$A,0),14),""),"")</f>
        <v/>
      </c>
      <c r="R44">
        <f>IFERROR(IF(ISNUMBER(INDEX(SPPR!$E:$X,MATCH($A44,SPPR!$A:$A,0),15)),$C44*INDEX(SPPR!$E:$X,MATCH($A44,SPPR!$A:$A,0),15),""),"")</f>
        <v/>
      </c>
      <c r="S44">
        <f>IFERROR(IF(ISNUMBER(INDEX(SPPR!$E:$X,MATCH($A44,SPPR!$A:$A,0),16)),$C44*INDEX(SPPR!$E:$X,MATCH($A44,SPPR!$A:$A,0),16),""),"")</f>
        <v/>
      </c>
      <c r="T44">
        <f>IFERROR(IF(ISNUMBER(INDEX(SPPR!$E:$X,MATCH($A44,SPPR!$A:$A,0),17)),$C44*INDEX(SPPR!$E:$X,MATCH($A44,SPPR!$A:$A,0),17),""),"")</f>
        <v/>
      </c>
      <c r="U44">
        <f>IFERROR(IF(ISNUMBER(INDEX(SPPR!$E:$X,MATCH($A44,SPPR!$A:$A,0),18)),$C44*INDEX(SPPR!$E:$X,MATCH($A44,SPPR!$A:$A,0),18),""),"")</f>
        <v/>
      </c>
      <c r="V44">
        <f>IFERROR(IF(ISNUMBER(INDEX(SPPR!$E:$X,MATCH($A44,SPPR!$A:$A,0),19)),$C44*INDEX(SPPR!$E:$X,MATCH($A44,SPPR!$A:$A,0),19),""),"")</f>
        <v/>
      </c>
      <c r="W44">
        <f>IFERROR(IF(ISNUMBER(INDEX(SPPR!$E:$X,MATCH($A44,SPPR!$A:$A,0),20)),$C44*INDEX(SPPR!$E:$X,MATCH($A44,SPPR!$A:$A,0),20),""),"")</f>
        <v/>
      </c>
    </row>
    <row r="45">
      <c r="A45" t="inlineStr">
        <is>
          <t>Saurida tumbil</t>
        </is>
      </c>
      <c r="B45">
        <f>IFERROR(INDEX(SPPR!$D:$D,MATCH($A45,SPPR!$A:$A,0)),"")</f>
        <v/>
      </c>
      <c r="C45">
        <f>IFERROR(INDEX(Catch!$E:$BV,MATCH($A45,Catch!$A:$A,0),MATCH($B$4,Catch!$E$1:$BV$1,0)),0)</f>
        <v/>
      </c>
      <c r="D45">
        <f>IFERROR(IF(ISNUMBER(INDEX(SPPR!$E:$X,MATCH($A45,SPPR!$A:$A,0),1)),$C45*INDEX(SPPR!$E:$X,MATCH($A45,SPPR!$A:$A,0),1),""),"")</f>
        <v/>
      </c>
      <c r="E45">
        <f>IFERROR(IF(ISNUMBER(INDEX(SPPR!$E:$X,MATCH($A45,SPPR!$A:$A,0),2)),$C45*INDEX(SPPR!$E:$X,MATCH($A45,SPPR!$A:$A,0),2),""),"")</f>
        <v/>
      </c>
      <c r="F45">
        <f>IFERROR(IF(ISNUMBER(INDEX(SPPR!$E:$X,MATCH($A45,SPPR!$A:$A,0),3)),$C45*INDEX(SPPR!$E:$X,MATCH($A45,SPPR!$A:$A,0),3),""),"")</f>
        <v/>
      </c>
      <c r="G45">
        <f>IFERROR(IF(ISNUMBER(INDEX(SPPR!$E:$X,MATCH($A45,SPPR!$A:$A,0),4)),$C45*INDEX(SPPR!$E:$X,MATCH($A45,SPPR!$A:$A,0),4),""),"")</f>
        <v/>
      </c>
      <c r="H45">
        <f>IFERROR(IF(ISNUMBER(INDEX(SPPR!$E:$X,MATCH($A45,SPPR!$A:$A,0),5)),$C45*INDEX(SPPR!$E:$X,MATCH($A45,SPPR!$A:$A,0),5),""),"")</f>
        <v/>
      </c>
      <c r="I45">
        <f>IFERROR(IF(ISNUMBER(INDEX(SPPR!$E:$X,MATCH($A45,SPPR!$A:$A,0),6)),$C45*INDEX(SPPR!$E:$X,MATCH($A45,SPPR!$A:$A,0),6),""),"")</f>
        <v/>
      </c>
      <c r="J45">
        <f>IFERROR(IF(ISNUMBER(INDEX(SPPR!$E:$X,MATCH($A45,SPPR!$A:$A,0),7)),$C45*INDEX(SPPR!$E:$X,MATCH($A45,SPPR!$A:$A,0),7),""),"")</f>
        <v/>
      </c>
      <c r="K45">
        <f>IFERROR(IF(ISNUMBER(INDEX(SPPR!$E:$X,MATCH($A45,SPPR!$A:$A,0),8)),$C45*INDEX(SPPR!$E:$X,MATCH($A45,SPPR!$A:$A,0),8),""),"")</f>
        <v/>
      </c>
      <c r="L45">
        <f>IFERROR(IF(ISNUMBER(INDEX(SPPR!$E:$X,MATCH($A45,SPPR!$A:$A,0),9)),$C45*INDEX(SPPR!$E:$X,MATCH($A45,SPPR!$A:$A,0),9),""),"")</f>
        <v/>
      </c>
      <c r="M45">
        <f>IFERROR(IF(ISNUMBER(INDEX(SPPR!$E:$X,MATCH($A45,SPPR!$A:$A,0),10)),$C45*INDEX(SPPR!$E:$X,MATCH($A45,SPPR!$A:$A,0),10),""),"")</f>
        <v/>
      </c>
      <c r="N45">
        <f>IFERROR(IF(ISNUMBER(INDEX(SPPR!$E:$X,MATCH($A45,SPPR!$A:$A,0),11)),$C45*INDEX(SPPR!$E:$X,MATCH($A45,SPPR!$A:$A,0),11),""),"")</f>
        <v/>
      </c>
      <c r="O45">
        <f>IFERROR(IF(ISNUMBER(INDEX(SPPR!$E:$X,MATCH($A45,SPPR!$A:$A,0),12)),$C45*INDEX(SPPR!$E:$X,MATCH($A45,SPPR!$A:$A,0),12),""),"")</f>
        <v/>
      </c>
      <c r="P45">
        <f>IFERROR(IF(ISNUMBER(INDEX(SPPR!$E:$X,MATCH($A45,SPPR!$A:$A,0),13)),$C45*INDEX(SPPR!$E:$X,MATCH($A45,SPPR!$A:$A,0),13),""),"")</f>
        <v/>
      </c>
      <c r="Q45">
        <f>IFERROR(IF(ISNUMBER(INDEX(SPPR!$E:$X,MATCH($A45,SPPR!$A:$A,0),14)),$C45*INDEX(SPPR!$E:$X,MATCH($A45,SPPR!$A:$A,0),14),""),"")</f>
        <v/>
      </c>
      <c r="R45">
        <f>IFERROR(IF(ISNUMBER(INDEX(SPPR!$E:$X,MATCH($A45,SPPR!$A:$A,0),15)),$C45*INDEX(SPPR!$E:$X,MATCH($A45,SPPR!$A:$A,0),15),""),"")</f>
        <v/>
      </c>
      <c r="S45">
        <f>IFERROR(IF(ISNUMBER(INDEX(SPPR!$E:$X,MATCH($A45,SPPR!$A:$A,0),16)),$C45*INDEX(SPPR!$E:$X,MATCH($A45,SPPR!$A:$A,0),16),""),"")</f>
        <v/>
      </c>
      <c r="T45">
        <f>IFERROR(IF(ISNUMBER(INDEX(SPPR!$E:$X,MATCH($A45,SPPR!$A:$A,0),17)),$C45*INDEX(SPPR!$E:$X,MATCH($A45,SPPR!$A:$A,0),17),""),"")</f>
        <v/>
      </c>
      <c r="U45">
        <f>IFERROR(IF(ISNUMBER(INDEX(SPPR!$E:$X,MATCH($A45,SPPR!$A:$A,0),18)),$C45*INDEX(SPPR!$E:$X,MATCH($A45,SPPR!$A:$A,0),18),""),"")</f>
        <v/>
      </c>
      <c r="V45">
        <f>IFERROR(IF(ISNUMBER(INDEX(SPPR!$E:$X,MATCH($A45,SPPR!$A:$A,0),19)),$C45*INDEX(SPPR!$E:$X,MATCH($A45,SPPR!$A:$A,0),19),""),"")</f>
        <v/>
      </c>
      <c r="W45">
        <f>IFERROR(IF(ISNUMBER(INDEX(SPPR!$E:$X,MATCH($A45,SPPR!$A:$A,0),20)),$C45*INDEX(SPPR!$E:$X,MATCH($A45,SPPR!$A:$A,0),20),""),"")</f>
        <v/>
      </c>
    </row>
    <row r="46">
      <c r="A46" t="inlineStr">
        <is>
          <t>Scombroidei</t>
        </is>
      </c>
      <c r="B46">
        <f>IFERROR(INDEX(SPPR!$D:$D,MATCH($A46,SPPR!$A:$A,0)),"")</f>
        <v/>
      </c>
      <c r="C46">
        <f>IFERROR(INDEX(Catch!$E:$BV,MATCH($A46,Catch!$A:$A,0),MATCH($B$4,Catch!$E$1:$BV$1,0)),0)</f>
        <v/>
      </c>
      <c r="D46">
        <f>IFERROR(IF(ISNUMBER(INDEX(SPPR!$E:$X,MATCH($A46,SPPR!$A:$A,0),1)),$C46*INDEX(SPPR!$E:$X,MATCH($A46,SPPR!$A:$A,0),1),""),"")</f>
        <v/>
      </c>
      <c r="E46">
        <f>IFERROR(IF(ISNUMBER(INDEX(SPPR!$E:$X,MATCH($A46,SPPR!$A:$A,0),2)),$C46*INDEX(SPPR!$E:$X,MATCH($A46,SPPR!$A:$A,0),2),""),"")</f>
        <v/>
      </c>
      <c r="F46">
        <f>IFERROR(IF(ISNUMBER(INDEX(SPPR!$E:$X,MATCH($A46,SPPR!$A:$A,0),3)),$C46*INDEX(SPPR!$E:$X,MATCH($A46,SPPR!$A:$A,0),3),""),"")</f>
        <v/>
      </c>
      <c r="G46">
        <f>IFERROR(IF(ISNUMBER(INDEX(SPPR!$E:$X,MATCH($A46,SPPR!$A:$A,0),4)),$C46*INDEX(SPPR!$E:$X,MATCH($A46,SPPR!$A:$A,0),4),""),"")</f>
        <v/>
      </c>
      <c r="H46">
        <f>IFERROR(IF(ISNUMBER(INDEX(SPPR!$E:$X,MATCH($A46,SPPR!$A:$A,0),5)),$C46*INDEX(SPPR!$E:$X,MATCH($A46,SPPR!$A:$A,0),5),""),"")</f>
        <v/>
      </c>
      <c r="I46">
        <f>IFERROR(IF(ISNUMBER(INDEX(SPPR!$E:$X,MATCH($A46,SPPR!$A:$A,0),6)),$C46*INDEX(SPPR!$E:$X,MATCH($A46,SPPR!$A:$A,0),6),""),"")</f>
        <v/>
      </c>
      <c r="J46">
        <f>IFERROR(IF(ISNUMBER(INDEX(SPPR!$E:$X,MATCH($A46,SPPR!$A:$A,0),7)),$C46*INDEX(SPPR!$E:$X,MATCH($A46,SPPR!$A:$A,0),7),""),"")</f>
        <v/>
      </c>
      <c r="K46">
        <f>IFERROR(IF(ISNUMBER(INDEX(SPPR!$E:$X,MATCH($A46,SPPR!$A:$A,0),8)),$C46*INDEX(SPPR!$E:$X,MATCH($A46,SPPR!$A:$A,0),8),""),"")</f>
        <v/>
      </c>
      <c r="L46">
        <f>IFERROR(IF(ISNUMBER(INDEX(SPPR!$E:$X,MATCH($A46,SPPR!$A:$A,0),9)),$C46*INDEX(SPPR!$E:$X,MATCH($A46,SPPR!$A:$A,0),9),""),"")</f>
        <v/>
      </c>
      <c r="M46">
        <f>IFERROR(IF(ISNUMBER(INDEX(SPPR!$E:$X,MATCH($A46,SPPR!$A:$A,0),10)),$C46*INDEX(SPPR!$E:$X,MATCH($A46,SPPR!$A:$A,0),10),""),"")</f>
        <v/>
      </c>
      <c r="N46">
        <f>IFERROR(IF(ISNUMBER(INDEX(SPPR!$E:$X,MATCH($A46,SPPR!$A:$A,0),11)),$C46*INDEX(SPPR!$E:$X,MATCH($A46,SPPR!$A:$A,0),11),""),"")</f>
        <v/>
      </c>
      <c r="O46">
        <f>IFERROR(IF(ISNUMBER(INDEX(SPPR!$E:$X,MATCH($A46,SPPR!$A:$A,0),12)),$C46*INDEX(SPPR!$E:$X,MATCH($A46,SPPR!$A:$A,0),12),""),"")</f>
        <v/>
      </c>
      <c r="P46">
        <f>IFERROR(IF(ISNUMBER(INDEX(SPPR!$E:$X,MATCH($A46,SPPR!$A:$A,0),13)),$C46*INDEX(SPPR!$E:$X,MATCH($A46,SPPR!$A:$A,0),13),""),"")</f>
        <v/>
      </c>
      <c r="Q46">
        <f>IFERROR(IF(ISNUMBER(INDEX(SPPR!$E:$X,MATCH($A46,SPPR!$A:$A,0),14)),$C46*INDEX(SPPR!$E:$X,MATCH($A46,SPPR!$A:$A,0),14),""),"")</f>
        <v/>
      </c>
      <c r="R46">
        <f>IFERROR(IF(ISNUMBER(INDEX(SPPR!$E:$X,MATCH($A46,SPPR!$A:$A,0),15)),$C46*INDEX(SPPR!$E:$X,MATCH($A46,SPPR!$A:$A,0),15),""),"")</f>
        <v/>
      </c>
      <c r="S46">
        <f>IFERROR(IF(ISNUMBER(INDEX(SPPR!$E:$X,MATCH($A46,SPPR!$A:$A,0),16)),$C46*INDEX(SPPR!$E:$X,MATCH($A46,SPPR!$A:$A,0),16),""),"")</f>
        <v/>
      </c>
      <c r="T46">
        <f>IFERROR(IF(ISNUMBER(INDEX(SPPR!$E:$X,MATCH($A46,SPPR!$A:$A,0),17)),$C46*INDEX(SPPR!$E:$X,MATCH($A46,SPPR!$A:$A,0),17),""),"")</f>
        <v/>
      </c>
      <c r="U46">
        <f>IFERROR(IF(ISNUMBER(INDEX(SPPR!$E:$X,MATCH($A46,SPPR!$A:$A,0),18)),$C46*INDEX(SPPR!$E:$X,MATCH($A46,SPPR!$A:$A,0),18),""),"")</f>
        <v/>
      </c>
      <c r="V46">
        <f>IFERROR(IF(ISNUMBER(INDEX(SPPR!$E:$X,MATCH($A46,SPPR!$A:$A,0),19)),$C46*INDEX(SPPR!$E:$X,MATCH($A46,SPPR!$A:$A,0),19),""),"")</f>
        <v/>
      </c>
      <c r="W46">
        <f>IFERROR(IF(ISNUMBER(INDEX(SPPR!$E:$X,MATCH($A46,SPPR!$A:$A,0),20)),$C46*INDEX(SPPR!$E:$X,MATCH($A46,SPPR!$A:$A,0),20),""),"")</f>
        <v/>
      </c>
    </row>
    <row r="47">
      <c r="A47" t="inlineStr">
        <is>
          <t>Decapoda</t>
        </is>
      </c>
      <c r="B47">
        <f>IFERROR(INDEX(SPPR!$D:$D,MATCH($A47,SPPR!$A:$A,0)),"")</f>
        <v/>
      </c>
      <c r="C47">
        <f>IFERROR(INDEX(Catch!$E:$BV,MATCH($A47,Catch!$A:$A,0),MATCH($B$4,Catch!$E$1:$BV$1,0)),0)</f>
        <v/>
      </c>
      <c r="D47">
        <f>IFERROR(IF(ISNUMBER(INDEX(SPPR!$E:$X,MATCH($A47,SPPR!$A:$A,0),1)),$C47*INDEX(SPPR!$E:$X,MATCH($A47,SPPR!$A:$A,0),1),""),"")</f>
        <v/>
      </c>
      <c r="E47">
        <f>IFERROR(IF(ISNUMBER(INDEX(SPPR!$E:$X,MATCH($A47,SPPR!$A:$A,0),2)),$C47*INDEX(SPPR!$E:$X,MATCH($A47,SPPR!$A:$A,0),2),""),"")</f>
        <v/>
      </c>
      <c r="F47">
        <f>IFERROR(IF(ISNUMBER(INDEX(SPPR!$E:$X,MATCH($A47,SPPR!$A:$A,0),3)),$C47*INDEX(SPPR!$E:$X,MATCH($A47,SPPR!$A:$A,0),3),""),"")</f>
        <v/>
      </c>
      <c r="G47">
        <f>IFERROR(IF(ISNUMBER(INDEX(SPPR!$E:$X,MATCH($A47,SPPR!$A:$A,0),4)),$C47*INDEX(SPPR!$E:$X,MATCH($A47,SPPR!$A:$A,0),4),""),"")</f>
        <v/>
      </c>
      <c r="H47">
        <f>IFERROR(IF(ISNUMBER(INDEX(SPPR!$E:$X,MATCH($A47,SPPR!$A:$A,0),5)),$C47*INDEX(SPPR!$E:$X,MATCH($A47,SPPR!$A:$A,0),5),""),"")</f>
        <v/>
      </c>
      <c r="I47">
        <f>IFERROR(IF(ISNUMBER(INDEX(SPPR!$E:$X,MATCH($A47,SPPR!$A:$A,0),6)),$C47*INDEX(SPPR!$E:$X,MATCH($A47,SPPR!$A:$A,0),6),""),"")</f>
        <v/>
      </c>
      <c r="J47">
        <f>IFERROR(IF(ISNUMBER(INDEX(SPPR!$E:$X,MATCH($A47,SPPR!$A:$A,0),7)),$C47*INDEX(SPPR!$E:$X,MATCH($A47,SPPR!$A:$A,0),7),""),"")</f>
        <v/>
      </c>
      <c r="K47">
        <f>IFERROR(IF(ISNUMBER(INDEX(SPPR!$E:$X,MATCH($A47,SPPR!$A:$A,0),8)),$C47*INDEX(SPPR!$E:$X,MATCH($A47,SPPR!$A:$A,0),8),""),"")</f>
        <v/>
      </c>
      <c r="L47">
        <f>IFERROR(IF(ISNUMBER(INDEX(SPPR!$E:$X,MATCH($A47,SPPR!$A:$A,0),9)),$C47*INDEX(SPPR!$E:$X,MATCH($A47,SPPR!$A:$A,0),9),""),"")</f>
        <v/>
      </c>
      <c r="M47">
        <f>IFERROR(IF(ISNUMBER(INDEX(SPPR!$E:$X,MATCH($A47,SPPR!$A:$A,0),10)),$C47*INDEX(SPPR!$E:$X,MATCH($A47,SPPR!$A:$A,0),10),""),"")</f>
        <v/>
      </c>
      <c r="N47">
        <f>IFERROR(IF(ISNUMBER(INDEX(SPPR!$E:$X,MATCH($A47,SPPR!$A:$A,0),11)),$C47*INDEX(SPPR!$E:$X,MATCH($A47,SPPR!$A:$A,0),11),""),"")</f>
        <v/>
      </c>
      <c r="O47">
        <f>IFERROR(IF(ISNUMBER(INDEX(SPPR!$E:$X,MATCH($A47,SPPR!$A:$A,0),12)),$C47*INDEX(SPPR!$E:$X,MATCH($A47,SPPR!$A:$A,0),12),""),"")</f>
        <v/>
      </c>
      <c r="P47">
        <f>IFERROR(IF(ISNUMBER(INDEX(SPPR!$E:$X,MATCH($A47,SPPR!$A:$A,0),13)),$C47*INDEX(SPPR!$E:$X,MATCH($A47,SPPR!$A:$A,0),13),""),"")</f>
        <v/>
      </c>
      <c r="Q47">
        <f>IFERROR(IF(ISNUMBER(INDEX(SPPR!$E:$X,MATCH($A47,SPPR!$A:$A,0),14)),$C47*INDEX(SPPR!$E:$X,MATCH($A47,SPPR!$A:$A,0),14),""),"")</f>
        <v/>
      </c>
      <c r="R47">
        <f>IFERROR(IF(ISNUMBER(INDEX(SPPR!$E:$X,MATCH($A47,SPPR!$A:$A,0),15)),$C47*INDEX(SPPR!$E:$X,MATCH($A47,SPPR!$A:$A,0),15),""),"")</f>
        <v/>
      </c>
      <c r="S47">
        <f>IFERROR(IF(ISNUMBER(INDEX(SPPR!$E:$X,MATCH($A47,SPPR!$A:$A,0),16)),$C47*INDEX(SPPR!$E:$X,MATCH($A47,SPPR!$A:$A,0),16),""),"")</f>
        <v/>
      </c>
      <c r="T47">
        <f>IFERROR(IF(ISNUMBER(INDEX(SPPR!$E:$X,MATCH($A47,SPPR!$A:$A,0),17)),$C47*INDEX(SPPR!$E:$X,MATCH($A47,SPPR!$A:$A,0),17),""),"")</f>
        <v/>
      </c>
      <c r="U47">
        <f>IFERROR(IF(ISNUMBER(INDEX(SPPR!$E:$X,MATCH($A47,SPPR!$A:$A,0),18)),$C47*INDEX(SPPR!$E:$X,MATCH($A47,SPPR!$A:$A,0),18),""),"")</f>
        <v/>
      </c>
      <c r="V47">
        <f>IFERROR(IF(ISNUMBER(INDEX(SPPR!$E:$X,MATCH($A47,SPPR!$A:$A,0),19)),$C47*INDEX(SPPR!$E:$X,MATCH($A47,SPPR!$A:$A,0),19),""),"")</f>
        <v/>
      </c>
      <c r="W47">
        <f>IFERROR(IF(ISNUMBER(INDEX(SPPR!$E:$X,MATCH($A47,SPPR!$A:$A,0),20)),$C47*INDEX(SPPR!$E:$X,MATCH($A47,SPPR!$A:$A,0),20),""),"")</f>
        <v/>
      </c>
    </row>
    <row r="48">
      <c r="A48" t="inlineStr">
        <is>
          <t>Auxis thazard</t>
        </is>
      </c>
      <c r="B48">
        <f>IFERROR(INDEX(SPPR!$D:$D,MATCH($A48,SPPR!$A:$A,0)),"")</f>
        <v/>
      </c>
      <c r="C48">
        <f>IFERROR(INDEX(Catch!$E:$BV,MATCH($A48,Catch!$A:$A,0),MATCH($B$4,Catch!$E$1:$BV$1,0)),0)</f>
        <v/>
      </c>
      <c r="D48">
        <f>IFERROR(IF(ISNUMBER(INDEX(SPPR!$E:$X,MATCH($A48,SPPR!$A:$A,0),1)),$C48*INDEX(SPPR!$E:$X,MATCH($A48,SPPR!$A:$A,0),1),""),"")</f>
        <v/>
      </c>
      <c r="E48">
        <f>IFERROR(IF(ISNUMBER(INDEX(SPPR!$E:$X,MATCH($A48,SPPR!$A:$A,0),2)),$C48*INDEX(SPPR!$E:$X,MATCH($A48,SPPR!$A:$A,0),2),""),"")</f>
        <v/>
      </c>
      <c r="F48">
        <f>IFERROR(IF(ISNUMBER(INDEX(SPPR!$E:$X,MATCH($A48,SPPR!$A:$A,0),3)),$C48*INDEX(SPPR!$E:$X,MATCH($A48,SPPR!$A:$A,0),3),""),"")</f>
        <v/>
      </c>
      <c r="G48">
        <f>IFERROR(IF(ISNUMBER(INDEX(SPPR!$E:$X,MATCH($A48,SPPR!$A:$A,0),4)),$C48*INDEX(SPPR!$E:$X,MATCH($A48,SPPR!$A:$A,0),4),""),"")</f>
        <v/>
      </c>
      <c r="H48">
        <f>IFERROR(IF(ISNUMBER(INDEX(SPPR!$E:$X,MATCH($A48,SPPR!$A:$A,0),5)),$C48*INDEX(SPPR!$E:$X,MATCH($A48,SPPR!$A:$A,0),5),""),"")</f>
        <v/>
      </c>
      <c r="I48">
        <f>IFERROR(IF(ISNUMBER(INDEX(SPPR!$E:$X,MATCH($A48,SPPR!$A:$A,0),6)),$C48*INDEX(SPPR!$E:$X,MATCH($A48,SPPR!$A:$A,0),6),""),"")</f>
        <v/>
      </c>
      <c r="J48">
        <f>IFERROR(IF(ISNUMBER(INDEX(SPPR!$E:$X,MATCH($A48,SPPR!$A:$A,0),7)),$C48*INDEX(SPPR!$E:$X,MATCH($A48,SPPR!$A:$A,0),7),""),"")</f>
        <v/>
      </c>
      <c r="K48">
        <f>IFERROR(IF(ISNUMBER(INDEX(SPPR!$E:$X,MATCH($A48,SPPR!$A:$A,0),8)),$C48*INDEX(SPPR!$E:$X,MATCH($A48,SPPR!$A:$A,0),8),""),"")</f>
        <v/>
      </c>
      <c r="L48">
        <f>IFERROR(IF(ISNUMBER(INDEX(SPPR!$E:$X,MATCH($A48,SPPR!$A:$A,0),9)),$C48*INDEX(SPPR!$E:$X,MATCH($A48,SPPR!$A:$A,0),9),""),"")</f>
        <v/>
      </c>
      <c r="M48">
        <f>IFERROR(IF(ISNUMBER(INDEX(SPPR!$E:$X,MATCH($A48,SPPR!$A:$A,0),10)),$C48*INDEX(SPPR!$E:$X,MATCH($A48,SPPR!$A:$A,0),10),""),"")</f>
        <v/>
      </c>
      <c r="N48">
        <f>IFERROR(IF(ISNUMBER(INDEX(SPPR!$E:$X,MATCH($A48,SPPR!$A:$A,0),11)),$C48*INDEX(SPPR!$E:$X,MATCH($A48,SPPR!$A:$A,0),11),""),"")</f>
        <v/>
      </c>
      <c r="O48">
        <f>IFERROR(IF(ISNUMBER(INDEX(SPPR!$E:$X,MATCH($A48,SPPR!$A:$A,0),12)),$C48*INDEX(SPPR!$E:$X,MATCH($A48,SPPR!$A:$A,0),12),""),"")</f>
        <v/>
      </c>
      <c r="P48">
        <f>IFERROR(IF(ISNUMBER(INDEX(SPPR!$E:$X,MATCH($A48,SPPR!$A:$A,0),13)),$C48*INDEX(SPPR!$E:$X,MATCH($A48,SPPR!$A:$A,0),13),""),"")</f>
        <v/>
      </c>
      <c r="Q48">
        <f>IFERROR(IF(ISNUMBER(INDEX(SPPR!$E:$X,MATCH($A48,SPPR!$A:$A,0),14)),$C48*INDEX(SPPR!$E:$X,MATCH($A48,SPPR!$A:$A,0),14),""),"")</f>
        <v/>
      </c>
      <c r="R48">
        <f>IFERROR(IF(ISNUMBER(INDEX(SPPR!$E:$X,MATCH($A48,SPPR!$A:$A,0),15)),$C48*INDEX(SPPR!$E:$X,MATCH($A48,SPPR!$A:$A,0),15),""),"")</f>
        <v/>
      </c>
      <c r="S48">
        <f>IFERROR(IF(ISNUMBER(INDEX(SPPR!$E:$X,MATCH($A48,SPPR!$A:$A,0),16)),$C48*INDEX(SPPR!$E:$X,MATCH($A48,SPPR!$A:$A,0),16),""),"")</f>
        <v/>
      </c>
      <c r="T48">
        <f>IFERROR(IF(ISNUMBER(INDEX(SPPR!$E:$X,MATCH($A48,SPPR!$A:$A,0),17)),$C48*INDEX(SPPR!$E:$X,MATCH($A48,SPPR!$A:$A,0),17),""),"")</f>
        <v/>
      </c>
      <c r="U48">
        <f>IFERROR(IF(ISNUMBER(INDEX(SPPR!$E:$X,MATCH($A48,SPPR!$A:$A,0),18)),$C48*INDEX(SPPR!$E:$X,MATCH($A48,SPPR!$A:$A,0),18),""),"")</f>
        <v/>
      </c>
      <c r="V48">
        <f>IFERROR(IF(ISNUMBER(INDEX(SPPR!$E:$X,MATCH($A48,SPPR!$A:$A,0),19)),$C48*INDEX(SPPR!$E:$X,MATCH($A48,SPPR!$A:$A,0),19),""),"")</f>
        <v/>
      </c>
      <c r="W48">
        <f>IFERROR(IF(ISNUMBER(INDEX(SPPR!$E:$X,MATCH($A48,SPPR!$A:$A,0),20)),$C48*INDEX(SPPR!$E:$X,MATCH($A48,SPPR!$A:$A,0),20),""),"")</f>
        <v/>
      </c>
    </row>
    <row r="49">
      <c r="A49" t="inlineStr">
        <is>
          <t>Priacanthidae</t>
        </is>
      </c>
      <c r="B49">
        <f>IFERROR(INDEX(SPPR!$D:$D,MATCH($A49,SPPR!$A:$A,0)),"")</f>
        <v/>
      </c>
      <c r="C49">
        <f>IFERROR(INDEX(Catch!$E:$BV,MATCH($A49,Catch!$A:$A,0),MATCH($B$4,Catch!$E$1:$BV$1,0)),0)</f>
        <v/>
      </c>
      <c r="D49">
        <f>IFERROR(IF(ISNUMBER(INDEX(SPPR!$E:$X,MATCH($A49,SPPR!$A:$A,0),1)),$C49*INDEX(SPPR!$E:$X,MATCH($A49,SPPR!$A:$A,0),1),""),"")</f>
        <v/>
      </c>
      <c r="E49">
        <f>IFERROR(IF(ISNUMBER(INDEX(SPPR!$E:$X,MATCH($A49,SPPR!$A:$A,0),2)),$C49*INDEX(SPPR!$E:$X,MATCH($A49,SPPR!$A:$A,0),2),""),"")</f>
        <v/>
      </c>
      <c r="F49">
        <f>IFERROR(IF(ISNUMBER(INDEX(SPPR!$E:$X,MATCH($A49,SPPR!$A:$A,0),3)),$C49*INDEX(SPPR!$E:$X,MATCH($A49,SPPR!$A:$A,0),3),""),"")</f>
        <v/>
      </c>
      <c r="G49">
        <f>IFERROR(IF(ISNUMBER(INDEX(SPPR!$E:$X,MATCH($A49,SPPR!$A:$A,0),4)),$C49*INDEX(SPPR!$E:$X,MATCH($A49,SPPR!$A:$A,0),4),""),"")</f>
        <v/>
      </c>
      <c r="H49">
        <f>IFERROR(IF(ISNUMBER(INDEX(SPPR!$E:$X,MATCH($A49,SPPR!$A:$A,0),5)),$C49*INDEX(SPPR!$E:$X,MATCH($A49,SPPR!$A:$A,0),5),""),"")</f>
        <v/>
      </c>
      <c r="I49">
        <f>IFERROR(IF(ISNUMBER(INDEX(SPPR!$E:$X,MATCH($A49,SPPR!$A:$A,0),6)),$C49*INDEX(SPPR!$E:$X,MATCH($A49,SPPR!$A:$A,0),6),""),"")</f>
        <v/>
      </c>
      <c r="J49">
        <f>IFERROR(IF(ISNUMBER(INDEX(SPPR!$E:$X,MATCH($A49,SPPR!$A:$A,0),7)),$C49*INDEX(SPPR!$E:$X,MATCH($A49,SPPR!$A:$A,0),7),""),"")</f>
        <v/>
      </c>
      <c r="K49">
        <f>IFERROR(IF(ISNUMBER(INDEX(SPPR!$E:$X,MATCH($A49,SPPR!$A:$A,0),8)),$C49*INDEX(SPPR!$E:$X,MATCH($A49,SPPR!$A:$A,0),8),""),"")</f>
        <v/>
      </c>
      <c r="L49">
        <f>IFERROR(IF(ISNUMBER(INDEX(SPPR!$E:$X,MATCH($A49,SPPR!$A:$A,0),9)),$C49*INDEX(SPPR!$E:$X,MATCH($A49,SPPR!$A:$A,0),9),""),"")</f>
        <v/>
      </c>
      <c r="M49">
        <f>IFERROR(IF(ISNUMBER(INDEX(SPPR!$E:$X,MATCH($A49,SPPR!$A:$A,0),10)),$C49*INDEX(SPPR!$E:$X,MATCH($A49,SPPR!$A:$A,0),10),""),"")</f>
        <v/>
      </c>
      <c r="N49">
        <f>IFERROR(IF(ISNUMBER(INDEX(SPPR!$E:$X,MATCH($A49,SPPR!$A:$A,0),11)),$C49*INDEX(SPPR!$E:$X,MATCH($A49,SPPR!$A:$A,0),11),""),"")</f>
        <v/>
      </c>
      <c r="O49">
        <f>IFERROR(IF(ISNUMBER(INDEX(SPPR!$E:$X,MATCH($A49,SPPR!$A:$A,0),12)),$C49*INDEX(SPPR!$E:$X,MATCH($A49,SPPR!$A:$A,0),12),""),"")</f>
        <v/>
      </c>
      <c r="P49">
        <f>IFERROR(IF(ISNUMBER(INDEX(SPPR!$E:$X,MATCH($A49,SPPR!$A:$A,0),13)),$C49*INDEX(SPPR!$E:$X,MATCH($A49,SPPR!$A:$A,0),13),""),"")</f>
        <v/>
      </c>
      <c r="Q49">
        <f>IFERROR(IF(ISNUMBER(INDEX(SPPR!$E:$X,MATCH($A49,SPPR!$A:$A,0),14)),$C49*INDEX(SPPR!$E:$X,MATCH($A49,SPPR!$A:$A,0),14),""),"")</f>
        <v/>
      </c>
      <c r="R49">
        <f>IFERROR(IF(ISNUMBER(INDEX(SPPR!$E:$X,MATCH($A49,SPPR!$A:$A,0),15)),$C49*INDEX(SPPR!$E:$X,MATCH($A49,SPPR!$A:$A,0),15),""),"")</f>
        <v/>
      </c>
      <c r="S49">
        <f>IFERROR(IF(ISNUMBER(INDEX(SPPR!$E:$X,MATCH($A49,SPPR!$A:$A,0),16)),$C49*INDEX(SPPR!$E:$X,MATCH($A49,SPPR!$A:$A,0),16),""),"")</f>
        <v/>
      </c>
      <c r="T49">
        <f>IFERROR(IF(ISNUMBER(INDEX(SPPR!$E:$X,MATCH($A49,SPPR!$A:$A,0),17)),$C49*INDEX(SPPR!$E:$X,MATCH($A49,SPPR!$A:$A,0),17),""),"")</f>
        <v/>
      </c>
      <c r="U49">
        <f>IFERROR(IF(ISNUMBER(INDEX(SPPR!$E:$X,MATCH($A49,SPPR!$A:$A,0),18)),$C49*INDEX(SPPR!$E:$X,MATCH($A49,SPPR!$A:$A,0),18),""),"")</f>
        <v/>
      </c>
      <c r="V49">
        <f>IFERROR(IF(ISNUMBER(INDEX(SPPR!$E:$X,MATCH($A49,SPPR!$A:$A,0),19)),$C49*INDEX(SPPR!$E:$X,MATCH($A49,SPPR!$A:$A,0),19),""),"")</f>
        <v/>
      </c>
      <c r="W49">
        <f>IFERROR(IF(ISNUMBER(INDEX(SPPR!$E:$X,MATCH($A49,SPPR!$A:$A,0),20)),$C49*INDEX(SPPR!$E:$X,MATCH($A49,SPPR!$A:$A,0),20),""),"")</f>
        <v/>
      </c>
    </row>
    <row r="50">
      <c r="A50" t="inlineStr">
        <is>
          <t>Ariidae</t>
        </is>
      </c>
      <c r="B50">
        <f>IFERROR(INDEX(SPPR!$D:$D,MATCH($A50,SPPR!$A:$A,0)),"")</f>
        <v/>
      </c>
      <c r="C50">
        <f>IFERROR(INDEX(Catch!$E:$BV,MATCH($A50,Catch!$A:$A,0),MATCH($B$4,Catch!$E$1:$BV$1,0)),0)</f>
        <v/>
      </c>
      <c r="D50">
        <f>IFERROR(IF(ISNUMBER(INDEX(SPPR!$E:$X,MATCH($A50,SPPR!$A:$A,0),1)),$C50*INDEX(SPPR!$E:$X,MATCH($A50,SPPR!$A:$A,0),1),""),"")</f>
        <v/>
      </c>
      <c r="E50">
        <f>IFERROR(IF(ISNUMBER(INDEX(SPPR!$E:$X,MATCH($A50,SPPR!$A:$A,0),2)),$C50*INDEX(SPPR!$E:$X,MATCH($A50,SPPR!$A:$A,0),2),""),"")</f>
        <v/>
      </c>
      <c r="F50">
        <f>IFERROR(IF(ISNUMBER(INDEX(SPPR!$E:$X,MATCH($A50,SPPR!$A:$A,0),3)),$C50*INDEX(SPPR!$E:$X,MATCH($A50,SPPR!$A:$A,0),3),""),"")</f>
        <v/>
      </c>
      <c r="G50">
        <f>IFERROR(IF(ISNUMBER(INDEX(SPPR!$E:$X,MATCH($A50,SPPR!$A:$A,0),4)),$C50*INDEX(SPPR!$E:$X,MATCH($A50,SPPR!$A:$A,0),4),""),"")</f>
        <v/>
      </c>
      <c r="H50">
        <f>IFERROR(IF(ISNUMBER(INDEX(SPPR!$E:$X,MATCH($A50,SPPR!$A:$A,0),5)),$C50*INDEX(SPPR!$E:$X,MATCH($A50,SPPR!$A:$A,0),5),""),"")</f>
        <v/>
      </c>
      <c r="I50">
        <f>IFERROR(IF(ISNUMBER(INDEX(SPPR!$E:$X,MATCH($A50,SPPR!$A:$A,0),6)),$C50*INDEX(SPPR!$E:$X,MATCH($A50,SPPR!$A:$A,0),6),""),"")</f>
        <v/>
      </c>
      <c r="J50">
        <f>IFERROR(IF(ISNUMBER(INDEX(SPPR!$E:$X,MATCH($A50,SPPR!$A:$A,0),7)),$C50*INDEX(SPPR!$E:$X,MATCH($A50,SPPR!$A:$A,0),7),""),"")</f>
        <v/>
      </c>
      <c r="K50">
        <f>IFERROR(IF(ISNUMBER(INDEX(SPPR!$E:$X,MATCH($A50,SPPR!$A:$A,0),8)),$C50*INDEX(SPPR!$E:$X,MATCH($A50,SPPR!$A:$A,0),8),""),"")</f>
        <v/>
      </c>
      <c r="L50">
        <f>IFERROR(IF(ISNUMBER(INDEX(SPPR!$E:$X,MATCH($A50,SPPR!$A:$A,0),9)),$C50*INDEX(SPPR!$E:$X,MATCH($A50,SPPR!$A:$A,0),9),""),"")</f>
        <v/>
      </c>
      <c r="M50">
        <f>IFERROR(IF(ISNUMBER(INDEX(SPPR!$E:$X,MATCH($A50,SPPR!$A:$A,0),10)),$C50*INDEX(SPPR!$E:$X,MATCH($A50,SPPR!$A:$A,0),10),""),"")</f>
        <v/>
      </c>
      <c r="N50">
        <f>IFERROR(IF(ISNUMBER(INDEX(SPPR!$E:$X,MATCH($A50,SPPR!$A:$A,0),11)),$C50*INDEX(SPPR!$E:$X,MATCH($A50,SPPR!$A:$A,0),11),""),"")</f>
        <v/>
      </c>
      <c r="O50">
        <f>IFERROR(IF(ISNUMBER(INDEX(SPPR!$E:$X,MATCH($A50,SPPR!$A:$A,0),12)),$C50*INDEX(SPPR!$E:$X,MATCH($A50,SPPR!$A:$A,0),12),""),"")</f>
        <v/>
      </c>
      <c r="P50">
        <f>IFERROR(IF(ISNUMBER(INDEX(SPPR!$E:$X,MATCH($A50,SPPR!$A:$A,0),13)),$C50*INDEX(SPPR!$E:$X,MATCH($A50,SPPR!$A:$A,0),13),""),"")</f>
        <v/>
      </c>
      <c r="Q50">
        <f>IFERROR(IF(ISNUMBER(INDEX(SPPR!$E:$X,MATCH($A50,SPPR!$A:$A,0),14)),$C50*INDEX(SPPR!$E:$X,MATCH($A50,SPPR!$A:$A,0),14),""),"")</f>
        <v/>
      </c>
      <c r="R50">
        <f>IFERROR(IF(ISNUMBER(INDEX(SPPR!$E:$X,MATCH($A50,SPPR!$A:$A,0),15)),$C50*INDEX(SPPR!$E:$X,MATCH($A50,SPPR!$A:$A,0),15),""),"")</f>
        <v/>
      </c>
      <c r="S50">
        <f>IFERROR(IF(ISNUMBER(INDEX(SPPR!$E:$X,MATCH($A50,SPPR!$A:$A,0),16)),$C50*INDEX(SPPR!$E:$X,MATCH($A50,SPPR!$A:$A,0),16),""),"")</f>
        <v/>
      </c>
      <c r="T50">
        <f>IFERROR(IF(ISNUMBER(INDEX(SPPR!$E:$X,MATCH($A50,SPPR!$A:$A,0),17)),$C50*INDEX(SPPR!$E:$X,MATCH($A50,SPPR!$A:$A,0),17),""),"")</f>
        <v/>
      </c>
      <c r="U50">
        <f>IFERROR(IF(ISNUMBER(INDEX(SPPR!$E:$X,MATCH($A50,SPPR!$A:$A,0),18)),$C50*INDEX(SPPR!$E:$X,MATCH($A50,SPPR!$A:$A,0),18),""),"")</f>
        <v/>
      </c>
      <c r="V50">
        <f>IFERROR(IF(ISNUMBER(INDEX(SPPR!$E:$X,MATCH($A50,SPPR!$A:$A,0),19)),$C50*INDEX(SPPR!$E:$X,MATCH($A50,SPPR!$A:$A,0),19),""),"")</f>
        <v/>
      </c>
      <c r="W50">
        <f>IFERROR(IF(ISNUMBER(INDEX(SPPR!$E:$X,MATCH($A50,SPPR!$A:$A,0),20)),$C50*INDEX(SPPR!$E:$X,MATCH($A50,SPPR!$A:$A,0),20),""),"")</f>
        <v/>
      </c>
    </row>
    <row r="51">
      <c r="A51" t="inlineStr">
        <is>
          <t>Sepiida</t>
        </is>
      </c>
      <c r="B51">
        <f>IFERROR(INDEX(SPPR!$D:$D,MATCH($A51,SPPR!$A:$A,0)),"")</f>
        <v/>
      </c>
      <c r="C51">
        <f>IFERROR(INDEX(Catch!$E:$BV,MATCH($A51,Catch!$A:$A,0),MATCH($B$4,Catch!$E$1:$BV$1,0)),0)</f>
        <v/>
      </c>
      <c r="D51">
        <f>IFERROR(IF(ISNUMBER(INDEX(SPPR!$E:$X,MATCH($A51,SPPR!$A:$A,0),1)),$C51*INDEX(SPPR!$E:$X,MATCH($A51,SPPR!$A:$A,0),1),""),"")</f>
        <v/>
      </c>
      <c r="E51">
        <f>IFERROR(IF(ISNUMBER(INDEX(SPPR!$E:$X,MATCH($A51,SPPR!$A:$A,0),2)),$C51*INDEX(SPPR!$E:$X,MATCH($A51,SPPR!$A:$A,0),2),""),"")</f>
        <v/>
      </c>
      <c r="F51">
        <f>IFERROR(IF(ISNUMBER(INDEX(SPPR!$E:$X,MATCH($A51,SPPR!$A:$A,0),3)),$C51*INDEX(SPPR!$E:$X,MATCH($A51,SPPR!$A:$A,0),3),""),"")</f>
        <v/>
      </c>
      <c r="G51">
        <f>IFERROR(IF(ISNUMBER(INDEX(SPPR!$E:$X,MATCH($A51,SPPR!$A:$A,0),4)),$C51*INDEX(SPPR!$E:$X,MATCH($A51,SPPR!$A:$A,0),4),""),"")</f>
        <v/>
      </c>
      <c r="H51">
        <f>IFERROR(IF(ISNUMBER(INDEX(SPPR!$E:$X,MATCH($A51,SPPR!$A:$A,0),5)),$C51*INDEX(SPPR!$E:$X,MATCH($A51,SPPR!$A:$A,0),5),""),"")</f>
        <v/>
      </c>
      <c r="I51">
        <f>IFERROR(IF(ISNUMBER(INDEX(SPPR!$E:$X,MATCH($A51,SPPR!$A:$A,0),6)),$C51*INDEX(SPPR!$E:$X,MATCH($A51,SPPR!$A:$A,0),6),""),"")</f>
        <v/>
      </c>
      <c r="J51">
        <f>IFERROR(IF(ISNUMBER(INDEX(SPPR!$E:$X,MATCH($A51,SPPR!$A:$A,0),7)),$C51*INDEX(SPPR!$E:$X,MATCH($A51,SPPR!$A:$A,0),7),""),"")</f>
        <v/>
      </c>
      <c r="K51">
        <f>IFERROR(IF(ISNUMBER(INDEX(SPPR!$E:$X,MATCH($A51,SPPR!$A:$A,0),8)),$C51*INDEX(SPPR!$E:$X,MATCH($A51,SPPR!$A:$A,0),8),""),"")</f>
        <v/>
      </c>
      <c r="L51">
        <f>IFERROR(IF(ISNUMBER(INDEX(SPPR!$E:$X,MATCH($A51,SPPR!$A:$A,0),9)),$C51*INDEX(SPPR!$E:$X,MATCH($A51,SPPR!$A:$A,0),9),""),"")</f>
        <v/>
      </c>
      <c r="M51">
        <f>IFERROR(IF(ISNUMBER(INDEX(SPPR!$E:$X,MATCH($A51,SPPR!$A:$A,0),10)),$C51*INDEX(SPPR!$E:$X,MATCH($A51,SPPR!$A:$A,0),10),""),"")</f>
        <v/>
      </c>
      <c r="N51">
        <f>IFERROR(IF(ISNUMBER(INDEX(SPPR!$E:$X,MATCH($A51,SPPR!$A:$A,0),11)),$C51*INDEX(SPPR!$E:$X,MATCH($A51,SPPR!$A:$A,0),11),""),"")</f>
        <v/>
      </c>
      <c r="O51">
        <f>IFERROR(IF(ISNUMBER(INDEX(SPPR!$E:$X,MATCH($A51,SPPR!$A:$A,0),12)),$C51*INDEX(SPPR!$E:$X,MATCH($A51,SPPR!$A:$A,0),12),""),"")</f>
        <v/>
      </c>
      <c r="P51">
        <f>IFERROR(IF(ISNUMBER(INDEX(SPPR!$E:$X,MATCH($A51,SPPR!$A:$A,0),13)),$C51*INDEX(SPPR!$E:$X,MATCH($A51,SPPR!$A:$A,0),13),""),"")</f>
        <v/>
      </c>
      <c r="Q51">
        <f>IFERROR(IF(ISNUMBER(INDEX(SPPR!$E:$X,MATCH($A51,SPPR!$A:$A,0),14)),$C51*INDEX(SPPR!$E:$X,MATCH($A51,SPPR!$A:$A,0),14),""),"")</f>
        <v/>
      </c>
      <c r="R51">
        <f>IFERROR(IF(ISNUMBER(INDEX(SPPR!$E:$X,MATCH($A51,SPPR!$A:$A,0),15)),$C51*INDEX(SPPR!$E:$X,MATCH($A51,SPPR!$A:$A,0),15),""),"")</f>
        <v/>
      </c>
      <c r="S51">
        <f>IFERROR(IF(ISNUMBER(INDEX(SPPR!$E:$X,MATCH($A51,SPPR!$A:$A,0),16)),$C51*INDEX(SPPR!$E:$X,MATCH($A51,SPPR!$A:$A,0),16),""),"")</f>
        <v/>
      </c>
      <c r="T51">
        <f>IFERROR(IF(ISNUMBER(INDEX(SPPR!$E:$X,MATCH($A51,SPPR!$A:$A,0),17)),$C51*INDEX(SPPR!$E:$X,MATCH($A51,SPPR!$A:$A,0),17),""),"")</f>
        <v/>
      </c>
      <c r="U51">
        <f>IFERROR(IF(ISNUMBER(INDEX(SPPR!$E:$X,MATCH($A51,SPPR!$A:$A,0),18)),$C51*INDEX(SPPR!$E:$X,MATCH($A51,SPPR!$A:$A,0),18),""),"")</f>
        <v/>
      </c>
      <c r="V51">
        <f>IFERROR(IF(ISNUMBER(INDEX(SPPR!$E:$X,MATCH($A51,SPPR!$A:$A,0),19)),$C51*INDEX(SPPR!$E:$X,MATCH($A51,SPPR!$A:$A,0),19),""),"")</f>
        <v/>
      </c>
      <c r="W51">
        <f>IFERROR(IF(ISNUMBER(INDEX(SPPR!$E:$X,MATCH($A51,SPPR!$A:$A,0),20)),$C51*INDEX(SPPR!$E:$X,MATCH($A51,SPPR!$A:$A,0),20),""),"")</f>
        <v/>
      </c>
    </row>
    <row r="52">
      <c r="A52" t="inlineStr">
        <is>
          <t>Harpadon nehereus</t>
        </is>
      </c>
      <c r="B52">
        <f>IFERROR(INDEX(SPPR!$D:$D,MATCH($A52,SPPR!$A:$A,0)),"")</f>
        <v/>
      </c>
      <c r="C52">
        <f>IFERROR(INDEX(Catch!$E:$BV,MATCH($A52,Catch!$A:$A,0),MATCH($B$4,Catch!$E$1:$BV$1,0)),0)</f>
        <v/>
      </c>
      <c r="D52">
        <f>IFERROR(IF(ISNUMBER(INDEX(SPPR!$E:$X,MATCH($A52,SPPR!$A:$A,0),1)),$C52*INDEX(SPPR!$E:$X,MATCH($A52,SPPR!$A:$A,0),1),""),"")</f>
        <v/>
      </c>
      <c r="E52">
        <f>IFERROR(IF(ISNUMBER(INDEX(SPPR!$E:$X,MATCH($A52,SPPR!$A:$A,0),2)),$C52*INDEX(SPPR!$E:$X,MATCH($A52,SPPR!$A:$A,0),2),""),"")</f>
        <v/>
      </c>
      <c r="F52">
        <f>IFERROR(IF(ISNUMBER(INDEX(SPPR!$E:$X,MATCH($A52,SPPR!$A:$A,0),3)),$C52*INDEX(SPPR!$E:$X,MATCH($A52,SPPR!$A:$A,0),3),""),"")</f>
        <v/>
      </c>
      <c r="G52">
        <f>IFERROR(IF(ISNUMBER(INDEX(SPPR!$E:$X,MATCH($A52,SPPR!$A:$A,0),4)),$C52*INDEX(SPPR!$E:$X,MATCH($A52,SPPR!$A:$A,0),4),""),"")</f>
        <v/>
      </c>
      <c r="H52">
        <f>IFERROR(IF(ISNUMBER(INDEX(SPPR!$E:$X,MATCH($A52,SPPR!$A:$A,0),5)),$C52*INDEX(SPPR!$E:$X,MATCH($A52,SPPR!$A:$A,0),5),""),"")</f>
        <v/>
      </c>
      <c r="I52">
        <f>IFERROR(IF(ISNUMBER(INDEX(SPPR!$E:$X,MATCH($A52,SPPR!$A:$A,0),6)),$C52*INDEX(SPPR!$E:$X,MATCH($A52,SPPR!$A:$A,0),6),""),"")</f>
        <v/>
      </c>
      <c r="J52">
        <f>IFERROR(IF(ISNUMBER(INDEX(SPPR!$E:$X,MATCH($A52,SPPR!$A:$A,0),7)),$C52*INDEX(SPPR!$E:$X,MATCH($A52,SPPR!$A:$A,0),7),""),"")</f>
        <v/>
      </c>
      <c r="K52">
        <f>IFERROR(IF(ISNUMBER(INDEX(SPPR!$E:$X,MATCH($A52,SPPR!$A:$A,0),8)),$C52*INDEX(SPPR!$E:$X,MATCH($A52,SPPR!$A:$A,0),8),""),"")</f>
        <v/>
      </c>
      <c r="L52">
        <f>IFERROR(IF(ISNUMBER(INDEX(SPPR!$E:$X,MATCH($A52,SPPR!$A:$A,0),9)),$C52*INDEX(SPPR!$E:$X,MATCH($A52,SPPR!$A:$A,0),9),""),"")</f>
        <v/>
      </c>
      <c r="M52">
        <f>IFERROR(IF(ISNUMBER(INDEX(SPPR!$E:$X,MATCH($A52,SPPR!$A:$A,0),10)),$C52*INDEX(SPPR!$E:$X,MATCH($A52,SPPR!$A:$A,0),10),""),"")</f>
        <v/>
      </c>
      <c r="N52">
        <f>IFERROR(IF(ISNUMBER(INDEX(SPPR!$E:$X,MATCH($A52,SPPR!$A:$A,0),11)),$C52*INDEX(SPPR!$E:$X,MATCH($A52,SPPR!$A:$A,0),11),""),"")</f>
        <v/>
      </c>
      <c r="O52">
        <f>IFERROR(IF(ISNUMBER(INDEX(SPPR!$E:$X,MATCH($A52,SPPR!$A:$A,0),12)),$C52*INDEX(SPPR!$E:$X,MATCH($A52,SPPR!$A:$A,0),12),""),"")</f>
        <v/>
      </c>
      <c r="P52">
        <f>IFERROR(IF(ISNUMBER(INDEX(SPPR!$E:$X,MATCH($A52,SPPR!$A:$A,0),13)),$C52*INDEX(SPPR!$E:$X,MATCH($A52,SPPR!$A:$A,0),13),""),"")</f>
        <v/>
      </c>
      <c r="Q52">
        <f>IFERROR(IF(ISNUMBER(INDEX(SPPR!$E:$X,MATCH($A52,SPPR!$A:$A,0),14)),$C52*INDEX(SPPR!$E:$X,MATCH($A52,SPPR!$A:$A,0),14),""),"")</f>
        <v/>
      </c>
      <c r="R52">
        <f>IFERROR(IF(ISNUMBER(INDEX(SPPR!$E:$X,MATCH($A52,SPPR!$A:$A,0),15)),$C52*INDEX(SPPR!$E:$X,MATCH($A52,SPPR!$A:$A,0),15),""),"")</f>
        <v/>
      </c>
      <c r="S52">
        <f>IFERROR(IF(ISNUMBER(INDEX(SPPR!$E:$X,MATCH($A52,SPPR!$A:$A,0),16)),$C52*INDEX(SPPR!$E:$X,MATCH($A52,SPPR!$A:$A,0),16),""),"")</f>
        <v/>
      </c>
      <c r="T52">
        <f>IFERROR(IF(ISNUMBER(INDEX(SPPR!$E:$X,MATCH($A52,SPPR!$A:$A,0),17)),$C52*INDEX(SPPR!$E:$X,MATCH($A52,SPPR!$A:$A,0),17),""),"")</f>
        <v/>
      </c>
      <c r="U52">
        <f>IFERROR(IF(ISNUMBER(INDEX(SPPR!$E:$X,MATCH($A52,SPPR!$A:$A,0),18)),$C52*INDEX(SPPR!$E:$X,MATCH($A52,SPPR!$A:$A,0),18),""),"")</f>
        <v/>
      </c>
      <c r="V52">
        <f>IFERROR(IF(ISNUMBER(INDEX(SPPR!$E:$X,MATCH($A52,SPPR!$A:$A,0),19)),$C52*INDEX(SPPR!$E:$X,MATCH($A52,SPPR!$A:$A,0),19),""),"")</f>
        <v/>
      </c>
      <c r="W52">
        <f>IFERROR(IF(ISNUMBER(INDEX(SPPR!$E:$X,MATCH($A52,SPPR!$A:$A,0),20)),$C52*INDEX(SPPR!$E:$X,MATCH($A52,SPPR!$A:$A,0),20),""),"")</f>
        <v/>
      </c>
    </row>
    <row r="53">
      <c r="A53" t="inlineStr">
        <is>
          <t>Squillidae</t>
        </is>
      </c>
      <c r="B53">
        <f>IFERROR(INDEX(SPPR!$D:$D,MATCH($A53,SPPR!$A:$A,0)),"")</f>
        <v/>
      </c>
      <c r="C53">
        <f>IFERROR(INDEX(Catch!$E:$BV,MATCH($A53,Catch!$A:$A,0),MATCH($B$4,Catch!$E$1:$BV$1,0)),0)</f>
        <v/>
      </c>
      <c r="D53">
        <f>IFERROR(IF(ISNUMBER(INDEX(SPPR!$E:$X,MATCH($A53,SPPR!$A:$A,0),1)),$C53*INDEX(SPPR!$E:$X,MATCH($A53,SPPR!$A:$A,0),1),""),"")</f>
        <v/>
      </c>
      <c r="E53">
        <f>IFERROR(IF(ISNUMBER(INDEX(SPPR!$E:$X,MATCH($A53,SPPR!$A:$A,0),2)),$C53*INDEX(SPPR!$E:$X,MATCH($A53,SPPR!$A:$A,0),2),""),"")</f>
        <v/>
      </c>
      <c r="F53">
        <f>IFERROR(IF(ISNUMBER(INDEX(SPPR!$E:$X,MATCH($A53,SPPR!$A:$A,0),3)),$C53*INDEX(SPPR!$E:$X,MATCH($A53,SPPR!$A:$A,0),3),""),"")</f>
        <v/>
      </c>
      <c r="G53">
        <f>IFERROR(IF(ISNUMBER(INDEX(SPPR!$E:$X,MATCH($A53,SPPR!$A:$A,0),4)),$C53*INDEX(SPPR!$E:$X,MATCH($A53,SPPR!$A:$A,0),4),""),"")</f>
        <v/>
      </c>
      <c r="H53">
        <f>IFERROR(IF(ISNUMBER(INDEX(SPPR!$E:$X,MATCH($A53,SPPR!$A:$A,0),5)),$C53*INDEX(SPPR!$E:$X,MATCH($A53,SPPR!$A:$A,0),5),""),"")</f>
        <v/>
      </c>
      <c r="I53">
        <f>IFERROR(IF(ISNUMBER(INDEX(SPPR!$E:$X,MATCH($A53,SPPR!$A:$A,0),6)),$C53*INDEX(SPPR!$E:$X,MATCH($A53,SPPR!$A:$A,0),6),""),"")</f>
        <v/>
      </c>
      <c r="J53">
        <f>IFERROR(IF(ISNUMBER(INDEX(SPPR!$E:$X,MATCH($A53,SPPR!$A:$A,0),7)),$C53*INDEX(SPPR!$E:$X,MATCH($A53,SPPR!$A:$A,0),7),""),"")</f>
        <v/>
      </c>
      <c r="K53">
        <f>IFERROR(IF(ISNUMBER(INDEX(SPPR!$E:$X,MATCH($A53,SPPR!$A:$A,0),8)),$C53*INDEX(SPPR!$E:$X,MATCH($A53,SPPR!$A:$A,0),8),""),"")</f>
        <v/>
      </c>
      <c r="L53">
        <f>IFERROR(IF(ISNUMBER(INDEX(SPPR!$E:$X,MATCH($A53,SPPR!$A:$A,0),9)),$C53*INDEX(SPPR!$E:$X,MATCH($A53,SPPR!$A:$A,0),9),""),"")</f>
        <v/>
      </c>
      <c r="M53">
        <f>IFERROR(IF(ISNUMBER(INDEX(SPPR!$E:$X,MATCH($A53,SPPR!$A:$A,0),10)),$C53*INDEX(SPPR!$E:$X,MATCH($A53,SPPR!$A:$A,0),10),""),"")</f>
        <v/>
      </c>
      <c r="N53">
        <f>IFERROR(IF(ISNUMBER(INDEX(SPPR!$E:$X,MATCH($A53,SPPR!$A:$A,0),11)),$C53*INDEX(SPPR!$E:$X,MATCH($A53,SPPR!$A:$A,0),11),""),"")</f>
        <v/>
      </c>
      <c r="O53">
        <f>IFERROR(IF(ISNUMBER(INDEX(SPPR!$E:$X,MATCH($A53,SPPR!$A:$A,0),12)),$C53*INDEX(SPPR!$E:$X,MATCH($A53,SPPR!$A:$A,0),12),""),"")</f>
        <v/>
      </c>
      <c r="P53">
        <f>IFERROR(IF(ISNUMBER(INDEX(SPPR!$E:$X,MATCH($A53,SPPR!$A:$A,0),13)),$C53*INDEX(SPPR!$E:$X,MATCH($A53,SPPR!$A:$A,0),13),""),"")</f>
        <v/>
      </c>
      <c r="Q53">
        <f>IFERROR(IF(ISNUMBER(INDEX(SPPR!$E:$X,MATCH($A53,SPPR!$A:$A,0),14)),$C53*INDEX(SPPR!$E:$X,MATCH($A53,SPPR!$A:$A,0),14),""),"")</f>
        <v/>
      </c>
      <c r="R53">
        <f>IFERROR(IF(ISNUMBER(INDEX(SPPR!$E:$X,MATCH($A53,SPPR!$A:$A,0),15)),$C53*INDEX(SPPR!$E:$X,MATCH($A53,SPPR!$A:$A,0),15),""),"")</f>
        <v/>
      </c>
      <c r="S53">
        <f>IFERROR(IF(ISNUMBER(INDEX(SPPR!$E:$X,MATCH($A53,SPPR!$A:$A,0),16)),$C53*INDEX(SPPR!$E:$X,MATCH($A53,SPPR!$A:$A,0),16),""),"")</f>
        <v/>
      </c>
      <c r="T53">
        <f>IFERROR(IF(ISNUMBER(INDEX(SPPR!$E:$X,MATCH($A53,SPPR!$A:$A,0),17)),$C53*INDEX(SPPR!$E:$X,MATCH($A53,SPPR!$A:$A,0),17),""),"")</f>
        <v/>
      </c>
      <c r="U53">
        <f>IFERROR(IF(ISNUMBER(INDEX(SPPR!$E:$X,MATCH($A53,SPPR!$A:$A,0),18)),$C53*INDEX(SPPR!$E:$X,MATCH($A53,SPPR!$A:$A,0),18),""),"")</f>
        <v/>
      </c>
      <c r="V53">
        <f>IFERROR(IF(ISNUMBER(INDEX(SPPR!$E:$X,MATCH($A53,SPPR!$A:$A,0),19)),$C53*INDEX(SPPR!$E:$X,MATCH($A53,SPPR!$A:$A,0),19),""),"")</f>
        <v/>
      </c>
      <c r="W53">
        <f>IFERROR(IF(ISNUMBER(INDEX(SPPR!$E:$X,MATCH($A53,SPPR!$A:$A,0),20)),$C53*INDEX(SPPR!$E:$X,MATCH($A53,SPPR!$A:$A,0),20),""),"")</f>
        <v/>
      </c>
    </row>
    <row r="54">
      <c r="A54" t="inlineStr">
        <is>
          <t>Todarodes pacificus</t>
        </is>
      </c>
      <c r="B54">
        <f>IFERROR(INDEX(SPPR!$D:$D,MATCH($A54,SPPR!$A:$A,0)),"")</f>
        <v/>
      </c>
      <c r="C54">
        <f>IFERROR(INDEX(Catch!$E:$BV,MATCH($A54,Catch!$A:$A,0),MATCH($B$4,Catch!$E$1:$BV$1,0)),0)</f>
        <v/>
      </c>
      <c r="D54">
        <f>IFERROR(IF(ISNUMBER(INDEX(SPPR!$E:$X,MATCH($A54,SPPR!$A:$A,0),1)),$C54*INDEX(SPPR!$E:$X,MATCH($A54,SPPR!$A:$A,0),1),""),"")</f>
        <v/>
      </c>
      <c r="E54">
        <f>IFERROR(IF(ISNUMBER(INDEX(SPPR!$E:$X,MATCH($A54,SPPR!$A:$A,0),2)),$C54*INDEX(SPPR!$E:$X,MATCH($A54,SPPR!$A:$A,0),2),""),"")</f>
        <v/>
      </c>
      <c r="F54">
        <f>IFERROR(IF(ISNUMBER(INDEX(SPPR!$E:$X,MATCH($A54,SPPR!$A:$A,0),3)),$C54*INDEX(SPPR!$E:$X,MATCH($A54,SPPR!$A:$A,0),3),""),"")</f>
        <v/>
      </c>
      <c r="G54">
        <f>IFERROR(IF(ISNUMBER(INDEX(SPPR!$E:$X,MATCH($A54,SPPR!$A:$A,0),4)),$C54*INDEX(SPPR!$E:$X,MATCH($A54,SPPR!$A:$A,0),4),""),"")</f>
        <v/>
      </c>
      <c r="H54">
        <f>IFERROR(IF(ISNUMBER(INDEX(SPPR!$E:$X,MATCH($A54,SPPR!$A:$A,0),5)),$C54*INDEX(SPPR!$E:$X,MATCH($A54,SPPR!$A:$A,0),5),""),"")</f>
        <v/>
      </c>
      <c r="I54">
        <f>IFERROR(IF(ISNUMBER(INDEX(SPPR!$E:$X,MATCH($A54,SPPR!$A:$A,0),6)),$C54*INDEX(SPPR!$E:$X,MATCH($A54,SPPR!$A:$A,0),6),""),"")</f>
        <v/>
      </c>
      <c r="J54">
        <f>IFERROR(IF(ISNUMBER(INDEX(SPPR!$E:$X,MATCH($A54,SPPR!$A:$A,0),7)),$C54*INDEX(SPPR!$E:$X,MATCH($A54,SPPR!$A:$A,0),7),""),"")</f>
        <v/>
      </c>
      <c r="K54">
        <f>IFERROR(IF(ISNUMBER(INDEX(SPPR!$E:$X,MATCH($A54,SPPR!$A:$A,0),8)),$C54*INDEX(SPPR!$E:$X,MATCH($A54,SPPR!$A:$A,0),8),""),"")</f>
        <v/>
      </c>
      <c r="L54">
        <f>IFERROR(IF(ISNUMBER(INDEX(SPPR!$E:$X,MATCH($A54,SPPR!$A:$A,0),9)),$C54*INDEX(SPPR!$E:$X,MATCH($A54,SPPR!$A:$A,0),9),""),"")</f>
        <v/>
      </c>
      <c r="M54">
        <f>IFERROR(IF(ISNUMBER(INDEX(SPPR!$E:$X,MATCH($A54,SPPR!$A:$A,0),10)),$C54*INDEX(SPPR!$E:$X,MATCH($A54,SPPR!$A:$A,0),10),""),"")</f>
        <v/>
      </c>
      <c r="N54">
        <f>IFERROR(IF(ISNUMBER(INDEX(SPPR!$E:$X,MATCH($A54,SPPR!$A:$A,0),11)),$C54*INDEX(SPPR!$E:$X,MATCH($A54,SPPR!$A:$A,0),11),""),"")</f>
        <v/>
      </c>
      <c r="O54">
        <f>IFERROR(IF(ISNUMBER(INDEX(SPPR!$E:$X,MATCH($A54,SPPR!$A:$A,0),12)),$C54*INDEX(SPPR!$E:$X,MATCH($A54,SPPR!$A:$A,0),12),""),"")</f>
        <v/>
      </c>
      <c r="P54">
        <f>IFERROR(IF(ISNUMBER(INDEX(SPPR!$E:$X,MATCH($A54,SPPR!$A:$A,0),13)),$C54*INDEX(SPPR!$E:$X,MATCH($A54,SPPR!$A:$A,0),13),""),"")</f>
        <v/>
      </c>
      <c r="Q54">
        <f>IFERROR(IF(ISNUMBER(INDEX(SPPR!$E:$X,MATCH($A54,SPPR!$A:$A,0),14)),$C54*INDEX(SPPR!$E:$X,MATCH($A54,SPPR!$A:$A,0),14),""),"")</f>
        <v/>
      </c>
      <c r="R54">
        <f>IFERROR(IF(ISNUMBER(INDEX(SPPR!$E:$X,MATCH($A54,SPPR!$A:$A,0),15)),$C54*INDEX(SPPR!$E:$X,MATCH($A54,SPPR!$A:$A,0),15),""),"")</f>
        <v/>
      </c>
      <c r="S54">
        <f>IFERROR(IF(ISNUMBER(INDEX(SPPR!$E:$X,MATCH($A54,SPPR!$A:$A,0),16)),$C54*INDEX(SPPR!$E:$X,MATCH($A54,SPPR!$A:$A,0),16),""),"")</f>
        <v/>
      </c>
      <c r="T54">
        <f>IFERROR(IF(ISNUMBER(INDEX(SPPR!$E:$X,MATCH($A54,SPPR!$A:$A,0),17)),$C54*INDEX(SPPR!$E:$X,MATCH($A54,SPPR!$A:$A,0),17),""),"")</f>
        <v/>
      </c>
      <c r="U54">
        <f>IFERROR(IF(ISNUMBER(INDEX(SPPR!$E:$X,MATCH($A54,SPPR!$A:$A,0),18)),$C54*INDEX(SPPR!$E:$X,MATCH($A54,SPPR!$A:$A,0),18),""),"")</f>
        <v/>
      </c>
      <c r="V54">
        <f>IFERROR(IF(ISNUMBER(INDEX(SPPR!$E:$X,MATCH($A54,SPPR!$A:$A,0),19)),$C54*INDEX(SPPR!$E:$X,MATCH($A54,SPPR!$A:$A,0),19),""),"")</f>
        <v/>
      </c>
      <c r="W54">
        <f>IFERROR(IF(ISNUMBER(INDEX(SPPR!$E:$X,MATCH($A54,SPPR!$A:$A,0),20)),$C54*INDEX(SPPR!$E:$X,MATCH($A54,SPPR!$A:$A,0),20),""),"")</f>
        <v/>
      </c>
    </row>
    <row r="55">
      <c r="A55" t="inlineStr">
        <is>
          <t>Elasmobranchii</t>
        </is>
      </c>
      <c r="B55">
        <f>IFERROR(INDEX(SPPR!$D:$D,MATCH($A55,SPPR!$A:$A,0)),"")</f>
        <v/>
      </c>
      <c r="C55">
        <f>IFERROR(INDEX(Catch!$E:$BV,MATCH($A55,Catch!$A:$A,0),MATCH($B$4,Catch!$E$1:$BV$1,0)),0)</f>
        <v/>
      </c>
      <c r="D55">
        <f>IFERROR(IF(ISNUMBER(INDEX(SPPR!$E:$X,MATCH($A55,SPPR!$A:$A,0),1)),$C55*INDEX(SPPR!$E:$X,MATCH($A55,SPPR!$A:$A,0),1),""),"")</f>
        <v/>
      </c>
      <c r="E55">
        <f>IFERROR(IF(ISNUMBER(INDEX(SPPR!$E:$X,MATCH($A55,SPPR!$A:$A,0),2)),$C55*INDEX(SPPR!$E:$X,MATCH($A55,SPPR!$A:$A,0),2),""),"")</f>
        <v/>
      </c>
      <c r="F55">
        <f>IFERROR(IF(ISNUMBER(INDEX(SPPR!$E:$X,MATCH($A55,SPPR!$A:$A,0),3)),$C55*INDEX(SPPR!$E:$X,MATCH($A55,SPPR!$A:$A,0),3),""),"")</f>
        <v/>
      </c>
      <c r="G55">
        <f>IFERROR(IF(ISNUMBER(INDEX(SPPR!$E:$X,MATCH($A55,SPPR!$A:$A,0),4)),$C55*INDEX(SPPR!$E:$X,MATCH($A55,SPPR!$A:$A,0),4),""),"")</f>
        <v/>
      </c>
      <c r="H55">
        <f>IFERROR(IF(ISNUMBER(INDEX(SPPR!$E:$X,MATCH($A55,SPPR!$A:$A,0),5)),$C55*INDEX(SPPR!$E:$X,MATCH($A55,SPPR!$A:$A,0),5),""),"")</f>
        <v/>
      </c>
      <c r="I55">
        <f>IFERROR(IF(ISNUMBER(INDEX(SPPR!$E:$X,MATCH($A55,SPPR!$A:$A,0),6)),$C55*INDEX(SPPR!$E:$X,MATCH($A55,SPPR!$A:$A,0),6),""),"")</f>
        <v/>
      </c>
      <c r="J55">
        <f>IFERROR(IF(ISNUMBER(INDEX(SPPR!$E:$X,MATCH($A55,SPPR!$A:$A,0),7)),$C55*INDEX(SPPR!$E:$X,MATCH($A55,SPPR!$A:$A,0),7),""),"")</f>
        <v/>
      </c>
      <c r="K55">
        <f>IFERROR(IF(ISNUMBER(INDEX(SPPR!$E:$X,MATCH($A55,SPPR!$A:$A,0),8)),$C55*INDEX(SPPR!$E:$X,MATCH($A55,SPPR!$A:$A,0),8),""),"")</f>
        <v/>
      </c>
      <c r="L55">
        <f>IFERROR(IF(ISNUMBER(INDEX(SPPR!$E:$X,MATCH($A55,SPPR!$A:$A,0),9)),$C55*INDEX(SPPR!$E:$X,MATCH($A55,SPPR!$A:$A,0),9),""),"")</f>
        <v/>
      </c>
      <c r="M55">
        <f>IFERROR(IF(ISNUMBER(INDEX(SPPR!$E:$X,MATCH($A55,SPPR!$A:$A,0),10)),$C55*INDEX(SPPR!$E:$X,MATCH($A55,SPPR!$A:$A,0),10),""),"")</f>
        <v/>
      </c>
      <c r="N55">
        <f>IFERROR(IF(ISNUMBER(INDEX(SPPR!$E:$X,MATCH($A55,SPPR!$A:$A,0),11)),$C55*INDEX(SPPR!$E:$X,MATCH($A55,SPPR!$A:$A,0),11),""),"")</f>
        <v/>
      </c>
      <c r="O55">
        <f>IFERROR(IF(ISNUMBER(INDEX(SPPR!$E:$X,MATCH($A55,SPPR!$A:$A,0),12)),$C55*INDEX(SPPR!$E:$X,MATCH($A55,SPPR!$A:$A,0),12),""),"")</f>
        <v/>
      </c>
      <c r="P55">
        <f>IFERROR(IF(ISNUMBER(INDEX(SPPR!$E:$X,MATCH($A55,SPPR!$A:$A,0),13)),$C55*INDEX(SPPR!$E:$X,MATCH($A55,SPPR!$A:$A,0),13),""),"")</f>
        <v/>
      </c>
      <c r="Q55">
        <f>IFERROR(IF(ISNUMBER(INDEX(SPPR!$E:$X,MATCH($A55,SPPR!$A:$A,0),14)),$C55*INDEX(SPPR!$E:$X,MATCH($A55,SPPR!$A:$A,0),14),""),"")</f>
        <v/>
      </c>
      <c r="R55">
        <f>IFERROR(IF(ISNUMBER(INDEX(SPPR!$E:$X,MATCH($A55,SPPR!$A:$A,0),15)),$C55*INDEX(SPPR!$E:$X,MATCH($A55,SPPR!$A:$A,0),15),""),"")</f>
        <v/>
      </c>
      <c r="S55">
        <f>IFERROR(IF(ISNUMBER(INDEX(SPPR!$E:$X,MATCH($A55,SPPR!$A:$A,0),16)),$C55*INDEX(SPPR!$E:$X,MATCH($A55,SPPR!$A:$A,0),16),""),"")</f>
        <v/>
      </c>
      <c r="T55">
        <f>IFERROR(IF(ISNUMBER(INDEX(SPPR!$E:$X,MATCH($A55,SPPR!$A:$A,0),17)),$C55*INDEX(SPPR!$E:$X,MATCH($A55,SPPR!$A:$A,0),17),""),"")</f>
        <v/>
      </c>
      <c r="U55">
        <f>IFERROR(IF(ISNUMBER(INDEX(SPPR!$E:$X,MATCH($A55,SPPR!$A:$A,0),18)),$C55*INDEX(SPPR!$E:$X,MATCH($A55,SPPR!$A:$A,0),18),""),"")</f>
        <v/>
      </c>
      <c r="V55">
        <f>IFERROR(IF(ISNUMBER(INDEX(SPPR!$E:$X,MATCH($A55,SPPR!$A:$A,0),19)),$C55*INDEX(SPPR!$E:$X,MATCH($A55,SPPR!$A:$A,0),19),""),"")</f>
        <v/>
      </c>
      <c r="W55">
        <f>IFERROR(IF(ISNUMBER(INDEX(SPPR!$E:$X,MATCH($A55,SPPR!$A:$A,0),20)),$C55*INDEX(SPPR!$E:$X,MATCH($A55,SPPR!$A:$A,0),20),""),"")</f>
        <v/>
      </c>
    </row>
    <row r="56">
      <c r="A56" t="inlineStr">
        <is>
          <t>Rastrelliger brachysoma</t>
        </is>
      </c>
      <c r="B56">
        <f>IFERROR(INDEX(SPPR!$D:$D,MATCH($A56,SPPR!$A:$A,0)),"")</f>
        <v/>
      </c>
      <c r="C56">
        <f>IFERROR(INDEX(Catch!$E:$BV,MATCH($A56,Catch!$A:$A,0),MATCH($B$4,Catch!$E$1:$BV$1,0)),0)</f>
        <v/>
      </c>
      <c r="D56">
        <f>IFERROR(IF(ISNUMBER(INDEX(SPPR!$E:$X,MATCH($A56,SPPR!$A:$A,0),1)),$C56*INDEX(SPPR!$E:$X,MATCH($A56,SPPR!$A:$A,0),1),""),"")</f>
        <v/>
      </c>
      <c r="E56">
        <f>IFERROR(IF(ISNUMBER(INDEX(SPPR!$E:$X,MATCH($A56,SPPR!$A:$A,0),2)),$C56*INDEX(SPPR!$E:$X,MATCH($A56,SPPR!$A:$A,0),2),""),"")</f>
        <v/>
      </c>
      <c r="F56">
        <f>IFERROR(IF(ISNUMBER(INDEX(SPPR!$E:$X,MATCH($A56,SPPR!$A:$A,0),3)),$C56*INDEX(SPPR!$E:$X,MATCH($A56,SPPR!$A:$A,0),3),""),"")</f>
        <v/>
      </c>
      <c r="G56">
        <f>IFERROR(IF(ISNUMBER(INDEX(SPPR!$E:$X,MATCH($A56,SPPR!$A:$A,0),4)),$C56*INDEX(SPPR!$E:$X,MATCH($A56,SPPR!$A:$A,0),4),""),"")</f>
        <v/>
      </c>
      <c r="H56">
        <f>IFERROR(IF(ISNUMBER(INDEX(SPPR!$E:$X,MATCH($A56,SPPR!$A:$A,0),5)),$C56*INDEX(SPPR!$E:$X,MATCH($A56,SPPR!$A:$A,0),5),""),"")</f>
        <v/>
      </c>
      <c r="I56">
        <f>IFERROR(IF(ISNUMBER(INDEX(SPPR!$E:$X,MATCH($A56,SPPR!$A:$A,0),6)),$C56*INDEX(SPPR!$E:$X,MATCH($A56,SPPR!$A:$A,0),6),""),"")</f>
        <v/>
      </c>
      <c r="J56">
        <f>IFERROR(IF(ISNUMBER(INDEX(SPPR!$E:$X,MATCH($A56,SPPR!$A:$A,0),7)),$C56*INDEX(SPPR!$E:$X,MATCH($A56,SPPR!$A:$A,0),7),""),"")</f>
        <v/>
      </c>
      <c r="K56">
        <f>IFERROR(IF(ISNUMBER(INDEX(SPPR!$E:$X,MATCH($A56,SPPR!$A:$A,0),8)),$C56*INDEX(SPPR!$E:$X,MATCH($A56,SPPR!$A:$A,0),8),""),"")</f>
        <v/>
      </c>
      <c r="L56">
        <f>IFERROR(IF(ISNUMBER(INDEX(SPPR!$E:$X,MATCH($A56,SPPR!$A:$A,0),9)),$C56*INDEX(SPPR!$E:$X,MATCH($A56,SPPR!$A:$A,0),9),""),"")</f>
        <v/>
      </c>
      <c r="M56">
        <f>IFERROR(IF(ISNUMBER(INDEX(SPPR!$E:$X,MATCH($A56,SPPR!$A:$A,0),10)),$C56*INDEX(SPPR!$E:$X,MATCH($A56,SPPR!$A:$A,0),10),""),"")</f>
        <v/>
      </c>
      <c r="N56">
        <f>IFERROR(IF(ISNUMBER(INDEX(SPPR!$E:$X,MATCH($A56,SPPR!$A:$A,0),11)),$C56*INDEX(SPPR!$E:$X,MATCH($A56,SPPR!$A:$A,0),11),""),"")</f>
        <v/>
      </c>
      <c r="O56">
        <f>IFERROR(IF(ISNUMBER(INDEX(SPPR!$E:$X,MATCH($A56,SPPR!$A:$A,0),12)),$C56*INDEX(SPPR!$E:$X,MATCH($A56,SPPR!$A:$A,0),12),""),"")</f>
        <v/>
      </c>
      <c r="P56">
        <f>IFERROR(IF(ISNUMBER(INDEX(SPPR!$E:$X,MATCH($A56,SPPR!$A:$A,0),13)),$C56*INDEX(SPPR!$E:$X,MATCH($A56,SPPR!$A:$A,0),13),""),"")</f>
        <v/>
      </c>
      <c r="Q56">
        <f>IFERROR(IF(ISNUMBER(INDEX(SPPR!$E:$X,MATCH($A56,SPPR!$A:$A,0),14)),$C56*INDEX(SPPR!$E:$X,MATCH($A56,SPPR!$A:$A,0),14),""),"")</f>
        <v/>
      </c>
      <c r="R56">
        <f>IFERROR(IF(ISNUMBER(INDEX(SPPR!$E:$X,MATCH($A56,SPPR!$A:$A,0),15)),$C56*INDEX(SPPR!$E:$X,MATCH($A56,SPPR!$A:$A,0),15),""),"")</f>
        <v/>
      </c>
      <c r="S56">
        <f>IFERROR(IF(ISNUMBER(INDEX(SPPR!$E:$X,MATCH($A56,SPPR!$A:$A,0),16)),$C56*INDEX(SPPR!$E:$X,MATCH($A56,SPPR!$A:$A,0),16),""),"")</f>
        <v/>
      </c>
      <c r="T56">
        <f>IFERROR(IF(ISNUMBER(INDEX(SPPR!$E:$X,MATCH($A56,SPPR!$A:$A,0),17)),$C56*INDEX(SPPR!$E:$X,MATCH($A56,SPPR!$A:$A,0),17),""),"")</f>
        <v/>
      </c>
      <c r="U56">
        <f>IFERROR(IF(ISNUMBER(INDEX(SPPR!$E:$X,MATCH($A56,SPPR!$A:$A,0),18)),$C56*INDEX(SPPR!$E:$X,MATCH($A56,SPPR!$A:$A,0),18),""),"")</f>
        <v/>
      </c>
      <c r="V56">
        <f>IFERROR(IF(ISNUMBER(INDEX(SPPR!$E:$X,MATCH($A56,SPPR!$A:$A,0),19)),$C56*INDEX(SPPR!$E:$X,MATCH($A56,SPPR!$A:$A,0),19),""),"")</f>
        <v/>
      </c>
      <c r="W56">
        <f>IFERROR(IF(ISNUMBER(INDEX(SPPR!$E:$X,MATCH($A56,SPPR!$A:$A,0),20)),$C56*INDEX(SPPR!$E:$X,MATCH($A56,SPPR!$A:$A,0),20),""),"")</f>
        <v/>
      </c>
    </row>
    <row r="57">
      <c r="A57" t="inlineStr">
        <is>
          <t>Chondrichthyes</t>
        </is>
      </c>
      <c r="B57">
        <f>IFERROR(INDEX(SPPR!$D:$D,MATCH($A57,SPPR!$A:$A,0)),"")</f>
        <v/>
      </c>
      <c r="C57">
        <f>IFERROR(INDEX(Catch!$E:$BV,MATCH($A57,Catch!$A:$A,0),MATCH($B$4,Catch!$E$1:$BV$1,0)),0)</f>
        <v/>
      </c>
      <c r="D57">
        <f>IFERROR(IF(ISNUMBER(INDEX(SPPR!$E:$X,MATCH($A57,SPPR!$A:$A,0),1)),$C57*INDEX(SPPR!$E:$X,MATCH($A57,SPPR!$A:$A,0),1),""),"")</f>
        <v/>
      </c>
      <c r="E57">
        <f>IFERROR(IF(ISNUMBER(INDEX(SPPR!$E:$X,MATCH($A57,SPPR!$A:$A,0),2)),$C57*INDEX(SPPR!$E:$X,MATCH($A57,SPPR!$A:$A,0),2),""),"")</f>
        <v/>
      </c>
      <c r="F57">
        <f>IFERROR(IF(ISNUMBER(INDEX(SPPR!$E:$X,MATCH($A57,SPPR!$A:$A,0),3)),$C57*INDEX(SPPR!$E:$X,MATCH($A57,SPPR!$A:$A,0),3),""),"")</f>
        <v/>
      </c>
      <c r="G57">
        <f>IFERROR(IF(ISNUMBER(INDEX(SPPR!$E:$X,MATCH($A57,SPPR!$A:$A,0),4)),$C57*INDEX(SPPR!$E:$X,MATCH($A57,SPPR!$A:$A,0),4),""),"")</f>
        <v/>
      </c>
      <c r="H57">
        <f>IFERROR(IF(ISNUMBER(INDEX(SPPR!$E:$X,MATCH($A57,SPPR!$A:$A,0),5)),$C57*INDEX(SPPR!$E:$X,MATCH($A57,SPPR!$A:$A,0),5),""),"")</f>
        <v/>
      </c>
      <c r="I57">
        <f>IFERROR(IF(ISNUMBER(INDEX(SPPR!$E:$X,MATCH($A57,SPPR!$A:$A,0),6)),$C57*INDEX(SPPR!$E:$X,MATCH($A57,SPPR!$A:$A,0),6),""),"")</f>
        <v/>
      </c>
      <c r="J57">
        <f>IFERROR(IF(ISNUMBER(INDEX(SPPR!$E:$X,MATCH($A57,SPPR!$A:$A,0),7)),$C57*INDEX(SPPR!$E:$X,MATCH($A57,SPPR!$A:$A,0),7),""),"")</f>
        <v/>
      </c>
      <c r="K57">
        <f>IFERROR(IF(ISNUMBER(INDEX(SPPR!$E:$X,MATCH($A57,SPPR!$A:$A,0),8)),$C57*INDEX(SPPR!$E:$X,MATCH($A57,SPPR!$A:$A,0),8),""),"")</f>
        <v/>
      </c>
      <c r="L57">
        <f>IFERROR(IF(ISNUMBER(INDEX(SPPR!$E:$X,MATCH($A57,SPPR!$A:$A,0),9)),$C57*INDEX(SPPR!$E:$X,MATCH($A57,SPPR!$A:$A,0),9),""),"")</f>
        <v/>
      </c>
      <c r="M57">
        <f>IFERROR(IF(ISNUMBER(INDEX(SPPR!$E:$X,MATCH($A57,SPPR!$A:$A,0),10)),$C57*INDEX(SPPR!$E:$X,MATCH($A57,SPPR!$A:$A,0),10),""),"")</f>
        <v/>
      </c>
      <c r="N57">
        <f>IFERROR(IF(ISNUMBER(INDEX(SPPR!$E:$X,MATCH($A57,SPPR!$A:$A,0),11)),$C57*INDEX(SPPR!$E:$X,MATCH($A57,SPPR!$A:$A,0),11),""),"")</f>
        <v/>
      </c>
      <c r="O57">
        <f>IFERROR(IF(ISNUMBER(INDEX(SPPR!$E:$X,MATCH($A57,SPPR!$A:$A,0),12)),$C57*INDEX(SPPR!$E:$X,MATCH($A57,SPPR!$A:$A,0),12),""),"")</f>
        <v/>
      </c>
      <c r="P57">
        <f>IFERROR(IF(ISNUMBER(INDEX(SPPR!$E:$X,MATCH($A57,SPPR!$A:$A,0),13)),$C57*INDEX(SPPR!$E:$X,MATCH($A57,SPPR!$A:$A,0),13),""),"")</f>
        <v/>
      </c>
      <c r="Q57">
        <f>IFERROR(IF(ISNUMBER(INDEX(SPPR!$E:$X,MATCH($A57,SPPR!$A:$A,0),14)),$C57*INDEX(SPPR!$E:$X,MATCH($A57,SPPR!$A:$A,0),14),""),"")</f>
        <v/>
      </c>
      <c r="R57">
        <f>IFERROR(IF(ISNUMBER(INDEX(SPPR!$E:$X,MATCH($A57,SPPR!$A:$A,0),15)),$C57*INDEX(SPPR!$E:$X,MATCH($A57,SPPR!$A:$A,0),15),""),"")</f>
        <v/>
      </c>
      <c r="S57">
        <f>IFERROR(IF(ISNUMBER(INDEX(SPPR!$E:$X,MATCH($A57,SPPR!$A:$A,0),16)),$C57*INDEX(SPPR!$E:$X,MATCH($A57,SPPR!$A:$A,0),16),""),"")</f>
        <v/>
      </c>
      <c r="T57">
        <f>IFERROR(IF(ISNUMBER(INDEX(SPPR!$E:$X,MATCH($A57,SPPR!$A:$A,0),17)),$C57*INDEX(SPPR!$E:$X,MATCH($A57,SPPR!$A:$A,0),17),""),"")</f>
        <v/>
      </c>
      <c r="U57">
        <f>IFERROR(IF(ISNUMBER(INDEX(SPPR!$E:$X,MATCH($A57,SPPR!$A:$A,0),18)),$C57*INDEX(SPPR!$E:$X,MATCH($A57,SPPR!$A:$A,0),18),""),"")</f>
        <v/>
      </c>
      <c r="V57">
        <f>IFERROR(IF(ISNUMBER(INDEX(SPPR!$E:$X,MATCH($A57,SPPR!$A:$A,0),19)),$C57*INDEX(SPPR!$E:$X,MATCH($A57,SPPR!$A:$A,0),19),""),"")</f>
        <v/>
      </c>
      <c r="W57">
        <f>IFERROR(IF(ISNUMBER(INDEX(SPPR!$E:$X,MATCH($A57,SPPR!$A:$A,0),20)),$C57*INDEX(SPPR!$E:$X,MATCH($A57,SPPR!$A:$A,0),20),""),"")</f>
        <v/>
      </c>
    </row>
    <row r="58">
      <c r="A58" t="inlineStr">
        <is>
          <t>Thunnus albacares</t>
        </is>
      </c>
      <c r="B58">
        <f>IFERROR(INDEX(SPPR!$D:$D,MATCH($A58,SPPR!$A:$A,0)),"")</f>
        <v/>
      </c>
      <c r="C58">
        <f>IFERROR(INDEX(Catch!$E:$BV,MATCH($A58,Catch!$A:$A,0),MATCH($B$4,Catch!$E$1:$BV$1,0)),0)</f>
        <v/>
      </c>
      <c r="D58">
        <f>IFERROR(IF(ISNUMBER(INDEX(SPPR!$E:$X,MATCH($A58,SPPR!$A:$A,0),1)),$C58*INDEX(SPPR!$E:$X,MATCH($A58,SPPR!$A:$A,0),1),""),"")</f>
        <v/>
      </c>
      <c r="E58">
        <f>IFERROR(IF(ISNUMBER(INDEX(SPPR!$E:$X,MATCH($A58,SPPR!$A:$A,0),2)),$C58*INDEX(SPPR!$E:$X,MATCH($A58,SPPR!$A:$A,0),2),""),"")</f>
        <v/>
      </c>
      <c r="F58">
        <f>IFERROR(IF(ISNUMBER(INDEX(SPPR!$E:$X,MATCH($A58,SPPR!$A:$A,0),3)),$C58*INDEX(SPPR!$E:$X,MATCH($A58,SPPR!$A:$A,0),3),""),"")</f>
        <v/>
      </c>
      <c r="G58">
        <f>IFERROR(IF(ISNUMBER(INDEX(SPPR!$E:$X,MATCH($A58,SPPR!$A:$A,0),4)),$C58*INDEX(SPPR!$E:$X,MATCH($A58,SPPR!$A:$A,0),4),""),"")</f>
        <v/>
      </c>
      <c r="H58">
        <f>IFERROR(IF(ISNUMBER(INDEX(SPPR!$E:$X,MATCH($A58,SPPR!$A:$A,0),5)),$C58*INDEX(SPPR!$E:$X,MATCH($A58,SPPR!$A:$A,0),5),""),"")</f>
        <v/>
      </c>
      <c r="I58">
        <f>IFERROR(IF(ISNUMBER(INDEX(SPPR!$E:$X,MATCH($A58,SPPR!$A:$A,0),6)),$C58*INDEX(SPPR!$E:$X,MATCH($A58,SPPR!$A:$A,0),6),""),"")</f>
        <v/>
      </c>
      <c r="J58">
        <f>IFERROR(IF(ISNUMBER(INDEX(SPPR!$E:$X,MATCH($A58,SPPR!$A:$A,0),7)),$C58*INDEX(SPPR!$E:$X,MATCH($A58,SPPR!$A:$A,0),7),""),"")</f>
        <v/>
      </c>
      <c r="K58">
        <f>IFERROR(IF(ISNUMBER(INDEX(SPPR!$E:$X,MATCH($A58,SPPR!$A:$A,0),8)),$C58*INDEX(SPPR!$E:$X,MATCH($A58,SPPR!$A:$A,0),8),""),"")</f>
        <v/>
      </c>
      <c r="L58">
        <f>IFERROR(IF(ISNUMBER(INDEX(SPPR!$E:$X,MATCH($A58,SPPR!$A:$A,0),9)),$C58*INDEX(SPPR!$E:$X,MATCH($A58,SPPR!$A:$A,0),9),""),"")</f>
        <v/>
      </c>
      <c r="M58">
        <f>IFERROR(IF(ISNUMBER(INDEX(SPPR!$E:$X,MATCH($A58,SPPR!$A:$A,0),10)),$C58*INDEX(SPPR!$E:$X,MATCH($A58,SPPR!$A:$A,0),10),""),"")</f>
        <v/>
      </c>
      <c r="N58">
        <f>IFERROR(IF(ISNUMBER(INDEX(SPPR!$E:$X,MATCH($A58,SPPR!$A:$A,0),11)),$C58*INDEX(SPPR!$E:$X,MATCH($A58,SPPR!$A:$A,0),11),""),"")</f>
        <v/>
      </c>
      <c r="O58">
        <f>IFERROR(IF(ISNUMBER(INDEX(SPPR!$E:$X,MATCH($A58,SPPR!$A:$A,0),12)),$C58*INDEX(SPPR!$E:$X,MATCH($A58,SPPR!$A:$A,0),12),""),"")</f>
        <v/>
      </c>
      <c r="P58">
        <f>IFERROR(IF(ISNUMBER(INDEX(SPPR!$E:$X,MATCH($A58,SPPR!$A:$A,0),13)),$C58*INDEX(SPPR!$E:$X,MATCH($A58,SPPR!$A:$A,0),13),""),"")</f>
        <v/>
      </c>
      <c r="Q58">
        <f>IFERROR(IF(ISNUMBER(INDEX(SPPR!$E:$X,MATCH($A58,SPPR!$A:$A,0),14)),$C58*INDEX(SPPR!$E:$X,MATCH($A58,SPPR!$A:$A,0),14),""),"")</f>
        <v/>
      </c>
      <c r="R58">
        <f>IFERROR(IF(ISNUMBER(INDEX(SPPR!$E:$X,MATCH($A58,SPPR!$A:$A,0),15)),$C58*INDEX(SPPR!$E:$X,MATCH($A58,SPPR!$A:$A,0),15),""),"")</f>
        <v/>
      </c>
      <c r="S58">
        <f>IFERROR(IF(ISNUMBER(INDEX(SPPR!$E:$X,MATCH($A58,SPPR!$A:$A,0),16)),$C58*INDEX(SPPR!$E:$X,MATCH($A58,SPPR!$A:$A,0),16),""),"")</f>
        <v/>
      </c>
      <c r="T58">
        <f>IFERROR(IF(ISNUMBER(INDEX(SPPR!$E:$X,MATCH($A58,SPPR!$A:$A,0),17)),$C58*INDEX(SPPR!$E:$X,MATCH($A58,SPPR!$A:$A,0),17),""),"")</f>
        <v/>
      </c>
      <c r="U58">
        <f>IFERROR(IF(ISNUMBER(INDEX(SPPR!$E:$X,MATCH($A58,SPPR!$A:$A,0),18)),$C58*INDEX(SPPR!$E:$X,MATCH($A58,SPPR!$A:$A,0),18),""),"")</f>
        <v/>
      </c>
      <c r="V58">
        <f>IFERROR(IF(ISNUMBER(INDEX(SPPR!$E:$X,MATCH($A58,SPPR!$A:$A,0),19)),$C58*INDEX(SPPR!$E:$X,MATCH($A58,SPPR!$A:$A,0),19),""),"")</f>
        <v/>
      </c>
      <c r="W58">
        <f>IFERROR(IF(ISNUMBER(INDEX(SPPR!$E:$X,MATCH($A58,SPPR!$A:$A,0),20)),$C58*INDEX(SPPR!$E:$X,MATCH($A58,SPPR!$A:$A,0),20),""),"")</f>
        <v/>
      </c>
    </row>
    <row r="59">
      <c r="A59" t="inlineStr">
        <is>
          <t>Stolephorus</t>
        </is>
      </c>
      <c r="B59">
        <f>IFERROR(INDEX(SPPR!$D:$D,MATCH($A59,SPPR!$A:$A,0)),"")</f>
        <v/>
      </c>
      <c r="C59">
        <f>IFERROR(INDEX(Catch!$E:$BV,MATCH($A59,Catch!$A:$A,0),MATCH($B$4,Catch!$E$1:$BV$1,0)),0)</f>
        <v/>
      </c>
      <c r="D59">
        <f>IFERROR(IF(ISNUMBER(INDEX(SPPR!$E:$X,MATCH($A59,SPPR!$A:$A,0),1)),$C59*INDEX(SPPR!$E:$X,MATCH($A59,SPPR!$A:$A,0),1),""),"")</f>
        <v/>
      </c>
      <c r="E59">
        <f>IFERROR(IF(ISNUMBER(INDEX(SPPR!$E:$X,MATCH($A59,SPPR!$A:$A,0),2)),$C59*INDEX(SPPR!$E:$X,MATCH($A59,SPPR!$A:$A,0),2),""),"")</f>
        <v/>
      </c>
      <c r="F59">
        <f>IFERROR(IF(ISNUMBER(INDEX(SPPR!$E:$X,MATCH($A59,SPPR!$A:$A,0),3)),$C59*INDEX(SPPR!$E:$X,MATCH($A59,SPPR!$A:$A,0),3),""),"")</f>
        <v/>
      </c>
      <c r="G59">
        <f>IFERROR(IF(ISNUMBER(INDEX(SPPR!$E:$X,MATCH($A59,SPPR!$A:$A,0),4)),$C59*INDEX(SPPR!$E:$X,MATCH($A59,SPPR!$A:$A,0),4),""),"")</f>
        <v/>
      </c>
      <c r="H59">
        <f>IFERROR(IF(ISNUMBER(INDEX(SPPR!$E:$X,MATCH($A59,SPPR!$A:$A,0),5)),$C59*INDEX(SPPR!$E:$X,MATCH($A59,SPPR!$A:$A,0),5),""),"")</f>
        <v/>
      </c>
      <c r="I59">
        <f>IFERROR(IF(ISNUMBER(INDEX(SPPR!$E:$X,MATCH($A59,SPPR!$A:$A,0),6)),$C59*INDEX(SPPR!$E:$X,MATCH($A59,SPPR!$A:$A,0),6),""),"")</f>
        <v/>
      </c>
      <c r="J59">
        <f>IFERROR(IF(ISNUMBER(INDEX(SPPR!$E:$X,MATCH($A59,SPPR!$A:$A,0),7)),$C59*INDEX(SPPR!$E:$X,MATCH($A59,SPPR!$A:$A,0),7),""),"")</f>
        <v/>
      </c>
      <c r="K59">
        <f>IFERROR(IF(ISNUMBER(INDEX(SPPR!$E:$X,MATCH($A59,SPPR!$A:$A,0),8)),$C59*INDEX(SPPR!$E:$X,MATCH($A59,SPPR!$A:$A,0),8),""),"")</f>
        <v/>
      </c>
      <c r="L59">
        <f>IFERROR(IF(ISNUMBER(INDEX(SPPR!$E:$X,MATCH($A59,SPPR!$A:$A,0),9)),$C59*INDEX(SPPR!$E:$X,MATCH($A59,SPPR!$A:$A,0),9),""),"")</f>
        <v/>
      </c>
      <c r="M59">
        <f>IFERROR(IF(ISNUMBER(INDEX(SPPR!$E:$X,MATCH($A59,SPPR!$A:$A,0),10)),$C59*INDEX(SPPR!$E:$X,MATCH($A59,SPPR!$A:$A,0),10),""),"")</f>
        <v/>
      </c>
      <c r="N59">
        <f>IFERROR(IF(ISNUMBER(INDEX(SPPR!$E:$X,MATCH($A59,SPPR!$A:$A,0),11)),$C59*INDEX(SPPR!$E:$X,MATCH($A59,SPPR!$A:$A,0),11),""),"")</f>
        <v/>
      </c>
      <c r="O59">
        <f>IFERROR(IF(ISNUMBER(INDEX(SPPR!$E:$X,MATCH($A59,SPPR!$A:$A,0),12)),$C59*INDEX(SPPR!$E:$X,MATCH($A59,SPPR!$A:$A,0),12),""),"")</f>
        <v/>
      </c>
      <c r="P59">
        <f>IFERROR(IF(ISNUMBER(INDEX(SPPR!$E:$X,MATCH($A59,SPPR!$A:$A,0),13)),$C59*INDEX(SPPR!$E:$X,MATCH($A59,SPPR!$A:$A,0),13),""),"")</f>
        <v/>
      </c>
      <c r="Q59">
        <f>IFERROR(IF(ISNUMBER(INDEX(SPPR!$E:$X,MATCH($A59,SPPR!$A:$A,0),14)),$C59*INDEX(SPPR!$E:$X,MATCH($A59,SPPR!$A:$A,0),14),""),"")</f>
        <v/>
      </c>
      <c r="R59">
        <f>IFERROR(IF(ISNUMBER(INDEX(SPPR!$E:$X,MATCH($A59,SPPR!$A:$A,0),15)),$C59*INDEX(SPPR!$E:$X,MATCH($A59,SPPR!$A:$A,0),15),""),"")</f>
        <v/>
      </c>
      <c r="S59">
        <f>IFERROR(IF(ISNUMBER(INDEX(SPPR!$E:$X,MATCH($A59,SPPR!$A:$A,0),16)),$C59*INDEX(SPPR!$E:$X,MATCH($A59,SPPR!$A:$A,0),16),""),"")</f>
        <v/>
      </c>
      <c r="T59">
        <f>IFERROR(IF(ISNUMBER(INDEX(SPPR!$E:$X,MATCH($A59,SPPR!$A:$A,0),17)),$C59*INDEX(SPPR!$E:$X,MATCH($A59,SPPR!$A:$A,0),17),""),"")</f>
        <v/>
      </c>
      <c r="U59">
        <f>IFERROR(IF(ISNUMBER(INDEX(SPPR!$E:$X,MATCH($A59,SPPR!$A:$A,0),18)),$C59*INDEX(SPPR!$E:$X,MATCH($A59,SPPR!$A:$A,0),18),""),"")</f>
        <v/>
      </c>
      <c r="V59">
        <f>IFERROR(IF(ISNUMBER(INDEX(SPPR!$E:$X,MATCH($A59,SPPR!$A:$A,0),19)),$C59*INDEX(SPPR!$E:$X,MATCH($A59,SPPR!$A:$A,0),19),""),"")</f>
        <v/>
      </c>
      <c r="W59">
        <f>IFERROR(IF(ISNUMBER(INDEX(SPPR!$E:$X,MATCH($A59,SPPR!$A:$A,0),20)),$C59*INDEX(SPPR!$E:$X,MATCH($A59,SPPR!$A:$A,0),20),""),"")</f>
        <v/>
      </c>
    </row>
    <row r="60">
      <c r="A60" t="inlineStr">
        <is>
          <t>Scomberomorus commerson</t>
        </is>
      </c>
      <c r="B60">
        <f>IFERROR(INDEX(SPPR!$D:$D,MATCH($A60,SPPR!$A:$A,0)),"")</f>
        <v/>
      </c>
      <c r="C60">
        <f>IFERROR(INDEX(Catch!$E:$BV,MATCH($A60,Catch!$A:$A,0),MATCH($B$4,Catch!$E$1:$BV$1,0)),0)</f>
        <v/>
      </c>
      <c r="D60">
        <f>IFERROR(IF(ISNUMBER(INDEX(SPPR!$E:$X,MATCH($A60,SPPR!$A:$A,0),1)),$C60*INDEX(SPPR!$E:$X,MATCH($A60,SPPR!$A:$A,0),1),""),"")</f>
        <v/>
      </c>
      <c r="E60">
        <f>IFERROR(IF(ISNUMBER(INDEX(SPPR!$E:$X,MATCH($A60,SPPR!$A:$A,0),2)),$C60*INDEX(SPPR!$E:$X,MATCH($A60,SPPR!$A:$A,0),2),""),"")</f>
        <v/>
      </c>
      <c r="F60">
        <f>IFERROR(IF(ISNUMBER(INDEX(SPPR!$E:$X,MATCH($A60,SPPR!$A:$A,0),3)),$C60*INDEX(SPPR!$E:$X,MATCH($A60,SPPR!$A:$A,0),3),""),"")</f>
        <v/>
      </c>
      <c r="G60">
        <f>IFERROR(IF(ISNUMBER(INDEX(SPPR!$E:$X,MATCH($A60,SPPR!$A:$A,0),4)),$C60*INDEX(SPPR!$E:$X,MATCH($A60,SPPR!$A:$A,0),4),""),"")</f>
        <v/>
      </c>
      <c r="H60">
        <f>IFERROR(IF(ISNUMBER(INDEX(SPPR!$E:$X,MATCH($A60,SPPR!$A:$A,0),5)),$C60*INDEX(SPPR!$E:$X,MATCH($A60,SPPR!$A:$A,0),5),""),"")</f>
        <v/>
      </c>
      <c r="I60">
        <f>IFERROR(IF(ISNUMBER(INDEX(SPPR!$E:$X,MATCH($A60,SPPR!$A:$A,0),6)),$C60*INDEX(SPPR!$E:$X,MATCH($A60,SPPR!$A:$A,0),6),""),"")</f>
        <v/>
      </c>
      <c r="J60">
        <f>IFERROR(IF(ISNUMBER(INDEX(SPPR!$E:$X,MATCH($A60,SPPR!$A:$A,0),7)),$C60*INDEX(SPPR!$E:$X,MATCH($A60,SPPR!$A:$A,0),7),""),"")</f>
        <v/>
      </c>
      <c r="K60">
        <f>IFERROR(IF(ISNUMBER(INDEX(SPPR!$E:$X,MATCH($A60,SPPR!$A:$A,0),8)),$C60*INDEX(SPPR!$E:$X,MATCH($A60,SPPR!$A:$A,0),8),""),"")</f>
        <v/>
      </c>
      <c r="L60">
        <f>IFERROR(IF(ISNUMBER(INDEX(SPPR!$E:$X,MATCH($A60,SPPR!$A:$A,0),9)),$C60*INDEX(SPPR!$E:$X,MATCH($A60,SPPR!$A:$A,0),9),""),"")</f>
        <v/>
      </c>
      <c r="M60">
        <f>IFERROR(IF(ISNUMBER(INDEX(SPPR!$E:$X,MATCH($A60,SPPR!$A:$A,0),10)),$C60*INDEX(SPPR!$E:$X,MATCH($A60,SPPR!$A:$A,0),10),""),"")</f>
        <v/>
      </c>
      <c r="N60">
        <f>IFERROR(IF(ISNUMBER(INDEX(SPPR!$E:$X,MATCH($A60,SPPR!$A:$A,0),11)),$C60*INDEX(SPPR!$E:$X,MATCH($A60,SPPR!$A:$A,0),11),""),"")</f>
        <v/>
      </c>
      <c r="O60">
        <f>IFERROR(IF(ISNUMBER(INDEX(SPPR!$E:$X,MATCH($A60,SPPR!$A:$A,0),12)),$C60*INDEX(SPPR!$E:$X,MATCH($A60,SPPR!$A:$A,0),12),""),"")</f>
        <v/>
      </c>
      <c r="P60">
        <f>IFERROR(IF(ISNUMBER(INDEX(SPPR!$E:$X,MATCH($A60,SPPR!$A:$A,0),13)),$C60*INDEX(SPPR!$E:$X,MATCH($A60,SPPR!$A:$A,0),13),""),"")</f>
        <v/>
      </c>
      <c r="Q60">
        <f>IFERROR(IF(ISNUMBER(INDEX(SPPR!$E:$X,MATCH($A60,SPPR!$A:$A,0),14)),$C60*INDEX(SPPR!$E:$X,MATCH($A60,SPPR!$A:$A,0),14),""),"")</f>
        <v/>
      </c>
      <c r="R60">
        <f>IFERROR(IF(ISNUMBER(INDEX(SPPR!$E:$X,MATCH($A60,SPPR!$A:$A,0),15)),$C60*INDEX(SPPR!$E:$X,MATCH($A60,SPPR!$A:$A,0),15),""),"")</f>
        <v/>
      </c>
      <c r="S60">
        <f>IFERROR(IF(ISNUMBER(INDEX(SPPR!$E:$X,MATCH($A60,SPPR!$A:$A,0),16)),$C60*INDEX(SPPR!$E:$X,MATCH($A60,SPPR!$A:$A,0),16),""),"")</f>
        <v/>
      </c>
      <c r="T60">
        <f>IFERROR(IF(ISNUMBER(INDEX(SPPR!$E:$X,MATCH($A60,SPPR!$A:$A,0),17)),$C60*INDEX(SPPR!$E:$X,MATCH($A60,SPPR!$A:$A,0),17),""),"")</f>
        <v/>
      </c>
      <c r="U60">
        <f>IFERROR(IF(ISNUMBER(INDEX(SPPR!$E:$X,MATCH($A60,SPPR!$A:$A,0),18)),$C60*INDEX(SPPR!$E:$X,MATCH($A60,SPPR!$A:$A,0),18),""),"")</f>
        <v/>
      </c>
      <c r="V60">
        <f>IFERROR(IF(ISNUMBER(INDEX(SPPR!$E:$X,MATCH($A60,SPPR!$A:$A,0),19)),$C60*INDEX(SPPR!$E:$X,MATCH($A60,SPPR!$A:$A,0),19),""),"")</f>
        <v/>
      </c>
      <c r="W60">
        <f>IFERROR(IF(ISNUMBER(INDEX(SPPR!$E:$X,MATCH($A60,SPPR!$A:$A,0),20)),$C60*INDEX(SPPR!$E:$X,MATCH($A60,SPPR!$A:$A,0),20),""),"")</f>
        <v/>
      </c>
    </row>
    <row r="61">
      <c r="A61" t="inlineStr">
        <is>
          <t>Rastrelliger kanagurta</t>
        </is>
      </c>
      <c r="B61">
        <f>IFERROR(INDEX(SPPR!$D:$D,MATCH($A61,SPPR!$A:$A,0)),"")</f>
        <v/>
      </c>
      <c r="C61">
        <f>IFERROR(INDEX(Catch!$E:$BV,MATCH($A61,Catch!$A:$A,0),MATCH($B$4,Catch!$E$1:$BV$1,0)),0)</f>
        <v/>
      </c>
      <c r="D61">
        <f>IFERROR(IF(ISNUMBER(INDEX(SPPR!$E:$X,MATCH($A61,SPPR!$A:$A,0),1)),$C61*INDEX(SPPR!$E:$X,MATCH($A61,SPPR!$A:$A,0),1),""),"")</f>
        <v/>
      </c>
      <c r="E61">
        <f>IFERROR(IF(ISNUMBER(INDEX(SPPR!$E:$X,MATCH($A61,SPPR!$A:$A,0),2)),$C61*INDEX(SPPR!$E:$X,MATCH($A61,SPPR!$A:$A,0),2),""),"")</f>
        <v/>
      </c>
      <c r="F61">
        <f>IFERROR(IF(ISNUMBER(INDEX(SPPR!$E:$X,MATCH($A61,SPPR!$A:$A,0),3)),$C61*INDEX(SPPR!$E:$X,MATCH($A61,SPPR!$A:$A,0),3),""),"")</f>
        <v/>
      </c>
      <c r="G61">
        <f>IFERROR(IF(ISNUMBER(INDEX(SPPR!$E:$X,MATCH($A61,SPPR!$A:$A,0),4)),$C61*INDEX(SPPR!$E:$X,MATCH($A61,SPPR!$A:$A,0),4),""),"")</f>
        <v/>
      </c>
      <c r="H61">
        <f>IFERROR(IF(ISNUMBER(INDEX(SPPR!$E:$X,MATCH($A61,SPPR!$A:$A,0),5)),$C61*INDEX(SPPR!$E:$X,MATCH($A61,SPPR!$A:$A,0),5),""),"")</f>
        <v/>
      </c>
      <c r="I61">
        <f>IFERROR(IF(ISNUMBER(INDEX(SPPR!$E:$X,MATCH($A61,SPPR!$A:$A,0),6)),$C61*INDEX(SPPR!$E:$X,MATCH($A61,SPPR!$A:$A,0),6),""),"")</f>
        <v/>
      </c>
      <c r="J61">
        <f>IFERROR(IF(ISNUMBER(INDEX(SPPR!$E:$X,MATCH($A61,SPPR!$A:$A,0),7)),$C61*INDEX(SPPR!$E:$X,MATCH($A61,SPPR!$A:$A,0),7),""),"")</f>
        <v/>
      </c>
      <c r="K61">
        <f>IFERROR(IF(ISNUMBER(INDEX(SPPR!$E:$X,MATCH($A61,SPPR!$A:$A,0),8)),$C61*INDEX(SPPR!$E:$X,MATCH($A61,SPPR!$A:$A,0),8),""),"")</f>
        <v/>
      </c>
      <c r="L61">
        <f>IFERROR(IF(ISNUMBER(INDEX(SPPR!$E:$X,MATCH($A61,SPPR!$A:$A,0),9)),$C61*INDEX(SPPR!$E:$X,MATCH($A61,SPPR!$A:$A,0),9),""),"")</f>
        <v/>
      </c>
      <c r="M61">
        <f>IFERROR(IF(ISNUMBER(INDEX(SPPR!$E:$X,MATCH($A61,SPPR!$A:$A,0),10)),$C61*INDEX(SPPR!$E:$X,MATCH($A61,SPPR!$A:$A,0),10),""),"")</f>
        <v/>
      </c>
      <c r="N61">
        <f>IFERROR(IF(ISNUMBER(INDEX(SPPR!$E:$X,MATCH($A61,SPPR!$A:$A,0),11)),$C61*INDEX(SPPR!$E:$X,MATCH($A61,SPPR!$A:$A,0),11),""),"")</f>
        <v/>
      </c>
      <c r="O61">
        <f>IFERROR(IF(ISNUMBER(INDEX(SPPR!$E:$X,MATCH($A61,SPPR!$A:$A,0),12)),$C61*INDEX(SPPR!$E:$X,MATCH($A61,SPPR!$A:$A,0),12),""),"")</f>
        <v/>
      </c>
      <c r="P61">
        <f>IFERROR(IF(ISNUMBER(INDEX(SPPR!$E:$X,MATCH($A61,SPPR!$A:$A,0),13)),$C61*INDEX(SPPR!$E:$X,MATCH($A61,SPPR!$A:$A,0),13),""),"")</f>
        <v/>
      </c>
      <c r="Q61">
        <f>IFERROR(IF(ISNUMBER(INDEX(SPPR!$E:$X,MATCH($A61,SPPR!$A:$A,0),14)),$C61*INDEX(SPPR!$E:$X,MATCH($A61,SPPR!$A:$A,0),14),""),"")</f>
        <v/>
      </c>
      <c r="R61">
        <f>IFERROR(IF(ISNUMBER(INDEX(SPPR!$E:$X,MATCH($A61,SPPR!$A:$A,0),15)),$C61*INDEX(SPPR!$E:$X,MATCH($A61,SPPR!$A:$A,0),15),""),"")</f>
        <v/>
      </c>
      <c r="S61">
        <f>IFERROR(IF(ISNUMBER(INDEX(SPPR!$E:$X,MATCH($A61,SPPR!$A:$A,0),16)),$C61*INDEX(SPPR!$E:$X,MATCH($A61,SPPR!$A:$A,0),16),""),"")</f>
        <v/>
      </c>
      <c r="T61">
        <f>IFERROR(IF(ISNUMBER(INDEX(SPPR!$E:$X,MATCH($A61,SPPR!$A:$A,0),17)),$C61*INDEX(SPPR!$E:$X,MATCH($A61,SPPR!$A:$A,0),17),""),"")</f>
        <v/>
      </c>
      <c r="U61">
        <f>IFERROR(IF(ISNUMBER(INDEX(SPPR!$E:$X,MATCH($A61,SPPR!$A:$A,0),18)),$C61*INDEX(SPPR!$E:$X,MATCH($A61,SPPR!$A:$A,0),18),""),"")</f>
        <v/>
      </c>
      <c r="V61">
        <f>IFERROR(IF(ISNUMBER(INDEX(SPPR!$E:$X,MATCH($A61,SPPR!$A:$A,0),19)),$C61*INDEX(SPPR!$E:$X,MATCH($A61,SPPR!$A:$A,0),19),""),"")</f>
        <v/>
      </c>
      <c r="W61">
        <f>IFERROR(IF(ISNUMBER(INDEX(SPPR!$E:$X,MATCH($A61,SPPR!$A:$A,0),20)),$C61*INDEX(SPPR!$E:$X,MATCH($A61,SPPR!$A:$A,0),20),""),"")</f>
        <v/>
      </c>
    </row>
    <row r="62">
      <c r="A62" t="inlineStr">
        <is>
          <t>Rastrelliger</t>
        </is>
      </c>
      <c r="B62">
        <f>IFERROR(INDEX(SPPR!$D:$D,MATCH($A62,SPPR!$A:$A,0)),"")</f>
        <v/>
      </c>
      <c r="C62">
        <f>IFERROR(INDEX(Catch!$E:$BV,MATCH($A62,Catch!$A:$A,0),MATCH($B$4,Catch!$E$1:$BV$1,0)),0)</f>
        <v/>
      </c>
      <c r="D62">
        <f>IFERROR(IF(ISNUMBER(INDEX(SPPR!$E:$X,MATCH($A62,SPPR!$A:$A,0),1)),$C62*INDEX(SPPR!$E:$X,MATCH($A62,SPPR!$A:$A,0),1),""),"")</f>
        <v/>
      </c>
      <c r="E62">
        <f>IFERROR(IF(ISNUMBER(INDEX(SPPR!$E:$X,MATCH($A62,SPPR!$A:$A,0),2)),$C62*INDEX(SPPR!$E:$X,MATCH($A62,SPPR!$A:$A,0),2),""),"")</f>
        <v/>
      </c>
      <c r="F62">
        <f>IFERROR(IF(ISNUMBER(INDEX(SPPR!$E:$X,MATCH($A62,SPPR!$A:$A,0),3)),$C62*INDEX(SPPR!$E:$X,MATCH($A62,SPPR!$A:$A,0),3),""),"")</f>
        <v/>
      </c>
      <c r="G62">
        <f>IFERROR(IF(ISNUMBER(INDEX(SPPR!$E:$X,MATCH($A62,SPPR!$A:$A,0),4)),$C62*INDEX(SPPR!$E:$X,MATCH($A62,SPPR!$A:$A,0),4),""),"")</f>
        <v/>
      </c>
      <c r="H62">
        <f>IFERROR(IF(ISNUMBER(INDEX(SPPR!$E:$X,MATCH($A62,SPPR!$A:$A,0),5)),$C62*INDEX(SPPR!$E:$X,MATCH($A62,SPPR!$A:$A,0),5),""),"")</f>
        <v/>
      </c>
      <c r="I62">
        <f>IFERROR(IF(ISNUMBER(INDEX(SPPR!$E:$X,MATCH($A62,SPPR!$A:$A,0),6)),$C62*INDEX(SPPR!$E:$X,MATCH($A62,SPPR!$A:$A,0),6),""),"")</f>
        <v/>
      </c>
      <c r="J62">
        <f>IFERROR(IF(ISNUMBER(INDEX(SPPR!$E:$X,MATCH($A62,SPPR!$A:$A,0),7)),$C62*INDEX(SPPR!$E:$X,MATCH($A62,SPPR!$A:$A,0),7),""),"")</f>
        <v/>
      </c>
      <c r="K62">
        <f>IFERROR(IF(ISNUMBER(INDEX(SPPR!$E:$X,MATCH($A62,SPPR!$A:$A,0),8)),$C62*INDEX(SPPR!$E:$X,MATCH($A62,SPPR!$A:$A,0),8),""),"")</f>
        <v/>
      </c>
      <c r="L62">
        <f>IFERROR(IF(ISNUMBER(INDEX(SPPR!$E:$X,MATCH($A62,SPPR!$A:$A,0),9)),$C62*INDEX(SPPR!$E:$X,MATCH($A62,SPPR!$A:$A,0),9),""),"")</f>
        <v/>
      </c>
      <c r="M62">
        <f>IFERROR(IF(ISNUMBER(INDEX(SPPR!$E:$X,MATCH($A62,SPPR!$A:$A,0),10)),$C62*INDEX(SPPR!$E:$X,MATCH($A62,SPPR!$A:$A,0),10),""),"")</f>
        <v/>
      </c>
      <c r="N62">
        <f>IFERROR(IF(ISNUMBER(INDEX(SPPR!$E:$X,MATCH($A62,SPPR!$A:$A,0),11)),$C62*INDEX(SPPR!$E:$X,MATCH($A62,SPPR!$A:$A,0),11),""),"")</f>
        <v/>
      </c>
      <c r="O62">
        <f>IFERROR(IF(ISNUMBER(INDEX(SPPR!$E:$X,MATCH($A62,SPPR!$A:$A,0),12)),$C62*INDEX(SPPR!$E:$X,MATCH($A62,SPPR!$A:$A,0),12),""),"")</f>
        <v/>
      </c>
      <c r="P62">
        <f>IFERROR(IF(ISNUMBER(INDEX(SPPR!$E:$X,MATCH($A62,SPPR!$A:$A,0),13)),$C62*INDEX(SPPR!$E:$X,MATCH($A62,SPPR!$A:$A,0),13),""),"")</f>
        <v/>
      </c>
      <c r="Q62">
        <f>IFERROR(IF(ISNUMBER(INDEX(SPPR!$E:$X,MATCH($A62,SPPR!$A:$A,0),14)),$C62*INDEX(SPPR!$E:$X,MATCH($A62,SPPR!$A:$A,0),14),""),"")</f>
        <v/>
      </c>
      <c r="R62">
        <f>IFERROR(IF(ISNUMBER(INDEX(SPPR!$E:$X,MATCH($A62,SPPR!$A:$A,0),15)),$C62*INDEX(SPPR!$E:$X,MATCH($A62,SPPR!$A:$A,0),15),""),"")</f>
        <v/>
      </c>
      <c r="S62">
        <f>IFERROR(IF(ISNUMBER(INDEX(SPPR!$E:$X,MATCH($A62,SPPR!$A:$A,0),16)),$C62*INDEX(SPPR!$E:$X,MATCH($A62,SPPR!$A:$A,0),16),""),"")</f>
        <v/>
      </c>
      <c r="T62">
        <f>IFERROR(IF(ISNUMBER(INDEX(SPPR!$E:$X,MATCH($A62,SPPR!$A:$A,0),17)),$C62*INDEX(SPPR!$E:$X,MATCH($A62,SPPR!$A:$A,0),17),""),"")</f>
        <v/>
      </c>
      <c r="U62">
        <f>IFERROR(IF(ISNUMBER(INDEX(SPPR!$E:$X,MATCH($A62,SPPR!$A:$A,0),18)),$C62*INDEX(SPPR!$E:$X,MATCH($A62,SPPR!$A:$A,0),18),""),"")</f>
        <v/>
      </c>
      <c r="V62">
        <f>IFERROR(IF(ISNUMBER(INDEX(SPPR!$E:$X,MATCH($A62,SPPR!$A:$A,0),19)),$C62*INDEX(SPPR!$E:$X,MATCH($A62,SPPR!$A:$A,0),19),""),"")</f>
        <v/>
      </c>
      <c r="W62">
        <f>IFERROR(IF(ISNUMBER(INDEX(SPPR!$E:$X,MATCH($A62,SPPR!$A:$A,0),20)),$C62*INDEX(SPPR!$E:$X,MATCH($A62,SPPR!$A:$A,0),20),""),"")</f>
        <v/>
      </c>
    </row>
    <row r="63">
      <c r="A63" t="inlineStr">
        <is>
          <t>Epinephelus</t>
        </is>
      </c>
      <c r="B63">
        <f>IFERROR(INDEX(SPPR!$D:$D,MATCH($A63,SPPR!$A:$A,0)),"")</f>
        <v/>
      </c>
      <c r="C63">
        <f>IFERROR(INDEX(Catch!$E:$BV,MATCH($A63,Catch!$A:$A,0),MATCH($B$4,Catch!$E$1:$BV$1,0)),0)</f>
        <v/>
      </c>
      <c r="D63">
        <f>IFERROR(IF(ISNUMBER(INDEX(SPPR!$E:$X,MATCH($A63,SPPR!$A:$A,0),1)),$C63*INDEX(SPPR!$E:$X,MATCH($A63,SPPR!$A:$A,0),1),""),"")</f>
        <v/>
      </c>
      <c r="E63">
        <f>IFERROR(IF(ISNUMBER(INDEX(SPPR!$E:$X,MATCH($A63,SPPR!$A:$A,0),2)),$C63*INDEX(SPPR!$E:$X,MATCH($A63,SPPR!$A:$A,0),2),""),"")</f>
        <v/>
      </c>
      <c r="F63">
        <f>IFERROR(IF(ISNUMBER(INDEX(SPPR!$E:$X,MATCH($A63,SPPR!$A:$A,0),3)),$C63*INDEX(SPPR!$E:$X,MATCH($A63,SPPR!$A:$A,0),3),""),"")</f>
        <v/>
      </c>
      <c r="G63">
        <f>IFERROR(IF(ISNUMBER(INDEX(SPPR!$E:$X,MATCH($A63,SPPR!$A:$A,0),4)),$C63*INDEX(SPPR!$E:$X,MATCH($A63,SPPR!$A:$A,0),4),""),"")</f>
        <v/>
      </c>
      <c r="H63">
        <f>IFERROR(IF(ISNUMBER(INDEX(SPPR!$E:$X,MATCH($A63,SPPR!$A:$A,0),5)),$C63*INDEX(SPPR!$E:$X,MATCH($A63,SPPR!$A:$A,0),5),""),"")</f>
        <v/>
      </c>
      <c r="I63">
        <f>IFERROR(IF(ISNUMBER(INDEX(SPPR!$E:$X,MATCH($A63,SPPR!$A:$A,0),6)),$C63*INDEX(SPPR!$E:$X,MATCH($A63,SPPR!$A:$A,0),6),""),"")</f>
        <v/>
      </c>
      <c r="J63">
        <f>IFERROR(IF(ISNUMBER(INDEX(SPPR!$E:$X,MATCH($A63,SPPR!$A:$A,0),7)),$C63*INDEX(SPPR!$E:$X,MATCH($A63,SPPR!$A:$A,0),7),""),"")</f>
        <v/>
      </c>
      <c r="K63">
        <f>IFERROR(IF(ISNUMBER(INDEX(SPPR!$E:$X,MATCH($A63,SPPR!$A:$A,0),8)),$C63*INDEX(SPPR!$E:$X,MATCH($A63,SPPR!$A:$A,0),8),""),"")</f>
        <v/>
      </c>
      <c r="L63">
        <f>IFERROR(IF(ISNUMBER(INDEX(SPPR!$E:$X,MATCH($A63,SPPR!$A:$A,0),9)),$C63*INDEX(SPPR!$E:$X,MATCH($A63,SPPR!$A:$A,0),9),""),"")</f>
        <v/>
      </c>
      <c r="M63">
        <f>IFERROR(IF(ISNUMBER(INDEX(SPPR!$E:$X,MATCH($A63,SPPR!$A:$A,0),10)),$C63*INDEX(SPPR!$E:$X,MATCH($A63,SPPR!$A:$A,0),10),""),"")</f>
        <v/>
      </c>
      <c r="N63">
        <f>IFERROR(IF(ISNUMBER(INDEX(SPPR!$E:$X,MATCH($A63,SPPR!$A:$A,0),11)),$C63*INDEX(SPPR!$E:$X,MATCH($A63,SPPR!$A:$A,0),11),""),"")</f>
        <v/>
      </c>
      <c r="O63">
        <f>IFERROR(IF(ISNUMBER(INDEX(SPPR!$E:$X,MATCH($A63,SPPR!$A:$A,0),12)),$C63*INDEX(SPPR!$E:$X,MATCH($A63,SPPR!$A:$A,0),12),""),"")</f>
        <v/>
      </c>
      <c r="P63">
        <f>IFERROR(IF(ISNUMBER(INDEX(SPPR!$E:$X,MATCH($A63,SPPR!$A:$A,0),13)),$C63*INDEX(SPPR!$E:$X,MATCH($A63,SPPR!$A:$A,0),13),""),"")</f>
        <v/>
      </c>
      <c r="Q63">
        <f>IFERROR(IF(ISNUMBER(INDEX(SPPR!$E:$X,MATCH($A63,SPPR!$A:$A,0),14)),$C63*INDEX(SPPR!$E:$X,MATCH($A63,SPPR!$A:$A,0),14),""),"")</f>
        <v/>
      </c>
      <c r="R63">
        <f>IFERROR(IF(ISNUMBER(INDEX(SPPR!$E:$X,MATCH($A63,SPPR!$A:$A,0),15)),$C63*INDEX(SPPR!$E:$X,MATCH($A63,SPPR!$A:$A,0),15),""),"")</f>
        <v/>
      </c>
      <c r="S63">
        <f>IFERROR(IF(ISNUMBER(INDEX(SPPR!$E:$X,MATCH($A63,SPPR!$A:$A,0),16)),$C63*INDEX(SPPR!$E:$X,MATCH($A63,SPPR!$A:$A,0),16),""),"")</f>
        <v/>
      </c>
      <c r="T63">
        <f>IFERROR(IF(ISNUMBER(INDEX(SPPR!$E:$X,MATCH($A63,SPPR!$A:$A,0),17)),$C63*INDEX(SPPR!$E:$X,MATCH($A63,SPPR!$A:$A,0),17),""),"")</f>
        <v/>
      </c>
      <c r="U63">
        <f>IFERROR(IF(ISNUMBER(INDEX(SPPR!$E:$X,MATCH($A63,SPPR!$A:$A,0),18)),$C63*INDEX(SPPR!$E:$X,MATCH($A63,SPPR!$A:$A,0),18),""),"")</f>
        <v/>
      </c>
      <c r="V63">
        <f>IFERROR(IF(ISNUMBER(INDEX(SPPR!$E:$X,MATCH($A63,SPPR!$A:$A,0),19)),$C63*INDEX(SPPR!$E:$X,MATCH($A63,SPPR!$A:$A,0),19),""),"")</f>
        <v/>
      </c>
      <c r="W63">
        <f>IFERROR(IF(ISNUMBER(INDEX(SPPR!$E:$X,MATCH($A63,SPPR!$A:$A,0),20)),$C63*INDEX(SPPR!$E:$X,MATCH($A63,SPPR!$A:$A,0),20),""),"")</f>
        <v/>
      </c>
    </row>
    <row r="64">
      <c r="A64" t="inlineStr">
        <is>
          <t>Mullidae</t>
        </is>
      </c>
      <c r="B64">
        <f>IFERROR(INDEX(SPPR!$D:$D,MATCH($A64,SPPR!$A:$A,0)),"")</f>
        <v/>
      </c>
      <c r="C64">
        <f>IFERROR(INDEX(Catch!$E:$BV,MATCH($A64,Catch!$A:$A,0),MATCH($B$4,Catch!$E$1:$BV$1,0)),0)</f>
        <v/>
      </c>
      <c r="D64">
        <f>IFERROR(IF(ISNUMBER(INDEX(SPPR!$E:$X,MATCH($A64,SPPR!$A:$A,0),1)),$C64*INDEX(SPPR!$E:$X,MATCH($A64,SPPR!$A:$A,0),1),""),"")</f>
        <v/>
      </c>
      <c r="E64">
        <f>IFERROR(IF(ISNUMBER(INDEX(SPPR!$E:$X,MATCH($A64,SPPR!$A:$A,0),2)),$C64*INDEX(SPPR!$E:$X,MATCH($A64,SPPR!$A:$A,0),2),""),"")</f>
        <v/>
      </c>
      <c r="F64">
        <f>IFERROR(IF(ISNUMBER(INDEX(SPPR!$E:$X,MATCH($A64,SPPR!$A:$A,0),3)),$C64*INDEX(SPPR!$E:$X,MATCH($A64,SPPR!$A:$A,0),3),""),"")</f>
        <v/>
      </c>
      <c r="G64">
        <f>IFERROR(IF(ISNUMBER(INDEX(SPPR!$E:$X,MATCH($A64,SPPR!$A:$A,0),4)),$C64*INDEX(SPPR!$E:$X,MATCH($A64,SPPR!$A:$A,0),4),""),"")</f>
        <v/>
      </c>
      <c r="H64">
        <f>IFERROR(IF(ISNUMBER(INDEX(SPPR!$E:$X,MATCH($A64,SPPR!$A:$A,0),5)),$C64*INDEX(SPPR!$E:$X,MATCH($A64,SPPR!$A:$A,0),5),""),"")</f>
        <v/>
      </c>
      <c r="I64">
        <f>IFERROR(IF(ISNUMBER(INDEX(SPPR!$E:$X,MATCH($A64,SPPR!$A:$A,0),6)),$C64*INDEX(SPPR!$E:$X,MATCH($A64,SPPR!$A:$A,0),6),""),"")</f>
        <v/>
      </c>
      <c r="J64">
        <f>IFERROR(IF(ISNUMBER(INDEX(SPPR!$E:$X,MATCH($A64,SPPR!$A:$A,0),7)),$C64*INDEX(SPPR!$E:$X,MATCH($A64,SPPR!$A:$A,0),7),""),"")</f>
        <v/>
      </c>
      <c r="K64">
        <f>IFERROR(IF(ISNUMBER(INDEX(SPPR!$E:$X,MATCH($A64,SPPR!$A:$A,0),8)),$C64*INDEX(SPPR!$E:$X,MATCH($A64,SPPR!$A:$A,0),8),""),"")</f>
        <v/>
      </c>
      <c r="L64">
        <f>IFERROR(IF(ISNUMBER(INDEX(SPPR!$E:$X,MATCH($A64,SPPR!$A:$A,0),9)),$C64*INDEX(SPPR!$E:$X,MATCH($A64,SPPR!$A:$A,0),9),""),"")</f>
        <v/>
      </c>
      <c r="M64">
        <f>IFERROR(IF(ISNUMBER(INDEX(SPPR!$E:$X,MATCH($A64,SPPR!$A:$A,0),10)),$C64*INDEX(SPPR!$E:$X,MATCH($A64,SPPR!$A:$A,0),10),""),"")</f>
        <v/>
      </c>
      <c r="N64">
        <f>IFERROR(IF(ISNUMBER(INDEX(SPPR!$E:$X,MATCH($A64,SPPR!$A:$A,0),11)),$C64*INDEX(SPPR!$E:$X,MATCH($A64,SPPR!$A:$A,0),11),""),"")</f>
        <v/>
      </c>
      <c r="O64">
        <f>IFERROR(IF(ISNUMBER(INDEX(SPPR!$E:$X,MATCH($A64,SPPR!$A:$A,0),12)),$C64*INDEX(SPPR!$E:$X,MATCH($A64,SPPR!$A:$A,0),12),""),"")</f>
        <v/>
      </c>
      <c r="P64">
        <f>IFERROR(IF(ISNUMBER(INDEX(SPPR!$E:$X,MATCH($A64,SPPR!$A:$A,0),13)),$C64*INDEX(SPPR!$E:$X,MATCH($A64,SPPR!$A:$A,0),13),""),"")</f>
        <v/>
      </c>
      <c r="Q64">
        <f>IFERROR(IF(ISNUMBER(INDEX(SPPR!$E:$X,MATCH($A64,SPPR!$A:$A,0),14)),$C64*INDEX(SPPR!$E:$X,MATCH($A64,SPPR!$A:$A,0),14),""),"")</f>
        <v/>
      </c>
      <c r="R64">
        <f>IFERROR(IF(ISNUMBER(INDEX(SPPR!$E:$X,MATCH($A64,SPPR!$A:$A,0),15)),$C64*INDEX(SPPR!$E:$X,MATCH($A64,SPPR!$A:$A,0),15),""),"")</f>
        <v/>
      </c>
      <c r="S64">
        <f>IFERROR(IF(ISNUMBER(INDEX(SPPR!$E:$X,MATCH($A64,SPPR!$A:$A,0),16)),$C64*INDEX(SPPR!$E:$X,MATCH($A64,SPPR!$A:$A,0),16),""),"")</f>
        <v/>
      </c>
      <c r="T64">
        <f>IFERROR(IF(ISNUMBER(INDEX(SPPR!$E:$X,MATCH($A64,SPPR!$A:$A,0),17)),$C64*INDEX(SPPR!$E:$X,MATCH($A64,SPPR!$A:$A,0),17),""),"")</f>
        <v/>
      </c>
      <c r="U64">
        <f>IFERROR(IF(ISNUMBER(INDEX(SPPR!$E:$X,MATCH($A64,SPPR!$A:$A,0),18)),$C64*INDEX(SPPR!$E:$X,MATCH($A64,SPPR!$A:$A,0),18),""),"")</f>
        <v/>
      </c>
      <c r="V64">
        <f>IFERROR(IF(ISNUMBER(INDEX(SPPR!$E:$X,MATCH($A64,SPPR!$A:$A,0),19)),$C64*INDEX(SPPR!$E:$X,MATCH($A64,SPPR!$A:$A,0),19),""),"")</f>
        <v/>
      </c>
      <c r="W64">
        <f>IFERROR(IF(ISNUMBER(INDEX(SPPR!$E:$X,MATCH($A64,SPPR!$A:$A,0),20)),$C64*INDEX(SPPR!$E:$X,MATCH($A64,SPPR!$A:$A,0),20),""),"")</f>
        <v/>
      </c>
    </row>
    <row r="65">
      <c r="A65" t="inlineStr">
        <is>
          <t>Decapterus macrosoma</t>
        </is>
      </c>
      <c r="B65">
        <f>IFERROR(INDEX(SPPR!$D:$D,MATCH($A65,SPPR!$A:$A,0)),"")</f>
        <v/>
      </c>
      <c r="C65">
        <f>IFERROR(INDEX(Catch!$E:$BV,MATCH($A65,Catch!$A:$A,0),MATCH($B$4,Catch!$E$1:$BV$1,0)),0)</f>
        <v/>
      </c>
      <c r="D65">
        <f>IFERROR(IF(ISNUMBER(INDEX(SPPR!$E:$X,MATCH($A65,SPPR!$A:$A,0),1)),$C65*INDEX(SPPR!$E:$X,MATCH($A65,SPPR!$A:$A,0),1),""),"")</f>
        <v/>
      </c>
      <c r="E65">
        <f>IFERROR(IF(ISNUMBER(INDEX(SPPR!$E:$X,MATCH($A65,SPPR!$A:$A,0),2)),$C65*INDEX(SPPR!$E:$X,MATCH($A65,SPPR!$A:$A,0),2),""),"")</f>
        <v/>
      </c>
      <c r="F65">
        <f>IFERROR(IF(ISNUMBER(INDEX(SPPR!$E:$X,MATCH($A65,SPPR!$A:$A,0),3)),$C65*INDEX(SPPR!$E:$X,MATCH($A65,SPPR!$A:$A,0),3),""),"")</f>
        <v/>
      </c>
      <c r="G65">
        <f>IFERROR(IF(ISNUMBER(INDEX(SPPR!$E:$X,MATCH($A65,SPPR!$A:$A,0),4)),$C65*INDEX(SPPR!$E:$X,MATCH($A65,SPPR!$A:$A,0),4),""),"")</f>
        <v/>
      </c>
      <c r="H65">
        <f>IFERROR(IF(ISNUMBER(INDEX(SPPR!$E:$X,MATCH($A65,SPPR!$A:$A,0),5)),$C65*INDEX(SPPR!$E:$X,MATCH($A65,SPPR!$A:$A,0),5),""),"")</f>
        <v/>
      </c>
      <c r="I65">
        <f>IFERROR(IF(ISNUMBER(INDEX(SPPR!$E:$X,MATCH($A65,SPPR!$A:$A,0),6)),$C65*INDEX(SPPR!$E:$X,MATCH($A65,SPPR!$A:$A,0),6),""),"")</f>
        <v/>
      </c>
      <c r="J65">
        <f>IFERROR(IF(ISNUMBER(INDEX(SPPR!$E:$X,MATCH($A65,SPPR!$A:$A,0),7)),$C65*INDEX(SPPR!$E:$X,MATCH($A65,SPPR!$A:$A,0),7),""),"")</f>
        <v/>
      </c>
      <c r="K65">
        <f>IFERROR(IF(ISNUMBER(INDEX(SPPR!$E:$X,MATCH($A65,SPPR!$A:$A,0),8)),$C65*INDEX(SPPR!$E:$X,MATCH($A65,SPPR!$A:$A,0),8),""),"")</f>
        <v/>
      </c>
      <c r="L65">
        <f>IFERROR(IF(ISNUMBER(INDEX(SPPR!$E:$X,MATCH($A65,SPPR!$A:$A,0),9)),$C65*INDEX(SPPR!$E:$X,MATCH($A65,SPPR!$A:$A,0),9),""),"")</f>
        <v/>
      </c>
      <c r="M65">
        <f>IFERROR(IF(ISNUMBER(INDEX(SPPR!$E:$X,MATCH($A65,SPPR!$A:$A,0),10)),$C65*INDEX(SPPR!$E:$X,MATCH($A65,SPPR!$A:$A,0),10),""),"")</f>
        <v/>
      </c>
      <c r="N65">
        <f>IFERROR(IF(ISNUMBER(INDEX(SPPR!$E:$X,MATCH($A65,SPPR!$A:$A,0),11)),$C65*INDEX(SPPR!$E:$X,MATCH($A65,SPPR!$A:$A,0),11),""),"")</f>
        <v/>
      </c>
      <c r="O65">
        <f>IFERROR(IF(ISNUMBER(INDEX(SPPR!$E:$X,MATCH($A65,SPPR!$A:$A,0),12)),$C65*INDEX(SPPR!$E:$X,MATCH($A65,SPPR!$A:$A,0),12),""),"")</f>
        <v/>
      </c>
      <c r="P65">
        <f>IFERROR(IF(ISNUMBER(INDEX(SPPR!$E:$X,MATCH($A65,SPPR!$A:$A,0),13)),$C65*INDEX(SPPR!$E:$X,MATCH($A65,SPPR!$A:$A,0),13),""),"")</f>
        <v/>
      </c>
      <c r="Q65">
        <f>IFERROR(IF(ISNUMBER(INDEX(SPPR!$E:$X,MATCH($A65,SPPR!$A:$A,0),14)),$C65*INDEX(SPPR!$E:$X,MATCH($A65,SPPR!$A:$A,0),14),""),"")</f>
        <v/>
      </c>
      <c r="R65">
        <f>IFERROR(IF(ISNUMBER(INDEX(SPPR!$E:$X,MATCH($A65,SPPR!$A:$A,0),15)),$C65*INDEX(SPPR!$E:$X,MATCH($A65,SPPR!$A:$A,0),15),""),"")</f>
        <v/>
      </c>
      <c r="S65">
        <f>IFERROR(IF(ISNUMBER(INDEX(SPPR!$E:$X,MATCH($A65,SPPR!$A:$A,0),16)),$C65*INDEX(SPPR!$E:$X,MATCH($A65,SPPR!$A:$A,0),16),""),"")</f>
        <v/>
      </c>
      <c r="T65">
        <f>IFERROR(IF(ISNUMBER(INDEX(SPPR!$E:$X,MATCH($A65,SPPR!$A:$A,0),17)),$C65*INDEX(SPPR!$E:$X,MATCH($A65,SPPR!$A:$A,0),17),""),"")</f>
        <v/>
      </c>
      <c r="U65">
        <f>IFERROR(IF(ISNUMBER(INDEX(SPPR!$E:$X,MATCH($A65,SPPR!$A:$A,0),18)),$C65*INDEX(SPPR!$E:$X,MATCH($A65,SPPR!$A:$A,0),18),""),"")</f>
        <v/>
      </c>
      <c r="V65">
        <f>IFERROR(IF(ISNUMBER(INDEX(SPPR!$E:$X,MATCH($A65,SPPR!$A:$A,0),19)),$C65*INDEX(SPPR!$E:$X,MATCH($A65,SPPR!$A:$A,0),19),""),"")</f>
        <v/>
      </c>
      <c r="W65">
        <f>IFERROR(IF(ISNUMBER(INDEX(SPPR!$E:$X,MATCH($A65,SPPR!$A:$A,0),20)),$C65*INDEX(SPPR!$E:$X,MATCH($A65,SPPR!$A:$A,0),20),""),"")</f>
        <v/>
      </c>
    </row>
    <row r="66">
      <c r="A66" t="inlineStr">
        <is>
          <t>Katsuwonus pelamis</t>
        </is>
      </c>
      <c r="B66">
        <f>IFERROR(INDEX(SPPR!$D:$D,MATCH($A66,SPPR!$A:$A,0)),"")</f>
        <v/>
      </c>
      <c r="C66">
        <f>IFERROR(INDEX(Catch!$E:$BV,MATCH($A66,Catch!$A:$A,0),MATCH($B$4,Catch!$E$1:$BV$1,0)),0)</f>
        <v/>
      </c>
      <c r="D66">
        <f>IFERROR(IF(ISNUMBER(INDEX(SPPR!$E:$X,MATCH($A66,SPPR!$A:$A,0),1)),$C66*INDEX(SPPR!$E:$X,MATCH($A66,SPPR!$A:$A,0),1),""),"")</f>
        <v/>
      </c>
      <c r="E66">
        <f>IFERROR(IF(ISNUMBER(INDEX(SPPR!$E:$X,MATCH($A66,SPPR!$A:$A,0),2)),$C66*INDEX(SPPR!$E:$X,MATCH($A66,SPPR!$A:$A,0),2),""),"")</f>
        <v/>
      </c>
      <c r="F66">
        <f>IFERROR(IF(ISNUMBER(INDEX(SPPR!$E:$X,MATCH($A66,SPPR!$A:$A,0),3)),$C66*INDEX(SPPR!$E:$X,MATCH($A66,SPPR!$A:$A,0),3),""),"")</f>
        <v/>
      </c>
      <c r="G66">
        <f>IFERROR(IF(ISNUMBER(INDEX(SPPR!$E:$X,MATCH($A66,SPPR!$A:$A,0),4)),$C66*INDEX(SPPR!$E:$X,MATCH($A66,SPPR!$A:$A,0),4),""),"")</f>
        <v/>
      </c>
      <c r="H66">
        <f>IFERROR(IF(ISNUMBER(INDEX(SPPR!$E:$X,MATCH($A66,SPPR!$A:$A,0),5)),$C66*INDEX(SPPR!$E:$X,MATCH($A66,SPPR!$A:$A,0),5),""),"")</f>
        <v/>
      </c>
      <c r="I66">
        <f>IFERROR(IF(ISNUMBER(INDEX(SPPR!$E:$X,MATCH($A66,SPPR!$A:$A,0),6)),$C66*INDEX(SPPR!$E:$X,MATCH($A66,SPPR!$A:$A,0),6),""),"")</f>
        <v/>
      </c>
      <c r="J66">
        <f>IFERROR(IF(ISNUMBER(INDEX(SPPR!$E:$X,MATCH($A66,SPPR!$A:$A,0),7)),$C66*INDEX(SPPR!$E:$X,MATCH($A66,SPPR!$A:$A,0),7),""),"")</f>
        <v/>
      </c>
      <c r="K66">
        <f>IFERROR(IF(ISNUMBER(INDEX(SPPR!$E:$X,MATCH($A66,SPPR!$A:$A,0),8)),$C66*INDEX(SPPR!$E:$X,MATCH($A66,SPPR!$A:$A,0),8),""),"")</f>
        <v/>
      </c>
      <c r="L66">
        <f>IFERROR(IF(ISNUMBER(INDEX(SPPR!$E:$X,MATCH($A66,SPPR!$A:$A,0),9)),$C66*INDEX(SPPR!$E:$X,MATCH($A66,SPPR!$A:$A,0),9),""),"")</f>
        <v/>
      </c>
      <c r="M66">
        <f>IFERROR(IF(ISNUMBER(INDEX(SPPR!$E:$X,MATCH($A66,SPPR!$A:$A,0),10)),$C66*INDEX(SPPR!$E:$X,MATCH($A66,SPPR!$A:$A,0),10),""),"")</f>
        <v/>
      </c>
      <c r="N66">
        <f>IFERROR(IF(ISNUMBER(INDEX(SPPR!$E:$X,MATCH($A66,SPPR!$A:$A,0),11)),$C66*INDEX(SPPR!$E:$X,MATCH($A66,SPPR!$A:$A,0),11),""),"")</f>
        <v/>
      </c>
      <c r="O66">
        <f>IFERROR(IF(ISNUMBER(INDEX(SPPR!$E:$X,MATCH($A66,SPPR!$A:$A,0),12)),$C66*INDEX(SPPR!$E:$X,MATCH($A66,SPPR!$A:$A,0),12),""),"")</f>
        <v/>
      </c>
      <c r="P66">
        <f>IFERROR(IF(ISNUMBER(INDEX(SPPR!$E:$X,MATCH($A66,SPPR!$A:$A,0),13)),$C66*INDEX(SPPR!$E:$X,MATCH($A66,SPPR!$A:$A,0),13),""),"")</f>
        <v/>
      </c>
      <c r="Q66">
        <f>IFERROR(IF(ISNUMBER(INDEX(SPPR!$E:$X,MATCH($A66,SPPR!$A:$A,0),14)),$C66*INDEX(SPPR!$E:$X,MATCH($A66,SPPR!$A:$A,0),14),""),"")</f>
        <v/>
      </c>
      <c r="R66">
        <f>IFERROR(IF(ISNUMBER(INDEX(SPPR!$E:$X,MATCH($A66,SPPR!$A:$A,0),15)),$C66*INDEX(SPPR!$E:$X,MATCH($A66,SPPR!$A:$A,0),15),""),"")</f>
        <v/>
      </c>
      <c r="S66">
        <f>IFERROR(IF(ISNUMBER(INDEX(SPPR!$E:$X,MATCH($A66,SPPR!$A:$A,0),16)),$C66*INDEX(SPPR!$E:$X,MATCH($A66,SPPR!$A:$A,0),16),""),"")</f>
        <v/>
      </c>
      <c r="T66">
        <f>IFERROR(IF(ISNUMBER(INDEX(SPPR!$E:$X,MATCH($A66,SPPR!$A:$A,0),17)),$C66*INDEX(SPPR!$E:$X,MATCH($A66,SPPR!$A:$A,0),17),""),"")</f>
        <v/>
      </c>
      <c r="U66">
        <f>IFERROR(IF(ISNUMBER(INDEX(SPPR!$E:$X,MATCH($A66,SPPR!$A:$A,0),18)),$C66*INDEX(SPPR!$E:$X,MATCH($A66,SPPR!$A:$A,0),18),""),"")</f>
        <v/>
      </c>
      <c r="V66">
        <f>IFERROR(IF(ISNUMBER(INDEX(SPPR!$E:$X,MATCH($A66,SPPR!$A:$A,0),19)),$C66*INDEX(SPPR!$E:$X,MATCH($A66,SPPR!$A:$A,0),19),""),"")</f>
        <v/>
      </c>
      <c r="W66">
        <f>IFERROR(IF(ISNUMBER(INDEX(SPPR!$E:$X,MATCH($A66,SPPR!$A:$A,0),20)),$C66*INDEX(SPPR!$E:$X,MATCH($A66,SPPR!$A:$A,0),20),""),"")</f>
        <v/>
      </c>
    </row>
    <row r="67">
      <c r="A67" t="inlineStr">
        <is>
          <t>Penaeus chinensis</t>
        </is>
      </c>
      <c r="B67">
        <f>IFERROR(INDEX(SPPR!$D:$D,MATCH($A67,SPPR!$A:$A,0)),"")</f>
        <v/>
      </c>
      <c r="C67">
        <f>IFERROR(INDEX(Catch!$E:$BV,MATCH($A67,Catch!$A:$A,0),MATCH($B$4,Catch!$E$1:$BV$1,0)),0)</f>
        <v/>
      </c>
      <c r="D67">
        <f>IFERROR(IF(ISNUMBER(INDEX(SPPR!$E:$X,MATCH($A67,SPPR!$A:$A,0),1)),$C67*INDEX(SPPR!$E:$X,MATCH($A67,SPPR!$A:$A,0),1),""),"")</f>
        <v/>
      </c>
      <c r="E67">
        <f>IFERROR(IF(ISNUMBER(INDEX(SPPR!$E:$X,MATCH($A67,SPPR!$A:$A,0),2)),$C67*INDEX(SPPR!$E:$X,MATCH($A67,SPPR!$A:$A,0),2),""),"")</f>
        <v/>
      </c>
      <c r="F67">
        <f>IFERROR(IF(ISNUMBER(INDEX(SPPR!$E:$X,MATCH($A67,SPPR!$A:$A,0),3)),$C67*INDEX(SPPR!$E:$X,MATCH($A67,SPPR!$A:$A,0),3),""),"")</f>
        <v/>
      </c>
      <c r="G67">
        <f>IFERROR(IF(ISNUMBER(INDEX(SPPR!$E:$X,MATCH($A67,SPPR!$A:$A,0),4)),$C67*INDEX(SPPR!$E:$X,MATCH($A67,SPPR!$A:$A,0),4),""),"")</f>
        <v/>
      </c>
      <c r="H67">
        <f>IFERROR(IF(ISNUMBER(INDEX(SPPR!$E:$X,MATCH($A67,SPPR!$A:$A,0),5)),$C67*INDEX(SPPR!$E:$X,MATCH($A67,SPPR!$A:$A,0),5),""),"")</f>
        <v/>
      </c>
      <c r="I67">
        <f>IFERROR(IF(ISNUMBER(INDEX(SPPR!$E:$X,MATCH($A67,SPPR!$A:$A,0),6)),$C67*INDEX(SPPR!$E:$X,MATCH($A67,SPPR!$A:$A,0),6),""),"")</f>
        <v/>
      </c>
      <c r="J67">
        <f>IFERROR(IF(ISNUMBER(INDEX(SPPR!$E:$X,MATCH($A67,SPPR!$A:$A,0),7)),$C67*INDEX(SPPR!$E:$X,MATCH($A67,SPPR!$A:$A,0),7),""),"")</f>
        <v/>
      </c>
      <c r="K67">
        <f>IFERROR(IF(ISNUMBER(INDEX(SPPR!$E:$X,MATCH($A67,SPPR!$A:$A,0),8)),$C67*INDEX(SPPR!$E:$X,MATCH($A67,SPPR!$A:$A,0),8),""),"")</f>
        <v/>
      </c>
      <c r="L67">
        <f>IFERROR(IF(ISNUMBER(INDEX(SPPR!$E:$X,MATCH($A67,SPPR!$A:$A,0),9)),$C67*INDEX(SPPR!$E:$X,MATCH($A67,SPPR!$A:$A,0),9),""),"")</f>
        <v/>
      </c>
      <c r="M67">
        <f>IFERROR(IF(ISNUMBER(INDEX(SPPR!$E:$X,MATCH($A67,SPPR!$A:$A,0),10)),$C67*INDEX(SPPR!$E:$X,MATCH($A67,SPPR!$A:$A,0),10),""),"")</f>
        <v/>
      </c>
      <c r="N67">
        <f>IFERROR(IF(ISNUMBER(INDEX(SPPR!$E:$X,MATCH($A67,SPPR!$A:$A,0),11)),$C67*INDEX(SPPR!$E:$X,MATCH($A67,SPPR!$A:$A,0),11),""),"")</f>
        <v/>
      </c>
      <c r="O67">
        <f>IFERROR(IF(ISNUMBER(INDEX(SPPR!$E:$X,MATCH($A67,SPPR!$A:$A,0),12)),$C67*INDEX(SPPR!$E:$X,MATCH($A67,SPPR!$A:$A,0),12),""),"")</f>
        <v/>
      </c>
      <c r="P67">
        <f>IFERROR(IF(ISNUMBER(INDEX(SPPR!$E:$X,MATCH($A67,SPPR!$A:$A,0),13)),$C67*INDEX(SPPR!$E:$X,MATCH($A67,SPPR!$A:$A,0),13),""),"")</f>
        <v/>
      </c>
      <c r="Q67">
        <f>IFERROR(IF(ISNUMBER(INDEX(SPPR!$E:$X,MATCH($A67,SPPR!$A:$A,0),14)),$C67*INDEX(SPPR!$E:$X,MATCH($A67,SPPR!$A:$A,0),14),""),"")</f>
        <v/>
      </c>
      <c r="R67">
        <f>IFERROR(IF(ISNUMBER(INDEX(SPPR!$E:$X,MATCH($A67,SPPR!$A:$A,0),15)),$C67*INDEX(SPPR!$E:$X,MATCH($A67,SPPR!$A:$A,0),15),""),"")</f>
        <v/>
      </c>
      <c r="S67">
        <f>IFERROR(IF(ISNUMBER(INDEX(SPPR!$E:$X,MATCH($A67,SPPR!$A:$A,0),16)),$C67*INDEX(SPPR!$E:$X,MATCH($A67,SPPR!$A:$A,0),16),""),"")</f>
        <v/>
      </c>
      <c r="T67">
        <f>IFERROR(IF(ISNUMBER(INDEX(SPPR!$E:$X,MATCH($A67,SPPR!$A:$A,0),17)),$C67*INDEX(SPPR!$E:$X,MATCH($A67,SPPR!$A:$A,0),17),""),"")</f>
        <v/>
      </c>
      <c r="U67">
        <f>IFERROR(IF(ISNUMBER(INDEX(SPPR!$E:$X,MATCH($A67,SPPR!$A:$A,0),18)),$C67*INDEX(SPPR!$E:$X,MATCH($A67,SPPR!$A:$A,0),18),""),"")</f>
        <v/>
      </c>
      <c r="V67">
        <f>IFERROR(IF(ISNUMBER(INDEX(SPPR!$E:$X,MATCH($A67,SPPR!$A:$A,0),19)),$C67*INDEX(SPPR!$E:$X,MATCH($A67,SPPR!$A:$A,0),19),""),"")</f>
        <v/>
      </c>
      <c r="W67">
        <f>IFERROR(IF(ISNUMBER(INDEX(SPPR!$E:$X,MATCH($A67,SPPR!$A:$A,0),20)),$C67*INDEX(SPPR!$E:$X,MATCH($A67,SPPR!$A:$A,0),20),""),"")</f>
        <v/>
      </c>
    </row>
    <row r="68">
      <c r="A68" t="inlineStr">
        <is>
          <t>Selaroides leptolepis</t>
        </is>
      </c>
      <c r="B68">
        <f>IFERROR(INDEX(SPPR!$D:$D,MATCH($A68,SPPR!$A:$A,0)),"")</f>
        <v/>
      </c>
      <c r="C68">
        <f>IFERROR(INDEX(Catch!$E:$BV,MATCH($A68,Catch!$A:$A,0),MATCH($B$4,Catch!$E$1:$BV$1,0)),0)</f>
        <v/>
      </c>
      <c r="D68">
        <f>IFERROR(IF(ISNUMBER(INDEX(SPPR!$E:$X,MATCH($A68,SPPR!$A:$A,0),1)),$C68*INDEX(SPPR!$E:$X,MATCH($A68,SPPR!$A:$A,0),1),""),"")</f>
        <v/>
      </c>
      <c r="E68">
        <f>IFERROR(IF(ISNUMBER(INDEX(SPPR!$E:$X,MATCH($A68,SPPR!$A:$A,0),2)),$C68*INDEX(SPPR!$E:$X,MATCH($A68,SPPR!$A:$A,0),2),""),"")</f>
        <v/>
      </c>
      <c r="F68">
        <f>IFERROR(IF(ISNUMBER(INDEX(SPPR!$E:$X,MATCH($A68,SPPR!$A:$A,0),3)),$C68*INDEX(SPPR!$E:$X,MATCH($A68,SPPR!$A:$A,0),3),""),"")</f>
        <v/>
      </c>
      <c r="G68">
        <f>IFERROR(IF(ISNUMBER(INDEX(SPPR!$E:$X,MATCH($A68,SPPR!$A:$A,0),4)),$C68*INDEX(SPPR!$E:$X,MATCH($A68,SPPR!$A:$A,0),4),""),"")</f>
        <v/>
      </c>
      <c r="H68">
        <f>IFERROR(IF(ISNUMBER(INDEX(SPPR!$E:$X,MATCH($A68,SPPR!$A:$A,0),5)),$C68*INDEX(SPPR!$E:$X,MATCH($A68,SPPR!$A:$A,0),5),""),"")</f>
        <v/>
      </c>
      <c r="I68">
        <f>IFERROR(IF(ISNUMBER(INDEX(SPPR!$E:$X,MATCH($A68,SPPR!$A:$A,0),6)),$C68*INDEX(SPPR!$E:$X,MATCH($A68,SPPR!$A:$A,0),6),""),"")</f>
        <v/>
      </c>
      <c r="J68">
        <f>IFERROR(IF(ISNUMBER(INDEX(SPPR!$E:$X,MATCH($A68,SPPR!$A:$A,0),7)),$C68*INDEX(SPPR!$E:$X,MATCH($A68,SPPR!$A:$A,0),7),""),"")</f>
        <v/>
      </c>
      <c r="K68">
        <f>IFERROR(IF(ISNUMBER(INDEX(SPPR!$E:$X,MATCH($A68,SPPR!$A:$A,0),8)),$C68*INDEX(SPPR!$E:$X,MATCH($A68,SPPR!$A:$A,0),8),""),"")</f>
        <v/>
      </c>
      <c r="L68">
        <f>IFERROR(IF(ISNUMBER(INDEX(SPPR!$E:$X,MATCH($A68,SPPR!$A:$A,0),9)),$C68*INDEX(SPPR!$E:$X,MATCH($A68,SPPR!$A:$A,0),9),""),"")</f>
        <v/>
      </c>
      <c r="M68">
        <f>IFERROR(IF(ISNUMBER(INDEX(SPPR!$E:$X,MATCH($A68,SPPR!$A:$A,0),10)),$C68*INDEX(SPPR!$E:$X,MATCH($A68,SPPR!$A:$A,0),10),""),"")</f>
        <v/>
      </c>
      <c r="N68">
        <f>IFERROR(IF(ISNUMBER(INDEX(SPPR!$E:$X,MATCH($A68,SPPR!$A:$A,0),11)),$C68*INDEX(SPPR!$E:$X,MATCH($A68,SPPR!$A:$A,0),11),""),"")</f>
        <v/>
      </c>
      <c r="O68">
        <f>IFERROR(IF(ISNUMBER(INDEX(SPPR!$E:$X,MATCH($A68,SPPR!$A:$A,0),12)),$C68*INDEX(SPPR!$E:$X,MATCH($A68,SPPR!$A:$A,0),12),""),"")</f>
        <v/>
      </c>
      <c r="P68">
        <f>IFERROR(IF(ISNUMBER(INDEX(SPPR!$E:$X,MATCH($A68,SPPR!$A:$A,0),13)),$C68*INDEX(SPPR!$E:$X,MATCH($A68,SPPR!$A:$A,0),13),""),"")</f>
        <v/>
      </c>
      <c r="Q68">
        <f>IFERROR(IF(ISNUMBER(INDEX(SPPR!$E:$X,MATCH($A68,SPPR!$A:$A,0),14)),$C68*INDEX(SPPR!$E:$X,MATCH($A68,SPPR!$A:$A,0),14),""),"")</f>
        <v/>
      </c>
      <c r="R68">
        <f>IFERROR(IF(ISNUMBER(INDEX(SPPR!$E:$X,MATCH($A68,SPPR!$A:$A,0),15)),$C68*INDEX(SPPR!$E:$X,MATCH($A68,SPPR!$A:$A,0),15),""),"")</f>
        <v/>
      </c>
      <c r="S68">
        <f>IFERROR(IF(ISNUMBER(INDEX(SPPR!$E:$X,MATCH($A68,SPPR!$A:$A,0),16)),$C68*INDEX(SPPR!$E:$X,MATCH($A68,SPPR!$A:$A,0),16),""),"")</f>
        <v/>
      </c>
      <c r="T68">
        <f>IFERROR(IF(ISNUMBER(INDEX(SPPR!$E:$X,MATCH($A68,SPPR!$A:$A,0),17)),$C68*INDEX(SPPR!$E:$X,MATCH($A68,SPPR!$A:$A,0),17),""),"")</f>
        <v/>
      </c>
      <c r="U68">
        <f>IFERROR(IF(ISNUMBER(INDEX(SPPR!$E:$X,MATCH($A68,SPPR!$A:$A,0),18)),$C68*INDEX(SPPR!$E:$X,MATCH($A68,SPPR!$A:$A,0),18),""),"")</f>
        <v/>
      </c>
      <c r="V68">
        <f>IFERROR(IF(ISNUMBER(INDEX(SPPR!$E:$X,MATCH($A68,SPPR!$A:$A,0),19)),$C68*INDEX(SPPR!$E:$X,MATCH($A68,SPPR!$A:$A,0),19),""),"")</f>
        <v/>
      </c>
      <c r="W68">
        <f>IFERROR(IF(ISNUMBER(INDEX(SPPR!$E:$X,MATCH($A68,SPPR!$A:$A,0),20)),$C68*INDEX(SPPR!$E:$X,MATCH($A68,SPPR!$A:$A,0),20),""),"")</f>
        <v/>
      </c>
    </row>
    <row r="69">
      <c r="A69" t="inlineStr">
        <is>
          <t>Mugilidae</t>
        </is>
      </c>
      <c r="B69">
        <f>IFERROR(INDEX(SPPR!$D:$D,MATCH($A69,SPPR!$A:$A,0)),"")</f>
        <v/>
      </c>
      <c r="C69">
        <f>IFERROR(INDEX(Catch!$E:$BV,MATCH($A69,Catch!$A:$A,0),MATCH($B$4,Catch!$E$1:$BV$1,0)),0)</f>
        <v/>
      </c>
      <c r="D69">
        <f>IFERROR(IF(ISNUMBER(INDEX(SPPR!$E:$X,MATCH($A69,SPPR!$A:$A,0),1)),$C69*INDEX(SPPR!$E:$X,MATCH($A69,SPPR!$A:$A,0),1),""),"")</f>
        <v/>
      </c>
      <c r="E69">
        <f>IFERROR(IF(ISNUMBER(INDEX(SPPR!$E:$X,MATCH($A69,SPPR!$A:$A,0),2)),$C69*INDEX(SPPR!$E:$X,MATCH($A69,SPPR!$A:$A,0),2),""),"")</f>
        <v/>
      </c>
      <c r="F69">
        <f>IFERROR(IF(ISNUMBER(INDEX(SPPR!$E:$X,MATCH($A69,SPPR!$A:$A,0),3)),$C69*INDEX(SPPR!$E:$X,MATCH($A69,SPPR!$A:$A,0),3),""),"")</f>
        <v/>
      </c>
      <c r="G69">
        <f>IFERROR(IF(ISNUMBER(INDEX(SPPR!$E:$X,MATCH($A69,SPPR!$A:$A,0),4)),$C69*INDEX(SPPR!$E:$X,MATCH($A69,SPPR!$A:$A,0),4),""),"")</f>
        <v/>
      </c>
      <c r="H69">
        <f>IFERROR(IF(ISNUMBER(INDEX(SPPR!$E:$X,MATCH($A69,SPPR!$A:$A,0),5)),$C69*INDEX(SPPR!$E:$X,MATCH($A69,SPPR!$A:$A,0),5),""),"")</f>
        <v/>
      </c>
      <c r="I69">
        <f>IFERROR(IF(ISNUMBER(INDEX(SPPR!$E:$X,MATCH($A69,SPPR!$A:$A,0),6)),$C69*INDEX(SPPR!$E:$X,MATCH($A69,SPPR!$A:$A,0),6),""),"")</f>
        <v/>
      </c>
      <c r="J69">
        <f>IFERROR(IF(ISNUMBER(INDEX(SPPR!$E:$X,MATCH($A69,SPPR!$A:$A,0),7)),$C69*INDEX(SPPR!$E:$X,MATCH($A69,SPPR!$A:$A,0),7),""),"")</f>
        <v/>
      </c>
      <c r="K69">
        <f>IFERROR(IF(ISNUMBER(INDEX(SPPR!$E:$X,MATCH($A69,SPPR!$A:$A,0),8)),$C69*INDEX(SPPR!$E:$X,MATCH($A69,SPPR!$A:$A,0),8),""),"")</f>
        <v/>
      </c>
      <c r="L69">
        <f>IFERROR(IF(ISNUMBER(INDEX(SPPR!$E:$X,MATCH($A69,SPPR!$A:$A,0),9)),$C69*INDEX(SPPR!$E:$X,MATCH($A69,SPPR!$A:$A,0),9),""),"")</f>
        <v/>
      </c>
      <c r="M69">
        <f>IFERROR(IF(ISNUMBER(INDEX(SPPR!$E:$X,MATCH($A69,SPPR!$A:$A,0),10)),$C69*INDEX(SPPR!$E:$X,MATCH($A69,SPPR!$A:$A,0),10),""),"")</f>
        <v/>
      </c>
      <c r="N69">
        <f>IFERROR(IF(ISNUMBER(INDEX(SPPR!$E:$X,MATCH($A69,SPPR!$A:$A,0),11)),$C69*INDEX(SPPR!$E:$X,MATCH($A69,SPPR!$A:$A,0),11),""),"")</f>
        <v/>
      </c>
      <c r="O69">
        <f>IFERROR(IF(ISNUMBER(INDEX(SPPR!$E:$X,MATCH($A69,SPPR!$A:$A,0),12)),$C69*INDEX(SPPR!$E:$X,MATCH($A69,SPPR!$A:$A,0),12),""),"")</f>
        <v/>
      </c>
      <c r="P69">
        <f>IFERROR(IF(ISNUMBER(INDEX(SPPR!$E:$X,MATCH($A69,SPPR!$A:$A,0),13)),$C69*INDEX(SPPR!$E:$X,MATCH($A69,SPPR!$A:$A,0),13),""),"")</f>
        <v/>
      </c>
      <c r="Q69">
        <f>IFERROR(IF(ISNUMBER(INDEX(SPPR!$E:$X,MATCH($A69,SPPR!$A:$A,0),14)),$C69*INDEX(SPPR!$E:$X,MATCH($A69,SPPR!$A:$A,0),14),""),"")</f>
        <v/>
      </c>
      <c r="R69">
        <f>IFERROR(IF(ISNUMBER(INDEX(SPPR!$E:$X,MATCH($A69,SPPR!$A:$A,0),15)),$C69*INDEX(SPPR!$E:$X,MATCH($A69,SPPR!$A:$A,0),15),""),"")</f>
        <v/>
      </c>
      <c r="S69">
        <f>IFERROR(IF(ISNUMBER(INDEX(SPPR!$E:$X,MATCH($A69,SPPR!$A:$A,0),16)),$C69*INDEX(SPPR!$E:$X,MATCH($A69,SPPR!$A:$A,0),16),""),"")</f>
        <v/>
      </c>
      <c r="T69">
        <f>IFERROR(IF(ISNUMBER(INDEX(SPPR!$E:$X,MATCH($A69,SPPR!$A:$A,0),17)),$C69*INDEX(SPPR!$E:$X,MATCH($A69,SPPR!$A:$A,0),17),""),"")</f>
        <v/>
      </c>
      <c r="U69">
        <f>IFERROR(IF(ISNUMBER(INDEX(SPPR!$E:$X,MATCH($A69,SPPR!$A:$A,0),18)),$C69*INDEX(SPPR!$E:$X,MATCH($A69,SPPR!$A:$A,0),18),""),"")</f>
        <v/>
      </c>
      <c r="V69">
        <f>IFERROR(IF(ISNUMBER(INDEX(SPPR!$E:$X,MATCH($A69,SPPR!$A:$A,0),19)),$C69*INDEX(SPPR!$E:$X,MATCH($A69,SPPR!$A:$A,0),19),""),"")</f>
        <v/>
      </c>
      <c r="W69">
        <f>IFERROR(IF(ISNUMBER(INDEX(SPPR!$E:$X,MATCH($A69,SPPR!$A:$A,0),20)),$C69*INDEX(SPPR!$E:$X,MATCH($A69,SPPR!$A:$A,0),20),""),"")</f>
        <v/>
      </c>
    </row>
    <row r="70">
      <c r="A70" t="inlineStr">
        <is>
          <t>Ilisha elongata</t>
        </is>
      </c>
      <c r="B70">
        <f>IFERROR(INDEX(SPPR!$D:$D,MATCH($A70,SPPR!$A:$A,0)),"")</f>
        <v/>
      </c>
      <c r="C70">
        <f>IFERROR(INDEX(Catch!$E:$BV,MATCH($A70,Catch!$A:$A,0),MATCH($B$4,Catch!$E$1:$BV$1,0)),0)</f>
        <v/>
      </c>
      <c r="D70">
        <f>IFERROR(IF(ISNUMBER(INDEX(SPPR!$E:$X,MATCH($A70,SPPR!$A:$A,0),1)),$C70*INDEX(SPPR!$E:$X,MATCH($A70,SPPR!$A:$A,0),1),""),"")</f>
        <v/>
      </c>
      <c r="E70">
        <f>IFERROR(IF(ISNUMBER(INDEX(SPPR!$E:$X,MATCH($A70,SPPR!$A:$A,0),2)),$C70*INDEX(SPPR!$E:$X,MATCH($A70,SPPR!$A:$A,0),2),""),"")</f>
        <v/>
      </c>
      <c r="F70">
        <f>IFERROR(IF(ISNUMBER(INDEX(SPPR!$E:$X,MATCH($A70,SPPR!$A:$A,0),3)),$C70*INDEX(SPPR!$E:$X,MATCH($A70,SPPR!$A:$A,0),3),""),"")</f>
        <v/>
      </c>
      <c r="G70">
        <f>IFERROR(IF(ISNUMBER(INDEX(SPPR!$E:$X,MATCH($A70,SPPR!$A:$A,0),4)),$C70*INDEX(SPPR!$E:$X,MATCH($A70,SPPR!$A:$A,0),4),""),"")</f>
        <v/>
      </c>
      <c r="H70">
        <f>IFERROR(IF(ISNUMBER(INDEX(SPPR!$E:$X,MATCH($A70,SPPR!$A:$A,0),5)),$C70*INDEX(SPPR!$E:$X,MATCH($A70,SPPR!$A:$A,0),5),""),"")</f>
        <v/>
      </c>
      <c r="I70">
        <f>IFERROR(IF(ISNUMBER(INDEX(SPPR!$E:$X,MATCH($A70,SPPR!$A:$A,0),6)),$C70*INDEX(SPPR!$E:$X,MATCH($A70,SPPR!$A:$A,0),6),""),"")</f>
        <v/>
      </c>
      <c r="J70">
        <f>IFERROR(IF(ISNUMBER(INDEX(SPPR!$E:$X,MATCH($A70,SPPR!$A:$A,0),7)),$C70*INDEX(SPPR!$E:$X,MATCH($A70,SPPR!$A:$A,0),7),""),"")</f>
        <v/>
      </c>
      <c r="K70">
        <f>IFERROR(IF(ISNUMBER(INDEX(SPPR!$E:$X,MATCH($A70,SPPR!$A:$A,0),8)),$C70*INDEX(SPPR!$E:$X,MATCH($A70,SPPR!$A:$A,0),8),""),"")</f>
        <v/>
      </c>
      <c r="L70">
        <f>IFERROR(IF(ISNUMBER(INDEX(SPPR!$E:$X,MATCH($A70,SPPR!$A:$A,0),9)),$C70*INDEX(SPPR!$E:$X,MATCH($A70,SPPR!$A:$A,0),9),""),"")</f>
        <v/>
      </c>
      <c r="M70">
        <f>IFERROR(IF(ISNUMBER(INDEX(SPPR!$E:$X,MATCH($A70,SPPR!$A:$A,0),10)),$C70*INDEX(SPPR!$E:$X,MATCH($A70,SPPR!$A:$A,0),10),""),"")</f>
        <v/>
      </c>
      <c r="N70">
        <f>IFERROR(IF(ISNUMBER(INDEX(SPPR!$E:$X,MATCH($A70,SPPR!$A:$A,0),11)),$C70*INDEX(SPPR!$E:$X,MATCH($A70,SPPR!$A:$A,0),11),""),"")</f>
        <v/>
      </c>
      <c r="O70">
        <f>IFERROR(IF(ISNUMBER(INDEX(SPPR!$E:$X,MATCH($A70,SPPR!$A:$A,0),12)),$C70*INDEX(SPPR!$E:$X,MATCH($A70,SPPR!$A:$A,0),12),""),"")</f>
        <v/>
      </c>
      <c r="P70">
        <f>IFERROR(IF(ISNUMBER(INDEX(SPPR!$E:$X,MATCH($A70,SPPR!$A:$A,0),13)),$C70*INDEX(SPPR!$E:$X,MATCH($A70,SPPR!$A:$A,0),13),""),"")</f>
        <v/>
      </c>
      <c r="Q70">
        <f>IFERROR(IF(ISNUMBER(INDEX(SPPR!$E:$X,MATCH($A70,SPPR!$A:$A,0),14)),$C70*INDEX(SPPR!$E:$X,MATCH($A70,SPPR!$A:$A,0),14),""),"")</f>
        <v/>
      </c>
      <c r="R70">
        <f>IFERROR(IF(ISNUMBER(INDEX(SPPR!$E:$X,MATCH($A70,SPPR!$A:$A,0),15)),$C70*INDEX(SPPR!$E:$X,MATCH($A70,SPPR!$A:$A,0),15),""),"")</f>
        <v/>
      </c>
      <c r="S70">
        <f>IFERROR(IF(ISNUMBER(INDEX(SPPR!$E:$X,MATCH($A70,SPPR!$A:$A,0),16)),$C70*INDEX(SPPR!$E:$X,MATCH($A70,SPPR!$A:$A,0),16),""),"")</f>
        <v/>
      </c>
      <c r="T70">
        <f>IFERROR(IF(ISNUMBER(INDEX(SPPR!$E:$X,MATCH($A70,SPPR!$A:$A,0),17)),$C70*INDEX(SPPR!$E:$X,MATCH($A70,SPPR!$A:$A,0),17),""),"")</f>
        <v/>
      </c>
      <c r="U70">
        <f>IFERROR(IF(ISNUMBER(INDEX(SPPR!$E:$X,MATCH($A70,SPPR!$A:$A,0),18)),$C70*INDEX(SPPR!$E:$X,MATCH($A70,SPPR!$A:$A,0),18),""),"")</f>
        <v/>
      </c>
      <c r="V70">
        <f>IFERROR(IF(ISNUMBER(INDEX(SPPR!$E:$X,MATCH($A70,SPPR!$A:$A,0),19)),$C70*INDEX(SPPR!$E:$X,MATCH($A70,SPPR!$A:$A,0),19),""),"")</f>
        <v/>
      </c>
      <c r="W70">
        <f>IFERROR(IF(ISNUMBER(INDEX(SPPR!$E:$X,MATCH($A70,SPPR!$A:$A,0),20)),$C70*INDEX(SPPR!$E:$X,MATCH($A70,SPPR!$A:$A,0),20),""),"")</f>
        <v/>
      </c>
    </row>
    <row r="71">
      <c r="A71" t="inlineStr">
        <is>
          <t>Sardinops sagax</t>
        </is>
      </c>
      <c r="B71">
        <f>IFERROR(INDEX(SPPR!$D:$D,MATCH($A71,SPPR!$A:$A,0)),"")</f>
        <v/>
      </c>
      <c r="C71">
        <f>IFERROR(INDEX(Catch!$E:$BV,MATCH($A71,Catch!$A:$A,0),MATCH($B$4,Catch!$E$1:$BV$1,0)),0)</f>
        <v/>
      </c>
      <c r="D71">
        <f>IFERROR(IF(ISNUMBER(INDEX(SPPR!$E:$X,MATCH($A71,SPPR!$A:$A,0),1)),$C71*INDEX(SPPR!$E:$X,MATCH($A71,SPPR!$A:$A,0),1),""),"")</f>
        <v/>
      </c>
      <c r="E71">
        <f>IFERROR(IF(ISNUMBER(INDEX(SPPR!$E:$X,MATCH($A71,SPPR!$A:$A,0),2)),$C71*INDEX(SPPR!$E:$X,MATCH($A71,SPPR!$A:$A,0),2),""),"")</f>
        <v/>
      </c>
      <c r="F71">
        <f>IFERROR(IF(ISNUMBER(INDEX(SPPR!$E:$X,MATCH($A71,SPPR!$A:$A,0),3)),$C71*INDEX(SPPR!$E:$X,MATCH($A71,SPPR!$A:$A,0),3),""),"")</f>
        <v/>
      </c>
      <c r="G71">
        <f>IFERROR(IF(ISNUMBER(INDEX(SPPR!$E:$X,MATCH($A71,SPPR!$A:$A,0),4)),$C71*INDEX(SPPR!$E:$X,MATCH($A71,SPPR!$A:$A,0),4),""),"")</f>
        <v/>
      </c>
      <c r="H71">
        <f>IFERROR(IF(ISNUMBER(INDEX(SPPR!$E:$X,MATCH($A71,SPPR!$A:$A,0),5)),$C71*INDEX(SPPR!$E:$X,MATCH($A71,SPPR!$A:$A,0),5),""),"")</f>
        <v/>
      </c>
      <c r="I71">
        <f>IFERROR(IF(ISNUMBER(INDEX(SPPR!$E:$X,MATCH($A71,SPPR!$A:$A,0),6)),$C71*INDEX(SPPR!$E:$X,MATCH($A71,SPPR!$A:$A,0),6),""),"")</f>
        <v/>
      </c>
      <c r="J71">
        <f>IFERROR(IF(ISNUMBER(INDEX(SPPR!$E:$X,MATCH($A71,SPPR!$A:$A,0),7)),$C71*INDEX(SPPR!$E:$X,MATCH($A71,SPPR!$A:$A,0),7),""),"")</f>
        <v/>
      </c>
      <c r="K71">
        <f>IFERROR(IF(ISNUMBER(INDEX(SPPR!$E:$X,MATCH($A71,SPPR!$A:$A,0),8)),$C71*INDEX(SPPR!$E:$X,MATCH($A71,SPPR!$A:$A,0),8),""),"")</f>
        <v/>
      </c>
      <c r="L71">
        <f>IFERROR(IF(ISNUMBER(INDEX(SPPR!$E:$X,MATCH($A71,SPPR!$A:$A,0),9)),$C71*INDEX(SPPR!$E:$X,MATCH($A71,SPPR!$A:$A,0),9),""),"")</f>
        <v/>
      </c>
      <c r="M71">
        <f>IFERROR(IF(ISNUMBER(INDEX(SPPR!$E:$X,MATCH($A71,SPPR!$A:$A,0),10)),$C71*INDEX(SPPR!$E:$X,MATCH($A71,SPPR!$A:$A,0),10),""),"")</f>
        <v/>
      </c>
      <c r="N71">
        <f>IFERROR(IF(ISNUMBER(INDEX(SPPR!$E:$X,MATCH($A71,SPPR!$A:$A,0),11)),$C71*INDEX(SPPR!$E:$X,MATCH($A71,SPPR!$A:$A,0),11),""),"")</f>
        <v/>
      </c>
      <c r="O71">
        <f>IFERROR(IF(ISNUMBER(INDEX(SPPR!$E:$X,MATCH($A71,SPPR!$A:$A,0),12)),$C71*INDEX(SPPR!$E:$X,MATCH($A71,SPPR!$A:$A,0),12),""),"")</f>
        <v/>
      </c>
      <c r="P71">
        <f>IFERROR(IF(ISNUMBER(INDEX(SPPR!$E:$X,MATCH($A71,SPPR!$A:$A,0),13)),$C71*INDEX(SPPR!$E:$X,MATCH($A71,SPPR!$A:$A,0),13),""),"")</f>
        <v/>
      </c>
      <c r="Q71">
        <f>IFERROR(IF(ISNUMBER(INDEX(SPPR!$E:$X,MATCH($A71,SPPR!$A:$A,0),14)),$C71*INDEX(SPPR!$E:$X,MATCH($A71,SPPR!$A:$A,0),14),""),"")</f>
        <v/>
      </c>
      <c r="R71">
        <f>IFERROR(IF(ISNUMBER(INDEX(SPPR!$E:$X,MATCH($A71,SPPR!$A:$A,0),15)),$C71*INDEX(SPPR!$E:$X,MATCH($A71,SPPR!$A:$A,0),15),""),"")</f>
        <v/>
      </c>
      <c r="S71">
        <f>IFERROR(IF(ISNUMBER(INDEX(SPPR!$E:$X,MATCH($A71,SPPR!$A:$A,0),16)),$C71*INDEX(SPPR!$E:$X,MATCH($A71,SPPR!$A:$A,0),16),""),"")</f>
        <v/>
      </c>
      <c r="T71">
        <f>IFERROR(IF(ISNUMBER(INDEX(SPPR!$E:$X,MATCH($A71,SPPR!$A:$A,0),17)),$C71*INDEX(SPPR!$E:$X,MATCH($A71,SPPR!$A:$A,0),17),""),"")</f>
        <v/>
      </c>
      <c r="U71">
        <f>IFERROR(IF(ISNUMBER(INDEX(SPPR!$E:$X,MATCH($A71,SPPR!$A:$A,0),18)),$C71*INDEX(SPPR!$E:$X,MATCH($A71,SPPR!$A:$A,0),18),""),"")</f>
        <v/>
      </c>
      <c r="V71">
        <f>IFERROR(IF(ISNUMBER(INDEX(SPPR!$E:$X,MATCH($A71,SPPR!$A:$A,0),19)),$C71*INDEX(SPPR!$E:$X,MATCH($A71,SPPR!$A:$A,0),19),""),"")</f>
        <v/>
      </c>
      <c r="W71">
        <f>IFERROR(IF(ISNUMBER(INDEX(SPPR!$E:$X,MATCH($A71,SPPR!$A:$A,0),20)),$C71*INDEX(SPPR!$E:$X,MATCH($A71,SPPR!$A:$A,0),20),""),"")</f>
        <v/>
      </c>
    </row>
    <row r="72">
      <c r="A72" t="inlineStr">
        <is>
          <t>Sardinella lemuru</t>
        </is>
      </c>
      <c r="B72">
        <f>IFERROR(INDEX(SPPR!$D:$D,MATCH($A72,SPPR!$A:$A,0)),"")</f>
        <v/>
      </c>
      <c r="C72">
        <f>IFERROR(INDEX(Catch!$E:$BV,MATCH($A72,Catch!$A:$A,0),MATCH($B$4,Catch!$E$1:$BV$1,0)),0)</f>
        <v/>
      </c>
      <c r="D72">
        <f>IFERROR(IF(ISNUMBER(INDEX(SPPR!$E:$X,MATCH($A72,SPPR!$A:$A,0),1)),$C72*INDEX(SPPR!$E:$X,MATCH($A72,SPPR!$A:$A,0),1),""),"")</f>
        <v/>
      </c>
      <c r="E72">
        <f>IFERROR(IF(ISNUMBER(INDEX(SPPR!$E:$X,MATCH($A72,SPPR!$A:$A,0),2)),$C72*INDEX(SPPR!$E:$X,MATCH($A72,SPPR!$A:$A,0),2),""),"")</f>
        <v/>
      </c>
      <c r="F72">
        <f>IFERROR(IF(ISNUMBER(INDEX(SPPR!$E:$X,MATCH($A72,SPPR!$A:$A,0),3)),$C72*INDEX(SPPR!$E:$X,MATCH($A72,SPPR!$A:$A,0),3),""),"")</f>
        <v/>
      </c>
      <c r="G72">
        <f>IFERROR(IF(ISNUMBER(INDEX(SPPR!$E:$X,MATCH($A72,SPPR!$A:$A,0),4)),$C72*INDEX(SPPR!$E:$X,MATCH($A72,SPPR!$A:$A,0),4),""),"")</f>
        <v/>
      </c>
      <c r="H72">
        <f>IFERROR(IF(ISNUMBER(INDEX(SPPR!$E:$X,MATCH($A72,SPPR!$A:$A,0),5)),$C72*INDEX(SPPR!$E:$X,MATCH($A72,SPPR!$A:$A,0),5),""),"")</f>
        <v/>
      </c>
      <c r="I72">
        <f>IFERROR(IF(ISNUMBER(INDEX(SPPR!$E:$X,MATCH($A72,SPPR!$A:$A,0),6)),$C72*INDEX(SPPR!$E:$X,MATCH($A72,SPPR!$A:$A,0),6),""),"")</f>
        <v/>
      </c>
      <c r="J72">
        <f>IFERROR(IF(ISNUMBER(INDEX(SPPR!$E:$X,MATCH($A72,SPPR!$A:$A,0),7)),$C72*INDEX(SPPR!$E:$X,MATCH($A72,SPPR!$A:$A,0),7),""),"")</f>
        <v/>
      </c>
      <c r="K72">
        <f>IFERROR(IF(ISNUMBER(INDEX(SPPR!$E:$X,MATCH($A72,SPPR!$A:$A,0),8)),$C72*INDEX(SPPR!$E:$X,MATCH($A72,SPPR!$A:$A,0),8),""),"")</f>
        <v/>
      </c>
      <c r="L72">
        <f>IFERROR(IF(ISNUMBER(INDEX(SPPR!$E:$X,MATCH($A72,SPPR!$A:$A,0),9)),$C72*INDEX(SPPR!$E:$X,MATCH($A72,SPPR!$A:$A,0),9),""),"")</f>
        <v/>
      </c>
      <c r="M72">
        <f>IFERROR(IF(ISNUMBER(INDEX(SPPR!$E:$X,MATCH($A72,SPPR!$A:$A,0),10)),$C72*INDEX(SPPR!$E:$X,MATCH($A72,SPPR!$A:$A,0),10),""),"")</f>
        <v/>
      </c>
      <c r="N72">
        <f>IFERROR(IF(ISNUMBER(INDEX(SPPR!$E:$X,MATCH($A72,SPPR!$A:$A,0),11)),$C72*INDEX(SPPR!$E:$X,MATCH($A72,SPPR!$A:$A,0),11),""),"")</f>
        <v/>
      </c>
      <c r="O72">
        <f>IFERROR(IF(ISNUMBER(INDEX(SPPR!$E:$X,MATCH($A72,SPPR!$A:$A,0),12)),$C72*INDEX(SPPR!$E:$X,MATCH($A72,SPPR!$A:$A,0),12),""),"")</f>
        <v/>
      </c>
      <c r="P72">
        <f>IFERROR(IF(ISNUMBER(INDEX(SPPR!$E:$X,MATCH($A72,SPPR!$A:$A,0),13)),$C72*INDEX(SPPR!$E:$X,MATCH($A72,SPPR!$A:$A,0),13),""),"")</f>
        <v/>
      </c>
      <c r="Q72">
        <f>IFERROR(IF(ISNUMBER(INDEX(SPPR!$E:$X,MATCH($A72,SPPR!$A:$A,0),14)),$C72*INDEX(SPPR!$E:$X,MATCH($A72,SPPR!$A:$A,0),14),""),"")</f>
        <v/>
      </c>
      <c r="R72">
        <f>IFERROR(IF(ISNUMBER(INDEX(SPPR!$E:$X,MATCH($A72,SPPR!$A:$A,0),15)),$C72*INDEX(SPPR!$E:$X,MATCH($A72,SPPR!$A:$A,0),15),""),"")</f>
        <v/>
      </c>
      <c r="S72">
        <f>IFERROR(IF(ISNUMBER(INDEX(SPPR!$E:$X,MATCH($A72,SPPR!$A:$A,0),16)),$C72*INDEX(SPPR!$E:$X,MATCH($A72,SPPR!$A:$A,0),16),""),"")</f>
        <v/>
      </c>
      <c r="T72">
        <f>IFERROR(IF(ISNUMBER(INDEX(SPPR!$E:$X,MATCH($A72,SPPR!$A:$A,0),17)),$C72*INDEX(SPPR!$E:$X,MATCH($A72,SPPR!$A:$A,0),17),""),"")</f>
        <v/>
      </c>
      <c r="U72">
        <f>IFERROR(IF(ISNUMBER(INDEX(SPPR!$E:$X,MATCH($A72,SPPR!$A:$A,0),18)),$C72*INDEX(SPPR!$E:$X,MATCH($A72,SPPR!$A:$A,0),18),""),"")</f>
        <v/>
      </c>
      <c r="V72">
        <f>IFERROR(IF(ISNUMBER(INDEX(SPPR!$E:$X,MATCH($A72,SPPR!$A:$A,0),19)),$C72*INDEX(SPPR!$E:$X,MATCH($A72,SPPR!$A:$A,0),19),""),"")</f>
        <v/>
      </c>
      <c r="W72">
        <f>IFERROR(IF(ISNUMBER(INDEX(SPPR!$E:$X,MATCH($A72,SPPR!$A:$A,0),20)),$C72*INDEX(SPPR!$E:$X,MATCH($A72,SPPR!$A:$A,0),20),""),"")</f>
        <v/>
      </c>
    </row>
    <row r="73">
      <c r="A73" t="inlineStr">
        <is>
          <t>Coryphaena hippurus</t>
        </is>
      </c>
      <c r="B73">
        <f>IFERROR(INDEX(SPPR!$D:$D,MATCH($A73,SPPR!$A:$A,0)),"")</f>
        <v/>
      </c>
      <c r="C73">
        <f>IFERROR(INDEX(Catch!$E:$BV,MATCH($A73,Catch!$A:$A,0),MATCH($B$4,Catch!$E$1:$BV$1,0)),0)</f>
        <v/>
      </c>
      <c r="D73">
        <f>IFERROR(IF(ISNUMBER(INDEX(SPPR!$E:$X,MATCH($A73,SPPR!$A:$A,0),1)),$C73*INDEX(SPPR!$E:$X,MATCH($A73,SPPR!$A:$A,0),1),""),"")</f>
        <v/>
      </c>
      <c r="E73">
        <f>IFERROR(IF(ISNUMBER(INDEX(SPPR!$E:$X,MATCH($A73,SPPR!$A:$A,0),2)),$C73*INDEX(SPPR!$E:$X,MATCH($A73,SPPR!$A:$A,0),2),""),"")</f>
        <v/>
      </c>
      <c r="F73">
        <f>IFERROR(IF(ISNUMBER(INDEX(SPPR!$E:$X,MATCH($A73,SPPR!$A:$A,0),3)),$C73*INDEX(SPPR!$E:$X,MATCH($A73,SPPR!$A:$A,0),3),""),"")</f>
        <v/>
      </c>
      <c r="G73">
        <f>IFERROR(IF(ISNUMBER(INDEX(SPPR!$E:$X,MATCH($A73,SPPR!$A:$A,0),4)),$C73*INDEX(SPPR!$E:$X,MATCH($A73,SPPR!$A:$A,0),4),""),"")</f>
        <v/>
      </c>
      <c r="H73">
        <f>IFERROR(IF(ISNUMBER(INDEX(SPPR!$E:$X,MATCH($A73,SPPR!$A:$A,0),5)),$C73*INDEX(SPPR!$E:$X,MATCH($A73,SPPR!$A:$A,0),5),""),"")</f>
        <v/>
      </c>
      <c r="I73">
        <f>IFERROR(IF(ISNUMBER(INDEX(SPPR!$E:$X,MATCH($A73,SPPR!$A:$A,0),6)),$C73*INDEX(SPPR!$E:$X,MATCH($A73,SPPR!$A:$A,0),6),""),"")</f>
        <v/>
      </c>
      <c r="J73">
        <f>IFERROR(IF(ISNUMBER(INDEX(SPPR!$E:$X,MATCH($A73,SPPR!$A:$A,0),7)),$C73*INDEX(SPPR!$E:$X,MATCH($A73,SPPR!$A:$A,0),7),""),"")</f>
        <v/>
      </c>
      <c r="K73">
        <f>IFERROR(IF(ISNUMBER(INDEX(SPPR!$E:$X,MATCH($A73,SPPR!$A:$A,0),8)),$C73*INDEX(SPPR!$E:$X,MATCH($A73,SPPR!$A:$A,0),8),""),"")</f>
        <v/>
      </c>
      <c r="L73">
        <f>IFERROR(IF(ISNUMBER(INDEX(SPPR!$E:$X,MATCH($A73,SPPR!$A:$A,0),9)),$C73*INDEX(SPPR!$E:$X,MATCH($A73,SPPR!$A:$A,0),9),""),"")</f>
        <v/>
      </c>
      <c r="M73">
        <f>IFERROR(IF(ISNUMBER(INDEX(SPPR!$E:$X,MATCH($A73,SPPR!$A:$A,0),10)),$C73*INDEX(SPPR!$E:$X,MATCH($A73,SPPR!$A:$A,0),10),""),"")</f>
        <v/>
      </c>
      <c r="N73">
        <f>IFERROR(IF(ISNUMBER(INDEX(SPPR!$E:$X,MATCH($A73,SPPR!$A:$A,0),11)),$C73*INDEX(SPPR!$E:$X,MATCH($A73,SPPR!$A:$A,0),11),""),"")</f>
        <v/>
      </c>
      <c r="O73">
        <f>IFERROR(IF(ISNUMBER(INDEX(SPPR!$E:$X,MATCH($A73,SPPR!$A:$A,0),12)),$C73*INDEX(SPPR!$E:$X,MATCH($A73,SPPR!$A:$A,0),12),""),"")</f>
        <v/>
      </c>
      <c r="P73">
        <f>IFERROR(IF(ISNUMBER(INDEX(SPPR!$E:$X,MATCH($A73,SPPR!$A:$A,0),13)),$C73*INDEX(SPPR!$E:$X,MATCH($A73,SPPR!$A:$A,0),13),""),"")</f>
        <v/>
      </c>
      <c r="Q73">
        <f>IFERROR(IF(ISNUMBER(INDEX(SPPR!$E:$X,MATCH($A73,SPPR!$A:$A,0),14)),$C73*INDEX(SPPR!$E:$X,MATCH($A73,SPPR!$A:$A,0),14),""),"")</f>
        <v/>
      </c>
      <c r="R73">
        <f>IFERROR(IF(ISNUMBER(INDEX(SPPR!$E:$X,MATCH($A73,SPPR!$A:$A,0),15)),$C73*INDEX(SPPR!$E:$X,MATCH($A73,SPPR!$A:$A,0),15),""),"")</f>
        <v/>
      </c>
      <c r="S73">
        <f>IFERROR(IF(ISNUMBER(INDEX(SPPR!$E:$X,MATCH($A73,SPPR!$A:$A,0),16)),$C73*INDEX(SPPR!$E:$X,MATCH($A73,SPPR!$A:$A,0),16),""),"")</f>
        <v/>
      </c>
      <c r="T73">
        <f>IFERROR(IF(ISNUMBER(INDEX(SPPR!$E:$X,MATCH($A73,SPPR!$A:$A,0),17)),$C73*INDEX(SPPR!$E:$X,MATCH($A73,SPPR!$A:$A,0),17),""),"")</f>
        <v/>
      </c>
      <c r="U73">
        <f>IFERROR(IF(ISNUMBER(INDEX(SPPR!$E:$X,MATCH($A73,SPPR!$A:$A,0),18)),$C73*INDEX(SPPR!$E:$X,MATCH($A73,SPPR!$A:$A,0),18),""),"")</f>
        <v/>
      </c>
      <c r="V73">
        <f>IFERROR(IF(ISNUMBER(INDEX(SPPR!$E:$X,MATCH($A73,SPPR!$A:$A,0),19)),$C73*INDEX(SPPR!$E:$X,MATCH($A73,SPPR!$A:$A,0),19),""),"")</f>
        <v/>
      </c>
      <c r="W73">
        <f>IFERROR(IF(ISNUMBER(INDEX(SPPR!$E:$X,MATCH($A73,SPPR!$A:$A,0),20)),$C73*INDEX(SPPR!$E:$X,MATCH($A73,SPPR!$A:$A,0),20),""),"")</f>
        <v/>
      </c>
    </row>
    <row r="74">
      <c r="A74" t="inlineStr">
        <is>
          <t>Cololabis saira</t>
        </is>
      </c>
      <c r="B74">
        <f>IFERROR(INDEX(SPPR!$D:$D,MATCH($A74,SPPR!$A:$A,0)),"")</f>
        <v/>
      </c>
      <c r="C74">
        <f>IFERROR(INDEX(Catch!$E:$BV,MATCH($A74,Catch!$A:$A,0),MATCH($B$4,Catch!$E$1:$BV$1,0)),0)</f>
        <v/>
      </c>
      <c r="D74">
        <f>IFERROR(IF(ISNUMBER(INDEX(SPPR!$E:$X,MATCH($A74,SPPR!$A:$A,0),1)),$C74*INDEX(SPPR!$E:$X,MATCH($A74,SPPR!$A:$A,0),1),""),"")</f>
        <v/>
      </c>
      <c r="E74">
        <f>IFERROR(IF(ISNUMBER(INDEX(SPPR!$E:$X,MATCH($A74,SPPR!$A:$A,0),2)),$C74*INDEX(SPPR!$E:$X,MATCH($A74,SPPR!$A:$A,0),2),""),"")</f>
        <v/>
      </c>
      <c r="F74">
        <f>IFERROR(IF(ISNUMBER(INDEX(SPPR!$E:$X,MATCH($A74,SPPR!$A:$A,0),3)),$C74*INDEX(SPPR!$E:$X,MATCH($A74,SPPR!$A:$A,0),3),""),"")</f>
        <v/>
      </c>
      <c r="G74">
        <f>IFERROR(IF(ISNUMBER(INDEX(SPPR!$E:$X,MATCH($A74,SPPR!$A:$A,0),4)),$C74*INDEX(SPPR!$E:$X,MATCH($A74,SPPR!$A:$A,0),4),""),"")</f>
        <v/>
      </c>
      <c r="H74">
        <f>IFERROR(IF(ISNUMBER(INDEX(SPPR!$E:$X,MATCH($A74,SPPR!$A:$A,0),5)),$C74*INDEX(SPPR!$E:$X,MATCH($A74,SPPR!$A:$A,0),5),""),"")</f>
        <v/>
      </c>
      <c r="I74">
        <f>IFERROR(IF(ISNUMBER(INDEX(SPPR!$E:$X,MATCH($A74,SPPR!$A:$A,0),6)),$C74*INDEX(SPPR!$E:$X,MATCH($A74,SPPR!$A:$A,0),6),""),"")</f>
        <v/>
      </c>
      <c r="J74">
        <f>IFERROR(IF(ISNUMBER(INDEX(SPPR!$E:$X,MATCH($A74,SPPR!$A:$A,0),7)),$C74*INDEX(SPPR!$E:$X,MATCH($A74,SPPR!$A:$A,0),7),""),"")</f>
        <v/>
      </c>
      <c r="K74">
        <f>IFERROR(IF(ISNUMBER(INDEX(SPPR!$E:$X,MATCH($A74,SPPR!$A:$A,0),8)),$C74*INDEX(SPPR!$E:$X,MATCH($A74,SPPR!$A:$A,0),8),""),"")</f>
        <v/>
      </c>
      <c r="L74">
        <f>IFERROR(IF(ISNUMBER(INDEX(SPPR!$E:$X,MATCH($A74,SPPR!$A:$A,0),9)),$C74*INDEX(SPPR!$E:$X,MATCH($A74,SPPR!$A:$A,0),9),""),"")</f>
        <v/>
      </c>
      <c r="M74">
        <f>IFERROR(IF(ISNUMBER(INDEX(SPPR!$E:$X,MATCH($A74,SPPR!$A:$A,0),10)),$C74*INDEX(SPPR!$E:$X,MATCH($A74,SPPR!$A:$A,0),10),""),"")</f>
        <v/>
      </c>
      <c r="N74">
        <f>IFERROR(IF(ISNUMBER(INDEX(SPPR!$E:$X,MATCH($A74,SPPR!$A:$A,0),11)),$C74*INDEX(SPPR!$E:$X,MATCH($A74,SPPR!$A:$A,0),11),""),"")</f>
        <v/>
      </c>
      <c r="O74">
        <f>IFERROR(IF(ISNUMBER(INDEX(SPPR!$E:$X,MATCH($A74,SPPR!$A:$A,0),12)),$C74*INDEX(SPPR!$E:$X,MATCH($A74,SPPR!$A:$A,0),12),""),"")</f>
        <v/>
      </c>
      <c r="P74">
        <f>IFERROR(IF(ISNUMBER(INDEX(SPPR!$E:$X,MATCH($A74,SPPR!$A:$A,0),13)),$C74*INDEX(SPPR!$E:$X,MATCH($A74,SPPR!$A:$A,0),13),""),"")</f>
        <v/>
      </c>
      <c r="Q74">
        <f>IFERROR(IF(ISNUMBER(INDEX(SPPR!$E:$X,MATCH($A74,SPPR!$A:$A,0),14)),$C74*INDEX(SPPR!$E:$X,MATCH($A74,SPPR!$A:$A,0),14),""),"")</f>
        <v/>
      </c>
      <c r="R74">
        <f>IFERROR(IF(ISNUMBER(INDEX(SPPR!$E:$X,MATCH($A74,SPPR!$A:$A,0),15)),$C74*INDEX(SPPR!$E:$X,MATCH($A74,SPPR!$A:$A,0),15),""),"")</f>
        <v/>
      </c>
      <c r="S74">
        <f>IFERROR(IF(ISNUMBER(INDEX(SPPR!$E:$X,MATCH($A74,SPPR!$A:$A,0),16)),$C74*INDEX(SPPR!$E:$X,MATCH($A74,SPPR!$A:$A,0),16),""),"")</f>
        <v/>
      </c>
      <c r="T74">
        <f>IFERROR(IF(ISNUMBER(INDEX(SPPR!$E:$X,MATCH($A74,SPPR!$A:$A,0),17)),$C74*INDEX(SPPR!$E:$X,MATCH($A74,SPPR!$A:$A,0),17),""),"")</f>
        <v/>
      </c>
      <c r="U74">
        <f>IFERROR(IF(ISNUMBER(INDEX(SPPR!$E:$X,MATCH($A74,SPPR!$A:$A,0),18)),$C74*INDEX(SPPR!$E:$X,MATCH($A74,SPPR!$A:$A,0),18),""),"")</f>
        <v/>
      </c>
      <c r="V74">
        <f>IFERROR(IF(ISNUMBER(INDEX(SPPR!$E:$X,MATCH($A74,SPPR!$A:$A,0),19)),$C74*INDEX(SPPR!$E:$X,MATCH($A74,SPPR!$A:$A,0),19),""),"")</f>
        <v/>
      </c>
      <c r="W74">
        <f>IFERROR(IF(ISNUMBER(INDEX(SPPR!$E:$X,MATCH($A74,SPPR!$A:$A,0),20)),$C74*INDEX(SPPR!$E:$X,MATCH($A74,SPPR!$A:$A,0),20),""),"")</f>
        <v/>
      </c>
    </row>
    <row r="75">
      <c r="A75" t="inlineStr">
        <is>
          <t>Netuma thalassina</t>
        </is>
      </c>
      <c r="B75">
        <f>IFERROR(INDEX(SPPR!$D:$D,MATCH($A75,SPPR!$A:$A,0)),"")</f>
        <v/>
      </c>
      <c r="C75">
        <f>IFERROR(INDEX(Catch!$E:$BV,MATCH($A75,Catch!$A:$A,0),MATCH($B$4,Catch!$E$1:$BV$1,0)),0)</f>
        <v/>
      </c>
      <c r="D75">
        <f>IFERROR(IF(ISNUMBER(INDEX(SPPR!$E:$X,MATCH($A75,SPPR!$A:$A,0),1)),$C75*INDEX(SPPR!$E:$X,MATCH($A75,SPPR!$A:$A,0),1),""),"")</f>
        <v/>
      </c>
      <c r="E75">
        <f>IFERROR(IF(ISNUMBER(INDEX(SPPR!$E:$X,MATCH($A75,SPPR!$A:$A,0),2)),$C75*INDEX(SPPR!$E:$X,MATCH($A75,SPPR!$A:$A,0),2),""),"")</f>
        <v/>
      </c>
      <c r="F75">
        <f>IFERROR(IF(ISNUMBER(INDEX(SPPR!$E:$X,MATCH($A75,SPPR!$A:$A,0),3)),$C75*INDEX(SPPR!$E:$X,MATCH($A75,SPPR!$A:$A,0),3),""),"")</f>
        <v/>
      </c>
      <c r="G75">
        <f>IFERROR(IF(ISNUMBER(INDEX(SPPR!$E:$X,MATCH($A75,SPPR!$A:$A,0),4)),$C75*INDEX(SPPR!$E:$X,MATCH($A75,SPPR!$A:$A,0),4),""),"")</f>
        <v/>
      </c>
      <c r="H75">
        <f>IFERROR(IF(ISNUMBER(INDEX(SPPR!$E:$X,MATCH($A75,SPPR!$A:$A,0),5)),$C75*INDEX(SPPR!$E:$X,MATCH($A75,SPPR!$A:$A,0),5),""),"")</f>
        <v/>
      </c>
      <c r="I75">
        <f>IFERROR(IF(ISNUMBER(INDEX(SPPR!$E:$X,MATCH($A75,SPPR!$A:$A,0),6)),$C75*INDEX(SPPR!$E:$X,MATCH($A75,SPPR!$A:$A,0),6),""),"")</f>
        <v/>
      </c>
      <c r="J75">
        <f>IFERROR(IF(ISNUMBER(INDEX(SPPR!$E:$X,MATCH($A75,SPPR!$A:$A,0),7)),$C75*INDEX(SPPR!$E:$X,MATCH($A75,SPPR!$A:$A,0),7),""),"")</f>
        <v/>
      </c>
      <c r="K75">
        <f>IFERROR(IF(ISNUMBER(INDEX(SPPR!$E:$X,MATCH($A75,SPPR!$A:$A,0),8)),$C75*INDEX(SPPR!$E:$X,MATCH($A75,SPPR!$A:$A,0),8),""),"")</f>
        <v/>
      </c>
      <c r="L75">
        <f>IFERROR(IF(ISNUMBER(INDEX(SPPR!$E:$X,MATCH($A75,SPPR!$A:$A,0),9)),$C75*INDEX(SPPR!$E:$X,MATCH($A75,SPPR!$A:$A,0),9),""),"")</f>
        <v/>
      </c>
      <c r="M75">
        <f>IFERROR(IF(ISNUMBER(INDEX(SPPR!$E:$X,MATCH($A75,SPPR!$A:$A,0),10)),$C75*INDEX(SPPR!$E:$X,MATCH($A75,SPPR!$A:$A,0),10),""),"")</f>
        <v/>
      </c>
      <c r="N75">
        <f>IFERROR(IF(ISNUMBER(INDEX(SPPR!$E:$X,MATCH($A75,SPPR!$A:$A,0),11)),$C75*INDEX(SPPR!$E:$X,MATCH($A75,SPPR!$A:$A,0),11),""),"")</f>
        <v/>
      </c>
      <c r="O75">
        <f>IFERROR(IF(ISNUMBER(INDEX(SPPR!$E:$X,MATCH($A75,SPPR!$A:$A,0),12)),$C75*INDEX(SPPR!$E:$X,MATCH($A75,SPPR!$A:$A,0),12),""),"")</f>
        <v/>
      </c>
      <c r="P75">
        <f>IFERROR(IF(ISNUMBER(INDEX(SPPR!$E:$X,MATCH($A75,SPPR!$A:$A,0),13)),$C75*INDEX(SPPR!$E:$X,MATCH($A75,SPPR!$A:$A,0),13),""),"")</f>
        <v/>
      </c>
      <c r="Q75">
        <f>IFERROR(IF(ISNUMBER(INDEX(SPPR!$E:$X,MATCH($A75,SPPR!$A:$A,0),14)),$C75*INDEX(SPPR!$E:$X,MATCH($A75,SPPR!$A:$A,0),14),""),"")</f>
        <v/>
      </c>
      <c r="R75">
        <f>IFERROR(IF(ISNUMBER(INDEX(SPPR!$E:$X,MATCH($A75,SPPR!$A:$A,0),15)),$C75*INDEX(SPPR!$E:$X,MATCH($A75,SPPR!$A:$A,0),15),""),"")</f>
        <v/>
      </c>
      <c r="S75">
        <f>IFERROR(IF(ISNUMBER(INDEX(SPPR!$E:$X,MATCH($A75,SPPR!$A:$A,0),16)),$C75*INDEX(SPPR!$E:$X,MATCH($A75,SPPR!$A:$A,0),16),""),"")</f>
        <v/>
      </c>
      <c r="T75">
        <f>IFERROR(IF(ISNUMBER(INDEX(SPPR!$E:$X,MATCH($A75,SPPR!$A:$A,0),17)),$C75*INDEX(SPPR!$E:$X,MATCH($A75,SPPR!$A:$A,0),17),""),"")</f>
        <v/>
      </c>
      <c r="U75">
        <f>IFERROR(IF(ISNUMBER(INDEX(SPPR!$E:$X,MATCH($A75,SPPR!$A:$A,0),18)),$C75*INDEX(SPPR!$E:$X,MATCH($A75,SPPR!$A:$A,0),18),""),"")</f>
        <v/>
      </c>
      <c r="V75">
        <f>IFERROR(IF(ISNUMBER(INDEX(SPPR!$E:$X,MATCH($A75,SPPR!$A:$A,0),19)),$C75*INDEX(SPPR!$E:$X,MATCH($A75,SPPR!$A:$A,0),19),""),"")</f>
        <v/>
      </c>
      <c r="W75">
        <f>IFERROR(IF(ISNUMBER(INDEX(SPPR!$E:$X,MATCH($A75,SPPR!$A:$A,0),20)),$C75*INDEX(SPPR!$E:$X,MATCH($A75,SPPR!$A:$A,0),20),""),"")</f>
        <v/>
      </c>
    </row>
    <row r="76">
      <c r="A76" t="inlineStr">
        <is>
          <t>Priacanthus macracanthus</t>
        </is>
      </c>
      <c r="B76">
        <f>IFERROR(INDEX(SPPR!$D:$D,MATCH($A76,SPPR!$A:$A,0)),"")</f>
        <v/>
      </c>
      <c r="C76">
        <f>IFERROR(INDEX(Catch!$E:$BV,MATCH($A76,Catch!$A:$A,0),MATCH($B$4,Catch!$E$1:$BV$1,0)),0)</f>
        <v/>
      </c>
      <c r="D76">
        <f>IFERROR(IF(ISNUMBER(INDEX(SPPR!$E:$X,MATCH($A76,SPPR!$A:$A,0),1)),$C76*INDEX(SPPR!$E:$X,MATCH($A76,SPPR!$A:$A,0),1),""),"")</f>
        <v/>
      </c>
      <c r="E76">
        <f>IFERROR(IF(ISNUMBER(INDEX(SPPR!$E:$X,MATCH($A76,SPPR!$A:$A,0),2)),$C76*INDEX(SPPR!$E:$X,MATCH($A76,SPPR!$A:$A,0),2),""),"")</f>
        <v/>
      </c>
      <c r="F76">
        <f>IFERROR(IF(ISNUMBER(INDEX(SPPR!$E:$X,MATCH($A76,SPPR!$A:$A,0),3)),$C76*INDEX(SPPR!$E:$X,MATCH($A76,SPPR!$A:$A,0),3),""),"")</f>
        <v/>
      </c>
      <c r="G76">
        <f>IFERROR(IF(ISNUMBER(INDEX(SPPR!$E:$X,MATCH($A76,SPPR!$A:$A,0),4)),$C76*INDEX(SPPR!$E:$X,MATCH($A76,SPPR!$A:$A,0),4),""),"")</f>
        <v/>
      </c>
      <c r="H76">
        <f>IFERROR(IF(ISNUMBER(INDEX(SPPR!$E:$X,MATCH($A76,SPPR!$A:$A,0),5)),$C76*INDEX(SPPR!$E:$X,MATCH($A76,SPPR!$A:$A,0),5),""),"")</f>
        <v/>
      </c>
      <c r="I76">
        <f>IFERROR(IF(ISNUMBER(INDEX(SPPR!$E:$X,MATCH($A76,SPPR!$A:$A,0),6)),$C76*INDEX(SPPR!$E:$X,MATCH($A76,SPPR!$A:$A,0),6),""),"")</f>
        <v/>
      </c>
      <c r="J76">
        <f>IFERROR(IF(ISNUMBER(INDEX(SPPR!$E:$X,MATCH($A76,SPPR!$A:$A,0),7)),$C76*INDEX(SPPR!$E:$X,MATCH($A76,SPPR!$A:$A,0),7),""),"")</f>
        <v/>
      </c>
      <c r="K76">
        <f>IFERROR(IF(ISNUMBER(INDEX(SPPR!$E:$X,MATCH($A76,SPPR!$A:$A,0),8)),$C76*INDEX(SPPR!$E:$X,MATCH($A76,SPPR!$A:$A,0),8),""),"")</f>
        <v/>
      </c>
      <c r="L76">
        <f>IFERROR(IF(ISNUMBER(INDEX(SPPR!$E:$X,MATCH($A76,SPPR!$A:$A,0),9)),$C76*INDEX(SPPR!$E:$X,MATCH($A76,SPPR!$A:$A,0),9),""),"")</f>
        <v/>
      </c>
      <c r="M76">
        <f>IFERROR(IF(ISNUMBER(INDEX(SPPR!$E:$X,MATCH($A76,SPPR!$A:$A,0),10)),$C76*INDEX(SPPR!$E:$X,MATCH($A76,SPPR!$A:$A,0),10),""),"")</f>
        <v/>
      </c>
      <c r="N76">
        <f>IFERROR(IF(ISNUMBER(INDEX(SPPR!$E:$X,MATCH($A76,SPPR!$A:$A,0),11)),$C76*INDEX(SPPR!$E:$X,MATCH($A76,SPPR!$A:$A,0),11),""),"")</f>
        <v/>
      </c>
      <c r="O76">
        <f>IFERROR(IF(ISNUMBER(INDEX(SPPR!$E:$X,MATCH($A76,SPPR!$A:$A,0),12)),$C76*INDEX(SPPR!$E:$X,MATCH($A76,SPPR!$A:$A,0),12),""),"")</f>
        <v/>
      </c>
      <c r="P76">
        <f>IFERROR(IF(ISNUMBER(INDEX(SPPR!$E:$X,MATCH($A76,SPPR!$A:$A,0),13)),$C76*INDEX(SPPR!$E:$X,MATCH($A76,SPPR!$A:$A,0),13),""),"")</f>
        <v/>
      </c>
      <c r="Q76">
        <f>IFERROR(IF(ISNUMBER(INDEX(SPPR!$E:$X,MATCH($A76,SPPR!$A:$A,0),14)),$C76*INDEX(SPPR!$E:$X,MATCH($A76,SPPR!$A:$A,0),14),""),"")</f>
        <v/>
      </c>
      <c r="R76">
        <f>IFERROR(IF(ISNUMBER(INDEX(SPPR!$E:$X,MATCH($A76,SPPR!$A:$A,0),15)),$C76*INDEX(SPPR!$E:$X,MATCH($A76,SPPR!$A:$A,0),15),""),"")</f>
        <v/>
      </c>
      <c r="S76">
        <f>IFERROR(IF(ISNUMBER(INDEX(SPPR!$E:$X,MATCH($A76,SPPR!$A:$A,0),16)),$C76*INDEX(SPPR!$E:$X,MATCH($A76,SPPR!$A:$A,0),16),""),"")</f>
        <v/>
      </c>
      <c r="T76">
        <f>IFERROR(IF(ISNUMBER(INDEX(SPPR!$E:$X,MATCH($A76,SPPR!$A:$A,0),17)),$C76*INDEX(SPPR!$E:$X,MATCH($A76,SPPR!$A:$A,0),17),""),"")</f>
        <v/>
      </c>
      <c r="U76">
        <f>IFERROR(IF(ISNUMBER(INDEX(SPPR!$E:$X,MATCH($A76,SPPR!$A:$A,0),18)),$C76*INDEX(SPPR!$E:$X,MATCH($A76,SPPR!$A:$A,0),18),""),"")</f>
        <v/>
      </c>
      <c r="V76">
        <f>IFERROR(IF(ISNUMBER(INDEX(SPPR!$E:$X,MATCH($A76,SPPR!$A:$A,0),19)),$C76*INDEX(SPPR!$E:$X,MATCH($A76,SPPR!$A:$A,0),19),""),"")</f>
        <v/>
      </c>
      <c r="W76">
        <f>IFERROR(IF(ISNUMBER(INDEX(SPPR!$E:$X,MATCH($A76,SPPR!$A:$A,0),20)),$C76*INDEX(SPPR!$E:$X,MATCH($A76,SPPR!$A:$A,0),20),""),"")</f>
        <v/>
      </c>
    </row>
    <row r="77">
      <c r="A77" t="inlineStr">
        <is>
          <t>Nemipterus virgatus</t>
        </is>
      </c>
      <c r="B77">
        <f>IFERROR(INDEX(SPPR!$D:$D,MATCH($A77,SPPR!$A:$A,0)),"")</f>
        <v/>
      </c>
      <c r="C77">
        <f>IFERROR(INDEX(Catch!$E:$BV,MATCH($A77,Catch!$A:$A,0),MATCH($B$4,Catch!$E$1:$BV$1,0)),0)</f>
        <v/>
      </c>
      <c r="D77">
        <f>IFERROR(IF(ISNUMBER(INDEX(SPPR!$E:$X,MATCH($A77,SPPR!$A:$A,0),1)),$C77*INDEX(SPPR!$E:$X,MATCH($A77,SPPR!$A:$A,0),1),""),"")</f>
        <v/>
      </c>
      <c r="E77">
        <f>IFERROR(IF(ISNUMBER(INDEX(SPPR!$E:$X,MATCH($A77,SPPR!$A:$A,0),2)),$C77*INDEX(SPPR!$E:$X,MATCH($A77,SPPR!$A:$A,0),2),""),"")</f>
        <v/>
      </c>
      <c r="F77">
        <f>IFERROR(IF(ISNUMBER(INDEX(SPPR!$E:$X,MATCH($A77,SPPR!$A:$A,0),3)),$C77*INDEX(SPPR!$E:$X,MATCH($A77,SPPR!$A:$A,0),3),""),"")</f>
        <v/>
      </c>
      <c r="G77">
        <f>IFERROR(IF(ISNUMBER(INDEX(SPPR!$E:$X,MATCH($A77,SPPR!$A:$A,0),4)),$C77*INDEX(SPPR!$E:$X,MATCH($A77,SPPR!$A:$A,0),4),""),"")</f>
        <v/>
      </c>
      <c r="H77">
        <f>IFERROR(IF(ISNUMBER(INDEX(SPPR!$E:$X,MATCH($A77,SPPR!$A:$A,0),5)),$C77*INDEX(SPPR!$E:$X,MATCH($A77,SPPR!$A:$A,0),5),""),"")</f>
        <v/>
      </c>
      <c r="I77">
        <f>IFERROR(IF(ISNUMBER(INDEX(SPPR!$E:$X,MATCH($A77,SPPR!$A:$A,0),6)),$C77*INDEX(SPPR!$E:$X,MATCH($A77,SPPR!$A:$A,0),6),""),"")</f>
        <v/>
      </c>
      <c r="J77">
        <f>IFERROR(IF(ISNUMBER(INDEX(SPPR!$E:$X,MATCH($A77,SPPR!$A:$A,0),7)),$C77*INDEX(SPPR!$E:$X,MATCH($A77,SPPR!$A:$A,0),7),""),"")</f>
        <v/>
      </c>
      <c r="K77">
        <f>IFERROR(IF(ISNUMBER(INDEX(SPPR!$E:$X,MATCH($A77,SPPR!$A:$A,0),8)),$C77*INDEX(SPPR!$E:$X,MATCH($A77,SPPR!$A:$A,0),8),""),"")</f>
        <v/>
      </c>
      <c r="L77">
        <f>IFERROR(IF(ISNUMBER(INDEX(SPPR!$E:$X,MATCH($A77,SPPR!$A:$A,0),9)),$C77*INDEX(SPPR!$E:$X,MATCH($A77,SPPR!$A:$A,0),9),""),"")</f>
        <v/>
      </c>
      <c r="M77">
        <f>IFERROR(IF(ISNUMBER(INDEX(SPPR!$E:$X,MATCH($A77,SPPR!$A:$A,0),10)),$C77*INDEX(SPPR!$E:$X,MATCH($A77,SPPR!$A:$A,0),10),""),"")</f>
        <v/>
      </c>
      <c r="N77">
        <f>IFERROR(IF(ISNUMBER(INDEX(SPPR!$E:$X,MATCH($A77,SPPR!$A:$A,0),11)),$C77*INDEX(SPPR!$E:$X,MATCH($A77,SPPR!$A:$A,0),11),""),"")</f>
        <v/>
      </c>
      <c r="O77">
        <f>IFERROR(IF(ISNUMBER(INDEX(SPPR!$E:$X,MATCH($A77,SPPR!$A:$A,0),12)),$C77*INDEX(SPPR!$E:$X,MATCH($A77,SPPR!$A:$A,0),12),""),"")</f>
        <v/>
      </c>
      <c r="P77">
        <f>IFERROR(IF(ISNUMBER(INDEX(SPPR!$E:$X,MATCH($A77,SPPR!$A:$A,0),13)),$C77*INDEX(SPPR!$E:$X,MATCH($A77,SPPR!$A:$A,0),13),""),"")</f>
        <v/>
      </c>
      <c r="Q77">
        <f>IFERROR(IF(ISNUMBER(INDEX(SPPR!$E:$X,MATCH($A77,SPPR!$A:$A,0),14)),$C77*INDEX(SPPR!$E:$X,MATCH($A77,SPPR!$A:$A,0),14),""),"")</f>
        <v/>
      </c>
      <c r="R77">
        <f>IFERROR(IF(ISNUMBER(INDEX(SPPR!$E:$X,MATCH($A77,SPPR!$A:$A,0),15)),$C77*INDEX(SPPR!$E:$X,MATCH($A77,SPPR!$A:$A,0),15),""),"")</f>
        <v/>
      </c>
      <c r="S77">
        <f>IFERROR(IF(ISNUMBER(INDEX(SPPR!$E:$X,MATCH($A77,SPPR!$A:$A,0),16)),$C77*INDEX(SPPR!$E:$X,MATCH($A77,SPPR!$A:$A,0),16),""),"")</f>
        <v/>
      </c>
      <c r="T77">
        <f>IFERROR(IF(ISNUMBER(INDEX(SPPR!$E:$X,MATCH($A77,SPPR!$A:$A,0),17)),$C77*INDEX(SPPR!$E:$X,MATCH($A77,SPPR!$A:$A,0),17),""),"")</f>
        <v/>
      </c>
      <c r="U77">
        <f>IFERROR(IF(ISNUMBER(INDEX(SPPR!$E:$X,MATCH($A77,SPPR!$A:$A,0),18)),$C77*INDEX(SPPR!$E:$X,MATCH($A77,SPPR!$A:$A,0),18),""),"")</f>
        <v/>
      </c>
      <c r="V77">
        <f>IFERROR(IF(ISNUMBER(INDEX(SPPR!$E:$X,MATCH($A77,SPPR!$A:$A,0),19)),$C77*INDEX(SPPR!$E:$X,MATCH($A77,SPPR!$A:$A,0),19),""),"")</f>
        <v/>
      </c>
      <c r="W77">
        <f>IFERROR(IF(ISNUMBER(INDEX(SPPR!$E:$X,MATCH($A77,SPPR!$A:$A,0),20)),$C77*INDEX(SPPR!$E:$X,MATCH($A77,SPPR!$A:$A,0),20),""),"")</f>
        <v/>
      </c>
    </row>
    <row r="78">
      <c r="A78" t="inlineStr">
        <is>
          <t>Parastromateus niger</t>
        </is>
      </c>
      <c r="B78">
        <f>IFERROR(INDEX(SPPR!$D:$D,MATCH($A78,SPPR!$A:$A,0)),"")</f>
        <v/>
      </c>
      <c r="C78">
        <f>IFERROR(INDEX(Catch!$E:$BV,MATCH($A78,Catch!$A:$A,0),MATCH($B$4,Catch!$E$1:$BV$1,0)),0)</f>
        <v/>
      </c>
      <c r="D78">
        <f>IFERROR(IF(ISNUMBER(INDEX(SPPR!$E:$X,MATCH($A78,SPPR!$A:$A,0),1)),$C78*INDEX(SPPR!$E:$X,MATCH($A78,SPPR!$A:$A,0),1),""),"")</f>
        <v/>
      </c>
      <c r="E78">
        <f>IFERROR(IF(ISNUMBER(INDEX(SPPR!$E:$X,MATCH($A78,SPPR!$A:$A,0),2)),$C78*INDEX(SPPR!$E:$X,MATCH($A78,SPPR!$A:$A,0),2),""),"")</f>
        <v/>
      </c>
      <c r="F78">
        <f>IFERROR(IF(ISNUMBER(INDEX(SPPR!$E:$X,MATCH($A78,SPPR!$A:$A,0),3)),$C78*INDEX(SPPR!$E:$X,MATCH($A78,SPPR!$A:$A,0),3),""),"")</f>
        <v/>
      </c>
      <c r="G78">
        <f>IFERROR(IF(ISNUMBER(INDEX(SPPR!$E:$X,MATCH($A78,SPPR!$A:$A,0),4)),$C78*INDEX(SPPR!$E:$X,MATCH($A78,SPPR!$A:$A,0),4),""),"")</f>
        <v/>
      </c>
      <c r="H78">
        <f>IFERROR(IF(ISNUMBER(INDEX(SPPR!$E:$X,MATCH($A78,SPPR!$A:$A,0),5)),$C78*INDEX(SPPR!$E:$X,MATCH($A78,SPPR!$A:$A,0),5),""),"")</f>
        <v/>
      </c>
      <c r="I78">
        <f>IFERROR(IF(ISNUMBER(INDEX(SPPR!$E:$X,MATCH($A78,SPPR!$A:$A,0),6)),$C78*INDEX(SPPR!$E:$X,MATCH($A78,SPPR!$A:$A,0),6),""),"")</f>
        <v/>
      </c>
      <c r="J78">
        <f>IFERROR(IF(ISNUMBER(INDEX(SPPR!$E:$X,MATCH($A78,SPPR!$A:$A,0),7)),$C78*INDEX(SPPR!$E:$X,MATCH($A78,SPPR!$A:$A,0),7),""),"")</f>
        <v/>
      </c>
      <c r="K78">
        <f>IFERROR(IF(ISNUMBER(INDEX(SPPR!$E:$X,MATCH($A78,SPPR!$A:$A,0),8)),$C78*INDEX(SPPR!$E:$X,MATCH($A78,SPPR!$A:$A,0),8),""),"")</f>
        <v/>
      </c>
      <c r="L78">
        <f>IFERROR(IF(ISNUMBER(INDEX(SPPR!$E:$X,MATCH($A78,SPPR!$A:$A,0),9)),$C78*INDEX(SPPR!$E:$X,MATCH($A78,SPPR!$A:$A,0),9),""),"")</f>
        <v/>
      </c>
      <c r="M78">
        <f>IFERROR(IF(ISNUMBER(INDEX(SPPR!$E:$X,MATCH($A78,SPPR!$A:$A,0),10)),$C78*INDEX(SPPR!$E:$X,MATCH($A78,SPPR!$A:$A,0),10),""),"")</f>
        <v/>
      </c>
      <c r="N78">
        <f>IFERROR(IF(ISNUMBER(INDEX(SPPR!$E:$X,MATCH($A78,SPPR!$A:$A,0),11)),$C78*INDEX(SPPR!$E:$X,MATCH($A78,SPPR!$A:$A,0),11),""),"")</f>
        <v/>
      </c>
      <c r="O78">
        <f>IFERROR(IF(ISNUMBER(INDEX(SPPR!$E:$X,MATCH($A78,SPPR!$A:$A,0),12)),$C78*INDEX(SPPR!$E:$X,MATCH($A78,SPPR!$A:$A,0),12),""),"")</f>
        <v/>
      </c>
      <c r="P78">
        <f>IFERROR(IF(ISNUMBER(INDEX(SPPR!$E:$X,MATCH($A78,SPPR!$A:$A,0),13)),$C78*INDEX(SPPR!$E:$X,MATCH($A78,SPPR!$A:$A,0),13),""),"")</f>
        <v/>
      </c>
      <c r="Q78">
        <f>IFERROR(IF(ISNUMBER(INDEX(SPPR!$E:$X,MATCH($A78,SPPR!$A:$A,0),14)),$C78*INDEX(SPPR!$E:$X,MATCH($A78,SPPR!$A:$A,0),14),""),"")</f>
        <v/>
      </c>
      <c r="R78">
        <f>IFERROR(IF(ISNUMBER(INDEX(SPPR!$E:$X,MATCH($A78,SPPR!$A:$A,0),15)),$C78*INDEX(SPPR!$E:$X,MATCH($A78,SPPR!$A:$A,0),15),""),"")</f>
        <v/>
      </c>
      <c r="S78">
        <f>IFERROR(IF(ISNUMBER(INDEX(SPPR!$E:$X,MATCH($A78,SPPR!$A:$A,0),16)),$C78*INDEX(SPPR!$E:$X,MATCH($A78,SPPR!$A:$A,0),16),""),"")</f>
        <v/>
      </c>
      <c r="T78">
        <f>IFERROR(IF(ISNUMBER(INDEX(SPPR!$E:$X,MATCH($A78,SPPR!$A:$A,0),17)),$C78*INDEX(SPPR!$E:$X,MATCH($A78,SPPR!$A:$A,0),17),""),"")</f>
        <v/>
      </c>
      <c r="U78">
        <f>IFERROR(IF(ISNUMBER(INDEX(SPPR!$E:$X,MATCH($A78,SPPR!$A:$A,0),18)),$C78*INDEX(SPPR!$E:$X,MATCH($A78,SPPR!$A:$A,0),18),""),"")</f>
        <v/>
      </c>
      <c r="V78">
        <f>IFERROR(IF(ISNUMBER(INDEX(SPPR!$E:$X,MATCH($A78,SPPR!$A:$A,0),19)),$C78*INDEX(SPPR!$E:$X,MATCH($A78,SPPR!$A:$A,0),19),""),"")</f>
        <v/>
      </c>
      <c r="W78">
        <f>IFERROR(IF(ISNUMBER(INDEX(SPPR!$E:$X,MATCH($A78,SPPR!$A:$A,0),20)),$C78*INDEX(SPPR!$E:$X,MATCH($A78,SPPR!$A:$A,0),20),""),"")</f>
        <v/>
      </c>
    </row>
    <row r="79">
      <c r="A79" t="inlineStr">
        <is>
          <t>Mugil cephalus</t>
        </is>
      </c>
      <c r="B79">
        <f>IFERROR(INDEX(SPPR!$D:$D,MATCH($A79,SPPR!$A:$A,0)),"")</f>
        <v/>
      </c>
      <c r="C79">
        <f>IFERROR(INDEX(Catch!$E:$BV,MATCH($A79,Catch!$A:$A,0),MATCH($B$4,Catch!$E$1:$BV$1,0)),0)</f>
        <v/>
      </c>
      <c r="D79">
        <f>IFERROR(IF(ISNUMBER(INDEX(SPPR!$E:$X,MATCH($A79,SPPR!$A:$A,0),1)),$C79*INDEX(SPPR!$E:$X,MATCH($A79,SPPR!$A:$A,0),1),""),"")</f>
        <v/>
      </c>
      <c r="E79">
        <f>IFERROR(IF(ISNUMBER(INDEX(SPPR!$E:$X,MATCH($A79,SPPR!$A:$A,0),2)),$C79*INDEX(SPPR!$E:$X,MATCH($A79,SPPR!$A:$A,0),2),""),"")</f>
        <v/>
      </c>
      <c r="F79">
        <f>IFERROR(IF(ISNUMBER(INDEX(SPPR!$E:$X,MATCH($A79,SPPR!$A:$A,0),3)),$C79*INDEX(SPPR!$E:$X,MATCH($A79,SPPR!$A:$A,0),3),""),"")</f>
        <v/>
      </c>
      <c r="G79">
        <f>IFERROR(IF(ISNUMBER(INDEX(SPPR!$E:$X,MATCH($A79,SPPR!$A:$A,0),4)),$C79*INDEX(SPPR!$E:$X,MATCH($A79,SPPR!$A:$A,0),4),""),"")</f>
        <v/>
      </c>
      <c r="H79">
        <f>IFERROR(IF(ISNUMBER(INDEX(SPPR!$E:$X,MATCH($A79,SPPR!$A:$A,0),5)),$C79*INDEX(SPPR!$E:$X,MATCH($A79,SPPR!$A:$A,0),5),""),"")</f>
        <v/>
      </c>
      <c r="I79">
        <f>IFERROR(IF(ISNUMBER(INDEX(SPPR!$E:$X,MATCH($A79,SPPR!$A:$A,0),6)),$C79*INDEX(SPPR!$E:$X,MATCH($A79,SPPR!$A:$A,0),6),""),"")</f>
        <v/>
      </c>
      <c r="J79">
        <f>IFERROR(IF(ISNUMBER(INDEX(SPPR!$E:$X,MATCH($A79,SPPR!$A:$A,0),7)),$C79*INDEX(SPPR!$E:$X,MATCH($A79,SPPR!$A:$A,0),7),""),"")</f>
        <v/>
      </c>
      <c r="K79">
        <f>IFERROR(IF(ISNUMBER(INDEX(SPPR!$E:$X,MATCH($A79,SPPR!$A:$A,0),8)),$C79*INDEX(SPPR!$E:$X,MATCH($A79,SPPR!$A:$A,0),8),""),"")</f>
        <v/>
      </c>
      <c r="L79">
        <f>IFERROR(IF(ISNUMBER(INDEX(SPPR!$E:$X,MATCH($A79,SPPR!$A:$A,0),9)),$C79*INDEX(SPPR!$E:$X,MATCH($A79,SPPR!$A:$A,0),9),""),"")</f>
        <v/>
      </c>
      <c r="M79">
        <f>IFERROR(IF(ISNUMBER(INDEX(SPPR!$E:$X,MATCH($A79,SPPR!$A:$A,0),10)),$C79*INDEX(SPPR!$E:$X,MATCH($A79,SPPR!$A:$A,0),10),""),"")</f>
        <v/>
      </c>
      <c r="N79">
        <f>IFERROR(IF(ISNUMBER(INDEX(SPPR!$E:$X,MATCH($A79,SPPR!$A:$A,0),11)),$C79*INDEX(SPPR!$E:$X,MATCH($A79,SPPR!$A:$A,0),11),""),"")</f>
        <v/>
      </c>
      <c r="O79">
        <f>IFERROR(IF(ISNUMBER(INDEX(SPPR!$E:$X,MATCH($A79,SPPR!$A:$A,0),12)),$C79*INDEX(SPPR!$E:$X,MATCH($A79,SPPR!$A:$A,0),12),""),"")</f>
        <v/>
      </c>
      <c r="P79">
        <f>IFERROR(IF(ISNUMBER(INDEX(SPPR!$E:$X,MATCH($A79,SPPR!$A:$A,0),13)),$C79*INDEX(SPPR!$E:$X,MATCH($A79,SPPR!$A:$A,0),13),""),"")</f>
        <v/>
      </c>
      <c r="Q79">
        <f>IFERROR(IF(ISNUMBER(INDEX(SPPR!$E:$X,MATCH($A79,SPPR!$A:$A,0),14)),$C79*INDEX(SPPR!$E:$X,MATCH($A79,SPPR!$A:$A,0),14),""),"")</f>
        <v/>
      </c>
      <c r="R79">
        <f>IFERROR(IF(ISNUMBER(INDEX(SPPR!$E:$X,MATCH($A79,SPPR!$A:$A,0),15)),$C79*INDEX(SPPR!$E:$X,MATCH($A79,SPPR!$A:$A,0),15),""),"")</f>
        <v/>
      </c>
      <c r="S79">
        <f>IFERROR(IF(ISNUMBER(INDEX(SPPR!$E:$X,MATCH($A79,SPPR!$A:$A,0),16)),$C79*INDEX(SPPR!$E:$X,MATCH($A79,SPPR!$A:$A,0),16),""),"")</f>
        <v/>
      </c>
      <c r="T79">
        <f>IFERROR(IF(ISNUMBER(INDEX(SPPR!$E:$X,MATCH($A79,SPPR!$A:$A,0),17)),$C79*INDEX(SPPR!$E:$X,MATCH($A79,SPPR!$A:$A,0),17),""),"")</f>
        <v/>
      </c>
      <c r="U79">
        <f>IFERROR(IF(ISNUMBER(INDEX(SPPR!$E:$X,MATCH($A79,SPPR!$A:$A,0),18)),$C79*INDEX(SPPR!$E:$X,MATCH($A79,SPPR!$A:$A,0),18),""),"")</f>
        <v/>
      </c>
      <c r="V79">
        <f>IFERROR(IF(ISNUMBER(INDEX(SPPR!$E:$X,MATCH($A79,SPPR!$A:$A,0),19)),$C79*INDEX(SPPR!$E:$X,MATCH($A79,SPPR!$A:$A,0),19),""),"")</f>
        <v/>
      </c>
      <c r="W79">
        <f>IFERROR(IF(ISNUMBER(INDEX(SPPR!$E:$X,MATCH($A79,SPPR!$A:$A,0),20)),$C79*INDEX(SPPR!$E:$X,MATCH($A79,SPPR!$A:$A,0),20),""),"")</f>
        <v/>
      </c>
    </row>
    <row r="80">
      <c r="A80" t="inlineStr">
        <is>
          <t>Cephalopoda</t>
        </is>
      </c>
      <c r="B80">
        <f>IFERROR(INDEX(SPPR!$D:$D,MATCH($A80,SPPR!$A:$A,0)),"")</f>
        <v/>
      </c>
      <c r="C80">
        <f>IFERROR(INDEX(Catch!$E:$BV,MATCH($A80,Catch!$A:$A,0),MATCH($B$4,Catch!$E$1:$BV$1,0)),0)</f>
        <v/>
      </c>
      <c r="D80">
        <f>IFERROR(IF(ISNUMBER(INDEX(SPPR!$E:$X,MATCH($A80,SPPR!$A:$A,0),1)),$C80*INDEX(SPPR!$E:$X,MATCH($A80,SPPR!$A:$A,0),1),""),"")</f>
        <v/>
      </c>
      <c r="E80">
        <f>IFERROR(IF(ISNUMBER(INDEX(SPPR!$E:$X,MATCH($A80,SPPR!$A:$A,0),2)),$C80*INDEX(SPPR!$E:$X,MATCH($A80,SPPR!$A:$A,0),2),""),"")</f>
        <v/>
      </c>
      <c r="F80">
        <f>IFERROR(IF(ISNUMBER(INDEX(SPPR!$E:$X,MATCH($A80,SPPR!$A:$A,0),3)),$C80*INDEX(SPPR!$E:$X,MATCH($A80,SPPR!$A:$A,0),3),""),"")</f>
        <v/>
      </c>
      <c r="G80">
        <f>IFERROR(IF(ISNUMBER(INDEX(SPPR!$E:$X,MATCH($A80,SPPR!$A:$A,0),4)),$C80*INDEX(SPPR!$E:$X,MATCH($A80,SPPR!$A:$A,0),4),""),"")</f>
        <v/>
      </c>
      <c r="H80">
        <f>IFERROR(IF(ISNUMBER(INDEX(SPPR!$E:$X,MATCH($A80,SPPR!$A:$A,0),5)),$C80*INDEX(SPPR!$E:$X,MATCH($A80,SPPR!$A:$A,0),5),""),"")</f>
        <v/>
      </c>
      <c r="I80">
        <f>IFERROR(IF(ISNUMBER(INDEX(SPPR!$E:$X,MATCH($A80,SPPR!$A:$A,0),6)),$C80*INDEX(SPPR!$E:$X,MATCH($A80,SPPR!$A:$A,0),6),""),"")</f>
        <v/>
      </c>
      <c r="J80">
        <f>IFERROR(IF(ISNUMBER(INDEX(SPPR!$E:$X,MATCH($A80,SPPR!$A:$A,0),7)),$C80*INDEX(SPPR!$E:$X,MATCH($A80,SPPR!$A:$A,0),7),""),"")</f>
        <v/>
      </c>
      <c r="K80">
        <f>IFERROR(IF(ISNUMBER(INDEX(SPPR!$E:$X,MATCH($A80,SPPR!$A:$A,0),8)),$C80*INDEX(SPPR!$E:$X,MATCH($A80,SPPR!$A:$A,0),8),""),"")</f>
        <v/>
      </c>
      <c r="L80">
        <f>IFERROR(IF(ISNUMBER(INDEX(SPPR!$E:$X,MATCH($A80,SPPR!$A:$A,0),9)),$C80*INDEX(SPPR!$E:$X,MATCH($A80,SPPR!$A:$A,0),9),""),"")</f>
        <v/>
      </c>
      <c r="M80">
        <f>IFERROR(IF(ISNUMBER(INDEX(SPPR!$E:$X,MATCH($A80,SPPR!$A:$A,0),10)),$C80*INDEX(SPPR!$E:$X,MATCH($A80,SPPR!$A:$A,0),10),""),"")</f>
        <v/>
      </c>
      <c r="N80">
        <f>IFERROR(IF(ISNUMBER(INDEX(SPPR!$E:$X,MATCH($A80,SPPR!$A:$A,0),11)),$C80*INDEX(SPPR!$E:$X,MATCH($A80,SPPR!$A:$A,0),11),""),"")</f>
        <v/>
      </c>
      <c r="O80">
        <f>IFERROR(IF(ISNUMBER(INDEX(SPPR!$E:$X,MATCH($A80,SPPR!$A:$A,0),12)),$C80*INDEX(SPPR!$E:$X,MATCH($A80,SPPR!$A:$A,0),12),""),"")</f>
        <v/>
      </c>
      <c r="P80">
        <f>IFERROR(IF(ISNUMBER(INDEX(SPPR!$E:$X,MATCH($A80,SPPR!$A:$A,0),13)),$C80*INDEX(SPPR!$E:$X,MATCH($A80,SPPR!$A:$A,0),13),""),"")</f>
        <v/>
      </c>
      <c r="Q80">
        <f>IFERROR(IF(ISNUMBER(INDEX(SPPR!$E:$X,MATCH($A80,SPPR!$A:$A,0),14)),$C80*INDEX(SPPR!$E:$X,MATCH($A80,SPPR!$A:$A,0),14),""),"")</f>
        <v/>
      </c>
      <c r="R80">
        <f>IFERROR(IF(ISNUMBER(INDEX(SPPR!$E:$X,MATCH($A80,SPPR!$A:$A,0),15)),$C80*INDEX(SPPR!$E:$X,MATCH($A80,SPPR!$A:$A,0),15),""),"")</f>
        <v/>
      </c>
      <c r="S80">
        <f>IFERROR(IF(ISNUMBER(INDEX(SPPR!$E:$X,MATCH($A80,SPPR!$A:$A,0),16)),$C80*INDEX(SPPR!$E:$X,MATCH($A80,SPPR!$A:$A,0),16),""),"")</f>
        <v/>
      </c>
      <c r="T80">
        <f>IFERROR(IF(ISNUMBER(INDEX(SPPR!$E:$X,MATCH($A80,SPPR!$A:$A,0),17)),$C80*INDEX(SPPR!$E:$X,MATCH($A80,SPPR!$A:$A,0),17),""),"")</f>
        <v/>
      </c>
      <c r="U80">
        <f>IFERROR(IF(ISNUMBER(INDEX(SPPR!$E:$X,MATCH($A80,SPPR!$A:$A,0),18)),$C80*INDEX(SPPR!$E:$X,MATCH($A80,SPPR!$A:$A,0),18),""),"")</f>
        <v/>
      </c>
      <c r="V80">
        <f>IFERROR(IF(ISNUMBER(INDEX(SPPR!$E:$X,MATCH($A80,SPPR!$A:$A,0),19)),$C80*INDEX(SPPR!$E:$X,MATCH($A80,SPPR!$A:$A,0),19),""),"")</f>
        <v/>
      </c>
      <c r="W80">
        <f>IFERROR(IF(ISNUMBER(INDEX(SPPR!$E:$X,MATCH($A80,SPPR!$A:$A,0),20)),$C80*INDEX(SPPR!$E:$X,MATCH($A80,SPPR!$A:$A,0),20),""),"")</f>
        <v/>
      </c>
    </row>
    <row r="81">
      <c r="A81" t="inlineStr">
        <is>
          <t>Leiognathus</t>
        </is>
      </c>
      <c r="B81">
        <f>IFERROR(INDEX(SPPR!$D:$D,MATCH($A81,SPPR!$A:$A,0)),"")</f>
        <v/>
      </c>
      <c r="C81">
        <f>IFERROR(INDEX(Catch!$E:$BV,MATCH($A81,Catch!$A:$A,0),MATCH($B$4,Catch!$E$1:$BV$1,0)),0)</f>
        <v/>
      </c>
      <c r="D81">
        <f>IFERROR(IF(ISNUMBER(INDEX(SPPR!$E:$X,MATCH($A81,SPPR!$A:$A,0),1)),$C81*INDEX(SPPR!$E:$X,MATCH($A81,SPPR!$A:$A,0),1),""),"")</f>
        <v/>
      </c>
      <c r="E81">
        <f>IFERROR(IF(ISNUMBER(INDEX(SPPR!$E:$X,MATCH($A81,SPPR!$A:$A,0),2)),$C81*INDEX(SPPR!$E:$X,MATCH($A81,SPPR!$A:$A,0),2),""),"")</f>
        <v/>
      </c>
      <c r="F81">
        <f>IFERROR(IF(ISNUMBER(INDEX(SPPR!$E:$X,MATCH($A81,SPPR!$A:$A,0),3)),$C81*INDEX(SPPR!$E:$X,MATCH($A81,SPPR!$A:$A,0),3),""),"")</f>
        <v/>
      </c>
      <c r="G81">
        <f>IFERROR(IF(ISNUMBER(INDEX(SPPR!$E:$X,MATCH($A81,SPPR!$A:$A,0),4)),$C81*INDEX(SPPR!$E:$X,MATCH($A81,SPPR!$A:$A,0),4),""),"")</f>
        <v/>
      </c>
      <c r="H81">
        <f>IFERROR(IF(ISNUMBER(INDEX(SPPR!$E:$X,MATCH($A81,SPPR!$A:$A,0),5)),$C81*INDEX(SPPR!$E:$X,MATCH($A81,SPPR!$A:$A,0),5),""),"")</f>
        <v/>
      </c>
      <c r="I81">
        <f>IFERROR(IF(ISNUMBER(INDEX(SPPR!$E:$X,MATCH($A81,SPPR!$A:$A,0),6)),$C81*INDEX(SPPR!$E:$X,MATCH($A81,SPPR!$A:$A,0),6),""),"")</f>
        <v/>
      </c>
      <c r="J81">
        <f>IFERROR(IF(ISNUMBER(INDEX(SPPR!$E:$X,MATCH($A81,SPPR!$A:$A,0),7)),$C81*INDEX(SPPR!$E:$X,MATCH($A81,SPPR!$A:$A,0),7),""),"")</f>
        <v/>
      </c>
      <c r="K81">
        <f>IFERROR(IF(ISNUMBER(INDEX(SPPR!$E:$X,MATCH($A81,SPPR!$A:$A,0),8)),$C81*INDEX(SPPR!$E:$X,MATCH($A81,SPPR!$A:$A,0),8),""),"")</f>
        <v/>
      </c>
      <c r="L81">
        <f>IFERROR(IF(ISNUMBER(INDEX(SPPR!$E:$X,MATCH($A81,SPPR!$A:$A,0),9)),$C81*INDEX(SPPR!$E:$X,MATCH($A81,SPPR!$A:$A,0),9),""),"")</f>
        <v/>
      </c>
      <c r="M81">
        <f>IFERROR(IF(ISNUMBER(INDEX(SPPR!$E:$X,MATCH($A81,SPPR!$A:$A,0),10)),$C81*INDEX(SPPR!$E:$X,MATCH($A81,SPPR!$A:$A,0),10),""),"")</f>
        <v/>
      </c>
      <c r="N81">
        <f>IFERROR(IF(ISNUMBER(INDEX(SPPR!$E:$X,MATCH($A81,SPPR!$A:$A,0),11)),$C81*INDEX(SPPR!$E:$X,MATCH($A81,SPPR!$A:$A,0),11),""),"")</f>
        <v/>
      </c>
      <c r="O81">
        <f>IFERROR(IF(ISNUMBER(INDEX(SPPR!$E:$X,MATCH($A81,SPPR!$A:$A,0),12)),$C81*INDEX(SPPR!$E:$X,MATCH($A81,SPPR!$A:$A,0),12),""),"")</f>
        <v/>
      </c>
      <c r="P81">
        <f>IFERROR(IF(ISNUMBER(INDEX(SPPR!$E:$X,MATCH($A81,SPPR!$A:$A,0),13)),$C81*INDEX(SPPR!$E:$X,MATCH($A81,SPPR!$A:$A,0),13),""),"")</f>
        <v/>
      </c>
      <c r="Q81">
        <f>IFERROR(IF(ISNUMBER(INDEX(SPPR!$E:$X,MATCH($A81,SPPR!$A:$A,0),14)),$C81*INDEX(SPPR!$E:$X,MATCH($A81,SPPR!$A:$A,0),14),""),"")</f>
        <v/>
      </c>
      <c r="R81">
        <f>IFERROR(IF(ISNUMBER(INDEX(SPPR!$E:$X,MATCH($A81,SPPR!$A:$A,0),15)),$C81*INDEX(SPPR!$E:$X,MATCH($A81,SPPR!$A:$A,0),15),""),"")</f>
        <v/>
      </c>
      <c r="S81">
        <f>IFERROR(IF(ISNUMBER(INDEX(SPPR!$E:$X,MATCH($A81,SPPR!$A:$A,0),16)),$C81*INDEX(SPPR!$E:$X,MATCH($A81,SPPR!$A:$A,0),16),""),"")</f>
        <v/>
      </c>
      <c r="T81">
        <f>IFERROR(IF(ISNUMBER(INDEX(SPPR!$E:$X,MATCH($A81,SPPR!$A:$A,0),17)),$C81*INDEX(SPPR!$E:$X,MATCH($A81,SPPR!$A:$A,0),17),""),"")</f>
        <v/>
      </c>
      <c r="U81">
        <f>IFERROR(IF(ISNUMBER(INDEX(SPPR!$E:$X,MATCH($A81,SPPR!$A:$A,0),18)),$C81*INDEX(SPPR!$E:$X,MATCH($A81,SPPR!$A:$A,0),18),""),"")</f>
        <v/>
      </c>
      <c r="V81">
        <f>IFERROR(IF(ISNUMBER(INDEX(SPPR!$E:$X,MATCH($A81,SPPR!$A:$A,0),19)),$C81*INDEX(SPPR!$E:$X,MATCH($A81,SPPR!$A:$A,0),19),""),"")</f>
        <v/>
      </c>
      <c r="W81">
        <f>IFERROR(IF(ISNUMBER(INDEX(SPPR!$E:$X,MATCH($A81,SPPR!$A:$A,0),20)),$C81*INDEX(SPPR!$E:$X,MATCH($A81,SPPR!$A:$A,0),20),""),"")</f>
        <v/>
      </c>
    </row>
    <row r="82">
      <c r="A82" t="inlineStr">
        <is>
          <t>Octopodidae</t>
        </is>
      </c>
      <c r="B82">
        <f>IFERROR(INDEX(SPPR!$D:$D,MATCH($A82,SPPR!$A:$A,0)),"")</f>
        <v/>
      </c>
      <c r="C82">
        <f>IFERROR(INDEX(Catch!$E:$BV,MATCH($A82,Catch!$A:$A,0),MATCH($B$4,Catch!$E$1:$BV$1,0)),0)</f>
        <v/>
      </c>
      <c r="D82">
        <f>IFERROR(IF(ISNUMBER(INDEX(SPPR!$E:$X,MATCH($A82,SPPR!$A:$A,0),1)),$C82*INDEX(SPPR!$E:$X,MATCH($A82,SPPR!$A:$A,0),1),""),"")</f>
        <v/>
      </c>
      <c r="E82">
        <f>IFERROR(IF(ISNUMBER(INDEX(SPPR!$E:$X,MATCH($A82,SPPR!$A:$A,0),2)),$C82*INDEX(SPPR!$E:$X,MATCH($A82,SPPR!$A:$A,0),2),""),"")</f>
        <v/>
      </c>
      <c r="F82">
        <f>IFERROR(IF(ISNUMBER(INDEX(SPPR!$E:$X,MATCH($A82,SPPR!$A:$A,0),3)),$C82*INDEX(SPPR!$E:$X,MATCH($A82,SPPR!$A:$A,0),3),""),"")</f>
        <v/>
      </c>
      <c r="G82">
        <f>IFERROR(IF(ISNUMBER(INDEX(SPPR!$E:$X,MATCH($A82,SPPR!$A:$A,0),4)),$C82*INDEX(SPPR!$E:$X,MATCH($A82,SPPR!$A:$A,0),4),""),"")</f>
        <v/>
      </c>
      <c r="H82">
        <f>IFERROR(IF(ISNUMBER(INDEX(SPPR!$E:$X,MATCH($A82,SPPR!$A:$A,0),5)),$C82*INDEX(SPPR!$E:$X,MATCH($A82,SPPR!$A:$A,0),5),""),"")</f>
        <v/>
      </c>
      <c r="I82">
        <f>IFERROR(IF(ISNUMBER(INDEX(SPPR!$E:$X,MATCH($A82,SPPR!$A:$A,0),6)),$C82*INDEX(SPPR!$E:$X,MATCH($A82,SPPR!$A:$A,0),6),""),"")</f>
        <v/>
      </c>
      <c r="J82">
        <f>IFERROR(IF(ISNUMBER(INDEX(SPPR!$E:$X,MATCH($A82,SPPR!$A:$A,0),7)),$C82*INDEX(SPPR!$E:$X,MATCH($A82,SPPR!$A:$A,0),7),""),"")</f>
        <v/>
      </c>
      <c r="K82">
        <f>IFERROR(IF(ISNUMBER(INDEX(SPPR!$E:$X,MATCH($A82,SPPR!$A:$A,0),8)),$C82*INDEX(SPPR!$E:$X,MATCH($A82,SPPR!$A:$A,0),8),""),"")</f>
        <v/>
      </c>
      <c r="L82">
        <f>IFERROR(IF(ISNUMBER(INDEX(SPPR!$E:$X,MATCH($A82,SPPR!$A:$A,0),9)),$C82*INDEX(SPPR!$E:$X,MATCH($A82,SPPR!$A:$A,0),9),""),"")</f>
        <v/>
      </c>
      <c r="M82">
        <f>IFERROR(IF(ISNUMBER(INDEX(SPPR!$E:$X,MATCH($A82,SPPR!$A:$A,0),10)),$C82*INDEX(SPPR!$E:$X,MATCH($A82,SPPR!$A:$A,0),10),""),"")</f>
        <v/>
      </c>
      <c r="N82">
        <f>IFERROR(IF(ISNUMBER(INDEX(SPPR!$E:$X,MATCH($A82,SPPR!$A:$A,0),11)),$C82*INDEX(SPPR!$E:$X,MATCH($A82,SPPR!$A:$A,0),11),""),"")</f>
        <v/>
      </c>
      <c r="O82">
        <f>IFERROR(IF(ISNUMBER(INDEX(SPPR!$E:$X,MATCH($A82,SPPR!$A:$A,0),12)),$C82*INDEX(SPPR!$E:$X,MATCH($A82,SPPR!$A:$A,0),12),""),"")</f>
        <v/>
      </c>
      <c r="P82">
        <f>IFERROR(IF(ISNUMBER(INDEX(SPPR!$E:$X,MATCH($A82,SPPR!$A:$A,0),13)),$C82*INDEX(SPPR!$E:$X,MATCH($A82,SPPR!$A:$A,0),13),""),"")</f>
        <v/>
      </c>
      <c r="Q82">
        <f>IFERROR(IF(ISNUMBER(INDEX(SPPR!$E:$X,MATCH($A82,SPPR!$A:$A,0),14)),$C82*INDEX(SPPR!$E:$X,MATCH($A82,SPPR!$A:$A,0),14),""),"")</f>
        <v/>
      </c>
      <c r="R82">
        <f>IFERROR(IF(ISNUMBER(INDEX(SPPR!$E:$X,MATCH($A82,SPPR!$A:$A,0),15)),$C82*INDEX(SPPR!$E:$X,MATCH($A82,SPPR!$A:$A,0),15),""),"")</f>
        <v/>
      </c>
      <c r="S82">
        <f>IFERROR(IF(ISNUMBER(INDEX(SPPR!$E:$X,MATCH($A82,SPPR!$A:$A,0),16)),$C82*INDEX(SPPR!$E:$X,MATCH($A82,SPPR!$A:$A,0),16),""),"")</f>
        <v/>
      </c>
      <c r="T82">
        <f>IFERROR(IF(ISNUMBER(INDEX(SPPR!$E:$X,MATCH($A82,SPPR!$A:$A,0),17)),$C82*INDEX(SPPR!$E:$X,MATCH($A82,SPPR!$A:$A,0),17),""),"")</f>
        <v/>
      </c>
      <c r="U82">
        <f>IFERROR(IF(ISNUMBER(INDEX(SPPR!$E:$X,MATCH($A82,SPPR!$A:$A,0),18)),$C82*INDEX(SPPR!$E:$X,MATCH($A82,SPPR!$A:$A,0),18),""),"")</f>
        <v/>
      </c>
      <c r="V82">
        <f>IFERROR(IF(ISNUMBER(INDEX(SPPR!$E:$X,MATCH($A82,SPPR!$A:$A,0),19)),$C82*INDEX(SPPR!$E:$X,MATCH($A82,SPPR!$A:$A,0),19),""),"")</f>
        <v/>
      </c>
      <c r="W82">
        <f>IFERROR(IF(ISNUMBER(INDEX(SPPR!$E:$X,MATCH($A82,SPPR!$A:$A,0),20)),$C82*INDEX(SPPR!$E:$X,MATCH($A82,SPPR!$A:$A,0),20),""),"")</f>
        <v/>
      </c>
    </row>
    <row r="83">
      <c r="A83" t="inlineStr">
        <is>
          <t>Dasyatis</t>
        </is>
      </c>
      <c r="B83">
        <f>IFERROR(INDEX(SPPR!$D:$D,MATCH($A83,SPPR!$A:$A,0)),"")</f>
        <v/>
      </c>
      <c r="C83">
        <f>IFERROR(INDEX(Catch!$E:$BV,MATCH($A83,Catch!$A:$A,0),MATCH($B$4,Catch!$E$1:$BV$1,0)),0)</f>
        <v/>
      </c>
      <c r="D83">
        <f>IFERROR(IF(ISNUMBER(INDEX(SPPR!$E:$X,MATCH($A83,SPPR!$A:$A,0),1)),$C83*INDEX(SPPR!$E:$X,MATCH($A83,SPPR!$A:$A,0),1),""),"")</f>
        <v/>
      </c>
      <c r="E83">
        <f>IFERROR(IF(ISNUMBER(INDEX(SPPR!$E:$X,MATCH($A83,SPPR!$A:$A,0),2)),$C83*INDEX(SPPR!$E:$X,MATCH($A83,SPPR!$A:$A,0),2),""),"")</f>
        <v/>
      </c>
      <c r="F83">
        <f>IFERROR(IF(ISNUMBER(INDEX(SPPR!$E:$X,MATCH($A83,SPPR!$A:$A,0),3)),$C83*INDEX(SPPR!$E:$X,MATCH($A83,SPPR!$A:$A,0),3),""),"")</f>
        <v/>
      </c>
      <c r="G83">
        <f>IFERROR(IF(ISNUMBER(INDEX(SPPR!$E:$X,MATCH($A83,SPPR!$A:$A,0),4)),$C83*INDEX(SPPR!$E:$X,MATCH($A83,SPPR!$A:$A,0),4),""),"")</f>
        <v/>
      </c>
      <c r="H83">
        <f>IFERROR(IF(ISNUMBER(INDEX(SPPR!$E:$X,MATCH($A83,SPPR!$A:$A,0),5)),$C83*INDEX(SPPR!$E:$X,MATCH($A83,SPPR!$A:$A,0),5),""),"")</f>
        <v/>
      </c>
      <c r="I83">
        <f>IFERROR(IF(ISNUMBER(INDEX(SPPR!$E:$X,MATCH($A83,SPPR!$A:$A,0),6)),$C83*INDEX(SPPR!$E:$X,MATCH($A83,SPPR!$A:$A,0),6),""),"")</f>
        <v/>
      </c>
      <c r="J83">
        <f>IFERROR(IF(ISNUMBER(INDEX(SPPR!$E:$X,MATCH($A83,SPPR!$A:$A,0),7)),$C83*INDEX(SPPR!$E:$X,MATCH($A83,SPPR!$A:$A,0),7),""),"")</f>
        <v/>
      </c>
      <c r="K83">
        <f>IFERROR(IF(ISNUMBER(INDEX(SPPR!$E:$X,MATCH($A83,SPPR!$A:$A,0),8)),$C83*INDEX(SPPR!$E:$X,MATCH($A83,SPPR!$A:$A,0),8),""),"")</f>
        <v/>
      </c>
      <c r="L83">
        <f>IFERROR(IF(ISNUMBER(INDEX(SPPR!$E:$X,MATCH($A83,SPPR!$A:$A,0),9)),$C83*INDEX(SPPR!$E:$X,MATCH($A83,SPPR!$A:$A,0),9),""),"")</f>
        <v/>
      </c>
      <c r="M83">
        <f>IFERROR(IF(ISNUMBER(INDEX(SPPR!$E:$X,MATCH($A83,SPPR!$A:$A,0),10)),$C83*INDEX(SPPR!$E:$X,MATCH($A83,SPPR!$A:$A,0),10),""),"")</f>
        <v/>
      </c>
      <c r="N83">
        <f>IFERROR(IF(ISNUMBER(INDEX(SPPR!$E:$X,MATCH($A83,SPPR!$A:$A,0),11)),$C83*INDEX(SPPR!$E:$X,MATCH($A83,SPPR!$A:$A,0),11),""),"")</f>
        <v/>
      </c>
      <c r="O83">
        <f>IFERROR(IF(ISNUMBER(INDEX(SPPR!$E:$X,MATCH($A83,SPPR!$A:$A,0),12)),$C83*INDEX(SPPR!$E:$X,MATCH($A83,SPPR!$A:$A,0),12),""),"")</f>
        <v/>
      </c>
      <c r="P83">
        <f>IFERROR(IF(ISNUMBER(INDEX(SPPR!$E:$X,MATCH($A83,SPPR!$A:$A,0),13)),$C83*INDEX(SPPR!$E:$X,MATCH($A83,SPPR!$A:$A,0),13),""),"")</f>
        <v/>
      </c>
      <c r="Q83">
        <f>IFERROR(IF(ISNUMBER(INDEX(SPPR!$E:$X,MATCH($A83,SPPR!$A:$A,0),14)),$C83*INDEX(SPPR!$E:$X,MATCH($A83,SPPR!$A:$A,0),14),""),"")</f>
        <v/>
      </c>
      <c r="R83">
        <f>IFERROR(IF(ISNUMBER(INDEX(SPPR!$E:$X,MATCH($A83,SPPR!$A:$A,0),15)),$C83*INDEX(SPPR!$E:$X,MATCH($A83,SPPR!$A:$A,0),15),""),"")</f>
        <v/>
      </c>
      <c r="S83">
        <f>IFERROR(IF(ISNUMBER(INDEX(SPPR!$E:$X,MATCH($A83,SPPR!$A:$A,0),16)),$C83*INDEX(SPPR!$E:$X,MATCH($A83,SPPR!$A:$A,0),16),""),"")</f>
        <v/>
      </c>
      <c r="T83">
        <f>IFERROR(IF(ISNUMBER(INDEX(SPPR!$E:$X,MATCH($A83,SPPR!$A:$A,0),17)),$C83*INDEX(SPPR!$E:$X,MATCH($A83,SPPR!$A:$A,0),17),""),"")</f>
        <v/>
      </c>
      <c r="U83">
        <f>IFERROR(IF(ISNUMBER(INDEX(SPPR!$E:$X,MATCH($A83,SPPR!$A:$A,0),18)),$C83*INDEX(SPPR!$E:$X,MATCH($A83,SPPR!$A:$A,0),18),""),"")</f>
        <v/>
      </c>
      <c r="V83">
        <f>IFERROR(IF(ISNUMBER(INDEX(SPPR!$E:$X,MATCH($A83,SPPR!$A:$A,0),19)),$C83*INDEX(SPPR!$E:$X,MATCH($A83,SPPR!$A:$A,0),19),""),"")</f>
        <v/>
      </c>
      <c r="W83">
        <f>IFERROR(IF(ISNUMBER(INDEX(SPPR!$E:$X,MATCH($A83,SPPR!$A:$A,0),20)),$C83*INDEX(SPPR!$E:$X,MATCH($A83,SPPR!$A:$A,0),20),""),"")</f>
        <v/>
      </c>
    </row>
    <row r="84">
      <c r="A84" t="inlineStr">
        <is>
          <t>Euthynnus affinis</t>
        </is>
      </c>
      <c r="B84">
        <f>IFERROR(INDEX(SPPR!$D:$D,MATCH($A84,SPPR!$A:$A,0)),"")</f>
        <v/>
      </c>
      <c r="C84">
        <f>IFERROR(INDEX(Catch!$E:$BV,MATCH($A84,Catch!$A:$A,0),MATCH($B$4,Catch!$E$1:$BV$1,0)),0)</f>
        <v/>
      </c>
      <c r="D84">
        <f>IFERROR(IF(ISNUMBER(INDEX(SPPR!$E:$X,MATCH($A84,SPPR!$A:$A,0),1)),$C84*INDEX(SPPR!$E:$X,MATCH($A84,SPPR!$A:$A,0),1),""),"")</f>
        <v/>
      </c>
      <c r="E84">
        <f>IFERROR(IF(ISNUMBER(INDEX(SPPR!$E:$X,MATCH($A84,SPPR!$A:$A,0),2)),$C84*INDEX(SPPR!$E:$X,MATCH($A84,SPPR!$A:$A,0),2),""),"")</f>
        <v/>
      </c>
      <c r="F84">
        <f>IFERROR(IF(ISNUMBER(INDEX(SPPR!$E:$X,MATCH($A84,SPPR!$A:$A,0),3)),$C84*INDEX(SPPR!$E:$X,MATCH($A84,SPPR!$A:$A,0),3),""),"")</f>
        <v/>
      </c>
      <c r="G84">
        <f>IFERROR(IF(ISNUMBER(INDEX(SPPR!$E:$X,MATCH($A84,SPPR!$A:$A,0),4)),$C84*INDEX(SPPR!$E:$X,MATCH($A84,SPPR!$A:$A,0),4),""),"")</f>
        <v/>
      </c>
      <c r="H84">
        <f>IFERROR(IF(ISNUMBER(INDEX(SPPR!$E:$X,MATCH($A84,SPPR!$A:$A,0),5)),$C84*INDEX(SPPR!$E:$X,MATCH($A84,SPPR!$A:$A,0),5),""),"")</f>
        <v/>
      </c>
      <c r="I84">
        <f>IFERROR(IF(ISNUMBER(INDEX(SPPR!$E:$X,MATCH($A84,SPPR!$A:$A,0),6)),$C84*INDEX(SPPR!$E:$X,MATCH($A84,SPPR!$A:$A,0),6),""),"")</f>
        <v/>
      </c>
      <c r="J84">
        <f>IFERROR(IF(ISNUMBER(INDEX(SPPR!$E:$X,MATCH($A84,SPPR!$A:$A,0),7)),$C84*INDEX(SPPR!$E:$X,MATCH($A84,SPPR!$A:$A,0),7),""),"")</f>
        <v/>
      </c>
      <c r="K84">
        <f>IFERROR(IF(ISNUMBER(INDEX(SPPR!$E:$X,MATCH($A84,SPPR!$A:$A,0),8)),$C84*INDEX(SPPR!$E:$X,MATCH($A84,SPPR!$A:$A,0),8),""),"")</f>
        <v/>
      </c>
      <c r="L84">
        <f>IFERROR(IF(ISNUMBER(INDEX(SPPR!$E:$X,MATCH($A84,SPPR!$A:$A,0),9)),$C84*INDEX(SPPR!$E:$X,MATCH($A84,SPPR!$A:$A,0),9),""),"")</f>
        <v/>
      </c>
      <c r="M84">
        <f>IFERROR(IF(ISNUMBER(INDEX(SPPR!$E:$X,MATCH($A84,SPPR!$A:$A,0),10)),$C84*INDEX(SPPR!$E:$X,MATCH($A84,SPPR!$A:$A,0),10),""),"")</f>
        <v/>
      </c>
      <c r="N84">
        <f>IFERROR(IF(ISNUMBER(INDEX(SPPR!$E:$X,MATCH($A84,SPPR!$A:$A,0),11)),$C84*INDEX(SPPR!$E:$X,MATCH($A84,SPPR!$A:$A,0),11),""),"")</f>
        <v/>
      </c>
      <c r="O84">
        <f>IFERROR(IF(ISNUMBER(INDEX(SPPR!$E:$X,MATCH($A84,SPPR!$A:$A,0),12)),$C84*INDEX(SPPR!$E:$X,MATCH($A84,SPPR!$A:$A,0),12),""),"")</f>
        <v/>
      </c>
      <c r="P84">
        <f>IFERROR(IF(ISNUMBER(INDEX(SPPR!$E:$X,MATCH($A84,SPPR!$A:$A,0),13)),$C84*INDEX(SPPR!$E:$X,MATCH($A84,SPPR!$A:$A,0),13),""),"")</f>
        <v/>
      </c>
      <c r="Q84">
        <f>IFERROR(IF(ISNUMBER(INDEX(SPPR!$E:$X,MATCH($A84,SPPR!$A:$A,0),14)),$C84*INDEX(SPPR!$E:$X,MATCH($A84,SPPR!$A:$A,0),14),""),"")</f>
        <v/>
      </c>
      <c r="R84">
        <f>IFERROR(IF(ISNUMBER(INDEX(SPPR!$E:$X,MATCH($A84,SPPR!$A:$A,0),15)),$C84*INDEX(SPPR!$E:$X,MATCH($A84,SPPR!$A:$A,0),15),""),"")</f>
        <v/>
      </c>
      <c r="S84">
        <f>IFERROR(IF(ISNUMBER(INDEX(SPPR!$E:$X,MATCH($A84,SPPR!$A:$A,0),16)),$C84*INDEX(SPPR!$E:$X,MATCH($A84,SPPR!$A:$A,0),16),""),"")</f>
        <v/>
      </c>
      <c r="T84">
        <f>IFERROR(IF(ISNUMBER(INDEX(SPPR!$E:$X,MATCH($A84,SPPR!$A:$A,0),17)),$C84*INDEX(SPPR!$E:$X,MATCH($A84,SPPR!$A:$A,0),17),""),"")</f>
        <v/>
      </c>
      <c r="U84">
        <f>IFERROR(IF(ISNUMBER(INDEX(SPPR!$E:$X,MATCH($A84,SPPR!$A:$A,0),18)),$C84*INDEX(SPPR!$E:$X,MATCH($A84,SPPR!$A:$A,0),18),""),"")</f>
        <v/>
      </c>
      <c r="V84">
        <f>IFERROR(IF(ISNUMBER(INDEX(SPPR!$E:$X,MATCH($A84,SPPR!$A:$A,0),19)),$C84*INDEX(SPPR!$E:$X,MATCH($A84,SPPR!$A:$A,0),19),""),"")</f>
        <v/>
      </c>
      <c r="W84">
        <f>IFERROR(IF(ISNUMBER(INDEX(SPPR!$E:$X,MATCH($A84,SPPR!$A:$A,0),20)),$C84*INDEX(SPPR!$E:$X,MATCH($A84,SPPR!$A:$A,0),20),""),"")</f>
        <v/>
      </c>
    </row>
    <row r="85">
      <c r="A85" t="inlineStr">
        <is>
          <t>Auxis</t>
        </is>
      </c>
      <c r="B85">
        <f>IFERROR(INDEX(SPPR!$D:$D,MATCH($A85,SPPR!$A:$A,0)),"")</f>
        <v/>
      </c>
      <c r="C85">
        <f>IFERROR(INDEX(Catch!$E:$BV,MATCH($A85,Catch!$A:$A,0),MATCH($B$4,Catch!$E$1:$BV$1,0)),0)</f>
        <v/>
      </c>
      <c r="D85">
        <f>IFERROR(IF(ISNUMBER(INDEX(SPPR!$E:$X,MATCH($A85,SPPR!$A:$A,0),1)),$C85*INDEX(SPPR!$E:$X,MATCH($A85,SPPR!$A:$A,0),1),""),"")</f>
        <v/>
      </c>
      <c r="E85">
        <f>IFERROR(IF(ISNUMBER(INDEX(SPPR!$E:$X,MATCH($A85,SPPR!$A:$A,0),2)),$C85*INDEX(SPPR!$E:$X,MATCH($A85,SPPR!$A:$A,0),2),""),"")</f>
        <v/>
      </c>
      <c r="F85">
        <f>IFERROR(IF(ISNUMBER(INDEX(SPPR!$E:$X,MATCH($A85,SPPR!$A:$A,0),3)),$C85*INDEX(SPPR!$E:$X,MATCH($A85,SPPR!$A:$A,0),3),""),"")</f>
        <v/>
      </c>
      <c r="G85">
        <f>IFERROR(IF(ISNUMBER(INDEX(SPPR!$E:$X,MATCH($A85,SPPR!$A:$A,0),4)),$C85*INDEX(SPPR!$E:$X,MATCH($A85,SPPR!$A:$A,0),4),""),"")</f>
        <v/>
      </c>
      <c r="H85">
        <f>IFERROR(IF(ISNUMBER(INDEX(SPPR!$E:$X,MATCH($A85,SPPR!$A:$A,0),5)),$C85*INDEX(SPPR!$E:$X,MATCH($A85,SPPR!$A:$A,0),5),""),"")</f>
        <v/>
      </c>
      <c r="I85">
        <f>IFERROR(IF(ISNUMBER(INDEX(SPPR!$E:$X,MATCH($A85,SPPR!$A:$A,0),6)),$C85*INDEX(SPPR!$E:$X,MATCH($A85,SPPR!$A:$A,0),6),""),"")</f>
        <v/>
      </c>
      <c r="J85">
        <f>IFERROR(IF(ISNUMBER(INDEX(SPPR!$E:$X,MATCH($A85,SPPR!$A:$A,0),7)),$C85*INDEX(SPPR!$E:$X,MATCH($A85,SPPR!$A:$A,0),7),""),"")</f>
        <v/>
      </c>
      <c r="K85">
        <f>IFERROR(IF(ISNUMBER(INDEX(SPPR!$E:$X,MATCH($A85,SPPR!$A:$A,0),8)),$C85*INDEX(SPPR!$E:$X,MATCH($A85,SPPR!$A:$A,0),8),""),"")</f>
        <v/>
      </c>
      <c r="L85">
        <f>IFERROR(IF(ISNUMBER(INDEX(SPPR!$E:$X,MATCH($A85,SPPR!$A:$A,0),9)),$C85*INDEX(SPPR!$E:$X,MATCH($A85,SPPR!$A:$A,0),9),""),"")</f>
        <v/>
      </c>
      <c r="M85">
        <f>IFERROR(IF(ISNUMBER(INDEX(SPPR!$E:$X,MATCH($A85,SPPR!$A:$A,0),10)),$C85*INDEX(SPPR!$E:$X,MATCH($A85,SPPR!$A:$A,0),10),""),"")</f>
        <v/>
      </c>
      <c r="N85">
        <f>IFERROR(IF(ISNUMBER(INDEX(SPPR!$E:$X,MATCH($A85,SPPR!$A:$A,0),11)),$C85*INDEX(SPPR!$E:$X,MATCH($A85,SPPR!$A:$A,0),11),""),"")</f>
        <v/>
      </c>
      <c r="O85">
        <f>IFERROR(IF(ISNUMBER(INDEX(SPPR!$E:$X,MATCH($A85,SPPR!$A:$A,0),12)),$C85*INDEX(SPPR!$E:$X,MATCH($A85,SPPR!$A:$A,0),12),""),"")</f>
        <v/>
      </c>
      <c r="P85">
        <f>IFERROR(IF(ISNUMBER(INDEX(SPPR!$E:$X,MATCH($A85,SPPR!$A:$A,0),13)),$C85*INDEX(SPPR!$E:$X,MATCH($A85,SPPR!$A:$A,0),13),""),"")</f>
        <v/>
      </c>
      <c r="Q85">
        <f>IFERROR(IF(ISNUMBER(INDEX(SPPR!$E:$X,MATCH($A85,SPPR!$A:$A,0),14)),$C85*INDEX(SPPR!$E:$X,MATCH($A85,SPPR!$A:$A,0),14),""),"")</f>
        <v/>
      </c>
      <c r="R85">
        <f>IFERROR(IF(ISNUMBER(INDEX(SPPR!$E:$X,MATCH($A85,SPPR!$A:$A,0),15)),$C85*INDEX(SPPR!$E:$X,MATCH($A85,SPPR!$A:$A,0),15),""),"")</f>
        <v/>
      </c>
      <c r="S85">
        <f>IFERROR(IF(ISNUMBER(INDEX(SPPR!$E:$X,MATCH($A85,SPPR!$A:$A,0),16)),$C85*INDEX(SPPR!$E:$X,MATCH($A85,SPPR!$A:$A,0),16),""),"")</f>
        <v/>
      </c>
      <c r="T85">
        <f>IFERROR(IF(ISNUMBER(INDEX(SPPR!$E:$X,MATCH($A85,SPPR!$A:$A,0),17)),$C85*INDEX(SPPR!$E:$X,MATCH($A85,SPPR!$A:$A,0),17),""),"")</f>
        <v/>
      </c>
      <c r="U85">
        <f>IFERROR(IF(ISNUMBER(INDEX(SPPR!$E:$X,MATCH($A85,SPPR!$A:$A,0),18)),$C85*INDEX(SPPR!$E:$X,MATCH($A85,SPPR!$A:$A,0),18),""),"")</f>
        <v/>
      </c>
      <c r="V85">
        <f>IFERROR(IF(ISNUMBER(INDEX(SPPR!$E:$X,MATCH($A85,SPPR!$A:$A,0),19)),$C85*INDEX(SPPR!$E:$X,MATCH($A85,SPPR!$A:$A,0),19),""),"")</f>
        <v/>
      </c>
      <c r="W85">
        <f>IFERROR(IF(ISNUMBER(INDEX(SPPR!$E:$X,MATCH($A85,SPPR!$A:$A,0),20)),$C85*INDEX(SPPR!$E:$X,MATCH($A85,SPPR!$A:$A,0),20),""),"")</f>
        <v/>
      </c>
    </row>
    <row r="86">
      <c r="A86" t="inlineStr">
        <is>
          <t>Pampus argenteus</t>
        </is>
      </c>
      <c r="B86">
        <f>IFERROR(INDEX(SPPR!$D:$D,MATCH($A86,SPPR!$A:$A,0)),"")</f>
        <v/>
      </c>
      <c r="C86">
        <f>IFERROR(INDEX(Catch!$E:$BV,MATCH($A86,Catch!$A:$A,0),MATCH($B$4,Catch!$E$1:$BV$1,0)),0)</f>
        <v/>
      </c>
      <c r="D86">
        <f>IFERROR(IF(ISNUMBER(INDEX(SPPR!$E:$X,MATCH($A86,SPPR!$A:$A,0),1)),$C86*INDEX(SPPR!$E:$X,MATCH($A86,SPPR!$A:$A,0),1),""),"")</f>
        <v/>
      </c>
      <c r="E86">
        <f>IFERROR(IF(ISNUMBER(INDEX(SPPR!$E:$X,MATCH($A86,SPPR!$A:$A,0),2)),$C86*INDEX(SPPR!$E:$X,MATCH($A86,SPPR!$A:$A,0),2),""),"")</f>
        <v/>
      </c>
      <c r="F86">
        <f>IFERROR(IF(ISNUMBER(INDEX(SPPR!$E:$X,MATCH($A86,SPPR!$A:$A,0),3)),$C86*INDEX(SPPR!$E:$X,MATCH($A86,SPPR!$A:$A,0),3),""),"")</f>
        <v/>
      </c>
      <c r="G86">
        <f>IFERROR(IF(ISNUMBER(INDEX(SPPR!$E:$X,MATCH($A86,SPPR!$A:$A,0),4)),$C86*INDEX(SPPR!$E:$X,MATCH($A86,SPPR!$A:$A,0),4),""),"")</f>
        <v/>
      </c>
      <c r="H86">
        <f>IFERROR(IF(ISNUMBER(INDEX(SPPR!$E:$X,MATCH($A86,SPPR!$A:$A,0),5)),$C86*INDEX(SPPR!$E:$X,MATCH($A86,SPPR!$A:$A,0),5),""),"")</f>
        <v/>
      </c>
      <c r="I86">
        <f>IFERROR(IF(ISNUMBER(INDEX(SPPR!$E:$X,MATCH($A86,SPPR!$A:$A,0),6)),$C86*INDEX(SPPR!$E:$X,MATCH($A86,SPPR!$A:$A,0),6),""),"")</f>
        <v/>
      </c>
      <c r="J86">
        <f>IFERROR(IF(ISNUMBER(INDEX(SPPR!$E:$X,MATCH($A86,SPPR!$A:$A,0),7)),$C86*INDEX(SPPR!$E:$X,MATCH($A86,SPPR!$A:$A,0),7),""),"")</f>
        <v/>
      </c>
      <c r="K86">
        <f>IFERROR(IF(ISNUMBER(INDEX(SPPR!$E:$X,MATCH($A86,SPPR!$A:$A,0),8)),$C86*INDEX(SPPR!$E:$X,MATCH($A86,SPPR!$A:$A,0),8),""),"")</f>
        <v/>
      </c>
      <c r="L86">
        <f>IFERROR(IF(ISNUMBER(INDEX(SPPR!$E:$X,MATCH($A86,SPPR!$A:$A,0),9)),$C86*INDEX(SPPR!$E:$X,MATCH($A86,SPPR!$A:$A,0),9),""),"")</f>
        <v/>
      </c>
      <c r="M86">
        <f>IFERROR(IF(ISNUMBER(INDEX(SPPR!$E:$X,MATCH($A86,SPPR!$A:$A,0),10)),$C86*INDEX(SPPR!$E:$X,MATCH($A86,SPPR!$A:$A,0),10),""),"")</f>
        <v/>
      </c>
      <c r="N86">
        <f>IFERROR(IF(ISNUMBER(INDEX(SPPR!$E:$X,MATCH($A86,SPPR!$A:$A,0),11)),$C86*INDEX(SPPR!$E:$X,MATCH($A86,SPPR!$A:$A,0),11),""),"")</f>
        <v/>
      </c>
      <c r="O86">
        <f>IFERROR(IF(ISNUMBER(INDEX(SPPR!$E:$X,MATCH($A86,SPPR!$A:$A,0),12)),$C86*INDEX(SPPR!$E:$X,MATCH($A86,SPPR!$A:$A,0),12),""),"")</f>
        <v/>
      </c>
      <c r="P86">
        <f>IFERROR(IF(ISNUMBER(INDEX(SPPR!$E:$X,MATCH($A86,SPPR!$A:$A,0),13)),$C86*INDEX(SPPR!$E:$X,MATCH($A86,SPPR!$A:$A,0),13),""),"")</f>
        <v/>
      </c>
      <c r="Q86">
        <f>IFERROR(IF(ISNUMBER(INDEX(SPPR!$E:$X,MATCH($A86,SPPR!$A:$A,0),14)),$C86*INDEX(SPPR!$E:$X,MATCH($A86,SPPR!$A:$A,0),14),""),"")</f>
        <v/>
      </c>
      <c r="R86">
        <f>IFERROR(IF(ISNUMBER(INDEX(SPPR!$E:$X,MATCH($A86,SPPR!$A:$A,0),15)),$C86*INDEX(SPPR!$E:$X,MATCH($A86,SPPR!$A:$A,0),15),""),"")</f>
        <v/>
      </c>
      <c r="S86">
        <f>IFERROR(IF(ISNUMBER(INDEX(SPPR!$E:$X,MATCH($A86,SPPR!$A:$A,0),16)),$C86*INDEX(SPPR!$E:$X,MATCH($A86,SPPR!$A:$A,0),16),""),"")</f>
        <v/>
      </c>
      <c r="T86">
        <f>IFERROR(IF(ISNUMBER(INDEX(SPPR!$E:$X,MATCH($A86,SPPR!$A:$A,0),17)),$C86*INDEX(SPPR!$E:$X,MATCH($A86,SPPR!$A:$A,0),17),""),"")</f>
        <v/>
      </c>
      <c r="U86">
        <f>IFERROR(IF(ISNUMBER(INDEX(SPPR!$E:$X,MATCH($A86,SPPR!$A:$A,0),18)),$C86*INDEX(SPPR!$E:$X,MATCH($A86,SPPR!$A:$A,0),18),""),"")</f>
        <v/>
      </c>
      <c r="V86">
        <f>IFERROR(IF(ISNUMBER(INDEX(SPPR!$E:$X,MATCH($A86,SPPR!$A:$A,0),19)),$C86*INDEX(SPPR!$E:$X,MATCH($A86,SPPR!$A:$A,0),19),""),"")</f>
        <v/>
      </c>
      <c r="W86">
        <f>IFERROR(IF(ISNUMBER(INDEX(SPPR!$E:$X,MATCH($A86,SPPR!$A:$A,0),20)),$C86*INDEX(SPPR!$E:$X,MATCH($A86,SPPR!$A:$A,0),20),""),"")</f>
        <v/>
      </c>
    </row>
    <row r="87">
      <c r="A87" t="inlineStr">
        <is>
          <t>Spratelloides gracilis</t>
        </is>
      </c>
      <c r="B87">
        <f>IFERROR(INDEX(SPPR!$D:$D,MATCH($A87,SPPR!$A:$A,0)),"")</f>
        <v/>
      </c>
      <c r="C87">
        <f>IFERROR(INDEX(Catch!$E:$BV,MATCH($A87,Catch!$A:$A,0),MATCH($B$4,Catch!$E$1:$BV$1,0)),0)</f>
        <v/>
      </c>
      <c r="D87">
        <f>IFERROR(IF(ISNUMBER(INDEX(SPPR!$E:$X,MATCH($A87,SPPR!$A:$A,0),1)),$C87*INDEX(SPPR!$E:$X,MATCH($A87,SPPR!$A:$A,0),1),""),"")</f>
        <v/>
      </c>
      <c r="E87">
        <f>IFERROR(IF(ISNUMBER(INDEX(SPPR!$E:$X,MATCH($A87,SPPR!$A:$A,0),2)),$C87*INDEX(SPPR!$E:$X,MATCH($A87,SPPR!$A:$A,0),2),""),"")</f>
        <v/>
      </c>
      <c r="F87">
        <f>IFERROR(IF(ISNUMBER(INDEX(SPPR!$E:$X,MATCH($A87,SPPR!$A:$A,0),3)),$C87*INDEX(SPPR!$E:$X,MATCH($A87,SPPR!$A:$A,0),3),""),"")</f>
        <v/>
      </c>
      <c r="G87">
        <f>IFERROR(IF(ISNUMBER(INDEX(SPPR!$E:$X,MATCH($A87,SPPR!$A:$A,0),4)),$C87*INDEX(SPPR!$E:$X,MATCH($A87,SPPR!$A:$A,0),4),""),"")</f>
        <v/>
      </c>
      <c r="H87">
        <f>IFERROR(IF(ISNUMBER(INDEX(SPPR!$E:$X,MATCH($A87,SPPR!$A:$A,0),5)),$C87*INDEX(SPPR!$E:$X,MATCH($A87,SPPR!$A:$A,0),5),""),"")</f>
        <v/>
      </c>
      <c r="I87">
        <f>IFERROR(IF(ISNUMBER(INDEX(SPPR!$E:$X,MATCH($A87,SPPR!$A:$A,0),6)),$C87*INDEX(SPPR!$E:$X,MATCH($A87,SPPR!$A:$A,0),6),""),"")</f>
        <v/>
      </c>
      <c r="J87">
        <f>IFERROR(IF(ISNUMBER(INDEX(SPPR!$E:$X,MATCH($A87,SPPR!$A:$A,0),7)),$C87*INDEX(SPPR!$E:$X,MATCH($A87,SPPR!$A:$A,0),7),""),"")</f>
        <v/>
      </c>
      <c r="K87">
        <f>IFERROR(IF(ISNUMBER(INDEX(SPPR!$E:$X,MATCH($A87,SPPR!$A:$A,0),8)),$C87*INDEX(SPPR!$E:$X,MATCH($A87,SPPR!$A:$A,0),8),""),"")</f>
        <v/>
      </c>
      <c r="L87">
        <f>IFERROR(IF(ISNUMBER(INDEX(SPPR!$E:$X,MATCH($A87,SPPR!$A:$A,0),9)),$C87*INDEX(SPPR!$E:$X,MATCH($A87,SPPR!$A:$A,0),9),""),"")</f>
        <v/>
      </c>
      <c r="M87">
        <f>IFERROR(IF(ISNUMBER(INDEX(SPPR!$E:$X,MATCH($A87,SPPR!$A:$A,0),10)),$C87*INDEX(SPPR!$E:$X,MATCH($A87,SPPR!$A:$A,0),10),""),"")</f>
        <v/>
      </c>
      <c r="N87">
        <f>IFERROR(IF(ISNUMBER(INDEX(SPPR!$E:$X,MATCH($A87,SPPR!$A:$A,0),11)),$C87*INDEX(SPPR!$E:$X,MATCH($A87,SPPR!$A:$A,0),11),""),"")</f>
        <v/>
      </c>
      <c r="O87">
        <f>IFERROR(IF(ISNUMBER(INDEX(SPPR!$E:$X,MATCH($A87,SPPR!$A:$A,0),12)),$C87*INDEX(SPPR!$E:$X,MATCH($A87,SPPR!$A:$A,0),12),""),"")</f>
        <v/>
      </c>
      <c r="P87">
        <f>IFERROR(IF(ISNUMBER(INDEX(SPPR!$E:$X,MATCH($A87,SPPR!$A:$A,0),13)),$C87*INDEX(SPPR!$E:$X,MATCH($A87,SPPR!$A:$A,0),13),""),"")</f>
        <v/>
      </c>
      <c r="Q87">
        <f>IFERROR(IF(ISNUMBER(INDEX(SPPR!$E:$X,MATCH($A87,SPPR!$A:$A,0),14)),$C87*INDEX(SPPR!$E:$X,MATCH($A87,SPPR!$A:$A,0),14),""),"")</f>
        <v/>
      </c>
      <c r="R87">
        <f>IFERROR(IF(ISNUMBER(INDEX(SPPR!$E:$X,MATCH($A87,SPPR!$A:$A,0),15)),$C87*INDEX(SPPR!$E:$X,MATCH($A87,SPPR!$A:$A,0),15),""),"")</f>
        <v/>
      </c>
      <c r="S87">
        <f>IFERROR(IF(ISNUMBER(INDEX(SPPR!$E:$X,MATCH($A87,SPPR!$A:$A,0),16)),$C87*INDEX(SPPR!$E:$X,MATCH($A87,SPPR!$A:$A,0),16),""),"")</f>
        <v/>
      </c>
      <c r="T87">
        <f>IFERROR(IF(ISNUMBER(INDEX(SPPR!$E:$X,MATCH($A87,SPPR!$A:$A,0),17)),$C87*INDEX(SPPR!$E:$X,MATCH($A87,SPPR!$A:$A,0),17),""),"")</f>
        <v/>
      </c>
      <c r="U87">
        <f>IFERROR(IF(ISNUMBER(INDEX(SPPR!$E:$X,MATCH($A87,SPPR!$A:$A,0),18)),$C87*INDEX(SPPR!$E:$X,MATCH($A87,SPPR!$A:$A,0),18),""),"")</f>
        <v/>
      </c>
      <c r="V87">
        <f>IFERROR(IF(ISNUMBER(INDEX(SPPR!$E:$X,MATCH($A87,SPPR!$A:$A,0),19)),$C87*INDEX(SPPR!$E:$X,MATCH($A87,SPPR!$A:$A,0),19),""),"")</f>
        <v/>
      </c>
      <c r="W87">
        <f>IFERROR(IF(ISNUMBER(INDEX(SPPR!$E:$X,MATCH($A87,SPPR!$A:$A,0),20)),$C87*INDEX(SPPR!$E:$X,MATCH($A87,SPPR!$A:$A,0),20),""),"")</f>
        <v/>
      </c>
    </row>
    <row r="88">
      <c r="A88" t="inlineStr">
        <is>
          <t>Bivalvia</t>
        </is>
      </c>
      <c r="B88">
        <f>IFERROR(INDEX(SPPR!$D:$D,MATCH($A88,SPPR!$A:$A,0)),"")</f>
        <v/>
      </c>
      <c r="C88">
        <f>IFERROR(INDEX(Catch!$E:$BV,MATCH($A88,Catch!$A:$A,0),MATCH($B$4,Catch!$E$1:$BV$1,0)),0)</f>
        <v/>
      </c>
      <c r="D88">
        <f>IFERROR(IF(ISNUMBER(INDEX(SPPR!$E:$X,MATCH($A88,SPPR!$A:$A,0),1)),$C88*INDEX(SPPR!$E:$X,MATCH($A88,SPPR!$A:$A,0),1),""),"")</f>
        <v/>
      </c>
      <c r="E88">
        <f>IFERROR(IF(ISNUMBER(INDEX(SPPR!$E:$X,MATCH($A88,SPPR!$A:$A,0),2)),$C88*INDEX(SPPR!$E:$X,MATCH($A88,SPPR!$A:$A,0),2),""),"")</f>
        <v/>
      </c>
      <c r="F88">
        <f>IFERROR(IF(ISNUMBER(INDEX(SPPR!$E:$X,MATCH($A88,SPPR!$A:$A,0),3)),$C88*INDEX(SPPR!$E:$X,MATCH($A88,SPPR!$A:$A,0),3),""),"")</f>
        <v/>
      </c>
      <c r="G88">
        <f>IFERROR(IF(ISNUMBER(INDEX(SPPR!$E:$X,MATCH($A88,SPPR!$A:$A,0),4)),$C88*INDEX(SPPR!$E:$X,MATCH($A88,SPPR!$A:$A,0),4),""),"")</f>
        <v/>
      </c>
      <c r="H88">
        <f>IFERROR(IF(ISNUMBER(INDEX(SPPR!$E:$X,MATCH($A88,SPPR!$A:$A,0),5)),$C88*INDEX(SPPR!$E:$X,MATCH($A88,SPPR!$A:$A,0),5),""),"")</f>
        <v/>
      </c>
      <c r="I88">
        <f>IFERROR(IF(ISNUMBER(INDEX(SPPR!$E:$X,MATCH($A88,SPPR!$A:$A,0),6)),$C88*INDEX(SPPR!$E:$X,MATCH($A88,SPPR!$A:$A,0),6),""),"")</f>
        <v/>
      </c>
      <c r="J88">
        <f>IFERROR(IF(ISNUMBER(INDEX(SPPR!$E:$X,MATCH($A88,SPPR!$A:$A,0),7)),$C88*INDEX(SPPR!$E:$X,MATCH($A88,SPPR!$A:$A,0),7),""),"")</f>
        <v/>
      </c>
      <c r="K88">
        <f>IFERROR(IF(ISNUMBER(INDEX(SPPR!$E:$X,MATCH($A88,SPPR!$A:$A,0),8)),$C88*INDEX(SPPR!$E:$X,MATCH($A88,SPPR!$A:$A,0),8),""),"")</f>
        <v/>
      </c>
      <c r="L88">
        <f>IFERROR(IF(ISNUMBER(INDEX(SPPR!$E:$X,MATCH($A88,SPPR!$A:$A,0),9)),$C88*INDEX(SPPR!$E:$X,MATCH($A88,SPPR!$A:$A,0),9),""),"")</f>
        <v/>
      </c>
      <c r="M88">
        <f>IFERROR(IF(ISNUMBER(INDEX(SPPR!$E:$X,MATCH($A88,SPPR!$A:$A,0),10)),$C88*INDEX(SPPR!$E:$X,MATCH($A88,SPPR!$A:$A,0),10),""),"")</f>
        <v/>
      </c>
      <c r="N88">
        <f>IFERROR(IF(ISNUMBER(INDEX(SPPR!$E:$X,MATCH($A88,SPPR!$A:$A,0),11)),$C88*INDEX(SPPR!$E:$X,MATCH($A88,SPPR!$A:$A,0),11),""),"")</f>
        <v/>
      </c>
      <c r="O88">
        <f>IFERROR(IF(ISNUMBER(INDEX(SPPR!$E:$X,MATCH($A88,SPPR!$A:$A,0),12)),$C88*INDEX(SPPR!$E:$X,MATCH($A88,SPPR!$A:$A,0),12),""),"")</f>
        <v/>
      </c>
      <c r="P88">
        <f>IFERROR(IF(ISNUMBER(INDEX(SPPR!$E:$X,MATCH($A88,SPPR!$A:$A,0),13)),$C88*INDEX(SPPR!$E:$X,MATCH($A88,SPPR!$A:$A,0),13),""),"")</f>
        <v/>
      </c>
      <c r="Q88">
        <f>IFERROR(IF(ISNUMBER(INDEX(SPPR!$E:$X,MATCH($A88,SPPR!$A:$A,0),14)),$C88*INDEX(SPPR!$E:$X,MATCH($A88,SPPR!$A:$A,0),14),""),"")</f>
        <v/>
      </c>
      <c r="R88">
        <f>IFERROR(IF(ISNUMBER(INDEX(SPPR!$E:$X,MATCH($A88,SPPR!$A:$A,0),15)),$C88*INDEX(SPPR!$E:$X,MATCH($A88,SPPR!$A:$A,0),15),""),"")</f>
        <v/>
      </c>
      <c r="S88">
        <f>IFERROR(IF(ISNUMBER(INDEX(SPPR!$E:$X,MATCH($A88,SPPR!$A:$A,0),16)),$C88*INDEX(SPPR!$E:$X,MATCH($A88,SPPR!$A:$A,0),16),""),"")</f>
        <v/>
      </c>
      <c r="T88">
        <f>IFERROR(IF(ISNUMBER(INDEX(SPPR!$E:$X,MATCH($A88,SPPR!$A:$A,0),17)),$C88*INDEX(SPPR!$E:$X,MATCH($A88,SPPR!$A:$A,0),17),""),"")</f>
        <v/>
      </c>
      <c r="U88">
        <f>IFERROR(IF(ISNUMBER(INDEX(SPPR!$E:$X,MATCH($A88,SPPR!$A:$A,0),18)),$C88*INDEX(SPPR!$E:$X,MATCH($A88,SPPR!$A:$A,0),18),""),"")</f>
        <v/>
      </c>
      <c r="V88">
        <f>IFERROR(IF(ISNUMBER(INDEX(SPPR!$E:$X,MATCH($A88,SPPR!$A:$A,0),19)),$C88*INDEX(SPPR!$E:$X,MATCH($A88,SPPR!$A:$A,0),19),""),"")</f>
        <v/>
      </c>
      <c r="W88">
        <f>IFERROR(IF(ISNUMBER(INDEX(SPPR!$E:$X,MATCH($A88,SPPR!$A:$A,0),20)),$C88*INDEX(SPPR!$E:$X,MATCH($A88,SPPR!$A:$A,0),20),""),"")</f>
        <v/>
      </c>
    </row>
    <row r="89">
      <c r="A89" t="inlineStr">
        <is>
          <t>Dussumieria</t>
        </is>
      </c>
      <c r="B89">
        <f>IFERROR(INDEX(SPPR!$D:$D,MATCH($A89,SPPR!$A:$A,0)),"")</f>
        <v/>
      </c>
      <c r="C89">
        <f>IFERROR(INDEX(Catch!$E:$BV,MATCH($A89,Catch!$A:$A,0),MATCH($B$4,Catch!$E$1:$BV$1,0)),0)</f>
        <v/>
      </c>
      <c r="D89">
        <f>IFERROR(IF(ISNUMBER(INDEX(SPPR!$E:$X,MATCH($A89,SPPR!$A:$A,0),1)),$C89*INDEX(SPPR!$E:$X,MATCH($A89,SPPR!$A:$A,0),1),""),"")</f>
        <v/>
      </c>
      <c r="E89">
        <f>IFERROR(IF(ISNUMBER(INDEX(SPPR!$E:$X,MATCH($A89,SPPR!$A:$A,0),2)),$C89*INDEX(SPPR!$E:$X,MATCH($A89,SPPR!$A:$A,0),2),""),"")</f>
        <v/>
      </c>
      <c r="F89">
        <f>IFERROR(IF(ISNUMBER(INDEX(SPPR!$E:$X,MATCH($A89,SPPR!$A:$A,0),3)),$C89*INDEX(SPPR!$E:$X,MATCH($A89,SPPR!$A:$A,0),3),""),"")</f>
        <v/>
      </c>
      <c r="G89">
        <f>IFERROR(IF(ISNUMBER(INDEX(SPPR!$E:$X,MATCH($A89,SPPR!$A:$A,0),4)),$C89*INDEX(SPPR!$E:$X,MATCH($A89,SPPR!$A:$A,0),4),""),"")</f>
        <v/>
      </c>
      <c r="H89">
        <f>IFERROR(IF(ISNUMBER(INDEX(SPPR!$E:$X,MATCH($A89,SPPR!$A:$A,0),5)),$C89*INDEX(SPPR!$E:$X,MATCH($A89,SPPR!$A:$A,0),5),""),"")</f>
        <v/>
      </c>
      <c r="I89">
        <f>IFERROR(IF(ISNUMBER(INDEX(SPPR!$E:$X,MATCH($A89,SPPR!$A:$A,0),6)),$C89*INDEX(SPPR!$E:$X,MATCH($A89,SPPR!$A:$A,0),6),""),"")</f>
        <v/>
      </c>
      <c r="J89">
        <f>IFERROR(IF(ISNUMBER(INDEX(SPPR!$E:$X,MATCH($A89,SPPR!$A:$A,0),7)),$C89*INDEX(SPPR!$E:$X,MATCH($A89,SPPR!$A:$A,0),7),""),"")</f>
        <v/>
      </c>
      <c r="K89">
        <f>IFERROR(IF(ISNUMBER(INDEX(SPPR!$E:$X,MATCH($A89,SPPR!$A:$A,0),8)),$C89*INDEX(SPPR!$E:$X,MATCH($A89,SPPR!$A:$A,0),8),""),"")</f>
        <v/>
      </c>
      <c r="L89">
        <f>IFERROR(IF(ISNUMBER(INDEX(SPPR!$E:$X,MATCH($A89,SPPR!$A:$A,0),9)),$C89*INDEX(SPPR!$E:$X,MATCH($A89,SPPR!$A:$A,0),9),""),"")</f>
        <v/>
      </c>
      <c r="M89">
        <f>IFERROR(IF(ISNUMBER(INDEX(SPPR!$E:$X,MATCH($A89,SPPR!$A:$A,0),10)),$C89*INDEX(SPPR!$E:$X,MATCH($A89,SPPR!$A:$A,0),10),""),"")</f>
        <v/>
      </c>
      <c r="N89">
        <f>IFERROR(IF(ISNUMBER(INDEX(SPPR!$E:$X,MATCH($A89,SPPR!$A:$A,0),11)),$C89*INDEX(SPPR!$E:$X,MATCH($A89,SPPR!$A:$A,0),11),""),"")</f>
        <v/>
      </c>
      <c r="O89">
        <f>IFERROR(IF(ISNUMBER(INDEX(SPPR!$E:$X,MATCH($A89,SPPR!$A:$A,0),12)),$C89*INDEX(SPPR!$E:$X,MATCH($A89,SPPR!$A:$A,0),12),""),"")</f>
        <v/>
      </c>
      <c r="P89">
        <f>IFERROR(IF(ISNUMBER(INDEX(SPPR!$E:$X,MATCH($A89,SPPR!$A:$A,0),13)),$C89*INDEX(SPPR!$E:$X,MATCH($A89,SPPR!$A:$A,0),13),""),"")</f>
        <v/>
      </c>
      <c r="Q89">
        <f>IFERROR(IF(ISNUMBER(INDEX(SPPR!$E:$X,MATCH($A89,SPPR!$A:$A,0),14)),$C89*INDEX(SPPR!$E:$X,MATCH($A89,SPPR!$A:$A,0),14),""),"")</f>
        <v/>
      </c>
      <c r="R89">
        <f>IFERROR(IF(ISNUMBER(INDEX(SPPR!$E:$X,MATCH($A89,SPPR!$A:$A,0),15)),$C89*INDEX(SPPR!$E:$X,MATCH($A89,SPPR!$A:$A,0),15),""),"")</f>
        <v/>
      </c>
      <c r="S89">
        <f>IFERROR(IF(ISNUMBER(INDEX(SPPR!$E:$X,MATCH($A89,SPPR!$A:$A,0),16)),$C89*INDEX(SPPR!$E:$X,MATCH($A89,SPPR!$A:$A,0),16),""),"")</f>
        <v/>
      </c>
      <c r="T89">
        <f>IFERROR(IF(ISNUMBER(INDEX(SPPR!$E:$X,MATCH($A89,SPPR!$A:$A,0),17)),$C89*INDEX(SPPR!$E:$X,MATCH($A89,SPPR!$A:$A,0),17),""),"")</f>
        <v/>
      </c>
      <c r="U89">
        <f>IFERROR(IF(ISNUMBER(INDEX(SPPR!$E:$X,MATCH($A89,SPPR!$A:$A,0),18)),$C89*INDEX(SPPR!$E:$X,MATCH($A89,SPPR!$A:$A,0),18),""),"")</f>
        <v/>
      </c>
      <c r="V89">
        <f>IFERROR(IF(ISNUMBER(INDEX(SPPR!$E:$X,MATCH($A89,SPPR!$A:$A,0),19)),$C89*INDEX(SPPR!$E:$X,MATCH($A89,SPPR!$A:$A,0),19),""),"")</f>
        <v/>
      </c>
      <c r="W89">
        <f>IFERROR(IF(ISNUMBER(INDEX(SPPR!$E:$X,MATCH($A89,SPPR!$A:$A,0),20)),$C89*INDEX(SPPR!$E:$X,MATCH($A89,SPPR!$A:$A,0),20),""),"")</f>
        <v/>
      </c>
    </row>
    <row r="90">
      <c r="A90" t="inlineStr">
        <is>
          <t>Carcharhinus</t>
        </is>
      </c>
      <c r="B90">
        <f>IFERROR(INDEX(SPPR!$D:$D,MATCH($A90,SPPR!$A:$A,0)),"")</f>
        <v/>
      </c>
      <c r="C90">
        <f>IFERROR(INDEX(Catch!$E:$BV,MATCH($A90,Catch!$A:$A,0),MATCH($B$4,Catch!$E$1:$BV$1,0)),0)</f>
        <v/>
      </c>
      <c r="D90">
        <f>IFERROR(IF(ISNUMBER(INDEX(SPPR!$E:$X,MATCH($A90,SPPR!$A:$A,0),1)),$C90*INDEX(SPPR!$E:$X,MATCH($A90,SPPR!$A:$A,0),1),""),"")</f>
        <v/>
      </c>
      <c r="E90">
        <f>IFERROR(IF(ISNUMBER(INDEX(SPPR!$E:$X,MATCH($A90,SPPR!$A:$A,0),2)),$C90*INDEX(SPPR!$E:$X,MATCH($A90,SPPR!$A:$A,0),2),""),"")</f>
        <v/>
      </c>
      <c r="F90">
        <f>IFERROR(IF(ISNUMBER(INDEX(SPPR!$E:$X,MATCH($A90,SPPR!$A:$A,0),3)),$C90*INDEX(SPPR!$E:$X,MATCH($A90,SPPR!$A:$A,0),3),""),"")</f>
        <v/>
      </c>
      <c r="G90">
        <f>IFERROR(IF(ISNUMBER(INDEX(SPPR!$E:$X,MATCH($A90,SPPR!$A:$A,0),4)),$C90*INDEX(SPPR!$E:$X,MATCH($A90,SPPR!$A:$A,0),4),""),"")</f>
        <v/>
      </c>
      <c r="H90">
        <f>IFERROR(IF(ISNUMBER(INDEX(SPPR!$E:$X,MATCH($A90,SPPR!$A:$A,0),5)),$C90*INDEX(SPPR!$E:$X,MATCH($A90,SPPR!$A:$A,0),5),""),"")</f>
        <v/>
      </c>
      <c r="I90">
        <f>IFERROR(IF(ISNUMBER(INDEX(SPPR!$E:$X,MATCH($A90,SPPR!$A:$A,0),6)),$C90*INDEX(SPPR!$E:$X,MATCH($A90,SPPR!$A:$A,0),6),""),"")</f>
        <v/>
      </c>
      <c r="J90">
        <f>IFERROR(IF(ISNUMBER(INDEX(SPPR!$E:$X,MATCH($A90,SPPR!$A:$A,0),7)),$C90*INDEX(SPPR!$E:$X,MATCH($A90,SPPR!$A:$A,0),7),""),"")</f>
        <v/>
      </c>
      <c r="K90">
        <f>IFERROR(IF(ISNUMBER(INDEX(SPPR!$E:$X,MATCH($A90,SPPR!$A:$A,0),8)),$C90*INDEX(SPPR!$E:$X,MATCH($A90,SPPR!$A:$A,0),8),""),"")</f>
        <v/>
      </c>
      <c r="L90">
        <f>IFERROR(IF(ISNUMBER(INDEX(SPPR!$E:$X,MATCH($A90,SPPR!$A:$A,0),9)),$C90*INDEX(SPPR!$E:$X,MATCH($A90,SPPR!$A:$A,0),9),""),"")</f>
        <v/>
      </c>
      <c r="M90">
        <f>IFERROR(IF(ISNUMBER(INDEX(SPPR!$E:$X,MATCH($A90,SPPR!$A:$A,0),10)),$C90*INDEX(SPPR!$E:$X,MATCH($A90,SPPR!$A:$A,0),10),""),"")</f>
        <v/>
      </c>
      <c r="N90">
        <f>IFERROR(IF(ISNUMBER(INDEX(SPPR!$E:$X,MATCH($A90,SPPR!$A:$A,0),11)),$C90*INDEX(SPPR!$E:$X,MATCH($A90,SPPR!$A:$A,0),11),""),"")</f>
        <v/>
      </c>
      <c r="O90">
        <f>IFERROR(IF(ISNUMBER(INDEX(SPPR!$E:$X,MATCH($A90,SPPR!$A:$A,0),12)),$C90*INDEX(SPPR!$E:$X,MATCH($A90,SPPR!$A:$A,0),12),""),"")</f>
        <v/>
      </c>
      <c r="P90">
        <f>IFERROR(IF(ISNUMBER(INDEX(SPPR!$E:$X,MATCH($A90,SPPR!$A:$A,0),13)),$C90*INDEX(SPPR!$E:$X,MATCH($A90,SPPR!$A:$A,0),13),""),"")</f>
        <v/>
      </c>
      <c r="Q90">
        <f>IFERROR(IF(ISNUMBER(INDEX(SPPR!$E:$X,MATCH($A90,SPPR!$A:$A,0),14)),$C90*INDEX(SPPR!$E:$X,MATCH($A90,SPPR!$A:$A,0),14),""),"")</f>
        <v/>
      </c>
      <c r="R90">
        <f>IFERROR(IF(ISNUMBER(INDEX(SPPR!$E:$X,MATCH($A90,SPPR!$A:$A,0),15)),$C90*INDEX(SPPR!$E:$X,MATCH($A90,SPPR!$A:$A,0),15),""),"")</f>
        <v/>
      </c>
      <c r="S90">
        <f>IFERROR(IF(ISNUMBER(INDEX(SPPR!$E:$X,MATCH($A90,SPPR!$A:$A,0),16)),$C90*INDEX(SPPR!$E:$X,MATCH($A90,SPPR!$A:$A,0),16),""),"")</f>
        <v/>
      </c>
      <c r="T90">
        <f>IFERROR(IF(ISNUMBER(INDEX(SPPR!$E:$X,MATCH($A90,SPPR!$A:$A,0),17)),$C90*INDEX(SPPR!$E:$X,MATCH($A90,SPPR!$A:$A,0),17),""),"")</f>
        <v/>
      </c>
      <c r="U90">
        <f>IFERROR(IF(ISNUMBER(INDEX(SPPR!$E:$X,MATCH($A90,SPPR!$A:$A,0),18)),$C90*INDEX(SPPR!$E:$X,MATCH($A90,SPPR!$A:$A,0),18),""),"")</f>
        <v/>
      </c>
      <c r="V90">
        <f>IFERROR(IF(ISNUMBER(INDEX(SPPR!$E:$X,MATCH($A90,SPPR!$A:$A,0),19)),$C90*INDEX(SPPR!$E:$X,MATCH($A90,SPPR!$A:$A,0),19),""),"")</f>
        <v/>
      </c>
      <c r="W90">
        <f>IFERROR(IF(ISNUMBER(INDEX(SPPR!$E:$X,MATCH($A90,SPPR!$A:$A,0),20)),$C90*INDEX(SPPR!$E:$X,MATCH($A90,SPPR!$A:$A,0),20),""),"")</f>
        <v/>
      </c>
    </row>
    <row r="91">
      <c r="A91" t="inlineStr">
        <is>
          <t>Lutjanus</t>
        </is>
      </c>
      <c r="B91">
        <f>IFERROR(INDEX(SPPR!$D:$D,MATCH($A91,SPPR!$A:$A,0)),"")</f>
        <v/>
      </c>
      <c r="C91">
        <f>IFERROR(INDEX(Catch!$E:$BV,MATCH($A91,Catch!$A:$A,0),MATCH($B$4,Catch!$E$1:$BV$1,0)),0)</f>
        <v/>
      </c>
      <c r="D91">
        <f>IFERROR(IF(ISNUMBER(INDEX(SPPR!$E:$X,MATCH($A91,SPPR!$A:$A,0),1)),$C91*INDEX(SPPR!$E:$X,MATCH($A91,SPPR!$A:$A,0),1),""),"")</f>
        <v/>
      </c>
      <c r="E91">
        <f>IFERROR(IF(ISNUMBER(INDEX(SPPR!$E:$X,MATCH($A91,SPPR!$A:$A,0),2)),$C91*INDEX(SPPR!$E:$X,MATCH($A91,SPPR!$A:$A,0),2),""),"")</f>
        <v/>
      </c>
      <c r="F91">
        <f>IFERROR(IF(ISNUMBER(INDEX(SPPR!$E:$X,MATCH($A91,SPPR!$A:$A,0),3)),$C91*INDEX(SPPR!$E:$X,MATCH($A91,SPPR!$A:$A,0),3),""),"")</f>
        <v/>
      </c>
      <c r="G91">
        <f>IFERROR(IF(ISNUMBER(INDEX(SPPR!$E:$X,MATCH($A91,SPPR!$A:$A,0),4)),$C91*INDEX(SPPR!$E:$X,MATCH($A91,SPPR!$A:$A,0),4),""),"")</f>
        <v/>
      </c>
      <c r="H91">
        <f>IFERROR(IF(ISNUMBER(INDEX(SPPR!$E:$X,MATCH($A91,SPPR!$A:$A,0),5)),$C91*INDEX(SPPR!$E:$X,MATCH($A91,SPPR!$A:$A,0),5),""),"")</f>
        <v/>
      </c>
      <c r="I91">
        <f>IFERROR(IF(ISNUMBER(INDEX(SPPR!$E:$X,MATCH($A91,SPPR!$A:$A,0),6)),$C91*INDEX(SPPR!$E:$X,MATCH($A91,SPPR!$A:$A,0),6),""),"")</f>
        <v/>
      </c>
      <c r="J91">
        <f>IFERROR(IF(ISNUMBER(INDEX(SPPR!$E:$X,MATCH($A91,SPPR!$A:$A,0),7)),$C91*INDEX(SPPR!$E:$X,MATCH($A91,SPPR!$A:$A,0),7),""),"")</f>
        <v/>
      </c>
      <c r="K91">
        <f>IFERROR(IF(ISNUMBER(INDEX(SPPR!$E:$X,MATCH($A91,SPPR!$A:$A,0),8)),$C91*INDEX(SPPR!$E:$X,MATCH($A91,SPPR!$A:$A,0),8),""),"")</f>
        <v/>
      </c>
      <c r="L91">
        <f>IFERROR(IF(ISNUMBER(INDEX(SPPR!$E:$X,MATCH($A91,SPPR!$A:$A,0),9)),$C91*INDEX(SPPR!$E:$X,MATCH($A91,SPPR!$A:$A,0),9),""),"")</f>
        <v/>
      </c>
      <c r="M91">
        <f>IFERROR(IF(ISNUMBER(INDEX(SPPR!$E:$X,MATCH($A91,SPPR!$A:$A,0),10)),$C91*INDEX(SPPR!$E:$X,MATCH($A91,SPPR!$A:$A,0),10),""),"")</f>
        <v/>
      </c>
      <c r="N91">
        <f>IFERROR(IF(ISNUMBER(INDEX(SPPR!$E:$X,MATCH($A91,SPPR!$A:$A,0),11)),$C91*INDEX(SPPR!$E:$X,MATCH($A91,SPPR!$A:$A,0),11),""),"")</f>
        <v/>
      </c>
      <c r="O91">
        <f>IFERROR(IF(ISNUMBER(INDEX(SPPR!$E:$X,MATCH($A91,SPPR!$A:$A,0),12)),$C91*INDEX(SPPR!$E:$X,MATCH($A91,SPPR!$A:$A,0),12),""),"")</f>
        <v/>
      </c>
      <c r="P91">
        <f>IFERROR(IF(ISNUMBER(INDEX(SPPR!$E:$X,MATCH($A91,SPPR!$A:$A,0),13)),$C91*INDEX(SPPR!$E:$X,MATCH($A91,SPPR!$A:$A,0),13),""),"")</f>
        <v/>
      </c>
      <c r="Q91">
        <f>IFERROR(IF(ISNUMBER(INDEX(SPPR!$E:$X,MATCH($A91,SPPR!$A:$A,0),14)),$C91*INDEX(SPPR!$E:$X,MATCH($A91,SPPR!$A:$A,0),14),""),"")</f>
        <v/>
      </c>
      <c r="R91">
        <f>IFERROR(IF(ISNUMBER(INDEX(SPPR!$E:$X,MATCH($A91,SPPR!$A:$A,0),15)),$C91*INDEX(SPPR!$E:$X,MATCH($A91,SPPR!$A:$A,0),15),""),"")</f>
        <v/>
      </c>
      <c r="S91">
        <f>IFERROR(IF(ISNUMBER(INDEX(SPPR!$E:$X,MATCH($A91,SPPR!$A:$A,0),16)),$C91*INDEX(SPPR!$E:$X,MATCH($A91,SPPR!$A:$A,0),16),""),"")</f>
        <v/>
      </c>
      <c r="T91">
        <f>IFERROR(IF(ISNUMBER(INDEX(SPPR!$E:$X,MATCH($A91,SPPR!$A:$A,0),17)),$C91*INDEX(SPPR!$E:$X,MATCH($A91,SPPR!$A:$A,0),17),""),"")</f>
        <v/>
      </c>
      <c r="U91">
        <f>IFERROR(IF(ISNUMBER(INDEX(SPPR!$E:$X,MATCH($A91,SPPR!$A:$A,0),18)),$C91*INDEX(SPPR!$E:$X,MATCH($A91,SPPR!$A:$A,0),18),""),"")</f>
        <v/>
      </c>
      <c r="V91">
        <f>IFERROR(IF(ISNUMBER(INDEX(SPPR!$E:$X,MATCH($A91,SPPR!$A:$A,0),19)),$C91*INDEX(SPPR!$E:$X,MATCH($A91,SPPR!$A:$A,0),19),""),"")</f>
        <v/>
      </c>
      <c r="W91">
        <f>IFERROR(IF(ISNUMBER(INDEX(SPPR!$E:$X,MATCH($A91,SPPR!$A:$A,0),20)),$C91*INDEX(SPPR!$E:$X,MATCH($A91,SPPR!$A:$A,0),20),""),"")</f>
        <v/>
      </c>
    </row>
    <row r="92">
      <c r="A92" t="inlineStr">
        <is>
          <t>Penaeus merguiensis</t>
        </is>
      </c>
      <c r="B92">
        <f>IFERROR(INDEX(SPPR!$D:$D,MATCH($A92,SPPR!$A:$A,0)),"")</f>
        <v/>
      </c>
      <c r="C92">
        <f>IFERROR(INDEX(Catch!$E:$BV,MATCH($A92,Catch!$A:$A,0),MATCH($B$4,Catch!$E$1:$BV$1,0)),0)</f>
        <v/>
      </c>
      <c r="D92">
        <f>IFERROR(IF(ISNUMBER(INDEX(SPPR!$E:$X,MATCH($A92,SPPR!$A:$A,0),1)),$C92*INDEX(SPPR!$E:$X,MATCH($A92,SPPR!$A:$A,0),1),""),"")</f>
        <v/>
      </c>
      <c r="E92">
        <f>IFERROR(IF(ISNUMBER(INDEX(SPPR!$E:$X,MATCH($A92,SPPR!$A:$A,0),2)),$C92*INDEX(SPPR!$E:$X,MATCH($A92,SPPR!$A:$A,0),2),""),"")</f>
        <v/>
      </c>
      <c r="F92">
        <f>IFERROR(IF(ISNUMBER(INDEX(SPPR!$E:$X,MATCH($A92,SPPR!$A:$A,0),3)),$C92*INDEX(SPPR!$E:$X,MATCH($A92,SPPR!$A:$A,0),3),""),"")</f>
        <v/>
      </c>
      <c r="G92">
        <f>IFERROR(IF(ISNUMBER(INDEX(SPPR!$E:$X,MATCH($A92,SPPR!$A:$A,0),4)),$C92*INDEX(SPPR!$E:$X,MATCH($A92,SPPR!$A:$A,0),4),""),"")</f>
        <v/>
      </c>
      <c r="H92">
        <f>IFERROR(IF(ISNUMBER(INDEX(SPPR!$E:$X,MATCH($A92,SPPR!$A:$A,0),5)),$C92*INDEX(SPPR!$E:$X,MATCH($A92,SPPR!$A:$A,0),5),""),"")</f>
        <v/>
      </c>
      <c r="I92">
        <f>IFERROR(IF(ISNUMBER(INDEX(SPPR!$E:$X,MATCH($A92,SPPR!$A:$A,0),6)),$C92*INDEX(SPPR!$E:$X,MATCH($A92,SPPR!$A:$A,0),6),""),"")</f>
        <v/>
      </c>
      <c r="J92">
        <f>IFERROR(IF(ISNUMBER(INDEX(SPPR!$E:$X,MATCH($A92,SPPR!$A:$A,0),7)),$C92*INDEX(SPPR!$E:$X,MATCH($A92,SPPR!$A:$A,0),7),""),"")</f>
        <v/>
      </c>
      <c r="K92">
        <f>IFERROR(IF(ISNUMBER(INDEX(SPPR!$E:$X,MATCH($A92,SPPR!$A:$A,0),8)),$C92*INDEX(SPPR!$E:$X,MATCH($A92,SPPR!$A:$A,0),8),""),"")</f>
        <v/>
      </c>
      <c r="L92">
        <f>IFERROR(IF(ISNUMBER(INDEX(SPPR!$E:$X,MATCH($A92,SPPR!$A:$A,0),9)),$C92*INDEX(SPPR!$E:$X,MATCH($A92,SPPR!$A:$A,0),9),""),"")</f>
        <v/>
      </c>
      <c r="M92">
        <f>IFERROR(IF(ISNUMBER(INDEX(SPPR!$E:$X,MATCH($A92,SPPR!$A:$A,0),10)),$C92*INDEX(SPPR!$E:$X,MATCH($A92,SPPR!$A:$A,0),10),""),"")</f>
        <v/>
      </c>
      <c r="N92">
        <f>IFERROR(IF(ISNUMBER(INDEX(SPPR!$E:$X,MATCH($A92,SPPR!$A:$A,0),11)),$C92*INDEX(SPPR!$E:$X,MATCH($A92,SPPR!$A:$A,0),11),""),"")</f>
        <v/>
      </c>
      <c r="O92">
        <f>IFERROR(IF(ISNUMBER(INDEX(SPPR!$E:$X,MATCH($A92,SPPR!$A:$A,0),12)),$C92*INDEX(SPPR!$E:$X,MATCH($A92,SPPR!$A:$A,0),12),""),"")</f>
        <v/>
      </c>
      <c r="P92">
        <f>IFERROR(IF(ISNUMBER(INDEX(SPPR!$E:$X,MATCH($A92,SPPR!$A:$A,0),13)),$C92*INDEX(SPPR!$E:$X,MATCH($A92,SPPR!$A:$A,0),13),""),"")</f>
        <v/>
      </c>
      <c r="Q92">
        <f>IFERROR(IF(ISNUMBER(INDEX(SPPR!$E:$X,MATCH($A92,SPPR!$A:$A,0),14)),$C92*INDEX(SPPR!$E:$X,MATCH($A92,SPPR!$A:$A,0),14),""),"")</f>
        <v/>
      </c>
      <c r="R92">
        <f>IFERROR(IF(ISNUMBER(INDEX(SPPR!$E:$X,MATCH($A92,SPPR!$A:$A,0),15)),$C92*INDEX(SPPR!$E:$X,MATCH($A92,SPPR!$A:$A,0),15),""),"")</f>
        <v/>
      </c>
      <c r="S92">
        <f>IFERROR(IF(ISNUMBER(INDEX(SPPR!$E:$X,MATCH($A92,SPPR!$A:$A,0),16)),$C92*INDEX(SPPR!$E:$X,MATCH($A92,SPPR!$A:$A,0),16),""),"")</f>
        <v/>
      </c>
      <c r="T92">
        <f>IFERROR(IF(ISNUMBER(INDEX(SPPR!$E:$X,MATCH($A92,SPPR!$A:$A,0),17)),$C92*INDEX(SPPR!$E:$X,MATCH($A92,SPPR!$A:$A,0),17),""),"")</f>
        <v/>
      </c>
      <c r="U92">
        <f>IFERROR(IF(ISNUMBER(INDEX(SPPR!$E:$X,MATCH($A92,SPPR!$A:$A,0),18)),$C92*INDEX(SPPR!$E:$X,MATCH($A92,SPPR!$A:$A,0),18),""),"")</f>
        <v/>
      </c>
      <c r="V92">
        <f>IFERROR(IF(ISNUMBER(INDEX(SPPR!$E:$X,MATCH($A92,SPPR!$A:$A,0),19)),$C92*INDEX(SPPR!$E:$X,MATCH($A92,SPPR!$A:$A,0),19),""),"")</f>
        <v/>
      </c>
      <c r="W92">
        <f>IFERROR(IF(ISNUMBER(INDEX(SPPR!$E:$X,MATCH($A92,SPPR!$A:$A,0),20)),$C92*INDEX(SPPR!$E:$X,MATCH($A92,SPPR!$A:$A,0),20),""),"")</f>
        <v/>
      </c>
    </row>
    <row r="93">
      <c r="A93" t="inlineStr">
        <is>
          <t>Octopoda</t>
        </is>
      </c>
      <c r="B93">
        <f>IFERROR(INDEX(SPPR!$D:$D,MATCH($A93,SPPR!$A:$A,0)),"")</f>
        <v/>
      </c>
      <c r="C93">
        <f>IFERROR(INDEX(Catch!$E:$BV,MATCH($A93,Catch!$A:$A,0),MATCH($B$4,Catch!$E$1:$BV$1,0)),0)</f>
        <v/>
      </c>
      <c r="D93">
        <f>IFERROR(IF(ISNUMBER(INDEX(SPPR!$E:$X,MATCH($A93,SPPR!$A:$A,0),1)),$C93*INDEX(SPPR!$E:$X,MATCH($A93,SPPR!$A:$A,0),1),""),"")</f>
        <v/>
      </c>
      <c r="E93">
        <f>IFERROR(IF(ISNUMBER(INDEX(SPPR!$E:$X,MATCH($A93,SPPR!$A:$A,0),2)),$C93*INDEX(SPPR!$E:$X,MATCH($A93,SPPR!$A:$A,0),2),""),"")</f>
        <v/>
      </c>
      <c r="F93">
        <f>IFERROR(IF(ISNUMBER(INDEX(SPPR!$E:$X,MATCH($A93,SPPR!$A:$A,0),3)),$C93*INDEX(SPPR!$E:$X,MATCH($A93,SPPR!$A:$A,0),3),""),"")</f>
        <v/>
      </c>
      <c r="G93">
        <f>IFERROR(IF(ISNUMBER(INDEX(SPPR!$E:$X,MATCH($A93,SPPR!$A:$A,0),4)),$C93*INDEX(SPPR!$E:$X,MATCH($A93,SPPR!$A:$A,0),4),""),"")</f>
        <v/>
      </c>
      <c r="H93">
        <f>IFERROR(IF(ISNUMBER(INDEX(SPPR!$E:$X,MATCH($A93,SPPR!$A:$A,0),5)),$C93*INDEX(SPPR!$E:$X,MATCH($A93,SPPR!$A:$A,0),5),""),"")</f>
        <v/>
      </c>
      <c r="I93">
        <f>IFERROR(IF(ISNUMBER(INDEX(SPPR!$E:$X,MATCH($A93,SPPR!$A:$A,0),6)),$C93*INDEX(SPPR!$E:$X,MATCH($A93,SPPR!$A:$A,0),6),""),"")</f>
        <v/>
      </c>
      <c r="J93">
        <f>IFERROR(IF(ISNUMBER(INDEX(SPPR!$E:$X,MATCH($A93,SPPR!$A:$A,0),7)),$C93*INDEX(SPPR!$E:$X,MATCH($A93,SPPR!$A:$A,0),7),""),"")</f>
        <v/>
      </c>
      <c r="K93">
        <f>IFERROR(IF(ISNUMBER(INDEX(SPPR!$E:$X,MATCH($A93,SPPR!$A:$A,0),8)),$C93*INDEX(SPPR!$E:$X,MATCH($A93,SPPR!$A:$A,0),8),""),"")</f>
        <v/>
      </c>
      <c r="L93">
        <f>IFERROR(IF(ISNUMBER(INDEX(SPPR!$E:$X,MATCH($A93,SPPR!$A:$A,0),9)),$C93*INDEX(SPPR!$E:$X,MATCH($A93,SPPR!$A:$A,0),9),""),"")</f>
        <v/>
      </c>
      <c r="M93">
        <f>IFERROR(IF(ISNUMBER(INDEX(SPPR!$E:$X,MATCH($A93,SPPR!$A:$A,0),10)),$C93*INDEX(SPPR!$E:$X,MATCH($A93,SPPR!$A:$A,0),10),""),"")</f>
        <v/>
      </c>
      <c r="N93">
        <f>IFERROR(IF(ISNUMBER(INDEX(SPPR!$E:$X,MATCH($A93,SPPR!$A:$A,0),11)),$C93*INDEX(SPPR!$E:$X,MATCH($A93,SPPR!$A:$A,0),11),""),"")</f>
        <v/>
      </c>
      <c r="O93">
        <f>IFERROR(IF(ISNUMBER(INDEX(SPPR!$E:$X,MATCH($A93,SPPR!$A:$A,0),12)),$C93*INDEX(SPPR!$E:$X,MATCH($A93,SPPR!$A:$A,0),12),""),"")</f>
        <v/>
      </c>
      <c r="P93">
        <f>IFERROR(IF(ISNUMBER(INDEX(SPPR!$E:$X,MATCH($A93,SPPR!$A:$A,0),13)),$C93*INDEX(SPPR!$E:$X,MATCH($A93,SPPR!$A:$A,0),13),""),"")</f>
        <v/>
      </c>
      <c r="Q93">
        <f>IFERROR(IF(ISNUMBER(INDEX(SPPR!$E:$X,MATCH($A93,SPPR!$A:$A,0),14)),$C93*INDEX(SPPR!$E:$X,MATCH($A93,SPPR!$A:$A,0),14),""),"")</f>
        <v/>
      </c>
      <c r="R93">
        <f>IFERROR(IF(ISNUMBER(INDEX(SPPR!$E:$X,MATCH($A93,SPPR!$A:$A,0),15)),$C93*INDEX(SPPR!$E:$X,MATCH($A93,SPPR!$A:$A,0),15),""),"")</f>
        <v/>
      </c>
      <c r="S93">
        <f>IFERROR(IF(ISNUMBER(INDEX(SPPR!$E:$X,MATCH($A93,SPPR!$A:$A,0),16)),$C93*INDEX(SPPR!$E:$X,MATCH($A93,SPPR!$A:$A,0),16),""),"")</f>
        <v/>
      </c>
      <c r="T93">
        <f>IFERROR(IF(ISNUMBER(INDEX(SPPR!$E:$X,MATCH($A93,SPPR!$A:$A,0),17)),$C93*INDEX(SPPR!$E:$X,MATCH($A93,SPPR!$A:$A,0),17),""),"")</f>
        <v/>
      </c>
      <c r="U93">
        <f>IFERROR(IF(ISNUMBER(INDEX(SPPR!$E:$X,MATCH($A93,SPPR!$A:$A,0),18)),$C93*INDEX(SPPR!$E:$X,MATCH($A93,SPPR!$A:$A,0),18),""),"")</f>
        <v/>
      </c>
      <c r="V93">
        <f>IFERROR(IF(ISNUMBER(INDEX(SPPR!$E:$X,MATCH($A93,SPPR!$A:$A,0),19)),$C93*INDEX(SPPR!$E:$X,MATCH($A93,SPPR!$A:$A,0),19),""),"")</f>
        <v/>
      </c>
      <c r="W93">
        <f>IFERROR(IF(ISNUMBER(INDEX(SPPR!$E:$X,MATCH($A93,SPPR!$A:$A,0),20)),$C93*INDEX(SPPR!$E:$X,MATCH($A93,SPPR!$A:$A,0),20),""),"")</f>
        <v/>
      </c>
    </row>
    <row r="94">
      <c r="A94" t="inlineStr">
        <is>
          <t>Clupanodon thrissa</t>
        </is>
      </c>
      <c r="B94">
        <f>IFERROR(INDEX(SPPR!$D:$D,MATCH($A94,SPPR!$A:$A,0)),"")</f>
        <v/>
      </c>
      <c r="C94">
        <f>IFERROR(INDEX(Catch!$E:$BV,MATCH($A94,Catch!$A:$A,0),MATCH($B$4,Catch!$E$1:$BV$1,0)),0)</f>
        <v/>
      </c>
      <c r="D94">
        <f>IFERROR(IF(ISNUMBER(INDEX(SPPR!$E:$X,MATCH($A94,SPPR!$A:$A,0),1)),$C94*INDEX(SPPR!$E:$X,MATCH($A94,SPPR!$A:$A,0),1),""),"")</f>
        <v/>
      </c>
      <c r="E94">
        <f>IFERROR(IF(ISNUMBER(INDEX(SPPR!$E:$X,MATCH($A94,SPPR!$A:$A,0),2)),$C94*INDEX(SPPR!$E:$X,MATCH($A94,SPPR!$A:$A,0),2),""),"")</f>
        <v/>
      </c>
      <c r="F94">
        <f>IFERROR(IF(ISNUMBER(INDEX(SPPR!$E:$X,MATCH($A94,SPPR!$A:$A,0),3)),$C94*INDEX(SPPR!$E:$X,MATCH($A94,SPPR!$A:$A,0),3),""),"")</f>
        <v/>
      </c>
      <c r="G94">
        <f>IFERROR(IF(ISNUMBER(INDEX(SPPR!$E:$X,MATCH($A94,SPPR!$A:$A,0),4)),$C94*INDEX(SPPR!$E:$X,MATCH($A94,SPPR!$A:$A,0),4),""),"")</f>
        <v/>
      </c>
      <c r="H94">
        <f>IFERROR(IF(ISNUMBER(INDEX(SPPR!$E:$X,MATCH($A94,SPPR!$A:$A,0),5)),$C94*INDEX(SPPR!$E:$X,MATCH($A94,SPPR!$A:$A,0),5),""),"")</f>
        <v/>
      </c>
      <c r="I94">
        <f>IFERROR(IF(ISNUMBER(INDEX(SPPR!$E:$X,MATCH($A94,SPPR!$A:$A,0),6)),$C94*INDEX(SPPR!$E:$X,MATCH($A94,SPPR!$A:$A,0),6),""),"")</f>
        <v/>
      </c>
      <c r="J94">
        <f>IFERROR(IF(ISNUMBER(INDEX(SPPR!$E:$X,MATCH($A94,SPPR!$A:$A,0),7)),$C94*INDEX(SPPR!$E:$X,MATCH($A94,SPPR!$A:$A,0),7),""),"")</f>
        <v/>
      </c>
      <c r="K94">
        <f>IFERROR(IF(ISNUMBER(INDEX(SPPR!$E:$X,MATCH($A94,SPPR!$A:$A,0),8)),$C94*INDEX(SPPR!$E:$X,MATCH($A94,SPPR!$A:$A,0),8),""),"")</f>
        <v/>
      </c>
      <c r="L94">
        <f>IFERROR(IF(ISNUMBER(INDEX(SPPR!$E:$X,MATCH($A94,SPPR!$A:$A,0),9)),$C94*INDEX(SPPR!$E:$X,MATCH($A94,SPPR!$A:$A,0),9),""),"")</f>
        <v/>
      </c>
      <c r="M94">
        <f>IFERROR(IF(ISNUMBER(INDEX(SPPR!$E:$X,MATCH($A94,SPPR!$A:$A,0),10)),$C94*INDEX(SPPR!$E:$X,MATCH($A94,SPPR!$A:$A,0),10),""),"")</f>
        <v/>
      </c>
      <c r="N94">
        <f>IFERROR(IF(ISNUMBER(INDEX(SPPR!$E:$X,MATCH($A94,SPPR!$A:$A,0),11)),$C94*INDEX(SPPR!$E:$X,MATCH($A94,SPPR!$A:$A,0),11),""),"")</f>
        <v/>
      </c>
      <c r="O94">
        <f>IFERROR(IF(ISNUMBER(INDEX(SPPR!$E:$X,MATCH($A94,SPPR!$A:$A,0),12)),$C94*INDEX(SPPR!$E:$X,MATCH($A94,SPPR!$A:$A,0),12),""),"")</f>
        <v/>
      </c>
      <c r="P94">
        <f>IFERROR(IF(ISNUMBER(INDEX(SPPR!$E:$X,MATCH($A94,SPPR!$A:$A,0),13)),$C94*INDEX(SPPR!$E:$X,MATCH($A94,SPPR!$A:$A,0),13),""),"")</f>
        <v/>
      </c>
      <c r="Q94">
        <f>IFERROR(IF(ISNUMBER(INDEX(SPPR!$E:$X,MATCH($A94,SPPR!$A:$A,0),14)),$C94*INDEX(SPPR!$E:$X,MATCH($A94,SPPR!$A:$A,0),14),""),"")</f>
        <v/>
      </c>
      <c r="R94">
        <f>IFERROR(IF(ISNUMBER(INDEX(SPPR!$E:$X,MATCH($A94,SPPR!$A:$A,0),15)),$C94*INDEX(SPPR!$E:$X,MATCH($A94,SPPR!$A:$A,0),15),""),"")</f>
        <v/>
      </c>
      <c r="S94">
        <f>IFERROR(IF(ISNUMBER(INDEX(SPPR!$E:$X,MATCH($A94,SPPR!$A:$A,0),16)),$C94*INDEX(SPPR!$E:$X,MATCH($A94,SPPR!$A:$A,0),16),""),"")</f>
        <v/>
      </c>
      <c r="T94">
        <f>IFERROR(IF(ISNUMBER(INDEX(SPPR!$E:$X,MATCH($A94,SPPR!$A:$A,0),17)),$C94*INDEX(SPPR!$E:$X,MATCH($A94,SPPR!$A:$A,0),17),""),"")</f>
        <v/>
      </c>
      <c r="U94">
        <f>IFERROR(IF(ISNUMBER(INDEX(SPPR!$E:$X,MATCH($A94,SPPR!$A:$A,0),18)),$C94*INDEX(SPPR!$E:$X,MATCH($A94,SPPR!$A:$A,0),18),""),"")</f>
        <v/>
      </c>
      <c r="V94">
        <f>IFERROR(IF(ISNUMBER(INDEX(SPPR!$E:$X,MATCH($A94,SPPR!$A:$A,0),19)),$C94*INDEX(SPPR!$E:$X,MATCH($A94,SPPR!$A:$A,0),19),""),"")</f>
        <v/>
      </c>
      <c r="W94">
        <f>IFERROR(IF(ISNUMBER(INDEX(SPPR!$E:$X,MATCH($A94,SPPR!$A:$A,0),20)),$C94*INDEX(SPPR!$E:$X,MATCH($A94,SPPR!$A:$A,0),20),""),"")</f>
        <v/>
      </c>
    </row>
    <row r="95">
      <c r="A95" t="inlineStr">
        <is>
          <t>Sardinella fimbriata</t>
        </is>
      </c>
      <c r="B95">
        <f>IFERROR(INDEX(SPPR!$D:$D,MATCH($A95,SPPR!$A:$A,0)),"")</f>
        <v/>
      </c>
      <c r="C95">
        <f>IFERROR(INDEX(Catch!$E:$BV,MATCH($A95,Catch!$A:$A,0),MATCH($B$4,Catch!$E$1:$BV$1,0)),0)</f>
        <v/>
      </c>
      <c r="D95">
        <f>IFERROR(IF(ISNUMBER(INDEX(SPPR!$E:$X,MATCH($A95,SPPR!$A:$A,0),1)),$C95*INDEX(SPPR!$E:$X,MATCH($A95,SPPR!$A:$A,0),1),""),"")</f>
        <v/>
      </c>
      <c r="E95">
        <f>IFERROR(IF(ISNUMBER(INDEX(SPPR!$E:$X,MATCH($A95,SPPR!$A:$A,0),2)),$C95*INDEX(SPPR!$E:$X,MATCH($A95,SPPR!$A:$A,0),2),""),"")</f>
        <v/>
      </c>
      <c r="F95">
        <f>IFERROR(IF(ISNUMBER(INDEX(SPPR!$E:$X,MATCH($A95,SPPR!$A:$A,0),3)),$C95*INDEX(SPPR!$E:$X,MATCH($A95,SPPR!$A:$A,0),3),""),"")</f>
        <v/>
      </c>
      <c r="G95">
        <f>IFERROR(IF(ISNUMBER(INDEX(SPPR!$E:$X,MATCH($A95,SPPR!$A:$A,0),4)),$C95*INDEX(SPPR!$E:$X,MATCH($A95,SPPR!$A:$A,0),4),""),"")</f>
        <v/>
      </c>
      <c r="H95">
        <f>IFERROR(IF(ISNUMBER(INDEX(SPPR!$E:$X,MATCH($A95,SPPR!$A:$A,0),5)),$C95*INDEX(SPPR!$E:$X,MATCH($A95,SPPR!$A:$A,0),5),""),"")</f>
        <v/>
      </c>
      <c r="I95">
        <f>IFERROR(IF(ISNUMBER(INDEX(SPPR!$E:$X,MATCH($A95,SPPR!$A:$A,0),6)),$C95*INDEX(SPPR!$E:$X,MATCH($A95,SPPR!$A:$A,0),6),""),"")</f>
        <v/>
      </c>
      <c r="J95">
        <f>IFERROR(IF(ISNUMBER(INDEX(SPPR!$E:$X,MATCH($A95,SPPR!$A:$A,0),7)),$C95*INDEX(SPPR!$E:$X,MATCH($A95,SPPR!$A:$A,0),7),""),"")</f>
        <v/>
      </c>
      <c r="K95">
        <f>IFERROR(IF(ISNUMBER(INDEX(SPPR!$E:$X,MATCH($A95,SPPR!$A:$A,0),8)),$C95*INDEX(SPPR!$E:$X,MATCH($A95,SPPR!$A:$A,0),8),""),"")</f>
        <v/>
      </c>
      <c r="L95">
        <f>IFERROR(IF(ISNUMBER(INDEX(SPPR!$E:$X,MATCH($A95,SPPR!$A:$A,0),9)),$C95*INDEX(SPPR!$E:$X,MATCH($A95,SPPR!$A:$A,0),9),""),"")</f>
        <v/>
      </c>
      <c r="M95">
        <f>IFERROR(IF(ISNUMBER(INDEX(SPPR!$E:$X,MATCH($A95,SPPR!$A:$A,0),10)),$C95*INDEX(SPPR!$E:$X,MATCH($A95,SPPR!$A:$A,0),10),""),"")</f>
        <v/>
      </c>
      <c r="N95">
        <f>IFERROR(IF(ISNUMBER(INDEX(SPPR!$E:$X,MATCH($A95,SPPR!$A:$A,0),11)),$C95*INDEX(SPPR!$E:$X,MATCH($A95,SPPR!$A:$A,0),11),""),"")</f>
        <v/>
      </c>
      <c r="O95">
        <f>IFERROR(IF(ISNUMBER(INDEX(SPPR!$E:$X,MATCH($A95,SPPR!$A:$A,0),12)),$C95*INDEX(SPPR!$E:$X,MATCH($A95,SPPR!$A:$A,0),12),""),"")</f>
        <v/>
      </c>
      <c r="P95">
        <f>IFERROR(IF(ISNUMBER(INDEX(SPPR!$E:$X,MATCH($A95,SPPR!$A:$A,0),13)),$C95*INDEX(SPPR!$E:$X,MATCH($A95,SPPR!$A:$A,0),13),""),"")</f>
        <v/>
      </c>
      <c r="Q95">
        <f>IFERROR(IF(ISNUMBER(INDEX(SPPR!$E:$X,MATCH($A95,SPPR!$A:$A,0),14)),$C95*INDEX(SPPR!$E:$X,MATCH($A95,SPPR!$A:$A,0),14),""),"")</f>
        <v/>
      </c>
      <c r="R95">
        <f>IFERROR(IF(ISNUMBER(INDEX(SPPR!$E:$X,MATCH($A95,SPPR!$A:$A,0),15)),$C95*INDEX(SPPR!$E:$X,MATCH($A95,SPPR!$A:$A,0),15),""),"")</f>
        <v/>
      </c>
      <c r="S95">
        <f>IFERROR(IF(ISNUMBER(INDEX(SPPR!$E:$X,MATCH($A95,SPPR!$A:$A,0),16)),$C95*INDEX(SPPR!$E:$X,MATCH($A95,SPPR!$A:$A,0),16),""),"")</f>
        <v/>
      </c>
      <c r="T95">
        <f>IFERROR(IF(ISNUMBER(INDEX(SPPR!$E:$X,MATCH($A95,SPPR!$A:$A,0),17)),$C95*INDEX(SPPR!$E:$X,MATCH($A95,SPPR!$A:$A,0),17),""),"")</f>
        <v/>
      </c>
      <c r="U95">
        <f>IFERROR(IF(ISNUMBER(INDEX(SPPR!$E:$X,MATCH($A95,SPPR!$A:$A,0),18)),$C95*INDEX(SPPR!$E:$X,MATCH($A95,SPPR!$A:$A,0),18),""),"")</f>
        <v/>
      </c>
      <c r="V95">
        <f>IFERROR(IF(ISNUMBER(INDEX(SPPR!$E:$X,MATCH($A95,SPPR!$A:$A,0),19)),$C95*INDEX(SPPR!$E:$X,MATCH($A95,SPPR!$A:$A,0),19),""),"")</f>
        <v/>
      </c>
      <c r="W95">
        <f>IFERROR(IF(ISNUMBER(INDEX(SPPR!$E:$X,MATCH($A95,SPPR!$A:$A,0),20)),$C95*INDEX(SPPR!$E:$X,MATCH($A95,SPPR!$A:$A,0),20),""),"")</f>
        <v/>
      </c>
    </row>
    <row r="96">
      <c r="A96" t="inlineStr">
        <is>
          <t>Ruvettus pretiosus</t>
        </is>
      </c>
      <c r="B96">
        <f>IFERROR(INDEX(SPPR!$D:$D,MATCH($A96,SPPR!$A:$A,0)),"")</f>
        <v/>
      </c>
      <c r="C96">
        <f>IFERROR(INDEX(Catch!$E:$BV,MATCH($A96,Catch!$A:$A,0),MATCH($B$4,Catch!$E$1:$BV$1,0)),0)</f>
        <v/>
      </c>
      <c r="D96">
        <f>IFERROR(IF(ISNUMBER(INDEX(SPPR!$E:$X,MATCH($A96,SPPR!$A:$A,0),1)),$C96*INDEX(SPPR!$E:$X,MATCH($A96,SPPR!$A:$A,0),1),""),"")</f>
        <v/>
      </c>
      <c r="E96">
        <f>IFERROR(IF(ISNUMBER(INDEX(SPPR!$E:$X,MATCH($A96,SPPR!$A:$A,0),2)),$C96*INDEX(SPPR!$E:$X,MATCH($A96,SPPR!$A:$A,0),2),""),"")</f>
        <v/>
      </c>
      <c r="F96">
        <f>IFERROR(IF(ISNUMBER(INDEX(SPPR!$E:$X,MATCH($A96,SPPR!$A:$A,0),3)),$C96*INDEX(SPPR!$E:$X,MATCH($A96,SPPR!$A:$A,0),3),""),"")</f>
        <v/>
      </c>
      <c r="G96">
        <f>IFERROR(IF(ISNUMBER(INDEX(SPPR!$E:$X,MATCH($A96,SPPR!$A:$A,0),4)),$C96*INDEX(SPPR!$E:$X,MATCH($A96,SPPR!$A:$A,0),4),""),"")</f>
        <v/>
      </c>
      <c r="H96">
        <f>IFERROR(IF(ISNUMBER(INDEX(SPPR!$E:$X,MATCH($A96,SPPR!$A:$A,0),5)),$C96*INDEX(SPPR!$E:$X,MATCH($A96,SPPR!$A:$A,0),5),""),"")</f>
        <v/>
      </c>
      <c r="I96">
        <f>IFERROR(IF(ISNUMBER(INDEX(SPPR!$E:$X,MATCH($A96,SPPR!$A:$A,0),6)),$C96*INDEX(SPPR!$E:$X,MATCH($A96,SPPR!$A:$A,0),6),""),"")</f>
        <v/>
      </c>
      <c r="J96">
        <f>IFERROR(IF(ISNUMBER(INDEX(SPPR!$E:$X,MATCH($A96,SPPR!$A:$A,0),7)),$C96*INDEX(SPPR!$E:$X,MATCH($A96,SPPR!$A:$A,0),7),""),"")</f>
        <v/>
      </c>
      <c r="K96">
        <f>IFERROR(IF(ISNUMBER(INDEX(SPPR!$E:$X,MATCH($A96,SPPR!$A:$A,0),8)),$C96*INDEX(SPPR!$E:$X,MATCH($A96,SPPR!$A:$A,0),8),""),"")</f>
        <v/>
      </c>
      <c r="L96">
        <f>IFERROR(IF(ISNUMBER(INDEX(SPPR!$E:$X,MATCH($A96,SPPR!$A:$A,0),9)),$C96*INDEX(SPPR!$E:$X,MATCH($A96,SPPR!$A:$A,0),9),""),"")</f>
        <v/>
      </c>
      <c r="M96">
        <f>IFERROR(IF(ISNUMBER(INDEX(SPPR!$E:$X,MATCH($A96,SPPR!$A:$A,0),10)),$C96*INDEX(SPPR!$E:$X,MATCH($A96,SPPR!$A:$A,0),10),""),"")</f>
        <v/>
      </c>
      <c r="N96">
        <f>IFERROR(IF(ISNUMBER(INDEX(SPPR!$E:$X,MATCH($A96,SPPR!$A:$A,0),11)),$C96*INDEX(SPPR!$E:$X,MATCH($A96,SPPR!$A:$A,0),11),""),"")</f>
        <v/>
      </c>
      <c r="O96">
        <f>IFERROR(IF(ISNUMBER(INDEX(SPPR!$E:$X,MATCH($A96,SPPR!$A:$A,0),12)),$C96*INDEX(SPPR!$E:$X,MATCH($A96,SPPR!$A:$A,0),12),""),"")</f>
        <v/>
      </c>
      <c r="P96">
        <f>IFERROR(IF(ISNUMBER(INDEX(SPPR!$E:$X,MATCH($A96,SPPR!$A:$A,0),13)),$C96*INDEX(SPPR!$E:$X,MATCH($A96,SPPR!$A:$A,0),13),""),"")</f>
        <v/>
      </c>
      <c r="Q96">
        <f>IFERROR(IF(ISNUMBER(INDEX(SPPR!$E:$X,MATCH($A96,SPPR!$A:$A,0),14)),$C96*INDEX(SPPR!$E:$X,MATCH($A96,SPPR!$A:$A,0),14),""),"")</f>
        <v/>
      </c>
      <c r="R96">
        <f>IFERROR(IF(ISNUMBER(INDEX(SPPR!$E:$X,MATCH($A96,SPPR!$A:$A,0),15)),$C96*INDEX(SPPR!$E:$X,MATCH($A96,SPPR!$A:$A,0),15),""),"")</f>
        <v/>
      </c>
      <c r="S96">
        <f>IFERROR(IF(ISNUMBER(INDEX(SPPR!$E:$X,MATCH($A96,SPPR!$A:$A,0),16)),$C96*INDEX(SPPR!$E:$X,MATCH($A96,SPPR!$A:$A,0),16),""),"")</f>
        <v/>
      </c>
      <c r="T96">
        <f>IFERROR(IF(ISNUMBER(INDEX(SPPR!$E:$X,MATCH($A96,SPPR!$A:$A,0),17)),$C96*INDEX(SPPR!$E:$X,MATCH($A96,SPPR!$A:$A,0),17),""),"")</f>
        <v/>
      </c>
      <c r="U96">
        <f>IFERROR(IF(ISNUMBER(INDEX(SPPR!$E:$X,MATCH($A96,SPPR!$A:$A,0),18)),$C96*INDEX(SPPR!$E:$X,MATCH($A96,SPPR!$A:$A,0),18),""),"")</f>
        <v/>
      </c>
      <c r="V96">
        <f>IFERROR(IF(ISNUMBER(INDEX(SPPR!$E:$X,MATCH($A96,SPPR!$A:$A,0),19)),$C96*INDEX(SPPR!$E:$X,MATCH($A96,SPPR!$A:$A,0),19),""),"")</f>
        <v/>
      </c>
      <c r="W96">
        <f>IFERROR(IF(ISNUMBER(INDEX(SPPR!$E:$X,MATCH($A96,SPPR!$A:$A,0),20)),$C96*INDEX(SPPR!$E:$X,MATCH($A96,SPPR!$A:$A,0),20),""),"")</f>
        <v/>
      </c>
    </row>
    <row r="97">
      <c r="A97" t="inlineStr">
        <is>
          <t>Lates calcarifer</t>
        </is>
      </c>
      <c r="B97">
        <f>IFERROR(INDEX(SPPR!$D:$D,MATCH($A97,SPPR!$A:$A,0)),"")</f>
        <v/>
      </c>
      <c r="C97">
        <f>IFERROR(INDEX(Catch!$E:$BV,MATCH($A97,Catch!$A:$A,0),MATCH($B$4,Catch!$E$1:$BV$1,0)),0)</f>
        <v/>
      </c>
      <c r="D97">
        <f>IFERROR(IF(ISNUMBER(INDEX(SPPR!$E:$X,MATCH($A97,SPPR!$A:$A,0),1)),$C97*INDEX(SPPR!$E:$X,MATCH($A97,SPPR!$A:$A,0),1),""),"")</f>
        <v/>
      </c>
      <c r="E97">
        <f>IFERROR(IF(ISNUMBER(INDEX(SPPR!$E:$X,MATCH($A97,SPPR!$A:$A,0),2)),$C97*INDEX(SPPR!$E:$X,MATCH($A97,SPPR!$A:$A,0),2),""),"")</f>
        <v/>
      </c>
      <c r="F97">
        <f>IFERROR(IF(ISNUMBER(INDEX(SPPR!$E:$X,MATCH($A97,SPPR!$A:$A,0),3)),$C97*INDEX(SPPR!$E:$X,MATCH($A97,SPPR!$A:$A,0),3),""),"")</f>
        <v/>
      </c>
      <c r="G97">
        <f>IFERROR(IF(ISNUMBER(INDEX(SPPR!$E:$X,MATCH($A97,SPPR!$A:$A,0),4)),$C97*INDEX(SPPR!$E:$X,MATCH($A97,SPPR!$A:$A,0),4),""),"")</f>
        <v/>
      </c>
      <c r="H97">
        <f>IFERROR(IF(ISNUMBER(INDEX(SPPR!$E:$X,MATCH($A97,SPPR!$A:$A,0),5)),$C97*INDEX(SPPR!$E:$X,MATCH($A97,SPPR!$A:$A,0),5),""),"")</f>
        <v/>
      </c>
      <c r="I97">
        <f>IFERROR(IF(ISNUMBER(INDEX(SPPR!$E:$X,MATCH($A97,SPPR!$A:$A,0),6)),$C97*INDEX(SPPR!$E:$X,MATCH($A97,SPPR!$A:$A,0),6),""),"")</f>
        <v/>
      </c>
      <c r="J97">
        <f>IFERROR(IF(ISNUMBER(INDEX(SPPR!$E:$X,MATCH($A97,SPPR!$A:$A,0),7)),$C97*INDEX(SPPR!$E:$X,MATCH($A97,SPPR!$A:$A,0),7),""),"")</f>
        <v/>
      </c>
      <c r="K97">
        <f>IFERROR(IF(ISNUMBER(INDEX(SPPR!$E:$X,MATCH($A97,SPPR!$A:$A,0),8)),$C97*INDEX(SPPR!$E:$X,MATCH($A97,SPPR!$A:$A,0),8),""),"")</f>
        <v/>
      </c>
      <c r="L97">
        <f>IFERROR(IF(ISNUMBER(INDEX(SPPR!$E:$X,MATCH($A97,SPPR!$A:$A,0),9)),$C97*INDEX(SPPR!$E:$X,MATCH($A97,SPPR!$A:$A,0),9),""),"")</f>
        <v/>
      </c>
      <c r="M97">
        <f>IFERROR(IF(ISNUMBER(INDEX(SPPR!$E:$X,MATCH($A97,SPPR!$A:$A,0),10)),$C97*INDEX(SPPR!$E:$X,MATCH($A97,SPPR!$A:$A,0),10),""),"")</f>
        <v/>
      </c>
      <c r="N97">
        <f>IFERROR(IF(ISNUMBER(INDEX(SPPR!$E:$X,MATCH($A97,SPPR!$A:$A,0),11)),$C97*INDEX(SPPR!$E:$X,MATCH($A97,SPPR!$A:$A,0),11),""),"")</f>
        <v/>
      </c>
      <c r="O97">
        <f>IFERROR(IF(ISNUMBER(INDEX(SPPR!$E:$X,MATCH($A97,SPPR!$A:$A,0),12)),$C97*INDEX(SPPR!$E:$X,MATCH($A97,SPPR!$A:$A,0),12),""),"")</f>
        <v/>
      </c>
      <c r="P97">
        <f>IFERROR(IF(ISNUMBER(INDEX(SPPR!$E:$X,MATCH($A97,SPPR!$A:$A,0),13)),$C97*INDEX(SPPR!$E:$X,MATCH($A97,SPPR!$A:$A,0),13),""),"")</f>
        <v/>
      </c>
      <c r="Q97">
        <f>IFERROR(IF(ISNUMBER(INDEX(SPPR!$E:$X,MATCH($A97,SPPR!$A:$A,0),14)),$C97*INDEX(SPPR!$E:$X,MATCH($A97,SPPR!$A:$A,0),14),""),"")</f>
        <v/>
      </c>
      <c r="R97">
        <f>IFERROR(IF(ISNUMBER(INDEX(SPPR!$E:$X,MATCH($A97,SPPR!$A:$A,0),15)),$C97*INDEX(SPPR!$E:$X,MATCH($A97,SPPR!$A:$A,0),15),""),"")</f>
        <v/>
      </c>
      <c r="S97">
        <f>IFERROR(IF(ISNUMBER(INDEX(SPPR!$E:$X,MATCH($A97,SPPR!$A:$A,0),16)),$C97*INDEX(SPPR!$E:$X,MATCH($A97,SPPR!$A:$A,0),16),""),"")</f>
        <v/>
      </c>
      <c r="T97">
        <f>IFERROR(IF(ISNUMBER(INDEX(SPPR!$E:$X,MATCH($A97,SPPR!$A:$A,0),17)),$C97*INDEX(SPPR!$E:$X,MATCH($A97,SPPR!$A:$A,0),17),""),"")</f>
        <v/>
      </c>
      <c r="U97">
        <f>IFERROR(IF(ISNUMBER(INDEX(SPPR!$E:$X,MATCH($A97,SPPR!$A:$A,0),18)),$C97*INDEX(SPPR!$E:$X,MATCH($A97,SPPR!$A:$A,0),18),""),"")</f>
        <v/>
      </c>
      <c r="V97">
        <f>IFERROR(IF(ISNUMBER(INDEX(SPPR!$E:$X,MATCH($A97,SPPR!$A:$A,0),19)),$C97*INDEX(SPPR!$E:$X,MATCH($A97,SPPR!$A:$A,0),19),""),"")</f>
        <v/>
      </c>
      <c r="W97">
        <f>IFERROR(IF(ISNUMBER(INDEX(SPPR!$E:$X,MATCH($A97,SPPR!$A:$A,0),20)),$C97*INDEX(SPPR!$E:$X,MATCH($A97,SPPR!$A:$A,0),20),""),"")</f>
        <v/>
      </c>
    </row>
    <row r="98">
      <c r="A98" t="inlineStr">
        <is>
          <t>Carangoides</t>
        </is>
      </c>
      <c r="B98">
        <f>IFERROR(INDEX(SPPR!$D:$D,MATCH($A98,SPPR!$A:$A,0)),"")</f>
        <v/>
      </c>
      <c r="C98">
        <f>IFERROR(INDEX(Catch!$E:$BV,MATCH($A98,Catch!$A:$A,0),MATCH($B$4,Catch!$E$1:$BV$1,0)),0)</f>
        <v/>
      </c>
      <c r="D98">
        <f>IFERROR(IF(ISNUMBER(INDEX(SPPR!$E:$X,MATCH($A98,SPPR!$A:$A,0),1)),$C98*INDEX(SPPR!$E:$X,MATCH($A98,SPPR!$A:$A,0),1),""),"")</f>
        <v/>
      </c>
      <c r="E98">
        <f>IFERROR(IF(ISNUMBER(INDEX(SPPR!$E:$X,MATCH($A98,SPPR!$A:$A,0),2)),$C98*INDEX(SPPR!$E:$X,MATCH($A98,SPPR!$A:$A,0),2),""),"")</f>
        <v/>
      </c>
      <c r="F98">
        <f>IFERROR(IF(ISNUMBER(INDEX(SPPR!$E:$X,MATCH($A98,SPPR!$A:$A,0),3)),$C98*INDEX(SPPR!$E:$X,MATCH($A98,SPPR!$A:$A,0),3),""),"")</f>
        <v/>
      </c>
      <c r="G98">
        <f>IFERROR(IF(ISNUMBER(INDEX(SPPR!$E:$X,MATCH($A98,SPPR!$A:$A,0),4)),$C98*INDEX(SPPR!$E:$X,MATCH($A98,SPPR!$A:$A,0),4),""),"")</f>
        <v/>
      </c>
      <c r="H98">
        <f>IFERROR(IF(ISNUMBER(INDEX(SPPR!$E:$X,MATCH($A98,SPPR!$A:$A,0),5)),$C98*INDEX(SPPR!$E:$X,MATCH($A98,SPPR!$A:$A,0),5),""),"")</f>
        <v/>
      </c>
      <c r="I98">
        <f>IFERROR(IF(ISNUMBER(INDEX(SPPR!$E:$X,MATCH($A98,SPPR!$A:$A,0),6)),$C98*INDEX(SPPR!$E:$X,MATCH($A98,SPPR!$A:$A,0),6),""),"")</f>
        <v/>
      </c>
      <c r="J98">
        <f>IFERROR(IF(ISNUMBER(INDEX(SPPR!$E:$X,MATCH($A98,SPPR!$A:$A,0),7)),$C98*INDEX(SPPR!$E:$X,MATCH($A98,SPPR!$A:$A,0),7),""),"")</f>
        <v/>
      </c>
      <c r="K98">
        <f>IFERROR(IF(ISNUMBER(INDEX(SPPR!$E:$X,MATCH($A98,SPPR!$A:$A,0),8)),$C98*INDEX(SPPR!$E:$X,MATCH($A98,SPPR!$A:$A,0),8),""),"")</f>
        <v/>
      </c>
      <c r="L98">
        <f>IFERROR(IF(ISNUMBER(INDEX(SPPR!$E:$X,MATCH($A98,SPPR!$A:$A,0),9)),$C98*INDEX(SPPR!$E:$X,MATCH($A98,SPPR!$A:$A,0),9),""),"")</f>
        <v/>
      </c>
      <c r="M98">
        <f>IFERROR(IF(ISNUMBER(INDEX(SPPR!$E:$X,MATCH($A98,SPPR!$A:$A,0),10)),$C98*INDEX(SPPR!$E:$X,MATCH($A98,SPPR!$A:$A,0),10),""),"")</f>
        <v/>
      </c>
      <c r="N98">
        <f>IFERROR(IF(ISNUMBER(INDEX(SPPR!$E:$X,MATCH($A98,SPPR!$A:$A,0),11)),$C98*INDEX(SPPR!$E:$X,MATCH($A98,SPPR!$A:$A,0),11),""),"")</f>
        <v/>
      </c>
      <c r="O98">
        <f>IFERROR(IF(ISNUMBER(INDEX(SPPR!$E:$X,MATCH($A98,SPPR!$A:$A,0),12)),$C98*INDEX(SPPR!$E:$X,MATCH($A98,SPPR!$A:$A,0),12),""),"")</f>
        <v/>
      </c>
      <c r="P98">
        <f>IFERROR(IF(ISNUMBER(INDEX(SPPR!$E:$X,MATCH($A98,SPPR!$A:$A,0),13)),$C98*INDEX(SPPR!$E:$X,MATCH($A98,SPPR!$A:$A,0),13),""),"")</f>
        <v/>
      </c>
      <c r="Q98">
        <f>IFERROR(IF(ISNUMBER(INDEX(SPPR!$E:$X,MATCH($A98,SPPR!$A:$A,0),14)),$C98*INDEX(SPPR!$E:$X,MATCH($A98,SPPR!$A:$A,0),14),""),"")</f>
        <v/>
      </c>
      <c r="R98">
        <f>IFERROR(IF(ISNUMBER(INDEX(SPPR!$E:$X,MATCH($A98,SPPR!$A:$A,0),15)),$C98*INDEX(SPPR!$E:$X,MATCH($A98,SPPR!$A:$A,0),15),""),"")</f>
        <v/>
      </c>
      <c r="S98">
        <f>IFERROR(IF(ISNUMBER(INDEX(SPPR!$E:$X,MATCH($A98,SPPR!$A:$A,0),16)),$C98*INDEX(SPPR!$E:$X,MATCH($A98,SPPR!$A:$A,0),16),""),"")</f>
        <v/>
      </c>
      <c r="T98">
        <f>IFERROR(IF(ISNUMBER(INDEX(SPPR!$E:$X,MATCH($A98,SPPR!$A:$A,0),17)),$C98*INDEX(SPPR!$E:$X,MATCH($A98,SPPR!$A:$A,0),17),""),"")</f>
        <v/>
      </c>
      <c r="U98">
        <f>IFERROR(IF(ISNUMBER(INDEX(SPPR!$E:$X,MATCH($A98,SPPR!$A:$A,0),18)),$C98*INDEX(SPPR!$E:$X,MATCH($A98,SPPR!$A:$A,0),18),""),"")</f>
        <v/>
      </c>
      <c r="V98">
        <f>IFERROR(IF(ISNUMBER(INDEX(SPPR!$E:$X,MATCH($A98,SPPR!$A:$A,0),19)),$C98*INDEX(SPPR!$E:$X,MATCH($A98,SPPR!$A:$A,0),19),""),"")</f>
        <v/>
      </c>
      <c r="W98">
        <f>IFERROR(IF(ISNUMBER(INDEX(SPPR!$E:$X,MATCH($A98,SPPR!$A:$A,0),20)),$C98*INDEX(SPPR!$E:$X,MATCH($A98,SPPR!$A:$A,0),20),""),"")</f>
        <v/>
      </c>
    </row>
    <row r="99">
      <c r="A99" t="inlineStr">
        <is>
          <t>Scomberomorus niphonius</t>
        </is>
      </c>
      <c r="B99">
        <f>IFERROR(INDEX(SPPR!$D:$D,MATCH($A99,SPPR!$A:$A,0)),"")</f>
        <v/>
      </c>
      <c r="C99">
        <f>IFERROR(INDEX(Catch!$E:$BV,MATCH($A99,Catch!$A:$A,0),MATCH($B$4,Catch!$E$1:$BV$1,0)),0)</f>
        <v/>
      </c>
      <c r="D99">
        <f>IFERROR(IF(ISNUMBER(INDEX(SPPR!$E:$X,MATCH($A99,SPPR!$A:$A,0),1)),$C99*INDEX(SPPR!$E:$X,MATCH($A99,SPPR!$A:$A,0),1),""),"")</f>
        <v/>
      </c>
      <c r="E99">
        <f>IFERROR(IF(ISNUMBER(INDEX(SPPR!$E:$X,MATCH($A99,SPPR!$A:$A,0),2)),$C99*INDEX(SPPR!$E:$X,MATCH($A99,SPPR!$A:$A,0),2),""),"")</f>
        <v/>
      </c>
      <c r="F99">
        <f>IFERROR(IF(ISNUMBER(INDEX(SPPR!$E:$X,MATCH($A99,SPPR!$A:$A,0),3)),$C99*INDEX(SPPR!$E:$X,MATCH($A99,SPPR!$A:$A,0),3),""),"")</f>
        <v/>
      </c>
      <c r="G99">
        <f>IFERROR(IF(ISNUMBER(INDEX(SPPR!$E:$X,MATCH($A99,SPPR!$A:$A,0),4)),$C99*INDEX(SPPR!$E:$X,MATCH($A99,SPPR!$A:$A,0),4),""),"")</f>
        <v/>
      </c>
      <c r="H99">
        <f>IFERROR(IF(ISNUMBER(INDEX(SPPR!$E:$X,MATCH($A99,SPPR!$A:$A,0),5)),$C99*INDEX(SPPR!$E:$X,MATCH($A99,SPPR!$A:$A,0),5),""),"")</f>
        <v/>
      </c>
      <c r="I99">
        <f>IFERROR(IF(ISNUMBER(INDEX(SPPR!$E:$X,MATCH($A99,SPPR!$A:$A,0),6)),$C99*INDEX(SPPR!$E:$X,MATCH($A99,SPPR!$A:$A,0),6),""),"")</f>
        <v/>
      </c>
      <c r="J99">
        <f>IFERROR(IF(ISNUMBER(INDEX(SPPR!$E:$X,MATCH($A99,SPPR!$A:$A,0),7)),$C99*INDEX(SPPR!$E:$X,MATCH($A99,SPPR!$A:$A,0),7),""),"")</f>
        <v/>
      </c>
      <c r="K99">
        <f>IFERROR(IF(ISNUMBER(INDEX(SPPR!$E:$X,MATCH($A99,SPPR!$A:$A,0),8)),$C99*INDEX(SPPR!$E:$X,MATCH($A99,SPPR!$A:$A,0),8),""),"")</f>
        <v/>
      </c>
      <c r="L99">
        <f>IFERROR(IF(ISNUMBER(INDEX(SPPR!$E:$X,MATCH($A99,SPPR!$A:$A,0),9)),$C99*INDEX(SPPR!$E:$X,MATCH($A99,SPPR!$A:$A,0),9),""),"")</f>
        <v/>
      </c>
      <c r="M99">
        <f>IFERROR(IF(ISNUMBER(INDEX(SPPR!$E:$X,MATCH($A99,SPPR!$A:$A,0),10)),$C99*INDEX(SPPR!$E:$X,MATCH($A99,SPPR!$A:$A,0),10),""),"")</f>
        <v/>
      </c>
      <c r="N99">
        <f>IFERROR(IF(ISNUMBER(INDEX(SPPR!$E:$X,MATCH($A99,SPPR!$A:$A,0),11)),$C99*INDEX(SPPR!$E:$X,MATCH($A99,SPPR!$A:$A,0),11),""),"")</f>
        <v/>
      </c>
      <c r="O99">
        <f>IFERROR(IF(ISNUMBER(INDEX(SPPR!$E:$X,MATCH($A99,SPPR!$A:$A,0),12)),$C99*INDEX(SPPR!$E:$X,MATCH($A99,SPPR!$A:$A,0),12),""),"")</f>
        <v/>
      </c>
      <c r="P99">
        <f>IFERROR(IF(ISNUMBER(INDEX(SPPR!$E:$X,MATCH($A99,SPPR!$A:$A,0),13)),$C99*INDEX(SPPR!$E:$X,MATCH($A99,SPPR!$A:$A,0),13),""),"")</f>
        <v/>
      </c>
      <c r="Q99">
        <f>IFERROR(IF(ISNUMBER(INDEX(SPPR!$E:$X,MATCH($A99,SPPR!$A:$A,0),14)),$C99*INDEX(SPPR!$E:$X,MATCH($A99,SPPR!$A:$A,0),14),""),"")</f>
        <v/>
      </c>
      <c r="R99">
        <f>IFERROR(IF(ISNUMBER(INDEX(SPPR!$E:$X,MATCH($A99,SPPR!$A:$A,0),15)),$C99*INDEX(SPPR!$E:$X,MATCH($A99,SPPR!$A:$A,0),15),""),"")</f>
        <v/>
      </c>
      <c r="S99">
        <f>IFERROR(IF(ISNUMBER(INDEX(SPPR!$E:$X,MATCH($A99,SPPR!$A:$A,0),16)),$C99*INDEX(SPPR!$E:$X,MATCH($A99,SPPR!$A:$A,0),16),""),"")</f>
        <v/>
      </c>
      <c r="T99">
        <f>IFERROR(IF(ISNUMBER(INDEX(SPPR!$E:$X,MATCH($A99,SPPR!$A:$A,0),17)),$C99*INDEX(SPPR!$E:$X,MATCH($A99,SPPR!$A:$A,0),17),""),"")</f>
        <v/>
      </c>
      <c r="U99">
        <f>IFERROR(IF(ISNUMBER(INDEX(SPPR!$E:$X,MATCH($A99,SPPR!$A:$A,0),18)),$C99*INDEX(SPPR!$E:$X,MATCH($A99,SPPR!$A:$A,0),18),""),"")</f>
        <v/>
      </c>
      <c r="V99">
        <f>IFERROR(IF(ISNUMBER(INDEX(SPPR!$E:$X,MATCH($A99,SPPR!$A:$A,0),19)),$C99*INDEX(SPPR!$E:$X,MATCH($A99,SPPR!$A:$A,0),19),""),"")</f>
        <v/>
      </c>
      <c r="W99">
        <f>IFERROR(IF(ISNUMBER(INDEX(SPPR!$E:$X,MATCH($A99,SPPR!$A:$A,0),20)),$C99*INDEX(SPPR!$E:$X,MATCH($A99,SPPR!$A:$A,0),20),""),"")</f>
        <v/>
      </c>
    </row>
    <row r="100">
      <c r="A100" t="inlineStr">
        <is>
          <t>Megalaspis cordyla</t>
        </is>
      </c>
      <c r="B100">
        <f>IFERROR(INDEX(SPPR!$D:$D,MATCH($A100,SPPR!$A:$A,0)),"")</f>
        <v/>
      </c>
      <c r="C100">
        <f>IFERROR(INDEX(Catch!$E:$BV,MATCH($A100,Catch!$A:$A,0),MATCH($B$4,Catch!$E$1:$BV$1,0)),0)</f>
        <v/>
      </c>
      <c r="D100">
        <f>IFERROR(IF(ISNUMBER(INDEX(SPPR!$E:$X,MATCH($A100,SPPR!$A:$A,0),1)),$C100*INDEX(SPPR!$E:$X,MATCH($A100,SPPR!$A:$A,0),1),""),"")</f>
        <v/>
      </c>
      <c r="E100">
        <f>IFERROR(IF(ISNUMBER(INDEX(SPPR!$E:$X,MATCH($A100,SPPR!$A:$A,0),2)),$C100*INDEX(SPPR!$E:$X,MATCH($A100,SPPR!$A:$A,0),2),""),"")</f>
        <v/>
      </c>
      <c r="F100">
        <f>IFERROR(IF(ISNUMBER(INDEX(SPPR!$E:$X,MATCH($A100,SPPR!$A:$A,0),3)),$C100*INDEX(SPPR!$E:$X,MATCH($A100,SPPR!$A:$A,0),3),""),"")</f>
        <v/>
      </c>
      <c r="G100">
        <f>IFERROR(IF(ISNUMBER(INDEX(SPPR!$E:$X,MATCH($A100,SPPR!$A:$A,0),4)),$C100*INDEX(SPPR!$E:$X,MATCH($A100,SPPR!$A:$A,0),4),""),"")</f>
        <v/>
      </c>
      <c r="H100">
        <f>IFERROR(IF(ISNUMBER(INDEX(SPPR!$E:$X,MATCH($A100,SPPR!$A:$A,0),5)),$C100*INDEX(SPPR!$E:$X,MATCH($A100,SPPR!$A:$A,0),5),""),"")</f>
        <v/>
      </c>
      <c r="I100">
        <f>IFERROR(IF(ISNUMBER(INDEX(SPPR!$E:$X,MATCH($A100,SPPR!$A:$A,0),6)),$C100*INDEX(SPPR!$E:$X,MATCH($A100,SPPR!$A:$A,0),6),""),"")</f>
        <v/>
      </c>
      <c r="J100">
        <f>IFERROR(IF(ISNUMBER(INDEX(SPPR!$E:$X,MATCH($A100,SPPR!$A:$A,0),7)),$C100*INDEX(SPPR!$E:$X,MATCH($A100,SPPR!$A:$A,0),7),""),"")</f>
        <v/>
      </c>
      <c r="K100">
        <f>IFERROR(IF(ISNUMBER(INDEX(SPPR!$E:$X,MATCH($A100,SPPR!$A:$A,0),8)),$C100*INDEX(SPPR!$E:$X,MATCH($A100,SPPR!$A:$A,0),8),""),"")</f>
        <v/>
      </c>
      <c r="L100">
        <f>IFERROR(IF(ISNUMBER(INDEX(SPPR!$E:$X,MATCH($A100,SPPR!$A:$A,0),9)),$C100*INDEX(SPPR!$E:$X,MATCH($A100,SPPR!$A:$A,0),9),""),"")</f>
        <v/>
      </c>
      <c r="M100">
        <f>IFERROR(IF(ISNUMBER(INDEX(SPPR!$E:$X,MATCH($A100,SPPR!$A:$A,0),10)),$C100*INDEX(SPPR!$E:$X,MATCH($A100,SPPR!$A:$A,0),10),""),"")</f>
        <v/>
      </c>
      <c r="N100">
        <f>IFERROR(IF(ISNUMBER(INDEX(SPPR!$E:$X,MATCH($A100,SPPR!$A:$A,0),11)),$C100*INDEX(SPPR!$E:$X,MATCH($A100,SPPR!$A:$A,0),11),""),"")</f>
        <v/>
      </c>
      <c r="O100">
        <f>IFERROR(IF(ISNUMBER(INDEX(SPPR!$E:$X,MATCH($A100,SPPR!$A:$A,0),12)),$C100*INDEX(SPPR!$E:$X,MATCH($A100,SPPR!$A:$A,0),12),""),"")</f>
        <v/>
      </c>
      <c r="P100">
        <f>IFERROR(IF(ISNUMBER(INDEX(SPPR!$E:$X,MATCH($A100,SPPR!$A:$A,0),13)),$C100*INDEX(SPPR!$E:$X,MATCH($A100,SPPR!$A:$A,0),13),""),"")</f>
        <v/>
      </c>
      <c r="Q100">
        <f>IFERROR(IF(ISNUMBER(INDEX(SPPR!$E:$X,MATCH($A100,SPPR!$A:$A,0),14)),$C100*INDEX(SPPR!$E:$X,MATCH($A100,SPPR!$A:$A,0),14),""),"")</f>
        <v/>
      </c>
      <c r="R100">
        <f>IFERROR(IF(ISNUMBER(INDEX(SPPR!$E:$X,MATCH($A100,SPPR!$A:$A,0),15)),$C100*INDEX(SPPR!$E:$X,MATCH($A100,SPPR!$A:$A,0),15),""),"")</f>
        <v/>
      </c>
      <c r="S100">
        <f>IFERROR(IF(ISNUMBER(INDEX(SPPR!$E:$X,MATCH($A100,SPPR!$A:$A,0),16)),$C100*INDEX(SPPR!$E:$X,MATCH($A100,SPPR!$A:$A,0),16),""),"")</f>
        <v/>
      </c>
      <c r="T100">
        <f>IFERROR(IF(ISNUMBER(INDEX(SPPR!$E:$X,MATCH($A100,SPPR!$A:$A,0),17)),$C100*INDEX(SPPR!$E:$X,MATCH($A100,SPPR!$A:$A,0),17),""),"")</f>
        <v/>
      </c>
      <c r="U100">
        <f>IFERROR(IF(ISNUMBER(INDEX(SPPR!$E:$X,MATCH($A100,SPPR!$A:$A,0),18)),$C100*INDEX(SPPR!$E:$X,MATCH($A100,SPPR!$A:$A,0),18),""),"")</f>
        <v/>
      </c>
      <c r="V100">
        <f>IFERROR(IF(ISNUMBER(INDEX(SPPR!$E:$X,MATCH($A100,SPPR!$A:$A,0),19)),$C100*INDEX(SPPR!$E:$X,MATCH($A100,SPPR!$A:$A,0),19),""),"")</f>
        <v/>
      </c>
      <c r="W100">
        <f>IFERROR(IF(ISNUMBER(INDEX(SPPR!$E:$X,MATCH($A100,SPPR!$A:$A,0),20)),$C100*INDEX(SPPR!$E:$X,MATCH($A100,SPPR!$A:$A,0),20),""),"")</f>
        <v/>
      </c>
    </row>
    <row r="101">
      <c r="A101" t="inlineStr">
        <is>
          <t>Scomberomorus guttatus</t>
        </is>
      </c>
      <c r="B101">
        <f>IFERROR(INDEX(SPPR!$D:$D,MATCH($A101,SPPR!$A:$A,0)),"")</f>
        <v/>
      </c>
      <c r="C101">
        <f>IFERROR(INDEX(Catch!$E:$BV,MATCH($A101,Catch!$A:$A,0),MATCH($B$4,Catch!$E$1:$BV$1,0)),0)</f>
        <v/>
      </c>
      <c r="D101">
        <f>IFERROR(IF(ISNUMBER(INDEX(SPPR!$E:$X,MATCH($A101,SPPR!$A:$A,0),1)),$C101*INDEX(SPPR!$E:$X,MATCH($A101,SPPR!$A:$A,0),1),""),"")</f>
        <v/>
      </c>
      <c r="E101">
        <f>IFERROR(IF(ISNUMBER(INDEX(SPPR!$E:$X,MATCH($A101,SPPR!$A:$A,0),2)),$C101*INDEX(SPPR!$E:$X,MATCH($A101,SPPR!$A:$A,0),2),""),"")</f>
        <v/>
      </c>
      <c r="F101">
        <f>IFERROR(IF(ISNUMBER(INDEX(SPPR!$E:$X,MATCH($A101,SPPR!$A:$A,0),3)),$C101*INDEX(SPPR!$E:$X,MATCH($A101,SPPR!$A:$A,0),3),""),"")</f>
        <v/>
      </c>
      <c r="G101">
        <f>IFERROR(IF(ISNUMBER(INDEX(SPPR!$E:$X,MATCH($A101,SPPR!$A:$A,0),4)),$C101*INDEX(SPPR!$E:$X,MATCH($A101,SPPR!$A:$A,0),4),""),"")</f>
        <v/>
      </c>
      <c r="H101">
        <f>IFERROR(IF(ISNUMBER(INDEX(SPPR!$E:$X,MATCH($A101,SPPR!$A:$A,0),5)),$C101*INDEX(SPPR!$E:$X,MATCH($A101,SPPR!$A:$A,0),5),""),"")</f>
        <v/>
      </c>
      <c r="I101">
        <f>IFERROR(IF(ISNUMBER(INDEX(SPPR!$E:$X,MATCH($A101,SPPR!$A:$A,0),6)),$C101*INDEX(SPPR!$E:$X,MATCH($A101,SPPR!$A:$A,0),6),""),"")</f>
        <v/>
      </c>
      <c r="J101">
        <f>IFERROR(IF(ISNUMBER(INDEX(SPPR!$E:$X,MATCH($A101,SPPR!$A:$A,0),7)),$C101*INDEX(SPPR!$E:$X,MATCH($A101,SPPR!$A:$A,0),7),""),"")</f>
        <v/>
      </c>
      <c r="K101">
        <f>IFERROR(IF(ISNUMBER(INDEX(SPPR!$E:$X,MATCH($A101,SPPR!$A:$A,0),8)),$C101*INDEX(SPPR!$E:$X,MATCH($A101,SPPR!$A:$A,0),8),""),"")</f>
        <v/>
      </c>
      <c r="L101">
        <f>IFERROR(IF(ISNUMBER(INDEX(SPPR!$E:$X,MATCH($A101,SPPR!$A:$A,0),9)),$C101*INDEX(SPPR!$E:$X,MATCH($A101,SPPR!$A:$A,0),9),""),"")</f>
        <v/>
      </c>
      <c r="M101">
        <f>IFERROR(IF(ISNUMBER(INDEX(SPPR!$E:$X,MATCH($A101,SPPR!$A:$A,0),10)),$C101*INDEX(SPPR!$E:$X,MATCH($A101,SPPR!$A:$A,0),10),""),"")</f>
        <v/>
      </c>
      <c r="N101">
        <f>IFERROR(IF(ISNUMBER(INDEX(SPPR!$E:$X,MATCH($A101,SPPR!$A:$A,0),11)),$C101*INDEX(SPPR!$E:$X,MATCH($A101,SPPR!$A:$A,0),11),""),"")</f>
        <v/>
      </c>
      <c r="O101">
        <f>IFERROR(IF(ISNUMBER(INDEX(SPPR!$E:$X,MATCH($A101,SPPR!$A:$A,0),12)),$C101*INDEX(SPPR!$E:$X,MATCH($A101,SPPR!$A:$A,0),12),""),"")</f>
        <v/>
      </c>
      <c r="P101">
        <f>IFERROR(IF(ISNUMBER(INDEX(SPPR!$E:$X,MATCH($A101,SPPR!$A:$A,0),13)),$C101*INDEX(SPPR!$E:$X,MATCH($A101,SPPR!$A:$A,0),13),""),"")</f>
        <v/>
      </c>
      <c r="Q101">
        <f>IFERROR(IF(ISNUMBER(INDEX(SPPR!$E:$X,MATCH($A101,SPPR!$A:$A,0),14)),$C101*INDEX(SPPR!$E:$X,MATCH($A101,SPPR!$A:$A,0),14),""),"")</f>
        <v/>
      </c>
      <c r="R101">
        <f>IFERROR(IF(ISNUMBER(INDEX(SPPR!$E:$X,MATCH($A101,SPPR!$A:$A,0),15)),$C101*INDEX(SPPR!$E:$X,MATCH($A101,SPPR!$A:$A,0),15),""),"")</f>
        <v/>
      </c>
      <c r="S101">
        <f>IFERROR(IF(ISNUMBER(INDEX(SPPR!$E:$X,MATCH($A101,SPPR!$A:$A,0),16)),$C101*INDEX(SPPR!$E:$X,MATCH($A101,SPPR!$A:$A,0),16),""),"")</f>
        <v/>
      </c>
      <c r="T101">
        <f>IFERROR(IF(ISNUMBER(INDEX(SPPR!$E:$X,MATCH($A101,SPPR!$A:$A,0),17)),$C101*INDEX(SPPR!$E:$X,MATCH($A101,SPPR!$A:$A,0),17),""),"")</f>
        <v/>
      </c>
      <c r="U101">
        <f>IFERROR(IF(ISNUMBER(INDEX(SPPR!$E:$X,MATCH($A101,SPPR!$A:$A,0),18)),$C101*INDEX(SPPR!$E:$X,MATCH($A101,SPPR!$A:$A,0),18),""),"")</f>
        <v/>
      </c>
      <c r="V101">
        <f>IFERROR(IF(ISNUMBER(INDEX(SPPR!$E:$X,MATCH($A101,SPPR!$A:$A,0),19)),$C101*INDEX(SPPR!$E:$X,MATCH($A101,SPPR!$A:$A,0),19),""),"")</f>
        <v/>
      </c>
      <c r="W101">
        <f>IFERROR(IF(ISNUMBER(INDEX(SPPR!$E:$X,MATCH($A101,SPPR!$A:$A,0),20)),$C101*INDEX(SPPR!$E:$X,MATCH($A101,SPPR!$A:$A,0),20),""),"")</f>
        <v/>
      </c>
    </row>
    <row r="102">
      <c r="A102" t="inlineStr">
        <is>
          <t>Atrobucca nibe</t>
        </is>
      </c>
      <c r="B102">
        <f>IFERROR(INDEX(SPPR!$D:$D,MATCH($A102,SPPR!$A:$A,0)),"")</f>
        <v/>
      </c>
      <c r="C102">
        <f>IFERROR(INDEX(Catch!$E:$BV,MATCH($A102,Catch!$A:$A,0),MATCH($B$4,Catch!$E$1:$BV$1,0)),0)</f>
        <v/>
      </c>
      <c r="D102">
        <f>IFERROR(IF(ISNUMBER(INDEX(SPPR!$E:$X,MATCH($A102,SPPR!$A:$A,0),1)),$C102*INDEX(SPPR!$E:$X,MATCH($A102,SPPR!$A:$A,0),1),""),"")</f>
        <v/>
      </c>
      <c r="E102">
        <f>IFERROR(IF(ISNUMBER(INDEX(SPPR!$E:$X,MATCH($A102,SPPR!$A:$A,0),2)),$C102*INDEX(SPPR!$E:$X,MATCH($A102,SPPR!$A:$A,0),2),""),"")</f>
        <v/>
      </c>
      <c r="F102">
        <f>IFERROR(IF(ISNUMBER(INDEX(SPPR!$E:$X,MATCH($A102,SPPR!$A:$A,0),3)),$C102*INDEX(SPPR!$E:$X,MATCH($A102,SPPR!$A:$A,0),3),""),"")</f>
        <v/>
      </c>
      <c r="G102">
        <f>IFERROR(IF(ISNUMBER(INDEX(SPPR!$E:$X,MATCH($A102,SPPR!$A:$A,0),4)),$C102*INDEX(SPPR!$E:$X,MATCH($A102,SPPR!$A:$A,0),4),""),"")</f>
        <v/>
      </c>
      <c r="H102">
        <f>IFERROR(IF(ISNUMBER(INDEX(SPPR!$E:$X,MATCH($A102,SPPR!$A:$A,0),5)),$C102*INDEX(SPPR!$E:$X,MATCH($A102,SPPR!$A:$A,0),5),""),"")</f>
        <v/>
      </c>
      <c r="I102">
        <f>IFERROR(IF(ISNUMBER(INDEX(SPPR!$E:$X,MATCH($A102,SPPR!$A:$A,0),6)),$C102*INDEX(SPPR!$E:$X,MATCH($A102,SPPR!$A:$A,0),6),""),"")</f>
        <v/>
      </c>
      <c r="J102">
        <f>IFERROR(IF(ISNUMBER(INDEX(SPPR!$E:$X,MATCH($A102,SPPR!$A:$A,0),7)),$C102*INDEX(SPPR!$E:$X,MATCH($A102,SPPR!$A:$A,0),7),""),"")</f>
        <v/>
      </c>
      <c r="K102">
        <f>IFERROR(IF(ISNUMBER(INDEX(SPPR!$E:$X,MATCH($A102,SPPR!$A:$A,0),8)),$C102*INDEX(SPPR!$E:$X,MATCH($A102,SPPR!$A:$A,0),8),""),"")</f>
        <v/>
      </c>
      <c r="L102">
        <f>IFERROR(IF(ISNUMBER(INDEX(SPPR!$E:$X,MATCH($A102,SPPR!$A:$A,0),9)),$C102*INDEX(SPPR!$E:$X,MATCH($A102,SPPR!$A:$A,0),9),""),"")</f>
        <v/>
      </c>
      <c r="M102">
        <f>IFERROR(IF(ISNUMBER(INDEX(SPPR!$E:$X,MATCH($A102,SPPR!$A:$A,0),10)),$C102*INDEX(SPPR!$E:$X,MATCH($A102,SPPR!$A:$A,0),10),""),"")</f>
        <v/>
      </c>
      <c r="N102">
        <f>IFERROR(IF(ISNUMBER(INDEX(SPPR!$E:$X,MATCH($A102,SPPR!$A:$A,0),11)),$C102*INDEX(SPPR!$E:$X,MATCH($A102,SPPR!$A:$A,0),11),""),"")</f>
        <v/>
      </c>
      <c r="O102">
        <f>IFERROR(IF(ISNUMBER(INDEX(SPPR!$E:$X,MATCH($A102,SPPR!$A:$A,0),12)),$C102*INDEX(SPPR!$E:$X,MATCH($A102,SPPR!$A:$A,0),12),""),"")</f>
        <v/>
      </c>
      <c r="P102">
        <f>IFERROR(IF(ISNUMBER(INDEX(SPPR!$E:$X,MATCH($A102,SPPR!$A:$A,0),13)),$C102*INDEX(SPPR!$E:$X,MATCH($A102,SPPR!$A:$A,0),13),""),"")</f>
        <v/>
      </c>
      <c r="Q102">
        <f>IFERROR(IF(ISNUMBER(INDEX(SPPR!$E:$X,MATCH($A102,SPPR!$A:$A,0),14)),$C102*INDEX(SPPR!$E:$X,MATCH($A102,SPPR!$A:$A,0),14),""),"")</f>
        <v/>
      </c>
      <c r="R102">
        <f>IFERROR(IF(ISNUMBER(INDEX(SPPR!$E:$X,MATCH($A102,SPPR!$A:$A,0),15)),$C102*INDEX(SPPR!$E:$X,MATCH($A102,SPPR!$A:$A,0),15),""),"")</f>
        <v/>
      </c>
      <c r="S102">
        <f>IFERROR(IF(ISNUMBER(INDEX(SPPR!$E:$X,MATCH($A102,SPPR!$A:$A,0),16)),$C102*INDEX(SPPR!$E:$X,MATCH($A102,SPPR!$A:$A,0),16),""),"")</f>
        <v/>
      </c>
      <c r="T102">
        <f>IFERROR(IF(ISNUMBER(INDEX(SPPR!$E:$X,MATCH($A102,SPPR!$A:$A,0),17)),$C102*INDEX(SPPR!$E:$X,MATCH($A102,SPPR!$A:$A,0),17),""),"")</f>
        <v/>
      </c>
      <c r="U102">
        <f>IFERROR(IF(ISNUMBER(INDEX(SPPR!$E:$X,MATCH($A102,SPPR!$A:$A,0),18)),$C102*INDEX(SPPR!$E:$X,MATCH($A102,SPPR!$A:$A,0),18),""),"")</f>
        <v/>
      </c>
      <c r="V102">
        <f>IFERROR(IF(ISNUMBER(INDEX(SPPR!$E:$X,MATCH($A102,SPPR!$A:$A,0),19)),$C102*INDEX(SPPR!$E:$X,MATCH($A102,SPPR!$A:$A,0),19),""),"")</f>
        <v/>
      </c>
      <c r="W102">
        <f>IFERROR(IF(ISNUMBER(INDEX(SPPR!$E:$X,MATCH($A102,SPPR!$A:$A,0),20)),$C102*INDEX(SPPR!$E:$X,MATCH($A102,SPPR!$A:$A,0),20),""),"")</f>
        <v/>
      </c>
    </row>
    <row r="103">
      <c r="A103" t="inlineStr">
        <is>
          <t>Trichiuridae</t>
        </is>
      </c>
      <c r="B103">
        <f>IFERROR(INDEX(SPPR!$D:$D,MATCH($A103,SPPR!$A:$A,0)),"")</f>
        <v/>
      </c>
      <c r="C103">
        <f>IFERROR(INDEX(Catch!$E:$BV,MATCH($A103,Catch!$A:$A,0),MATCH($B$4,Catch!$E$1:$BV$1,0)),0)</f>
        <v/>
      </c>
      <c r="D103">
        <f>IFERROR(IF(ISNUMBER(INDEX(SPPR!$E:$X,MATCH($A103,SPPR!$A:$A,0),1)),$C103*INDEX(SPPR!$E:$X,MATCH($A103,SPPR!$A:$A,0),1),""),"")</f>
        <v/>
      </c>
      <c r="E103">
        <f>IFERROR(IF(ISNUMBER(INDEX(SPPR!$E:$X,MATCH($A103,SPPR!$A:$A,0),2)),$C103*INDEX(SPPR!$E:$X,MATCH($A103,SPPR!$A:$A,0),2),""),"")</f>
        <v/>
      </c>
      <c r="F103">
        <f>IFERROR(IF(ISNUMBER(INDEX(SPPR!$E:$X,MATCH($A103,SPPR!$A:$A,0),3)),$C103*INDEX(SPPR!$E:$X,MATCH($A103,SPPR!$A:$A,0),3),""),"")</f>
        <v/>
      </c>
      <c r="G103">
        <f>IFERROR(IF(ISNUMBER(INDEX(SPPR!$E:$X,MATCH($A103,SPPR!$A:$A,0),4)),$C103*INDEX(SPPR!$E:$X,MATCH($A103,SPPR!$A:$A,0),4),""),"")</f>
        <v/>
      </c>
      <c r="H103">
        <f>IFERROR(IF(ISNUMBER(INDEX(SPPR!$E:$X,MATCH($A103,SPPR!$A:$A,0),5)),$C103*INDEX(SPPR!$E:$X,MATCH($A103,SPPR!$A:$A,0),5),""),"")</f>
        <v/>
      </c>
      <c r="I103">
        <f>IFERROR(IF(ISNUMBER(INDEX(SPPR!$E:$X,MATCH($A103,SPPR!$A:$A,0),6)),$C103*INDEX(SPPR!$E:$X,MATCH($A103,SPPR!$A:$A,0),6),""),"")</f>
        <v/>
      </c>
      <c r="J103">
        <f>IFERROR(IF(ISNUMBER(INDEX(SPPR!$E:$X,MATCH($A103,SPPR!$A:$A,0),7)),$C103*INDEX(SPPR!$E:$X,MATCH($A103,SPPR!$A:$A,0),7),""),"")</f>
        <v/>
      </c>
      <c r="K103">
        <f>IFERROR(IF(ISNUMBER(INDEX(SPPR!$E:$X,MATCH($A103,SPPR!$A:$A,0),8)),$C103*INDEX(SPPR!$E:$X,MATCH($A103,SPPR!$A:$A,0),8),""),"")</f>
        <v/>
      </c>
      <c r="L103">
        <f>IFERROR(IF(ISNUMBER(INDEX(SPPR!$E:$X,MATCH($A103,SPPR!$A:$A,0),9)),$C103*INDEX(SPPR!$E:$X,MATCH($A103,SPPR!$A:$A,0),9),""),"")</f>
        <v/>
      </c>
      <c r="M103">
        <f>IFERROR(IF(ISNUMBER(INDEX(SPPR!$E:$X,MATCH($A103,SPPR!$A:$A,0),10)),$C103*INDEX(SPPR!$E:$X,MATCH($A103,SPPR!$A:$A,0),10),""),"")</f>
        <v/>
      </c>
      <c r="N103">
        <f>IFERROR(IF(ISNUMBER(INDEX(SPPR!$E:$X,MATCH($A103,SPPR!$A:$A,0),11)),$C103*INDEX(SPPR!$E:$X,MATCH($A103,SPPR!$A:$A,0),11),""),"")</f>
        <v/>
      </c>
      <c r="O103">
        <f>IFERROR(IF(ISNUMBER(INDEX(SPPR!$E:$X,MATCH($A103,SPPR!$A:$A,0),12)),$C103*INDEX(SPPR!$E:$X,MATCH($A103,SPPR!$A:$A,0),12),""),"")</f>
        <v/>
      </c>
      <c r="P103">
        <f>IFERROR(IF(ISNUMBER(INDEX(SPPR!$E:$X,MATCH($A103,SPPR!$A:$A,0),13)),$C103*INDEX(SPPR!$E:$X,MATCH($A103,SPPR!$A:$A,0),13),""),"")</f>
        <v/>
      </c>
      <c r="Q103">
        <f>IFERROR(IF(ISNUMBER(INDEX(SPPR!$E:$X,MATCH($A103,SPPR!$A:$A,0),14)),$C103*INDEX(SPPR!$E:$X,MATCH($A103,SPPR!$A:$A,0),14),""),"")</f>
        <v/>
      </c>
      <c r="R103">
        <f>IFERROR(IF(ISNUMBER(INDEX(SPPR!$E:$X,MATCH($A103,SPPR!$A:$A,0),15)),$C103*INDEX(SPPR!$E:$X,MATCH($A103,SPPR!$A:$A,0),15),""),"")</f>
        <v/>
      </c>
      <c r="S103">
        <f>IFERROR(IF(ISNUMBER(INDEX(SPPR!$E:$X,MATCH($A103,SPPR!$A:$A,0),16)),$C103*INDEX(SPPR!$E:$X,MATCH($A103,SPPR!$A:$A,0),16),""),"")</f>
        <v/>
      </c>
      <c r="T103">
        <f>IFERROR(IF(ISNUMBER(INDEX(SPPR!$E:$X,MATCH($A103,SPPR!$A:$A,0),17)),$C103*INDEX(SPPR!$E:$X,MATCH($A103,SPPR!$A:$A,0),17),""),"")</f>
        <v/>
      </c>
      <c r="U103">
        <f>IFERROR(IF(ISNUMBER(INDEX(SPPR!$E:$X,MATCH($A103,SPPR!$A:$A,0),18)),$C103*INDEX(SPPR!$E:$X,MATCH($A103,SPPR!$A:$A,0),18),""),"")</f>
        <v/>
      </c>
      <c r="V103">
        <f>IFERROR(IF(ISNUMBER(INDEX(SPPR!$E:$X,MATCH($A103,SPPR!$A:$A,0),19)),$C103*INDEX(SPPR!$E:$X,MATCH($A103,SPPR!$A:$A,0),19),""),"")</f>
        <v/>
      </c>
      <c r="W103">
        <f>IFERROR(IF(ISNUMBER(INDEX(SPPR!$E:$X,MATCH($A103,SPPR!$A:$A,0),20)),$C103*INDEX(SPPR!$E:$X,MATCH($A103,SPPR!$A:$A,0),20),""),"")</f>
        <v/>
      </c>
    </row>
    <row r="104">
      <c r="A104" t="inlineStr">
        <is>
          <t>Thunnus tonggol</t>
        </is>
      </c>
      <c r="B104">
        <f>IFERROR(INDEX(SPPR!$D:$D,MATCH($A104,SPPR!$A:$A,0)),"")</f>
        <v/>
      </c>
      <c r="C104">
        <f>IFERROR(INDEX(Catch!$E:$BV,MATCH($A104,Catch!$A:$A,0),MATCH($B$4,Catch!$E$1:$BV$1,0)),0)</f>
        <v/>
      </c>
      <c r="D104">
        <f>IFERROR(IF(ISNUMBER(INDEX(SPPR!$E:$X,MATCH($A104,SPPR!$A:$A,0),1)),$C104*INDEX(SPPR!$E:$X,MATCH($A104,SPPR!$A:$A,0),1),""),"")</f>
        <v/>
      </c>
      <c r="E104">
        <f>IFERROR(IF(ISNUMBER(INDEX(SPPR!$E:$X,MATCH($A104,SPPR!$A:$A,0),2)),$C104*INDEX(SPPR!$E:$X,MATCH($A104,SPPR!$A:$A,0),2),""),"")</f>
        <v/>
      </c>
      <c r="F104">
        <f>IFERROR(IF(ISNUMBER(INDEX(SPPR!$E:$X,MATCH($A104,SPPR!$A:$A,0),3)),$C104*INDEX(SPPR!$E:$X,MATCH($A104,SPPR!$A:$A,0),3),""),"")</f>
        <v/>
      </c>
      <c r="G104">
        <f>IFERROR(IF(ISNUMBER(INDEX(SPPR!$E:$X,MATCH($A104,SPPR!$A:$A,0),4)),$C104*INDEX(SPPR!$E:$X,MATCH($A104,SPPR!$A:$A,0),4),""),"")</f>
        <v/>
      </c>
      <c r="H104">
        <f>IFERROR(IF(ISNUMBER(INDEX(SPPR!$E:$X,MATCH($A104,SPPR!$A:$A,0),5)),$C104*INDEX(SPPR!$E:$X,MATCH($A104,SPPR!$A:$A,0),5),""),"")</f>
        <v/>
      </c>
      <c r="I104">
        <f>IFERROR(IF(ISNUMBER(INDEX(SPPR!$E:$X,MATCH($A104,SPPR!$A:$A,0),6)),$C104*INDEX(SPPR!$E:$X,MATCH($A104,SPPR!$A:$A,0),6),""),"")</f>
        <v/>
      </c>
      <c r="J104">
        <f>IFERROR(IF(ISNUMBER(INDEX(SPPR!$E:$X,MATCH($A104,SPPR!$A:$A,0),7)),$C104*INDEX(SPPR!$E:$X,MATCH($A104,SPPR!$A:$A,0),7),""),"")</f>
        <v/>
      </c>
      <c r="K104">
        <f>IFERROR(IF(ISNUMBER(INDEX(SPPR!$E:$X,MATCH($A104,SPPR!$A:$A,0),8)),$C104*INDEX(SPPR!$E:$X,MATCH($A104,SPPR!$A:$A,0),8),""),"")</f>
        <v/>
      </c>
      <c r="L104">
        <f>IFERROR(IF(ISNUMBER(INDEX(SPPR!$E:$X,MATCH($A104,SPPR!$A:$A,0),9)),$C104*INDEX(SPPR!$E:$X,MATCH($A104,SPPR!$A:$A,0),9),""),"")</f>
        <v/>
      </c>
      <c r="M104">
        <f>IFERROR(IF(ISNUMBER(INDEX(SPPR!$E:$X,MATCH($A104,SPPR!$A:$A,0),10)),$C104*INDEX(SPPR!$E:$X,MATCH($A104,SPPR!$A:$A,0),10),""),"")</f>
        <v/>
      </c>
      <c r="N104">
        <f>IFERROR(IF(ISNUMBER(INDEX(SPPR!$E:$X,MATCH($A104,SPPR!$A:$A,0),11)),$C104*INDEX(SPPR!$E:$X,MATCH($A104,SPPR!$A:$A,0),11),""),"")</f>
        <v/>
      </c>
      <c r="O104">
        <f>IFERROR(IF(ISNUMBER(INDEX(SPPR!$E:$X,MATCH($A104,SPPR!$A:$A,0),12)),$C104*INDEX(SPPR!$E:$X,MATCH($A104,SPPR!$A:$A,0),12),""),"")</f>
        <v/>
      </c>
      <c r="P104">
        <f>IFERROR(IF(ISNUMBER(INDEX(SPPR!$E:$X,MATCH($A104,SPPR!$A:$A,0),13)),$C104*INDEX(SPPR!$E:$X,MATCH($A104,SPPR!$A:$A,0),13),""),"")</f>
        <v/>
      </c>
      <c r="Q104">
        <f>IFERROR(IF(ISNUMBER(INDEX(SPPR!$E:$X,MATCH($A104,SPPR!$A:$A,0),14)),$C104*INDEX(SPPR!$E:$X,MATCH($A104,SPPR!$A:$A,0),14),""),"")</f>
        <v/>
      </c>
      <c r="R104">
        <f>IFERROR(IF(ISNUMBER(INDEX(SPPR!$E:$X,MATCH($A104,SPPR!$A:$A,0),15)),$C104*INDEX(SPPR!$E:$X,MATCH($A104,SPPR!$A:$A,0),15),""),"")</f>
        <v/>
      </c>
      <c r="S104">
        <f>IFERROR(IF(ISNUMBER(INDEX(SPPR!$E:$X,MATCH($A104,SPPR!$A:$A,0),16)),$C104*INDEX(SPPR!$E:$X,MATCH($A104,SPPR!$A:$A,0),16),""),"")</f>
        <v/>
      </c>
      <c r="T104">
        <f>IFERROR(IF(ISNUMBER(INDEX(SPPR!$E:$X,MATCH($A104,SPPR!$A:$A,0),17)),$C104*INDEX(SPPR!$E:$X,MATCH($A104,SPPR!$A:$A,0),17),""),"")</f>
        <v/>
      </c>
      <c r="U104">
        <f>IFERROR(IF(ISNUMBER(INDEX(SPPR!$E:$X,MATCH($A104,SPPR!$A:$A,0),18)),$C104*INDEX(SPPR!$E:$X,MATCH($A104,SPPR!$A:$A,0),18),""),"")</f>
        <v/>
      </c>
      <c r="V104">
        <f>IFERROR(IF(ISNUMBER(INDEX(SPPR!$E:$X,MATCH($A104,SPPR!$A:$A,0),19)),$C104*INDEX(SPPR!$E:$X,MATCH($A104,SPPR!$A:$A,0),19),""),"")</f>
        <v/>
      </c>
      <c r="W104">
        <f>IFERROR(IF(ISNUMBER(INDEX(SPPR!$E:$X,MATCH($A104,SPPR!$A:$A,0),20)),$C104*INDEX(SPPR!$E:$X,MATCH($A104,SPPR!$A:$A,0),20),""),"")</f>
        <v/>
      </c>
    </row>
    <row r="105">
      <c r="A105" t="inlineStr">
        <is>
          <t>Penaeus indicus</t>
        </is>
      </c>
      <c r="B105">
        <f>IFERROR(INDEX(SPPR!$D:$D,MATCH($A105,SPPR!$A:$A,0)),"")</f>
        <v/>
      </c>
      <c r="C105">
        <f>IFERROR(INDEX(Catch!$E:$BV,MATCH($A105,Catch!$A:$A,0),MATCH($B$4,Catch!$E$1:$BV$1,0)),0)</f>
        <v/>
      </c>
      <c r="D105">
        <f>IFERROR(IF(ISNUMBER(INDEX(SPPR!$E:$X,MATCH($A105,SPPR!$A:$A,0),1)),$C105*INDEX(SPPR!$E:$X,MATCH($A105,SPPR!$A:$A,0),1),""),"")</f>
        <v/>
      </c>
      <c r="E105">
        <f>IFERROR(IF(ISNUMBER(INDEX(SPPR!$E:$X,MATCH($A105,SPPR!$A:$A,0),2)),$C105*INDEX(SPPR!$E:$X,MATCH($A105,SPPR!$A:$A,0),2),""),"")</f>
        <v/>
      </c>
      <c r="F105">
        <f>IFERROR(IF(ISNUMBER(INDEX(SPPR!$E:$X,MATCH($A105,SPPR!$A:$A,0),3)),$C105*INDEX(SPPR!$E:$X,MATCH($A105,SPPR!$A:$A,0),3),""),"")</f>
        <v/>
      </c>
      <c r="G105">
        <f>IFERROR(IF(ISNUMBER(INDEX(SPPR!$E:$X,MATCH($A105,SPPR!$A:$A,0),4)),$C105*INDEX(SPPR!$E:$X,MATCH($A105,SPPR!$A:$A,0),4),""),"")</f>
        <v/>
      </c>
      <c r="H105">
        <f>IFERROR(IF(ISNUMBER(INDEX(SPPR!$E:$X,MATCH($A105,SPPR!$A:$A,0),5)),$C105*INDEX(SPPR!$E:$X,MATCH($A105,SPPR!$A:$A,0),5),""),"")</f>
        <v/>
      </c>
      <c r="I105">
        <f>IFERROR(IF(ISNUMBER(INDEX(SPPR!$E:$X,MATCH($A105,SPPR!$A:$A,0),6)),$C105*INDEX(SPPR!$E:$X,MATCH($A105,SPPR!$A:$A,0),6),""),"")</f>
        <v/>
      </c>
      <c r="J105">
        <f>IFERROR(IF(ISNUMBER(INDEX(SPPR!$E:$X,MATCH($A105,SPPR!$A:$A,0),7)),$C105*INDEX(SPPR!$E:$X,MATCH($A105,SPPR!$A:$A,0),7),""),"")</f>
        <v/>
      </c>
      <c r="K105">
        <f>IFERROR(IF(ISNUMBER(INDEX(SPPR!$E:$X,MATCH($A105,SPPR!$A:$A,0),8)),$C105*INDEX(SPPR!$E:$X,MATCH($A105,SPPR!$A:$A,0),8),""),"")</f>
        <v/>
      </c>
      <c r="L105">
        <f>IFERROR(IF(ISNUMBER(INDEX(SPPR!$E:$X,MATCH($A105,SPPR!$A:$A,0),9)),$C105*INDEX(SPPR!$E:$X,MATCH($A105,SPPR!$A:$A,0),9),""),"")</f>
        <v/>
      </c>
      <c r="M105">
        <f>IFERROR(IF(ISNUMBER(INDEX(SPPR!$E:$X,MATCH($A105,SPPR!$A:$A,0),10)),$C105*INDEX(SPPR!$E:$X,MATCH($A105,SPPR!$A:$A,0),10),""),"")</f>
        <v/>
      </c>
      <c r="N105">
        <f>IFERROR(IF(ISNUMBER(INDEX(SPPR!$E:$X,MATCH($A105,SPPR!$A:$A,0),11)),$C105*INDEX(SPPR!$E:$X,MATCH($A105,SPPR!$A:$A,0),11),""),"")</f>
        <v/>
      </c>
      <c r="O105">
        <f>IFERROR(IF(ISNUMBER(INDEX(SPPR!$E:$X,MATCH($A105,SPPR!$A:$A,0),12)),$C105*INDEX(SPPR!$E:$X,MATCH($A105,SPPR!$A:$A,0),12),""),"")</f>
        <v/>
      </c>
      <c r="P105">
        <f>IFERROR(IF(ISNUMBER(INDEX(SPPR!$E:$X,MATCH($A105,SPPR!$A:$A,0),13)),$C105*INDEX(SPPR!$E:$X,MATCH($A105,SPPR!$A:$A,0),13),""),"")</f>
        <v/>
      </c>
      <c r="Q105">
        <f>IFERROR(IF(ISNUMBER(INDEX(SPPR!$E:$X,MATCH($A105,SPPR!$A:$A,0),14)),$C105*INDEX(SPPR!$E:$X,MATCH($A105,SPPR!$A:$A,0),14),""),"")</f>
        <v/>
      </c>
      <c r="R105">
        <f>IFERROR(IF(ISNUMBER(INDEX(SPPR!$E:$X,MATCH($A105,SPPR!$A:$A,0),15)),$C105*INDEX(SPPR!$E:$X,MATCH($A105,SPPR!$A:$A,0),15),""),"")</f>
        <v/>
      </c>
      <c r="S105">
        <f>IFERROR(IF(ISNUMBER(INDEX(SPPR!$E:$X,MATCH($A105,SPPR!$A:$A,0),16)),$C105*INDEX(SPPR!$E:$X,MATCH($A105,SPPR!$A:$A,0),16),""),"")</f>
        <v/>
      </c>
      <c r="T105">
        <f>IFERROR(IF(ISNUMBER(INDEX(SPPR!$E:$X,MATCH($A105,SPPR!$A:$A,0),17)),$C105*INDEX(SPPR!$E:$X,MATCH($A105,SPPR!$A:$A,0),17),""),"")</f>
        <v/>
      </c>
      <c r="U105">
        <f>IFERROR(IF(ISNUMBER(INDEX(SPPR!$E:$X,MATCH($A105,SPPR!$A:$A,0),18)),$C105*INDEX(SPPR!$E:$X,MATCH($A105,SPPR!$A:$A,0),18),""),"")</f>
        <v/>
      </c>
      <c r="V105">
        <f>IFERROR(IF(ISNUMBER(INDEX(SPPR!$E:$X,MATCH($A105,SPPR!$A:$A,0),19)),$C105*INDEX(SPPR!$E:$X,MATCH($A105,SPPR!$A:$A,0),19),""),"")</f>
        <v/>
      </c>
      <c r="W105">
        <f>IFERROR(IF(ISNUMBER(INDEX(SPPR!$E:$X,MATCH($A105,SPPR!$A:$A,0),20)),$C105*INDEX(SPPR!$E:$X,MATCH($A105,SPPR!$A:$A,0),20),""),"")</f>
        <v/>
      </c>
    </row>
    <row r="106">
      <c r="A106" t="inlineStr">
        <is>
          <t>Rhopilema esculentum</t>
        </is>
      </c>
      <c r="B106">
        <f>IFERROR(INDEX(SPPR!$D:$D,MATCH($A106,SPPR!$A:$A,0)),"")</f>
        <v/>
      </c>
      <c r="C106">
        <f>IFERROR(INDEX(Catch!$E:$BV,MATCH($A106,Catch!$A:$A,0),MATCH($B$4,Catch!$E$1:$BV$1,0)),0)</f>
        <v/>
      </c>
      <c r="D106">
        <f>IFERROR(IF(ISNUMBER(INDEX(SPPR!$E:$X,MATCH($A106,SPPR!$A:$A,0),1)),$C106*INDEX(SPPR!$E:$X,MATCH($A106,SPPR!$A:$A,0),1),""),"")</f>
        <v/>
      </c>
      <c r="E106">
        <f>IFERROR(IF(ISNUMBER(INDEX(SPPR!$E:$X,MATCH($A106,SPPR!$A:$A,0),2)),$C106*INDEX(SPPR!$E:$X,MATCH($A106,SPPR!$A:$A,0),2),""),"")</f>
        <v/>
      </c>
      <c r="F106">
        <f>IFERROR(IF(ISNUMBER(INDEX(SPPR!$E:$X,MATCH($A106,SPPR!$A:$A,0),3)),$C106*INDEX(SPPR!$E:$X,MATCH($A106,SPPR!$A:$A,0),3),""),"")</f>
        <v/>
      </c>
      <c r="G106">
        <f>IFERROR(IF(ISNUMBER(INDEX(SPPR!$E:$X,MATCH($A106,SPPR!$A:$A,0),4)),$C106*INDEX(SPPR!$E:$X,MATCH($A106,SPPR!$A:$A,0),4),""),"")</f>
        <v/>
      </c>
      <c r="H106">
        <f>IFERROR(IF(ISNUMBER(INDEX(SPPR!$E:$X,MATCH($A106,SPPR!$A:$A,0),5)),$C106*INDEX(SPPR!$E:$X,MATCH($A106,SPPR!$A:$A,0),5),""),"")</f>
        <v/>
      </c>
      <c r="I106">
        <f>IFERROR(IF(ISNUMBER(INDEX(SPPR!$E:$X,MATCH($A106,SPPR!$A:$A,0),6)),$C106*INDEX(SPPR!$E:$X,MATCH($A106,SPPR!$A:$A,0),6),""),"")</f>
        <v/>
      </c>
      <c r="J106">
        <f>IFERROR(IF(ISNUMBER(INDEX(SPPR!$E:$X,MATCH($A106,SPPR!$A:$A,0),7)),$C106*INDEX(SPPR!$E:$X,MATCH($A106,SPPR!$A:$A,0),7),""),"")</f>
        <v/>
      </c>
      <c r="K106">
        <f>IFERROR(IF(ISNUMBER(INDEX(SPPR!$E:$X,MATCH($A106,SPPR!$A:$A,0),8)),$C106*INDEX(SPPR!$E:$X,MATCH($A106,SPPR!$A:$A,0),8),""),"")</f>
        <v/>
      </c>
      <c r="L106">
        <f>IFERROR(IF(ISNUMBER(INDEX(SPPR!$E:$X,MATCH($A106,SPPR!$A:$A,0),9)),$C106*INDEX(SPPR!$E:$X,MATCH($A106,SPPR!$A:$A,0),9),""),"")</f>
        <v/>
      </c>
      <c r="M106">
        <f>IFERROR(IF(ISNUMBER(INDEX(SPPR!$E:$X,MATCH($A106,SPPR!$A:$A,0),10)),$C106*INDEX(SPPR!$E:$X,MATCH($A106,SPPR!$A:$A,0),10),""),"")</f>
        <v/>
      </c>
      <c r="N106">
        <f>IFERROR(IF(ISNUMBER(INDEX(SPPR!$E:$X,MATCH($A106,SPPR!$A:$A,0),11)),$C106*INDEX(SPPR!$E:$X,MATCH($A106,SPPR!$A:$A,0),11),""),"")</f>
        <v/>
      </c>
      <c r="O106">
        <f>IFERROR(IF(ISNUMBER(INDEX(SPPR!$E:$X,MATCH($A106,SPPR!$A:$A,0),12)),$C106*INDEX(SPPR!$E:$X,MATCH($A106,SPPR!$A:$A,0),12),""),"")</f>
        <v/>
      </c>
      <c r="P106">
        <f>IFERROR(IF(ISNUMBER(INDEX(SPPR!$E:$X,MATCH($A106,SPPR!$A:$A,0),13)),$C106*INDEX(SPPR!$E:$X,MATCH($A106,SPPR!$A:$A,0),13),""),"")</f>
        <v/>
      </c>
      <c r="Q106">
        <f>IFERROR(IF(ISNUMBER(INDEX(SPPR!$E:$X,MATCH($A106,SPPR!$A:$A,0),14)),$C106*INDEX(SPPR!$E:$X,MATCH($A106,SPPR!$A:$A,0),14),""),"")</f>
        <v/>
      </c>
      <c r="R106">
        <f>IFERROR(IF(ISNUMBER(INDEX(SPPR!$E:$X,MATCH($A106,SPPR!$A:$A,0),15)),$C106*INDEX(SPPR!$E:$X,MATCH($A106,SPPR!$A:$A,0),15),""),"")</f>
        <v/>
      </c>
      <c r="S106">
        <f>IFERROR(IF(ISNUMBER(INDEX(SPPR!$E:$X,MATCH($A106,SPPR!$A:$A,0),16)),$C106*INDEX(SPPR!$E:$X,MATCH($A106,SPPR!$A:$A,0),16),""),"")</f>
        <v/>
      </c>
      <c r="T106">
        <f>IFERROR(IF(ISNUMBER(INDEX(SPPR!$E:$X,MATCH($A106,SPPR!$A:$A,0),17)),$C106*INDEX(SPPR!$E:$X,MATCH($A106,SPPR!$A:$A,0),17),""),"")</f>
        <v/>
      </c>
      <c r="U106">
        <f>IFERROR(IF(ISNUMBER(INDEX(SPPR!$E:$X,MATCH($A106,SPPR!$A:$A,0),18)),$C106*INDEX(SPPR!$E:$X,MATCH($A106,SPPR!$A:$A,0),18),""),"")</f>
        <v/>
      </c>
      <c r="V106">
        <f>IFERROR(IF(ISNUMBER(INDEX(SPPR!$E:$X,MATCH($A106,SPPR!$A:$A,0),19)),$C106*INDEX(SPPR!$E:$X,MATCH($A106,SPPR!$A:$A,0),19),""),"")</f>
        <v/>
      </c>
      <c r="W106">
        <f>IFERROR(IF(ISNUMBER(INDEX(SPPR!$E:$X,MATCH($A106,SPPR!$A:$A,0),20)),$C106*INDEX(SPPR!$E:$X,MATCH($A106,SPPR!$A:$A,0),20),""),"")</f>
        <v/>
      </c>
    </row>
    <row r="107">
      <c r="A107" t="inlineStr">
        <is>
          <t>Clupeiformes</t>
        </is>
      </c>
      <c r="B107">
        <f>IFERROR(INDEX(SPPR!$D:$D,MATCH($A107,SPPR!$A:$A,0)),"")</f>
        <v/>
      </c>
      <c r="C107">
        <f>IFERROR(INDEX(Catch!$E:$BV,MATCH($A107,Catch!$A:$A,0),MATCH($B$4,Catch!$E$1:$BV$1,0)),0)</f>
        <v/>
      </c>
      <c r="D107">
        <f>IFERROR(IF(ISNUMBER(INDEX(SPPR!$E:$X,MATCH($A107,SPPR!$A:$A,0),1)),$C107*INDEX(SPPR!$E:$X,MATCH($A107,SPPR!$A:$A,0),1),""),"")</f>
        <v/>
      </c>
      <c r="E107">
        <f>IFERROR(IF(ISNUMBER(INDEX(SPPR!$E:$X,MATCH($A107,SPPR!$A:$A,0),2)),$C107*INDEX(SPPR!$E:$X,MATCH($A107,SPPR!$A:$A,0),2),""),"")</f>
        <v/>
      </c>
      <c r="F107">
        <f>IFERROR(IF(ISNUMBER(INDEX(SPPR!$E:$X,MATCH($A107,SPPR!$A:$A,0),3)),$C107*INDEX(SPPR!$E:$X,MATCH($A107,SPPR!$A:$A,0),3),""),"")</f>
        <v/>
      </c>
      <c r="G107">
        <f>IFERROR(IF(ISNUMBER(INDEX(SPPR!$E:$X,MATCH($A107,SPPR!$A:$A,0),4)),$C107*INDEX(SPPR!$E:$X,MATCH($A107,SPPR!$A:$A,0),4),""),"")</f>
        <v/>
      </c>
      <c r="H107">
        <f>IFERROR(IF(ISNUMBER(INDEX(SPPR!$E:$X,MATCH($A107,SPPR!$A:$A,0),5)),$C107*INDEX(SPPR!$E:$X,MATCH($A107,SPPR!$A:$A,0),5),""),"")</f>
        <v/>
      </c>
      <c r="I107">
        <f>IFERROR(IF(ISNUMBER(INDEX(SPPR!$E:$X,MATCH($A107,SPPR!$A:$A,0),6)),$C107*INDEX(SPPR!$E:$X,MATCH($A107,SPPR!$A:$A,0),6),""),"")</f>
        <v/>
      </c>
      <c r="J107">
        <f>IFERROR(IF(ISNUMBER(INDEX(SPPR!$E:$X,MATCH($A107,SPPR!$A:$A,0),7)),$C107*INDEX(SPPR!$E:$X,MATCH($A107,SPPR!$A:$A,0),7),""),"")</f>
        <v/>
      </c>
      <c r="K107">
        <f>IFERROR(IF(ISNUMBER(INDEX(SPPR!$E:$X,MATCH($A107,SPPR!$A:$A,0),8)),$C107*INDEX(SPPR!$E:$X,MATCH($A107,SPPR!$A:$A,0),8),""),"")</f>
        <v/>
      </c>
      <c r="L107">
        <f>IFERROR(IF(ISNUMBER(INDEX(SPPR!$E:$X,MATCH($A107,SPPR!$A:$A,0),9)),$C107*INDEX(SPPR!$E:$X,MATCH($A107,SPPR!$A:$A,0),9),""),"")</f>
        <v/>
      </c>
      <c r="M107">
        <f>IFERROR(IF(ISNUMBER(INDEX(SPPR!$E:$X,MATCH($A107,SPPR!$A:$A,0),10)),$C107*INDEX(SPPR!$E:$X,MATCH($A107,SPPR!$A:$A,0),10),""),"")</f>
        <v/>
      </c>
      <c r="N107">
        <f>IFERROR(IF(ISNUMBER(INDEX(SPPR!$E:$X,MATCH($A107,SPPR!$A:$A,0),11)),$C107*INDEX(SPPR!$E:$X,MATCH($A107,SPPR!$A:$A,0),11),""),"")</f>
        <v/>
      </c>
      <c r="O107">
        <f>IFERROR(IF(ISNUMBER(INDEX(SPPR!$E:$X,MATCH($A107,SPPR!$A:$A,0),12)),$C107*INDEX(SPPR!$E:$X,MATCH($A107,SPPR!$A:$A,0),12),""),"")</f>
        <v/>
      </c>
      <c r="P107">
        <f>IFERROR(IF(ISNUMBER(INDEX(SPPR!$E:$X,MATCH($A107,SPPR!$A:$A,0),13)),$C107*INDEX(SPPR!$E:$X,MATCH($A107,SPPR!$A:$A,0),13),""),"")</f>
        <v/>
      </c>
      <c r="Q107">
        <f>IFERROR(IF(ISNUMBER(INDEX(SPPR!$E:$X,MATCH($A107,SPPR!$A:$A,0),14)),$C107*INDEX(SPPR!$E:$X,MATCH($A107,SPPR!$A:$A,0),14),""),"")</f>
        <v/>
      </c>
      <c r="R107">
        <f>IFERROR(IF(ISNUMBER(INDEX(SPPR!$E:$X,MATCH($A107,SPPR!$A:$A,0),15)),$C107*INDEX(SPPR!$E:$X,MATCH($A107,SPPR!$A:$A,0),15),""),"")</f>
        <v/>
      </c>
      <c r="S107">
        <f>IFERROR(IF(ISNUMBER(INDEX(SPPR!$E:$X,MATCH($A107,SPPR!$A:$A,0),16)),$C107*INDEX(SPPR!$E:$X,MATCH($A107,SPPR!$A:$A,0),16),""),"")</f>
        <v/>
      </c>
      <c r="T107">
        <f>IFERROR(IF(ISNUMBER(INDEX(SPPR!$E:$X,MATCH($A107,SPPR!$A:$A,0),17)),$C107*INDEX(SPPR!$E:$X,MATCH($A107,SPPR!$A:$A,0),17),""),"")</f>
        <v/>
      </c>
      <c r="U107">
        <f>IFERROR(IF(ISNUMBER(INDEX(SPPR!$E:$X,MATCH($A107,SPPR!$A:$A,0),18)),$C107*INDEX(SPPR!$E:$X,MATCH($A107,SPPR!$A:$A,0),18),""),"")</f>
        <v/>
      </c>
      <c r="V107">
        <f>IFERROR(IF(ISNUMBER(INDEX(SPPR!$E:$X,MATCH($A107,SPPR!$A:$A,0),19)),$C107*INDEX(SPPR!$E:$X,MATCH($A107,SPPR!$A:$A,0),19),""),"")</f>
        <v/>
      </c>
      <c r="W107">
        <f>IFERROR(IF(ISNUMBER(INDEX(SPPR!$E:$X,MATCH($A107,SPPR!$A:$A,0),20)),$C107*INDEX(SPPR!$E:$X,MATCH($A107,SPPR!$A:$A,0),20),""),"")</f>
        <v/>
      </c>
    </row>
    <row r="108">
      <c r="A108" t="inlineStr">
        <is>
          <t>Miichthys miiuy</t>
        </is>
      </c>
      <c r="B108">
        <f>IFERROR(INDEX(SPPR!$D:$D,MATCH($A108,SPPR!$A:$A,0)),"")</f>
        <v/>
      </c>
      <c r="C108">
        <f>IFERROR(INDEX(Catch!$E:$BV,MATCH($A108,Catch!$A:$A,0),MATCH($B$4,Catch!$E$1:$BV$1,0)),0)</f>
        <v/>
      </c>
      <c r="D108">
        <f>IFERROR(IF(ISNUMBER(INDEX(SPPR!$E:$X,MATCH($A108,SPPR!$A:$A,0),1)),$C108*INDEX(SPPR!$E:$X,MATCH($A108,SPPR!$A:$A,0),1),""),"")</f>
        <v/>
      </c>
      <c r="E108">
        <f>IFERROR(IF(ISNUMBER(INDEX(SPPR!$E:$X,MATCH($A108,SPPR!$A:$A,0),2)),$C108*INDEX(SPPR!$E:$X,MATCH($A108,SPPR!$A:$A,0),2),""),"")</f>
        <v/>
      </c>
      <c r="F108">
        <f>IFERROR(IF(ISNUMBER(INDEX(SPPR!$E:$X,MATCH($A108,SPPR!$A:$A,0),3)),$C108*INDEX(SPPR!$E:$X,MATCH($A108,SPPR!$A:$A,0),3),""),"")</f>
        <v/>
      </c>
      <c r="G108">
        <f>IFERROR(IF(ISNUMBER(INDEX(SPPR!$E:$X,MATCH($A108,SPPR!$A:$A,0),4)),$C108*INDEX(SPPR!$E:$X,MATCH($A108,SPPR!$A:$A,0),4),""),"")</f>
        <v/>
      </c>
      <c r="H108">
        <f>IFERROR(IF(ISNUMBER(INDEX(SPPR!$E:$X,MATCH($A108,SPPR!$A:$A,0),5)),$C108*INDEX(SPPR!$E:$X,MATCH($A108,SPPR!$A:$A,0),5),""),"")</f>
        <v/>
      </c>
      <c r="I108">
        <f>IFERROR(IF(ISNUMBER(INDEX(SPPR!$E:$X,MATCH($A108,SPPR!$A:$A,0),6)),$C108*INDEX(SPPR!$E:$X,MATCH($A108,SPPR!$A:$A,0),6),""),"")</f>
        <v/>
      </c>
      <c r="J108">
        <f>IFERROR(IF(ISNUMBER(INDEX(SPPR!$E:$X,MATCH($A108,SPPR!$A:$A,0),7)),$C108*INDEX(SPPR!$E:$X,MATCH($A108,SPPR!$A:$A,0),7),""),"")</f>
        <v/>
      </c>
      <c r="K108">
        <f>IFERROR(IF(ISNUMBER(INDEX(SPPR!$E:$X,MATCH($A108,SPPR!$A:$A,0),8)),$C108*INDEX(SPPR!$E:$X,MATCH($A108,SPPR!$A:$A,0),8),""),"")</f>
        <v/>
      </c>
      <c r="L108">
        <f>IFERROR(IF(ISNUMBER(INDEX(SPPR!$E:$X,MATCH($A108,SPPR!$A:$A,0),9)),$C108*INDEX(SPPR!$E:$X,MATCH($A108,SPPR!$A:$A,0),9),""),"")</f>
        <v/>
      </c>
      <c r="M108">
        <f>IFERROR(IF(ISNUMBER(INDEX(SPPR!$E:$X,MATCH($A108,SPPR!$A:$A,0),10)),$C108*INDEX(SPPR!$E:$X,MATCH($A108,SPPR!$A:$A,0),10),""),"")</f>
        <v/>
      </c>
      <c r="N108">
        <f>IFERROR(IF(ISNUMBER(INDEX(SPPR!$E:$X,MATCH($A108,SPPR!$A:$A,0),11)),$C108*INDEX(SPPR!$E:$X,MATCH($A108,SPPR!$A:$A,0),11),""),"")</f>
        <v/>
      </c>
      <c r="O108">
        <f>IFERROR(IF(ISNUMBER(INDEX(SPPR!$E:$X,MATCH($A108,SPPR!$A:$A,0),12)),$C108*INDEX(SPPR!$E:$X,MATCH($A108,SPPR!$A:$A,0),12),""),"")</f>
        <v/>
      </c>
      <c r="P108">
        <f>IFERROR(IF(ISNUMBER(INDEX(SPPR!$E:$X,MATCH($A108,SPPR!$A:$A,0),13)),$C108*INDEX(SPPR!$E:$X,MATCH($A108,SPPR!$A:$A,0),13),""),"")</f>
        <v/>
      </c>
      <c r="Q108">
        <f>IFERROR(IF(ISNUMBER(INDEX(SPPR!$E:$X,MATCH($A108,SPPR!$A:$A,0),14)),$C108*INDEX(SPPR!$E:$X,MATCH($A108,SPPR!$A:$A,0),14),""),"")</f>
        <v/>
      </c>
      <c r="R108">
        <f>IFERROR(IF(ISNUMBER(INDEX(SPPR!$E:$X,MATCH($A108,SPPR!$A:$A,0),15)),$C108*INDEX(SPPR!$E:$X,MATCH($A108,SPPR!$A:$A,0),15),""),"")</f>
        <v/>
      </c>
      <c r="S108">
        <f>IFERROR(IF(ISNUMBER(INDEX(SPPR!$E:$X,MATCH($A108,SPPR!$A:$A,0),16)),$C108*INDEX(SPPR!$E:$X,MATCH($A108,SPPR!$A:$A,0),16),""),"")</f>
        <v/>
      </c>
      <c r="T108">
        <f>IFERROR(IF(ISNUMBER(INDEX(SPPR!$E:$X,MATCH($A108,SPPR!$A:$A,0),17)),$C108*INDEX(SPPR!$E:$X,MATCH($A108,SPPR!$A:$A,0),17),""),"")</f>
        <v/>
      </c>
      <c r="U108">
        <f>IFERROR(IF(ISNUMBER(INDEX(SPPR!$E:$X,MATCH($A108,SPPR!$A:$A,0),18)),$C108*INDEX(SPPR!$E:$X,MATCH($A108,SPPR!$A:$A,0),18),""),"")</f>
        <v/>
      </c>
      <c r="V108">
        <f>IFERROR(IF(ISNUMBER(INDEX(SPPR!$E:$X,MATCH($A108,SPPR!$A:$A,0),19)),$C108*INDEX(SPPR!$E:$X,MATCH($A108,SPPR!$A:$A,0),19),""),"")</f>
        <v/>
      </c>
      <c r="W108">
        <f>IFERROR(IF(ISNUMBER(INDEX(SPPR!$E:$X,MATCH($A108,SPPR!$A:$A,0),20)),$C108*INDEX(SPPR!$E:$X,MATCH($A108,SPPR!$A:$A,0),20),""),"")</f>
        <v/>
      </c>
    </row>
    <row r="109">
      <c r="A109" t="inlineStr">
        <is>
          <t>Platycephalidae</t>
        </is>
      </c>
      <c r="B109">
        <f>IFERROR(INDEX(SPPR!$D:$D,MATCH($A109,SPPR!$A:$A,0)),"")</f>
        <v/>
      </c>
      <c r="C109">
        <f>IFERROR(INDEX(Catch!$E:$BV,MATCH($A109,Catch!$A:$A,0),MATCH($B$4,Catch!$E$1:$BV$1,0)),0)</f>
        <v/>
      </c>
      <c r="D109">
        <f>IFERROR(IF(ISNUMBER(INDEX(SPPR!$E:$X,MATCH($A109,SPPR!$A:$A,0),1)),$C109*INDEX(SPPR!$E:$X,MATCH($A109,SPPR!$A:$A,0),1),""),"")</f>
        <v/>
      </c>
      <c r="E109">
        <f>IFERROR(IF(ISNUMBER(INDEX(SPPR!$E:$X,MATCH($A109,SPPR!$A:$A,0),2)),$C109*INDEX(SPPR!$E:$X,MATCH($A109,SPPR!$A:$A,0),2),""),"")</f>
        <v/>
      </c>
      <c r="F109">
        <f>IFERROR(IF(ISNUMBER(INDEX(SPPR!$E:$X,MATCH($A109,SPPR!$A:$A,0),3)),$C109*INDEX(SPPR!$E:$X,MATCH($A109,SPPR!$A:$A,0),3),""),"")</f>
        <v/>
      </c>
      <c r="G109">
        <f>IFERROR(IF(ISNUMBER(INDEX(SPPR!$E:$X,MATCH($A109,SPPR!$A:$A,0),4)),$C109*INDEX(SPPR!$E:$X,MATCH($A109,SPPR!$A:$A,0),4),""),"")</f>
        <v/>
      </c>
      <c r="H109">
        <f>IFERROR(IF(ISNUMBER(INDEX(SPPR!$E:$X,MATCH($A109,SPPR!$A:$A,0),5)),$C109*INDEX(SPPR!$E:$X,MATCH($A109,SPPR!$A:$A,0),5),""),"")</f>
        <v/>
      </c>
      <c r="I109">
        <f>IFERROR(IF(ISNUMBER(INDEX(SPPR!$E:$X,MATCH($A109,SPPR!$A:$A,0),6)),$C109*INDEX(SPPR!$E:$X,MATCH($A109,SPPR!$A:$A,0),6),""),"")</f>
        <v/>
      </c>
      <c r="J109">
        <f>IFERROR(IF(ISNUMBER(INDEX(SPPR!$E:$X,MATCH($A109,SPPR!$A:$A,0),7)),$C109*INDEX(SPPR!$E:$X,MATCH($A109,SPPR!$A:$A,0),7),""),"")</f>
        <v/>
      </c>
      <c r="K109">
        <f>IFERROR(IF(ISNUMBER(INDEX(SPPR!$E:$X,MATCH($A109,SPPR!$A:$A,0),8)),$C109*INDEX(SPPR!$E:$X,MATCH($A109,SPPR!$A:$A,0),8),""),"")</f>
        <v/>
      </c>
      <c r="L109">
        <f>IFERROR(IF(ISNUMBER(INDEX(SPPR!$E:$X,MATCH($A109,SPPR!$A:$A,0),9)),$C109*INDEX(SPPR!$E:$X,MATCH($A109,SPPR!$A:$A,0),9),""),"")</f>
        <v/>
      </c>
      <c r="M109">
        <f>IFERROR(IF(ISNUMBER(INDEX(SPPR!$E:$X,MATCH($A109,SPPR!$A:$A,0),10)),$C109*INDEX(SPPR!$E:$X,MATCH($A109,SPPR!$A:$A,0),10),""),"")</f>
        <v/>
      </c>
      <c r="N109">
        <f>IFERROR(IF(ISNUMBER(INDEX(SPPR!$E:$X,MATCH($A109,SPPR!$A:$A,0),11)),$C109*INDEX(SPPR!$E:$X,MATCH($A109,SPPR!$A:$A,0),11),""),"")</f>
        <v/>
      </c>
      <c r="O109">
        <f>IFERROR(IF(ISNUMBER(INDEX(SPPR!$E:$X,MATCH($A109,SPPR!$A:$A,0),12)),$C109*INDEX(SPPR!$E:$X,MATCH($A109,SPPR!$A:$A,0),12),""),"")</f>
        <v/>
      </c>
      <c r="P109">
        <f>IFERROR(IF(ISNUMBER(INDEX(SPPR!$E:$X,MATCH($A109,SPPR!$A:$A,0),13)),$C109*INDEX(SPPR!$E:$X,MATCH($A109,SPPR!$A:$A,0),13),""),"")</f>
        <v/>
      </c>
      <c r="Q109">
        <f>IFERROR(IF(ISNUMBER(INDEX(SPPR!$E:$X,MATCH($A109,SPPR!$A:$A,0),14)),$C109*INDEX(SPPR!$E:$X,MATCH($A109,SPPR!$A:$A,0),14),""),"")</f>
        <v/>
      </c>
      <c r="R109">
        <f>IFERROR(IF(ISNUMBER(INDEX(SPPR!$E:$X,MATCH($A109,SPPR!$A:$A,0),15)),$C109*INDEX(SPPR!$E:$X,MATCH($A109,SPPR!$A:$A,0),15),""),"")</f>
        <v/>
      </c>
      <c r="S109">
        <f>IFERROR(IF(ISNUMBER(INDEX(SPPR!$E:$X,MATCH($A109,SPPR!$A:$A,0),16)),$C109*INDEX(SPPR!$E:$X,MATCH($A109,SPPR!$A:$A,0),16),""),"")</f>
        <v/>
      </c>
      <c r="T109">
        <f>IFERROR(IF(ISNUMBER(INDEX(SPPR!$E:$X,MATCH($A109,SPPR!$A:$A,0),17)),$C109*INDEX(SPPR!$E:$X,MATCH($A109,SPPR!$A:$A,0),17),""),"")</f>
        <v/>
      </c>
      <c r="U109">
        <f>IFERROR(IF(ISNUMBER(INDEX(SPPR!$E:$X,MATCH($A109,SPPR!$A:$A,0),18)),$C109*INDEX(SPPR!$E:$X,MATCH($A109,SPPR!$A:$A,0),18),""),"")</f>
        <v/>
      </c>
      <c r="V109">
        <f>IFERROR(IF(ISNUMBER(INDEX(SPPR!$E:$X,MATCH($A109,SPPR!$A:$A,0),19)),$C109*INDEX(SPPR!$E:$X,MATCH($A109,SPPR!$A:$A,0),19),""),"")</f>
        <v/>
      </c>
      <c r="W109">
        <f>IFERROR(IF(ISNUMBER(INDEX(SPPR!$E:$X,MATCH($A109,SPPR!$A:$A,0),20)),$C109*INDEX(SPPR!$E:$X,MATCH($A109,SPPR!$A:$A,0),20),""),"")</f>
        <v/>
      </c>
    </row>
    <row r="110">
      <c r="A110" t="inlineStr">
        <is>
          <t>Lutjanidae</t>
        </is>
      </c>
      <c r="B110">
        <f>IFERROR(INDEX(SPPR!$D:$D,MATCH($A110,SPPR!$A:$A,0)),"")</f>
        <v/>
      </c>
      <c r="C110">
        <f>IFERROR(INDEX(Catch!$E:$BV,MATCH($A110,Catch!$A:$A,0),MATCH($B$4,Catch!$E$1:$BV$1,0)),0)</f>
        <v/>
      </c>
      <c r="D110">
        <f>IFERROR(IF(ISNUMBER(INDEX(SPPR!$E:$X,MATCH($A110,SPPR!$A:$A,0),1)),$C110*INDEX(SPPR!$E:$X,MATCH($A110,SPPR!$A:$A,0),1),""),"")</f>
        <v/>
      </c>
      <c r="E110">
        <f>IFERROR(IF(ISNUMBER(INDEX(SPPR!$E:$X,MATCH($A110,SPPR!$A:$A,0),2)),$C110*INDEX(SPPR!$E:$X,MATCH($A110,SPPR!$A:$A,0),2),""),"")</f>
        <v/>
      </c>
      <c r="F110">
        <f>IFERROR(IF(ISNUMBER(INDEX(SPPR!$E:$X,MATCH($A110,SPPR!$A:$A,0),3)),$C110*INDEX(SPPR!$E:$X,MATCH($A110,SPPR!$A:$A,0),3),""),"")</f>
        <v/>
      </c>
      <c r="G110">
        <f>IFERROR(IF(ISNUMBER(INDEX(SPPR!$E:$X,MATCH($A110,SPPR!$A:$A,0),4)),$C110*INDEX(SPPR!$E:$X,MATCH($A110,SPPR!$A:$A,0),4),""),"")</f>
        <v/>
      </c>
      <c r="H110">
        <f>IFERROR(IF(ISNUMBER(INDEX(SPPR!$E:$X,MATCH($A110,SPPR!$A:$A,0),5)),$C110*INDEX(SPPR!$E:$X,MATCH($A110,SPPR!$A:$A,0),5),""),"")</f>
        <v/>
      </c>
      <c r="I110">
        <f>IFERROR(IF(ISNUMBER(INDEX(SPPR!$E:$X,MATCH($A110,SPPR!$A:$A,0),6)),$C110*INDEX(SPPR!$E:$X,MATCH($A110,SPPR!$A:$A,0),6),""),"")</f>
        <v/>
      </c>
      <c r="J110">
        <f>IFERROR(IF(ISNUMBER(INDEX(SPPR!$E:$X,MATCH($A110,SPPR!$A:$A,0),7)),$C110*INDEX(SPPR!$E:$X,MATCH($A110,SPPR!$A:$A,0),7),""),"")</f>
        <v/>
      </c>
      <c r="K110">
        <f>IFERROR(IF(ISNUMBER(INDEX(SPPR!$E:$X,MATCH($A110,SPPR!$A:$A,0),8)),$C110*INDEX(SPPR!$E:$X,MATCH($A110,SPPR!$A:$A,0),8),""),"")</f>
        <v/>
      </c>
      <c r="L110">
        <f>IFERROR(IF(ISNUMBER(INDEX(SPPR!$E:$X,MATCH($A110,SPPR!$A:$A,0),9)),$C110*INDEX(SPPR!$E:$X,MATCH($A110,SPPR!$A:$A,0),9),""),"")</f>
        <v/>
      </c>
      <c r="M110">
        <f>IFERROR(IF(ISNUMBER(INDEX(SPPR!$E:$X,MATCH($A110,SPPR!$A:$A,0),10)),$C110*INDEX(SPPR!$E:$X,MATCH($A110,SPPR!$A:$A,0),10),""),"")</f>
        <v/>
      </c>
      <c r="N110">
        <f>IFERROR(IF(ISNUMBER(INDEX(SPPR!$E:$X,MATCH($A110,SPPR!$A:$A,0),11)),$C110*INDEX(SPPR!$E:$X,MATCH($A110,SPPR!$A:$A,0),11),""),"")</f>
        <v/>
      </c>
      <c r="O110">
        <f>IFERROR(IF(ISNUMBER(INDEX(SPPR!$E:$X,MATCH($A110,SPPR!$A:$A,0),12)),$C110*INDEX(SPPR!$E:$X,MATCH($A110,SPPR!$A:$A,0),12),""),"")</f>
        <v/>
      </c>
      <c r="P110">
        <f>IFERROR(IF(ISNUMBER(INDEX(SPPR!$E:$X,MATCH($A110,SPPR!$A:$A,0),13)),$C110*INDEX(SPPR!$E:$X,MATCH($A110,SPPR!$A:$A,0),13),""),"")</f>
        <v/>
      </c>
      <c r="Q110">
        <f>IFERROR(IF(ISNUMBER(INDEX(SPPR!$E:$X,MATCH($A110,SPPR!$A:$A,0),14)),$C110*INDEX(SPPR!$E:$X,MATCH($A110,SPPR!$A:$A,0),14),""),"")</f>
        <v/>
      </c>
      <c r="R110">
        <f>IFERROR(IF(ISNUMBER(INDEX(SPPR!$E:$X,MATCH($A110,SPPR!$A:$A,0),15)),$C110*INDEX(SPPR!$E:$X,MATCH($A110,SPPR!$A:$A,0),15),""),"")</f>
        <v/>
      </c>
      <c r="S110">
        <f>IFERROR(IF(ISNUMBER(INDEX(SPPR!$E:$X,MATCH($A110,SPPR!$A:$A,0),16)),$C110*INDEX(SPPR!$E:$X,MATCH($A110,SPPR!$A:$A,0),16),""),"")</f>
        <v/>
      </c>
      <c r="T110">
        <f>IFERROR(IF(ISNUMBER(INDEX(SPPR!$E:$X,MATCH($A110,SPPR!$A:$A,0),17)),$C110*INDEX(SPPR!$E:$X,MATCH($A110,SPPR!$A:$A,0),17),""),"")</f>
        <v/>
      </c>
      <c r="U110">
        <f>IFERROR(IF(ISNUMBER(INDEX(SPPR!$E:$X,MATCH($A110,SPPR!$A:$A,0),18)),$C110*INDEX(SPPR!$E:$X,MATCH($A110,SPPR!$A:$A,0),18),""),"")</f>
        <v/>
      </c>
      <c r="V110">
        <f>IFERROR(IF(ISNUMBER(INDEX(SPPR!$E:$X,MATCH($A110,SPPR!$A:$A,0),19)),$C110*INDEX(SPPR!$E:$X,MATCH($A110,SPPR!$A:$A,0),19),""),"")</f>
        <v/>
      </c>
      <c r="W110">
        <f>IFERROR(IF(ISNUMBER(INDEX(SPPR!$E:$X,MATCH($A110,SPPR!$A:$A,0),20)),$C110*INDEX(SPPR!$E:$X,MATCH($A110,SPPR!$A:$A,0),20),""),"")</f>
        <v/>
      </c>
    </row>
    <row r="111">
      <c r="A111" t="inlineStr">
        <is>
          <t>Chelidonichthys kumu</t>
        </is>
      </c>
      <c r="B111">
        <f>IFERROR(INDEX(SPPR!$D:$D,MATCH($A111,SPPR!$A:$A,0)),"")</f>
        <v/>
      </c>
      <c r="C111">
        <f>IFERROR(INDEX(Catch!$E:$BV,MATCH($A111,Catch!$A:$A,0),MATCH($B$4,Catch!$E$1:$BV$1,0)),0)</f>
        <v/>
      </c>
      <c r="D111">
        <f>IFERROR(IF(ISNUMBER(INDEX(SPPR!$E:$X,MATCH($A111,SPPR!$A:$A,0),1)),$C111*INDEX(SPPR!$E:$X,MATCH($A111,SPPR!$A:$A,0),1),""),"")</f>
        <v/>
      </c>
      <c r="E111">
        <f>IFERROR(IF(ISNUMBER(INDEX(SPPR!$E:$X,MATCH($A111,SPPR!$A:$A,0),2)),$C111*INDEX(SPPR!$E:$X,MATCH($A111,SPPR!$A:$A,0),2),""),"")</f>
        <v/>
      </c>
      <c r="F111">
        <f>IFERROR(IF(ISNUMBER(INDEX(SPPR!$E:$X,MATCH($A111,SPPR!$A:$A,0),3)),$C111*INDEX(SPPR!$E:$X,MATCH($A111,SPPR!$A:$A,0),3),""),"")</f>
        <v/>
      </c>
      <c r="G111">
        <f>IFERROR(IF(ISNUMBER(INDEX(SPPR!$E:$X,MATCH($A111,SPPR!$A:$A,0),4)),$C111*INDEX(SPPR!$E:$X,MATCH($A111,SPPR!$A:$A,0),4),""),"")</f>
        <v/>
      </c>
      <c r="H111">
        <f>IFERROR(IF(ISNUMBER(INDEX(SPPR!$E:$X,MATCH($A111,SPPR!$A:$A,0),5)),$C111*INDEX(SPPR!$E:$X,MATCH($A111,SPPR!$A:$A,0),5),""),"")</f>
        <v/>
      </c>
      <c r="I111">
        <f>IFERROR(IF(ISNUMBER(INDEX(SPPR!$E:$X,MATCH($A111,SPPR!$A:$A,0),6)),$C111*INDEX(SPPR!$E:$X,MATCH($A111,SPPR!$A:$A,0),6),""),"")</f>
        <v/>
      </c>
      <c r="J111">
        <f>IFERROR(IF(ISNUMBER(INDEX(SPPR!$E:$X,MATCH($A111,SPPR!$A:$A,0),7)),$C111*INDEX(SPPR!$E:$X,MATCH($A111,SPPR!$A:$A,0),7),""),"")</f>
        <v/>
      </c>
      <c r="K111">
        <f>IFERROR(IF(ISNUMBER(INDEX(SPPR!$E:$X,MATCH($A111,SPPR!$A:$A,0),8)),$C111*INDEX(SPPR!$E:$X,MATCH($A111,SPPR!$A:$A,0),8),""),"")</f>
        <v/>
      </c>
      <c r="L111">
        <f>IFERROR(IF(ISNUMBER(INDEX(SPPR!$E:$X,MATCH($A111,SPPR!$A:$A,0),9)),$C111*INDEX(SPPR!$E:$X,MATCH($A111,SPPR!$A:$A,0),9),""),"")</f>
        <v/>
      </c>
      <c r="M111">
        <f>IFERROR(IF(ISNUMBER(INDEX(SPPR!$E:$X,MATCH($A111,SPPR!$A:$A,0),10)),$C111*INDEX(SPPR!$E:$X,MATCH($A111,SPPR!$A:$A,0),10),""),"")</f>
        <v/>
      </c>
      <c r="N111">
        <f>IFERROR(IF(ISNUMBER(INDEX(SPPR!$E:$X,MATCH($A111,SPPR!$A:$A,0),11)),$C111*INDEX(SPPR!$E:$X,MATCH($A111,SPPR!$A:$A,0),11),""),"")</f>
        <v/>
      </c>
      <c r="O111">
        <f>IFERROR(IF(ISNUMBER(INDEX(SPPR!$E:$X,MATCH($A111,SPPR!$A:$A,0),12)),$C111*INDEX(SPPR!$E:$X,MATCH($A111,SPPR!$A:$A,0),12),""),"")</f>
        <v/>
      </c>
      <c r="P111">
        <f>IFERROR(IF(ISNUMBER(INDEX(SPPR!$E:$X,MATCH($A111,SPPR!$A:$A,0),13)),$C111*INDEX(SPPR!$E:$X,MATCH($A111,SPPR!$A:$A,0),13),""),"")</f>
        <v/>
      </c>
      <c r="Q111">
        <f>IFERROR(IF(ISNUMBER(INDEX(SPPR!$E:$X,MATCH($A111,SPPR!$A:$A,0),14)),$C111*INDEX(SPPR!$E:$X,MATCH($A111,SPPR!$A:$A,0),14),""),"")</f>
        <v/>
      </c>
      <c r="R111">
        <f>IFERROR(IF(ISNUMBER(INDEX(SPPR!$E:$X,MATCH($A111,SPPR!$A:$A,0),15)),$C111*INDEX(SPPR!$E:$X,MATCH($A111,SPPR!$A:$A,0),15),""),"")</f>
        <v/>
      </c>
      <c r="S111">
        <f>IFERROR(IF(ISNUMBER(INDEX(SPPR!$E:$X,MATCH($A111,SPPR!$A:$A,0),16)),$C111*INDEX(SPPR!$E:$X,MATCH($A111,SPPR!$A:$A,0),16),""),"")</f>
        <v/>
      </c>
      <c r="T111">
        <f>IFERROR(IF(ISNUMBER(INDEX(SPPR!$E:$X,MATCH($A111,SPPR!$A:$A,0),17)),$C111*INDEX(SPPR!$E:$X,MATCH($A111,SPPR!$A:$A,0),17),""),"")</f>
        <v/>
      </c>
      <c r="U111">
        <f>IFERROR(IF(ISNUMBER(INDEX(SPPR!$E:$X,MATCH($A111,SPPR!$A:$A,0),18)),$C111*INDEX(SPPR!$E:$X,MATCH($A111,SPPR!$A:$A,0),18),""),"")</f>
        <v/>
      </c>
      <c r="V111">
        <f>IFERROR(IF(ISNUMBER(INDEX(SPPR!$E:$X,MATCH($A111,SPPR!$A:$A,0),19)),$C111*INDEX(SPPR!$E:$X,MATCH($A111,SPPR!$A:$A,0),19),""),"")</f>
        <v/>
      </c>
      <c r="W111">
        <f>IFERROR(IF(ISNUMBER(INDEX(SPPR!$E:$X,MATCH($A111,SPPR!$A:$A,0),20)),$C111*INDEX(SPPR!$E:$X,MATCH($A111,SPPR!$A:$A,0),20),""),"")</f>
        <v/>
      </c>
    </row>
    <row r="112">
      <c r="A112" t="inlineStr">
        <is>
          <t>Chirocentrus dorab</t>
        </is>
      </c>
      <c r="B112">
        <f>IFERROR(INDEX(SPPR!$D:$D,MATCH($A112,SPPR!$A:$A,0)),"")</f>
        <v/>
      </c>
      <c r="C112">
        <f>IFERROR(INDEX(Catch!$E:$BV,MATCH($A112,Catch!$A:$A,0),MATCH($B$4,Catch!$E$1:$BV$1,0)),0)</f>
        <v/>
      </c>
      <c r="D112">
        <f>IFERROR(IF(ISNUMBER(INDEX(SPPR!$E:$X,MATCH($A112,SPPR!$A:$A,0),1)),$C112*INDEX(SPPR!$E:$X,MATCH($A112,SPPR!$A:$A,0),1),""),"")</f>
        <v/>
      </c>
      <c r="E112">
        <f>IFERROR(IF(ISNUMBER(INDEX(SPPR!$E:$X,MATCH($A112,SPPR!$A:$A,0),2)),$C112*INDEX(SPPR!$E:$X,MATCH($A112,SPPR!$A:$A,0),2),""),"")</f>
        <v/>
      </c>
      <c r="F112">
        <f>IFERROR(IF(ISNUMBER(INDEX(SPPR!$E:$X,MATCH($A112,SPPR!$A:$A,0),3)),$C112*INDEX(SPPR!$E:$X,MATCH($A112,SPPR!$A:$A,0),3),""),"")</f>
        <v/>
      </c>
      <c r="G112">
        <f>IFERROR(IF(ISNUMBER(INDEX(SPPR!$E:$X,MATCH($A112,SPPR!$A:$A,0),4)),$C112*INDEX(SPPR!$E:$X,MATCH($A112,SPPR!$A:$A,0),4),""),"")</f>
        <v/>
      </c>
      <c r="H112">
        <f>IFERROR(IF(ISNUMBER(INDEX(SPPR!$E:$X,MATCH($A112,SPPR!$A:$A,0),5)),$C112*INDEX(SPPR!$E:$X,MATCH($A112,SPPR!$A:$A,0),5),""),"")</f>
        <v/>
      </c>
      <c r="I112">
        <f>IFERROR(IF(ISNUMBER(INDEX(SPPR!$E:$X,MATCH($A112,SPPR!$A:$A,0),6)),$C112*INDEX(SPPR!$E:$X,MATCH($A112,SPPR!$A:$A,0),6),""),"")</f>
        <v/>
      </c>
      <c r="J112">
        <f>IFERROR(IF(ISNUMBER(INDEX(SPPR!$E:$X,MATCH($A112,SPPR!$A:$A,0),7)),$C112*INDEX(SPPR!$E:$X,MATCH($A112,SPPR!$A:$A,0),7),""),"")</f>
        <v/>
      </c>
      <c r="K112">
        <f>IFERROR(IF(ISNUMBER(INDEX(SPPR!$E:$X,MATCH($A112,SPPR!$A:$A,0),8)),$C112*INDEX(SPPR!$E:$X,MATCH($A112,SPPR!$A:$A,0),8),""),"")</f>
        <v/>
      </c>
      <c r="L112">
        <f>IFERROR(IF(ISNUMBER(INDEX(SPPR!$E:$X,MATCH($A112,SPPR!$A:$A,0),9)),$C112*INDEX(SPPR!$E:$X,MATCH($A112,SPPR!$A:$A,0),9),""),"")</f>
        <v/>
      </c>
      <c r="M112">
        <f>IFERROR(IF(ISNUMBER(INDEX(SPPR!$E:$X,MATCH($A112,SPPR!$A:$A,0),10)),$C112*INDEX(SPPR!$E:$X,MATCH($A112,SPPR!$A:$A,0),10),""),"")</f>
        <v/>
      </c>
      <c r="N112">
        <f>IFERROR(IF(ISNUMBER(INDEX(SPPR!$E:$X,MATCH($A112,SPPR!$A:$A,0),11)),$C112*INDEX(SPPR!$E:$X,MATCH($A112,SPPR!$A:$A,0),11),""),"")</f>
        <v/>
      </c>
      <c r="O112">
        <f>IFERROR(IF(ISNUMBER(INDEX(SPPR!$E:$X,MATCH($A112,SPPR!$A:$A,0),12)),$C112*INDEX(SPPR!$E:$X,MATCH($A112,SPPR!$A:$A,0),12),""),"")</f>
        <v/>
      </c>
      <c r="P112">
        <f>IFERROR(IF(ISNUMBER(INDEX(SPPR!$E:$X,MATCH($A112,SPPR!$A:$A,0),13)),$C112*INDEX(SPPR!$E:$X,MATCH($A112,SPPR!$A:$A,0),13),""),"")</f>
        <v/>
      </c>
      <c r="Q112">
        <f>IFERROR(IF(ISNUMBER(INDEX(SPPR!$E:$X,MATCH($A112,SPPR!$A:$A,0),14)),$C112*INDEX(SPPR!$E:$X,MATCH($A112,SPPR!$A:$A,0),14),""),"")</f>
        <v/>
      </c>
      <c r="R112">
        <f>IFERROR(IF(ISNUMBER(INDEX(SPPR!$E:$X,MATCH($A112,SPPR!$A:$A,0),15)),$C112*INDEX(SPPR!$E:$X,MATCH($A112,SPPR!$A:$A,0),15),""),"")</f>
        <v/>
      </c>
      <c r="S112">
        <f>IFERROR(IF(ISNUMBER(INDEX(SPPR!$E:$X,MATCH($A112,SPPR!$A:$A,0),16)),$C112*INDEX(SPPR!$E:$X,MATCH($A112,SPPR!$A:$A,0),16),""),"")</f>
        <v/>
      </c>
      <c r="T112">
        <f>IFERROR(IF(ISNUMBER(INDEX(SPPR!$E:$X,MATCH($A112,SPPR!$A:$A,0),17)),$C112*INDEX(SPPR!$E:$X,MATCH($A112,SPPR!$A:$A,0),17),""),"")</f>
        <v/>
      </c>
      <c r="U112">
        <f>IFERROR(IF(ISNUMBER(INDEX(SPPR!$E:$X,MATCH($A112,SPPR!$A:$A,0),18)),$C112*INDEX(SPPR!$E:$X,MATCH($A112,SPPR!$A:$A,0),18),""),"")</f>
        <v/>
      </c>
      <c r="V112">
        <f>IFERROR(IF(ISNUMBER(INDEX(SPPR!$E:$X,MATCH($A112,SPPR!$A:$A,0),19)),$C112*INDEX(SPPR!$E:$X,MATCH($A112,SPPR!$A:$A,0),19),""),"")</f>
        <v/>
      </c>
      <c r="W112">
        <f>IFERROR(IF(ISNUMBER(INDEX(SPPR!$E:$X,MATCH($A112,SPPR!$A:$A,0),20)),$C112*INDEX(SPPR!$E:$X,MATCH($A112,SPPR!$A:$A,0),20),""),"")</f>
        <v/>
      </c>
    </row>
    <row r="113">
      <c r="A113" t="inlineStr">
        <is>
          <t>Parapenaeopsis</t>
        </is>
      </c>
      <c r="B113">
        <f>IFERROR(INDEX(SPPR!$D:$D,MATCH($A113,SPPR!$A:$A,0)),"")</f>
        <v/>
      </c>
      <c r="C113">
        <f>IFERROR(INDEX(Catch!$E:$BV,MATCH($A113,Catch!$A:$A,0),MATCH($B$4,Catch!$E$1:$BV$1,0)),0)</f>
        <v/>
      </c>
      <c r="D113">
        <f>IFERROR(IF(ISNUMBER(INDEX(SPPR!$E:$X,MATCH($A113,SPPR!$A:$A,0),1)),$C113*INDEX(SPPR!$E:$X,MATCH($A113,SPPR!$A:$A,0),1),""),"")</f>
        <v/>
      </c>
      <c r="E113">
        <f>IFERROR(IF(ISNUMBER(INDEX(SPPR!$E:$X,MATCH($A113,SPPR!$A:$A,0),2)),$C113*INDEX(SPPR!$E:$X,MATCH($A113,SPPR!$A:$A,0),2),""),"")</f>
        <v/>
      </c>
      <c r="F113">
        <f>IFERROR(IF(ISNUMBER(INDEX(SPPR!$E:$X,MATCH($A113,SPPR!$A:$A,0),3)),$C113*INDEX(SPPR!$E:$X,MATCH($A113,SPPR!$A:$A,0),3),""),"")</f>
        <v/>
      </c>
      <c r="G113">
        <f>IFERROR(IF(ISNUMBER(INDEX(SPPR!$E:$X,MATCH($A113,SPPR!$A:$A,0),4)),$C113*INDEX(SPPR!$E:$X,MATCH($A113,SPPR!$A:$A,0),4),""),"")</f>
        <v/>
      </c>
      <c r="H113">
        <f>IFERROR(IF(ISNUMBER(INDEX(SPPR!$E:$X,MATCH($A113,SPPR!$A:$A,0),5)),$C113*INDEX(SPPR!$E:$X,MATCH($A113,SPPR!$A:$A,0),5),""),"")</f>
        <v/>
      </c>
      <c r="I113">
        <f>IFERROR(IF(ISNUMBER(INDEX(SPPR!$E:$X,MATCH($A113,SPPR!$A:$A,0),6)),$C113*INDEX(SPPR!$E:$X,MATCH($A113,SPPR!$A:$A,0),6),""),"")</f>
        <v/>
      </c>
      <c r="J113">
        <f>IFERROR(IF(ISNUMBER(INDEX(SPPR!$E:$X,MATCH($A113,SPPR!$A:$A,0),7)),$C113*INDEX(SPPR!$E:$X,MATCH($A113,SPPR!$A:$A,0),7),""),"")</f>
        <v/>
      </c>
      <c r="K113">
        <f>IFERROR(IF(ISNUMBER(INDEX(SPPR!$E:$X,MATCH($A113,SPPR!$A:$A,0),8)),$C113*INDEX(SPPR!$E:$X,MATCH($A113,SPPR!$A:$A,0),8),""),"")</f>
        <v/>
      </c>
      <c r="L113">
        <f>IFERROR(IF(ISNUMBER(INDEX(SPPR!$E:$X,MATCH($A113,SPPR!$A:$A,0),9)),$C113*INDEX(SPPR!$E:$X,MATCH($A113,SPPR!$A:$A,0),9),""),"")</f>
        <v/>
      </c>
      <c r="M113">
        <f>IFERROR(IF(ISNUMBER(INDEX(SPPR!$E:$X,MATCH($A113,SPPR!$A:$A,0),10)),$C113*INDEX(SPPR!$E:$X,MATCH($A113,SPPR!$A:$A,0),10),""),"")</f>
        <v/>
      </c>
      <c r="N113">
        <f>IFERROR(IF(ISNUMBER(INDEX(SPPR!$E:$X,MATCH($A113,SPPR!$A:$A,0),11)),$C113*INDEX(SPPR!$E:$X,MATCH($A113,SPPR!$A:$A,0),11),""),"")</f>
        <v/>
      </c>
      <c r="O113">
        <f>IFERROR(IF(ISNUMBER(INDEX(SPPR!$E:$X,MATCH($A113,SPPR!$A:$A,0),12)),$C113*INDEX(SPPR!$E:$X,MATCH($A113,SPPR!$A:$A,0),12),""),"")</f>
        <v/>
      </c>
      <c r="P113">
        <f>IFERROR(IF(ISNUMBER(INDEX(SPPR!$E:$X,MATCH($A113,SPPR!$A:$A,0),13)),$C113*INDEX(SPPR!$E:$X,MATCH($A113,SPPR!$A:$A,0),13),""),"")</f>
        <v/>
      </c>
      <c r="Q113">
        <f>IFERROR(IF(ISNUMBER(INDEX(SPPR!$E:$X,MATCH($A113,SPPR!$A:$A,0),14)),$C113*INDEX(SPPR!$E:$X,MATCH($A113,SPPR!$A:$A,0),14),""),"")</f>
        <v/>
      </c>
      <c r="R113">
        <f>IFERROR(IF(ISNUMBER(INDEX(SPPR!$E:$X,MATCH($A113,SPPR!$A:$A,0),15)),$C113*INDEX(SPPR!$E:$X,MATCH($A113,SPPR!$A:$A,0),15),""),"")</f>
        <v/>
      </c>
      <c r="S113">
        <f>IFERROR(IF(ISNUMBER(INDEX(SPPR!$E:$X,MATCH($A113,SPPR!$A:$A,0),16)),$C113*INDEX(SPPR!$E:$X,MATCH($A113,SPPR!$A:$A,0),16),""),"")</f>
        <v/>
      </c>
      <c r="T113">
        <f>IFERROR(IF(ISNUMBER(INDEX(SPPR!$E:$X,MATCH($A113,SPPR!$A:$A,0),17)),$C113*INDEX(SPPR!$E:$X,MATCH($A113,SPPR!$A:$A,0),17),""),"")</f>
        <v/>
      </c>
      <c r="U113">
        <f>IFERROR(IF(ISNUMBER(INDEX(SPPR!$E:$X,MATCH($A113,SPPR!$A:$A,0),18)),$C113*INDEX(SPPR!$E:$X,MATCH($A113,SPPR!$A:$A,0),18),""),"")</f>
        <v/>
      </c>
      <c r="V113">
        <f>IFERROR(IF(ISNUMBER(INDEX(SPPR!$E:$X,MATCH($A113,SPPR!$A:$A,0),19)),$C113*INDEX(SPPR!$E:$X,MATCH($A113,SPPR!$A:$A,0),19),""),"")</f>
        <v/>
      </c>
      <c r="W113">
        <f>IFERROR(IF(ISNUMBER(INDEX(SPPR!$E:$X,MATCH($A113,SPPR!$A:$A,0),20)),$C113*INDEX(SPPR!$E:$X,MATCH($A113,SPPR!$A:$A,0),20),""),"")</f>
        <v/>
      </c>
    </row>
    <row r="114">
      <c r="A114" t="inlineStr">
        <is>
          <t>Lutjanus malabaricus</t>
        </is>
      </c>
      <c r="B114">
        <f>IFERROR(INDEX(SPPR!$D:$D,MATCH($A114,SPPR!$A:$A,0)),"")</f>
        <v/>
      </c>
      <c r="C114">
        <f>IFERROR(INDEX(Catch!$E:$BV,MATCH($A114,Catch!$A:$A,0),MATCH($B$4,Catch!$E$1:$BV$1,0)),0)</f>
        <v/>
      </c>
      <c r="D114">
        <f>IFERROR(IF(ISNUMBER(INDEX(SPPR!$E:$X,MATCH($A114,SPPR!$A:$A,0),1)),$C114*INDEX(SPPR!$E:$X,MATCH($A114,SPPR!$A:$A,0),1),""),"")</f>
        <v/>
      </c>
      <c r="E114">
        <f>IFERROR(IF(ISNUMBER(INDEX(SPPR!$E:$X,MATCH($A114,SPPR!$A:$A,0),2)),$C114*INDEX(SPPR!$E:$X,MATCH($A114,SPPR!$A:$A,0),2),""),"")</f>
        <v/>
      </c>
      <c r="F114">
        <f>IFERROR(IF(ISNUMBER(INDEX(SPPR!$E:$X,MATCH($A114,SPPR!$A:$A,0),3)),$C114*INDEX(SPPR!$E:$X,MATCH($A114,SPPR!$A:$A,0),3),""),"")</f>
        <v/>
      </c>
      <c r="G114">
        <f>IFERROR(IF(ISNUMBER(INDEX(SPPR!$E:$X,MATCH($A114,SPPR!$A:$A,0),4)),$C114*INDEX(SPPR!$E:$X,MATCH($A114,SPPR!$A:$A,0),4),""),"")</f>
        <v/>
      </c>
      <c r="H114">
        <f>IFERROR(IF(ISNUMBER(INDEX(SPPR!$E:$X,MATCH($A114,SPPR!$A:$A,0),5)),$C114*INDEX(SPPR!$E:$X,MATCH($A114,SPPR!$A:$A,0),5),""),"")</f>
        <v/>
      </c>
      <c r="I114">
        <f>IFERROR(IF(ISNUMBER(INDEX(SPPR!$E:$X,MATCH($A114,SPPR!$A:$A,0),6)),$C114*INDEX(SPPR!$E:$X,MATCH($A114,SPPR!$A:$A,0),6),""),"")</f>
        <v/>
      </c>
      <c r="J114">
        <f>IFERROR(IF(ISNUMBER(INDEX(SPPR!$E:$X,MATCH($A114,SPPR!$A:$A,0),7)),$C114*INDEX(SPPR!$E:$X,MATCH($A114,SPPR!$A:$A,0),7),""),"")</f>
        <v/>
      </c>
      <c r="K114">
        <f>IFERROR(IF(ISNUMBER(INDEX(SPPR!$E:$X,MATCH($A114,SPPR!$A:$A,0),8)),$C114*INDEX(SPPR!$E:$X,MATCH($A114,SPPR!$A:$A,0),8),""),"")</f>
        <v/>
      </c>
      <c r="L114">
        <f>IFERROR(IF(ISNUMBER(INDEX(SPPR!$E:$X,MATCH($A114,SPPR!$A:$A,0),9)),$C114*INDEX(SPPR!$E:$X,MATCH($A114,SPPR!$A:$A,0),9),""),"")</f>
        <v/>
      </c>
      <c r="M114">
        <f>IFERROR(IF(ISNUMBER(INDEX(SPPR!$E:$X,MATCH($A114,SPPR!$A:$A,0),10)),$C114*INDEX(SPPR!$E:$X,MATCH($A114,SPPR!$A:$A,0),10),""),"")</f>
        <v/>
      </c>
      <c r="N114">
        <f>IFERROR(IF(ISNUMBER(INDEX(SPPR!$E:$X,MATCH($A114,SPPR!$A:$A,0),11)),$C114*INDEX(SPPR!$E:$X,MATCH($A114,SPPR!$A:$A,0),11),""),"")</f>
        <v/>
      </c>
      <c r="O114">
        <f>IFERROR(IF(ISNUMBER(INDEX(SPPR!$E:$X,MATCH($A114,SPPR!$A:$A,0),12)),$C114*INDEX(SPPR!$E:$X,MATCH($A114,SPPR!$A:$A,0),12),""),"")</f>
        <v/>
      </c>
      <c r="P114">
        <f>IFERROR(IF(ISNUMBER(INDEX(SPPR!$E:$X,MATCH($A114,SPPR!$A:$A,0),13)),$C114*INDEX(SPPR!$E:$X,MATCH($A114,SPPR!$A:$A,0),13),""),"")</f>
        <v/>
      </c>
      <c r="Q114">
        <f>IFERROR(IF(ISNUMBER(INDEX(SPPR!$E:$X,MATCH($A114,SPPR!$A:$A,0),14)),$C114*INDEX(SPPR!$E:$X,MATCH($A114,SPPR!$A:$A,0),14),""),"")</f>
        <v/>
      </c>
      <c r="R114">
        <f>IFERROR(IF(ISNUMBER(INDEX(SPPR!$E:$X,MATCH($A114,SPPR!$A:$A,0),15)),$C114*INDEX(SPPR!$E:$X,MATCH($A114,SPPR!$A:$A,0),15),""),"")</f>
        <v/>
      </c>
      <c r="S114">
        <f>IFERROR(IF(ISNUMBER(INDEX(SPPR!$E:$X,MATCH($A114,SPPR!$A:$A,0),16)),$C114*INDEX(SPPR!$E:$X,MATCH($A114,SPPR!$A:$A,0),16),""),"")</f>
        <v/>
      </c>
      <c r="T114">
        <f>IFERROR(IF(ISNUMBER(INDEX(SPPR!$E:$X,MATCH($A114,SPPR!$A:$A,0),17)),$C114*INDEX(SPPR!$E:$X,MATCH($A114,SPPR!$A:$A,0),17),""),"")</f>
        <v/>
      </c>
      <c r="U114">
        <f>IFERROR(IF(ISNUMBER(INDEX(SPPR!$E:$X,MATCH($A114,SPPR!$A:$A,0),18)),$C114*INDEX(SPPR!$E:$X,MATCH($A114,SPPR!$A:$A,0),18),""),"")</f>
        <v/>
      </c>
      <c r="V114">
        <f>IFERROR(IF(ISNUMBER(INDEX(SPPR!$E:$X,MATCH($A114,SPPR!$A:$A,0),19)),$C114*INDEX(SPPR!$E:$X,MATCH($A114,SPPR!$A:$A,0),19),""),"")</f>
        <v/>
      </c>
      <c r="W114">
        <f>IFERROR(IF(ISNUMBER(INDEX(SPPR!$E:$X,MATCH($A114,SPPR!$A:$A,0),20)),$C114*INDEX(SPPR!$E:$X,MATCH($A114,SPPR!$A:$A,0),20),""),"")</f>
        <v/>
      </c>
    </row>
    <row r="115">
      <c r="A115" t="inlineStr">
        <is>
          <t>Charybdis</t>
        </is>
      </c>
      <c r="B115">
        <f>IFERROR(INDEX(SPPR!$D:$D,MATCH($A115,SPPR!$A:$A,0)),"")</f>
        <v/>
      </c>
      <c r="C115">
        <f>IFERROR(INDEX(Catch!$E:$BV,MATCH($A115,Catch!$A:$A,0),MATCH($B$4,Catch!$E$1:$BV$1,0)),0)</f>
        <v/>
      </c>
      <c r="D115">
        <f>IFERROR(IF(ISNUMBER(INDEX(SPPR!$E:$X,MATCH($A115,SPPR!$A:$A,0),1)),$C115*INDEX(SPPR!$E:$X,MATCH($A115,SPPR!$A:$A,0),1),""),"")</f>
        <v/>
      </c>
      <c r="E115">
        <f>IFERROR(IF(ISNUMBER(INDEX(SPPR!$E:$X,MATCH($A115,SPPR!$A:$A,0),2)),$C115*INDEX(SPPR!$E:$X,MATCH($A115,SPPR!$A:$A,0),2),""),"")</f>
        <v/>
      </c>
      <c r="F115">
        <f>IFERROR(IF(ISNUMBER(INDEX(SPPR!$E:$X,MATCH($A115,SPPR!$A:$A,0),3)),$C115*INDEX(SPPR!$E:$X,MATCH($A115,SPPR!$A:$A,0),3),""),"")</f>
        <v/>
      </c>
      <c r="G115">
        <f>IFERROR(IF(ISNUMBER(INDEX(SPPR!$E:$X,MATCH($A115,SPPR!$A:$A,0),4)),$C115*INDEX(SPPR!$E:$X,MATCH($A115,SPPR!$A:$A,0),4),""),"")</f>
        <v/>
      </c>
      <c r="H115">
        <f>IFERROR(IF(ISNUMBER(INDEX(SPPR!$E:$X,MATCH($A115,SPPR!$A:$A,0),5)),$C115*INDEX(SPPR!$E:$X,MATCH($A115,SPPR!$A:$A,0),5),""),"")</f>
        <v/>
      </c>
      <c r="I115">
        <f>IFERROR(IF(ISNUMBER(INDEX(SPPR!$E:$X,MATCH($A115,SPPR!$A:$A,0),6)),$C115*INDEX(SPPR!$E:$X,MATCH($A115,SPPR!$A:$A,0),6),""),"")</f>
        <v/>
      </c>
      <c r="J115">
        <f>IFERROR(IF(ISNUMBER(INDEX(SPPR!$E:$X,MATCH($A115,SPPR!$A:$A,0),7)),$C115*INDEX(SPPR!$E:$X,MATCH($A115,SPPR!$A:$A,0),7),""),"")</f>
        <v/>
      </c>
      <c r="K115">
        <f>IFERROR(IF(ISNUMBER(INDEX(SPPR!$E:$X,MATCH($A115,SPPR!$A:$A,0),8)),$C115*INDEX(SPPR!$E:$X,MATCH($A115,SPPR!$A:$A,0),8),""),"")</f>
        <v/>
      </c>
      <c r="L115">
        <f>IFERROR(IF(ISNUMBER(INDEX(SPPR!$E:$X,MATCH($A115,SPPR!$A:$A,0),9)),$C115*INDEX(SPPR!$E:$X,MATCH($A115,SPPR!$A:$A,0),9),""),"")</f>
        <v/>
      </c>
      <c r="M115">
        <f>IFERROR(IF(ISNUMBER(INDEX(SPPR!$E:$X,MATCH($A115,SPPR!$A:$A,0),10)),$C115*INDEX(SPPR!$E:$X,MATCH($A115,SPPR!$A:$A,0),10),""),"")</f>
        <v/>
      </c>
      <c r="N115">
        <f>IFERROR(IF(ISNUMBER(INDEX(SPPR!$E:$X,MATCH($A115,SPPR!$A:$A,0),11)),$C115*INDEX(SPPR!$E:$X,MATCH($A115,SPPR!$A:$A,0),11),""),"")</f>
        <v/>
      </c>
      <c r="O115">
        <f>IFERROR(IF(ISNUMBER(INDEX(SPPR!$E:$X,MATCH($A115,SPPR!$A:$A,0),12)),$C115*INDEX(SPPR!$E:$X,MATCH($A115,SPPR!$A:$A,0),12),""),"")</f>
        <v/>
      </c>
      <c r="P115">
        <f>IFERROR(IF(ISNUMBER(INDEX(SPPR!$E:$X,MATCH($A115,SPPR!$A:$A,0),13)),$C115*INDEX(SPPR!$E:$X,MATCH($A115,SPPR!$A:$A,0),13),""),"")</f>
        <v/>
      </c>
      <c r="Q115">
        <f>IFERROR(IF(ISNUMBER(INDEX(SPPR!$E:$X,MATCH($A115,SPPR!$A:$A,0),14)),$C115*INDEX(SPPR!$E:$X,MATCH($A115,SPPR!$A:$A,0),14),""),"")</f>
        <v/>
      </c>
      <c r="R115">
        <f>IFERROR(IF(ISNUMBER(INDEX(SPPR!$E:$X,MATCH($A115,SPPR!$A:$A,0),15)),$C115*INDEX(SPPR!$E:$X,MATCH($A115,SPPR!$A:$A,0),15),""),"")</f>
        <v/>
      </c>
      <c r="S115">
        <f>IFERROR(IF(ISNUMBER(INDEX(SPPR!$E:$X,MATCH($A115,SPPR!$A:$A,0),16)),$C115*INDEX(SPPR!$E:$X,MATCH($A115,SPPR!$A:$A,0),16),""),"")</f>
        <v/>
      </c>
      <c r="T115">
        <f>IFERROR(IF(ISNUMBER(INDEX(SPPR!$E:$X,MATCH($A115,SPPR!$A:$A,0),17)),$C115*INDEX(SPPR!$E:$X,MATCH($A115,SPPR!$A:$A,0),17),""),"")</f>
        <v/>
      </c>
      <c r="U115">
        <f>IFERROR(IF(ISNUMBER(INDEX(SPPR!$E:$X,MATCH($A115,SPPR!$A:$A,0),18)),$C115*INDEX(SPPR!$E:$X,MATCH($A115,SPPR!$A:$A,0),18),""),"")</f>
        <v/>
      </c>
      <c r="V115">
        <f>IFERROR(IF(ISNUMBER(INDEX(SPPR!$E:$X,MATCH($A115,SPPR!$A:$A,0),19)),$C115*INDEX(SPPR!$E:$X,MATCH($A115,SPPR!$A:$A,0),19),""),"")</f>
        <v/>
      </c>
      <c r="W115">
        <f>IFERROR(IF(ISNUMBER(INDEX(SPPR!$E:$X,MATCH($A115,SPPR!$A:$A,0),20)),$C115*INDEX(SPPR!$E:$X,MATCH($A115,SPPR!$A:$A,0),20),""),"")</f>
        <v/>
      </c>
    </row>
    <row r="116">
      <c r="A116" t="inlineStr">
        <is>
          <t>Penaeus japonicus</t>
        </is>
      </c>
      <c r="B116">
        <f>IFERROR(INDEX(SPPR!$D:$D,MATCH($A116,SPPR!$A:$A,0)),"")</f>
        <v/>
      </c>
      <c r="C116">
        <f>IFERROR(INDEX(Catch!$E:$BV,MATCH($A116,Catch!$A:$A,0),MATCH($B$4,Catch!$E$1:$BV$1,0)),0)</f>
        <v/>
      </c>
      <c r="D116">
        <f>IFERROR(IF(ISNUMBER(INDEX(SPPR!$E:$X,MATCH($A116,SPPR!$A:$A,0),1)),$C116*INDEX(SPPR!$E:$X,MATCH($A116,SPPR!$A:$A,0),1),""),"")</f>
        <v/>
      </c>
      <c r="E116">
        <f>IFERROR(IF(ISNUMBER(INDEX(SPPR!$E:$X,MATCH($A116,SPPR!$A:$A,0),2)),$C116*INDEX(SPPR!$E:$X,MATCH($A116,SPPR!$A:$A,0),2),""),"")</f>
        <v/>
      </c>
      <c r="F116">
        <f>IFERROR(IF(ISNUMBER(INDEX(SPPR!$E:$X,MATCH($A116,SPPR!$A:$A,0),3)),$C116*INDEX(SPPR!$E:$X,MATCH($A116,SPPR!$A:$A,0),3),""),"")</f>
        <v/>
      </c>
      <c r="G116">
        <f>IFERROR(IF(ISNUMBER(INDEX(SPPR!$E:$X,MATCH($A116,SPPR!$A:$A,0),4)),$C116*INDEX(SPPR!$E:$X,MATCH($A116,SPPR!$A:$A,0),4),""),"")</f>
        <v/>
      </c>
      <c r="H116">
        <f>IFERROR(IF(ISNUMBER(INDEX(SPPR!$E:$X,MATCH($A116,SPPR!$A:$A,0),5)),$C116*INDEX(SPPR!$E:$X,MATCH($A116,SPPR!$A:$A,0),5),""),"")</f>
        <v/>
      </c>
      <c r="I116">
        <f>IFERROR(IF(ISNUMBER(INDEX(SPPR!$E:$X,MATCH($A116,SPPR!$A:$A,0),6)),$C116*INDEX(SPPR!$E:$X,MATCH($A116,SPPR!$A:$A,0),6),""),"")</f>
        <v/>
      </c>
      <c r="J116">
        <f>IFERROR(IF(ISNUMBER(INDEX(SPPR!$E:$X,MATCH($A116,SPPR!$A:$A,0),7)),$C116*INDEX(SPPR!$E:$X,MATCH($A116,SPPR!$A:$A,0),7),""),"")</f>
        <v/>
      </c>
      <c r="K116">
        <f>IFERROR(IF(ISNUMBER(INDEX(SPPR!$E:$X,MATCH($A116,SPPR!$A:$A,0),8)),$C116*INDEX(SPPR!$E:$X,MATCH($A116,SPPR!$A:$A,0),8),""),"")</f>
        <v/>
      </c>
      <c r="L116">
        <f>IFERROR(IF(ISNUMBER(INDEX(SPPR!$E:$X,MATCH($A116,SPPR!$A:$A,0),9)),$C116*INDEX(SPPR!$E:$X,MATCH($A116,SPPR!$A:$A,0),9),""),"")</f>
        <v/>
      </c>
      <c r="M116">
        <f>IFERROR(IF(ISNUMBER(INDEX(SPPR!$E:$X,MATCH($A116,SPPR!$A:$A,0),10)),$C116*INDEX(SPPR!$E:$X,MATCH($A116,SPPR!$A:$A,0),10),""),"")</f>
        <v/>
      </c>
      <c r="N116">
        <f>IFERROR(IF(ISNUMBER(INDEX(SPPR!$E:$X,MATCH($A116,SPPR!$A:$A,0),11)),$C116*INDEX(SPPR!$E:$X,MATCH($A116,SPPR!$A:$A,0),11),""),"")</f>
        <v/>
      </c>
      <c r="O116">
        <f>IFERROR(IF(ISNUMBER(INDEX(SPPR!$E:$X,MATCH($A116,SPPR!$A:$A,0),12)),$C116*INDEX(SPPR!$E:$X,MATCH($A116,SPPR!$A:$A,0),12),""),"")</f>
        <v/>
      </c>
      <c r="P116">
        <f>IFERROR(IF(ISNUMBER(INDEX(SPPR!$E:$X,MATCH($A116,SPPR!$A:$A,0),13)),$C116*INDEX(SPPR!$E:$X,MATCH($A116,SPPR!$A:$A,0),13),""),"")</f>
        <v/>
      </c>
      <c r="Q116">
        <f>IFERROR(IF(ISNUMBER(INDEX(SPPR!$E:$X,MATCH($A116,SPPR!$A:$A,0),14)),$C116*INDEX(SPPR!$E:$X,MATCH($A116,SPPR!$A:$A,0),14),""),"")</f>
        <v/>
      </c>
      <c r="R116">
        <f>IFERROR(IF(ISNUMBER(INDEX(SPPR!$E:$X,MATCH($A116,SPPR!$A:$A,0),15)),$C116*INDEX(SPPR!$E:$X,MATCH($A116,SPPR!$A:$A,0),15),""),"")</f>
        <v/>
      </c>
      <c r="S116">
        <f>IFERROR(IF(ISNUMBER(INDEX(SPPR!$E:$X,MATCH($A116,SPPR!$A:$A,0),16)),$C116*INDEX(SPPR!$E:$X,MATCH($A116,SPPR!$A:$A,0),16),""),"")</f>
        <v/>
      </c>
      <c r="T116">
        <f>IFERROR(IF(ISNUMBER(INDEX(SPPR!$E:$X,MATCH($A116,SPPR!$A:$A,0),17)),$C116*INDEX(SPPR!$E:$X,MATCH($A116,SPPR!$A:$A,0),17),""),"")</f>
        <v/>
      </c>
      <c r="U116">
        <f>IFERROR(IF(ISNUMBER(INDEX(SPPR!$E:$X,MATCH($A116,SPPR!$A:$A,0),18)),$C116*INDEX(SPPR!$E:$X,MATCH($A116,SPPR!$A:$A,0),18),""),"")</f>
        <v/>
      </c>
      <c r="V116">
        <f>IFERROR(IF(ISNUMBER(INDEX(SPPR!$E:$X,MATCH($A116,SPPR!$A:$A,0),19)),$C116*INDEX(SPPR!$E:$X,MATCH($A116,SPPR!$A:$A,0),19),""),"")</f>
        <v/>
      </c>
      <c r="W116">
        <f>IFERROR(IF(ISNUMBER(INDEX(SPPR!$E:$X,MATCH($A116,SPPR!$A:$A,0),20)),$C116*INDEX(SPPR!$E:$X,MATCH($A116,SPPR!$A:$A,0),20),""),"")</f>
        <v/>
      </c>
    </row>
    <row r="117">
      <c r="A117" t="inlineStr">
        <is>
          <t>Caesionidae</t>
        </is>
      </c>
      <c r="B117">
        <f>IFERROR(INDEX(SPPR!$D:$D,MATCH($A117,SPPR!$A:$A,0)),"")</f>
        <v/>
      </c>
      <c r="C117">
        <f>IFERROR(INDEX(Catch!$E:$BV,MATCH($A117,Catch!$A:$A,0),MATCH($B$4,Catch!$E$1:$BV$1,0)),0)</f>
        <v/>
      </c>
      <c r="D117">
        <f>IFERROR(IF(ISNUMBER(INDEX(SPPR!$E:$X,MATCH($A117,SPPR!$A:$A,0),1)),$C117*INDEX(SPPR!$E:$X,MATCH($A117,SPPR!$A:$A,0),1),""),"")</f>
        <v/>
      </c>
      <c r="E117">
        <f>IFERROR(IF(ISNUMBER(INDEX(SPPR!$E:$X,MATCH($A117,SPPR!$A:$A,0),2)),$C117*INDEX(SPPR!$E:$X,MATCH($A117,SPPR!$A:$A,0),2),""),"")</f>
        <v/>
      </c>
      <c r="F117">
        <f>IFERROR(IF(ISNUMBER(INDEX(SPPR!$E:$X,MATCH($A117,SPPR!$A:$A,0),3)),$C117*INDEX(SPPR!$E:$X,MATCH($A117,SPPR!$A:$A,0),3),""),"")</f>
        <v/>
      </c>
      <c r="G117">
        <f>IFERROR(IF(ISNUMBER(INDEX(SPPR!$E:$X,MATCH($A117,SPPR!$A:$A,0),4)),$C117*INDEX(SPPR!$E:$X,MATCH($A117,SPPR!$A:$A,0),4),""),"")</f>
        <v/>
      </c>
      <c r="H117">
        <f>IFERROR(IF(ISNUMBER(INDEX(SPPR!$E:$X,MATCH($A117,SPPR!$A:$A,0),5)),$C117*INDEX(SPPR!$E:$X,MATCH($A117,SPPR!$A:$A,0),5),""),"")</f>
        <v/>
      </c>
      <c r="I117">
        <f>IFERROR(IF(ISNUMBER(INDEX(SPPR!$E:$X,MATCH($A117,SPPR!$A:$A,0),6)),$C117*INDEX(SPPR!$E:$X,MATCH($A117,SPPR!$A:$A,0),6),""),"")</f>
        <v/>
      </c>
      <c r="J117">
        <f>IFERROR(IF(ISNUMBER(INDEX(SPPR!$E:$X,MATCH($A117,SPPR!$A:$A,0),7)),$C117*INDEX(SPPR!$E:$X,MATCH($A117,SPPR!$A:$A,0),7),""),"")</f>
        <v/>
      </c>
      <c r="K117">
        <f>IFERROR(IF(ISNUMBER(INDEX(SPPR!$E:$X,MATCH($A117,SPPR!$A:$A,0),8)),$C117*INDEX(SPPR!$E:$X,MATCH($A117,SPPR!$A:$A,0),8),""),"")</f>
        <v/>
      </c>
      <c r="L117">
        <f>IFERROR(IF(ISNUMBER(INDEX(SPPR!$E:$X,MATCH($A117,SPPR!$A:$A,0),9)),$C117*INDEX(SPPR!$E:$X,MATCH($A117,SPPR!$A:$A,0),9),""),"")</f>
        <v/>
      </c>
      <c r="M117">
        <f>IFERROR(IF(ISNUMBER(INDEX(SPPR!$E:$X,MATCH($A117,SPPR!$A:$A,0),10)),$C117*INDEX(SPPR!$E:$X,MATCH($A117,SPPR!$A:$A,0),10),""),"")</f>
        <v/>
      </c>
      <c r="N117">
        <f>IFERROR(IF(ISNUMBER(INDEX(SPPR!$E:$X,MATCH($A117,SPPR!$A:$A,0),11)),$C117*INDEX(SPPR!$E:$X,MATCH($A117,SPPR!$A:$A,0),11),""),"")</f>
        <v/>
      </c>
      <c r="O117">
        <f>IFERROR(IF(ISNUMBER(INDEX(SPPR!$E:$X,MATCH($A117,SPPR!$A:$A,0),12)),$C117*INDEX(SPPR!$E:$X,MATCH($A117,SPPR!$A:$A,0),12),""),"")</f>
        <v/>
      </c>
      <c r="P117">
        <f>IFERROR(IF(ISNUMBER(INDEX(SPPR!$E:$X,MATCH($A117,SPPR!$A:$A,0),13)),$C117*INDEX(SPPR!$E:$X,MATCH($A117,SPPR!$A:$A,0),13),""),"")</f>
        <v/>
      </c>
      <c r="Q117">
        <f>IFERROR(IF(ISNUMBER(INDEX(SPPR!$E:$X,MATCH($A117,SPPR!$A:$A,0),14)),$C117*INDEX(SPPR!$E:$X,MATCH($A117,SPPR!$A:$A,0),14),""),"")</f>
        <v/>
      </c>
      <c r="R117">
        <f>IFERROR(IF(ISNUMBER(INDEX(SPPR!$E:$X,MATCH($A117,SPPR!$A:$A,0),15)),$C117*INDEX(SPPR!$E:$X,MATCH($A117,SPPR!$A:$A,0),15),""),"")</f>
        <v/>
      </c>
      <c r="S117">
        <f>IFERROR(IF(ISNUMBER(INDEX(SPPR!$E:$X,MATCH($A117,SPPR!$A:$A,0),16)),$C117*INDEX(SPPR!$E:$X,MATCH($A117,SPPR!$A:$A,0),16),""),"")</f>
        <v/>
      </c>
      <c r="T117">
        <f>IFERROR(IF(ISNUMBER(INDEX(SPPR!$E:$X,MATCH($A117,SPPR!$A:$A,0),17)),$C117*INDEX(SPPR!$E:$X,MATCH($A117,SPPR!$A:$A,0),17),""),"")</f>
        <v/>
      </c>
      <c r="U117">
        <f>IFERROR(IF(ISNUMBER(INDEX(SPPR!$E:$X,MATCH($A117,SPPR!$A:$A,0),18)),$C117*INDEX(SPPR!$E:$X,MATCH($A117,SPPR!$A:$A,0),18),""),"")</f>
        <v/>
      </c>
      <c r="V117">
        <f>IFERROR(IF(ISNUMBER(INDEX(SPPR!$E:$X,MATCH($A117,SPPR!$A:$A,0),19)),$C117*INDEX(SPPR!$E:$X,MATCH($A117,SPPR!$A:$A,0),19),""),"")</f>
        <v/>
      </c>
      <c r="W117">
        <f>IFERROR(IF(ISNUMBER(INDEX(SPPR!$E:$X,MATCH($A117,SPPR!$A:$A,0),20)),$C117*INDEX(SPPR!$E:$X,MATCH($A117,SPPR!$A:$A,0),20),""),"")</f>
        <v/>
      </c>
    </row>
    <row r="118">
      <c r="A118" t="inlineStr">
        <is>
          <t>Trichiurus</t>
        </is>
      </c>
      <c r="B118">
        <f>IFERROR(INDEX(SPPR!$D:$D,MATCH($A118,SPPR!$A:$A,0)),"")</f>
        <v/>
      </c>
      <c r="C118">
        <f>IFERROR(INDEX(Catch!$E:$BV,MATCH($A118,Catch!$A:$A,0),MATCH($B$4,Catch!$E$1:$BV$1,0)),0)</f>
        <v/>
      </c>
      <c r="D118">
        <f>IFERROR(IF(ISNUMBER(INDEX(SPPR!$E:$X,MATCH($A118,SPPR!$A:$A,0),1)),$C118*INDEX(SPPR!$E:$X,MATCH($A118,SPPR!$A:$A,0),1),""),"")</f>
        <v/>
      </c>
      <c r="E118">
        <f>IFERROR(IF(ISNUMBER(INDEX(SPPR!$E:$X,MATCH($A118,SPPR!$A:$A,0),2)),$C118*INDEX(SPPR!$E:$X,MATCH($A118,SPPR!$A:$A,0),2),""),"")</f>
        <v/>
      </c>
      <c r="F118">
        <f>IFERROR(IF(ISNUMBER(INDEX(SPPR!$E:$X,MATCH($A118,SPPR!$A:$A,0),3)),$C118*INDEX(SPPR!$E:$X,MATCH($A118,SPPR!$A:$A,0),3),""),"")</f>
        <v/>
      </c>
      <c r="G118">
        <f>IFERROR(IF(ISNUMBER(INDEX(SPPR!$E:$X,MATCH($A118,SPPR!$A:$A,0),4)),$C118*INDEX(SPPR!$E:$X,MATCH($A118,SPPR!$A:$A,0),4),""),"")</f>
        <v/>
      </c>
      <c r="H118">
        <f>IFERROR(IF(ISNUMBER(INDEX(SPPR!$E:$X,MATCH($A118,SPPR!$A:$A,0),5)),$C118*INDEX(SPPR!$E:$X,MATCH($A118,SPPR!$A:$A,0),5),""),"")</f>
        <v/>
      </c>
      <c r="I118">
        <f>IFERROR(IF(ISNUMBER(INDEX(SPPR!$E:$X,MATCH($A118,SPPR!$A:$A,0),6)),$C118*INDEX(SPPR!$E:$X,MATCH($A118,SPPR!$A:$A,0),6),""),"")</f>
        <v/>
      </c>
      <c r="J118">
        <f>IFERROR(IF(ISNUMBER(INDEX(SPPR!$E:$X,MATCH($A118,SPPR!$A:$A,0),7)),$C118*INDEX(SPPR!$E:$X,MATCH($A118,SPPR!$A:$A,0),7),""),"")</f>
        <v/>
      </c>
      <c r="K118">
        <f>IFERROR(IF(ISNUMBER(INDEX(SPPR!$E:$X,MATCH($A118,SPPR!$A:$A,0),8)),$C118*INDEX(SPPR!$E:$X,MATCH($A118,SPPR!$A:$A,0),8),""),"")</f>
        <v/>
      </c>
      <c r="L118">
        <f>IFERROR(IF(ISNUMBER(INDEX(SPPR!$E:$X,MATCH($A118,SPPR!$A:$A,0),9)),$C118*INDEX(SPPR!$E:$X,MATCH($A118,SPPR!$A:$A,0),9),""),"")</f>
        <v/>
      </c>
      <c r="M118">
        <f>IFERROR(IF(ISNUMBER(INDEX(SPPR!$E:$X,MATCH($A118,SPPR!$A:$A,0),10)),$C118*INDEX(SPPR!$E:$X,MATCH($A118,SPPR!$A:$A,0),10),""),"")</f>
        <v/>
      </c>
      <c r="N118">
        <f>IFERROR(IF(ISNUMBER(INDEX(SPPR!$E:$X,MATCH($A118,SPPR!$A:$A,0),11)),$C118*INDEX(SPPR!$E:$X,MATCH($A118,SPPR!$A:$A,0),11),""),"")</f>
        <v/>
      </c>
      <c r="O118">
        <f>IFERROR(IF(ISNUMBER(INDEX(SPPR!$E:$X,MATCH($A118,SPPR!$A:$A,0),12)),$C118*INDEX(SPPR!$E:$X,MATCH($A118,SPPR!$A:$A,0),12),""),"")</f>
        <v/>
      </c>
      <c r="P118">
        <f>IFERROR(IF(ISNUMBER(INDEX(SPPR!$E:$X,MATCH($A118,SPPR!$A:$A,0),13)),$C118*INDEX(SPPR!$E:$X,MATCH($A118,SPPR!$A:$A,0),13),""),"")</f>
        <v/>
      </c>
      <c r="Q118">
        <f>IFERROR(IF(ISNUMBER(INDEX(SPPR!$E:$X,MATCH($A118,SPPR!$A:$A,0),14)),$C118*INDEX(SPPR!$E:$X,MATCH($A118,SPPR!$A:$A,0),14),""),"")</f>
        <v/>
      </c>
      <c r="R118">
        <f>IFERROR(IF(ISNUMBER(INDEX(SPPR!$E:$X,MATCH($A118,SPPR!$A:$A,0),15)),$C118*INDEX(SPPR!$E:$X,MATCH($A118,SPPR!$A:$A,0),15),""),"")</f>
        <v/>
      </c>
      <c r="S118">
        <f>IFERROR(IF(ISNUMBER(INDEX(SPPR!$E:$X,MATCH($A118,SPPR!$A:$A,0),16)),$C118*INDEX(SPPR!$E:$X,MATCH($A118,SPPR!$A:$A,0),16),""),"")</f>
        <v/>
      </c>
      <c r="T118">
        <f>IFERROR(IF(ISNUMBER(INDEX(SPPR!$E:$X,MATCH($A118,SPPR!$A:$A,0),17)),$C118*INDEX(SPPR!$E:$X,MATCH($A118,SPPR!$A:$A,0),17),""),"")</f>
        <v/>
      </c>
      <c r="U118">
        <f>IFERROR(IF(ISNUMBER(INDEX(SPPR!$E:$X,MATCH($A118,SPPR!$A:$A,0),18)),$C118*INDEX(SPPR!$E:$X,MATCH($A118,SPPR!$A:$A,0),18),""),"")</f>
        <v/>
      </c>
      <c r="V118">
        <f>IFERROR(IF(ISNUMBER(INDEX(SPPR!$E:$X,MATCH($A118,SPPR!$A:$A,0),19)),$C118*INDEX(SPPR!$E:$X,MATCH($A118,SPPR!$A:$A,0),19),""),"")</f>
        <v/>
      </c>
      <c r="W118">
        <f>IFERROR(IF(ISNUMBER(INDEX(SPPR!$E:$X,MATCH($A118,SPPR!$A:$A,0),20)),$C118*INDEX(SPPR!$E:$X,MATCH($A118,SPPR!$A:$A,0),20),""),"")</f>
        <v/>
      </c>
    </row>
    <row r="119">
      <c r="A119" t="inlineStr">
        <is>
          <t>Sphyraena</t>
        </is>
      </c>
      <c r="B119">
        <f>IFERROR(INDEX(SPPR!$D:$D,MATCH($A119,SPPR!$A:$A,0)),"")</f>
        <v/>
      </c>
      <c r="C119">
        <f>IFERROR(INDEX(Catch!$E:$BV,MATCH($A119,Catch!$A:$A,0),MATCH($B$4,Catch!$E$1:$BV$1,0)),0)</f>
        <v/>
      </c>
      <c r="D119">
        <f>IFERROR(IF(ISNUMBER(INDEX(SPPR!$E:$X,MATCH($A119,SPPR!$A:$A,0),1)),$C119*INDEX(SPPR!$E:$X,MATCH($A119,SPPR!$A:$A,0),1),""),"")</f>
        <v/>
      </c>
      <c r="E119">
        <f>IFERROR(IF(ISNUMBER(INDEX(SPPR!$E:$X,MATCH($A119,SPPR!$A:$A,0),2)),$C119*INDEX(SPPR!$E:$X,MATCH($A119,SPPR!$A:$A,0),2),""),"")</f>
        <v/>
      </c>
      <c r="F119">
        <f>IFERROR(IF(ISNUMBER(INDEX(SPPR!$E:$X,MATCH($A119,SPPR!$A:$A,0),3)),$C119*INDEX(SPPR!$E:$X,MATCH($A119,SPPR!$A:$A,0),3),""),"")</f>
        <v/>
      </c>
      <c r="G119">
        <f>IFERROR(IF(ISNUMBER(INDEX(SPPR!$E:$X,MATCH($A119,SPPR!$A:$A,0),4)),$C119*INDEX(SPPR!$E:$X,MATCH($A119,SPPR!$A:$A,0),4),""),"")</f>
        <v/>
      </c>
      <c r="H119">
        <f>IFERROR(IF(ISNUMBER(INDEX(SPPR!$E:$X,MATCH($A119,SPPR!$A:$A,0),5)),$C119*INDEX(SPPR!$E:$X,MATCH($A119,SPPR!$A:$A,0),5),""),"")</f>
        <v/>
      </c>
      <c r="I119">
        <f>IFERROR(IF(ISNUMBER(INDEX(SPPR!$E:$X,MATCH($A119,SPPR!$A:$A,0),6)),$C119*INDEX(SPPR!$E:$X,MATCH($A119,SPPR!$A:$A,0),6),""),"")</f>
        <v/>
      </c>
      <c r="J119">
        <f>IFERROR(IF(ISNUMBER(INDEX(SPPR!$E:$X,MATCH($A119,SPPR!$A:$A,0),7)),$C119*INDEX(SPPR!$E:$X,MATCH($A119,SPPR!$A:$A,0),7),""),"")</f>
        <v/>
      </c>
      <c r="K119">
        <f>IFERROR(IF(ISNUMBER(INDEX(SPPR!$E:$X,MATCH($A119,SPPR!$A:$A,0),8)),$C119*INDEX(SPPR!$E:$X,MATCH($A119,SPPR!$A:$A,0),8),""),"")</f>
        <v/>
      </c>
      <c r="L119">
        <f>IFERROR(IF(ISNUMBER(INDEX(SPPR!$E:$X,MATCH($A119,SPPR!$A:$A,0),9)),$C119*INDEX(SPPR!$E:$X,MATCH($A119,SPPR!$A:$A,0),9),""),"")</f>
        <v/>
      </c>
      <c r="M119">
        <f>IFERROR(IF(ISNUMBER(INDEX(SPPR!$E:$X,MATCH($A119,SPPR!$A:$A,0),10)),$C119*INDEX(SPPR!$E:$X,MATCH($A119,SPPR!$A:$A,0),10),""),"")</f>
        <v/>
      </c>
      <c r="N119">
        <f>IFERROR(IF(ISNUMBER(INDEX(SPPR!$E:$X,MATCH($A119,SPPR!$A:$A,0),11)),$C119*INDEX(SPPR!$E:$X,MATCH($A119,SPPR!$A:$A,0),11),""),"")</f>
        <v/>
      </c>
      <c r="O119">
        <f>IFERROR(IF(ISNUMBER(INDEX(SPPR!$E:$X,MATCH($A119,SPPR!$A:$A,0),12)),$C119*INDEX(SPPR!$E:$X,MATCH($A119,SPPR!$A:$A,0),12),""),"")</f>
        <v/>
      </c>
      <c r="P119">
        <f>IFERROR(IF(ISNUMBER(INDEX(SPPR!$E:$X,MATCH($A119,SPPR!$A:$A,0),13)),$C119*INDEX(SPPR!$E:$X,MATCH($A119,SPPR!$A:$A,0),13),""),"")</f>
        <v/>
      </c>
      <c r="Q119">
        <f>IFERROR(IF(ISNUMBER(INDEX(SPPR!$E:$X,MATCH($A119,SPPR!$A:$A,0),14)),$C119*INDEX(SPPR!$E:$X,MATCH($A119,SPPR!$A:$A,0),14),""),"")</f>
        <v/>
      </c>
      <c r="R119">
        <f>IFERROR(IF(ISNUMBER(INDEX(SPPR!$E:$X,MATCH($A119,SPPR!$A:$A,0),15)),$C119*INDEX(SPPR!$E:$X,MATCH($A119,SPPR!$A:$A,0),15),""),"")</f>
        <v/>
      </c>
      <c r="S119">
        <f>IFERROR(IF(ISNUMBER(INDEX(SPPR!$E:$X,MATCH($A119,SPPR!$A:$A,0),16)),$C119*INDEX(SPPR!$E:$X,MATCH($A119,SPPR!$A:$A,0),16),""),"")</f>
        <v/>
      </c>
      <c r="T119">
        <f>IFERROR(IF(ISNUMBER(INDEX(SPPR!$E:$X,MATCH($A119,SPPR!$A:$A,0),17)),$C119*INDEX(SPPR!$E:$X,MATCH($A119,SPPR!$A:$A,0),17),""),"")</f>
        <v/>
      </c>
      <c r="U119">
        <f>IFERROR(IF(ISNUMBER(INDEX(SPPR!$E:$X,MATCH($A119,SPPR!$A:$A,0),18)),$C119*INDEX(SPPR!$E:$X,MATCH($A119,SPPR!$A:$A,0),18),""),"")</f>
        <v/>
      </c>
      <c r="V119">
        <f>IFERROR(IF(ISNUMBER(INDEX(SPPR!$E:$X,MATCH($A119,SPPR!$A:$A,0),19)),$C119*INDEX(SPPR!$E:$X,MATCH($A119,SPPR!$A:$A,0),19),""),"")</f>
        <v/>
      </c>
      <c r="W119">
        <f>IFERROR(IF(ISNUMBER(INDEX(SPPR!$E:$X,MATCH($A119,SPPR!$A:$A,0),20)),$C119*INDEX(SPPR!$E:$X,MATCH($A119,SPPR!$A:$A,0),20),""),"")</f>
        <v/>
      </c>
    </row>
    <row r="120">
      <c r="A120" t="inlineStr">
        <is>
          <t>Metapenaeus</t>
        </is>
      </c>
      <c r="B120">
        <f>IFERROR(INDEX(SPPR!$D:$D,MATCH($A120,SPPR!$A:$A,0)),"")</f>
        <v/>
      </c>
      <c r="C120">
        <f>IFERROR(INDEX(Catch!$E:$BV,MATCH($A120,Catch!$A:$A,0),MATCH($B$4,Catch!$E$1:$BV$1,0)),0)</f>
        <v/>
      </c>
      <c r="D120">
        <f>IFERROR(IF(ISNUMBER(INDEX(SPPR!$E:$X,MATCH($A120,SPPR!$A:$A,0),1)),$C120*INDEX(SPPR!$E:$X,MATCH($A120,SPPR!$A:$A,0),1),""),"")</f>
        <v/>
      </c>
      <c r="E120">
        <f>IFERROR(IF(ISNUMBER(INDEX(SPPR!$E:$X,MATCH($A120,SPPR!$A:$A,0),2)),$C120*INDEX(SPPR!$E:$X,MATCH($A120,SPPR!$A:$A,0),2),""),"")</f>
        <v/>
      </c>
      <c r="F120">
        <f>IFERROR(IF(ISNUMBER(INDEX(SPPR!$E:$X,MATCH($A120,SPPR!$A:$A,0),3)),$C120*INDEX(SPPR!$E:$X,MATCH($A120,SPPR!$A:$A,0),3),""),"")</f>
        <v/>
      </c>
      <c r="G120">
        <f>IFERROR(IF(ISNUMBER(INDEX(SPPR!$E:$X,MATCH($A120,SPPR!$A:$A,0),4)),$C120*INDEX(SPPR!$E:$X,MATCH($A120,SPPR!$A:$A,0),4),""),"")</f>
        <v/>
      </c>
      <c r="H120">
        <f>IFERROR(IF(ISNUMBER(INDEX(SPPR!$E:$X,MATCH($A120,SPPR!$A:$A,0),5)),$C120*INDEX(SPPR!$E:$X,MATCH($A120,SPPR!$A:$A,0),5),""),"")</f>
        <v/>
      </c>
      <c r="I120">
        <f>IFERROR(IF(ISNUMBER(INDEX(SPPR!$E:$X,MATCH($A120,SPPR!$A:$A,0),6)),$C120*INDEX(SPPR!$E:$X,MATCH($A120,SPPR!$A:$A,0),6),""),"")</f>
        <v/>
      </c>
      <c r="J120">
        <f>IFERROR(IF(ISNUMBER(INDEX(SPPR!$E:$X,MATCH($A120,SPPR!$A:$A,0),7)),$C120*INDEX(SPPR!$E:$X,MATCH($A120,SPPR!$A:$A,0),7),""),"")</f>
        <v/>
      </c>
      <c r="K120">
        <f>IFERROR(IF(ISNUMBER(INDEX(SPPR!$E:$X,MATCH($A120,SPPR!$A:$A,0),8)),$C120*INDEX(SPPR!$E:$X,MATCH($A120,SPPR!$A:$A,0),8),""),"")</f>
        <v/>
      </c>
      <c r="L120">
        <f>IFERROR(IF(ISNUMBER(INDEX(SPPR!$E:$X,MATCH($A120,SPPR!$A:$A,0),9)),$C120*INDEX(SPPR!$E:$X,MATCH($A120,SPPR!$A:$A,0),9),""),"")</f>
        <v/>
      </c>
      <c r="M120">
        <f>IFERROR(IF(ISNUMBER(INDEX(SPPR!$E:$X,MATCH($A120,SPPR!$A:$A,0),10)),$C120*INDEX(SPPR!$E:$X,MATCH($A120,SPPR!$A:$A,0),10),""),"")</f>
        <v/>
      </c>
      <c r="N120">
        <f>IFERROR(IF(ISNUMBER(INDEX(SPPR!$E:$X,MATCH($A120,SPPR!$A:$A,0),11)),$C120*INDEX(SPPR!$E:$X,MATCH($A120,SPPR!$A:$A,0),11),""),"")</f>
        <v/>
      </c>
      <c r="O120">
        <f>IFERROR(IF(ISNUMBER(INDEX(SPPR!$E:$X,MATCH($A120,SPPR!$A:$A,0),12)),$C120*INDEX(SPPR!$E:$X,MATCH($A120,SPPR!$A:$A,0),12),""),"")</f>
        <v/>
      </c>
      <c r="P120">
        <f>IFERROR(IF(ISNUMBER(INDEX(SPPR!$E:$X,MATCH($A120,SPPR!$A:$A,0),13)),$C120*INDEX(SPPR!$E:$X,MATCH($A120,SPPR!$A:$A,0),13),""),"")</f>
        <v/>
      </c>
      <c r="Q120">
        <f>IFERROR(IF(ISNUMBER(INDEX(SPPR!$E:$X,MATCH($A120,SPPR!$A:$A,0),14)),$C120*INDEX(SPPR!$E:$X,MATCH($A120,SPPR!$A:$A,0),14),""),"")</f>
        <v/>
      </c>
      <c r="R120">
        <f>IFERROR(IF(ISNUMBER(INDEX(SPPR!$E:$X,MATCH($A120,SPPR!$A:$A,0),15)),$C120*INDEX(SPPR!$E:$X,MATCH($A120,SPPR!$A:$A,0),15),""),"")</f>
        <v/>
      </c>
      <c r="S120">
        <f>IFERROR(IF(ISNUMBER(INDEX(SPPR!$E:$X,MATCH($A120,SPPR!$A:$A,0),16)),$C120*INDEX(SPPR!$E:$X,MATCH($A120,SPPR!$A:$A,0),16),""),"")</f>
        <v/>
      </c>
      <c r="T120">
        <f>IFERROR(IF(ISNUMBER(INDEX(SPPR!$E:$X,MATCH($A120,SPPR!$A:$A,0),17)),$C120*INDEX(SPPR!$E:$X,MATCH($A120,SPPR!$A:$A,0),17),""),"")</f>
        <v/>
      </c>
      <c r="U120">
        <f>IFERROR(IF(ISNUMBER(INDEX(SPPR!$E:$X,MATCH($A120,SPPR!$A:$A,0),18)),$C120*INDEX(SPPR!$E:$X,MATCH($A120,SPPR!$A:$A,0),18),""),"")</f>
        <v/>
      </c>
      <c r="V120">
        <f>IFERROR(IF(ISNUMBER(INDEX(SPPR!$E:$X,MATCH($A120,SPPR!$A:$A,0),19)),$C120*INDEX(SPPR!$E:$X,MATCH($A120,SPPR!$A:$A,0),19),""),"")</f>
        <v/>
      </c>
      <c r="W120">
        <f>IFERROR(IF(ISNUMBER(INDEX(SPPR!$E:$X,MATCH($A120,SPPR!$A:$A,0),20)),$C120*INDEX(SPPR!$E:$X,MATCH($A120,SPPR!$A:$A,0),20),""),"")</f>
        <v/>
      </c>
    </row>
    <row r="121">
      <c r="A121" t="inlineStr">
        <is>
          <t>Pennahia</t>
        </is>
      </c>
      <c r="B121">
        <f>IFERROR(INDEX(SPPR!$D:$D,MATCH($A121,SPPR!$A:$A,0)),"")</f>
        <v/>
      </c>
      <c r="C121">
        <f>IFERROR(INDEX(Catch!$E:$BV,MATCH($A121,Catch!$A:$A,0),MATCH($B$4,Catch!$E$1:$BV$1,0)),0)</f>
        <v/>
      </c>
      <c r="D121">
        <f>IFERROR(IF(ISNUMBER(INDEX(SPPR!$E:$X,MATCH($A121,SPPR!$A:$A,0),1)),$C121*INDEX(SPPR!$E:$X,MATCH($A121,SPPR!$A:$A,0),1),""),"")</f>
        <v/>
      </c>
      <c r="E121">
        <f>IFERROR(IF(ISNUMBER(INDEX(SPPR!$E:$X,MATCH($A121,SPPR!$A:$A,0),2)),$C121*INDEX(SPPR!$E:$X,MATCH($A121,SPPR!$A:$A,0),2),""),"")</f>
        <v/>
      </c>
      <c r="F121">
        <f>IFERROR(IF(ISNUMBER(INDEX(SPPR!$E:$X,MATCH($A121,SPPR!$A:$A,0),3)),$C121*INDEX(SPPR!$E:$X,MATCH($A121,SPPR!$A:$A,0),3),""),"")</f>
        <v/>
      </c>
      <c r="G121">
        <f>IFERROR(IF(ISNUMBER(INDEX(SPPR!$E:$X,MATCH($A121,SPPR!$A:$A,0),4)),$C121*INDEX(SPPR!$E:$X,MATCH($A121,SPPR!$A:$A,0),4),""),"")</f>
        <v/>
      </c>
      <c r="H121">
        <f>IFERROR(IF(ISNUMBER(INDEX(SPPR!$E:$X,MATCH($A121,SPPR!$A:$A,0),5)),$C121*INDEX(SPPR!$E:$X,MATCH($A121,SPPR!$A:$A,0),5),""),"")</f>
        <v/>
      </c>
      <c r="I121">
        <f>IFERROR(IF(ISNUMBER(INDEX(SPPR!$E:$X,MATCH($A121,SPPR!$A:$A,0),6)),$C121*INDEX(SPPR!$E:$X,MATCH($A121,SPPR!$A:$A,0),6),""),"")</f>
        <v/>
      </c>
      <c r="J121">
        <f>IFERROR(IF(ISNUMBER(INDEX(SPPR!$E:$X,MATCH($A121,SPPR!$A:$A,0),7)),$C121*INDEX(SPPR!$E:$X,MATCH($A121,SPPR!$A:$A,0),7),""),"")</f>
        <v/>
      </c>
      <c r="K121">
        <f>IFERROR(IF(ISNUMBER(INDEX(SPPR!$E:$X,MATCH($A121,SPPR!$A:$A,0),8)),$C121*INDEX(SPPR!$E:$X,MATCH($A121,SPPR!$A:$A,0),8),""),"")</f>
        <v/>
      </c>
      <c r="L121">
        <f>IFERROR(IF(ISNUMBER(INDEX(SPPR!$E:$X,MATCH($A121,SPPR!$A:$A,0),9)),$C121*INDEX(SPPR!$E:$X,MATCH($A121,SPPR!$A:$A,0),9),""),"")</f>
        <v/>
      </c>
      <c r="M121">
        <f>IFERROR(IF(ISNUMBER(INDEX(SPPR!$E:$X,MATCH($A121,SPPR!$A:$A,0),10)),$C121*INDEX(SPPR!$E:$X,MATCH($A121,SPPR!$A:$A,0),10),""),"")</f>
        <v/>
      </c>
      <c r="N121">
        <f>IFERROR(IF(ISNUMBER(INDEX(SPPR!$E:$X,MATCH($A121,SPPR!$A:$A,0),11)),$C121*INDEX(SPPR!$E:$X,MATCH($A121,SPPR!$A:$A,0),11),""),"")</f>
        <v/>
      </c>
      <c r="O121">
        <f>IFERROR(IF(ISNUMBER(INDEX(SPPR!$E:$X,MATCH($A121,SPPR!$A:$A,0),12)),$C121*INDEX(SPPR!$E:$X,MATCH($A121,SPPR!$A:$A,0),12),""),"")</f>
        <v/>
      </c>
      <c r="P121">
        <f>IFERROR(IF(ISNUMBER(INDEX(SPPR!$E:$X,MATCH($A121,SPPR!$A:$A,0),13)),$C121*INDEX(SPPR!$E:$X,MATCH($A121,SPPR!$A:$A,0),13),""),"")</f>
        <v/>
      </c>
      <c r="Q121">
        <f>IFERROR(IF(ISNUMBER(INDEX(SPPR!$E:$X,MATCH($A121,SPPR!$A:$A,0),14)),$C121*INDEX(SPPR!$E:$X,MATCH($A121,SPPR!$A:$A,0),14),""),"")</f>
        <v/>
      </c>
      <c r="R121">
        <f>IFERROR(IF(ISNUMBER(INDEX(SPPR!$E:$X,MATCH($A121,SPPR!$A:$A,0),15)),$C121*INDEX(SPPR!$E:$X,MATCH($A121,SPPR!$A:$A,0),15),""),"")</f>
        <v/>
      </c>
      <c r="S121">
        <f>IFERROR(IF(ISNUMBER(INDEX(SPPR!$E:$X,MATCH($A121,SPPR!$A:$A,0),16)),$C121*INDEX(SPPR!$E:$X,MATCH($A121,SPPR!$A:$A,0),16),""),"")</f>
        <v/>
      </c>
      <c r="T121">
        <f>IFERROR(IF(ISNUMBER(INDEX(SPPR!$E:$X,MATCH($A121,SPPR!$A:$A,0),17)),$C121*INDEX(SPPR!$E:$X,MATCH($A121,SPPR!$A:$A,0),17),""),"")</f>
        <v/>
      </c>
      <c r="U121">
        <f>IFERROR(IF(ISNUMBER(INDEX(SPPR!$E:$X,MATCH($A121,SPPR!$A:$A,0),18)),$C121*INDEX(SPPR!$E:$X,MATCH($A121,SPPR!$A:$A,0),18),""),"")</f>
        <v/>
      </c>
      <c r="V121">
        <f>IFERROR(IF(ISNUMBER(INDEX(SPPR!$E:$X,MATCH($A121,SPPR!$A:$A,0),19)),$C121*INDEX(SPPR!$E:$X,MATCH($A121,SPPR!$A:$A,0),19),""),"")</f>
        <v/>
      </c>
      <c r="W121">
        <f>IFERROR(IF(ISNUMBER(INDEX(SPPR!$E:$X,MATCH($A121,SPPR!$A:$A,0),20)),$C121*INDEX(SPPR!$E:$X,MATCH($A121,SPPR!$A:$A,0),20),""),"")</f>
        <v/>
      </c>
    </row>
    <row r="122">
      <c r="A122" t="inlineStr">
        <is>
          <t>Selar crumenophthalmus</t>
        </is>
      </c>
      <c r="B122">
        <f>IFERROR(INDEX(SPPR!$D:$D,MATCH($A122,SPPR!$A:$A,0)),"")</f>
        <v/>
      </c>
      <c r="C122">
        <f>IFERROR(INDEX(Catch!$E:$BV,MATCH($A122,Catch!$A:$A,0),MATCH($B$4,Catch!$E$1:$BV$1,0)),0)</f>
        <v/>
      </c>
      <c r="D122">
        <f>IFERROR(IF(ISNUMBER(INDEX(SPPR!$E:$X,MATCH($A122,SPPR!$A:$A,0),1)),$C122*INDEX(SPPR!$E:$X,MATCH($A122,SPPR!$A:$A,0),1),""),"")</f>
        <v/>
      </c>
      <c r="E122">
        <f>IFERROR(IF(ISNUMBER(INDEX(SPPR!$E:$X,MATCH($A122,SPPR!$A:$A,0),2)),$C122*INDEX(SPPR!$E:$X,MATCH($A122,SPPR!$A:$A,0),2),""),"")</f>
        <v/>
      </c>
      <c r="F122">
        <f>IFERROR(IF(ISNUMBER(INDEX(SPPR!$E:$X,MATCH($A122,SPPR!$A:$A,0),3)),$C122*INDEX(SPPR!$E:$X,MATCH($A122,SPPR!$A:$A,0),3),""),"")</f>
        <v/>
      </c>
      <c r="G122">
        <f>IFERROR(IF(ISNUMBER(INDEX(SPPR!$E:$X,MATCH($A122,SPPR!$A:$A,0),4)),$C122*INDEX(SPPR!$E:$X,MATCH($A122,SPPR!$A:$A,0),4),""),"")</f>
        <v/>
      </c>
      <c r="H122">
        <f>IFERROR(IF(ISNUMBER(INDEX(SPPR!$E:$X,MATCH($A122,SPPR!$A:$A,0),5)),$C122*INDEX(SPPR!$E:$X,MATCH($A122,SPPR!$A:$A,0),5),""),"")</f>
        <v/>
      </c>
      <c r="I122">
        <f>IFERROR(IF(ISNUMBER(INDEX(SPPR!$E:$X,MATCH($A122,SPPR!$A:$A,0),6)),$C122*INDEX(SPPR!$E:$X,MATCH($A122,SPPR!$A:$A,0),6),""),"")</f>
        <v/>
      </c>
      <c r="J122">
        <f>IFERROR(IF(ISNUMBER(INDEX(SPPR!$E:$X,MATCH($A122,SPPR!$A:$A,0),7)),$C122*INDEX(SPPR!$E:$X,MATCH($A122,SPPR!$A:$A,0),7),""),"")</f>
        <v/>
      </c>
      <c r="K122">
        <f>IFERROR(IF(ISNUMBER(INDEX(SPPR!$E:$X,MATCH($A122,SPPR!$A:$A,0),8)),$C122*INDEX(SPPR!$E:$X,MATCH($A122,SPPR!$A:$A,0),8),""),"")</f>
        <v/>
      </c>
      <c r="L122">
        <f>IFERROR(IF(ISNUMBER(INDEX(SPPR!$E:$X,MATCH($A122,SPPR!$A:$A,0),9)),$C122*INDEX(SPPR!$E:$X,MATCH($A122,SPPR!$A:$A,0),9),""),"")</f>
        <v/>
      </c>
      <c r="M122">
        <f>IFERROR(IF(ISNUMBER(INDEX(SPPR!$E:$X,MATCH($A122,SPPR!$A:$A,0),10)),$C122*INDEX(SPPR!$E:$X,MATCH($A122,SPPR!$A:$A,0),10),""),"")</f>
        <v/>
      </c>
      <c r="N122">
        <f>IFERROR(IF(ISNUMBER(INDEX(SPPR!$E:$X,MATCH($A122,SPPR!$A:$A,0),11)),$C122*INDEX(SPPR!$E:$X,MATCH($A122,SPPR!$A:$A,0),11),""),"")</f>
        <v/>
      </c>
      <c r="O122">
        <f>IFERROR(IF(ISNUMBER(INDEX(SPPR!$E:$X,MATCH($A122,SPPR!$A:$A,0),12)),$C122*INDEX(SPPR!$E:$X,MATCH($A122,SPPR!$A:$A,0),12),""),"")</f>
        <v/>
      </c>
      <c r="P122">
        <f>IFERROR(IF(ISNUMBER(INDEX(SPPR!$E:$X,MATCH($A122,SPPR!$A:$A,0),13)),$C122*INDEX(SPPR!$E:$X,MATCH($A122,SPPR!$A:$A,0),13),""),"")</f>
        <v/>
      </c>
      <c r="Q122">
        <f>IFERROR(IF(ISNUMBER(INDEX(SPPR!$E:$X,MATCH($A122,SPPR!$A:$A,0),14)),$C122*INDEX(SPPR!$E:$X,MATCH($A122,SPPR!$A:$A,0),14),""),"")</f>
        <v/>
      </c>
      <c r="R122">
        <f>IFERROR(IF(ISNUMBER(INDEX(SPPR!$E:$X,MATCH($A122,SPPR!$A:$A,0),15)),$C122*INDEX(SPPR!$E:$X,MATCH($A122,SPPR!$A:$A,0),15),""),"")</f>
        <v/>
      </c>
      <c r="S122">
        <f>IFERROR(IF(ISNUMBER(INDEX(SPPR!$E:$X,MATCH($A122,SPPR!$A:$A,0),16)),$C122*INDEX(SPPR!$E:$X,MATCH($A122,SPPR!$A:$A,0),16),""),"")</f>
        <v/>
      </c>
      <c r="T122">
        <f>IFERROR(IF(ISNUMBER(INDEX(SPPR!$E:$X,MATCH($A122,SPPR!$A:$A,0),17)),$C122*INDEX(SPPR!$E:$X,MATCH($A122,SPPR!$A:$A,0),17),""),"")</f>
        <v/>
      </c>
      <c r="U122">
        <f>IFERROR(IF(ISNUMBER(INDEX(SPPR!$E:$X,MATCH($A122,SPPR!$A:$A,0),18)),$C122*INDEX(SPPR!$E:$X,MATCH($A122,SPPR!$A:$A,0),18),""),"")</f>
        <v/>
      </c>
      <c r="V122">
        <f>IFERROR(IF(ISNUMBER(INDEX(SPPR!$E:$X,MATCH($A122,SPPR!$A:$A,0),19)),$C122*INDEX(SPPR!$E:$X,MATCH($A122,SPPR!$A:$A,0),19),""),"")</f>
        <v/>
      </c>
      <c r="W122">
        <f>IFERROR(IF(ISNUMBER(INDEX(SPPR!$E:$X,MATCH($A122,SPPR!$A:$A,0),20)),$C122*INDEX(SPPR!$E:$X,MATCH($A122,SPPR!$A:$A,0),20),""),"")</f>
        <v/>
      </c>
    </row>
    <row r="123">
      <c r="A123" t="inlineStr">
        <is>
          <t>Penaeus</t>
        </is>
      </c>
      <c r="B123">
        <f>IFERROR(INDEX(SPPR!$D:$D,MATCH($A123,SPPR!$A:$A,0)),"")</f>
        <v/>
      </c>
      <c r="C123">
        <f>IFERROR(INDEX(Catch!$E:$BV,MATCH($A123,Catch!$A:$A,0),MATCH($B$4,Catch!$E$1:$BV$1,0)),0)</f>
        <v/>
      </c>
      <c r="D123">
        <f>IFERROR(IF(ISNUMBER(INDEX(SPPR!$E:$X,MATCH($A123,SPPR!$A:$A,0),1)),$C123*INDEX(SPPR!$E:$X,MATCH($A123,SPPR!$A:$A,0),1),""),"")</f>
        <v/>
      </c>
      <c r="E123">
        <f>IFERROR(IF(ISNUMBER(INDEX(SPPR!$E:$X,MATCH($A123,SPPR!$A:$A,0),2)),$C123*INDEX(SPPR!$E:$X,MATCH($A123,SPPR!$A:$A,0),2),""),"")</f>
        <v/>
      </c>
      <c r="F123">
        <f>IFERROR(IF(ISNUMBER(INDEX(SPPR!$E:$X,MATCH($A123,SPPR!$A:$A,0),3)),$C123*INDEX(SPPR!$E:$X,MATCH($A123,SPPR!$A:$A,0),3),""),"")</f>
        <v/>
      </c>
      <c r="G123">
        <f>IFERROR(IF(ISNUMBER(INDEX(SPPR!$E:$X,MATCH($A123,SPPR!$A:$A,0),4)),$C123*INDEX(SPPR!$E:$X,MATCH($A123,SPPR!$A:$A,0),4),""),"")</f>
        <v/>
      </c>
      <c r="H123">
        <f>IFERROR(IF(ISNUMBER(INDEX(SPPR!$E:$X,MATCH($A123,SPPR!$A:$A,0),5)),$C123*INDEX(SPPR!$E:$X,MATCH($A123,SPPR!$A:$A,0),5),""),"")</f>
        <v/>
      </c>
      <c r="I123">
        <f>IFERROR(IF(ISNUMBER(INDEX(SPPR!$E:$X,MATCH($A123,SPPR!$A:$A,0),6)),$C123*INDEX(SPPR!$E:$X,MATCH($A123,SPPR!$A:$A,0),6),""),"")</f>
        <v/>
      </c>
      <c r="J123">
        <f>IFERROR(IF(ISNUMBER(INDEX(SPPR!$E:$X,MATCH($A123,SPPR!$A:$A,0),7)),$C123*INDEX(SPPR!$E:$X,MATCH($A123,SPPR!$A:$A,0),7),""),"")</f>
        <v/>
      </c>
      <c r="K123">
        <f>IFERROR(IF(ISNUMBER(INDEX(SPPR!$E:$X,MATCH($A123,SPPR!$A:$A,0),8)),$C123*INDEX(SPPR!$E:$X,MATCH($A123,SPPR!$A:$A,0),8),""),"")</f>
        <v/>
      </c>
      <c r="L123">
        <f>IFERROR(IF(ISNUMBER(INDEX(SPPR!$E:$X,MATCH($A123,SPPR!$A:$A,0),9)),$C123*INDEX(SPPR!$E:$X,MATCH($A123,SPPR!$A:$A,0),9),""),"")</f>
        <v/>
      </c>
      <c r="M123">
        <f>IFERROR(IF(ISNUMBER(INDEX(SPPR!$E:$X,MATCH($A123,SPPR!$A:$A,0),10)),$C123*INDEX(SPPR!$E:$X,MATCH($A123,SPPR!$A:$A,0),10),""),"")</f>
        <v/>
      </c>
      <c r="N123">
        <f>IFERROR(IF(ISNUMBER(INDEX(SPPR!$E:$X,MATCH($A123,SPPR!$A:$A,0),11)),$C123*INDEX(SPPR!$E:$X,MATCH($A123,SPPR!$A:$A,0),11),""),"")</f>
        <v/>
      </c>
      <c r="O123">
        <f>IFERROR(IF(ISNUMBER(INDEX(SPPR!$E:$X,MATCH($A123,SPPR!$A:$A,0),12)),$C123*INDEX(SPPR!$E:$X,MATCH($A123,SPPR!$A:$A,0),12),""),"")</f>
        <v/>
      </c>
      <c r="P123">
        <f>IFERROR(IF(ISNUMBER(INDEX(SPPR!$E:$X,MATCH($A123,SPPR!$A:$A,0),13)),$C123*INDEX(SPPR!$E:$X,MATCH($A123,SPPR!$A:$A,0),13),""),"")</f>
        <v/>
      </c>
      <c r="Q123">
        <f>IFERROR(IF(ISNUMBER(INDEX(SPPR!$E:$X,MATCH($A123,SPPR!$A:$A,0),14)),$C123*INDEX(SPPR!$E:$X,MATCH($A123,SPPR!$A:$A,0),14),""),"")</f>
        <v/>
      </c>
      <c r="R123">
        <f>IFERROR(IF(ISNUMBER(INDEX(SPPR!$E:$X,MATCH($A123,SPPR!$A:$A,0),15)),$C123*INDEX(SPPR!$E:$X,MATCH($A123,SPPR!$A:$A,0),15),""),"")</f>
        <v/>
      </c>
      <c r="S123">
        <f>IFERROR(IF(ISNUMBER(INDEX(SPPR!$E:$X,MATCH($A123,SPPR!$A:$A,0),16)),$C123*INDEX(SPPR!$E:$X,MATCH($A123,SPPR!$A:$A,0),16),""),"")</f>
        <v/>
      </c>
      <c r="T123">
        <f>IFERROR(IF(ISNUMBER(INDEX(SPPR!$E:$X,MATCH($A123,SPPR!$A:$A,0),17)),$C123*INDEX(SPPR!$E:$X,MATCH($A123,SPPR!$A:$A,0),17),""),"")</f>
        <v/>
      </c>
      <c r="U123">
        <f>IFERROR(IF(ISNUMBER(INDEX(SPPR!$E:$X,MATCH($A123,SPPR!$A:$A,0),18)),$C123*INDEX(SPPR!$E:$X,MATCH($A123,SPPR!$A:$A,0),18),""),"")</f>
        <v/>
      </c>
      <c r="V123">
        <f>IFERROR(IF(ISNUMBER(INDEX(SPPR!$E:$X,MATCH($A123,SPPR!$A:$A,0),19)),$C123*INDEX(SPPR!$E:$X,MATCH($A123,SPPR!$A:$A,0),19),""),"")</f>
        <v/>
      </c>
      <c r="W123">
        <f>IFERROR(IF(ISNUMBER(INDEX(SPPR!$E:$X,MATCH($A123,SPPR!$A:$A,0),20)),$C123*INDEX(SPPR!$E:$X,MATCH($A123,SPPR!$A:$A,0),20),""),"")</f>
        <v/>
      </c>
    </row>
    <row r="124">
      <c r="A124" t="inlineStr">
        <is>
          <t>Himantura</t>
        </is>
      </c>
      <c r="B124">
        <f>IFERROR(INDEX(SPPR!$D:$D,MATCH($A124,SPPR!$A:$A,0)),"")</f>
        <v/>
      </c>
      <c r="C124">
        <f>IFERROR(INDEX(Catch!$E:$BV,MATCH($A124,Catch!$A:$A,0),MATCH($B$4,Catch!$E$1:$BV$1,0)),0)</f>
        <v/>
      </c>
      <c r="D124">
        <f>IFERROR(IF(ISNUMBER(INDEX(SPPR!$E:$X,MATCH($A124,SPPR!$A:$A,0),1)),$C124*INDEX(SPPR!$E:$X,MATCH($A124,SPPR!$A:$A,0),1),""),"")</f>
        <v/>
      </c>
      <c r="E124">
        <f>IFERROR(IF(ISNUMBER(INDEX(SPPR!$E:$X,MATCH($A124,SPPR!$A:$A,0),2)),$C124*INDEX(SPPR!$E:$X,MATCH($A124,SPPR!$A:$A,0),2),""),"")</f>
        <v/>
      </c>
      <c r="F124">
        <f>IFERROR(IF(ISNUMBER(INDEX(SPPR!$E:$X,MATCH($A124,SPPR!$A:$A,0),3)),$C124*INDEX(SPPR!$E:$X,MATCH($A124,SPPR!$A:$A,0),3),""),"")</f>
        <v/>
      </c>
      <c r="G124">
        <f>IFERROR(IF(ISNUMBER(INDEX(SPPR!$E:$X,MATCH($A124,SPPR!$A:$A,0),4)),$C124*INDEX(SPPR!$E:$X,MATCH($A124,SPPR!$A:$A,0),4),""),"")</f>
        <v/>
      </c>
      <c r="H124">
        <f>IFERROR(IF(ISNUMBER(INDEX(SPPR!$E:$X,MATCH($A124,SPPR!$A:$A,0),5)),$C124*INDEX(SPPR!$E:$X,MATCH($A124,SPPR!$A:$A,0),5),""),"")</f>
        <v/>
      </c>
      <c r="I124">
        <f>IFERROR(IF(ISNUMBER(INDEX(SPPR!$E:$X,MATCH($A124,SPPR!$A:$A,0),6)),$C124*INDEX(SPPR!$E:$X,MATCH($A124,SPPR!$A:$A,0),6),""),"")</f>
        <v/>
      </c>
      <c r="J124">
        <f>IFERROR(IF(ISNUMBER(INDEX(SPPR!$E:$X,MATCH($A124,SPPR!$A:$A,0),7)),$C124*INDEX(SPPR!$E:$X,MATCH($A124,SPPR!$A:$A,0),7),""),"")</f>
        <v/>
      </c>
      <c r="K124">
        <f>IFERROR(IF(ISNUMBER(INDEX(SPPR!$E:$X,MATCH($A124,SPPR!$A:$A,0),8)),$C124*INDEX(SPPR!$E:$X,MATCH($A124,SPPR!$A:$A,0),8),""),"")</f>
        <v/>
      </c>
      <c r="L124">
        <f>IFERROR(IF(ISNUMBER(INDEX(SPPR!$E:$X,MATCH($A124,SPPR!$A:$A,0),9)),$C124*INDEX(SPPR!$E:$X,MATCH($A124,SPPR!$A:$A,0),9),""),"")</f>
        <v/>
      </c>
      <c r="M124">
        <f>IFERROR(IF(ISNUMBER(INDEX(SPPR!$E:$X,MATCH($A124,SPPR!$A:$A,0),10)),$C124*INDEX(SPPR!$E:$X,MATCH($A124,SPPR!$A:$A,0),10),""),"")</f>
        <v/>
      </c>
      <c r="N124">
        <f>IFERROR(IF(ISNUMBER(INDEX(SPPR!$E:$X,MATCH($A124,SPPR!$A:$A,0),11)),$C124*INDEX(SPPR!$E:$X,MATCH($A124,SPPR!$A:$A,0),11),""),"")</f>
        <v/>
      </c>
      <c r="O124">
        <f>IFERROR(IF(ISNUMBER(INDEX(SPPR!$E:$X,MATCH($A124,SPPR!$A:$A,0),12)),$C124*INDEX(SPPR!$E:$X,MATCH($A124,SPPR!$A:$A,0),12),""),"")</f>
        <v/>
      </c>
      <c r="P124">
        <f>IFERROR(IF(ISNUMBER(INDEX(SPPR!$E:$X,MATCH($A124,SPPR!$A:$A,0),13)),$C124*INDEX(SPPR!$E:$X,MATCH($A124,SPPR!$A:$A,0),13),""),"")</f>
        <v/>
      </c>
      <c r="Q124">
        <f>IFERROR(IF(ISNUMBER(INDEX(SPPR!$E:$X,MATCH($A124,SPPR!$A:$A,0),14)),$C124*INDEX(SPPR!$E:$X,MATCH($A124,SPPR!$A:$A,0),14),""),"")</f>
        <v/>
      </c>
      <c r="R124">
        <f>IFERROR(IF(ISNUMBER(INDEX(SPPR!$E:$X,MATCH($A124,SPPR!$A:$A,0),15)),$C124*INDEX(SPPR!$E:$X,MATCH($A124,SPPR!$A:$A,0),15),""),"")</f>
        <v/>
      </c>
      <c r="S124">
        <f>IFERROR(IF(ISNUMBER(INDEX(SPPR!$E:$X,MATCH($A124,SPPR!$A:$A,0),16)),$C124*INDEX(SPPR!$E:$X,MATCH($A124,SPPR!$A:$A,0),16),""),"")</f>
        <v/>
      </c>
      <c r="T124">
        <f>IFERROR(IF(ISNUMBER(INDEX(SPPR!$E:$X,MATCH($A124,SPPR!$A:$A,0),17)),$C124*INDEX(SPPR!$E:$X,MATCH($A124,SPPR!$A:$A,0),17),""),"")</f>
        <v/>
      </c>
      <c r="U124">
        <f>IFERROR(IF(ISNUMBER(INDEX(SPPR!$E:$X,MATCH($A124,SPPR!$A:$A,0),18)),$C124*INDEX(SPPR!$E:$X,MATCH($A124,SPPR!$A:$A,0),18),""),"")</f>
        <v/>
      </c>
      <c r="V124">
        <f>IFERROR(IF(ISNUMBER(INDEX(SPPR!$E:$X,MATCH($A124,SPPR!$A:$A,0),19)),$C124*INDEX(SPPR!$E:$X,MATCH($A124,SPPR!$A:$A,0),19),""),"")</f>
        <v/>
      </c>
      <c r="W124">
        <f>IFERROR(IF(ISNUMBER(INDEX(SPPR!$E:$X,MATCH($A124,SPPR!$A:$A,0),20)),$C124*INDEX(SPPR!$E:$X,MATCH($A124,SPPR!$A:$A,0),20),""),"")</f>
        <v/>
      </c>
    </row>
    <row r="125">
      <c r="A125" t="inlineStr">
        <is>
          <t>Menidae</t>
        </is>
      </c>
      <c r="B125">
        <f>IFERROR(INDEX(SPPR!$D:$D,MATCH($A125,SPPR!$A:$A,0)),"")</f>
        <v/>
      </c>
      <c r="C125">
        <f>IFERROR(INDEX(Catch!$E:$BV,MATCH($A125,Catch!$A:$A,0),MATCH($B$4,Catch!$E$1:$BV$1,0)),0)</f>
        <v/>
      </c>
      <c r="D125">
        <f>IFERROR(IF(ISNUMBER(INDEX(SPPR!$E:$X,MATCH($A125,SPPR!$A:$A,0),1)),$C125*INDEX(SPPR!$E:$X,MATCH($A125,SPPR!$A:$A,0),1),""),"")</f>
        <v/>
      </c>
      <c r="E125">
        <f>IFERROR(IF(ISNUMBER(INDEX(SPPR!$E:$X,MATCH($A125,SPPR!$A:$A,0),2)),$C125*INDEX(SPPR!$E:$X,MATCH($A125,SPPR!$A:$A,0),2),""),"")</f>
        <v/>
      </c>
      <c r="F125">
        <f>IFERROR(IF(ISNUMBER(INDEX(SPPR!$E:$X,MATCH($A125,SPPR!$A:$A,0),3)),$C125*INDEX(SPPR!$E:$X,MATCH($A125,SPPR!$A:$A,0),3),""),"")</f>
        <v/>
      </c>
      <c r="G125">
        <f>IFERROR(IF(ISNUMBER(INDEX(SPPR!$E:$X,MATCH($A125,SPPR!$A:$A,0),4)),$C125*INDEX(SPPR!$E:$X,MATCH($A125,SPPR!$A:$A,0),4),""),"")</f>
        <v/>
      </c>
      <c r="H125">
        <f>IFERROR(IF(ISNUMBER(INDEX(SPPR!$E:$X,MATCH($A125,SPPR!$A:$A,0),5)),$C125*INDEX(SPPR!$E:$X,MATCH($A125,SPPR!$A:$A,0),5),""),"")</f>
        <v/>
      </c>
      <c r="I125">
        <f>IFERROR(IF(ISNUMBER(INDEX(SPPR!$E:$X,MATCH($A125,SPPR!$A:$A,0),6)),$C125*INDEX(SPPR!$E:$X,MATCH($A125,SPPR!$A:$A,0),6),""),"")</f>
        <v/>
      </c>
      <c r="J125">
        <f>IFERROR(IF(ISNUMBER(INDEX(SPPR!$E:$X,MATCH($A125,SPPR!$A:$A,0),7)),$C125*INDEX(SPPR!$E:$X,MATCH($A125,SPPR!$A:$A,0),7),""),"")</f>
        <v/>
      </c>
      <c r="K125">
        <f>IFERROR(IF(ISNUMBER(INDEX(SPPR!$E:$X,MATCH($A125,SPPR!$A:$A,0),8)),$C125*INDEX(SPPR!$E:$X,MATCH($A125,SPPR!$A:$A,0),8),""),"")</f>
        <v/>
      </c>
      <c r="L125">
        <f>IFERROR(IF(ISNUMBER(INDEX(SPPR!$E:$X,MATCH($A125,SPPR!$A:$A,0),9)),$C125*INDEX(SPPR!$E:$X,MATCH($A125,SPPR!$A:$A,0),9),""),"")</f>
        <v/>
      </c>
      <c r="M125">
        <f>IFERROR(IF(ISNUMBER(INDEX(SPPR!$E:$X,MATCH($A125,SPPR!$A:$A,0),10)),$C125*INDEX(SPPR!$E:$X,MATCH($A125,SPPR!$A:$A,0),10),""),"")</f>
        <v/>
      </c>
      <c r="N125">
        <f>IFERROR(IF(ISNUMBER(INDEX(SPPR!$E:$X,MATCH($A125,SPPR!$A:$A,0),11)),$C125*INDEX(SPPR!$E:$X,MATCH($A125,SPPR!$A:$A,0),11),""),"")</f>
        <v/>
      </c>
      <c r="O125">
        <f>IFERROR(IF(ISNUMBER(INDEX(SPPR!$E:$X,MATCH($A125,SPPR!$A:$A,0),12)),$C125*INDEX(SPPR!$E:$X,MATCH($A125,SPPR!$A:$A,0),12),""),"")</f>
        <v/>
      </c>
      <c r="P125">
        <f>IFERROR(IF(ISNUMBER(INDEX(SPPR!$E:$X,MATCH($A125,SPPR!$A:$A,0),13)),$C125*INDEX(SPPR!$E:$X,MATCH($A125,SPPR!$A:$A,0),13),""),"")</f>
        <v/>
      </c>
      <c r="Q125">
        <f>IFERROR(IF(ISNUMBER(INDEX(SPPR!$E:$X,MATCH($A125,SPPR!$A:$A,0),14)),$C125*INDEX(SPPR!$E:$X,MATCH($A125,SPPR!$A:$A,0),14),""),"")</f>
        <v/>
      </c>
      <c r="R125">
        <f>IFERROR(IF(ISNUMBER(INDEX(SPPR!$E:$X,MATCH($A125,SPPR!$A:$A,0),15)),$C125*INDEX(SPPR!$E:$X,MATCH($A125,SPPR!$A:$A,0),15),""),"")</f>
        <v/>
      </c>
      <c r="S125">
        <f>IFERROR(IF(ISNUMBER(INDEX(SPPR!$E:$X,MATCH($A125,SPPR!$A:$A,0),16)),$C125*INDEX(SPPR!$E:$X,MATCH($A125,SPPR!$A:$A,0),16),""),"")</f>
        <v/>
      </c>
      <c r="T125">
        <f>IFERROR(IF(ISNUMBER(INDEX(SPPR!$E:$X,MATCH($A125,SPPR!$A:$A,0),17)),$C125*INDEX(SPPR!$E:$X,MATCH($A125,SPPR!$A:$A,0),17),""),"")</f>
        <v/>
      </c>
      <c r="U125">
        <f>IFERROR(IF(ISNUMBER(INDEX(SPPR!$E:$X,MATCH($A125,SPPR!$A:$A,0),18)),$C125*INDEX(SPPR!$E:$X,MATCH($A125,SPPR!$A:$A,0),18),""),"")</f>
        <v/>
      </c>
      <c r="V125">
        <f>IFERROR(IF(ISNUMBER(INDEX(SPPR!$E:$X,MATCH($A125,SPPR!$A:$A,0),19)),$C125*INDEX(SPPR!$E:$X,MATCH($A125,SPPR!$A:$A,0),19),""),"")</f>
        <v/>
      </c>
      <c r="W125">
        <f>IFERROR(IF(ISNUMBER(INDEX(SPPR!$E:$X,MATCH($A125,SPPR!$A:$A,0),20)),$C125*INDEX(SPPR!$E:$X,MATCH($A125,SPPR!$A:$A,0),20),""),"")</f>
        <v/>
      </c>
    </row>
    <row r="126">
      <c r="A126" t="inlineStr">
        <is>
          <t>Scolopsis</t>
        </is>
      </c>
      <c r="B126">
        <f>IFERROR(INDEX(SPPR!$D:$D,MATCH($A126,SPPR!$A:$A,0)),"")</f>
        <v/>
      </c>
      <c r="C126">
        <f>IFERROR(INDEX(Catch!$E:$BV,MATCH($A126,Catch!$A:$A,0),MATCH($B$4,Catch!$E$1:$BV$1,0)),0)</f>
        <v/>
      </c>
      <c r="D126">
        <f>IFERROR(IF(ISNUMBER(INDEX(SPPR!$E:$X,MATCH($A126,SPPR!$A:$A,0),1)),$C126*INDEX(SPPR!$E:$X,MATCH($A126,SPPR!$A:$A,0),1),""),"")</f>
        <v/>
      </c>
      <c r="E126">
        <f>IFERROR(IF(ISNUMBER(INDEX(SPPR!$E:$X,MATCH($A126,SPPR!$A:$A,0),2)),$C126*INDEX(SPPR!$E:$X,MATCH($A126,SPPR!$A:$A,0),2),""),"")</f>
        <v/>
      </c>
      <c r="F126">
        <f>IFERROR(IF(ISNUMBER(INDEX(SPPR!$E:$X,MATCH($A126,SPPR!$A:$A,0),3)),$C126*INDEX(SPPR!$E:$X,MATCH($A126,SPPR!$A:$A,0),3),""),"")</f>
        <v/>
      </c>
      <c r="G126">
        <f>IFERROR(IF(ISNUMBER(INDEX(SPPR!$E:$X,MATCH($A126,SPPR!$A:$A,0),4)),$C126*INDEX(SPPR!$E:$X,MATCH($A126,SPPR!$A:$A,0),4),""),"")</f>
        <v/>
      </c>
      <c r="H126">
        <f>IFERROR(IF(ISNUMBER(INDEX(SPPR!$E:$X,MATCH($A126,SPPR!$A:$A,0),5)),$C126*INDEX(SPPR!$E:$X,MATCH($A126,SPPR!$A:$A,0),5),""),"")</f>
        <v/>
      </c>
      <c r="I126">
        <f>IFERROR(IF(ISNUMBER(INDEX(SPPR!$E:$X,MATCH($A126,SPPR!$A:$A,0),6)),$C126*INDEX(SPPR!$E:$X,MATCH($A126,SPPR!$A:$A,0),6),""),"")</f>
        <v/>
      </c>
      <c r="J126">
        <f>IFERROR(IF(ISNUMBER(INDEX(SPPR!$E:$X,MATCH($A126,SPPR!$A:$A,0),7)),$C126*INDEX(SPPR!$E:$X,MATCH($A126,SPPR!$A:$A,0),7),""),"")</f>
        <v/>
      </c>
      <c r="K126">
        <f>IFERROR(IF(ISNUMBER(INDEX(SPPR!$E:$X,MATCH($A126,SPPR!$A:$A,0),8)),$C126*INDEX(SPPR!$E:$X,MATCH($A126,SPPR!$A:$A,0),8),""),"")</f>
        <v/>
      </c>
      <c r="L126">
        <f>IFERROR(IF(ISNUMBER(INDEX(SPPR!$E:$X,MATCH($A126,SPPR!$A:$A,0),9)),$C126*INDEX(SPPR!$E:$X,MATCH($A126,SPPR!$A:$A,0),9),""),"")</f>
        <v/>
      </c>
      <c r="M126">
        <f>IFERROR(IF(ISNUMBER(INDEX(SPPR!$E:$X,MATCH($A126,SPPR!$A:$A,0),10)),$C126*INDEX(SPPR!$E:$X,MATCH($A126,SPPR!$A:$A,0),10),""),"")</f>
        <v/>
      </c>
      <c r="N126">
        <f>IFERROR(IF(ISNUMBER(INDEX(SPPR!$E:$X,MATCH($A126,SPPR!$A:$A,0),11)),$C126*INDEX(SPPR!$E:$X,MATCH($A126,SPPR!$A:$A,0),11),""),"")</f>
        <v/>
      </c>
      <c r="O126">
        <f>IFERROR(IF(ISNUMBER(INDEX(SPPR!$E:$X,MATCH($A126,SPPR!$A:$A,0),12)),$C126*INDEX(SPPR!$E:$X,MATCH($A126,SPPR!$A:$A,0),12),""),"")</f>
        <v/>
      </c>
      <c r="P126">
        <f>IFERROR(IF(ISNUMBER(INDEX(SPPR!$E:$X,MATCH($A126,SPPR!$A:$A,0),13)),$C126*INDEX(SPPR!$E:$X,MATCH($A126,SPPR!$A:$A,0),13),""),"")</f>
        <v/>
      </c>
      <c r="Q126">
        <f>IFERROR(IF(ISNUMBER(INDEX(SPPR!$E:$X,MATCH($A126,SPPR!$A:$A,0),14)),$C126*INDEX(SPPR!$E:$X,MATCH($A126,SPPR!$A:$A,0),14),""),"")</f>
        <v/>
      </c>
      <c r="R126">
        <f>IFERROR(IF(ISNUMBER(INDEX(SPPR!$E:$X,MATCH($A126,SPPR!$A:$A,0),15)),$C126*INDEX(SPPR!$E:$X,MATCH($A126,SPPR!$A:$A,0),15),""),"")</f>
        <v/>
      </c>
      <c r="S126">
        <f>IFERROR(IF(ISNUMBER(INDEX(SPPR!$E:$X,MATCH($A126,SPPR!$A:$A,0),16)),$C126*INDEX(SPPR!$E:$X,MATCH($A126,SPPR!$A:$A,0),16),""),"")</f>
        <v/>
      </c>
      <c r="T126">
        <f>IFERROR(IF(ISNUMBER(INDEX(SPPR!$E:$X,MATCH($A126,SPPR!$A:$A,0),17)),$C126*INDEX(SPPR!$E:$X,MATCH($A126,SPPR!$A:$A,0),17),""),"")</f>
        <v/>
      </c>
      <c r="U126">
        <f>IFERROR(IF(ISNUMBER(INDEX(SPPR!$E:$X,MATCH($A126,SPPR!$A:$A,0),18)),$C126*INDEX(SPPR!$E:$X,MATCH($A126,SPPR!$A:$A,0),18),""),"")</f>
        <v/>
      </c>
      <c r="V126">
        <f>IFERROR(IF(ISNUMBER(INDEX(SPPR!$E:$X,MATCH($A126,SPPR!$A:$A,0),19)),$C126*INDEX(SPPR!$E:$X,MATCH($A126,SPPR!$A:$A,0),19),""),"")</f>
        <v/>
      </c>
      <c r="W126">
        <f>IFERROR(IF(ISNUMBER(INDEX(SPPR!$E:$X,MATCH($A126,SPPR!$A:$A,0),20)),$C126*INDEX(SPPR!$E:$X,MATCH($A126,SPPR!$A:$A,0),20),""),"")</f>
        <v/>
      </c>
    </row>
    <row r="127">
      <c r="A127" t="inlineStr">
        <is>
          <t>Siganus</t>
        </is>
      </c>
      <c r="B127">
        <f>IFERROR(INDEX(SPPR!$D:$D,MATCH($A127,SPPR!$A:$A,0)),"")</f>
        <v/>
      </c>
      <c r="C127">
        <f>IFERROR(INDEX(Catch!$E:$BV,MATCH($A127,Catch!$A:$A,0),MATCH($B$4,Catch!$E$1:$BV$1,0)),0)</f>
        <v/>
      </c>
      <c r="D127">
        <f>IFERROR(IF(ISNUMBER(INDEX(SPPR!$E:$X,MATCH($A127,SPPR!$A:$A,0),1)),$C127*INDEX(SPPR!$E:$X,MATCH($A127,SPPR!$A:$A,0),1),""),"")</f>
        <v/>
      </c>
      <c r="E127">
        <f>IFERROR(IF(ISNUMBER(INDEX(SPPR!$E:$X,MATCH($A127,SPPR!$A:$A,0),2)),$C127*INDEX(SPPR!$E:$X,MATCH($A127,SPPR!$A:$A,0),2),""),"")</f>
        <v/>
      </c>
      <c r="F127">
        <f>IFERROR(IF(ISNUMBER(INDEX(SPPR!$E:$X,MATCH($A127,SPPR!$A:$A,0),3)),$C127*INDEX(SPPR!$E:$X,MATCH($A127,SPPR!$A:$A,0),3),""),"")</f>
        <v/>
      </c>
      <c r="G127">
        <f>IFERROR(IF(ISNUMBER(INDEX(SPPR!$E:$X,MATCH($A127,SPPR!$A:$A,0),4)),$C127*INDEX(SPPR!$E:$X,MATCH($A127,SPPR!$A:$A,0),4),""),"")</f>
        <v/>
      </c>
      <c r="H127">
        <f>IFERROR(IF(ISNUMBER(INDEX(SPPR!$E:$X,MATCH($A127,SPPR!$A:$A,0),5)),$C127*INDEX(SPPR!$E:$X,MATCH($A127,SPPR!$A:$A,0),5),""),"")</f>
        <v/>
      </c>
      <c r="I127">
        <f>IFERROR(IF(ISNUMBER(INDEX(SPPR!$E:$X,MATCH($A127,SPPR!$A:$A,0),6)),$C127*INDEX(SPPR!$E:$X,MATCH($A127,SPPR!$A:$A,0),6),""),"")</f>
        <v/>
      </c>
      <c r="J127">
        <f>IFERROR(IF(ISNUMBER(INDEX(SPPR!$E:$X,MATCH($A127,SPPR!$A:$A,0),7)),$C127*INDEX(SPPR!$E:$X,MATCH($A127,SPPR!$A:$A,0),7),""),"")</f>
        <v/>
      </c>
      <c r="K127">
        <f>IFERROR(IF(ISNUMBER(INDEX(SPPR!$E:$X,MATCH($A127,SPPR!$A:$A,0),8)),$C127*INDEX(SPPR!$E:$X,MATCH($A127,SPPR!$A:$A,0),8),""),"")</f>
        <v/>
      </c>
      <c r="L127">
        <f>IFERROR(IF(ISNUMBER(INDEX(SPPR!$E:$X,MATCH($A127,SPPR!$A:$A,0),9)),$C127*INDEX(SPPR!$E:$X,MATCH($A127,SPPR!$A:$A,0),9),""),"")</f>
        <v/>
      </c>
      <c r="M127">
        <f>IFERROR(IF(ISNUMBER(INDEX(SPPR!$E:$X,MATCH($A127,SPPR!$A:$A,0),10)),$C127*INDEX(SPPR!$E:$X,MATCH($A127,SPPR!$A:$A,0),10),""),"")</f>
        <v/>
      </c>
      <c r="N127">
        <f>IFERROR(IF(ISNUMBER(INDEX(SPPR!$E:$X,MATCH($A127,SPPR!$A:$A,0),11)),$C127*INDEX(SPPR!$E:$X,MATCH($A127,SPPR!$A:$A,0),11),""),"")</f>
        <v/>
      </c>
      <c r="O127">
        <f>IFERROR(IF(ISNUMBER(INDEX(SPPR!$E:$X,MATCH($A127,SPPR!$A:$A,0),12)),$C127*INDEX(SPPR!$E:$X,MATCH($A127,SPPR!$A:$A,0),12),""),"")</f>
        <v/>
      </c>
      <c r="P127">
        <f>IFERROR(IF(ISNUMBER(INDEX(SPPR!$E:$X,MATCH($A127,SPPR!$A:$A,0),13)),$C127*INDEX(SPPR!$E:$X,MATCH($A127,SPPR!$A:$A,0),13),""),"")</f>
        <v/>
      </c>
      <c r="Q127">
        <f>IFERROR(IF(ISNUMBER(INDEX(SPPR!$E:$X,MATCH($A127,SPPR!$A:$A,0),14)),$C127*INDEX(SPPR!$E:$X,MATCH($A127,SPPR!$A:$A,0),14),""),"")</f>
        <v/>
      </c>
      <c r="R127">
        <f>IFERROR(IF(ISNUMBER(INDEX(SPPR!$E:$X,MATCH($A127,SPPR!$A:$A,0),15)),$C127*INDEX(SPPR!$E:$X,MATCH($A127,SPPR!$A:$A,0),15),""),"")</f>
        <v/>
      </c>
      <c r="S127">
        <f>IFERROR(IF(ISNUMBER(INDEX(SPPR!$E:$X,MATCH($A127,SPPR!$A:$A,0),16)),$C127*INDEX(SPPR!$E:$X,MATCH($A127,SPPR!$A:$A,0),16),""),"")</f>
        <v/>
      </c>
      <c r="T127">
        <f>IFERROR(IF(ISNUMBER(INDEX(SPPR!$E:$X,MATCH($A127,SPPR!$A:$A,0),17)),$C127*INDEX(SPPR!$E:$X,MATCH($A127,SPPR!$A:$A,0),17),""),"")</f>
        <v/>
      </c>
      <c r="U127">
        <f>IFERROR(IF(ISNUMBER(INDEX(SPPR!$E:$X,MATCH($A127,SPPR!$A:$A,0),18)),$C127*INDEX(SPPR!$E:$X,MATCH($A127,SPPR!$A:$A,0),18),""),"")</f>
        <v/>
      </c>
      <c r="V127">
        <f>IFERROR(IF(ISNUMBER(INDEX(SPPR!$E:$X,MATCH($A127,SPPR!$A:$A,0),19)),$C127*INDEX(SPPR!$E:$X,MATCH($A127,SPPR!$A:$A,0),19),""),"")</f>
        <v/>
      </c>
      <c r="W127">
        <f>IFERROR(IF(ISNUMBER(INDEX(SPPR!$E:$X,MATCH($A127,SPPR!$A:$A,0),20)),$C127*INDEX(SPPR!$E:$X,MATCH($A127,SPPR!$A:$A,0),20),""),"")</f>
        <v/>
      </c>
    </row>
    <row r="128">
      <c r="A128" t="inlineStr">
        <is>
          <t>Pagrus auratus</t>
        </is>
      </c>
      <c r="B128">
        <f>IFERROR(INDEX(SPPR!$D:$D,MATCH($A128,SPPR!$A:$A,0)),"")</f>
        <v/>
      </c>
      <c r="C128">
        <f>IFERROR(INDEX(Catch!$E:$BV,MATCH($A128,Catch!$A:$A,0),MATCH($B$4,Catch!$E$1:$BV$1,0)),0)</f>
        <v/>
      </c>
      <c r="D128">
        <f>IFERROR(IF(ISNUMBER(INDEX(SPPR!$E:$X,MATCH($A128,SPPR!$A:$A,0),1)),$C128*INDEX(SPPR!$E:$X,MATCH($A128,SPPR!$A:$A,0),1),""),"")</f>
        <v/>
      </c>
      <c r="E128">
        <f>IFERROR(IF(ISNUMBER(INDEX(SPPR!$E:$X,MATCH($A128,SPPR!$A:$A,0),2)),$C128*INDEX(SPPR!$E:$X,MATCH($A128,SPPR!$A:$A,0),2),""),"")</f>
        <v/>
      </c>
      <c r="F128">
        <f>IFERROR(IF(ISNUMBER(INDEX(SPPR!$E:$X,MATCH($A128,SPPR!$A:$A,0),3)),$C128*INDEX(SPPR!$E:$X,MATCH($A128,SPPR!$A:$A,0),3),""),"")</f>
        <v/>
      </c>
      <c r="G128">
        <f>IFERROR(IF(ISNUMBER(INDEX(SPPR!$E:$X,MATCH($A128,SPPR!$A:$A,0),4)),$C128*INDEX(SPPR!$E:$X,MATCH($A128,SPPR!$A:$A,0),4),""),"")</f>
        <v/>
      </c>
      <c r="H128">
        <f>IFERROR(IF(ISNUMBER(INDEX(SPPR!$E:$X,MATCH($A128,SPPR!$A:$A,0),5)),$C128*INDEX(SPPR!$E:$X,MATCH($A128,SPPR!$A:$A,0),5),""),"")</f>
        <v/>
      </c>
      <c r="I128">
        <f>IFERROR(IF(ISNUMBER(INDEX(SPPR!$E:$X,MATCH($A128,SPPR!$A:$A,0),6)),$C128*INDEX(SPPR!$E:$X,MATCH($A128,SPPR!$A:$A,0),6),""),"")</f>
        <v/>
      </c>
      <c r="J128">
        <f>IFERROR(IF(ISNUMBER(INDEX(SPPR!$E:$X,MATCH($A128,SPPR!$A:$A,0),7)),$C128*INDEX(SPPR!$E:$X,MATCH($A128,SPPR!$A:$A,0),7),""),"")</f>
        <v/>
      </c>
      <c r="K128">
        <f>IFERROR(IF(ISNUMBER(INDEX(SPPR!$E:$X,MATCH($A128,SPPR!$A:$A,0),8)),$C128*INDEX(SPPR!$E:$X,MATCH($A128,SPPR!$A:$A,0),8),""),"")</f>
        <v/>
      </c>
      <c r="L128">
        <f>IFERROR(IF(ISNUMBER(INDEX(SPPR!$E:$X,MATCH($A128,SPPR!$A:$A,0),9)),$C128*INDEX(SPPR!$E:$X,MATCH($A128,SPPR!$A:$A,0),9),""),"")</f>
        <v/>
      </c>
      <c r="M128">
        <f>IFERROR(IF(ISNUMBER(INDEX(SPPR!$E:$X,MATCH($A128,SPPR!$A:$A,0),10)),$C128*INDEX(SPPR!$E:$X,MATCH($A128,SPPR!$A:$A,0),10),""),"")</f>
        <v/>
      </c>
      <c r="N128">
        <f>IFERROR(IF(ISNUMBER(INDEX(SPPR!$E:$X,MATCH($A128,SPPR!$A:$A,0),11)),$C128*INDEX(SPPR!$E:$X,MATCH($A128,SPPR!$A:$A,0),11),""),"")</f>
        <v/>
      </c>
      <c r="O128">
        <f>IFERROR(IF(ISNUMBER(INDEX(SPPR!$E:$X,MATCH($A128,SPPR!$A:$A,0),12)),$C128*INDEX(SPPR!$E:$X,MATCH($A128,SPPR!$A:$A,0),12),""),"")</f>
        <v/>
      </c>
      <c r="P128">
        <f>IFERROR(IF(ISNUMBER(INDEX(SPPR!$E:$X,MATCH($A128,SPPR!$A:$A,0),13)),$C128*INDEX(SPPR!$E:$X,MATCH($A128,SPPR!$A:$A,0),13),""),"")</f>
        <v/>
      </c>
      <c r="Q128">
        <f>IFERROR(IF(ISNUMBER(INDEX(SPPR!$E:$X,MATCH($A128,SPPR!$A:$A,0),14)),$C128*INDEX(SPPR!$E:$X,MATCH($A128,SPPR!$A:$A,0),14),""),"")</f>
        <v/>
      </c>
      <c r="R128">
        <f>IFERROR(IF(ISNUMBER(INDEX(SPPR!$E:$X,MATCH($A128,SPPR!$A:$A,0),15)),$C128*INDEX(SPPR!$E:$X,MATCH($A128,SPPR!$A:$A,0),15),""),"")</f>
        <v/>
      </c>
      <c r="S128">
        <f>IFERROR(IF(ISNUMBER(INDEX(SPPR!$E:$X,MATCH($A128,SPPR!$A:$A,0),16)),$C128*INDEX(SPPR!$E:$X,MATCH($A128,SPPR!$A:$A,0),16),""),"")</f>
        <v/>
      </c>
      <c r="T128">
        <f>IFERROR(IF(ISNUMBER(INDEX(SPPR!$E:$X,MATCH($A128,SPPR!$A:$A,0),17)),$C128*INDEX(SPPR!$E:$X,MATCH($A128,SPPR!$A:$A,0),17),""),"")</f>
        <v/>
      </c>
      <c r="U128">
        <f>IFERROR(IF(ISNUMBER(INDEX(SPPR!$E:$X,MATCH($A128,SPPR!$A:$A,0),18)),$C128*INDEX(SPPR!$E:$X,MATCH($A128,SPPR!$A:$A,0),18),""),"")</f>
        <v/>
      </c>
      <c r="V128">
        <f>IFERROR(IF(ISNUMBER(INDEX(SPPR!$E:$X,MATCH($A128,SPPR!$A:$A,0),19)),$C128*INDEX(SPPR!$E:$X,MATCH($A128,SPPR!$A:$A,0),19),""),"")</f>
        <v/>
      </c>
      <c r="W128">
        <f>IFERROR(IF(ISNUMBER(INDEX(SPPR!$E:$X,MATCH($A128,SPPR!$A:$A,0),20)),$C128*INDEX(SPPR!$E:$X,MATCH($A128,SPPR!$A:$A,0),20),""),"")</f>
        <v/>
      </c>
    </row>
    <row r="129">
      <c r="A129" t="inlineStr">
        <is>
          <t>Nemipterus hexodon</t>
        </is>
      </c>
      <c r="B129">
        <f>IFERROR(INDEX(SPPR!$D:$D,MATCH($A129,SPPR!$A:$A,0)),"")</f>
        <v/>
      </c>
      <c r="C129">
        <f>IFERROR(INDEX(Catch!$E:$BV,MATCH($A129,Catch!$A:$A,0),MATCH($B$4,Catch!$E$1:$BV$1,0)),0)</f>
        <v/>
      </c>
      <c r="D129">
        <f>IFERROR(IF(ISNUMBER(INDEX(SPPR!$E:$X,MATCH($A129,SPPR!$A:$A,0),1)),$C129*INDEX(SPPR!$E:$X,MATCH($A129,SPPR!$A:$A,0),1),""),"")</f>
        <v/>
      </c>
      <c r="E129">
        <f>IFERROR(IF(ISNUMBER(INDEX(SPPR!$E:$X,MATCH($A129,SPPR!$A:$A,0),2)),$C129*INDEX(SPPR!$E:$X,MATCH($A129,SPPR!$A:$A,0),2),""),"")</f>
        <v/>
      </c>
      <c r="F129">
        <f>IFERROR(IF(ISNUMBER(INDEX(SPPR!$E:$X,MATCH($A129,SPPR!$A:$A,0),3)),$C129*INDEX(SPPR!$E:$X,MATCH($A129,SPPR!$A:$A,0),3),""),"")</f>
        <v/>
      </c>
      <c r="G129">
        <f>IFERROR(IF(ISNUMBER(INDEX(SPPR!$E:$X,MATCH($A129,SPPR!$A:$A,0),4)),$C129*INDEX(SPPR!$E:$X,MATCH($A129,SPPR!$A:$A,0),4),""),"")</f>
        <v/>
      </c>
      <c r="H129">
        <f>IFERROR(IF(ISNUMBER(INDEX(SPPR!$E:$X,MATCH($A129,SPPR!$A:$A,0),5)),$C129*INDEX(SPPR!$E:$X,MATCH($A129,SPPR!$A:$A,0),5),""),"")</f>
        <v/>
      </c>
      <c r="I129">
        <f>IFERROR(IF(ISNUMBER(INDEX(SPPR!$E:$X,MATCH($A129,SPPR!$A:$A,0),6)),$C129*INDEX(SPPR!$E:$X,MATCH($A129,SPPR!$A:$A,0),6),""),"")</f>
        <v/>
      </c>
      <c r="J129">
        <f>IFERROR(IF(ISNUMBER(INDEX(SPPR!$E:$X,MATCH($A129,SPPR!$A:$A,0),7)),$C129*INDEX(SPPR!$E:$X,MATCH($A129,SPPR!$A:$A,0),7),""),"")</f>
        <v/>
      </c>
      <c r="K129">
        <f>IFERROR(IF(ISNUMBER(INDEX(SPPR!$E:$X,MATCH($A129,SPPR!$A:$A,0),8)),$C129*INDEX(SPPR!$E:$X,MATCH($A129,SPPR!$A:$A,0),8),""),"")</f>
        <v/>
      </c>
      <c r="L129">
        <f>IFERROR(IF(ISNUMBER(INDEX(SPPR!$E:$X,MATCH($A129,SPPR!$A:$A,0),9)),$C129*INDEX(SPPR!$E:$X,MATCH($A129,SPPR!$A:$A,0),9),""),"")</f>
        <v/>
      </c>
      <c r="M129">
        <f>IFERROR(IF(ISNUMBER(INDEX(SPPR!$E:$X,MATCH($A129,SPPR!$A:$A,0),10)),$C129*INDEX(SPPR!$E:$X,MATCH($A129,SPPR!$A:$A,0),10),""),"")</f>
        <v/>
      </c>
      <c r="N129">
        <f>IFERROR(IF(ISNUMBER(INDEX(SPPR!$E:$X,MATCH($A129,SPPR!$A:$A,0),11)),$C129*INDEX(SPPR!$E:$X,MATCH($A129,SPPR!$A:$A,0),11),""),"")</f>
        <v/>
      </c>
      <c r="O129">
        <f>IFERROR(IF(ISNUMBER(INDEX(SPPR!$E:$X,MATCH($A129,SPPR!$A:$A,0),12)),$C129*INDEX(SPPR!$E:$X,MATCH($A129,SPPR!$A:$A,0),12),""),"")</f>
        <v/>
      </c>
      <c r="P129">
        <f>IFERROR(IF(ISNUMBER(INDEX(SPPR!$E:$X,MATCH($A129,SPPR!$A:$A,0),13)),$C129*INDEX(SPPR!$E:$X,MATCH($A129,SPPR!$A:$A,0),13),""),"")</f>
        <v/>
      </c>
      <c r="Q129">
        <f>IFERROR(IF(ISNUMBER(INDEX(SPPR!$E:$X,MATCH($A129,SPPR!$A:$A,0),14)),$C129*INDEX(SPPR!$E:$X,MATCH($A129,SPPR!$A:$A,0),14),""),"")</f>
        <v/>
      </c>
      <c r="R129">
        <f>IFERROR(IF(ISNUMBER(INDEX(SPPR!$E:$X,MATCH($A129,SPPR!$A:$A,0),15)),$C129*INDEX(SPPR!$E:$X,MATCH($A129,SPPR!$A:$A,0),15),""),"")</f>
        <v/>
      </c>
      <c r="S129">
        <f>IFERROR(IF(ISNUMBER(INDEX(SPPR!$E:$X,MATCH($A129,SPPR!$A:$A,0),16)),$C129*INDEX(SPPR!$E:$X,MATCH($A129,SPPR!$A:$A,0),16),""),"")</f>
        <v/>
      </c>
      <c r="T129">
        <f>IFERROR(IF(ISNUMBER(INDEX(SPPR!$E:$X,MATCH($A129,SPPR!$A:$A,0),17)),$C129*INDEX(SPPR!$E:$X,MATCH($A129,SPPR!$A:$A,0),17),""),"")</f>
        <v/>
      </c>
      <c r="U129">
        <f>IFERROR(IF(ISNUMBER(INDEX(SPPR!$E:$X,MATCH($A129,SPPR!$A:$A,0),18)),$C129*INDEX(SPPR!$E:$X,MATCH($A129,SPPR!$A:$A,0),18),""),"")</f>
        <v/>
      </c>
      <c r="V129">
        <f>IFERROR(IF(ISNUMBER(INDEX(SPPR!$E:$X,MATCH($A129,SPPR!$A:$A,0),19)),$C129*INDEX(SPPR!$E:$X,MATCH($A129,SPPR!$A:$A,0),19),""),"")</f>
        <v/>
      </c>
      <c r="W129">
        <f>IFERROR(IF(ISNUMBER(INDEX(SPPR!$E:$X,MATCH($A129,SPPR!$A:$A,0),20)),$C129*INDEX(SPPR!$E:$X,MATCH($A129,SPPR!$A:$A,0),20),""),"")</f>
        <v/>
      </c>
    </row>
    <row r="130">
      <c r="A130" t="inlineStr">
        <is>
          <t>Penaeus penicillatus</t>
        </is>
      </c>
      <c r="B130">
        <f>IFERROR(INDEX(SPPR!$D:$D,MATCH($A130,SPPR!$A:$A,0)),"")</f>
        <v/>
      </c>
      <c r="C130">
        <f>IFERROR(INDEX(Catch!$E:$BV,MATCH($A130,Catch!$A:$A,0),MATCH($B$4,Catch!$E$1:$BV$1,0)),0)</f>
        <v/>
      </c>
      <c r="D130">
        <f>IFERROR(IF(ISNUMBER(INDEX(SPPR!$E:$X,MATCH($A130,SPPR!$A:$A,0),1)),$C130*INDEX(SPPR!$E:$X,MATCH($A130,SPPR!$A:$A,0),1),""),"")</f>
        <v/>
      </c>
      <c r="E130">
        <f>IFERROR(IF(ISNUMBER(INDEX(SPPR!$E:$X,MATCH($A130,SPPR!$A:$A,0),2)),$C130*INDEX(SPPR!$E:$X,MATCH($A130,SPPR!$A:$A,0),2),""),"")</f>
        <v/>
      </c>
      <c r="F130">
        <f>IFERROR(IF(ISNUMBER(INDEX(SPPR!$E:$X,MATCH($A130,SPPR!$A:$A,0),3)),$C130*INDEX(SPPR!$E:$X,MATCH($A130,SPPR!$A:$A,0),3),""),"")</f>
        <v/>
      </c>
      <c r="G130">
        <f>IFERROR(IF(ISNUMBER(INDEX(SPPR!$E:$X,MATCH($A130,SPPR!$A:$A,0),4)),$C130*INDEX(SPPR!$E:$X,MATCH($A130,SPPR!$A:$A,0),4),""),"")</f>
        <v/>
      </c>
      <c r="H130">
        <f>IFERROR(IF(ISNUMBER(INDEX(SPPR!$E:$X,MATCH($A130,SPPR!$A:$A,0),5)),$C130*INDEX(SPPR!$E:$X,MATCH($A130,SPPR!$A:$A,0),5),""),"")</f>
        <v/>
      </c>
      <c r="I130">
        <f>IFERROR(IF(ISNUMBER(INDEX(SPPR!$E:$X,MATCH($A130,SPPR!$A:$A,0),6)),$C130*INDEX(SPPR!$E:$X,MATCH($A130,SPPR!$A:$A,0),6),""),"")</f>
        <v/>
      </c>
      <c r="J130">
        <f>IFERROR(IF(ISNUMBER(INDEX(SPPR!$E:$X,MATCH($A130,SPPR!$A:$A,0),7)),$C130*INDEX(SPPR!$E:$X,MATCH($A130,SPPR!$A:$A,0),7),""),"")</f>
        <v/>
      </c>
      <c r="K130">
        <f>IFERROR(IF(ISNUMBER(INDEX(SPPR!$E:$X,MATCH($A130,SPPR!$A:$A,0),8)),$C130*INDEX(SPPR!$E:$X,MATCH($A130,SPPR!$A:$A,0),8),""),"")</f>
        <v/>
      </c>
      <c r="L130">
        <f>IFERROR(IF(ISNUMBER(INDEX(SPPR!$E:$X,MATCH($A130,SPPR!$A:$A,0),9)),$C130*INDEX(SPPR!$E:$X,MATCH($A130,SPPR!$A:$A,0),9),""),"")</f>
        <v/>
      </c>
      <c r="M130">
        <f>IFERROR(IF(ISNUMBER(INDEX(SPPR!$E:$X,MATCH($A130,SPPR!$A:$A,0),10)),$C130*INDEX(SPPR!$E:$X,MATCH($A130,SPPR!$A:$A,0),10),""),"")</f>
        <v/>
      </c>
      <c r="N130">
        <f>IFERROR(IF(ISNUMBER(INDEX(SPPR!$E:$X,MATCH($A130,SPPR!$A:$A,0),11)),$C130*INDEX(SPPR!$E:$X,MATCH($A130,SPPR!$A:$A,0),11),""),"")</f>
        <v/>
      </c>
      <c r="O130">
        <f>IFERROR(IF(ISNUMBER(INDEX(SPPR!$E:$X,MATCH($A130,SPPR!$A:$A,0),12)),$C130*INDEX(SPPR!$E:$X,MATCH($A130,SPPR!$A:$A,0),12),""),"")</f>
        <v/>
      </c>
      <c r="P130">
        <f>IFERROR(IF(ISNUMBER(INDEX(SPPR!$E:$X,MATCH($A130,SPPR!$A:$A,0),13)),$C130*INDEX(SPPR!$E:$X,MATCH($A130,SPPR!$A:$A,0),13),""),"")</f>
        <v/>
      </c>
      <c r="Q130">
        <f>IFERROR(IF(ISNUMBER(INDEX(SPPR!$E:$X,MATCH($A130,SPPR!$A:$A,0),14)),$C130*INDEX(SPPR!$E:$X,MATCH($A130,SPPR!$A:$A,0),14),""),"")</f>
        <v/>
      </c>
      <c r="R130">
        <f>IFERROR(IF(ISNUMBER(INDEX(SPPR!$E:$X,MATCH($A130,SPPR!$A:$A,0),15)),$C130*INDEX(SPPR!$E:$X,MATCH($A130,SPPR!$A:$A,0),15),""),"")</f>
        <v/>
      </c>
      <c r="S130">
        <f>IFERROR(IF(ISNUMBER(INDEX(SPPR!$E:$X,MATCH($A130,SPPR!$A:$A,0),16)),$C130*INDEX(SPPR!$E:$X,MATCH($A130,SPPR!$A:$A,0),16),""),"")</f>
        <v/>
      </c>
      <c r="T130">
        <f>IFERROR(IF(ISNUMBER(INDEX(SPPR!$E:$X,MATCH($A130,SPPR!$A:$A,0),17)),$C130*INDEX(SPPR!$E:$X,MATCH($A130,SPPR!$A:$A,0),17),""),"")</f>
        <v/>
      </c>
      <c r="U130">
        <f>IFERROR(IF(ISNUMBER(INDEX(SPPR!$E:$X,MATCH($A130,SPPR!$A:$A,0),18)),$C130*INDEX(SPPR!$E:$X,MATCH($A130,SPPR!$A:$A,0),18),""),"")</f>
        <v/>
      </c>
      <c r="V130">
        <f>IFERROR(IF(ISNUMBER(INDEX(SPPR!$E:$X,MATCH($A130,SPPR!$A:$A,0),19)),$C130*INDEX(SPPR!$E:$X,MATCH($A130,SPPR!$A:$A,0),19),""),"")</f>
        <v/>
      </c>
      <c r="W130">
        <f>IFERROR(IF(ISNUMBER(INDEX(SPPR!$E:$X,MATCH($A130,SPPR!$A:$A,0),20)),$C130*INDEX(SPPR!$E:$X,MATCH($A130,SPPR!$A:$A,0),20),""),"")</f>
        <v/>
      </c>
    </row>
    <row r="131">
      <c r="A131" t="inlineStr">
        <is>
          <t>Thunnus obesus</t>
        </is>
      </c>
      <c r="B131">
        <f>IFERROR(INDEX(SPPR!$D:$D,MATCH($A131,SPPR!$A:$A,0)),"")</f>
        <v/>
      </c>
      <c r="C131">
        <f>IFERROR(INDEX(Catch!$E:$BV,MATCH($A131,Catch!$A:$A,0),MATCH($B$4,Catch!$E$1:$BV$1,0)),0)</f>
        <v/>
      </c>
      <c r="D131">
        <f>IFERROR(IF(ISNUMBER(INDEX(SPPR!$E:$X,MATCH($A131,SPPR!$A:$A,0),1)),$C131*INDEX(SPPR!$E:$X,MATCH($A131,SPPR!$A:$A,0),1),""),"")</f>
        <v/>
      </c>
      <c r="E131">
        <f>IFERROR(IF(ISNUMBER(INDEX(SPPR!$E:$X,MATCH($A131,SPPR!$A:$A,0),2)),$C131*INDEX(SPPR!$E:$X,MATCH($A131,SPPR!$A:$A,0),2),""),"")</f>
        <v/>
      </c>
      <c r="F131">
        <f>IFERROR(IF(ISNUMBER(INDEX(SPPR!$E:$X,MATCH($A131,SPPR!$A:$A,0),3)),$C131*INDEX(SPPR!$E:$X,MATCH($A131,SPPR!$A:$A,0),3),""),"")</f>
        <v/>
      </c>
      <c r="G131">
        <f>IFERROR(IF(ISNUMBER(INDEX(SPPR!$E:$X,MATCH($A131,SPPR!$A:$A,0),4)),$C131*INDEX(SPPR!$E:$X,MATCH($A131,SPPR!$A:$A,0),4),""),"")</f>
        <v/>
      </c>
      <c r="H131">
        <f>IFERROR(IF(ISNUMBER(INDEX(SPPR!$E:$X,MATCH($A131,SPPR!$A:$A,0),5)),$C131*INDEX(SPPR!$E:$X,MATCH($A131,SPPR!$A:$A,0),5),""),"")</f>
        <v/>
      </c>
      <c r="I131">
        <f>IFERROR(IF(ISNUMBER(INDEX(SPPR!$E:$X,MATCH($A131,SPPR!$A:$A,0),6)),$C131*INDEX(SPPR!$E:$X,MATCH($A131,SPPR!$A:$A,0),6),""),"")</f>
        <v/>
      </c>
      <c r="J131">
        <f>IFERROR(IF(ISNUMBER(INDEX(SPPR!$E:$X,MATCH($A131,SPPR!$A:$A,0),7)),$C131*INDEX(SPPR!$E:$X,MATCH($A131,SPPR!$A:$A,0),7),""),"")</f>
        <v/>
      </c>
      <c r="K131">
        <f>IFERROR(IF(ISNUMBER(INDEX(SPPR!$E:$X,MATCH($A131,SPPR!$A:$A,0),8)),$C131*INDEX(SPPR!$E:$X,MATCH($A131,SPPR!$A:$A,0),8),""),"")</f>
        <v/>
      </c>
      <c r="L131">
        <f>IFERROR(IF(ISNUMBER(INDEX(SPPR!$E:$X,MATCH($A131,SPPR!$A:$A,0),9)),$C131*INDEX(SPPR!$E:$X,MATCH($A131,SPPR!$A:$A,0),9),""),"")</f>
        <v/>
      </c>
      <c r="M131">
        <f>IFERROR(IF(ISNUMBER(INDEX(SPPR!$E:$X,MATCH($A131,SPPR!$A:$A,0),10)),$C131*INDEX(SPPR!$E:$X,MATCH($A131,SPPR!$A:$A,0),10),""),"")</f>
        <v/>
      </c>
      <c r="N131">
        <f>IFERROR(IF(ISNUMBER(INDEX(SPPR!$E:$X,MATCH($A131,SPPR!$A:$A,0),11)),$C131*INDEX(SPPR!$E:$X,MATCH($A131,SPPR!$A:$A,0),11),""),"")</f>
        <v/>
      </c>
      <c r="O131">
        <f>IFERROR(IF(ISNUMBER(INDEX(SPPR!$E:$X,MATCH($A131,SPPR!$A:$A,0),12)),$C131*INDEX(SPPR!$E:$X,MATCH($A131,SPPR!$A:$A,0),12),""),"")</f>
        <v/>
      </c>
      <c r="P131">
        <f>IFERROR(IF(ISNUMBER(INDEX(SPPR!$E:$X,MATCH($A131,SPPR!$A:$A,0),13)),$C131*INDEX(SPPR!$E:$X,MATCH($A131,SPPR!$A:$A,0),13),""),"")</f>
        <v/>
      </c>
      <c r="Q131">
        <f>IFERROR(IF(ISNUMBER(INDEX(SPPR!$E:$X,MATCH($A131,SPPR!$A:$A,0),14)),$C131*INDEX(SPPR!$E:$X,MATCH($A131,SPPR!$A:$A,0),14),""),"")</f>
        <v/>
      </c>
      <c r="R131">
        <f>IFERROR(IF(ISNUMBER(INDEX(SPPR!$E:$X,MATCH($A131,SPPR!$A:$A,0),15)),$C131*INDEX(SPPR!$E:$X,MATCH($A131,SPPR!$A:$A,0),15),""),"")</f>
        <v/>
      </c>
      <c r="S131">
        <f>IFERROR(IF(ISNUMBER(INDEX(SPPR!$E:$X,MATCH($A131,SPPR!$A:$A,0),16)),$C131*INDEX(SPPR!$E:$X,MATCH($A131,SPPR!$A:$A,0),16),""),"")</f>
        <v/>
      </c>
      <c r="T131">
        <f>IFERROR(IF(ISNUMBER(INDEX(SPPR!$E:$X,MATCH($A131,SPPR!$A:$A,0),17)),$C131*INDEX(SPPR!$E:$X,MATCH($A131,SPPR!$A:$A,0),17),""),"")</f>
        <v/>
      </c>
      <c r="U131">
        <f>IFERROR(IF(ISNUMBER(INDEX(SPPR!$E:$X,MATCH($A131,SPPR!$A:$A,0),18)),$C131*INDEX(SPPR!$E:$X,MATCH($A131,SPPR!$A:$A,0),18),""),"")</f>
        <v/>
      </c>
      <c r="V131">
        <f>IFERROR(IF(ISNUMBER(INDEX(SPPR!$E:$X,MATCH($A131,SPPR!$A:$A,0),19)),$C131*INDEX(SPPR!$E:$X,MATCH($A131,SPPR!$A:$A,0),19),""),"")</f>
        <v/>
      </c>
      <c r="W131">
        <f>IFERROR(IF(ISNUMBER(INDEX(SPPR!$E:$X,MATCH($A131,SPPR!$A:$A,0),20)),$C131*INDEX(SPPR!$E:$X,MATCH($A131,SPPR!$A:$A,0),20),""),"")</f>
        <v/>
      </c>
    </row>
    <row r="132">
      <c r="A132" t="inlineStr">
        <is>
          <t>Muraenesocidae</t>
        </is>
      </c>
      <c r="B132">
        <f>IFERROR(INDEX(SPPR!$D:$D,MATCH($A132,SPPR!$A:$A,0)),"")</f>
        <v/>
      </c>
      <c r="C132">
        <f>IFERROR(INDEX(Catch!$E:$BV,MATCH($A132,Catch!$A:$A,0),MATCH($B$4,Catch!$E$1:$BV$1,0)),0)</f>
        <v/>
      </c>
      <c r="D132">
        <f>IFERROR(IF(ISNUMBER(INDEX(SPPR!$E:$X,MATCH($A132,SPPR!$A:$A,0),1)),$C132*INDEX(SPPR!$E:$X,MATCH($A132,SPPR!$A:$A,0),1),""),"")</f>
        <v/>
      </c>
      <c r="E132">
        <f>IFERROR(IF(ISNUMBER(INDEX(SPPR!$E:$X,MATCH($A132,SPPR!$A:$A,0),2)),$C132*INDEX(SPPR!$E:$X,MATCH($A132,SPPR!$A:$A,0),2),""),"")</f>
        <v/>
      </c>
      <c r="F132">
        <f>IFERROR(IF(ISNUMBER(INDEX(SPPR!$E:$X,MATCH($A132,SPPR!$A:$A,0),3)),$C132*INDEX(SPPR!$E:$X,MATCH($A132,SPPR!$A:$A,0),3),""),"")</f>
        <v/>
      </c>
      <c r="G132">
        <f>IFERROR(IF(ISNUMBER(INDEX(SPPR!$E:$X,MATCH($A132,SPPR!$A:$A,0),4)),$C132*INDEX(SPPR!$E:$X,MATCH($A132,SPPR!$A:$A,0),4),""),"")</f>
        <v/>
      </c>
      <c r="H132">
        <f>IFERROR(IF(ISNUMBER(INDEX(SPPR!$E:$X,MATCH($A132,SPPR!$A:$A,0),5)),$C132*INDEX(SPPR!$E:$X,MATCH($A132,SPPR!$A:$A,0),5),""),"")</f>
        <v/>
      </c>
      <c r="I132">
        <f>IFERROR(IF(ISNUMBER(INDEX(SPPR!$E:$X,MATCH($A132,SPPR!$A:$A,0),6)),$C132*INDEX(SPPR!$E:$X,MATCH($A132,SPPR!$A:$A,0),6),""),"")</f>
        <v/>
      </c>
      <c r="J132">
        <f>IFERROR(IF(ISNUMBER(INDEX(SPPR!$E:$X,MATCH($A132,SPPR!$A:$A,0),7)),$C132*INDEX(SPPR!$E:$X,MATCH($A132,SPPR!$A:$A,0),7),""),"")</f>
        <v/>
      </c>
      <c r="K132">
        <f>IFERROR(IF(ISNUMBER(INDEX(SPPR!$E:$X,MATCH($A132,SPPR!$A:$A,0),8)),$C132*INDEX(SPPR!$E:$X,MATCH($A132,SPPR!$A:$A,0),8),""),"")</f>
        <v/>
      </c>
      <c r="L132">
        <f>IFERROR(IF(ISNUMBER(INDEX(SPPR!$E:$X,MATCH($A132,SPPR!$A:$A,0),9)),$C132*INDEX(SPPR!$E:$X,MATCH($A132,SPPR!$A:$A,0),9),""),"")</f>
        <v/>
      </c>
      <c r="M132">
        <f>IFERROR(IF(ISNUMBER(INDEX(SPPR!$E:$X,MATCH($A132,SPPR!$A:$A,0),10)),$C132*INDEX(SPPR!$E:$X,MATCH($A132,SPPR!$A:$A,0),10),""),"")</f>
        <v/>
      </c>
      <c r="N132">
        <f>IFERROR(IF(ISNUMBER(INDEX(SPPR!$E:$X,MATCH($A132,SPPR!$A:$A,0),11)),$C132*INDEX(SPPR!$E:$X,MATCH($A132,SPPR!$A:$A,0),11),""),"")</f>
        <v/>
      </c>
      <c r="O132">
        <f>IFERROR(IF(ISNUMBER(INDEX(SPPR!$E:$X,MATCH($A132,SPPR!$A:$A,0),12)),$C132*INDEX(SPPR!$E:$X,MATCH($A132,SPPR!$A:$A,0),12),""),"")</f>
        <v/>
      </c>
      <c r="P132">
        <f>IFERROR(IF(ISNUMBER(INDEX(SPPR!$E:$X,MATCH($A132,SPPR!$A:$A,0),13)),$C132*INDEX(SPPR!$E:$X,MATCH($A132,SPPR!$A:$A,0),13),""),"")</f>
        <v/>
      </c>
      <c r="Q132">
        <f>IFERROR(IF(ISNUMBER(INDEX(SPPR!$E:$X,MATCH($A132,SPPR!$A:$A,0),14)),$C132*INDEX(SPPR!$E:$X,MATCH($A132,SPPR!$A:$A,0),14),""),"")</f>
        <v/>
      </c>
      <c r="R132">
        <f>IFERROR(IF(ISNUMBER(INDEX(SPPR!$E:$X,MATCH($A132,SPPR!$A:$A,0),15)),$C132*INDEX(SPPR!$E:$X,MATCH($A132,SPPR!$A:$A,0),15),""),"")</f>
        <v/>
      </c>
      <c r="S132">
        <f>IFERROR(IF(ISNUMBER(INDEX(SPPR!$E:$X,MATCH($A132,SPPR!$A:$A,0),16)),$C132*INDEX(SPPR!$E:$X,MATCH($A132,SPPR!$A:$A,0),16),""),"")</f>
        <v/>
      </c>
      <c r="T132">
        <f>IFERROR(IF(ISNUMBER(INDEX(SPPR!$E:$X,MATCH($A132,SPPR!$A:$A,0),17)),$C132*INDEX(SPPR!$E:$X,MATCH($A132,SPPR!$A:$A,0),17),""),"")</f>
        <v/>
      </c>
      <c r="U132">
        <f>IFERROR(IF(ISNUMBER(INDEX(SPPR!$E:$X,MATCH($A132,SPPR!$A:$A,0),18)),$C132*INDEX(SPPR!$E:$X,MATCH($A132,SPPR!$A:$A,0),18),""),"")</f>
        <v/>
      </c>
      <c r="V132">
        <f>IFERROR(IF(ISNUMBER(INDEX(SPPR!$E:$X,MATCH($A132,SPPR!$A:$A,0),19)),$C132*INDEX(SPPR!$E:$X,MATCH($A132,SPPR!$A:$A,0),19),""),"")</f>
        <v/>
      </c>
      <c r="W132">
        <f>IFERROR(IF(ISNUMBER(INDEX(SPPR!$E:$X,MATCH($A132,SPPR!$A:$A,0),20)),$C132*INDEX(SPPR!$E:$X,MATCH($A132,SPPR!$A:$A,0),20),""),"")</f>
        <v/>
      </c>
    </row>
    <row r="133">
      <c r="A133" t="inlineStr">
        <is>
          <t>Dussumieria acuta</t>
        </is>
      </c>
      <c r="B133">
        <f>IFERROR(INDEX(SPPR!$D:$D,MATCH($A133,SPPR!$A:$A,0)),"")</f>
        <v/>
      </c>
      <c r="C133">
        <f>IFERROR(INDEX(Catch!$E:$BV,MATCH($A133,Catch!$A:$A,0),MATCH($B$4,Catch!$E$1:$BV$1,0)),0)</f>
        <v/>
      </c>
      <c r="D133">
        <f>IFERROR(IF(ISNUMBER(INDEX(SPPR!$E:$X,MATCH($A133,SPPR!$A:$A,0),1)),$C133*INDEX(SPPR!$E:$X,MATCH($A133,SPPR!$A:$A,0),1),""),"")</f>
        <v/>
      </c>
      <c r="E133">
        <f>IFERROR(IF(ISNUMBER(INDEX(SPPR!$E:$X,MATCH($A133,SPPR!$A:$A,0),2)),$C133*INDEX(SPPR!$E:$X,MATCH($A133,SPPR!$A:$A,0),2),""),"")</f>
        <v/>
      </c>
      <c r="F133">
        <f>IFERROR(IF(ISNUMBER(INDEX(SPPR!$E:$X,MATCH($A133,SPPR!$A:$A,0),3)),$C133*INDEX(SPPR!$E:$X,MATCH($A133,SPPR!$A:$A,0),3),""),"")</f>
        <v/>
      </c>
      <c r="G133">
        <f>IFERROR(IF(ISNUMBER(INDEX(SPPR!$E:$X,MATCH($A133,SPPR!$A:$A,0),4)),$C133*INDEX(SPPR!$E:$X,MATCH($A133,SPPR!$A:$A,0),4),""),"")</f>
        <v/>
      </c>
      <c r="H133">
        <f>IFERROR(IF(ISNUMBER(INDEX(SPPR!$E:$X,MATCH($A133,SPPR!$A:$A,0),5)),$C133*INDEX(SPPR!$E:$X,MATCH($A133,SPPR!$A:$A,0),5),""),"")</f>
        <v/>
      </c>
      <c r="I133">
        <f>IFERROR(IF(ISNUMBER(INDEX(SPPR!$E:$X,MATCH($A133,SPPR!$A:$A,0),6)),$C133*INDEX(SPPR!$E:$X,MATCH($A133,SPPR!$A:$A,0),6),""),"")</f>
        <v/>
      </c>
      <c r="J133">
        <f>IFERROR(IF(ISNUMBER(INDEX(SPPR!$E:$X,MATCH($A133,SPPR!$A:$A,0),7)),$C133*INDEX(SPPR!$E:$X,MATCH($A133,SPPR!$A:$A,0),7),""),"")</f>
        <v/>
      </c>
      <c r="K133">
        <f>IFERROR(IF(ISNUMBER(INDEX(SPPR!$E:$X,MATCH($A133,SPPR!$A:$A,0),8)),$C133*INDEX(SPPR!$E:$X,MATCH($A133,SPPR!$A:$A,0),8),""),"")</f>
        <v/>
      </c>
      <c r="L133">
        <f>IFERROR(IF(ISNUMBER(INDEX(SPPR!$E:$X,MATCH($A133,SPPR!$A:$A,0),9)),$C133*INDEX(SPPR!$E:$X,MATCH($A133,SPPR!$A:$A,0),9),""),"")</f>
        <v/>
      </c>
      <c r="M133">
        <f>IFERROR(IF(ISNUMBER(INDEX(SPPR!$E:$X,MATCH($A133,SPPR!$A:$A,0),10)),$C133*INDEX(SPPR!$E:$X,MATCH($A133,SPPR!$A:$A,0),10),""),"")</f>
        <v/>
      </c>
      <c r="N133">
        <f>IFERROR(IF(ISNUMBER(INDEX(SPPR!$E:$X,MATCH($A133,SPPR!$A:$A,0),11)),$C133*INDEX(SPPR!$E:$X,MATCH($A133,SPPR!$A:$A,0),11),""),"")</f>
        <v/>
      </c>
      <c r="O133">
        <f>IFERROR(IF(ISNUMBER(INDEX(SPPR!$E:$X,MATCH($A133,SPPR!$A:$A,0),12)),$C133*INDEX(SPPR!$E:$X,MATCH($A133,SPPR!$A:$A,0),12),""),"")</f>
        <v/>
      </c>
      <c r="P133">
        <f>IFERROR(IF(ISNUMBER(INDEX(SPPR!$E:$X,MATCH($A133,SPPR!$A:$A,0),13)),$C133*INDEX(SPPR!$E:$X,MATCH($A133,SPPR!$A:$A,0),13),""),"")</f>
        <v/>
      </c>
      <c r="Q133">
        <f>IFERROR(IF(ISNUMBER(INDEX(SPPR!$E:$X,MATCH($A133,SPPR!$A:$A,0),14)),$C133*INDEX(SPPR!$E:$X,MATCH($A133,SPPR!$A:$A,0),14),""),"")</f>
        <v/>
      </c>
      <c r="R133">
        <f>IFERROR(IF(ISNUMBER(INDEX(SPPR!$E:$X,MATCH($A133,SPPR!$A:$A,0),15)),$C133*INDEX(SPPR!$E:$X,MATCH($A133,SPPR!$A:$A,0),15),""),"")</f>
        <v/>
      </c>
      <c r="S133">
        <f>IFERROR(IF(ISNUMBER(INDEX(SPPR!$E:$X,MATCH($A133,SPPR!$A:$A,0),16)),$C133*INDEX(SPPR!$E:$X,MATCH($A133,SPPR!$A:$A,0),16),""),"")</f>
        <v/>
      </c>
      <c r="T133">
        <f>IFERROR(IF(ISNUMBER(INDEX(SPPR!$E:$X,MATCH($A133,SPPR!$A:$A,0),17)),$C133*INDEX(SPPR!$E:$X,MATCH($A133,SPPR!$A:$A,0),17),""),"")</f>
        <v/>
      </c>
      <c r="U133">
        <f>IFERROR(IF(ISNUMBER(INDEX(SPPR!$E:$X,MATCH($A133,SPPR!$A:$A,0),18)),$C133*INDEX(SPPR!$E:$X,MATCH($A133,SPPR!$A:$A,0),18),""),"")</f>
        <v/>
      </c>
      <c r="V133">
        <f>IFERROR(IF(ISNUMBER(INDEX(SPPR!$E:$X,MATCH($A133,SPPR!$A:$A,0),19)),$C133*INDEX(SPPR!$E:$X,MATCH($A133,SPPR!$A:$A,0),19),""),"")</f>
        <v/>
      </c>
      <c r="W133">
        <f>IFERROR(IF(ISNUMBER(INDEX(SPPR!$E:$X,MATCH($A133,SPPR!$A:$A,0),20)),$C133*INDEX(SPPR!$E:$X,MATCH($A133,SPPR!$A:$A,0),20),""),"")</f>
        <v/>
      </c>
    </row>
    <row r="134">
      <c r="A134" t="inlineStr">
        <is>
          <t>Pennahia argentata</t>
        </is>
      </c>
      <c r="B134">
        <f>IFERROR(INDEX(SPPR!$D:$D,MATCH($A134,SPPR!$A:$A,0)),"")</f>
        <v/>
      </c>
      <c r="C134">
        <f>IFERROR(INDEX(Catch!$E:$BV,MATCH($A134,Catch!$A:$A,0),MATCH($B$4,Catch!$E$1:$BV$1,0)),0)</f>
        <v/>
      </c>
      <c r="D134">
        <f>IFERROR(IF(ISNUMBER(INDEX(SPPR!$E:$X,MATCH($A134,SPPR!$A:$A,0),1)),$C134*INDEX(SPPR!$E:$X,MATCH($A134,SPPR!$A:$A,0),1),""),"")</f>
        <v/>
      </c>
      <c r="E134">
        <f>IFERROR(IF(ISNUMBER(INDEX(SPPR!$E:$X,MATCH($A134,SPPR!$A:$A,0),2)),$C134*INDEX(SPPR!$E:$X,MATCH($A134,SPPR!$A:$A,0),2),""),"")</f>
        <v/>
      </c>
      <c r="F134">
        <f>IFERROR(IF(ISNUMBER(INDEX(SPPR!$E:$X,MATCH($A134,SPPR!$A:$A,0),3)),$C134*INDEX(SPPR!$E:$X,MATCH($A134,SPPR!$A:$A,0),3),""),"")</f>
        <v/>
      </c>
      <c r="G134">
        <f>IFERROR(IF(ISNUMBER(INDEX(SPPR!$E:$X,MATCH($A134,SPPR!$A:$A,0),4)),$C134*INDEX(SPPR!$E:$X,MATCH($A134,SPPR!$A:$A,0),4),""),"")</f>
        <v/>
      </c>
      <c r="H134">
        <f>IFERROR(IF(ISNUMBER(INDEX(SPPR!$E:$X,MATCH($A134,SPPR!$A:$A,0),5)),$C134*INDEX(SPPR!$E:$X,MATCH($A134,SPPR!$A:$A,0),5),""),"")</f>
        <v/>
      </c>
      <c r="I134">
        <f>IFERROR(IF(ISNUMBER(INDEX(SPPR!$E:$X,MATCH($A134,SPPR!$A:$A,0),6)),$C134*INDEX(SPPR!$E:$X,MATCH($A134,SPPR!$A:$A,0),6),""),"")</f>
        <v/>
      </c>
      <c r="J134">
        <f>IFERROR(IF(ISNUMBER(INDEX(SPPR!$E:$X,MATCH($A134,SPPR!$A:$A,0),7)),$C134*INDEX(SPPR!$E:$X,MATCH($A134,SPPR!$A:$A,0),7),""),"")</f>
        <v/>
      </c>
      <c r="K134">
        <f>IFERROR(IF(ISNUMBER(INDEX(SPPR!$E:$X,MATCH($A134,SPPR!$A:$A,0),8)),$C134*INDEX(SPPR!$E:$X,MATCH($A134,SPPR!$A:$A,0),8),""),"")</f>
        <v/>
      </c>
      <c r="L134">
        <f>IFERROR(IF(ISNUMBER(INDEX(SPPR!$E:$X,MATCH($A134,SPPR!$A:$A,0),9)),$C134*INDEX(SPPR!$E:$X,MATCH($A134,SPPR!$A:$A,0),9),""),"")</f>
        <v/>
      </c>
      <c r="M134">
        <f>IFERROR(IF(ISNUMBER(INDEX(SPPR!$E:$X,MATCH($A134,SPPR!$A:$A,0),10)),$C134*INDEX(SPPR!$E:$X,MATCH($A134,SPPR!$A:$A,0),10),""),"")</f>
        <v/>
      </c>
      <c r="N134">
        <f>IFERROR(IF(ISNUMBER(INDEX(SPPR!$E:$X,MATCH($A134,SPPR!$A:$A,0),11)),$C134*INDEX(SPPR!$E:$X,MATCH($A134,SPPR!$A:$A,0),11),""),"")</f>
        <v/>
      </c>
      <c r="O134">
        <f>IFERROR(IF(ISNUMBER(INDEX(SPPR!$E:$X,MATCH($A134,SPPR!$A:$A,0),12)),$C134*INDEX(SPPR!$E:$X,MATCH($A134,SPPR!$A:$A,0),12),""),"")</f>
        <v/>
      </c>
      <c r="P134">
        <f>IFERROR(IF(ISNUMBER(INDEX(SPPR!$E:$X,MATCH($A134,SPPR!$A:$A,0),13)),$C134*INDEX(SPPR!$E:$X,MATCH($A134,SPPR!$A:$A,0),13),""),"")</f>
        <v/>
      </c>
      <c r="Q134">
        <f>IFERROR(IF(ISNUMBER(INDEX(SPPR!$E:$X,MATCH($A134,SPPR!$A:$A,0),14)),$C134*INDEX(SPPR!$E:$X,MATCH($A134,SPPR!$A:$A,0),14),""),"")</f>
        <v/>
      </c>
      <c r="R134">
        <f>IFERROR(IF(ISNUMBER(INDEX(SPPR!$E:$X,MATCH($A134,SPPR!$A:$A,0),15)),$C134*INDEX(SPPR!$E:$X,MATCH($A134,SPPR!$A:$A,0),15),""),"")</f>
        <v/>
      </c>
      <c r="S134">
        <f>IFERROR(IF(ISNUMBER(INDEX(SPPR!$E:$X,MATCH($A134,SPPR!$A:$A,0),16)),$C134*INDEX(SPPR!$E:$X,MATCH($A134,SPPR!$A:$A,0),16),""),"")</f>
        <v/>
      </c>
      <c r="T134">
        <f>IFERROR(IF(ISNUMBER(INDEX(SPPR!$E:$X,MATCH($A134,SPPR!$A:$A,0),17)),$C134*INDEX(SPPR!$E:$X,MATCH($A134,SPPR!$A:$A,0),17),""),"")</f>
        <v/>
      </c>
      <c r="U134">
        <f>IFERROR(IF(ISNUMBER(INDEX(SPPR!$E:$X,MATCH($A134,SPPR!$A:$A,0),18)),$C134*INDEX(SPPR!$E:$X,MATCH($A134,SPPR!$A:$A,0),18),""),"")</f>
        <v/>
      </c>
      <c r="V134">
        <f>IFERROR(IF(ISNUMBER(INDEX(SPPR!$E:$X,MATCH($A134,SPPR!$A:$A,0),19)),$C134*INDEX(SPPR!$E:$X,MATCH($A134,SPPR!$A:$A,0),19),""),"")</f>
        <v/>
      </c>
      <c r="W134">
        <f>IFERROR(IF(ISNUMBER(INDEX(SPPR!$E:$X,MATCH($A134,SPPR!$A:$A,0),20)),$C134*INDEX(SPPR!$E:$X,MATCH($A134,SPPR!$A:$A,0),20),""),"")</f>
        <v/>
      </c>
    </row>
    <row r="135">
      <c r="A135" t="inlineStr">
        <is>
          <t>Stephanolepis cirrhifer</t>
        </is>
      </c>
      <c r="B135">
        <f>IFERROR(INDEX(SPPR!$D:$D,MATCH($A135,SPPR!$A:$A,0)),"")</f>
        <v/>
      </c>
      <c r="C135">
        <f>IFERROR(INDEX(Catch!$E:$BV,MATCH($A135,Catch!$A:$A,0),MATCH($B$4,Catch!$E$1:$BV$1,0)),0)</f>
        <v/>
      </c>
      <c r="D135">
        <f>IFERROR(IF(ISNUMBER(INDEX(SPPR!$E:$X,MATCH($A135,SPPR!$A:$A,0),1)),$C135*INDEX(SPPR!$E:$X,MATCH($A135,SPPR!$A:$A,0),1),""),"")</f>
        <v/>
      </c>
      <c r="E135">
        <f>IFERROR(IF(ISNUMBER(INDEX(SPPR!$E:$X,MATCH($A135,SPPR!$A:$A,0),2)),$C135*INDEX(SPPR!$E:$X,MATCH($A135,SPPR!$A:$A,0),2),""),"")</f>
        <v/>
      </c>
      <c r="F135">
        <f>IFERROR(IF(ISNUMBER(INDEX(SPPR!$E:$X,MATCH($A135,SPPR!$A:$A,0),3)),$C135*INDEX(SPPR!$E:$X,MATCH($A135,SPPR!$A:$A,0),3),""),"")</f>
        <v/>
      </c>
      <c r="G135">
        <f>IFERROR(IF(ISNUMBER(INDEX(SPPR!$E:$X,MATCH($A135,SPPR!$A:$A,0),4)),$C135*INDEX(SPPR!$E:$X,MATCH($A135,SPPR!$A:$A,0),4),""),"")</f>
        <v/>
      </c>
      <c r="H135">
        <f>IFERROR(IF(ISNUMBER(INDEX(SPPR!$E:$X,MATCH($A135,SPPR!$A:$A,0),5)),$C135*INDEX(SPPR!$E:$X,MATCH($A135,SPPR!$A:$A,0),5),""),"")</f>
        <v/>
      </c>
      <c r="I135">
        <f>IFERROR(IF(ISNUMBER(INDEX(SPPR!$E:$X,MATCH($A135,SPPR!$A:$A,0),6)),$C135*INDEX(SPPR!$E:$X,MATCH($A135,SPPR!$A:$A,0),6),""),"")</f>
        <v/>
      </c>
      <c r="J135">
        <f>IFERROR(IF(ISNUMBER(INDEX(SPPR!$E:$X,MATCH($A135,SPPR!$A:$A,0),7)),$C135*INDEX(SPPR!$E:$X,MATCH($A135,SPPR!$A:$A,0),7),""),"")</f>
        <v/>
      </c>
      <c r="K135">
        <f>IFERROR(IF(ISNUMBER(INDEX(SPPR!$E:$X,MATCH($A135,SPPR!$A:$A,0),8)),$C135*INDEX(SPPR!$E:$X,MATCH($A135,SPPR!$A:$A,0),8),""),"")</f>
        <v/>
      </c>
      <c r="L135">
        <f>IFERROR(IF(ISNUMBER(INDEX(SPPR!$E:$X,MATCH($A135,SPPR!$A:$A,0),9)),$C135*INDEX(SPPR!$E:$X,MATCH($A135,SPPR!$A:$A,0),9),""),"")</f>
        <v/>
      </c>
      <c r="M135">
        <f>IFERROR(IF(ISNUMBER(INDEX(SPPR!$E:$X,MATCH($A135,SPPR!$A:$A,0),10)),$C135*INDEX(SPPR!$E:$X,MATCH($A135,SPPR!$A:$A,0),10),""),"")</f>
        <v/>
      </c>
      <c r="N135">
        <f>IFERROR(IF(ISNUMBER(INDEX(SPPR!$E:$X,MATCH($A135,SPPR!$A:$A,0),11)),$C135*INDEX(SPPR!$E:$X,MATCH($A135,SPPR!$A:$A,0),11),""),"")</f>
        <v/>
      </c>
      <c r="O135">
        <f>IFERROR(IF(ISNUMBER(INDEX(SPPR!$E:$X,MATCH($A135,SPPR!$A:$A,0),12)),$C135*INDEX(SPPR!$E:$X,MATCH($A135,SPPR!$A:$A,0),12),""),"")</f>
        <v/>
      </c>
      <c r="P135">
        <f>IFERROR(IF(ISNUMBER(INDEX(SPPR!$E:$X,MATCH($A135,SPPR!$A:$A,0),13)),$C135*INDEX(SPPR!$E:$X,MATCH($A135,SPPR!$A:$A,0),13),""),"")</f>
        <v/>
      </c>
      <c r="Q135">
        <f>IFERROR(IF(ISNUMBER(INDEX(SPPR!$E:$X,MATCH($A135,SPPR!$A:$A,0),14)),$C135*INDEX(SPPR!$E:$X,MATCH($A135,SPPR!$A:$A,0),14),""),"")</f>
        <v/>
      </c>
      <c r="R135">
        <f>IFERROR(IF(ISNUMBER(INDEX(SPPR!$E:$X,MATCH($A135,SPPR!$A:$A,0),15)),$C135*INDEX(SPPR!$E:$X,MATCH($A135,SPPR!$A:$A,0),15),""),"")</f>
        <v/>
      </c>
      <c r="S135">
        <f>IFERROR(IF(ISNUMBER(INDEX(SPPR!$E:$X,MATCH($A135,SPPR!$A:$A,0),16)),$C135*INDEX(SPPR!$E:$X,MATCH($A135,SPPR!$A:$A,0),16),""),"")</f>
        <v/>
      </c>
      <c r="T135">
        <f>IFERROR(IF(ISNUMBER(INDEX(SPPR!$E:$X,MATCH($A135,SPPR!$A:$A,0),17)),$C135*INDEX(SPPR!$E:$X,MATCH($A135,SPPR!$A:$A,0),17),""),"")</f>
        <v/>
      </c>
      <c r="U135">
        <f>IFERROR(IF(ISNUMBER(INDEX(SPPR!$E:$X,MATCH($A135,SPPR!$A:$A,0),18)),$C135*INDEX(SPPR!$E:$X,MATCH($A135,SPPR!$A:$A,0),18),""),"")</f>
        <v/>
      </c>
      <c r="V135">
        <f>IFERROR(IF(ISNUMBER(INDEX(SPPR!$E:$X,MATCH($A135,SPPR!$A:$A,0),19)),$C135*INDEX(SPPR!$E:$X,MATCH($A135,SPPR!$A:$A,0),19),""),"")</f>
        <v/>
      </c>
      <c r="W135">
        <f>IFERROR(IF(ISNUMBER(INDEX(SPPR!$E:$X,MATCH($A135,SPPR!$A:$A,0),20)),$C135*INDEX(SPPR!$E:$X,MATCH($A135,SPPR!$A:$A,0),20),""),"")</f>
        <v/>
      </c>
    </row>
    <row r="136">
      <c r="A136" t="inlineStr">
        <is>
          <t>Stromateidae</t>
        </is>
      </c>
      <c r="B136">
        <f>IFERROR(INDEX(SPPR!$D:$D,MATCH($A136,SPPR!$A:$A,0)),"")</f>
        <v/>
      </c>
      <c r="C136">
        <f>IFERROR(INDEX(Catch!$E:$BV,MATCH($A136,Catch!$A:$A,0),MATCH($B$4,Catch!$E$1:$BV$1,0)),0)</f>
        <v/>
      </c>
      <c r="D136">
        <f>IFERROR(IF(ISNUMBER(INDEX(SPPR!$E:$X,MATCH($A136,SPPR!$A:$A,0),1)),$C136*INDEX(SPPR!$E:$X,MATCH($A136,SPPR!$A:$A,0),1),""),"")</f>
        <v/>
      </c>
      <c r="E136">
        <f>IFERROR(IF(ISNUMBER(INDEX(SPPR!$E:$X,MATCH($A136,SPPR!$A:$A,0),2)),$C136*INDEX(SPPR!$E:$X,MATCH($A136,SPPR!$A:$A,0),2),""),"")</f>
        <v/>
      </c>
      <c r="F136">
        <f>IFERROR(IF(ISNUMBER(INDEX(SPPR!$E:$X,MATCH($A136,SPPR!$A:$A,0),3)),$C136*INDEX(SPPR!$E:$X,MATCH($A136,SPPR!$A:$A,0),3),""),"")</f>
        <v/>
      </c>
      <c r="G136">
        <f>IFERROR(IF(ISNUMBER(INDEX(SPPR!$E:$X,MATCH($A136,SPPR!$A:$A,0),4)),$C136*INDEX(SPPR!$E:$X,MATCH($A136,SPPR!$A:$A,0),4),""),"")</f>
        <v/>
      </c>
      <c r="H136">
        <f>IFERROR(IF(ISNUMBER(INDEX(SPPR!$E:$X,MATCH($A136,SPPR!$A:$A,0),5)),$C136*INDEX(SPPR!$E:$X,MATCH($A136,SPPR!$A:$A,0),5),""),"")</f>
        <v/>
      </c>
      <c r="I136">
        <f>IFERROR(IF(ISNUMBER(INDEX(SPPR!$E:$X,MATCH($A136,SPPR!$A:$A,0),6)),$C136*INDEX(SPPR!$E:$X,MATCH($A136,SPPR!$A:$A,0),6),""),"")</f>
        <v/>
      </c>
      <c r="J136">
        <f>IFERROR(IF(ISNUMBER(INDEX(SPPR!$E:$X,MATCH($A136,SPPR!$A:$A,0),7)),$C136*INDEX(SPPR!$E:$X,MATCH($A136,SPPR!$A:$A,0),7),""),"")</f>
        <v/>
      </c>
      <c r="K136">
        <f>IFERROR(IF(ISNUMBER(INDEX(SPPR!$E:$X,MATCH($A136,SPPR!$A:$A,0),8)),$C136*INDEX(SPPR!$E:$X,MATCH($A136,SPPR!$A:$A,0),8),""),"")</f>
        <v/>
      </c>
      <c r="L136">
        <f>IFERROR(IF(ISNUMBER(INDEX(SPPR!$E:$X,MATCH($A136,SPPR!$A:$A,0),9)),$C136*INDEX(SPPR!$E:$X,MATCH($A136,SPPR!$A:$A,0),9),""),"")</f>
        <v/>
      </c>
      <c r="M136">
        <f>IFERROR(IF(ISNUMBER(INDEX(SPPR!$E:$X,MATCH($A136,SPPR!$A:$A,0),10)),$C136*INDEX(SPPR!$E:$X,MATCH($A136,SPPR!$A:$A,0),10),""),"")</f>
        <v/>
      </c>
      <c r="N136">
        <f>IFERROR(IF(ISNUMBER(INDEX(SPPR!$E:$X,MATCH($A136,SPPR!$A:$A,0),11)),$C136*INDEX(SPPR!$E:$X,MATCH($A136,SPPR!$A:$A,0),11),""),"")</f>
        <v/>
      </c>
      <c r="O136">
        <f>IFERROR(IF(ISNUMBER(INDEX(SPPR!$E:$X,MATCH($A136,SPPR!$A:$A,0),12)),$C136*INDEX(SPPR!$E:$X,MATCH($A136,SPPR!$A:$A,0),12),""),"")</f>
        <v/>
      </c>
      <c r="P136">
        <f>IFERROR(IF(ISNUMBER(INDEX(SPPR!$E:$X,MATCH($A136,SPPR!$A:$A,0),13)),$C136*INDEX(SPPR!$E:$X,MATCH($A136,SPPR!$A:$A,0),13),""),"")</f>
        <v/>
      </c>
      <c r="Q136">
        <f>IFERROR(IF(ISNUMBER(INDEX(SPPR!$E:$X,MATCH($A136,SPPR!$A:$A,0),14)),$C136*INDEX(SPPR!$E:$X,MATCH($A136,SPPR!$A:$A,0),14),""),"")</f>
        <v/>
      </c>
      <c r="R136">
        <f>IFERROR(IF(ISNUMBER(INDEX(SPPR!$E:$X,MATCH($A136,SPPR!$A:$A,0),15)),$C136*INDEX(SPPR!$E:$X,MATCH($A136,SPPR!$A:$A,0),15),""),"")</f>
        <v/>
      </c>
      <c r="S136">
        <f>IFERROR(IF(ISNUMBER(INDEX(SPPR!$E:$X,MATCH($A136,SPPR!$A:$A,0),16)),$C136*INDEX(SPPR!$E:$X,MATCH($A136,SPPR!$A:$A,0),16),""),"")</f>
        <v/>
      </c>
      <c r="T136">
        <f>IFERROR(IF(ISNUMBER(INDEX(SPPR!$E:$X,MATCH($A136,SPPR!$A:$A,0),17)),$C136*INDEX(SPPR!$E:$X,MATCH($A136,SPPR!$A:$A,0),17),""),"")</f>
        <v/>
      </c>
      <c r="U136">
        <f>IFERROR(IF(ISNUMBER(INDEX(SPPR!$E:$X,MATCH($A136,SPPR!$A:$A,0),18)),$C136*INDEX(SPPR!$E:$X,MATCH($A136,SPPR!$A:$A,0),18),""),"")</f>
        <v/>
      </c>
      <c r="V136">
        <f>IFERROR(IF(ISNUMBER(INDEX(SPPR!$E:$X,MATCH($A136,SPPR!$A:$A,0),19)),$C136*INDEX(SPPR!$E:$X,MATCH($A136,SPPR!$A:$A,0),19),""),"")</f>
        <v/>
      </c>
      <c r="W136">
        <f>IFERROR(IF(ISNUMBER(INDEX(SPPR!$E:$X,MATCH($A136,SPPR!$A:$A,0),20)),$C136*INDEX(SPPR!$E:$X,MATCH($A136,SPPR!$A:$A,0),20),""),"")</f>
        <v/>
      </c>
    </row>
    <row r="137">
      <c r="A137" t="inlineStr">
        <is>
          <t>Lutjanus johnii</t>
        </is>
      </c>
      <c r="B137">
        <f>IFERROR(INDEX(SPPR!$D:$D,MATCH($A137,SPPR!$A:$A,0)),"")</f>
        <v/>
      </c>
      <c r="C137">
        <f>IFERROR(INDEX(Catch!$E:$BV,MATCH($A137,Catch!$A:$A,0),MATCH($B$4,Catch!$E$1:$BV$1,0)),0)</f>
        <v/>
      </c>
      <c r="D137">
        <f>IFERROR(IF(ISNUMBER(INDEX(SPPR!$E:$X,MATCH($A137,SPPR!$A:$A,0),1)),$C137*INDEX(SPPR!$E:$X,MATCH($A137,SPPR!$A:$A,0),1),""),"")</f>
        <v/>
      </c>
      <c r="E137">
        <f>IFERROR(IF(ISNUMBER(INDEX(SPPR!$E:$X,MATCH($A137,SPPR!$A:$A,0),2)),$C137*INDEX(SPPR!$E:$X,MATCH($A137,SPPR!$A:$A,0),2),""),"")</f>
        <v/>
      </c>
      <c r="F137">
        <f>IFERROR(IF(ISNUMBER(INDEX(SPPR!$E:$X,MATCH($A137,SPPR!$A:$A,0),3)),$C137*INDEX(SPPR!$E:$X,MATCH($A137,SPPR!$A:$A,0),3),""),"")</f>
        <v/>
      </c>
      <c r="G137">
        <f>IFERROR(IF(ISNUMBER(INDEX(SPPR!$E:$X,MATCH($A137,SPPR!$A:$A,0),4)),$C137*INDEX(SPPR!$E:$X,MATCH($A137,SPPR!$A:$A,0),4),""),"")</f>
        <v/>
      </c>
      <c r="H137">
        <f>IFERROR(IF(ISNUMBER(INDEX(SPPR!$E:$X,MATCH($A137,SPPR!$A:$A,0),5)),$C137*INDEX(SPPR!$E:$X,MATCH($A137,SPPR!$A:$A,0),5),""),"")</f>
        <v/>
      </c>
      <c r="I137">
        <f>IFERROR(IF(ISNUMBER(INDEX(SPPR!$E:$X,MATCH($A137,SPPR!$A:$A,0),6)),$C137*INDEX(SPPR!$E:$X,MATCH($A137,SPPR!$A:$A,0),6),""),"")</f>
        <v/>
      </c>
      <c r="J137">
        <f>IFERROR(IF(ISNUMBER(INDEX(SPPR!$E:$X,MATCH($A137,SPPR!$A:$A,0),7)),$C137*INDEX(SPPR!$E:$X,MATCH($A137,SPPR!$A:$A,0),7),""),"")</f>
        <v/>
      </c>
      <c r="K137">
        <f>IFERROR(IF(ISNUMBER(INDEX(SPPR!$E:$X,MATCH($A137,SPPR!$A:$A,0),8)),$C137*INDEX(SPPR!$E:$X,MATCH($A137,SPPR!$A:$A,0),8),""),"")</f>
        <v/>
      </c>
      <c r="L137">
        <f>IFERROR(IF(ISNUMBER(INDEX(SPPR!$E:$X,MATCH($A137,SPPR!$A:$A,0),9)),$C137*INDEX(SPPR!$E:$X,MATCH($A137,SPPR!$A:$A,0),9),""),"")</f>
        <v/>
      </c>
      <c r="M137">
        <f>IFERROR(IF(ISNUMBER(INDEX(SPPR!$E:$X,MATCH($A137,SPPR!$A:$A,0),10)),$C137*INDEX(SPPR!$E:$X,MATCH($A137,SPPR!$A:$A,0),10),""),"")</f>
        <v/>
      </c>
      <c r="N137">
        <f>IFERROR(IF(ISNUMBER(INDEX(SPPR!$E:$X,MATCH($A137,SPPR!$A:$A,0),11)),$C137*INDEX(SPPR!$E:$X,MATCH($A137,SPPR!$A:$A,0),11),""),"")</f>
        <v/>
      </c>
      <c r="O137">
        <f>IFERROR(IF(ISNUMBER(INDEX(SPPR!$E:$X,MATCH($A137,SPPR!$A:$A,0),12)),$C137*INDEX(SPPR!$E:$X,MATCH($A137,SPPR!$A:$A,0),12),""),"")</f>
        <v/>
      </c>
      <c r="P137">
        <f>IFERROR(IF(ISNUMBER(INDEX(SPPR!$E:$X,MATCH($A137,SPPR!$A:$A,0),13)),$C137*INDEX(SPPR!$E:$X,MATCH($A137,SPPR!$A:$A,0),13),""),"")</f>
        <v/>
      </c>
      <c r="Q137">
        <f>IFERROR(IF(ISNUMBER(INDEX(SPPR!$E:$X,MATCH($A137,SPPR!$A:$A,0),14)),$C137*INDEX(SPPR!$E:$X,MATCH($A137,SPPR!$A:$A,0),14),""),"")</f>
        <v/>
      </c>
      <c r="R137">
        <f>IFERROR(IF(ISNUMBER(INDEX(SPPR!$E:$X,MATCH($A137,SPPR!$A:$A,0),15)),$C137*INDEX(SPPR!$E:$X,MATCH($A137,SPPR!$A:$A,0),15),""),"")</f>
        <v/>
      </c>
      <c r="S137">
        <f>IFERROR(IF(ISNUMBER(INDEX(SPPR!$E:$X,MATCH($A137,SPPR!$A:$A,0),16)),$C137*INDEX(SPPR!$E:$X,MATCH($A137,SPPR!$A:$A,0),16),""),"")</f>
        <v/>
      </c>
      <c r="T137">
        <f>IFERROR(IF(ISNUMBER(INDEX(SPPR!$E:$X,MATCH($A137,SPPR!$A:$A,0),17)),$C137*INDEX(SPPR!$E:$X,MATCH($A137,SPPR!$A:$A,0),17),""),"")</f>
        <v/>
      </c>
      <c r="U137">
        <f>IFERROR(IF(ISNUMBER(INDEX(SPPR!$E:$X,MATCH($A137,SPPR!$A:$A,0),18)),$C137*INDEX(SPPR!$E:$X,MATCH($A137,SPPR!$A:$A,0),18),""),"")</f>
        <v/>
      </c>
      <c r="V137">
        <f>IFERROR(IF(ISNUMBER(INDEX(SPPR!$E:$X,MATCH($A137,SPPR!$A:$A,0),19)),$C137*INDEX(SPPR!$E:$X,MATCH($A137,SPPR!$A:$A,0),19),""),"")</f>
        <v/>
      </c>
      <c r="W137">
        <f>IFERROR(IF(ISNUMBER(INDEX(SPPR!$E:$X,MATCH($A137,SPPR!$A:$A,0),20)),$C137*INDEX(SPPR!$E:$X,MATCH($A137,SPPR!$A:$A,0),20),""),"")</f>
        <v/>
      </c>
    </row>
    <row r="138">
      <c r="A138" t="inlineStr">
        <is>
          <t>Elagatis bipinnulata</t>
        </is>
      </c>
      <c r="B138">
        <f>IFERROR(INDEX(SPPR!$D:$D,MATCH($A138,SPPR!$A:$A,0)),"")</f>
        <v/>
      </c>
      <c r="C138">
        <f>IFERROR(INDEX(Catch!$E:$BV,MATCH($A138,Catch!$A:$A,0),MATCH($B$4,Catch!$E$1:$BV$1,0)),0)</f>
        <v/>
      </c>
      <c r="D138">
        <f>IFERROR(IF(ISNUMBER(INDEX(SPPR!$E:$X,MATCH($A138,SPPR!$A:$A,0),1)),$C138*INDEX(SPPR!$E:$X,MATCH($A138,SPPR!$A:$A,0),1),""),"")</f>
        <v/>
      </c>
      <c r="E138">
        <f>IFERROR(IF(ISNUMBER(INDEX(SPPR!$E:$X,MATCH($A138,SPPR!$A:$A,0),2)),$C138*INDEX(SPPR!$E:$X,MATCH($A138,SPPR!$A:$A,0),2),""),"")</f>
        <v/>
      </c>
      <c r="F138">
        <f>IFERROR(IF(ISNUMBER(INDEX(SPPR!$E:$X,MATCH($A138,SPPR!$A:$A,0),3)),$C138*INDEX(SPPR!$E:$X,MATCH($A138,SPPR!$A:$A,0),3),""),"")</f>
        <v/>
      </c>
      <c r="G138">
        <f>IFERROR(IF(ISNUMBER(INDEX(SPPR!$E:$X,MATCH($A138,SPPR!$A:$A,0),4)),$C138*INDEX(SPPR!$E:$X,MATCH($A138,SPPR!$A:$A,0),4),""),"")</f>
        <v/>
      </c>
      <c r="H138">
        <f>IFERROR(IF(ISNUMBER(INDEX(SPPR!$E:$X,MATCH($A138,SPPR!$A:$A,0),5)),$C138*INDEX(SPPR!$E:$X,MATCH($A138,SPPR!$A:$A,0),5),""),"")</f>
        <v/>
      </c>
      <c r="I138">
        <f>IFERROR(IF(ISNUMBER(INDEX(SPPR!$E:$X,MATCH($A138,SPPR!$A:$A,0),6)),$C138*INDEX(SPPR!$E:$X,MATCH($A138,SPPR!$A:$A,0),6),""),"")</f>
        <v/>
      </c>
      <c r="J138">
        <f>IFERROR(IF(ISNUMBER(INDEX(SPPR!$E:$X,MATCH($A138,SPPR!$A:$A,0),7)),$C138*INDEX(SPPR!$E:$X,MATCH($A138,SPPR!$A:$A,0),7),""),"")</f>
        <v/>
      </c>
      <c r="K138">
        <f>IFERROR(IF(ISNUMBER(INDEX(SPPR!$E:$X,MATCH($A138,SPPR!$A:$A,0),8)),$C138*INDEX(SPPR!$E:$X,MATCH($A138,SPPR!$A:$A,0),8),""),"")</f>
        <v/>
      </c>
      <c r="L138">
        <f>IFERROR(IF(ISNUMBER(INDEX(SPPR!$E:$X,MATCH($A138,SPPR!$A:$A,0),9)),$C138*INDEX(SPPR!$E:$X,MATCH($A138,SPPR!$A:$A,0),9),""),"")</f>
        <v/>
      </c>
      <c r="M138">
        <f>IFERROR(IF(ISNUMBER(INDEX(SPPR!$E:$X,MATCH($A138,SPPR!$A:$A,0),10)),$C138*INDEX(SPPR!$E:$X,MATCH($A138,SPPR!$A:$A,0),10),""),"")</f>
        <v/>
      </c>
      <c r="N138">
        <f>IFERROR(IF(ISNUMBER(INDEX(SPPR!$E:$X,MATCH($A138,SPPR!$A:$A,0),11)),$C138*INDEX(SPPR!$E:$X,MATCH($A138,SPPR!$A:$A,0),11),""),"")</f>
        <v/>
      </c>
      <c r="O138">
        <f>IFERROR(IF(ISNUMBER(INDEX(SPPR!$E:$X,MATCH($A138,SPPR!$A:$A,0),12)),$C138*INDEX(SPPR!$E:$X,MATCH($A138,SPPR!$A:$A,0),12),""),"")</f>
        <v/>
      </c>
      <c r="P138">
        <f>IFERROR(IF(ISNUMBER(INDEX(SPPR!$E:$X,MATCH($A138,SPPR!$A:$A,0),13)),$C138*INDEX(SPPR!$E:$X,MATCH($A138,SPPR!$A:$A,0),13),""),"")</f>
        <v/>
      </c>
      <c r="Q138">
        <f>IFERROR(IF(ISNUMBER(INDEX(SPPR!$E:$X,MATCH($A138,SPPR!$A:$A,0),14)),$C138*INDEX(SPPR!$E:$X,MATCH($A138,SPPR!$A:$A,0),14),""),"")</f>
        <v/>
      </c>
      <c r="R138">
        <f>IFERROR(IF(ISNUMBER(INDEX(SPPR!$E:$X,MATCH($A138,SPPR!$A:$A,0),15)),$C138*INDEX(SPPR!$E:$X,MATCH($A138,SPPR!$A:$A,0),15),""),"")</f>
        <v/>
      </c>
      <c r="S138">
        <f>IFERROR(IF(ISNUMBER(INDEX(SPPR!$E:$X,MATCH($A138,SPPR!$A:$A,0),16)),$C138*INDEX(SPPR!$E:$X,MATCH($A138,SPPR!$A:$A,0),16),""),"")</f>
        <v/>
      </c>
      <c r="T138">
        <f>IFERROR(IF(ISNUMBER(INDEX(SPPR!$E:$X,MATCH($A138,SPPR!$A:$A,0),17)),$C138*INDEX(SPPR!$E:$X,MATCH($A138,SPPR!$A:$A,0),17),""),"")</f>
        <v/>
      </c>
      <c r="U138">
        <f>IFERROR(IF(ISNUMBER(INDEX(SPPR!$E:$X,MATCH($A138,SPPR!$A:$A,0),18)),$C138*INDEX(SPPR!$E:$X,MATCH($A138,SPPR!$A:$A,0),18),""),"")</f>
        <v/>
      </c>
      <c r="V138">
        <f>IFERROR(IF(ISNUMBER(INDEX(SPPR!$E:$X,MATCH($A138,SPPR!$A:$A,0),19)),$C138*INDEX(SPPR!$E:$X,MATCH($A138,SPPR!$A:$A,0),19),""),"")</f>
        <v/>
      </c>
      <c r="W138">
        <f>IFERROR(IF(ISNUMBER(INDEX(SPPR!$E:$X,MATCH($A138,SPPR!$A:$A,0),20)),$C138*INDEX(SPPR!$E:$X,MATCH($A138,SPPR!$A:$A,0),20),""),"")</f>
        <v/>
      </c>
    </row>
    <row r="139">
      <c r="A139" t="inlineStr">
        <is>
          <t>Saurida</t>
        </is>
      </c>
      <c r="B139">
        <f>IFERROR(INDEX(SPPR!$D:$D,MATCH($A139,SPPR!$A:$A,0)),"")</f>
        <v/>
      </c>
      <c r="C139">
        <f>IFERROR(INDEX(Catch!$E:$BV,MATCH($A139,Catch!$A:$A,0),MATCH($B$4,Catch!$E$1:$BV$1,0)),0)</f>
        <v/>
      </c>
      <c r="D139">
        <f>IFERROR(IF(ISNUMBER(INDEX(SPPR!$E:$X,MATCH($A139,SPPR!$A:$A,0),1)),$C139*INDEX(SPPR!$E:$X,MATCH($A139,SPPR!$A:$A,0),1),""),"")</f>
        <v/>
      </c>
      <c r="E139">
        <f>IFERROR(IF(ISNUMBER(INDEX(SPPR!$E:$X,MATCH($A139,SPPR!$A:$A,0),2)),$C139*INDEX(SPPR!$E:$X,MATCH($A139,SPPR!$A:$A,0),2),""),"")</f>
        <v/>
      </c>
      <c r="F139">
        <f>IFERROR(IF(ISNUMBER(INDEX(SPPR!$E:$X,MATCH($A139,SPPR!$A:$A,0),3)),$C139*INDEX(SPPR!$E:$X,MATCH($A139,SPPR!$A:$A,0),3),""),"")</f>
        <v/>
      </c>
      <c r="G139">
        <f>IFERROR(IF(ISNUMBER(INDEX(SPPR!$E:$X,MATCH($A139,SPPR!$A:$A,0),4)),$C139*INDEX(SPPR!$E:$X,MATCH($A139,SPPR!$A:$A,0),4),""),"")</f>
        <v/>
      </c>
      <c r="H139">
        <f>IFERROR(IF(ISNUMBER(INDEX(SPPR!$E:$X,MATCH($A139,SPPR!$A:$A,0),5)),$C139*INDEX(SPPR!$E:$X,MATCH($A139,SPPR!$A:$A,0),5),""),"")</f>
        <v/>
      </c>
      <c r="I139">
        <f>IFERROR(IF(ISNUMBER(INDEX(SPPR!$E:$X,MATCH($A139,SPPR!$A:$A,0),6)),$C139*INDEX(SPPR!$E:$X,MATCH($A139,SPPR!$A:$A,0),6),""),"")</f>
        <v/>
      </c>
      <c r="J139">
        <f>IFERROR(IF(ISNUMBER(INDEX(SPPR!$E:$X,MATCH($A139,SPPR!$A:$A,0),7)),$C139*INDEX(SPPR!$E:$X,MATCH($A139,SPPR!$A:$A,0),7),""),"")</f>
        <v/>
      </c>
      <c r="K139">
        <f>IFERROR(IF(ISNUMBER(INDEX(SPPR!$E:$X,MATCH($A139,SPPR!$A:$A,0),8)),$C139*INDEX(SPPR!$E:$X,MATCH($A139,SPPR!$A:$A,0),8),""),"")</f>
        <v/>
      </c>
      <c r="L139">
        <f>IFERROR(IF(ISNUMBER(INDEX(SPPR!$E:$X,MATCH($A139,SPPR!$A:$A,0),9)),$C139*INDEX(SPPR!$E:$X,MATCH($A139,SPPR!$A:$A,0),9),""),"")</f>
        <v/>
      </c>
      <c r="M139">
        <f>IFERROR(IF(ISNUMBER(INDEX(SPPR!$E:$X,MATCH($A139,SPPR!$A:$A,0),10)),$C139*INDEX(SPPR!$E:$X,MATCH($A139,SPPR!$A:$A,0),10),""),"")</f>
        <v/>
      </c>
      <c r="N139">
        <f>IFERROR(IF(ISNUMBER(INDEX(SPPR!$E:$X,MATCH($A139,SPPR!$A:$A,0),11)),$C139*INDEX(SPPR!$E:$X,MATCH($A139,SPPR!$A:$A,0),11),""),"")</f>
        <v/>
      </c>
      <c r="O139">
        <f>IFERROR(IF(ISNUMBER(INDEX(SPPR!$E:$X,MATCH($A139,SPPR!$A:$A,0),12)),$C139*INDEX(SPPR!$E:$X,MATCH($A139,SPPR!$A:$A,0),12),""),"")</f>
        <v/>
      </c>
      <c r="P139">
        <f>IFERROR(IF(ISNUMBER(INDEX(SPPR!$E:$X,MATCH($A139,SPPR!$A:$A,0),13)),$C139*INDEX(SPPR!$E:$X,MATCH($A139,SPPR!$A:$A,0),13),""),"")</f>
        <v/>
      </c>
      <c r="Q139">
        <f>IFERROR(IF(ISNUMBER(INDEX(SPPR!$E:$X,MATCH($A139,SPPR!$A:$A,0),14)),$C139*INDEX(SPPR!$E:$X,MATCH($A139,SPPR!$A:$A,0),14),""),"")</f>
        <v/>
      </c>
      <c r="R139">
        <f>IFERROR(IF(ISNUMBER(INDEX(SPPR!$E:$X,MATCH($A139,SPPR!$A:$A,0),15)),$C139*INDEX(SPPR!$E:$X,MATCH($A139,SPPR!$A:$A,0),15),""),"")</f>
        <v/>
      </c>
      <c r="S139">
        <f>IFERROR(IF(ISNUMBER(INDEX(SPPR!$E:$X,MATCH($A139,SPPR!$A:$A,0),16)),$C139*INDEX(SPPR!$E:$X,MATCH($A139,SPPR!$A:$A,0),16),""),"")</f>
        <v/>
      </c>
      <c r="T139">
        <f>IFERROR(IF(ISNUMBER(INDEX(SPPR!$E:$X,MATCH($A139,SPPR!$A:$A,0),17)),$C139*INDEX(SPPR!$E:$X,MATCH($A139,SPPR!$A:$A,0),17),""),"")</f>
        <v/>
      </c>
      <c r="U139">
        <f>IFERROR(IF(ISNUMBER(INDEX(SPPR!$E:$X,MATCH($A139,SPPR!$A:$A,0),18)),$C139*INDEX(SPPR!$E:$X,MATCH($A139,SPPR!$A:$A,0),18),""),"")</f>
        <v/>
      </c>
      <c r="V139">
        <f>IFERROR(IF(ISNUMBER(INDEX(SPPR!$E:$X,MATCH($A139,SPPR!$A:$A,0),19)),$C139*INDEX(SPPR!$E:$X,MATCH($A139,SPPR!$A:$A,0),19),""),"")</f>
        <v/>
      </c>
      <c r="W139">
        <f>IFERROR(IF(ISNUMBER(INDEX(SPPR!$E:$X,MATCH($A139,SPPR!$A:$A,0),20)),$C139*INDEX(SPPR!$E:$X,MATCH($A139,SPPR!$A:$A,0),20),""),"")</f>
        <v/>
      </c>
    </row>
    <row r="140">
      <c r="A140" t="inlineStr">
        <is>
          <t>Serranidae</t>
        </is>
      </c>
      <c r="B140">
        <f>IFERROR(INDEX(SPPR!$D:$D,MATCH($A140,SPPR!$A:$A,0)),"")</f>
        <v/>
      </c>
      <c r="C140">
        <f>IFERROR(INDEX(Catch!$E:$BV,MATCH($A140,Catch!$A:$A,0),MATCH($B$4,Catch!$E$1:$BV$1,0)),0)</f>
        <v/>
      </c>
      <c r="D140">
        <f>IFERROR(IF(ISNUMBER(INDEX(SPPR!$E:$X,MATCH($A140,SPPR!$A:$A,0),1)),$C140*INDEX(SPPR!$E:$X,MATCH($A140,SPPR!$A:$A,0),1),""),"")</f>
        <v/>
      </c>
      <c r="E140">
        <f>IFERROR(IF(ISNUMBER(INDEX(SPPR!$E:$X,MATCH($A140,SPPR!$A:$A,0),2)),$C140*INDEX(SPPR!$E:$X,MATCH($A140,SPPR!$A:$A,0),2),""),"")</f>
        <v/>
      </c>
      <c r="F140">
        <f>IFERROR(IF(ISNUMBER(INDEX(SPPR!$E:$X,MATCH($A140,SPPR!$A:$A,0),3)),$C140*INDEX(SPPR!$E:$X,MATCH($A140,SPPR!$A:$A,0),3),""),"")</f>
        <v/>
      </c>
      <c r="G140">
        <f>IFERROR(IF(ISNUMBER(INDEX(SPPR!$E:$X,MATCH($A140,SPPR!$A:$A,0),4)),$C140*INDEX(SPPR!$E:$X,MATCH($A140,SPPR!$A:$A,0),4),""),"")</f>
        <v/>
      </c>
      <c r="H140">
        <f>IFERROR(IF(ISNUMBER(INDEX(SPPR!$E:$X,MATCH($A140,SPPR!$A:$A,0),5)),$C140*INDEX(SPPR!$E:$X,MATCH($A140,SPPR!$A:$A,0),5),""),"")</f>
        <v/>
      </c>
      <c r="I140">
        <f>IFERROR(IF(ISNUMBER(INDEX(SPPR!$E:$X,MATCH($A140,SPPR!$A:$A,0),6)),$C140*INDEX(SPPR!$E:$X,MATCH($A140,SPPR!$A:$A,0),6),""),"")</f>
        <v/>
      </c>
      <c r="J140">
        <f>IFERROR(IF(ISNUMBER(INDEX(SPPR!$E:$X,MATCH($A140,SPPR!$A:$A,0),7)),$C140*INDEX(SPPR!$E:$X,MATCH($A140,SPPR!$A:$A,0),7),""),"")</f>
        <v/>
      </c>
      <c r="K140">
        <f>IFERROR(IF(ISNUMBER(INDEX(SPPR!$E:$X,MATCH($A140,SPPR!$A:$A,0),8)),$C140*INDEX(SPPR!$E:$X,MATCH($A140,SPPR!$A:$A,0),8),""),"")</f>
        <v/>
      </c>
      <c r="L140">
        <f>IFERROR(IF(ISNUMBER(INDEX(SPPR!$E:$X,MATCH($A140,SPPR!$A:$A,0),9)),$C140*INDEX(SPPR!$E:$X,MATCH($A140,SPPR!$A:$A,0),9),""),"")</f>
        <v/>
      </c>
      <c r="M140">
        <f>IFERROR(IF(ISNUMBER(INDEX(SPPR!$E:$X,MATCH($A140,SPPR!$A:$A,0),10)),$C140*INDEX(SPPR!$E:$X,MATCH($A140,SPPR!$A:$A,0),10),""),"")</f>
        <v/>
      </c>
      <c r="N140">
        <f>IFERROR(IF(ISNUMBER(INDEX(SPPR!$E:$X,MATCH($A140,SPPR!$A:$A,0),11)),$C140*INDEX(SPPR!$E:$X,MATCH($A140,SPPR!$A:$A,0),11),""),"")</f>
        <v/>
      </c>
      <c r="O140">
        <f>IFERROR(IF(ISNUMBER(INDEX(SPPR!$E:$X,MATCH($A140,SPPR!$A:$A,0),12)),$C140*INDEX(SPPR!$E:$X,MATCH($A140,SPPR!$A:$A,0),12),""),"")</f>
        <v/>
      </c>
      <c r="P140">
        <f>IFERROR(IF(ISNUMBER(INDEX(SPPR!$E:$X,MATCH($A140,SPPR!$A:$A,0),13)),$C140*INDEX(SPPR!$E:$X,MATCH($A140,SPPR!$A:$A,0),13),""),"")</f>
        <v/>
      </c>
      <c r="Q140">
        <f>IFERROR(IF(ISNUMBER(INDEX(SPPR!$E:$X,MATCH($A140,SPPR!$A:$A,0),14)),$C140*INDEX(SPPR!$E:$X,MATCH($A140,SPPR!$A:$A,0),14),""),"")</f>
        <v/>
      </c>
      <c r="R140">
        <f>IFERROR(IF(ISNUMBER(INDEX(SPPR!$E:$X,MATCH($A140,SPPR!$A:$A,0),15)),$C140*INDEX(SPPR!$E:$X,MATCH($A140,SPPR!$A:$A,0),15),""),"")</f>
        <v/>
      </c>
      <c r="S140">
        <f>IFERROR(IF(ISNUMBER(INDEX(SPPR!$E:$X,MATCH($A140,SPPR!$A:$A,0),16)),$C140*INDEX(SPPR!$E:$X,MATCH($A140,SPPR!$A:$A,0),16),""),"")</f>
        <v/>
      </c>
      <c r="T140">
        <f>IFERROR(IF(ISNUMBER(INDEX(SPPR!$E:$X,MATCH($A140,SPPR!$A:$A,0),17)),$C140*INDEX(SPPR!$E:$X,MATCH($A140,SPPR!$A:$A,0),17),""),"")</f>
        <v/>
      </c>
      <c r="U140">
        <f>IFERROR(IF(ISNUMBER(INDEX(SPPR!$E:$X,MATCH($A140,SPPR!$A:$A,0),18)),$C140*INDEX(SPPR!$E:$X,MATCH($A140,SPPR!$A:$A,0),18),""),"")</f>
        <v/>
      </c>
      <c r="V140">
        <f>IFERROR(IF(ISNUMBER(INDEX(SPPR!$E:$X,MATCH($A140,SPPR!$A:$A,0),19)),$C140*INDEX(SPPR!$E:$X,MATCH($A140,SPPR!$A:$A,0),19),""),"")</f>
        <v/>
      </c>
      <c r="W140">
        <f>IFERROR(IF(ISNUMBER(INDEX(SPPR!$E:$X,MATCH($A140,SPPR!$A:$A,0),20)),$C140*INDEX(SPPR!$E:$X,MATCH($A140,SPPR!$A:$A,0),20),""),"")</f>
        <v/>
      </c>
    </row>
    <row r="141">
      <c r="A141" t="inlineStr">
        <is>
          <t>Tegillarca granosa</t>
        </is>
      </c>
      <c r="B141">
        <f>IFERROR(INDEX(SPPR!$D:$D,MATCH($A141,SPPR!$A:$A,0)),"")</f>
        <v/>
      </c>
      <c r="C141">
        <f>IFERROR(INDEX(Catch!$E:$BV,MATCH($A141,Catch!$A:$A,0),MATCH($B$4,Catch!$E$1:$BV$1,0)),0)</f>
        <v/>
      </c>
      <c r="D141">
        <f>IFERROR(IF(ISNUMBER(INDEX(SPPR!$E:$X,MATCH($A141,SPPR!$A:$A,0),1)),$C141*INDEX(SPPR!$E:$X,MATCH($A141,SPPR!$A:$A,0),1),""),"")</f>
        <v/>
      </c>
      <c r="E141">
        <f>IFERROR(IF(ISNUMBER(INDEX(SPPR!$E:$X,MATCH($A141,SPPR!$A:$A,0),2)),$C141*INDEX(SPPR!$E:$X,MATCH($A141,SPPR!$A:$A,0),2),""),"")</f>
        <v/>
      </c>
      <c r="F141">
        <f>IFERROR(IF(ISNUMBER(INDEX(SPPR!$E:$X,MATCH($A141,SPPR!$A:$A,0),3)),$C141*INDEX(SPPR!$E:$X,MATCH($A141,SPPR!$A:$A,0),3),""),"")</f>
        <v/>
      </c>
      <c r="G141">
        <f>IFERROR(IF(ISNUMBER(INDEX(SPPR!$E:$X,MATCH($A141,SPPR!$A:$A,0),4)),$C141*INDEX(SPPR!$E:$X,MATCH($A141,SPPR!$A:$A,0),4),""),"")</f>
        <v/>
      </c>
      <c r="H141">
        <f>IFERROR(IF(ISNUMBER(INDEX(SPPR!$E:$X,MATCH($A141,SPPR!$A:$A,0),5)),$C141*INDEX(SPPR!$E:$X,MATCH($A141,SPPR!$A:$A,0),5),""),"")</f>
        <v/>
      </c>
      <c r="I141">
        <f>IFERROR(IF(ISNUMBER(INDEX(SPPR!$E:$X,MATCH($A141,SPPR!$A:$A,0),6)),$C141*INDEX(SPPR!$E:$X,MATCH($A141,SPPR!$A:$A,0),6),""),"")</f>
        <v/>
      </c>
      <c r="J141">
        <f>IFERROR(IF(ISNUMBER(INDEX(SPPR!$E:$X,MATCH($A141,SPPR!$A:$A,0),7)),$C141*INDEX(SPPR!$E:$X,MATCH($A141,SPPR!$A:$A,0),7),""),"")</f>
        <v/>
      </c>
      <c r="K141">
        <f>IFERROR(IF(ISNUMBER(INDEX(SPPR!$E:$X,MATCH($A141,SPPR!$A:$A,0),8)),$C141*INDEX(SPPR!$E:$X,MATCH($A141,SPPR!$A:$A,0),8),""),"")</f>
        <v/>
      </c>
      <c r="L141">
        <f>IFERROR(IF(ISNUMBER(INDEX(SPPR!$E:$X,MATCH($A141,SPPR!$A:$A,0),9)),$C141*INDEX(SPPR!$E:$X,MATCH($A141,SPPR!$A:$A,0),9),""),"")</f>
        <v/>
      </c>
      <c r="M141">
        <f>IFERROR(IF(ISNUMBER(INDEX(SPPR!$E:$X,MATCH($A141,SPPR!$A:$A,0),10)),$C141*INDEX(SPPR!$E:$X,MATCH($A141,SPPR!$A:$A,0),10),""),"")</f>
        <v/>
      </c>
      <c r="N141">
        <f>IFERROR(IF(ISNUMBER(INDEX(SPPR!$E:$X,MATCH($A141,SPPR!$A:$A,0),11)),$C141*INDEX(SPPR!$E:$X,MATCH($A141,SPPR!$A:$A,0),11),""),"")</f>
        <v/>
      </c>
      <c r="O141">
        <f>IFERROR(IF(ISNUMBER(INDEX(SPPR!$E:$X,MATCH($A141,SPPR!$A:$A,0),12)),$C141*INDEX(SPPR!$E:$X,MATCH($A141,SPPR!$A:$A,0),12),""),"")</f>
        <v/>
      </c>
      <c r="P141">
        <f>IFERROR(IF(ISNUMBER(INDEX(SPPR!$E:$X,MATCH($A141,SPPR!$A:$A,0),13)),$C141*INDEX(SPPR!$E:$X,MATCH($A141,SPPR!$A:$A,0),13),""),"")</f>
        <v/>
      </c>
      <c r="Q141">
        <f>IFERROR(IF(ISNUMBER(INDEX(SPPR!$E:$X,MATCH($A141,SPPR!$A:$A,0),14)),$C141*INDEX(SPPR!$E:$X,MATCH($A141,SPPR!$A:$A,0),14),""),"")</f>
        <v/>
      </c>
      <c r="R141">
        <f>IFERROR(IF(ISNUMBER(INDEX(SPPR!$E:$X,MATCH($A141,SPPR!$A:$A,0),15)),$C141*INDEX(SPPR!$E:$X,MATCH($A141,SPPR!$A:$A,0),15),""),"")</f>
        <v/>
      </c>
      <c r="S141">
        <f>IFERROR(IF(ISNUMBER(INDEX(SPPR!$E:$X,MATCH($A141,SPPR!$A:$A,0),16)),$C141*INDEX(SPPR!$E:$X,MATCH($A141,SPPR!$A:$A,0),16),""),"")</f>
        <v/>
      </c>
      <c r="T141">
        <f>IFERROR(IF(ISNUMBER(INDEX(SPPR!$E:$X,MATCH($A141,SPPR!$A:$A,0),17)),$C141*INDEX(SPPR!$E:$X,MATCH($A141,SPPR!$A:$A,0),17),""),"")</f>
        <v/>
      </c>
      <c r="U141">
        <f>IFERROR(IF(ISNUMBER(INDEX(SPPR!$E:$X,MATCH($A141,SPPR!$A:$A,0),18)),$C141*INDEX(SPPR!$E:$X,MATCH($A141,SPPR!$A:$A,0),18),""),"")</f>
        <v/>
      </c>
      <c r="V141">
        <f>IFERROR(IF(ISNUMBER(INDEX(SPPR!$E:$X,MATCH($A141,SPPR!$A:$A,0),19)),$C141*INDEX(SPPR!$E:$X,MATCH($A141,SPPR!$A:$A,0),19),""),"")</f>
        <v/>
      </c>
      <c r="W141">
        <f>IFERROR(IF(ISNUMBER(INDEX(SPPR!$E:$X,MATCH($A141,SPPR!$A:$A,0),20)),$C141*INDEX(SPPR!$E:$X,MATCH($A141,SPPR!$A:$A,0),20),""),"")</f>
        <v/>
      </c>
    </row>
    <row r="142">
      <c r="A142" t="inlineStr">
        <is>
          <t>Pristipomoides</t>
        </is>
      </c>
      <c r="B142">
        <f>IFERROR(INDEX(SPPR!$D:$D,MATCH($A142,SPPR!$A:$A,0)),"")</f>
        <v/>
      </c>
      <c r="C142">
        <f>IFERROR(INDEX(Catch!$E:$BV,MATCH($A142,Catch!$A:$A,0),MATCH($B$4,Catch!$E$1:$BV$1,0)),0)</f>
        <v/>
      </c>
      <c r="D142">
        <f>IFERROR(IF(ISNUMBER(INDEX(SPPR!$E:$X,MATCH($A142,SPPR!$A:$A,0),1)),$C142*INDEX(SPPR!$E:$X,MATCH($A142,SPPR!$A:$A,0),1),""),"")</f>
        <v/>
      </c>
      <c r="E142">
        <f>IFERROR(IF(ISNUMBER(INDEX(SPPR!$E:$X,MATCH($A142,SPPR!$A:$A,0),2)),$C142*INDEX(SPPR!$E:$X,MATCH($A142,SPPR!$A:$A,0),2),""),"")</f>
        <v/>
      </c>
      <c r="F142">
        <f>IFERROR(IF(ISNUMBER(INDEX(SPPR!$E:$X,MATCH($A142,SPPR!$A:$A,0),3)),$C142*INDEX(SPPR!$E:$X,MATCH($A142,SPPR!$A:$A,0),3),""),"")</f>
        <v/>
      </c>
      <c r="G142">
        <f>IFERROR(IF(ISNUMBER(INDEX(SPPR!$E:$X,MATCH($A142,SPPR!$A:$A,0),4)),$C142*INDEX(SPPR!$E:$X,MATCH($A142,SPPR!$A:$A,0),4),""),"")</f>
        <v/>
      </c>
      <c r="H142">
        <f>IFERROR(IF(ISNUMBER(INDEX(SPPR!$E:$X,MATCH($A142,SPPR!$A:$A,0),5)),$C142*INDEX(SPPR!$E:$X,MATCH($A142,SPPR!$A:$A,0),5),""),"")</f>
        <v/>
      </c>
      <c r="I142">
        <f>IFERROR(IF(ISNUMBER(INDEX(SPPR!$E:$X,MATCH($A142,SPPR!$A:$A,0),6)),$C142*INDEX(SPPR!$E:$X,MATCH($A142,SPPR!$A:$A,0),6),""),"")</f>
        <v/>
      </c>
      <c r="J142">
        <f>IFERROR(IF(ISNUMBER(INDEX(SPPR!$E:$X,MATCH($A142,SPPR!$A:$A,0),7)),$C142*INDEX(SPPR!$E:$X,MATCH($A142,SPPR!$A:$A,0),7),""),"")</f>
        <v/>
      </c>
      <c r="K142">
        <f>IFERROR(IF(ISNUMBER(INDEX(SPPR!$E:$X,MATCH($A142,SPPR!$A:$A,0),8)),$C142*INDEX(SPPR!$E:$X,MATCH($A142,SPPR!$A:$A,0),8),""),"")</f>
        <v/>
      </c>
      <c r="L142">
        <f>IFERROR(IF(ISNUMBER(INDEX(SPPR!$E:$X,MATCH($A142,SPPR!$A:$A,0),9)),$C142*INDEX(SPPR!$E:$X,MATCH($A142,SPPR!$A:$A,0),9),""),"")</f>
        <v/>
      </c>
      <c r="M142">
        <f>IFERROR(IF(ISNUMBER(INDEX(SPPR!$E:$X,MATCH($A142,SPPR!$A:$A,0),10)),$C142*INDEX(SPPR!$E:$X,MATCH($A142,SPPR!$A:$A,0),10),""),"")</f>
        <v/>
      </c>
      <c r="N142">
        <f>IFERROR(IF(ISNUMBER(INDEX(SPPR!$E:$X,MATCH($A142,SPPR!$A:$A,0),11)),$C142*INDEX(SPPR!$E:$X,MATCH($A142,SPPR!$A:$A,0),11),""),"")</f>
        <v/>
      </c>
      <c r="O142">
        <f>IFERROR(IF(ISNUMBER(INDEX(SPPR!$E:$X,MATCH($A142,SPPR!$A:$A,0),12)),$C142*INDEX(SPPR!$E:$X,MATCH($A142,SPPR!$A:$A,0),12),""),"")</f>
        <v/>
      </c>
      <c r="P142">
        <f>IFERROR(IF(ISNUMBER(INDEX(SPPR!$E:$X,MATCH($A142,SPPR!$A:$A,0),13)),$C142*INDEX(SPPR!$E:$X,MATCH($A142,SPPR!$A:$A,0),13),""),"")</f>
        <v/>
      </c>
      <c r="Q142">
        <f>IFERROR(IF(ISNUMBER(INDEX(SPPR!$E:$X,MATCH($A142,SPPR!$A:$A,0),14)),$C142*INDEX(SPPR!$E:$X,MATCH($A142,SPPR!$A:$A,0),14),""),"")</f>
        <v/>
      </c>
      <c r="R142">
        <f>IFERROR(IF(ISNUMBER(INDEX(SPPR!$E:$X,MATCH($A142,SPPR!$A:$A,0),15)),$C142*INDEX(SPPR!$E:$X,MATCH($A142,SPPR!$A:$A,0),15),""),"")</f>
        <v/>
      </c>
      <c r="S142">
        <f>IFERROR(IF(ISNUMBER(INDEX(SPPR!$E:$X,MATCH($A142,SPPR!$A:$A,0),16)),$C142*INDEX(SPPR!$E:$X,MATCH($A142,SPPR!$A:$A,0),16),""),"")</f>
        <v/>
      </c>
      <c r="T142">
        <f>IFERROR(IF(ISNUMBER(INDEX(SPPR!$E:$X,MATCH($A142,SPPR!$A:$A,0),17)),$C142*INDEX(SPPR!$E:$X,MATCH($A142,SPPR!$A:$A,0),17),""),"")</f>
        <v/>
      </c>
      <c r="U142">
        <f>IFERROR(IF(ISNUMBER(INDEX(SPPR!$E:$X,MATCH($A142,SPPR!$A:$A,0),18)),$C142*INDEX(SPPR!$E:$X,MATCH($A142,SPPR!$A:$A,0),18),""),"")</f>
        <v/>
      </c>
      <c r="V142">
        <f>IFERROR(IF(ISNUMBER(INDEX(SPPR!$E:$X,MATCH($A142,SPPR!$A:$A,0),19)),$C142*INDEX(SPPR!$E:$X,MATCH($A142,SPPR!$A:$A,0),19),""),"")</f>
        <v/>
      </c>
      <c r="W142">
        <f>IFERROR(IF(ISNUMBER(INDEX(SPPR!$E:$X,MATCH($A142,SPPR!$A:$A,0),20)),$C142*INDEX(SPPR!$E:$X,MATCH($A142,SPPR!$A:$A,0),20),""),"")</f>
        <v/>
      </c>
    </row>
    <row r="143">
      <c r="A143" t="inlineStr">
        <is>
          <t>Apogonidae</t>
        </is>
      </c>
      <c r="B143">
        <f>IFERROR(INDEX(SPPR!$D:$D,MATCH($A143,SPPR!$A:$A,0)),"")</f>
        <v/>
      </c>
      <c r="C143">
        <f>IFERROR(INDEX(Catch!$E:$BV,MATCH($A143,Catch!$A:$A,0),MATCH($B$4,Catch!$E$1:$BV$1,0)),0)</f>
        <v/>
      </c>
      <c r="D143">
        <f>IFERROR(IF(ISNUMBER(INDEX(SPPR!$E:$X,MATCH($A143,SPPR!$A:$A,0),1)),$C143*INDEX(SPPR!$E:$X,MATCH($A143,SPPR!$A:$A,0),1),""),"")</f>
        <v/>
      </c>
      <c r="E143">
        <f>IFERROR(IF(ISNUMBER(INDEX(SPPR!$E:$X,MATCH($A143,SPPR!$A:$A,0),2)),$C143*INDEX(SPPR!$E:$X,MATCH($A143,SPPR!$A:$A,0),2),""),"")</f>
        <v/>
      </c>
      <c r="F143">
        <f>IFERROR(IF(ISNUMBER(INDEX(SPPR!$E:$X,MATCH($A143,SPPR!$A:$A,0),3)),$C143*INDEX(SPPR!$E:$X,MATCH($A143,SPPR!$A:$A,0),3),""),"")</f>
        <v/>
      </c>
      <c r="G143">
        <f>IFERROR(IF(ISNUMBER(INDEX(SPPR!$E:$X,MATCH($A143,SPPR!$A:$A,0),4)),$C143*INDEX(SPPR!$E:$X,MATCH($A143,SPPR!$A:$A,0),4),""),"")</f>
        <v/>
      </c>
      <c r="H143">
        <f>IFERROR(IF(ISNUMBER(INDEX(SPPR!$E:$X,MATCH($A143,SPPR!$A:$A,0),5)),$C143*INDEX(SPPR!$E:$X,MATCH($A143,SPPR!$A:$A,0),5),""),"")</f>
        <v/>
      </c>
      <c r="I143">
        <f>IFERROR(IF(ISNUMBER(INDEX(SPPR!$E:$X,MATCH($A143,SPPR!$A:$A,0),6)),$C143*INDEX(SPPR!$E:$X,MATCH($A143,SPPR!$A:$A,0),6),""),"")</f>
        <v/>
      </c>
      <c r="J143">
        <f>IFERROR(IF(ISNUMBER(INDEX(SPPR!$E:$X,MATCH($A143,SPPR!$A:$A,0),7)),$C143*INDEX(SPPR!$E:$X,MATCH($A143,SPPR!$A:$A,0),7),""),"")</f>
        <v/>
      </c>
      <c r="K143">
        <f>IFERROR(IF(ISNUMBER(INDEX(SPPR!$E:$X,MATCH($A143,SPPR!$A:$A,0),8)),$C143*INDEX(SPPR!$E:$X,MATCH($A143,SPPR!$A:$A,0),8),""),"")</f>
        <v/>
      </c>
      <c r="L143">
        <f>IFERROR(IF(ISNUMBER(INDEX(SPPR!$E:$X,MATCH($A143,SPPR!$A:$A,0),9)),$C143*INDEX(SPPR!$E:$X,MATCH($A143,SPPR!$A:$A,0),9),""),"")</f>
        <v/>
      </c>
      <c r="M143">
        <f>IFERROR(IF(ISNUMBER(INDEX(SPPR!$E:$X,MATCH($A143,SPPR!$A:$A,0),10)),$C143*INDEX(SPPR!$E:$X,MATCH($A143,SPPR!$A:$A,0),10),""),"")</f>
        <v/>
      </c>
      <c r="N143">
        <f>IFERROR(IF(ISNUMBER(INDEX(SPPR!$E:$X,MATCH($A143,SPPR!$A:$A,0),11)),$C143*INDEX(SPPR!$E:$X,MATCH($A143,SPPR!$A:$A,0),11),""),"")</f>
        <v/>
      </c>
      <c r="O143">
        <f>IFERROR(IF(ISNUMBER(INDEX(SPPR!$E:$X,MATCH($A143,SPPR!$A:$A,0),12)),$C143*INDEX(SPPR!$E:$X,MATCH($A143,SPPR!$A:$A,0),12),""),"")</f>
        <v/>
      </c>
      <c r="P143">
        <f>IFERROR(IF(ISNUMBER(INDEX(SPPR!$E:$X,MATCH($A143,SPPR!$A:$A,0),13)),$C143*INDEX(SPPR!$E:$X,MATCH($A143,SPPR!$A:$A,0),13),""),"")</f>
        <v/>
      </c>
      <c r="Q143">
        <f>IFERROR(IF(ISNUMBER(INDEX(SPPR!$E:$X,MATCH($A143,SPPR!$A:$A,0),14)),$C143*INDEX(SPPR!$E:$X,MATCH($A143,SPPR!$A:$A,0),14),""),"")</f>
        <v/>
      </c>
      <c r="R143">
        <f>IFERROR(IF(ISNUMBER(INDEX(SPPR!$E:$X,MATCH($A143,SPPR!$A:$A,0),15)),$C143*INDEX(SPPR!$E:$X,MATCH($A143,SPPR!$A:$A,0),15),""),"")</f>
        <v/>
      </c>
      <c r="S143">
        <f>IFERROR(IF(ISNUMBER(INDEX(SPPR!$E:$X,MATCH($A143,SPPR!$A:$A,0),16)),$C143*INDEX(SPPR!$E:$X,MATCH($A143,SPPR!$A:$A,0),16),""),"")</f>
        <v/>
      </c>
      <c r="T143">
        <f>IFERROR(IF(ISNUMBER(INDEX(SPPR!$E:$X,MATCH($A143,SPPR!$A:$A,0),17)),$C143*INDEX(SPPR!$E:$X,MATCH($A143,SPPR!$A:$A,0),17),""),"")</f>
        <v/>
      </c>
      <c r="U143">
        <f>IFERROR(IF(ISNUMBER(INDEX(SPPR!$E:$X,MATCH($A143,SPPR!$A:$A,0),18)),$C143*INDEX(SPPR!$E:$X,MATCH($A143,SPPR!$A:$A,0),18),""),"")</f>
        <v/>
      </c>
      <c r="V143">
        <f>IFERROR(IF(ISNUMBER(INDEX(SPPR!$E:$X,MATCH($A143,SPPR!$A:$A,0),19)),$C143*INDEX(SPPR!$E:$X,MATCH($A143,SPPR!$A:$A,0),19),""),"")</f>
        <v/>
      </c>
      <c r="W143">
        <f>IFERROR(IF(ISNUMBER(INDEX(SPPR!$E:$X,MATCH($A143,SPPR!$A:$A,0),20)),$C143*INDEX(SPPR!$E:$X,MATCH($A143,SPPR!$A:$A,0),20),""),"")</f>
        <v/>
      </c>
    </row>
    <row r="144">
      <c r="A144" t="inlineStr">
        <is>
          <t>Miscellaneous aquatic invertebrates</t>
        </is>
      </c>
      <c r="B144">
        <f>IFERROR(INDEX(SPPR!$D:$D,MATCH($A144,SPPR!$A:$A,0)),"")</f>
        <v/>
      </c>
      <c r="C144">
        <f>IFERROR(INDEX(Catch!$E:$BV,MATCH($A144,Catch!$A:$A,0),MATCH($B$4,Catch!$E$1:$BV$1,0)),0)</f>
        <v/>
      </c>
      <c r="D144">
        <f>IFERROR(IF(ISNUMBER(INDEX(SPPR!$E:$X,MATCH($A144,SPPR!$A:$A,0),1)),$C144*INDEX(SPPR!$E:$X,MATCH($A144,SPPR!$A:$A,0),1),""),"")</f>
        <v/>
      </c>
      <c r="E144">
        <f>IFERROR(IF(ISNUMBER(INDEX(SPPR!$E:$X,MATCH($A144,SPPR!$A:$A,0),2)),$C144*INDEX(SPPR!$E:$X,MATCH($A144,SPPR!$A:$A,0),2),""),"")</f>
        <v/>
      </c>
      <c r="F144">
        <f>IFERROR(IF(ISNUMBER(INDEX(SPPR!$E:$X,MATCH($A144,SPPR!$A:$A,0),3)),$C144*INDEX(SPPR!$E:$X,MATCH($A144,SPPR!$A:$A,0),3),""),"")</f>
        <v/>
      </c>
      <c r="G144">
        <f>IFERROR(IF(ISNUMBER(INDEX(SPPR!$E:$X,MATCH($A144,SPPR!$A:$A,0),4)),$C144*INDEX(SPPR!$E:$X,MATCH($A144,SPPR!$A:$A,0),4),""),"")</f>
        <v/>
      </c>
      <c r="H144">
        <f>IFERROR(IF(ISNUMBER(INDEX(SPPR!$E:$X,MATCH($A144,SPPR!$A:$A,0),5)),$C144*INDEX(SPPR!$E:$X,MATCH($A144,SPPR!$A:$A,0),5),""),"")</f>
        <v/>
      </c>
      <c r="I144">
        <f>IFERROR(IF(ISNUMBER(INDEX(SPPR!$E:$X,MATCH($A144,SPPR!$A:$A,0),6)),$C144*INDEX(SPPR!$E:$X,MATCH($A144,SPPR!$A:$A,0),6),""),"")</f>
        <v/>
      </c>
      <c r="J144">
        <f>IFERROR(IF(ISNUMBER(INDEX(SPPR!$E:$X,MATCH($A144,SPPR!$A:$A,0),7)),$C144*INDEX(SPPR!$E:$X,MATCH($A144,SPPR!$A:$A,0),7),""),"")</f>
        <v/>
      </c>
      <c r="K144">
        <f>IFERROR(IF(ISNUMBER(INDEX(SPPR!$E:$X,MATCH($A144,SPPR!$A:$A,0),8)),$C144*INDEX(SPPR!$E:$X,MATCH($A144,SPPR!$A:$A,0),8),""),"")</f>
        <v/>
      </c>
      <c r="L144">
        <f>IFERROR(IF(ISNUMBER(INDEX(SPPR!$E:$X,MATCH($A144,SPPR!$A:$A,0),9)),$C144*INDEX(SPPR!$E:$X,MATCH($A144,SPPR!$A:$A,0),9),""),"")</f>
        <v/>
      </c>
      <c r="M144">
        <f>IFERROR(IF(ISNUMBER(INDEX(SPPR!$E:$X,MATCH($A144,SPPR!$A:$A,0),10)),$C144*INDEX(SPPR!$E:$X,MATCH($A144,SPPR!$A:$A,0),10),""),"")</f>
        <v/>
      </c>
      <c r="N144">
        <f>IFERROR(IF(ISNUMBER(INDEX(SPPR!$E:$X,MATCH($A144,SPPR!$A:$A,0),11)),$C144*INDEX(SPPR!$E:$X,MATCH($A144,SPPR!$A:$A,0),11),""),"")</f>
        <v/>
      </c>
      <c r="O144">
        <f>IFERROR(IF(ISNUMBER(INDEX(SPPR!$E:$X,MATCH($A144,SPPR!$A:$A,0),12)),$C144*INDEX(SPPR!$E:$X,MATCH($A144,SPPR!$A:$A,0),12),""),"")</f>
        <v/>
      </c>
      <c r="P144">
        <f>IFERROR(IF(ISNUMBER(INDEX(SPPR!$E:$X,MATCH($A144,SPPR!$A:$A,0),13)),$C144*INDEX(SPPR!$E:$X,MATCH($A144,SPPR!$A:$A,0),13),""),"")</f>
        <v/>
      </c>
      <c r="Q144">
        <f>IFERROR(IF(ISNUMBER(INDEX(SPPR!$E:$X,MATCH($A144,SPPR!$A:$A,0),14)),$C144*INDEX(SPPR!$E:$X,MATCH($A144,SPPR!$A:$A,0),14),""),"")</f>
        <v/>
      </c>
      <c r="R144">
        <f>IFERROR(IF(ISNUMBER(INDEX(SPPR!$E:$X,MATCH($A144,SPPR!$A:$A,0),15)),$C144*INDEX(SPPR!$E:$X,MATCH($A144,SPPR!$A:$A,0),15),""),"")</f>
        <v/>
      </c>
      <c r="S144">
        <f>IFERROR(IF(ISNUMBER(INDEX(SPPR!$E:$X,MATCH($A144,SPPR!$A:$A,0),16)),$C144*INDEX(SPPR!$E:$X,MATCH($A144,SPPR!$A:$A,0),16),""),"")</f>
        <v/>
      </c>
      <c r="T144">
        <f>IFERROR(IF(ISNUMBER(INDEX(SPPR!$E:$X,MATCH($A144,SPPR!$A:$A,0),17)),$C144*INDEX(SPPR!$E:$X,MATCH($A144,SPPR!$A:$A,0),17),""),"")</f>
        <v/>
      </c>
      <c r="U144">
        <f>IFERROR(IF(ISNUMBER(INDEX(SPPR!$E:$X,MATCH($A144,SPPR!$A:$A,0),18)),$C144*INDEX(SPPR!$E:$X,MATCH($A144,SPPR!$A:$A,0),18),""),"")</f>
        <v/>
      </c>
      <c r="V144">
        <f>IFERROR(IF(ISNUMBER(INDEX(SPPR!$E:$X,MATCH($A144,SPPR!$A:$A,0),19)),$C144*INDEX(SPPR!$E:$X,MATCH($A144,SPPR!$A:$A,0),19),""),"")</f>
        <v/>
      </c>
      <c r="W144">
        <f>IFERROR(IF(ISNUMBER(INDEX(SPPR!$E:$X,MATCH($A144,SPPR!$A:$A,0),20)),$C144*INDEX(SPPR!$E:$X,MATCH($A144,SPPR!$A:$A,0),20),""),"")</f>
        <v/>
      </c>
    </row>
    <row r="145">
      <c r="A145" t="inlineStr">
        <is>
          <t>Scomber australasicus</t>
        </is>
      </c>
      <c r="B145">
        <f>IFERROR(INDEX(SPPR!$D:$D,MATCH($A145,SPPR!$A:$A,0)),"")</f>
        <v/>
      </c>
      <c r="C145">
        <f>IFERROR(INDEX(Catch!$E:$BV,MATCH($A145,Catch!$A:$A,0),MATCH($B$4,Catch!$E$1:$BV$1,0)),0)</f>
        <v/>
      </c>
      <c r="D145">
        <f>IFERROR(IF(ISNUMBER(INDEX(SPPR!$E:$X,MATCH($A145,SPPR!$A:$A,0),1)),$C145*INDEX(SPPR!$E:$X,MATCH($A145,SPPR!$A:$A,0),1),""),"")</f>
        <v/>
      </c>
      <c r="E145">
        <f>IFERROR(IF(ISNUMBER(INDEX(SPPR!$E:$X,MATCH($A145,SPPR!$A:$A,0),2)),$C145*INDEX(SPPR!$E:$X,MATCH($A145,SPPR!$A:$A,0),2),""),"")</f>
        <v/>
      </c>
      <c r="F145">
        <f>IFERROR(IF(ISNUMBER(INDEX(SPPR!$E:$X,MATCH($A145,SPPR!$A:$A,0),3)),$C145*INDEX(SPPR!$E:$X,MATCH($A145,SPPR!$A:$A,0),3),""),"")</f>
        <v/>
      </c>
      <c r="G145">
        <f>IFERROR(IF(ISNUMBER(INDEX(SPPR!$E:$X,MATCH($A145,SPPR!$A:$A,0),4)),$C145*INDEX(SPPR!$E:$X,MATCH($A145,SPPR!$A:$A,0),4),""),"")</f>
        <v/>
      </c>
      <c r="H145">
        <f>IFERROR(IF(ISNUMBER(INDEX(SPPR!$E:$X,MATCH($A145,SPPR!$A:$A,0),5)),$C145*INDEX(SPPR!$E:$X,MATCH($A145,SPPR!$A:$A,0),5),""),"")</f>
        <v/>
      </c>
      <c r="I145">
        <f>IFERROR(IF(ISNUMBER(INDEX(SPPR!$E:$X,MATCH($A145,SPPR!$A:$A,0),6)),$C145*INDEX(SPPR!$E:$X,MATCH($A145,SPPR!$A:$A,0),6),""),"")</f>
        <v/>
      </c>
      <c r="J145">
        <f>IFERROR(IF(ISNUMBER(INDEX(SPPR!$E:$X,MATCH($A145,SPPR!$A:$A,0),7)),$C145*INDEX(SPPR!$E:$X,MATCH($A145,SPPR!$A:$A,0),7),""),"")</f>
        <v/>
      </c>
      <c r="K145">
        <f>IFERROR(IF(ISNUMBER(INDEX(SPPR!$E:$X,MATCH($A145,SPPR!$A:$A,0),8)),$C145*INDEX(SPPR!$E:$X,MATCH($A145,SPPR!$A:$A,0),8),""),"")</f>
        <v/>
      </c>
      <c r="L145">
        <f>IFERROR(IF(ISNUMBER(INDEX(SPPR!$E:$X,MATCH($A145,SPPR!$A:$A,0),9)),$C145*INDEX(SPPR!$E:$X,MATCH($A145,SPPR!$A:$A,0),9),""),"")</f>
        <v/>
      </c>
      <c r="M145">
        <f>IFERROR(IF(ISNUMBER(INDEX(SPPR!$E:$X,MATCH($A145,SPPR!$A:$A,0),10)),$C145*INDEX(SPPR!$E:$X,MATCH($A145,SPPR!$A:$A,0),10),""),"")</f>
        <v/>
      </c>
      <c r="N145">
        <f>IFERROR(IF(ISNUMBER(INDEX(SPPR!$E:$X,MATCH($A145,SPPR!$A:$A,0),11)),$C145*INDEX(SPPR!$E:$X,MATCH($A145,SPPR!$A:$A,0),11),""),"")</f>
        <v/>
      </c>
      <c r="O145">
        <f>IFERROR(IF(ISNUMBER(INDEX(SPPR!$E:$X,MATCH($A145,SPPR!$A:$A,0),12)),$C145*INDEX(SPPR!$E:$X,MATCH($A145,SPPR!$A:$A,0),12),""),"")</f>
        <v/>
      </c>
      <c r="P145">
        <f>IFERROR(IF(ISNUMBER(INDEX(SPPR!$E:$X,MATCH($A145,SPPR!$A:$A,0),13)),$C145*INDEX(SPPR!$E:$X,MATCH($A145,SPPR!$A:$A,0),13),""),"")</f>
        <v/>
      </c>
      <c r="Q145">
        <f>IFERROR(IF(ISNUMBER(INDEX(SPPR!$E:$X,MATCH($A145,SPPR!$A:$A,0),14)),$C145*INDEX(SPPR!$E:$X,MATCH($A145,SPPR!$A:$A,0),14),""),"")</f>
        <v/>
      </c>
      <c r="R145">
        <f>IFERROR(IF(ISNUMBER(INDEX(SPPR!$E:$X,MATCH($A145,SPPR!$A:$A,0),15)),$C145*INDEX(SPPR!$E:$X,MATCH($A145,SPPR!$A:$A,0),15),""),"")</f>
        <v/>
      </c>
      <c r="S145">
        <f>IFERROR(IF(ISNUMBER(INDEX(SPPR!$E:$X,MATCH($A145,SPPR!$A:$A,0),16)),$C145*INDEX(SPPR!$E:$X,MATCH($A145,SPPR!$A:$A,0),16),""),"")</f>
        <v/>
      </c>
      <c r="T145">
        <f>IFERROR(IF(ISNUMBER(INDEX(SPPR!$E:$X,MATCH($A145,SPPR!$A:$A,0),17)),$C145*INDEX(SPPR!$E:$X,MATCH($A145,SPPR!$A:$A,0),17),""),"")</f>
        <v/>
      </c>
      <c r="U145">
        <f>IFERROR(IF(ISNUMBER(INDEX(SPPR!$E:$X,MATCH($A145,SPPR!$A:$A,0),18)),$C145*INDEX(SPPR!$E:$X,MATCH($A145,SPPR!$A:$A,0),18),""),"")</f>
        <v/>
      </c>
      <c r="V145">
        <f>IFERROR(IF(ISNUMBER(INDEX(SPPR!$E:$X,MATCH($A145,SPPR!$A:$A,0),19)),$C145*INDEX(SPPR!$E:$X,MATCH($A145,SPPR!$A:$A,0),19),""),"")</f>
        <v/>
      </c>
      <c r="W145">
        <f>IFERROR(IF(ISNUMBER(INDEX(SPPR!$E:$X,MATCH($A145,SPPR!$A:$A,0),20)),$C145*INDEX(SPPR!$E:$X,MATCH($A145,SPPR!$A:$A,0),20),""),"")</f>
        <v/>
      </c>
    </row>
    <row r="146">
      <c r="A146" t="inlineStr">
        <is>
          <t>Sepia</t>
        </is>
      </c>
      <c r="B146">
        <f>IFERROR(INDEX(SPPR!$D:$D,MATCH($A146,SPPR!$A:$A,0)),"")</f>
        <v/>
      </c>
      <c r="C146">
        <f>IFERROR(INDEX(Catch!$E:$BV,MATCH($A146,Catch!$A:$A,0),MATCH($B$4,Catch!$E$1:$BV$1,0)),0)</f>
        <v/>
      </c>
      <c r="D146">
        <f>IFERROR(IF(ISNUMBER(INDEX(SPPR!$E:$X,MATCH($A146,SPPR!$A:$A,0),1)),$C146*INDEX(SPPR!$E:$X,MATCH($A146,SPPR!$A:$A,0),1),""),"")</f>
        <v/>
      </c>
      <c r="E146">
        <f>IFERROR(IF(ISNUMBER(INDEX(SPPR!$E:$X,MATCH($A146,SPPR!$A:$A,0),2)),$C146*INDEX(SPPR!$E:$X,MATCH($A146,SPPR!$A:$A,0),2),""),"")</f>
        <v/>
      </c>
      <c r="F146">
        <f>IFERROR(IF(ISNUMBER(INDEX(SPPR!$E:$X,MATCH($A146,SPPR!$A:$A,0),3)),$C146*INDEX(SPPR!$E:$X,MATCH($A146,SPPR!$A:$A,0),3),""),"")</f>
        <v/>
      </c>
      <c r="G146">
        <f>IFERROR(IF(ISNUMBER(INDEX(SPPR!$E:$X,MATCH($A146,SPPR!$A:$A,0),4)),$C146*INDEX(SPPR!$E:$X,MATCH($A146,SPPR!$A:$A,0),4),""),"")</f>
        <v/>
      </c>
      <c r="H146">
        <f>IFERROR(IF(ISNUMBER(INDEX(SPPR!$E:$X,MATCH($A146,SPPR!$A:$A,0),5)),$C146*INDEX(SPPR!$E:$X,MATCH($A146,SPPR!$A:$A,0),5),""),"")</f>
        <v/>
      </c>
      <c r="I146">
        <f>IFERROR(IF(ISNUMBER(INDEX(SPPR!$E:$X,MATCH($A146,SPPR!$A:$A,0),6)),$C146*INDEX(SPPR!$E:$X,MATCH($A146,SPPR!$A:$A,0),6),""),"")</f>
        <v/>
      </c>
      <c r="J146">
        <f>IFERROR(IF(ISNUMBER(INDEX(SPPR!$E:$X,MATCH($A146,SPPR!$A:$A,0),7)),$C146*INDEX(SPPR!$E:$X,MATCH($A146,SPPR!$A:$A,0),7),""),"")</f>
        <v/>
      </c>
      <c r="K146">
        <f>IFERROR(IF(ISNUMBER(INDEX(SPPR!$E:$X,MATCH($A146,SPPR!$A:$A,0),8)),$C146*INDEX(SPPR!$E:$X,MATCH($A146,SPPR!$A:$A,0),8),""),"")</f>
        <v/>
      </c>
      <c r="L146">
        <f>IFERROR(IF(ISNUMBER(INDEX(SPPR!$E:$X,MATCH($A146,SPPR!$A:$A,0),9)),$C146*INDEX(SPPR!$E:$X,MATCH($A146,SPPR!$A:$A,0),9),""),"")</f>
        <v/>
      </c>
      <c r="M146">
        <f>IFERROR(IF(ISNUMBER(INDEX(SPPR!$E:$X,MATCH($A146,SPPR!$A:$A,0),10)),$C146*INDEX(SPPR!$E:$X,MATCH($A146,SPPR!$A:$A,0),10),""),"")</f>
        <v/>
      </c>
      <c r="N146">
        <f>IFERROR(IF(ISNUMBER(INDEX(SPPR!$E:$X,MATCH($A146,SPPR!$A:$A,0),11)),$C146*INDEX(SPPR!$E:$X,MATCH($A146,SPPR!$A:$A,0),11),""),"")</f>
        <v/>
      </c>
      <c r="O146">
        <f>IFERROR(IF(ISNUMBER(INDEX(SPPR!$E:$X,MATCH($A146,SPPR!$A:$A,0),12)),$C146*INDEX(SPPR!$E:$X,MATCH($A146,SPPR!$A:$A,0),12),""),"")</f>
        <v/>
      </c>
      <c r="P146">
        <f>IFERROR(IF(ISNUMBER(INDEX(SPPR!$E:$X,MATCH($A146,SPPR!$A:$A,0),13)),$C146*INDEX(SPPR!$E:$X,MATCH($A146,SPPR!$A:$A,0),13),""),"")</f>
        <v/>
      </c>
      <c r="Q146">
        <f>IFERROR(IF(ISNUMBER(INDEX(SPPR!$E:$X,MATCH($A146,SPPR!$A:$A,0),14)),$C146*INDEX(SPPR!$E:$X,MATCH($A146,SPPR!$A:$A,0),14),""),"")</f>
        <v/>
      </c>
      <c r="R146">
        <f>IFERROR(IF(ISNUMBER(INDEX(SPPR!$E:$X,MATCH($A146,SPPR!$A:$A,0),15)),$C146*INDEX(SPPR!$E:$X,MATCH($A146,SPPR!$A:$A,0),15),""),"")</f>
        <v/>
      </c>
      <c r="S146">
        <f>IFERROR(IF(ISNUMBER(INDEX(SPPR!$E:$X,MATCH($A146,SPPR!$A:$A,0),16)),$C146*INDEX(SPPR!$E:$X,MATCH($A146,SPPR!$A:$A,0),16),""),"")</f>
        <v/>
      </c>
      <c r="T146">
        <f>IFERROR(IF(ISNUMBER(INDEX(SPPR!$E:$X,MATCH($A146,SPPR!$A:$A,0),17)),$C146*INDEX(SPPR!$E:$X,MATCH($A146,SPPR!$A:$A,0),17),""),"")</f>
        <v/>
      </c>
      <c r="U146">
        <f>IFERROR(IF(ISNUMBER(INDEX(SPPR!$E:$X,MATCH($A146,SPPR!$A:$A,0),18)),$C146*INDEX(SPPR!$E:$X,MATCH($A146,SPPR!$A:$A,0),18),""),"")</f>
        <v/>
      </c>
      <c r="V146">
        <f>IFERROR(IF(ISNUMBER(INDEX(SPPR!$E:$X,MATCH($A146,SPPR!$A:$A,0),19)),$C146*INDEX(SPPR!$E:$X,MATCH($A146,SPPR!$A:$A,0),19),""),"")</f>
        <v/>
      </c>
      <c r="W146">
        <f>IFERROR(IF(ISNUMBER(INDEX(SPPR!$E:$X,MATCH($A146,SPPR!$A:$A,0),20)),$C146*INDEX(SPPR!$E:$X,MATCH($A146,SPPR!$A:$A,0),20),""),"")</f>
        <v/>
      </c>
    </row>
    <row r="147">
      <c r="A147" t="inlineStr">
        <is>
          <t>Epinephelus coioides</t>
        </is>
      </c>
      <c r="B147">
        <f>IFERROR(INDEX(SPPR!$D:$D,MATCH($A147,SPPR!$A:$A,0)),"")</f>
        <v/>
      </c>
      <c r="C147">
        <f>IFERROR(INDEX(Catch!$E:$BV,MATCH($A147,Catch!$A:$A,0),MATCH($B$4,Catch!$E$1:$BV$1,0)),0)</f>
        <v/>
      </c>
      <c r="D147">
        <f>IFERROR(IF(ISNUMBER(INDEX(SPPR!$E:$X,MATCH($A147,SPPR!$A:$A,0),1)),$C147*INDEX(SPPR!$E:$X,MATCH($A147,SPPR!$A:$A,0),1),""),"")</f>
        <v/>
      </c>
      <c r="E147">
        <f>IFERROR(IF(ISNUMBER(INDEX(SPPR!$E:$X,MATCH($A147,SPPR!$A:$A,0),2)),$C147*INDEX(SPPR!$E:$X,MATCH($A147,SPPR!$A:$A,0),2),""),"")</f>
        <v/>
      </c>
      <c r="F147">
        <f>IFERROR(IF(ISNUMBER(INDEX(SPPR!$E:$X,MATCH($A147,SPPR!$A:$A,0),3)),$C147*INDEX(SPPR!$E:$X,MATCH($A147,SPPR!$A:$A,0),3),""),"")</f>
        <v/>
      </c>
      <c r="G147">
        <f>IFERROR(IF(ISNUMBER(INDEX(SPPR!$E:$X,MATCH($A147,SPPR!$A:$A,0),4)),$C147*INDEX(SPPR!$E:$X,MATCH($A147,SPPR!$A:$A,0),4),""),"")</f>
        <v/>
      </c>
      <c r="H147">
        <f>IFERROR(IF(ISNUMBER(INDEX(SPPR!$E:$X,MATCH($A147,SPPR!$A:$A,0),5)),$C147*INDEX(SPPR!$E:$X,MATCH($A147,SPPR!$A:$A,0),5),""),"")</f>
        <v/>
      </c>
      <c r="I147">
        <f>IFERROR(IF(ISNUMBER(INDEX(SPPR!$E:$X,MATCH($A147,SPPR!$A:$A,0),6)),$C147*INDEX(SPPR!$E:$X,MATCH($A147,SPPR!$A:$A,0),6),""),"")</f>
        <v/>
      </c>
      <c r="J147">
        <f>IFERROR(IF(ISNUMBER(INDEX(SPPR!$E:$X,MATCH($A147,SPPR!$A:$A,0),7)),$C147*INDEX(SPPR!$E:$X,MATCH($A147,SPPR!$A:$A,0),7),""),"")</f>
        <v/>
      </c>
      <c r="K147">
        <f>IFERROR(IF(ISNUMBER(INDEX(SPPR!$E:$X,MATCH($A147,SPPR!$A:$A,0),8)),$C147*INDEX(SPPR!$E:$X,MATCH($A147,SPPR!$A:$A,0),8),""),"")</f>
        <v/>
      </c>
      <c r="L147">
        <f>IFERROR(IF(ISNUMBER(INDEX(SPPR!$E:$X,MATCH($A147,SPPR!$A:$A,0),9)),$C147*INDEX(SPPR!$E:$X,MATCH($A147,SPPR!$A:$A,0),9),""),"")</f>
        <v/>
      </c>
      <c r="M147">
        <f>IFERROR(IF(ISNUMBER(INDEX(SPPR!$E:$X,MATCH($A147,SPPR!$A:$A,0),10)),$C147*INDEX(SPPR!$E:$X,MATCH($A147,SPPR!$A:$A,0),10),""),"")</f>
        <v/>
      </c>
      <c r="N147">
        <f>IFERROR(IF(ISNUMBER(INDEX(SPPR!$E:$X,MATCH($A147,SPPR!$A:$A,0),11)),$C147*INDEX(SPPR!$E:$X,MATCH($A147,SPPR!$A:$A,0),11),""),"")</f>
        <v/>
      </c>
      <c r="O147">
        <f>IFERROR(IF(ISNUMBER(INDEX(SPPR!$E:$X,MATCH($A147,SPPR!$A:$A,0),12)),$C147*INDEX(SPPR!$E:$X,MATCH($A147,SPPR!$A:$A,0),12),""),"")</f>
        <v/>
      </c>
      <c r="P147">
        <f>IFERROR(IF(ISNUMBER(INDEX(SPPR!$E:$X,MATCH($A147,SPPR!$A:$A,0),13)),$C147*INDEX(SPPR!$E:$X,MATCH($A147,SPPR!$A:$A,0),13),""),"")</f>
        <v/>
      </c>
      <c r="Q147">
        <f>IFERROR(IF(ISNUMBER(INDEX(SPPR!$E:$X,MATCH($A147,SPPR!$A:$A,0),14)),$C147*INDEX(SPPR!$E:$X,MATCH($A147,SPPR!$A:$A,0),14),""),"")</f>
        <v/>
      </c>
      <c r="R147">
        <f>IFERROR(IF(ISNUMBER(INDEX(SPPR!$E:$X,MATCH($A147,SPPR!$A:$A,0),15)),$C147*INDEX(SPPR!$E:$X,MATCH($A147,SPPR!$A:$A,0),15),""),"")</f>
        <v/>
      </c>
      <c r="S147">
        <f>IFERROR(IF(ISNUMBER(INDEX(SPPR!$E:$X,MATCH($A147,SPPR!$A:$A,0),16)),$C147*INDEX(SPPR!$E:$X,MATCH($A147,SPPR!$A:$A,0),16),""),"")</f>
        <v/>
      </c>
      <c r="T147">
        <f>IFERROR(IF(ISNUMBER(INDEX(SPPR!$E:$X,MATCH($A147,SPPR!$A:$A,0),17)),$C147*INDEX(SPPR!$E:$X,MATCH($A147,SPPR!$A:$A,0),17),""),"")</f>
        <v/>
      </c>
      <c r="U147">
        <f>IFERROR(IF(ISNUMBER(INDEX(SPPR!$E:$X,MATCH($A147,SPPR!$A:$A,0),18)),$C147*INDEX(SPPR!$E:$X,MATCH($A147,SPPR!$A:$A,0),18),""),"")</f>
        <v/>
      </c>
      <c r="V147">
        <f>IFERROR(IF(ISNUMBER(INDEX(SPPR!$E:$X,MATCH($A147,SPPR!$A:$A,0),19)),$C147*INDEX(SPPR!$E:$X,MATCH($A147,SPPR!$A:$A,0),19),""),"")</f>
        <v/>
      </c>
      <c r="W147">
        <f>IFERROR(IF(ISNUMBER(INDEX(SPPR!$E:$X,MATCH($A147,SPPR!$A:$A,0),20)),$C147*INDEX(SPPR!$E:$X,MATCH($A147,SPPR!$A:$A,0),20),""),"")</f>
        <v/>
      </c>
    </row>
    <row r="148">
      <c r="A148" t="inlineStr">
        <is>
          <t>Larimichthys polyactis</t>
        </is>
      </c>
      <c r="B148">
        <f>IFERROR(INDEX(SPPR!$D:$D,MATCH($A148,SPPR!$A:$A,0)),"")</f>
        <v/>
      </c>
      <c r="C148">
        <f>IFERROR(INDEX(Catch!$E:$BV,MATCH($A148,Catch!$A:$A,0),MATCH($B$4,Catch!$E$1:$BV$1,0)),0)</f>
        <v/>
      </c>
      <c r="D148">
        <f>IFERROR(IF(ISNUMBER(INDEX(SPPR!$E:$X,MATCH($A148,SPPR!$A:$A,0),1)),$C148*INDEX(SPPR!$E:$X,MATCH($A148,SPPR!$A:$A,0),1),""),"")</f>
        <v/>
      </c>
      <c r="E148">
        <f>IFERROR(IF(ISNUMBER(INDEX(SPPR!$E:$X,MATCH($A148,SPPR!$A:$A,0),2)),$C148*INDEX(SPPR!$E:$X,MATCH($A148,SPPR!$A:$A,0),2),""),"")</f>
        <v/>
      </c>
      <c r="F148">
        <f>IFERROR(IF(ISNUMBER(INDEX(SPPR!$E:$X,MATCH($A148,SPPR!$A:$A,0),3)),$C148*INDEX(SPPR!$E:$X,MATCH($A148,SPPR!$A:$A,0),3),""),"")</f>
        <v/>
      </c>
      <c r="G148">
        <f>IFERROR(IF(ISNUMBER(INDEX(SPPR!$E:$X,MATCH($A148,SPPR!$A:$A,0),4)),$C148*INDEX(SPPR!$E:$X,MATCH($A148,SPPR!$A:$A,0),4),""),"")</f>
        <v/>
      </c>
      <c r="H148">
        <f>IFERROR(IF(ISNUMBER(INDEX(SPPR!$E:$X,MATCH($A148,SPPR!$A:$A,0),5)),$C148*INDEX(SPPR!$E:$X,MATCH($A148,SPPR!$A:$A,0),5),""),"")</f>
        <v/>
      </c>
      <c r="I148">
        <f>IFERROR(IF(ISNUMBER(INDEX(SPPR!$E:$X,MATCH($A148,SPPR!$A:$A,0),6)),$C148*INDEX(SPPR!$E:$X,MATCH($A148,SPPR!$A:$A,0),6),""),"")</f>
        <v/>
      </c>
      <c r="J148">
        <f>IFERROR(IF(ISNUMBER(INDEX(SPPR!$E:$X,MATCH($A148,SPPR!$A:$A,0),7)),$C148*INDEX(SPPR!$E:$X,MATCH($A148,SPPR!$A:$A,0),7),""),"")</f>
        <v/>
      </c>
      <c r="K148">
        <f>IFERROR(IF(ISNUMBER(INDEX(SPPR!$E:$X,MATCH($A148,SPPR!$A:$A,0),8)),$C148*INDEX(SPPR!$E:$X,MATCH($A148,SPPR!$A:$A,0),8),""),"")</f>
        <v/>
      </c>
      <c r="L148">
        <f>IFERROR(IF(ISNUMBER(INDEX(SPPR!$E:$X,MATCH($A148,SPPR!$A:$A,0),9)),$C148*INDEX(SPPR!$E:$X,MATCH($A148,SPPR!$A:$A,0),9),""),"")</f>
        <v/>
      </c>
      <c r="M148">
        <f>IFERROR(IF(ISNUMBER(INDEX(SPPR!$E:$X,MATCH($A148,SPPR!$A:$A,0),10)),$C148*INDEX(SPPR!$E:$X,MATCH($A148,SPPR!$A:$A,0),10),""),"")</f>
        <v/>
      </c>
      <c r="N148">
        <f>IFERROR(IF(ISNUMBER(INDEX(SPPR!$E:$X,MATCH($A148,SPPR!$A:$A,0),11)),$C148*INDEX(SPPR!$E:$X,MATCH($A148,SPPR!$A:$A,0),11),""),"")</f>
        <v/>
      </c>
      <c r="O148">
        <f>IFERROR(IF(ISNUMBER(INDEX(SPPR!$E:$X,MATCH($A148,SPPR!$A:$A,0),12)),$C148*INDEX(SPPR!$E:$X,MATCH($A148,SPPR!$A:$A,0),12),""),"")</f>
        <v/>
      </c>
      <c r="P148">
        <f>IFERROR(IF(ISNUMBER(INDEX(SPPR!$E:$X,MATCH($A148,SPPR!$A:$A,0),13)),$C148*INDEX(SPPR!$E:$X,MATCH($A148,SPPR!$A:$A,0),13),""),"")</f>
        <v/>
      </c>
      <c r="Q148">
        <f>IFERROR(IF(ISNUMBER(INDEX(SPPR!$E:$X,MATCH($A148,SPPR!$A:$A,0),14)),$C148*INDEX(SPPR!$E:$X,MATCH($A148,SPPR!$A:$A,0),14),""),"")</f>
        <v/>
      </c>
      <c r="R148">
        <f>IFERROR(IF(ISNUMBER(INDEX(SPPR!$E:$X,MATCH($A148,SPPR!$A:$A,0),15)),$C148*INDEX(SPPR!$E:$X,MATCH($A148,SPPR!$A:$A,0),15),""),"")</f>
        <v/>
      </c>
      <c r="S148">
        <f>IFERROR(IF(ISNUMBER(INDEX(SPPR!$E:$X,MATCH($A148,SPPR!$A:$A,0),16)),$C148*INDEX(SPPR!$E:$X,MATCH($A148,SPPR!$A:$A,0),16),""),"")</f>
        <v/>
      </c>
      <c r="T148">
        <f>IFERROR(IF(ISNUMBER(INDEX(SPPR!$E:$X,MATCH($A148,SPPR!$A:$A,0),17)),$C148*INDEX(SPPR!$E:$X,MATCH($A148,SPPR!$A:$A,0),17),""),"")</f>
        <v/>
      </c>
      <c r="U148">
        <f>IFERROR(IF(ISNUMBER(INDEX(SPPR!$E:$X,MATCH($A148,SPPR!$A:$A,0),18)),$C148*INDEX(SPPR!$E:$X,MATCH($A148,SPPR!$A:$A,0),18),""),"")</f>
        <v/>
      </c>
      <c r="V148">
        <f>IFERROR(IF(ISNUMBER(INDEX(SPPR!$E:$X,MATCH($A148,SPPR!$A:$A,0),19)),$C148*INDEX(SPPR!$E:$X,MATCH($A148,SPPR!$A:$A,0),19),""),"")</f>
        <v/>
      </c>
      <c r="W148">
        <f>IFERROR(IF(ISNUMBER(INDEX(SPPR!$E:$X,MATCH($A148,SPPR!$A:$A,0),20)),$C148*INDEX(SPPR!$E:$X,MATCH($A148,SPPR!$A:$A,0),20),""),"")</f>
        <v/>
      </c>
    </row>
    <row r="149">
      <c r="A149" t="inlineStr">
        <is>
          <t>Tetraodontidae</t>
        </is>
      </c>
      <c r="B149">
        <f>IFERROR(INDEX(SPPR!$D:$D,MATCH($A149,SPPR!$A:$A,0)),"")</f>
        <v/>
      </c>
      <c r="C149">
        <f>IFERROR(INDEX(Catch!$E:$BV,MATCH($A149,Catch!$A:$A,0),MATCH($B$4,Catch!$E$1:$BV$1,0)),0)</f>
        <v/>
      </c>
      <c r="D149">
        <f>IFERROR(IF(ISNUMBER(INDEX(SPPR!$E:$X,MATCH($A149,SPPR!$A:$A,0),1)),$C149*INDEX(SPPR!$E:$X,MATCH($A149,SPPR!$A:$A,0),1),""),"")</f>
        <v/>
      </c>
      <c r="E149">
        <f>IFERROR(IF(ISNUMBER(INDEX(SPPR!$E:$X,MATCH($A149,SPPR!$A:$A,0),2)),$C149*INDEX(SPPR!$E:$X,MATCH($A149,SPPR!$A:$A,0),2),""),"")</f>
        <v/>
      </c>
      <c r="F149">
        <f>IFERROR(IF(ISNUMBER(INDEX(SPPR!$E:$X,MATCH($A149,SPPR!$A:$A,0),3)),$C149*INDEX(SPPR!$E:$X,MATCH($A149,SPPR!$A:$A,0),3),""),"")</f>
        <v/>
      </c>
      <c r="G149">
        <f>IFERROR(IF(ISNUMBER(INDEX(SPPR!$E:$X,MATCH($A149,SPPR!$A:$A,0),4)),$C149*INDEX(SPPR!$E:$X,MATCH($A149,SPPR!$A:$A,0),4),""),"")</f>
        <v/>
      </c>
      <c r="H149">
        <f>IFERROR(IF(ISNUMBER(INDEX(SPPR!$E:$X,MATCH($A149,SPPR!$A:$A,0),5)),$C149*INDEX(SPPR!$E:$X,MATCH($A149,SPPR!$A:$A,0),5),""),"")</f>
        <v/>
      </c>
      <c r="I149">
        <f>IFERROR(IF(ISNUMBER(INDEX(SPPR!$E:$X,MATCH($A149,SPPR!$A:$A,0),6)),$C149*INDEX(SPPR!$E:$X,MATCH($A149,SPPR!$A:$A,0),6),""),"")</f>
        <v/>
      </c>
      <c r="J149">
        <f>IFERROR(IF(ISNUMBER(INDEX(SPPR!$E:$X,MATCH($A149,SPPR!$A:$A,0),7)),$C149*INDEX(SPPR!$E:$X,MATCH($A149,SPPR!$A:$A,0),7),""),"")</f>
        <v/>
      </c>
      <c r="K149">
        <f>IFERROR(IF(ISNUMBER(INDEX(SPPR!$E:$X,MATCH($A149,SPPR!$A:$A,0),8)),$C149*INDEX(SPPR!$E:$X,MATCH($A149,SPPR!$A:$A,0),8),""),"")</f>
        <v/>
      </c>
      <c r="L149">
        <f>IFERROR(IF(ISNUMBER(INDEX(SPPR!$E:$X,MATCH($A149,SPPR!$A:$A,0),9)),$C149*INDEX(SPPR!$E:$X,MATCH($A149,SPPR!$A:$A,0),9),""),"")</f>
        <v/>
      </c>
      <c r="M149">
        <f>IFERROR(IF(ISNUMBER(INDEX(SPPR!$E:$X,MATCH($A149,SPPR!$A:$A,0),10)),$C149*INDEX(SPPR!$E:$X,MATCH($A149,SPPR!$A:$A,0),10),""),"")</f>
        <v/>
      </c>
      <c r="N149">
        <f>IFERROR(IF(ISNUMBER(INDEX(SPPR!$E:$X,MATCH($A149,SPPR!$A:$A,0),11)),$C149*INDEX(SPPR!$E:$X,MATCH($A149,SPPR!$A:$A,0),11),""),"")</f>
        <v/>
      </c>
      <c r="O149">
        <f>IFERROR(IF(ISNUMBER(INDEX(SPPR!$E:$X,MATCH($A149,SPPR!$A:$A,0),12)),$C149*INDEX(SPPR!$E:$X,MATCH($A149,SPPR!$A:$A,0),12),""),"")</f>
        <v/>
      </c>
      <c r="P149">
        <f>IFERROR(IF(ISNUMBER(INDEX(SPPR!$E:$X,MATCH($A149,SPPR!$A:$A,0),13)),$C149*INDEX(SPPR!$E:$X,MATCH($A149,SPPR!$A:$A,0),13),""),"")</f>
        <v/>
      </c>
      <c r="Q149">
        <f>IFERROR(IF(ISNUMBER(INDEX(SPPR!$E:$X,MATCH($A149,SPPR!$A:$A,0),14)),$C149*INDEX(SPPR!$E:$X,MATCH($A149,SPPR!$A:$A,0),14),""),"")</f>
        <v/>
      </c>
      <c r="R149">
        <f>IFERROR(IF(ISNUMBER(INDEX(SPPR!$E:$X,MATCH($A149,SPPR!$A:$A,0),15)),$C149*INDEX(SPPR!$E:$X,MATCH($A149,SPPR!$A:$A,0),15),""),"")</f>
        <v/>
      </c>
      <c r="S149">
        <f>IFERROR(IF(ISNUMBER(INDEX(SPPR!$E:$X,MATCH($A149,SPPR!$A:$A,0),16)),$C149*INDEX(SPPR!$E:$X,MATCH($A149,SPPR!$A:$A,0),16),""),"")</f>
        <v/>
      </c>
      <c r="T149">
        <f>IFERROR(IF(ISNUMBER(INDEX(SPPR!$E:$X,MATCH($A149,SPPR!$A:$A,0),17)),$C149*INDEX(SPPR!$E:$X,MATCH($A149,SPPR!$A:$A,0),17),""),"")</f>
        <v/>
      </c>
      <c r="U149">
        <f>IFERROR(IF(ISNUMBER(INDEX(SPPR!$E:$X,MATCH($A149,SPPR!$A:$A,0),18)),$C149*INDEX(SPPR!$E:$X,MATCH($A149,SPPR!$A:$A,0),18),""),"")</f>
        <v/>
      </c>
      <c r="V149">
        <f>IFERROR(IF(ISNUMBER(INDEX(SPPR!$E:$X,MATCH($A149,SPPR!$A:$A,0),19)),$C149*INDEX(SPPR!$E:$X,MATCH($A149,SPPR!$A:$A,0),19),""),"")</f>
        <v/>
      </c>
      <c r="W149">
        <f>IFERROR(IF(ISNUMBER(INDEX(SPPR!$E:$X,MATCH($A149,SPPR!$A:$A,0),20)),$C149*INDEX(SPPR!$E:$X,MATCH($A149,SPPR!$A:$A,0),20),""),"")</f>
        <v/>
      </c>
    </row>
    <row r="150">
      <c r="A150" t="inlineStr">
        <is>
          <t>Exocoetidae</t>
        </is>
      </c>
      <c r="B150">
        <f>IFERROR(INDEX(SPPR!$D:$D,MATCH($A150,SPPR!$A:$A,0)),"")</f>
        <v/>
      </c>
      <c r="C150">
        <f>IFERROR(INDEX(Catch!$E:$BV,MATCH($A150,Catch!$A:$A,0),MATCH($B$4,Catch!$E$1:$BV$1,0)),0)</f>
        <v/>
      </c>
      <c r="D150">
        <f>IFERROR(IF(ISNUMBER(INDEX(SPPR!$E:$X,MATCH($A150,SPPR!$A:$A,0),1)),$C150*INDEX(SPPR!$E:$X,MATCH($A150,SPPR!$A:$A,0),1),""),"")</f>
        <v/>
      </c>
      <c r="E150">
        <f>IFERROR(IF(ISNUMBER(INDEX(SPPR!$E:$X,MATCH($A150,SPPR!$A:$A,0),2)),$C150*INDEX(SPPR!$E:$X,MATCH($A150,SPPR!$A:$A,0),2),""),"")</f>
        <v/>
      </c>
      <c r="F150">
        <f>IFERROR(IF(ISNUMBER(INDEX(SPPR!$E:$X,MATCH($A150,SPPR!$A:$A,0),3)),$C150*INDEX(SPPR!$E:$X,MATCH($A150,SPPR!$A:$A,0),3),""),"")</f>
        <v/>
      </c>
      <c r="G150">
        <f>IFERROR(IF(ISNUMBER(INDEX(SPPR!$E:$X,MATCH($A150,SPPR!$A:$A,0),4)),$C150*INDEX(SPPR!$E:$X,MATCH($A150,SPPR!$A:$A,0),4),""),"")</f>
        <v/>
      </c>
      <c r="H150">
        <f>IFERROR(IF(ISNUMBER(INDEX(SPPR!$E:$X,MATCH($A150,SPPR!$A:$A,0),5)),$C150*INDEX(SPPR!$E:$X,MATCH($A150,SPPR!$A:$A,0),5),""),"")</f>
        <v/>
      </c>
      <c r="I150">
        <f>IFERROR(IF(ISNUMBER(INDEX(SPPR!$E:$X,MATCH($A150,SPPR!$A:$A,0),6)),$C150*INDEX(SPPR!$E:$X,MATCH($A150,SPPR!$A:$A,0),6),""),"")</f>
        <v/>
      </c>
      <c r="J150">
        <f>IFERROR(IF(ISNUMBER(INDEX(SPPR!$E:$X,MATCH($A150,SPPR!$A:$A,0),7)),$C150*INDEX(SPPR!$E:$X,MATCH($A150,SPPR!$A:$A,0),7),""),"")</f>
        <v/>
      </c>
      <c r="K150">
        <f>IFERROR(IF(ISNUMBER(INDEX(SPPR!$E:$X,MATCH($A150,SPPR!$A:$A,0),8)),$C150*INDEX(SPPR!$E:$X,MATCH($A150,SPPR!$A:$A,0),8),""),"")</f>
        <v/>
      </c>
      <c r="L150">
        <f>IFERROR(IF(ISNUMBER(INDEX(SPPR!$E:$X,MATCH($A150,SPPR!$A:$A,0),9)),$C150*INDEX(SPPR!$E:$X,MATCH($A150,SPPR!$A:$A,0),9),""),"")</f>
        <v/>
      </c>
      <c r="M150">
        <f>IFERROR(IF(ISNUMBER(INDEX(SPPR!$E:$X,MATCH($A150,SPPR!$A:$A,0),10)),$C150*INDEX(SPPR!$E:$X,MATCH($A150,SPPR!$A:$A,0),10),""),"")</f>
        <v/>
      </c>
      <c r="N150">
        <f>IFERROR(IF(ISNUMBER(INDEX(SPPR!$E:$X,MATCH($A150,SPPR!$A:$A,0),11)),$C150*INDEX(SPPR!$E:$X,MATCH($A150,SPPR!$A:$A,0),11),""),"")</f>
        <v/>
      </c>
      <c r="O150">
        <f>IFERROR(IF(ISNUMBER(INDEX(SPPR!$E:$X,MATCH($A150,SPPR!$A:$A,0),12)),$C150*INDEX(SPPR!$E:$X,MATCH($A150,SPPR!$A:$A,0),12),""),"")</f>
        <v/>
      </c>
      <c r="P150">
        <f>IFERROR(IF(ISNUMBER(INDEX(SPPR!$E:$X,MATCH($A150,SPPR!$A:$A,0),13)),$C150*INDEX(SPPR!$E:$X,MATCH($A150,SPPR!$A:$A,0),13),""),"")</f>
        <v/>
      </c>
      <c r="Q150">
        <f>IFERROR(IF(ISNUMBER(INDEX(SPPR!$E:$X,MATCH($A150,SPPR!$A:$A,0),14)),$C150*INDEX(SPPR!$E:$X,MATCH($A150,SPPR!$A:$A,0),14),""),"")</f>
        <v/>
      </c>
      <c r="R150">
        <f>IFERROR(IF(ISNUMBER(INDEX(SPPR!$E:$X,MATCH($A150,SPPR!$A:$A,0),15)),$C150*INDEX(SPPR!$E:$X,MATCH($A150,SPPR!$A:$A,0),15),""),"")</f>
        <v/>
      </c>
      <c r="S150">
        <f>IFERROR(IF(ISNUMBER(INDEX(SPPR!$E:$X,MATCH($A150,SPPR!$A:$A,0),16)),$C150*INDEX(SPPR!$E:$X,MATCH($A150,SPPR!$A:$A,0),16),""),"")</f>
        <v/>
      </c>
      <c r="T150">
        <f>IFERROR(IF(ISNUMBER(INDEX(SPPR!$E:$X,MATCH($A150,SPPR!$A:$A,0),17)),$C150*INDEX(SPPR!$E:$X,MATCH($A150,SPPR!$A:$A,0),17),""),"")</f>
        <v/>
      </c>
      <c r="U150">
        <f>IFERROR(IF(ISNUMBER(INDEX(SPPR!$E:$X,MATCH($A150,SPPR!$A:$A,0),18)),$C150*INDEX(SPPR!$E:$X,MATCH($A150,SPPR!$A:$A,0),18),""),"")</f>
        <v/>
      </c>
      <c r="V150">
        <f>IFERROR(IF(ISNUMBER(INDEX(SPPR!$E:$X,MATCH($A150,SPPR!$A:$A,0),19)),$C150*INDEX(SPPR!$E:$X,MATCH($A150,SPPR!$A:$A,0),19),""),"")</f>
        <v/>
      </c>
      <c r="W150">
        <f>IFERROR(IF(ISNUMBER(INDEX(SPPR!$E:$X,MATCH($A150,SPPR!$A:$A,0),20)),$C150*INDEX(SPPR!$E:$X,MATCH($A150,SPPR!$A:$A,0),20),""),"")</f>
        <v/>
      </c>
    </row>
    <row r="151">
      <c r="A151" t="inlineStr">
        <is>
          <t>Upeneus</t>
        </is>
      </c>
      <c r="B151">
        <f>IFERROR(INDEX(SPPR!$D:$D,MATCH($A151,SPPR!$A:$A,0)),"")</f>
        <v/>
      </c>
      <c r="C151">
        <f>IFERROR(INDEX(Catch!$E:$BV,MATCH($A151,Catch!$A:$A,0),MATCH($B$4,Catch!$E$1:$BV$1,0)),0)</f>
        <v/>
      </c>
      <c r="D151">
        <f>IFERROR(IF(ISNUMBER(INDEX(SPPR!$E:$X,MATCH($A151,SPPR!$A:$A,0),1)),$C151*INDEX(SPPR!$E:$X,MATCH($A151,SPPR!$A:$A,0),1),""),"")</f>
        <v/>
      </c>
      <c r="E151">
        <f>IFERROR(IF(ISNUMBER(INDEX(SPPR!$E:$X,MATCH($A151,SPPR!$A:$A,0),2)),$C151*INDEX(SPPR!$E:$X,MATCH($A151,SPPR!$A:$A,0),2),""),"")</f>
        <v/>
      </c>
      <c r="F151">
        <f>IFERROR(IF(ISNUMBER(INDEX(SPPR!$E:$X,MATCH($A151,SPPR!$A:$A,0),3)),$C151*INDEX(SPPR!$E:$X,MATCH($A151,SPPR!$A:$A,0),3),""),"")</f>
        <v/>
      </c>
      <c r="G151">
        <f>IFERROR(IF(ISNUMBER(INDEX(SPPR!$E:$X,MATCH($A151,SPPR!$A:$A,0),4)),$C151*INDEX(SPPR!$E:$X,MATCH($A151,SPPR!$A:$A,0),4),""),"")</f>
        <v/>
      </c>
      <c r="H151">
        <f>IFERROR(IF(ISNUMBER(INDEX(SPPR!$E:$X,MATCH($A151,SPPR!$A:$A,0),5)),$C151*INDEX(SPPR!$E:$X,MATCH($A151,SPPR!$A:$A,0),5),""),"")</f>
        <v/>
      </c>
      <c r="I151">
        <f>IFERROR(IF(ISNUMBER(INDEX(SPPR!$E:$X,MATCH($A151,SPPR!$A:$A,0),6)),$C151*INDEX(SPPR!$E:$X,MATCH($A151,SPPR!$A:$A,0),6),""),"")</f>
        <v/>
      </c>
      <c r="J151">
        <f>IFERROR(IF(ISNUMBER(INDEX(SPPR!$E:$X,MATCH($A151,SPPR!$A:$A,0),7)),$C151*INDEX(SPPR!$E:$X,MATCH($A151,SPPR!$A:$A,0),7),""),"")</f>
        <v/>
      </c>
      <c r="K151">
        <f>IFERROR(IF(ISNUMBER(INDEX(SPPR!$E:$X,MATCH($A151,SPPR!$A:$A,0),8)),$C151*INDEX(SPPR!$E:$X,MATCH($A151,SPPR!$A:$A,0),8),""),"")</f>
        <v/>
      </c>
      <c r="L151">
        <f>IFERROR(IF(ISNUMBER(INDEX(SPPR!$E:$X,MATCH($A151,SPPR!$A:$A,0),9)),$C151*INDEX(SPPR!$E:$X,MATCH($A151,SPPR!$A:$A,0),9),""),"")</f>
        <v/>
      </c>
      <c r="M151">
        <f>IFERROR(IF(ISNUMBER(INDEX(SPPR!$E:$X,MATCH($A151,SPPR!$A:$A,0),10)),$C151*INDEX(SPPR!$E:$X,MATCH($A151,SPPR!$A:$A,0),10),""),"")</f>
        <v/>
      </c>
      <c r="N151">
        <f>IFERROR(IF(ISNUMBER(INDEX(SPPR!$E:$X,MATCH($A151,SPPR!$A:$A,0),11)),$C151*INDEX(SPPR!$E:$X,MATCH($A151,SPPR!$A:$A,0),11),""),"")</f>
        <v/>
      </c>
      <c r="O151">
        <f>IFERROR(IF(ISNUMBER(INDEX(SPPR!$E:$X,MATCH($A151,SPPR!$A:$A,0),12)),$C151*INDEX(SPPR!$E:$X,MATCH($A151,SPPR!$A:$A,0),12),""),"")</f>
        <v/>
      </c>
      <c r="P151">
        <f>IFERROR(IF(ISNUMBER(INDEX(SPPR!$E:$X,MATCH($A151,SPPR!$A:$A,0),13)),$C151*INDEX(SPPR!$E:$X,MATCH($A151,SPPR!$A:$A,0),13),""),"")</f>
        <v/>
      </c>
      <c r="Q151">
        <f>IFERROR(IF(ISNUMBER(INDEX(SPPR!$E:$X,MATCH($A151,SPPR!$A:$A,0),14)),$C151*INDEX(SPPR!$E:$X,MATCH($A151,SPPR!$A:$A,0),14),""),"")</f>
        <v/>
      </c>
      <c r="R151">
        <f>IFERROR(IF(ISNUMBER(INDEX(SPPR!$E:$X,MATCH($A151,SPPR!$A:$A,0),15)),$C151*INDEX(SPPR!$E:$X,MATCH($A151,SPPR!$A:$A,0),15),""),"")</f>
        <v/>
      </c>
      <c r="S151">
        <f>IFERROR(IF(ISNUMBER(INDEX(SPPR!$E:$X,MATCH($A151,SPPR!$A:$A,0),16)),$C151*INDEX(SPPR!$E:$X,MATCH($A151,SPPR!$A:$A,0),16),""),"")</f>
        <v/>
      </c>
      <c r="T151">
        <f>IFERROR(IF(ISNUMBER(INDEX(SPPR!$E:$X,MATCH($A151,SPPR!$A:$A,0),17)),$C151*INDEX(SPPR!$E:$X,MATCH($A151,SPPR!$A:$A,0),17),""),"")</f>
        <v/>
      </c>
      <c r="U151">
        <f>IFERROR(IF(ISNUMBER(INDEX(SPPR!$E:$X,MATCH($A151,SPPR!$A:$A,0),18)),$C151*INDEX(SPPR!$E:$X,MATCH($A151,SPPR!$A:$A,0),18),""),"")</f>
        <v/>
      </c>
      <c r="V151">
        <f>IFERROR(IF(ISNUMBER(INDEX(SPPR!$E:$X,MATCH($A151,SPPR!$A:$A,0),19)),$C151*INDEX(SPPR!$E:$X,MATCH($A151,SPPR!$A:$A,0),19),""),"")</f>
        <v/>
      </c>
      <c r="W151">
        <f>IFERROR(IF(ISNUMBER(INDEX(SPPR!$E:$X,MATCH($A151,SPPR!$A:$A,0),20)),$C151*INDEX(SPPR!$E:$X,MATCH($A151,SPPR!$A:$A,0),20),""),"")</f>
        <v/>
      </c>
    </row>
    <row r="152">
      <c r="A152" t="inlineStr">
        <is>
          <t>Seriola</t>
        </is>
      </c>
      <c r="B152">
        <f>IFERROR(INDEX(SPPR!$D:$D,MATCH($A152,SPPR!$A:$A,0)),"")</f>
        <v/>
      </c>
      <c r="C152">
        <f>IFERROR(INDEX(Catch!$E:$BV,MATCH($A152,Catch!$A:$A,0),MATCH($B$4,Catch!$E$1:$BV$1,0)),0)</f>
        <v/>
      </c>
      <c r="D152">
        <f>IFERROR(IF(ISNUMBER(INDEX(SPPR!$E:$X,MATCH($A152,SPPR!$A:$A,0),1)),$C152*INDEX(SPPR!$E:$X,MATCH($A152,SPPR!$A:$A,0),1),""),"")</f>
        <v/>
      </c>
      <c r="E152">
        <f>IFERROR(IF(ISNUMBER(INDEX(SPPR!$E:$X,MATCH($A152,SPPR!$A:$A,0),2)),$C152*INDEX(SPPR!$E:$X,MATCH($A152,SPPR!$A:$A,0),2),""),"")</f>
        <v/>
      </c>
      <c r="F152">
        <f>IFERROR(IF(ISNUMBER(INDEX(SPPR!$E:$X,MATCH($A152,SPPR!$A:$A,0),3)),$C152*INDEX(SPPR!$E:$X,MATCH($A152,SPPR!$A:$A,0),3),""),"")</f>
        <v/>
      </c>
      <c r="G152">
        <f>IFERROR(IF(ISNUMBER(INDEX(SPPR!$E:$X,MATCH($A152,SPPR!$A:$A,0),4)),$C152*INDEX(SPPR!$E:$X,MATCH($A152,SPPR!$A:$A,0),4),""),"")</f>
        <v/>
      </c>
      <c r="H152">
        <f>IFERROR(IF(ISNUMBER(INDEX(SPPR!$E:$X,MATCH($A152,SPPR!$A:$A,0),5)),$C152*INDEX(SPPR!$E:$X,MATCH($A152,SPPR!$A:$A,0),5),""),"")</f>
        <v/>
      </c>
      <c r="I152">
        <f>IFERROR(IF(ISNUMBER(INDEX(SPPR!$E:$X,MATCH($A152,SPPR!$A:$A,0),6)),$C152*INDEX(SPPR!$E:$X,MATCH($A152,SPPR!$A:$A,0),6),""),"")</f>
        <v/>
      </c>
      <c r="J152">
        <f>IFERROR(IF(ISNUMBER(INDEX(SPPR!$E:$X,MATCH($A152,SPPR!$A:$A,0),7)),$C152*INDEX(SPPR!$E:$X,MATCH($A152,SPPR!$A:$A,0),7),""),"")</f>
        <v/>
      </c>
      <c r="K152">
        <f>IFERROR(IF(ISNUMBER(INDEX(SPPR!$E:$X,MATCH($A152,SPPR!$A:$A,0),8)),$C152*INDEX(SPPR!$E:$X,MATCH($A152,SPPR!$A:$A,0),8),""),"")</f>
        <v/>
      </c>
      <c r="L152">
        <f>IFERROR(IF(ISNUMBER(INDEX(SPPR!$E:$X,MATCH($A152,SPPR!$A:$A,0),9)),$C152*INDEX(SPPR!$E:$X,MATCH($A152,SPPR!$A:$A,0),9),""),"")</f>
        <v/>
      </c>
      <c r="M152">
        <f>IFERROR(IF(ISNUMBER(INDEX(SPPR!$E:$X,MATCH($A152,SPPR!$A:$A,0),10)),$C152*INDEX(SPPR!$E:$X,MATCH($A152,SPPR!$A:$A,0),10),""),"")</f>
        <v/>
      </c>
      <c r="N152">
        <f>IFERROR(IF(ISNUMBER(INDEX(SPPR!$E:$X,MATCH($A152,SPPR!$A:$A,0),11)),$C152*INDEX(SPPR!$E:$X,MATCH($A152,SPPR!$A:$A,0),11),""),"")</f>
        <v/>
      </c>
      <c r="O152">
        <f>IFERROR(IF(ISNUMBER(INDEX(SPPR!$E:$X,MATCH($A152,SPPR!$A:$A,0),12)),$C152*INDEX(SPPR!$E:$X,MATCH($A152,SPPR!$A:$A,0),12),""),"")</f>
        <v/>
      </c>
      <c r="P152">
        <f>IFERROR(IF(ISNUMBER(INDEX(SPPR!$E:$X,MATCH($A152,SPPR!$A:$A,0),13)),$C152*INDEX(SPPR!$E:$X,MATCH($A152,SPPR!$A:$A,0),13),""),"")</f>
        <v/>
      </c>
      <c r="Q152">
        <f>IFERROR(IF(ISNUMBER(INDEX(SPPR!$E:$X,MATCH($A152,SPPR!$A:$A,0),14)),$C152*INDEX(SPPR!$E:$X,MATCH($A152,SPPR!$A:$A,0),14),""),"")</f>
        <v/>
      </c>
      <c r="R152">
        <f>IFERROR(IF(ISNUMBER(INDEX(SPPR!$E:$X,MATCH($A152,SPPR!$A:$A,0),15)),$C152*INDEX(SPPR!$E:$X,MATCH($A152,SPPR!$A:$A,0),15),""),"")</f>
        <v/>
      </c>
      <c r="S152">
        <f>IFERROR(IF(ISNUMBER(INDEX(SPPR!$E:$X,MATCH($A152,SPPR!$A:$A,0),16)),$C152*INDEX(SPPR!$E:$X,MATCH($A152,SPPR!$A:$A,0),16),""),"")</f>
        <v/>
      </c>
      <c r="T152">
        <f>IFERROR(IF(ISNUMBER(INDEX(SPPR!$E:$X,MATCH($A152,SPPR!$A:$A,0),17)),$C152*INDEX(SPPR!$E:$X,MATCH($A152,SPPR!$A:$A,0),17),""),"")</f>
        <v/>
      </c>
      <c r="U152">
        <f>IFERROR(IF(ISNUMBER(INDEX(SPPR!$E:$X,MATCH($A152,SPPR!$A:$A,0),18)),$C152*INDEX(SPPR!$E:$X,MATCH($A152,SPPR!$A:$A,0),18),""),"")</f>
        <v/>
      </c>
      <c r="V152">
        <f>IFERROR(IF(ISNUMBER(INDEX(SPPR!$E:$X,MATCH($A152,SPPR!$A:$A,0),19)),$C152*INDEX(SPPR!$E:$X,MATCH($A152,SPPR!$A:$A,0),19),""),"")</f>
        <v/>
      </c>
      <c r="W152">
        <f>IFERROR(IF(ISNUMBER(INDEX(SPPR!$E:$X,MATCH($A152,SPPR!$A:$A,0),20)),$C152*INDEX(SPPR!$E:$X,MATCH($A152,SPPR!$A:$A,0),20),""),"")</f>
        <v/>
      </c>
    </row>
    <row r="153">
      <c r="A153" t="inlineStr">
        <is>
          <t>Conger myriaster</t>
        </is>
      </c>
      <c r="B153">
        <f>IFERROR(INDEX(SPPR!$D:$D,MATCH($A153,SPPR!$A:$A,0)),"")</f>
        <v/>
      </c>
      <c r="C153">
        <f>IFERROR(INDEX(Catch!$E:$BV,MATCH($A153,Catch!$A:$A,0),MATCH($B$4,Catch!$E$1:$BV$1,0)),0)</f>
        <v/>
      </c>
      <c r="D153">
        <f>IFERROR(IF(ISNUMBER(INDEX(SPPR!$E:$X,MATCH($A153,SPPR!$A:$A,0),1)),$C153*INDEX(SPPR!$E:$X,MATCH($A153,SPPR!$A:$A,0),1),""),"")</f>
        <v/>
      </c>
      <c r="E153">
        <f>IFERROR(IF(ISNUMBER(INDEX(SPPR!$E:$X,MATCH($A153,SPPR!$A:$A,0),2)),$C153*INDEX(SPPR!$E:$X,MATCH($A153,SPPR!$A:$A,0),2),""),"")</f>
        <v/>
      </c>
      <c r="F153">
        <f>IFERROR(IF(ISNUMBER(INDEX(SPPR!$E:$X,MATCH($A153,SPPR!$A:$A,0),3)),$C153*INDEX(SPPR!$E:$X,MATCH($A153,SPPR!$A:$A,0),3),""),"")</f>
        <v/>
      </c>
      <c r="G153">
        <f>IFERROR(IF(ISNUMBER(INDEX(SPPR!$E:$X,MATCH($A153,SPPR!$A:$A,0),4)),$C153*INDEX(SPPR!$E:$X,MATCH($A153,SPPR!$A:$A,0),4),""),"")</f>
        <v/>
      </c>
      <c r="H153">
        <f>IFERROR(IF(ISNUMBER(INDEX(SPPR!$E:$X,MATCH($A153,SPPR!$A:$A,0),5)),$C153*INDEX(SPPR!$E:$X,MATCH($A153,SPPR!$A:$A,0),5),""),"")</f>
        <v/>
      </c>
      <c r="I153">
        <f>IFERROR(IF(ISNUMBER(INDEX(SPPR!$E:$X,MATCH($A153,SPPR!$A:$A,0),6)),$C153*INDEX(SPPR!$E:$X,MATCH($A153,SPPR!$A:$A,0),6),""),"")</f>
        <v/>
      </c>
      <c r="J153">
        <f>IFERROR(IF(ISNUMBER(INDEX(SPPR!$E:$X,MATCH($A153,SPPR!$A:$A,0),7)),$C153*INDEX(SPPR!$E:$X,MATCH($A153,SPPR!$A:$A,0),7),""),"")</f>
        <v/>
      </c>
      <c r="K153">
        <f>IFERROR(IF(ISNUMBER(INDEX(SPPR!$E:$X,MATCH($A153,SPPR!$A:$A,0),8)),$C153*INDEX(SPPR!$E:$X,MATCH($A153,SPPR!$A:$A,0),8),""),"")</f>
        <v/>
      </c>
      <c r="L153">
        <f>IFERROR(IF(ISNUMBER(INDEX(SPPR!$E:$X,MATCH($A153,SPPR!$A:$A,0),9)),$C153*INDEX(SPPR!$E:$X,MATCH($A153,SPPR!$A:$A,0),9),""),"")</f>
        <v/>
      </c>
      <c r="M153">
        <f>IFERROR(IF(ISNUMBER(INDEX(SPPR!$E:$X,MATCH($A153,SPPR!$A:$A,0),10)),$C153*INDEX(SPPR!$E:$X,MATCH($A153,SPPR!$A:$A,0),10),""),"")</f>
        <v/>
      </c>
      <c r="N153">
        <f>IFERROR(IF(ISNUMBER(INDEX(SPPR!$E:$X,MATCH($A153,SPPR!$A:$A,0),11)),$C153*INDEX(SPPR!$E:$X,MATCH($A153,SPPR!$A:$A,0),11),""),"")</f>
        <v/>
      </c>
      <c r="O153">
        <f>IFERROR(IF(ISNUMBER(INDEX(SPPR!$E:$X,MATCH($A153,SPPR!$A:$A,0),12)),$C153*INDEX(SPPR!$E:$X,MATCH($A153,SPPR!$A:$A,0),12),""),"")</f>
        <v/>
      </c>
      <c r="P153">
        <f>IFERROR(IF(ISNUMBER(INDEX(SPPR!$E:$X,MATCH($A153,SPPR!$A:$A,0),13)),$C153*INDEX(SPPR!$E:$X,MATCH($A153,SPPR!$A:$A,0),13),""),"")</f>
        <v/>
      </c>
      <c r="Q153">
        <f>IFERROR(IF(ISNUMBER(INDEX(SPPR!$E:$X,MATCH($A153,SPPR!$A:$A,0),14)),$C153*INDEX(SPPR!$E:$X,MATCH($A153,SPPR!$A:$A,0),14),""),"")</f>
        <v/>
      </c>
      <c r="R153">
        <f>IFERROR(IF(ISNUMBER(INDEX(SPPR!$E:$X,MATCH($A153,SPPR!$A:$A,0),15)),$C153*INDEX(SPPR!$E:$X,MATCH($A153,SPPR!$A:$A,0),15),""),"")</f>
        <v/>
      </c>
      <c r="S153">
        <f>IFERROR(IF(ISNUMBER(INDEX(SPPR!$E:$X,MATCH($A153,SPPR!$A:$A,0),16)),$C153*INDEX(SPPR!$E:$X,MATCH($A153,SPPR!$A:$A,0),16),""),"")</f>
        <v/>
      </c>
      <c r="T153">
        <f>IFERROR(IF(ISNUMBER(INDEX(SPPR!$E:$X,MATCH($A153,SPPR!$A:$A,0),17)),$C153*INDEX(SPPR!$E:$X,MATCH($A153,SPPR!$A:$A,0),17),""),"")</f>
        <v/>
      </c>
      <c r="U153">
        <f>IFERROR(IF(ISNUMBER(INDEX(SPPR!$E:$X,MATCH($A153,SPPR!$A:$A,0),18)),$C153*INDEX(SPPR!$E:$X,MATCH($A153,SPPR!$A:$A,0),18),""),"")</f>
        <v/>
      </c>
      <c r="V153">
        <f>IFERROR(IF(ISNUMBER(INDEX(SPPR!$E:$X,MATCH($A153,SPPR!$A:$A,0),19)),$C153*INDEX(SPPR!$E:$X,MATCH($A153,SPPR!$A:$A,0),19),""),"")</f>
        <v/>
      </c>
      <c r="W153">
        <f>IFERROR(IF(ISNUMBER(INDEX(SPPR!$E:$X,MATCH($A153,SPPR!$A:$A,0),20)),$C153*INDEX(SPPR!$E:$X,MATCH($A153,SPPR!$A:$A,0),20),""),"")</f>
        <v/>
      </c>
    </row>
    <row r="154">
      <c r="A154" t="inlineStr">
        <is>
          <t>Mugil</t>
        </is>
      </c>
      <c r="B154">
        <f>IFERROR(INDEX(SPPR!$D:$D,MATCH($A154,SPPR!$A:$A,0)),"")</f>
        <v/>
      </c>
      <c r="C154">
        <f>IFERROR(INDEX(Catch!$E:$BV,MATCH($A154,Catch!$A:$A,0),MATCH($B$4,Catch!$E$1:$BV$1,0)),0)</f>
        <v/>
      </c>
      <c r="D154">
        <f>IFERROR(IF(ISNUMBER(INDEX(SPPR!$E:$X,MATCH($A154,SPPR!$A:$A,0),1)),$C154*INDEX(SPPR!$E:$X,MATCH($A154,SPPR!$A:$A,0),1),""),"")</f>
        <v/>
      </c>
      <c r="E154">
        <f>IFERROR(IF(ISNUMBER(INDEX(SPPR!$E:$X,MATCH($A154,SPPR!$A:$A,0),2)),$C154*INDEX(SPPR!$E:$X,MATCH($A154,SPPR!$A:$A,0),2),""),"")</f>
        <v/>
      </c>
      <c r="F154">
        <f>IFERROR(IF(ISNUMBER(INDEX(SPPR!$E:$X,MATCH($A154,SPPR!$A:$A,0),3)),$C154*INDEX(SPPR!$E:$X,MATCH($A154,SPPR!$A:$A,0),3),""),"")</f>
        <v/>
      </c>
      <c r="G154">
        <f>IFERROR(IF(ISNUMBER(INDEX(SPPR!$E:$X,MATCH($A154,SPPR!$A:$A,0),4)),$C154*INDEX(SPPR!$E:$X,MATCH($A154,SPPR!$A:$A,0),4),""),"")</f>
        <v/>
      </c>
      <c r="H154">
        <f>IFERROR(IF(ISNUMBER(INDEX(SPPR!$E:$X,MATCH($A154,SPPR!$A:$A,0),5)),$C154*INDEX(SPPR!$E:$X,MATCH($A154,SPPR!$A:$A,0),5),""),"")</f>
        <v/>
      </c>
      <c r="I154">
        <f>IFERROR(IF(ISNUMBER(INDEX(SPPR!$E:$X,MATCH($A154,SPPR!$A:$A,0),6)),$C154*INDEX(SPPR!$E:$X,MATCH($A154,SPPR!$A:$A,0),6),""),"")</f>
        <v/>
      </c>
      <c r="J154">
        <f>IFERROR(IF(ISNUMBER(INDEX(SPPR!$E:$X,MATCH($A154,SPPR!$A:$A,0),7)),$C154*INDEX(SPPR!$E:$X,MATCH($A154,SPPR!$A:$A,0),7),""),"")</f>
        <v/>
      </c>
      <c r="K154">
        <f>IFERROR(IF(ISNUMBER(INDEX(SPPR!$E:$X,MATCH($A154,SPPR!$A:$A,0),8)),$C154*INDEX(SPPR!$E:$X,MATCH($A154,SPPR!$A:$A,0),8),""),"")</f>
        <v/>
      </c>
      <c r="L154">
        <f>IFERROR(IF(ISNUMBER(INDEX(SPPR!$E:$X,MATCH($A154,SPPR!$A:$A,0),9)),$C154*INDEX(SPPR!$E:$X,MATCH($A154,SPPR!$A:$A,0),9),""),"")</f>
        <v/>
      </c>
      <c r="M154">
        <f>IFERROR(IF(ISNUMBER(INDEX(SPPR!$E:$X,MATCH($A154,SPPR!$A:$A,0),10)),$C154*INDEX(SPPR!$E:$X,MATCH($A154,SPPR!$A:$A,0),10),""),"")</f>
        <v/>
      </c>
      <c r="N154">
        <f>IFERROR(IF(ISNUMBER(INDEX(SPPR!$E:$X,MATCH($A154,SPPR!$A:$A,0),11)),$C154*INDEX(SPPR!$E:$X,MATCH($A154,SPPR!$A:$A,0),11),""),"")</f>
        <v/>
      </c>
      <c r="O154">
        <f>IFERROR(IF(ISNUMBER(INDEX(SPPR!$E:$X,MATCH($A154,SPPR!$A:$A,0),12)),$C154*INDEX(SPPR!$E:$X,MATCH($A154,SPPR!$A:$A,0),12),""),"")</f>
        <v/>
      </c>
      <c r="P154">
        <f>IFERROR(IF(ISNUMBER(INDEX(SPPR!$E:$X,MATCH($A154,SPPR!$A:$A,0),13)),$C154*INDEX(SPPR!$E:$X,MATCH($A154,SPPR!$A:$A,0),13),""),"")</f>
        <v/>
      </c>
      <c r="Q154">
        <f>IFERROR(IF(ISNUMBER(INDEX(SPPR!$E:$X,MATCH($A154,SPPR!$A:$A,0),14)),$C154*INDEX(SPPR!$E:$X,MATCH($A154,SPPR!$A:$A,0),14),""),"")</f>
        <v/>
      </c>
      <c r="R154">
        <f>IFERROR(IF(ISNUMBER(INDEX(SPPR!$E:$X,MATCH($A154,SPPR!$A:$A,0),15)),$C154*INDEX(SPPR!$E:$X,MATCH($A154,SPPR!$A:$A,0),15),""),"")</f>
        <v/>
      </c>
      <c r="S154">
        <f>IFERROR(IF(ISNUMBER(INDEX(SPPR!$E:$X,MATCH($A154,SPPR!$A:$A,0),16)),$C154*INDEX(SPPR!$E:$X,MATCH($A154,SPPR!$A:$A,0),16),""),"")</f>
        <v/>
      </c>
      <c r="T154">
        <f>IFERROR(IF(ISNUMBER(INDEX(SPPR!$E:$X,MATCH($A154,SPPR!$A:$A,0),17)),$C154*INDEX(SPPR!$E:$X,MATCH($A154,SPPR!$A:$A,0),17),""),"")</f>
        <v/>
      </c>
      <c r="U154">
        <f>IFERROR(IF(ISNUMBER(INDEX(SPPR!$E:$X,MATCH($A154,SPPR!$A:$A,0),18)),$C154*INDEX(SPPR!$E:$X,MATCH($A154,SPPR!$A:$A,0),18),""),"")</f>
        <v/>
      </c>
      <c r="V154">
        <f>IFERROR(IF(ISNUMBER(INDEX(SPPR!$E:$X,MATCH($A154,SPPR!$A:$A,0),19)),$C154*INDEX(SPPR!$E:$X,MATCH($A154,SPPR!$A:$A,0),19),""),"")</f>
        <v/>
      </c>
      <c r="W154">
        <f>IFERROR(IF(ISNUMBER(INDEX(SPPR!$E:$X,MATCH($A154,SPPR!$A:$A,0),20)),$C154*INDEX(SPPR!$E:$X,MATCH($A154,SPPR!$A:$A,0),20),""),"")</f>
        <v/>
      </c>
    </row>
    <row r="155">
      <c r="A155" t="inlineStr">
        <is>
          <t>Psettodes erumei</t>
        </is>
      </c>
      <c r="B155">
        <f>IFERROR(INDEX(SPPR!$D:$D,MATCH($A155,SPPR!$A:$A,0)),"")</f>
        <v/>
      </c>
      <c r="C155">
        <f>IFERROR(INDEX(Catch!$E:$BV,MATCH($A155,Catch!$A:$A,0),MATCH($B$4,Catch!$E$1:$BV$1,0)),0)</f>
        <v/>
      </c>
      <c r="D155">
        <f>IFERROR(IF(ISNUMBER(INDEX(SPPR!$E:$X,MATCH($A155,SPPR!$A:$A,0),1)),$C155*INDEX(SPPR!$E:$X,MATCH($A155,SPPR!$A:$A,0),1),""),"")</f>
        <v/>
      </c>
      <c r="E155">
        <f>IFERROR(IF(ISNUMBER(INDEX(SPPR!$E:$X,MATCH($A155,SPPR!$A:$A,0),2)),$C155*INDEX(SPPR!$E:$X,MATCH($A155,SPPR!$A:$A,0),2),""),"")</f>
        <v/>
      </c>
      <c r="F155">
        <f>IFERROR(IF(ISNUMBER(INDEX(SPPR!$E:$X,MATCH($A155,SPPR!$A:$A,0),3)),$C155*INDEX(SPPR!$E:$X,MATCH($A155,SPPR!$A:$A,0),3),""),"")</f>
        <v/>
      </c>
      <c r="G155">
        <f>IFERROR(IF(ISNUMBER(INDEX(SPPR!$E:$X,MATCH($A155,SPPR!$A:$A,0),4)),$C155*INDEX(SPPR!$E:$X,MATCH($A155,SPPR!$A:$A,0),4),""),"")</f>
        <v/>
      </c>
      <c r="H155">
        <f>IFERROR(IF(ISNUMBER(INDEX(SPPR!$E:$X,MATCH($A155,SPPR!$A:$A,0),5)),$C155*INDEX(SPPR!$E:$X,MATCH($A155,SPPR!$A:$A,0),5),""),"")</f>
        <v/>
      </c>
      <c r="I155">
        <f>IFERROR(IF(ISNUMBER(INDEX(SPPR!$E:$X,MATCH($A155,SPPR!$A:$A,0),6)),$C155*INDEX(SPPR!$E:$X,MATCH($A155,SPPR!$A:$A,0),6),""),"")</f>
        <v/>
      </c>
      <c r="J155">
        <f>IFERROR(IF(ISNUMBER(INDEX(SPPR!$E:$X,MATCH($A155,SPPR!$A:$A,0),7)),$C155*INDEX(SPPR!$E:$X,MATCH($A155,SPPR!$A:$A,0),7),""),"")</f>
        <v/>
      </c>
      <c r="K155">
        <f>IFERROR(IF(ISNUMBER(INDEX(SPPR!$E:$X,MATCH($A155,SPPR!$A:$A,0),8)),$C155*INDEX(SPPR!$E:$X,MATCH($A155,SPPR!$A:$A,0),8),""),"")</f>
        <v/>
      </c>
      <c r="L155">
        <f>IFERROR(IF(ISNUMBER(INDEX(SPPR!$E:$X,MATCH($A155,SPPR!$A:$A,0),9)),$C155*INDEX(SPPR!$E:$X,MATCH($A155,SPPR!$A:$A,0),9),""),"")</f>
        <v/>
      </c>
      <c r="M155">
        <f>IFERROR(IF(ISNUMBER(INDEX(SPPR!$E:$X,MATCH($A155,SPPR!$A:$A,0),10)),$C155*INDEX(SPPR!$E:$X,MATCH($A155,SPPR!$A:$A,0),10),""),"")</f>
        <v/>
      </c>
      <c r="N155">
        <f>IFERROR(IF(ISNUMBER(INDEX(SPPR!$E:$X,MATCH($A155,SPPR!$A:$A,0),11)),$C155*INDEX(SPPR!$E:$X,MATCH($A155,SPPR!$A:$A,0),11),""),"")</f>
        <v/>
      </c>
      <c r="O155">
        <f>IFERROR(IF(ISNUMBER(INDEX(SPPR!$E:$X,MATCH($A155,SPPR!$A:$A,0),12)),$C155*INDEX(SPPR!$E:$X,MATCH($A155,SPPR!$A:$A,0),12),""),"")</f>
        <v/>
      </c>
      <c r="P155">
        <f>IFERROR(IF(ISNUMBER(INDEX(SPPR!$E:$X,MATCH($A155,SPPR!$A:$A,0),13)),$C155*INDEX(SPPR!$E:$X,MATCH($A155,SPPR!$A:$A,0),13),""),"")</f>
        <v/>
      </c>
      <c r="Q155">
        <f>IFERROR(IF(ISNUMBER(INDEX(SPPR!$E:$X,MATCH($A155,SPPR!$A:$A,0),14)),$C155*INDEX(SPPR!$E:$X,MATCH($A155,SPPR!$A:$A,0),14),""),"")</f>
        <v/>
      </c>
      <c r="R155">
        <f>IFERROR(IF(ISNUMBER(INDEX(SPPR!$E:$X,MATCH($A155,SPPR!$A:$A,0),15)),$C155*INDEX(SPPR!$E:$X,MATCH($A155,SPPR!$A:$A,0),15),""),"")</f>
        <v/>
      </c>
      <c r="S155">
        <f>IFERROR(IF(ISNUMBER(INDEX(SPPR!$E:$X,MATCH($A155,SPPR!$A:$A,0),16)),$C155*INDEX(SPPR!$E:$X,MATCH($A155,SPPR!$A:$A,0),16),""),"")</f>
        <v/>
      </c>
      <c r="T155">
        <f>IFERROR(IF(ISNUMBER(INDEX(SPPR!$E:$X,MATCH($A155,SPPR!$A:$A,0),17)),$C155*INDEX(SPPR!$E:$X,MATCH($A155,SPPR!$A:$A,0),17),""),"")</f>
        <v/>
      </c>
      <c r="U155">
        <f>IFERROR(IF(ISNUMBER(INDEX(SPPR!$E:$X,MATCH($A155,SPPR!$A:$A,0),18)),$C155*INDEX(SPPR!$E:$X,MATCH($A155,SPPR!$A:$A,0),18),""),"")</f>
        <v/>
      </c>
      <c r="V155">
        <f>IFERROR(IF(ISNUMBER(INDEX(SPPR!$E:$X,MATCH($A155,SPPR!$A:$A,0),19)),$C155*INDEX(SPPR!$E:$X,MATCH($A155,SPPR!$A:$A,0),19),""),"")</f>
        <v/>
      </c>
      <c r="W155">
        <f>IFERROR(IF(ISNUMBER(INDEX(SPPR!$E:$X,MATCH($A155,SPPR!$A:$A,0),20)),$C155*INDEX(SPPR!$E:$X,MATCH($A155,SPPR!$A:$A,0),20),""),"")</f>
        <v/>
      </c>
    </row>
    <row r="156">
      <c r="A156" t="inlineStr">
        <is>
          <t>Acetes</t>
        </is>
      </c>
      <c r="B156">
        <f>IFERROR(INDEX(SPPR!$D:$D,MATCH($A156,SPPR!$A:$A,0)),"")</f>
        <v/>
      </c>
      <c r="C156">
        <f>IFERROR(INDEX(Catch!$E:$BV,MATCH($A156,Catch!$A:$A,0),MATCH($B$4,Catch!$E$1:$BV$1,0)),0)</f>
        <v/>
      </c>
      <c r="D156">
        <f>IFERROR(IF(ISNUMBER(INDEX(SPPR!$E:$X,MATCH($A156,SPPR!$A:$A,0),1)),$C156*INDEX(SPPR!$E:$X,MATCH($A156,SPPR!$A:$A,0),1),""),"")</f>
        <v/>
      </c>
      <c r="E156">
        <f>IFERROR(IF(ISNUMBER(INDEX(SPPR!$E:$X,MATCH($A156,SPPR!$A:$A,0),2)),$C156*INDEX(SPPR!$E:$X,MATCH($A156,SPPR!$A:$A,0),2),""),"")</f>
        <v/>
      </c>
      <c r="F156">
        <f>IFERROR(IF(ISNUMBER(INDEX(SPPR!$E:$X,MATCH($A156,SPPR!$A:$A,0),3)),$C156*INDEX(SPPR!$E:$X,MATCH($A156,SPPR!$A:$A,0),3),""),"")</f>
        <v/>
      </c>
      <c r="G156">
        <f>IFERROR(IF(ISNUMBER(INDEX(SPPR!$E:$X,MATCH($A156,SPPR!$A:$A,0),4)),$C156*INDEX(SPPR!$E:$X,MATCH($A156,SPPR!$A:$A,0),4),""),"")</f>
        <v/>
      </c>
      <c r="H156">
        <f>IFERROR(IF(ISNUMBER(INDEX(SPPR!$E:$X,MATCH($A156,SPPR!$A:$A,0),5)),$C156*INDEX(SPPR!$E:$X,MATCH($A156,SPPR!$A:$A,0),5),""),"")</f>
        <v/>
      </c>
      <c r="I156">
        <f>IFERROR(IF(ISNUMBER(INDEX(SPPR!$E:$X,MATCH($A156,SPPR!$A:$A,0),6)),$C156*INDEX(SPPR!$E:$X,MATCH($A156,SPPR!$A:$A,0),6),""),"")</f>
        <v/>
      </c>
      <c r="J156">
        <f>IFERROR(IF(ISNUMBER(INDEX(SPPR!$E:$X,MATCH($A156,SPPR!$A:$A,0),7)),$C156*INDEX(SPPR!$E:$X,MATCH($A156,SPPR!$A:$A,0),7),""),"")</f>
        <v/>
      </c>
      <c r="K156">
        <f>IFERROR(IF(ISNUMBER(INDEX(SPPR!$E:$X,MATCH($A156,SPPR!$A:$A,0),8)),$C156*INDEX(SPPR!$E:$X,MATCH($A156,SPPR!$A:$A,0),8),""),"")</f>
        <v/>
      </c>
      <c r="L156">
        <f>IFERROR(IF(ISNUMBER(INDEX(SPPR!$E:$X,MATCH($A156,SPPR!$A:$A,0),9)),$C156*INDEX(SPPR!$E:$X,MATCH($A156,SPPR!$A:$A,0),9),""),"")</f>
        <v/>
      </c>
      <c r="M156">
        <f>IFERROR(IF(ISNUMBER(INDEX(SPPR!$E:$X,MATCH($A156,SPPR!$A:$A,0),10)),$C156*INDEX(SPPR!$E:$X,MATCH($A156,SPPR!$A:$A,0),10),""),"")</f>
        <v/>
      </c>
      <c r="N156">
        <f>IFERROR(IF(ISNUMBER(INDEX(SPPR!$E:$X,MATCH($A156,SPPR!$A:$A,0),11)),$C156*INDEX(SPPR!$E:$X,MATCH($A156,SPPR!$A:$A,0),11),""),"")</f>
        <v/>
      </c>
      <c r="O156">
        <f>IFERROR(IF(ISNUMBER(INDEX(SPPR!$E:$X,MATCH($A156,SPPR!$A:$A,0),12)),$C156*INDEX(SPPR!$E:$X,MATCH($A156,SPPR!$A:$A,0),12),""),"")</f>
        <v/>
      </c>
      <c r="P156">
        <f>IFERROR(IF(ISNUMBER(INDEX(SPPR!$E:$X,MATCH($A156,SPPR!$A:$A,0),13)),$C156*INDEX(SPPR!$E:$X,MATCH($A156,SPPR!$A:$A,0),13),""),"")</f>
        <v/>
      </c>
      <c r="Q156">
        <f>IFERROR(IF(ISNUMBER(INDEX(SPPR!$E:$X,MATCH($A156,SPPR!$A:$A,0),14)),$C156*INDEX(SPPR!$E:$X,MATCH($A156,SPPR!$A:$A,0),14),""),"")</f>
        <v/>
      </c>
      <c r="R156">
        <f>IFERROR(IF(ISNUMBER(INDEX(SPPR!$E:$X,MATCH($A156,SPPR!$A:$A,0),15)),$C156*INDEX(SPPR!$E:$X,MATCH($A156,SPPR!$A:$A,0),15),""),"")</f>
        <v/>
      </c>
      <c r="S156">
        <f>IFERROR(IF(ISNUMBER(INDEX(SPPR!$E:$X,MATCH($A156,SPPR!$A:$A,0),16)),$C156*INDEX(SPPR!$E:$X,MATCH($A156,SPPR!$A:$A,0),16),""),"")</f>
        <v/>
      </c>
      <c r="T156">
        <f>IFERROR(IF(ISNUMBER(INDEX(SPPR!$E:$X,MATCH($A156,SPPR!$A:$A,0),17)),$C156*INDEX(SPPR!$E:$X,MATCH($A156,SPPR!$A:$A,0),17),""),"")</f>
        <v/>
      </c>
      <c r="U156">
        <f>IFERROR(IF(ISNUMBER(INDEX(SPPR!$E:$X,MATCH($A156,SPPR!$A:$A,0),18)),$C156*INDEX(SPPR!$E:$X,MATCH($A156,SPPR!$A:$A,0),18),""),"")</f>
        <v/>
      </c>
      <c r="V156">
        <f>IFERROR(IF(ISNUMBER(INDEX(SPPR!$E:$X,MATCH($A156,SPPR!$A:$A,0),19)),$C156*INDEX(SPPR!$E:$X,MATCH($A156,SPPR!$A:$A,0),19),""),"")</f>
        <v/>
      </c>
      <c r="W156">
        <f>IFERROR(IF(ISNUMBER(INDEX(SPPR!$E:$X,MATCH($A156,SPPR!$A:$A,0),20)),$C156*INDEX(SPPR!$E:$X,MATCH($A156,SPPR!$A:$A,0),20),""),"")</f>
        <v/>
      </c>
    </row>
    <row r="157">
      <c r="A157" t="inlineStr">
        <is>
          <t>Cypselurus poecilopterus</t>
        </is>
      </c>
      <c r="B157">
        <f>IFERROR(INDEX(SPPR!$D:$D,MATCH($A157,SPPR!$A:$A,0)),"")</f>
        <v/>
      </c>
      <c r="C157">
        <f>IFERROR(INDEX(Catch!$E:$BV,MATCH($A157,Catch!$A:$A,0),MATCH($B$4,Catch!$E$1:$BV$1,0)),0)</f>
        <v/>
      </c>
      <c r="D157">
        <f>IFERROR(IF(ISNUMBER(INDEX(SPPR!$E:$X,MATCH($A157,SPPR!$A:$A,0),1)),$C157*INDEX(SPPR!$E:$X,MATCH($A157,SPPR!$A:$A,0),1),""),"")</f>
        <v/>
      </c>
      <c r="E157">
        <f>IFERROR(IF(ISNUMBER(INDEX(SPPR!$E:$X,MATCH($A157,SPPR!$A:$A,0),2)),$C157*INDEX(SPPR!$E:$X,MATCH($A157,SPPR!$A:$A,0),2),""),"")</f>
        <v/>
      </c>
      <c r="F157">
        <f>IFERROR(IF(ISNUMBER(INDEX(SPPR!$E:$X,MATCH($A157,SPPR!$A:$A,0),3)),$C157*INDEX(SPPR!$E:$X,MATCH($A157,SPPR!$A:$A,0),3),""),"")</f>
        <v/>
      </c>
      <c r="G157">
        <f>IFERROR(IF(ISNUMBER(INDEX(SPPR!$E:$X,MATCH($A157,SPPR!$A:$A,0),4)),$C157*INDEX(SPPR!$E:$X,MATCH($A157,SPPR!$A:$A,0),4),""),"")</f>
        <v/>
      </c>
      <c r="H157">
        <f>IFERROR(IF(ISNUMBER(INDEX(SPPR!$E:$X,MATCH($A157,SPPR!$A:$A,0),5)),$C157*INDEX(SPPR!$E:$X,MATCH($A157,SPPR!$A:$A,0),5),""),"")</f>
        <v/>
      </c>
      <c r="I157">
        <f>IFERROR(IF(ISNUMBER(INDEX(SPPR!$E:$X,MATCH($A157,SPPR!$A:$A,0),6)),$C157*INDEX(SPPR!$E:$X,MATCH($A157,SPPR!$A:$A,0),6),""),"")</f>
        <v/>
      </c>
      <c r="J157">
        <f>IFERROR(IF(ISNUMBER(INDEX(SPPR!$E:$X,MATCH($A157,SPPR!$A:$A,0),7)),$C157*INDEX(SPPR!$E:$X,MATCH($A157,SPPR!$A:$A,0),7),""),"")</f>
        <v/>
      </c>
      <c r="K157">
        <f>IFERROR(IF(ISNUMBER(INDEX(SPPR!$E:$X,MATCH($A157,SPPR!$A:$A,0),8)),$C157*INDEX(SPPR!$E:$X,MATCH($A157,SPPR!$A:$A,0),8),""),"")</f>
        <v/>
      </c>
      <c r="L157">
        <f>IFERROR(IF(ISNUMBER(INDEX(SPPR!$E:$X,MATCH($A157,SPPR!$A:$A,0),9)),$C157*INDEX(SPPR!$E:$X,MATCH($A157,SPPR!$A:$A,0),9),""),"")</f>
        <v/>
      </c>
      <c r="M157">
        <f>IFERROR(IF(ISNUMBER(INDEX(SPPR!$E:$X,MATCH($A157,SPPR!$A:$A,0),10)),$C157*INDEX(SPPR!$E:$X,MATCH($A157,SPPR!$A:$A,0),10),""),"")</f>
        <v/>
      </c>
      <c r="N157">
        <f>IFERROR(IF(ISNUMBER(INDEX(SPPR!$E:$X,MATCH($A157,SPPR!$A:$A,0),11)),$C157*INDEX(SPPR!$E:$X,MATCH($A157,SPPR!$A:$A,0),11),""),"")</f>
        <v/>
      </c>
      <c r="O157">
        <f>IFERROR(IF(ISNUMBER(INDEX(SPPR!$E:$X,MATCH($A157,SPPR!$A:$A,0),12)),$C157*INDEX(SPPR!$E:$X,MATCH($A157,SPPR!$A:$A,0),12),""),"")</f>
        <v/>
      </c>
      <c r="P157">
        <f>IFERROR(IF(ISNUMBER(INDEX(SPPR!$E:$X,MATCH($A157,SPPR!$A:$A,0),13)),$C157*INDEX(SPPR!$E:$X,MATCH($A157,SPPR!$A:$A,0),13),""),"")</f>
        <v/>
      </c>
      <c r="Q157">
        <f>IFERROR(IF(ISNUMBER(INDEX(SPPR!$E:$X,MATCH($A157,SPPR!$A:$A,0),14)),$C157*INDEX(SPPR!$E:$X,MATCH($A157,SPPR!$A:$A,0),14),""),"")</f>
        <v/>
      </c>
      <c r="R157">
        <f>IFERROR(IF(ISNUMBER(INDEX(SPPR!$E:$X,MATCH($A157,SPPR!$A:$A,0),15)),$C157*INDEX(SPPR!$E:$X,MATCH($A157,SPPR!$A:$A,0),15),""),"")</f>
        <v/>
      </c>
      <c r="S157">
        <f>IFERROR(IF(ISNUMBER(INDEX(SPPR!$E:$X,MATCH($A157,SPPR!$A:$A,0),16)),$C157*INDEX(SPPR!$E:$X,MATCH($A157,SPPR!$A:$A,0),16),""),"")</f>
        <v/>
      </c>
      <c r="T157">
        <f>IFERROR(IF(ISNUMBER(INDEX(SPPR!$E:$X,MATCH($A157,SPPR!$A:$A,0),17)),$C157*INDEX(SPPR!$E:$X,MATCH($A157,SPPR!$A:$A,0),17),""),"")</f>
        <v/>
      </c>
      <c r="U157">
        <f>IFERROR(IF(ISNUMBER(INDEX(SPPR!$E:$X,MATCH($A157,SPPR!$A:$A,0),18)),$C157*INDEX(SPPR!$E:$X,MATCH($A157,SPPR!$A:$A,0),18),""),"")</f>
        <v/>
      </c>
      <c r="V157">
        <f>IFERROR(IF(ISNUMBER(INDEX(SPPR!$E:$X,MATCH($A157,SPPR!$A:$A,0),19)),$C157*INDEX(SPPR!$E:$X,MATCH($A157,SPPR!$A:$A,0),19),""),"")</f>
        <v/>
      </c>
      <c r="W157">
        <f>IFERROR(IF(ISNUMBER(INDEX(SPPR!$E:$X,MATCH($A157,SPPR!$A:$A,0),20)),$C157*INDEX(SPPR!$E:$X,MATCH($A157,SPPR!$A:$A,0),20),""),"")</f>
        <v/>
      </c>
    </row>
    <row r="158">
      <c r="A158" t="inlineStr">
        <is>
          <t>Decapterus russelli</t>
        </is>
      </c>
      <c r="B158">
        <f>IFERROR(INDEX(SPPR!$D:$D,MATCH($A158,SPPR!$A:$A,0)),"")</f>
        <v/>
      </c>
      <c r="C158">
        <f>IFERROR(INDEX(Catch!$E:$BV,MATCH($A158,Catch!$A:$A,0),MATCH($B$4,Catch!$E$1:$BV$1,0)),0)</f>
        <v/>
      </c>
      <c r="D158">
        <f>IFERROR(IF(ISNUMBER(INDEX(SPPR!$E:$X,MATCH($A158,SPPR!$A:$A,0),1)),$C158*INDEX(SPPR!$E:$X,MATCH($A158,SPPR!$A:$A,0),1),""),"")</f>
        <v/>
      </c>
      <c r="E158">
        <f>IFERROR(IF(ISNUMBER(INDEX(SPPR!$E:$X,MATCH($A158,SPPR!$A:$A,0),2)),$C158*INDEX(SPPR!$E:$X,MATCH($A158,SPPR!$A:$A,0),2),""),"")</f>
        <v/>
      </c>
      <c r="F158">
        <f>IFERROR(IF(ISNUMBER(INDEX(SPPR!$E:$X,MATCH($A158,SPPR!$A:$A,0),3)),$C158*INDEX(SPPR!$E:$X,MATCH($A158,SPPR!$A:$A,0),3),""),"")</f>
        <v/>
      </c>
      <c r="G158">
        <f>IFERROR(IF(ISNUMBER(INDEX(SPPR!$E:$X,MATCH($A158,SPPR!$A:$A,0),4)),$C158*INDEX(SPPR!$E:$X,MATCH($A158,SPPR!$A:$A,0),4),""),"")</f>
        <v/>
      </c>
      <c r="H158">
        <f>IFERROR(IF(ISNUMBER(INDEX(SPPR!$E:$X,MATCH($A158,SPPR!$A:$A,0),5)),$C158*INDEX(SPPR!$E:$X,MATCH($A158,SPPR!$A:$A,0),5),""),"")</f>
        <v/>
      </c>
      <c r="I158">
        <f>IFERROR(IF(ISNUMBER(INDEX(SPPR!$E:$X,MATCH($A158,SPPR!$A:$A,0),6)),$C158*INDEX(SPPR!$E:$X,MATCH($A158,SPPR!$A:$A,0),6),""),"")</f>
        <v/>
      </c>
      <c r="J158">
        <f>IFERROR(IF(ISNUMBER(INDEX(SPPR!$E:$X,MATCH($A158,SPPR!$A:$A,0),7)),$C158*INDEX(SPPR!$E:$X,MATCH($A158,SPPR!$A:$A,0),7),""),"")</f>
        <v/>
      </c>
      <c r="K158">
        <f>IFERROR(IF(ISNUMBER(INDEX(SPPR!$E:$X,MATCH($A158,SPPR!$A:$A,0),8)),$C158*INDEX(SPPR!$E:$X,MATCH($A158,SPPR!$A:$A,0),8),""),"")</f>
        <v/>
      </c>
      <c r="L158">
        <f>IFERROR(IF(ISNUMBER(INDEX(SPPR!$E:$X,MATCH($A158,SPPR!$A:$A,0),9)),$C158*INDEX(SPPR!$E:$X,MATCH($A158,SPPR!$A:$A,0),9),""),"")</f>
        <v/>
      </c>
      <c r="M158">
        <f>IFERROR(IF(ISNUMBER(INDEX(SPPR!$E:$X,MATCH($A158,SPPR!$A:$A,0),10)),$C158*INDEX(SPPR!$E:$X,MATCH($A158,SPPR!$A:$A,0),10),""),"")</f>
        <v/>
      </c>
      <c r="N158">
        <f>IFERROR(IF(ISNUMBER(INDEX(SPPR!$E:$X,MATCH($A158,SPPR!$A:$A,0),11)),$C158*INDEX(SPPR!$E:$X,MATCH($A158,SPPR!$A:$A,0),11),""),"")</f>
        <v/>
      </c>
      <c r="O158">
        <f>IFERROR(IF(ISNUMBER(INDEX(SPPR!$E:$X,MATCH($A158,SPPR!$A:$A,0),12)),$C158*INDEX(SPPR!$E:$X,MATCH($A158,SPPR!$A:$A,0),12),""),"")</f>
        <v/>
      </c>
      <c r="P158">
        <f>IFERROR(IF(ISNUMBER(INDEX(SPPR!$E:$X,MATCH($A158,SPPR!$A:$A,0),13)),$C158*INDEX(SPPR!$E:$X,MATCH($A158,SPPR!$A:$A,0),13),""),"")</f>
        <v/>
      </c>
      <c r="Q158">
        <f>IFERROR(IF(ISNUMBER(INDEX(SPPR!$E:$X,MATCH($A158,SPPR!$A:$A,0),14)),$C158*INDEX(SPPR!$E:$X,MATCH($A158,SPPR!$A:$A,0),14),""),"")</f>
        <v/>
      </c>
      <c r="R158">
        <f>IFERROR(IF(ISNUMBER(INDEX(SPPR!$E:$X,MATCH($A158,SPPR!$A:$A,0),15)),$C158*INDEX(SPPR!$E:$X,MATCH($A158,SPPR!$A:$A,0),15),""),"")</f>
        <v/>
      </c>
      <c r="S158">
        <f>IFERROR(IF(ISNUMBER(INDEX(SPPR!$E:$X,MATCH($A158,SPPR!$A:$A,0),16)),$C158*INDEX(SPPR!$E:$X,MATCH($A158,SPPR!$A:$A,0),16),""),"")</f>
        <v/>
      </c>
      <c r="T158">
        <f>IFERROR(IF(ISNUMBER(INDEX(SPPR!$E:$X,MATCH($A158,SPPR!$A:$A,0),17)),$C158*INDEX(SPPR!$E:$X,MATCH($A158,SPPR!$A:$A,0),17),""),"")</f>
        <v/>
      </c>
      <c r="U158">
        <f>IFERROR(IF(ISNUMBER(INDEX(SPPR!$E:$X,MATCH($A158,SPPR!$A:$A,0),18)),$C158*INDEX(SPPR!$E:$X,MATCH($A158,SPPR!$A:$A,0),18),""),"")</f>
        <v/>
      </c>
      <c r="V158">
        <f>IFERROR(IF(ISNUMBER(INDEX(SPPR!$E:$X,MATCH($A158,SPPR!$A:$A,0),19)),$C158*INDEX(SPPR!$E:$X,MATCH($A158,SPPR!$A:$A,0),19),""),"")</f>
        <v/>
      </c>
      <c r="W158">
        <f>IFERROR(IF(ISNUMBER(INDEX(SPPR!$E:$X,MATCH($A158,SPPR!$A:$A,0),20)),$C158*INDEX(SPPR!$E:$X,MATCH($A158,SPPR!$A:$A,0),20),""),"")</f>
        <v/>
      </c>
    </row>
    <row r="159">
      <c r="A159" t="inlineStr">
        <is>
          <t>Lethrinidae</t>
        </is>
      </c>
      <c r="B159">
        <f>IFERROR(INDEX(SPPR!$D:$D,MATCH($A159,SPPR!$A:$A,0)),"")</f>
        <v/>
      </c>
      <c r="C159">
        <f>IFERROR(INDEX(Catch!$E:$BV,MATCH($A159,Catch!$A:$A,0),MATCH($B$4,Catch!$E$1:$BV$1,0)),0)</f>
        <v/>
      </c>
      <c r="D159">
        <f>IFERROR(IF(ISNUMBER(INDEX(SPPR!$E:$X,MATCH($A159,SPPR!$A:$A,0),1)),$C159*INDEX(SPPR!$E:$X,MATCH($A159,SPPR!$A:$A,0),1),""),"")</f>
        <v/>
      </c>
      <c r="E159">
        <f>IFERROR(IF(ISNUMBER(INDEX(SPPR!$E:$X,MATCH($A159,SPPR!$A:$A,0),2)),$C159*INDEX(SPPR!$E:$X,MATCH($A159,SPPR!$A:$A,0),2),""),"")</f>
        <v/>
      </c>
      <c r="F159">
        <f>IFERROR(IF(ISNUMBER(INDEX(SPPR!$E:$X,MATCH($A159,SPPR!$A:$A,0),3)),$C159*INDEX(SPPR!$E:$X,MATCH($A159,SPPR!$A:$A,0),3),""),"")</f>
        <v/>
      </c>
      <c r="G159">
        <f>IFERROR(IF(ISNUMBER(INDEX(SPPR!$E:$X,MATCH($A159,SPPR!$A:$A,0),4)),$C159*INDEX(SPPR!$E:$X,MATCH($A159,SPPR!$A:$A,0),4),""),"")</f>
        <v/>
      </c>
      <c r="H159">
        <f>IFERROR(IF(ISNUMBER(INDEX(SPPR!$E:$X,MATCH($A159,SPPR!$A:$A,0),5)),$C159*INDEX(SPPR!$E:$X,MATCH($A159,SPPR!$A:$A,0),5),""),"")</f>
        <v/>
      </c>
      <c r="I159">
        <f>IFERROR(IF(ISNUMBER(INDEX(SPPR!$E:$X,MATCH($A159,SPPR!$A:$A,0),6)),$C159*INDEX(SPPR!$E:$X,MATCH($A159,SPPR!$A:$A,0),6),""),"")</f>
        <v/>
      </c>
      <c r="J159">
        <f>IFERROR(IF(ISNUMBER(INDEX(SPPR!$E:$X,MATCH($A159,SPPR!$A:$A,0),7)),$C159*INDEX(SPPR!$E:$X,MATCH($A159,SPPR!$A:$A,0),7),""),"")</f>
        <v/>
      </c>
      <c r="K159">
        <f>IFERROR(IF(ISNUMBER(INDEX(SPPR!$E:$X,MATCH($A159,SPPR!$A:$A,0),8)),$C159*INDEX(SPPR!$E:$X,MATCH($A159,SPPR!$A:$A,0),8),""),"")</f>
        <v/>
      </c>
      <c r="L159">
        <f>IFERROR(IF(ISNUMBER(INDEX(SPPR!$E:$X,MATCH($A159,SPPR!$A:$A,0),9)),$C159*INDEX(SPPR!$E:$X,MATCH($A159,SPPR!$A:$A,0),9),""),"")</f>
        <v/>
      </c>
      <c r="M159">
        <f>IFERROR(IF(ISNUMBER(INDEX(SPPR!$E:$X,MATCH($A159,SPPR!$A:$A,0),10)),$C159*INDEX(SPPR!$E:$X,MATCH($A159,SPPR!$A:$A,0),10),""),"")</f>
        <v/>
      </c>
      <c r="N159">
        <f>IFERROR(IF(ISNUMBER(INDEX(SPPR!$E:$X,MATCH($A159,SPPR!$A:$A,0),11)),$C159*INDEX(SPPR!$E:$X,MATCH($A159,SPPR!$A:$A,0),11),""),"")</f>
        <v/>
      </c>
      <c r="O159">
        <f>IFERROR(IF(ISNUMBER(INDEX(SPPR!$E:$X,MATCH($A159,SPPR!$A:$A,0),12)),$C159*INDEX(SPPR!$E:$X,MATCH($A159,SPPR!$A:$A,0),12),""),"")</f>
        <v/>
      </c>
      <c r="P159">
        <f>IFERROR(IF(ISNUMBER(INDEX(SPPR!$E:$X,MATCH($A159,SPPR!$A:$A,0),13)),$C159*INDEX(SPPR!$E:$X,MATCH($A159,SPPR!$A:$A,0),13),""),"")</f>
        <v/>
      </c>
      <c r="Q159">
        <f>IFERROR(IF(ISNUMBER(INDEX(SPPR!$E:$X,MATCH($A159,SPPR!$A:$A,0),14)),$C159*INDEX(SPPR!$E:$X,MATCH($A159,SPPR!$A:$A,0),14),""),"")</f>
        <v/>
      </c>
      <c r="R159">
        <f>IFERROR(IF(ISNUMBER(INDEX(SPPR!$E:$X,MATCH($A159,SPPR!$A:$A,0),15)),$C159*INDEX(SPPR!$E:$X,MATCH($A159,SPPR!$A:$A,0),15),""),"")</f>
        <v/>
      </c>
      <c r="S159">
        <f>IFERROR(IF(ISNUMBER(INDEX(SPPR!$E:$X,MATCH($A159,SPPR!$A:$A,0),16)),$C159*INDEX(SPPR!$E:$X,MATCH($A159,SPPR!$A:$A,0),16),""),"")</f>
        <v/>
      </c>
      <c r="T159">
        <f>IFERROR(IF(ISNUMBER(INDEX(SPPR!$E:$X,MATCH($A159,SPPR!$A:$A,0),17)),$C159*INDEX(SPPR!$E:$X,MATCH($A159,SPPR!$A:$A,0),17),""),"")</f>
        <v/>
      </c>
      <c r="U159">
        <f>IFERROR(IF(ISNUMBER(INDEX(SPPR!$E:$X,MATCH($A159,SPPR!$A:$A,0),18)),$C159*INDEX(SPPR!$E:$X,MATCH($A159,SPPR!$A:$A,0),18),""),"")</f>
        <v/>
      </c>
      <c r="V159">
        <f>IFERROR(IF(ISNUMBER(INDEX(SPPR!$E:$X,MATCH($A159,SPPR!$A:$A,0),19)),$C159*INDEX(SPPR!$E:$X,MATCH($A159,SPPR!$A:$A,0),19),""),"")</f>
        <v/>
      </c>
      <c r="W159">
        <f>IFERROR(IF(ISNUMBER(INDEX(SPPR!$E:$X,MATCH($A159,SPPR!$A:$A,0),20)),$C159*INDEX(SPPR!$E:$X,MATCH($A159,SPPR!$A:$A,0),20),""),"")</f>
        <v/>
      </c>
    </row>
    <row r="160">
      <c r="A160" t="inlineStr">
        <is>
          <t>Scomberoides</t>
        </is>
      </c>
      <c r="B160">
        <f>IFERROR(INDEX(SPPR!$D:$D,MATCH($A160,SPPR!$A:$A,0)),"")</f>
        <v/>
      </c>
      <c r="C160">
        <f>IFERROR(INDEX(Catch!$E:$BV,MATCH($A160,Catch!$A:$A,0),MATCH($B$4,Catch!$E$1:$BV$1,0)),0)</f>
        <v/>
      </c>
      <c r="D160">
        <f>IFERROR(IF(ISNUMBER(INDEX(SPPR!$E:$X,MATCH($A160,SPPR!$A:$A,0),1)),$C160*INDEX(SPPR!$E:$X,MATCH($A160,SPPR!$A:$A,0),1),""),"")</f>
        <v/>
      </c>
      <c r="E160">
        <f>IFERROR(IF(ISNUMBER(INDEX(SPPR!$E:$X,MATCH($A160,SPPR!$A:$A,0),2)),$C160*INDEX(SPPR!$E:$X,MATCH($A160,SPPR!$A:$A,0),2),""),"")</f>
        <v/>
      </c>
      <c r="F160">
        <f>IFERROR(IF(ISNUMBER(INDEX(SPPR!$E:$X,MATCH($A160,SPPR!$A:$A,0),3)),$C160*INDEX(SPPR!$E:$X,MATCH($A160,SPPR!$A:$A,0),3),""),"")</f>
        <v/>
      </c>
      <c r="G160">
        <f>IFERROR(IF(ISNUMBER(INDEX(SPPR!$E:$X,MATCH($A160,SPPR!$A:$A,0),4)),$C160*INDEX(SPPR!$E:$X,MATCH($A160,SPPR!$A:$A,0),4),""),"")</f>
        <v/>
      </c>
      <c r="H160">
        <f>IFERROR(IF(ISNUMBER(INDEX(SPPR!$E:$X,MATCH($A160,SPPR!$A:$A,0),5)),$C160*INDEX(SPPR!$E:$X,MATCH($A160,SPPR!$A:$A,0),5),""),"")</f>
        <v/>
      </c>
      <c r="I160">
        <f>IFERROR(IF(ISNUMBER(INDEX(SPPR!$E:$X,MATCH($A160,SPPR!$A:$A,0),6)),$C160*INDEX(SPPR!$E:$X,MATCH($A160,SPPR!$A:$A,0),6),""),"")</f>
        <v/>
      </c>
      <c r="J160">
        <f>IFERROR(IF(ISNUMBER(INDEX(SPPR!$E:$X,MATCH($A160,SPPR!$A:$A,0),7)),$C160*INDEX(SPPR!$E:$X,MATCH($A160,SPPR!$A:$A,0),7),""),"")</f>
        <v/>
      </c>
      <c r="K160">
        <f>IFERROR(IF(ISNUMBER(INDEX(SPPR!$E:$X,MATCH($A160,SPPR!$A:$A,0),8)),$C160*INDEX(SPPR!$E:$X,MATCH($A160,SPPR!$A:$A,0),8),""),"")</f>
        <v/>
      </c>
      <c r="L160">
        <f>IFERROR(IF(ISNUMBER(INDEX(SPPR!$E:$X,MATCH($A160,SPPR!$A:$A,0),9)),$C160*INDEX(SPPR!$E:$X,MATCH($A160,SPPR!$A:$A,0),9),""),"")</f>
        <v/>
      </c>
      <c r="M160">
        <f>IFERROR(IF(ISNUMBER(INDEX(SPPR!$E:$X,MATCH($A160,SPPR!$A:$A,0),10)),$C160*INDEX(SPPR!$E:$X,MATCH($A160,SPPR!$A:$A,0),10),""),"")</f>
        <v/>
      </c>
      <c r="N160">
        <f>IFERROR(IF(ISNUMBER(INDEX(SPPR!$E:$X,MATCH($A160,SPPR!$A:$A,0),11)),$C160*INDEX(SPPR!$E:$X,MATCH($A160,SPPR!$A:$A,0),11),""),"")</f>
        <v/>
      </c>
      <c r="O160">
        <f>IFERROR(IF(ISNUMBER(INDEX(SPPR!$E:$X,MATCH($A160,SPPR!$A:$A,0),12)),$C160*INDEX(SPPR!$E:$X,MATCH($A160,SPPR!$A:$A,0),12),""),"")</f>
        <v/>
      </c>
      <c r="P160">
        <f>IFERROR(IF(ISNUMBER(INDEX(SPPR!$E:$X,MATCH($A160,SPPR!$A:$A,0),13)),$C160*INDEX(SPPR!$E:$X,MATCH($A160,SPPR!$A:$A,0),13),""),"")</f>
        <v/>
      </c>
      <c r="Q160">
        <f>IFERROR(IF(ISNUMBER(INDEX(SPPR!$E:$X,MATCH($A160,SPPR!$A:$A,0),14)),$C160*INDEX(SPPR!$E:$X,MATCH($A160,SPPR!$A:$A,0),14),""),"")</f>
        <v/>
      </c>
      <c r="R160">
        <f>IFERROR(IF(ISNUMBER(INDEX(SPPR!$E:$X,MATCH($A160,SPPR!$A:$A,0),15)),$C160*INDEX(SPPR!$E:$X,MATCH($A160,SPPR!$A:$A,0),15),""),"")</f>
        <v/>
      </c>
      <c r="S160">
        <f>IFERROR(IF(ISNUMBER(INDEX(SPPR!$E:$X,MATCH($A160,SPPR!$A:$A,0),16)),$C160*INDEX(SPPR!$E:$X,MATCH($A160,SPPR!$A:$A,0),16),""),"")</f>
        <v/>
      </c>
      <c r="T160">
        <f>IFERROR(IF(ISNUMBER(INDEX(SPPR!$E:$X,MATCH($A160,SPPR!$A:$A,0),17)),$C160*INDEX(SPPR!$E:$X,MATCH($A160,SPPR!$A:$A,0),17),""),"")</f>
        <v/>
      </c>
      <c r="U160">
        <f>IFERROR(IF(ISNUMBER(INDEX(SPPR!$E:$X,MATCH($A160,SPPR!$A:$A,0),18)),$C160*INDEX(SPPR!$E:$X,MATCH($A160,SPPR!$A:$A,0),18),""),"")</f>
        <v/>
      </c>
      <c r="V160">
        <f>IFERROR(IF(ISNUMBER(INDEX(SPPR!$E:$X,MATCH($A160,SPPR!$A:$A,0),19)),$C160*INDEX(SPPR!$E:$X,MATCH($A160,SPPR!$A:$A,0),19),""),"")</f>
        <v/>
      </c>
      <c r="W160">
        <f>IFERROR(IF(ISNUMBER(INDEX(SPPR!$E:$X,MATCH($A160,SPPR!$A:$A,0),20)),$C160*INDEX(SPPR!$E:$X,MATCH($A160,SPPR!$A:$A,0),20),""),"")</f>
        <v/>
      </c>
    </row>
    <row r="161">
      <c r="A161" t="inlineStr">
        <is>
          <t>Caranx</t>
        </is>
      </c>
      <c r="B161">
        <f>IFERROR(INDEX(SPPR!$D:$D,MATCH($A161,SPPR!$A:$A,0)),"")</f>
        <v/>
      </c>
      <c r="C161">
        <f>IFERROR(INDEX(Catch!$E:$BV,MATCH($A161,Catch!$A:$A,0),MATCH($B$4,Catch!$E$1:$BV$1,0)),0)</f>
        <v/>
      </c>
      <c r="D161">
        <f>IFERROR(IF(ISNUMBER(INDEX(SPPR!$E:$X,MATCH($A161,SPPR!$A:$A,0),1)),$C161*INDEX(SPPR!$E:$X,MATCH($A161,SPPR!$A:$A,0),1),""),"")</f>
        <v/>
      </c>
      <c r="E161">
        <f>IFERROR(IF(ISNUMBER(INDEX(SPPR!$E:$X,MATCH($A161,SPPR!$A:$A,0),2)),$C161*INDEX(SPPR!$E:$X,MATCH($A161,SPPR!$A:$A,0),2),""),"")</f>
        <v/>
      </c>
      <c r="F161">
        <f>IFERROR(IF(ISNUMBER(INDEX(SPPR!$E:$X,MATCH($A161,SPPR!$A:$A,0),3)),$C161*INDEX(SPPR!$E:$X,MATCH($A161,SPPR!$A:$A,0),3),""),"")</f>
        <v/>
      </c>
      <c r="G161">
        <f>IFERROR(IF(ISNUMBER(INDEX(SPPR!$E:$X,MATCH($A161,SPPR!$A:$A,0),4)),$C161*INDEX(SPPR!$E:$X,MATCH($A161,SPPR!$A:$A,0),4),""),"")</f>
        <v/>
      </c>
      <c r="H161">
        <f>IFERROR(IF(ISNUMBER(INDEX(SPPR!$E:$X,MATCH($A161,SPPR!$A:$A,0),5)),$C161*INDEX(SPPR!$E:$X,MATCH($A161,SPPR!$A:$A,0),5),""),"")</f>
        <v/>
      </c>
      <c r="I161">
        <f>IFERROR(IF(ISNUMBER(INDEX(SPPR!$E:$X,MATCH($A161,SPPR!$A:$A,0),6)),$C161*INDEX(SPPR!$E:$X,MATCH($A161,SPPR!$A:$A,0),6),""),"")</f>
        <v/>
      </c>
      <c r="J161">
        <f>IFERROR(IF(ISNUMBER(INDEX(SPPR!$E:$X,MATCH($A161,SPPR!$A:$A,0),7)),$C161*INDEX(SPPR!$E:$X,MATCH($A161,SPPR!$A:$A,0),7),""),"")</f>
        <v/>
      </c>
      <c r="K161">
        <f>IFERROR(IF(ISNUMBER(INDEX(SPPR!$E:$X,MATCH($A161,SPPR!$A:$A,0),8)),$C161*INDEX(SPPR!$E:$X,MATCH($A161,SPPR!$A:$A,0),8),""),"")</f>
        <v/>
      </c>
      <c r="L161">
        <f>IFERROR(IF(ISNUMBER(INDEX(SPPR!$E:$X,MATCH($A161,SPPR!$A:$A,0),9)),$C161*INDEX(SPPR!$E:$X,MATCH($A161,SPPR!$A:$A,0),9),""),"")</f>
        <v/>
      </c>
      <c r="M161">
        <f>IFERROR(IF(ISNUMBER(INDEX(SPPR!$E:$X,MATCH($A161,SPPR!$A:$A,0),10)),$C161*INDEX(SPPR!$E:$X,MATCH($A161,SPPR!$A:$A,0),10),""),"")</f>
        <v/>
      </c>
      <c r="N161">
        <f>IFERROR(IF(ISNUMBER(INDEX(SPPR!$E:$X,MATCH($A161,SPPR!$A:$A,0),11)),$C161*INDEX(SPPR!$E:$X,MATCH($A161,SPPR!$A:$A,0),11),""),"")</f>
        <v/>
      </c>
      <c r="O161">
        <f>IFERROR(IF(ISNUMBER(INDEX(SPPR!$E:$X,MATCH($A161,SPPR!$A:$A,0),12)),$C161*INDEX(SPPR!$E:$X,MATCH($A161,SPPR!$A:$A,0),12),""),"")</f>
        <v/>
      </c>
      <c r="P161">
        <f>IFERROR(IF(ISNUMBER(INDEX(SPPR!$E:$X,MATCH($A161,SPPR!$A:$A,0),13)),$C161*INDEX(SPPR!$E:$X,MATCH($A161,SPPR!$A:$A,0),13),""),"")</f>
        <v/>
      </c>
      <c r="Q161">
        <f>IFERROR(IF(ISNUMBER(INDEX(SPPR!$E:$X,MATCH($A161,SPPR!$A:$A,0),14)),$C161*INDEX(SPPR!$E:$X,MATCH($A161,SPPR!$A:$A,0),14),""),"")</f>
        <v/>
      </c>
      <c r="R161">
        <f>IFERROR(IF(ISNUMBER(INDEX(SPPR!$E:$X,MATCH($A161,SPPR!$A:$A,0),15)),$C161*INDEX(SPPR!$E:$X,MATCH($A161,SPPR!$A:$A,0),15),""),"")</f>
        <v/>
      </c>
      <c r="S161">
        <f>IFERROR(IF(ISNUMBER(INDEX(SPPR!$E:$X,MATCH($A161,SPPR!$A:$A,0),16)),$C161*INDEX(SPPR!$E:$X,MATCH($A161,SPPR!$A:$A,0),16),""),"")</f>
        <v/>
      </c>
      <c r="T161">
        <f>IFERROR(IF(ISNUMBER(INDEX(SPPR!$E:$X,MATCH($A161,SPPR!$A:$A,0),17)),$C161*INDEX(SPPR!$E:$X,MATCH($A161,SPPR!$A:$A,0),17),""),"")</f>
        <v/>
      </c>
      <c r="U161">
        <f>IFERROR(IF(ISNUMBER(INDEX(SPPR!$E:$X,MATCH($A161,SPPR!$A:$A,0),18)),$C161*INDEX(SPPR!$E:$X,MATCH($A161,SPPR!$A:$A,0),18),""),"")</f>
        <v/>
      </c>
      <c r="V161">
        <f>IFERROR(IF(ISNUMBER(INDEX(SPPR!$E:$X,MATCH($A161,SPPR!$A:$A,0),19)),$C161*INDEX(SPPR!$E:$X,MATCH($A161,SPPR!$A:$A,0),19),""),"")</f>
        <v/>
      </c>
      <c r="W161">
        <f>IFERROR(IF(ISNUMBER(INDEX(SPPR!$E:$X,MATCH($A161,SPPR!$A:$A,0),20)),$C161*INDEX(SPPR!$E:$X,MATCH($A161,SPPR!$A:$A,0),20),""),"")</f>
        <v/>
      </c>
    </row>
    <row r="162">
      <c r="A162" t="inlineStr">
        <is>
          <t>Muraenesox</t>
        </is>
      </c>
      <c r="B162">
        <f>IFERROR(INDEX(SPPR!$D:$D,MATCH($A162,SPPR!$A:$A,0)),"")</f>
        <v/>
      </c>
      <c r="C162">
        <f>IFERROR(INDEX(Catch!$E:$BV,MATCH($A162,Catch!$A:$A,0),MATCH($B$4,Catch!$E$1:$BV$1,0)),0)</f>
        <v/>
      </c>
      <c r="D162">
        <f>IFERROR(IF(ISNUMBER(INDEX(SPPR!$E:$X,MATCH($A162,SPPR!$A:$A,0),1)),$C162*INDEX(SPPR!$E:$X,MATCH($A162,SPPR!$A:$A,0),1),""),"")</f>
        <v/>
      </c>
      <c r="E162">
        <f>IFERROR(IF(ISNUMBER(INDEX(SPPR!$E:$X,MATCH($A162,SPPR!$A:$A,0),2)),$C162*INDEX(SPPR!$E:$X,MATCH($A162,SPPR!$A:$A,0),2),""),"")</f>
        <v/>
      </c>
      <c r="F162">
        <f>IFERROR(IF(ISNUMBER(INDEX(SPPR!$E:$X,MATCH($A162,SPPR!$A:$A,0),3)),$C162*INDEX(SPPR!$E:$X,MATCH($A162,SPPR!$A:$A,0),3),""),"")</f>
        <v/>
      </c>
      <c r="G162">
        <f>IFERROR(IF(ISNUMBER(INDEX(SPPR!$E:$X,MATCH($A162,SPPR!$A:$A,0),4)),$C162*INDEX(SPPR!$E:$X,MATCH($A162,SPPR!$A:$A,0),4),""),"")</f>
        <v/>
      </c>
      <c r="H162">
        <f>IFERROR(IF(ISNUMBER(INDEX(SPPR!$E:$X,MATCH($A162,SPPR!$A:$A,0),5)),$C162*INDEX(SPPR!$E:$X,MATCH($A162,SPPR!$A:$A,0),5),""),"")</f>
        <v/>
      </c>
      <c r="I162">
        <f>IFERROR(IF(ISNUMBER(INDEX(SPPR!$E:$X,MATCH($A162,SPPR!$A:$A,0),6)),$C162*INDEX(SPPR!$E:$X,MATCH($A162,SPPR!$A:$A,0),6),""),"")</f>
        <v/>
      </c>
      <c r="J162">
        <f>IFERROR(IF(ISNUMBER(INDEX(SPPR!$E:$X,MATCH($A162,SPPR!$A:$A,0),7)),$C162*INDEX(SPPR!$E:$X,MATCH($A162,SPPR!$A:$A,0),7),""),"")</f>
        <v/>
      </c>
      <c r="K162">
        <f>IFERROR(IF(ISNUMBER(INDEX(SPPR!$E:$X,MATCH($A162,SPPR!$A:$A,0),8)),$C162*INDEX(SPPR!$E:$X,MATCH($A162,SPPR!$A:$A,0),8),""),"")</f>
        <v/>
      </c>
      <c r="L162">
        <f>IFERROR(IF(ISNUMBER(INDEX(SPPR!$E:$X,MATCH($A162,SPPR!$A:$A,0),9)),$C162*INDEX(SPPR!$E:$X,MATCH($A162,SPPR!$A:$A,0),9),""),"")</f>
        <v/>
      </c>
      <c r="M162">
        <f>IFERROR(IF(ISNUMBER(INDEX(SPPR!$E:$X,MATCH($A162,SPPR!$A:$A,0),10)),$C162*INDEX(SPPR!$E:$X,MATCH($A162,SPPR!$A:$A,0),10),""),"")</f>
        <v/>
      </c>
      <c r="N162">
        <f>IFERROR(IF(ISNUMBER(INDEX(SPPR!$E:$X,MATCH($A162,SPPR!$A:$A,0),11)),$C162*INDEX(SPPR!$E:$X,MATCH($A162,SPPR!$A:$A,0),11),""),"")</f>
        <v/>
      </c>
      <c r="O162">
        <f>IFERROR(IF(ISNUMBER(INDEX(SPPR!$E:$X,MATCH($A162,SPPR!$A:$A,0),12)),$C162*INDEX(SPPR!$E:$X,MATCH($A162,SPPR!$A:$A,0),12),""),"")</f>
        <v/>
      </c>
      <c r="P162">
        <f>IFERROR(IF(ISNUMBER(INDEX(SPPR!$E:$X,MATCH($A162,SPPR!$A:$A,0),13)),$C162*INDEX(SPPR!$E:$X,MATCH($A162,SPPR!$A:$A,0),13),""),"")</f>
        <v/>
      </c>
      <c r="Q162">
        <f>IFERROR(IF(ISNUMBER(INDEX(SPPR!$E:$X,MATCH($A162,SPPR!$A:$A,0),14)),$C162*INDEX(SPPR!$E:$X,MATCH($A162,SPPR!$A:$A,0),14),""),"")</f>
        <v/>
      </c>
      <c r="R162">
        <f>IFERROR(IF(ISNUMBER(INDEX(SPPR!$E:$X,MATCH($A162,SPPR!$A:$A,0),15)),$C162*INDEX(SPPR!$E:$X,MATCH($A162,SPPR!$A:$A,0),15),""),"")</f>
        <v/>
      </c>
      <c r="S162">
        <f>IFERROR(IF(ISNUMBER(INDEX(SPPR!$E:$X,MATCH($A162,SPPR!$A:$A,0),16)),$C162*INDEX(SPPR!$E:$X,MATCH($A162,SPPR!$A:$A,0),16),""),"")</f>
        <v/>
      </c>
      <c r="T162">
        <f>IFERROR(IF(ISNUMBER(INDEX(SPPR!$E:$X,MATCH($A162,SPPR!$A:$A,0),17)),$C162*INDEX(SPPR!$E:$X,MATCH($A162,SPPR!$A:$A,0),17),""),"")</f>
        <v/>
      </c>
      <c r="U162">
        <f>IFERROR(IF(ISNUMBER(INDEX(SPPR!$E:$X,MATCH($A162,SPPR!$A:$A,0),18)),$C162*INDEX(SPPR!$E:$X,MATCH($A162,SPPR!$A:$A,0),18),""),"")</f>
        <v/>
      </c>
      <c r="V162">
        <f>IFERROR(IF(ISNUMBER(INDEX(SPPR!$E:$X,MATCH($A162,SPPR!$A:$A,0),19)),$C162*INDEX(SPPR!$E:$X,MATCH($A162,SPPR!$A:$A,0),19),""),"")</f>
        <v/>
      </c>
      <c r="W162">
        <f>IFERROR(IF(ISNUMBER(INDEX(SPPR!$E:$X,MATCH($A162,SPPR!$A:$A,0),20)),$C162*INDEX(SPPR!$E:$X,MATCH($A162,SPPR!$A:$A,0),20),""),"")</f>
        <v/>
      </c>
    </row>
    <row r="163">
      <c r="A163" t="inlineStr">
        <is>
          <t>Cephalopholis boenak</t>
        </is>
      </c>
      <c r="B163">
        <f>IFERROR(INDEX(SPPR!$D:$D,MATCH($A163,SPPR!$A:$A,0)),"")</f>
        <v/>
      </c>
      <c r="C163">
        <f>IFERROR(INDEX(Catch!$E:$BV,MATCH($A163,Catch!$A:$A,0),MATCH($B$4,Catch!$E$1:$BV$1,0)),0)</f>
        <v/>
      </c>
      <c r="D163">
        <f>IFERROR(IF(ISNUMBER(INDEX(SPPR!$E:$X,MATCH($A163,SPPR!$A:$A,0),1)),$C163*INDEX(SPPR!$E:$X,MATCH($A163,SPPR!$A:$A,0),1),""),"")</f>
        <v/>
      </c>
      <c r="E163">
        <f>IFERROR(IF(ISNUMBER(INDEX(SPPR!$E:$X,MATCH($A163,SPPR!$A:$A,0),2)),$C163*INDEX(SPPR!$E:$X,MATCH($A163,SPPR!$A:$A,0),2),""),"")</f>
        <v/>
      </c>
      <c r="F163">
        <f>IFERROR(IF(ISNUMBER(INDEX(SPPR!$E:$X,MATCH($A163,SPPR!$A:$A,0),3)),$C163*INDEX(SPPR!$E:$X,MATCH($A163,SPPR!$A:$A,0),3),""),"")</f>
        <v/>
      </c>
      <c r="G163">
        <f>IFERROR(IF(ISNUMBER(INDEX(SPPR!$E:$X,MATCH($A163,SPPR!$A:$A,0),4)),$C163*INDEX(SPPR!$E:$X,MATCH($A163,SPPR!$A:$A,0),4),""),"")</f>
        <v/>
      </c>
      <c r="H163">
        <f>IFERROR(IF(ISNUMBER(INDEX(SPPR!$E:$X,MATCH($A163,SPPR!$A:$A,0),5)),$C163*INDEX(SPPR!$E:$X,MATCH($A163,SPPR!$A:$A,0),5),""),"")</f>
        <v/>
      </c>
      <c r="I163">
        <f>IFERROR(IF(ISNUMBER(INDEX(SPPR!$E:$X,MATCH($A163,SPPR!$A:$A,0),6)),$C163*INDEX(SPPR!$E:$X,MATCH($A163,SPPR!$A:$A,0),6),""),"")</f>
        <v/>
      </c>
      <c r="J163">
        <f>IFERROR(IF(ISNUMBER(INDEX(SPPR!$E:$X,MATCH($A163,SPPR!$A:$A,0),7)),$C163*INDEX(SPPR!$E:$X,MATCH($A163,SPPR!$A:$A,0),7),""),"")</f>
        <v/>
      </c>
      <c r="K163">
        <f>IFERROR(IF(ISNUMBER(INDEX(SPPR!$E:$X,MATCH($A163,SPPR!$A:$A,0),8)),$C163*INDEX(SPPR!$E:$X,MATCH($A163,SPPR!$A:$A,0),8),""),"")</f>
        <v/>
      </c>
      <c r="L163">
        <f>IFERROR(IF(ISNUMBER(INDEX(SPPR!$E:$X,MATCH($A163,SPPR!$A:$A,0),9)),$C163*INDEX(SPPR!$E:$X,MATCH($A163,SPPR!$A:$A,0),9),""),"")</f>
        <v/>
      </c>
      <c r="M163">
        <f>IFERROR(IF(ISNUMBER(INDEX(SPPR!$E:$X,MATCH($A163,SPPR!$A:$A,0),10)),$C163*INDEX(SPPR!$E:$X,MATCH($A163,SPPR!$A:$A,0),10),""),"")</f>
        <v/>
      </c>
      <c r="N163">
        <f>IFERROR(IF(ISNUMBER(INDEX(SPPR!$E:$X,MATCH($A163,SPPR!$A:$A,0),11)),$C163*INDEX(SPPR!$E:$X,MATCH($A163,SPPR!$A:$A,0),11),""),"")</f>
        <v/>
      </c>
      <c r="O163">
        <f>IFERROR(IF(ISNUMBER(INDEX(SPPR!$E:$X,MATCH($A163,SPPR!$A:$A,0),12)),$C163*INDEX(SPPR!$E:$X,MATCH($A163,SPPR!$A:$A,0),12),""),"")</f>
        <v/>
      </c>
      <c r="P163">
        <f>IFERROR(IF(ISNUMBER(INDEX(SPPR!$E:$X,MATCH($A163,SPPR!$A:$A,0),13)),$C163*INDEX(SPPR!$E:$X,MATCH($A163,SPPR!$A:$A,0),13),""),"")</f>
        <v/>
      </c>
      <c r="Q163">
        <f>IFERROR(IF(ISNUMBER(INDEX(SPPR!$E:$X,MATCH($A163,SPPR!$A:$A,0),14)),$C163*INDEX(SPPR!$E:$X,MATCH($A163,SPPR!$A:$A,0),14),""),"")</f>
        <v/>
      </c>
      <c r="R163">
        <f>IFERROR(IF(ISNUMBER(INDEX(SPPR!$E:$X,MATCH($A163,SPPR!$A:$A,0),15)),$C163*INDEX(SPPR!$E:$X,MATCH($A163,SPPR!$A:$A,0),15),""),"")</f>
        <v/>
      </c>
      <c r="S163">
        <f>IFERROR(IF(ISNUMBER(INDEX(SPPR!$E:$X,MATCH($A163,SPPR!$A:$A,0),16)),$C163*INDEX(SPPR!$E:$X,MATCH($A163,SPPR!$A:$A,0),16),""),"")</f>
        <v/>
      </c>
      <c r="T163">
        <f>IFERROR(IF(ISNUMBER(INDEX(SPPR!$E:$X,MATCH($A163,SPPR!$A:$A,0),17)),$C163*INDEX(SPPR!$E:$X,MATCH($A163,SPPR!$A:$A,0),17),""),"")</f>
        <v/>
      </c>
      <c r="U163">
        <f>IFERROR(IF(ISNUMBER(INDEX(SPPR!$E:$X,MATCH($A163,SPPR!$A:$A,0),18)),$C163*INDEX(SPPR!$E:$X,MATCH($A163,SPPR!$A:$A,0),18),""),"")</f>
        <v/>
      </c>
      <c r="V163">
        <f>IFERROR(IF(ISNUMBER(INDEX(SPPR!$E:$X,MATCH($A163,SPPR!$A:$A,0),19)),$C163*INDEX(SPPR!$E:$X,MATCH($A163,SPPR!$A:$A,0),19),""),"")</f>
        <v/>
      </c>
      <c r="W163">
        <f>IFERROR(IF(ISNUMBER(INDEX(SPPR!$E:$X,MATCH($A163,SPPR!$A:$A,0),20)),$C163*INDEX(SPPR!$E:$X,MATCH($A163,SPPR!$A:$A,0),20),""),"")</f>
        <v/>
      </c>
    </row>
    <row r="164">
      <c r="A164" t="inlineStr">
        <is>
          <t>Decapterus maruadsi</t>
        </is>
      </c>
      <c r="B164">
        <f>IFERROR(INDEX(SPPR!$D:$D,MATCH($A164,SPPR!$A:$A,0)),"")</f>
        <v/>
      </c>
      <c r="C164">
        <f>IFERROR(INDEX(Catch!$E:$BV,MATCH($A164,Catch!$A:$A,0),MATCH($B$4,Catch!$E$1:$BV$1,0)),0)</f>
        <v/>
      </c>
      <c r="D164">
        <f>IFERROR(IF(ISNUMBER(INDEX(SPPR!$E:$X,MATCH($A164,SPPR!$A:$A,0),1)),$C164*INDEX(SPPR!$E:$X,MATCH($A164,SPPR!$A:$A,0),1),""),"")</f>
        <v/>
      </c>
      <c r="E164">
        <f>IFERROR(IF(ISNUMBER(INDEX(SPPR!$E:$X,MATCH($A164,SPPR!$A:$A,0),2)),$C164*INDEX(SPPR!$E:$X,MATCH($A164,SPPR!$A:$A,0),2),""),"")</f>
        <v/>
      </c>
      <c r="F164">
        <f>IFERROR(IF(ISNUMBER(INDEX(SPPR!$E:$X,MATCH($A164,SPPR!$A:$A,0),3)),$C164*INDEX(SPPR!$E:$X,MATCH($A164,SPPR!$A:$A,0),3),""),"")</f>
        <v/>
      </c>
      <c r="G164">
        <f>IFERROR(IF(ISNUMBER(INDEX(SPPR!$E:$X,MATCH($A164,SPPR!$A:$A,0),4)),$C164*INDEX(SPPR!$E:$X,MATCH($A164,SPPR!$A:$A,0),4),""),"")</f>
        <v/>
      </c>
      <c r="H164">
        <f>IFERROR(IF(ISNUMBER(INDEX(SPPR!$E:$X,MATCH($A164,SPPR!$A:$A,0),5)),$C164*INDEX(SPPR!$E:$X,MATCH($A164,SPPR!$A:$A,0),5),""),"")</f>
        <v/>
      </c>
      <c r="I164">
        <f>IFERROR(IF(ISNUMBER(INDEX(SPPR!$E:$X,MATCH($A164,SPPR!$A:$A,0),6)),$C164*INDEX(SPPR!$E:$X,MATCH($A164,SPPR!$A:$A,0),6),""),"")</f>
        <v/>
      </c>
      <c r="J164">
        <f>IFERROR(IF(ISNUMBER(INDEX(SPPR!$E:$X,MATCH($A164,SPPR!$A:$A,0),7)),$C164*INDEX(SPPR!$E:$X,MATCH($A164,SPPR!$A:$A,0),7),""),"")</f>
        <v/>
      </c>
      <c r="K164">
        <f>IFERROR(IF(ISNUMBER(INDEX(SPPR!$E:$X,MATCH($A164,SPPR!$A:$A,0),8)),$C164*INDEX(SPPR!$E:$X,MATCH($A164,SPPR!$A:$A,0),8),""),"")</f>
        <v/>
      </c>
      <c r="L164">
        <f>IFERROR(IF(ISNUMBER(INDEX(SPPR!$E:$X,MATCH($A164,SPPR!$A:$A,0),9)),$C164*INDEX(SPPR!$E:$X,MATCH($A164,SPPR!$A:$A,0),9),""),"")</f>
        <v/>
      </c>
      <c r="M164">
        <f>IFERROR(IF(ISNUMBER(INDEX(SPPR!$E:$X,MATCH($A164,SPPR!$A:$A,0),10)),$C164*INDEX(SPPR!$E:$X,MATCH($A164,SPPR!$A:$A,0),10),""),"")</f>
        <v/>
      </c>
      <c r="N164">
        <f>IFERROR(IF(ISNUMBER(INDEX(SPPR!$E:$X,MATCH($A164,SPPR!$A:$A,0),11)),$C164*INDEX(SPPR!$E:$X,MATCH($A164,SPPR!$A:$A,0),11),""),"")</f>
        <v/>
      </c>
      <c r="O164">
        <f>IFERROR(IF(ISNUMBER(INDEX(SPPR!$E:$X,MATCH($A164,SPPR!$A:$A,0),12)),$C164*INDEX(SPPR!$E:$X,MATCH($A164,SPPR!$A:$A,0),12),""),"")</f>
        <v/>
      </c>
      <c r="P164">
        <f>IFERROR(IF(ISNUMBER(INDEX(SPPR!$E:$X,MATCH($A164,SPPR!$A:$A,0),13)),$C164*INDEX(SPPR!$E:$X,MATCH($A164,SPPR!$A:$A,0),13),""),"")</f>
        <v/>
      </c>
      <c r="Q164">
        <f>IFERROR(IF(ISNUMBER(INDEX(SPPR!$E:$X,MATCH($A164,SPPR!$A:$A,0),14)),$C164*INDEX(SPPR!$E:$X,MATCH($A164,SPPR!$A:$A,0),14),""),"")</f>
        <v/>
      </c>
      <c r="R164">
        <f>IFERROR(IF(ISNUMBER(INDEX(SPPR!$E:$X,MATCH($A164,SPPR!$A:$A,0),15)),$C164*INDEX(SPPR!$E:$X,MATCH($A164,SPPR!$A:$A,0),15),""),"")</f>
        <v/>
      </c>
      <c r="S164">
        <f>IFERROR(IF(ISNUMBER(INDEX(SPPR!$E:$X,MATCH($A164,SPPR!$A:$A,0),16)),$C164*INDEX(SPPR!$E:$X,MATCH($A164,SPPR!$A:$A,0),16),""),"")</f>
        <v/>
      </c>
      <c r="T164">
        <f>IFERROR(IF(ISNUMBER(INDEX(SPPR!$E:$X,MATCH($A164,SPPR!$A:$A,0),17)),$C164*INDEX(SPPR!$E:$X,MATCH($A164,SPPR!$A:$A,0),17),""),"")</f>
        <v/>
      </c>
      <c r="U164">
        <f>IFERROR(IF(ISNUMBER(INDEX(SPPR!$E:$X,MATCH($A164,SPPR!$A:$A,0),18)),$C164*INDEX(SPPR!$E:$X,MATCH($A164,SPPR!$A:$A,0),18),""),"")</f>
        <v/>
      </c>
      <c r="V164">
        <f>IFERROR(IF(ISNUMBER(INDEX(SPPR!$E:$X,MATCH($A164,SPPR!$A:$A,0),19)),$C164*INDEX(SPPR!$E:$X,MATCH($A164,SPPR!$A:$A,0),19),""),"")</f>
        <v/>
      </c>
      <c r="W164">
        <f>IFERROR(IF(ISNUMBER(INDEX(SPPR!$E:$X,MATCH($A164,SPPR!$A:$A,0),20)),$C164*INDEX(SPPR!$E:$X,MATCH($A164,SPPR!$A:$A,0),20),""),"")</f>
        <v/>
      </c>
    </row>
    <row r="165">
      <c r="A165" t="inlineStr">
        <is>
          <t>Veneridae</t>
        </is>
      </c>
      <c r="B165">
        <f>IFERROR(INDEX(SPPR!$D:$D,MATCH($A165,SPPR!$A:$A,0)),"")</f>
        <v/>
      </c>
      <c r="C165">
        <f>IFERROR(INDEX(Catch!$E:$BV,MATCH($A165,Catch!$A:$A,0),MATCH($B$4,Catch!$E$1:$BV$1,0)),0)</f>
        <v/>
      </c>
      <c r="D165">
        <f>IFERROR(IF(ISNUMBER(INDEX(SPPR!$E:$X,MATCH($A165,SPPR!$A:$A,0),1)),$C165*INDEX(SPPR!$E:$X,MATCH($A165,SPPR!$A:$A,0),1),""),"")</f>
        <v/>
      </c>
      <c r="E165">
        <f>IFERROR(IF(ISNUMBER(INDEX(SPPR!$E:$X,MATCH($A165,SPPR!$A:$A,0),2)),$C165*INDEX(SPPR!$E:$X,MATCH($A165,SPPR!$A:$A,0),2),""),"")</f>
        <v/>
      </c>
      <c r="F165">
        <f>IFERROR(IF(ISNUMBER(INDEX(SPPR!$E:$X,MATCH($A165,SPPR!$A:$A,0),3)),$C165*INDEX(SPPR!$E:$X,MATCH($A165,SPPR!$A:$A,0),3),""),"")</f>
        <v/>
      </c>
      <c r="G165">
        <f>IFERROR(IF(ISNUMBER(INDEX(SPPR!$E:$X,MATCH($A165,SPPR!$A:$A,0),4)),$C165*INDEX(SPPR!$E:$X,MATCH($A165,SPPR!$A:$A,0),4),""),"")</f>
        <v/>
      </c>
      <c r="H165">
        <f>IFERROR(IF(ISNUMBER(INDEX(SPPR!$E:$X,MATCH($A165,SPPR!$A:$A,0),5)),$C165*INDEX(SPPR!$E:$X,MATCH($A165,SPPR!$A:$A,0),5),""),"")</f>
        <v/>
      </c>
      <c r="I165">
        <f>IFERROR(IF(ISNUMBER(INDEX(SPPR!$E:$X,MATCH($A165,SPPR!$A:$A,0),6)),$C165*INDEX(SPPR!$E:$X,MATCH($A165,SPPR!$A:$A,0),6),""),"")</f>
        <v/>
      </c>
      <c r="J165">
        <f>IFERROR(IF(ISNUMBER(INDEX(SPPR!$E:$X,MATCH($A165,SPPR!$A:$A,0),7)),$C165*INDEX(SPPR!$E:$X,MATCH($A165,SPPR!$A:$A,0),7),""),"")</f>
        <v/>
      </c>
      <c r="K165">
        <f>IFERROR(IF(ISNUMBER(INDEX(SPPR!$E:$X,MATCH($A165,SPPR!$A:$A,0),8)),$C165*INDEX(SPPR!$E:$X,MATCH($A165,SPPR!$A:$A,0),8),""),"")</f>
        <v/>
      </c>
      <c r="L165">
        <f>IFERROR(IF(ISNUMBER(INDEX(SPPR!$E:$X,MATCH($A165,SPPR!$A:$A,0),9)),$C165*INDEX(SPPR!$E:$X,MATCH($A165,SPPR!$A:$A,0),9),""),"")</f>
        <v/>
      </c>
      <c r="M165">
        <f>IFERROR(IF(ISNUMBER(INDEX(SPPR!$E:$X,MATCH($A165,SPPR!$A:$A,0),10)),$C165*INDEX(SPPR!$E:$X,MATCH($A165,SPPR!$A:$A,0),10),""),"")</f>
        <v/>
      </c>
      <c r="N165">
        <f>IFERROR(IF(ISNUMBER(INDEX(SPPR!$E:$X,MATCH($A165,SPPR!$A:$A,0),11)),$C165*INDEX(SPPR!$E:$X,MATCH($A165,SPPR!$A:$A,0),11),""),"")</f>
        <v/>
      </c>
      <c r="O165">
        <f>IFERROR(IF(ISNUMBER(INDEX(SPPR!$E:$X,MATCH($A165,SPPR!$A:$A,0),12)),$C165*INDEX(SPPR!$E:$X,MATCH($A165,SPPR!$A:$A,0),12),""),"")</f>
        <v/>
      </c>
      <c r="P165">
        <f>IFERROR(IF(ISNUMBER(INDEX(SPPR!$E:$X,MATCH($A165,SPPR!$A:$A,0),13)),$C165*INDEX(SPPR!$E:$X,MATCH($A165,SPPR!$A:$A,0),13),""),"")</f>
        <v/>
      </c>
      <c r="Q165">
        <f>IFERROR(IF(ISNUMBER(INDEX(SPPR!$E:$X,MATCH($A165,SPPR!$A:$A,0),14)),$C165*INDEX(SPPR!$E:$X,MATCH($A165,SPPR!$A:$A,0),14),""),"")</f>
        <v/>
      </c>
      <c r="R165">
        <f>IFERROR(IF(ISNUMBER(INDEX(SPPR!$E:$X,MATCH($A165,SPPR!$A:$A,0),15)),$C165*INDEX(SPPR!$E:$X,MATCH($A165,SPPR!$A:$A,0),15),""),"")</f>
        <v/>
      </c>
      <c r="S165">
        <f>IFERROR(IF(ISNUMBER(INDEX(SPPR!$E:$X,MATCH($A165,SPPR!$A:$A,0),16)),$C165*INDEX(SPPR!$E:$X,MATCH($A165,SPPR!$A:$A,0),16),""),"")</f>
        <v/>
      </c>
      <c r="T165">
        <f>IFERROR(IF(ISNUMBER(INDEX(SPPR!$E:$X,MATCH($A165,SPPR!$A:$A,0),17)),$C165*INDEX(SPPR!$E:$X,MATCH($A165,SPPR!$A:$A,0),17),""),"")</f>
        <v/>
      </c>
      <c r="U165">
        <f>IFERROR(IF(ISNUMBER(INDEX(SPPR!$E:$X,MATCH($A165,SPPR!$A:$A,0),18)),$C165*INDEX(SPPR!$E:$X,MATCH($A165,SPPR!$A:$A,0),18),""),"")</f>
        <v/>
      </c>
      <c r="V165">
        <f>IFERROR(IF(ISNUMBER(INDEX(SPPR!$E:$X,MATCH($A165,SPPR!$A:$A,0),19)),$C165*INDEX(SPPR!$E:$X,MATCH($A165,SPPR!$A:$A,0),19),""),"")</f>
        <v/>
      </c>
      <c r="W165">
        <f>IFERROR(IF(ISNUMBER(INDEX(SPPR!$E:$X,MATCH($A165,SPPR!$A:$A,0),20)),$C165*INDEX(SPPR!$E:$X,MATCH($A165,SPPR!$A:$A,0),20),""),"")</f>
        <v/>
      </c>
    </row>
    <row r="166">
      <c r="A166" t="inlineStr">
        <is>
          <t>Isurus</t>
        </is>
      </c>
      <c r="B166">
        <f>IFERROR(INDEX(SPPR!$D:$D,MATCH($A166,SPPR!$A:$A,0)),"")</f>
        <v/>
      </c>
      <c r="C166">
        <f>IFERROR(INDEX(Catch!$E:$BV,MATCH($A166,Catch!$A:$A,0),MATCH($B$4,Catch!$E$1:$BV$1,0)),0)</f>
        <v/>
      </c>
      <c r="D166">
        <f>IFERROR(IF(ISNUMBER(INDEX(SPPR!$E:$X,MATCH($A166,SPPR!$A:$A,0),1)),$C166*INDEX(SPPR!$E:$X,MATCH($A166,SPPR!$A:$A,0),1),""),"")</f>
        <v/>
      </c>
      <c r="E166">
        <f>IFERROR(IF(ISNUMBER(INDEX(SPPR!$E:$X,MATCH($A166,SPPR!$A:$A,0),2)),$C166*INDEX(SPPR!$E:$X,MATCH($A166,SPPR!$A:$A,0),2),""),"")</f>
        <v/>
      </c>
      <c r="F166">
        <f>IFERROR(IF(ISNUMBER(INDEX(SPPR!$E:$X,MATCH($A166,SPPR!$A:$A,0),3)),$C166*INDEX(SPPR!$E:$X,MATCH($A166,SPPR!$A:$A,0),3),""),"")</f>
        <v/>
      </c>
      <c r="G166">
        <f>IFERROR(IF(ISNUMBER(INDEX(SPPR!$E:$X,MATCH($A166,SPPR!$A:$A,0),4)),$C166*INDEX(SPPR!$E:$X,MATCH($A166,SPPR!$A:$A,0),4),""),"")</f>
        <v/>
      </c>
      <c r="H166">
        <f>IFERROR(IF(ISNUMBER(INDEX(SPPR!$E:$X,MATCH($A166,SPPR!$A:$A,0),5)),$C166*INDEX(SPPR!$E:$X,MATCH($A166,SPPR!$A:$A,0),5),""),"")</f>
        <v/>
      </c>
      <c r="I166">
        <f>IFERROR(IF(ISNUMBER(INDEX(SPPR!$E:$X,MATCH($A166,SPPR!$A:$A,0),6)),$C166*INDEX(SPPR!$E:$X,MATCH($A166,SPPR!$A:$A,0),6),""),"")</f>
        <v/>
      </c>
      <c r="J166">
        <f>IFERROR(IF(ISNUMBER(INDEX(SPPR!$E:$X,MATCH($A166,SPPR!$A:$A,0),7)),$C166*INDEX(SPPR!$E:$X,MATCH($A166,SPPR!$A:$A,0),7),""),"")</f>
        <v/>
      </c>
      <c r="K166">
        <f>IFERROR(IF(ISNUMBER(INDEX(SPPR!$E:$X,MATCH($A166,SPPR!$A:$A,0),8)),$C166*INDEX(SPPR!$E:$X,MATCH($A166,SPPR!$A:$A,0),8),""),"")</f>
        <v/>
      </c>
      <c r="L166">
        <f>IFERROR(IF(ISNUMBER(INDEX(SPPR!$E:$X,MATCH($A166,SPPR!$A:$A,0),9)),$C166*INDEX(SPPR!$E:$X,MATCH($A166,SPPR!$A:$A,0),9),""),"")</f>
        <v/>
      </c>
      <c r="M166">
        <f>IFERROR(IF(ISNUMBER(INDEX(SPPR!$E:$X,MATCH($A166,SPPR!$A:$A,0),10)),$C166*INDEX(SPPR!$E:$X,MATCH($A166,SPPR!$A:$A,0),10),""),"")</f>
        <v/>
      </c>
      <c r="N166">
        <f>IFERROR(IF(ISNUMBER(INDEX(SPPR!$E:$X,MATCH($A166,SPPR!$A:$A,0),11)),$C166*INDEX(SPPR!$E:$X,MATCH($A166,SPPR!$A:$A,0),11),""),"")</f>
        <v/>
      </c>
      <c r="O166">
        <f>IFERROR(IF(ISNUMBER(INDEX(SPPR!$E:$X,MATCH($A166,SPPR!$A:$A,0),12)),$C166*INDEX(SPPR!$E:$X,MATCH($A166,SPPR!$A:$A,0),12),""),"")</f>
        <v/>
      </c>
      <c r="P166">
        <f>IFERROR(IF(ISNUMBER(INDEX(SPPR!$E:$X,MATCH($A166,SPPR!$A:$A,0),13)),$C166*INDEX(SPPR!$E:$X,MATCH($A166,SPPR!$A:$A,0),13),""),"")</f>
        <v/>
      </c>
      <c r="Q166">
        <f>IFERROR(IF(ISNUMBER(INDEX(SPPR!$E:$X,MATCH($A166,SPPR!$A:$A,0),14)),$C166*INDEX(SPPR!$E:$X,MATCH($A166,SPPR!$A:$A,0),14),""),"")</f>
        <v/>
      </c>
      <c r="R166">
        <f>IFERROR(IF(ISNUMBER(INDEX(SPPR!$E:$X,MATCH($A166,SPPR!$A:$A,0),15)),$C166*INDEX(SPPR!$E:$X,MATCH($A166,SPPR!$A:$A,0),15),""),"")</f>
        <v/>
      </c>
      <c r="S166">
        <f>IFERROR(IF(ISNUMBER(INDEX(SPPR!$E:$X,MATCH($A166,SPPR!$A:$A,0),16)),$C166*INDEX(SPPR!$E:$X,MATCH($A166,SPPR!$A:$A,0),16),""),"")</f>
        <v/>
      </c>
      <c r="T166">
        <f>IFERROR(IF(ISNUMBER(INDEX(SPPR!$E:$X,MATCH($A166,SPPR!$A:$A,0),17)),$C166*INDEX(SPPR!$E:$X,MATCH($A166,SPPR!$A:$A,0),17),""),"")</f>
        <v/>
      </c>
      <c r="U166">
        <f>IFERROR(IF(ISNUMBER(INDEX(SPPR!$E:$X,MATCH($A166,SPPR!$A:$A,0),18)),$C166*INDEX(SPPR!$E:$X,MATCH($A166,SPPR!$A:$A,0),18),""),"")</f>
        <v/>
      </c>
      <c r="V166">
        <f>IFERROR(IF(ISNUMBER(INDEX(SPPR!$E:$X,MATCH($A166,SPPR!$A:$A,0),19)),$C166*INDEX(SPPR!$E:$X,MATCH($A166,SPPR!$A:$A,0),19),""),"")</f>
        <v/>
      </c>
      <c r="W166">
        <f>IFERROR(IF(ISNUMBER(INDEX(SPPR!$E:$X,MATCH($A166,SPPR!$A:$A,0),20)),$C166*INDEX(SPPR!$E:$X,MATCH($A166,SPPR!$A:$A,0),20),""),"")</f>
        <v/>
      </c>
    </row>
    <row r="167">
      <c r="A167" t="inlineStr">
        <is>
          <t>Sphyraenidae</t>
        </is>
      </c>
      <c r="B167">
        <f>IFERROR(INDEX(SPPR!$D:$D,MATCH($A167,SPPR!$A:$A,0)),"")</f>
        <v/>
      </c>
      <c r="C167">
        <f>IFERROR(INDEX(Catch!$E:$BV,MATCH($A167,Catch!$A:$A,0),MATCH($B$4,Catch!$E$1:$BV$1,0)),0)</f>
        <v/>
      </c>
      <c r="D167">
        <f>IFERROR(IF(ISNUMBER(INDEX(SPPR!$E:$X,MATCH($A167,SPPR!$A:$A,0),1)),$C167*INDEX(SPPR!$E:$X,MATCH($A167,SPPR!$A:$A,0),1),""),"")</f>
        <v/>
      </c>
      <c r="E167">
        <f>IFERROR(IF(ISNUMBER(INDEX(SPPR!$E:$X,MATCH($A167,SPPR!$A:$A,0),2)),$C167*INDEX(SPPR!$E:$X,MATCH($A167,SPPR!$A:$A,0),2),""),"")</f>
        <v/>
      </c>
      <c r="F167">
        <f>IFERROR(IF(ISNUMBER(INDEX(SPPR!$E:$X,MATCH($A167,SPPR!$A:$A,0),3)),$C167*INDEX(SPPR!$E:$X,MATCH($A167,SPPR!$A:$A,0),3),""),"")</f>
        <v/>
      </c>
      <c r="G167">
        <f>IFERROR(IF(ISNUMBER(INDEX(SPPR!$E:$X,MATCH($A167,SPPR!$A:$A,0),4)),$C167*INDEX(SPPR!$E:$X,MATCH($A167,SPPR!$A:$A,0),4),""),"")</f>
        <v/>
      </c>
      <c r="H167">
        <f>IFERROR(IF(ISNUMBER(INDEX(SPPR!$E:$X,MATCH($A167,SPPR!$A:$A,0),5)),$C167*INDEX(SPPR!$E:$X,MATCH($A167,SPPR!$A:$A,0),5),""),"")</f>
        <v/>
      </c>
      <c r="I167">
        <f>IFERROR(IF(ISNUMBER(INDEX(SPPR!$E:$X,MATCH($A167,SPPR!$A:$A,0),6)),$C167*INDEX(SPPR!$E:$X,MATCH($A167,SPPR!$A:$A,0),6),""),"")</f>
        <v/>
      </c>
      <c r="J167">
        <f>IFERROR(IF(ISNUMBER(INDEX(SPPR!$E:$X,MATCH($A167,SPPR!$A:$A,0),7)),$C167*INDEX(SPPR!$E:$X,MATCH($A167,SPPR!$A:$A,0),7),""),"")</f>
        <v/>
      </c>
      <c r="K167">
        <f>IFERROR(IF(ISNUMBER(INDEX(SPPR!$E:$X,MATCH($A167,SPPR!$A:$A,0),8)),$C167*INDEX(SPPR!$E:$X,MATCH($A167,SPPR!$A:$A,0),8),""),"")</f>
        <v/>
      </c>
      <c r="L167">
        <f>IFERROR(IF(ISNUMBER(INDEX(SPPR!$E:$X,MATCH($A167,SPPR!$A:$A,0),9)),$C167*INDEX(SPPR!$E:$X,MATCH($A167,SPPR!$A:$A,0),9),""),"")</f>
        <v/>
      </c>
      <c r="M167">
        <f>IFERROR(IF(ISNUMBER(INDEX(SPPR!$E:$X,MATCH($A167,SPPR!$A:$A,0),10)),$C167*INDEX(SPPR!$E:$X,MATCH($A167,SPPR!$A:$A,0),10),""),"")</f>
        <v/>
      </c>
      <c r="N167">
        <f>IFERROR(IF(ISNUMBER(INDEX(SPPR!$E:$X,MATCH($A167,SPPR!$A:$A,0),11)),$C167*INDEX(SPPR!$E:$X,MATCH($A167,SPPR!$A:$A,0),11),""),"")</f>
        <v/>
      </c>
      <c r="O167">
        <f>IFERROR(IF(ISNUMBER(INDEX(SPPR!$E:$X,MATCH($A167,SPPR!$A:$A,0),12)),$C167*INDEX(SPPR!$E:$X,MATCH($A167,SPPR!$A:$A,0),12),""),"")</f>
        <v/>
      </c>
      <c r="P167">
        <f>IFERROR(IF(ISNUMBER(INDEX(SPPR!$E:$X,MATCH($A167,SPPR!$A:$A,0),13)),$C167*INDEX(SPPR!$E:$X,MATCH($A167,SPPR!$A:$A,0),13),""),"")</f>
        <v/>
      </c>
      <c r="Q167">
        <f>IFERROR(IF(ISNUMBER(INDEX(SPPR!$E:$X,MATCH($A167,SPPR!$A:$A,0),14)),$C167*INDEX(SPPR!$E:$X,MATCH($A167,SPPR!$A:$A,0),14),""),"")</f>
        <v/>
      </c>
      <c r="R167">
        <f>IFERROR(IF(ISNUMBER(INDEX(SPPR!$E:$X,MATCH($A167,SPPR!$A:$A,0),15)),$C167*INDEX(SPPR!$E:$X,MATCH($A167,SPPR!$A:$A,0),15),""),"")</f>
        <v/>
      </c>
      <c r="S167">
        <f>IFERROR(IF(ISNUMBER(INDEX(SPPR!$E:$X,MATCH($A167,SPPR!$A:$A,0),16)),$C167*INDEX(SPPR!$E:$X,MATCH($A167,SPPR!$A:$A,0),16),""),"")</f>
        <v/>
      </c>
      <c r="T167">
        <f>IFERROR(IF(ISNUMBER(INDEX(SPPR!$E:$X,MATCH($A167,SPPR!$A:$A,0),17)),$C167*INDEX(SPPR!$E:$X,MATCH($A167,SPPR!$A:$A,0),17),""),"")</f>
        <v/>
      </c>
      <c r="U167">
        <f>IFERROR(IF(ISNUMBER(INDEX(SPPR!$E:$X,MATCH($A167,SPPR!$A:$A,0),18)),$C167*INDEX(SPPR!$E:$X,MATCH($A167,SPPR!$A:$A,0),18),""),"")</f>
        <v/>
      </c>
      <c r="V167">
        <f>IFERROR(IF(ISNUMBER(INDEX(SPPR!$E:$X,MATCH($A167,SPPR!$A:$A,0),19)),$C167*INDEX(SPPR!$E:$X,MATCH($A167,SPPR!$A:$A,0),19),""),"")</f>
        <v/>
      </c>
      <c r="W167">
        <f>IFERROR(IF(ISNUMBER(INDEX(SPPR!$E:$X,MATCH($A167,SPPR!$A:$A,0),20)),$C167*INDEX(SPPR!$E:$X,MATCH($A167,SPPR!$A:$A,0),20),""),"")</f>
        <v/>
      </c>
    </row>
    <row r="168">
      <c r="A168" t="inlineStr">
        <is>
          <t>Mene maculata</t>
        </is>
      </c>
      <c r="B168">
        <f>IFERROR(INDEX(SPPR!$D:$D,MATCH($A168,SPPR!$A:$A,0)),"")</f>
        <v/>
      </c>
      <c r="C168">
        <f>IFERROR(INDEX(Catch!$E:$BV,MATCH($A168,Catch!$A:$A,0),MATCH($B$4,Catch!$E$1:$BV$1,0)),0)</f>
        <v/>
      </c>
      <c r="D168">
        <f>IFERROR(IF(ISNUMBER(INDEX(SPPR!$E:$X,MATCH($A168,SPPR!$A:$A,0),1)),$C168*INDEX(SPPR!$E:$X,MATCH($A168,SPPR!$A:$A,0),1),""),"")</f>
        <v/>
      </c>
      <c r="E168">
        <f>IFERROR(IF(ISNUMBER(INDEX(SPPR!$E:$X,MATCH($A168,SPPR!$A:$A,0),2)),$C168*INDEX(SPPR!$E:$X,MATCH($A168,SPPR!$A:$A,0),2),""),"")</f>
        <v/>
      </c>
      <c r="F168">
        <f>IFERROR(IF(ISNUMBER(INDEX(SPPR!$E:$X,MATCH($A168,SPPR!$A:$A,0),3)),$C168*INDEX(SPPR!$E:$X,MATCH($A168,SPPR!$A:$A,0),3),""),"")</f>
        <v/>
      </c>
      <c r="G168">
        <f>IFERROR(IF(ISNUMBER(INDEX(SPPR!$E:$X,MATCH($A168,SPPR!$A:$A,0),4)),$C168*INDEX(SPPR!$E:$X,MATCH($A168,SPPR!$A:$A,0),4),""),"")</f>
        <v/>
      </c>
      <c r="H168">
        <f>IFERROR(IF(ISNUMBER(INDEX(SPPR!$E:$X,MATCH($A168,SPPR!$A:$A,0),5)),$C168*INDEX(SPPR!$E:$X,MATCH($A168,SPPR!$A:$A,0),5),""),"")</f>
        <v/>
      </c>
      <c r="I168">
        <f>IFERROR(IF(ISNUMBER(INDEX(SPPR!$E:$X,MATCH($A168,SPPR!$A:$A,0),6)),$C168*INDEX(SPPR!$E:$X,MATCH($A168,SPPR!$A:$A,0),6),""),"")</f>
        <v/>
      </c>
      <c r="J168">
        <f>IFERROR(IF(ISNUMBER(INDEX(SPPR!$E:$X,MATCH($A168,SPPR!$A:$A,0),7)),$C168*INDEX(SPPR!$E:$X,MATCH($A168,SPPR!$A:$A,0),7),""),"")</f>
        <v/>
      </c>
      <c r="K168">
        <f>IFERROR(IF(ISNUMBER(INDEX(SPPR!$E:$X,MATCH($A168,SPPR!$A:$A,0),8)),$C168*INDEX(SPPR!$E:$X,MATCH($A168,SPPR!$A:$A,0),8),""),"")</f>
        <v/>
      </c>
      <c r="L168">
        <f>IFERROR(IF(ISNUMBER(INDEX(SPPR!$E:$X,MATCH($A168,SPPR!$A:$A,0),9)),$C168*INDEX(SPPR!$E:$X,MATCH($A168,SPPR!$A:$A,0),9),""),"")</f>
        <v/>
      </c>
      <c r="M168">
        <f>IFERROR(IF(ISNUMBER(INDEX(SPPR!$E:$X,MATCH($A168,SPPR!$A:$A,0),10)),$C168*INDEX(SPPR!$E:$X,MATCH($A168,SPPR!$A:$A,0),10),""),"")</f>
        <v/>
      </c>
      <c r="N168">
        <f>IFERROR(IF(ISNUMBER(INDEX(SPPR!$E:$X,MATCH($A168,SPPR!$A:$A,0),11)),$C168*INDEX(SPPR!$E:$X,MATCH($A168,SPPR!$A:$A,0),11),""),"")</f>
        <v/>
      </c>
      <c r="O168">
        <f>IFERROR(IF(ISNUMBER(INDEX(SPPR!$E:$X,MATCH($A168,SPPR!$A:$A,0),12)),$C168*INDEX(SPPR!$E:$X,MATCH($A168,SPPR!$A:$A,0),12),""),"")</f>
        <v/>
      </c>
      <c r="P168">
        <f>IFERROR(IF(ISNUMBER(INDEX(SPPR!$E:$X,MATCH($A168,SPPR!$A:$A,0),13)),$C168*INDEX(SPPR!$E:$X,MATCH($A168,SPPR!$A:$A,0),13),""),"")</f>
        <v/>
      </c>
      <c r="Q168">
        <f>IFERROR(IF(ISNUMBER(INDEX(SPPR!$E:$X,MATCH($A168,SPPR!$A:$A,0),14)),$C168*INDEX(SPPR!$E:$X,MATCH($A168,SPPR!$A:$A,0),14),""),"")</f>
        <v/>
      </c>
      <c r="R168">
        <f>IFERROR(IF(ISNUMBER(INDEX(SPPR!$E:$X,MATCH($A168,SPPR!$A:$A,0),15)),$C168*INDEX(SPPR!$E:$X,MATCH($A168,SPPR!$A:$A,0),15),""),"")</f>
        <v/>
      </c>
      <c r="S168">
        <f>IFERROR(IF(ISNUMBER(INDEX(SPPR!$E:$X,MATCH($A168,SPPR!$A:$A,0),16)),$C168*INDEX(SPPR!$E:$X,MATCH($A168,SPPR!$A:$A,0),16),""),"")</f>
        <v/>
      </c>
      <c r="T168">
        <f>IFERROR(IF(ISNUMBER(INDEX(SPPR!$E:$X,MATCH($A168,SPPR!$A:$A,0),17)),$C168*INDEX(SPPR!$E:$X,MATCH($A168,SPPR!$A:$A,0),17),""),"")</f>
        <v/>
      </c>
      <c r="U168">
        <f>IFERROR(IF(ISNUMBER(INDEX(SPPR!$E:$X,MATCH($A168,SPPR!$A:$A,0),18)),$C168*INDEX(SPPR!$E:$X,MATCH($A168,SPPR!$A:$A,0),18),""),"")</f>
        <v/>
      </c>
      <c r="V168">
        <f>IFERROR(IF(ISNUMBER(INDEX(SPPR!$E:$X,MATCH($A168,SPPR!$A:$A,0),19)),$C168*INDEX(SPPR!$E:$X,MATCH($A168,SPPR!$A:$A,0),19),""),"")</f>
        <v/>
      </c>
      <c r="W168">
        <f>IFERROR(IF(ISNUMBER(INDEX(SPPR!$E:$X,MATCH($A168,SPPR!$A:$A,0),20)),$C168*INDEX(SPPR!$E:$X,MATCH($A168,SPPR!$A:$A,0),20),""),"")</f>
        <v/>
      </c>
    </row>
    <row r="169">
      <c r="A169" t="inlineStr">
        <is>
          <t>Chirocentrus</t>
        </is>
      </c>
      <c r="B169">
        <f>IFERROR(INDEX(SPPR!$D:$D,MATCH($A169,SPPR!$A:$A,0)),"")</f>
        <v/>
      </c>
      <c r="C169">
        <f>IFERROR(INDEX(Catch!$E:$BV,MATCH($A169,Catch!$A:$A,0),MATCH($B$4,Catch!$E$1:$BV$1,0)),0)</f>
        <v/>
      </c>
      <c r="D169">
        <f>IFERROR(IF(ISNUMBER(INDEX(SPPR!$E:$X,MATCH($A169,SPPR!$A:$A,0),1)),$C169*INDEX(SPPR!$E:$X,MATCH($A169,SPPR!$A:$A,0),1),""),"")</f>
        <v/>
      </c>
      <c r="E169">
        <f>IFERROR(IF(ISNUMBER(INDEX(SPPR!$E:$X,MATCH($A169,SPPR!$A:$A,0),2)),$C169*INDEX(SPPR!$E:$X,MATCH($A169,SPPR!$A:$A,0),2),""),"")</f>
        <v/>
      </c>
      <c r="F169">
        <f>IFERROR(IF(ISNUMBER(INDEX(SPPR!$E:$X,MATCH($A169,SPPR!$A:$A,0),3)),$C169*INDEX(SPPR!$E:$X,MATCH($A169,SPPR!$A:$A,0),3),""),"")</f>
        <v/>
      </c>
      <c r="G169">
        <f>IFERROR(IF(ISNUMBER(INDEX(SPPR!$E:$X,MATCH($A169,SPPR!$A:$A,0),4)),$C169*INDEX(SPPR!$E:$X,MATCH($A169,SPPR!$A:$A,0),4),""),"")</f>
        <v/>
      </c>
      <c r="H169">
        <f>IFERROR(IF(ISNUMBER(INDEX(SPPR!$E:$X,MATCH($A169,SPPR!$A:$A,0),5)),$C169*INDEX(SPPR!$E:$X,MATCH($A169,SPPR!$A:$A,0),5),""),"")</f>
        <v/>
      </c>
      <c r="I169">
        <f>IFERROR(IF(ISNUMBER(INDEX(SPPR!$E:$X,MATCH($A169,SPPR!$A:$A,0),6)),$C169*INDEX(SPPR!$E:$X,MATCH($A169,SPPR!$A:$A,0),6),""),"")</f>
        <v/>
      </c>
      <c r="J169">
        <f>IFERROR(IF(ISNUMBER(INDEX(SPPR!$E:$X,MATCH($A169,SPPR!$A:$A,0),7)),$C169*INDEX(SPPR!$E:$X,MATCH($A169,SPPR!$A:$A,0),7),""),"")</f>
        <v/>
      </c>
      <c r="K169">
        <f>IFERROR(IF(ISNUMBER(INDEX(SPPR!$E:$X,MATCH($A169,SPPR!$A:$A,0),8)),$C169*INDEX(SPPR!$E:$X,MATCH($A169,SPPR!$A:$A,0),8),""),"")</f>
        <v/>
      </c>
      <c r="L169">
        <f>IFERROR(IF(ISNUMBER(INDEX(SPPR!$E:$X,MATCH($A169,SPPR!$A:$A,0),9)),$C169*INDEX(SPPR!$E:$X,MATCH($A169,SPPR!$A:$A,0),9),""),"")</f>
        <v/>
      </c>
      <c r="M169">
        <f>IFERROR(IF(ISNUMBER(INDEX(SPPR!$E:$X,MATCH($A169,SPPR!$A:$A,0),10)),$C169*INDEX(SPPR!$E:$X,MATCH($A169,SPPR!$A:$A,0),10),""),"")</f>
        <v/>
      </c>
      <c r="N169">
        <f>IFERROR(IF(ISNUMBER(INDEX(SPPR!$E:$X,MATCH($A169,SPPR!$A:$A,0),11)),$C169*INDEX(SPPR!$E:$X,MATCH($A169,SPPR!$A:$A,0),11),""),"")</f>
        <v/>
      </c>
      <c r="O169">
        <f>IFERROR(IF(ISNUMBER(INDEX(SPPR!$E:$X,MATCH($A169,SPPR!$A:$A,0),12)),$C169*INDEX(SPPR!$E:$X,MATCH($A169,SPPR!$A:$A,0),12),""),"")</f>
        <v/>
      </c>
      <c r="P169">
        <f>IFERROR(IF(ISNUMBER(INDEX(SPPR!$E:$X,MATCH($A169,SPPR!$A:$A,0),13)),$C169*INDEX(SPPR!$E:$X,MATCH($A169,SPPR!$A:$A,0),13),""),"")</f>
        <v/>
      </c>
      <c r="Q169">
        <f>IFERROR(IF(ISNUMBER(INDEX(SPPR!$E:$X,MATCH($A169,SPPR!$A:$A,0),14)),$C169*INDEX(SPPR!$E:$X,MATCH($A169,SPPR!$A:$A,0),14),""),"")</f>
        <v/>
      </c>
      <c r="R169">
        <f>IFERROR(IF(ISNUMBER(INDEX(SPPR!$E:$X,MATCH($A169,SPPR!$A:$A,0),15)),$C169*INDEX(SPPR!$E:$X,MATCH($A169,SPPR!$A:$A,0),15),""),"")</f>
        <v/>
      </c>
      <c r="S169">
        <f>IFERROR(IF(ISNUMBER(INDEX(SPPR!$E:$X,MATCH($A169,SPPR!$A:$A,0),16)),$C169*INDEX(SPPR!$E:$X,MATCH($A169,SPPR!$A:$A,0),16),""),"")</f>
        <v/>
      </c>
      <c r="T169">
        <f>IFERROR(IF(ISNUMBER(INDEX(SPPR!$E:$X,MATCH($A169,SPPR!$A:$A,0),17)),$C169*INDEX(SPPR!$E:$X,MATCH($A169,SPPR!$A:$A,0),17),""),"")</f>
        <v/>
      </c>
      <c r="U169">
        <f>IFERROR(IF(ISNUMBER(INDEX(SPPR!$E:$X,MATCH($A169,SPPR!$A:$A,0),18)),$C169*INDEX(SPPR!$E:$X,MATCH($A169,SPPR!$A:$A,0),18),""),"")</f>
        <v/>
      </c>
      <c r="V169">
        <f>IFERROR(IF(ISNUMBER(INDEX(SPPR!$E:$X,MATCH($A169,SPPR!$A:$A,0),19)),$C169*INDEX(SPPR!$E:$X,MATCH($A169,SPPR!$A:$A,0),19),""),"")</f>
        <v/>
      </c>
      <c r="W169">
        <f>IFERROR(IF(ISNUMBER(INDEX(SPPR!$E:$X,MATCH($A169,SPPR!$A:$A,0),20)),$C169*INDEX(SPPR!$E:$X,MATCH($A169,SPPR!$A:$A,0),20),""),"")</f>
        <v/>
      </c>
    </row>
    <row r="170">
      <c r="A170" t="inlineStr">
        <is>
          <t>Portunus</t>
        </is>
      </c>
      <c r="B170">
        <f>IFERROR(INDEX(SPPR!$D:$D,MATCH($A170,SPPR!$A:$A,0)),"")</f>
        <v/>
      </c>
      <c r="C170">
        <f>IFERROR(INDEX(Catch!$E:$BV,MATCH($A170,Catch!$A:$A,0),MATCH($B$4,Catch!$E$1:$BV$1,0)),0)</f>
        <v/>
      </c>
      <c r="D170">
        <f>IFERROR(IF(ISNUMBER(INDEX(SPPR!$E:$X,MATCH($A170,SPPR!$A:$A,0),1)),$C170*INDEX(SPPR!$E:$X,MATCH($A170,SPPR!$A:$A,0),1),""),"")</f>
        <v/>
      </c>
      <c r="E170">
        <f>IFERROR(IF(ISNUMBER(INDEX(SPPR!$E:$X,MATCH($A170,SPPR!$A:$A,0),2)),$C170*INDEX(SPPR!$E:$X,MATCH($A170,SPPR!$A:$A,0),2),""),"")</f>
        <v/>
      </c>
      <c r="F170">
        <f>IFERROR(IF(ISNUMBER(INDEX(SPPR!$E:$X,MATCH($A170,SPPR!$A:$A,0),3)),$C170*INDEX(SPPR!$E:$X,MATCH($A170,SPPR!$A:$A,0),3),""),"")</f>
        <v/>
      </c>
      <c r="G170">
        <f>IFERROR(IF(ISNUMBER(INDEX(SPPR!$E:$X,MATCH($A170,SPPR!$A:$A,0),4)),$C170*INDEX(SPPR!$E:$X,MATCH($A170,SPPR!$A:$A,0),4),""),"")</f>
        <v/>
      </c>
      <c r="H170">
        <f>IFERROR(IF(ISNUMBER(INDEX(SPPR!$E:$X,MATCH($A170,SPPR!$A:$A,0),5)),$C170*INDEX(SPPR!$E:$X,MATCH($A170,SPPR!$A:$A,0),5),""),"")</f>
        <v/>
      </c>
      <c r="I170">
        <f>IFERROR(IF(ISNUMBER(INDEX(SPPR!$E:$X,MATCH($A170,SPPR!$A:$A,0),6)),$C170*INDEX(SPPR!$E:$X,MATCH($A170,SPPR!$A:$A,0),6),""),"")</f>
        <v/>
      </c>
      <c r="J170">
        <f>IFERROR(IF(ISNUMBER(INDEX(SPPR!$E:$X,MATCH($A170,SPPR!$A:$A,0),7)),$C170*INDEX(SPPR!$E:$X,MATCH($A170,SPPR!$A:$A,0),7),""),"")</f>
        <v/>
      </c>
      <c r="K170">
        <f>IFERROR(IF(ISNUMBER(INDEX(SPPR!$E:$X,MATCH($A170,SPPR!$A:$A,0),8)),$C170*INDEX(SPPR!$E:$X,MATCH($A170,SPPR!$A:$A,0),8),""),"")</f>
        <v/>
      </c>
      <c r="L170">
        <f>IFERROR(IF(ISNUMBER(INDEX(SPPR!$E:$X,MATCH($A170,SPPR!$A:$A,0),9)),$C170*INDEX(SPPR!$E:$X,MATCH($A170,SPPR!$A:$A,0),9),""),"")</f>
        <v/>
      </c>
      <c r="M170">
        <f>IFERROR(IF(ISNUMBER(INDEX(SPPR!$E:$X,MATCH($A170,SPPR!$A:$A,0),10)),$C170*INDEX(SPPR!$E:$X,MATCH($A170,SPPR!$A:$A,0),10),""),"")</f>
        <v/>
      </c>
      <c r="N170">
        <f>IFERROR(IF(ISNUMBER(INDEX(SPPR!$E:$X,MATCH($A170,SPPR!$A:$A,0),11)),$C170*INDEX(SPPR!$E:$X,MATCH($A170,SPPR!$A:$A,0),11),""),"")</f>
        <v/>
      </c>
      <c r="O170">
        <f>IFERROR(IF(ISNUMBER(INDEX(SPPR!$E:$X,MATCH($A170,SPPR!$A:$A,0),12)),$C170*INDEX(SPPR!$E:$X,MATCH($A170,SPPR!$A:$A,0),12),""),"")</f>
        <v/>
      </c>
      <c r="P170">
        <f>IFERROR(IF(ISNUMBER(INDEX(SPPR!$E:$X,MATCH($A170,SPPR!$A:$A,0),13)),$C170*INDEX(SPPR!$E:$X,MATCH($A170,SPPR!$A:$A,0),13),""),"")</f>
        <v/>
      </c>
      <c r="Q170">
        <f>IFERROR(IF(ISNUMBER(INDEX(SPPR!$E:$X,MATCH($A170,SPPR!$A:$A,0),14)),$C170*INDEX(SPPR!$E:$X,MATCH($A170,SPPR!$A:$A,0),14),""),"")</f>
        <v/>
      </c>
      <c r="R170">
        <f>IFERROR(IF(ISNUMBER(INDEX(SPPR!$E:$X,MATCH($A170,SPPR!$A:$A,0),15)),$C170*INDEX(SPPR!$E:$X,MATCH($A170,SPPR!$A:$A,0),15),""),"")</f>
        <v/>
      </c>
      <c r="S170">
        <f>IFERROR(IF(ISNUMBER(INDEX(SPPR!$E:$X,MATCH($A170,SPPR!$A:$A,0),16)),$C170*INDEX(SPPR!$E:$X,MATCH($A170,SPPR!$A:$A,0),16),""),"")</f>
        <v/>
      </c>
      <c r="T170">
        <f>IFERROR(IF(ISNUMBER(INDEX(SPPR!$E:$X,MATCH($A170,SPPR!$A:$A,0),17)),$C170*INDEX(SPPR!$E:$X,MATCH($A170,SPPR!$A:$A,0),17),""),"")</f>
        <v/>
      </c>
      <c r="U170">
        <f>IFERROR(IF(ISNUMBER(INDEX(SPPR!$E:$X,MATCH($A170,SPPR!$A:$A,0),18)),$C170*INDEX(SPPR!$E:$X,MATCH($A170,SPPR!$A:$A,0),18),""),"")</f>
        <v/>
      </c>
      <c r="V170">
        <f>IFERROR(IF(ISNUMBER(INDEX(SPPR!$E:$X,MATCH($A170,SPPR!$A:$A,0),19)),$C170*INDEX(SPPR!$E:$X,MATCH($A170,SPPR!$A:$A,0),19),""),"")</f>
        <v/>
      </c>
      <c r="W170">
        <f>IFERROR(IF(ISNUMBER(INDEX(SPPR!$E:$X,MATCH($A170,SPPR!$A:$A,0),20)),$C170*INDEX(SPPR!$E:$X,MATCH($A170,SPPR!$A:$A,0),20),""),"")</f>
        <v/>
      </c>
    </row>
    <row r="171">
      <c r="A171" t="inlineStr">
        <is>
          <t>Pleuronectiformes</t>
        </is>
      </c>
      <c r="B171">
        <f>IFERROR(INDEX(SPPR!$D:$D,MATCH($A171,SPPR!$A:$A,0)),"")</f>
        <v/>
      </c>
      <c r="C171">
        <f>IFERROR(INDEX(Catch!$E:$BV,MATCH($A171,Catch!$A:$A,0),MATCH($B$4,Catch!$E$1:$BV$1,0)),0)</f>
        <v/>
      </c>
      <c r="D171">
        <f>IFERROR(IF(ISNUMBER(INDEX(SPPR!$E:$X,MATCH($A171,SPPR!$A:$A,0),1)),$C171*INDEX(SPPR!$E:$X,MATCH($A171,SPPR!$A:$A,0),1),""),"")</f>
        <v/>
      </c>
      <c r="E171">
        <f>IFERROR(IF(ISNUMBER(INDEX(SPPR!$E:$X,MATCH($A171,SPPR!$A:$A,0),2)),$C171*INDEX(SPPR!$E:$X,MATCH($A171,SPPR!$A:$A,0),2),""),"")</f>
        <v/>
      </c>
      <c r="F171">
        <f>IFERROR(IF(ISNUMBER(INDEX(SPPR!$E:$X,MATCH($A171,SPPR!$A:$A,0),3)),$C171*INDEX(SPPR!$E:$X,MATCH($A171,SPPR!$A:$A,0),3),""),"")</f>
        <v/>
      </c>
      <c r="G171">
        <f>IFERROR(IF(ISNUMBER(INDEX(SPPR!$E:$X,MATCH($A171,SPPR!$A:$A,0),4)),$C171*INDEX(SPPR!$E:$X,MATCH($A171,SPPR!$A:$A,0),4),""),"")</f>
        <v/>
      </c>
      <c r="H171">
        <f>IFERROR(IF(ISNUMBER(INDEX(SPPR!$E:$X,MATCH($A171,SPPR!$A:$A,0),5)),$C171*INDEX(SPPR!$E:$X,MATCH($A171,SPPR!$A:$A,0),5),""),"")</f>
        <v/>
      </c>
      <c r="I171">
        <f>IFERROR(IF(ISNUMBER(INDEX(SPPR!$E:$X,MATCH($A171,SPPR!$A:$A,0),6)),$C171*INDEX(SPPR!$E:$X,MATCH($A171,SPPR!$A:$A,0),6),""),"")</f>
        <v/>
      </c>
      <c r="J171">
        <f>IFERROR(IF(ISNUMBER(INDEX(SPPR!$E:$X,MATCH($A171,SPPR!$A:$A,0),7)),$C171*INDEX(SPPR!$E:$X,MATCH($A171,SPPR!$A:$A,0),7),""),"")</f>
        <v/>
      </c>
      <c r="K171">
        <f>IFERROR(IF(ISNUMBER(INDEX(SPPR!$E:$X,MATCH($A171,SPPR!$A:$A,0),8)),$C171*INDEX(SPPR!$E:$X,MATCH($A171,SPPR!$A:$A,0),8),""),"")</f>
        <v/>
      </c>
      <c r="L171">
        <f>IFERROR(IF(ISNUMBER(INDEX(SPPR!$E:$X,MATCH($A171,SPPR!$A:$A,0),9)),$C171*INDEX(SPPR!$E:$X,MATCH($A171,SPPR!$A:$A,0),9),""),"")</f>
        <v/>
      </c>
      <c r="M171">
        <f>IFERROR(IF(ISNUMBER(INDEX(SPPR!$E:$X,MATCH($A171,SPPR!$A:$A,0),10)),$C171*INDEX(SPPR!$E:$X,MATCH($A171,SPPR!$A:$A,0),10),""),"")</f>
        <v/>
      </c>
      <c r="N171">
        <f>IFERROR(IF(ISNUMBER(INDEX(SPPR!$E:$X,MATCH($A171,SPPR!$A:$A,0),11)),$C171*INDEX(SPPR!$E:$X,MATCH($A171,SPPR!$A:$A,0),11),""),"")</f>
        <v/>
      </c>
      <c r="O171">
        <f>IFERROR(IF(ISNUMBER(INDEX(SPPR!$E:$X,MATCH($A171,SPPR!$A:$A,0),12)),$C171*INDEX(SPPR!$E:$X,MATCH($A171,SPPR!$A:$A,0),12),""),"")</f>
        <v/>
      </c>
      <c r="P171">
        <f>IFERROR(IF(ISNUMBER(INDEX(SPPR!$E:$X,MATCH($A171,SPPR!$A:$A,0),13)),$C171*INDEX(SPPR!$E:$X,MATCH($A171,SPPR!$A:$A,0),13),""),"")</f>
        <v/>
      </c>
      <c r="Q171">
        <f>IFERROR(IF(ISNUMBER(INDEX(SPPR!$E:$X,MATCH($A171,SPPR!$A:$A,0),14)),$C171*INDEX(SPPR!$E:$X,MATCH($A171,SPPR!$A:$A,0),14),""),"")</f>
        <v/>
      </c>
      <c r="R171">
        <f>IFERROR(IF(ISNUMBER(INDEX(SPPR!$E:$X,MATCH($A171,SPPR!$A:$A,0),15)),$C171*INDEX(SPPR!$E:$X,MATCH($A171,SPPR!$A:$A,0),15),""),"")</f>
        <v/>
      </c>
      <c r="S171">
        <f>IFERROR(IF(ISNUMBER(INDEX(SPPR!$E:$X,MATCH($A171,SPPR!$A:$A,0),16)),$C171*INDEX(SPPR!$E:$X,MATCH($A171,SPPR!$A:$A,0),16),""),"")</f>
        <v/>
      </c>
      <c r="T171">
        <f>IFERROR(IF(ISNUMBER(INDEX(SPPR!$E:$X,MATCH($A171,SPPR!$A:$A,0),17)),$C171*INDEX(SPPR!$E:$X,MATCH($A171,SPPR!$A:$A,0),17),""),"")</f>
        <v/>
      </c>
      <c r="U171">
        <f>IFERROR(IF(ISNUMBER(INDEX(SPPR!$E:$X,MATCH($A171,SPPR!$A:$A,0),18)),$C171*INDEX(SPPR!$E:$X,MATCH($A171,SPPR!$A:$A,0),18),""),"")</f>
        <v/>
      </c>
      <c r="V171">
        <f>IFERROR(IF(ISNUMBER(INDEX(SPPR!$E:$X,MATCH($A171,SPPR!$A:$A,0),19)),$C171*INDEX(SPPR!$E:$X,MATCH($A171,SPPR!$A:$A,0),19),""),"")</f>
        <v/>
      </c>
      <c r="W171">
        <f>IFERROR(IF(ISNUMBER(INDEX(SPPR!$E:$X,MATCH($A171,SPPR!$A:$A,0),20)),$C171*INDEX(SPPR!$E:$X,MATCH($A171,SPPR!$A:$A,0),20),""),"")</f>
        <v/>
      </c>
    </row>
    <row r="172">
      <c r="A172" t="inlineStr">
        <is>
          <t>Paralichthys olivaceus</t>
        </is>
      </c>
      <c r="B172">
        <f>IFERROR(INDEX(SPPR!$D:$D,MATCH($A172,SPPR!$A:$A,0)),"")</f>
        <v/>
      </c>
      <c r="C172">
        <f>IFERROR(INDEX(Catch!$E:$BV,MATCH($A172,Catch!$A:$A,0),MATCH($B$4,Catch!$E$1:$BV$1,0)),0)</f>
        <v/>
      </c>
      <c r="D172">
        <f>IFERROR(IF(ISNUMBER(INDEX(SPPR!$E:$X,MATCH($A172,SPPR!$A:$A,0),1)),$C172*INDEX(SPPR!$E:$X,MATCH($A172,SPPR!$A:$A,0),1),""),"")</f>
        <v/>
      </c>
      <c r="E172">
        <f>IFERROR(IF(ISNUMBER(INDEX(SPPR!$E:$X,MATCH($A172,SPPR!$A:$A,0),2)),$C172*INDEX(SPPR!$E:$X,MATCH($A172,SPPR!$A:$A,0),2),""),"")</f>
        <v/>
      </c>
      <c r="F172">
        <f>IFERROR(IF(ISNUMBER(INDEX(SPPR!$E:$X,MATCH($A172,SPPR!$A:$A,0),3)),$C172*INDEX(SPPR!$E:$X,MATCH($A172,SPPR!$A:$A,0),3),""),"")</f>
        <v/>
      </c>
      <c r="G172">
        <f>IFERROR(IF(ISNUMBER(INDEX(SPPR!$E:$X,MATCH($A172,SPPR!$A:$A,0),4)),$C172*INDEX(SPPR!$E:$X,MATCH($A172,SPPR!$A:$A,0),4),""),"")</f>
        <v/>
      </c>
      <c r="H172">
        <f>IFERROR(IF(ISNUMBER(INDEX(SPPR!$E:$X,MATCH($A172,SPPR!$A:$A,0),5)),$C172*INDEX(SPPR!$E:$X,MATCH($A172,SPPR!$A:$A,0),5),""),"")</f>
        <v/>
      </c>
      <c r="I172">
        <f>IFERROR(IF(ISNUMBER(INDEX(SPPR!$E:$X,MATCH($A172,SPPR!$A:$A,0),6)),$C172*INDEX(SPPR!$E:$X,MATCH($A172,SPPR!$A:$A,0),6),""),"")</f>
        <v/>
      </c>
      <c r="J172">
        <f>IFERROR(IF(ISNUMBER(INDEX(SPPR!$E:$X,MATCH($A172,SPPR!$A:$A,0),7)),$C172*INDEX(SPPR!$E:$X,MATCH($A172,SPPR!$A:$A,0),7),""),"")</f>
        <v/>
      </c>
      <c r="K172">
        <f>IFERROR(IF(ISNUMBER(INDEX(SPPR!$E:$X,MATCH($A172,SPPR!$A:$A,0),8)),$C172*INDEX(SPPR!$E:$X,MATCH($A172,SPPR!$A:$A,0),8),""),"")</f>
        <v/>
      </c>
      <c r="L172">
        <f>IFERROR(IF(ISNUMBER(INDEX(SPPR!$E:$X,MATCH($A172,SPPR!$A:$A,0),9)),$C172*INDEX(SPPR!$E:$X,MATCH($A172,SPPR!$A:$A,0),9),""),"")</f>
        <v/>
      </c>
      <c r="M172">
        <f>IFERROR(IF(ISNUMBER(INDEX(SPPR!$E:$X,MATCH($A172,SPPR!$A:$A,0),10)),$C172*INDEX(SPPR!$E:$X,MATCH($A172,SPPR!$A:$A,0),10),""),"")</f>
        <v/>
      </c>
      <c r="N172">
        <f>IFERROR(IF(ISNUMBER(INDEX(SPPR!$E:$X,MATCH($A172,SPPR!$A:$A,0),11)),$C172*INDEX(SPPR!$E:$X,MATCH($A172,SPPR!$A:$A,0),11),""),"")</f>
        <v/>
      </c>
      <c r="O172">
        <f>IFERROR(IF(ISNUMBER(INDEX(SPPR!$E:$X,MATCH($A172,SPPR!$A:$A,0),12)),$C172*INDEX(SPPR!$E:$X,MATCH($A172,SPPR!$A:$A,0),12),""),"")</f>
        <v/>
      </c>
      <c r="P172">
        <f>IFERROR(IF(ISNUMBER(INDEX(SPPR!$E:$X,MATCH($A172,SPPR!$A:$A,0),13)),$C172*INDEX(SPPR!$E:$X,MATCH($A172,SPPR!$A:$A,0),13),""),"")</f>
        <v/>
      </c>
      <c r="Q172">
        <f>IFERROR(IF(ISNUMBER(INDEX(SPPR!$E:$X,MATCH($A172,SPPR!$A:$A,0),14)),$C172*INDEX(SPPR!$E:$X,MATCH($A172,SPPR!$A:$A,0),14),""),"")</f>
        <v/>
      </c>
      <c r="R172">
        <f>IFERROR(IF(ISNUMBER(INDEX(SPPR!$E:$X,MATCH($A172,SPPR!$A:$A,0),15)),$C172*INDEX(SPPR!$E:$X,MATCH($A172,SPPR!$A:$A,0),15),""),"")</f>
        <v/>
      </c>
      <c r="S172">
        <f>IFERROR(IF(ISNUMBER(INDEX(SPPR!$E:$X,MATCH($A172,SPPR!$A:$A,0),16)),$C172*INDEX(SPPR!$E:$X,MATCH($A172,SPPR!$A:$A,0),16),""),"")</f>
        <v/>
      </c>
      <c r="T172">
        <f>IFERROR(IF(ISNUMBER(INDEX(SPPR!$E:$X,MATCH($A172,SPPR!$A:$A,0),17)),$C172*INDEX(SPPR!$E:$X,MATCH($A172,SPPR!$A:$A,0),17),""),"")</f>
        <v/>
      </c>
      <c r="U172">
        <f>IFERROR(IF(ISNUMBER(INDEX(SPPR!$E:$X,MATCH($A172,SPPR!$A:$A,0),18)),$C172*INDEX(SPPR!$E:$X,MATCH($A172,SPPR!$A:$A,0),18),""),"")</f>
        <v/>
      </c>
      <c r="V172">
        <f>IFERROR(IF(ISNUMBER(INDEX(SPPR!$E:$X,MATCH($A172,SPPR!$A:$A,0),19)),$C172*INDEX(SPPR!$E:$X,MATCH($A172,SPPR!$A:$A,0),19),""),"")</f>
        <v/>
      </c>
      <c r="W172">
        <f>IFERROR(IF(ISNUMBER(INDEX(SPPR!$E:$X,MATCH($A172,SPPR!$A:$A,0),20)),$C172*INDEX(SPPR!$E:$X,MATCH($A172,SPPR!$A:$A,0),20),""),"")</f>
        <v/>
      </c>
    </row>
    <row r="173">
      <c r="A173" t="inlineStr">
        <is>
          <t>Polynemidae</t>
        </is>
      </c>
      <c r="B173">
        <f>IFERROR(INDEX(SPPR!$D:$D,MATCH($A173,SPPR!$A:$A,0)),"")</f>
        <v/>
      </c>
      <c r="C173">
        <f>IFERROR(INDEX(Catch!$E:$BV,MATCH($A173,Catch!$A:$A,0),MATCH($B$4,Catch!$E$1:$BV$1,0)),0)</f>
        <v/>
      </c>
      <c r="D173">
        <f>IFERROR(IF(ISNUMBER(INDEX(SPPR!$E:$X,MATCH($A173,SPPR!$A:$A,0),1)),$C173*INDEX(SPPR!$E:$X,MATCH($A173,SPPR!$A:$A,0),1),""),"")</f>
        <v/>
      </c>
      <c r="E173">
        <f>IFERROR(IF(ISNUMBER(INDEX(SPPR!$E:$X,MATCH($A173,SPPR!$A:$A,0),2)),$C173*INDEX(SPPR!$E:$X,MATCH($A173,SPPR!$A:$A,0),2),""),"")</f>
        <v/>
      </c>
      <c r="F173">
        <f>IFERROR(IF(ISNUMBER(INDEX(SPPR!$E:$X,MATCH($A173,SPPR!$A:$A,0),3)),$C173*INDEX(SPPR!$E:$X,MATCH($A173,SPPR!$A:$A,0),3),""),"")</f>
        <v/>
      </c>
      <c r="G173">
        <f>IFERROR(IF(ISNUMBER(INDEX(SPPR!$E:$X,MATCH($A173,SPPR!$A:$A,0),4)),$C173*INDEX(SPPR!$E:$X,MATCH($A173,SPPR!$A:$A,0),4),""),"")</f>
        <v/>
      </c>
      <c r="H173">
        <f>IFERROR(IF(ISNUMBER(INDEX(SPPR!$E:$X,MATCH($A173,SPPR!$A:$A,0),5)),$C173*INDEX(SPPR!$E:$X,MATCH($A173,SPPR!$A:$A,0),5),""),"")</f>
        <v/>
      </c>
      <c r="I173">
        <f>IFERROR(IF(ISNUMBER(INDEX(SPPR!$E:$X,MATCH($A173,SPPR!$A:$A,0),6)),$C173*INDEX(SPPR!$E:$X,MATCH($A173,SPPR!$A:$A,0),6),""),"")</f>
        <v/>
      </c>
      <c r="J173">
        <f>IFERROR(IF(ISNUMBER(INDEX(SPPR!$E:$X,MATCH($A173,SPPR!$A:$A,0),7)),$C173*INDEX(SPPR!$E:$X,MATCH($A173,SPPR!$A:$A,0),7),""),"")</f>
        <v/>
      </c>
      <c r="K173">
        <f>IFERROR(IF(ISNUMBER(INDEX(SPPR!$E:$X,MATCH($A173,SPPR!$A:$A,0),8)),$C173*INDEX(SPPR!$E:$X,MATCH($A173,SPPR!$A:$A,0),8),""),"")</f>
        <v/>
      </c>
      <c r="L173">
        <f>IFERROR(IF(ISNUMBER(INDEX(SPPR!$E:$X,MATCH($A173,SPPR!$A:$A,0),9)),$C173*INDEX(SPPR!$E:$X,MATCH($A173,SPPR!$A:$A,0),9),""),"")</f>
        <v/>
      </c>
      <c r="M173">
        <f>IFERROR(IF(ISNUMBER(INDEX(SPPR!$E:$X,MATCH($A173,SPPR!$A:$A,0),10)),$C173*INDEX(SPPR!$E:$X,MATCH($A173,SPPR!$A:$A,0),10),""),"")</f>
        <v/>
      </c>
      <c r="N173">
        <f>IFERROR(IF(ISNUMBER(INDEX(SPPR!$E:$X,MATCH($A173,SPPR!$A:$A,0),11)),$C173*INDEX(SPPR!$E:$X,MATCH($A173,SPPR!$A:$A,0),11),""),"")</f>
        <v/>
      </c>
      <c r="O173">
        <f>IFERROR(IF(ISNUMBER(INDEX(SPPR!$E:$X,MATCH($A173,SPPR!$A:$A,0),12)),$C173*INDEX(SPPR!$E:$X,MATCH($A173,SPPR!$A:$A,0),12),""),"")</f>
        <v/>
      </c>
      <c r="P173">
        <f>IFERROR(IF(ISNUMBER(INDEX(SPPR!$E:$X,MATCH($A173,SPPR!$A:$A,0),13)),$C173*INDEX(SPPR!$E:$X,MATCH($A173,SPPR!$A:$A,0),13),""),"")</f>
        <v/>
      </c>
      <c r="Q173">
        <f>IFERROR(IF(ISNUMBER(INDEX(SPPR!$E:$X,MATCH($A173,SPPR!$A:$A,0),14)),$C173*INDEX(SPPR!$E:$X,MATCH($A173,SPPR!$A:$A,0),14),""),"")</f>
        <v/>
      </c>
      <c r="R173">
        <f>IFERROR(IF(ISNUMBER(INDEX(SPPR!$E:$X,MATCH($A173,SPPR!$A:$A,0),15)),$C173*INDEX(SPPR!$E:$X,MATCH($A173,SPPR!$A:$A,0),15),""),"")</f>
        <v/>
      </c>
      <c r="S173">
        <f>IFERROR(IF(ISNUMBER(INDEX(SPPR!$E:$X,MATCH($A173,SPPR!$A:$A,0),16)),$C173*INDEX(SPPR!$E:$X,MATCH($A173,SPPR!$A:$A,0),16),""),"")</f>
        <v/>
      </c>
      <c r="T173">
        <f>IFERROR(IF(ISNUMBER(INDEX(SPPR!$E:$X,MATCH($A173,SPPR!$A:$A,0),17)),$C173*INDEX(SPPR!$E:$X,MATCH($A173,SPPR!$A:$A,0),17),""),"")</f>
        <v/>
      </c>
      <c r="U173">
        <f>IFERROR(IF(ISNUMBER(INDEX(SPPR!$E:$X,MATCH($A173,SPPR!$A:$A,0),18)),$C173*INDEX(SPPR!$E:$X,MATCH($A173,SPPR!$A:$A,0),18),""),"")</f>
        <v/>
      </c>
      <c r="V173">
        <f>IFERROR(IF(ISNUMBER(INDEX(SPPR!$E:$X,MATCH($A173,SPPR!$A:$A,0),19)),$C173*INDEX(SPPR!$E:$X,MATCH($A173,SPPR!$A:$A,0),19),""),"")</f>
        <v/>
      </c>
      <c r="W173">
        <f>IFERROR(IF(ISNUMBER(INDEX(SPPR!$E:$X,MATCH($A173,SPPR!$A:$A,0),20)),$C173*INDEX(SPPR!$E:$X,MATCH($A173,SPPR!$A:$A,0),20),""),"")</f>
        <v/>
      </c>
    </row>
    <row r="174">
      <c r="A174" t="inlineStr">
        <is>
          <t>Caranx ignobilis</t>
        </is>
      </c>
      <c r="B174">
        <f>IFERROR(INDEX(SPPR!$D:$D,MATCH($A174,SPPR!$A:$A,0)),"")</f>
        <v/>
      </c>
      <c r="C174">
        <f>IFERROR(INDEX(Catch!$E:$BV,MATCH($A174,Catch!$A:$A,0),MATCH($B$4,Catch!$E$1:$BV$1,0)),0)</f>
        <v/>
      </c>
      <c r="D174">
        <f>IFERROR(IF(ISNUMBER(INDEX(SPPR!$E:$X,MATCH($A174,SPPR!$A:$A,0),1)),$C174*INDEX(SPPR!$E:$X,MATCH($A174,SPPR!$A:$A,0),1),""),"")</f>
        <v/>
      </c>
      <c r="E174">
        <f>IFERROR(IF(ISNUMBER(INDEX(SPPR!$E:$X,MATCH($A174,SPPR!$A:$A,0),2)),$C174*INDEX(SPPR!$E:$X,MATCH($A174,SPPR!$A:$A,0),2),""),"")</f>
        <v/>
      </c>
      <c r="F174">
        <f>IFERROR(IF(ISNUMBER(INDEX(SPPR!$E:$X,MATCH($A174,SPPR!$A:$A,0),3)),$C174*INDEX(SPPR!$E:$X,MATCH($A174,SPPR!$A:$A,0),3),""),"")</f>
        <v/>
      </c>
      <c r="G174">
        <f>IFERROR(IF(ISNUMBER(INDEX(SPPR!$E:$X,MATCH($A174,SPPR!$A:$A,0),4)),$C174*INDEX(SPPR!$E:$X,MATCH($A174,SPPR!$A:$A,0),4),""),"")</f>
        <v/>
      </c>
      <c r="H174">
        <f>IFERROR(IF(ISNUMBER(INDEX(SPPR!$E:$X,MATCH($A174,SPPR!$A:$A,0),5)),$C174*INDEX(SPPR!$E:$X,MATCH($A174,SPPR!$A:$A,0),5),""),"")</f>
        <v/>
      </c>
      <c r="I174">
        <f>IFERROR(IF(ISNUMBER(INDEX(SPPR!$E:$X,MATCH($A174,SPPR!$A:$A,0),6)),$C174*INDEX(SPPR!$E:$X,MATCH($A174,SPPR!$A:$A,0),6),""),"")</f>
        <v/>
      </c>
      <c r="J174">
        <f>IFERROR(IF(ISNUMBER(INDEX(SPPR!$E:$X,MATCH($A174,SPPR!$A:$A,0),7)),$C174*INDEX(SPPR!$E:$X,MATCH($A174,SPPR!$A:$A,0),7),""),"")</f>
        <v/>
      </c>
      <c r="K174">
        <f>IFERROR(IF(ISNUMBER(INDEX(SPPR!$E:$X,MATCH($A174,SPPR!$A:$A,0),8)),$C174*INDEX(SPPR!$E:$X,MATCH($A174,SPPR!$A:$A,0),8),""),"")</f>
        <v/>
      </c>
      <c r="L174">
        <f>IFERROR(IF(ISNUMBER(INDEX(SPPR!$E:$X,MATCH($A174,SPPR!$A:$A,0),9)),$C174*INDEX(SPPR!$E:$X,MATCH($A174,SPPR!$A:$A,0),9),""),"")</f>
        <v/>
      </c>
      <c r="M174">
        <f>IFERROR(IF(ISNUMBER(INDEX(SPPR!$E:$X,MATCH($A174,SPPR!$A:$A,0),10)),$C174*INDEX(SPPR!$E:$X,MATCH($A174,SPPR!$A:$A,0),10),""),"")</f>
        <v/>
      </c>
      <c r="N174">
        <f>IFERROR(IF(ISNUMBER(INDEX(SPPR!$E:$X,MATCH($A174,SPPR!$A:$A,0),11)),$C174*INDEX(SPPR!$E:$X,MATCH($A174,SPPR!$A:$A,0),11),""),"")</f>
        <v/>
      </c>
      <c r="O174">
        <f>IFERROR(IF(ISNUMBER(INDEX(SPPR!$E:$X,MATCH($A174,SPPR!$A:$A,0),12)),$C174*INDEX(SPPR!$E:$X,MATCH($A174,SPPR!$A:$A,0),12),""),"")</f>
        <v/>
      </c>
      <c r="P174">
        <f>IFERROR(IF(ISNUMBER(INDEX(SPPR!$E:$X,MATCH($A174,SPPR!$A:$A,0),13)),$C174*INDEX(SPPR!$E:$X,MATCH($A174,SPPR!$A:$A,0),13),""),"")</f>
        <v/>
      </c>
      <c r="Q174">
        <f>IFERROR(IF(ISNUMBER(INDEX(SPPR!$E:$X,MATCH($A174,SPPR!$A:$A,0),14)),$C174*INDEX(SPPR!$E:$X,MATCH($A174,SPPR!$A:$A,0),14),""),"")</f>
        <v/>
      </c>
      <c r="R174">
        <f>IFERROR(IF(ISNUMBER(INDEX(SPPR!$E:$X,MATCH($A174,SPPR!$A:$A,0),15)),$C174*INDEX(SPPR!$E:$X,MATCH($A174,SPPR!$A:$A,0),15),""),"")</f>
        <v/>
      </c>
      <c r="S174">
        <f>IFERROR(IF(ISNUMBER(INDEX(SPPR!$E:$X,MATCH($A174,SPPR!$A:$A,0),16)),$C174*INDEX(SPPR!$E:$X,MATCH($A174,SPPR!$A:$A,0),16),""),"")</f>
        <v/>
      </c>
      <c r="T174">
        <f>IFERROR(IF(ISNUMBER(INDEX(SPPR!$E:$X,MATCH($A174,SPPR!$A:$A,0),17)),$C174*INDEX(SPPR!$E:$X,MATCH($A174,SPPR!$A:$A,0),17),""),"")</f>
        <v/>
      </c>
      <c r="U174">
        <f>IFERROR(IF(ISNUMBER(INDEX(SPPR!$E:$X,MATCH($A174,SPPR!$A:$A,0),18)),$C174*INDEX(SPPR!$E:$X,MATCH($A174,SPPR!$A:$A,0),18),""),"")</f>
        <v/>
      </c>
      <c r="V174">
        <f>IFERROR(IF(ISNUMBER(INDEX(SPPR!$E:$X,MATCH($A174,SPPR!$A:$A,0),19)),$C174*INDEX(SPPR!$E:$X,MATCH($A174,SPPR!$A:$A,0),19),""),"")</f>
        <v/>
      </c>
      <c r="W174">
        <f>IFERROR(IF(ISNUMBER(INDEX(SPPR!$E:$X,MATCH($A174,SPPR!$A:$A,0),20)),$C174*INDEX(SPPR!$E:$X,MATCH($A174,SPPR!$A:$A,0),20),""),"")</f>
        <v/>
      </c>
    </row>
    <row r="175">
      <c r="A175" t="inlineStr">
        <is>
          <t>Pomadasys</t>
        </is>
      </c>
      <c r="B175">
        <f>IFERROR(INDEX(SPPR!$D:$D,MATCH($A175,SPPR!$A:$A,0)),"")</f>
        <v/>
      </c>
      <c r="C175">
        <f>IFERROR(INDEX(Catch!$E:$BV,MATCH($A175,Catch!$A:$A,0),MATCH($B$4,Catch!$E$1:$BV$1,0)),0)</f>
        <v/>
      </c>
      <c r="D175">
        <f>IFERROR(IF(ISNUMBER(INDEX(SPPR!$E:$X,MATCH($A175,SPPR!$A:$A,0),1)),$C175*INDEX(SPPR!$E:$X,MATCH($A175,SPPR!$A:$A,0),1),""),"")</f>
        <v/>
      </c>
      <c r="E175">
        <f>IFERROR(IF(ISNUMBER(INDEX(SPPR!$E:$X,MATCH($A175,SPPR!$A:$A,0),2)),$C175*INDEX(SPPR!$E:$X,MATCH($A175,SPPR!$A:$A,0),2),""),"")</f>
        <v/>
      </c>
      <c r="F175">
        <f>IFERROR(IF(ISNUMBER(INDEX(SPPR!$E:$X,MATCH($A175,SPPR!$A:$A,0),3)),$C175*INDEX(SPPR!$E:$X,MATCH($A175,SPPR!$A:$A,0),3),""),"")</f>
        <v/>
      </c>
      <c r="G175">
        <f>IFERROR(IF(ISNUMBER(INDEX(SPPR!$E:$X,MATCH($A175,SPPR!$A:$A,0),4)),$C175*INDEX(SPPR!$E:$X,MATCH($A175,SPPR!$A:$A,0),4),""),"")</f>
        <v/>
      </c>
      <c r="H175">
        <f>IFERROR(IF(ISNUMBER(INDEX(SPPR!$E:$X,MATCH($A175,SPPR!$A:$A,0),5)),$C175*INDEX(SPPR!$E:$X,MATCH($A175,SPPR!$A:$A,0),5),""),"")</f>
        <v/>
      </c>
      <c r="I175">
        <f>IFERROR(IF(ISNUMBER(INDEX(SPPR!$E:$X,MATCH($A175,SPPR!$A:$A,0),6)),$C175*INDEX(SPPR!$E:$X,MATCH($A175,SPPR!$A:$A,0),6),""),"")</f>
        <v/>
      </c>
      <c r="J175">
        <f>IFERROR(IF(ISNUMBER(INDEX(SPPR!$E:$X,MATCH($A175,SPPR!$A:$A,0),7)),$C175*INDEX(SPPR!$E:$X,MATCH($A175,SPPR!$A:$A,0),7),""),"")</f>
        <v/>
      </c>
      <c r="K175">
        <f>IFERROR(IF(ISNUMBER(INDEX(SPPR!$E:$X,MATCH($A175,SPPR!$A:$A,0),8)),$C175*INDEX(SPPR!$E:$X,MATCH($A175,SPPR!$A:$A,0),8),""),"")</f>
        <v/>
      </c>
      <c r="L175">
        <f>IFERROR(IF(ISNUMBER(INDEX(SPPR!$E:$X,MATCH($A175,SPPR!$A:$A,0),9)),$C175*INDEX(SPPR!$E:$X,MATCH($A175,SPPR!$A:$A,0),9),""),"")</f>
        <v/>
      </c>
      <c r="M175">
        <f>IFERROR(IF(ISNUMBER(INDEX(SPPR!$E:$X,MATCH($A175,SPPR!$A:$A,0),10)),$C175*INDEX(SPPR!$E:$X,MATCH($A175,SPPR!$A:$A,0),10),""),"")</f>
        <v/>
      </c>
      <c r="N175">
        <f>IFERROR(IF(ISNUMBER(INDEX(SPPR!$E:$X,MATCH($A175,SPPR!$A:$A,0),11)),$C175*INDEX(SPPR!$E:$X,MATCH($A175,SPPR!$A:$A,0),11),""),"")</f>
        <v/>
      </c>
      <c r="O175">
        <f>IFERROR(IF(ISNUMBER(INDEX(SPPR!$E:$X,MATCH($A175,SPPR!$A:$A,0),12)),$C175*INDEX(SPPR!$E:$X,MATCH($A175,SPPR!$A:$A,0),12),""),"")</f>
        <v/>
      </c>
      <c r="P175">
        <f>IFERROR(IF(ISNUMBER(INDEX(SPPR!$E:$X,MATCH($A175,SPPR!$A:$A,0),13)),$C175*INDEX(SPPR!$E:$X,MATCH($A175,SPPR!$A:$A,0),13),""),"")</f>
        <v/>
      </c>
      <c r="Q175">
        <f>IFERROR(IF(ISNUMBER(INDEX(SPPR!$E:$X,MATCH($A175,SPPR!$A:$A,0),14)),$C175*INDEX(SPPR!$E:$X,MATCH($A175,SPPR!$A:$A,0),14),""),"")</f>
        <v/>
      </c>
      <c r="R175">
        <f>IFERROR(IF(ISNUMBER(INDEX(SPPR!$E:$X,MATCH($A175,SPPR!$A:$A,0),15)),$C175*INDEX(SPPR!$E:$X,MATCH($A175,SPPR!$A:$A,0),15),""),"")</f>
        <v/>
      </c>
      <c r="S175">
        <f>IFERROR(IF(ISNUMBER(INDEX(SPPR!$E:$X,MATCH($A175,SPPR!$A:$A,0),16)),$C175*INDEX(SPPR!$E:$X,MATCH($A175,SPPR!$A:$A,0),16),""),"")</f>
        <v/>
      </c>
      <c r="T175">
        <f>IFERROR(IF(ISNUMBER(INDEX(SPPR!$E:$X,MATCH($A175,SPPR!$A:$A,0),17)),$C175*INDEX(SPPR!$E:$X,MATCH($A175,SPPR!$A:$A,0),17),""),"")</f>
        <v/>
      </c>
      <c r="U175">
        <f>IFERROR(IF(ISNUMBER(INDEX(SPPR!$E:$X,MATCH($A175,SPPR!$A:$A,0),18)),$C175*INDEX(SPPR!$E:$X,MATCH($A175,SPPR!$A:$A,0),18),""),"")</f>
        <v/>
      </c>
      <c r="V175">
        <f>IFERROR(IF(ISNUMBER(INDEX(SPPR!$E:$X,MATCH($A175,SPPR!$A:$A,0),19)),$C175*INDEX(SPPR!$E:$X,MATCH($A175,SPPR!$A:$A,0),19),""),"")</f>
        <v/>
      </c>
      <c r="W175">
        <f>IFERROR(IF(ISNUMBER(INDEX(SPPR!$E:$X,MATCH($A175,SPPR!$A:$A,0),20)),$C175*INDEX(SPPR!$E:$X,MATCH($A175,SPPR!$A:$A,0),20),""),"")</f>
        <v/>
      </c>
    </row>
    <row r="176">
      <c r="A176" t="inlineStr">
        <is>
          <t>Gastropoda</t>
        </is>
      </c>
      <c r="B176">
        <f>IFERROR(INDEX(SPPR!$D:$D,MATCH($A176,SPPR!$A:$A,0)),"")</f>
        <v/>
      </c>
      <c r="C176">
        <f>IFERROR(INDEX(Catch!$E:$BV,MATCH($A176,Catch!$A:$A,0),MATCH($B$4,Catch!$E$1:$BV$1,0)),0)</f>
        <v/>
      </c>
      <c r="D176">
        <f>IFERROR(IF(ISNUMBER(INDEX(SPPR!$E:$X,MATCH($A176,SPPR!$A:$A,0),1)),$C176*INDEX(SPPR!$E:$X,MATCH($A176,SPPR!$A:$A,0),1),""),"")</f>
        <v/>
      </c>
      <c r="E176">
        <f>IFERROR(IF(ISNUMBER(INDEX(SPPR!$E:$X,MATCH($A176,SPPR!$A:$A,0),2)),$C176*INDEX(SPPR!$E:$X,MATCH($A176,SPPR!$A:$A,0),2),""),"")</f>
        <v/>
      </c>
      <c r="F176">
        <f>IFERROR(IF(ISNUMBER(INDEX(SPPR!$E:$X,MATCH($A176,SPPR!$A:$A,0),3)),$C176*INDEX(SPPR!$E:$X,MATCH($A176,SPPR!$A:$A,0),3),""),"")</f>
        <v/>
      </c>
      <c r="G176">
        <f>IFERROR(IF(ISNUMBER(INDEX(SPPR!$E:$X,MATCH($A176,SPPR!$A:$A,0),4)),$C176*INDEX(SPPR!$E:$X,MATCH($A176,SPPR!$A:$A,0),4),""),"")</f>
        <v/>
      </c>
      <c r="H176">
        <f>IFERROR(IF(ISNUMBER(INDEX(SPPR!$E:$X,MATCH($A176,SPPR!$A:$A,0),5)),$C176*INDEX(SPPR!$E:$X,MATCH($A176,SPPR!$A:$A,0),5),""),"")</f>
        <v/>
      </c>
      <c r="I176">
        <f>IFERROR(IF(ISNUMBER(INDEX(SPPR!$E:$X,MATCH($A176,SPPR!$A:$A,0),6)),$C176*INDEX(SPPR!$E:$X,MATCH($A176,SPPR!$A:$A,0),6),""),"")</f>
        <v/>
      </c>
      <c r="J176">
        <f>IFERROR(IF(ISNUMBER(INDEX(SPPR!$E:$X,MATCH($A176,SPPR!$A:$A,0),7)),$C176*INDEX(SPPR!$E:$X,MATCH($A176,SPPR!$A:$A,0),7),""),"")</f>
        <v/>
      </c>
      <c r="K176">
        <f>IFERROR(IF(ISNUMBER(INDEX(SPPR!$E:$X,MATCH($A176,SPPR!$A:$A,0),8)),$C176*INDEX(SPPR!$E:$X,MATCH($A176,SPPR!$A:$A,0),8),""),"")</f>
        <v/>
      </c>
      <c r="L176">
        <f>IFERROR(IF(ISNUMBER(INDEX(SPPR!$E:$X,MATCH($A176,SPPR!$A:$A,0),9)),$C176*INDEX(SPPR!$E:$X,MATCH($A176,SPPR!$A:$A,0),9),""),"")</f>
        <v/>
      </c>
      <c r="M176">
        <f>IFERROR(IF(ISNUMBER(INDEX(SPPR!$E:$X,MATCH($A176,SPPR!$A:$A,0),10)),$C176*INDEX(SPPR!$E:$X,MATCH($A176,SPPR!$A:$A,0),10),""),"")</f>
        <v/>
      </c>
      <c r="N176">
        <f>IFERROR(IF(ISNUMBER(INDEX(SPPR!$E:$X,MATCH($A176,SPPR!$A:$A,0),11)),$C176*INDEX(SPPR!$E:$X,MATCH($A176,SPPR!$A:$A,0),11),""),"")</f>
        <v/>
      </c>
      <c r="O176">
        <f>IFERROR(IF(ISNUMBER(INDEX(SPPR!$E:$X,MATCH($A176,SPPR!$A:$A,0),12)),$C176*INDEX(SPPR!$E:$X,MATCH($A176,SPPR!$A:$A,0),12),""),"")</f>
        <v/>
      </c>
      <c r="P176">
        <f>IFERROR(IF(ISNUMBER(INDEX(SPPR!$E:$X,MATCH($A176,SPPR!$A:$A,0),13)),$C176*INDEX(SPPR!$E:$X,MATCH($A176,SPPR!$A:$A,0),13),""),"")</f>
        <v/>
      </c>
      <c r="Q176">
        <f>IFERROR(IF(ISNUMBER(INDEX(SPPR!$E:$X,MATCH($A176,SPPR!$A:$A,0),14)),$C176*INDEX(SPPR!$E:$X,MATCH($A176,SPPR!$A:$A,0),14),""),"")</f>
        <v/>
      </c>
      <c r="R176">
        <f>IFERROR(IF(ISNUMBER(INDEX(SPPR!$E:$X,MATCH($A176,SPPR!$A:$A,0),15)),$C176*INDEX(SPPR!$E:$X,MATCH($A176,SPPR!$A:$A,0),15),""),"")</f>
        <v/>
      </c>
      <c r="S176">
        <f>IFERROR(IF(ISNUMBER(INDEX(SPPR!$E:$X,MATCH($A176,SPPR!$A:$A,0),16)),$C176*INDEX(SPPR!$E:$X,MATCH($A176,SPPR!$A:$A,0),16),""),"")</f>
        <v/>
      </c>
      <c r="T176">
        <f>IFERROR(IF(ISNUMBER(INDEX(SPPR!$E:$X,MATCH($A176,SPPR!$A:$A,0),17)),$C176*INDEX(SPPR!$E:$X,MATCH($A176,SPPR!$A:$A,0),17),""),"")</f>
        <v/>
      </c>
      <c r="U176">
        <f>IFERROR(IF(ISNUMBER(INDEX(SPPR!$E:$X,MATCH($A176,SPPR!$A:$A,0),18)),$C176*INDEX(SPPR!$E:$X,MATCH($A176,SPPR!$A:$A,0),18),""),"")</f>
        <v/>
      </c>
      <c r="V176">
        <f>IFERROR(IF(ISNUMBER(INDEX(SPPR!$E:$X,MATCH($A176,SPPR!$A:$A,0),19)),$C176*INDEX(SPPR!$E:$X,MATCH($A176,SPPR!$A:$A,0),19),""),"")</f>
        <v/>
      </c>
      <c r="W176">
        <f>IFERROR(IF(ISNUMBER(INDEX(SPPR!$E:$X,MATCH($A176,SPPR!$A:$A,0),20)),$C176*INDEX(SPPR!$E:$X,MATCH($A176,SPPR!$A:$A,0),20),""),"")</f>
        <v/>
      </c>
    </row>
    <row r="177">
      <c r="A177" t="inlineStr">
        <is>
          <t>Psenopsis anomala</t>
        </is>
      </c>
      <c r="B177">
        <f>IFERROR(INDEX(SPPR!$D:$D,MATCH($A177,SPPR!$A:$A,0)),"")</f>
        <v/>
      </c>
      <c r="C177">
        <f>IFERROR(INDEX(Catch!$E:$BV,MATCH($A177,Catch!$A:$A,0),MATCH($B$4,Catch!$E$1:$BV$1,0)),0)</f>
        <v/>
      </c>
      <c r="D177">
        <f>IFERROR(IF(ISNUMBER(INDEX(SPPR!$E:$X,MATCH($A177,SPPR!$A:$A,0),1)),$C177*INDEX(SPPR!$E:$X,MATCH($A177,SPPR!$A:$A,0),1),""),"")</f>
        <v/>
      </c>
      <c r="E177">
        <f>IFERROR(IF(ISNUMBER(INDEX(SPPR!$E:$X,MATCH($A177,SPPR!$A:$A,0),2)),$C177*INDEX(SPPR!$E:$X,MATCH($A177,SPPR!$A:$A,0),2),""),"")</f>
        <v/>
      </c>
      <c r="F177">
        <f>IFERROR(IF(ISNUMBER(INDEX(SPPR!$E:$X,MATCH($A177,SPPR!$A:$A,0),3)),$C177*INDEX(SPPR!$E:$X,MATCH($A177,SPPR!$A:$A,0),3),""),"")</f>
        <v/>
      </c>
      <c r="G177">
        <f>IFERROR(IF(ISNUMBER(INDEX(SPPR!$E:$X,MATCH($A177,SPPR!$A:$A,0),4)),$C177*INDEX(SPPR!$E:$X,MATCH($A177,SPPR!$A:$A,0),4),""),"")</f>
        <v/>
      </c>
      <c r="H177">
        <f>IFERROR(IF(ISNUMBER(INDEX(SPPR!$E:$X,MATCH($A177,SPPR!$A:$A,0),5)),$C177*INDEX(SPPR!$E:$X,MATCH($A177,SPPR!$A:$A,0),5),""),"")</f>
        <v/>
      </c>
      <c r="I177">
        <f>IFERROR(IF(ISNUMBER(INDEX(SPPR!$E:$X,MATCH($A177,SPPR!$A:$A,0),6)),$C177*INDEX(SPPR!$E:$X,MATCH($A177,SPPR!$A:$A,0),6),""),"")</f>
        <v/>
      </c>
      <c r="J177">
        <f>IFERROR(IF(ISNUMBER(INDEX(SPPR!$E:$X,MATCH($A177,SPPR!$A:$A,0),7)),$C177*INDEX(SPPR!$E:$X,MATCH($A177,SPPR!$A:$A,0),7),""),"")</f>
        <v/>
      </c>
      <c r="K177">
        <f>IFERROR(IF(ISNUMBER(INDEX(SPPR!$E:$X,MATCH($A177,SPPR!$A:$A,0),8)),$C177*INDEX(SPPR!$E:$X,MATCH($A177,SPPR!$A:$A,0),8),""),"")</f>
        <v/>
      </c>
      <c r="L177">
        <f>IFERROR(IF(ISNUMBER(INDEX(SPPR!$E:$X,MATCH($A177,SPPR!$A:$A,0),9)),$C177*INDEX(SPPR!$E:$X,MATCH($A177,SPPR!$A:$A,0),9),""),"")</f>
        <v/>
      </c>
      <c r="M177">
        <f>IFERROR(IF(ISNUMBER(INDEX(SPPR!$E:$X,MATCH($A177,SPPR!$A:$A,0),10)),$C177*INDEX(SPPR!$E:$X,MATCH($A177,SPPR!$A:$A,0),10),""),"")</f>
        <v/>
      </c>
      <c r="N177">
        <f>IFERROR(IF(ISNUMBER(INDEX(SPPR!$E:$X,MATCH($A177,SPPR!$A:$A,0),11)),$C177*INDEX(SPPR!$E:$X,MATCH($A177,SPPR!$A:$A,0),11),""),"")</f>
        <v/>
      </c>
      <c r="O177">
        <f>IFERROR(IF(ISNUMBER(INDEX(SPPR!$E:$X,MATCH($A177,SPPR!$A:$A,0),12)),$C177*INDEX(SPPR!$E:$X,MATCH($A177,SPPR!$A:$A,0),12),""),"")</f>
        <v/>
      </c>
      <c r="P177">
        <f>IFERROR(IF(ISNUMBER(INDEX(SPPR!$E:$X,MATCH($A177,SPPR!$A:$A,0),13)),$C177*INDEX(SPPR!$E:$X,MATCH($A177,SPPR!$A:$A,0),13),""),"")</f>
        <v/>
      </c>
      <c r="Q177">
        <f>IFERROR(IF(ISNUMBER(INDEX(SPPR!$E:$X,MATCH($A177,SPPR!$A:$A,0),14)),$C177*INDEX(SPPR!$E:$X,MATCH($A177,SPPR!$A:$A,0),14),""),"")</f>
        <v/>
      </c>
      <c r="R177">
        <f>IFERROR(IF(ISNUMBER(INDEX(SPPR!$E:$X,MATCH($A177,SPPR!$A:$A,0),15)),$C177*INDEX(SPPR!$E:$X,MATCH($A177,SPPR!$A:$A,0),15),""),"")</f>
        <v/>
      </c>
      <c r="S177">
        <f>IFERROR(IF(ISNUMBER(INDEX(SPPR!$E:$X,MATCH($A177,SPPR!$A:$A,0),16)),$C177*INDEX(SPPR!$E:$X,MATCH($A177,SPPR!$A:$A,0),16),""),"")</f>
        <v/>
      </c>
      <c r="T177">
        <f>IFERROR(IF(ISNUMBER(INDEX(SPPR!$E:$X,MATCH($A177,SPPR!$A:$A,0),17)),$C177*INDEX(SPPR!$E:$X,MATCH($A177,SPPR!$A:$A,0),17),""),"")</f>
        <v/>
      </c>
      <c r="U177">
        <f>IFERROR(IF(ISNUMBER(INDEX(SPPR!$E:$X,MATCH($A177,SPPR!$A:$A,0),18)),$C177*INDEX(SPPR!$E:$X,MATCH($A177,SPPR!$A:$A,0),18),""),"")</f>
        <v/>
      </c>
      <c r="V177">
        <f>IFERROR(IF(ISNUMBER(INDEX(SPPR!$E:$X,MATCH($A177,SPPR!$A:$A,0),19)),$C177*INDEX(SPPR!$E:$X,MATCH($A177,SPPR!$A:$A,0),19),""),"")</f>
        <v/>
      </c>
      <c r="W177">
        <f>IFERROR(IF(ISNUMBER(INDEX(SPPR!$E:$X,MATCH($A177,SPPR!$A:$A,0),20)),$C177*INDEX(SPPR!$E:$X,MATCH($A177,SPPR!$A:$A,0),20),""),"")</f>
        <v/>
      </c>
    </row>
    <row r="178">
      <c r="A178" t="inlineStr">
        <is>
          <t>Platycephalus indicus</t>
        </is>
      </c>
      <c r="B178">
        <f>IFERROR(INDEX(SPPR!$D:$D,MATCH($A178,SPPR!$A:$A,0)),"")</f>
        <v/>
      </c>
      <c r="C178">
        <f>IFERROR(INDEX(Catch!$E:$BV,MATCH($A178,Catch!$A:$A,0),MATCH($B$4,Catch!$E$1:$BV$1,0)),0)</f>
        <v/>
      </c>
      <c r="D178">
        <f>IFERROR(IF(ISNUMBER(INDEX(SPPR!$E:$X,MATCH($A178,SPPR!$A:$A,0),1)),$C178*INDEX(SPPR!$E:$X,MATCH($A178,SPPR!$A:$A,0),1),""),"")</f>
        <v/>
      </c>
      <c r="E178">
        <f>IFERROR(IF(ISNUMBER(INDEX(SPPR!$E:$X,MATCH($A178,SPPR!$A:$A,0),2)),$C178*INDEX(SPPR!$E:$X,MATCH($A178,SPPR!$A:$A,0),2),""),"")</f>
        <v/>
      </c>
      <c r="F178">
        <f>IFERROR(IF(ISNUMBER(INDEX(SPPR!$E:$X,MATCH($A178,SPPR!$A:$A,0),3)),$C178*INDEX(SPPR!$E:$X,MATCH($A178,SPPR!$A:$A,0),3),""),"")</f>
        <v/>
      </c>
      <c r="G178">
        <f>IFERROR(IF(ISNUMBER(INDEX(SPPR!$E:$X,MATCH($A178,SPPR!$A:$A,0),4)),$C178*INDEX(SPPR!$E:$X,MATCH($A178,SPPR!$A:$A,0),4),""),"")</f>
        <v/>
      </c>
      <c r="H178">
        <f>IFERROR(IF(ISNUMBER(INDEX(SPPR!$E:$X,MATCH($A178,SPPR!$A:$A,0),5)),$C178*INDEX(SPPR!$E:$X,MATCH($A178,SPPR!$A:$A,0),5),""),"")</f>
        <v/>
      </c>
      <c r="I178">
        <f>IFERROR(IF(ISNUMBER(INDEX(SPPR!$E:$X,MATCH($A178,SPPR!$A:$A,0),6)),$C178*INDEX(SPPR!$E:$X,MATCH($A178,SPPR!$A:$A,0),6),""),"")</f>
        <v/>
      </c>
      <c r="J178">
        <f>IFERROR(IF(ISNUMBER(INDEX(SPPR!$E:$X,MATCH($A178,SPPR!$A:$A,0),7)),$C178*INDEX(SPPR!$E:$X,MATCH($A178,SPPR!$A:$A,0),7),""),"")</f>
        <v/>
      </c>
      <c r="K178">
        <f>IFERROR(IF(ISNUMBER(INDEX(SPPR!$E:$X,MATCH($A178,SPPR!$A:$A,0),8)),$C178*INDEX(SPPR!$E:$X,MATCH($A178,SPPR!$A:$A,0),8),""),"")</f>
        <v/>
      </c>
      <c r="L178">
        <f>IFERROR(IF(ISNUMBER(INDEX(SPPR!$E:$X,MATCH($A178,SPPR!$A:$A,0),9)),$C178*INDEX(SPPR!$E:$X,MATCH($A178,SPPR!$A:$A,0),9),""),"")</f>
        <v/>
      </c>
      <c r="M178">
        <f>IFERROR(IF(ISNUMBER(INDEX(SPPR!$E:$X,MATCH($A178,SPPR!$A:$A,0),10)),$C178*INDEX(SPPR!$E:$X,MATCH($A178,SPPR!$A:$A,0),10),""),"")</f>
        <v/>
      </c>
      <c r="N178">
        <f>IFERROR(IF(ISNUMBER(INDEX(SPPR!$E:$X,MATCH($A178,SPPR!$A:$A,0),11)),$C178*INDEX(SPPR!$E:$X,MATCH($A178,SPPR!$A:$A,0),11),""),"")</f>
        <v/>
      </c>
      <c r="O178">
        <f>IFERROR(IF(ISNUMBER(INDEX(SPPR!$E:$X,MATCH($A178,SPPR!$A:$A,0),12)),$C178*INDEX(SPPR!$E:$X,MATCH($A178,SPPR!$A:$A,0),12),""),"")</f>
        <v/>
      </c>
      <c r="P178">
        <f>IFERROR(IF(ISNUMBER(INDEX(SPPR!$E:$X,MATCH($A178,SPPR!$A:$A,0),13)),$C178*INDEX(SPPR!$E:$X,MATCH($A178,SPPR!$A:$A,0),13),""),"")</f>
        <v/>
      </c>
      <c r="Q178">
        <f>IFERROR(IF(ISNUMBER(INDEX(SPPR!$E:$X,MATCH($A178,SPPR!$A:$A,0),14)),$C178*INDEX(SPPR!$E:$X,MATCH($A178,SPPR!$A:$A,0),14),""),"")</f>
        <v/>
      </c>
      <c r="R178">
        <f>IFERROR(IF(ISNUMBER(INDEX(SPPR!$E:$X,MATCH($A178,SPPR!$A:$A,0),15)),$C178*INDEX(SPPR!$E:$X,MATCH($A178,SPPR!$A:$A,0),15),""),"")</f>
        <v/>
      </c>
      <c r="S178">
        <f>IFERROR(IF(ISNUMBER(INDEX(SPPR!$E:$X,MATCH($A178,SPPR!$A:$A,0),16)),$C178*INDEX(SPPR!$E:$X,MATCH($A178,SPPR!$A:$A,0),16),""),"")</f>
        <v/>
      </c>
      <c r="T178">
        <f>IFERROR(IF(ISNUMBER(INDEX(SPPR!$E:$X,MATCH($A178,SPPR!$A:$A,0),17)),$C178*INDEX(SPPR!$E:$X,MATCH($A178,SPPR!$A:$A,0),17),""),"")</f>
        <v/>
      </c>
      <c r="U178">
        <f>IFERROR(IF(ISNUMBER(INDEX(SPPR!$E:$X,MATCH($A178,SPPR!$A:$A,0),18)),$C178*INDEX(SPPR!$E:$X,MATCH($A178,SPPR!$A:$A,0),18),""),"")</f>
        <v/>
      </c>
      <c r="V178">
        <f>IFERROR(IF(ISNUMBER(INDEX(SPPR!$E:$X,MATCH($A178,SPPR!$A:$A,0),19)),$C178*INDEX(SPPR!$E:$X,MATCH($A178,SPPR!$A:$A,0),19),""),"")</f>
        <v/>
      </c>
      <c r="W178">
        <f>IFERROR(IF(ISNUMBER(INDEX(SPPR!$E:$X,MATCH($A178,SPPR!$A:$A,0),20)),$C178*INDEX(SPPR!$E:$X,MATCH($A178,SPPR!$A:$A,0),20),""),"")</f>
        <v/>
      </c>
    </row>
    <row r="179">
      <c r="A179" t="inlineStr">
        <is>
          <t>Ommastrephidae</t>
        </is>
      </c>
      <c r="B179">
        <f>IFERROR(INDEX(SPPR!$D:$D,MATCH($A179,SPPR!$A:$A,0)),"")</f>
        <v/>
      </c>
      <c r="C179">
        <f>IFERROR(INDEX(Catch!$E:$BV,MATCH($A179,Catch!$A:$A,0),MATCH($B$4,Catch!$E$1:$BV$1,0)),0)</f>
        <v/>
      </c>
      <c r="D179">
        <f>IFERROR(IF(ISNUMBER(INDEX(SPPR!$E:$X,MATCH($A179,SPPR!$A:$A,0),1)),$C179*INDEX(SPPR!$E:$X,MATCH($A179,SPPR!$A:$A,0),1),""),"")</f>
        <v/>
      </c>
      <c r="E179">
        <f>IFERROR(IF(ISNUMBER(INDEX(SPPR!$E:$X,MATCH($A179,SPPR!$A:$A,0),2)),$C179*INDEX(SPPR!$E:$X,MATCH($A179,SPPR!$A:$A,0),2),""),"")</f>
        <v/>
      </c>
      <c r="F179">
        <f>IFERROR(IF(ISNUMBER(INDEX(SPPR!$E:$X,MATCH($A179,SPPR!$A:$A,0),3)),$C179*INDEX(SPPR!$E:$X,MATCH($A179,SPPR!$A:$A,0),3),""),"")</f>
        <v/>
      </c>
      <c r="G179">
        <f>IFERROR(IF(ISNUMBER(INDEX(SPPR!$E:$X,MATCH($A179,SPPR!$A:$A,0),4)),$C179*INDEX(SPPR!$E:$X,MATCH($A179,SPPR!$A:$A,0),4),""),"")</f>
        <v/>
      </c>
      <c r="H179">
        <f>IFERROR(IF(ISNUMBER(INDEX(SPPR!$E:$X,MATCH($A179,SPPR!$A:$A,0),5)),$C179*INDEX(SPPR!$E:$X,MATCH($A179,SPPR!$A:$A,0),5),""),"")</f>
        <v/>
      </c>
      <c r="I179">
        <f>IFERROR(IF(ISNUMBER(INDEX(SPPR!$E:$X,MATCH($A179,SPPR!$A:$A,0),6)),$C179*INDEX(SPPR!$E:$X,MATCH($A179,SPPR!$A:$A,0),6),""),"")</f>
        <v/>
      </c>
      <c r="J179">
        <f>IFERROR(IF(ISNUMBER(INDEX(SPPR!$E:$X,MATCH($A179,SPPR!$A:$A,0),7)),$C179*INDEX(SPPR!$E:$X,MATCH($A179,SPPR!$A:$A,0),7),""),"")</f>
        <v/>
      </c>
      <c r="K179">
        <f>IFERROR(IF(ISNUMBER(INDEX(SPPR!$E:$X,MATCH($A179,SPPR!$A:$A,0),8)),$C179*INDEX(SPPR!$E:$X,MATCH($A179,SPPR!$A:$A,0),8),""),"")</f>
        <v/>
      </c>
      <c r="L179">
        <f>IFERROR(IF(ISNUMBER(INDEX(SPPR!$E:$X,MATCH($A179,SPPR!$A:$A,0),9)),$C179*INDEX(SPPR!$E:$X,MATCH($A179,SPPR!$A:$A,0),9),""),"")</f>
        <v/>
      </c>
      <c r="M179">
        <f>IFERROR(IF(ISNUMBER(INDEX(SPPR!$E:$X,MATCH($A179,SPPR!$A:$A,0),10)),$C179*INDEX(SPPR!$E:$X,MATCH($A179,SPPR!$A:$A,0),10),""),"")</f>
        <v/>
      </c>
      <c r="N179">
        <f>IFERROR(IF(ISNUMBER(INDEX(SPPR!$E:$X,MATCH($A179,SPPR!$A:$A,0),11)),$C179*INDEX(SPPR!$E:$X,MATCH($A179,SPPR!$A:$A,0),11),""),"")</f>
        <v/>
      </c>
      <c r="O179">
        <f>IFERROR(IF(ISNUMBER(INDEX(SPPR!$E:$X,MATCH($A179,SPPR!$A:$A,0),12)),$C179*INDEX(SPPR!$E:$X,MATCH($A179,SPPR!$A:$A,0),12),""),"")</f>
        <v/>
      </c>
      <c r="P179">
        <f>IFERROR(IF(ISNUMBER(INDEX(SPPR!$E:$X,MATCH($A179,SPPR!$A:$A,0),13)),$C179*INDEX(SPPR!$E:$X,MATCH($A179,SPPR!$A:$A,0),13),""),"")</f>
        <v/>
      </c>
      <c r="Q179">
        <f>IFERROR(IF(ISNUMBER(INDEX(SPPR!$E:$X,MATCH($A179,SPPR!$A:$A,0),14)),$C179*INDEX(SPPR!$E:$X,MATCH($A179,SPPR!$A:$A,0),14),""),"")</f>
        <v/>
      </c>
      <c r="R179">
        <f>IFERROR(IF(ISNUMBER(INDEX(SPPR!$E:$X,MATCH($A179,SPPR!$A:$A,0),15)),$C179*INDEX(SPPR!$E:$X,MATCH($A179,SPPR!$A:$A,0),15),""),"")</f>
        <v/>
      </c>
      <c r="S179">
        <f>IFERROR(IF(ISNUMBER(INDEX(SPPR!$E:$X,MATCH($A179,SPPR!$A:$A,0),16)),$C179*INDEX(SPPR!$E:$X,MATCH($A179,SPPR!$A:$A,0),16),""),"")</f>
        <v/>
      </c>
      <c r="T179">
        <f>IFERROR(IF(ISNUMBER(INDEX(SPPR!$E:$X,MATCH($A179,SPPR!$A:$A,0),17)),$C179*INDEX(SPPR!$E:$X,MATCH($A179,SPPR!$A:$A,0),17),""),"")</f>
        <v/>
      </c>
      <c r="U179">
        <f>IFERROR(IF(ISNUMBER(INDEX(SPPR!$E:$X,MATCH($A179,SPPR!$A:$A,0),18)),$C179*INDEX(SPPR!$E:$X,MATCH($A179,SPPR!$A:$A,0),18),""),"")</f>
        <v/>
      </c>
      <c r="V179">
        <f>IFERROR(IF(ISNUMBER(INDEX(SPPR!$E:$X,MATCH($A179,SPPR!$A:$A,0),19)),$C179*INDEX(SPPR!$E:$X,MATCH($A179,SPPR!$A:$A,0),19),""),"")</f>
        <v/>
      </c>
      <c r="W179">
        <f>IFERROR(IF(ISNUMBER(INDEX(SPPR!$E:$X,MATCH($A179,SPPR!$A:$A,0),20)),$C179*INDEX(SPPR!$E:$X,MATCH($A179,SPPR!$A:$A,0),20),""),"")</f>
        <v/>
      </c>
    </row>
    <row r="180">
      <c r="A180" t="inlineStr">
        <is>
          <t>Gobiidae</t>
        </is>
      </c>
      <c r="B180">
        <f>IFERROR(INDEX(SPPR!$D:$D,MATCH($A180,SPPR!$A:$A,0)),"")</f>
        <v/>
      </c>
      <c r="C180">
        <f>IFERROR(INDEX(Catch!$E:$BV,MATCH($A180,Catch!$A:$A,0),MATCH($B$4,Catch!$E$1:$BV$1,0)),0)</f>
        <v/>
      </c>
      <c r="D180">
        <f>IFERROR(IF(ISNUMBER(INDEX(SPPR!$E:$X,MATCH($A180,SPPR!$A:$A,0),1)),$C180*INDEX(SPPR!$E:$X,MATCH($A180,SPPR!$A:$A,0),1),""),"")</f>
        <v/>
      </c>
      <c r="E180">
        <f>IFERROR(IF(ISNUMBER(INDEX(SPPR!$E:$X,MATCH($A180,SPPR!$A:$A,0),2)),$C180*INDEX(SPPR!$E:$X,MATCH($A180,SPPR!$A:$A,0),2),""),"")</f>
        <v/>
      </c>
      <c r="F180">
        <f>IFERROR(IF(ISNUMBER(INDEX(SPPR!$E:$X,MATCH($A180,SPPR!$A:$A,0),3)),$C180*INDEX(SPPR!$E:$X,MATCH($A180,SPPR!$A:$A,0),3),""),"")</f>
        <v/>
      </c>
      <c r="G180">
        <f>IFERROR(IF(ISNUMBER(INDEX(SPPR!$E:$X,MATCH($A180,SPPR!$A:$A,0),4)),$C180*INDEX(SPPR!$E:$X,MATCH($A180,SPPR!$A:$A,0),4),""),"")</f>
        <v/>
      </c>
      <c r="H180">
        <f>IFERROR(IF(ISNUMBER(INDEX(SPPR!$E:$X,MATCH($A180,SPPR!$A:$A,0),5)),$C180*INDEX(SPPR!$E:$X,MATCH($A180,SPPR!$A:$A,0),5),""),"")</f>
        <v/>
      </c>
      <c r="I180">
        <f>IFERROR(IF(ISNUMBER(INDEX(SPPR!$E:$X,MATCH($A180,SPPR!$A:$A,0),6)),$C180*INDEX(SPPR!$E:$X,MATCH($A180,SPPR!$A:$A,0),6),""),"")</f>
        <v/>
      </c>
      <c r="J180">
        <f>IFERROR(IF(ISNUMBER(INDEX(SPPR!$E:$X,MATCH($A180,SPPR!$A:$A,0),7)),$C180*INDEX(SPPR!$E:$X,MATCH($A180,SPPR!$A:$A,0),7),""),"")</f>
        <v/>
      </c>
      <c r="K180">
        <f>IFERROR(IF(ISNUMBER(INDEX(SPPR!$E:$X,MATCH($A180,SPPR!$A:$A,0),8)),$C180*INDEX(SPPR!$E:$X,MATCH($A180,SPPR!$A:$A,0),8),""),"")</f>
        <v/>
      </c>
      <c r="L180">
        <f>IFERROR(IF(ISNUMBER(INDEX(SPPR!$E:$X,MATCH($A180,SPPR!$A:$A,0),9)),$C180*INDEX(SPPR!$E:$X,MATCH($A180,SPPR!$A:$A,0),9),""),"")</f>
        <v/>
      </c>
      <c r="M180">
        <f>IFERROR(IF(ISNUMBER(INDEX(SPPR!$E:$X,MATCH($A180,SPPR!$A:$A,0),10)),$C180*INDEX(SPPR!$E:$X,MATCH($A180,SPPR!$A:$A,0),10),""),"")</f>
        <v/>
      </c>
      <c r="N180">
        <f>IFERROR(IF(ISNUMBER(INDEX(SPPR!$E:$X,MATCH($A180,SPPR!$A:$A,0),11)),$C180*INDEX(SPPR!$E:$X,MATCH($A180,SPPR!$A:$A,0),11),""),"")</f>
        <v/>
      </c>
      <c r="O180">
        <f>IFERROR(IF(ISNUMBER(INDEX(SPPR!$E:$X,MATCH($A180,SPPR!$A:$A,0),12)),$C180*INDEX(SPPR!$E:$X,MATCH($A180,SPPR!$A:$A,0),12),""),"")</f>
        <v/>
      </c>
      <c r="P180">
        <f>IFERROR(IF(ISNUMBER(INDEX(SPPR!$E:$X,MATCH($A180,SPPR!$A:$A,0),13)),$C180*INDEX(SPPR!$E:$X,MATCH($A180,SPPR!$A:$A,0),13),""),"")</f>
        <v/>
      </c>
      <c r="Q180">
        <f>IFERROR(IF(ISNUMBER(INDEX(SPPR!$E:$X,MATCH($A180,SPPR!$A:$A,0),14)),$C180*INDEX(SPPR!$E:$X,MATCH($A180,SPPR!$A:$A,0),14),""),"")</f>
        <v/>
      </c>
      <c r="R180">
        <f>IFERROR(IF(ISNUMBER(INDEX(SPPR!$E:$X,MATCH($A180,SPPR!$A:$A,0),15)),$C180*INDEX(SPPR!$E:$X,MATCH($A180,SPPR!$A:$A,0),15),""),"")</f>
        <v/>
      </c>
      <c r="S180">
        <f>IFERROR(IF(ISNUMBER(INDEX(SPPR!$E:$X,MATCH($A180,SPPR!$A:$A,0),16)),$C180*INDEX(SPPR!$E:$X,MATCH($A180,SPPR!$A:$A,0),16),""),"")</f>
        <v/>
      </c>
      <c r="T180">
        <f>IFERROR(IF(ISNUMBER(INDEX(SPPR!$E:$X,MATCH($A180,SPPR!$A:$A,0),17)),$C180*INDEX(SPPR!$E:$X,MATCH($A180,SPPR!$A:$A,0),17),""),"")</f>
        <v/>
      </c>
      <c r="U180">
        <f>IFERROR(IF(ISNUMBER(INDEX(SPPR!$E:$X,MATCH($A180,SPPR!$A:$A,0),18)),$C180*INDEX(SPPR!$E:$X,MATCH($A180,SPPR!$A:$A,0),18),""),"")</f>
        <v/>
      </c>
      <c r="V180">
        <f>IFERROR(IF(ISNUMBER(INDEX(SPPR!$E:$X,MATCH($A180,SPPR!$A:$A,0),19)),$C180*INDEX(SPPR!$E:$X,MATCH($A180,SPPR!$A:$A,0),19),""),"")</f>
        <v/>
      </c>
      <c r="W180">
        <f>IFERROR(IF(ISNUMBER(INDEX(SPPR!$E:$X,MATCH($A180,SPPR!$A:$A,0),20)),$C180*INDEX(SPPR!$E:$X,MATCH($A180,SPPR!$A:$A,0),20),""),"")</f>
        <v/>
      </c>
    </row>
    <row r="181">
      <c r="A181" t="inlineStr">
        <is>
          <t>Cephea</t>
        </is>
      </c>
      <c r="B181">
        <f>IFERROR(INDEX(SPPR!$D:$D,MATCH($A181,SPPR!$A:$A,0)),"")</f>
        <v/>
      </c>
      <c r="C181">
        <f>IFERROR(INDEX(Catch!$E:$BV,MATCH($A181,Catch!$A:$A,0),MATCH($B$4,Catch!$E$1:$BV$1,0)),0)</f>
        <v/>
      </c>
      <c r="D181">
        <f>IFERROR(IF(ISNUMBER(INDEX(SPPR!$E:$X,MATCH($A181,SPPR!$A:$A,0),1)),$C181*INDEX(SPPR!$E:$X,MATCH($A181,SPPR!$A:$A,0),1),""),"")</f>
        <v/>
      </c>
      <c r="E181">
        <f>IFERROR(IF(ISNUMBER(INDEX(SPPR!$E:$X,MATCH($A181,SPPR!$A:$A,0),2)),$C181*INDEX(SPPR!$E:$X,MATCH($A181,SPPR!$A:$A,0),2),""),"")</f>
        <v/>
      </c>
      <c r="F181">
        <f>IFERROR(IF(ISNUMBER(INDEX(SPPR!$E:$X,MATCH($A181,SPPR!$A:$A,0),3)),$C181*INDEX(SPPR!$E:$X,MATCH($A181,SPPR!$A:$A,0),3),""),"")</f>
        <v/>
      </c>
      <c r="G181">
        <f>IFERROR(IF(ISNUMBER(INDEX(SPPR!$E:$X,MATCH($A181,SPPR!$A:$A,0),4)),$C181*INDEX(SPPR!$E:$X,MATCH($A181,SPPR!$A:$A,0),4),""),"")</f>
        <v/>
      </c>
      <c r="H181">
        <f>IFERROR(IF(ISNUMBER(INDEX(SPPR!$E:$X,MATCH($A181,SPPR!$A:$A,0),5)),$C181*INDEX(SPPR!$E:$X,MATCH($A181,SPPR!$A:$A,0),5),""),"")</f>
        <v/>
      </c>
      <c r="I181">
        <f>IFERROR(IF(ISNUMBER(INDEX(SPPR!$E:$X,MATCH($A181,SPPR!$A:$A,0),6)),$C181*INDEX(SPPR!$E:$X,MATCH($A181,SPPR!$A:$A,0),6),""),"")</f>
        <v/>
      </c>
      <c r="J181">
        <f>IFERROR(IF(ISNUMBER(INDEX(SPPR!$E:$X,MATCH($A181,SPPR!$A:$A,0),7)),$C181*INDEX(SPPR!$E:$X,MATCH($A181,SPPR!$A:$A,0),7),""),"")</f>
        <v/>
      </c>
      <c r="K181">
        <f>IFERROR(IF(ISNUMBER(INDEX(SPPR!$E:$X,MATCH($A181,SPPR!$A:$A,0),8)),$C181*INDEX(SPPR!$E:$X,MATCH($A181,SPPR!$A:$A,0),8),""),"")</f>
        <v/>
      </c>
      <c r="L181">
        <f>IFERROR(IF(ISNUMBER(INDEX(SPPR!$E:$X,MATCH($A181,SPPR!$A:$A,0),9)),$C181*INDEX(SPPR!$E:$X,MATCH($A181,SPPR!$A:$A,0),9),""),"")</f>
        <v/>
      </c>
      <c r="M181">
        <f>IFERROR(IF(ISNUMBER(INDEX(SPPR!$E:$X,MATCH($A181,SPPR!$A:$A,0),10)),$C181*INDEX(SPPR!$E:$X,MATCH($A181,SPPR!$A:$A,0),10),""),"")</f>
        <v/>
      </c>
      <c r="N181">
        <f>IFERROR(IF(ISNUMBER(INDEX(SPPR!$E:$X,MATCH($A181,SPPR!$A:$A,0),11)),$C181*INDEX(SPPR!$E:$X,MATCH($A181,SPPR!$A:$A,0),11),""),"")</f>
        <v/>
      </c>
      <c r="O181">
        <f>IFERROR(IF(ISNUMBER(INDEX(SPPR!$E:$X,MATCH($A181,SPPR!$A:$A,0),12)),$C181*INDEX(SPPR!$E:$X,MATCH($A181,SPPR!$A:$A,0),12),""),"")</f>
        <v/>
      </c>
      <c r="P181">
        <f>IFERROR(IF(ISNUMBER(INDEX(SPPR!$E:$X,MATCH($A181,SPPR!$A:$A,0),13)),$C181*INDEX(SPPR!$E:$X,MATCH($A181,SPPR!$A:$A,0),13),""),"")</f>
        <v/>
      </c>
      <c r="Q181">
        <f>IFERROR(IF(ISNUMBER(INDEX(SPPR!$E:$X,MATCH($A181,SPPR!$A:$A,0),14)),$C181*INDEX(SPPR!$E:$X,MATCH($A181,SPPR!$A:$A,0),14),""),"")</f>
        <v/>
      </c>
      <c r="R181">
        <f>IFERROR(IF(ISNUMBER(INDEX(SPPR!$E:$X,MATCH($A181,SPPR!$A:$A,0),15)),$C181*INDEX(SPPR!$E:$X,MATCH($A181,SPPR!$A:$A,0),15),""),"")</f>
        <v/>
      </c>
      <c r="S181">
        <f>IFERROR(IF(ISNUMBER(INDEX(SPPR!$E:$X,MATCH($A181,SPPR!$A:$A,0),16)),$C181*INDEX(SPPR!$E:$X,MATCH($A181,SPPR!$A:$A,0),16),""),"")</f>
        <v/>
      </c>
      <c r="T181">
        <f>IFERROR(IF(ISNUMBER(INDEX(SPPR!$E:$X,MATCH($A181,SPPR!$A:$A,0),17)),$C181*INDEX(SPPR!$E:$X,MATCH($A181,SPPR!$A:$A,0),17),""),"")</f>
        <v/>
      </c>
      <c r="U181">
        <f>IFERROR(IF(ISNUMBER(INDEX(SPPR!$E:$X,MATCH($A181,SPPR!$A:$A,0),18)),$C181*INDEX(SPPR!$E:$X,MATCH($A181,SPPR!$A:$A,0),18),""),"")</f>
        <v/>
      </c>
      <c r="V181">
        <f>IFERROR(IF(ISNUMBER(INDEX(SPPR!$E:$X,MATCH($A181,SPPR!$A:$A,0),19)),$C181*INDEX(SPPR!$E:$X,MATCH($A181,SPPR!$A:$A,0),19),""),"")</f>
        <v/>
      </c>
      <c r="W181">
        <f>IFERROR(IF(ISNUMBER(INDEX(SPPR!$E:$X,MATCH($A181,SPPR!$A:$A,0),20)),$C181*INDEX(SPPR!$E:$X,MATCH($A181,SPPR!$A:$A,0),20),""),"")</f>
        <v/>
      </c>
    </row>
    <row r="182">
      <c r="A182" t="inlineStr">
        <is>
          <t>Haemulidae</t>
        </is>
      </c>
      <c r="B182">
        <f>IFERROR(INDEX(SPPR!$D:$D,MATCH($A182,SPPR!$A:$A,0)),"")</f>
        <v/>
      </c>
      <c r="C182">
        <f>IFERROR(INDEX(Catch!$E:$BV,MATCH($A182,Catch!$A:$A,0),MATCH($B$4,Catch!$E$1:$BV$1,0)),0)</f>
        <v/>
      </c>
      <c r="D182">
        <f>IFERROR(IF(ISNUMBER(INDEX(SPPR!$E:$X,MATCH($A182,SPPR!$A:$A,0),1)),$C182*INDEX(SPPR!$E:$X,MATCH($A182,SPPR!$A:$A,0),1),""),"")</f>
        <v/>
      </c>
      <c r="E182">
        <f>IFERROR(IF(ISNUMBER(INDEX(SPPR!$E:$X,MATCH($A182,SPPR!$A:$A,0),2)),$C182*INDEX(SPPR!$E:$X,MATCH($A182,SPPR!$A:$A,0),2),""),"")</f>
        <v/>
      </c>
      <c r="F182">
        <f>IFERROR(IF(ISNUMBER(INDEX(SPPR!$E:$X,MATCH($A182,SPPR!$A:$A,0),3)),$C182*INDEX(SPPR!$E:$X,MATCH($A182,SPPR!$A:$A,0),3),""),"")</f>
        <v/>
      </c>
      <c r="G182">
        <f>IFERROR(IF(ISNUMBER(INDEX(SPPR!$E:$X,MATCH($A182,SPPR!$A:$A,0),4)),$C182*INDEX(SPPR!$E:$X,MATCH($A182,SPPR!$A:$A,0),4),""),"")</f>
        <v/>
      </c>
      <c r="H182">
        <f>IFERROR(IF(ISNUMBER(INDEX(SPPR!$E:$X,MATCH($A182,SPPR!$A:$A,0),5)),$C182*INDEX(SPPR!$E:$X,MATCH($A182,SPPR!$A:$A,0),5),""),"")</f>
        <v/>
      </c>
      <c r="I182">
        <f>IFERROR(IF(ISNUMBER(INDEX(SPPR!$E:$X,MATCH($A182,SPPR!$A:$A,0),6)),$C182*INDEX(SPPR!$E:$X,MATCH($A182,SPPR!$A:$A,0),6),""),"")</f>
        <v/>
      </c>
      <c r="J182">
        <f>IFERROR(IF(ISNUMBER(INDEX(SPPR!$E:$X,MATCH($A182,SPPR!$A:$A,0),7)),$C182*INDEX(SPPR!$E:$X,MATCH($A182,SPPR!$A:$A,0),7),""),"")</f>
        <v/>
      </c>
      <c r="K182">
        <f>IFERROR(IF(ISNUMBER(INDEX(SPPR!$E:$X,MATCH($A182,SPPR!$A:$A,0),8)),$C182*INDEX(SPPR!$E:$X,MATCH($A182,SPPR!$A:$A,0),8),""),"")</f>
        <v/>
      </c>
      <c r="L182">
        <f>IFERROR(IF(ISNUMBER(INDEX(SPPR!$E:$X,MATCH($A182,SPPR!$A:$A,0),9)),$C182*INDEX(SPPR!$E:$X,MATCH($A182,SPPR!$A:$A,0),9),""),"")</f>
        <v/>
      </c>
      <c r="M182">
        <f>IFERROR(IF(ISNUMBER(INDEX(SPPR!$E:$X,MATCH($A182,SPPR!$A:$A,0),10)),$C182*INDEX(SPPR!$E:$X,MATCH($A182,SPPR!$A:$A,0),10),""),"")</f>
        <v/>
      </c>
      <c r="N182">
        <f>IFERROR(IF(ISNUMBER(INDEX(SPPR!$E:$X,MATCH($A182,SPPR!$A:$A,0),11)),$C182*INDEX(SPPR!$E:$X,MATCH($A182,SPPR!$A:$A,0),11),""),"")</f>
        <v/>
      </c>
      <c r="O182">
        <f>IFERROR(IF(ISNUMBER(INDEX(SPPR!$E:$X,MATCH($A182,SPPR!$A:$A,0),12)),$C182*INDEX(SPPR!$E:$X,MATCH($A182,SPPR!$A:$A,0),12),""),"")</f>
        <v/>
      </c>
      <c r="P182">
        <f>IFERROR(IF(ISNUMBER(INDEX(SPPR!$E:$X,MATCH($A182,SPPR!$A:$A,0),13)),$C182*INDEX(SPPR!$E:$X,MATCH($A182,SPPR!$A:$A,0),13),""),"")</f>
        <v/>
      </c>
      <c r="Q182">
        <f>IFERROR(IF(ISNUMBER(INDEX(SPPR!$E:$X,MATCH($A182,SPPR!$A:$A,0),14)),$C182*INDEX(SPPR!$E:$X,MATCH($A182,SPPR!$A:$A,0),14),""),"")</f>
        <v/>
      </c>
      <c r="R182">
        <f>IFERROR(IF(ISNUMBER(INDEX(SPPR!$E:$X,MATCH($A182,SPPR!$A:$A,0),15)),$C182*INDEX(SPPR!$E:$X,MATCH($A182,SPPR!$A:$A,0),15),""),"")</f>
        <v/>
      </c>
      <c r="S182">
        <f>IFERROR(IF(ISNUMBER(INDEX(SPPR!$E:$X,MATCH($A182,SPPR!$A:$A,0),16)),$C182*INDEX(SPPR!$E:$X,MATCH($A182,SPPR!$A:$A,0),16),""),"")</f>
        <v/>
      </c>
      <c r="T182">
        <f>IFERROR(IF(ISNUMBER(INDEX(SPPR!$E:$X,MATCH($A182,SPPR!$A:$A,0),17)),$C182*INDEX(SPPR!$E:$X,MATCH($A182,SPPR!$A:$A,0),17),""),"")</f>
        <v/>
      </c>
      <c r="U182">
        <f>IFERROR(IF(ISNUMBER(INDEX(SPPR!$E:$X,MATCH($A182,SPPR!$A:$A,0),18)),$C182*INDEX(SPPR!$E:$X,MATCH($A182,SPPR!$A:$A,0),18),""),"")</f>
        <v/>
      </c>
      <c r="V182">
        <f>IFERROR(IF(ISNUMBER(INDEX(SPPR!$E:$X,MATCH($A182,SPPR!$A:$A,0),19)),$C182*INDEX(SPPR!$E:$X,MATCH($A182,SPPR!$A:$A,0),19),""),"")</f>
        <v/>
      </c>
      <c r="W182">
        <f>IFERROR(IF(ISNUMBER(INDEX(SPPR!$E:$X,MATCH($A182,SPPR!$A:$A,0),20)),$C182*INDEX(SPPR!$E:$X,MATCH($A182,SPPR!$A:$A,0),20),""),"")</f>
        <v/>
      </c>
    </row>
    <row r="183">
      <c r="A183" t="inlineStr">
        <is>
          <t>Mytilidae</t>
        </is>
      </c>
      <c r="B183">
        <f>IFERROR(INDEX(SPPR!$D:$D,MATCH($A183,SPPR!$A:$A,0)),"")</f>
        <v/>
      </c>
      <c r="C183">
        <f>IFERROR(INDEX(Catch!$E:$BV,MATCH($A183,Catch!$A:$A,0),MATCH($B$4,Catch!$E$1:$BV$1,0)),0)</f>
        <v/>
      </c>
      <c r="D183">
        <f>IFERROR(IF(ISNUMBER(INDEX(SPPR!$E:$X,MATCH($A183,SPPR!$A:$A,0),1)),$C183*INDEX(SPPR!$E:$X,MATCH($A183,SPPR!$A:$A,0),1),""),"")</f>
        <v/>
      </c>
      <c r="E183">
        <f>IFERROR(IF(ISNUMBER(INDEX(SPPR!$E:$X,MATCH($A183,SPPR!$A:$A,0),2)),$C183*INDEX(SPPR!$E:$X,MATCH($A183,SPPR!$A:$A,0),2),""),"")</f>
        <v/>
      </c>
      <c r="F183">
        <f>IFERROR(IF(ISNUMBER(INDEX(SPPR!$E:$X,MATCH($A183,SPPR!$A:$A,0),3)),$C183*INDEX(SPPR!$E:$X,MATCH($A183,SPPR!$A:$A,0),3),""),"")</f>
        <v/>
      </c>
      <c r="G183">
        <f>IFERROR(IF(ISNUMBER(INDEX(SPPR!$E:$X,MATCH($A183,SPPR!$A:$A,0),4)),$C183*INDEX(SPPR!$E:$X,MATCH($A183,SPPR!$A:$A,0),4),""),"")</f>
        <v/>
      </c>
      <c r="H183">
        <f>IFERROR(IF(ISNUMBER(INDEX(SPPR!$E:$X,MATCH($A183,SPPR!$A:$A,0),5)),$C183*INDEX(SPPR!$E:$X,MATCH($A183,SPPR!$A:$A,0),5),""),"")</f>
        <v/>
      </c>
      <c r="I183">
        <f>IFERROR(IF(ISNUMBER(INDEX(SPPR!$E:$X,MATCH($A183,SPPR!$A:$A,0),6)),$C183*INDEX(SPPR!$E:$X,MATCH($A183,SPPR!$A:$A,0),6),""),"")</f>
        <v/>
      </c>
      <c r="J183">
        <f>IFERROR(IF(ISNUMBER(INDEX(SPPR!$E:$X,MATCH($A183,SPPR!$A:$A,0),7)),$C183*INDEX(SPPR!$E:$X,MATCH($A183,SPPR!$A:$A,0),7),""),"")</f>
        <v/>
      </c>
      <c r="K183">
        <f>IFERROR(IF(ISNUMBER(INDEX(SPPR!$E:$X,MATCH($A183,SPPR!$A:$A,0),8)),$C183*INDEX(SPPR!$E:$X,MATCH($A183,SPPR!$A:$A,0),8),""),"")</f>
        <v/>
      </c>
      <c r="L183">
        <f>IFERROR(IF(ISNUMBER(INDEX(SPPR!$E:$X,MATCH($A183,SPPR!$A:$A,0),9)),$C183*INDEX(SPPR!$E:$X,MATCH($A183,SPPR!$A:$A,0),9),""),"")</f>
        <v/>
      </c>
      <c r="M183">
        <f>IFERROR(IF(ISNUMBER(INDEX(SPPR!$E:$X,MATCH($A183,SPPR!$A:$A,0),10)),$C183*INDEX(SPPR!$E:$X,MATCH($A183,SPPR!$A:$A,0),10),""),"")</f>
        <v/>
      </c>
      <c r="N183">
        <f>IFERROR(IF(ISNUMBER(INDEX(SPPR!$E:$X,MATCH($A183,SPPR!$A:$A,0),11)),$C183*INDEX(SPPR!$E:$X,MATCH($A183,SPPR!$A:$A,0),11),""),"")</f>
        <v/>
      </c>
      <c r="O183">
        <f>IFERROR(IF(ISNUMBER(INDEX(SPPR!$E:$X,MATCH($A183,SPPR!$A:$A,0),12)),$C183*INDEX(SPPR!$E:$X,MATCH($A183,SPPR!$A:$A,0),12),""),"")</f>
        <v/>
      </c>
      <c r="P183">
        <f>IFERROR(IF(ISNUMBER(INDEX(SPPR!$E:$X,MATCH($A183,SPPR!$A:$A,0),13)),$C183*INDEX(SPPR!$E:$X,MATCH($A183,SPPR!$A:$A,0),13),""),"")</f>
        <v/>
      </c>
      <c r="Q183">
        <f>IFERROR(IF(ISNUMBER(INDEX(SPPR!$E:$X,MATCH($A183,SPPR!$A:$A,0),14)),$C183*INDEX(SPPR!$E:$X,MATCH($A183,SPPR!$A:$A,0),14),""),"")</f>
        <v/>
      </c>
      <c r="R183">
        <f>IFERROR(IF(ISNUMBER(INDEX(SPPR!$E:$X,MATCH($A183,SPPR!$A:$A,0),15)),$C183*INDEX(SPPR!$E:$X,MATCH($A183,SPPR!$A:$A,0),15),""),"")</f>
        <v/>
      </c>
      <c r="S183">
        <f>IFERROR(IF(ISNUMBER(INDEX(SPPR!$E:$X,MATCH($A183,SPPR!$A:$A,0),16)),$C183*INDEX(SPPR!$E:$X,MATCH($A183,SPPR!$A:$A,0),16),""),"")</f>
        <v/>
      </c>
      <c r="T183">
        <f>IFERROR(IF(ISNUMBER(INDEX(SPPR!$E:$X,MATCH($A183,SPPR!$A:$A,0),17)),$C183*INDEX(SPPR!$E:$X,MATCH($A183,SPPR!$A:$A,0),17),""),"")</f>
        <v/>
      </c>
      <c r="U183">
        <f>IFERROR(IF(ISNUMBER(INDEX(SPPR!$E:$X,MATCH($A183,SPPR!$A:$A,0),18)),$C183*INDEX(SPPR!$E:$X,MATCH($A183,SPPR!$A:$A,0),18),""),"")</f>
        <v/>
      </c>
      <c r="V183">
        <f>IFERROR(IF(ISNUMBER(INDEX(SPPR!$E:$X,MATCH($A183,SPPR!$A:$A,0),19)),$C183*INDEX(SPPR!$E:$X,MATCH($A183,SPPR!$A:$A,0),19),""),"")</f>
        <v/>
      </c>
      <c r="W183">
        <f>IFERROR(IF(ISNUMBER(INDEX(SPPR!$E:$X,MATCH($A183,SPPR!$A:$A,0),20)),$C183*INDEX(SPPR!$E:$X,MATCH($A183,SPPR!$A:$A,0),20),""),"")</f>
        <v/>
      </c>
    </row>
    <row r="184">
      <c r="A184" t="inlineStr">
        <is>
          <t>Upeneus moluccensis</t>
        </is>
      </c>
      <c r="B184">
        <f>IFERROR(INDEX(SPPR!$D:$D,MATCH($A184,SPPR!$A:$A,0)),"")</f>
        <v/>
      </c>
      <c r="C184">
        <f>IFERROR(INDEX(Catch!$E:$BV,MATCH($A184,Catch!$A:$A,0),MATCH($B$4,Catch!$E$1:$BV$1,0)),0)</f>
        <v/>
      </c>
      <c r="D184">
        <f>IFERROR(IF(ISNUMBER(INDEX(SPPR!$E:$X,MATCH($A184,SPPR!$A:$A,0),1)),$C184*INDEX(SPPR!$E:$X,MATCH($A184,SPPR!$A:$A,0),1),""),"")</f>
        <v/>
      </c>
      <c r="E184">
        <f>IFERROR(IF(ISNUMBER(INDEX(SPPR!$E:$X,MATCH($A184,SPPR!$A:$A,0),2)),$C184*INDEX(SPPR!$E:$X,MATCH($A184,SPPR!$A:$A,0),2),""),"")</f>
        <v/>
      </c>
      <c r="F184">
        <f>IFERROR(IF(ISNUMBER(INDEX(SPPR!$E:$X,MATCH($A184,SPPR!$A:$A,0),3)),$C184*INDEX(SPPR!$E:$X,MATCH($A184,SPPR!$A:$A,0),3),""),"")</f>
        <v/>
      </c>
      <c r="G184">
        <f>IFERROR(IF(ISNUMBER(INDEX(SPPR!$E:$X,MATCH($A184,SPPR!$A:$A,0),4)),$C184*INDEX(SPPR!$E:$X,MATCH($A184,SPPR!$A:$A,0),4),""),"")</f>
        <v/>
      </c>
      <c r="H184">
        <f>IFERROR(IF(ISNUMBER(INDEX(SPPR!$E:$X,MATCH($A184,SPPR!$A:$A,0),5)),$C184*INDEX(SPPR!$E:$X,MATCH($A184,SPPR!$A:$A,0),5),""),"")</f>
        <v/>
      </c>
      <c r="I184">
        <f>IFERROR(IF(ISNUMBER(INDEX(SPPR!$E:$X,MATCH($A184,SPPR!$A:$A,0),6)),$C184*INDEX(SPPR!$E:$X,MATCH($A184,SPPR!$A:$A,0),6),""),"")</f>
        <v/>
      </c>
      <c r="J184">
        <f>IFERROR(IF(ISNUMBER(INDEX(SPPR!$E:$X,MATCH($A184,SPPR!$A:$A,0),7)),$C184*INDEX(SPPR!$E:$X,MATCH($A184,SPPR!$A:$A,0),7),""),"")</f>
        <v/>
      </c>
      <c r="K184">
        <f>IFERROR(IF(ISNUMBER(INDEX(SPPR!$E:$X,MATCH($A184,SPPR!$A:$A,0),8)),$C184*INDEX(SPPR!$E:$X,MATCH($A184,SPPR!$A:$A,0),8),""),"")</f>
        <v/>
      </c>
      <c r="L184">
        <f>IFERROR(IF(ISNUMBER(INDEX(SPPR!$E:$X,MATCH($A184,SPPR!$A:$A,0),9)),$C184*INDEX(SPPR!$E:$X,MATCH($A184,SPPR!$A:$A,0),9),""),"")</f>
        <v/>
      </c>
      <c r="M184">
        <f>IFERROR(IF(ISNUMBER(INDEX(SPPR!$E:$X,MATCH($A184,SPPR!$A:$A,0),10)),$C184*INDEX(SPPR!$E:$X,MATCH($A184,SPPR!$A:$A,0),10),""),"")</f>
        <v/>
      </c>
      <c r="N184">
        <f>IFERROR(IF(ISNUMBER(INDEX(SPPR!$E:$X,MATCH($A184,SPPR!$A:$A,0),11)),$C184*INDEX(SPPR!$E:$X,MATCH($A184,SPPR!$A:$A,0),11),""),"")</f>
        <v/>
      </c>
      <c r="O184">
        <f>IFERROR(IF(ISNUMBER(INDEX(SPPR!$E:$X,MATCH($A184,SPPR!$A:$A,0),12)),$C184*INDEX(SPPR!$E:$X,MATCH($A184,SPPR!$A:$A,0),12),""),"")</f>
        <v/>
      </c>
      <c r="P184">
        <f>IFERROR(IF(ISNUMBER(INDEX(SPPR!$E:$X,MATCH($A184,SPPR!$A:$A,0),13)),$C184*INDEX(SPPR!$E:$X,MATCH($A184,SPPR!$A:$A,0),13),""),"")</f>
        <v/>
      </c>
      <c r="Q184">
        <f>IFERROR(IF(ISNUMBER(INDEX(SPPR!$E:$X,MATCH($A184,SPPR!$A:$A,0),14)),$C184*INDEX(SPPR!$E:$X,MATCH($A184,SPPR!$A:$A,0),14),""),"")</f>
        <v/>
      </c>
      <c r="R184">
        <f>IFERROR(IF(ISNUMBER(INDEX(SPPR!$E:$X,MATCH($A184,SPPR!$A:$A,0),15)),$C184*INDEX(SPPR!$E:$X,MATCH($A184,SPPR!$A:$A,0),15),""),"")</f>
        <v/>
      </c>
      <c r="S184">
        <f>IFERROR(IF(ISNUMBER(INDEX(SPPR!$E:$X,MATCH($A184,SPPR!$A:$A,0),16)),$C184*INDEX(SPPR!$E:$X,MATCH($A184,SPPR!$A:$A,0),16),""),"")</f>
        <v/>
      </c>
      <c r="T184">
        <f>IFERROR(IF(ISNUMBER(INDEX(SPPR!$E:$X,MATCH($A184,SPPR!$A:$A,0),17)),$C184*INDEX(SPPR!$E:$X,MATCH($A184,SPPR!$A:$A,0),17),""),"")</f>
        <v/>
      </c>
      <c r="U184">
        <f>IFERROR(IF(ISNUMBER(INDEX(SPPR!$E:$X,MATCH($A184,SPPR!$A:$A,0),18)),$C184*INDEX(SPPR!$E:$X,MATCH($A184,SPPR!$A:$A,0),18),""),"")</f>
        <v/>
      </c>
      <c r="V184">
        <f>IFERROR(IF(ISNUMBER(INDEX(SPPR!$E:$X,MATCH($A184,SPPR!$A:$A,0),19)),$C184*INDEX(SPPR!$E:$X,MATCH($A184,SPPR!$A:$A,0),19),""),"")</f>
        <v/>
      </c>
      <c r="W184">
        <f>IFERROR(IF(ISNUMBER(INDEX(SPPR!$E:$X,MATCH($A184,SPPR!$A:$A,0),20)),$C184*INDEX(SPPR!$E:$X,MATCH($A184,SPPR!$A:$A,0),20),""),"")</f>
        <v/>
      </c>
    </row>
    <row r="185">
      <c r="A185" t="inlineStr">
        <is>
          <t>Perna viridis</t>
        </is>
      </c>
      <c r="B185">
        <f>IFERROR(INDEX(SPPR!$D:$D,MATCH($A185,SPPR!$A:$A,0)),"")</f>
        <v/>
      </c>
      <c r="C185">
        <f>IFERROR(INDEX(Catch!$E:$BV,MATCH($A185,Catch!$A:$A,0),MATCH($B$4,Catch!$E$1:$BV$1,0)),0)</f>
        <v/>
      </c>
      <c r="D185">
        <f>IFERROR(IF(ISNUMBER(INDEX(SPPR!$E:$X,MATCH($A185,SPPR!$A:$A,0),1)),$C185*INDEX(SPPR!$E:$X,MATCH($A185,SPPR!$A:$A,0),1),""),"")</f>
        <v/>
      </c>
      <c r="E185">
        <f>IFERROR(IF(ISNUMBER(INDEX(SPPR!$E:$X,MATCH($A185,SPPR!$A:$A,0),2)),$C185*INDEX(SPPR!$E:$X,MATCH($A185,SPPR!$A:$A,0),2),""),"")</f>
        <v/>
      </c>
      <c r="F185">
        <f>IFERROR(IF(ISNUMBER(INDEX(SPPR!$E:$X,MATCH($A185,SPPR!$A:$A,0),3)),$C185*INDEX(SPPR!$E:$X,MATCH($A185,SPPR!$A:$A,0),3),""),"")</f>
        <v/>
      </c>
      <c r="G185">
        <f>IFERROR(IF(ISNUMBER(INDEX(SPPR!$E:$X,MATCH($A185,SPPR!$A:$A,0),4)),$C185*INDEX(SPPR!$E:$X,MATCH($A185,SPPR!$A:$A,0),4),""),"")</f>
        <v/>
      </c>
      <c r="H185">
        <f>IFERROR(IF(ISNUMBER(INDEX(SPPR!$E:$X,MATCH($A185,SPPR!$A:$A,0),5)),$C185*INDEX(SPPR!$E:$X,MATCH($A185,SPPR!$A:$A,0),5),""),"")</f>
        <v/>
      </c>
      <c r="I185">
        <f>IFERROR(IF(ISNUMBER(INDEX(SPPR!$E:$X,MATCH($A185,SPPR!$A:$A,0),6)),$C185*INDEX(SPPR!$E:$X,MATCH($A185,SPPR!$A:$A,0),6),""),"")</f>
        <v/>
      </c>
      <c r="J185">
        <f>IFERROR(IF(ISNUMBER(INDEX(SPPR!$E:$X,MATCH($A185,SPPR!$A:$A,0),7)),$C185*INDEX(SPPR!$E:$X,MATCH($A185,SPPR!$A:$A,0),7),""),"")</f>
        <v/>
      </c>
      <c r="K185">
        <f>IFERROR(IF(ISNUMBER(INDEX(SPPR!$E:$X,MATCH($A185,SPPR!$A:$A,0),8)),$C185*INDEX(SPPR!$E:$X,MATCH($A185,SPPR!$A:$A,0),8),""),"")</f>
        <v/>
      </c>
      <c r="L185">
        <f>IFERROR(IF(ISNUMBER(INDEX(SPPR!$E:$X,MATCH($A185,SPPR!$A:$A,0),9)),$C185*INDEX(SPPR!$E:$X,MATCH($A185,SPPR!$A:$A,0),9),""),"")</f>
        <v/>
      </c>
      <c r="M185">
        <f>IFERROR(IF(ISNUMBER(INDEX(SPPR!$E:$X,MATCH($A185,SPPR!$A:$A,0),10)),$C185*INDEX(SPPR!$E:$X,MATCH($A185,SPPR!$A:$A,0),10),""),"")</f>
        <v/>
      </c>
      <c r="N185">
        <f>IFERROR(IF(ISNUMBER(INDEX(SPPR!$E:$X,MATCH($A185,SPPR!$A:$A,0),11)),$C185*INDEX(SPPR!$E:$X,MATCH($A185,SPPR!$A:$A,0),11),""),"")</f>
        <v/>
      </c>
      <c r="O185">
        <f>IFERROR(IF(ISNUMBER(INDEX(SPPR!$E:$X,MATCH($A185,SPPR!$A:$A,0),12)),$C185*INDEX(SPPR!$E:$X,MATCH($A185,SPPR!$A:$A,0),12),""),"")</f>
        <v/>
      </c>
      <c r="P185">
        <f>IFERROR(IF(ISNUMBER(INDEX(SPPR!$E:$X,MATCH($A185,SPPR!$A:$A,0),13)),$C185*INDEX(SPPR!$E:$X,MATCH($A185,SPPR!$A:$A,0),13),""),"")</f>
        <v/>
      </c>
      <c r="Q185">
        <f>IFERROR(IF(ISNUMBER(INDEX(SPPR!$E:$X,MATCH($A185,SPPR!$A:$A,0),14)),$C185*INDEX(SPPR!$E:$X,MATCH($A185,SPPR!$A:$A,0),14),""),"")</f>
        <v/>
      </c>
      <c r="R185">
        <f>IFERROR(IF(ISNUMBER(INDEX(SPPR!$E:$X,MATCH($A185,SPPR!$A:$A,0),15)),$C185*INDEX(SPPR!$E:$X,MATCH($A185,SPPR!$A:$A,0),15),""),"")</f>
        <v/>
      </c>
      <c r="S185">
        <f>IFERROR(IF(ISNUMBER(INDEX(SPPR!$E:$X,MATCH($A185,SPPR!$A:$A,0),16)),$C185*INDEX(SPPR!$E:$X,MATCH($A185,SPPR!$A:$A,0),16),""),"")</f>
        <v/>
      </c>
      <c r="T185">
        <f>IFERROR(IF(ISNUMBER(INDEX(SPPR!$E:$X,MATCH($A185,SPPR!$A:$A,0),17)),$C185*INDEX(SPPR!$E:$X,MATCH($A185,SPPR!$A:$A,0),17),""),"")</f>
        <v/>
      </c>
      <c r="U185">
        <f>IFERROR(IF(ISNUMBER(INDEX(SPPR!$E:$X,MATCH($A185,SPPR!$A:$A,0),18)),$C185*INDEX(SPPR!$E:$X,MATCH($A185,SPPR!$A:$A,0),18),""),"")</f>
        <v/>
      </c>
      <c r="V185">
        <f>IFERROR(IF(ISNUMBER(INDEX(SPPR!$E:$X,MATCH($A185,SPPR!$A:$A,0),19)),$C185*INDEX(SPPR!$E:$X,MATCH($A185,SPPR!$A:$A,0),19),""),"")</f>
        <v/>
      </c>
      <c r="W185">
        <f>IFERROR(IF(ISNUMBER(INDEX(SPPR!$E:$X,MATCH($A185,SPPR!$A:$A,0),20)),$C185*INDEX(SPPR!$E:$X,MATCH($A185,SPPR!$A:$A,0),20),""),"")</f>
        <v/>
      </c>
    </row>
    <row r="186">
      <c r="A186" t="inlineStr">
        <is>
          <t>Terapon</t>
        </is>
      </c>
      <c r="B186">
        <f>IFERROR(INDEX(SPPR!$D:$D,MATCH($A186,SPPR!$A:$A,0)),"")</f>
        <v/>
      </c>
      <c r="C186">
        <f>IFERROR(INDEX(Catch!$E:$BV,MATCH($A186,Catch!$A:$A,0),MATCH($B$4,Catch!$E$1:$BV$1,0)),0)</f>
        <v/>
      </c>
      <c r="D186">
        <f>IFERROR(IF(ISNUMBER(INDEX(SPPR!$E:$X,MATCH($A186,SPPR!$A:$A,0),1)),$C186*INDEX(SPPR!$E:$X,MATCH($A186,SPPR!$A:$A,0),1),""),"")</f>
        <v/>
      </c>
      <c r="E186">
        <f>IFERROR(IF(ISNUMBER(INDEX(SPPR!$E:$X,MATCH($A186,SPPR!$A:$A,0),2)),$C186*INDEX(SPPR!$E:$X,MATCH($A186,SPPR!$A:$A,0),2),""),"")</f>
        <v/>
      </c>
      <c r="F186">
        <f>IFERROR(IF(ISNUMBER(INDEX(SPPR!$E:$X,MATCH($A186,SPPR!$A:$A,0),3)),$C186*INDEX(SPPR!$E:$X,MATCH($A186,SPPR!$A:$A,0),3),""),"")</f>
        <v/>
      </c>
      <c r="G186">
        <f>IFERROR(IF(ISNUMBER(INDEX(SPPR!$E:$X,MATCH($A186,SPPR!$A:$A,0),4)),$C186*INDEX(SPPR!$E:$X,MATCH($A186,SPPR!$A:$A,0),4),""),"")</f>
        <v/>
      </c>
      <c r="H186">
        <f>IFERROR(IF(ISNUMBER(INDEX(SPPR!$E:$X,MATCH($A186,SPPR!$A:$A,0),5)),$C186*INDEX(SPPR!$E:$X,MATCH($A186,SPPR!$A:$A,0),5),""),"")</f>
        <v/>
      </c>
      <c r="I186">
        <f>IFERROR(IF(ISNUMBER(INDEX(SPPR!$E:$X,MATCH($A186,SPPR!$A:$A,0),6)),$C186*INDEX(SPPR!$E:$X,MATCH($A186,SPPR!$A:$A,0),6),""),"")</f>
        <v/>
      </c>
      <c r="J186">
        <f>IFERROR(IF(ISNUMBER(INDEX(SPPR!$E:$X,MATCH($A186,SPPR!$A:$A,0),7)),$C186*INDEX(SPPR!$E:$X,MATCH($A186,SPPR!$A:$A,0),7),""),"")</f>
        <v/>
      </c>
      <c r="K186">
        <f>IFERROR(IF(ISNUMBER(INDEX(SPPR!$E:$X,MATCH($A186,SPPR!$A:$A,0),8)),$C186*INDEX(SPPR!$E:$X,MATCH($A186,SPPR!$A:$A,0),8),""),"")</f>
        <v/>
      </c>
      <c r="L186">
        <f>IFERROR(IF(ISNUMBER(INDEX(SPPR!$E:$X,MATCH($A186,SPPR!$A:$A,0),9)),$C186*INDEX(SPPR!$E:$X,MATCH($A186,SPPR!$A:$A,0),9),""),"")</f>
        <v/>
      </c>
      <c r="M186">
        <f>IFERROR(IF(ISNUMBER(INDEX(SPPR!$E:$X,MATCH($A186,SPPR!$A:$A,0),10)),$C186*INDEX(SPPR!$E:$X,MATCH($A186,SPPR!$A:$A,0),10),""),"")</f>
        <v/>
      </c>
      <c r="N186">
        <f>IFERROR(IF(ISNUMBER(INDEX(SPPR!$E:$X,MATCH($A186,SPPR!$A:$A,0),11)),$C186*INDEX(SPPR!$E:$X,MATCH($A186,SPPR!$A:$A,0),11),""),"")</f>
        <v/>
      </c>
      <c r="O186">
        <f>IFERROR(IF(ISNUMBER(INDEX(SPPR!$E:$X,MATCH($A186,SPPR!$A:$A,0),12)),$C186*INDEX(SPPR!$E:$X,MATCH($A186,SPPR!$A:$A,0),12),""),"")</f>
        <v/>
      </c>
      <c r="P186">
        <f>IFERROR(IF(ISNUMBER(INDEX(SPPR!$E:$X,MATCH($A186,SPPR!$A:$A,0),13)),$C186*INDEX(SPPR!$E:$X,MATCH($A186,SPPR!$A:$A,0),13),""),"")</f>
        <v/>
      </c>
      <c r="Q186">
        <f>IFERROR(IF(ISNUMBER(INDEX(SPPR!$E:$X,MATCH($A186,SPPR!$A:$A,0),14)),$C186*INDEX(SPPR!$E:$X,MATCH($A186,SPPR!$A:$A,0),14),""),"")</f>
        <v/>
      </c>
      <c r="R186">
        <f>IFERROR(IF(ISNUMBER(INDEX(SPPR!$E:$X,MATCH($A186,SPPR!$A:$A,0),15)),$C186*INDEX(SPPR!$E:$X,MATCH($A186,SPPR!$A:$A,0),15),""),"")</f>
        <v/>
      </c>
      <c r="S186">
        <f>IFERROR(IF(ISNUMBER(INDEX(SPPR!$E:$X,MATCH($A186,SPPR!$A:$A,0),16)),$C186*INDEX(SPPR!$E:$X,MATCH($A186,SPPR!$A:$A,0),16),""),"")</f>
        <v/>
      </c>
      <c r="T186">
        <f>IFERROR(IF(ISNUMBER(INDEX(SPPR!$E:$X,MATCH($A186,SPPR!$A:$A,0),17)),$C186*INDEX(SPPR!$E:$X,MATCH($A186,SPPR!$A:$A,0),17),""),"")</f>
        <v/>
      </c>
      <c r="U186">
        <f>IFERROR(IF(ISNUMBER(INDEX(SPPR!$E:$X,MATCH($A186,SPPR!$A:$A,0),18)),$C186*INDEX(SPPR!$E:$X,MATCH($A186,SPPR!$A:$A,0),18),""),"")</f>
        <v/>
      </c>
      <c r="V186">
        <f>IFERROR(IF(ISNUMBER(INDEX(SPPR!$E:$X,MATCH($A186,SPPR!$A:$A,0),19)),$C186*INDEX(SPPR!$E:$X,MATCH($A186,SPPR!$A:$A,0),19),""),"")</f>
        <v/>
      </c>
      <c r="W186">
        <f>IFERROR(IF(ISNUMBER(INDEX(SPPR!$E:$X,MATCH($A186,SPPR!$A:$A,0),20)),$C186*INDEX(SPPR!$E:$X,MATCH($A186,SPPR!$A:$A,0),20),""),"")</f>
        <v/>
      </c>
    </row>
    <row r="187">
      <c r="A187" t="inlineStr">
        <is>
          <t>Pampus chinensis</t>
        </is>
      </c>
      <c r="B187">
        <f>IFERROR(INDEX(SPPR!$D:$D,MATCH($A187,SPPR!$A:$A,0)),"")</f>
        <v/>
      </c>
      <c r="C187">
        <f>IFERROR(INDEX(Catch!$E:$BV,MATCH($A187,Catch!$A:$A,0),MATCH($B$4,Catch!$E$1:$BV$1,0)),0)</f>
        <v/>
      </c>
      <c r="D187">
        <f>IFERROR(IF(ISNUMBER(INDEX(SPPR!$E:$X,MATCH($A187,SPPR!$A:$A,0),1)),$C187*INDEX(SPPR!$E:$X,MATCH($A187,SPPR!$A:$A,0),1),""),"")</f>
        <v/>
      </c>
      <c r="E187">
        <f>IFERROR(IF(ISNUMBER(INDEX(SPPR!$E:$X,MATCH($A187,SPPR!$A:$A,0),2)),$C187*INDEX(SPPR!$E:$X,MATCH($A187,SPPR!$A:$A,0),2),""),"")</f>
        <v/>
      </c>
      <c r="F187">
        <f>IFERROR(IF(ISNUMBER(INDEX(SPPR!$E:$X,MATCH($A187,SPPR!$A:$A,0),3)),$C187*INDEX(SPPR!$E:$X,MATCH($A187,SPPR!$A:$A,0),3),""),"")</f>
        <v/>
      </c>
      <c r="G187">
        <f>IFERROR(IF(ISNUMBER(INDEX(SPPR!$E:$X,MATCH($A187,SPPR!$A:$A,0),4)),$C187*INDEX(SPPR!$E:$X,MATCH($A187,SPPR!$A:$A,0),4),""),"")</f>
        <v/>
      </c>
      <c r="H187">
        <f>IFERROR(IF(ISNUMBER(INDEX(SPPR!$E:$X,MATCH($A187,SPPR!$A:$A,0),5)),$C187*INDEX(SPPR!$E:$X,MATCH($A187,SPPR!$A:$A,0),5),""),"")</f>
        <v/>
      </c>
      <c r="I187">
        <f>IFERROR(IF(ISNUMBER(INDEX(SPPR!$E:$X,MATCH($A187,SPPR!$A:$A,0),6)),$C187*INDEX(SPPR!$E:$X,MATCH($A187,SPPR!$A:$A,0),6),""),"")</f>
        <v/>
      </c>
      <c r="J187">
        <f>IFERROR(IF(ISNUMBER(INDEX(SPPR!$E:$X,MATCH($A187,SPPR!$A:$A,0),7)),$C187*INDEX(SPPR!$E:$X,MATCH($A187,SPPR!$A:$A,0),7),""),"")</f>
        <v/>
      </c>
      <c r="K187">
        <f>IFERROR(IF(ISNUMBER(INDEX(SPPR!$E:$X,MATCH($A187,SPPR!$A:$A,0),8)),$C187*INDEX(SPPR!$E:$X,MATCH($A187,SPPR!$A:$A,0),8),""),"")</f>
        <v/>
      </c>
      <c r="L187">
        <f>IFERROR(IF(ISNUMBER(INDEX(SPPR!$E:$X,MATCH($A187,SPPR!$A:$A,0),9)),$C187*INDEX(SPPR!$E:$X,MATCH($A187,SPPR!$A:$A,0),9),""),"")</f>
        <v/>
      </c>
      <c r="M187">
        <f>IFERROR(IF(ISNUMBER(INDEX(SPPR!$E:$X,MATCH($A187,SPPR!$A:$A,0),10)),$C187*INDEX(SPPR!$E:$X,MATCH($A187,SPPR!$A:$A,0),10),""),"")</f>
        <v/>
      </c>
      <c r="N187">
        <f>IFERROR(IF(ISNUMBER(INDEX(SPPR!$E:$X,MATCH($A187,SPPR!$A:$A,0),11)),$C187*INDEX(SPPR!$E:$X,MATCH($A187,SPPR!$A:$A,0),11),""),"")</f>
        <v/>
      </c>
      <c r="O187">
        <f>IFERROR(IF(ISNUMBER(INDEX(SPPR!$E:$X,MATCH($A187,SPPR!$A:$A,0),12)),$C187*INDEX(SPPR!$E:$X,MATCH($A187,SPPR!$A:$A,0),12),""),"")</f>
        <v/>
      </c>
      <c r="P187">
        <f>IFERROR(IF(ISNUMBER(INDEX(SPPR!$E:$X,MATCH($A187,SPPR!$A:$A,0),13)),$C187*INDEX(SPPR!$E:$X,MATCH($A187,SPPR!$A:$A,0),13),""),"")</f>
        <v/>
      </c>
      <c r="Q187">
        <f>IFERROR(IF(ISNUMBER(INDEX(SPPR!$E:$X,MATCH($A187,SPPR!$A:$A,0),14)),$C187*INDEX(SPPR!$E:$X,MATCH($A187,SPPR!$A:$A,0),14),""),"")</f>
        <v/>
      </c>
      <c r="R187">
        <f>IFERROR(IF(ISNUMBER(INDEX(SPPR!$E:$X,MATCH($A187,SPPR!$A:$A,0),15)),$C187*INDEX(SPPR!$E:$X,MATCH($A187,SPPR!$A:$A,0),15),""),"")</f>
        <v/>
      </c>
      <c r="S187">
        <f>IFERROR(IF(ISNUMBER(INDEX(SPPR!$E:$X,MATCH($A187,SPPR!$A:$A,0),16)),$C187*INDEX(SPPR!$E:$X,MATCH($A187,SPPR!$A:$A,0),16),""),"")</f>
        <v/>
      </c>
      <c r="T187">
        <f>IFERROR(IF(ISNUMBER(INDEX(SPPR!$E:$X,MATCH($A187,SPPR!$A:$A,0),17)),$C187*INDEX(SPPR!$E:$X,MATCH($A187,SPPR!$A:$A,0),17),""),"")</f>
        <v/>
      </c>
      <c r="U187">
        <f>IFERROR(IF(ISNUMBER(INDEX(SPPR!$E:$X,MATCH($A187,SPPR!$A:$A,0),18)),$C187*INDEX(SPPR!$E:$X,MATCH($A187,SPPR!$A:$A,0),18),""),"")</f>
        <v/>
      </c>
      <c r="V187">
        <f>IFERROR(IF(ISNUMBER(INDEX(SPPR!$E:$X,MATCH($A187,SPPR!$A:$A,0),19)),$C187*INDEX(SPPR!$E:$X,MATCH($A187,SPPR!$A:$A,0),19),""),"")</f>
        <v/>
      </c>
      <c r="W187">
        <f>IFERROR(IF(ISNUMBER(INDEX(SPPR!$E:$X,MATCH($A187,SPPR!$A:$A,0),20)),$C187*INDEX(SPPR!$E:$X,MATCH($A187,SPPR!$A:$A,0),20),""),"")</f>
        <v/>
      </c>
    </row>
    <row r="188">
      <c r="A188" t="inlineStr">
        <is>
          <t>Rhizostomeae</t>
        </is>
      </c>
      <c r="B188">
        <f>IFERROR(INDEX(SPPR!$D:$D,MATCH($A188,SPPR!$A:$A,0)),"")</f>
        <v/>
      </c>
      <c r="C188">
        <f>IFERROR(INDEX(Catch!$E:$BV,MATCH($A188,Catch!$A:$A,0),MATCH($B$4,Catch!$E$1:$BV$1,0)),0)</f>
        <v/>
      </c>
      <c r="D188">
        <f>IFERROR(IF(ISNUMBER(INDEX(SPPR!$E:$X,MATCH($A188,SPPR!$A:$A,0),1)),$C188*INDEX(SPPR!$E:$X,MATCH($A188,SPPR!$A:$A,0),1),""),"")</f>
        <v/>
      </c>
      <c r="E188">
        <f>IFERROR(IF(ISNUMBER(INDEX(SPPR!$E:$X,MATCH($A188,SPPR!$A:$A,0),2)),$C188*INDEX(SPPR!$E:$X,MATCH($A188,SPPR!$A:$A,0),2),""),"")</f>
        <v/>
      </c>
      <c r="F188">
        <f>IFERROR(IF(ISNUMBER(INDEX(SPPR!$E:$X,MATCH($A188,SPPR!$A:$A,0),3)),$C188*INDEX(SPPR!$E:$X,MATCH($A188,SPPR!$A:$A,0),3),""),"")</f>
        <v/>
      </c>
      <c r="G188">
        <f>IFERROR(IF(ISNUMBER(INDEX(SPPR!$E:$X,MATCH($A188,SPPR!$A:$A,0),4)),$C188*INDEX(SPPR!$E:$X,MATCH($A188,SPPR!$A:$A,0),4),""),"")</f>
        <v/>
      </c>
      <c r="H188">
        <f>IFERROR(IF(ISNUMBER(INDEX(SPPR!$E:$X,MATCH($A188,SPPR!$A:$A,0),5)),$C188*INDEX(SPPR!$E:$X,MATCH($A188,SPPR!$A:$A,0),5),""),"")</f>
        <v/>
      </c>
      <c r="I188">
        <f>IFERROR(IF(ISNUMBER(INDEX(SPPR!$E:$X,MATCH($A188,SPPR!$A:$A,0),6)),$C188*INDEX(SPPR!$E:$X,MATCH($A188,SPPR!$A:$A,0),6),""),"")</f>
        <v/>
      </c>
      <c r="J188">
        <f>IFERROR(IF(ISNUMBER(INDEX(SPPR!$E:$X,MATCH($A188,SPPR!$A:$A,0),7)),$C188*INDEX(SPPR!$E:$X,MATCH($A188,SPPR!$A:$A,0),7),""),"")</f>
        <v/>
      </c>
      <c r="K188">
        <f>IFERROR(IF(ISNUMBER(INDEX(SPPR!$E:$X,MATCH($A188,SPPR!$A:$A,0),8)),$C188*INDEX(SPPR!$E:$X,MATCH($A188,SPPR!$A:$A,0),8),""),"")</f>
        <v/>
      </c>
      <c r="L188">
        <f>IFERROR(IF(ISNUMBER(INDEX(SPPR!$E:$X,MATCH($A188,SPPR!$A:$A,0),9)),$C188*INDEX(SPPR!$E:$X,MATCH($A188,SPPR!$A:$A,0),9),""),"")</f>
        <v/>
      </c>
      <c r="M188">
        <f>IFERROR(IF(ISNUMBER(INDEX(SPPR!$E:$X,MATCH($A188,SPPR!$A:$A,0),10)),$C188*INDEX(SPPR!$E:$X,MATCH($A188,SPPR!$A:$A,0),10),""),"")</f>
        <v/>
      </c>
      <c r="N188">
        <f>IFERROR(IF(ISNUMBER(INDEX(SPPR!$E:$X,MATCH($A188,SPPR!$A:$A,0),11)),$C188*INDEX(SPPR!$E:$X,MATCH($A188,SPPR!$A:$A,0),11),""),"")</f>
        <v/>
      </c>
      <c r="O188">
        <f>IFERROR(IF(ISNUMBER(INDEX(SPPR!$E:$X,MATCH($A188,SPPR!$A:$A,0),12)),$C188*INDEX(SPPR!$E:$X,MATCH($A188,SPPR!$A:$A,0),12),""),"")</f>
        <v/>
      </c>
      <c r="P188">
        <f>IFERROR(IF(ISNUMBER(INDEX(SPPR!$E:$X,MATCH($A188,SPPR!$A:$A,0),13)),$C188*INDEX(SPPR!$E:$X,MATCH($A188,SPPR!$A:$A,0),13),""),"")</f>
        <v/>
      </c>
      <c r="Q188">
        <f>IFERROR(IF(ISNUMBER(INDEX(SPPR!$E:$X,MATCH($A188,SPPR!$A:$A,0),14)),$C188*INDEX(SPPR!$E:$X,MATCH($A188,SPPR!$A:$A,0),14),""),"")</f>
        <v/>
      </c>
      <c r="R188">
        <f>IFERROR(IF(ISNUMBER(INDEX(SPPR!$E:$X,MATCH($A188,SPPR!$A:$A,0),15)),$C188*INDEX(SPPR!$E:$X,MATCH($A188,SPPR!$A:$A,0),15),""),"")</f>
        <v/>
      </c>
      <c r="S188">
        <f>IFERROR(IF(ISNUMBER(INDEX(SPPR!$E:$X,MATCH($A188,SPPR!$A:$A,0),16)),$C188*INDEX(SPPR!$E:$X,MATCH($A188,SPPR!$A:$A,0),16),""),"")</f>
        <v/>
      </c>
      <c r="T188">
        <f>IFERROR(IF(ISNUMBER(INDEX(SPPR!$E:$X,MATCH($A188,SPPR!$A:$A,0),17)),$C188*INDEX(SPPR!$E:$X,MATCH($A188,SPPR!$A:$A,0),17),""),"")</f>
        <v/>
      </c>
      <c r="U188">
        <f>IFERROR(IF(ISNUMBER(INDEX(SPPR!$E:$X,MATCH($A188,SPPR!$A:$A,0),18)),$C188*INDEX(SPPR!$E:$X,MATCH($A188,SPPR!$A:$A,0),18),""),"")</f>
        <v/>
      </c>
      <c r="V188">
        <f>IFERROR(IF(ISNUMBER(INDEX(SPPR!$E:$X,MATCH($A188,SPPR!$A:$A,0),19)),$C188*INDEX(SPPR!$E:$X,MATCH($A188,SPPR!$A:$A,0),19),""),"")</f>
        <v/>
      </c>
      <c r="W188">
        <f>IFERROR(IF(ISNUMBER(INDEX(SPPR!$E:$X,MATCH($A188,SPPR!$A:$A,0),20)),$C188*INDEX(SPPR!$E:$X,MATCH($A188,SPPR!$A:$A,0),20),""),"")</f>
        <v/>
      </c>
    </row>
    <row r="189">
      <c r="A189" t="inlineStr">
        <is>
          <t>Sillago</t>
        </is>
      </c>
      <c r="B189">
        <f>IFERROR(INDEX(SPPR!$D:$D,MATCH($A189,SPPR!$A:$A,0)),"")</f>
        <v/>
      </c>
      <c r="C189">
        <f>IFERROR(INDEX(Catch!$E:$BV,MATCH($A189,Catch!$A:$A,0),MATCH($B$4,Catch!$E$1:$BV$1,0)),0)</f>
        <v/>
      </c>
      <c r="D189">
        <f>IFERROR(IF(ISNUMBER(INDEX(SPPR!$E:$X,MATCH($A189,SPPR!$A:$A,0),1)),$C189*INDEX(SPPR!$E:$X,MATCH($A189,SPPR!$A:$A,0),1),""),"")</f>
        <v/>
      </c>
      <c r="E189">
        <f>IFERROR(IF(ISNUMBER(INDEX(SPPR!$E:$X,MATCH($A189,SPPR!$A:$A,0),2)),$C189*INDEX(SPPR!$E:$X,MATCH($A189,SPPR!$A:$A,0),2),""),"")</f>
        <v/>
      </c>
      <c r="F189">
        <f>IFERROR(IF(ISNUMBER(INDEX(SPPR!$E:$X,MATCH($A189,SPPR!$A:$A,0),3)),$C189*INDEX(SPPR!$E:$X,MATCH($A189,SPPR!$A:$A,0),3),""),"")</f>
        <v/>
      </c>
      <c r="G189">
        <f>IFERROR(IF(ISNUMBER(INDEX(SPPR!$E:$X,MATCH($A189,SPPR!$A:$A,0),4)),$C189*INDEX(SPPR!$E:$X,MATCH($A189,SPPR!$A:$A,0),4),""),"")</f>
        <v/>
      </c>
      <c r="H189">
        <f>IFERROR(IF(ISNUMBER(INDEX(SPPR!$E:$X,MATCH($A189,SPPR!$A:$A,0),5)),$C189*INDEX(SPPR!$E:$X,MATCH($A189,SPPR!$A:$A,0),5),""),"")</f>
        <v/>
      </c>
      <c r="I189">
        <f>IFERROR(IF(ISNUMBER(INDEX(SPPR!$E:$X,MATCH($A189,SPPR!$A:$A,0),6)),$C189*INDEX(SPPR!$E:$X,MATCH($A189,SPPR!$A:$A,0),6),""),"")</f>
        <v/>
      </c>
      <c r="J189">
        <f>IFERROR(IF(ISNUMBER(INDEX(SPPR!$E:$X,MATCH($A189,SPPR!$A:$A,0),7)),$C189*INDEX(SPPR!$E:$X,MATCH($A189,SPPR!$A:$A,0),7),""),"")</f>
        <v/>
      </c>
      <c r="K189">
        <f>IFERROR(IF(ISNUMBER(INDEX(SPPR!$E:$X,MATCH($A189,SPPR!$A:$A,0),8)),$C189*INDEX(SPPR!$E:$X,MATCH($A189,SPPR!$A:$A,0),8),""),"")</f>
        <v/>
      </c>
      <c r="L189">
        <f>IFERROR(IF(ISNUMBER(INDEX(SPPR!$E:$X,MATCH($A189,SPPR!$A:$A,0),9)),$C189*INDEX(SPPR!$E:$X,MATCH($A189,SPPR!$A:$A,0),9),""),"")</f>
        <v/>
      </c>
      <c r="M189">
        <f>IFERROR(IF(ISNUMBER(INDEX(SPPR!$E:$X,MATCH($A189,SPPR!$A:$A,0),10)),$C189*INDEX(SPPR!$E:$X,MATCH($A189,SPPR!$A:$A,0),10),""),"")</f>
        <v/>
      </c>
      <c r="N189">
        <f>IFERROR(IF(ISNUMBER(INDEX(SPPR!$E:$X,MATCH($A189,SPPR!$A:$A,0),11)),$C189*INDEX(SPPR!$E:$X,MATCH($A189,SPPR!$A:$A,0),11),""),"")</f>
        <v/>
      </c>
      <c r="O189">
        <f>IFERROR(IF(ISNUMBER(INDEX(SPPR!$E:$X,MATCH($A189,SPPR!$A:$A,0),12)),$C189*INDEX(SPPR!$E:$X,MATCH($A189,SPPR!$A:$A,0),12),""),"")</f>
        <v/>
      </c>
      <c r="P189">
        <f>IFERROR(IF(ISNUMBER(INDEX(SPPR!$E:$X,MATCH($A189,SPPR!$A:$A,0),13)),$C189*INDEX(SPPR!$E:$X,MATCH($A189,SPPR!$A:$A,0),13),""),"")</f>
        <v/>
      </c>
      <c r="Q189">
        <f>IFERROR(IF(ISNUMBER(INDEX(SPPR!$E:$X,MATCH($A189,SPPR!$A:$A,0),14)),$C189*INDEX(SPPR!$E:$X,MATCH($A189,SPPR!$A:$A,0),14),""),"")</f>
        <v/>
      </c>
      <c r="R189">
        <f>IFERROR(IF(ISNUMBER(INDEX(SPPR!$E:$X,MATCH($A189,SPPR!$A:$A,0),15)),$C189*INDEX(SPPR!$E:$X,MATCH($A189,SPPR!$A:$A,0),15),""),"")</f>
        <v/>
      </c>
      <c r="S189">
        <f>IFERROR(IF(ISNUMBER(INDEX(SPPR!$E:$X,MATCH($A189,SPPR!$A:$A,0),16)),$C189*INDEX(SPPR!$E:$X,MATCH($A189,SPPR!$A:$A,0),16),""),"")</f>
        <v/>
      </c>
      <c r="T189">
        <f>IFERROR(IF(ISNUMBER(INDEX(SPPR!$E:$X,MATCH($A189,SPPR!$A:$A,0),17)),$C189*INDEX(SPPR!$E:$X,MATCH($A189,SPPR!$A:$A,0),17),""),"")</f>
        <v/>
      </c>
      <c r="U189">
        <f>IFERROR(IF(ISNUMBER(INDEX(SPPR!$E:$X,MATCH($A189,SPPR!$A:$A,0),18)),$C189*INDEX(SPPR!$E:$X,MATCH($A189,SPPR!$A:$A,0),18),""),"")</f>
        <v/>
      </c>
      <c r="V189">
        <f>IFERROR(IF(ISNUMBER(INDEX(SPPR!$E:$X,MATCH($A189,SPPR!$A:$A,0),19)),$C189*INDEX(SPPR!$E:$X,MATCH($A189,SPPR!$A:$A,0),19),""),"")</f>
        <v/>
      </c>
      <c r="W189">
        <f>IFERROR(IF(ISNUMBER(INDEX(SPPR!$E:$X,MATCH($A189,SPPR!$A:$A,0),20)),$C189*INDEX(SPPR!$E:$X,MATCH($A189,SPPR!$A:$A,0),20),""),"")</f>
        <v/>
      </c>
    </row>
    <row r="190">
      <c r="A190" t="inlineStr">
        <is>
          <t>Scyllaridae</t>
        </is>
      </c>
      <c r="B190">
        <f>IFERROR(INDEX(SPPR!$D:$D,MATCH($A190,SPPR!$A:$A,0)),"")</f>
        <v/>
      </c>
      <c r="C190">
        <f>IFERROR(INDEX(Catch!$E:$BV,MATCH($A190,Catch!$A:$A,0),MATCH($B$4,Catch!$E$1:$BV$1,0)),0)</f>
        <v/>
      </c>
      <c r="D190">
        <f>IFERROR(IF(ISNUMBER(INDEX(SPPR!$E:$X,MATCH($A190,SPPR!$A:$A,0),1)),$C190*INDEX(SPPR!$E:$X,MATCH($A190,SPPR!$A:$A,0),1),""),"")</f>
        <v/>
      </c>
      <c r="E190">
        <f>IFERROR(IF(ISNUMBER(INDEX(SPPR!$E:$X,MATCH($A190,SPPR!$A:$A,0),2)),$C190*INDEX(SPPR!$E:$X,MATCH($A190,SPPR!$A:$A,0),2),""),"")</f>
        <v/>
      </c>
      <c r="F190">
        <f>IFERROR(IF(ISNUMBER(INDEX(SPPR!$E:$X,MATCH($A190,SPPR!$A:$A,0),3)),$C190*INDEX(SPPR!$E:$X,MATCH($A190,SPPR!$A:$A,0),3),""),"")</f>
        <v/>
      </c>
      <c r="G190">
        <f>IFERROR(IF(ISNUMBER(INDEX(SPPR!$E:$X,MATCH($A190,SPPR!$A:$A,0),4)),$C190*INDEX(SPPR!$E:$X,MATCH($A190,SPPR!$A:$A,0),4),""),"")</f>
        <v/>
      </c>
      <c r="H190">
        <f>IFERROR(IF(ISNUMBER(INDEX(SPPR!$E:$X,MATCH($A190,SPPR!$A:$A,0),5)),$C190*INDEX(SPPR!$E:$X,MATCH($A190,SPPR!$A:$A,0),5),""),"")</f>
        <v/>
      </c>
      <c r="I190">
        <f>IFERROR(IF(ISNUMBER(INDEX(SPPR!$E:$X,MATCH($A190,SPPR!$A:$A,0),6)),$C190*INDEX(SPPR!$E:$X,MATCH($A190,SPPR!$A:$A,0),6),""),"")</f>
        <v/>
      </c>
      <c r="J190">
        <f>IFERROR(IF(ISNUMBER(INDEX(SPPR!$E:$X,MATCH($A190,SPPR!$A:$A,0),7)),$C190*INDEX(SPPR!$E:$X,MATCH($A190,SPPR!$A:$A,0),7),""),"")</f>
        <v/>
      </c>
      <c r="K190">
        <f>IFERROR(IF(ISNUMBER(INDEX(SPPR!$E:$X,MATCH($A190,SPPR!$A:$A,0),8)),$C190*INDEX(SPPR!$E:$X,MATCH($A190,SPPR!$A:$A,0),8),""),"")</f>
        <v/>
      </c>
      <c r="L190">
        <f>IFERROR(IF(ISNUMBER(INDEX(SPPR!$E:$X,MATCH($A190,SPPR!$A:$A,0),9)),$C190*INDEX(SPPR!$E:$X,MATCH($A190,SPPR!$A:$A,0),9),""),"")</f>
        <v/>
      </c>
      <c r="M190">
        <f>IFERROR(IF(ISNUMBER(INDEX(SPPR!$E:$X,MATCH($A190,SPPR!$A:$A,0),10)),$C190*INDEX(SPPR!$E:$X,MATCH($A190,SPPR!$A:$A,0),10),""),"")</f>
        <v/>
      </c>
      <c r="N190">
        <f>IFERROR(IF(ISNUMBER(INDEX(SPPR!$E:$X,MATCH($A190,SPPR!$A:$A,0),11)),$C190*INDEX(SPPR!$E:$X,MATCH($A190,SPPR!$A:$A,0),11),""),"")</f>
        <v/>
      </c>
      <c r="O190">
        <f>IFERROR(IF(ISNUMBER(INDEX(SPPR!$E:$X,MATCH($A190,SPPR!$A:$A,0),12)),$C190*INDEX(SPPR!$E:$X,MATCH($A190,SPPR!$A:$A,0),12),""),"")</f>
        <v/>
      </c>
      <c r="P190">
        <f>IFERROR(IF(ISNUMBER(INDEX(SPPR!$E:$X,MATCH($A190,SPPR!$A:$A,0),13)),$C190*INDEX(SPPR!$E:$X,MATCH($A190,SPPR!$A:$A,0),13),""),"")</f>
        <v/>
      </c>
      <c r="Q190">
        <f>IFERROR(IF(ISNUMBER(INDEX(SPPR!$E:$X,MATCH($A190,SPPR!$A:$A,0),14)),$C190*INDEX(SPPR!$E:$X,MATCH($A190,SPPR!$A:$A,0),14),""),"")</f>
        <v/>
      </c>
      <c r="R190">
        <f>IFERROR(IF(ISNUMBER(INDEX(SPPR!$E:$X,MATCH($A190,SPPR!$A:$A,0),15)),$C190*INDEX(SPPR!$E:$X,MATCH($A190,SPPR!$A:$A,0),15),""),"")</f>
        <v/>
      </c>
      <c r="S190">
        <f>IFERROR(IF(ISNUMBER(INDEX(SPPR!$E:$X,MATCH($A190,SPPR!$A:$A,0),16)),$C190*INDEX(SPPR!$E:$X,MATCH($A190,SPPR!$A:$A,0),16),""),"")</f>
        <v/>
      </c>
      <c r="T190">
        <f>IFERROR(IF(ISNUMBER(INDEX(SPPR!$E:$X,MATCH($A190,SPPR!$A:$A,0),17)),$C190*INDEX(SPPR!$E:$X,MATCH($A190,SPPR!$A:$A,0),17),""),"")</f>
        <v/>
      </c>
      <c r="U190">
        <f>IFERROR(IF(ISNUMBER(INDEX(SPPR!$E:$X,MATCH($A190,SPPR!$A:$A,0),18)),$C190*INDEX(SPPR!$E:$X,MATCH($A190,SPPR!$A:$A,0),18),""),"")</f>
        <v/>
      </c>
      <c r="V190">
        <f>IFERROR(IF(ISNUMBER(INDEX(SPPR!$E:$X,MATCH($A190,SPPR!$A:$A,0),19)),$C190*INDEX(SPPR!$E:$X,MATCH($A190,SPPR!$A:$A,0),19),""),"")</f>
        <v/>
      </c>
      <c r="W190">
        <f>IFERROR(IF(ISNUMBER(INDEX(SPPR!$E:$X,MATCH($A190,SPPR!$A:$A,0),20)),$C190*INDEX(SPPR!$E:$X,MATCH($A190,SPPR!$A:$A,0),20),""),"")</f>
        <v/>
      </c>
    </row>
    <row r="191">
      <c r="A191" t="inlineStr">
        <is>
          <t>Anodontostoma chacunda</t>
        </is>
      </c>
      <c r="B191">
        <f>IFERROR(INDEX(SPPR!$D:$D,MATCH($A191,SPPR!$A:$A,0)),"")</f>
        <v/>
      </c>
      <c r="C191">
        <f>IFERROR(INDEX(Catch!$E:$BV,MATCH($A191,Catch!$A:$A,0),MATCH($B$4,Catch!$E$1:$BV$1,0)),0)</f>
        <v/>
      </c>
      <c r="D191">
        <f>IFERROR(IF(ISNUMBER(INDEX(SPPR!$E:$X,MATCH($A191,SPPR!$A:$A,0),1)),$C191*INDEX(SPPR!$E:$X,MATCH($A191,SPPR!$A:$A,0),1),""),"")</f>
        <v/>
      </c>
      <c r="E191">
        <f>IFERROR(IF(ISNUMBER(INDEX(SPPR!$E:$X,MATCH($A191,SPPR!$A:$A,0),2)),$C191*INDEX(SPPR!$E:$X,MATCH($A191,SPPR!$A:$A,0),2),""),"")</f>
        <v/>
      </c>
      <c r="F191">
        <f>IFERROR(IF(ISNUMBER(INDEX(SPPR!$E:$X,MATCH($A191,SPPR!$A:$A,0),3)),$C191*INDEX(SPPR!$E:$X,MATCH($A191,SPPR!$A:$A,0),3),""),"")</f>
        <v/>
      </c>
      <c r="G191">
        <f>IFERROR(IF(ISNUMBER(INDEX(SPPR!$E:$X,MATCH($A191,SPPR!$A:$A,0),4)),$C191*INDEX(SPPR!$E:$X,MATCH($A191,SPPR!$A:$A,0),4),""),"")</f>
        <v/>
      </c>
      <c r="H191">
        <f>IFERROR(IF(ISNUMBER(INDEX(SPPR!$E:$X,MATCH($A191,SPPR!$A:$A,0),5)),$C191*INDEX(SPPR!$E:$X,MATCH($A191,SPPR!$A:$A,0),5),""),"")</f>
        <v/>
      </c>
      <c r="I191">
        <f>IFERROR(IF(ISNUMBER(INDEX(SPPR!$E:$X,MATCH($A191,SPPR!$A:$A,0),6)),$C191*INDEX(SPPR!$E:$X,MATCH($A191,SPPR!$A:$A,0),6),""),"")</f>
        <v/>
      </c>
      <c r="J191">
        <f>IFERROR(IF(ISNUMBER(INDEX(SPPR!$E:$X,MATCH($A191,SPPR!$A:$A,0),7)),$C191*INDEX(SPPR!$E:$X,MATCH($A191,SPPR!$A:$A,0),7),""),"")</f>
        <v/>
      </c>
      <c r="K191">
        <f>IFERROR(IF(ISNUMBER(INDEX(SPPR!$E:$X,MATCH($A191,SPPR!$A:$A,0),8)),$C191*INDEX(SPPR!$E:$X,MATCH($A191,SPPR!$A:$A,0),8),""),"")</f>
        <v/>
      </c>
      <c r="L191">
        <f>IFERROR(IF(ISNUMBER(INDEX(SPPR!$E:$X,MATCH($A191,SPPR!$A:$A,0),9)),$C191*INDEX(SPPR!$E:$X,MATCH($A191,SPPR!$A:$A,0),9),""),"")</f>
        <v/>
      </c>
      <c r="M191">
        <f>IFERROR(IF(ISNUMBER(INDEX(SPPR!$E:$X,MATCH($A191,SPPR!$A:$A,0),10)),$C191*INDEX(SPPR!$E:$X,MATCH($A191,SPPR!$A:$A,0),10),""),"")</f>
        <v/>
      </c>
      <c r="N191">
        <f>IFERROR(IF(ISNUMBER(INDEX(SPPR!$E:$X,MATCH($A191,SPPR!$A:$A,0),11)),$C191*INDEX(SPPR!$E:$X,MATCH($A191,SPPR!$A:$A,0),11),""),"")</f>
        <v/>
      </c>
      <c r="O191">
        <f>IFERROR(IF(ISNUMBER(INDEX(SPPR!$E:$X,MATCH($A191,SPPR!$A:$A,0),12)),$C191*INDEX(SPPR!$E:$X,MATCH($A191,SPPR!$A:$A,0),12),""),"")</f>
        <v/>
      </c>
      <c r="P191">
        <f>IFERROR(IF(ISNUMBER(INDEX(SPPR!$E:$X,MATCH($A191,SPPR!$A:$A,0),13)),$C191*INDEX(SPPR!$E:$X,MATCH($A191,SPPR!$A:$A,0),13),""),"")</f>
        <v/>
      </c>
      <c r="Q191">
        <f>IFERROR(IF(ISNUMBER(INDEX(SPPR!$E:$X,MATCH($A191,SPPR!$A:$A,0),14)),$C191*INDEX(SPPR!$E:$X,MATCH($A191,SPPR!$A:$A,0),14),""),"")</f>
        <v/>
      </c>
      <c r="R191">
        <f>IFERROR(IF(ISNUMBER(INDEX(SPPR!$E:$X,MATCH($A191,SPPR!$A:$A,0),15)),$C191*INDEX(SPPR!$E:$X,MATCH($A191,SPPR!$A:$A,0),15),""),"")</f>
        <v/>
      </c>
      <c r="S191">
        <f>IFERROR(IF(ISNUMBER(INDEX(SPPR!$E:$X,MATCH($A191,SPPR!$A:$A,0),16)),$C191*INDEX(SPPR!$E:$X,MATCH($A191,SPPR!$A:$A,0),16),""),"")</f>
        <v/>
      </c>
      <c r="T191">
        <f>IFERROR(IF(ISNUMBER(INDEX(SPPR!$E:$X,MATCH($A191,SPPR!$A:$A,0),17)),$C191*INDEX(SPPR!$E:$X,MATCH($A191,SPPR!$A:$A,0),17),""),"")</f>
        <v/>
      </c>
      <c r="U191">
        <f>IFERROR(IF(ISNUMBER(INDEX(SPPR!$E:$X,MATCH($A191,SPPR!$A:$A,0),18)),$C191*INDEX(SPPR!$E:$X,MATCH($A191,SPPR!$A:$A,0),18),""),"")</f>
        <v/>
      </c>
      <c r="V191">
        <f>IFERROR(IF(ISNUMBER(INDEX(SPPR!$E:$X,MATCH($A191,SPPR!$A:$A,0),19)),$C191*INDEX(SPPR!$E:$X,MATCH($A191,SPPR!$A:$A,0),19),""),"")</f>
        <v/>
      </c>
      <c r="W191">
        <f>IFERROR(IF(ISNUMBER(INDEX(SPPR!$E:$X,MATCH($A191,SPPR!$A:$A,0),20)),$C191*INDEX(SPPR!$E:$X,MATCH($A191,SPPR!$A:$A,0),20),""),"")</f>
        <v/>
      </c>
    </row>
    <row r="192">
      <c r="A192" t="inlineStr">
        <is>
          <t>Echinoidea</t>
        </is>
      </c>
      <c r="B192">
        <f>IFERROR(INDEX(SPPR!$D:$D,MATCH($A192,SPPR!$A:$A,0)),"")</f>
        <v/>
      </c>
      <c r="C192">
        <f>IFERROR(INDEX(Catch!$E:$BV,MATCH($A192,Catch!$A:$A,0),MATCH($B$4,Catch!$E$1:$BV$1,0)),0)</f>
        <v/>
      </c>
      <c r="D192">
        <f>IFERROR(IF(ISNUMBER(INDEX(SPPR!$E:$X,MATCH($A192,SPPR!$A:$A,0),1)),$C192*INDEX(SPPR!$E:$X,MATCH($A192,SPPR!$A:$A,0),1),""),"")</f>
        <v/>
      </c>
      <c r="E192">
        <f>IFERROR(IF(ISNUMBER(INDEX(SPPR!$E:$X,MATCH($A192,SPPR!$A:$A,0),2)),$C192*INDEX(SPPR!$E:$X,MATCH($A192,SPPR!$A:$A,0),2),""),"")</f>
        <v/>
      </c>
      <c r="F192">
        <f>IFERROR(IF(ISNUMBER(INDEX(SPPR!$E:$X,MATCH($A192,SPPR!$A:$A,0),3)),$C192*INDEX(SPPR!$E:$X,MATCH($A192,SPPR!$A:$A,0),3),""),"")</f>
        <v/>
      </c>
      <c r="G192">
        <f>IFERROR(IF(ISNUMBER(INDEX(SPPR!$E:$X,MATCH($A192,SPPR!$A:$A,0),4)),$C192*INDEX(SPPR!$E:$X,MATCH($A192,SPPR!$A:$A,0),4),""),"")</f>
        <v/>
      </c>
      <c r="H192">
        <f>IFERROR(IF(ISNUMBER(INDEX(SPPR!$E:$X,MATCH($A192,SPPR!$A:$A,0),5)),$C192*INDEX(SPPR!$E:$X,MATCH($A192,SPPR!$A:$A,0),5),""),"")</f>
        <v/>
      </c>
      <c r="I192">
        <f>IFERROR(IF(ISNUMBER(INDEX(SPPR!$E:$X,MATCH($A192,SPPR!$A:$A,0),6)),$C192*INDEX(SPPR!$E:$X,MATCH($A192,SPPR!$A:$A,0),6),""),"")</f>
        <v/>
      </c>
      <c r="J192">
        <f>IFERROR(IF(ISNUMBER(INDEX(SPPR!$E:$X,MATCH($A192,SPPR!$A:$A,0),7)),$C192*INDEX(SPPR!$E:$X,MATCH($A192,SPPR!$A:$A,0),7),""),"")</f>
        <v/>
      </c>
      <c r="K192">
        <f>IFERROR(IF(ISNUMBER(INDEX(SPPR!$E:$X,MATCH($A192,SPPR!$A:$A,0),8)),$C192*INDEX(SPPR!$E:$X,MATCH($A192,SPPR!$A:$A,0),8),""),"")</f>
        <v/>
      </c>
      <c r="L192">
        <f>IFERROR(IF(ISNUMBER(INDEX(SPPR!$E:$X,MATCH($A192,SPPR!$A:$A,0),9)),$C192*INDEX(SPPR!$E:$X,MATCH($A192,SPPR!$A:$A,0),9),""),"")</f>
        <v/>
      </c>
      <c r="M192">
        <f>IFERROR(IF(ISNUMBER(INDEX(SPPR!$E:$X,MATCH($A192,SPPR!$A:$A,0),10)),$C192*INDEX(SPPR!$E:$X,MATCH($A192,SPPR!$A:$A,0),10),""),"")</f>
        <v/>
      </c>
      <c r="N192">
        <f>IFERROR(IF(ISNUMBER(INDEX(SPPR!$E:$X,MATCH($A192,SPPR!$A:$A,0),11)),$C192*INDEX(SPPR!$E:$X,MATCH($A192,SPPR!$A:$A,0),11),""),"")</f>
        <v/>
      </c>
      <c r="O192">
        <f>IFERROR(IF(ISNUMBER(INDEX(SPPR!$E:$X,MATCH($A192,SPPR!$A:$A,0),12)),$C192*INDEX(SPPR!$E:$X,MATCH($A192,SPPR!$A:$A,0),12),""),"")</f>
        <v/>
      </c>
      <c r="P192">
        <f>IFERROR(IF(ISNUMBER(INDEX(SPPR!$E:$X,MATCH($A192,SPPR!$A:$A,0),13)),$C192*INDEX(SPPR!$E:$X,MATCH($A192,SPPR!$A:$A,0),13),""),"")</f>
        <v/>
      </c>
      <c r="Q192">
        <f>IFERROR(IF(ISNUMBER(INDEX(SPPR!$E:$X,MATCH($A192,SPPR!$A:$A,0),14)),$C192*INDEX(SPPR!$E:$X,MATCH($A192,SPPR!$A:$A,0),14),""),"")</f>
        <v/>
      </c>
      <c r="R192">
        <f>IFERROR(IF(ISNUMBER(INDEX(SPPR!$E:$X,MATCH($A192,SPPR!$A:$A,0),15)),$C192*INDEX(SPPR!$E:$X,MATCH($A192,SPPR!$A:$A,0),15),""),"")</f>
        <v/>
      </c>
      <c r="S192">
        <f>IFERROR(IF(ISNUMBER(INDEX(SPPR!$E:$X,MATCH($A192,SPPR!$A:$A,0),16)),$C192*INDEX(SPPR!$E:$X,MATCH($A192,SPPR!$A:$A,0),16),""),"")</f>
        <v/>
      </c>
      <c r="T192">
        <f>IFERROR(IF(ISNUMBER(INDEX(SPPR!$E:$X,MATCH($A192,SPPR!$A:$A,0),17)),$C192*INDEX(SPPR!$E:$X,MATCH($A192,SPPR!$A:$A,0),17),""),"")</f>
        <v/>
      </c>
      <c r="U192">
        <f>IFERROR(IF(ISNUMBER(INDEX(SPPR!$E:$X,MATCH($A192,SPPR!$A:$A,0),18)),$C192*INDEX(SPPR!$E:$X,MATCH($A192,SPPR!$A:$A,0),18),""),"")</f>
        <v/>
      </c>
      <c r="V192">
        <f>IFERROR(IF(ISNUMBER(INDEX(SPPR!$E:$X,MATCH($A192,SPPR!$A:$A,0),19)),$C192*INDEX(SPPR!$E:$X,MATCH($A192,SPPR!$A:$A,0),19),""),"")</f>
        <v/>
      </c>
      <c r="W192">
        <f>IFERROR(IF(ISNUMBER(INDEX(SPPR!$E:$X,MATCH($A192,SPPR!$A:$A,0),20)),$C192*INDEX(SPPR!$E:$X,MATCH($A192,SPPR!$A:$A,0),20),""),"")</f>
        <v/>
      </c>
    </row>
    <row r="193">
      <c r="A193" t="inlineStr">
        <is>
          <t>Ariomma indica</t>
        </is>
      </c>
      <c r="B193">
        <f>IFERROR(INDEX(SPPR!$D:$D,MATCH($A193,SPPR!$A:$A,0)),"")</f>
        <v/>
      </c>
      <c r="C193">
        <f>IFERROR(INDEX(Catch!$E:$BV,MATCH($A193,Catch!$A:$A,0),MATCH($B$4,Catch!$E$1:$BV$1,0)),0)</f>
        <v/>
      </c>
      <c r="D193">
        <f>IFERROR(IF(ISNUMBER(INDEX(SPPR!$E:$X,MATCH($A193,SPPR!$A:$A,0),1)),$C193*INDEX(SPPR!$E:$X,MATCH($A193,SPPR!$A:$A,0),1),""),"")</f>
        <v/>
      </c>
      <c r="E193">
        <f>IFERROR(IF(ISNUMBER(INDEX(SPPR!$E:$X,MATCH($A193,SPPR!$A:$A,0),2)),$C193*INDEX(SPPR!$E:$X,MATCH($A193,SPPR!$A:$A,0),2),""),"")</f>
        <v/>
      </c>
      <c r="F193">
        <f>IFERROR(IF(ISNUMBER(INDEX(SPPR!$E:$X,MATCH($A193,SPPR!$A:$A,0),3)),$C193*INDEX(SPPR!$E:$X,MATCH($A193,SPPR!$A:$A,0),3),""),"")</f>
        <v/>
      </c>
      <c r="G193">
        <f>IFERROR(IF(ISNUMBER(INDEX(SPPR!$E:$X,MATCH($A193,SPPR!$A:$A,0),4)),$C193*INDEX(SPPR!$E:$X,MATCH($A193,SPPR!$A:$A,0),4),""),"")</f>
        <v/>
      </c>
      <c r="H193">
        <f>IFERROR(IF(ISNUMBER(INDEX(SPPR!$E:$X,MATCH($A193,SPPR!$A:$A,0),5)),$C193*INDEX(SPPR!$E:$X,MATCH($A193,SPPR!$A:$A,0),5),""),"")</f>
        <v/>
      </c>
      <c r="I193">
        <f>IFERROR(IF(ISNUMBER(INDEX(SPPR!$E:$X,MATCH($A193,SPPR!$A:$A,0),6)),$C193*INDEX(SPPR!$E:$X,MATCH($A193,SPPR!$A:$A,0),6),""),"")</f>
        <v/>
      </c>
      <c r="J193">
        <f>IFERROR(IF(ISNUMBER(INDEX(SPPR!$E:$X,MATCH($A193,SPPR!$A:$A,0),7)),$C193*INDEX(SPPR!$E:$X,MATCH($A193,SPPR!$A:$A,0),7),""),"")</f>
        <v/>
      </c>
      <c r="K193">
        <f>IFERROR(IF(ISNUMBER(INDEX(SPPR!$E:$X,MATCH($A193,SPPR!$A:$A,0),8)),$C193*INDEX(SPPR!$E:$X,MATCH($A193,SPPR!$A:$A,0),8),""),"")</f>
        <v/>
      </c>
      <c r="L193">
        <f>IFERROR(IF(ISNUMBER(INDEX(SPPR!$E:$X,MATCH($A193,SPPR!$A:$A,0),9)),$C193*INDEX(SPPR!$E:$X,MATCH($A193,SPPR!$A:$A,0),9),""),"")</f>
        <v/>
      </c>
      <c r="M193">
        <f>IFERROR(IF(ISNUMBER(INDEX(SPPR!$E:$X,MATCH($A193,SPPR!$A:$A,0),10)),$C193*INDEX(SPPR!$E:$X,MATCH($A193,SPPR!$A:$A,0),10),""),"")</f>
        <v/>
      </c>
      <c r="N193">
        <f>IFERROR(IF(ISNUMBER(INDEX(SPPR!$E:$X,MATCH($A193,SPPR!$A:$A,0),11)),$C193*INDEX(SPPR!$E:$X,MATCH($A193,SPPR!$A:$A,0),11),""),"")</f>
        <v/>
      </c>
      <c r="O193">
        <f>IFERROR(IF(ISNUMBER(INDEX(SPPR!$E:$X,MATCH($A193,SPPR!$A:$A,0),12)),$C193*INDEX(SPPR!$E:$X,MATCH($A193,SPPR!$A:$A,0),12),""),"")</f>
        <v/>
      </c>
      <c r="P193">
        <f>IFERROR(IF(ISNUMBER(INDEX(SPPR!$E:$X,MATCH($A193,SPPR!$A:$A,0),13)),$C193*INDEX(SPPR!$E:$X,MATCH($A193,SPPR!$A:$A,0),13),""),"")</f>
        <v/>
      </c>
      <c r="Q193">
        <f>IFERROR(IF(ISNUMBER(INDEX(SPPR!$E:$X,MATCH($A193,SPPR!$A:$A,0),14)),$C193*INDEX(SPPR!$E:$X,MATCH($A193,SPPR!$A:$A,0),14),""),"")</f>
        <v/>
      </c>
      <c r="R193">
        <f>IFERROR(IF(ISNUMBER(INDEX(SPPR!$E:$X,MATCH($A193,SPPR!$A:$A,0),15)),$C193*INDEX(SPPR!$E:$X,MATCH($A193,SPPR!$A:$A,0),15),""),"")</f>
        <v/>
      </c>
      <c r="S193">
        <f>IFERROR(IF(ISNUMBER(INDEX(SPPR!$E:$X,MATCH($A193,SPPR!$A:$A,0),16)),$C193*INDEX(SPPR!$E:$X,MATCH($A193,SPPR!$A:$A,0),16),""),"")</f>
        <v/>
      </c>
      <c r="T193">
        <f>IFERROR(IF(ISNUMBER(INDEX(SPPR!$E:$X,MATCH($A193,SPPR!$A:$A,0),17)),$C193*INDEX(SPPR!$E:$X,MATCH($A193,SPPR!$A:$A,0),17),""),"")</f>
        <v/>
      </c>
      <c r="U193">
        <f>IFERROR(IF(ISNUMBER(INDEX(SPPR!$E:$X,MATCH($A193,SPPR!$A:$A,0),18)),$C193*INDEX(SPPR!$E:$X,MATCH($A193,SPPR!$A:$A,0),18),""),"")</f>
        <v/>
      </c>
      <c r="V193">
        <f>IFERROR(IF(ISNUMBER(INDEX(SPPR!$E:$X,MATCH($A193,SPPR!$A:$A,0),19)),$C193*INDEX(SPPR!$E:$X,MATCH($A193,SPPR!$A:$A,0),19),""),"")</f>
        <v/>
      </c>
      <c r="W193">
        <f>IFERROR(IF(ISNUMBER(INDEX(SPPR!$E:$X,MATCH($A193,SPPR!$A:$A,0),20)),$C193*INDEX(SPPR!$E:$X,MATCH($A193,SPPR!$A:$A,0),20),""),"")</f>
        <v/>
      </c>
    </row>
    <row r="194">
      <c r="A194" t="inlineStr">
        <is>
          <t>Lutjanus quinquelineatus</t>
        </is>
      </c>
      <c r="B194">
        <f>IFERROR(INDEX(SPPR!$D:$D,MATCH($A194,SPPR!$A:$A,0)),"")</f>
        <v/>
      </c>
      <c r="C194">
        <f>IFERROR(INDEX(Catch!$E:$BV,MATCH($A194,Catch!$A:$A,0),MATCH($B$4,Catch!$E$1:$BV$1,0)),0)</f>
        <v/>
      </c>
      <c r="D194">
        <f>IFERROR(IF(ISNUMBER(INDEX(SPPR!$E:$X,MATCH($A194,SPPR!$A:$A,0),1)),$C194*INDEX(SPPR!$E:$X,MATCH($A194,SPPR!$A:$A,0),1),""),"")</f>
        <v/>
      </c>
      <c r="E194">
        <f>IFERROR(IF(ISNUMBER(INDEX(SPPR!$E:$X,MATCH($A194,SPPR!$A:$A,0),2)),$C194*INDEX(SPPR!$E:$X,MATCH($A194,SPPR!$A:$A,0),2),""),"")</f>
        <v/>
      </c>
      <c r="F194">
        <f>IFERROR(IF(ISNUMBER(INDEX(SPPR!$E:$X,MATCH($A194,SPPR!$A:$A,0),3)),$C194*INDEX(SPPR!$E:$X,MATCH($A194,SPPR!$A:$A,0),3),""),"")</f>
        <v/>
      </c>
      <c r="G194">
        <f>IFERROR(IF(ISNUMBER(INDEX(SPPR!$E:$X,MATCH($A194,SPPR!$A:$A,0),4)),$C194*INDEX(SPPR!$E:$X,MATCH($A194,SPPR!$A:$A,0),4),""),"")</f>
        <v/>
      </c>
      <c r="H194">
        <f>IFERROR(IF(ISNUMBER(INDEX(SPPR!$E:$X,MATCH($A194,SPPR!$A:$A,0),5)),$C194*INDEX(SPPR!$E:$X,MATCH($A194,SPPR!$A:$A,0),5),""),"")</f>
        <v/>
      </c>
      <c r="I194">
        <f>IFERROR(IF(ISNUMBER(INDEX(SPPR!$E:$X,MATCH($A194,SPPR!$A:$A,0),6)),$C194*INDEX(SPPR!$E:$X,MATCH($A194,SPPR!$A:$A,0),6),""),"")</f>
        <v/>
      </c>
      <c r="J194">
        <f>IFERROR(IF(ISNUMBER(INDEX(SPPR!$E:$X,MATCH($A194,SPPR!$A:$A,0),7)),$C194*INDEX(SPPR!$E:$X,MATCH($A194,SPPR!$A:$A,0),7),""),"")</f>
        <v/>
      </c>
      <c r="K194">
        <f>IFERROR(IF(ISNUMBER(INDEX(SPPR!$E:$X,MATCH($A194,SPPR!$A:$A,0),8)),$C194*INDEX(SPPR!$E:$X,MATCH($A194,SPPR!$A:$A,0),8),""),"")</f>
        <v/>
      </c>
      <c r="L194">
        <f>IFERROR(IF(ISNUMBER(INDEX(SPPR!$E:$X,MATCH($A194,SPPR!$A:$A,0),9)),$C194*INDEX(SPPR!$E:$X,MATCH($A194,SPPR!$A:$A,0),9),""),"")</f>
        <v/>
      </c>
      <c r="M194">
        <f>IFERROR(IF(ISNUMBER(INDEX(SPPR!$E:$X,MATCH($A194,SPPR!$A:$A,0),10)),$C194*INDEX(SPPR!$E:$X,MATCH($A194,SPPR!$A:$A,0),10),""),"")</f>
        <v/>
      </c>
      <c r="N194">
        <f>IFERROR(IF(ISNUMBER(INDEX(SPPR!$E:$X,MATCH($A194,SPPR!$A:$A,0),11)),$C194*INDEX(SPPR!$E:$X,MATCH($A194,SPPR!$A:$A,0),11),""),"")</f>
        <v/>
      </c>
      <c r="O194">
        <f>IFERROR(IF(ISNUMBER(INDEX(SPPR!$E:$X,MATCH($A194,SPPR!$A:$A,0),12)),$C194*INDEX(SPPR!$E:$X,MATCH($A194,SPPR!$A:$A,0),12),""),"")</f>
        <v/>
      </c>
      <c r="P194">
        <f>IFERROR(IF(ISNUMBER(INDEX(SPPR!$E:$X,MATCH($A194,SPPR!$A:$A,0),13)),$C194*INDEX(SPPR!$E:$X,MATCH($A194,SPPR!$A:$A,0),13),""),"")</f>
        <v/>
      </c>
      <c r="Q194">
        <f>IFERROR(IF(ISNUMBER(INDEX(SPPR!$E:$X,MATCH($A194,SPPR!$A:$A,0),14)),$C194*INDEX(SPPR!$E:$X,MATCH($A194,SPPR!$A:$A,0),14),""),"")</f>
        <v/>
      </c>
      <c r="R194">
        <f>IFERROR(IF(ISNUMBER(INDEX(SPPR!$E:$X,MATCH($A194,SPPR!$A:$A,0),15)),$C194*INDEX(SPPR!$E:$X,MATCH($A194,SPPR!$A:$A,0),15),""),"")</f>
        <v/>
      </c>
      <c r="S194">
        <f>IFERROR(IF(ISNUMBER(INDEX(SPPR!$E:$X,MATCH($A194,SPPR!$A:$A,0),16)),$C194*INDEX(SPPR!$E:$X,MATCH($A194,SPPR!$A:$A,0),16),""),"")</f>
        <v/>
      </c>
      <c r="T194">
        <f>IFERROR(IF(ISNUMBER(INDEX(SPPR!$E:$X,MATCH($A194,SPPR!$A:$A,0),17)),$C194*INDEX(SPPR!$E:$X,MATCH($A194,SPPR!$A:$A,0),17),""),"")</f>
        <v/>
      </c>
      <c r="U194">
        <f>IFERROR(IF(ISNUMBER(INDEX(SPPR!$E:$X,MATCH($A194,SPPR!$A:$A,0),18)),$C194*INDEX(SPPR!$E:$X,MATCH($A194,SPPR!$A:$A,0),18),""),"")</f>
        <v/>
      </c>
      <c r="V194">
        <f>IFERROR(IF(ISNUMBER(INDEX(SPPR!$E:$X,MATCH($A194,SPPR!$A:$A,0),19)),$C194*INDEX(SPPR!$E:$X,MATCH($A194,SPPR!$A:$A,0),19),""),"")</f>
        <v/>
      </c>
      <c r="W194">
        <f>IFERROR(IF(ISNUMBER(INDEX(SPPR!$E:$X,MATCH($A194,SPPR!$A:$A,0),20)),$C194*INDEX(SPPR!$E:$X,MATCH($A194,SPPR!$A:$A,0),20),""),"")</f>
        <v/>
      </c>
    </row>
    <row r="195">
      <c r="A195" t="inlineStr">
        <is>
          <t>Platycaranx talamparoides</t>
        </is>
      </c>
      <c r="B195">
        <f>IFERROR(INDEX(SPPR!$D:$D,MATCH($A195,SPPR!$A:$A,0)),"")</f>
        <v/>
      </c>
      <c r="C195">
        <f>IFERROR(INDEX(Catch!$E:$BV,MATCH($A195,Catch!$A:$A,0),MATCH($B$4,Catch!$E$1:$BV$1,0)),0)</f>
        <v/>
      </c>
      <c r="D195">
        <f>IFERROR(IF(ISNUMBER(INDEX(SPPR!$E:$X,MATCH($A195,SPPR!$A:$A,0),1)),$C195*INDEX(SPPR!$E:$X,MATCH($A195,SPPR!$A:$A,0),1),""),"")</f>
        <v/>
      </c>
      <c r="E195">
        <f>IFERROR(IF(ISNUMBER(INDEX(SPPR!$E:$X,MATCH($A195,SPPR!$A:$A,0),2)),$C195*INDEX(SPPR!$E:$X,MATCH($A195,SPPR!$A:$A,0),2),""),"")</f>
        <v/>
      </c>
      <c r="F195">
        <f>IFERROR(IF(ISNUMBER(INDEX(SPPR!$E:$X,MATCH($A195,SPPR!$A:$A,0),3)),$C195*INDEX(SPPR!$E:$X,MATCH($A195,SPPR!$A:$A,0),3),""),"")</f>
        <v/>
      </c>
      <c r="G195">
        <f>IFERROR(IF(ISNUMBER(INDEX(SPPR!$E:$X,MATCH($A195,SPPR!$A:$A,0),4)),$C195*INDEX(SPPR!$E:$X,MATCH($A195,SPPR!$A:$A,0),4),""),"")</f>
        <v/>
      </c>
      <c r="H195">
        <f>IFERROR(IF(ISNUMBER(INDEX(SPPR!$E:$X,MATCH($A195,SPPR!$A:$A,0),5)),$C195*INDEX(SPPR!$E:$X,MATCH($A195,SPPR!$A:$A,0),5),""),"")</f>
        <v/>
      </c>
      <c r="I195">
        <f>IFERROR(IF(ISNUMBER(INDEX(SPPR!$E:$X,MATCH($A195,SPPR!$A:$A,0),6)),$C195*INDEX(SPPR!$E:$X,MATCH($A195,SPPR!$A:$A,0),6),""),"")</f>
        <v/>
      </c>
      <c r="J195">
        <f>IFERROR(IF(ISNUMBER(INDEX(SPPR!$E:$X,MATCH($A195,SPPR!$A:$A,0),7)),$C195*INDEX(SPPR!$E:$X,MATCH($A195,SPPR!$A:$A,0),7),""),"")</f>
        <v/>
      </c>
      <c r="K195">
        <f>IFERROR(IF(ISNUMBER(INDEX(SPPR!$E:$X,MATCH($A195,SPPR!$A:$A,0),8)),$C195*INDEX(SPPR!$E:$X,MATCH($A195,SPPR!$A:$A,0),8),""),"")</f>
        <v/>
      </c>
      <c r="L195">
        <f>IFERROR(IF(ISNUMBER(INDEX(SPPR!$E:$X,MATCH($A195,SPPR!$A:$A,0),9)),$C195*INDEX(SPPR!$E:$X,MATCH($A195,SPPR!$A:$A,0),9),""),"")</f>
        <v/>
      </c>
      <c r="M195">
        <f>IFERROR(IF(ISNUMBER(INDEX(SPPR!$E:$X,MATCH($A195,SPPR!$A:$A,0),10)),$C195*INDEX(SPPR!$E:$X,MATCH($A195,SPPR!$A:$A,0),10),""),"")</f>
        <v/>
      </c>
      <c r="N195">
        <f>IFERROR(IF(ISNUMBER(INDEX(SPPR!$E:$X,MATCH($A195,SPPR!$A:$A,0),11)),$C195*INDEX(SPPR!$E:$X,MATCH($A195,SPPR!$A:$A,0),11),""),"")</f>
        <v/>
      </c>
      <c r="O195">
        <f>IFERROR(IF(ISNUMBER(INDEX(SPPR!$E:$X,MATCH($A195,SPPR!$A:$A,0),12)),$C195*INDEX(SPPR!$E:$X,MATCH($A195,SPPR!$A:$A,0),12),""),"")</f>
        <v/>
      </c>
      <c r="P195">
        <f>IFERROR(IF(ISNUMBER(INDEX(SPPR!$E:$X,MATCH($A195,SPPR!$A:$A,0),13)),$C195*INDEX(SPPR!$E:$X,MATCH($A195,SPPR!$A:$A,0),13),""),"")</f>
        <v/>
      </c>
      <c r="Q195">
        <f>IFERROR(IF(ISNUMBER(INDEX(SPPR!$E:$X,MATCH($A195,SPPR!$A:$A,0),14)),$C195*INDEX(SPPR!$E:$X,MATCH($A195,SPPR!$A:$A,0),14),""),"")</f>
        <v/>
      </c>
      <c r="R195">
        <f>IFERROR(IF(ISNUMBER(INDEX(SPPR!$E:$X,MATCH($A195,SPPR!$A:$A,0),15)),$C195*INDEX(SPPR!$E:$X,MATCH($A195,SPPR!$A:$A,0),15),""),"")</f>
        <v/>
      </c>
      <c r="S195">
        <f>IFERROR(IF(ISNUMBER(INDEX(SPPR!$E:$X,MATCH($A195,SPPR!$A:$A,0),16)),$C195*INDEX(SPPR!$E:$X,MATCH($A195,SPPR!$A:$A,0),16),""),"")</f>
        <v/>
      </c>
      <c r="T195">
        <f>IFERROR(IF(ISNUMBER(INDEX(SPPR!$E:$X,MATCH($A195,SPPR!$A:$A,0),17)),$C195*INDEX(SPPR!$E:$X,MATCH($A195,SPPR!$A:$A,0),17),""),"")</f>
        <v/>
      </c>
      <c r="U195">
        <f>IFERROR(IF(ISNUMBER(INDEX(SPPR!$E:$X,MATCH($A195,SPPR!$A:$A,0),18)),$C195*INDEX(SPPR!$E:$X,MATCH($A195,SPPR!$A:$A,0),18),""),"")</f>
        <v/>
      </c>
      <c r="V195">
        <f>IFERROR(IF(ISNUMBER(INDEX(SPPR!$E:$X,MATCH($A195,SPPR!$A:$A,0),19)),$C195*INDEX(SPPR!$E:$X,MATCH($A195,SPPR!$A:$A,0),19),""),"")</f>
        <v/>
      </c>
      <c r="W195">
        <f>IFERROR(IF(ISNUMBER(INDEX(SPPR!$E:$X,MATCH($A195,SPPR!$A:$A,0),20)),$C195*INDEX(SPPR!$E:$X,MATCH($A195,SPPR!$A:$A,0),20),""),"")</f>
        <v/>
      </c>
    </row>
    <row r="196">
      <c r="A196" t="inlineStr">
        <is>
          <t>Planiliza haematocheilus</t>
        </is>
      </c>
      <c r="B196">
        <f>IFERROR(INDEX(SPPR!$D:$D,MATCH($A196,SPPR!$A:$A,0)),"")</f>
        <v/>
      </c>
      <c r="C196">
        <f>IFERROR(INDEX(Catch!$E:$BV,MATCH($A196,Catch!$A:$A,0),MATCH($B$4,Catch!$E$1:$BV$1,0)),0)</f>
        <v/>
      </c>
      <c r="D196">
        <f>IFERROR(IF(ISNUMBER(INDEX(SPPR!$E:$X,MATCH($A196,SPPR!$A:$A,0),1)),$C196*INDEX(SPPR!$E:$X,MATCH($A196,SPPR!$A:$A,0),1),""),"")</f>
        <v/>
      </c>
      <c r="E196">
        <f>IFERROR(IF(ISNUMBER(INDEX(SPPR!$E:$X,MATCH($A196,SPPR!$A:$A,0),2)),$C196*INDEX(SPPR!$E:$X,MATCH($A196,SPPR!$A:$A,0),2),""),"")</f>
        <v/>
      </c>
      <c r="F196">
        <f>IFERROR(IF(ISNUMBER(INDEX(SPPR!$E:$X,MATCH($A196,SPPR!$A:$A,0),3)),$C196*INDEX(SPPR!$E:$X,MATCH($A196,SPPR!$A:$A,0),3),""),"")</f>
        <v/>
      </c>
      <c r="G196">
        <f>IFERROR(IF(ISNUMBER(INDEX(SPPR!$E:$X,MATCH($A196,SPPR!$A:$A,0),4)),$C196*INDEX(SPPR!$E:$X,MATCH($A196,SPPR!$A:$A,0),4),""),"")</f>
        <v/>
      </c>
      <c r="H196">
        <f>IFERROR(IF(ISNUMBER(INDEX(SPPR!$E:$X,MATCH($A196,SPPR!$A:$A,0),5)),$C196*INDEX(SPPR!$E:$X,MATCH($A196,SPPR!$A:$A,0),5),""),"")</f>
        <v/>
      </c>
      <c r="I196">
        <f>IFERROR(IF(ISNUMBER(INDEX(SPPR!$E:$X,MATCH($A196,SPPR!$A:$A,0),6)),$C196*INDEX(SPPR!$E:$X,MATCH($A196,SPPR!$A:$A,0),6),""),"")</f>
        <v/>
      </c>
      <c r="J196">
        <f>IFERROR(IF(ISNUMBER(INDEX(SPPR!$E:$X,MATCH($A196,SPPR!$A:$A,0),7)),$C196*INDEX(SPPR!$E:$X,MATCH($A196,SPPR!$A:$A,0),7),""),"")</f>
        <v/>
      </c>
      <c r="K196">
        <f>IFERROR(IF(ISNUMBER(INDEX(SPPR!$E:$X,MATCH($A196,SPPR!$A:$A,0),8)),$C196*INDEX(SPPR!$E:$X,MATCH($A196,SPPR!$A:$A,0),8),""),"")</f>
        <v/>
      </c>
      <c r="L196">
        <f>IFERROR(IF(ISNUMBER(INDEX(SPPR!$E:$X,MATCH($A196,SPPR!$A:$A,0),9)),$C196*INDEX(SPPR!$E:$X,MATCH($A196,SPPR!$A:$A,0),9),""),"")</f>
        <v/>
      </c>
      <c r="M196">
        <f>IFERROR(IF(ISNUMBER(INDEX(SPPR!$E:$X,MATCH($A196,SPPR!$A:$A,0),10)),$C196*INDEX(SPPR!$E:$X,MATCH($A196,SPPR!$A:$A,0),10),""),"")</f>
        <v/>
      </c>
      <c r="N196">
        <f>IFERROR(IF(ISNUMBER(INDEX(SPPR!$E:$X,MATCH($A196,SPPR!$A:$A,0),11)),$C196*INDEX(SPPR!$E:$X,MATCH($A196,SPPR!$A:$A,0),11),""),"")</f>
        <v/>
      </c>
      <c r="O196">
        <f>IFERROR(IF(ISNUMBER(INDEX(SPPR!$E:$X,MATCH($A196,SPPR!$A:$A,0),12)),$C196*INDEX(SPPR!$E:$X,MATCH($A196,SPPR!$A:$A,0),12),""),"")</f>
        <v/>
      </c>
      <c r="P196">
        <f>IFERROR(IF(ISNUMBER(INDEX(SPPR!$E:$X,MATCH($A196,SPPR!$A:$A,0),13)),$C196*INDEX(SPPR!$E:$X,MATCH($A196,SPPR!$A:$A,0),13),""),"")</f>
        <v/>
      </c>
      <c r="Q196">
        <f>IFERROR(IF(ISNUMBER(INDEX(SPPR!$E:$X,MATCH($A196,SPPR!$A:$A,0),14)),$C196*INDEX(SPPR!$E:$X,MATCH($A196,SPPR!$A:$A,0),14),""),"")</f>
        <v/>
      </c>
      <c r="R196">
        <f>IFERROR(IF(ISNUMBER(INDEX(SPPR!$E:$X,MATCH($A196,SPPR!$A:$A,0),15)),$C196*INDEX(SPPR!$E:$X,MATCH($A196,SPPR!$A:$A,0),15),""),"")</f>
        <v/>
      </c>
      <c r="S196">
        <f>IFERROR(IF(ISNUMBER(INDEX(SPPR!$E:$X,MATCH($A196,SPPR!$A:$A,0),16)),$C196*INDEX(SPPR!$E:$X,MATCH($A196,SPPR!$A:$A,0),16),""),"")</f>
        <v/>
      </c>
      <c r="T196">
        <f>IFERROR(IF(ISNUMBER(INDEX(SPPR!$E:$X,MATCH($A196,SPPR!$A:$A,0),17)),$C196*INDEX(SPPR!$E:$X,MATCH($A196,SPPR!$A:$A,0),17),""),"")</f>
        <v/>
      </c>
      <c r="U196">
        <f>IFERROR(IF(ISNUMBER(INDEX(SPPR!$E:$X,MATCH($A196,SPPR!$A:$A,0),18)),$C196*INDEX(SPPR!$E:$X,MATCH($A196,SPPR!$A:$A,0),18),""),"")</f>
        <v/>
      </c>
      <c r="V196">
        <f>IFERROR(IF(ISNUMBER(INDEX(SPPR!$E:$X,MATCH($A196,SPPR!$A:$A,0),19)),$C196*INDEX(SPPR!$E:$X,MATCH($A196,SPPR!$A:$A,0),19),""),"")</f>
        <v/>
      </c>
      <c r="W196">
        <f>IFERROR(IF(ISNUMBER(INDEX(SPPR!$E:$X,MATCH($A196,SPPR!$A:$A,0),20)),$C196*INDEX(SPPR!$E:$X,MATCH($A196,SPPR!$A:$A,0),20),""),"")</f>
        <v/>
      </c>
    </row>
    <row r="197">
      <c r="A197" t="inlineStr">
        <is>
          <t>Plotosus</t>
        </is>
      </c>
      <c r="B197">
        <f>IFERROR(INDEX(SPPR!$D:$D,MATCH($A197,SPPR!$A:$A,0)),"")</f>
        <v/>
      </c>
      <c r="C197">
        <f>IFERROR(INDEX(Catch!$E:$BV,MATCH($A197,Catch!$A:$A,0),MATCH($B$4,Catch!$E$1:$BV$1,0)),0)</f>
        <v/>
      </c>
      <c r="D197">
        <f>IFERROR(IF(ISNUMBER(INDEX(SPPR!$E:$X,MATCH($A197,SPPR!$A:$A,0),1)),$C197*INDEX(SPPR!$E:$X,MATCH($A197,SPPR!$A:$A,0),1),""),"")</f>
        <v/>
      </c>
      <c r="E197">
        <f>IFERROR(IF(ISNUMBER(INDEX(SPPR!$E:$X,MATCH($A197,SPPR!$A:$A,0),2)),$C197*INDEX(SPPR!$E:$X,MATCH($A197,SPPR!$A:$A,0),2),""),"")</f>
        <v/>
      </c>
      <c r="F197">
        <f>IFERROR(IF(ISNUMBER(INDEX(SPPR!$E:$X,MATCH($A197,SPPR!$A:$A,0),3)),$C197*INDEX(SPPR!$E:$X,MATCH($A197,SPPR!$A:$A,0),3),""),"")</f>
        <v/>
      </c>
      <c r="G197">
        <f>IFERROR(IF(ISNUMBER(INDEX(SPPR!$E:$X,MATCH($A197,SPPR!$A:$A,0),4)),$C197*INDEX(SPPR!$E:$X,MATCH($A197,SPPR!$A:$A,0),4),""),"")</f>
        <v/>
      </c>
      <c r="H197">
        <f>IFERROR(IF(ISNUMBER(INDEX(SPPR!$E:$X,MATCH($A197,SPPR!$A:$A,0),5)),$C197*INDEX(SPPR!$E:$X,MATCH($A197,SPPR!$A:$A,0),5),""),"")</f>
        <v/>
      </c>
      <c r="I197">
        <f>IFERROR(IF(ISNUMBER(INDEX(SPPR!$E:$X,MATCH($A197,SPPR!$A:$A,0),6)),$C197*INDEX(SPPR!$E:$X,MATCH($A197,SPPR!$A:$A,0),6),""),"")</f>
        <v/>
      </c>
      <c r="J197">
        <f>IFERROR(IF(ISNUMBER(INDEX(SPPR!$E:$X,MATCH($A197,SPPR!$A:$A,0),7)),$C197*INDEX(SPPR!$E:$X,MATCH($A197,SPPR!$A:$A,0),7),""),"")</f>
        <v/>
      </c>
      <c r="K197">
        <f>IFERROR(IF(ISNUMBER(INDEX(SPPR!$E:$X,MATCH($A197,SPPR!$A:$A,0),8)),$C197*INDEX(SPPR!$E:$X,MATCH($A197,SPPR!$A:$A,0),8),""),"")</f>
        <v/>
      </c>
      <c r="L197">
        <f>IFERROR(IF(ISNUMBER(INDEX(SPPR!$E:$X,MATCH($A197,SPPR!$A:$A,0),9)),$C197*INDEX(SPPR!$E:$X,MATCH($A197,SPPR!$A:$A,0),9),""),"")</f>
        <v/>
      </c>
      <c r="M197">
        <f>IFERROR(IF(ISNUMBER(INDEX(SPPR!$E:$X,MATCH($A197,SPPR!$A:$A,0),10)),$C197*INDEX(SPPR!$E:$X,MATCH($A197,SPPR!$A:$A,0),10),""),"")</f>
        <v/>
      </c>
      <c r="N197">
        <f>IFERROR(IF(ISNUMBER(INDEX(SPPR!$E:$X,MATCH($A197,SPPR!$A:$A,0),11)),$C197*INDEX(SPPR!$E:$X,MATCH($A197,SPPR!$A:$A,0),11),""),"")</f>
        <v/>
      </c>
      <c r="O197">
        <f>IFERROR(IF(ISNUMBER(INDEX(SPPR!$E:$X,MATCH($A197,SPPR!$A:$A,0),12)),$C197*INDEX(SPPR!$E:$X,MATCH($A197,SPPR!$A:$A,0),12),""),"")</f>
        <v/>
      </c>
      <c r="P197">
        <f>IFERROR(IF(ISNUMBER(INDEX(SPPR!$E:$X,MATCH($A197,SPPR!$A:$A,0),13)),$C197*INDEX(SPPR!$E:$X,MATCH($A197,SPPR!$A:$A,0),13),""),"")</f>
        <v/>
      </c>
      <c r="Q197">
        <f>IFERROR(IF(ISNUMBER(INDEX(SPPR!$E:$X,MATCH($A197,SPPR!$A:$A,0),14)),$C197*INDEX(SPPR!$E:$X,MATCH($A197,SPPR!$A:$A,0),14),""),"")</f>
        <v/>
      </c>
      <c r="R197">
        <f>IFERROR(IF(ISNUMBER(INDEX(SPPR!$E:$X,MATCH($A197,SPPR!$A:$A,0),15)),$C197*INDEX(SPPR!$E:$X,MATCH($A197,SPPR!$A:$A,0),15),""),"")</f>
        <v/>
      </c>
      <c r="S197">
        <f>IFERROR(IF(ISNUMBER(INDEX(SPPR!$E:$X,MATCH($A197,SPPR!$A:$A,0),16)),$C197*INDEX(SPPR!$E:$X,MATCH($A197,SPPR!$A:$A,0),16),""),"")</f>
        <v/>
      </c>
      <c r="T197">
        <f>IFERROR(IF(ISNUMBER(INDEX(SPPR!$E:$X,MATCH($A197,SPPR!$A:$A,0),17)),$C197*INDEX(SPPR!$E:$X,MATCH($A197,SPPR!$A:$A,0),17),""),"")</f>
        <v/>
      </c>
      <c r="U197">
        <f>IFERROR(IF(ISNUMBER(INDEX(SPPR!$E:$X,MATCH($A197,SPPR!$A:$A,0),18)),$C197*INDEX(SPPR!$E:$X,MATCH($A197,SPPR!$A:$A,0),18),""),"")</f>
        <v/>
      </c>
      <c r="V197">
        <f>IFERROR(IF(ISNUMBER(INDEX(SPPR!$E:$X,MATCH($A197,SPPR!$A:$A,0),19)),$C197*INDEX(SPPR!$E:$X,MATCH($A197,SPPR!$A:$A,0),19),""),"")</f>
        <v/>
      </c>
      <c r="W197">
        <f>IFERROR(IF(ISNUMBER(INDEX(SPPR!$E:$X,MATCH($A197,SPPR!$A:$A,0),20)),$C197*INDEX(SPPR!$E:$X,MATCH($A197,SPPR!$A:$A,0),20),""),"")</f>
        <v/>
      </c>
    </row>
    <row r="198">
      <c r="A198" t="inlineStr">
        <is>
          <t>Hemiramphus</t>
        </is>
      </c>
      <c r="B198">
        <f>IFERROR(INDEX(SPPR!$D:$D,MATCH($A198,SPPR!$A:$A,0)),"")</f>
        <v/>
      </c>
      <c r="C198">
        <f>IFERROR(INDEX(Catch!$E:$BV,MATCH($A198,Catch!$A:$A,0),MATCH($B$4,Catch!$E$1:$BV$1,0)),0)</f>
        <v/>
      </c>
      <c r="D198">
        <f>IFERROR(IF(ISNUMBER(INDEX(SPPR!$E:$X,MATCH($A198,SPPR!$A:$A,0),1)),$C198*INDEX(SPPR!$E:$X,MATCH($A198,SPPR!$A:$A,0),1),""),"")</f>
        <v/>
      </c>
      <c r="E198">
        <f>IFERROR(IF(ISNUMBER(INDEX(SPPR!$E:$X,MATCH($A198,SPPR!$A:$A,0),2)),$C198*INDEX(SPPR!$E:$X,MATCH($A198,SPPR!$A:$A,0),2),""),"")</f>
        <v/>
      </c>
      <c r="F198">
        <f>IFERROR(IF(ISNUMBER(INDEX(SPPR!$E:$X,MATCH($A198,SPPR!$A:$A,0),3)),$C198*INDEX(SPPR!$E:$X,MATCH($A198,SPPR!$A:$A,0),3),""),"")</f>
        <v/>
      </c>
      <c r="G198">
        <f>IFERROR(IF(ISNUMBER(INDEX(SPPR!$E:$X,MATCH($A198,SPPR!$A:$A,0),4)),$C198*INDEX(SPPR!$E:$X,MATCH($A198,SPPR!$A:$A,0),4),""),"")</f>
        <v/>
      </c>
      <c r="H198">
        <f>IFERROR(IF(ISNUMBER(INDEX(SPPR!$E:$X,MATCH($A198,SPPR!$A:$A,0),5)),$C198*INDEX(SPPR!$E:$X,MATCH($A198,SPPR!$A:$A,0),5),""),"")</f>
        <v/>
      </c>
      <c r="I198">
        <f>IFERROR(IF(ISNUMBER(INDEX(SPPR!$E:$X,MATCH($A198,SPPR!$A:$A,0),6)),$C198*INDEX(SPPR!$E:$X,MATCH($A198,SPPR!$A:$A,0),6),""),"")</f>
        <v/>
      </c>
      <c r="J198">
        <f>IFERROR(IF(ISNUMBER(INDEX(SPPR!$E:$X,MATCH($A198,SPPR!$A:$A,0),7)),$C198*INDEX(SPPR!$E:$X,MATCH($A198,SPPR!$A:$A,0),7),""),"")</f>
        <v/>
      </c>
      <c r="K198">
        <f>IFERROR(IF(ISNUMBER(INDEX(SPPR!$E:$X,MATCH($A198,SPPR!$A:$A,0),8)),$C198*INDEX(SPPR!$E:$X,MATCH($A198,SPPR!$A:$A,0),8),""),"")</f>
        <v/>
      </c>
      <c r="L198">
        <f>IFERROR(IF(ISNUMBER(INDEX(SPPR!$E:$X,MATCH($A198,SPPR!$A:$A,0),9)),$C198*INDEX(SPPR!$E:$X,MATCH($A198,SPPR!$A:$A,0),9),""),"")</f>
        <v/>
      </c>
      <c r="M198">
        <f>IFERROR(IF(ISNUMBER(INDEX(SPPR!$E:$X,MATCH($A198,SPPR!$A:$A,0),10)),$C198*INDEX(SPPR!$E:$X,MATCH($A198,SPPR!$A:$A,0),10),""),"")</f>
        <v/>
      </c>
      <c r="N198">
        <f>IFERROR(IF(ISNUMBER(INDEX(SPPR!$E:$X,MATCH($A198,SPPR!$A:$A,0),11)),$C198*INDEX(SPPR!$E:$X,MATCH($A198,SPPR!$A:$A,0),11),""),"")</f>
        <v/>
      </c>
      <c r="O198">
        <f>IFERROR(IF(ISNUMBER(INDEX(SPPR!$E:$X,MATCH($A198,SPPR!$A:$A,0),12)),$C198*INDEX(SPPR!$E:$X,MATCH($A198,SPPR!$A:$A,0),12),""),"")</f>
        <v/>
      </c>
      <c r="P198">
        <f>IFERROR(IF(ISNUMBER(INDEX(SPPR!$E:$X,MATCH($A198,SPPR!$A:$A,0),13)),$C198*INDEX(SPPR!$E:$X,MATCH($A198,SPPR!$A:$A,0),13),""),"")</f>
        <v/>
      </c>
      <c r="Q198">
        <f>IFERROR(IF(ISNUMBER(INDEX(SPPR!$E:$X,MATCH($A198,SPPR!$A:$A,0),14)),$C198*INDEX(SPPR!$E:$X,MATCH($A198,SPPR!$A:$A,0),14),""),"")</f>
        <v/>
      </c>
      <c r="R198">
        <f>IFERROR(IF(ISNUMBER(INDEX(SPPR!$E:$X,MATCH($A198,SPPR!$A:$A,0),15)),$C198*INDEX(SPPR!$E:$X,MATCH($A198,SPPR!$A:$A,0),15),""),"")</f>
        <v/>
      </c>
      <c r="S198">
        <f>IFERROR(IF(ISNUMBER(INDEX(SPPR!$E:$X,MATCH($A198,SPPR!$A:$A,0),16)),$C198*INDEX(SPPR!$E:$X,MATCH($A198,SPPR!$A:$A,0),16),""),"")</f>
        <v/>
      </c>
      <c r="T198">
        <f>IFERROR(IF(ISNUMBER(INDEX(SPPR!$E:$X,MATCH($A198,SPPR!$A:$A,0),17)),$C198*INDEX(SPPR!$E:$X,MATCH($A198,SPPR!$A:$A,0),17),""),"")</f>
        <v/>
      </c>
      <c r="U198">
        <f>IFERROR(IF(ISNUMBER(INDEX(SPPR!$E:$X,MATCH($A198,SPPR!$A:$A,0),18)),$C198*INDEX(SPPR!$E:$X,MATCH($A198,SPPR!$A:$A,0),18),""),"")</f>
        <v/>
      </c>
      <c r="V198">
        <f>IFERROR(IF(ISNUMBER(INDEX(SPPR!$E:$X,MATCH($A198,SPPR!$A:$A,0),19)),$C198*INDEX(SPPR!$E:$X,MATCH($A198,SPPR!$A:$A,0),19),""),"")</f>
        <v/>
      </c>
      <c r="W198">
        <f>IFERROR(IF(ISNUMBER(INDEX(SPPR!$E:$X,MATCH($A198,SPPR!$A:$A,0),20)),$C198*INDEX(SPPR!$E:$X,MATCH($A198,SPPR!$A:$A,0),20),""),"")</f>
        <v/>
      </c>
    </row>
    <row r="199">
      <c r="A199" t="inlineStr">
        <is>
          <t>Scomber</t>
        </is>
      </c>
      <c r="B199">
        <f>IFERROR(INDEX(SPPR!$D:$D,MATCH($A199,SPPR!$A:$A,0)),"")</f>
        <v/>
      </c>
      <c r="C199">
        <f>IFERROR(INDEX(Catch!$E:$BV,MATCH($A199,Catch!$A:$A,0),MATCH($B$4,Catch!$E$1:$BV$1,0)),0)</f>
        <v/>
      </c>
      <c r="D199">
        <f>IFERROR(IF(ISNUMBER(INDEX(SPPR!$E:$X,MATCH($A199,SPPR!$A:$A,0),1)),$C199*INDEX(SPPR!$E:$X,MATCH($A199,SPPR!$A:$A,0),1),""),"")</f>
        <v/>
      </c>
      <c r="E199">
        <f>IFERROR(IF(ISNUMBER(INDEX(SPPR!$E:$X,MATCH($A199,SPPR!$A:$A,0),2)),$C199*INDEX(SPPR!$E:$X,MATCH($A199,SPPR!$A:$A,0),2),""),"")</f>
        <v/>
      </c>
      <c r="F199">
        <f>IFERROR(IF(ISNUMBER(INDEX(SPPR!$E:$X,MATCH($A199,SPPR!$A:$A,0),3)),$C199*INDEX(SPPR!$E:$X,MATCH($A199,SPPR!$A:$A,0),3),""),"")</f>
        <v/>
      </c>
      <c r="G199">
        <f>IFERROR(IF(ISNUMBER(INDEX(SPPR!$E:$X,MATCH($A199,SPPR!$A:$A,0),4)),$C199*INDEX(SPPR!$E:$X,MATCH($A199,SPPR!$A:$A,0),4),""),"")</f>
        <v/>
      </c>
      <c r="H199">
        <f>IFERROR(IF(ISNUMBER(INDEX(SPPR!$E:$X,MATCH($A199,SPPR!$A:$A,0),5)),$C199*INDEX(SPPR!$E:$X,MATCH($A199,SPPR!$A:$A,0),5),""),"")</f>
        <v/>
      </c>
      <c r="I199">
        <f>IFERROR(IF(ISNUMBER(INDEX(SPPR!$E:$X,MATCH($A199,SPPR!$A:$A,0),6)),$C199*INDEX(SPPR!$E:$X,MATCH($A199,SPPR!$A:$A,0),6),""),"")</f>
        <v/>
      </c>
      <c r="J199">
        <f>IFERROR(IF(ISNUMBER(INDEX(SPPR!$E:$X,MATCH($A199,SPPR!$A:$A,0),7)),$C199*INDEX(SPPR!$E:$X,MATCH($A199,SPPR!$A:$A,0),7),""),"")</f>
        <v/>
      </c>
      <c r="K199">
        <f>IFERROR(IF(ISNUMBER(INDEX(SPPR!$E:$X,MATCH($A199,SPPR!$A:$A,0),8)),$C199*INDEX(SPPR!$E:$X,MATCH($A199,SPPR!$A:$A,0),8),""),"")</f>
        <v/>
      </c>
      <c r="L199">
        <f>IFERROR(IF(ISNUMBER(INDEX(SPPR!$E:$X,MATCH($A199,SPPR!$A:$A,0),9)),$C199*INDEX(SPPR!$E:$X,MATCH($A199,SPPR!$A:$A,0),9),""),"")</f>
        <v/>
      </c>
      <c r="M199">
        <f>IFERROR(IF(ISNUMBER(INDEX(SPPR!$E:$X,MATCH($A199,SPPR!$A:$A,0),10)),$C199*INDEX(SPPR!$E:$X,MATCH($A199,SPPR!$A:$A,0),10),""),"")</f>
        <v/>
      </c>
      <c r="N199">
        <f>IFERROR(IF(ISNUMBER(INDEX(SPPR!$E:$X,MATCH($A199,SPPR!$A:$A,0),11)),$C199*INDEX(SPPR!$E:$X,MATCH($A199,SPPR!$A:$A,0),11),""),"")</f>
        <v/>
      </c>
      <c r="O199">
        <f>IFERROR(IF(ISNUMBER(INDEX(SPPR!$E:$X,MATCH($A199,SPPR!$A:$A,0),12)),$C199*INDEX(SPPR!$E:$X,MATCH($A199,SPPR!$A:$A,0),12),""),"")</f>
        <v/>
      </c>
      <c r="P199">
        <f>IFERROR(IF(ISNUMBER(INDEX(SPPR!$E:$X,MATCH($A199,SPPR!$A:$A,0),13)),$C199*INDEX(SPPR!$E:$X,MATCH($A199,SPPR!$A:$A,0),13),""),"")</f>
        <v/>
      </c>
      <c r="Q199">
        <f>IFERROR(IF(ISNUMBER(INDEX(SPPR!$E:$X,MATCH($A199,SPPR!$A:$A,0),14)),$C199*INDEX(SPPR!$E:$X,MATCH($A199,SPPR!$A:$A,0),14),""),"")</f>
        <v/>
      </c>
      <c r="R199">
        <f>IFERROR(IF(ISNUMBER(INDEX(SPPR!$E:$X,MATCH($A199,SPPR!$A:$A,0),15)),$C199*INDEX(SPPR!$E:$X,MATCH($A199,SPPR!$A:$A,0),15),""),"")</f>
        <v/>
      </c>
      <c r="S199">
        <f>IFERROR(IF(ISNUMBER(INDEX(SPPR!$E:$X,MATCH($A199,SPPR!$A:$A,0),16)),$C199*INDEX(SPPR!$E:$X,MATCH($A199,SPPR!$A:$A,0),16),""),"")</f>
        <v/>
      </c>
      <c r="T199">
        <f>IFERROR(IF(ISNUMBER(INDEX(SPPR!$E:$X,MATCH($A199,SPPR!$A:$A,0),17)),$C199*INDEX(SPPR!$E:$X,MATCH($A199,SPPR!$A:$A,0),17),""),"")</f>
        <v/>
      </c>
      <c r="U199">
        <f>IFERROR(IF(ISNUMBER(INDEX(SPPR!$E:$X,MATCH($A199,SPPR!$A:$A,0),18)),$C199*INDEX(SPPR!$E:$X,MATCH($A199,SPPR!$A:$A,0),18),""),"")</f>
        <v/>
      </c>
      <c r="V199">
        <f>IFERROR(IF(ISNUMBER(INDEX(SPPR!$E:$X,MATCH($A199,SPPR!$A:$A,0),19)),$C199*INDEX(SPPR!$E:$X,MATCH($A199,SPPR!$A:$A,0),19),""),"")</f>
        <v/>
      </c>
      <c r="W199">
        <f>IFERROR(IF(ISNUMBER(INDEX(SPPR!$E:$X,MATCH($A199,SPPR!$A:$A,0),20)),$C199*INDEX(SPPR!$E:$X,MATCH($A199,SPPR!$A:$A,0),20),""),"")</f>
        <v/>
      </c>
    </row>
    <row r="200">
      <c r="A200" t="inlineStr">
        <is>
          <t>Cypselurus</t>
        </is>
      </c>
      <c r="B200">
        <f>IFERROR(INDEX(SPPR!$D:$D,MATCH($A200,SPPR!$A:$A,0)),"")</f>
        <v/>
      </c>
      <c r="C200">
        <f>IFERROR(INDEX(Catch!$E:$BV,MATCH($A200,Catch!$A:$A,0),MATCH($B$4,Catch!$E$1:$BV$1,0)),0)</f>
        <v/>
      </c>
      <c r="D200">
        <f>IFERROR(IF(ISNUMBER(INDEX(SPPR!$E:$X,MATCH($A200,SPPR!$A:$A,0),1)),$C200*INDEX(SPPR!$E:$X,MATCH($A200,SPPR!$A:$A,0),1),""),"")</f>
        <v/>
      </c>
      <c r="E200">
        <f>IFERROR(IF(ISNUMBER(INDEX(SPPR!$E:$X,MATCH($A200,SPPR!$A:$A,0),2)),$C200*INDEX(SPPR!$E:$X,MATCH($A200,SPPR!$A:$A,0),2),""),"")</f>
        <v/>
      </c>
      <c r="F200">
        <f>IFERROR(IF(ISNUMBER(INDEX(SPPR!$E:$X,MATCH($A200,SPPR!$A:$A,0),3)),$C200*INDEX(SPPR!$E:$X,MATCH($A200,SPPR!$A:$A,0),3),""),"")</f>
        <v/>
      </c>
      <c r="G200">
        <f>IFERROR(IF(ISNUMBER(INDEX(SPPR!$E:$X,MATCH($A200,SPPR!$A:$A,0),4)),$C200*INDEX(SPPR!$E:$X,MATCH($A200,SPPR!$A:$A,0),4),""),"")</f>
        <v/>
      </c>
      <c r="H200">
        <f>IFERROR(IF(ISNUMBER(INDEX(SPPR!$E:$X,MATCH($A200,SPPR!$A:$A,0),5)),$C200*INDEX(SPPR!$E:$X,MATCH($A200,SPPR!$A:$A,0),5),""),"")</f>
        <v/>
      </c>
      <c r="I200">
        <f>IFERROR(IF(ISNUMBER(INDEX(SPPR!$E:$X,MATCH($A200,SPPR!$A:$A,0),6)),$C200*INDEX(SPPR!$E:$X,MATCH($A200,SPPR!$A:$A,0),6),""),"")</f>
        <v/>
      </c>
      <c r="J200">
        <f>IFERROR(IF(ISNUMBER(INDEX(SPPR!$E:$X,MATCH($A200,SPPR!$A:$A,0),7)),$C200*INDEX(SPPR!$E:$X,MATCH($A200,SPPR!$A:$A,0),7),""),"")</f>
        <v/>
      </c>
      <c r="K200">
        <f>IFERROR(IF(ISNUMBER(INDEX(SPPR!$E:$X,MATCH($A200,SPPR!$A:$A,0),8)),$C200*INDEX(SPPR!$E:$X,MATCH($A200,SPPR!$A:$A,0),8),""),"")</f>
        <v/>
      </c>
      <c r="L200">
        <f>IFERROR(IF(ISNUMBER(INDEX(SPPR!$E:$X,MATCH($A200,SPPR!$A:$A,0),9)),$C200*INDEX(SPPR!$E:$X,MATCH($A200,SPPR!$A:$A,0),9),""),"")</f>
        <v/>
      </c>
      <c r="M200">
        <f>IFERROR(IF(ISNUMBER(INDEX(SPPR!$E:$X,MATCH($A200,SPPR!$A:$A,0),10)),$C200*INDEX(SPPR!$E:$X,MATCH($A200,SPPR!$A:$A,0),10),""),"")</f>
        <v/>
      </c>
      <c r="N200">
        <f>IFERROR(IF(ISNUMBER(INDEX(SPPR!$E:$X,MATCH($A200,SPPR!$A:$A,0),11)),$C200*INDEX(SPPR!$E:$X,MATCH($A200,SPPR!$A:$A,0),11),""),"")</f>
        <v/>
      </c>
      <c r="O200">
        <f>IFERROR(IF(ISNUMBER(INDEX(SPPR!$E:$X,MATCH($A200,SPPR!$A:$A,0),12)),$C200*INDEX(SPPR!$E:$X,MATCH($A200,SPPR!$A:$A,0),12),""),"")</f>
        <v/>
      </c>
      <c r="P200">
        <f>IFERROR(IF(ISNUMBER(INDEX(SPPR!$E:$X,MATCH($A200,SPPR!$A:$A,0),13)),$C200*INDEX(SPPR!$E:$X,MATCH($A200,SPPR!$A:$A,0),13),""),"")</f>
        <v/>
      </c>
      <c r="Q200">
        <f>IFERROR(IF(ISNUMBER(INDEX(SPPR!$E:$X,MATCH($A200,SPPR!$A:$A,0),14)),$C200*INDEX(SPPR!$E:$X,MATCH($A200,SPPR!$A:$A,0),14),""),"")</f>
        <v/>
      </c>
      <c r="R200">
        <f>IFERROR(IF(ISNUMBER(INDEX(SPPR!$E:$X,MATCH($A200,SPPR!$A:$A,0),15)),$C200*INDEX(SPPR!$E:$X,MATCH($A200,SPPR!$A:$A,0),15),""),"")</f>
        <v/>
      </c>
      <c r="S200">
        <f>IFERROR(IF(ISNUMBER(INDEX(SPPR!$E:$X,MATCH($A200,SPPR!$A:$A,0),16)),$C200*INDEX(SPPR!$E:$X,MATCH($A200,SPPR!$A:$A,0),16),""),"")</f>
        <v/>
      </c>
      <c r="T200">
        <f>IFERROR(IF(ISNUMBER(INDEX(SPPR!$E:$X,MATCH($A200,SPPR!$A:$A,0),17)),$C200*INDEX(SPPR!$E:$X,MATCH($A200,SPPR!$A:$A,0),17),""),"")</f>
        <v/>
      </c>
      <c r="U200">
        <f>IFERROR(IF(ISNUMBER(INDEX(SPPR!$E:$X,MATCH($A200,SPPR!$A:$A,0),18)),$C200*INDEX(SPPR!$E:$X,MATCH($A200,SPPR!$A:$A,0),18),""),"")</f>
        <v/>
      </c>
      <c r="V200">
        <f>IFERROR(IF(ISNUMBER(INDEX(SPPR!$E:$X,MATCH($A200,SPPR!$A:$A,0),19)),$C200*INDEX(SPPR!$E:$X,MATCH($A200,SPPR!$A:$A,0),19),""),"")</f>
        <v/>
      </c>
      <c r="W200">
        <f>IFERROR(IF(ISNUMBER(INDEX(SPPR!$E:$X,MATCH($A200,SPPR!$A:$A,0),20)),$C200*INDEX(SPPR!$E:$X,MATCH($A200,SPPR!$A:$A,0),20),""),"")</f>
        <v/>
      </c>
    </row>
    <row r="201">
      <c r="A201" t="inlineStr">
        <is>
          <t>Sergestidae</t>
        </is>
      </c>
      <c r="B201">
        <f>IFERROR(INDEX(SPPR!$D:$D,MATCH($A201,SPPR!$A:$A,0)),"")</f>
        <v/>
      </c>
      <c r="C201">
        <f>IFERROR(INDEX(Catch!$E:$BV,MATCH($A201,Catch!$A:$A,0),MATCH($B$4,Catch!$E$1:$BV$1,0)),0)</f>
        <v/>
      </c>
      <c r="D201">
        <f>IFERROR(IF(ISNUMBER(INDEX(SPPR!$E:$X,MATCH($A201,SPPR!$A:$A,0),1)),$C201*INDEX(SPPR!$E:$X,MATCH($A201,SPPR!$A:$A,0),1),""),"")</f>
        <v/>
      </c>
      <c r="E201">
        <f>IFERROR(IF(ISNUMBER(INDEX(SPPR!$E:$X,MATCH($A201,SPPR!$A:$A,0),2)),$C201*INDEX(SPPR!$E:$X,MATCH($A201,SPPR!$A:$A,0),2),""),"")</f>
        <v/>
      </c>
      <c r="F201">
        <f>IFERROR(IF(ISNUMBER(INDEX(SPPR!$E:$X,MATCH($A201,SPPR!$A:$A,0),3)),$C201*INDEX(SPPR!$E:$X,MATCH($A201,SPPR!$A:$A,0),3),""),"")</f>
        <v/>
      </c>
      <c r="G201">
        <f>IFERROR(IF(ISNUMBER(INDEX(SPPR!$E:$X,MATCH($A201,SPPR!$A:$A,0),4)),$C201*INDEX(SPPR!$E:$X,MATCH($A201,SPPR!$A:$A,0),4),""),"")</f>
        <v/>
      </c>
      <c r="H201">
        <f>IFERROR(IF(ISNUMBER(INDEX(SPPR!$E:$X,MATCH($A201,SPPR!$A:$A,0),5)),$C201*INDEX(SPPR!$E:$X,MATCH($A201,SPPR!$A:$A,0),5),""),"")</f>
        <v/>
      </c>
      <c r="I201">
        <f>IFERROR(IF(ISNUMBER(INDEX(SPPR!$E:$X,MATCH($A201,SPPR!$A:$A,0),6)),$C201*INDEX(SPPR!$E:$X,MATCH($A201,SPPR!$A:$A,0),6),""),"")</f>
        <v/>
      </c>
      <c r="J201">
        <f>IFERROR(IF(ISNUMBER(INDEX(SPPR!$E:$X,MATCH($A201,SPPR!$A:$A,0),7)),$C201*INDEX(SPPR!$E:$X,MATCH($A201,SPPR!$A:$A,0),7),""),"")</f>
        <v/>
      </c>
      <c r="K201">
        <f>IFERROR(IF(ISNUMBER(INDEX(SPPR!$E:$X,MATCH($A201,SPPR!$A:$A,0),8)),$C201*INDEX(SPPR!$E:$X,MATCH($A201,SPPR!$A:$A,0),8),""),"")</f>
        <v/>
      </c>
      <c r="L201">
        <f>IFERROR(IF(ISNUMBER(INDEX(SPPR!$E:$X,MATCH($A201,SPPR!$A:$A,0),9)),$C201*INDEX(SPPR!$E:$X,MATCH($A201,SPPR!$A:$A,0),9),""),"")</f>
        <v/>
      </c>
      <c r="M201">
        <f>IFERROR(IF(ISNUMBER(INDEX(SPPR!$E:$X,MATCH($A201,SPPR!$A:$A,0),10)),$C201*INDEX(SPPR!$E:$X,MATCH($A201,SPPR!$A:$A,0),10),""),"")</f>
        <v/>
      </c>
      <c r="N201">
        <f>IFERROR(IF(ISNUMBER(INDEX(SPPR!$E:$X,MATCH($A201,SPPR!$A:$A,0),11)),$C201*INDEX(SPPR!$E:$X,MATCH($A201,SPPR!$A:$A,0),11),""),"")</f>
        <v/>
      </c>
      <c r="O201">
        <f>IFERROR(IF(ISNUMBER(INDEX(SPPR!$E:$X,MATCH($A201,SPPR!$A:$A,0),12)),$C201*INDEX(SPPR!$E:$X,MATCH($A201,SPPR!$A:$A,0),12),""),"")</f>
        <v/>
      </c>
      <c r="P201">
        <f>IFERROR(IF(ISNUMBER(INDEX(SPPR!$E:$X,MATCH($A201,SPPR!$A:$A,0),13)),$C201*INDEX(SPPR!$E:$X,MATCH($A201,SPPR!$A:$A,0),13),""),"")</f>
        <v/>
      </c>
      <c r="Q201">
        <f>IFERROR(IF(ISNUMBER(INDEX(SPPR!$E:$X,MATCH($A201,SPPR!$A:$A,0),14)),$C201*INDEX(SPPR!$E:$X,MATCH($A201,SPPR!$A:$A,0),14),""),"")</f>
        <v/>
      </c>
      <c r="R201">
        <f>IFERROR(IF(ISNUMBER(INDEX(SPPR!$E:$X,MATCH($A201,SPPR!$A:$A,0),15)),$C201*INDEX(SPPR!$E:$X,MATCH($A201,SPPR!$A:$A,0),15),""),"")</f>
        <v/>
      </c>
      <c r="S201">
        <f>IFERROR(IF(ISNUMBER(INDEX(SPPR!$E:$X,MATCH($A201,SPPR!$A:$A,0),16)),$C201*INDEX(SPPR!$E:$X,MATCH($A201,SPPR!$A:$A,0),16),""),"")</f>
        <v/>
      </c>
      <c r="T201">
        <f>IFERROR(IF(ISNUMBER(INDEX(SPPR!$E:$X,MATCH($A201,SPPR!$A:$A,0),17)),$C201*INDEX(SPPR!$E:$X,MATCH($A201,SPPR!$A:$A,0),17),""),"")</f>
        <v/>
      </c>
      <c r="U201">
        <f>IFERROR(IF(ISNUMBER(INDEX(SPPR!$E:$X,MATCH($A201,SPPR!$A:$A,0),18)),$C201*INDEX(SPPR!$E:$X,MATCH($A201,SPPR!$A:$A,0),18),""),"")</f>
        <v/>
      </c>
      <c r="V201">
        <f>IFERROR(IF(ISNUMBER(INDEX(SPPR!$E:$X,MATCH($A201,SPPR!$A:$A,0),19)),$C201*INDEX(SPPR!$E:$X,MATCH($A201,SPPR!$A:$A,0),19),""),"")</f>
        <v/>
      </c>
      <c r="W201">
        <f>IFERROR(IF(ISNUMBER(INDEX(SPPR!$E:$X,MATCH($A201,SPPR!$A:$A,0),20)),$C201*INDEX(SPPR!$E:$X,MATCH($A201,SPPR!$A:$A,0),20),""),"")</f>
        <v/>
      </c>
    </row>
    <row r="202">
      <c r="A202" t="inlineStr">
        <is>
          <t>Prionace glauca</t>
        </is>
      </c>
      <c r="B202">
        <f>IFERROR(INDEX(SPPR!$D:$D,MATCH($A202,SPPR!$A:$A,0)),"")</f>
        <v/>
      </c>
      <c r="C202">
        <f>IFERROR(INDEX(Catch!$E:$BV,MATCH($A202,Catch!$A:$A,0),MATCH($B$4,Catch!$E$1:$BV$1,0)),0)</f>
        <v/>
      </c>
      <c r="D202">
        <f>IFERROR(IF(ISNUMBER(INDEX(SPPR!$E:$X,MATCH($A202,SPPR!$A:$A,0),1)),$C202*INDEX(SPPR!$E:$X,MATCH($A202,SPPR!$A:$A,0),1),""),"")</f>
        <v/>
      </c>
      <c r="E202">
        <f>IFERROR(IF(ISNUMBER(INDEX(SPPR!$E:$X,MATCH($A202,SPPR!$A:$A,0),2)),$C202*INDEX(SPPR!$E:$X,MATCH($A202,SPPR!$A:$A,0),2),""),"")</f>
        <v/>
      </c>
      <c r="F202">
        <f>IFERROR(IF(ISNUMBER(INDEX(SPPR!$E:$X,MATCH($A202,SPPR!$A:$A,0),3)),$C202*INDEX(SPPR!$E:$X,MATCH($A202,SPPR!$A:$A,0),3),""),"")</f>
        <v/>
      </c>
      <c r="G202">
        <f>IFERROR(IF(ISNUMBER(INDEX(SPPR!$E:$X,MATCH($A202,SPPR!$A:$A,0),4)),$C202*INDEX(SPPR!$E:$X,MATCH($A202,SPPR!$A:$A,0),4),""),"")</f>
        <v/>
      </c>
      <c r="H202">
        <f>IFERROR(IF(ISNUMBER(INDEX(SPPR!$E:$X,MATCH($A202,SPPR!$A:$A,0),5)),$C202*INDEX(SPPR!$E:$X,MATCH($A202,SPPR!$A:$A,0),5),""),"")</f>
        <v/>
      </c>
      <c r="I202">
        <f>IFERROR(IF(ISNUMBER(INDEX(SPPR!$E:$X,MATCH($A202,SPPR!$A:$A,0),6)),$C202*INDEX(SPPR!$E:$X,MATCH($A202,SPPR!$A:$A,0),6),""),"")</f>
        <v/>
      </c>
      <c r="J202">
        <f>IFERROR(IF(ISNUMBER(INDEX(SPPR!$E:$X,MATCH($A202,SPPR!$A:$A,0),7)),$C202*INDEX(SPPR!$E:$X,MATCH($A202,SPPR!$A:$A,0),7),""),"")</f>
        <v/>
      </c>
      <c r="K202">
        <f>IFERROR(IF(ISNUMBER(INDEX(SPPR!$E:$X,MATCH($A202,SPPR!$A:$A,0),8)),$C202*INDEX(SPPR!$E:$X,MATCH($A202,SPPR!$A:$A,0),8),""),"")</f>
        <v/>
      </c>
      <c r="L202">
        <f>IFERROR(IF(ISNUMBER(INDEX(SPPR!$E:$X,MATCH($A202,SPPR!$A:$A,0),9)),$C202*INDEX(SPPR!$E:$X,MATCH($A202,SPPR!$A:$A,0),9),""),"")</f>
        <v/>
      </c>
      <c r="M202">
        <f>IFERROR(IF(ISNUMBER(INDEX(SPPR!$E:$X,MATCH($A202,SPPR!$A:$A,0),10)),$C202*INDEX(SPPR!$E:$X,MATCH($A202,SPPR!$A:$A,0),10),""),"")</f>
        <v/>
      </c>
      <c r="N202">
        <f>IFERROR(IF(ISNUMBER(INDEX(SPPR!$E:$X,MATCH($A202,SPPR!$A:$A,0),11)),$C202*INDEX(SPPR!$E:$X,MATCH($A202,SPPR!$A:$A,0),11),""),"")</f>
        <v/>
      </c>
      <c r="O202">
        <f>IFERROR(IF(ISNUMBER(INDEX(SPPR!$E:$X,MATCH($A202,SPPR!$A:$A,0),12)),$C202*INDEX(SPPR!$E:$X,MATCH($A202,SPPR!$A:$A,0),12),""),"")</f>
        <v/>
      </c>
      <c r="P202">
        <f>IFERROR(IF(ISNUMBER(INDEX(SPPR!$E:$X,MATCH($A202,SPPR!$A:$A,0),13)),$C202*INDEX(SPPR!$E:$X,MATCH($A202,SPPR!$A:$A,0),13),""),"")</f>
        <v/>
      </c>
      <c r="Q202">
        <f>IFERROR(IF(ISNUMBER(INDEX(SPPR!$E:$X,MATCH($A202,SPPR!$A:$A,0),14)),$C202*INDEX(SPPR!$E:$X,MATCH($A202,SPPR!$A:$A,0),14),""),"")</f>
        <v/>
      </c>
      <c r="R202">
        <f>IFERROR(IF(ISNUMBER(INDEX(SPPR!$E:$X,MATCH($A202,SPPR!$A:$A,0),15)),$C202*INDEX(SPPR!$E:$X,MATCH($A202,SPPR!$A:$A,0),15),""),"")</f>
        <v/>
      </c>
      <c r="S202">
        <f>IFERROR(IF(ISNUMBER(INDEX(SPPR!$E:$X,MATCH($A202,SPPR!$A:$A,0),16)),$C202*INDEX(SPPR!$E:$X,MATCH($A202,SPPR!$A:$A,0),16),""),"")</f>
        <v/>
      </c>
      <c r="T202">
        <f>IFERROR(IF(ISNUMBER(INDEX(SPPR!$E:$X,MATCH($A202,SPPR!$A:$A,0),17)),$C202*INDEX(SPPR!$E:$X,MATCH($A202,SPPR!$A:$A,0),17),""),"")</f>
        <v/>
      </c>
      <c r="U202">
        <f>IFERROR(IF(ISNUMBER(INDEX(SPPR!$E:$X,MATCH($A202,SPPR!$A:$A,0),18)),$C202*INDEX(SPPR!$E:$X,MATCH($A202,SPPR!$A:$A,0),18),""),"")</f>
        <v/>
      </c>
      <c r="V202">
        <f>IFERROR(IF(ISNUMBER(INDEX(SPPR!$E:$X,MATCH($A202,SPPR!$A:$A,0),19)),$C202*INDEX(SPPR!$E:$X,MATCH($A202,SPPR!$A:$A,0),19),""),"")</f>
        <v/>
      </c>
      <c r="W202">
        <f>IFERROR(IF(ISNUMBER(INDEX(SPPR!$E:$X,MATCH($A202,SPPR!$A:$A,0),20)),$C202*INDEX(SPPR!$E:$X,MATCH($A202,SPPR!$A:$A,0),20),""),"")</f>
        <v/>
      </c>
    </row>
    <row r="203">
      <c r="A203" t="inlineStr">
        <is>
          <t>Xiphias gladius</t>
        </is>
      </c>
      <c r="B203">
        <f>IFERROR(INDEX(SPPR!$D:$D,MATCH($A203,SPPR!$A:$A,0)),"")</f>
        <v/>
      </c>
      <c r="C203">
        <f>IFERROR(INDEX(Catch!$E:$BV,MATCH($A203,Catch!$A:$A,0),MATCH($B$4,Catch!$E$1:$BV$1,0)),0)</f>
        <v/>
      </c>
      <c r="D203">
        <f>IFERROR(IF(ISNUMBER(INDEX(SPPR!$E:$X,MATCH($A203,SPPR!$A:$A,0),1)),$C203*INDEX(SPPR!$E:$X,MATCH($A203,SPPR!$A:$A,0),1),""),"")</f>
        <v/>
      </c>
      <c r="E203">
        <f>IFERROR(IF(ISNUMBER(INDEX(SPPR!$E:$X,MATCH($A203,SPPR!$A:$A,0),2)),$C203*INDEX(SPPR!$E:$X,MATCH($A203,SPPR!$A:$A,0),2),""),"")</f>
        <v/>
      </c>
      <c r="F203">
        <f>IFERROR(IF(ISNUMBER(INDEX(SPPR!$E:$X,MATCH($A203,SPPR!$A:$A,0),3)),$C203*INDEX(SPPR!$E:$X,MATCH($A203,SPPR!$A:$A,0),3),""),"")</f>
        <v/>
      </c>
      <c r="G203">
        <f>IFERROR(IF(ISNUMBER(INDEX(SPPR!$E:$X,MATCH($A203,SPPR!$A:$A,0),4)),$C203*INDEX(SPPR!$E:$X,MATCH($A203,SPPR!$A:$A,0),4),""),"")</f>
        <v/>
      </c>
      <c r="H203">
        <f>IFERROR(IF(ISNUMBER(INDEX(SPPR!$E:$X,MATCH($A203,SPPR!$A:$A,0),5)),$C203*INDEX(SPPR!$E:$X,MATCH($A203,SPPR!$A:$A,0),5),""),"")</f>
        <v/>
      </c>
      <c r="I203">
        <f>IFERROR(IF(ISNUMBER(INDEX(SPPR!$E:$X,MATCH($A203,SPPR!$A:$A,0),6)),$C203*INDEX(SPPR!$E:$X,MATCH($A203,SPPR!$A:$A,0),6),""),"")</f>
        <v/>
      </c>
      <c r="J203">
        <f>IFERROR(IF(ISNUMBER(INDEX(SPPR!$E:$X,MATCH($A203,SPPR!$A:$A,0),7)),$C203*INDEX(SPPR!$E:$X,MATCH($A203,SPPR!$A:$A,0),7),""),"")</f>
        <v/>
      </c>
      <c r="K203">
        <f>IFERROR(IF(ISNUMBER(INDEX(SPPR!$E:$X,MATCH($A203,SPPR!$A:$A,0),8)),$C203*INDEX(SPPR!$E:$X,MATCH($A203,SPPR!$A:$A,0),8),""),"")</f>
        <v/>
      </c>
      <c r="L203">
        <f>IFERROR(IF(ISNUMBER(INDEX(SPPR!$E:$X,MATCH($A203,SPPR!$A:$A,0),9)),$C203*INDEX(SPPR!$E:$X,MATCH($A203,SPPR!$A:$A,0),9),""),"")</f>
        <v/>
      </c>
      <c r="M203">
        <f>IFERROR(IF(ISNUMBER(INDEX(SPPR!$E:$X,MATCH($A203,SPPR!$A:$A,0),10)),$C203*INDEX(SPPR!$E:$X,MATCH($A203,SPPR!$A:$A,0),10),""),"")</f>
        <v/>
      </c>
      <c r="N203">
        <f>IFERROR(IF(ISNUMBER(INDEX(SPPR!$E:$X,MATCH($A203,SPPR!$A:$A,0),11)),$C203*INDEX(SPPR!$E:$X,MATCH($A203,SPPR!$A:$A,0),11),""),"")</f>
        <v/>
      </c>
      <c r="O203">
        <f>IFERROR(IF(ISNUMBER(INDEX(SPPR!$E:$X,MATCH($A203,SPPR!$A:$A,0),12)),$C203*INDEX(SPPR!$E:$X,MATCH($A203,SPPR!$A:$A,0),12),""),"")</f>
        <v/>
      </c>
      <c r="P203">
        <f>IFERROR(IF(ISNUMBER(INDEX(SPPR!$E:$X,MATCH($A203,SPPR!$A:$A,0),13)),$C203*INDEX(SPPR!$E:$X,MATCH($A203,SPPR!$A:$A,0),13),""),"")</f>
        <v/>
      </c>
      <c r="Q203">
        <f>IFERROR(IF(ISNUMBER(INDEX(SPPR!$E:$X,MATCH($A203,SPPR!$A:$A,0),14)),$C203*INDEX(SPPR!$E:$X,MATCH($A203,SPPR!$A:$A,0),14),""),"")</f>
        <v/>
      </c>
      <c r="R203">
        <f>IFERROR(IF(ISNUMBER(INDEX(SPPR!$E:$X,MATCH($A203,SPPR!$A:$A,0),15)),$C203*INDEX(SPPR!$E:$X,MATCH($A203,SPPR!$A:$A,0),15),""),"")</f>
        <v/>
      </c>
      <c r="S203">
        <f>IFERROR(IF(ISNUMBER(INDEX(SPPR!$E:$X,MATCH($A203,SPPR!$A:$A,0),16)),$C203*INDEX(SPPR!$E:$X,MATCH($A203,SPPR!$A:$A,0),16),""),"")</f>
        <v/>
      </c>
      <c r="T203">
        <f>IFERROR(IF(ISNUMBER(INDEX(SPPR!$E:$X,MATCH($A203,SPPR!$A:$A,0),17)),$C203*INDEX(SPPR!$E:$X,MATCH($A203,SPPR!$A:$A,0),17),""),"")</f>
        <v/>
      </c>
      <c r="U203">
        <f>IFERROR(IF(ISNUMBER(INDEX(SPPR!$E:$X,MATCH($A203,SPPR!$A:$A,0),18)),$C203*INDEX(SPPR!$E:$X,MATCH($A203,SPPR!$A:$A,0),18),""),"")</f>
        <v/>
      </c>
      <c r="V203">
        <f>IFERROR(IF(ISNUMBER(INDEX(SPPR!$E:$X,MATCH($A203,SPPR!$A:$A,0),19)),$C203*INDEX(SPPR!$E:$X,MATCH($A203,SPPR!$A:$A,0),19),""),"")</f>
        <v/>
      </c>
      <c r="W203">
        <f>IFERROR(IF(ISNUMBER(INDEX(SPPR!$E:$X,MATCH($A203,SPPR!$A:$A,0),20)),$C203*INDEX(SPPR!$E:$X,MATCH($A203,SPPR!$A:$A,0),20),""),"")</f>
        <v/>
      </c>
    </row>
    <row r="204">
      <c r="A204" t="inlineStr">
        <is>
          <t>Scylla serrata</t>
        </is>
      </c>
      <c r="B204">
        <f>IFERROR(INDEX(SPPR!$D:$D,MATCH($A204,SPPR!$A:$A,0)),"")</f>
        <v/>
      </c>
      <c r="C204">
        <f>IFERROR(INDEX(Catch!$E:$BV,MATCH($A204,Catch!$A:$A,0),MATCH($B$4,Catch!$E$1:$BV$1,0)),0)</f>
        <v/>
      </c>
      <c r="D204">
        <f>IFERROR(IF(ISNUMBER(INDEX(SPPR!$E:$X,MATCH($A204,SPPR!$A:$A,0),1)),$C204*INDEX(SPPR!$E:$X,MATCH($A204,SPPR!$A:$A,0),1),""),"")</f>
        <v/>
      </c>
      <c r="E204">
        <f>IFERROR(IF(ISNUMBER(INDEX(SPPR!$E:$X,MATCH($A204,SPPR!$A:$A,0),2)),$C204*INDEX(SPPR!$E:$X,MATCH($A204,SPPR!$A:$A,0),2),""),"")</f>
        <v/>
      </c>
      <c r="F204">
        <f>IFERROR(IF(ISNUMBER(INDEX(SPPR!$E:$X,MATCH($A204,SPPR!$A:$A,0),3)),$C204*INDEX(SPPR!$E:$X,MATCH($A204,SPPR!$A:$A,0),3),""),"")</f>
        <v/>
      </c>
      <c r="G204">
        <f>IFERROR(IF(ISNUMBER(INDEX(SPPR!$E:$X,MATCH($A204,SPPR!$A:$A,0),4)),$C204*INDEX(SPPR!$E:$X,MATCH($A204,SPPR!$A:$A,0),4),""),"")</f>
        <v/>
      </c>
      <c r="H204">
        <f>IFERROR(IF(ISNUMBER(INDEX(SPPR!$E:$X,MATCH($A204,SPPR!$A:$A,0),5)),$C204*INDEX(SPPR!$E:$X,MATCH($A204,SPPR!$A:$A,0),5),""),"")</f>
        <v/>
      </c>
      <c r="I204">
        <f>IFERROR(IF(ISNUMBER(INDEX(SPPR!$E:$X,MATCH($A204,SPPR!$A:$A,0),6)),$C204*INDEX(SPPR!$E:$X,MATCH($A204,SPPR!$A:$A,0),6),""),"")</f>
        <v/>
      </c>
      <c r="J204">
        <f>IFERROR(IF(ISNUMBER(INDEX(SPPR!$E:$X,MATCH($A204,SPPR!$A:$A,0),7)),$C204*INDEX(SPPR!$E:$X,MATCH($A204,SPPR!$A:$A,0),7),""),"")</f>
        <v/>
      </c>
      <c r="K204">
        <f>IFERROR(IF(ISNUMBER(INDEX(SPPR!$E:$X,MATCH($A204,SPPR!$A:$A,0),8)),$C204*INDEX(SPPR!$E:$X,MATCH($A204,SPPR!$A:$A,0),8),""),"")</f>
        <v/>
      </c>
      <c r="L204">
        <f>IFERROR(IF(ISNUMBER(INDEX(SPPR!$E:$X,MATCH($A204,SPPR!$A:$A,0),9)),$C204*INDEX(SPPR!$E:$X,MATCH($A204,SPPR!$A:$A,0),9),""),"")</f>
        <v/>
      </c>
      <c r="M204">
        <f>IFERROR(IF(ISNUMBER(INDEX(SPPR!$E:$X,MATCH($A204,SPPR!$A:$A,0),10)),$C204*INDEX(SPPR!$E:$X,MATCH($A204,SPPR!$A:$A,0),10),""),"")</f>
        <v/>
      </c>
      <c r="N204">
        <f>IFERROR(IF(ISNUMBER(INDEX(SPPR!$E:$X,MATCH($A204,SPPR!$A:$A,0),11)),$C204*INDEX(SPPR!$E:$X,MATCH($A204,SPPR!$A:$A,0),11),""),"")</f>
        <v/>
      </c>
      <c r="O204">
        <f>IFERROR(IF(ISNUMBER(INDEX(SPPR!$E:$X,MATCH($A204,SPPR!$A:$A,0),12)),$C204*INDEX(SPPR!$E:$X,MATCH($A204,SPPR!$A:$A,0),12),""),"")</f>
        <v/>
      </c>
      <c r="P204">
        <f>IFERROR(IF(ISNUMBER(INDEX(SPPR!$E:$X,MATCH($A204,SPPR!$A:$A,0),13)),$C204*INDEX(SPPR!$E:$X,MATCH($A204,SPPR!$A:$A,0),13),""),"")</f>
        <v/>
      </c>
      <c r="Q204">
        <f>IFERROR(IF(ISNUMBER(INDEX(SPPR!$E:$X,MATCH($A204,SPPR!$A:$A,0),14)),$C204*INDEX(SPPR!$E:$X,MATCH($A204,SPPR!$A:$A,0),14),""),"")</f>
        <v/>
      </c>
      <c r="R204">
        <f>IFERROR(IF(ISNUMBER(INDEX(SPPR!$E:$X,MATCH($A204,SPPR!$A:$A,0),15)),$C204*INDEX(SPPR!$E:$X,MATCH($A204,SPPR!$A:$A,0),15),""),"")</f>
        <v/>
      </c>
      <c r="S204">
        <f>IFERROR(IF(ISNUMBER(INDEX(SPPR!$E:$X,MATCH($A204,SPPR!$A:$A,0),16)),$C204*INDEX(SPPR!$E:$X,MATCH($A204,SPPR!$A:$A,0),16),""),"")</f>
        <v/>
      </c>
      <c r="T204">
        <f>IFERROR(IF(ISNUMBER(INDEX(SPPR!$E:$X,MATCH($A204,SPPR!$A:$A,0),17)),$C204*INDEX(SPPR!$E:$X,MATCH($A204,SPPR!$A:$A,0),17),""),"")</f>
        <v/>
      </c>
      <c r="U204">
        <f>IFERROR(IF(ISNUMBER(INDEX(SPPR!$E:$X,MATCH($A204,SPPR!$A:$A,0),18)),$C204*INDEX(SPPR!$E:$X,MATCH($A204,SPPR!$A:$A,0),18),""),"")</f>
        <v/>
      </c>
      <c r="V204">
        <f>IFERROR(IF(ISNUMBER(INDEX(SPPR!$E:$X,MATCH($A204,SPPR!$A:$A,0),19)),$C204*INDEX(SPPR!$E:$X,MATCH($A204,SPPR!$A:$A,0),19),""),"")</f>
        <v/>
      </c>
      <c r="W204">
        <f>IFERROR(IF(ISNUMBER(INDEX(SPPR!$E:$X,MATCH($A204,SPPR!$A:$A,0),20)),$C204*INDEX(SPPR!$E:$X,MATCH($A204,SPPR!$A:$A,0),20),""),"")</f>
        <v/>
      </c>
    </row>
    <row r="205">
      <c r="A205" t="inlineStr">
        <is>
          <t>Malacostraca</t>
        </is>
      </c>
      <c r="B205">
        <f>IFERROR(INDEX(SPPR!$D:$D,MATCH($A205,SPPR!$A:$A,0)),"")</f>
        <v/>
      </c>
      <c r="C205">
        <f>IFERROR(INDEX(Catch!$E:$BV,MATCH($A205,Catch!$A:$A,0),MATCH($B$4,Catch!$E$1:$BV$1,0)),0)</f>
        <v/>
      </c>
      <c r="D205">
        <f>IFERROR(IF(ISNUMBER(INDEX(SPPR!$E:$X,MATCH($A205,SPPR!$A:$A,0),1)),$C205*INDEX(SPPR!$E:$X,MATCH($A205,SPPR!$A:$A,0),1),""),"")</f>
        <v/>
      </c>
      <c r="E205">
        <f>IFERROR(IF(ISNUMBER(INDEX(SPPR!$E:$X,MATCH($A205,SPPR!$A:$A,0),2)),$C205*INDEX(SPPR!$E:$X,MATCH($A205,SPPR!$A:$A,0),2),""),"")</f>
        <v/>
      </c>
      <c r="F205">
        <f>IFERROR(IF(ISNUMBER(INDEX(SPPR!$E:$X,MATCH($A205,SPPR!$A:$A,0),3)),$C205*INDEX(SPPR!$E:$X,MATCH($A205,SPPR!$A:$A,0),3),""),"")</f>
        <v/>
      </c>
      <c r="G205">
        <f>IFERROR(IF(ISNUMBER(INDEX(SPPR!$E:$X,MATCH($A205,SPPR!$A:$A,0),4)),$C205*INDEX(SPPR!$E:$X,MATCH($A205,SPPR!$A:$A,0),4),""),"")</f>
        <v/>
      </c>
      <c r="H205">
        <f>IFERROR(IF(ISNUMBER(INDEX(SPPR!$E:$X,MATCH($A205,SPPR!$A:$A,0),5)),$C205*INDEX(SPPR!$E:$X,MATCH($A205,SPPR!$A:$A,0),5),""),"")</f>
        <v/>
      </c>
      <c r="I205">
        <f>IFERROR(IF(ISNUMBER(INDEX(SPPR!$E:$X,MATCH($A205,SPPR!$A:$A,0),6)),$C205*INDEX(SPPR!$E:$X,MATCH($A205,SPPR!$A:$A,0),6),""),"")</f>
        <v/>
      </c>
      <c r="J205">
        <f>IFERROR(IF(ISNUMBER(INDEX(SPPR!$E:$X,MATCH($A205,SPPR!$A:$A,0),7)),$C205*INDEX(SPPR!$E:$X,MATCH($A205,SPPR!$A:$A,0),7),""),"")</f>
        <v/>
      </c>
      <c r="K205">
        <f>IFERROR(IF(ISNUMBER(INDEX(SPPR!$E:$X,MATCH($A205,SPPR!$A:$A,0),8)),$C205*INDEX(SPPR!$E:$X,MATCH($A205,SPPR!$A:$A,0),8),""),"")</f>
        <v/>
      </c>
      <c r="L205">
        <f>IFERROR(IF(ISNUMBER(INDEX(SPPR!$E:$X,MATCH($A205,SPPR!$A:$A,0),9)),$C205*INDEX(SPPR!$E:$X,MATCH($A205,SPPR!$A:$A,0),9),""),"")</f>
        <v/>
      </c>
      <c r="M205">
        <f>IFERROR(IF(ISNUMBER(INDEX(SPPR!$E:$X,MATCH($A205,SPPR!$A:$A,0),10)),$C205*INDEX(SPPR!$E:$X,MATCH($A205,SPPR!$A:$A,0),10),""),"")</f>
        <v/>
      </c>
      <c r="N205">
        <f>IFERROR(IF(ISNUMBER(INDEX(SPPR!$E:$X,MATCH($A205,SPPR!$A:$A,0),11)),$C205*INDEX(SPPR!$E:$X,MATCH($A205,SPPR!$A:$A,0),11),""),"")</f>
        <v/>
      </c>
      <c r="O205">
        <f>IFERROR(IF(ISNUMBER(INDEX(SPPR!$E:$X,MATCH($A205,SPPR!$A:$A,0),12)),$C205*INDEX(SPPR!$E:$X,MATCH($A205,SPPR!$A:$A,0),12),""),"")</f>
        <v/>
      </c>
      <c r="P205">
        <f>IFERROR(IF(ISNUMBER(INDEX(SPPR!$E:$X,MATCH($A205,SPPR!$A:$A,0),13)),$C205*INDEX(SPPR!$E:$X,MATCH($A205,SPPR!$A:$A,0),13),""),"")</f>
        <v/>
      </c>
      <c r="Q205">
        <f>IFERROR(IF(ISNUMBER(INDEX(SPPR!$E:$X,MATCH($A205,SPPR!$A:$A,0),14)),$C205*INDEX(SPPR!$E:$X,MATCH($A205,SPPR!$A:$A,0),14),""),"")</f>
        <v/>
      </c>
      <c r="R205">
        <f>IFERROR(IF(ISNUMBER(INDEX(SPPR!$E:$X,MATCH($A205,SPPR!$A:$A,0),15)),$C205*INDEX(SPPR!$E:$X,MATCH($A205,SPPR!$A:$A,0),15),""),"")</f>
        <v/>
      </c>
      <c r="S205">
        <f>IFERROR(IF(ISNUMBER(INDEX(SPPR!$E:$X,MATCH($A205,SPPR!$A:$A,0),16)),$C205*INDEX(SPPR!$E:$X,MATCH($A205,SPPR!$A:$A,0),16),""),"")</f>
        <v/>
      </c>
      <c r="T205">
        <f>IFERROR(IF(ISNUMBER(INDEX(SPPR!$E:$X,MATCH($A205,SPPR!$A:$A,0),17)),$C205*INDEX(SPPR!$E:$X,MATCH($A205,SPPR!$A:$A,0),17),""),"")</f>
        <v/>
      </c>
      <c r="U205">
        <f>IFERROR(IF(ISNUMBER(INDEX(SPPR!$E:$X,MATCH($A205,SPPR!$A:$A,0),18)),$C205*INDEX(SPPR!$E:$X,MATCH($A205,SPPR!$A:$A,0),18),""),"")</f>
        <v/>
      </c>
      <c r="V205">
        <f>IFERROR(IF(ISNUMBER(INDEX(SPPR!$E:$X,MATCH($A205,SPPR!$A:$A,0),19)),$C205*INDEX(SPPR!$E:$X,MATCH($A205,SPPR!$A:$A,0),19),""),"")</f>
        <v/>
      </c>
      <c r="W205">
        <f>IFERROR(IF(ISNUMBER(INDEX(SPPR!$E:$X,MATCH($A205,SPPR!$A:$A,0),20)),$C205*INDEX(SPPR!$E:$X,MATCH($A205,SPPR!$A:$A,0),20),""),"")</f>
        <v/>
      </c>
    </row>
    <row r="206">
      <c r="A206" t="inlineStr">
        <is>
          <t>Scyris indica</t>
        </is>
      </c>
      <c r="B206">
        <f>IFERROR(INDEX(SPPR!$D:$D,MATCH($A206,SPPR!$A:$A,0)),"")</f>
        <v/>
      </c>
      <c r="C206">
        <f>IFERROR(INDEX(Catch!$E:$BV,MATCH($A206,Catch!$A:$A,0),MATCH($B$4,Catch!$E$1:$BV$1,0)),0)</f>
        <v/>
      </c>
      <c r="D206">
        <f>IFERROR(IF(ISNUMBER(INDEX(SPPR!$E:$X,MATCH($A206,SPPR!$A:$A,0),1)),$C206*INDEX(SPPR!$E:$X,MATCH($A206,SPPR!$A:$A,0),1),""),"")</f>
        <v/>
      </c>
      <c r="E206">
        <f>IFERROR(IF(ISNUMBER(INDEX(SPPR!$E:$X,MATCH($A206,SPPR!$A:$A,0),2)),$C206*INDEX(SPPR!$E:$X,MATCH($A206,SPPR!$A:$A,0),2),""),"")</f>
        <v/>
      </c>
      <c r="F206">
        <f>IFERROR(IF(ISNUMBER(INDEX(SPPR!$E:$X,MATCH($A206,SPPR!$A:$A,0),3)),$C206*INDEX(SPPR!$E:$X,MATCH($A206,SPPR!$A:$A,0),3),""),"")</f>
        <v/>
      </c>
      <c r="G206">
        <f>IFERROR(IF(ISNUMBER(INDEX(SPPR!$E:$X,MATCH($A206,SPPR!$A:$A,0),4)),$C206*INDEX(SPPR!$E:$X,MATCH($A206,SPPR!$A:$A,0),4),""),"")</f>
        <v/>
      </c>
      <c r="H206">
        <f>IFERROR(IF(ISNUMBER(INDEX(SPPR!$E:$X,MATCH($A206,SPPR!$A:$A,0),5)),$C206*INDEX(SPPR!$E:$X,MATCH($A206,SPPR!$A:$A,0),5),""),"")</f>
        <v/>
      </c>
      <c r="I206">
        <f>IFERROR(IF(ISNUMBER(INDEX(SPPR!$E:$X,MATCH($A206,SPPR!$A:$A,0),6)),$C206*INDEX(SPPR!$E:$X,MATCH($A206,SPPR!$A:$A,0),6),""),"")</f>
        <v/>
      </c>
      <c r="J206">
        <f>IFERROR(IF(ISNUMBER(INDEX(SPPR!$E:$X,MATCH($A206,SPPR!$A:$A,0),7)),$C206*INDEX(SPPR!$E:$X,MATCH($A206,SPPR!$A:$A,0),7),""),"")</f>
        <v/>
      </c>
      <c r="K206">
        <f>IFERROR(IF(ISNUMBER(INDEX(SPPR!$E:$X,MATCH($A206,SPPR!$A:$A,0),8)),$C206*INDEX(SPPR!$E:$X,MATCH($A206,SPPR!$A:$A,0),8),""),"")</f>
        <v/>
      </c>
      <c r="L206">
        <f>IFERROR(IF(ISNUMBER(INDEX(SPPR!$E:$X,MATCH($A206,SPPR!$A:$A,0),9)),$C206*INDEX(SPPR!$E:$X,MATCH($A206,SPPR!$A:$A,0),9),""),"")</f>
        <v/>
      </c>
      <c r="M206">
        <f>IFERROR(IF(ISNUMBER(INDEX(SPPR!$E:$X,MATCH($A206,SPPR!$A:$A,0),10)),$C206*INDEX(SPPR!$E:$X,MATCH($A206,SPPR!$A:$A,0),10),""),"")</f>
        <v/>
      </c>
      <c r="N206">
        <f>IFERROR(IF(ISNUMBER(INDEX(SPPR!$E:$X,MATCH($A206,SPPR!$A:$A,0),11)),$C206*INDEX(SPPR!$E:$X,MATCH($A206,SPPR!$A:$A,0),11),""),"")</f>
        <v/>
      </c>
      <c r="O206">
        <f>IFERROR(IF(ISNUMBER(INDEX(SPPR!$E:$X,MATCH($A206,SPPR!$A:$A,0),12)),$C206*INDEX(SPPR!$E:$X,MATCH($A206,SPPR!$A:$A,0),12),""),"")</f>
        <v/>
      </c>
      <c r="P206">
        <f>IFERROR(IF(ISNUMBER(INDEX(SPPR!$E:$X,MATCH($A206,SPPR!$A:$A,0),13)),$C206*INDEX(SPPR!$E:$X,MATCH($A206,SPPR!$A:$A,0),13),""),"")</f>
        <v/>
      </c>
      <c r="Q206">
        <f>IFERROR(IF(ISNUMBER(INDEX(SPPR!$E:$X,MATCH($A206,SPPR!$A:$A,0),14)),$C206*INDEX(SPPR!$E:$X,MATCH($A206,SPPR!$A:$A,0),14),""),"")</f>
        <v/>
      </c>
      <c r="R206">
        <f>IFERROR(IF(ISNUMBER(INDEX(SPPR!$E:$X,MATCH($A206,SPPR!$A:$A,0),15)),$C206*INDEX(SPPR!$E:$X,MATCH($A206,SPPR!$A:$A,0),15),""),"")</f>
        <v/>
      </c>
      <c r="S206">
        <f>IFERROR(IF(ISNUMBER(INDEX(SPPR!$E:$X,MATCH($A206,SPPR!$A:$A,0),16)),$C206*INDEX(SPPR!$E:$X,MATCH($A206,SPPR!$A:$A,0),16),""),"")</f>
        <v/>
      </c>
      <c r="T206">
        <f>IFERROR(IF(ISNUMBER(INDEX(SPPR!$E:$X,MATCH($A206,SPPR!$A:$A,0),17)),$C206*INDEX(SPPR!$E:$X,MATCH($A206,SPPR!$A:$A,0),17),""),"")</f>
        <v/>
      </c>
      <c r="U206">
        <f>IFERROR(IF(ISNUMBER(INDEX(SPPR!$E:$X,MATCH($A206,SPPR!$A:$A,0),18)),$C206*INDEX(SPPR!$E:$X,MATCH($A206,SPPR!$A:$A,0),18),""),"")</f>
        <v/>
      </c>
      <c r="V206">
        <f>IFERROR(IF(ISNUMBER(INDEX(SPPR!$E:$X,MATCH($A206,SPPR!$A:$A,0),19)),$C206*INDEX(SPPR!$E:$X,MATCH($A206,SPPR!$A:$A,0),19),""),"")</f>
        <v/>
      </c>
      <c r="W206">
        <f>IFERROR(IF(ISNUMBER(INDEX(SPPR!$E:$X,MATCH($A206,SPPR!$A:$A,0),20)),$C206*INDEX(SPPR!$E:$X,MATCH($A206,SPPR!$A:$A,0),20),""),"")</f>
        <v/>
      </c>
    </row>
    <row r="207">
      <c r="A207" t="inlineStr">
        <is>
          <t>Metapenaeus joyneri</t>
        </is>
      </c>
      <c r="B207">
        <f>IFERROR(INDEX(SPPR!$D:$D,MATCH($A207,SPPR!$A:$A,0)),"")</f>
        <v/>
      </c>
      <c r="C207">
        <f>IFERROR(INDEX(Catch!$E:$BV,MATCH($A207,Catch!$A:$A,0),MATCH($B$4,Catch!$E$1:$BV$1,0)),0)</f>
        <v/>
      </c>
      <c r="D207">
        <f>IFERROR(IF(ISNUMBER(INDEX(SPPR!$E:$X,MATCH($A207,SPPR!$A:$A,0),1)),$C207*INDEX(SPPR!$E:$X,MATCH($A207,SPPR!$A:$A,0),1),""),"")</f>
        <v/>
      </c>
      <c r="E207">
        <f>IFERROR(IF(ISNUMBER(INDEX(SPPR!$E:$X,MATCH($A207,SPPR!$A:$A,0),2)),$C207*INDEX(SPPR!$E:$X,MATCH($A207,SPPR!$A:$A,0),2),""),"")</f>
        <v/>
      </c>
      <c r="F207">
        <f>IFERROR(IF(ISNUMBER(INDEX(SPPR!$E:$X,MATCH($A207,SPPR!$A:$A,0),3)),$C207*INDEX(SPPR!$E:$X,MATCH($A207,SPPR!$A:$A,0),3),""),"")</f>
        <v/>
      </c>
      <c r="G207">
        <f>IFERROR(IF(ISNUMBER(INDEX(SPPR!$E:$X,MATCH($A207,SPPR!$A:$A,0),4)),$C207*INDEX(SPPR!$E:$X,MATCH($A207,SPPR!$A:$A,0),4),""),"")</f>
        <v/>
      </c>
      <c r="H207">
        <f>IFERROR(IF(ISNUMBER(INDEX(SPPR!$E:$X,MATCH($A207,SPPR!$A:$A,0),5)),$C207*INDEX(SPPR!$E:$X,MATCH($A207,SPPR!$A:$A,0),5),""),"")</f>
        <v/>
      </c>
      <c r="I207">
        <f>IFERROR(IF(ISNUMBER(INDEX(SPPR!$E:$X,MATCH($A207,SPPR!$A:$A,0),6)),$C207*INDEX(SPPR!$E:$X,MATCH($A207,SPPR!$A:$A,0),6),""),"")</f>
        <v/>
      </c>
      <c r="J207">
        <f>IFERROR(IF(ISNUMBER(INDEX(SPPR!$E:$X,MATCH($A207,SPPR!$A:$A,0),7)),$C207*INDEX(SPPR!$E:$X,MATCH($A207,SPPR!$A:$A,0),7),""),"")</f>
        <v/>
      </c>
      <c r="K207">
        <f>IFERROR(IF(ISNUMBER(INDEX(SPPR!$E:$X,MATCH($A207,SPPR!$A:$A,0),8)),$C207*INDEX(SPPR!$E:$X,MATCH($A207,SPPR!$A:$A,0),8),""),"")</f>
        <v/>
      </c>
      <c r="L207">
        <f>IFERROR(IF(ISNUMBER(INDEX(SPPR!$E:$X,MATCH($A207,SPPR!$A:$A,0),9)),$C207*INDEX(SPPR!$E:$X,MATCH($A207,SPPR!$A:$A,0),9),""),"")</f>
        <v/>
      </c>
      <c r="M207">
        <f>IFERROR(IF(ISNUMBER(INDEX(SPPR!$E:$X,MATCH($A207,SPPR!$A:$A,0),10)),$C207*INDEX(SPPR!$E:$X,MATCH($A207,SPPR!$A:$A,0),10),""),"")</f>
        <v/>
      </c>
      <c r="N207">
        <f>IFERROR(IF(ISNUMBER(INDEX(SPPR!$E:$X,MATCH($A207,SPPR!$A:$A,0),11)),$C207*INDEX(SPPR!$E:$X,MATCH($A207,SPPR!$A:$A,0),11),""),"")</f>
        <v/>
      </c>
      <c r="O207">
        <f>IFERROR(IF(ISNUMBER(INDEX(SPPR!$E:$X,MATCH($A207,SPPR!$A:$A,0),12)),$C207*INDEX(SPPR!$E:$X,MATCH($A207,SPPR!$A:$A,0),12),""),"")</f>
        <v/>
      </c>
      <c r="P207">
        <f>IFERROR(IF(ISNUMBER(INDEX(SPPR!$E:$X,MATCH($A207,SPPR!$A:$A,0),13)),$C207*INDEX(SPPR!$E:$X,MATCH($A207,SPPR!$A:$A,0),13),""),"")</f>
        <v/>
      </c>
      <c r="Q207">
        <f>IFERROR(IF(ISNUMBER(INDEX(SPPR!$E:$X,MATCH($A207,SPPR!$A:$A,0),14)),$C207*INDEX(SPPR!$E:$X,MATCH($A207,SPPR!$A:$A,0),14),""),"")</f>
        <v/>
      </c>
      <c r="R207">
        <f>IFERROR(IF(ISNUMBER(INDEX(SPPR!$E:$X,MATCH($A207,SPPR!$A:$A,0),15)),$C207*INDEX(SPPR!$E:$X,MATCH($A207,SPPR!$A:$A,0),15),""),"")</f>
        <v/>
      </c>
      <c r="S207">
        <f>IFERROR(IF(ISNUMBER(INDEX(SPPR!$E:$X,MATCH($A207,SPPR!$A:$A,0),16)),$C207*INDEX(SPPR!$E:$X,MATCH($A207,SPPR!$A:$A,0),16),""),"")</f>
        <v/>
      </c>
      <c r="T207">
        <f>IFERROR(IF(ISNUMBER(INDEX(SPPR!$E:$X,MATCH($A207,SPPR!$A:$A,0),17)),$C207*INDEX(SPPR!$E:$X,MATCH($A207,SPPR!$A:$A,0),17),""),"")</f>
        <v/>
      </c>
      <c r="U207">
        <f>IFERROR(IF(ISNUMBER(INDEX(SPPR!$E:$X,MATCH($A207,SPPR!$A:$A,0),18)),$C207*INDEX(SPPR!$E:$X,MATCH($A207,SPPR!$A:$A,0),18),""),"")</f>
        <v/>
      </c>
      <c r="V207">
        <f>IFERROR(IF(ISNUMBER(INDEX(SPPR!$E:$X,MATCH($A207,SPPR!$A:$A,0),19)),$C207*INDEX(SPPR!$E:$X,MATCH($A207,SPPR!$A:$A,0),19),""),"")</f>
        <v/>
      </c>
      <c r="W207">
        <f>IFERROR(IF(ISNUMBER(INDEX(SPPR!$E:$X,MATCH($A207,SPPR!$A:$A,0),20)),$C207*INDEX(SPPR!$E:$X,MATCH($A207,SPPR!$A:$A,0),20),""),"")</f>
        <v/>
      </c>
    </row>
    <row r="208">
      <c r="A208" t="inlineStr">
        <is>
          <t>Gadiformes</t>
        </is>
      </c>
      <c r="B208">
        <f>IFERROR(INDEX(SPPR!$D:$D,MATCH($A208,SPPR!$A:$A,0)),"")</f>
        <v/>
      </c>
      <c r="C208">
        <f>IFERROR(INDEX(Catch!$E:$BV,MATCH($A208,Catch!$A:$A,0),MATCH($B$4,Catch!$E$1:$BV$1,0)),0)</f>
        <v/>
      </c>
      <c r="D208">
        <f>IFERROR(IF(ISNUMBER(INDEX(SPPR!$E:$X,MATCH($A208,SPPR!$A:$A,0),1)),$C208*INDEX(SPPR!$E:$X,MATCH($A208,SPPR!$A:$A,0),1),""),"")</f>
        <v/>
      </c>
      <c r="E208">
        <f>IFERROR(IF(ISNUMBER(INDEX(SPPR!$E:$X,MATCH($A208,SPPR!$A:$A,0),2)),$C208*INDEX(SPPR!$E:$X,MATCH($A208,SPPR!$A:$A,0),2),""),"")</f>
        <v/>
      </c>
      <c r="F208">
        <f>IFERROR(IF(ISNUMBER(INDEX(SPPR!$E:$X,MATCH($A208,SPPR!$A:$A,0),3)),$C208*INDEX(SPPR!$E:$X,MATCH($A208,SPPR!$A:$A,0),3),""),"")</f>
        <v/>
      </c>
      <c r="G208">
        <f>IFERROR(IF(ISNUMBER(INDEX(SPPR!$E:$X,MATCH($A208,SPPR!$A:$A,0),4)),$C208*INDEX(SPPR!$E:$X,MATCH($A208,SPPR!$A:$A,0),4),""),"")</f>
        <v/>
      </c>
      <c r="H208">
        <f>IFERROR(IF(ISNUMBER(INDEX(SPPR!$E:$X,MATCH($A208,SPPR!$A:$A,0),5)),$C208*INDEX(SPPR!$E:$X,MATCH($A208,SPPR!$A:$A,0),5),""),"")</f>
        <v/>
      </c>
      <c r="I208">
        <f>IFERROR(IF(ISNUMBER(INDEX(SPPR!$E:$X,MATCH($A208,SPPR!$A:$A,0),6)),$C208*INDEX(SPPR!$E:$X,MATCH($A208,SPPR!$A:$A,0),6),""),"")</f>
        <v/>
      </c>
      <c r="J208">
        <f>IFERROR(IF(ISNUMBER(INDEX(SPPR!$E:$X,MATCH($A208,SPPR!$A:$A,0),7)),$C208*INDEX(SPPR!$E:$X,MATCH($A208,SPPR!$A:$A,0),7),""),"")</f>
        <v/>
      </c>
      <c r="K208">
        <f>IFERROR(IF(ISNUMBER(INDEX(SPPR!$E:$X,MATCH($A208,SPPR!$A:$A,0),8)),$C208*INDEX(SPPR!$E:$X,MATCH($A208,SPPR!$A:$A,0),8),""),"")</f>
        <v/>
      </c>
      <c r="L208">
        <f>IFERROR(IF(ISNUMBER(INDEX(SPPR!$E:$X,MATCH($A208,SPPR!$A:$A,0),9)),$C208*INDEX(SPPR!$E:$X,MATCH($A208,SPPR!$A:$A,0),9),""),"")</f>
        <v/>
      </c>
      <c r="M208">
        <f>IFERROR(IF(ISNUMBER(INDEX(SPPR!$E:$X,MATCH($A208,SPPR!$A:$A,0),10)),$C208*INDEX(SPPR!$E:$X,MATCH($A208,SPPR!$A:$A,0),10),""),"")</f>
        <v/>
      </c>
      <c r="N208">
        <f>IFERROR(IF(ISNUMBER(INDEX(SPPR!$E:$X,MATCH($A208,SPPR!$A:$A,0),11)),$C208*INDEX(SPPR!$E:$X,MATCH($A208,SPPR!$A:$A,0),11),""),"")</f>
        <v/>
      </c>
      <c r="O208">
        <f>IFERROR(IF(ISNUMBER(INDEX(SPPR!$E:$X,MATCH($A208,SPPR!$A:$A,0),12)),$C208*INDEX(SPPR!$E:$X,MATCH($A208,SPPR!$A:$A,0),12),""),"")</f>
        <v/>
      </c>
      <c r="P208">
        <f>IFERROR(IF(ISNUMBER(INDEX(SPPR!$E:$X,MATCH($A208,SPPR!$A:$A,0),13)),$C208*INDEX(SPPR!$E:$X,MATCH($A208,SPPR!$A:$A,0),13),""),"")</f>
        <v/>
      </c>
      <c r="Q208">
        <f>IFERROR(IF(ISNUMBER(INDEX(SPPR!$E:$X,MATCH($A208,SPPR!$A:$A,0),14)),$C208*INDEX(SPPR!$E:$X,MATCH($A208,SPPR!$A:$A,0),14),""),"")</f>
        <v/>
      </c>
      <c r="R208">
        <f>IFERROR(IF(ISNUMBER(INDEX(SPPR!$E:$X,MATCH($A208,SPPR!$A:$A,0),15)),$C208*INDEX(SPPR!$E:$X,MATCH($A208,SPPR!$A:$A,0),15),""),"")</f>
        <v/>
      </c>
      <c r="S208">
        <f>IFERROR(IF(ISNUMBER(INDEX(SPPR!$E:$X,MATCH($A208,SPPR!$A:$A,0),16)),$C208*INDEX(SPPR!$E:$X,MATCH($A208,SPPR!$A:$A,0),16),""),"")</f>
        <v/>
      </c>
      <c r="T208">
        <f>IFERROR(IF(ISNUMBER(INDEX(SPPR!$E:$X,MATCH($A208,SPPR!$A:$A,0),17)),$C208*INDEX(SPPR!$E:$X,MATCH($A208,SPPR!$A:$A,0),17),""),"")</f>
        <v/>
      </c>
      <c r="U208">
        <f>IFERROR(IF(ISNUMBER(INDEX(SPPR!$E:$X,MATCH($A208,SPPR!$A:$A,0),18)),$C208*INDEX(SPPR!$E:$X,MATCH($A208,SPPR!$A:$A,0),18),""),"")</f>
        <v/>
      </c>
      <c r="V208">
        <f>IFERROR(IF(ISNUMBER(INDEX(SPPR!$E:$X,MATCH($A208,SPPR!$A:$A,0),19)),$C208*INDEX(SPPR!$E:$X,MATCH($A208,SPPR!$A:$A,0),19),""),"")</f>
        <v/>
      </c>
      <c r="W208">
        <f>IFERROR(IF(ISNUMBER(INDEX(SPPR!$E:$X,MATCH($A208,SPPR!$A:$A,0),20)),$C208*INDEX(SPPR!$E:$X,MATCH($A208,SPPR!$A:$A,0),20),""),"")</f>
        <v/>
      </c>
    </row>
    <row r="209">
      <c r="A209" t="inlineStr">
        <is>
          <t>Cynoglossus</t>
        </is>
      </c>
      <c r="B209">
        <f>IFERROR(INDEX(SPPR!$D:$D,MATCH($A209,SPPR!$A:$A,0)),"")</f>
        <v/>
      </c>
      <c r="C209">
        <f>IFERROR(INDEX(Catch!$E:$BV,MATCH($A209,Catch!$A:$A,0),MATCH($B$4,Catch!$E$1:$BV$1,0)),0)</f>
        <v/>
      </c>
      <c r="D209">
        <f>IFERROR(IF(ISNUMBER(INDEX(SPPR!$E:$X,MATCH($A209,SPPR!$A:$A,0),1)),$C209*INDEX(SPPR!$E:$X,MATCH($A209,SPPR!$A:$A,0),1),""),"")</f>
        <v/>
      </c>
      <c r="E209">
        <f>IFERROR(IF(ISNUMBER(INDEX(SPPR!$E:$X,MATCH($A209,SPPR!$A:$A,0),2)),$C209*INDEX(SPPR!$E:$X,MATCH($A209,SPPR!$A:$A,0),2),""),"")</f>
        <v/>
      </c>
      <c r="F209">
        <f>IFERROR(IF(ISNUMBER(INDEX(SPPR!$E:$X,MATCH($A209,SPPR!$A:$A,0),3)),$C209*INDEX(SPPR!$E:$X,MATCH($A209,SPPR!$A:$A,0),3),""),"")</f>
        <v/>
      </c>
      <c r="G209">
        <f>IFERROR(IF(ISNUMBER(INDEX(SPPR!$E:$X,MATCH($A209,SPPR!$A:$A,0),4)),$C209*INDEX(SPPR!$E:$X,MATCH($A209,SPPR!$A:$A,0),4),""),"")</f>
        <v/>
      </c>
      <c r="H209">
        <f>IFERROR(IF(ISNUMBER(INDEX(SPPR!$E:$X,MATCH($A209,SPPR!$A:$A,0),5)),$C209*INDEX(SPPR!$E:$X,MATCH($A209,SPPR!$A:$A,0),5),""),"")</f>
        <v/>
      </c>
      <c r="I209">
        <f>IFERROR(IF(ISNUMBER(INDEX(SPPR!$E:$X,MATCH($A209,SPPR!$A:$A,0),6)),$C209*INDEX(SPPR!$E:$X,MATCH($A209,SPPR!$A:$A,0),6),""),"")</f>
        <v/>
      </c>
      <c r="J209">
        <f>IFERROR(IF(ISNUMBER(INDEX(SPPR!$E:$X,MATCH($A209,SPPR!$A:$A,0),7)),$C209*INDEX(SPPR!$E:$X,MATCH($A209,SPPR!$A:$A,0),7),""),"")</f>
        <v/>
      </c>
      <c r="K209">
        <f>IFERROR(IF(ISNUMBER(INDEX(SPPR!$E:$X,MATCH($A209,SPPR!$A:$A,0),8)),$C209*INDEX(SPPR!$E:$X,MATCH($A209,SPPR!$A:$A,0),8),""),"")</f>
        <v/>
      </c>
      <c r="L209">
        <f>IFERROR(IF(ISNUMBER(INDEX(SPPR!$E:$X,MATCH($A209,SPPR!$A:$A,0),9)),$C209*INDEX(SPPR!$E:$X,MATCH($A209,SPPR!$A:$A,0),9),""),"")</f>
        <v/>
      </c>
      <c r="M209">
        <f>IFERROR(IF(ISNUMBER(INDEX(SPPR!$E:$X,MATCH($A209,SPPR!$A:$A,0),10)),$C209*INDEX(SPPR!$E:$X,MATCH($A209,SPPR!$A:$A,0),10),""),"")</f>
        <v/>
      </c>
      <c r="N209">
        <f>IFERROR(IF(ISNUMBER(INDEX(SPPR!$E:$X,MATCH($A209,SPPR!$A:$A,0),11)),$C209*INDEX(SPPR!$E:$X,MATCH($A209,SPPR!$A:$A,0),11),""),"")</f>
        <v/>
      </c>
      <c r="O209">
        <f>IFERROR(IF(ISNUMBER(INDEX(SPPR!$E:$X,MATCH($A209,SPPR!$A:$A,0),12)),$C209*INDEX(SPPR!$E:$X,MATCH($A209,SPPR!$A:$A,0),12),""),"")</f>
        <v/>
      </c>
      <c r="P209">
        <f>IFERROR(IF(ISNUMBER(INDEX(SPPR!$E:$X,MATCH($A209,SPPR!$A:$A,0),13)),$C209*INDEX(SPPR!$E:$X,MATCH($A209,SPPR!$A:$A,0),13),""),"")</f>
        <v/>
      </c>
      <c r="Q209">
        <f>IFERROR(IF(ISNUMBER(INDEX(SPPR!$E:$X,MATCH($A209,SPPR!$A:$A,0),14)),$C209*INDEX(SPPR!$E:$X,MATCH($A209,SPPR!$A:$A,0),14),""),"")</f>
        <v/>
      </c>
      <c r="R209">
        <f>IFERROR(IF(ISNUMBER(INDEX(SPPR!$E:$X,MATCH($A209,SPPR!$A:$A,0),15)),$C209*INDEX(SPPR!$E:$X,MATCH($A209,SPPR!$A:$A,0),15),""),"")</f>
        <v/>
      </c>
      <c r="S209">
        <f>IFERROR(IF(ISNUMBER(INDEX(SPPR!$E:$X,MATCH($A209,SPPR!$A:$A,0),16)),$C209*INDEX(SPPR!$E:$X,MATCH($A209,SPPR!$A:$A,0),16),""),"")</f>
        <v/>
      </c>
      <c r="T209">
        <f>IFERROR(IF(ISNUMBER(INDEX(SPPR!$E:$X,MATCH($A209,SPPR!$A:$A,0),17)),$C209*INDEX(SPPR!$E:$X,MATCH($A209,SPPR!$A:$A,0),17),""),"")</f>
        <v/>
      </c>
      <c r="U209">
        <f>IFERROR(IF(ISNUMBER(INDEX(SPPR!$E:$X,MATCH($A209,SPPR!$A:$A,0),18)),$C209*INDEX(SPPR!$E:$X,MATCH($A209,SPPR!$A:$A,0),18),""),"")</f>
        <v/>
      </c>
      <c r="V209">
        <f>IFERROR(IF(ISNUMBER(INDEX(SPPR!$E:$X,MATCH($A209,SPPR!$A:$A,0),19)),$C209*INDEX(SPPR!$E:$X,MATCH($A209,SPPR!$A:$A,0),19),""),"")</f>
        <v/>
      </c>
      <c r="W209">
        <f>IFERROR(IF(ISNUMBER(INDEX(SPPR!$E:$X,MATCH($A209,SPPR!$A:$A,0),20)),$C209*INDEX(SPPR!$E:$X,MATCH($A209,SPPR!$A:$A,0),20),""),"")</f>
        <v/>
      </c>
    </row>
    <row r="210">
      <c r="A210" t="inlineStr">
        <is>
          <t>Gerreidae</t>
        </is>
      </c>
      <c r="B210">
        <f>IFERROR(INDEX(SPPR!$D:$D,MATCH($A210,SPPR!$A:$A,0)),"")</f>
        <v/>
      </c>
      <c r="C210">
        <f>IFERROR(INDEX(Catch!$E:$BV,MATCH($A210,Catch!$A:$A,0),MATCH($B$4,Catch!$E$1:$BV$1,0)),0)</f>
        <v/>
      </c>
      <c r="D210">
        <f>IFERROR(IF(ISNUMBER(INDEX(SPPR!$E:$X,MATCH($A210,SPPR!$A:$A,0),1)),$C210*INDEX(SPPR!$E:$X,MATCH($A210,SPPR!$A:$A,0),1),""),"")</f>
        <v/>
      </c>
      <c r="E210">
        <f>IFERROR(IF(ISNUMBER(INDEX(SPPR!$E:$X,MATCH($A210,SPPR!$A:$A,0),2)),$C210*INDEX(SPPR!$E:$X,MATCH($A210,SPPR!$A:$A,0),2),""),"")</f>
        <v/>
      </c>
      <c r="F210">
        <f>IFERROR(IF(ISNUMBER(INDEX(SPPR!$E:$X,MATCH($A210,SPPR!$A:$A,0),3)),$C210*INDEX(SPPR!$E:$X,MATCH($A210,SPPR!$A:$A,0),3),""),"")</f>
        <v/>
      </c>
      <c r="G210">
        <f>IFERROR(IF(ISNUMBER(INDEX(SPPR!$E:$X,MATCH($A210,SPPR!$A:$A,0),4)),$C210*INDEX(SPPR!$E:$X,MATCH($A210,SPPR!$A:$A,0),4),""),"")</f>
        <v/>
      </c>
      <c r="H210">
        <f>IFERROR(IF(ISNUMBER(INDEX(SPPR!$E:$X,MATCH($A210,SPPR!$A:$A,0),5)),$C210*INDEX(SPPR!$E:$X,MATCH($A210,SPPR!$A:$A,0),5),""),"")</f>
        <v/>
      </c>
      <c r="I210">
        <f>IFERROR(IF(ISNUMBER(INDEX(SPPR!$E:$X,MATCH($A210,SPPR!$A:$A,0),6)),$C210*INDEX(SPPR!$E:$X,MATCH($A210,SPPR!$A:$A,0),6),""),"")</f>
        <v/>
      </c>
      <c r="J210">
        <f>IFERROR(IF(ISNUMBER(INDEX(SPPR!$E:$X,MATCH($A210,SPPR!$A:$A,0),7)),$C210*INDEX(SPPR!$E:$X,MATCH($A210,SPPR!$A:$A,0),7),""),"")</f>
        <v/>
      </c>
      <c r="K210">
        <f>IFERROR(IF(ISNUMBER(INDEX(SPPR!$E:$X,MATCH($A210,SPPR!$A:$A,0),8)),$C210*INDEX(SPPR!$E:$X,MATCH($A210,SPPR!$A:$A,0),8),""),"")</f>
        <v/>
      </c>
      <c r="L210">
        <f>IFERROR(IF(ISNUMBER(INDEX(SPPR!$E:$X,MATCH($A210,SPPR!$A:$A,0),9)),$C210*INDEX(SPPR!$E:$X,MATCH($A210,SPPR!$A:$A,0),9),""),"")</f>
        <v/>
      </c>
      <c r="M210">
        <f>IFERROR(IF(ISNUMBER(INDEX(SPPR!$E:$X,MATCH($A210,SPPR!$A:$A,0),10)),$C210*INDEX(SPPR!$E:$X,MATCH($A210,SPPR!$A:$A,0),10),""),"")</f>
        <v/>
      </c>
      <c r="N210">
        <f>IFERROR(IF(ISNUMBER(INDEX(SPPR!$E:$X,MATCH($A210,SPPR!$A:$A,0),11)),$C210*INDEX(SPPR!$E:$X,MATCH($A210,SPPR!$A:$A,0),11),""),"")</f>
        <v/>
      </c>
      <c r="O210">
        <f>IFERROR(IF(ISNUMBER(INDEX(SPPR!$E:$X,MATCH($A210,SPPR!$A:$A,0),12)),$C210*INDEX(SPPR!$E:$X,MATCH($A210,SPPR!$A:$A,0),12),""),"")</f>
        <v/>
      </c>
      <c r="P210">
        <f>IFERROR(IF(ISNUMBER(INDEX(SPPR!$E:$X,MATCH($A210,SPPR!$A:$A,0),13)),$C210*INDEX(SPPR!$E:$X,MATCH($A210,SPPR!$A:$A,0),13),""),"")</f>
        <v/>
      </c>
      <c r="Q210">
        <f>IFERROR(IF(ISNUMBER(INDEX(SPPR!$E:$X,MATCH($A210,SPPR!$A:$A,0),14)),$C210*INDEX(SPPR!$E:$X,MATCH($A210,SPPR!$A:$A,0),14),""),"")</f>
        <v/>
      </c>
      <c r="R210">
        <f>IFERROR(IF(ISNUMBER(INDEX(SPPR!$E:$X,MATCH($A210,SPPR!$A:$A,0),15)),$C210*INDEX(SPPR!$E:$X,MATCH($A210,SPPR!$A:$A,0),15),""),"")</f>
        <v/>
      </c>
      <c r="S210">
        <f>IFERROR(IF(ISNUMBER(INDEX(SPPR!$E:$X,MATCH($A210,SPPR!$A:$A,0),16)),$C210*INDEX(SPPR!$E:$X,MATCH($A210,SPPR!$A:$A,0),16),""),"")</f>
        <v/>
      </c>
      <c r="T210">
        <f>IFERROR(IF(ISNUMBER(INDEX(SPPR!$E:$X,MATCH($A210,SPPR!$A:$A,0),17)),$C210*INDEX(SPPR!$E:$X,MATCH($A210,SPPR!$A:$A,0),17),""),"")</f>
        <v/>
      </c>
      <c r="U210">
        <f>IFERROR(IF(ISNUMBER(INDEX(SPPR!$E:$X,MATCH($A210,SPPR!$A:$A,0),18)),$C210*INDEX(SPPR!$E:$X,MATCH($A210,SPPR!$A:$A,0),18),""),"")</f>
        <v/>
      </c>
      <c r="V210">
        <f>IFERROR(IF(ISNUMBER(INDEX(SPPR!$E:$X,MATCH($A210,SPPR!$A:$A,0),19)),$C210*INDEX(SPPR!$E:$X,MATCH($A210,SPPR!$A:$A,0),19),""),"")</f>
        <v/>
      </c>
      <c r="W210">
        <f>IFERROR(IF(ISNUMBER(INDEX(SPPR!$E:$X,MATCH($A210,SPPR!$A:$A,0),20)),$C210*INDEX(SPPR!$E:$X,MATCH($A210,SPPR!$A:$A,0),20),""),"")</f>
        <v/>
      </c>
    </row>
    <row r="211">
      <c r="A211" t="inlineStr">
        <is>
          <t>Panulirus longipes</t>
        </is>
      </c>
      <c r="B211">
        <f>IFERROR(INDEX(SPPR!$D:$D,MATCH($A211,SPPR!$A:$A,0)),"")</f>
        <v/>
      </c>
      <c r="C211">
        <f>IFERROR(INDEX(Catch!$E:$BV,MATCH($A211,Catch!$A:$A,0),MATCH($B$4,Catch!$E$1:$BV$1,0)),0)</f>
        <v/>
      </c>
      <c r="D211">
        <f>IFERROR(IF(ISNUMBER(INDEX(SPPR!$E:$X,MATCH($A211,SPPR!$A:$A,0),1)),$C211*INDEX(SPPR!$E:$X,MATCH($A211,SPPR!$A:$A,0),1),""),"")</f>
        <v/>
      </c>
      <c r="E211">
        <f>IFERROR(IF(ISNUMBER(INDEX(SPPR!$E:$X,MATCH($A211,SPPR!$A:$A,0),2)),$C211*INDEX(SPPR!$E:$X,MATCH($A211,SPPR!$A:$A,0),2),""),"")</f>
        <v/>
      </c>
      <c r="F211">
        <f>IFERROR(IF(ISNUMBER(INDEX(SPPR!$E:$X,MATCH($A211,SPPR!$A:$A,0),3)),$C211*INDEX(SPPR!$E:$X,MATCH($A211,SPPR!$A:$A,0),3),""),"")</f>
        <v/>
      </c>
      <c r="G211">
        <f>IFERROR(IF(ISNUMBER(INDEX(SPPR!$E:$X,MATCH($A211,SPPR!$A:$A,0),4)),$C211*INDEX(SPPR!$E:$X,MATCH($A211,SPPR!$A:$A,0),4),""),"")</f>
        <v/>
      </c>
      <c r="H211">
        <f>IFERROR(IF(ISNUMBER(INDEX(SPPR!$E:$X,MATCH($A211,SPPR!$A:$A,0),5)),$C211*INDEX(SPPR!$E:$X,MATCH($A211,SPPR!$A:$A,0),5),""),"")</f>
        <v/>
      </c>
      <c r="I211">
        <f>IFERROR(IF(ISNUMBER(INDEX(SPPR!$E:$X,MATCH($A211,SPPR!$A:$A,0),6)),$C211*INDEX(SPPR!$E:$X,MATCH($A211,SPPR!$A:$A,0),6),""),"")</f>
        <v/>
      </c>
      <c r="J211">
        <f>IFERROR(IF(ISNUMBER(INDEX(SPPR!$E:$X,MATCH($A211,SPPR!$A:$A,0),7)),$C211*INDEX(SPPR!$E:$X,MATCH($A211,SPPR!$A:$A,0),7),""),"")</f>
        <v/>
      </c>
      <c r="K211">
        <f>IFERROR(IF(ISNUMBER(INDEX(SPPR!$E:$X,MATCH($A211,SPPR!$A:$A,0),8)),$C211*INDEX(SPPR!$E:$X,MATCH($A211,SPPR!$A:$A,0),8),""),"")</f>
        <v/>
      </c>
      <c r="L211">
        <f>IFERROR(IF(ISNUMBER(INDEX(SPPR!$E:$X,MATCH($A211,SPPR!$A:$A,0),9)),$C211*INDEX(SPPR!$E:$X,MATCH($A211,SPPR!$A:$A,0),9),""),"")</f>
        <v/>
      </c>
      <c r="M211">
        <f>IFERROR(IF(ISNUMBER(INDEX(SPPR!$E:$X,MATCH($A211,SPPR!$A:$A,0),10)),$C211*INDEX(SPPR!$E:$X,MATCH($A211,SPPR!$A:$A,0),10),""),"")</f>
        <v/>
      </c>
      <c r="N211">
        <f>IFERROR(IF(ISNUMBER(INDEX(SPPR!$E:$X,MATCH($A211,SPPR!$A:$A,0),11)),$C211*INDEX(SPPR!$E:$X,MATCH($A211,SPPR!$A:$A,0),11),""),"")</f>
        <v/>
      </c>
      <c r="O211">
        <f>IFERROR(IF(ISNUMBER(INDEX(SPPR!$E:$X,MATCH($A211,SPPR!$A:$A,0),12)),$C211*INDEX(SPPR!$E:$X,MATCH($A211,SPPR!$A:$A,0),12),""),"")</f>
        <v/>
      </c>
      <c r="P211">
        <f>IFERROR(IF(ISNUMBER(INDEX(SPPR!$E:$X,MATCH($A211,SPPR!$A:$A,0),13)),$C211*INDEX(SPPR!$E:$X,MATCH($A211,SPPR!$A:$A,0),13),""),"")</f>
        <v/>
      </c>
      <c r="Q211">
        <f>IFERROR(IF(ISNUMBER(INDEX(SPPR!$E:$X,MATCH($A211,SPPR!$A:$A,0),14)),$C211*INDEX(SPPR!$E:$X,MATCH($A211,SPPR!$A:$A,0),14),""),"")</f>
        <v/>
      </c>
      <c r="R211">
        <f>IFERROR(IF(ISNUMBER(INDEX(SPPR!$E:$X,MATCH($A211,SPPR!$A:$A,0),15)),$C211*INDEX(SPPR!$E:$X,MATCH($A211,SPPR!$A:$A,0),15),""),"")</f>
        <v/>
      </c>
      <c r="S211">
        <f>IFERROR(IF(ISNUMBER(INDEX(SPPR!$E:$X,MATCH($A211,SPPR!$A:$A,0),16)),$C211*INDEX(SPPR!$E:$X,MATCH($A211,SPPR!$A:$A,0),16),""),"")</f>
        <v/>
      </c>
      <c r="T211">
        <f>IFERROR(IF(ISNUMBER(INDEX(SPPR!$E:$X,MATCH($A211,SPPR!$A:$A,0),17)),$C211*INDEX(SPPR!$E:$X,MATCH($A211,SPPR!$A:$A,0),17),""),"")</f>
        <v/>
      </c>
      <c r="U211">
        <f>IFERROR(IF(ISNUMBER(INDEX(SPPR!$E:$X,MATCH($A211,SPPR!$A:$A,0),18)),$C211*INDEX(SPPR!$E:$X,MATCH($A211,SPPR!$A:$A,0),18),""),"")</f>
        <v/>
      </c>
      <c r="V211">
        <f>IFERROR(IF(ISNUMBER(INDEX(SPPR!$E:$X,MATCH($A211,SPPR!$A:$A,0),19)),$C211*INDEX(SPPR!$E:$X,MATCH($A211,SPPR!$A:$A,0),19),""),"")</f>
        <v/>
      </c>
      <c r="W211">
        <f>IFERROR(IF(ISNUMBER(INDEX(SPPR!$E:$X,MATCH($A211,SPPR!$A:$A,0),20)),$C211*INDEX(SPPR!$E:$X,MATCH($A211,SPPR!$A:$A,0),20),""),"")</f>
        <v/>
      </c>
    </row>
    <row r="212">
      <c r="A212" t="inlineStr">
        <is>
          <t>Epinephelus maculatus</t>
        </is>
      </c>
      <c r="B212">
        <f>IFERROR(INDEX(SPPR!$D:$D,MATCH($A212,SPPR!$A:$A,0)),"")</f>
        <v/>
      </c>
      <c r="C212">
        <f>IFERROR(INDEX(Catch!$E:$BV,MATCH($A212,Catch!$A:$A,0),MATCH($B$4,Catch!$E$1:$BV$1,0)),0)</f>
        <v/>
      </c>
      <c r="D212">
        <f>IFERROR(IF(ISNUMBER(INDEX(SPPR!$E:$X,MATCH($A212,SPPR!$A:$A,0),1)),$C212*INDEX(SPPR!$E:$X,MATCH($A212,SPPR!$A:$A,0),1),""),"")</f>
        <v/>
      </c>
      <c r="E212">
        <f>IFERROR(IF(ISNUMBER(INDEX(SPPR!$E:$X,MATCH($A212,SPPR!$A:$A,0),2)),$C212*INDEX(SPPR!$E:$X,MATCH($A212,SPPR!$A:$A,0),2),""),"")</f>
        <v/>
      </c>
      <c r="F212">
        <f>IFERROR(IF(ISNUMBER(INDEX(SPPR!$E:$X,MATCH($A212,SPPR!$A:$A,0),3)),$C212*INDEX(SPPR!$E:$X,MATCH($A212,SPPR!$A:$A,0),3),""),"")</f>
        <v/>
      </c>
      <c r="G212">
        <f>IFERROR(IF(ISNUMBER(INDEX(SPPR!$E:$X,MATCH($A212,SPPR!$A:$A,0),4)),$C212*INDEX(SPPR!$E:$X,MATCH($A212,SPPR!$A:$A,0),4),""),"")</f>
        <v/>
      </c>
      <c r="H212">
        <f>IFERROR(IF(ISNUMBER(INDEX(SPPR!$E:$X,MATCH($A212,SPPR!$A:$A,0),5)),$C212*INDEX(SPPR!$E:$X,MATCH($A212,SPPR!$A:$A,0),5),""),"")</f>
        <v/>
      </c>
      <c r="I212">
        <f>IFERROR(IF(ISNUMBER(INDEX(SPPR!$E:$X,MATCH($A212,SPPR!$A:$A,0),6)),$C212*INDEX(SPPR!$E:$X,MATCH($A212,SPPR!$A:$A,0),6),""),"")</f>
        <v/>
      </c>
      <c r="J212">
        <f>IFERROR(IF(ISNUMBER(INDEX(SPPR!$E:$X,MATCH($A212,SPPR!$A:$A,0),7)),$C212*INDEX(SPPR!$E:$X,MATCH($A212,SPPR!$A:$A,0),7),""),"")</f>
        <v/>
      </c>
      <c r="K212">
        <f>IFERROR(IF(ISNUMBER(INDEX(SPPR!$E:$X,MATCH($A212,SPPR!$A:$A,0),8)),$C212*INDEX(SPPR!$E:$X,MATCH($A212,SPPR!$A:$A,0),8),""),"")</f>
        <v/>
      </c>
      <c r="L212">
        <f>IFERROR(IF(ISNUMBER(INDEX(SPPR!$E:$X,MATCH($A212,SPPR!$A:$A,0),9)),$C212*INDEX(SPPR!$E:$X,MATCH($A212,SPPR!$A:$A,0),9),""),"")</f>
        <v/>
      </c>
      <c r="M212">
        <f>IFERROR(IF(ISNUMBER(INDEX(SPPR!$E:$X,MATCH($A212,SPPR!$A:$A,0),10)),$C212*INDEX(SPPR!$E:$X,MATCH($A212,SPPR!$A:$A,0),10),""),"")</f>
        <v/>
      </c>
      <c r="N212">
        <f>IFERROR(IF(ISNUMBER(INDEX(SPPR!$E:$X,MATCH($A212,SPPR!$A:$A,0),11)),$C212*INDEX(SPPR!$E:$X,MATCH($A212,SPPR!$A:$A,0),11),""),"")</f>
        <v/>
      </c>
      <c r="O212">
        <f>IFERROR(IF(ISNUMBER(INDEX(SPPR!$E:$X,MATCH($A212,SPPR!$A:$A,0),12)),$C212*INDEX(SPPR!$E:$X,MATCH($A212,SPPR!$A:$A,0),12),""),"")</f>
        <v/>
      </c>
      <c r="P212">
        <f>IFERROR(IF(ISNUMBER(INDEX(SPPR!$E:$X,MATCH($A212,SPPR!$A:$A,0),13)),$C212*INDEX(SPPR!$E:$X,MATCH($A212,SPPR!$A:$A,0),13),""),"")</f>
        <v/>
      </c>
      <c r="Q212">
        <f>IFERROR(IF(ISNUMBER(INDEX(SPPR!$E:$X,MATCH($A212,SPPR!$A:$A,0),14)),$C212*INDEX(SPPR!$E:$X,MATCH($A212,SPPR!$A:$A,0),14),""),"")</f>
        <v/>
      </c>
      <c r="R212">
        <f>IFERROR(IF(ISNUMBER(INDEX(SPPR!$E:$X,MATCH($A212,SPPR!$A:$A,0),15)),$C212*INDEX(SPPR!$E:$X,MATCH($A212,SPPR!$A:$A,0),15),""),"")</f>
        <v/>
      </c>
      <c r="S212">
        <f>IFERROR(IF(ISNUMBER(INDEX(SPPR!$E:$X,MATCH($A212,SPPR!$A:$A,0),16)),$C212*INDEX(SPPR!$E:$X,MATCH($A212,SPPR!$A:$A,0),16),""),"")</f>
        <v/>
      </c>
      <c r="T212">
        <f>IFERROR(IF(ISNUMBER(INDEX(SPPR!$E:$X,MATCH($A212,SPPR!$A:$A,0),17)),$C212*INDEX(SPPR!$E:$X,MATCH($A212,SPPR!$A:$A,0),17),""),"")</f>
        <v/>
      </c>
      <c r="U212">
        <f>IFERROR(IF(ISNUMBER(INDEX(SPPR!$E:$X,MATCH($A212,SPPR!$A:$A,0),18)),$C212*INDEX(SPPR!$E:$X,MATCH($A212,SPPR!$A:$A,0),18),""),"")</f>
        <v/>
      </c>
      <c r="V212">
        <f>IFERROR(IF(ISNUMBER(INDEX(SPPR!$E:$X,MATCH($A212,SPPR!$A:$A,0),19)),$C212*INDEX(SPPR!$E:$X,MATCH($A212,SPPR!$A:$A,0),19),""),"")</f>
        <v/>
      </c>
      <c r="W212">
        <f>IFERROR(IF(ISNUMBER(INDEX(SPPR!$E:$X,MATCH($A212,SPPR!$A:$A,0),20)),$C212*INDEX(SPPR!$E:$X,MATCH($A212,SPPR!$A:$A,0),20),""),"")</f>
        <v/>
      </c>
    </row>
    <row r="213">
      <c r="A213" t="inlineStr">
        <is>
          <t>Pagrus major</t>
        </is>
      </c>
      <c r="B213">
        <f>IFERROR(INDEX(SPPR!$D:$D,MATCH($A213,SPPR!$A:$A,0)),"")</f>
        <v/>
      </c>
      <c r="C213">
        <f>IFERROR(INDEX(Catch!$E:$BV,MATCH($A213,Catch!$A:$A,0),MATCH($B$4,Catch!$E$1:$BV$1,0)),0)</f>
        <v/>
      </c>
      <c r="D213">
        <f>IFERROR(IF(ISNUMBER(INDEX(SPPR!$E:$X,MATCH($A213,SPPR!$A:$A,0),1)),$C213*INDEX(SPPR!$E:$X,MATCH($A213,SPPR!$A:$A,0),1),""),"")</f>
        <v/>
      </c>
      <c r="E213">
        <f>IFERROR(IF(ISNUMBER(INDEX(SPPR!$E:$X,MATCH($A213,SPPR!$A:$A,0),2)),$C213*INDEX(SPPR!$E:$X,MATCH($A213,SPPR!$A:$A,0),2),""),"")</f>
        <v/>
      </c>
      <c r="F213">
        <f>IFERROR(IF(ISNUMBER(INDEX(SPPR!$E:$X,MATCH($A213,SPPR!$A:$A,0),3)),$C213*INDEX(SPPR!$E:$X,MATCH($A213,SPPR!$A:$A,0),3),""),"")</f>
        <v/>
      </c>
      <c r="G213">
        <f>IFERROR(IF(ISNUMBER(INDEX(SPPR!$E:$X,MATCH($A213,SPPR!$A:$A,0),4)),$C213*INDEX(SPPR!$E:$X,MATCH($A213,SPPR!$A:$A,0),4),""),"")</f>
        <v/>
      </c>
      <c r="H213">
        <f>IFERROR(IF(ISNUMBER(INDEX(SPPR!$E:$X,MATCH($A213,SPPR!$A:$A,0),5)),$C213*INDEX(SPPR!$E:$X,MATCH($A213,SPPR!$A:$A,0),5),""),"")</f>
        <v/>
      </c>
      <c r="I213">
        <f>IFERROR(IF(ISNUMBER(INDEX(SPPR!$E:$X,MATCH($A213,SPPR!$A:$A,0),6)),$C213*INDEX(SPPR!$E:$X,MATCH($A213,SPPR!$A:$A,0),6),""),"")</f>
        <v/>
      </c>
      <c r="J213">
        <f>IFERROR(IF(ISNUMBER(INDEX(SPPR!$E:$X,MATCH($A213,SPPR!$A:$A,0),7)),$C213*INDEX(SPPR!$E:$X,MATCH($A213,SPPR!$A:$A,0),7),""),"")</f>
        <v/>
      </c>
      <c r="K213">
        <f>IFERROR(IF(ISNUMBER(INDEX(SPPR!$E:$X,MATCH($A213,SPPR!$A:$A,0),8)),$C213*INDEX(SPPR!$E:$X,MATCH($A213,SPPR!$A:$A,0),8),""),"")</f>
        <v/>
      </c>
      <c r="L213">
        <f>IFERROR(IF(ISNUMBER(INDEX(SPPR!$E:$X,MATCH($A213,SPPR!$A:$A,0),9)),$C213*INDEX(SPPR!$E:$X,MATCH($A213,SPPR!$A:$A,0),9),""),"")</f>
        <v/>
      </c>
      <c r="M213">
        <f>IFERROR(IF(ISNUMBER(INDEX(SPPR!$E:$X,MATCH($A213,SPPR!$A:$A,0),10)),$C213*INDEX(SPPR!$E:$X,MATCH($A213,SPPR!$A:$A,0),10),""),"")</f>
        <v/>
      </c>
      <c r="N213">
        <f>IFERROR(IF(ISNUMBER(INDEX(SPPR!$E:$X,MATCH($A213,SPPR!$A:$A,0),11)),$C213*INDEX(SPPR!$E:$X,MATCH($A213,SPPR!$A:$A,0),11),""),"")</f>
        <v/>
      </c>
      <c r="O213">
        <f>IFERROR(IF(ISNUMBER(INDEX(SPPR!$E:$X,MATCH($A213,SPPR!$A:$A,0),12)),$C213*INDEX(SPPR!$E:$X,MATCH($A213,SPPR!$A:$A,0),12),""),"")</f>
        <v/>
      </c>
      <c r="P213">
        <f>IFERROR(IF(ISNUMBER(INDEX(SPPR!$E:$X,MATCH($A213,SPPR!$A:$A,0),13)),$C213*INDEX(SPPR!$E:$X,MATCH($A213,SPPR!$A:$A,0),13),""),"")</f>
        <v/>
      </c>
      <c r="Q213">
        <f>IFERROR(IF(ISNUMBER(INDEX(SPPR!$E:$X,MATCH($A213,SPPR!$A:$A,0),14)),$C213*INDEX(SPPR!$E:$X,MATCH($A213,SPPR!$A:$A,0),14),""),"")</f>
        <v/>
      </c>
      <c r="R213">
        <f>IFERROR(IF(ISNUMBER(INDEX(SPPR!$E:$X,MATCH($A213,SPPR!$A:$A,0),15)),$C213*INDEX(SPPR!$E:$X,MATCH($A213,SPPR!$A:$A,0),15),""),"")</f>
        <v/>
      </c>
      <c r="S213">
        <f>IFERROR(IF(ISNUMBER(INDEX(SPPR!$E:$X,MATCH($A213,SPPR!$A:$A,0),16)),$C213*INDEX(SPPR!$E:$X,MATCH($A213,SPPR!$A:$A,0),16),""),"")</f>
        <v/>
      </c>
      <c r="T213">
        <f>IFERROR(IF(ISNUMBER(INDEX(SPPR!$E:$X,MATCH($A213,SPPR!$A:$A,0),17)),$C213*INDEX(SPPR!$E:$X,MATCH($A213,SPPR!$A:$A,0),17),""),"")</f>
        <v/>
      </c>
      <c r="U213">
        <f>IFERROR(IF(ISNUMBER(INDEX(SPPR!$E:$X,MATCH($A213,SPPR!$A:$A,0),18)),$C213*INDEX(SPPR!$E:$X,MATCH($A213,SPPR!$A:$A,0),18),""),"")</f>
        <v/>
      </c>
      <c r="V213">
        <f>IFERROR(IF(ISNUMBER(INDEX(SPPR!$E:$X,MATCH($A213,SPPR!$A:$A,0),19)),$C213*INDEX(SPPR!$E:$X,MATCH($A213,SPPR!$A:$A,0),19),""),"")</f>
        <v/>
      </c>
      <c r="W213">
        <f>IFERROR(IF(ISNUMBER(INDEX(SPPR!$E:$X,MATCH($A213,SPPR!$A:$A,0),20)),$C213*INDEX(SPPR!$E:$X,MATCH($A213,SPPR!$A:$A,0),20),""),"")</f>
        <v/>
      </c>
    </row>
    <row r="214">
      <c r="A214" t="inlineStr">
        <is>
          <t>Caesio</t>
        </is>
      </c>
      <c r="B214">
        <f>IFERROR(INDEX(SPPR!$D:$D,MATCH($A214,SPPR!$A:$A,0)),"")</f>
        <v/>
      </c>
      <c r="C214">
        <f>IFERROR(INDEX(Catch!$E:$BV,MATCH($A214,Catch!$A:$A,0),MATCH($B$4,Catch!$E$1:$BV$1,0)),0)</f>
        <v/>
      </c>
      <c r="D214">
        <f>IFERROR(IF(ISNUMBER(INDEX(SPPR!$E:$X,MATCH($A214,SPPR!$A:$A,0),1)),$C214*INDEX(SPPR!$E:$X,MATCH($A214,SPPR!$A:$A,0),1),""),"")</f>
        <v/>
      </c>
      <c r="E214">
        <f>IFERROR(IF(ISNUMBER(INDEX(SPPR!$E:$X,MATCH($A214,SPPR!$A:$A,0),2)),$C214*INDEX(SPPR!$E:$X,MATCH($A214,SPPR!$A:$A,0),2),""),"")</f>
        <v/>
      </c>
      <c r="F214">
        <f>IFERROR(IF(ISNUMBER(INDEX(SPPR!$E:$X,MATCH($A214,SPPR!$A:$A,0),3)),$C214*INDEX(SPPR!$E:$X,MATCH($A214,SPPR!$A:$A,0),3),""),"")</f>
        <v/>
      </c>
      <c r="G214">
        <f>IFERROR(IF(ISNUMBER(INDEX(SPPR!$E:$X,MATCH($A214,SPPR!$A:$A,0),4)),$C214*INDEX(SPPR!$E:$X,MATCH($A214,SPPR!$A:$A,0),4),""),"")</f>
        <v/>
      </c>
      <c r="H214">
        <f>IFERROR(IF(ISNUMBER(INDEX(SPPR!$E:$X,MATCH($A214,SPPR!$A:$A,0),5)),$C214*INDEX(SPPR!$E:$X,MATCH($A214,SPPR!$A:$A,0),5),""),"")</f>
        <v/>
      </c>
      <c r="I214">
        <f>IFERROR(IF(ISNUMBER(INDEX(SPPR!$E:$X,MATCH($A214,SPPR!$A:$A,0),6)),$C214*INDEX(SPPR!$E:$X,MATCH($A214,SPPR!$A:$A,0),6),""),"")</f>
        <v/>
      </c>
      <c r="J214">
        <f>IFERROR(IF(ISNUMBER(INDEX(SPPR!$E:$X,MATCH($A214,SPPR!$A:$A,0),7)),$C214*INDEX(SPPR!$E:$X,MATCH($A214,SPPR!$A:$A,0),7),""),"")</f>
        <v/>
      </c>
      <c r="K214">
        <f>IFERROR(IF(ISNUMBER(INDEX(SPPR!$E:$X,MATCH($A214,SPPR!$A:$A,0),8)),$C214*INDEX(SPPR!$E:$X,MATCH($A214,SPPR!$A:$A,0),8),""),"")</f>
        <v/>
      </c>
      <c r="L214">
        <f>IFERROR(IF(ISNUMBER(INDEX(SPPR!$E:$X,MATCH($A214,SPPR!$A:$A,0),9)),$C214*INDEX(SPPR!$E:$X,MATCH($A214,SPPR!$A:$A,0),9),""),"")</f>
        <v/>
      </c>
      <c r="M214">
        <f>IFERROR(IF(ISNUMBER(INDEX(SPPR!$E:$X,MATCH($A214,SPPR!$A:$A,0),10)),$C214*INDEX(SPPR!$E:$X,MATCH($A214,SPPR!$A:$A,0),10),""),"")</f>
        <v/>
      </c>
      <c r="N214">
        <f>IFERROR(IF(ISNUMBER(INDEX(SPPR!$E:$X,MATCH($A214,SPPR!$A:$A,0),11)),$C214*INDEX(SPPR!$E:$X,MATCH($A214,SPPR!$A:$A,0),11),""),"")</f>
        <v/>
      </c>
      <c r="O214">
        <f>IFERROR(IF(ISNUMBER(INDEX(SPPR!$E:$X,MATCH($A214,SPPR!$A:$A,0),12)),$C214*INDEX(SPPR!$E:$X,MATCH($A214,SPPR!$A:$A,0),12),""),"")</f>
        <v/>
      </c>
      <c r="P214">
        <f>IFERROR(IF(ISNUMBER(INDEX(SPPR!$E:$X,MATCH($A214,SPPR!$A:$A,0),13)),$C214*INDEX(SPPR!$E:$X,MATCH($A214,SPPR!$A:$A,0),13),""),"")</f>
        <v/>
      </c>
      <c r="Q214">
        <f>IFERROR(IF(ISNUMBER(INDEX(SPPR!$E:$X,MATCH($A214,SPPR!$A:$A,0),14)),$C214*INDEX(SPPR!$E:$X,MATCH($A214,SPPR!$A:$A,0),14),""),"")</f>
        <v/>
      </c>
      <c r="R214">
        <f>IFERROR(IF(ISNUMBER(INDEX(SPPR!$E:$X,MATCH($A214,SPPR!$A:$A,0),15)),$C214*INDEX(SPPR!$E:$X,MATCH($A214,SPPR!$A:$A,0),15),""),"")</f>
        <v/>
      </c>
      <c r="S214">
        <f>IFERROR(IF(ISNUMBER(INDEX(SPPR!$E:$X,MATCH($A214,SPPR!$A:$A,0),16)),$C214*INDEX(SPPR!$E:$X,MATCH($A214,SPPR!$A:$A,0),16),""),"")</f>
        <v/>
      </c>
      <c r="T214">
        <f>IFERROR(IF(ISNUMBER(INDEX(SPPR!$E:$X,MATCH($A214,SPPR!$A:$A,0),17)),$C214*INDEX(SPPR!$E:$X,MATCH($A214,SPPR!$A:$A,0),17),""),"")</f>
        <v/>
      </c>
      <c r="U214">
        <f>IFERROR(IF(ISNUMBER(INDEX(SPPR!$E:$X,MATCH($A214,SPPR!$A:$A,0),18)),$C214*INDEX(SPPR!$E:$X,MATCH($A214,SPPR!$A:$A,0),18),""),"")</f>
        <v/>
      </c>
      <c r="V214">
        <f>IFERROR(IF(ISNUMBER(INDEX(SPPR!$E:$X,MATCH($A214,SPPR!$A:$A,0),19)),$C214*INDEX(SPPR!$E:$X,MATCH($A214,SPPR!$A:$A,0),19),""),"")</f>
        <v/>
      </c>
      <c r="W214">
        <f>IFERROR(IF(ISNUMBER(INDEX(SPPR!$E:$X,MATCH($A214,SPPR!$A:$A,0),20)),$C214*INDEX(SPPR!$E:$X,MATCH($A214,SPPR!$A:$A,0),20),""),"")</f>
        <v/>
      </c>
    </row>
    <row r="215">
      <c r="A215" t="inlineStr">
        <is>
          <t>Penaeus monodon</t>
        </is>
      </c>
      <c r="B215">
        <f>IFERROR(INDEX(SPPR!$D:$D,MATCH($A215,SPPR!$A:$A,0)),"")</f>
        <v/>
      </c>
      <c r="C215">
        <f>IFERROR(INDEX(Catch!$E:$BV,MATCH($A215,Catch!$A:$A,0),MATCH($B$4,Catch!$E$1:$BV$1,0)),0)</f>
        <v/>
      </c>
      <c r="D215">
        <f>IFERROR(IF(ISNUMBER(INDEX(SPPR!$E:$X,MATCH($A215,SPPR!$A:$A,0),1)),$C215*INDEX(SPPR!$E:$X,MATCH($A215,SPPR!$A:$A,0),1),""),"")</f>
        <v/>
      </c>
      <c r="E215">
        <f>IFERROR(IF(ISNUMBER(INDEX(SPPR!$E:$X,MATCH($A215,SPPR!$A:$A,0),2)),$C215*INDEX(SPPR!$E:$X,MATCH($A215,SPPR!$A:$A,0),2),""),"")</f>
        <v/>
      </c>
      <c r="F215">
        <f>IFERROR(IF(ISNUMBER(INDEX(SPPR!$E:$X,MATCH($A215,SPPR!$A:$A,0),3)),$C215*INDEX(SPPR!$E:$X,MATCH($A215,SPPR!$A:$A,0),3),""),"")</f>
        <v/>
      </c>
      <c r="G215">
        <f>IFERROR(IF(ISNUMBER(INDEX(SPPR!$E:$X,MATCH($A215,SPPR!$A:$A,0),4)),$C215*INDEX(SPPR!$E:$X,MATCH($A215,SPPR!$A:$A,0),4),""),"")</f>
        <v/>
      </c>
      <c r="H215">
        <f>IFERROR(IF(ISNUMBER(INDEX(SPPR!$E:$X,MATCH($A215,SPPR!$A:$A,0),5)),$C215*INDEX(SPPR!$E:$X,MATCH($A215,SPPR!$A:$A,0),5),""),"")</f>
        <v/>
      </c>
      <c r="I215">
        <f>IFERROR(IF(ISNUMBER(INDEX(SPPR!$E:$X,MATCH($A215,SPPR!$A:$A,0),6)),$C215*INDEX(SPPR!$E:$X,MATCH($A215,SPPR!$A:$A,0),6),""),"")</f>
        <v/>
      </c>
      <c r="J215">
        <f>IFERROR(IF(ISNUMBER(INDEX(SPPR!$E:$X,MATCH($A215,SPPR!$A:$A,0),7)),$C215*INDEX(SPPR!$E:$X,MATCH($A215,SPPR!$A:$A,0),7),""),"")</f>
        <v/>
      </c>
      <c r="K215">
        <f>IFERROR(IF(ISNUMBER(INDEX(SPPR!$E:$X,MATCH($A215,SPPR!$A:$A,0),8)),$C215*INDEX(SPPR!$E:$X,MATCH($A215,SPPR!$A:$A,0),8),""),"")</f>
        <v/>
      </c>
      <c r="L215">
        <f>IFERROR(IF(ISNUMBER(INDEX(SPPR!$E:$X,MATCH($A215,SPPR!$A:$A,0),9)),$C215*INDEX(SPPR!$E:$X,MATCH($A215,SPPR!$A:$A,0),9),""),"")</f>
        <v/>
      </c>
      <c r="M215">
        <f>IFERROR(IF(ISNUMBER(INDEX(SPPR!$E:$X,MATCH($A215,SPPR!$A:$A,0),10)),$C215*INDEX(SPPR!$E:$X,MATCH($A215,SPPR!$A:$A,0),10),""),"")</f>
        <v/>
      </c>
      <c r="N215">
        <f>IFERROR(IF(ISNUMBER(INDEX(SPPR!$E:$X,MATCH($A215,SPPR!$A:$A,0),11)),$C215*INDEX(SPPR!$E:$X,MATCH($A215,SPPR!$A:$A,0),11),""),"")</f>
        <v/>
      </c>
      <c r="O215">
        <f>IFERROR(IF(ISNUMBER(INDEX(SPPR!$E:$X,MATCH($A215,SPPR!$A:$A,0),12)),$C215*INDEX(SPPR!$E:$X,MATCH($A215,SPPR!$A:$A,0),12),""),"")</f>
        <v/>
      </c>
      <c r="P215">
        <f>IFERROR(IF(ISNUMBER(INDEX(SPPR!$E:$X,MATCH($A215,SPPR!$A:$A,0),13)),$C215*INDEX(SPPR!$E:$X,MATCH($A215,SPPR!$A:$A,0),13),""),"")</f>
        <v/>
      </c>
      <c r="Q215">
        <f>IFERROR(IF(ISNUMBER(INDEX(SPPR!$E:$X,MATCH($A215,SPPR!$A:$A,0),14)),$C215*INDEX(SPPR!$E:$X,MATCH($A215,SPPR!$A:$A,0),14),""),"")</f>
        <v/>
      </c>
      <c r="R215">
        <f>IFERROR(IF(ISNUMBER(INDEX(SPPR!$E:$X,MATCH($A215,SPPR!$A:$A,0),15)),$C215*INDEX(SPPR!$E:$X,MATCH($A215,SPPR!$A:$A,0),15),""),"")</f>
        <v/>
      </c>
      <c r="S215">
        <f>IFERROR(IF(ISNUMBER(INDEX(SPPR!$E:$X,MATCH($A215,SPPR!$A:$A,0),16)),$C215*INDEX(SPPR!$E:$X,MATCH($A215,SPPR!$A:$A,0),16),""),"")</f>
        <v/>
      </c>
      <c r="T215">
        <f>IFERROR(IF(ISNUMBER(INDEX(SPPR!$E:$X,MATCH($A215,SPPR!$A:$A,0),17)),$C215*INDEX(SPPR!$E:$X,MATCH($A215,SPPR!$A:$A,0),17),""),"")</f>
        <v/>
      </c>
      <c r="U215">
        <f>IFERROR(IF(ISNUMBER(INDEX(SPPR!$E:$X,MATCH($A215,SPPR!$A:$A,0),18)),$C215*INDEX(SPPR!$E:$X,MATCH($A215,SPPR!$A:$A,0),18),""),"")</f>
        <v/>
      </c>
      <c r="V215">
        <f>IFERROR(IF(ISNUMBER(INDEX(SPPR!$E:$X,MATCH($A215,SPPR!$A:$A,0),19)),$C215*INDEX(SPPR!$E:$X,MATCH($A215,SPPR!$A:$A,0),19),""),"")</f>
        <v/>
      </c>
      <c r="W215">
        <f>IFERROR(IF(ISNUMBER(INDEX(SPPR!$E:$X,MATCH($A215,SPPR!$A:$A,0),20)),$C215*INDEX(SPPR!$E:$X,MATCH($A215,SPPR!$A:$A,0),20),""),"")</f>
        <v/>
      </c>
    </row>
    <row r="216">
      <c r="A216" t="inlineStr">
        <is>
          <t>Carcharhinidae</t>
        </is>
      </c>
      <c r="B216">
        <f>IFERROR(INDEX(SPPR!$D:$D,MATCH($A216,SPPR!$A:$A,0)),"")</f>
        <v/>
      </c>
      <c r="C216">
        <f>IFERROR(INDEX(Catch!$E:$BV,MATCH($A216,Catch!$A:$A,0),MATCH($B$4,Catch!$E$1:$BV$1,0)),0)</f>
        <v/>
      </c>
      <c r="D216">
        <f>IFERROR(IF(ISNUMBER(INDEX(SPPR!$E:$X,MATCH($A216,SPPR!$A:$A,0),1)),$C216*INDEX(SPPR!$E:$X,MATCH($A216,SPPR!$A:$A,0),1),""),"")</f>
        <v/>
      </c>
      <c r="E216">
        <f>IFERROR(IF(ISNUMBER(INDEX(SPPR!$E:$X,MATCH($A216,SPPR!$A:$A,0),2)),$C216*INDEX(SPPR!$E:$X,MATCH($A216,SPPR!$A:$A,0),2),""),"")</f>
        <v/>
      </c>
      <c r="F216">
        <f>IFERROR(IF(ISNUMBER(INDEX(SPPR!$E:$X,MATCH($A216,SPPR!$A:$A,0),3)),$C216*INDEX(SPPR!$E:$X,MATCH($A216,SPPR!$A:$A,0),3),""),"")</f>
        <v/>
      </c>
      <c r="G216">
        <f>IFERROR(IF(ISNUMBER(INDEX(SPPR!$E:$X,MATCH($A216,SPPR!$A:$A,0),4)),$C216*INDEX(SPPR!$E:$X,MATCH($A216,SPPR!$A:$A,0),4),""),"")</f>
        <v/>
      </c>
      <c r="H216">
        <f>IFERROR(IF(ISNUMBER(INDEX(SPPR!$E:$X,MATCH($A216,SPPR!$A:$A,0),5)),$C216*INDEX(SPPR!$E:$X,MATCH($A216,SPPR!$A:$A,0),5),""),"")</f>
        <v/>
      </c>
      <c r="I216">
        <f>IFERROR(IF(ISNUMBER(INDEX(SPPR!$E:$X,MATCH($A216,SPPR!$A:$A,0),6)),$C216*INDEX(SPPR!$E:$X,MATCH($A216,SPPR!$A:$A,0),6),""),"")</f>
        <v/>
      </c>
      <c r="J216">
        <f>IFERROR(IF(ISNUMBER(INDEX(SPPR!$E:$X,MATCH($A216,SPPR!$A:$A,0),7)),$C216*INDEX(SPPR!$E:$X,MATCH($A216,SPPR!$A:$A,0),7),""),"")</f>
        <v/>
      </c>
      <c r="K216">
        <f>IFERROR(IF(ISNUMBER(INDEX(SPPR!$E:$X,MATCH($A216,SPPR!$A:$A,0),8)),$C216*INDEX(SPPR!$E:$X,MATCH($A216,SPPR!$A:$A,0),8),""),"")</f>
        <v/>
      </c>
      <c r="L216">
        <f>IFERROR(IF(ISNUMBER(INDEX(SPPR!$E:$X,MATCH($A216,SPPR!$A:$A,0),9)),$C216*INDEX(SPPR!$E:$X,MATCH($A216,SPPR!$A:$A,0),9),""),"")</f>
        <v/>
      </c>
      <c r="M216">
        <f>IFERROR(IF(ISNUMBER(INDEX(SPPR!$E:$X,MATCH($A216,SPPR!$A:$A,0),10)),$C216*INDEX(SPPR!$E:$X,MATCH($A216,SPPR!$A:$A,0),10),""),"")</f>
        <v/>
      </c>
      <c r="N216">
        <f>IFERROR(IF(ISNUMBER(INDEX(SPPR!$E:$X,MATCH($A216,SPPR!$A:$A,0),11)),$C216*INDEX(SPPR!$E:$X,MATCH($A216,SPPR!$A:$A,0),11),""),"")</f>
        <v/>
      </c>
      <c r="O216">
        <f>IFERROR(IF(ISNUMBER(INDEX(SPPR!$E:$X,MATCH($A216,SPPR!$A:$A,0),12)),$C216*INDEX(SPPR!$E:$X,MATCH($A216,SPPR!$A:$A,0),12),""),"")</f>
        <v/>
      </c>
      <c r="P216">
        <f>IFERROR(IF(ISNUMBER(INDEX(SPPR!$E:$X,MATCH($A216,SPPR!$A:$A,0),13)),$C216*INDEX(SPPR!$E:$X,MATCH($A216,SPPR!$A:$A,0),13),""),"")</f>
        <v/>
      </c>
      <c r="Q216">
        <f>IFERROR(IF(ISNUMBER(INDEX(SPPR!$E:$X,MATCH($A216,SPPR!$A:$A,0),14)),$C216*INDEX(SPPR!$E:$X,MATCH($A216,SPPR!$A:$A,0),14),""),"")</f>
        <v/>
      </c>
      <c r="R216">
        <f>IFERROR(IF(ISNUMBER(INDEX(SPPR!$E:$X,MATCH($A216,SPPR!$A:$A,0),15)),$C216*INDEX(SPPR!$E:$X,MATCH($A216,SPPR!$A:$A,0),15),""),"")</f>
        <v/>
      </c>
      <c r="S216">
        <f>IFERROR(IF(ISNUMBER(INDEX(SPPR!$E:$X,MATCH($A216,SPPR!$A:$A,0),16)),$C216*INDEX(SPPR!$E:$X,MATCH($A216,SPPR!$A:$A,0),16),""),"")</f>
        <v/>
      </c>
      <c r="T216">
        <f>IFERROR(IF(ISNUMBER(INDEX(SPPR!$E:$X,MATCH($A216,SPPR!$A:$A,0),17)),$C216*INDEX(SPPR!$E:$X,MATCH($A216,SPPR!$A:$A,0),17),""),"")</f>
        <v/>
      </c>
      <c r="U216">
        <f>IFERROR(IF(ISNUMBER(INDEX(SPPR!$E:$X,MATCH($A216,SPPR!$A:$A,0),18)),$C216*INDEX(SPPR!$E:$X,MATCH($A216,SPPR!$A:$A,0),18),""),"")</f>
        <v/>
      </c>
      <c r="V216">
        <f>IFERROR(IF(ISNUMBER(INDEX(SPPR!$E:$X,MATCH($A216,SPPR!$A:$A,0),19)),$C216*INDEX(SPPR!$E:$X,MATCH($A216,SPPR!$A:$A,0),19),""),"")</f>
        <v/>
      </c>
      <c r="W216">
        <f>IFERROR(IF(ISNUMBER(INDEX(SPPR!$E:$X,MATCH($A216,SPPR!$A:$A,0),20)),$C216*INDEX(SPPR!$E:$X,MATCH($A216,SPPR!$A:$A,0),20),""),"")</f>
        <v/>
      </c>
    </row>
    <row r="217">
      <c r="A217" t="inlineStr">
        <is>
          <t>Paralichthyidae</t>
        </is>
      </c>
      <c r="B217">
        <f>IFERROR(INDEX(SPPR!$D:$D,MATCH($A217,SPPR!$A:$A,0)),"")</f>
        <v/>
      </c>
      <c r="C217">
        <f>IFERROR(INDEX(Catch!$E:$BV,MATCH($A217,Catch!$A:$A,0),MATCH($B$4,Catch!$E$1:$BV$1,0)),0)</f>
        <v/>
      </c>
      <c r="D217">
        <f>IFERROR(IF(ISNUMBER(INDEX(SPPR!$E:$X,MATCH($A217,SPPR!$A:$A,0),1)),$C217*INDEX(SPPR!$E:$X,MATCH($A217,SPPR!$A:$A,0),1),""),"")</f>
        <v/>
      </c>
      <c r="E217">
        <f>IFERROR(IF(ISNUMBER(INDEX(SPPR!$E:$X,MATCH($A217,SPPR!$A:$A,0),2)),$C217*INDEX(SPPR!$E:$X,MATCH($A217,SPPR!$A:$A,0),2),""),"")</f>
        <v/>
      </c>
      <c r="F217">
        <f>IFERROR(IF(ISNUMBER(INDEX(SPPR!$E:$X,MATCH($A217,SPPR!$A:$A,0),3)),$C217*INDEX(SPPR!$E:$X,MATCH($A217,SPPR!$A:$A,0),3),""),"")</f>
        <v/>
      </c>
      <c r="G217">
        <f>IFERROR(IF(ISNUMBER(INDEX(SPPR!$E:$X,MATCH($A217,SPPR!$A:$A,0),4)),$C217*INDEX(SPPR!$E:$X,MATCH($A217,SPPR!$A:$A,0),4),""),"")</f>
        <v/>
      </c>
      <c r="H217">
        <f>IFERROR(IF(ISNUMBER(INDEX(SPPR!$E:$X,MATCH($A217,SPPR!$A:$A,0),5)),$C217*INDEX(SPPR!$E:$X,MATCH($A217,SPPR!$A:$A,0),5),""),"")</f>
        <v/>
      </c>
      <c r="I217">
        <f>IFERROR(IF(ISNUMBER(INDEX(SPPR!$E:$X,MATCH($A217,SPPR!$A:$A,0),6)),$C217*INDEX(SPPR!$E:$X,MATCH($A217,SPPR!$A:$A,0),6),""),"")</f>
        <v/>
      </c>
      <c r="J217">
        <f>IFERROR(IF(ISNUMBER(INDEX(SPPR!$E:$X,MATCH($A217,SPPR!$A:$A,0),7)),$C217*INDEX(SPPR!$E:$X,MATCH($A217,SPPR!$A:$A,0),7),""),"")</f>
        <v/>
      </c>
      <c r="K217">
        <f>IFERROR(IF(ISNUMBER(INDEX(SPPR!$E:$X,MATCH($A217,SPPR!$A:$A,0),8)),$C217*INDEX(SPPR!$E:$X,MATCH($A217,SPPR!$A:$A,0),8),""),"")</f>
        <v/>
      </c>
      <c r="L217">
        <f>IFERROR(IF(ISNUMBER(INDEX(SPPR!$E:$X,MATCH($A217,SPPR!$A:$A,0),9)),$C217*INDEX(SPPR!$E:$X,MATCH($A217,SPPR!$A:$A,0),9),""),"")</f>
        <v/>
      </c>
      <c r="M217">
        <f>IFERROR(IF(ISNUMBER(INDEX(SPPR!$E:$X,MATCH($A217,SPPR!$A:$A,0),10)),$C217*INDEX(SPPR!$E:$X,MATCH($A217,SPPR!$A:$A,0),10),""),"")</f>
        <v/>
      </c>
      <c r="N217">
        <f>IFERROR(IF(ISNUMBER(INDEX(SPPR!$E:$X,MATCH($A217,SPPR!$A:$A,0),11)),$C217*INDEX(SPPR!$E:$X,MATCH($A217,SPPR!$A:$A,0),11),""),"")</f>
        <v/>
      </c>
      <c r="O217">
        <f>IFERROR(IF(ISNUMBER(INDEX(SPPR!$E:$X,MATCH($A217,SPPR!$A:$A,0),12)),$C217*INDEX(SPPR!$E:$X,MATCH($A217,SPPR!$A:$A,0),12),""),"")</f>
        <v/>
      </c>
      <c r="P217">
        <f>IFERROR(IF(ISNUMBER(INDEX(SPPR!$E:$X,MATCH($A217,SPPR!$A:$A,0),13)),$C217*INDEX(SPPR!$E:$X,MATCH($A217,SPPR!$A:$A,0),13),""),"")</f>
        <v/>
      </c>
      <c r="Q217">
        <f>IFERROR(IF(ISNUMBER(INDEX(SPPR!$E:$X,MATCH($A217,SPPR!$A:$A,0),14)),$C217*INDEX(SPPR!$E:$X,MATCH($A217,SPPR!$A:$A,0),14),""),"")</f>
        <v/>
      </c>
      <c r="R217">
        <f>IFERROR(IF(ISNUMBER(INDEX(SPPR!$E:$X,MATCH($A217,SPPR!$A:$A,0),15)),$C217*INDEX(SPPR!$E:$X,MATCH($A217,SPPR!$A:$A,0),15),""),"")</f>
        <v/>
      </c>
      <c r="S217">
        <f>IFERROR(IF(ISNUMBER(INDEX(SPPR!$E:$X,MATCH($A217,SPPR!$A:$A,0),16)),$C217*INDEX(SPPR!$E:$X,MATCH($A217,SPPR!$A:$A,0),16),""),"")</f>
        <v/>
      </c>
      <c r="T217">
        <f>IFERROR(IF(ISNUMBER(INDEX(SPPR!$E:$X,MATCH($A217,SPPR!$A:$A,0),17)),$C217*INDEX(SPPR!$E:$X,MATCH($A217,SPPR!$A:$A,0),17),""),"")</f>
        <v/>
      </c>
      <c r="U217">
        <f>IFERROR(IF(ISNUMBER(INDEX(SPPR!$E:$X,MATCH($A217,SPPR!$A:$A,0),18)),$C217*INDEX(SPPR!$E:$X,MATCH($A217,SPPR!$A:$A,0),18),""),"")</f>
        <v/>
      </c>
      <c r="V217">
        <f>IFERROR(IF(ISNUMBER(INDEX(SPPR!$E:$X,MATCH($A217,SPPR!$A:$A,0),19)),$C217*INDEX(SPPR!$E:$X,MATCH($A217,SPPR!$A:$A,0),19),""),"")</f>
        <v/>
      </c>
      <c r="W217">
        <f>IFERROR(IF(ISNUMBER(INDEX(SPPR!$E:$X,MATCH($A217,SPPR!$A:$A,0),20)),$C217*INDEX(SPPR!$E:$X,MATCH($A217,SPPR!$A:$A,0),20),""),"")</f>
        <v/>
      </c>
    </row>
    <row r="218">
      <c r="A218" t="inlineStr">
        <is>
          <t>Sillaginidae</t>
        </is>
      </c>
      <c r="B218">
        <f>IFERROR(INDEX(SPPR!$D:$D,MATCH($A218,SPPR!$A:$A,0)),"")</f>
        <v/>
      </c>
      <c r="C218">
        <f>IFERROR(INDEX(Catch!$E:$BV,MATCH($A218,Catch!$A:$A,0),MATCH($B$4,Catch!$E$1:$BV$1,0)),0)</f>
        <v/>
      </c>
      <c r="D218">
        <f>IFERROR(IF(ISNUMBER(INDEX(SPPR!$E:$X,MATCH($A218,SPPR!$A:$A,0),1)),$C218*INDEX(SPPR!$E:$X,MATCH($A218,SPPR!$A:$A,0),1),""),"")</f>
        <v/>
      </c>
      <c r="E218">
        <f>IFERROR(IF(ISNUMBER(INDEX(SPPR!$E:$X,MATCH($A218,SPPR!$A:$A,0),2)),$C218*INDEX(SPPR!$E:$X,MATCH($A218,SPPR!$A:$A,0),2),""),"")</f>
        <v/>
      </c>
      <c r="F218">
        <f>IFERROR(IF(ISNUMBER(INDEX(SPPR!$E:$X,MATCH($A218,SPPR!$A:$A,0),3)),$C218*INDEX(SPPR!$E:$X,MATCH($A218,SPPR!$A:$A,0),3),""),"")</f>
        <v/>
      </c>
      <c r="G218">
        <f>IFERROR(IF(ISNUMBER(INDEX(SPPR!$E:$X,MATCH($A218,SPPR!$A:$A,0),4)),$C218*INDEX(SPPR!$E:$X,MATCH($A218,SPPR!$A:$A,0),4),""),"")</f>
        <v/>
      </c>
      <c r="H218">
        <f>IFERROR(IF(ISNUMBER(INDEX(SPPR!$E:$X,MATCH($A218,SPPR!$A:$A,0),5)),$C218*INDEX(SPPR!$E:$X,MATCH($A218,SPPR!$A:$A,0),5),""),"")</f>
        <v/>
      </c>
      <c r="I218">
        <f>IFERROR(IF(ISNUMBER(INDEX(SPPR!$E:$X,MATCH($A218,SPPR!$A:$A,0),6)),$C218*INDEX(SPPR!$E:$X,MATCH($A218,SPPR!$A:$A,0),6),""),"")</f>
        <v/>
      </c>
      <c r="J218">
        <f>IFERROR(IF(ISNUMBER(INDEX(SPPR!$E:$X,MATCH($A218,SPPR!$A:$A,0),7)),$C218*INDEX(SPPR!$E:$X,MATCH($A218,SPPR!$A:$A,0),7),""),"")</f>
        <v/>
      </c>
      <c r="K218">
        <f>IFERROR(IF(ISNUMBER(INDEX(SPPR!$E:$X,MATCH($A218,SPPR!$A:$A,0),8)),$C218*INDEX(SPPR!$E:$X,MATCH($A218,SPPR!$A:$A,0),8),""),"")</f>
        <v/>
      </c>
      <c r="L218">
        <f>IFERROR(IF(ISNUMBER(INDEX(SPPR!$E:$X,MATCH($A218,SPPR!$A:$A,0),9)),$C218*INDEX(SPPR!$E:$X,MATCH($A218,SPPR!$A:$A,0),9),""),"")</f>
        <v/>
      </c>
      <c r="M218">
        <f>IFERROR(IF(ISNUMBER(INDEX(SPPR!$E:$X,MATCH($A218,SPPR!$A:$A,0),10)),$C218*INDEX(SPPR!$E:$X,MATCH($A218,SPPR!$A:$A,0),10),""),"")</f>
        <v/>
      </c>
      <c r="N218">
        <f>IFERROR(IF(ISNUMBER(INDEX(SPPR!$E:$X,MATCH($A218,SPPR!$A:$A,0),11)),$C218*INDEX(SPPR!$E:$X,MATCH($A218,SPPR!$A:$A,0),11),""),"")</f>
        <v/>
      </c>
      <c r="O218">
        <f>IFERROR(IF(ISNUMBER(INDEX(SPPR!$E:$X,MATCH($A218,SPPR!$A:$A,0),12)),$C218*INDEX(SPPR!$E:$X,MATCH($A218,SPPR!$A:$A,0),12),""),"")</f>
        <v/>
      </c>
      <c r="P218">
        <f>IFERROR(IF(ISNUMBER(INDEX(SPPR!$E:$X,MATCH($A218,SPPR!$A:$A,0),13)),$C218*INDEX(SPPR!$E:$X,MATCH($A218,SPPR!$A:$A,0),13),""),"")</f>
        <v/>
      </c>
      <c r="Q218">
        <f>IFERROR(IF(ISNUMBER(INDEX(SPPR!$E:$X,MATCH($A218,SPPR!$A:$A,0),14)),$C218*INDEX(SPPR!$E:$X,MATCH($A218,SPPR!$A:$A,0),14),""),"")</f>
        <v/>
      </c>
      <c r="R218">
        <f>IFERROR(IF(ISNUMBER(INDEX(SPPR!$E:$X,MATCH($A218,SPPR!$A:$A,0),15)),$C218*INDEX(SPPR!$E:$X,MATCH($A218,SPPR!$A:$A,0),15),""),"")</f>
        <v/>
      </c>
      <c r="S218">
        <f>IFERROR(IF(ISNUMBER(INDEX(SPPR!$E:$X,MATCH($A218,SPPR!$A:$A,0),16)),$C218*INDEX(SPPR!$E:$X,MATCH($A218,SPPR!$A:$A,0),16),""),"")</f>
        <v/>
      </c>
      <c r="T218">
        <f>IFERROR(IF(ISNUMBER(INDEX(SPPR!$E:$X,MATCH($A218,SPPR!$A:$A,0),17)),$C218*INDEX(SPPR!$E:$X,MATCH($A218,SPPR!$A:$A,0),17),""),"")</f>
        <v/>
      </c>
      <c r="U218">
        <f>IFERROR(IF(ISNUMBER(INDEX(SPPR!$E:$X,MATCH($A218,SPPR!$A:$A,0),18)),$C218*INDEX(SPPR!$E:$X,MATCH($A218,SPPR!$A:$A,0),18),""),"")</f>
        <v/>
      </c>
      <c r="V218">
        <f>IFERROR(IF(ISNUMBER(INDEX(SPPR!$E:$X,MATCH($A218,SPPR!$A:$A,0),19)),$C218*INDEX(SPPR!$E:$X,MATCH($A218,SPPR!$A:$A,0),19),""),"")</f>
        <v/>
      </c>
      <c r="W218">
        <f>IFERROR(IF(ISNUMBER(INDEX(SPPR!$E:$X,MATCH($A218,SPPR!$A:$A,0),20)),$C218*INDEX(SPPR!$E:$X,MATCH($A218,SPPR!$A:$A,0),20),""),"")</f>
        <v/>
      </c>
    </row>
    <row r="219">
      <c r="A219" t="inlineStr">
        <is>
          <t>Thryssa</t>
        </is>
      </c>
      <c r="B219">
        <f>IFERROR(INDEX(SPPR!$D:$D,MATCH($A219,SPPR!$A:$A,0)),"")</f>
        <v/>
      </c>
      <c r="C219">
        <f>IFERROR(INDEX(Catch!$E:$BV,MATCH($A219,Catch!$A:$A,0),MATCH($B$4,Catch!$E$1:$BV$1,0)),0)</f>
        <v/>
      </c>
      <c r="D219">
        <f>IFERROR(IF(ISNUMBER(INDEX(SPPR!$E:$X,MATCH($A219,SPPR!$A:$A,0),1)),$C219*INDEX(SPPR!$E:$X,MATCH($A219,SPPR!$A:$A,0),1),""),"")</f>
        <v/>
      </c>
      <c r="E219">
        <f>IFERROR(IF(ISNUMBER(INDEX(SPPR!$E:$X,MATCH($A219,SPPR!$A:$A,0),2)),$C219*INDEX(SPPR!$E:$X,MATCH($A219,SPPR!$A:$A,0),2),""),"")</f>
        <v/>
      </c>
      <c r="F219">
        <f>IFERROR(IF(ISNUMBER(INDEX(SPPR!$E:$X,MATCH($A219,SPPR!$A:$A,0),3)),$C219*INDEX(SPPR!$E:$X,MATCH($A219,SPPR!$A:$A,0),3),""),"")</f>
        <v/>
      </c>
      <c r="G219">
        <f>IFERROR(IF(ISNUMBER(INDEX(SPPR!$E:$X,MATCH($A219,SPPR!$A:$A,0),4)),$C219*INDEX(SPPR!$E:$X,MATCH($A219,SPPR!$A:$A,0),4),""),"")</f>
        <v/>
      </c>
      <c r="H219">
        <f>IFERROR(IF(ISNUMBER(INDEX(SPPR!$E:$X,MATCH($A219,SPPR!$A:$A,0),5)),$C219*INDEX(SPPR!$E:$X,MATCH($A219,SPPR!$A:$A,0),5),""),"")</f>
        <v/>
      </c>
      <c r="I219">
        <f>IFERROR(IF(ISNUMBER(INDEX(SPPR!$E:$X,MATCH($A219,SPPR!$A:$A,0),6)),$C219*INDEX(SPPR!$E:$X,MATCH($A219,SPPR!$A:$A,0),6),""),"")</f>
        <v/>
      </c>
      <c r="J219">
        <f>IFERROR(IF(ISNUMBER(INDEX(SPPR!$E:$X,MATCH($A219,SPPR!$A:$A,0),7)),$C219*INDEX(SPPR!$E:$X,MATCH($A219,SPPR!$A:$A,0),7),""),"")</f>
        <v/>
      </c>
      <c r="K219">
        <f>IFERROR(IF(ISNUMBER(INDEX(SPPR!$E:$X,MATCH($A219,SPPR!$A:$A,0),8)),$C219*INDEX(SPPR!$E:$X,MATCH($A219,SPPR!$A:$A,0),8),""),"")</f>
        <v/>
      </c>
      <c r="L219">
        <f>IFERROR(IF(ISNUMBER(INDEX(SPPR!$E:$X,MATCH($A219,SPPR!$A:$A,0),9)),$C219*INDEX(SPPR!$E:$X,MATCH($A219,SPPR!$A:$A,0),9),""),"")</f>
        <v/>
      </c>
      <c r="M219">
        <f>IFERROR(IF(ISNUMBER(INDEX(SPPR!$E:$X,MATCH($A219,SPPR!$A:$A,0),10)),$C219*INDEX(SPPR!$E:$X,MATCH($A219,SPPR!$A:$A,0),10),""),"")</f>
        <v/>
      </c>
      <c r="N219">
        <f>IFERROR(IF(ISNUMBER(INDEX(SPPR!$E:$X,MATCH($A219,SPPR!$A:$A,0),11)),$C219*INDEX(SPPR!$E:$X,MATCH($A219,SPPR!$A:$A,0),11),""),"")</f>
        <v/>
      </c>
      <c r="O219">
        <f>IFERROR(IF(ISNUMBER(INDEX(SPPR!$E:$X,MATCH($A219,SPPR!$A:$A,0),12)),$C219*INDEX(SPPR!$E:$X,MATCH($A219,SPPR!$A:$A,0),12),""),"")</f>
        <v/>
      </c>
      <c r="P219">
        <f>IFERROR(IF(ISNUMBER(INDEX(SPPR!$E:$X,MATCH($A219,SPPR!$A:$A,0),13)),$C219*INDEX(SPPR!$E:$X,MATCH($A219,SPPR!$A:$A,0),13),""),"")</f>
        <v/>
      </c>
      <c r="Q219">
        <f>IFERROR(IF(ISNUMBER(INDEX(SPPR!$E:$X,MATCH($A219,SPPR!$A:$A,0),14)),$C219*INDEX(SPPR!$E:$X,MATCH($A219,SPPR!$A:$A,0),14),""),"")</f>
        <v/>
      </c>
      <c r="R219">
        <f>IFERROR(IF(ISNUMBER(INDEX(SPPR!$E:$X,MATCH($A219,SPPR!$A:$A,0),15)),$C219*INDEX(SPPR!$E:$X,MATCH($A219,SPPR!$A:$A,0),15),""),"")</f>
        <v/>
      </c>
      <c r="S219">
        <f>IFERROR(IF(ISNUMBER(INDEX(SPPR!$E:$X,MATCH($A219,SPPR!$A:$A,0),16)),$C219*INDEX(SPPR!$E:$X,MATCH($A219,SPPR!$A:$A,0),16),""),"")</f>
        <v/>
      </c>
      <c r="T219">
        <f>IFERROR(IF(ISNUMBER(INDEX(SPPR!$E:$X,MATCH($A219,SPPR!$A:$A,0),17)),$C219*INDEX(SPPR!$E:$X,MATCH($A219,SPPR!$A:$A,0),17),""),"")</f>
        <v/>
      </c>
      <c r="U219">
        <f>IFERROR(IF(ISNUMBER(INDEX(SPPR!$E:$X,MATCH($A219,SPPR!$A:$A,0),18)),$C219*INDEX(SPPR!$E:$X,MATCH($A219,SPPR!$A:$A,0),18),""),"")</f>
        <v/>
      </c>
      <c r="V219">
        <f>IFERROR(IF(ISNUMBER(INDEX(SPPR!$E:$X,MATCH($A219,SPPR!$A:$A,0),19)),$C219*INDEX(SPPR!$E:$X,MATCH($A219,SPPR!$A:$A,0),19),""),"")</f>
        <v/>
      </c>
      <c r="W219">
        <f>IFERROR(IF(ISNUMBER(INDEX(SPPR!$E:$X,MATCH($A219,SPPR!$A:$A,0),20)),$C219*INDEX(SPPR!$E:$X,MATCH($A219,SPPR!$A:$A,0),20),""),"")</f>
        <v/>
      </c>
    </row>
    <row r="220">
      <c r="A220" t="inlineStr">
        <is>
          <t>Rachycentridae</t>
        </is>
      </c>
      <c r="B220">
        <f>IFERROR(INDEX(SPPR!$D:$D,MATCH($A220,SPPR!$A:$A,0)),"")</f>
        <v/>
      </c>
      <c r="C220">
        <f>IFERROR(INDEX(Catch!$E:$BV,MATCH($A220,Catch!$A:$A,0),MATCH($B$4,Catch!$E$1:$BV$1,0)),0)</f>
        <v/>
      </c>
      <c r="D220">
        <f>IFERROR(IF(ISNUMBER(INDEX(SPPR!$E:$X,MATCH($A220,SPPR!$A:$A,0),1)),$C220*INDEX(SPPR!$E:$X,MATCH($A220,SPPR!$A:$A,0),1),""),"")</f>
        <v/>
      </c>
      <c r="E220">
        <f>IFERROR(IF(ISNUMBER(INDEX(SPPR!$E:$X,MATCH($A220,SPPR!$A:$A,0),2)),$C220*INDEX(SPPR!$E:$X,MATCH($A220,SPPR!$A:$A,0),2),""),"")</f>
        <v/>
      </c>
      <c r="F220">
        <f>IFERROR(IF(ISNUMBER(INDEX(SPPR!$E:$X,MATCH($A220,SPPR!$A:$A,0),3)),$C220*INDEX(SPPR!$E:$X,MATCH($A220,SPPR!$A:$A,0),3),""),"")</f>
        <v/>
      </c>
      <c r="G220">
        <f>IFERROR(IF(ISNUMBER(INDEX(SPPR!$E:$X,MATCH($A220,SPPR!$A:$A,0),4)),$C220*INDEX(SPPR!$E:$X,MATCH($A220,SPPR!$A:$A,0),4),""),"")</f>
        <v/>
      </c>
      <c r="H220">
        <f>IFERROR(IF(ISNUMBER(INDEX(SPPR!$E:$X,MATCH($A220,SPPR!$A:$A,0),5)),$C220*INDEX(SPPR!$E:$X,MATCH($A220,SPPR!$A:$A,0),5),""),"")</f>
        <v/>
      </c>
      <c r="I220">
        <f>IFERROR(IF(ISNUMBER(INDEX(SPPR!$E:$X,MATCH($A220,SPPR!$A:$A,0),6)),$C220*INDEX(SPPR!$E:$X,MATCH($A220,SPPR!$A:$A,0),6),""),"")</f>
        <v/>
      </c>
      <c r="J220">
        <f>IFERROR(IF(ISNUMBER(INDEX(SPPR!$E:$X,MATCH($A220,SPPR!$A:$A,0),7)),$C220*INDEX(SPPR!$E:$X,MATCH($A220,SPPR!$A:$A,0),7),""),"")</f>
        <v/>
      </c>
      <c r="K220">
        <f>IFERROR(IF(ISNUMBER(INDEX(SPPR!$E:$X,MATCH($A220,SPPR!$A:$A,0),8)),$C220*INDEX(SPPR!$E:$X,MATCH($A220,SPPR!$A:$A,0),8),""),"")</f>
        <v/>
      </c>
      <c r="L220">
        <f>IFERROR(IF(ISNUMBER(INDEX(SPPR!$E:$X,MATCH($A220,SPPR!$A:$A,0),9)),$C220*INDEX(SPPR!$E:$X,MATCH($A220,SPPR!$A:$A,0),9),""),"")</f>
        <v/>
      </c>
      <c r="M220">
        <f>IFERROR(IF(ISNUMBER(INDEX(SPPR!$E:$X,MATCH($A220,SPPR!$A:$A,0),10)),$C220*INDEX(SPPR!$E:$X,MATCH($A220,SPPR!$A:$A,0),10),""),"")</f>
        <v/>
      </c>
      <c r="N220">
        <f>IFERROR(IF(ISNUMBER(INDEX(SPPR!$E:$X,MATCH($A220,SPPR!$A:$A,0),11)),$C220*INDEX(SPPR!$E:$X,MATCH($A220,SPPR!$A:$A,0),11),""),"")</f>
        <v/>
      </c>
      <c r="O220">
        <f>IFERROR(IF(ISNUMBER(INDEX(SPPR!$E:$X,MATCH($A220,SPPR!$A:$A,0),12)),$C220*INDEX(SPPR!$E:$X,MATCH($A220,SPPR!$A:$A,0),12),""),"")</f>
        <v/>
      </c>
      <c r="P220">
        <f>IFERROR(IF(ISNUMBER(INDEX(SPPR!$E:$X,MATCH($A220,SPPR!$A:$A,0),13)),$C220*INDEX(SPPR!$E:$X,MATCH($A220,SPPR!$A:$A,0),13),""),"")</f>
        <v/>
      </c>
      <c r="Q220">
        <f>IFERROR(IF(ISNUMBER(INDEX(SPPR!$E:$X,MATCH($A220,SPPR!$A:$A,0),14)),$C220*INDEX(SPPR!$E:$X,MATCH($A220,SPPR!$A:$A,0),14),""),"")</f>
        <v/>
      </c>
      <c r="R220">
        <f>IFERROR(IF(ISNUMBER(INDEX(SPPR!$E:$X,MATCH($A220,SPPR!$A:$A,0),15)),$C220*INDEX(SPPR!$E:$X,MATCH($A220,SPPR!$A:$A,0),15),""),"")</f>
        <v/>
      </c>
      <c r="S220">
        <f>IFERROR(IF(ISNUMBER(INDEX(SPPR!$E:$X,MATCH($A220,SPPR!$A:$A,0),16)),$C220*INDEX(SPPR!$E:$X,MATCH($A220,SPPR!$A:$A,0),16),""),"")</f>
        <v/>
      </c>
      <c r="T220">
        <f>IFERROR(IF(ISNUMBER(INDEX(SPPR!$E:$X,MATCH($A220,SPPR!$A:$A,0),17)),$C220*INDEX(SPPR!$E:$X,MATCH($A220,SPPR!$A:$A,0),17),""),"")</f>
        <v/>
      </c>
      <c r="U220">
        <f>IFERROR(IF(ISNUMBER(INDEX(SPPR!$E:$X,MATCH($A220,SPPR!$A:$A,0),18)),$C220*INDEX(SPPR!$E:$X,MATCH($A220,SPPR!$A:$A,0),18),""),"")</f>
        <v/>
      </c>
      <c r="V220">
        <f>IFERROR(IF(ISNUMBER(INDEX(SPPR!$E:$X,MATCH($A220,SPPR!$A:$A,0),19)),$C220*INDEX(SPPR!$E:$X,MATCH($A220,SPPR!$A:$A,0),19),""),"")</f>
        <v/>
      </c>
      <c r="W220">
        <f>IFERROR(IF(ISNUMBER(INDEX(SPPR!$E:$X,MATCH($A220,SPPR!$A:$A,0),20)),$C220*INDEX(SPPR!$E:$X,MATCH($A220,SPPR!$A:$A,0),20),""),"")</f>
        <v/>
      </c>
    </row>
    <row r="221">
      <c r="A221" t="inlineStr">
        <is>
          <t>Tylosurus crocodilus</t>
        </is>
      </c>
      <c r="B221">
        <f>IFERROR(INDEX(SPPR!$D:$D,MATCH($A221,SPPR!$A:$A,0)),"")</f>
        <v/>
      </c>
      <c r="C221">
        <f>IFERROR(INDEX(Catch!$E:$BV,MATCH($A221,Catch!$A:$A,0),MATCH($B$4,Catch!$E$1:$BV$1,0)),0)</f>
        <v/>
      </c>
      <c r="D221">
        <f>IFERROR(IF(ISNUMBER(INDEX(SPPR!$E:$X,MATCH($A221,SPPR!$A:$A,0),1)),$C221*INDEX(SPPR!$E:$X,MATCH($A221,SPPR!$A:$A,0),1),""),"")</f>
        <v/>
      </c>
      <c r="E221">
        <f>IFERROR(IF(ISNUMBER(INDEX(SPPR!$E:$X,MATCH($A221,SPPR!$A:$A,0),2)),$C221*INDEX(SPPR!$E:$X,MATCH($A221,SPPR!$A:$A,0),2),""),"")</f>
        <v/>
      </c>
      <c r="F221">
        <f>IFERROR(IF(ISNUMBER(INDEX(SPPR!$E:$X,MATCH($A221,SPPR!$A:$A,0),3)),$C221*INDEX(SPPR!$E:$X,MATCH($A221,SPPR!$A:$A,0),3),""),"")</f>
        <v/>
      </c>
      <c r="G221">
        <f>IFERROR(IF(ISNUMBER(INDEX(SPPR!$E:$X,MATCH($A221,SPPR!$A:$A,0),4)),$C221*INDEX(SPPR!$E:$X,MATCH($A221,SPPR!$A:$A,0),4),""),"")</f>
        <v/>
      </c>
      <c r="H221">
        <f>IFERROR(IF(ISNUMBER(INDEX(SPPR!$E:$X,MATCH($A221,SPPR!$A:$A,0),5)),$C221*INDEX(SPPR!$E:$X,MATCH($A221,SPPR!$A:$A,0),5),""),"")</f>
        <v/>
      </c>
      <c r="I221">
        <f>IFERROR(IF(ISNUMBER(INDEX(SPPR!$E:$X,MATCH($A221,SPPR!$A:$A,0),6)),$C221*INDEX(SPPR!$E:$X,MATCH($A221,SPPR!$A:$A,0),6),""),"")</f>
        <v/>
      </c>
      <c r="J221">
        <f>IFERROR(IF(ISNUMBER(INDEX(SPPR!$E:$X,MATCH($A221,SPPR!$A:$A,0),7)),$C221*INDEX(SPPR!$E:$X,MATCH($A221,SPPR!$A:$A,0),7),""),"")</f>
        <v/>
      </c>
      <c r="K221">
        <f>IFERROR(IF(ISNUMBER(INDEX(SPPR!$E:$X,MATCH($A221,SPPR!$A:$A,0),8)),$C221*INDEX(SPPR!$E:$X,MATCH($A221,SPPR!$A:$A,0),8),""),"")</f>
        <v/>
      </c>
      <c r="L221">
        <f>IFERROR(IF(ISNUMBER(INDEX(SPPR!$E:$X,MATCH($A221,SPPR!$A:$A,0),9)),$C221*INDEX(SPPR!$E:$X,MATCH($A221,SPPR!$A:$A,0),9),""),"")</f>
        <v/>
      </c>
      <c r="M221">
        <f>IFERROR(IF(ISNUMBER(INDEX(SPPR!$E:$X,MATCH($A221,SPPR!$A:$A,0),10)),$C221*INDEX(SPPR!$E:$X,MATCH($A221,SPPR!$A:$A,0),10),""),"")</f>
        <v/>
      </c>
      <c r="N221">
        <f>IFERROR(IF(ISNUMBER(INDEX(SPPR!$E:$X,MATCH($A221,SPPR!$A:$A,0),11)),$C221*INDEX(SPPR!$E:$X,MATCH($A221,SPPR!$A:$A,0),11),""),"")</f>
        <v/>
      </c>
      <c r="O221">
        <f>IFERROR(IF(ISNUMBER(INDEX(SPPR!$E:$X,MATCH($A221,SPPR!$A:$A,0),12)),$C221*INDEX(SPPR!$E:$X,MATCH($A221,SPPR!$A:$A,0),12),""),"")</f>
        <v/>
      </c>
      <c r="P221">
        <f>IFERROR(IF(ISNUMBER(INDEX(SPPR!$E:$X,MATCH($A221,SPPR!$A:$A,0),13)),$C221*INDEX(SPPR!$E:$X,MATCH($A221,SPPR!$A:$A,0),13),""),"")</f>
        <v/>
      </c>
      <c r="Q221">
        <f>IFERROR(IF(ISNUMBER(INDEX(SPPR!$E:$X,MATCH($A221,SPPR!$A:$A,0),14)),$C221*INDEX(SPPR!$E:$X,MATCH($A221,SPPR!$A:$A,0),14),""),"")</f>
        <v/>
      </c>
      <c r="R221">
        <f>IFERROR(IF(ISNUMBER(INDEX(SPPR!$E:$X,MATCH($A221,SPPR!$A:$A,0),15)),$C221*INDEX(SPPR!$E:$X,MATCH($A221,SPPR!$A:$A,0),15),""),"")</f>
        <v/>
      </c>
      <c r="S221">
        <f>IFERROR(IF(ISNUMBER(INDEX(SPPR!$E:$X,MATCH($A221,SPPR!$A:$A,0),16)),$C221*INDEX(SPPR!$E:$X,MATCH($A221,SPPR!$A:$A,0),16),""),"")</f>
        <v/>
      </c>
      <c r="T221">
        <f>IFERROR(IF(ISNUMBER(INDEX(SPPR!$E:$X,MATCH($A221,SPPR!$A:$A,0),17)),$C221*INDEX(SPPR!$E:$X,MATCH($A221,SPPR!$A:$A,0),17),""),"")</f>
        <v/>
      </c>
      <c r="U221">
        <f>IFERROR(IF(ISNUMBER(INDEX(SPPR!$E:$X,MATCH($A221,SPPR!$A:$A,0),18)),$C221*INDEX(SPPR!$E:$X,MATCH($A221,SPPR!$A:$A,0),18),""),"")</f>
        <v/>
      </c>
      <c r="V221">
        <f>IFERROR(IF(ISNUMBER(INDEX(SPPR!$E:$X,MATCH($A221,SPPR!$A:$A,0),19)),$C221*INDEX(SPPR!$E:$X,MATCH($A221,SPPR!$A:$A,0),19),""),"")</f>
        <v/>
      </c>
      <c r="W221">
        <f>IFERROR(IF(ISNUMBER(INDEX(SPPR!$E:$X,MATCH($A221,SPPR!$A:$A,0),20)),$C221*INDEX(SPPR!$E:$X,MATCH($A221,SPPR!$A:$A,0),20),""),"")</f>
        <v/>
      </c>
    </row>
    <row r="222">
      <c r="A222" t="inlineStr">
        <is>
          <t>Acanthuridae</t>
        </is>
      </c>
      <c r="B222">
        <f>IFERROR(INDEX(SPPR!$D:$D,MATCH($A222,SPPR!$A:$A,0)),"")</f>
        <v/>
      </c>
      <c r="C222">
        <f>IFERROR(INDEX(Catch!$E:$BV,MATCH($A222,Catch!$A:$A,0),MATCH($B$4,Catch!$E$1:$BV$1,0)),0)</f>
        <v/>
      </c>
      <c r="D222">
        <f>IFERROR(IF(ISNUMBER(INDEX(SPPR!$E:$X,MATCH($A222,SPPR!$A:$A,0),1)),$C222*INDEX(SPPR!$E:$X,MATCH($A222,SPPR!$A:$A,0),1),""),"")</f>
        <v/>
      </c>
      <c r="E222">
        <f>IFERROR(IF(ISNUMBER(INDEX(SPPR!$E:$X,MATCH($A222,SPPR!$A:$A,0),2)),$C222*INDEX(SPPR!$E:$X,MATCH($A222,SPPR!$A:$A,0),2),""),"")</f>
        <v/>
      </c>
      <c r="F222">
        <f>IFERROR(IF(ISNUMBER(INDEX(SPPR!$E:$X,MATCH($A222,SPPR!$A:$A,0),3)),$C222*INDEX(SPPR!$E:$X,MATCH($A222,SPPR!$A:$A,0),3),""),"")</f>
        <v/>
      </c>
      <c r="G222">
        <f>IFERROR(IF(ISNUMBER(INDEX(SPPR!$E:$X,MATCH($A222,SPPR!$A:$A,0),4)),$C222*INDEX(SPPR!$E:$X,MATCH($A222,SPPR!$A:$A,0),4),""),"")</f>
        <v/>
      </c>
      <c r="H222">
        <f>IFERROR(IF(ISNUMBER(INDEX(SPPR!$E:$X,MATCH($A222,SPPR!$A:$A,0),5)),$C222*INDEX(SPPR!$E:$X,MATCH($A222,SPPR!$A:$A,0),5),""),"")</f>
        <v/>
      </c>
      <c r="I222">
        <f>IFERROR(IF(ISNUMBER(INDEX(SPPR!$E:$X,MATCH($A222,SPPR!$A:$A,0),6)),$C222*INDEX(SPPR!$E:$X,MATCH($A222,SPPR!$A:$A,0),6),""),"")</f>
        <v/>
      </c>
      <c r="J222">
        <f>IFERROR(IF(ISNUMBER(INDEX(SPPR!$E:$X,MATCH($A222,SPPR!$A:$A,0),7)),$C222*INDEX(SPPR!$E:$X,MATCH($A222,SPPR!$A:$A,0),7),""),"")</f>
        <v/>
      </c>
      <c r="K222">
        <f>IFERROR(IF(ISNUMBER(INDEX(SPPR!$E:$X,MATCH($A222,SPPR!$A:$A,0),8)),$C222*INDEX(SPPR!$E:$X,MATCH($A222,SPPR!$A:$A,0),8),""),"")</f>
        <v/>
      </c>
      <c r="L222">
        <f>IFERROR(IF(ISNUMBER(INDEX(SPPR!$E:$X,MATCH($A222,SPPR!$A:$A,0),9)),$C222*INDEX(SPPR!$E:$X,MATCH($A222,SPPR!$A:$A,0),9),""),"")</f>
        <v/>
      </c>
      <c r="M222">
        <f>IFERROR(IF(ISNUMBER(INDEX(SPPR!$E:$X,MATCH($A222,SPPR!$A:$A,0),10)),$C222*INDEX(SPPR!$E:$X,MATCH($A222,SPPR!$A:$A,0),10),""),"")</f>
        <v/>
      </c>
      <c r="N222">
        <f>IFERROR(IF(ISNUMBER(INDEX(SPPR!$E:$X,MATCH($A222,SPPR!$A:$A,0),11)),$C222*INDEX(SPPR!$E:$X,MATCH($A222,SPPR!$A:$A,0),11),""),"")</f>
        <v/>
      </c>
      <c r="O222">
        <f>IFERROR(IF(ISNUMBER(INDEX(SPPR!$E:$X,MATCH($A222,SPPR!$A:$A,0),12)),$C222*INDEX(SPPR!$E:$X,MATCH($A222,SPPR!$A:$A,0),12),""),"")</f>
        <v/>
      </c>
      <c r="P222">
        <f>IFERROR(IF(ISNUMBER(INDEX(SPPR!$E:$X,MATCH($A222,SPPR!$A:$A,0),13)),$C222*INDEX(SPPR!$E:$X,MATCH($A222,SPPR!$A:$A,0),13),""),"")</f>
        <v/>
      </c>
      <c r="Q222">
        <f>IFERROR(IF(ISNUMBER(INDEX(SPPR!$E:$X,MATCH($A222,SPPR!$A:$A,0),14)),$C222*INDEX(SPPR!$E:$X,MATCH($A222,SPPR!$A:$A,0),14),""),"")</f>
        <v/>
      </c>
      <c r="R222">
        <f>IFERROR(IF(ISNUMBER(INDEX(SPPR!$E:$X,MATCH($A222,SPPR!$A:$A,0),15)),$C222*INDEX(SPPR!$E:$X,MATCH($A222,SPPR!$A:$A,0),15),""),"")</f>
        <v/>
      </c>
      <c r="S222">
        <f>IFERROR(IF(ISNUMBER(INDEX(SPPR!$E:$X,MATCH($A222,SPPR!$A:$A,0),16)),$C222*INDEX(SPPR!$E:$X,MATCH($A222,SPPR!$A:$A,0),16),""),"")</f>
        <v/>
      </c>
      <c r="T222">
        <f>IFERROR(IF(ISNUMBER(INDEX(SPPR!$E:$X,MATCH($A222,SPPR!$A:$A,0),17)),$C222*INDEX(SPPR!$E:$X,MATCH($A222,SPPR!$A:$A,0),17),""),"")</f>
        <v/>
      </c>
      <c r="U222">
        <f>IFERROR(IF(ISNUMBER(INDEX(SPPR!$E:$X,MATCH($A222,SPPR!$A:$A,0),18)),$C222*INDEX(SPPR!$E:$X,MATCH($A222,SPPR!$A:$A,0),18),""),"")</f>
        <v/>
      </c>
      <c r="V222">
        <f>IFERROR(IF(ISNUMBER(INDEX(SPPR!$E:$X,MATCH($A222,SPPR!$A:$A,0),19)),$C222*INDEX(SPPR!$E:$X,MATCH($A222,SPPR!$A:$A,0),19),""),"")</f>
        <v/>
      </c>
      <c r="W222">
        <f>IFERROR(IF(ISNUMBER(INDEX(SPPR!$E:$X,MATCH($A222,SPPR!$A:$A,0),20)),$C222*INDEX(SPPR!$E:$X,MATCH($A222,SPPR!$A:$A,0),20),""),"")</f>
        <v/>
      </c>
    </row>
    <row r="223">
      <c r="A223" t="inlineStr">
        <is>
          <t>Trachurus japonicus</t>
        </is>
      </c>
      <c r="B223">
        <f>IFERROR(INDEX(SPPR!$D:$D,MATCH($A223,SPPR!$A:$A,0)),"")</f>
        <v/>
      </c>
      <c r="C223">
        <f>IFERROR(INDEX(Catch!$E:$BV,MATCH($A223,Catch!$A:$A,0),MATCH($B$4,Catch!$E$1:$BV$1,0)),0)</f>
        <v/>
      </c>
      <c r="D223">
        <f>IFERROR(IF(ISNUMBER(INDEX(SPPR!$E:$X,MATCH($A223,SPPR!$A:$A,0),1)),$C223*INDEX(SPPR!$E:$X,MATCH($A223,SPPR!$A:$A,0),1),""),"")</f>
        <v/>
      </c>
      <c r="E223">
        <f>IFERROR(IF(ISNUMBER(INDEX(SPPR!$E:$X,MATCH($A223,SPPR!$A:$A,0),2)),$C223*INDEX(SPPR!$E:$X,MATCH($A223,SPPR!$A:$A,0),2),""),"")</f>
        <v/>
      </c>
      <c r="F223">
        <f>IFERROR(IF(ISNUMBER(INDEX(SPPR!$E:$X,MATCH($A223,SPPR!$A:$A,0),3)),$C223*INDEX(SPPR!$E:$X,MATCH($A223,SPPR!$A:$A,0),3),""),"")</f>
        <v/>
      </c>
      <c r="G223">
        <f>IFERROR(IF(ISNUMBER(INDEX(SPPR!$E:$X,MATCH($A223,SPPR!$A:$A,0),4)),$C223*INDEX(SPPR!$E:$X,MATCH($A223,SPPR!$A:$A,0),4),""),"")</f>
        <v/>
      </c>
      <c r="H223">
        <f>IFERROR(IF(ISNUMBER(INDEX(SPPR!$E:$X,MATCH($A223,SPPR!$A:$A,0),5)),$C223*INDEX(SPPR!$E:$X,MATCH($A223,SPPR!$A:$A,0),5),""),"")</f>
        <v/>
      </c>
      <c r="I223">
        <f>IFERROR(IF(ISNUMBER(INDEX(SPPR!$E:$X,MATCH($A223,SPPR!$A:$A,0),6)),$C223*INDEX(SPPR!$E:$X,MATCH($A223,SPPR!$A:$A,0),6),""),"")</f>
        <v/>
      </c>
      <c r="J223">
        <f>IFERROR(IF(ISNUMBER(INDEX(SPPR!$E:$X,MATCH($A223,SPPR!$A:$A,0),7)),$C223*INDEX(SPPR!$E:$X,MATCH($A223,SPPR!$A:$A,0),7),""),"")</f>
        <v/>
      </c>
      <c r="K223">
        <f>IFERROR(IF(ISNUMBER(INDEX(SPPR!$E:$X,MATCH($A223,SPPR!$A:$A,0),8)),$C223*INDEX(SPPR!$E:$X,MATCH($A223,SPPR!$A:$A,0),8),""),"")</f>
        <v/>
      </c>
      <c r="L223">
        <f>IFERROR(IF(ISNUMBER(INDEX(SPPR!$E:$X,MATCH($A223,SPPR!$A:$A,0),9)),$C223*INDEX(SPPR!$E:$X,MATCH($A223,SPPR!$A:$A,0),9),""),"")</f>
        <v/>
      </c>
      <c r="M223">
        <f>IFERROR(IF(ISNUMBER(INDEX(SPPR!$E:$X,MATCH($A223,SPPR!$A:$A,0),10)),$C223*INDEX(SPPR!$E:$X,MATCH($A223,SPPR!$A:$A,0),10),""),"")</f>
        <v/>
      </c>
      <c r="N223">
        <f>IFERROR(IF(ISNUMBER(INDEX(SPPR!$E:$X,MATCH($A223,SPPR!$A:$A,0),11)),$C223*INDEX(SPPR!$E:$X,MATCH($A223,SPPR!$A:$A,0),11),""),"")</f>
        <v/>
      </c>
      <c r="O223">
        <f>IFERROR(IF(ISNUMBER(INDEX(SPPR!$E:$X,MATCH($A223,SPPR!$A:$A,0),12)),$C223*INDEX(SPPR!$E:$X,MATCH($A223,SPPR!$A:$A,0),12),""),"")</f>
        <v/>
      </c>
      <c r="P223">
        <f>IFERROR(IF(ISNUMBER(INDEX(SPPR!$E:$X,MATCH($A223,SPPR!$A:$A,0),13)),$C223*INDEX(SPPR!$E:$X,MATCH($A223,SPPR!$A:$A,0),13),""),"")</f>
        <v/>
      </c>
      <c r="Q223">
        <f>IFERROR(IF(ISNUMBER(INDEX(SPPR!$E:$X,MATCH($A223,SPPR!$A:$A,0),14)),$C223*INDEX(SPPR!$E:$X,MATCH($A223,SPPR!$A:$A,0),14),""),"")</f>
        <v/>
      </c>
      <c r="R223">
        <f>IFERROR(IF(ISNUMBER(INDEX(SPPR!$E:$X,MATCH($A223,SPPR!$A:$A,0),15)),$C223*INDEX(SPPR!$E:$X,MATCH($A223,SPPR!$A:$A,0),15),""),"")</f>
        <v/>
      </c>
      <c r="S223">
        <f>IFERROR(IF(ISNUMBER(INDEX(SPPR!$E:$X,MATCH($A223,SPPR!$A:$A,0),16)),$C223*INDEX(SPPR!$E:$X,MATCH($A223,SPPR!$A:$A,0),16),""),"")</f>
        <v/>
      </c>
      <c r="T223">
        <f>IFERROR(IF(ISNUMBER(INDEX(SPPR!$E:$X,MATCH($A223,SPPR!$A:$A,0),17)),$C223*INDEX(SPPR!$E:$X,MATCH($A223,SPPR!$A:$A,0),17),""),"")</f>
        <v/>
      </c>
      <c r="U223">
        <f>IFERROR(IF(ISNUMBER(INDEX(SPPR!$E:$X,MATCH($A223,SPPR!$A:$A,0),18)),$C223*INDEX(SPPR!$E:$X,MATCH($A223,SPPR!$A:$A,0),18),""),"")</f>
        <v/>
      </c>
      <c r="V223">
        <f>IFERROR(IF(ISNUMBER(INDEX(SPPR!$E:$X,MATCH($A223,SPPR!$A:$A,0),19)),$C223*INDEX(SPPR!$E:$X,MATCH($A223,SPPR!$A:$A,0),19),""),"")</f>
        <v/>
      </c>
      <c r="W223">
        <f>IFERROR(IF(ISNUMBER(INDEX(SPPR!$E:$X,MATCH($A223,SPPR!$A:$A,0),20)),$C223*INDEX(SPPR!$E:$X,MATCH($A223,SPPR!$A:$A,0),20),""),"")</f>
        <v/>
      </c>
    </row>
    <row r="224">
      <c r="A224" t="inlineStr">
        <is>
          <t>Lactarius lactarius</t>
        </is>
      </c>
      <c r="B224">
        <f>IFERROR(INDEX(SPPR!$D:$D,MATCH($A224,SPPR!$A:$A,0)),"")</f>
        <v/>
      </c>
      <c r="C224">
        <f>IFERROR(INDEX(Catch!$E:$BV,MATCH($A224,Catch!$A:$A,0),MATCH($B$4,Catch!$E$1:$BV$1,0)),0)</f>
        <v/>
      </c>
      <c r="D224">
        <f>IFERROR(IF(ISNUMBER(INDEX(SPPR!$E:$X,MATCH($A224,SPPR!$A:$A,0),1)),$C224*INDEX(SPPR!$E:$X,MATCH($A224,SPPR!$A:$A,0),1),""),"")</f>
        <v/>
      </c>
      <c r="E224">
        <f>IFERROR(IF(ISNUMBER(INDEX(SPPR!$E:$X,MATCH($A224,SPPR!$A:$A,0),2)),$C224*INDEX(SPPR!$E:$X,MATCH($A224,SPPR!$A:$A,0),2),""),"")</f>
        <v/>
      </c>
      <c r="F224">
        <f>IFERROR(IF(ISNUMBER(INDEX(SPPR!$E:$X,MATCH($A224,SPPR!$A:$A,0),3)),$C224*INDEX(SPPR!$E:$X,MATCH($A224,SPPR!$A:$A,0),3),""),"")</f>
        <v/>
      </c>
      <c r="G224">
        <f>IFERROR(IF(ISNUMBER(INDEX(SPPR!$E:$X,MATCH($A224,SPPR!$A:$A,0),4)),$C224*INDEX(SPPR!$E:$X,MATCH($A224,SPPR!$A:$A,0),4),""),"")</f>
        <v/>
      </c>
      <c r="H224">
        <f>IFERROR(IF(ISNUMBER(INDEX(SPPR!$E:$X,MATCH($A224,SPPR!$A:$A,0),5)),$C224*INDEX(SPPR!$E:$X,MATCH($A224,SPPR!$A:$A,0),5),""),"")</f>
        <v/>
      </c>
      <c r="I224">
        <f>IFERROR(IF(ISNUMBER(INDEX(SPPR!$E:$X,MATCH($A224,SPPR!$A:$A,0),6)),$C224*INDEX(SPPR!$E:$X,MATCH($A224,SPPR!$A:$A,0),6),""),"")</f>
        <v/>
      </c>
      <c r="J224">
        <f>IFERROR(IF(ISNUMBER(INDEX(SPPR!$E:$X,MATCH($A224,SPPR!$A:$A,0),7)),$C224*INDEX(SPPR!$E:$X,MATCH($A224,SPPR!$A:$A,0),7),""),"")</f>
        <v/>
      </c>
      <c r="K224">
        <f>IFERROR(IF(ISNUMBER(INDEX(SPPR!$E:$X,MATCH($A224,SPPR!$A:$A,0),8)),$C224*INDEX(SPPR!$E:$X,MATCH($A224,SPPR!$A:$A,0),8),""),"")</f>
        <v/>
      </c>
      <c r="L224">
        <f>IFERROR(IF(ISNUMBER(INDEX(SPPR!$E:$X,MATCH($A224,SPPR!$A:$A,0),9)),$C224*INDEX(SPPR!$E:$X,MATCH($A224,SPPR!$A:$A,0),9),""),"")</f>
        <v/>
      </c>
      <c r="M224">
        <f>IFERROR(IF(ISNUMBER(INDEX(SPPR!$E:$X,MATCH($A224,SPPR!$A:$A,0),10)),$C224*INDEX(SPPR!$E:$X,MATCH($A224,SPPR!$A:$A,0),10),""),"")</f>
        <v/>
      </c>
      <c r="N224">
        <f>IFERROR(IF(ISNUMBER(INDEX(SPPR!$E:$X,MATCH($A224,SPPR!$A:$A,0),11)),$C224*INDEX(SPPR!$E:$X,MATCH($A224,SPPR!$A:$A,0),11),""),"")</f>
        <v/>
      </c>
      <c r="O224">
        <f>IFERROR(IF(ISNUMBER(INDEX(SPPR!$E:$X,MATCH($A224,SPPR!$A:$A,0),12)),$C224*INDEX(SPPR!$E:$X,MATCH($A224,SPPR!$A:$A,0),12),""),"")</f>
        <v/>
      </c>
      <c r="P224">
        <f>IFERROR(IF(ISNUMBER(INDEX(SPPR!$E:$X,MATCH($A224,SPPR!$A:$A,0),13)),$C224*INDEX(SPPR!$E:$X,MATCH($A224,SPPR!$A:$A,0),13),""),"")</f>
        <v/>
      </c>
      <c r="Q224">
        <f>IFERROR(IF(ISNUMBER(INDEX(SPPR!$E:$X,MATCH($A224,SPPR!$A:$A,0),14)),$C224*INDEX(SPPR!$E:$X,MATCH($A224,SPPR!$A:$A,0),14),""),"")</f>
        <v/>
      </c>
      <c r="R224">
        <f>IFERROR(IF(ISNUMBER(INDEX(SPPR!$E:$X,MATCH($A224,SPPR!$A:$A,0),15)),$C224*INDEX(SPPR!$E:$X,MATCH($A224,SPPR!$A:$A,0),15),""),"")</f>
        <v/>
      </c>
      <c r="S224">
        <f>IFERROR(IF(ISNUMBER(INDEX(SPPR!$E:$X,MATCH($A224,SPPR!$A:$A,0),16)),$C224*INDEX(SPPR!$E:$X,MATCH($A224,SPPR!$A:$A,0),16),""),"")</f>
        <v/>
      </c>
      <c r="T224">
        <f>IFERROR(IF(ISNUMBER(INDEX(SPPR!$E:$X,MATCH($A224,SPPR!$A:$A,0),17)),$C224*INDEX(SPPR!$E:$X,MATCH($A224,SPPR!$A:$A,0),17),""),"")</f>
        <v/>
      </c>
      <c r="U224">
        <f>IFERROR(IF(ISNUMBER(INDEX(SPPR!$E:$X,MATCH($A224,SPPR!$A:$A,0),18)),$C224*INDEX(SPPR!$E:$X,MATCH($A224,SPPR!$A:$A,0),18),""),"")</f>
        <v/>
      </c>
      <c r="V224">
        <f>IFERROR(IF(ISNUMBER(INDEX(SPPR!$E:$X,MATCH($A224,SPPR!$A:$A,0),19)),$C224*INDEX(SPPR!$E:$X,MATCH($A224,SPPR!$A:$A,0),19),""),"")</f>
        <v/>
      </c>
      <c r="W224">
        <f>IFERROR(IF(ISNUMBER(INDEX(SPPR!$E:$X,MATCH($A224,SPPR!$A:$A,0),20)),$C224*INDEX(SPPR!$E:$X,MATCH($A224,SPPR!$A:$A,0),20),""),"")</f>
        <v/>
      </c>
    </row>
    <row r="225">
      <c r="A225" t="inlineStr">
        <is>
          <t>Lethrinus</t>
        </is>
      </c>
      <c r="B225">
        <f>IFERROR(INDEX(SPPR!$D:$D,MATCH($A225,SPPR!$A:$A,0)),"")</f>
        <v/>
      </c>
      <c r="C225">
        <f>IFERROR(INDEX(Catch!$E:$BV,MATCH($A225,Catch!$A:$A,0),MATCH($B$4,Catch!$E$1:$BV$1,0)),0)</f>
        <v/>
      </c>
      <c r="D225">
        <f>IFERROR(IF(ISNUMBER(INDEX(SPPR!$E:$X,MATCH($A225,SPPR!$A:$A,0),1)),$C225*INDEX(SPPR!$E:$X,MATCH($A225,SPPR!$A:$A,0),1),""),"")</f>
        <v/>
      </c>
      <c r="E225">
        <f>IFERROR(IF(ISNUMBER(INDEX(SPPR!$E:$X,MATCH($A225,SPPR!$A:$A,0),2)),$C225*INDEX(SPPR!$E:$X,MATCH($A225,SPPR!$A:$A,0),2),""),"")</f>
        <v/>
      </c>
      <c r="F225">
        <f>IFERROR(IF(ISNUMBER(INDEX(SPPR!$E:$X,MATCH($A225,SPPR!$A:$A,0),3)),$C225*INDEX(SPPR!$E:$X,MATCH($A225,SPPR!$A:$A,0),3),""),"")</f>
        <v/>
      </c>
      <c r="G225">
        <f>IFERROR(IF(ISNUMBER(INDEX(SPPR!$E:$X,MATCH($A225,SPPR!$A:$A,0),4)),$C225*INDEX(SPPR!$E:$X,MATCH($A225,SPPR!$A:$A,0),4),""),"")</f>
        <v/>
      </c>
      <c r="H225">
        <f>IFERROR(IF(ISNUMBER(INDEX(SPPR!$E:$X,MATCH($A225,SPPR!$A:$A,0),5)),$C225*INDEX(SPPR!$E:$X,MATCH($A225,SPPR!$A:$A,0),5),""),"")</f>
        <v/>
      </c>
      <c r="I225">
        <f>IFERROR(IF(ISNUMBER(INDEX(SPPR!$E:$X,MATCH($A225,SPPR!$A:$A,0),6)),$C225*INDEX(SPPR!$E:$X,MATCH($A225,SPPR!$A:$A,0),6),""),"")</f>
        <v/>
      </c>
      <c r="J225">
        <f>IFERROR(IF(ISNUMBER(INDEX(SPPR!$E:$X,MATCH($A225,SPPR!$A:$A,0),7)),$C225*INDEX(SPPR!$E:$X,MATCH($A225,SPPR!$A:$A,0),7),""),"")</f>
        <v/>
      </c>
      <c r="K225">
        <f>IFERROR(IF(ISNUMBER(INDEX(SPPR!$E:$X,MATCH($A225,SPPR!$A:$A,0),8)),$C225*INDEX(SPPR!$E:$X,MATCH($A225,SPPR!$A:$A,0),8),""),"")</f>
        <v/>
      </c>
      <c r="L225">
        <f>IFERROR(IF(ISNUMBER(INDEX(SPPR!$E:$X,MATCH($A225,SPPR!$A:$A,0),9)),$C225*INDEX(SPPR!$E:$X,MATCH($A225,SPPR!$A:$A,0),9),""),"")</f>
        <v/>
      </c>
      <c r="M225">
        <f>IFERROR(IF(ISNUMBER(INDEX(SPPR!$E:$X,MATCH($A225,SPPR!$A:$A,0),10)),$C225*INDEX(SPPR!$E:$X,MATCH($A225,SPPR!$A:$A,0),10),""),"")</f>
        <v/>
      </c>
      <c r="N225">
        <f>IFERROR(IF(ISNUMBER(INDEX(SPPR!$E:$X,MATCH($A225,SPPR!$A:$A,0),11)),$C225*INDEX(SPPR!$E:$X,MATCH($A225,SPPR!$A:$A,0),11),""),"")</f>
        <v/>
      </c>
      <c r="O225">
        <f>IFERROR(IF(ISNUMBER(INDEX(SPPR!$E:$X,MATCH($A225,SPPR!$A:$A,0),12)),$C225*INDEX(SPPR!$E:$X,MATCH($A225,SPPR!$A:$A,0),12),""),"")</f>
        <v/>
      </c>
      <c r="P225">
        <f>IFERROR(IF(ISNUMBER(INDEX(SPPR!$E:$X,MATCH($A225,SPPR!$A:$A,0),13)),$C225*INDEX(SPPR!$E:$X,MATCH($A225,SPPR!$A:$A,0),13),""),"")</f>
        <v/>
      </c>
      <c r="Q225">
        <f>IFERROR(IF(ISNUMBER(INDEX(SPPR!$E:$X,MATCH($A225,SPPR!$A:$A,0),14)),$C225*INDEX(SPPR!$E:$X,MATCH($A225,SPPR!$A:$A,0),14),""),"")</f>
        <v/>
      </c>
      <c r="R225">
        <f>IFERROR(IF(ISNUMBER(INDEX(SPPR!$E:$X,MATCH($A225,SPPR!$A:$A,0),15)),$C225*INDEX(SPPR!$E:$X,MATCH($A225,SPPR!$A:$A,0),15),""),"")</f>
        <v/>
      </c>
      <c r="S225">
        <f>IFERROR(IF(ISNUMBER(INDEX(SPPR!$E:$X,MATCH($A225,SPPR!$A:$A,0),16)),$C225*INDEX(SPPR!$E:$X,MATCH($A225,SPPR!$A:$A,0),16),""),"")</f>
        <v/>
      </c>
      <c r="T225">
        <f>IFERROR(IF(ISNUMBER(INDEX(SPPR!$E:$X,MATCH($A225,SPPR!$A:$A,0),17)),$C225*INDEX(SPPR!$E:$X,MATCH($A225,SPPR!$A:$A,0),17),""),"")</f>
        <v/>
      </c>
      <c r="U225">
        <f>IFERROR(IF(ISNUMBER(INDEX(SPPR!$E:$X,MATCH($A225,SPPR!$A:$A,0),18)),$C225*INDEX(SPPR!$E:$X,MATCH($A225,SPPR!$A:$A,0),18),""),"")</f>
        <v/>
      </c>
      <c r="V225">
        <f>IFERROR(IF(ISNUMBER(INDEX(SPPR!$E:$X,MATCH($A225,SPPR!$A:$A,0),19)),$C225*INDEX(SPPR!$E:$X,MATCH($A225,SPPR!$A:$A,0),19),""),"")</f>
        <v/>
      </c>
      <c r="W225">
        <f>IFERROR(IF(ISNUMBER(INDEX(SPPR!$E:$X,MATCH($A225,SPPR!$A:$A,0),20)),$C225*INDEX(SPPR!$E:$X,MATCH($A225,SPPR!$A:$A,0),20),""),"")</f>
        <v/>
      </c>
    </row>
    <row r="226">
      <c r="A226" t="inlineStr">
        <is>
          <t>Balistidae</t>
        </is>
      </c>
      <c r="B226">
        <f>IFERROR(INDEX(SPPR!$D:$D,MATCH($A226,SPPR!$A:$A,0)),"")</f>
        <v/>
      </c>
      <c r="C226">
        <f>IFERROR(INDEX(Catch!$E:$BV,MATCH($A226,Catch!$A:$A,0),MATCH($B$4,Catch!$E$1:$BV$1,0)),0)</f>
        <v/>
      </c>
      <c r="D226">
        <f>IFERROR(IF(ISNUMBER(INDEX(SPPR!$E:$X,MATCH($A226,SPPR!$A:$A,0),1)),$C226*INDEX(SPPR!$E:$X,MATCH($A226,SPPR!$A:$A,0),1),""),"")</f>
        <v/>
      </c>
      <c r="E226">
        <f>IFERROR(IF(ISNUMBER(INDEX(SPPR!$E:$X,MATCH($A226,SPPR!$A:$A,0),2)),$C226*INDEX(SPPR!$E:$X,MATCH($A226,SPPR!$A:$A,0),2),""),"")</f>
        <v/>
      </c>
      <c r="F226">
        <f>IFERROR(IF(ISNUMBER(INDEX(SPPR!$E:$X,MATCH($A226,SPPR!$A:$A,0),3)),$C226*INDEX(SPPR!$E:$X,MATCH($A226,SPPR!$A:$A,0),3),""),"")</f>
        <v/>
      </c>
      <c r="G226">
        <f>IFERROR(IF(ISNUMBER(INDEX(SPPR!$E:$X,MATCH($A226,SPPR!$A:$A,0),4)),$C226*INDEX(SPPR!$E:$X,MATCH($A226,SPPR!$A:$A,0),4),""),"")</f>
        <v/>
      </c>
      <c r="H226">
        <f>IFERROR(IF(ISNUMBER(INDEX(SPPR!$E:$X,MATCH($A226,SPPR!$A:$A,0),5)),$C226*INDEX(SPPR!$E:$X,MATCH($A226,SPPR!$A:$A,0),5),""),"")</f>
        <v/>
      </c>
      <c r="I226">
        <f>IFERROR(IF(ISNUMBER(INDEX(SPPR!$E:$X,MATCH($A226,SPPR!$A:$A,0),6)),$C226*INDEX(SPPR!$E:$X,MATCH($A226,SPPR!$A:$A,0),6),""),"")</f>
        <v/>
      </c>
      <c r="J226">
        <f>IFERROR(IF(ISNUMBER(INDEX(SPPR!$E:$X,MATCH($A226,SPPR!$A:$A,0),7)),$C226*INDEX(SPPR!$E:$X,MATCH($A226,SPPR!$A:$A,0),7),""),"")</f>
        <v/>
      </c>
      <c r="K226">
        <f>IFERROR(IF(ISNUMBER(INDEX(SPPR!$E:$X,MATCH($A226,SPPR!$A:$A,0),8)),$C226*INDEX(SPPR!$E:$X,MATCH($A226,SPPR!$A:$A,0),8),""),"")</f>
        <v/>
      </c>
      <c r="L226">
        <f>IFERROR(IF(ISNUMBER(INDEX(SPPR!$E:$X,MATCH($A226,SPPR!$A:$A,0),9)),$C226*INDEX(SPPR!$E:$X,MATCH($A226,SPPR!$A:$A,0),9),""),"")</f>
        <v/>
      </c>
      <c r="M226">
        <f>IFERROR(IF(ISNUMBER(INDEX(SPPR!$E:$X,MATCH($A226,SPPR!$A:$A,0),10)),$C226*INDEX(SPPR!$E:$X,MATCH($A226,SPPR!$A:$A,0),10),""),"")</f>
        <v/>
      </c>
      <c r="N226">
        <f>IFERROR(IF(ISNUMBER(INDEX(SPPR!$E:$X,MATCH($A226,SPPR!$A:$A,0),11)),$C226*INDEX(SPPR!$E:$X,MATCH($A226,SPPR!$A:$A,0),11),""),"")</f>
        <v/>
      </c>
      <c r="O226">
        <f>IFERROR(IF(ISNUMBER(INDEX(SPPR!$E:$X,MATCH($A226,SPPR!$A:$A,0),12)),$C226*INDEX(SPPR!$E:$X,MATCH($A226,SPPR!$A:$A,0),12),""),"")</f>
        <v/>
      </c>
      <c r="P226">
        <f>IFERROR(IF(ISNUMBER(INDEX(SPPR!$E:$X,MATCH($A226,SPPR!$A:$A,0),13)),$C226*INDEX(SPPR!$E:$X,MATCH($A226,SPPR!$A:$A,0),13),""),"")</f>
        <v/>
      </c>
      <c r="Q226">
        <f>IFERROR(IF(ISNUMBER(INDEX(SPPR!$E:$X,MATCH($A226,SPPR!$A:$A,0),14)),$C226*INDEX(SPPR!$E:$X,MATCH($A226,SPPR!$A:$A,0),14),""),"")</f>
        <v/>
      </c>
      <c r="R226">
        <f>IFERROR(IF(ISNUMBER(INDEX(SPPR!$E:$X,MATCH($A226,SPPR!$A:$A,0),15)),$C226*INDEX(SPPR!$E:$X,MATCH($A226,SPPR!$A:$A,0),15),""),"")</f>
        <v/>
      </c>
      <c r="S226">
        <f>IFERROR(IF(ISNUMBER(INDEX(SPPR!$E:$X,MATCH($A226,SPPR!$A:$A,0),16)),$C226*INDEX(SPPR!$E:$X,MATCH($A226,SPPR!$A:$A,0),16),""),"")</f>
        <v/>
      </c>
      <c r="T226">
        <f>IFERROR(IF(ISNUMBER(INDEX(SPPR!$E:$X,MATCH($A226,SPPR!$A:$A,0),17)),$C226*INDEX(SPPR!$E:$X,MATCH($A226,SPPR!$A:$A,0),17),""),"")</f>
        <v/>
      </c>
      <c r="U226">
        <f>IFERROR(IF(ISNUMBER(INDEX(SPPR!$E:$X,MATCH($A226,SPPR!$A:$A,0),18)),$C226*INDEX(SPPR!$E:$X,MATCH($A226,SPPR!$A:$A,0),18),""),"")</f>
        <v/>
      </c>
      <c r="V226">
        <f>IFERROR(IF(ISNUMBER(INDEX(SPPR!$E:$X,MATCH($A226,SPPR!$A:$A,0),19)),$C226*INDEX(SPPR!$E:$X,MATCH($A226,SPPR!$A:$A,0),19),""),"")</f>
        <v/>
      </c>
      <c r="W226">
        <f>IFERROR(IF(ISNUMBER(INDEX(SPPR!$E:$X,MATCH($A226,SPPR!$A:$A,0),20)),$C226*INDEX(SPPR!$E:$X,MATCH($A226,SPPR!$A:$A,0),20),""),"")</f>
        <v/>
      </c>
    </row>
    <row r="227">
      <c r="A227" t="inlineStr">
        <is>
          <t>Gymnocranius</t>
        </is>
      </c>
      <c r="B227">
        <f>IFERROR(INDEX(SPPR!$D:$D,MATCH($A227,SPPR!$A:$A,0)),"")</f>
        <v/>
      </c>
      <c r="C227">
        <f>IFERROR(INDEX(Catch!$E:$BV,MATCH($A227,Catch!$A:$A,0),MATCH($B$4,Catch!$E$1:$BV$1,0)),0)</f>
        <v/>
      </c>
      <c r="D227">
        <f>IFERROR(IF(ISNUMBER(INDEX(SPPR!$E:$X,MATCH($A227,SPPR!$A:$A,0),1)),$C227*INDEX(SPPR!$E:$X,MATCH($A227,SPPR!$A:$A,0),1),""),"")</f>
        <v/>
      </c>
      <c r="E227">
        <f>IFERROR(IF(ISNUMBER(INDEX(SPPR!$E:$X,MATCH($A227,SPPR!$A:$A,0),2)),$C227*INDEX(SPPR!$E:$X,MATCH($A227,SPPR!$A:$A,0),2),""),"")</f>
        <v/>
      </c>
      <c r="F227">
        <f>IFERROR(IF(ISNUMBER(INDEX(SPPR!$E:$X,MATCH($A227,SPPR!$A:$A,0),3)),$C227*INDEX(SPPR!$E:$X,MATCH($A227,SPPR!$A:$A,0),3),""),"")</f>
        <v/>
      </c>
      <c r="G227">
        <f>IFERROR(IF(ISNUMBER(INDEX(SPPR!$E:$X,MATCH($A227,SPPR!$A:$A,0),4)),$C227*INDEX(SPPR!$E:$X,MATCH($A227,SPPR!$A:$A,0),4),""),"")</f>
        <v/>
      </c>
      <c r="H227">
        <f>IFERROR(IF(ISNUMBER(INDEX(SPPR!$E:$X,MATCH($A227,SPPR!$A:$A,0),5)),$C227*INDEX(SPPR!$E:$X,MATCH($A227,SPPR!$A:$A,0),5),""),"")</f>
        <v/>
      </c>
      <c r="I227">
        <f>IFERROR(IF(ISNUMBER(INDEX(SPPR!$E:$X,MATCH($A227,SPPR!$A:$A,0),6)),$C227*INDEX(SPPR!$E:$X,MATCH($A227,SPPR!$A:$A,0),6),""),"")</f>
        <v/>
      </c>
      <c r="J227">
        <f>IFERROR(IF(ISNUMBER(INDEX(SPPR!$E:$X,MATCH($A227,SPPR!$A:$A,0),7)),$C227*INDEX(SPPR!$E:$X,MATCH($A227,SPPR!$A:$A,0),7),""),"")</f>
        <v/>
      </c>
      <c r="K227">
        <f>IFERROR(IF(ISNUMBER(INDEX(SPPR!$E:$X,MATCH($A227,SPPR!$A:$A,0),8)),$C227*INDEX(SPPR!$E:$X,MATCH($A227,SPPR!$A:$A,0),8),""),"")</f>
        <v/>
      </c>
      <c r="L227">
        <f>IFERROR(IF(ISNUMBER(INDEX(SPPR!$E:$X,MATCH($A227,SPPR!$A:$A,0),9)),$C227*INDEX(SPPR!$E:$X,MATCH($A227,SPPR!$A:$A,0),9),""),"")</f>
        <v/>
      </c>
      <c r="M227">
        <f>IFERROR(IF(ISNUMBER(INDEX(SPPR!$E:$X,MATCH($A227,SPPR!$A:$A,0),10)),$C227*INDEX(SPPR!$E:$X,MATCH($A227,SPPR!$A:$A,0),10),""),"")</f>
        <v/>
      </c>
      <c r="N227">
        <f>IFERROR(IF(ISNUMBER(INDEX(SPPR!$E:$X,MATCH($A227,SPPR!$A:$A,0),11)),$C227*INDEX(SPPR!$E:$X,MATCH($A227,SPPR!$A:$A,0),11),""),"")</f>
        <v/>
      </c>
      <c r="O227">
        <f>IFERROR(IF(ISNUMBER(INDEX(SPPR!$E:$X,MATCH($A227,SPPR!$A:$A,0),12)),$C227*INDEX(SPPR!$E:$X,MATCH($A227,SPPR!$A:$A,0),12),""),"")</f>
        <v/>
      </c>
      <c r="P227">
        <f>IFERROR(IF(ISNUMBER(INDEX(SPPR!$E:$X,MATCH($A227,SPPR!$A:$A,0),13)),$C227*INDEX(SPPR!$E:$X,MATCH($A227,SPPR!$A:$A,0),13),""),"")</f>
        <v/>
      </c>
      <c r="Q227">
        <f>IFERROR(IF(ISNUMBER(INDEX(SPPR!$E:$X,MATCH($A227,SPPR!$A:$A,0),14)),$C227*INDEX(SPPR!$E:$X,MATCH($A227,SPPR!$A:$A,0),14),""),"")</f>
        <v/>
      </c>
      <c r="R227">
        <f>IFERROR(IF(ISNUMBER(INDEX(SPPR!$E:$X,MATCH($A227,SPPR!$A:$A,0),15)),$C227*INDEX(SPPR!$E:$X,MATCH($A227,SPPR!$A:$A,0),15),""),"")</f>
        <v/>
      </c>
      <c r="S227">
        <f>IFERROR(IF(ISNUMBER(INDEX(SPPR!$E:$X,MATCH($A227,SPPR!$A:$A,0),16)),$C227*INDEX(SPPR!$E:$X,MATCH($A227,SPPR!$A:$A,0),16),""),"")</f>
        <v/>
      </c>
      <c r="T227">
        <f>IFERROR(IF(ISNUMBER(INDEX(SPPR!$E:$X,MATCH($A227,SPPR!$A:$A,0),17)),$C227*INDEX(SPPR!$E:$X,MATCH($A227,SPPR!$A:$A,0),17),""),"")</f>
        <v/>
      </c>
      <c r="U227">
        <f>IFERROR(IF(ISNUMBER(INDEX(SPPR!$E:$X,MATCH($A227,SPPR!$A:$A,0),18)),$C227*INDEX(SPPR!$E:$X,MATCH($A227,SPPR!$A:$A,0),18),""),"")</f>
        <v/>
      </c>
      <c r="V227">
        <f>IFERROR(IF(ISNUMBER(INDEX(SPPR!$E:$X,MATCH($A227,SPPR!$A:$A,0),19)),$C227*INDEX(SPPR!$E:$X,MATCH($A227,SPPR!$A:$A,0),19),""),"")</f>
        <v/>
      </c>
      <c r="W227">
        <f>IFERROR(IF(ISNUMBER(INDEX(SPPR!$E:$X,MATCH($A227,SPPR!$A:$A,0),20)),$C227*INDEX(SPPR!$E:$X,MATCH($A227,SPPR!$A:$A,0),20),""),"")</f>
        <v/>
      </c>
    </row>
    <row r="228">
      <c r="A228" t="inlineStr">
        <is>
          <t>Penaeus latisulcatus</t>
        </is>
      </c>
      <c r="B228">
        <f>IFERROR(INDEX(SPPR!$D:$D,MATCH($A228,SPPR!$A:$A,0)),"")</f>
        <v/>
      </c>
      <c r="C228">
        <f>IFERROR(INDEX(Catch!$E:$BV,MATCH($A228,Catch!$A:$A,0),MATCH($B$4,Catch!$E$1:$BV$1,0)),0)</f>
        <v/>
      </c>
      <c r="D228">
        <f>IFERROR(IF(ISNUMBER(INDEX(SPPR!$E:$X,MATCH($A228,SPPR!$A:$A,0),1)),$C228*INDEX(SPPR!$E:$X,MATCH($A228,SPPR!$A:$A,0),1),""),"")</f>
        <v/>
      </c>
      <c r="E228">
        <f>IFERROR(IF(ISNUMBER(INDEX(SPPR!$E:$X,MATCH($A228,SPPR!$A:$A,0),2)),$C228*INDEX(SPPR!$E:$X,MATCH($A228,SPPR!$A:$A,0),2),""),"")</f>
        <v/>
      </c>
      <c r="F228">
        <f>IFERROR(IF(ISNUMBER(INDEX(SPPR!$E:$X,MATCH($A228,SPPR!$A:$A,0),3)),$C228*INDEX(SPPR!$E:$X,MATCH($A228,SPPR!$A:$A,0),3),""),"")</f>
        <v/>
      </c>
      <c r="G228">
        <f>IFERROR(IF(ISNUMBER(INDEX(SPPR!$E:$X,MATCH($A228,SPPR!$A:$A,0),4)),$C228*INDEX(SPPR!$E:$X,MATCH($A228,SPPR!$A:$A,0),4),""),"")</f>
        <v/>
      </c>
      <c r="H228">
        <f>IFERROR(IF(ISNUMBER(INDEX(SPPR!$E:$X,MATCH($A228,SPPR!$A:$A,0),5)),$C228*INDEX(SPPR!$E:$X,MATCH($A228,SPPR!$A:$A,0),5),""),"")</f>
        <v/>
      </c>
      <c r="I228">
        <f>IFERROR(IF(ISNUMBER(INDEX(SPPR!$E:$X,MATCH($A228,SPPR!$A:$A,0),6)),$C228*INDEX(SPPR!$E:$X,MATCH($A228,SPPR!$A:$A,0),6),""),"")</f>
        <v/>
      </c>
      <c r="J228">
        <f>IFERROR(IF(ISNUMBER(INDEX(SPPR!$E:$X,MATCH($A228,SPPR!$A:$A,0),7)),$C228*INDEX(SPPR!$E:$X,MATCH($A228,SPPR!$A:$A,0),7),""),"")</f>
        <v/>
      </c>
      <c r="K228">
        <f>IFERROR(IF(ISNUMBER(INDEX(SPPR!$E:$X,MATCH($A228,SPPR!$A:$A,0),8)),$C228*INDEX(SPPR!$E:$X,MATCH($A228,SPPR!$A:$A,0),8),""),"")</f>
        <v/>
      </c>
      <c r="L228">
        <f>IFERROR(IF(ISNUMBER(INDEX(SPPR!$E:$X,MATCH($A228,SPPR!$A:$A,0),9)),$C228*INDEX(SPPR!$E:$X,MATCH($A228,SPPR!$A:$A,0),9),""),"")</f>
        <v/>
      </c>
      <c r="M228">
        <f>IFERROR(IF(ISNUMBER(INDEX(SPPR!$E:$X,MATCH($A228,SPPR!$A:$A,0),10)),$C228*INDEX(SPPR!$E:$X,MATCH($A228,SPPR!$A:$A,0),10),""),"")</f>
        <v/>
      </c>
      <c r="N228">
        <f>IFERROR(IF(ISNUMBER(INDEX(SPPR!$E:$X,MATCH($A228,SPPR!$A:$A,0),11)),$C228*INDEX(SPPR!$E:$X,MATCH($A228,SPPR!$A:$A,0),11),""),"")</f>
        <v/>
      </c>
      <c r="O228">
        <f>IFERROR(IF(ISNUMBER(INDEX(SPPR!$E:$X,MATCH($A228,SPPR!$A:$A,0),12)),$C228*INDEX(SPPR!$E:$X,MATCH($A228,SPPR!$A:$A,0),12),""),"")</f>
        <v/>
      </c>
      <c r="P228">
        <f>IFERROR(IF(ISNUMBER(INDEX(SPPR!$E:$X,MATCH($A228,SPPR!$A:$A,0),13)),$C228*INDEX(SPPR!$E:$X,MATCH($A228,SPPR!$A:$A,0),13),""),"")</f>
        <v/>
      </c>
      <c r="Q228">
        <f>IFERROR(IF(ISNUMBER(INDEX(SPPR!$E:$X,MATCH($A228,SPPR!$A:$A,0),14)),$C228*INDEX(SPPR!$E:$X,MATCH($A228,SPPR!$A:$A,0),14),""),"")</f>
        <v/>
      </c>
      <c r="R228">
        <f>IFERROR(IF(ISNUMBER(INDEX(SPPR!$E:$X,MATCH($A228,SPPR!$A:$A,0),15)),$C228*INDEX(SPPR!$E:$X,MATCH($A228,SPPR!$A:$A,0),15),""),"")</f>
        <v/>
      </c>
      <c r="S228">
        <f>IFERROR(IF(ISNUMBER(INDEX(SPPR!$E:$X,MATCH($A228,SPPR!$A:$A,0),16)),$C228*INDEX(SPPR!$E:$X,MATCH($A228,SPPR!$A:$A,0),16),""),"")</f>
        <v/>
      </c>
      <c r="T228">
        <f>IFERROR(IF(ISNUMBER(INDEX(SPPR!$E:$X,MATCH($A228,SPPR!$A:$A,0),17)),$C228*INDEX(SPPR!$E:$X,MATCH($A228,SPPR!$A:$A,0),17),""),"")</f>
        <v/>
      </c>
      <c r="U228">
        <f>IFERROR(IF(ISNUMBER(INDEX(SPPR!$E:$X,MATCH($A228,SPPR!$A:$A,0),18)),$C228*INDEX(SPPR!$E:$X,MATCH($A228,SPPR!$A:$A,0),18),""),"")</f>
        <v/>
      </c>
      <c r="V228">
        <f>IFERROR(IF(ISNUMBER(INDEX(SPPR!$E:$X,MATCH($A228,SPPR!$A:$A,0),19)),$C228*INDEX(SPPR!$E:$X,MATCH($A228,SPPR!$A:$A,0),19),""),"")</f>
        <v/>
      </c>
      <c r="W228">
        <f>IFERROR(IF(ISNUMBER(INDEX(SPPR!$E:$X,MATCH($A228,SPPR!$A:$A,0),20)),$C228*INDEX(SPPR!$E:$X,MATCH($A228,SPPR!$A:$A,0),20),""),"")</f>
        <v/>
      </c>
    </row>
    <row r="229">
      <c r="A229" t="inlineStr">
        <is>
          <t>Dussumieria elopsoides</t>
        </is>
      </c>
      <c r="B229">
        <f>IFERROR(INDEX(SPPR!$D:$D,MATCH($A229,SPPR!$A:$A,0)),"")</f>
        <v/>
      </c>
      <c r="C229">
        <f>IFERROR(INDEX(Catch!$E:$BV,MATCH($A229,Catch!$A:$A,0),MATCH($B$4,Catch!$E$1:$BV$1,0)),0)</f>
        <v/>
      </c>
      <c r="D229">
        <f>IFERROR(IF(ISNUMBER(INDEX(SPPR!$E:$X,MATCH($A229,SPPR!$A:$A,0),1)),$C229*INDEX(SPPR!$E:$X,MATCH($A229,SPPR!$A:$A,0),1),""),"")</f>
        <v/>
      </c>
      <c r="E229">
        <f>IFERROR(IF(ISNUMBER(INDEX(SPPR!$E:$X,MATCH($A229,SPPR!$A:$A,0),2)),$C229*INDEX(SPPR!$E:$X,MATCH($A229,SPPR!$A:$A,0),2),""),"")</f>
        <v/>
      </c>
      <c r="F229">
        <f>IFERROR(IF(ISNUMBER(INDEX(SPPR!$E:$X,MATCH($A229,SPPR!$A:$A,0),3)),$C229*INDEX(SPPR!$E:$X,MATCH($A229,SPPR!$A:$A,0),3),""),"")</f>
        <v/>
      </c>
      <c r="G229">
        <f>IFERROR(IF(ISNUMBER(INDEX(SPPR!$E:$X,MATCH($A229,SPPR!$A:$A,0),4)),$C229*INDEX(SPPR!$E:$X,MATCH($A229,SPPR!$A:$A,0),4),""),"")</f>
        <v/>
      </c>
      <c r="H229">
        <f>IFERROR(IF(ISNUMBER(INDEX(SPPR!$E:$X,MATCH($A229,SPPR!$A:$A,0),5)),$C229*INDEX(SPPR!$E:$X,MATCH($A229,SPPR!$A:$A,0),5),""),"")</f>
        <v/>
      </c>
      <c r="I229">
        <f>IFERROR(IF(ISNUMBER(INDEX(SPPR!$E:$X,MATCH($A229,SPPR!$A:$A,0),6)),$C229*INDEX(SPPR!$E:$X,MATCH($A229,SPPR!$A:$A,0),6),""),"")</f>
        <v/>
      </c>
      <c r="J229">
        <f>IFERROR(IF(ISNUMBER(INDEX(SPPR!$E:$X,MATCH($A229,SPPR!$A:$A,0),7)),$C229*INDEX(SPPR!$E:$X,MATCH($A229,SPPR!$A:$A,0),7),""),"")</f>
        <v/>
      </c>
      <c r="K229">
        <f>IFERROR(IF(ISNUMBER(INDEX(SPPR!$E:$X,MATCH($A229,SPPR!$A:$A,0),8)),$C229*INDEX(SPPR!$E:$X,MATCH($A229,SPPR!$A:$A,0),8),""),"")</f>
        <v/>
      </c>
      <c r="L229">
        <f>IFERROR(IF(ISNUMBER(INDEX(SPPR!$E:$X,MATCH($A229,SPPR!$A:$A,0),9)),$C229*INDEX(SPPR!$E:$X,MATCH($A229,SPPR!$A:$A,0),9),""),"")</f>
        <v/>
      </c>
      <c r="M229">
        <f>IFERROR(IF(ISNUMBER(INDEX(SPPR!$E:$X,MATCH($A229,SPPR!$A:$A,0),10)),$C229*INDEX(SPPR!$E:$X,MATCH($A229,SPPR!$A:$A,0),10),""),"")</f>
        <v/>
      </c>
      <c r="N229">
        <f>IFERROR(IF(ISNUMBER(INDEX(SPPR!$E:$X,MATCH($A229,SPPR!$A:$A,0),11)),$C229*INDEX(SPPR!$E:$X,MATCH($A229,SPPR!$A:$A,0),11),""),"")</f>
        <v/>
      </c>
      <c r="O229">
        <f>IFERROR(IF(ISNUMBER(INDEX(SPPR!$E:$X,MATCH($A229,SPPR!$A:$A,0),12)),$C229*INDEX(SPPR!$E:$X,MATCH($A229,SPPR!$A:$A,0),12),""),"")</f>
        <v/>
      </c>
      <c r="P229">
        <f>IFERROR(IF(ISNUMBER(INDEX(SPPR!$E:$X,MATCH($A229,SPPR!$A:$A,0),13)),$C229*INDEX(SPPR!$E:$X,MATCH($A229,SPPR!$A:$A,0),13),""),"")</f>
        <v/>
      </c>
      <c r="Q229">
        <f>IFERROR(IF(ISNUMBER(INDEX(SPPR!$E:$X,MATCH($A229,SPPR!$A:$A,0),14)),$C229*INDEX(SPPR!$E:$X,MATCH($A229,SPPR!$A:$A,0),14),""),"")</f>
        <v/>
      </c>
      <c r="R229">
        <f>IFERROR(IF(ISNUMBER(INDEX(SPPR!$E:$X,MATCH($A229,SPPR!$A:$A,0),15)),$C229*INDEX(SPPR!$E:$X,MATCH($A229,SPPR!$A:$A,0),15),""),"")</f>
        <v/>
      </c>
      <c r="S229">
        <f>IFERROR(IF(ISNUMBER(INDEX(SPPR!$E:$X,MATCH($A229,SPPR!$A:$A,0),16)),$C229*INDEX(SPPR!$E:$X,MATCH($A229,SPPR!$A:$A,0),16),""),"")</f>
        <v/>
      </c>
      <c r="T229">
        <f>IFERROR(IF(ISNUMBER(INDEX(SPPR!$E:$X,MATCH($A229,SPPR!$A:$A,0),17)),$C229*INDEX(SPPR!$E:$X,MATCH($A229,SPPR!$A:$A,0),17),""),"")</f>
        <v/>
      </c>
      <c r="U229">
        <f>IFERROR(IF(ISNUMBER(INDEX(SPPR!$E:$X,MATCH($A229,SPPR!$A:$A,0),18)),$C229*INDEX(SPPR!$E:$X,MATCH($A229,SPPR!$A:$A,0),18),""),"")</f>
        <v/>
      </c>
      <c r="V229">
        <f>IFERROR(IF(ISNUMBER(INDEX(SPPR!$E:$X,MATCH($A229,SPPR!$A:$A,0),19)),$C229*INDEX(SPPR!$E:$X,MATCH($A229,SPPR!$A:$A,0),19),""),"")</f>
        <v/>
      </c>
      <c r="W229">
        <f>IFERROR(IF(ISNUMBER(INDEX(SPPR!$E:$X,MATCH($A229,SPPR!$A:$A,0),20)),$C229*INDEX(SPPR!$E:$X,MATCH($A229,SPPR!$A:$A,0),20),""),"")</f>
        <v/>
      </c>
    </row>
    <row r="230">
      <c r="A230" t="inlineStr">
        <is>
          <t>Megalops cyprinoides</t>
        </is>
      </c>
      <c r="B230">
        <f>IFERROR(INDEX(SPPR!$D:$D,MATCH($A230,SPPR!$A:$A,0)),"")</f>
        <v/>
      </c>
      <c r="C230">
        <f>IFERROR(INDEX(Catch!$E:$BV,MATCH($A230,Catch!$A:$A,0),MATCH($B$4,Catch!$E$1:$BV$1,0)),0)</f>
        <v/>
      </c>
      <c r="D230">
        <f>IFERROR(IF(ISNUMBER(INDEX(SPPR!$E:$X,MATCH($A230,SPPR!$A:$A,0),1)),$C230*INDEX(SPPR!$E:$X,MATCH($A230,SPPR!$A:$A,0),1),""),"")</f>
        <v/>
      </c>
      <c r="E230">
        <f>IFERROR(IF(ISNUMBER(INDEX(SPPR!$E:$X,MATCH($A230,SPPR!$A:$A,0),2)),$C230*INDEX(SPPR!$E:$X,MATCH($A230,SPPR!$A:$A,0),2),""),"")</f>
        <v/>
      </c>
      <c r="F230">
        <f>IFERROR(IF(ISNUMBER(INDEX(SPPR!$E:$X,MATCH($A230,SPPR!$A:$A,0),3)),$C230*INDEX(SPPR!$E:$X,MATCH($A230,SPPR!$A:$A,0),3),""),"")</f>
        <v/>
      </c>
      <c r="G230">
        <f>IFERROR(IF(ISNUMBER(INDEX(SPPR!$E:$X,MATCH($A230,SPPR!$A:$A,0),4)),$C230*INDEX(SPPR!$E:$X,MATCH($A230,SPPR!$A:$A,0),4),""),"")</f>
        <v/>
      </c>
      <c r="H230">
        <f>IFERROR(IF(ISNUMBER(INDEX(SPPR!$E:$X,MATCH($A230,SPPR!$A:$A,0),5)),$C230*INDEX(SPPR!$E:$X,MATCH($A230,SPPR!$A:$A,0),5),""),"")</f>
        <v/>
      </c>
      <c r="I230">
        <f>IFERROR(IF(ISNUMBER(INDEX(SPPR!$E:$X,MATCH($A230,SPPR!$A:$A,0),6)),$C230*INDEX(SPPR!$E:$X,MATCH($A230,SPPR!$A:$A,0),6),""),"")</f>
        <v/>
      </c>
      <c r="J230">
        <f>IFERROR(IF(ISNUMBER(INDEX(SPPR!$E:$X,MATCH($A230,SPPR!$A:$A,0),7)),$C230*INDEX(SPPR!$E:$X,MATCH($A230,SPPR!$A:$A,0),7),""),"")</f>
        <v/>
      </c>
      <c r="K230">
        <f>IFERROR(IF(ISNUMBER(INDEX(SPPR!$E:$X,MATCH($A230,SPPR!$A:$A,0),8)),$C230*INDEX(SPPR!$E:$X,MATCH($A230,SPPR!$A:$A,0),8),""),"")</f>
        <v/>
      </c>
      <c r="L230">
        <f>IFERROR(IF(ISNUMBER(INDEX(SPPR!$E:$X,MATCH($A230,SPPR!$A:$A,0),9)),$C230*INDEX(SPPR!$E:$X,MATCH($A230,SPPR!$A:$A,0),9),""),"")</f>
        <v/>
      </c>
      <c r="M230">
        <f>IFERROR(IF(ISNUMBER(INDEX(SPPR!$E:$X,MATCH($A230,SPPR!$A:$A,0),10)),$C230*INDEX(SPPR!$E:$X,MATCH($A230,SPPR!$A:$A,0),10),""),"")</f>
        <v/>
      </c>
      <c r="N230">
        <f>IFERROR(IF(ISNUMBER(INDEX(SPPR!$E:$X,MATCH($A230,SPPR!$A:$A,0),11)),$C230*INDEX(SPPR!$E:$X,MATCH($A230,SPPR!$A:$A,0),11),""),"")</f>
        <v/>
      </c>
      <c r="O230">
        <f>IFERROR(IF(ISNUMBER(INDEX(SPPR!$E:$X,MATCH($A230,SPPR!$A:$A,0),12)),$C230*INDEX(SPPR!$E:$X,MATCH($A230,SPPR!$A:$A,0),12),""),"")</f>
        <v/>
      </c>
      <c r="P230">
        <f>IFERROR(IF(ISNUMBER(INDEX(SPPR!$E:$X,MATCH($A230,SPPR!$A:$A,0),13)),$C230*INDEX(SPPR!$E:$X,MATCH($A230,SPPR!$A:$A,0),13),""),"")</f>
        <v/>
      </c>
      <c r="Q230">
        <f>IFERROR(IF(ISNUMBER(INDEX(SPPR!$E:$X,MATCH($A230,SPPR!$A:$A,0),14)),$C230*INDEX(SPPR!$E:$X,MATCH($A230,SPPR!$A:$A,0),14),""),"")</f>
        <v/>
      </c>
      <c r="R230">
        <f>IFERROR(IF(ISNUMBER(INDEX(SPPR!$E:$X,MATCH($A230,SPPR!$A:$A,0),15)),$C230*INDEX(SPPR!$E:$X,MATCH($A230,SPPR!$A:$A,0),15),""),"")</f>
        <v/>
      </c>
      <c r="S230">
        <f>IFERROR(IF(ISNUMBER(INDEX(SPPR!$E:$X,MATCH($A230,SPPR!$A:$A,0),16)),$C230*INDEX(SPPR!$E:$X,MATCH($A230,SPPR!$A:$A,0),16),""),"")</f>
        <v/>
      </c>
      <c r="T230">
        <f>IFERROR(IF(ISNUMBER(INDEX(SPPR!$E:$X,MATCH($A230,SPPR!$A:$A,0),17)),$C230*INDEX(SPPR!$E:$X,MATCH($A230,SPPR!$A:$A,0),17),""),"")</f>
        <v/>
      </c>
      <c r="U230">
        <f>IFERROR(IF(ISNUMBER(INDEX(SPPR!$E:$X,MATCH($A230,SPPR!$A:$A,0),18)),$C230*INDEX(SPPR!$E:$X,MATCH($A230,SPPR!$A:$A,0),18),""),"")</f>
        <v/>
      </c>
      <c r="V230">
        <f>IFERROR(IF(ISNUMBER(INDEX(SPPR!$E:$X,MATCH($A230,SPPR!$A:$A,0),19)),$C230*INDEX(SPPR!$E:$X,MATCH($A230,SPPR!$A:$A,0),19),""),"")</f>
        <v/>
      </c>
      <c r="W230">
        <f>IFERROR(IF(ISNUMBER(INDEX(SPPR!$E:$X,MATCH($A230,SPPR!$A:$A,0),20)),$C230*INDEX(SPPR!$E:$X,MATCH($A230,SPPR!$A:$A,0),20),""),"")</f>
        <v/>
      </c>
    </row>
    <row r="231">
      <c r="A231" t="inlineStr">
        <is>
          <t>Plectorhinchus</t>
        </is>
      </c>
      <c r="B231">
        <f>IFERROR(INDEX(SPPR!$D:$D,MATCH($A231,SPPR!$A:$A,0)),"")</f>
        <v/>
      </c>
      <c r="C231">
        <f>IFERROR(INDEX(Catch!$E:$BV,MATCH($A231,Catch!$A:$A,0),MATCH($B$4,Catch!$E$1:$BV$1,0)),0)</f>
        <v/>
      </c>
      <c r="D231">
        <f>IFERROR(IF(ISNUMBER(INDEX(SPPR!$E:$X,MATCH($A231,SPPR!$A:$A,0),1)),$C231*INDEX(SPPR!$E:$X,MATCH($A231,SPPR!$A:$A,0),1),""),"")</f>
        <v/>
      </c>
      <c r="E231">
        <f>IFERROR(IF(ISNUMBER(INDEX(SPPR!$E:$X,MATCH($A231,SPPR!$A:$A,0),2)),$C231*INDEX(SPPR!$E:$X,MATCH($A231,SPPR!$A:$A,0),2),""),"")</f>
        <v/>
      </c>
      <c r="F231">
        <f>IFERROR(IF(ISNUMBER(INDEX(SPPR!$E:$X,MATCH($A231,SPPR!$A:$A,0),3)),$C231*INDEX(SPPR!$E:$X,MATCH($A231,SPPR!$A:$A,0),3),""),"")</f>
        <v/>
      </c>
      <c r="G231">
        <f>IFERROR(IF(ISNUMBER(INDEX(SPPR!$E:$X,MATCH($A231,SPPR!$A:$A,0),4)),$C231*INDEX(SPPR!$E:$X,MATCH($A231,SPPR!$A:$A,0),4),""),"")</f>
        <v/>
      </c>
      <c r="H231">
        <f>IFERROR(IF(ISNUMBER(INDEX(SPPR!$E:$X,MATCH($A231,SPPR!$A:$A,0),5)),$C231*INDEX(SPPR!$E:$X,MATCH($A231,SPPR!$A:$A,0),5),""),"")</f>
        <v/>
      </c>
      <c r="I231">
        <f>IFERROR(IF(ISNUMBER(INDEX(SPPR!$E:$X,MATCH($A231,SPPR!$A:$A,0),6)),$C231*INDEX(SPPR!$E:$X,MATCH($A231,SPPR!$A:$A,0),6),""),"")</f>
        <v/>
      </c>
      <c r="J231">
        <f>IFERROR(IF(ISNUMBER(INDEX(SPPR!$E:$X,MATCH($A231,SPPR!$A:$A,0),7)),$C231*INDEX(SPPR!$E:$X,MATCH($A231,SPPR!$A:$A,0),7),""),"")</f>
        <v/>
      </c>
      <c r="K231">
        <f>IFERROR(IF(ISNUMBER(INDEX(SPPR!$E:$X,MATCH($A231,SPPR!$A:$A,0),8)),$C231*INDEX(SPPR!$E:$X,MATCH($A231,SPPR!$A:$A,0),8),""),"")</f>
        <v/>
      </c>
      <c r="L231">
        <f>IFERROR(IF(ISNUMBER(INDEX(SPPR!$E:$X,MATCH($A231,SPPR!$A:$A,0),9)),$C231*INDEX(SPPR!$E:$X,MATCH($A231,SPPR!$A:$A,0),9),""),"")</f>
        <v/>
      </c>
      <c r="M231">
        <f>IFERROR(IF(ISNUMBER(INDEX(SPPR!$E:$X,MATCH($A231,SPPR!$A:$A,0),10)),$C231*INDEX(SPPR!$E:$X,MATCH($A231,SPPR!$A:$A,0),10),""),"")</f>
        <v/>
      </c>
      <c r="N231">
        <f>IFERROR(IF(ISNUMBER(INDEX(SPPR!$E:$X,MATCH($A231,SPPR!$A:$A,0),11)),$C231*INDEX(SPPR!$E:$X,MATCH($A231,SPPR!$A:$A,0),11),""),"")</f>
        <v/>
      </c>
      <c r="O231">
        <f>IFERROR(IF(ISNUMBER(INDEX(SPPR!$E:$X,MATCH($A231,SPPR!$A:$A,0),12)),$C231*INDEX(SPPR!$E:$X,MATCH($A231,SPPR!$A:$A,0),12),""),"")</f>
        <v/>
      </c>
      <c r="P231">
        <f>IFERROR(IF(ISNUMBER(INDEX(SPPR!$E:$X,MATCH($A231,SPPR!$A:$A,0),13)),$C231*INDEX(SPPR!$E:$X,MATCH($A231,SPPR!$A:$A,0),13),""),"")</f>
        <v/>
      </c>
      <c r="Q231">
        <f>IFERROR(IF(ISNUMBER(INDEX(SPPR!$E:$X,MATCH($A231,SPPR!$A:$A,0),14)),$C231*INDEX(SPPR!$E:$X,MATCH($A231,SPPR!$A:$A,0),14),""),"")</f>
        <v/>
      </c>
      <c r="R231">
        <f>IFERROR(IF(ISNUMBER(INDEX(SPPR!$E:$X,MATCH($A231,SPPR!$A:$A,0),15)),$C231*INDEX(SPPR!$E:$X,MATCH($A231,SPPR!$A:$A,0),15),""),"")</f>
        <v/>
      </c>
      <c r="S231">
        <f>IFERROR(IF(ISNUMBER(INDEX(SPPR!$E:$X,MATCH($A231,SPPR!$A:$A,0),16)),$C231*INDEX(SPPR!$E:$X,MATCH($A231,SPPR!$A:$A,0),16),""),"")</f>
        <v/>
      </c>
      <c r="T231">
        <f>IFERROR(IF(ISNUMBER(INDEX(SPPR!$E:$X,MATCH($A231,SPPR!$A:$A,0),17)),$C231*INDEX(SPPR!$E:$X,MATCH($A231,SPPR!$A:$A,0),17),""),"")</f>
        <v/>
      </c>
      <c r="U231">
        <f>IFERROR(IF(ISNUMBER(INDEX(SPPR!$E:$X,MATCH($A231,SPPR!$A:$A,0),18)),$C231*INDEX(SPPR!$E:$X,MATCH($A231,SPPR!$A:$A,0),18),""),"")</f>
        <v/>
      </c>
      <c r="V231">
        <f>IFERROR(IF(ISNUMBER(INDEX(SPPR!$E:$X,MATCH($A231,SPPR!$A:$A,0),19)),$C231*INDEX(SPPR!$E:$X,MATCH($A231,SPPR!$A:$A,0),19),""),"")</f>
        <v/>
      </c>
      <c r="W231">
        <f>IFERROR(IF(ISNUMBER(INDEX(SPPR!$E:$X,MATCH($A231,SPPR!$A:$A,0),20)),$C231*INDEX(SPPR!$E:$X,MATCH($A231,SPPR!$A:$A,0),20),""),"")</f>
        <v/>
      </c>
    </row>
    <row r="232">
      <c r="A232" t="inlineStr">
        <is>
          <t>Apostichopus japonicus</t>
        </is>
      </c>
      <c r="B232">
        <f>IFERROR(INDEX(SPPR!$D:$D,MATCH($A232,SPPR!$A:$A,0)),"")</f>
        <v/>
      </c>
      <c r="C232">
        <f>IFERROR(INDEX(Catch!$E:$BV,MATCH($A232,Catch!$A:$A,0),MATCH($B$4,Catch!$E$1:$BV$1,0)),0)</f>
        <v/>
      </c>
      <c r="D232">
        <f>IFERROR(IF(ISNUMBER(INDEX(SPPR!$E:$X,MATCH($A232,SPPR!$A:$A,0),1)),$C232*INDEX(SPPR!$E:$X,MATCH($A232,SPPR!$A:$A,0),1),""),"")</f>
        <v/>
      </c>
      <c r="E232">
        <f>IFERROR(IF(ISNUMBER(INDEX(SPPR!$E:$X,MATCH($A232,SPPR!$A:$A,0),2)),$C232*INDEX(SPPR!$E:$X,MATCH($A232,SPPR!$A:$A,0),2),""),"")</f>
        <v/>
      </c>
      <c r="F232">
        <f>IFERROR(IF(ISNUMBER(INDEX(SPPR!$E:$X,MATCH($A232,SPPR!$A:$A,0),3)),$C232*INDEX(SPPR!$E:$X,MATCH($A232,SPPR!$A:$A,0),3),""),"")</f>
        <v/>
      </c>
      <c r="G232">
        <f>IFERROR(IF(ISNUMBER(INDEX(SPPR!$E:$X,MATCH($A232,SPPR!$A:$A,0),4)),$C232*INDEX(SPPR!$E:$X,MATCH($A232,SPPR!$A:$A,0),4),""),"")</f>
        <v/>
      </c>
      <c r="H232">
        <f>IFERROR(IF(ISNUMBER(INDEX(SPPR!$E:$X,MATCH($A232,SPPR!$A:$A,0),5)),$C232*INDEX(SPPR!$E:$X,MATCH($A232,SPPR!$A:$A,0),5),""),"")</f>
        <v/>
      </c>
      <c r="I232">
        <f>IFERROR(IF(ISNUMBER(INDEX(SPPR!$E:$X,MATCH($A232,SPPR!$A:$A,0),6)),$C232*INDEX(SPPR!$E:$X,MATCH($A232,SPPR!$A:$A,0),6),""),"")</f>
        <v/>
      </c>
      <c r="J232">
        <f>IFERROR(IF(ISNUMBER(INDEX(SPPR!$E:$X,MATCH($A232,SPPR!$A:$A,0),7)),$C232*INDEX(SPPR!$E:$X,MATCH($A232,SPPR!$A:$A,0),7),""),"")</f>
        <v/>
      </c>
      <c r="K232">
        <f>IFERROR(IF(ISNUMBER(INDEX(SPPR!$E:$X,MATCH($A232,SPPR!$A:$A,0),8)),$C232*INDEX(SPPR!$E:$X,MATCH($A232,SPPR!$A:$A,0),8),""),"")</f>
        <v/>
      </c>
      <c r="L232">
        <f>IFERROR(IF(ISNUMBER(INDEX(SPPR!$E:$X,MATCH($A232,SPPR!$A:$A,0),9)),$C232*INDEX(SPPR!$E:$X,MATCH($A232,SPPR!$A:$A,0),9),""),"")</f>
        <v/>
      </c>
      <c r="M232">
        <f>IFERROR(IF(ISNUMBER(INDEX(SPPR!$E:$X,MATCH($A232,SPPR!$A:$A,0),10)),$C232*INDEX(SPPR!$E:$X,MATCH($A232,SPPR!$A:$A,0),10),""),"")</f>
        <v/>
      </c>
      <c r="N232">
        <f>IFERROR(IF(ISNUMBER(INDEX(SPPR!$E:$X,MATCH($A232,SPPR!$A:$A,0),11)),$C232*INDEX(SPPR!$E:$X,MATCH($A232,SPPR!$A:$A,0),11),""),"")</f>
        <v/>
      </c>
      <c r="O232">
        <f>IFERROR(IF(ISNUMBER(INDEX(SPPR!$E:$X,MATCH($A232,SPPR!$A:$A,0),12)),$C232*INDEX(SPPR!$E:$X,MATCH($A232,SPPR!$A:$A,0),12),""),"")</f>
        <v/>
      </c>
      <c r="P232">
        <f>IFERROR(IF(ISNUMBER(INDEX(SPPR!$E:$X,MATCH($A232,SPPR!$A:$A,0),13)),$C232*INDEX(SPPR!$E:$X,MATCH($A232,SPPR!$A:$A,0),13),""),"")</f>
        <v/>
      </c>
      <c r="Q232">
        <f>IFERROR(IF(ISNUMBER(INDEX(SPPR!$E:$X,MATCH($A232,SPPR!$A:$A,0),14)),$C232*INDEX(SPPR!$E:$X,MATCH($A232,SPPR!$A:$A,0),14),""),"")</f>
        <v/>
      </c>
      <c r="R232">
        <f>IFERROR(IF(ISNUMBER(INDEX(SPPR!$E:$X,MATCH($A232,SPPR!$A:$A,0),15)),$C232*INDEX(SPPR!$E:$X,MATCH($A232,SPPR!$A:$A,0),15),""),"")</f>
        <v/>
      </c>
      <c r="S232">
        <f>IFERROR(IF(ISNUMBER(INDEX(SPPR!$E:$X,MATCH($A232,SPPR!$A:$A,0),16)),$C232*INDEX(SPPR!$E:$X,MATCH($A232,SPPR!$A:$A,0),16),""),"")</f>
        <v/>
      </c>
      <c r="T232">
        <f>IFERROR(IF(ISNUMBER(INDEX(SPPR!$E:$X,MATCH($A232,SPPR!$A:$A,0),17)),$C232*INDEX(SPPR!$E:$X,MATCH($A232,SPPR!$A:$A,0),17),""),"")</f>
        <v/>
      </c>
      <c r="U232">
        <f>IFERROR(IF(ISNUMBER(INDEX(SPPR!$E:$X,MATCH($A232,SPPR!$A:$A,0),18)),$C232*INDEX(SPPR!$E:$X,MATCH($A232,SPPR!$A:$A,0),18),""),"")</f>
        <v/>
      </c>
      <c r="V232">
        <f>IFERROR(IF(ISNUMBER(INDEX(SPPR!$E:$X,MATCH($A232,SPPR!$A:$A,0),19)),$C232*INDEX(SPPR!$E:$X,MATCH($A232,SPPR!$A:$A,0),19),""),"")</f>
        <v/>
      </c>
      <c r="W232">
        <f>IFERROR(IF(ISNUMBER(INDEX(SPPR!$E:$X,MATCH($A232,SPPR!$A:$A,0),20)),$C232*INDEX(SPPR!$E:$X,MATCH($A232,SPPR!$A:$A,0),20),""),"")</f>
        <v/>
      </c>
    </row>
    <row r="233">
      <c r="A233" t="inlineStr">
        <is>
          <t>Portunidae</t>
        </is>
      </c>
      <c r="B233">
        <f>IFERROR(INDEX(SPPR!$D:$D,MATCH($A233,SPPR!$A:$A,0)),"")</f>
        <v/>
      </c>
      <c r="C233">
        <f>IFERROR(INDEX(Catch!$E:$BV,MATCH($A233,Catch!$A:$A,0),MATCH($B$4,Catch!$E$1:$BV$1,0)),0)</f>
        <v/>
      </c>
      <c r="D233">
        <f>IFERROR(IF(ISNUMBER(INDEX(SPPR!$E:$X,MATCH($A233,SPPR!$A:$A,0),1)),$C233*INDEX(SPPR!$E:$X,MATCH($A233,SPPR!$A:$A,0),1),""),"")</f>
        <v/>
      </c>
      <c r="E233">
        <f>IFERROR(IF(ISNUMBER(INDEX(SPPR!$E:$X,MATCH($A233,SPPR!$A:$A,0),2)),$C233*INDEX(SPPR!$E:$X,MATCH($A233,SPPR!$A:$A,0),2),""),"")</f>
        <v/>
      </c>
      <c r="F233">
        <f>IFERROR(IF(ISNUMBER(INDEX(SPPR!$E:$X,MATCH($A233,SPPR!$A:$A,0),3)),$C233*INDEX(SPPR!$E:$X,MATCH($A233,SPPR!$A:$A,0),3),""),"")</f>
        <v/>
      </c>
      <c r="G233">
        <f>IFERROR(IF(ISNUMBER(INDEX(SPPR!$E:$X,MATCH($A233,SPPR!$A:$A,0),4)),$C233*INDEX(SPPR!$E:$X,MATCH($A233,SPPR!$A:$A,0),4),""),"")</f>
        <v/>
      </c>
      <c r="H233">
        <f>IFERROR(IF(ISNUMBER(INDEX(SPPR!$E:$X,MATCH($A233,SPPR!$A:$A,0),5)),$C233*INDEX(SPPR!$E:$X,MATCH($A233,SPPR!$A:$A,0),5),""),"")</f>
        <v/>
      </c>
      <c r="I233">
        <f>IFERROR(IF(ISNUMBER(INDEX(SPPR!$E:$X,MATCH($A233,SPPR!$A:$A,0),6)),$C233*INDEX(SPPR!$E:$X,MATCH($A233,SPPR!$A:$A,0),6),""),"")</f>
        <v/>
      </c>
      <c r="J233">
        <f>IFERROR(IF(ISNUMBER(INDEX(SPPR!$E:$X,MATCH($A233,SPPR!$A:$A,0),7)),$C233*INDEX(SPPR!$E:$X,MATCH($A233,SPPR!$A:$A,0),7),""),"")</f>
        <v/>
      </c>
      <c r="K233">
        <f>IFERROR(IF(ISNUMBER(INDEX(SPPR!$E:$X,MATCH($A233,SPPR!$A:$A,0),8)),$C233*INDEX(SPPR!$E:$X,MATCH($A233,SPPR!$A:$A,0),8),""),"")</f>
        <v/>
      </c>
      <c r="L233">
        <f>IFERROR(IF(ISNUMBER(INDEX(SPPR!$E:$X,MATCH($A233,SPPR!$A:$A,0),9)),$C233*INDEX(SPPR!$E:$X,MATCH($A233,SPPR!$A:$A,0),9),""),"")</f>
        <v/>
      </c>
      <c r="M233">
        <f>IFERROR(IF(ISNUMBER(INDEX(SPPR!$E:$X,MATCH($A233,SPPR!$A:$A,0),10)),$C233*INDEX(SPPR!$E:$X,MATCH($A233,SPPR!$A:$A,0),10),""),"")</f>
        <v/>
      </c>
      <c r="N233">
        <f>IFERROR(IF(ISNUMBER(INDEX(SPPR!$E:$X,MATCH($A233,SPPR!$A:$A,0),11)),$C233*INDEX(SPPR!$E:$X,MATCH($A233,SPPR!$A:$A,0),11),""),"")</f>
        <v/>
      </c>
      <c r="O233">
        <f>IFERROR(IF(ISNUMBER(INDEX(SPPR!$E:$X,MATCH($A233,SPPR!$A:$A,0),12)),$C233*INDEX(SPPR!$E:$X,MATCH($A233,SPPR!$A:$A,0),12),""),"")</f>
        <v/>
      </c>
      <c r="P233">
        <f>IFERROR(IF(ISNUMBER(INDEX(SPPR!$E:$X,MATCH($A233,SPPR!$A:$A,0),13)),$C233*INDEX(SPPR!$E:$X,MATCH($A233,SPPR!$A:$A,0),13),""),"")</f>
        <v/>
      </c>
      <c r="Q233">
        <f>IFERROR(IF(ISNUMBER(INDEX(SPPR!$E:$X,MATCH($A233,SPPR!$A:$A,0),14)),$C233*INDEX(SPPR!$E:$X,MATCH($A233,SPPR!$A:$A,0),14),""),"")</f>
        <v/>
      </c>
      <c r="R233">
        <f>IFERROR(IF(ISNUMBER(INDEX(SPPR!$E:$X,MATCH($A233,SPPR!$A:$A,0),15)),$C233*INDEX(SPPR!$E:$X,MATCH($A233,SPPR!$A:$A,0),15),""),"")</f>
        <v/>
      </c>
      <c r="S233">
        <f>IFERROR(IF(ISNUMBER(INDEX(SPPR!$E:$X,MATCH($A233,SPPR!$A:$A,0),16)),$C233*INDEX(SPPR!$E:$X,MATCH($A233,SPPR!$A:$A,0),16),""),"")</f>
        <v/>
      </c>
      <c r="T233">
        <f>IFERROR(IF(ISNUMBER(INDEX(SPPR!$E:$X,MATCH($A233,SPPR!$A:$A,0),17)),$C233*INDEX(SPPR!$E:$X,MATCH($A233,SPPR!$A:$A,0),17),""),"")</f>
        <v/>
      </c>
      <c r="U233">
        <f>IFERROR(IF(ISNUMBER(INDEX(SPPR!$E:$X,MATCH($A233,SPPR!$A:$A,0),18)),$C233*INDEX(SPPR!$E:$X,MATCH($A233,SPPR!$A:$A,0),18),""),"")</f>
        <v/>
      </c>
      <c r="V233">
        <f>IFERROR(IF(ISNUMBER(INDEX(SPPR!$E:$X,MATCH($A233,SPPR!$A:$A,0),19)),$C233*INDEX(SPPR!$E:$X,MATCH($A233,SPPR!$A:$A,0),19),""),"")</f>
        <v/>
      </c>
      <c r="W233">
        <f>IFERROR(IF(ISNUMBER(INDEX(SPPR!$E:$X,MATCH($A233,SPPR!$A:$A,0),20)),$C233*INDEX(SPPR!$E:$X,MATCH($A233,SPPR!$A:$A,0),20),""),"")</f>
        <v/>
      </c>
    </row>
    <row r="234">
      <c r="A234" t="inlineStr">
        <is>
          <t>Haliotidae</t>
        </is>
      </c>
      <c r="B234">
        <f>IFERROR(INDEX(SPPR!$D:$D,MATCH($A234,SPPR!$A:$A,0)),"")</f>
        <v/>
      </c>
      <c r="C234">
        <f>IFERROR(INDEX(Catch!$E:$BV,MATCH($A234,Catch!$A:$A,0),MATCH($B$4,Catch!$E$1:$BV$1,0)),0)</f>
        <v/>
      </c>
      <c r="D234">
        <f>IFERROR(IF(ISNUMBER(INDEX(SPPR!$E:$X,MATCH($A234,SPPR!$A:$A,0),1)),$C234*INDEX(SPPR!$E:$X,MATCH($A234,SPPR!$A:$A,0),1),""),"")</f>
        <v/>
      </c>
      <c r="E234">
        <f>IFERROR(IF(ISNUMBER(INDEX(SPPR!$E:$X,MATCH($A234,SPPR!$A:$A,0),2)),$C234*INDEX(SPPR!$E:$X,MATCH($A234,SPPR!$A:$A,0),2),""),"")</f>
        <v/>
      </c>
      <c r="F234">
        <f>IFERROR(IF(ISNUMBER(INDEX(SPPR!$E:$X,MATCH($A234,SPPR!$A:$A,0),3)),$C234*INDEX(SPPR!$E:$X,MATCH($A234,SPPR!$A:$A,0),3),""),"")</f>
        <v/>
      </c>
      <c r="G234">
        <f>IFERROR(IF(ISNUMBER(INDEX(SPPR!$E:$X,MATCH($A234,SPPR!$A:$A,0),4)),$C234*INDEX(SPPR!$E:$X,MATCH($A234,SPPR!$A:$A,0),4),""),"")</f>
        <v/>
      </c>
      <c r="H234">
        <f>IFERROR(IF(ISNUMBER(INDEX(SPPR!$E:$X,MATCH($A234,SPPR!$A:$A,0),5)),$C234*INDEX(SPPR!$E:$X,MATCH($A234,SPPR!$A:$A,0),5),""),"")</f>
        <v/>
      </c>
      <c r="I234">
        <f>IFERROR(IF(ISNUMBER(INDEX(SPPR!$E:$X,MATCH($A234,SPPR!$A:$A,0),6)),$C234*INDEX(SPPR!$E:$X,MATCH($A234,SPPR!$A:$A,0),6),""),"")</f>
        <v/>
      </c>
      <c r="J234">
        <f>IFERROR(IF(ISNUMBER(INDEX(SPPR!$E:$X,MATCH($A234,SPPR!$A:$A,0),7)),$C234*INDEX(SPPR!$E:$X,MATCH($A234,SPPR!$A:$A,0),7),""),"")</f>
        <v/>
      </c>
      <c r="K234">
        <f>IFERROR(IF(ISNUMBER(INDEX(SPPR!$E:$X,MATCH($A234,SPPR!$A:$A,0),8)),$C234*INDEX(SPPR!$E:$X,MATCH($A234,SPPR!$A:$A,0),8),""),"")</f>
        <v/>
      </c>
      <c r="L234">
        <f>IFERROR(IF(ISNUMBER(INDEX(SPPR!$E:$X,MATCH($A234,SPPR!$A:$A,0),9)),$C234*INDEX(SPPR!$E:$X,MATCH($A234,SPPR!$A:$A,0),9),""),"")</f>
        <v/>
      </c>
      <c r="M234">
        <f>IFERROR(IF(ISNUMBER(INDEX(SPPR!$E:$X,MATCH($A234,SPPR!$A:$A,0),10)),$C234*INDEX(SPPR!$E:$X,MATCH($A234,SPPR!$A:$A,0),10),""),"")</f>
        <v/>
      </c>
      <c r="N234">
        <f>IFERROR(IF(ISNUMBER(INDEX(SPPR!$E:$X,MATCH($A234,SPPR!$A:$A,0),11)),$C234*INDEX(SPPR!$E:$X,MATCH($A234,SPPR!$A:$A,0),11),""),"")</f>
        <v/>
      </c>
      <c r="O234">
        <f>IFERROR(IF(ISNUMBER(INDEX(SPPR!$E:$X,MATCH($A234,SPPR!$A:$A,0),12)),$C234*INDEX(SPPR!$E:$X,MATCH($A234,SPPR!$A:$A,0),12),""),"")</f>
        <v/>
      </c>
      <c r="P234">
        <f>IFERROR(IF(ISNUMBER(INDEX(SPPR!$E:$X,MATCH($A234,SPPR!$A:$A,0),13)),$C234*INDEX(SPPR!$E:$X,MATCH($A234,SPPR!$A:$A,0),13),""),"")</f>
        <v/>
      </c>
      <c r="Q234">
        <f>IFERROR(IF(ISNUMBER(INDEX(SPPR!$E:$X,MATCH($A234,SPPR!$A:$A,0),14)),$C234*INDEX(SPPR!$E:$X,MATCH($A234,SPPR!$A:$A,0),14),""),"")</f>
        <v/>
      </c>
      <c r="R234">
        <f>IFERROR(IF(ISNUMBER(INDEX(SPPR!$E:$X,MATCH($A234,SPPR!$A:$A,0),15)),$C234*INDEX(SPPR!$E:$X,MATCH($A234,SPPR!$A:$A,0),15),""),"")</f>
        <v/>
      </c>
      <c r="S234">
        <f>IFERROR(IF(ISNUMBER(INDEX(SPPR!$E:$X,MATCH($A234,SPPR!$A:$A,0),16)),$C234*INDEX(SPPR!$E:$X,MATCH($A234,SPPR!$A:$A,0),16),""),"")</f>
        <v/>
      </c>
      <c r="T234">
        <f>IFERROR(IF(ISNUMBER(INDEX(SPPR!$E:$X,MATCH($A234,SPPR!$A:$A,0),17)),$C234*INDEX(SPPR!$E:$X,MATCH($A234,SPPR!$A:$A,0),17),""),"")</f>
        <v/>
      </c>
      <c r="U234">
        <f>IFERROR(IF(ISNUMBER(INDEX(SPPR!$E:$X,MATCH($A234,SPPR!$A:$A,0),18)),$C234*INDEX(SPPR!$E:$X,MATCH($A234,SPPR!$A:$A,0),18),""),"")</f>
        <v/>
      </c>
      <c r="V234">
        <f>IFERROR(IF(ISNUMBER(INDEX(SPPR!$E:$X,MATCH($A234,SPPR!$A:$A,0),19)),$C234*INDEX(SPPR!$E:$X,MATCH($A234,SPPR!$A:$A,0),19),""),"")</f>
        <v/>
      </c>
      <c r="W234">
        <f>IFERROR(IF(ISNUMBER(INDEX(SPPR!$E:$X,MATCH($A234,SPPR!$A:$A,0),20)),$C234*INDEX(SPPR!$E:$X,MATCH($A234,SPPR!$A:$A,0),20),""),"")</f>
        <v/>
      </c>
    </row>
    <row r="235">
      <c r="A235" t="inlineStr">
        <is>
          <t>Batoidea</t>
        </is>
      </c>
      <c r="B235">
        <f>IFERROR(INDEX(SPPR!$D:$D,MATCH($A235,SPPR!$A:$A,0)),"")</f>
        <v/>
      </c>
      <c r="C235">
        <f>IFERROR(INDEX(Catch!$E:$BV,MATCH($A235,Catch!$A:$A,0),MATCH($B$4,Catch!$E$1:$BV$1,0)),0)</f>
        <v/>
      </c>
      <c r="D235">
        <f>IFERROR(IF(ISNUMBER(INDEX(SPPR!$E:$X,MATCH($A235,SPPR!$A:$A,0),1)),$C235*INDEX(SPPR!$E:$X,MATCH($A235,SPPR!$A:$A,0),1),""),"")</f>
        <v/>
      </c>
      <c r="E235">
        <f>IFERROR(IF(ISNUMBER(INDEX(SPPR!$E:$X,MATCH($A235,SPPR!$A:$A,0),2)),$C235*INDEX(SPPR!$E:$X,MATCH($A235,SPPR!$A:$A,0),2),""),"")</f>
        <v/>
      </c>
      <c r="F235">
        <f>IFERROR(IF(ISNUMBER(INDEX(SPPR!$E:$X,MATCH($A235,SPPR!$A:$A,0),3)),$C235*INDEX(SPPR!$E:$X,MATCH($A235,SPPR!$A:$A,0),3),""),"")</f>
        <v/>
      </c>
      <c r="G235">
        <f>IFERROR(IF(ISNUMBER(INDEX(SPPR!$E:$X,MATCH($A235,SPPR!$A:$A,0),4)),$C235*INDEX(SPPR!$E:$X,MATCH($A235,SPPR!$A:$A,0),4),""),"")</f>
        <v/>
      </c>
      <c r="H235">
        <f>IFERROR(IF(ISNUMBER(INDEX(SPPR!$E:$X,MATCH($A235,SPPR!$A:$A,0),5)),$C235*INDEX(SPPR!$E:$X,MATCH($A235,SPPR!$A:$A,0),5),""),"")</f>
        <v/>
      </c>
      <c r="I235">
        <f>IFERROR(IF(ISNUMBER(INDEX(SPPR!$E:$X,MATCH($A235,SPPR!$A:$A,0),6)),$C235*INDEX(SPPR!$E:$X,MATCH($A235,SPPR!$A:$A,0),6),""),"")</f>
        <v/>
      </c>
      <c r="J235">
        <f>IFERROR(IF(ISNUMBER(INDEX(SPPR!$E:$X,MATCH($A235,SPPR!$A:$A,0),7)),$C235*INDEX(SPPR!$E:$X,MATCH($A235,SPPR!$A:$A,0),7),""),"")</f>
        <v/>
      </c>
      <c r="K235">
        <f>IFERROR(IF(ISNUMBER(INDEX(SPPR!$E:$X,MATCH($A235,SPPR!$A:$A,0),8)),$C235*INDEX(SPPR!$E:$X,MATCH($A235,SPPR!$A:$A,0),8),""),"")</f>
        <v/>
      </c>
      <c r="L235">
        <f>IFERROR(IF(ISNUMBER(INDEX(SPPR!$E:$X,MATCH($A235,SPPR!$A:$A,0),9)),$C235*INDEX(SPPR!$E:$X,MATCH($A235,SPPR!$A:$A,0),9),""),"")</f>
        <v/>
      </c>
      <c r="M235">
        <f>IFERROR(IF(ISNUMBER(INDEX(SPPR!$E:$X,MATCH($A235,SPPR!$A:$A,0),10)),$C235*INDEX(SPPR!$E:$X,MATCH($A235,SPPR!$A:$A,0),10),""),"")</f>
        <v/>
      </c>
      <c r="N235">
        <f>IFERROR(IF(ISNUMBER(INDEX(SPPR!$E:$X,MATCH($A235,SPPR!$A:$A,0),11)),$C235*INDEX(SPPR!$E:$X,MATCH($A235,SPPR!$A:$A,0),11),""),"")</f>
        <v/>
      </c>
      <c r="O235">
        <f>IFERROR(IF(ISNUMBER(INDEX(SPPR!$E:$X,MATCH($A235,SPPR!$A:$A,0),12)),$C235*INDEX(SPPR!$E:$X,MATCH($A235,SPPR!$A:$A,0),12),""),"")</f>
        <v/>
      </c>
      <c r="P235">
        <f>IFERROR(IF(ISNUMBER(INDEX(SPPR!$E:$X,MATCH($A235,SPPR!$A:$A,0),13)),$C235*INDEX(SPPR!$E:$X,MATCH($A235,SPPR!$A:$A,0),13),""),"")</f>
        <v/>
      </c>
      <c r="Q235">
        <f>IFERROR(IF(ISNUMBER(INDEX(SPPR!$E:$X,MATCH($A235,SPPR!$A:$A,0),14)),$C235*INDEX(SPPR!$E:$X,MATCH($A235,SPPR!$A:$A,0),14),""),"")</f>
        <v/>
      </c>
      <c r="R235">
        <f>IFERROR(IF(ISNUMBER(INDEX(SPPR!$E:$X,MATCH($A235,SPPR!$A:$A,0),15)),$C235*INDEX(SPPR!$E:$X,MATCH($A235,SPPR!$A:$A,0),15),""),"")</f>
        <v/>
      </c>
      <c r="S235">
        <f>IFERROR(IF(ISNUMBER(INDEX(SPPR!$E:$X,MATCH($A235,SPPR!$A:$A,0),16)),$C235*INDEX(SPPR!$E:$X,MATCH($A235,SPPR!$A:$A,0),16),""),"")</f>
        <v/>
      </c>
      <c r="T235">
        <f>IFERROR(IF(ISNUMBER(INDEX(SPPR!$E:$X,MATCH($A235,SPPR!$A:$A,0),17)),$C235*INDEX(SPPR!$E:$X,MATCH($A235,SPPR!$A:$A,0),17),""),"")</f>
        <v/>
      </c>
      <c r="U235">
        <f>IFERROR(IF(ISNUMBER(INDEX(SPPR!$E:$X,MATCH($A235,SPPR!$A:$A,0),18)),$C235*INDEX(SPPR!$E:$X,MATCH($A235,SPPR!$A:$A,0),18),""),"")</f>
        <v/>
      </c>
      <c r="V235">
        <f>IFERROR(IF(ISNUMBER(INDEX(SPPR!$E:$X,MATCH($A235,SPPR!$A:$A,0),19)),$C235*INDEX(SPPR!$E:$X,MATCH($A235,SPPR!$A:$A,0),19),""),"")</f>
        <v/>
      </c>
      <c r="W235">
        <f>IFERROR(IF(ISNUMBER(INDEX(SPPR!$E:$X,MATCH($A235,SPPR!$A:$A,0),20)),$C235*INDEX(SPPR!$E:$X,MATCH($A235,SPPR!$A:$A,0),20),""),"")</f>
        <v/>
      </c>
    </row>
    <row r="236">
      <c r="A236" t="inlineStr">
        <is>
          <t>Istiophorus</t>
        </is>
      </c>
      <c r="B236">
        <f>IFERROR(INDEX(SPPR!$D:$D,MATCH($A236,SPPR!$A:$A,0)),"")</f>
        <v/>
      </c>
      <c r="C236">
        <f>IFERROR(INDEX(Catch!$E:$BV,MATCH($A236,Catch!$A:$A,0),MATCH($B$4,Catch!$E$1:$BV$1,0)),0)</f>
        <v/>
      </c>
      <c r="D236">
        <f>IFERROR(IF(ISNUMBER(INDEX(SPPR!$E:$X,MATCH($A236,SPPR!$A:$A,0),1)),$C236*INDEX(SPPR!$E:$X,MATCH($A236,SPPR!$A:$A,0),1),""),"")</f>
        <v/>
      </c>
      <c r="E236">
        <f>IFERROR(IF(ISNUMBER(INDEX(SPPR!$E:$X,MATCH($A236,SPPR!$A:$A,0),2)),$C236*INDEX(SPPR!$E:$X,MATCH($A236,SPPR!$A:$A,0),2),""),"")</f>
        <v/>
      </c>
      <c r="F236">
        <f>IFERROR(IF(ISNUMBER(INDEX(SPPR!$E:$X,MATCH($A236,SPPR!$A:$A,0),3)),$C236*INDEX(SPPR!$E:$X,MATCH($A236,SPPR!$A:$A,0),3),""),"")</f>
        <v/>
      </c>
      <c r="G236">
        <f>IFERROR(IF(ISNUMBER(INDEX(SPPR!$E:$X,MATCH($A236,SPPR!$A:$A,0),4)),$C236*INDEX(SPPR!$E:$X,MATCH($A236,SPPR!$A:$A,0),4),""),"")</f>
        <v/>
      </c>
      <c r="H236">
        <f>IFERROR(IF(ISNUMBER(INDEX(SPPR!$E:$X,MATCH($A236,SPPR!$A:$A,0),5)),$C236*INDEX(SPPR!$E:$X,MATCH($A236,SPPR!$A:$A,0),5),""),"")</f>
        <v/>
      </c>
      <c r="I236">
        <f>IFERROR(IF(ISNUMBER(INDEX(SPPR!$E:$X,MATCH($A236,SPPR!$A:$A,0),6)),$C236*INDEX(SPPR!$E:$X,MATCH($A236,SPPR!$A:$A,0),6),""),"")</f>
        <v/>
      </c>
      <c r="J236">
        <f>IFERROR(IF(ISNUMBER(INDEX(SPPR!$E:$X,MATCH($A236,SPPR!$A:$A,0),7)),$C236*INDEX(SPPR!$E:$X,MATCH($A236,SPPR!$A:$A,0),7),""),"")</f>
        <v/>
      </c>
      <c r="K236">
        <f>IFERROR(IF(ISNUMBER(INDEX(SPPR!$E:$X,MATCH($A236,SPPR!$A:$A,0),8)),$C236*INDEX(SPPR!$E:$X,MATCH($A236,SPPR!$A:$A,0),8),""),"")</f>
        <v/>
      </c>
      <c r="L236">
        <f>IFERROR(IF(ISNUMBER(INDEX(SPPR!$E:$X,MATCH($A236,SPPR!$A:$A,0),9)),$C236*INDEX(SPPR!$E:$X,MATCH($A236,SPPR!$A:$A,0),9),""),"")</f>
        <v/>
      </c>
      <c r="M236">
        <f>IFERROR(IF(ISNUMBER(INDEX(SPPR!$E:$X,MATCH($A236,SPPR!$A:$A,0),10)),$C236*INDEX(SPPR!$E:$X,MATCH($A236,SPPR!$A:$A,0),10),""),"")</f>
        <v/>
      </c>
      <c r="N236">
        <f>IFERROR(IF(ISNUMBER(INDEX(SPPR!$E:$X,MATCH($A236,SPPR!$A:$A,0),11)),$C236*INDEX(SPPR!$E:$X,MATCH($A236,SPPR!$A:$A,0),11),""),"")</f>
        <v/>
      </c>
      <c r="O236">
        <f>IFERROR(IF(ISNUMBER(INDEX(SPPR!$E:$X,MATCH($A236,SPPR!$A:$A,0),12)),$C236*INDEX(SPPR!$E:$X,MATCH($A236,SPPR!$A:$A,0),12),""),"")</f>
        <v/>
      </c>
      <c r="P236">
        <f>IFERROR(IF(ISNUMBER(INDEX(SPPR!$E:$X,MATCH($A236,SPPR!$A:$A,0),13)),$C236*INDEX(SPPR!$E:$X,MATCH($A236,SPPR!$A:$A,0),13),""),"")</f>
        <v/>
      </c>
      <c r="Q236">
        <f>IFERROR(IF(ISNUMBER(INDEX(SPPR!$E:$X,MATCH($A236,SPPR!$A:$A,0),14)),$C236*INDEX(SPPR!$E:$X,MATCH($A236,SPPR!$A:$A,0),14),""),"")</f>
        <v/>
      </c>
      <c r="R236">
        <f>IFERROR(IF(ISNUMBER(INDEX(SPPR!$E:$X,MATCH($A236,SPPR!$A:$A,0),15)),$C236*INDEX(SPPR!$E:$X,MATCH($A236,SPPR!$A:$A,0),15),""),"")</f>
        <v/>
      </c>
      <c r="S236">
        <f>IFERROR(IF(ISNUMBER(INDEX(SPPR!$E:$X,MATCH($A236,SPPR!$A:$A,0),16)),$C236*INDEX(SPPR!$E:$X,MATCH($A236,SPPR!$A:$A,0),16),""),"")</f>
        <v/>
      </c>
      <c r="T236">
        <f>IFERROR(IF(ISNUMBER(INDEX(SPPR!$E:$X,MATCH($A236,SPPR!$A:$A,0),17)),$C236*INDEX(SPPR!$E:$X,MATCH($A236,SPPR!$A:$A,0),17),""),"")</f>
        <v/>
      </c>
      <c r="U236">
        <f>IFERROR(IF(ISNUMBER(INDEX(SPPR!$E:$X,MATCH($A236,SPPR!$A:$A,0),18)),$C236*INDEX(SPPR!$E:$X,MATCH($A236,SPPR!$A:$A,0),18),""),"")</f>
        <v/>
      </c>
      <c r="V236">
        <f>IFERROR(IF(ISNUMBER(INDEX(SPPR!$E:$X,MATCH($A236,SPPR!$A:$A,0),19)),$C236*INDEX(SPPR!$E:$X,MATCH($A236,SPPR!$A:$A,0),19),""),"")</f>
        <v/>
      </c>
      <c r="W236">
        <f>IFERROR(IF(ISNUMBER(INDEX(SPPR!$E:$X,MATCH($A236,SPPR!$A:$A,0),20)),$C236*INDEX(SPPR!$E:$X,MATCH($A236,SPPR!$A:$A,0),20),""),"")</f>
        <v/>
      </c>
    </row>
    <row r="237">
      <c r="A237" t="inlineStr">
        <is>
          <t>Platycaranx malabaricus</t>
        </is>
      </c>
      <c r="B237">
        <f>IFERROR(INDEX(SPPR!$D:$D,MATCH($A237,SPPR!$A:$A,0)),"")</f>
        <v/>
      </c>
      <c r="C237">
        <f>IFERROR(INDEX(Catch!$E:$BV,MATCH($A237,Catch!$A:$A,0),MATCH($B$4,Catch!$E$1:$BV$1,0)),0)</f>
        <v/>
      </c>
      <c r="D237">
        <f>IFERROR(IF(ISNUMBER(INDEX(SPPR!$E:$X,MATCH($A237,SPPR!$A:$A,0),1)),$C237*INDEX(SPPR!$E:$X,MATCH($A237,SPPR!$A:$A,0),1),""),"")</f>
        <v/>
      </c>
      <c r="E237">
        <f>IFERROR(IF(ISNUMBER(INDEX(SPPR!$E:$X,MATCH($A237,SPPR!$A:$A,0),2)),$C237*INDEX(SPPR!$E:$X,MATCH($A237,SPPR!$A:$A,0),2),""),"")</f>
        <v/>
      </c>
      <c r="F237">
        <f>IFERROR(IF(ISNUMBER(INDEX(SPPR!$E:$X,MATCH($A237,SPPR!$A:$A,0),3)),$C237*INDEX(SPPR!$E:$X,MATCH($A237,SPPR!$A:$A,0),3),""),"")</f>
        <v/>
      </c>
      <c r="G237">
        <f>IFERROR(IF(ISNUMBER(INDEX(SPPR!$E:$X,MATCH($A237,SPPR!$A:$A,0),4)),$C237*INDEX(SPPR!$E:$X,MATCH($A237,SPPR!$A:$A,0),4),""),"")</f>
        <v/>
      </c>
      <c r="H237">
        <f>IFERROR(IF(ISNUMBER(INDEX(SPPR!$E:$X,MATCH($A237,SPPR!$A:$A,0),5)),$C237*INDEX(SPPR!$E:$X,MATCH($A237,SPPR!$A:$A,0),5),""),"")</f>
        <v/>
      </c>
      <c r="I237">
        <f>IFERROR(IF(ISNUMBER(INDEX(SPPR!$E:$X,MATCH($A237,SPPR!$A:$A,0),6)),$C237*INDEX(SPPR!$E:$X,MATCH($A237,SPPR!$A:$A,0),6),""),"")</f>
        <v/>
      </c>
      <c r="J237">
        <f>IFERROR(IF(ISNUMBER(INDEX(SPPR!$E:$X,MATCH($A237,SPPR!$A:$A,0),7)),$C237*INDEX(SPPR!$E:$X,MATCH($A237,SPPR!$A:$A,0),7),""),"")</f>
        <v/>
      </c>
      <c r="K237">
        <f>IFERROR(IF(ISNUMBER(INDEX(SPPR!$E:$X,MATCH($A237,SPPR!$A:$A,0),8)),$C237*INDEX(SPPR!$E:$X,MATCH($A237,SPPR!$A:$A,0),8),""),"")</f>
        <v/>
      </c>
      <c r="L237">
        <f>IFERROR(IF(ISNUMBER(INDEX(SPPR!$E:$X,MATCH($A237,SPPR!$A:$A,0),9)),$C237*INDEX(SPPR!$E:$X,MATCH($A237,SPPR!$A:$A,0),9),""),"")</f>
        <v/>
      </c>
      <c r="M237">
        <f>IFERROR(IF(ISNUMBER(INDEX(SPPR!$E:$X,MATCH($A237,SPPR!$A:$A,0),10)),$C237*INDEX(SPPR!$E:$X,MATCH($A237,SPPR!$A:$A,0),10),""),"")</f>
        <v/>
      </c>
      <c r="N237">
        <f>IFERROR(IF(ISNUMBER(INDEX(SPPR!$E:$X,MATCH($A237,SPPR!$A:$A,0),11)),$C237*INDEX(SPPR!$E:$X,MATCH($A237,SPPR!$A:$A,0),11),""),"")</f>
        <v/>
      </c>
      <c r="O237">
        <f>IFERROR(IF(ISNUMBER(INDEX(SPPR!$E:$X,MATCH($A237,SPPR!$A:$A,0),12)),$C237*INDEX(SPPR!$E:$X,MATCH($A237,SPPR!$A:$A,0),12),""),"")</f>
        <v/>
      </c>
      <c r="P237">
        <f>IFERROR(IF(ISNUMBER(INDEX(SPPR!$E:$X,MATCH($A237,SPPR!$A:$A,0),13)),$C237*INDEX(SPPR!$E:$X,MATCH($A237,SPPR!$A:$A,0),13),""),"")</f>
        <v/>
      </c>
      <c r="Q237">
        <f>IFERROR(IF(ISNUMBER(INDEX(SPPR!$E:$X,MATCH($A237,SPPR!$A:$A,0),14)),$C237*INDEX(SPPR!$E:$X,MATCH($A237,SPPR!$A:$A,0),14),""),"")</f>
        <v/>
      </c>
      <c r="R237">
        <f>IFERROR(IF(ISNUMBER(INDEX(SPPR!$E:$X,MATCH($A237,SPPR!$A:$A,0),15)),$C237*INDEX(SPPR!$E:$X,MATCH($A237,SPPR!$A:$A,0),15),""),"")</f>
        <v/>
      </c>
      <c r="S237">
        <f>IFERROR(IF(ISNUMBER(INDEX(SPPR!$E:$X,MATCH($A237,SPPR!$A:$A,0),16)),$C237*INDEX(SPPR!$E:$X,MATCH($A237,SPPR!$A:$A,0),16),""),"")</f>
        <v/>
      </c>
      <c r="T237">
        <f>IFERROR(IF(ISNUMBER(INDEX(SPPR!$E:$X,MATCH($A237,SPPR!$A:$A,0),17)),$C237*INDEX(SPPR!$E:$X,MATCH($A237,SPPR!$A:$A,0),17),""),"")</f>
        <v/>
      </c>
      <c r="U237">
        <f>IFERROR(IF(ISNUMBER(INDEX(SPPR!$E:$X,MATCH($A237,SPPR!$A:$A,0),18)),$C237*INDEX(SPPR!$E:$X,MATCH($A237,SPPR!$A:$A,0),18),""),"")</f>
        <v/>
      </c>
      <c r="V237">
        <f>IFERROR(IF(ISNUMBER(INDEX(SPPR!$E:$X,MATCH($A237,SPPR!$A:$A,0),19)),$C237*INDEX(SPPR!$E:$X,MATCH($A237,SPPR!$A:$A,0),19),""),"")</f>
        <v/>
      </c>
      <c r="W237">
        <f>IFERROR(IF(ISNUMBER(INDEX(SPPR!$E:$X,MATCH($A237,SPPR!$A:$A,0),20)),$C237*INDEX(SPPR!$E:$X,MATCH($A237,SPPR!$A:$A,0),20),""),"")</f>
        <v/>
      </c>
    </row>
    <row r="238">
      <c r="A238" t="inlineStr">
        <is>
          <t>Nemipterus japonicus</t>
        </is>
      </c>
      <c r="B238">
        <f>IFERROR(INDEX(SPPR!$D:$D,MATCH($A238,SPPR!$A:$A,0)),"")</f>
        <v/>
      </c>
      <c r="C238">
        <f>IFERROR(INDEX(Catch!$E:$BV,MATCH($A238,Catch!$A:$A,0),MATCH($B$4,Catch!$E$1:$BV$1,0)),0)</f>
        <v/>
      </c>
      <c r="D238">
        <f>IFERROR(IF(ISNUMBER(INDEX(SPPR!$E:$X,MATCH($A238,SPPR!$A:$A,0),1)),$C238*INDEX(SPPR!$E:$X,MATCH($A238,SPPR!$A:$A,0),1),""),"")</f>
        <v/>
      </c>
      <c r="E238">
        <f>IFERROR(IF(ISNUMBER(INDEX(SPPR!$E:$X,MATCH($A238,SPPR!$A:$A,0),2)),$C238*INDEX(SPPR!$E:$X,MATCH($A238,SPPR!$A:$A,0),2),""),"")</f>
        <v/>
      </c>
      <c r="F238">
        <f>IFERROR(IF(ISNUMBER(INDEX(SPPR!$E:$X,MATCH($A238,SPPR!$A:$A,0),3)),$C238*INDEX(SPPR!$E:$X,MATCH($A238,SPPR!$A:$A,0),3),""),"")</f>
        <v/>
      </c>
      <c r="G238">
        <f>IFERROR(IF(ISNUMBER(INDEX(SPPR!$E:$X,MATCH($A238,SPPR!$A:$A,0),4)),$C238*INDEX(SPPR!$E:$X,MATCH($A238,SPPR!$A:$A,0),4),""),"")</f>
        <v/>
      </c>
      <c r="H238">
        <f>IFERROR(IF(ISNUMBER(INDEX(SPPR!$E:$X,MATCH($A238,SPPR!$A:$A,0),5)),$C238*INDEX(SPPR!$E:$X,MATCH($A238,SPPR!$A:$A,0),5),""),"")</f>
        <v/>
      </c>
      <c r="I238">
        <f>IFERROR(IF(ISNUMBER(INDEX(SPPR!$E:$X,MATCH($A238,SPPR!$A:$A,0),6)),$C238*INDEX(SPPR!$E:$X,MATCH($A238,SPPR!$A:$A,0),6),""),"")</f>
        <v/>
      </c>
      <c r="J238">
        <f>IFERROR(IF(ISNUMBER(INDEX(SPPR!$E:$X,MATCH($A238,SPPR!$A:$A,0),7)),$C238*INDEX(SPPR!$E:$X,MATCH($A238,SPPR!$A:$A,0),7),""),"")</f>
        <v/>
      </c>
      <c r="K238">
        <f>IFERROR(IF(ISNUMBER(INDEX(SPPR!$E:$X,MATCH($A238,SPPR!$A:$A,0),8)),$C238*INDEX(SPPR!$E:$X,MATCH($A238,SPPR!$A:$A,0),8),""),"")</f>
        <v/>
      </c>
      <c r="L238">
        <f>IFERROR(IF(ISNUMBER(INDEX(SPPR!$E:$X,MATCH($A238,SPPR!$A:$A,0),9)),$C238*INDEX(SPPR!$E:$X,MATCH($A238,SPPR!$A:$A,0),9),""),"")</f>
        <v/>
      </c>
      <c r="M238">
        <f>IFERROR(IF(ISNUMBER(INDEX(SPPR!$E:$X,MATCH($A238,SPPR!$A:$A,0),10)),$C238*INDEX(SPPR!$E:$X,MATCH($A238,SPPR!$A:$A,0),10),""),"")</f>
        <v/>
      </c>
      <c r="N238">
        <f>IFERROR(IF(ISNUMBER(INDEX(SPPR!$E:$X,MATCH($A238,SPPR!$A:$A,0),11)),$C238*INDEX(SPPR!$E:$X,MATCH($A238,SPPR!$A:$A,0),11),""),"")</f>
        <v/>
      </c>
      <c r="O238">
        <f>IFERROR(IF(ISNUMBER(INDEX(SPPR!$E:$X,MATCH($A238,SPPR!$A:$A,0),12)),$C238*INDEX(SPPR!$E:$X,MATCH($A238,SPPR!$A:$A,0),12),""),"")</f>
        <v/>
      </c>
      <c r="P238">
        <f>IFERROR(IF(ISNUMBER(INDEX(SPPR!$E:$X,MATCH($A238,SPPR!$A:$A,0),13)),$C238*INDEX(SPPR!$E:$X,MATCH($A238,SPPR!$A:$A,0),13),""),"")</f>
        <v/>
      </c>
      <c r="Q238">
        <f>IFERROR(IF(ISNUMBER(INDEX(SPPR!$E:$X,MATCH($A238,SPPR!$A:$A,0),14)),$C238*INDEX(SPPR!$E:$X,MATCH($A238,SPPR!$A:$A,0),14),""),"")</f>
        <v/>
      </c>
      <c r="R238">
        <f>IFERROR(IF(ISNUMBER(INDEX(SPPR!$E:$X,MATCH($A238,SPPR!$A:$A,0),15)),$C238*INDEX(SPPR!$E:$X,MATCH($A238,SPPR!$A:$A,0),15),""),"")</f>
        <v/>
      </c>
      <c r="S238">
        <f>IFERROR(IF(ISNUMBER(INDEX(SPPR!$E:$X,MATCH($A238,SPPR!$A:$A,0),16)),$C238*INDEX(SPPR!$E:$X,MATCH($A238,SPPR!$A:$A,0),16),""),"")</f>
        <v/>
      </c>
      <c r="T238">
        <f>IFERROR(IF(ISNUMBER(INDEX(SPPR!$E:$X,MATCH($A238,SPPR!$A:$A,0),17)),$C238*INDEX(SPPR!$E:$X,MATCH($A238,SPPR!$A:$A,0),17),""),"")</f>
        <v/>
      </c>
      <c r="U238">
        <f>IFERROR(IF(ISNUMBER(INDEX(SPPR!$E:$X,MATCH($A238,SPPR!$A:$A,0),18)),$C238*INDEX(SPPR!$E:$X,MATCH($A238,SPPR!$A:$A,0),18),""),"")</f>
        <v/>
      </c>
      <c r="V238">
        <f>IFERROR(IF(ISNUMBER(INDEX(SPPR!$E:$X,MATCH($A238,SPPR!$A:$A,0),19)),$C238*INDEX(SPPR!$E:$X,MATCH($A238,SPPR!$A:$A,0),19),""),"")</f>
        <v/>
      </c>
      <c r="W238">
        <f>IFERROR(IF(ISNUMBER(INDEX(SPPR!$E:$X,MATCH($A238,SPPR!$A:$A,0),20)),$C238*INDEX(SPPR!$E:$X,MATCH($A238,SPPR!$A:$A,0),20),""),"")</f>
        <v/>
      </c>
    </row>
    <row r="239">
      <c r="A239" t="inlineStr">
        <is>
          <t>Bothidae</t>
        </is>
      </c>
      <c r="B239">
        <f>IFERROR(INDEX(SPPR!$D:$D,MATCH($A239,SPPR!$A:$A,0)),"")</f>
        <v/>
      </c>
      <c r="C239">
        <f>IFERROR(INDEX(Catch!$E:$BV,MATCH($A239,Catch!$A:$A,0),MATCH($B$4,Catch!$E$1:$BV$1,0)),0)</f>
        <v/>
      </c>
      <c r="D239">
        <f>IFERROR(IF(ISNUMBER(INDEX(SPPR!$E:$X,MATCH($A239,SPPR!$A:$A,0),1)),$C239*INDEX(SPPR!$E:$X,MATCH($A239,SPPR!$A:$A,0),1),""),"")</f>
        <v/>
      </c>
      <c r="E239">
        <f>IFERROR(IF(ISNUMBER(INDEX(SPPR!$E:$X,MATCH($A239,SPPR!$A:$A,0),2)),$C239*INDEX(SPPR!$E:$X,MATCH($A239,SPPR!$A:$A,0),2),""),"")</f>
        <v/>
      </c>
      <c r="F239">
        <f>IFERROR(IF(ISNUMBER(INDEX(SPPR!$E:$X,MATCH($A239,SPPR!$A:$A,0),3)),$C239*INDEX(SPPR!$E:$X,MATCH($A239,SPPR!$A:$A,0),3),""),"")</f>
        <v/>
      </c>
      <c r="G239">
        <f>IFERROR(IF(ISNUMBER(INDEX(SPPR!$E:$X,MATCH($A239,SPPR!$A:$A,0),4)),$C239*INDEX(SPPR!$E:$X,MATCH($A239,SPPR!$A:$A,0),4),""),"")</f>
        <v/>
      </c>
      <c r="H239">
        <f>IFERROR(IF(ISNUMBER(INDEX(SPPR!$E:$X,MATCH($A239,SPPR!$A:$A,0),5)),$C239*INDEX(SPPR!$E:$X,MATCH($A239,SPPR!$A:$A,0),5),""),"")</f>
        <v/>
      </c>
      <c r="I239">
        <f>IFERROR(IF(ISNUMBER(INDEX(SPPR!$E:$X,MATCH($A239,SPPR!$A:$A,0),6)),$C239*INDEX(SPPR!$E:$X,MATCH($A239,SPPR!$A:$A,0),6),""),"")</f>
        <v/>
      </c>
      <c r="J239">
        <f>IFERROR(IF(ISNUMBER(INDEX(SPPR!$E:$X,MATCH($A239,SPPR!$A:$A,0),7)),$C239*INDEX(SPPR!$E:$X,MATCH($A239,SPPR!$A:$A,0),7),""),"")</f>
        <v/>
      </c>
      <c r="K239">
        <f>IFERROR(IF(ISNUMBER(INDEX(SPPR!$E:$X,MATCH($A239,SPPR!$A:$A,0),8)),$C239*INDEX(SPPR!$E:$X,MATCH($A239,SPPR!$A:$A,0),8),""),"")</f>
        <v/>
      </c>
      <c r="L239">
        <f>IFERROR(IF(ISNUMBER(INDEX(SPPR!$E:$X,MATCH($A239,SPPR!$A:$A,0),9)),$C239*INDEX(SPPR!$E:$X,MATCH($A239,SPPR!$A:$A,0),9),""),"")</f>
        <v/>
      </c>
      <c r="M239">
        <f>IFERROR(IF(ISNUMBER(INDEX(SPPR!$E:$X,MATCH($A239,SPPR!$A:$A,0),10)),$C239*INDEX(SPPR!$E:$X,MATCH($A239,SPPR!$A:$A,0),10),""),"")</f>
        <v/>
      </c>
      <c r="N239">
        <f>IFERROR(IF(ISNUMBER(INDEX(SPPR!$E:$X,MATCH($A239,SPPR!$A:$A,0),11)),$C239*INDEX(SPPR!$E:$X,MATCH($A239,SPPR!$A:$A,0),11),""),"")</f>
        <v/>
      </c>
      <c r="O239">
        <f>IFERROR(IF(ISNUMBER(INDEX(SPPR!$E:$X,MATCH($A239,SPPR!$A:$A,0),12)),$C239*INDEX(SPPR!$E:$X,MATCH($A239,SPPR!$A:$A,0),12),""),"")</f>
        <v/>
      </c>
      <c r="P239">
        <f>IFERROR(IF(ISNUMBER(INDEX(SPPR!$E:$X,MATCH($A239,SPPR!$A:$A,0),13)),$C239*INDEX(SPPR!$E:$X,MATCH($A239,SPPR!$A:$A,0),13),""),"")</f>
        <v/>
      </c>
      <c r="Q239">
        <f>IFERROR(IF(ISNUMBER(INDEX(SPPR!$E:$X,MATCH($A239,SPPR!$A:$A,0),14)),$C239*INDEX(SPPR!$E:$X,MATCH($A239,SPPR!$A:$A,0),14),""),"")</f>
        <v/>
      </c>
      <c r="R239">
        <f>IFERROR(IF(ISNUMBER(INDEX(SPPR!$E:$X,MATCH($A239,SPPR!$A:$A,0),15)),$C239*INDEX(SPPR!$E:$X,MATCH($A239,SPPR!$A:$A,0),15),""),"")</f>
        <v/>
      </c>
      <c r="S239">
        <f>IFERROR(IF(ISNUMBER(INDEX(SPPR!$E:$X,MATCH($A239,SPPR!$A:$A,0),16)),$C239*INDEX(SPPR!$E:$X,MATCH($A239,SPPR!$A:$A,0),16),""),"")</f>
        <v/>
      </c>
      <c r="T239">
        <f>IFERROR(IF(ISNUMBER(INDEX(SPPR!$E:$X,MATCH($A239,SPPR!$A:$A,0),17)),$C239*INDEX(SPPR!$E:$X,MATCH($A239,SPPR!$A:$A,0),17),""),"")</f>
        <v/>
      </c>
      <c r="U239">
        <f>IFERROR(IF(ISNUMBER(INDEX(SPPR!$E:$X,MATCH($A239,SPPR!$A:$A,0),18)),$C239*INDEX(SPPR!$E:$X,MATCH($A239,SPPR!$A:$A,0),18),""),"")</f>
        <v/>
      </c>
      <c r="V239">
        <f>IFERROR(IF(ISNUMBER(INDEX(SPPR!$E:$X,MATCH($A239,SPPR!$A:$A,0),19)),$C239*INDEX(SPPR!$E:$X,MATCH($A239,SPPR!$A:$A,0),19),""),"")</f>
        <v/>
      </c>
      <c r="W239">
        <f>IFERROR(IF(ISNUMBER(INDEX(SPPR!$E:$X,MATCH($A239,SPPR!$A:$A,0),20)),$C239*INDEX(SPPR!$E:$X,MATCH($A239,SPPR!$A:$A,0),20),""),"")</f>
        <v/>
      </c>
    </row>
    <row r="240">
      <c r="A240" t="inlineStr">
        <is>
          <t>Drepane</t>
        </is>
      </c>
      <c r="B240">
        <f>IFERROR(INDEX(SPPR!$D:$D,MATCH($A240,SPPR!$A:$A,0)),"")</f>
        <v/>
      </c>
      <c r="C240">
        <f>IFERROR(INDEX(Catch!$E:$BV,MATCH($A240,Catch!$A:$A,0),MATCH($B$4,Catch!$E$1:$BV$1,0)),0)</f>
        <v/>
      </c>
      <c r="D240">
        <f>IFERROR(IF(ISNUMBER(INDEX(SPPR!$E:$X,MATCH($A240,SPPR!$A:$A,0),1)),$C240*INDEX(SPPR!$E:$X,MATCH($A240,SPPR!$A:$A,0),1),""),"")</f>
        <v/>
      </c>
      <c r="E240">
        <f>IFERROR(IF(ISNUMBER(INDEX(SPPR!$E:$X,MATCH($A240,SPPR!$A:$A,0),2)),$C240*INDEX(SPPR!$E:$X,MATCH($A240,SPPR!$A:$A,0),2),""),"")</f>
        <v/>
      </c>
      <c r="F240">
        <f>IFERROR(IF(ISNUMBER(INDEX(SPPR!$E:$X,MATCH($A240,SPPR!$A:$A,0),3)),$C240*INDEX(SPPR!$E:$X,MATCH($A240,SPPR!$A:$A,0),3),""),"")</f>
        <v/>
      </c>
      <c r="G240">
        <f>IFERROR(IF(ISNUMBER(INDEX(SPPR!$E:$X,MATCH($A240,SPPR!$A:$A,0),4)),$C240*INDEX(SPPR!$E:$X,MATCH($A240,SPPR!$A:$A,0),4),""),"")</f>
        <v/>
      </c>
      <c r="H240">
        <f>IFERROR(IF(ISNUMBER(INDEX(SPPR!$E:$X,MATCH($A240,SPPR!$A:$A,0),5)),$C240*INDEX(SPPR!$E:$X,MATCH($A240,SPPR!$A:$A,0),5),""),"")</f>
        <v/>
      </c>
      <c r="I240">
        <f>IFERROR(IF(ISNUMBER(INDEX(SPPR!$E:$X,MATCH($A240,SPPR!$A:$A,0),6)),$C240*INDEX(SPPR!$E:$X,MATCH($A240,SPPR!$A:$A,0),6),""),"")</f>
        <v/>
      </c>
      <c r="J240">
        <f>IFERROR(IF(ISNUMBER(INDEX(SPPR!$E:$X,MATCH($A240,SPPR!$A:$A,0),7)),$C240*INDEX(SPPR!$E:$X,MATCH($A240,SPPR!$A:$A,0),7),""),"")</f>
        <v/>
      </c>
      <c r="K240">
        <f>IFERROR(IF(ISNUMBER(INDEX(SPPR!$E:$X,MATCH($A240,SPPR!$A:$A,0),8)),$C240*INDEX(SPPR!$E:$X,MATCH($A240,SPPR!$A:$A,0),8),""),"")</f>
        <v/>
      </c>
      <c r="L240">
        <f>IFERROR(IF(ISNUMBER(INDEX(SPPR!$E:$X,MATCH($A240,SPPR!$A:$A,0),9)),$C240*INDEX(SPPR!$E:$X,MATCH($A240,SPPR!$A:$A,0),9),""),"")</f>
        <v/>
      </c>
      <c r="M240">
        <f>IFERROR(IF(ISNUMBER(INDEX(SPPR!$E:$X,MATCH($A240,SPPR!$A:$A,0),10)),$C240*INDEX(SPPR!$E:$X,MATCH($A240,SPPR!$A:$A,0),10),""),"")</f>
        <v/>
      </c>
      <c r="N240">
        <f>IFERROR(IF(ISNUMBER(INDEX(SPPR!$E:$X,MATCH($A240,SPPR!$A:$A,0),11)),$C240*INDEX(SPPR!$E:$X,MATCH($A240,SPPR!$A:$A,0),11),""),"")</f>
        <v/>
      </c>
      <c r="O240">
        <f>IFERROR(IF(ISNUMBER(INDEX(SPPR!$E:$X,MATCH($A240,SPPR!$A:$A,0),12)),$C240*INDEX(SPPR!$E:$X,MATCH($A240,SPPR!$A:$A,0),12),""),"")</f>
        <v/>
      </c>
      <c r="P240">
        <f>IFERROR(IF(ISNUMBER(INDEX(SPPR!$E:$X,MATCH($A240,SPPR!$A:$A,0),13)),$C240*INDEX(SPPR!$E:$X,MATCH($A240,SPPR!$A:$A,0),13),""),"")</f>
        <v/>
      </c>
      <c r="Q240">
        <f>IFERROR(IF(ISNUMBER(INDEX(SPPR!$E:$X,MATCH($A240,SPPR!$A:$A,0),14)),$C240*INDEX(SPPR!$E:$X,MATCH($A240,SPPR!$A:$A,0),14),""),"")</f>
        <v/>
      </c>
      <c r="R240">
        <f>IFERROR(IF(ISNUMBER(INDEX(SPPR!$E:$X,MATCH($A240,SPPR!$A:$A,0),15)),$C240*INDEX(SPPR!$E:$X,MATCH($A240,SPPR!$A:$A,0),15),""),"")</f>
        <v/>
      </c>
      <c r="S240">
        <f>IFERROR(IF(ISNUMBER(INDEX(SPPR!$E:$X,MATCH($A240,SPPR!$A:$A,0),16)),$C240*INDEX(SPPR!$E:$X,MATCH($A240,SPPR!$A:$A,0),16),""),"")</f>
        <v/>
      </c>
      <c r="T240">
        <f>IFERROR(IF(ISNUMBER(INDEX(SPPR!$E:$X,MATCH($A240,SPPR!$A:$A,0),17)),$C240*INDEX(SPPR!$E:$X,MATCH($A240,SPPR!$A:$A,0),17),""),"")</f>
        <v/>
      </c>
      <c r="U240">
        <f>IFERROR(IF(ISNUMBER(INDEX(SPPR!$E:$X,MATCH($A240,SPPR!$A:$A,0),18)),$C240*INDEX(SPPR!$E:$X,MATCH($A240,SPPR!$A:$A,0),18),""),"")</f>
        <v/>
      </c>
      <c r="V240">
        <f>IFERROR(IF(ISNUMBER(INDEX(SPPR!$E:$X,MATCH($A240,SPPR!$A:$A,0),19)),$C240*INDEX(SPPR!$E:$X,MATCH($A240,SPPR!$A:$A,0),19),""),"")</f>
        <v/>
      </c>
      <c r="W240">
        <f>IFERROR(IF(ISNUMBER(INDEX(SPPR!$E:$X,MATCH($A240,SPPR!$A:$A,0),20)),$C240*INDEX(SPPR!$E:$X,MATCH($A240,SPPR!$A:$A,0),20),""),"")</f>
        <v/>
      </c>
    </row>
    <row r="241">
      <c r="A241" t="inlineStr">
        <is>
          <t>Lateolabrax japonicus</t>
        </is>
      </c>
      <c r="B241">
        <f>IFERROR(INDEX(SPPR!$D:$D,MATCH($A241,SPPR!$A:$A,0)),"")</f>
        <v/>
      </c>
      <c r="C241">
        <f>IFERROR(INDEX(Catch!$E:$BV,MATCH($A241,Catch!$A:$A,0),MATCH($B$4,Catch!$E$1:$BV$1,0)),0)</f>
        <v/>
      </c>
      <c r="D241">
        <f>IFERROR(IF(ISNUMBER(INDEX(SPPR!$E:$X,MATCH($A241,SPPR!$A:$A,0),1)),$C241*INDEX(SPPR!$E:$X,MATCH($A241,SPPR!$A:$A,0),1),""),"")</f>
        <v/>
      </c>
      <c r="E241">
        <f>IFERROR(IF(ISNUMBER(INDEX(SPPR!$E:$X,MATCH($A241,SPPR!$A:$A,0),2)),$C241*INDEX(SPPR!$E:$X,MATCH($A241,SPPR!$A:$A,0),2),""),"")</f>
        <v/>
      </c>
      <c r="F241">
        <f>IFERROR(IF(ISNUMBER(INDEX(SPPR!$E:$X,MATCH($A241,SPPR!$A:$A,0),3)),$C241*INDEX(SPPR!$E:$X,MATCH($A241,SPPR!$A:$A,0),3),""),"")</f>
        <v/>
      </c>
      <c r="G241">
        <f>IFERROR(IF(ISNUMBER(INDEX(SPPR!$E:$X,MATCH($A241,SPPR!$A:$A,0),4)),$C241*INDEX(SPPR!$E:$X,MATCH($A241,SPPR!$A:$A,0),4),""),"")</f>
        <v/>
      </c>
      <c r="H241">
        <f>IFERROR(IF(ISNUMBER(INDEX(SPPR!$E:$X,MATCH($A241,SPPR!$A:$A,0),5)),$C241*INDEX(SPPR!$E:$X,MATCH($A241,SPPR!$A:$A,0),5),""),"")</f>
        <v/>
      </c>
      <c r="I241">
        <f>IFERROR(IF(ISNUMBER(INDEX(SPPR!$E:$X,MATCH($A241,SPPR!$A:$A,0),6)),$C241*INDEX(SPPR!$E:$X,MATCH($A241,SPPR!$A:$A,0),6),""),"")</f>
        <v/>
      </c>
      <c r="J241">
        <f>IFERROR(IF(ISNUMBER(INDEX(SPPR!$E:$X,MATCH($A241,SPPR!$A:$A,0),7)),$C241*INDEX(SPPR!$E:$X,MATCH($A241,SPPR!$A:$A,0),7),""),"")</f>
        <v/>
      </c>
      <c r="K241">
        <f>IFERROR(IF(ISNUMBER(INDEX(SPPR!$E:$X,MATCH($A241,SPPR!$A:$A,0),8)),$C241*INDEX(SPPR!$E:$X,MATCH($A241,SPPR!$A:$A,0),8),""),"")</f>
        <v/>
      </c>
      <c r="L241">
        <f>IFERROR(IF(ISNUMBER(INDEX(SPPR!$E:$X,MATCH($A241,SPPR!$A:$A,0),9)),$C241*INDEX(SPPR!$E:$X,MATCH($A241,SPPR!$A:$A,0),9),""),"")</f>
        <v/>
      </c>
      <c r="M241">
        <f>IFERROR(IF(ISNUMBER(INDEX(SPPR!$E:$X,MATCH($A241,SPPR!$A:$A,0),10)),$C241*INDEX(SPPR!$E:$X,MATCH($A241,SPPR!$A:$A,0),10),""),"")</f>
        <v/>
      </c>
      <c r="N241">
        <f>IFERROR(IF(ISNUMBER(INDEX(SPPR!$E:$X,MATCH($A241,SPPR!$A:$A,0),11)),$C241*INDEX(SPPR!$E:$X,MATCH($A241,SPPR!$A:$A,0),11),""),"")</f>
        <v/>
      </c>
      <c r="O241">
        <f>IFERROR(IF(ISNUMBER(INDEX(SPPR!$E:$X,MATCH($A241,SPPR!$A:$A,0),12)),$C241*INDEX(SPPR!$E:$X,MATCH($A241,SPPR!$A:$A,0),12),""),"")</f>
        <v/>
      </c>
      <c r="P241">
        <f>IFERROR(IF(ISNUMBER(INDEX(SPPR!$E:$X,MATCH($A241,SPPR!$A:$A,0),13)),$C241*INDEX(SPPR!$E:$X,MATCH($A241,SPPR!$A:$A,0),13),""),"")</f>
        <v/>
      </c>
      <c r="Q241">
        <f>IFERROR(IF(ISNUMBER(INDEX(SPPR!$E:$X,MATCH($A241,SPPR!$A:$A,0),14)),$C241*INDEX(SPPR!$E:$X,MATCH($A241,SPPR!$A:$A,0),14),""),"")</f>
        <v/>
      </c>
      <c r="R241">
        <f>IFERROR(IF(ISNUMBER(INDEX(SPPR!$E:$X,MATCH($A241,SPPR!$A:$A,0),15)),$C241*INDEX(SPPR!$E:$X,MATCH($A241,SPPR!$A:$A,0),15),""),"")</f>
        <v/>
      </c>
      <c r="S241">
        <f>IFERROR(IF(ISNUMBER(INDEX(SPPR!$E:$X,MATCH($A241,SPPR!$A:$A,0),16)),$C241*INDEX(SPPR!$E:$X,MATCH($A241,SPPR!$A:$A,0),16),""),"")</f>
        <v/>
      </c>
      <c r="T241">
        <f>IFERROR(IF(ISNUMBER(INDEX(SPPR!$E:$X,MATCH($A241,SPPR!$A:$A,0),17)),$C241*INDEX(SPPR!$E:$X,MATCH($A241,SPPR!$A:$A,0),17),""),"")</f>
        <v/>
      </c>
      <c r="U241">
        <f>IFERROR(IF(ISNUMBER(INDEX(SPPR!$E:$X,MATCH($A241,SPPR!$A:$A,0),18)),$C241*INDEX(SPPR!$E:$X,MATCH($A241,SPPR!$A:$A,0),18),""),"")</f>
        <v/>
      </c>
      <c r="V241">
        <f>IFERROR(IF(ISNUMBER(INDEX(SPPR!$E:$X,MATCH($A241,SPPR!$A:$A,0),19)),$C241*INDEX(SPPR!$E:$X,MATCH($A241,SPPR!$A:$A,0),19),""),"")</f>
        <v/>
      </c>
      <c r="W241">
        <f>IFERROR(IF(ISNUMBER(INDEX(SPPR!$E:$X,MATCH($A241,SPPR!$A:$A,0),20)),$C241*INDEX(SPPR!$E:$X,MATCH($A241,SPPR!$A:$A,0),20),""),"")</f>
        <v/>
      </c>
    </row>
    <row r="242">
      <c r="A242" t="inlineStr">
        <is>
          <t>Auxis rochei</t>
        </is>
      </c>
      <c r="B242">
        <f>IFERROR(INDEX(SPPR!$D:$D,MATCH($A242,SPPR!$A:$A,0)),"")</f>
        <v/>
      </c>
      <c r="C242">
        <f>IFERROR(INDEX(Catch!$E:$BV,MATCH($A242,Catch!$A:$A,0),MATCH($B$4,Catch!$E$1:$BV$1,0)),0)</f>
        <v/>
      </c>
      <c r="D242">
        <f>IFERROR(IF(ISNUMBER(INDEX(SPPR!$E:$X,MATCH($A242,SPPR!$A:$A,0),1)),$C242*INDEX(SPPR!$E:$X,MATCH($A242,SPPR!$A:$A,0),1),""),"")</f>
        <v/>
      </c>
      <c r="E242">
        <f>IFERROR(IF(ISNUMBER(INDEX(SPPR!$E:$X,MATCH($A242,SPPR!$A:$A,0),2)),$C242*INDEX(SPPR!$E:$X,MATCH($A242,SPPR!$A:$A,0),2),""),"")</f>
        <v/>
      </c>
      <c r="F242">
        <f>IFERROR(IF(ISNUMBER(INDEX(SPPR!$E:$X,MATCH($A242,SPPR!$A:$A,0),3)),$C242*INDEX(SPPR!$E:$X,MATCH($A242,SPPR!$A:$A,0),3),""),"")</f>
        <v/>
      </c>
      <c r="G242">
        <f>IFERROR(IF(ISNUMBER(INDEX(SPPR!$E:$X,MATCH($A242,SPPR!$A:$A,0),4)),$C242*INDEX(SPPR!$E:$X,MATCH($A242,SPPR!$A:$A,0),4),""),"")</f>
        <v/>
      </c>
      <c r="H242">
        <f>IFERROR(IF(ISNUMBER(INDEX(SPPR!$E:$X,MATCH($A242,SPPR!$A:$A,0),5)),$C242*INDEX(SPPR!$E:$X,MATCH($A242,SPPR!$A:$A,0),5),""),"")</f>
        <v/>
      </c>
      <c r="I242">
        <f>IFERROR(IF(ISNUMBER(INDEX(SPPR!$E:$X,MATCH($A242,SPPR!$A:$A,0),6)),$C242*INDEX(SPPR!$E:$X,MATCH($A242,SPPR!$A:$A,0),6),""),"")</f>
        <v/>
      </c>
      <c r="J242">
        <f>IFERROR(IF(ISNUMBER(INDEX(SPPR!$E:$X,MATCH($A242,SPPR!$A:$A,0),7)),$C242*INDEX(SPPR!$E:$X,MATCH($A242,SPPR!$A:$A,0),7),""),"")</f>
        <v/>
      </c>
      <c r="K242">
        <f>IFERROR(IF(ISNUMBER(INDEX(SPPR!$E:$X,MATCH($A242,SPPR!$A:$A,0),8)),$C242*INDEX(SPPR!$E:$X,MATCH($A242,SPPR!$A:$A,0),8),""),"")</f>
        <v/>
      </c>
      <c r="L242">
        <f>IFERROR(IF(ISNUMBER(INDEX(SPPR!$E:$X,MATCH($A242,SPPR!$A:$A,0),9)),$C242*INDEX(SPPR!$E:$X,MATCH($A242,SPPR!$A:$A,0),9),""),"")</f>
        <v/>
      </c>
      <c r="M242">
        <f>IFERROR(IF(ISNUMBER(INDEX(SPPR!$E:$X,MATCH($A242,SPPR!$A:$A,0),10)),$C242*INDEX(SPPR!$E:$X,MATCH($A242,SPPR!$A:$A,0),10),""),"")</f>
        <v/>
      </c>
      <c r="N242">
        <f>IFERROR(IF(ISNUMBER(INDEX(SPPR!$E:$X,MATCH($A242,SPPR!$A:$A,0),11)),$C242*INDEX(SPPR!$E:$X,MATCH($A242,SPPR!$A:$A,0),11),""),"")</f>
        <v/>
      </c>
      <c r="O242">
        <f>IFERROR(IF(ISNUMBER(INDEX(SPPR!$E:$X,MATCH($A242,SPPR!$A:$A,0),12)),$C242*INDEX(SPPR!$E:$X,MATCH($A242,SPPR!$A:$A,0),12),""),"")</f>
        <v/>
      </c>
      <c r="P242">
        <f>IFERROR(IF(ISNUMBER(INDEX(SPPR!$E:$X,MATCH($A242,SPPR!$A:$A,0),13)),$C242*INDEX(SPPR!$E:$X,MATCH($A242,SPPR!$A:$A,0),13),""),"")</f>
        <v/>
      </c>
      <c r="Q242">
        <f>IFERROR(IF(ISNUMBER(INDEX(SPPR!$E:$X,MATCH($A242,SPPR!$A:$A,0),14)),$C242*INDEX(SPPR!$E:$X,MATCH($A242,SPPR!$A:$A,0),14),""),"")</f>
        <v/>
      </c>
      <c r="R242">
        <f>IFERROR(IF(ISNUMBER(INDEX(SPPR!$E:$X,MATCH($A242,SPPR!$A:$A,0),15)),$C242*INDEX(SPPR!$E:$X,MATCH($A242,SPPR!$A:$A,0),15),""),"")</f>
        <v/>
      </c>
      <c r="S242">
        <f>IFERROR(IF(ISNUMBER(INDEX(SPPR!$E:$X,MATCH($A242,SPPR!$A:$A,0),16)),$C242*INDEX(SPPR!$E:$X,MATCH($A242,SPPR!$A:$A,0),16),""),"")</f>
        <v/>
      </c>
      <c r="T242">
        <f>IFERROR(IF(ISNUMBER(INDEX(SPPR!$E:$X,MATCH($A242,SPPR!$A:$A,0),17)),$C242*INDEX(SPPR!$E:$X,MATCH($A242,SPPR!$A:$A,0),17),""),"")</f>
        <v/>
      </c>
      <c r="U242">
        <f>IFERROR(IF(ISNUMBER(INDEX(SPPR!$E:$X,MATCH($A242,SPPR!$A:$A,0),18)),$C242*INDEX(SPPR!$E:$X,MATCH($A242,SPPR!$A:$A,0),18),""),"")</f>
        <v/>
      </c>
      <c r="V242">
        <f>IFERROR(IF(ISNUMBER(INDEX(SPPR!$E:$X,MATCH($A242,SPPR!$A:$A,0),19)),$C242*INDEX(SPPR!$E:$X,MATCH($A242,SPPR!$A:$A,0),19),""),"")</f>
        <v/>
      </c>
      <c r="W242">
        <f>IFERROR(IF(ISNUMBER(INDEX(SPPR!$E:$X,MATCH($A242,SPPR!$A:$A,0),20)),$C242*INDEX(SPPR!$E:$X,MATCH($A242,SPPR!$A:$A,0),20),""),"")</f>
        <v/>
      </c>
    </row>
    <row r="243">
      <c r="A243" t="inlineStr">
        <is>
          <t>Nibea mitsukurii</t>
        </is>
      </c>
      <c r="B243">
        <f>IFERROR(INDEX(SPPR!$D:$D,MATCH($A243,SPPR!$A:$A,0)),"")</f>
        <v/>
      </c>
      <c r="C243">
        <f>IFERROR(INDEX(Catch!$E:$BV,MATCH($A243,Catch!$A:$A,0),MATCH($B$4,Catch!$E$1:$BV$1,0)),0)</f>
        <v/>
      </c>
      <c r="D243">
        <f>IFERROR(IF(ISNUMBER(INDEX(SPPR!$E:$X,MATCH($A243,SPPR!$A:$A,0),1)),$C243*INDEX(SPPR!$E:$X,MATCH($A243,SPPR!$A:$A,0),1),""),"")</f>
        <v/>
      </c>
      <c r="E243">
        <f>IFERROR(IF(ISNUMBER(INDEX(SPPR!$E:$X,MATCH($A243,SPPR!$A:$A,0),2)),$C243*INDEX(SPPR!$E:$X,MATCH($A243,SPPR!$A:$A,0),2),""),"")</f>
        <v/>
      </c>
      <c r="F243">
        <f>IFERROR(IF(ISNUMBER(INDEX(SPPR!$E:$X,MATCH($A243,SPPR!$A:$A,0),3)),$C243*INDEX(SPPR!$E:$X,MATCH($A243,SPPR!$A:$A,0),3),""),"")</f>
        <v/>
      </c>
      <c r="G243">
        <f>IFERROR(IF(ISNUMBER(INDEX(SPPR!$E:$X,MATCH($A243,SPPR!$A:$A,0),4)),$C243*INDEX(SPPR!$E:$X,MATCH($A243,SPPR!$A:$A,0),4),""),"")</f>
        <v/>
      </c>
      <c r="H243">
        <f>IFERROR(IF(ISNUMBER(INDEX(SPPR!$E:$X,MATCH($A243,SPPR!$A:$A,0),5)),$C243*INDEX(SPPR!$E:$X,MATCH($A243,SPPR!$A:$A,0),5),""),"")</f>
        <v/>
      </c>
      <c r="I243">
        <f>IFERROR(IF(ISNUMBER(INDEX(SPPR!$E:$X,MATCH($A243,SPPR!$A:$A,0),6)),$C243*INDEX(SPPR!$E:$X,MATCH($A243,SPPR!$A:$A,0),6),""),"")</f>
        <v/>
      </c>
      <c r="J243">
        <f>IFERROR(IF(ISNUMBER(INDEX(SPPR!$E:$X,MATCH($A243,SPPR!$A:$A,0),7)),$C243*INDEX(SPPR!$E:$X,MATCH($A243,SPPR!$A:$A,0),7),""),"")</f>
        <v/>
      </c>
      <c r="K243">
        <f>IFERROR(IF(ISNUMBER(INDEX(SPPR!$E:$X,MATCH($A243,SPPR!$A:$A,0),8)),$C243*INDEX(SPPR!$E:$X,MATCH($A243,SPPR!$A:$A,0),8),""),"")</f>
        <v/>
      </c>
      <c r="L243">
        <f>IFERROR(IF(ISNUMBER(INDEX(SPPR!$E:$X,MATCH($A243,SPPR!$A:$A,0),9)),$C243*INDEX(SPPR!$E:$X,MATCH($A243,SPPR!$A:$A,0),9),""),"")</f>
        <v/>
      </c>
      <c r="M243">
        <f>IFERROR(IF(ISNUMBER(INDEX(SPPR!$E:$X,MATCH($A243,SPPR!$A:$A,0),10)),$C243*INDEX(SPPR!$E:$X,MATCH($A243,SPPR!$A:$A,0),10),""),"")</f>
        <v/>
      </c>
      <c r="N243">
        <f>IFERROR(IF(ISNUMBER(INDEX(SPPR!$E:$X,MATCH($A243,SPPR!$A:$A,0),11)),$C243*INDEX(SPPR!$E:$X,MATCH($A243,SPPR!$A:$A,0),11),""),"")</f>
        <v/>
      </c>
      <c r="O243">
        <f>IFERROR(IF(ISNUMBER(INDEX(SPPR!$E:$X,MATCH($A243,SPPR!$A:$A,0),12)),$C243*INDEX(SPPR!$E:$X,MATCH($A243,SPPR!$A:$A,0),12),""),"")</f>
        <v/>
      </c>
      <c r="P243">
        <f>IFERROR(IF(ISNUMBER(INDEX(SPPR!$E:$X,MATCH($A243,SPPR!$A:$A,0),13)),$C243*INDEX(SPPR!$E:$X,MATCH($A243,SPPR!$A:$A,0),13),""),"")</f>
        <v/>
      </c>
      <c r="Q243">
        <f>IFERROR(IF(ISNUMBER(INDEX(SPPR!$E:$X,MATCH($A243,SPPR!$A:$A,0),14)),$C243*INDEX(SPPR!$E:$X,MATCH($A243,SPPR!$A:$A,0),14),""),"")</f>
        <v/>
      </c>
      <c r="R243">
        <f>IFERROR(IF(ISNUMBER(INDEX(SPPR!$E:$X,MATCH($A243,SPPR!$A:$A,0),15)),$C243*INDEX(SPPR!$E:$X,MATCH($A243,SPPR!$A:$A,0),15),""),"")</f>
        <v/>
      </c>
      <c r="S243">
        <f>IFERROR(IF(ISNUMBER(INDEX(SPPR!$E:$X,MATCH($A243,SPPR!$A:$A,0),16)),$C243*INDEX(SPPR!$E:$X,MATCH($A243,SPPR!$A:$A,0),16),""),"")</f>
        <v/>
      </c>
      <c r="T243">
        <f>IFERROR(IF(ISNUMBER(INDEX(SPPR!$E:$X,MATCH($A243,SPPR!$A:$A,0),17)),$C243*INDEX(SPPR!$E:$X,MATCH($A243,SPPR!$A:$A,0),17),""),"")</f>
        <v/>
      </c>
      <c r="U243">
        <f>IFERROR(IF(ISNUMBER(INDEX(SPPR!$E:$X,MATCH($A243,SPPR!$A:$A,0),18)),$C243*INDEX(SPPR!$E:$X,MATCH($A243,SPPR!$A:$A,0),18),""),"")</f>
        <v/>
      </c>
      <c r="V243">
        <f>IFERROR(IF(ISNUMBER(INDEX(SPPR!$E:$X,MATCH($A243,SPPR!$A:$A,0),19)),$C243*INDEX(SPPR!$E:$X,MATCH($A243,SPPR!$A:$A,0),19),""),"")</f>
        <v/>
      </c>
      <c r="W243">
        <f>IFERROR(IF(ISNUMBER(INDEX(SPPR!$E:$X,MATCH($A243,SPPR!$A:$A,0),20)),$C243*INDEX(SPPR!$E:$X,MATCH($A243,SPPR!$A:$A,0),20),""),"")</f>
        <v/>
      </c>
    </row>
    <row r="244">
      <c r="A244" t="inlineStr">
        <is>
          <t>Meretrix lusoria</t>
        </is>
      </c>
      <c r="B244">
        <f>IFERROR(INDEX(SPPR!$D:$D,MATCH($A244,SPPR!$A:$A,0)),"")</f>
        <v/>
      </c>
      <c r="C244">
        <f>IFERROR(INDEX(Catch!$E:$BV,MATCH($A244,Catch!$A:$A,0),MATCH($B$4,Catch!$E$1:$BV$1,0)),0)</f>
        <v/>
      </c>
      <c r="D244">
        <f>IFERROR(IF(ISNUMBER(INDEX(SPPR!$E:$X,MATCH($A244,SPPR!$A:$A,0),1)),$C244*INDEX(SPPR!$E:$X,MATCH($A244,SPPR!$A:$A,0),1),""),"")</f>
        <v/>
      </c>
      <c r="E244">
        <f>IFERROR(IF(ISNUMBER(INDEX(SPPR!$E:$X,MATCH($A244,SPPR!$A:$A,0),2)),$C244*INDEX(SPPR!$E:$X,MATCH($A244,SPPR!$A:$A,0),2),""),"")</f>
        <v/>
      </c>
      <c r="F244">
        <f>IFERROR(IF(ISNUMBER(INDEX(SPPR!$E:$X,MATCH($A244,SPPR!$A:$A,0),3)),$C244*INDEX(SPPR!$E:$X,MATCH($A244,SPPR!$A:$A,0),3),""),"")</f>
        <v/>
      </c>
      <c r="G244">
        <f>IFERROR(IF(ISNUMBER(INDEX(SPPR!$E:$X,MATCH($A244,SPPR!$A:$A,0),4)),$C244*INDEX(SPPR!$E:$X,MATCH($A244,SPPR!$A:$A,0),4),""),"")</f>
        <v/>
      </c>
      <c r="H244">
        <f>IFERROR(IF(ISNUMBER(INDEX(SPPR!$E:$X,MATCH($A244,SPPR!$A:$A,0),5)),$C244*INDEX(SPPR!$E:$X,MATCH($A244,SPPR!$A:$A,0),5),""),"")</f>
        <v/>
      </c>
      <c r="I244">
        <f>IFERROR(IF(ISNUMBER(INDEX(SPPR!$E:$X,MATCH($A244,SPPR!$A:$A,0),6)),$C244*INDEX(SPPR!$E:$X,MATCH($A244,SPPR!$A:$A,0),6),""),"")</f>
        <v/>
      </c>
      <c r="J244">
        <f>IFERROR(IF(ISNUMBER(INDEX(SPPR!$E:$X,MATCH($A244,SPPR!$A:$A,0),7)),$C244*INDEX(SPPR!$E:$X,MATCH($A244,SPPR!$A:$A,0),7),""),"")</f>
        <v/>
      </c>
      <c r="K244">
        <f>IFERROR(IF(ISNUMBER(INDEX(SPPR!$E:$X,MATCH($A244,SPPR!$A:$A,0),8)),$C244*INDEX(SPPR!$E:$X,MATCH($A244,SPPR!$A:$A,0),8),""),"")</f>
        <v/>
      </c>
      <c r="L244">
        <f>IFERROR(IF(ISNUMBER(INDEX(SPPR!$E:$X,MATCH($A244,SPPR!$A:$A,0),9)),$C244*INDEX(SPPR!$E:$X,MATCH($A244,SPPR!$A:$A,0),9),""),"")</f>
        <v/>
      </c>
      <c r="M244">
        <f>IFERROR(IF(ISNUMBER(INDEX(SPPR!$E:$X,MATCH($A244,SPPR!$A:$A,0),10)),$C244*INDEX(SPPR!$E:$X,MATCH($A244,SPPR!$A:$A,0),10),""),"")</f>
        <v/>
      </c>
      <c r="N244">
        <f>IFERROR(IF(ISNUMBER(INDEX(SPPR!$E:$X,MATCH($A244,SPPR!$A:$A,0),11)),$C244*INDEX(SPPR!$E:$X,MATCH($A244,SPPR!$A:$A,0),11),""),"")</f>
        <v/>
      </c>
      <c r="O244">
        <f>IFERROR(IF(ISNUMBER(INDEX(SPPR!$E:$X,MATCH($A244,SPPR!$A:$A,0),12)),$C244*INDEX(SPPR!$E:$X,MATCH($A244,SPPR!$A:$A,0),12),""),"")</f>
        <v/>
      </c>
      <c r="P244">
        <f>IFERROR(IF(ISNUMBER(INDEX(SPPR!$E:$X,MATCH($A244,SPPR!$A:$A,0),13)),$C244*INDEX(SPPR!$E:$X,MATCH($A244,SPPR!$A:$A,0),13),""),"")</f>
        <v/>
      </c>
      <c r="Q244">
        <f>IFERROR(IF(ISNUMBER(INDEX(SPPR!$E:$X,MATCH($A244,SPPR!$A:$A,0),14)),$C244*INDEX(SPPR!$E:$X,MATCH($A244,SPPR!$A:$A,0),14),""),"")</f>
        <v/>
      </c>
      <c r="R244">
        <f>IFERROR(IF(ISNUMBER(INDEX(SPPR!$E:$X,MATCH($A244,SPPR!$A:$A,0),15)),$C244*INDEX(SPPR!$E:$X,MATCH($A244,SPPR!$A:$A,0),15),""),"")</f>
        <v/>
      </c>
      <c r="S244">
        <f>IFERROR(IF(ISNUMBER(INDEX(SPPR!$E:$X,MATCH($A244,SPPR!$A:$A,0),16)),$C244*INDEX(SPPR!$E:$X,MATCH($A244,SPPR!$A:$A,0),16),""),"")</f>
        <v/>
      </c>
      <c r="T244">
        <f>IFERROR(IF(ISNUMBER(INDEX(SPPR!$E:$X,MATCH($A244,SPPR!$A:$A,0),17)),$C244*INDEX(SPPR!$E:$X,MATCH($A244,SPPR!$A:$A,0),17),""),"")</f>
        <v/>
      </c>
      <c r="U244">
        <f>IFERROR(IF(ISNUMBER(INDEX(SPPR!$E:$X,MATCH($A244,SPPR!$A:$A,0),18)),$C244*INDEX(SPPR!$E:$X,MATCH($A244,SPPR!$A:$A,0),18),""),"")</f>
        <v/>
      </c>
      <c r="V244">
        <f>IFERROR(IF(ISNUMBER(INDEX(SPPR!$E:$X,MATCH($A244,SPPR!$A:$A,0),19)),$C244*INDEX(SPPR!$E:$X,MATCH($A244,SPPR!$A:$A,0),19),""),"")</f>
        <v/>
      </c>
      <c r="W244">
        <f>IFERROR(IF(ISNUMBER(INDEX(SPPR!$E:$X,MATCH($A244,SPPR!$A:$A,0),20)),$C244*INDEX(SPPR!$E:$X,MATCH($A244,SPPR!$A:$A,0),20),""),"")</f>
        <v/>
      </c>
    </row>
    <row r="245">
      <c r="A245" t="inlineStr">
        <is>
          <t>Hemiramphidae</t>
        </is>
      </c>
      <c r="B245">
        <f>IFERROR(INDEX(SPPR!$D:$D,MATCH($A245,SPPR!$A:$A,0)),"")</f>
        <v/>
      </c>
      <c r="C245">
        <f>IFERROR(INDEX(Catch!$E:$BV,MATCH($A245,Catch!$A:$A,0),MATCH($B$4,Catch!$E$1:$BV$1,0)),0)</f>
        <v/>
      </c>
      <c r="D245">
        <f>IFERROR(IF(ISNUMBER(INDEX(SPPR!$E:$X,MATCH($A245,SPPR!$A:$A,0),1)),$C245*INDEX(SPPR!$E:$X,MATCH($A245,SPPR!$A:$A,0),1),""),"")</f>
        <v/>
      </c>
      <c r="E245">
        <f>IFERROR(IF(ISNUMBER(INDEX(SPPR!$E:$X,MATCH($A245,SPPR!$A:$A,0),2)),$C245*INDEX(SPPR!$E:$X,MATCH($A245,SPPR!$A:$A,0),2),""),"")</f>
        <v/>
      </c>
      <c r="F245">
        <f>IFERROR(IF(ISNUMBER(INDEX(SPPR!$E:$X,MATCH($A245,SPPR!$A:$A,0),3)),$C245*INDEX(SPPR!$E:$X,MATCH($A245,SPPR!$A:$A,0),3),""),"")</f>
        <v/>
      </c>
      <c r="G245">
        <f>IFERROR(IF(ISNUMBER(INDEX(SPPR!$E:$X,MATCH($A245,SPPR!$A:$A,0),4)),$C245*INDEX(SPPR!$E:$X,MATCH($A245,SPPR!$A:$A,0),4),""),"")</f>
        <v/>
      </c>
      <c r="H245">
        <f>IFERROR(IF(ISNUMBER(INDEX(SPPR!$E:$X,MATCH($A245,SPPR!$A:$A,0),5)),$C245*INDEX(SPPR!$E:$X,MATCH($A245,SPPR!$A:$A,0),5),""),"")</f>
        <v/>
      </c>
      <c r="I245">
        <f>IFERROR(IF(ISNUMBER(INDEX(SPPR!$E:$X,MATCH($A245,SPPR!$A:$A,0),6)),$C245*INDEX(SPPR!$E:$X,MATCH($A245,SPPR!$A:$A,0),6),""),"")</f>
        <v/>
      </c>
      <c r="J245">
        <f>IFERROR(IF(ISNUMBER(INDEX(SPPR!$E:$X,MATCH($A245,SPPR!$A:$A,0),7)),$C245*INDEX(SPPR!$E:$X,MATCH($A245,SPPR!$A:$A,0),7),""),"")</f>
        <v/>
      </c>
      <c r="K245">
        <f>IFERROR(IF(ISNUMBER(INDEX(SPPR!$E:$X,MATCH($A245,SPPR!$A:$A,0),8)),$C245*INDEX(SPPR!$E:$X,MATCH($A245,SPPR!$A:$A,0),8),""),"")</f>
        <v/>
      </c>
      <c r="L245">
        <f>IFERROR(IF(ISNUMBER(INDEX(SPPR!$E:$X,MATCH($A245,SPPR!$A:$A,0),9)),$C245*INDEX(SPPR!$E:$X,MATCH($A245,SPPR!$A:$A,0),9),""),"")</f>
        <v/>
      </c>
      <c r="M245">
        <f>IFERROR(IF(ISNUMBER(INDEX(SPPR!$E:$X,MATCH($A245,SPPR!$A:$A,0),10)),$C245*INDEX(SPPR!$E:$X,MATCH($A245,SPPR!$A:$A,0),10),""),"")</f>
        <v/>
      </c>
      <c r="N245">
        <f>IFERROR(IF(ISNUMBER(INDEX(SPPR!$E:$X,MATCH($A245,SPPR!$A:$A,0),11)),$C245*INDEX(SPPR!$E:$X,MATCH($A245,SPPR!$A:$A,0),11),""),"")</f>
        <v/>
      </c>
      <c r="O245">
        <f>IFERROR(IF(ISNUMBER(INDEX(SPPR!$E:$X,MATCH($A245,SPPR!$A:$A,0),12)),$C245*INDEX(SPPR!$E:$X,MATCH($A245,SPPR!$A:$A,0),12),""),"")</f>
        <v/>
      </c>
      <c r="P245">
        <f>IFERROR(IF(ISNUMBER(INDEX(SPPR!$E:$X,MATCH($A245,SPPR!$A:$A,0),13)),$C245*INDEX(SPPR!$E:$X,MATCH($A245,SPPR!$A:$A,0),13),""),"")</f>
        <v/>
      </c>
      <c r="Q245">
        <f>IFERROR(IF(ISNUMBER(INDEX(SPPR!$E:$X,MATCH($A245,SPPR!$A:$A,0),14)),$C245*INDEX(SPPR!$E:$X,MATCH($A245,SPPR!$A:$A,0),14),""),"")</f>
        <v/>
      </c>
      <c r="R245">
        <f>IFERROR(IF(ISNUMBER(INDEX(SPPR!$E:$X,MATCH($A245,SPPR!$A:$A,0),15)),$C245*INDEX(SPPR!$E:$X,MATCH($A245,SPPR!$A:$A,0),15),""),"")</f>
        <v/>
      </c>
      <c r="S245">
        <f>IFERROR(IF(ISNUMBER(INDEX(SPPR!$E:$X,MATCH($A245,SPPR!$A:$A,0),16)),$C245*INDEX(SPPR!$E:$X,MATCH($A245,SPPR!$A:$A,0),16),""),"")</f>
        <v/>
      </c>
      <c r="T245">
        <f>IFERROR(IF(ISNUMBER(INDEX(SPPR!$E:$X,MATCH($A245,SPPR!$A:$A,0),17)),$C245*INDEX(SPPR!$E:$X,MATCH($A245,SPPR!$A:$A,0),17),""),"")</f>
        <v/>
      </c>
      <c r="U245">
        <f>IFERROR(IF(ISNUMBER(INDEX(SPPR!$E:$X,MATCH($A245,SPPR!$A:$A,0),18)),$C245*INDEX(SPPR!$E:$X,MATCH($A245,SPPR!$A:$A,0),18),""),"")</f>
        <v/>
      </c>
      <c r="V245">
        <f>IFERROR(IF(ISNUMBER(INDEX(SPPR!$E:$X,MATCH($A245,SPPR!$A:$A,0),19)),$C245*INDEX(SPPR!$E:$X,MATCH($A245,SPPR!$A:$A,0),19),""),"")</f>
        <v/>
      </c>
      <c r="W245">
        <f>IFERROR(IF(ISNUMBER(INDEX(SPPR!$E:$X,MATCH($A245,SPPR!$A:$A,0),20)),$C245*INDEX(SPPR!$E:$X,MATCH($A245,SPPR!$A:$A,0),20),""),"")</f>
        <v/>
      </c>
    </row>
    <row r="246">
      <c r="A246" t="inlineStr">
        <is>
          <t>Istiophorus platypterus</t>
        </is>
      </c>
      <c r="B246">
        <f>IFERROR(INDEX(SPPR!$D:$D,MATCH($A246,SPPR!$A:$A,0)),"")</f>
        <v/>
      </c>
      <c r="C246">
        <f>IFERROR(INDEX(Catch!$E:$BV,MATCH($A246,Catch!$A:$A,0),MATCH($B$4,Catch!$E$1:$BV$1,0)),0)</f>
        <v/>
      </c>
      <c r="D246">
        <f>IFERROR(IF(ISNUMBER(INDEX(SPPR!$E:$X,MATCH($A246,SPPR!$A:$A,0),1)),$C246*INDEX(SPPR!$E:$X,MATCH($A246,SPPR!$A:$A,0),1),""),"")</f>
        <v/>
      </c>
      <c r="E246">
        <f>IFERROR(IF(ISNUMBER(INDEX(SPPR!$E:$X,MATCH($A246,SPPR!$A:$A,0),2)),$C246*INDEX(SPPR!$E:$X,MATCH($A246,SPPR!$A:$A,0),2),""),"")</f>
        <v/>
      </c>
      <c r="F246">
        <f>IFERROR(IF(ISNUMBER(INDEX(SPPR!$E:$X,MATCH($A246,SPPR!$A:$A,0),3)),$C246*INDEX(SPPR!$E:$X,MATCH($A246,SPPR!$A:$A,0),3),""),"")</f>
        <v/>
      </c>
      <c r="G246">
        <f>IFERROR(IF(ISNUMBER(INDEX(SPPR!$E:$X,MATCH($A246,SPPR!$A:$A,0),4)),$C246*INDEX(SPPR!$E:$X,MATCH($A246,SPPR!$A:$A,0),4),""),"")</f>
        <v/>
      </c>
      <c r="H246">
        <f>IFERROR(IF(ISNUMBER(INDEX(SPPR!$E:$X,MATCH($A246,SPPR!$A:$A,0),5)),$C246*INDEX(SPPR!$E:$X,MATCH($A246,SPPR!$A:$A,0),5),""),"")</f>
        <v/>
      </c>
      <c r="I246">
        <f>IFERROR(IF(ISNUMBER(INDEX(SPPR!$E:$X,MATCH($A246,SPPR!$A:$A,0),6)),$C246*INDEX(SPPR!$E:$X,MATCH($A246,SPPR!$A:$A,0),6),""),"")</f>
        <v/>
      </c>
      <c r="J246">
        <f>IFERROR(IF(ISNUMBER(INDEX(SPPR!$E:$X,MATCH($A246,SPPR!$A:$A,0),7)),$C246*INDEX(SPPR!$E:$X,MATCH($A246,SPPR!$A:$A,0),7),""),"")</f>
        <v/>
      </c>
      <c r="K246">
        <f>IFERROR(IF(ISNUMBER(INDEX(SPPR!$E:$X,MATCH($A246,SPPR!$A:$A,0),8)),$C246*INDEX(SPPR!$E:$X,MATCH($A246,SPPR!$A:$A,0),8),""),"")</f>
        <v/>
      </c>
      <c r="L246">
        <f>IFERROR(IF(ISNUMBER(INDEX(SPPR!$E:$X,MATCH($A246,SPPR!$A:$A,0),9)),$C246*INDEX(SPPR!$E:$X,MATCH($A246,SPPR!$A:$A,0),9),""),"")</f>
        <v/>
      </c>
      <c r="M246">
        <f>IFERROR(IF(ISNUMBER(INDEX(SPPR!$E:$X,MATCH($A246,SPPR!$A:$A,0),10)),$C246*INDEX(SPPR!$E:$X,MATCH($A246,SPPR!$A:$A,0),10),""),"")</f>
        <v/>
      </c>
      <c r="N246">
        <f>IFERROR(IF(ISNUMBER(INDEX(SPPR!$E:$X,MATCH($A246,SPPR!$A:$A,0),11)),$C246*INDEX(SPPR!$E:$X,MATCH($A246,SPPR!$A:$A,0),11),""),"")</f>
        <v/>
      </c>
      <c r="O246">
        <f>IFERROR(IF(ISNUMBER(INDEX(SPPR!$E:$X,MATCH($A246,SPPR!$A:$A,0),12)),$C246*INDEX(SPPR!$E:$X,MATCH($A246,SPPR!$A:$A,0),12),""),"")</f>
        <v/>
      </c>
      <c r="P246">
        <f>IFERROR(IF(ISNUMBER(INDEX(SPPR!$E:$X,MATCH($A246,SPPR!$A:$A,0),13)),$C246*INDEX(SPPR!$E:$X,MATCH($A246,SPPR!$A:$A,0),13),""),"")</f>
        <v/>
      </c>
      <c r="Q246">
        <f>IFERROR(IF(ISNUMBER(INDEX(SPPR!$E:$X,MATCH($A246,SPPR!$A:$A,0),14)),$C246*INDEX(SPPR!$E:$X,MATCH($A246,SPPR!$A:$A,0),14),""),"")</f>
        <v/>
      </c>
      <c r="R246">
        <f>IFERROR(IF(ISNUMBER(INDEX(SPPR!$E:$X,MATCH($A246,SPPR!$A:$A,0),15)),$C246*INDEX(SPPR!$E:$X,MATCH($A246,SPPR!$A:$A,0),15),""),"")</f>
        <v/>
      </c>
      <c r="S246">
        <f>IFERROR(IF(ISNUMBER(INDEX(SPPR!$E:$X,MATCH($A246,SPPR!$A:$A,0),16)),$C246*INDEX(SPPR!$E:$X,MATCH($A246,SPPR!$A:$A,0),16),""),"")</f>
        <v/>
      </c>
      <c r="T246">
        <f>IFERROR(IF(ISNUMBER(INDEX(SPPR!$E:$X,MATCH($A246,SPPR!$A:$A,0),17)),$C246*INDEX(SPPR!$E:$X,MATCH($A246,SPPR!$A:$A,0),17),""),"")</f>
        <v/>
      </c>
      <c r="U246">
        <f>IFERROR(IF(ISNUMBER(INDEX(SPPR!$E:$X,MATCH($A246,SPPR!$A:$A,0),18)),$C246*INDEX(SPPR!$E:$X,MATCH($A246,SPPR!$A:$A,0),18),""),"")</f>
        <v/>
      </c>
      <c r="V246">
        <f>IFERROR(IF(ISNUMBER(INDEX(SPPR!$E:$X,MATCH($A246,SPPR!$A:$A,0),19)),$C246*INDEX(SPPR!$E:$X,MATCH($A246,SPPR!$A:$A,0),19),""),"")</f>
        <v/>
      </c>
      <c r="W246">
        <f>IFERROR(IF(ISNUMBER(INDEX(SPPR!$E:$X,MATCH($A246,SPPR!$A:$A,0),20)),$C246*INDEX(SPPR!$E:$X,MATCH($A246,SPPR!$A:$A,0),20),""),"")</f>
        <v/>
      </c>
    </row>
    <row r="247">
      <c r="A247" t="inlineStr">
        <is>
          <t>Modiolus</t>
        </is>
      </c>
      <c r="B247">
        <f>IFERROR(INDEX(SPPR!$D:$D,MATCH($A247,SPPR!$A:$A,0)),"")</f>
        <v/>
      </c>
      <c r="C247">
        <f>IFERROR(INDEX(Catch!$E:$BV,MATCH($A247,Catch!$A:$A,0),MATCH($B$4,Catch!$E$1:$BV$1,0)),0)</f>
        <v/>
      </c>
      <c r="D247">
        <f>IFERROR(IF(ISNUMBER(INDEX(SPPR!$E:$X,MATCH($A247,SPPR!$A:$A,0),1)),$C247*INDEX(SPPR!$E:$X,MATCH($A247,SPPR!$A:$A,0),1),""),"")</f>
        <v/>
      </c>
      <c r="E247">
        <f>IFERROR(IF(ISNUMBER(INDEX(SPPR!$E:$X,MATCH($A247,SPPR!$A:$A,0),2)),$C247*INDEX(SPPR!$E:$X,MATCH($A247,SPPR!$A:$A,0),2),""),"")</f>
        <v/>
      </c>
      <c r="F247">
        <f>IFERROR(IF(ISNUMBER(INDEX(SPPR!$E:$X,MATCH($A247,SPPR!$A:$A,0),3)),$C247*INDEX(SPPR!$E:$X,MATCH($A247,SPPR!$A:$A,0),3),""),"")</f>
        <v/>
      </c>
      <c r="G247">
        <f>IFERROR(IF(ISNUMBER(INDEX(SPPR!$E:$X,MATCH($A247,SPPR!$A:$A,0),4)),$C247*INDEX(SPPR!$E:$X,MATCH($A247,SPPR!$A:$A,0),4),""),"")</f>
        <v/>
      </c>
      <c r="H247">
        <f>IFERROR(IF(ISNUMBER(INDEX(SPPR!$E:$X,MATCH($A247,SPPR!$A:$A,0),5)),$C247*INDEX(SPPR!$E:$X,MATCH($A247,SPPR!$A:$A,0),5),""),"")</f>
        <v/>
      </c>
      <c r="I247">
        <f>IFERROR(IF(ISNUMBER(INDEX(SPPR!$E:$X,MATCH($A247,SPPR!$A:$A,0),6)),$C247*INDEX(SPPR!$E:$X,MATCH($A247,SPPR!$A:$A,0),6),""),"")</f>
        <v/>
      </c>
      <c r="J247">
        <f>IFERROR(IF(ISNUMBER(INDEX(SPPR!$E:$X,MATCH($A247,SPPR!$A:$A,0),7)),$C247*INDEX(SPPR!$E:$X,MATCH($A247,SPPR!$A:$A,0),7),""),"")</f>
        <v/>
      </c>
      <c r="K247">
        <f>IFERROR(IF(ISNUMBER(INDEX(SPPR!$E:$X,MATCH($A247,SPPR!$A:$A,0),8)),$C247*INDEX(SPPR!$E:$X,MATCH($A247,SPPR!$A:$A,0),8),""),"")</f>
        <v/>
      </c>
      <c r="L247">
        <f>IFERROR(IF(ISNUMBER(INDEX(SPPR!$E:$X,MATCH($A247,SPPR!$A:$A,0),9)),$C247*INDEX(SPPR!$E:$X,MATCH($A247,SPPR!$A:$A,0),9),""),"")</f>
        <v/>
      </c>
      <c r="M247">
        <f>IFERROR(IF(ISNUMBER(INDEX(SPPR!$E:$X,MATCH($A247,SPPR!$A:$A,0),10)),$C247*INDEX(SPPR!$E:$X,MATCH($A247,SPPR!$A:$A,0),10),""),"")</f>
        <v/>
      </c>
      <c r="N247">
        <f>IFERROR(IF(ISNUMBER(INDEX(SPPR!$E:$X,MATCH($A247,SPPR!$A:$A,0),11)),$C247*INDEX(SPPR!$E:$X,MATCH($A247,SPPR!$A:$A,0),11),""),"")</f>
        <v/>
      </c>
      <c r="O247">
        <f>IFERROR(IF(ISNUMBER(INDEX(SPPR!$E:$X,MATCH($A247,SPPR!$A:$A,0),12)),$C247*INDEX(SPPR!$E:$X,MATCH($A247,SPPR!$A:$A,0),12),""),"")</f>
        <v/>
      </c>
      <c r="P247">
        <f>IFERROR(IF(ISNUMBER(INDEX(SPPR!$E:$X,MATCH($A247,SPPR!$A:$A,0),13)),$C247*INDEX(SPPR!$E:$X,MATCH($A247,SPPR!$A:$A,0),13),""),"")</f>
        <v/>
      </c>
      <c r="Q247">
        <f>IFERROR(IF(ISNUMBER(INDEX(SPPR!$E:$X,MATCH($A247,SPPR!$A:$A,0),14)),$C247*INDEX(SPPR!$E:$X,MATCH($A247,SPPR!$A:$A,0),14),""),"")</f>
        <v/>
      </c>
      <c r="R247">
        <f>IFERROR(IF(ISNUMBER(INDEX(SPPR!$E:$X,MATCH($A247,SPPR!$A:$A,0),15)),$C247*INDEX(SPPR!$E:$X,MATCH($A247,SPPR!$A:$A,0),15),""),"")</f>
        <v/>
      </c>
      <c r="S247">
        <f>IFERROR(IF(ISNUMBER(INDEX(SPPR!$E:$X,MATCH($A247,SPPR!$A:$A,0),16)),$C247*INDEX(SPPR!$E:$X,MATCH($A247,SPPR!$A:$A,0),16),""),"")</f>
        <v/>
      </c>
      <c r="T247">
        <f>IFERROR(IF(ISNUMBER(INDEX(SPPR!$E:$X,MATCH($A247,SPPR!$A:$A,0),17)),$C247*INDEX(SPPR!$E:$X,MATCH($A247,SPPR!$A:$A,0),17),""),"")</f>
        <v/>
      </c>
      <c r="U247">
        <f>IFERROR(IF(ISNUMBER(INDEX(SPPR!$E:$X,MATCH($A247,SPPR!$A:$A,0),18)),$C247*INDEX(SPPR!$E:$X,MATCH($A247,SPPR!$A:$A,0),18),""),"")</f>
        <v/>
      </c>
      <c r="V247">
        <f>IFERROR(IF(ISNUMBER(INDEX(SPPR!$E:$X,MATCH($A247,SPPR!$A:$A,0),19)),$C247*INDEX(SPPR!$E:$X,MATCH($A247,SPPR!$A:$A,0),19),""),"")</f>
        <v/>
      </c>
      <c r="W247">
        <f>IFERROR(IF(ISNUMBER(INDEX(SPPR!$E:$X,MATCH($A247,SPPR!$A:$A,0),20)),$C247*INDEX(SPPR!$E:$X,MATCH($A247,SPPR!$A:$A,0),20),""),"")</f>
        <v/>
      </c>
    </row>
    <row r="248">
      <c r="A248" t="inlineStr">
        <is>
          <t>Istiompax indica</t>
        </is>
      </c>
      <c r="B248">
        <f>IFERROR(INDEX(SPPR!$D:$D,MATCH($A248,SPPR!$A:$A,0)),"")</f>
        <v/>
      </c>
      <c r="C248">
        <f>IFERROR(INDEX(Catch!$E:$BV,MATCH($A248,Catch!$A:$A,0),MATCH($B$4,Catch!$E$1:$BV$1,0)),0)</f>
        <v/>
      </c>
      <c r="D248">
        <f>IFERROR(IF(ISNUMBER(INDEX(SPPR!$E:$X,MATCH($A248,SPPR!$A:$A,0),1)),$C248*INDEX(SPPR!$E:$X,MATCH($A248,SPPR!$A:$A,0),1),""),"")</f>
        <v/>
      </c>
      <c r="E248">
        <f>IFERROR(IF(ISNUMBER(INDEX(SPPR!$E:$X,MATCH($A248,SPPR!$A:$A,0),2)),$C248*INDEX(SPPR!$E:$X,MATCH($A248,SPPR!$A:$A,0),2),""),"")</f>
        <v/>
      </c>
      <c r="F248">
        <f>IFERROR(IF(ISNUMBER(INDEX(SPPR!$E:$X,MATCH($A248,SPPR!$A:$A,0),3)),$C248*INDEX(SPPR!$E:$X,MATCH($A248,SPPR!$A:$A,0),3),""),"")</f>
        <v/>
      </c>
      <c r="G248">
        <f>IFERROR(IF(ISNUMBER(INDEX(SPPR!$E:$X,MATCH($A248,SPPR!$A:$A,0),4)),$C248*INDEX(SPPR!$E:$X,MATCH($A248,SPPR!$A:$A,0),4),""),"")</f>
        <v/>
      </c>
      <c r="H248">
        <f>IFERROR(IF(ISNUMBER(INDEX(SPPR!$E:$X,MATCH($A248,SPPR!$A:$A,0),5)),$C248*INDEX(SPPR!$E:$X,MATCH($A248,SPPR!$A:$A,0),5),""),"")</f>
        <v/>
      </c>
      <c r="I248">
        <f>IFERROR(IF(ISNUMBER(INDEX(SPPR!$E:$X,MATCH($A248,SPPR!$A:$A,0),6)),$C248*INDEX(SPPR!$E:$X,MATCH($A248,SPPR!$A:$A,0),6),""),"")</f>
        <v/>
      </c>
      <c r="J248">
        <f>IFERROR(IF(ISNUMBER(INDEX(SPPR!$E:$X,MATCH($A248,SPPR!$A:$A,0),7)),$C248*INDEX(SPPR!$E:$X,MATCH($A248,SPPR!$A:$A,0),7),""),"")</f>
        <v/>
      </c>
      <c r="K248">
        <f>IFERROR(IF(ISNUMBER(INDEX(SPPR!$E:$X,MATCH($A248,SPPR!$A:$A,0),8)),$C248*INDEX(SPPR!$E:$X,MATCH($A248,SPPR!$A:$A,0),8),""),"")</f>
        <v/>
      </c>
      <c r="L248">
        <f>IFERROR(IF(ISNUMBER(INDEX(SPPR!$E:$X,MATCH($A248,SPPR!$A:$A,0),9)),$C248*INDEX(SPPR!$E:$X,MATCH($A248,SPPR!$A:$A,0),9),""),"")</f>
        <v/>
      </c>
      <c r="M248">
        <f>IFERROR(IF(ISNUMBER(INDEX(SPPR!$E:$X,MATCH($A248,SPPR!$A:$A,0),10)),$C248*INDEX(SPPR!$E:$X,MATCH($A248,SPPR!$A:$A,0),10),""),"")</f>
        <v/>
      </c>
      <c r="N248">
        <f>IFERROR(IF(ISNUMBER(INDEX(SPPR!$E:$X,MATCH($A248,SPPR!$A:$A,0),11)),$C248*INDEX(SPPR!$E:$X,MATCH($A248,SPPR!$A:$A,0),11),""),"")</f>
        <v/>
      </c>
      <c r="O248">
        <f>IFERROR(IF(ISNUMBER(INDEX(SPPR!$E:$X,MATCH($A248,SPPR!$A:$A,0),12)),$C248*INDEX(SPPR!$E:$X,MATCH($A248,SPPR!$A:$A,0),12),""),"")</f>
        <v/>
      </c>
      <c r="P248">
        <f>IFERROR(IF(ISNUMBER(INDEX(SPPR!$E:$X,MATCH($A248,SPPR!$A:$A,0),13)),$C248*INDEX(SPPR!$E:$X,MATCH($A248,SPPR!$A:$A,0),13),""),"")</f>
        <v/>
      </c>
      <c r="Q248">
        <f>IFERROR(IF(ISNUMBER(INDEX(SPPR!$E:$X,MATCH($A248,SPPR!$A:$A,0),14)),$C248*INDEX(SPPR!$E:$X,MATCH($A248,SPPR!$A:$A,0),14),""),"")</f>
        <v/>
      </c>
      <c r="R248">
        <f>IFERROR(IF(ISNUMBER(INDEX(SPPR!$E:$X,MATCH($A248,SPPR!$A:$A,0),15)),$C248*INDEX(SPPR!$E:$X,MATCH($A248,SPPR!$A:$A,0),15),""),"")</f>
        <v/>
      </c>
      <c r="S248">
        <f>IFERROR(IF(ISNUMBER(INDEX(SPPR!$E:$X,MATCH($A248,SPPR!$A:$A,0),16)),$C248*INDEX(SPPR!$E:$X,MATCH($A248,SPPR!$A:$A,0),16),""),"")</f>
        <v/>
      </c>
      <c r="T248">
        <f>IFERROR(IF(ISNUMBER(INDEX(SPPR!$E:$X,MATCH($A248,SPPR!$A:$A,0),17)),$C248*INDEX(SPPR!$E:$X,MATCH($A248,SPPR!$A:$A,0),17),""),"")</f>
        <v/>
      </c>
      <c r="U248">
        <f>IFERROR(IF(ISNUMBER(INDEX(SPPR!$E:$X,MATCH($A248,SPPR!$A:$A,0),18)),$C248*INDEX(SPPR!$E:$X,MATCH($A248,SPPR!$A:$A,0),18),""),"")</f>
        <v/>
      </c>
      <c r="V248">
        <f>IFERROR(IF(ISNUMBER(INDEX(SPPR!$E:$X,MATCH($A248,SPPR!$A:$A,0),19)),$C248*INDEX(SPPR!$E:$X,MATCH($A248,SPPR!$A:$A,0),19),""),"")</f>
        <v/>
      </c>
      <c r="W248">
        <f>IFERROR(IF(ISNUMBER(INDEX(SPPR!$E:$X,MATCH($A248,SPPR!$A:$A,0),20)),$C248*INDEX(SPPR!$E:$X,MATCH($A248,SPPR!$A:$A,0),20),""),"")</f>
        <v/>
      </c>
    </row>
    <row r="249">
      <c r="A249" t="inlineStr">
        <is>
          <t>Marine pelagic fishes not identified</t>
        </is>
      </c>
      <c r="B249">
        <f>IFERROR(INDEX(SPPR!$D:$D,MATCH($A249,SPPR!$A:$A,0)),"")</f>
        <v/>
      </c>
      <c r="C249">
        <f>IFERROR(INDEX(Catch!$E:$BV,MATCH($A249,Catch!$A:$A,0),MATCH($B$4,Catch!$E$1:$BV$1,0)),0)</f>
        <v/>
      </c>
      <c r="D249">
        <f>IFERROR(IF(ISNUMBER(INDEX(SPPR!$E:$X,MATCH($A249,SPPR!$A:$A,0),1)),$C249*INDEX(SPPR!$E:$X,MATCH($A249,SPPR!$A:$A,0),1),""),"")</f>
        <v/>
      </c>
      <c r="E249">
        <f>IFERROR(IF(ISNUMBER(INDEX(SPPR!$E:$X,MATCH($A249,SPPR!$A:$A,0),2)),$C249*INDEX(SPPR!$E:$X,MATCH($A249,SPPR!$A:$A,0),2),""),"")</f>
        <v/>
      </c>
      <c r="F249">
        <f>IFERROR(IF(ISNUMBER(INDEX(SPPR!$E:$X,MATCH($A249,SPPR!$A:$A,0),3)),$C249*INDEX(SPPR!$E:$X,MATCH($A249,SPPR!$A:$A,0),3),""),"")</f>
        <v/>
      </c>
      <c r="G249">
        <f>IFERROR(IF(ISNUMBER(INDEX(SPPR!$E:$X,MATCH($A249,SPPR!$A:$A,0),4)),$C249*INDEX(SPPR!$E:$X,MATCH($A249,SPPR!$A:$A,0),4),""),"")</f>
        <v/>
      </c>
      <c r="H249">
        <f>IFERROR(IF(ISNUMBER(INDEX(SPPR!$E:$X,MATCH($A249,SPPR!$A:$A,0),5)),$C249*INDEX(SPPR!$E:$X,MATCH($A249,SPPR!$A:$A,0),5),""),"")</f>
        <v/>
      </c>
      <c r="I249">
        <f>IFERROR(IF(ISNUMBER(INDEX(SPPR!$E:$X,MATCH($A249,SPPR!$A:$A,0),6)),$C249*INDEX(SPPR!$E:$X,MATCH($A249,SPPR!$A:$A,0),6),""),"")</f>
        <v/>
      </c>
      <c r="J249">
        <f>IFERROR(IF(ISNUMBER(INDEX(SPPR!$E:$X,MATCH($A249,SPPR!$A:$A,0),7)),$C249*INDEX(SPPR!$E:$X,MATCH($A249,SPPR!$A:$A,0),7),""),"")</f>
        <v/>
      </c>
      <c r="K249">
        <f>IFERROR(IF(ISNUMBER(INDEX(SPPR!$E:$X,MATCH($A249,SPPR!$A:$A,0),8)),$C249*INDEX(SPPR!$E:$X,MATCH($A249,SPPR!$A:$A,0),8),""),"")</f>
        <v/>
      </c>
      <c r="L249">
        <f>IFERROR(IF(ISNUMBER(INDEX(SPPR!$E:$X,MATCH($A249,SPPR!$A:$A,0),9)),$C249*INDEX(SPPR!$E:$X,MATCH($A249,SPPR!$A:$A,0),9),""),"")</f>
        <v/>
      </c>
      <c r="M249">
        <f>IFERROR(IF(ISNUMBER(INDEX(SPPR!$E:$X,MATCH($A249,SPPR!$A:$A,0),10)),$C249*INDEX(SPPR!$E:$X,MATCH($A249,SPPR!$A:$A,0),10),""),"")</f>
        <v/>
      </c>
      <c r="N249">
        <f>IFERROR(IF(ISNUMBER(INDEX(SPPR!$E:$X,MATCH($A249,SPPR!$A:$A,0),11)),$C249*INDEX(SPPR!$E:$X,MATCH($A249,SPPR!$A:$A,0),11),""),"")</f>
        <v/>
      </c>
      <c r="O249">
        <f>IFERROR(IF(ISNUMBER(INDEX(SPPR!$E:$X,MATCH($A249,SPPR!$A:$A,0),12)),$C249*INDEX(SPPR!$E:$X,MATCH($A249,SPPR!$A:$A,0),12),""),"")</f>
        <v/>
      </c>
      <c r="P249">
        <f>IFERROR(IF(ISNUMBER(INDEX(SPPR!$E:$X,MATCH($A249,SPPR!$A:$A,0),13)),$C249*INDEX(SPPR!$E:$X,MATCH($A249,SPPR!$A:$A,0),13),""),"")</f>
        <v/>
      </c>
      <c r="Q249">
        <f>IFERROR(IF(ISNUMBER(INDEX(SPPR!$E:$X,MATCH($A249,SPPR!$A:$A,0),14)),$C249*INDEX(SPPR!$E:$X,MATCH($A249,SPPR!$A:$A,0),14),""),"")</f>
        <v/>
      </c>
      <c r="R249">
        <f>IFERROR(IF(ISNUMBER(INDEX(SPPR!$E:$X,MATCH($A249,SPPR!$A:$A,0),15)),$C249*INDEX(SPPR!$E:$X,MATCH($A249,SPPR!$A:$A,0),15),""),"")</f>
        <v/>
      </c>
      <c r="S249">
        <f>IFERROR(IF(ISNUMBER(INDEX(SPPR!$E:$X,MATCH($A249,SPPR!$A:$A,0),16)),$C249*INDEX(SPPR!$E:$X,MATCH($A249,SPPR!$A:$A,0),16),""),"")</f>
        <v/>
      </c>
      <c r="T249">
        <f>IFERROR(IF(ISNUMBER(INDEX(SPPR!$E:$X,MATCH($A249,SPPR!$A:$A,0),17)),$C249*INDEX(SPPR!$E:$X,MATCH($A249,SPPR!$A:$A,0),17),""),"")</f>
        <v/>
      </c>
      <c r="U249">
        <f>IFERROR(IF(ISNUMBER(INDEX(SPPR!$E:$X,MATCH($A249,SPPR!$A:$A,0),18)),$C249*INDEX(SPPR!$E:$X,MATCH($A249,SPPR!$A:$A,0),18),""),"")</f>
        <v/>
      </c>
      <c r="V249">
        <f>IFERROR(IF(ISNUMBER(INDEX(SPPR!$E:$X,MATCH($A249,SPPR!$A:$A,0),19)),$C249*INDEX(SPPR!$E:$X,MATCH($A249,SPPR!$A:$A,0),19),""),"")</f>
        <v/>
      </c>
      <c r="W249">
        <f>IFERROR(IF(ISNUMBER(INDEX(SPPR!$E:$X,MATCH($A249,SPPR!$A:$A,0),20)),$C249*INDEX(SPPR!$E:$X,MATCH($A249,SPPR!$A:$A,0),20),""),"")</f>
        <v/>
      </c>
    </row>
    <row r="250">
      <c r="A250" t="inlineStr">
        <is>
          <t>Sardinella zunasi</t>
        </is>
      </c>
      <c r="B250">
        <f>IFERROR(INDEX(SPPR!$D:$D,MATCH($A250,SPPR!$A:$A,0)),"")</f>
        <v/>
      </c>
      <c r="C250">
        <f>IFERROR(INDEX(Catch!$E:$BV,MATCH($A250,Catch!$A:$A,0),MATCH($B$4,Catch!$E$1:$BV$1,0)),0)</f>
        <v/>
      </c>
      <c r="D250">
        <f>IFERROR(IF(ISNUMBER(INDEX(SPPR!$E:$X,MATCH($A250,SPPR!$A:$A,0),1)),$C250*INDEX(SPPR!$E:$X,MATCH($A250,SPPR!$A:$A,0),1),""),"")</f>
        <v/>
      </c>
      <c r="E250">
        <f>IFERROR(IF(ISNUMBER(INDEX(SPPR!$E:$X,MATCH($A250,SPPR!$A:$A,0),2)),$C250*INDEX(SPPR!$E:$X,MATCH($A250,SPPR!$A:$A,0),2),""),"")</f>
        <v/>
      </c>
      <c r="F250">
        <f>IFERROR(IF(ISNUMBER(INDEX(SPPR!$E:$X,MATCH($A250,SPPR!$A:$A,0),3)),$C250*INDEX(SPPR!$E:$X,MATCH($A250,SPPR!$A:$A,0),3),""),"")</f>
        <v/>
      </c>
      <c r="G250">
        <f>IFERROR(IF(ISNUMBER(INDEX(SPPR!$E:$X,MATCH($A250,SPPR!$A:$A,0),4)),$C250*INDEX(SPPR!$E:$X,MATCH($A250,SPPR!$A:$A,0),4),""),"")</f>
        <v/>
      </c>
      <c r="H250">
        <f>IFERROR(IF(ISNUMBER(INDEX(SPPR!$E:$X,MATCH($A250,SPPR!$A:$A,0),5)),$C250*INDEX(SPPR!$E:$X,MATCH($A250,SPPR!$A:$A,0),5),""),"")</f>
        <v/>
      </c>
      <c r="I250">
        <f>IFERROR(IF(ISNUMBER(INDEX(SPPR!$E:$X,MATCH($A250,SPPR!$A:$A,0),6)),$C250*INDEX(SPPR!$E:$X,MATCH($A250,SPPR!$A:$A,0),6),""),"")</f>
        <v/>
      </c>
      <c r="J250">
        <f>IFERROR(IF(ISNUMBER(INDEX(SPPR!$E:$X,MATCH($A250,SPPR!$A:$A,0),7)),$C250*INDEX(SPPR!$E:$X,MATCH($A250,SPPR!$A:$A,0),7),""),"")</f>
        <v/>
      </c>
      <c r="K250">
        <f>IFERROR(IF(ISNUMBER(INDEX(SPPR!$E:$X,MATCH($A250,SPPR!$A:$A,0),8)),$C250*INDEX(SPPR!$E:$X,MATCH($A250,SPPR!$A:$A,0),8),""),"")</f>
        <v/>
      </c>
      <c r="L250">
        <f>IFERROR(IF(ISNUMBER(INDEX(SPPR!$E:$X,MATCH($A250,SPPR!$A:$A,0),9)),$C250*INDEX(SPPR!$E:$X,MATCH($A250,SPPR!$A:$A,0),9),""),"")</f>
        <v/>
      </c>
      <c r="M250">
        <f>IFERROR(IF(ISNUMBER(INDEX(SPPR!$E:$X,MATCH($A250,SPPR!$A:$A,0),10)),$C250*INDEX(SPPR!$E:$X,MATCH($A250,SPPR!$A:$A,0),10),""),"")</f>
        <v/>
      </c>
      <c r="N250">
        <f>IFERROR(IF(ISNUMBER(INDEX(SPPR!$E:$X,MATCH($A250,SPPR!$A:$A,0),11)),$C250*INDEX(SPPR!$E:$X,MATCH($A250,SPPR!$A:$A,0),11),""),"")</f>
        <v/>
      </c>
      <c r="O250">
        <f>IFERROR(IF(ISNUMBER(INDEX(SPPR!$E:$X,MATCH($A250,SPPR!$A:$A,0),12)),$C250*INDEX(SPPR!$E:$X,MATCH($A250,SPPR!$A:$A,0),12),""),"")</f>
        <v/>
      </c>
      <c r="P250">
        <f>IFERROR(IF(ISNUMBER(INDEX(SPPR!$E:$X,MATCH($A250,SPPR!$A:$A,0),13)),$C250*INDEX(SPPR!$E:$X,MATCH($A250,SPPR!$A:$A,0),13),""),"")</f>
        <v/>
      </c>
      <c r="Q250">
        <f>IFERROR(IF(ISNUMBER(INDEX(SPPR!$E:$X,MATCH($A250,SPPR!$A:$A,0),14)),$C250*INDEX(SPPR!$E:$X,MATCH($A250,SPPR!$A:$A,0),14),""),"")</f>
        <v/>
      </c>
      <c r="R250">
        <f>IFERROR(IF(ISNUMBER(INDEX(SPPR!$E:$X,MATCH($A250,SPPR!$A:$A,0),15)),$C250*INDEX(SPPR!$E:$X,MATCH($A250,SPPR!$A:$A,0),15),""),"")</f>
        <v/>
      </c>
      <c r="S250">
        <f>IFERROR(IF(ISNUMBER(INDEX(SPPR!$E:$X,MATCH($A250,SPPR!$A:$A,0),16)),$C250*INDEX(SPPR!$E:$X,MATCH($A250,SPPR!$A:$A,0),16),""),"")</f>
        <v/>
      </c>
      <c r="T250">
        <f>IFERROR(IF(ISNUMBER(INDEX(SPPR!$E:$X,MATCH($A250,SPPR!$A:$A,0),17)),$C250*INDEX(SPPR!$E:$X,MATCH($A250,SPPR!$A:$A,0),17),""),"")</f>
        <v/>
      </c>
      <c r="U250">
        <f>IFERROR(IF(ISNUMBER(INDEX(SPPR!$E:$X,MATCH($A250,SPPR!$A:$A,0),18)),$C250*INDEX(SPPR!$E:$X,MATCH($A250,SPPR!$A:$A,0),18),""),"")</f>
        <v/>
      </c>
      <c r="V250">
        <f>IFERROR(IF(ISNUMBER(INDEX(SPPR!$E:$X,MATCH($A250,SPPR!$A:$A,0),19)),$C250*INDEX(SPPR!$E:$X,MATCH($A250,SPPR!$A:$A,0),19),""),"")</f>
        <v/>
      </c>
      <c r="W250">
        <f>IFERROR(IF(ISNUMBER(INDEX(SPPR!$E:$X,MATCH($A250,SPPR!$A:$A,0),20)),$C250*INDEX(SPPR!$E:$X,MATCH($A250,SPPR!$A:$A,0),20),""),"")</f>
        <v/>
      </c>
    </row>
    <row r="251">
      <c r="A251" t="inlineStr">
        <is>
          <t>Muraenidae</t>
        </is>
      </c>
      <c r="B251">
        <f>IFERROR(INDEX(SPPR!$D:$D,MATCH($A251,SPPR!$A:$A,0)),"")</f>
        <v/>
      </c>
      <c r="C251">
        <f>IFERROR(INDEX(Catch!$E:$BV,MATCH($A251,Catch!$A:$A,0),MATCH($B$4,Catch!$E$1:$BV$1,0)),0)</f>
        <v/>
      </c>
      <c r="D251">
        <f>IFERROR(IF(ISNUMBER(INDEX(SPPR!$E:$X,MATCH($A251,SPPR!$A:$A,0),1)),$C251*INDEX(SPPR!$E:$X,MATCH($A251,SPPR!$A:$A,0),1),""),"")</f>
        <v/>
      </c>
      <c r="E251">
        <f>IFERROR(IF(ISNUMBER(INDEX(SPPR!$E:$X,MATCH($A251,SPPR!$A:$A,0),2)),$C251*INDEX(SPPR!$E:$X,MATCH($A251,SPPR!$A:$A,0),2),""),"")</f>
        <v/>
      </c>
      <c r="F251">
        <f>IFERROR(IF(ISNUMBER(INDEX(SPPR!$E:$X,MATCH($A251,SPPR!$A:$A,0),3)),$C251*INDEX(SPPR!$E:$X,MATCH($A251,SPPR!$A:$A,0),3),""),"")</f>
        <v/>
      </c>
      <c r="G251">
        <f>IFERROR(IF(ISNUMBER(INDEX(SPPR!$E:$X,MATCH($A251,SPPR!$A:$A,0),4)),$C251*INDEX(SPPR!$E:$X,MATCH($A251,SPPR!$A:$A,0),4),""),"")</f>
        <v/>
      </c>
      <c r="H251">
        <f>IFERROR(IF(ISNUMBER(INDEX(SPPR!$E:$X,MATCH($A251,SPPR!$A:$A,0),5)),$C251*INDEX(SPPR!$E:$X,MATCH($A251,SPPR!$A:$A,0),5),""),"")</f>
        <v/>
      </c>
      <c r="I251">
        <f>IFERROR(IF(ISNUMBER(INDEX(SPPR!$E:$X,MATCH($A251,SPPR!$A:$A,0),6)),$C251*INDEX(SPPR!$E:$X,MATCH($A251,SPPR!$A:$A,0),6),""),"")</f>
        <v/>
      </c>
      <c r="J251">
        <f>IFERROR(IF(ISNUMBER(INDEX(SPPR!$E:$X,MATCH($A251,SPPR!$A:$A,0),7)),$C251*INDEX(SPPR!$E:$X,MATCH($A251,SPPR!$A:$A,0),7),""),"")</f>
        <v/>
      </c>
      <c r="K251">
        <f>IFERROR(IF(ISNUMBER(INDEX(SPPR!$E:$X,MATCH($A251,SPPR!$A:$A,0),8)),$C251*INDEX(SPPR!$E:$X,MATCH($A251,SPPR!$A:$A,0),8),""),"")</f>
        <v/>
      </c>
      <c r="L251">
        <f>IFERROR(IF(ISNUMBER(INDEX(SPPR!$E:$X,MATCH($A251,SPPR!$A:$A,0),9)),$C251*INDEX(SPPR!$E:$X,MATCH($A251,SPPR!$A:$A,0),9),""),"")</f>
        <v/>
      </c>
      <c r="M251">
        <f>IFERROR(IF(ISNUMBER(INDEX(SPPR!$E:$X,MATCH($A251,SPPR!$A:$A,0),10)),$C251*INDEX(SPPR!$E:$X,MATCH($A251,SPPR!$A:$A,0),10),""),"")</f>
        <v/>
      </c>
      <c r="N251">
        <f>IFERROR(IF(ISNUMBER(INDEX(SPPR!$E:$X,MATCH($A251,SPPR!$A:$A,0),11)),$C251*INDEX(SPPR!$E:$X,MATCH($A251,SPPR!$A:$A,0),11),""),"")</f>
        <v/>
      </c>
      <c r="O251">
        <f>IFERROR(IF(ISNUMBER(INDEX(SPPR!$E:$X,MATCH($A251,SPPR!$A:$A,0),12)),$C251*INDEX(SPPR!$E:$X,MATCH($A251,SPPR!$A:$A,0),12),""),"")</f>
        <v/>
      </c>
      <c r="P251">
        <f>IFERROR(IF(ISNUMBER(INDEX(SPPR!$E:$X,MATCH($A251,SPPR!$A:$A,0),13)),$C251*INDEX(SPPR!$E:$X,MATCH($A251,SPPR!$A:$A,0),13),""),"")</f>
        <v/>
      </c>
      <c r="Q251">
        <f>IFERROR(IF(ISNUMBER(INDEX(SPPR!$E:$X,MATCH($A251,SPPR!$A:$A,0),14)),$C251*INDEX(SPPR!$E:$X,MATCH($A251,SPPR!$A:$A,0),14),""),"")</f>
        <v/>
      </c>
      <c r="R251">
        <f>IFERROR(IF(ISNUMBER(INDEX(SPPR!$E:$X,MATCH($A251,SPPR!$A:$A,0),15)),$C251*INDEX(SPPR!$E:$X,MATCH($A251,SPPR!$A:$A,0),15),""),"")</f>
        <v/>
      </c>
      <c r="S251">
        <f>IFERROR(IF(ISNUMBER(INDEX(SPPR!$E:$X,MATCH($A251,SPPR!$A:$A,0),16)),$C251*INDEX(SPPR!$E:$X,MATCH($A251,SPPR!$A:$A,0),16),""),"")</f>
        <v/>
      </c>
      <c r="T251">
        <f>IFERROR(IF(ISNUMBER(INDEX(SPPR!$E:$X,MATCH($A251,SPPR!$A:$A,0),17)),$C251*INDEX(SPPR!$E:$X,MATCH($A251,SPPR!$A:$A,0),17),""),"")</f>
        <v/>
      </c>
      <c r="U251">
        <f>IFERROR(IF(ISNUMBER(INDEX(SPPR!$E:$X,MATCH($A251,SPPR!$A:$A,0),18)),$C251*INDEX(SPPR!$E:$X,MATCH($A251,SPPR!$A:$A,0),18),""),"")</f>
        <v/>
      </c>
      <c r="V251">
        <f>IFERROR(IF(ISNUMBER(INDEX(SPPR!$E:$X,MATCH($A251,SPPR!$A:$A,0),19)),$C251*INDEX(SPPR!$E:$X,MATCH($A251,SPPR!$A:$A,0),19),""),"")</f>
        <v/>
      </c>
      <c r="W251">
        <f>IFERROR(IF(ISNUMBER(INDEX(SPPR!$E:$X,MATCH($A251,SPPR!$A:$A,0),20)),$C251*INDEX(SPPR!$E:$X,MATCH($A251,SPPR!$A:$A,0),20),""),"")</f>
        <v/>
      </c>
    </row>
    <row r="252">
      <c r="A252" t="inlineStr">
        <is>
          <t>Rachycentron canadum</t>
        </is>
      </c>
      <c r="B252">
        <f>IFERROR(INDEX(SPPR!$D:$D,MATCH($A252,SPPR!$A:$A,0)),"")</f>
        <v/>
      </c>
      <c r="C252">
        <f>IFERROR(INDEX(Catch!$E:$BV,MATCH($A252,Catch!$A:$A,0),MATCH($B$4,Catch!$E$1:$BV$1,0)),0)</f>
        <v/>
      </c>
      <c r="D252">
        <f>IFERROR(IF(ISNUMBER(INDEX(SPPR!$E:$X,MATCH($A252,SPPR!$A:$A,0),1)),$C252*INDEX(SPPR!$E:$X,MATCH($A252,SPPR!$A:$A,0),1),""),"")</f>
        <v/>
      </c>
      <c r="E252">
        <f>IFERROR(IF(ISNUMBER(INDEX(SPPR!$E:$X,MATCH($A252,SPPR!$A:$A,0),2)),$C252*INDEX(SPPR!$E:$X,MATCH($A252,SPPR!$A:$A,0),2),""),"")</f>
        <v/>
      </c>
      <c r="F252">
        <f>IFERROR(IF(ISNUMBER(INDEX(SPPR!$E:$X,MATCH($A252,SPPR!$A:$A,0),3)),$C252*INDEX(SPPR!$E:$X,MATCH($A252,SPPR!$A:$A,0),3),""),"")</f>
        <v/>
      </c>
      <c r="G252">
        <f>IFERROR(IF(ISNUMBER(INDEX(SPPR!$E:$X,MATCH($A252,SPPR!$A:$A,0),4)),$C252*INDEX(SPPR!$E:$X,MATCH($A252,SPPR!$A:$A,0),4),""),"")</f>
        <v/>
      </c>
      <c r="H252">
        <f>IFERROR(IF(ISNUMBER(INDEX(SPPR!$E:$X,MATCH($A252,SPPR!$A:$A,0),5)),$C252*INDEX(SPPR!$E:$X,MATCH($A252,SPPR!$A:$A,0),5),""),"")</f>
        <v/>
      </c>
      <c r="I252">
        <f>IFERROR(IF(ISNUMBER(INDEX(SPPR!$E:$X,MATCH($A252,SPPR!$A:$A,0),6)),$C252*INDEX(SPPR!$E:$X,MATCH($A252,SPPR!$A:$A,0),6),""),"")</f>
        <v/>
      </c>
      <c r="J252">
        <f>IFERROR(IF(ISNUMBER(INDEX(SPPR!$E:$X,MATCH($A252,SPPR!$A:$A,0),7)),$C252*INDEX(SPPR!$E:$X,MATCH($A252,SPPR!$A:$A,0),7),""),"")</f>
        <v/>
      </c>
      <c r="K252">
        <f>IFERROR(IF(ISNUMBER(INDEX(SPPR!$E:$X,MATCH($A252,SPPR!$A:$A,0),8)),$C252*INDEX(SPPR!$E:$X,MATCH($A252,SPPR!$A:$A,0),8),""),"")</f>
        <v/>
      </c>
      <c r="L252">
        <f>IFERROR(IF(ISNUMBER(INDEX(SPPR!$E:$X,MATCH($A252,SPPR!$A:$A,0),9)),$C252*INDEX(SPPR!$E:$X,MATCH($A252,SPPR!$A:$A,0),9),""),"")</f>
        <v/>
      </c>
      <c r="M252">
        <f>IFERROR(IF(ISNUMBER(INDEX(SPPR!$E:$X,MATCH($A252,SPPR!$A:$A,0),10)),$C252*INDEX(SPPR!$E:$X,MATCH($A252,SPPR!$A:$A,0),10),""),"")</f>
        <v/>
      </c>
      <c r="N252">
        <f>IFERROR(IF(ISNUMBER(INDEX(SPPR!$E:$X,MATCH($A252,SPPR!$A:$A,0),11)),$C252*INDEX(SPPR!$E:$X,MATCH($A252,SPPR!$A:$A,0),11),""),"")</f>
        <v/>
      </c>
      <c r="O252">
        <f>IFERROR(IF(ISNUMBER(INDEX(SPPR!$E:$X,MATCH($A252,SPPR!$A:$A,0),12)),$C252*INDEX(SPPR!$E:$X,MATCH($A252,SPPR!$A:$A,0),12),""),"")</f>
        <v/>
      </c>
      <c r="P252">
        <f>IFERROR(IF(ISNUMBER(INDEX(SPPR!$E:$X,MATCH($A252,SPPR!$A:$A,0),13)),$C252*INDEX(SPPR!$E:$X,MATCH($A252,SPPR!$A:$A,0),13),""),"")</f>
        <v/>
      </c>
      <c r="Q252">
        <f>IFERROR(IF(ISNUMBER(INDEX(SPPR!$E:$X,MATCH($A252,SPPR!$A:$A,0),14)),$C252*INDEX(SPPR!$E:$X,MATCH($A252,SPPR!$A:$A,0),14),""),"")</f>
        <v/>
      </c>
      <c r="R252">
        <f>IFERROR(IF(ISNUMBER(INDEX(SPPR!$E:$X,MATCH($A252,SPPR!$A:$A,0),15)),$C252*INDEX(SPPR!$E:$X,MATCH($A252,SPPR!$A:$A,0),15),""),"")</f>
        <v/>
      </c>
      <c r="S252">
        <f>IFERROR(IF(ISNUMBER(INDEX(SPPR!$E:$X,MATCH($A252,SPPR!$A:$A,0),16)),$C252*INDEX(SPPR!$E:$X,MATCH($A252,SPPR!$A:$A,0),16),""),"")</f>
        <v/>
      </c>
      <c r="T252">
        <f>IFERROR(IF(ISNUMBER(INDEX(SPPR!$E:$X,MATCH($A252,SPPR!$A:$A,0),17)),$C252*INDEX(SPPR!$E:$X,MATCH($A252,SPPR!$A:$A,0),17),""),"")</f>
        <v/>
      </c>
      <c r="U252">
        <f>IFERROR(IF(ISNUMBER(INDEX(SPPR!$E:$X,MATCH($A252,SPPR!$A:$A,0),18)),$C252*INDEX(SPPR!$E:$X,MATCH($A252,SPPR!$A:$A,0),18),""),"")</f>
        <v/>
      </c>
      <c r="V252">
        <f>IFERROR(IF(ISNUMBER(INDEX(SPPR!$E:$X,MATCH($A252,SPPR!$A:$A,0),19)),$C252*INDEX(SPPR!$E:$X,MATCH($A252,SPPR!$A:$A,0),19),""),"")</f>
        <v/>
      </c>
      <c r="W252">
        <f>IFERROR(IF(ISNUMBER(INDEX(SPPR!$E:$X,MATCH($A252,SPPR!$A:$A,0),20)),$C252*INDEX(SPPR!$E:$X,MATCH($A252,SPPR!$A:$A,0),20),""),"")</f>
        <v/>
      </c>
    </row>
    <row r="253">
      <c r="A253" t="inlineStr">
        <is>
          <t>Mierspenaeopsis hardwickii</t>
        </is>
      </c>
      <c r="B253">
        <f>IFERROR(INDEX(SPPR!$D:$D,MATCH($A253,SPPR!$A:$A,0)),"")</f>
        <v/>
      </c>
      <c r="C253">
        <f>IFERROR(INDEX(Catch!$E:$BV,MATCH($A253,Catch!$A:$A,0),MATCH($B$4,Catch!$E$1:$BV$1,0)),0)</f>
        <v/>
      </c>
      <c r="D253">
        <f>IFERROR(IF(ISNUMBER(INDEX(SPPR!$E:$X,MATCH($A253,SPPR!$A:$A,0),1)),$C253*INDEX(SPPR!$E:$X,MATCH($A253,SPPR!$A:$A,0),1),""),"")</f>
        <v/>
      </c>
      <c r="E253">
        <f>IFERROR(IF(ISNUMBER(INDEX(SPPR!$E:$X,MATCH($A253,SPPR!$A:$A,0),2)),$C253*INDEX(SPPR!$E:$X,MATCH($A253,SPPR!$A:$A,0),2),""),"")</f>
        <v/>
      </c>
      <c r="F253">
        <f>IFERROR(IF(ISNUMBER(INDEX(SPPR!$E:$X,MATCH($A253,SPPR!$A:$A,0),3)),$C253*INDEX(SPPR!$E:$X,MATCH($A253,SPPR!$A:$A,0),3),""),"")</f>
        <v/>
      </c>
      <c r="G253">
        <f>IFERROR(IF(ISNUMBER(INDEX(SPPR!$E:$X,MATCH($A253,SPPR!$A:$A,0),4)),$C253*INDEX(SPPR!$E:$X,MATCH($A253,SPPR!$A:$A,0),4),""),"")</f>
        <v/>
      </c>
      <c r="H253">
        <f>IFERROR(IF(ISNUMBER(INDEX(SPPR!$E:$X,MATCH($A253,SPPR!$A:$A,0),5)),$C253*INDEX(SPPR!$E:$X,MATCH($A253,SPPR!$A:$A,0),5),""),"")</f>
        <v/>
      </c>
      <c r="I253">
        <f>IFERROR(IF(ISNUMBER(INDEX(SPPR!$E:$X,MATCH($A253,SPPR!$A:$A,0),6)),$C253*INDEX(SPPR!$E:$X,MATCH($A253,SPPR!$A:$A,0),6),""),"")</f>
        <v/>
      </c>
      <c r="J253">
        <f>IFERROR(IF(ISNUMBER(INDEX(SPPR!$E:$X,MATCH($A253,SPPR!$A:$A,0),7)),$C253*INDEX(SPPR!$E:$X,MATCH($A253,SPPR!$A:$A,0),7),""),"")</f>
        <v/>
      </c>
      <c r="K253">
        <f>IFERROR(IF(ISNUMBER(INDEX(SPPR!$E:$X,MATCH($A253,SPPR!$A:$A,0),8)),$C253*INDEX(SPPR!$E:$X,MATCH($A253,SPPR!$A:$A,0),8),""),"")</f>
        <v/>
      </c>
      <c r="L253">
        <f>IFERROR(IF(ISNUMBER(INDEX(SPPR!$E:$X,MATCH($A253,SPPR!$A:$A,0),9)),$C253*INDEX(SPPR!$E:$X,MATCH($A253,SPPR!$A:$A,0),9),""),"")</f>
        <v/>
      </c>
      <c r="M253">
        <f>IFERROR(IF(ISNUMBER(INDEX(SPPR!$E:$X,MATCH($A253,SPPR!$A:$A,0),10)),$C253*INDEX(SPPR!$E:$X,MATCH($A253,SPPR!$A:$A,0),10),""),"")</f>
        <v/>
      </c>
      <c r="N253">
        <f>IFERROR(IF(ISNUMBER(INDEX(SPPR!$E:$X,MATCH($A253,SPPR!$A:$A,0),11)),$C253*INDEX(SPPR!$E:$X,MATCH($A253,SPPR!$A:$A,0),11),""),"")</f>
        <v/>
      </c>
      <c r="O253">
        <f>IFERROR(IF(ISNUMBER(INDEX(SPPR!$E:$X,MATCH($A253,SPPR!$A:$A,0),12)),$C253*INDEX(SPPR!$E:$X,MATCH($A253,SPPR!$A:$A,0),12),""),"")</f>
        <v/>
      </c>
      <c r="P253">
        <f>IFERROR(IF(ISNUMBER(INDEX(SPPR!$E:$X,MATCH($A253,SPPR!$A:$A,0),13)),$C253*INDEX(SPPR!$E:$X,MATCH($A253,SPPR!$A:$A,0),13),""),"")</f>
        <v/>
      </c>
      <c r="Q253">
        <f>IFERROR(IF(ISNUMBER(INDEX(SPPR!$E:$X,MATCH($A253,SPPR!$A:$A,0),14)),$C253*INDEX(SPPR!$E:$X,MATCH($A253,SPPR!$A:$A,0),14),""),"")</f>
        <v/>
      </c>
      <c r="R253">
        <f>IFERROR(IF(ISNUMBER(INDEX(SPPR!$E:$X,MATCH($A253,SPPR!$A:$A,0),15)),$C253*INDEX(SPPR!$E:$X,MATCH($A253,SPPR!$A:$A,0),15),""),"")</f>
        <v/>
      </c>
      <c r="S253">
        <f>IFERROR(IF(ISNUMBER(INDEX(SPPR!$E:$X,MATCH($A253,SPPR!$A:$A,0),16)),$C253*INDEX(SPPR!$E:$X,MATCH($A253,SPPR!$A:$A,0),16),""),"")</f>
        <v/>
      </c>
      <c r="T253">
        <f>IFERROR(IF(ISNUMBER(INDEX(SPPR!$E:$X,MATCH($A253,SPPR!$A:$A,0),17)),$C253*INDEX(SPPR!$E:$X,MATCH($A253,SPPR!$A:$A,0),17),""),"")</f>
        <v/>
      </c>
      <c r="U253">
        <f>IFERROR(IF(ISNUMBER(INDEX(SPPR!$E:$X,MATCH($A253,SPPR!$A:$A,0),18)),$C253*INDEX(SPPR!$E:$X,MATCH($A253,SPPR!$A:$A,0),18),""),"")</f>
        <v/>
      </c>
      <c r="V253">
        <f>IFERROR(IF(ISNUMBER(INDEX(SPPR!$E:$X,MATCH($A253,SPPR!$A:$A,0),19)),$C253*INDEX(SPPR!$E:$X,MATCH($A253,SPPR!$A:$A,0),19),""),"")</f>
        <v/>
      </c>
      <c r="W253">
        <f>IFERROR(IF(ISNUMBER(INDEX(SPPR!$E:$X,MATCH($A253,SPPR!$A:$A,0),20)),$C253*INDEX(SPPR!$E:$X,MATCH($A253,SPPR!$A:$A,0),20),""),"")</f>
        <v/>
      </c>
    </row>
    <row r="254">
      <c r="A254" t="inlineStr">
        <is>
          <t>Ibacus ciliatus</t>
        </is>
      </c>
      <c r="B254">
        <f>IFERROR(INDEX(SPPR!$D:$D,MATCH($A254,SPPR!$A:$A,0)),"")</f>
        <v/>
      </c>
      <c r="C254">
        <f>IFERROR(INDEX(Catch!$E:$BV,MATCH($A254,Catch!$A:$A,0),MATCH($B$4,Catch!$E$1:$BV$1,0)),0)</f>
        <v/>
      </c>
      <c r="D254">
        <f>IFERROR(IF(ISNUMBER(INDEX(SPPR!$E:$X,MATCH($A254,SPPR!$A:$A,0),1)),$C254*INDEX(SPPR!$E:$X,MATCH($A254,SPPR!$A:$A,0),1),""),"")</f>
        <v/>
      </c>
      <c r="E254">
        <f>IFERROR(IF(ISNUMBER(INDEX(SPPR!$E:$X,MATCH($A254,SPPR!$A:$A,0),2)),$C254*INDEX(SPPR!$E:$X,MATCH($A254,SPPR!$A:$A,0),2),""),"")</f>
        <v/>
      </c>
      <c r="F254">
        <f>IFERROR(IF(ISNUMBER(INDEX(SPPR!$E:$X,MATCH($A254,SPPR!$A:$A,0),3)),$C254*INDEX(SPPR!$E:$X,MATCH($A254,SPPR!$A:$A,0),3),""),"")</f>
        <v/>
      </c>
      <c r="G254">
        <f>IFERROR(IF(ISNUMBER(INDEX(SPPR!$E:$X,MATCH($A254,SPPR!$A:$A,0),4)),$C254*INDEX(SPPR!$E:$X,MATCH($A254,SPPR!$A:$A,0),4),""),"")</f>
        <v/>
      </c>
      <c r="H254">
        <f>IFERROR(IF(ISNUMBER(INDEX(SPPR!$E:$X,MATCH($A254,SPPR!$A:$A,0),5)),$C254*INDEX(SPPR!$E:$X,MATCH($A254,SPPR!$A:$A,0),5),""),"")</f>
        <v/>
      </c>
      <c r="I254">
        <f>IFERROR(IF(ISNUMBER(INDEX(SPPR!$E:$X,MATCH($A254,SPPR!$A:$A,0),6)),$C254*INDEX(SPPR!$E:$X,MATCH($A254,SPPR!$A:$A,0),6),""),"")</f>
        <v/>
      </c>
      <c r="J254">
        <f>IFERROR(IF(ISNUMBER(INDEX(SPPR!$E:$X,MATCH($A254,SPPR!$A:$A,0),7)),$C254*INDEX(SPPR!$E:$X,MATCH($A254,SPPR!$A:$A,0),7),""),"")</f>
        <v/>
      </c>
      <c r="K254">
        <f>IFERROR(IF(ISNUMBER(INDEX(SPPR!$E:$X,MATCH($A254,SPPR!$A:$A,0),8)),$C254*INDEX(SPPR!$E:$X,MATCH($A254,SPPR!$A:$A,0),8),""),"")</f>
        <v/>
      </c>
      <c r="L254">
        <f>IFERROR(IF(ISNUMBER(INDEX(SPPR!$E:$X,MATCH($A254,SPPR!$A:$A,0),9)),$C254*INDEX(SPPR!$E:$X,MATCH($A254,SPPR!$A:$A,0),9),""),"")</f>
        <v/>
      </c>
      <c r="M254">
        <f>IFERROR(IF(ISNUMBER(INDEX(SPPR!$E:$X,MATCH($A254,SPPR!$A:$A,0),10)),$C254*INDEX(SPPR!$E:$X,MATCH($A254,SPPR!$A:$A,0),10),""),"")</f>
        <v/>
      </c>
      <c r="N254">
        <f>IFERROR(IF(ISNUMBER(INDEX(SPPR!$E:$X,MATCH($A254,SPPR!$A:$A,0),11)),$C254*INDEX(SPPR!$E:$X,MATCH($A254,SPPR!$A:$A,0),11),""),"")</f>
        <v/>
      </c>
      <c r="O254">
        <f>IFERROR(IF(ISNUMBER(INDEX(SPPR!$E:$X,MATCH($A254,SPPR!$A:$A,0),12)),$C254*INDEX(SPPR!$E:$X,MATCH($A254,SPPR!$A:$A,0),12),""),"")</f>
        <v/>
      </c>
      <c r="P254">
        <f>IFERROR(IF(ISNUMBER(INDEX(SPPR!$E:$X,MATCH($A254,SPPR!$A:$A,0),13)),$C254*INDEX(SPPR!$E:$X,MATCH($A254,SPPR!$A:$A,0),13),""),"")</f>
        <v/>
      </c>
      <c r="Q254">
        <f>IFERROR(IF(ISNUMBER(INDEX(SPPR!$E:$X,MATCH($A254,SPPR!$A:$A,0),14)),$C254*INDEX(SPPR!$E:$X,MATCH($A254,SPPR!$A:$A,0),14),""),"")</f>
        <v/>
      </c>
      <c r="R254">
        <f>IFERROR(IF(ISNUMBER(INDEX(SPPR!$E:$X,MATCH($A254,SPPR!$A:$A,0),15)),$C254*INDEX(SPPR!$E:$X,MATCH($A254,SPPR!$A:$A,0),15),""),"")</f>
        <v/>
      </c>
      <c r="S254">
        <f>IFERROR(IF(ISNUMBER(INDEX(SPPR!$E:$X,MATCH($A254,SPPR!$A:$A,0),16)),$C254*INDEX(SPPR!$E:$X,MATCH($A254,SPPR!$A:$A,0),16),""),"")</f>
        <v/>
      </c>
      <c r="T254">
        <f>IFERROR(IF(ISNUMBER(INDEX(SPPR!$E:$X,MATCH($A254,SPPR!$A:$A,0),17)),$C254*INDEX(SPPR!$E:$X,MATCH($A254,SPPR!$A:$A,0),17),""),"")</f>
        <v/>
      </c>
      <c r="U254">
        <f>IFERROR(IF(ISNUMBER(INDEX(SPPR!$E:$X,MATCH($A254,SPPR!$A:$A,0),18)),$C254*INDEX(SPPR!$E:$X,MATCH($A254,SPPR!$A:$A,0),18),""),"")</f>
        <v/>
      </c>
      <c r="V254">
        <f>IFERROR(IF(ISNUMBER(INDEX(SPPR!$E:$X,MATCH($A254,SPPR!$A:$A,0),19)),$C254*INDEX(SPPR!$E:$X,MATCH($A254,SPPR!$A:$A,0),19),""),"")</f>
        <v/>
      </c>
      <c r="W254">
        <f>IFERROR(IF(ISNUMBER(INDEX(SPPR!$E:$X,MATCH($A254,SPPR!$A:$A,0),20)),$C254*INDEX(SPPR!$E:$X,MATCH($A254,SPPR!$A:$A,0),20),""),"")</f>
        <v/>
      </c>
    </row>
    <row r="255">
      <c r="A255" t="inlineStr">
        <is>
          <t>Istiophoridae</t>
        </is>
      </c>
      <c r="B255">
        <f>IFERROR(INDEX(SPPR!$D:$D,MATCH($A255,SPPR!$A:$A,0)),"")</f>
        <v/>
      </c>
      <c r="C255">
        <f>IFERROR(INDEX(Catch!$E:$BV,MATCH($A255,Catch!$A:$A,0),MATCH($B$4,Catch!$E$1:$BV$1,0)),0)</f>
        <v/>
      </c>
      <c r="D255">
        <f>IFERROR(IF(ISNUMBER(INDEX(SPPR!$E:$X,MATCH($A255,SPPR!$A:$A,0),1)),$C255*INDEX(SPPR!$E:$X,MATCH($A255,SPPR!$A:$A,0),1),""),"")</f>
        <v/>
      </c>
      <c r="E255">
        <f>IFERROR(IF(ISNUMBER(INDEX(SPPR!$E:$X,MATCH($A255,SPPR!$A:$A,0),2)),$C255*INDEX(SPPR!$E:$X,MATCH($A255,SPPR!$A:$A,0),2),""),"")</f>
        <v/>
      </c>
      <c r="F255">
        <f>IFERROR(IF(ISNUMBER(INDEX(SPPR!$E:$X,MATCH($A255,SPPR!$A:$A,0),3)),$C255*INDEX(SPPR!$E:$X,MATCH($A255,SPPR!$A:$A,0),3),""),"")</f>
        <v/>
      </c>
      <c r="G255">
        <f>IFERROR(IF(ISNUMBER(INDEX(SPPR!$E:$X,MATCH($A255,SPPR!$A:$A,0),4)),$C255*INDEX(SPPR!$E:$X,MATCH($A255,SPPR!$A:$A,0),4),""),"")</f>
        <v/>
      </c>
      <c r="H255">
        <f>IFERROR(IF(ISNUMBER(INDEX(SPPR!$E:$X,MATCH($A255,SPPR!$A:$A,0),5)),$C255*INDEX(SPPR!$E:$X,MATCH($A255,SPPR!$A:$A,0),5),""),"")</f>
        <v/>
      </c>
      <c r="I255">
        <f>IFERROR(IF(ISNUMBER(INDEX(SPPR!$E:$X,MATCH($A255,SPPR!$A:$A,0),6)),$C255*INDEX(SPPR!$E:$X,MATCH($A255,SPPR!$A:$A,0),6),""),"")</f>
        <v/>
      </c>
      <c r="J255">
        <f>IFERROR(IF(ISNUMBER(INDEX(SPPR!$E:$X,MATCH($A255,SPPR!$A:$A,0),7)),$C255*INDEX(SPPR!$E:$X,MATCH($A255,SPPR!$A:$A,0),7),""),"")</f>
        <v/>
      </c>
      <c r="K255">
        <f>IFERROR(IF(ISNUMBER(INDEX(SPPR!$E:$X,MATCH($A255,SPPR!$A:$A,0),8)),$C255*INDEX(SPPR!$E:$X,MATCH($A255,SPPR!$A:$A,0),8),""),"")</f>
        <v/>
      </c>
      <c r="L255">
        <f>IFERROR(IF(ISNUMBER(INDEX(SPPR!$E:$X,MATCH($A255,SPPR!$A:$A,0),9)),$C255*INDEX(SPPR!$E:$X,MATCH($A255,SPPR!$A:$A,0),9),""),"")</f>
        <v/>
      </c>
      <c r="M255">
        <f>IFERROR(IF(ISNUMBER(INDEX(SPPR!$E:$X,MATCH($A255,SPPR!$A:$A,0),10)),$C255*INDEX(SPPR!$E:$X,MATCH($A255,SPPR!$A:$A,0),10),""),"")</f>
        <v/>
      </c>
      <c r="N255">
        <f>IFERROR(IF(ISNUMBER(INDEX(SPPR!$E:$X,MATCH($A255,SPPR!$A:$A,0),11)),$C255*INDEX(SPPR!$E:$X,MATCH($A255,SPPR!$A:$A,0),11),""),"")</f>
        <v/>
      </c>
      <c r="O255">
        <f>IFERROR(IF(ISNUMBER(INDEX(SPPR!$E:$X,MATCH($A255,SPPR!$A:$A,0),12)),$C255*INDEX(SPPR!$E:$X,MATCH($A255,SPPR!$A:$A,0),12),""),"")</f>
        <v/>
      </c>
      <c r="P255">
        <f>IFERROR(IF(ISNUMBER(INDEX(SPPR!$E:$X,MATCH($A255,SPPR!$A:$A,0),13)),$C255*INDEX(SPPR!$E:$X,MATCH($A255,SPPR!$A:$A,0),13),""),"")</f>
        <v/>
      </c>
      <c r="Q255">
        <f>IFERROR(IF(ISNUMBER(INDEX(SPPR!$E:$X,MATCH($A255,SPPR!$A:$A,0),14)),$C255*INDEX(SPPR!$E:$X,MATCH($A255,SPPR!$A:$A,0),14),""),"")</f>
        <v/>
      </c>
      <c r="R255">
        <f>IFERROR(IF(ISNUMBER(INDEX(SPPR!$E:$X,MATCH($A255,SPPR!$A:$A,0),15)),$C255*INDEX(SPPR!$E:$X,MATCH($A255,SPPR!$A:$A,0),15),""),"")</f>
        <v/>
      </c>
      <c r="S255">
        <f>IFERROR(IF(ISNUMBER(INDEX(SPPR!$E:$X,MATCH($A255,SPPR!$A:$A,0),16)),$C255*INDEX(SPPR!$E:$X,MATCH($A255,SPPR!$A:$A,0),16),""),"")</f>
        <v/>
      </c>
      <c r="T255">
        <f>IFERROR(IF(ISNUMBER(INDEX(SPPR!$E:$X,MATCH($A255,SPPR!$A:$A,0),17)),$C255*INDEX(SPPR!$E:$X,MATCH($A255,SPPR!$A:$A,0),17),""),"")</f>
        <v/>
      </c>
      <c r="U255">
        <f>IFERROR(IF(ISNUMBER(INDEX(SPPR!$E:$X,MATCH($A255,SPPR!$A:$A,0),18)),$C255*INDEX(SPPR!$E:$X,MATCH($A255,SPPR!$A:$A,0),18),""),"")</f>
        <v/>
      </c>
      <c r="V255">
        <f>IFERROR(IF(ISNUMBER(INDEX(SPPR!$E:$X,MATCH($A255,SPPR!$A:$A,0),19)),$C255*INDEX(SPPR!$E:$X,MATCH($A255,SPPR!$A:$A,0),19),""),"")</f>
        <v/>
      </c>
      <c r="W255">
        <f>IFERROR(IF(ISNUMBER(INDEX(SPPR!$E:$X,MATCH($A255,SPPR!$A:$A,0),20)),$C255*INDEX(SPPR!$E:$X,MATCH($A255,SPPR!$A:$A,0),20),""),"")</f>
        <v/>
      </c>
    </row>
    <row r="256">
      <c r="A256" t="inlineStr">
        <is>
          <t>Panulirus polyphagus</t>
        </is>
      </c>
      <c r="B256">
        <f>IFERROR(INDEX(SPPR!$D:$D,MATCH($A256,SPPR!$A:$A,0)),"")</f>
        <v/>
      </c>
      <c r="C256">
        <f>IFERROR(INDEX(Catch!$E:$BV,MATCH($A256,Catch!$A:$A,0),MATCH($B$4,Catch!$E$1:$BV$1,0)),0)</f>
        <v/>
      </c>
      <c r="D256">
        <f>IFERROR(IF(ISNUMBER(INDEX(SPPR!$E:$X,MATCH($A256,SPPR!$A:$A,0),1)),$C256*INDEX(SPPR!$E:$X,MATCH($A256,SPPR!$A:$A,0),1),""),"")</f>
        <v/>
      </c>
      <c r="E256">
        <f>IFERROR(IF(ISNUMBER(INDEX(SPPR!$E:$X,MATCH($A256,SPPR!$A:$A,0),2)),$C256*INDEX(SPPR!$E:$X,MATCH($A256,SPPR!$A:$A,0),2),""),"")</f>
        <v/>
      </c>
      <c r="F256">
        <f>IFERROR(IF(ISNUMBER(INDEX(SPPR!$E:$X,MATCH($A256,SPPR!$A:$A,0),3)),$C256*INDEX(SPPR!$E:$X,MATCH($A256,SPPR!$A:$A,0),3),""),"")</f>
        <v/>
      </c>
      <c r="G256">
        <f>IFERROR(IF(ISNUMBER(INDEX(SPPR!$E:$X,MATCH($A256,SPPR!$A:$A,0),4)),$C256*INDEX(SPPR!$E:$X,MATCH($A256,SPPR!$A:$A,0),4),""),"")</f>
        <v/>
      </c>
      <c r="H256">
        <f>IFERROR(IF(ISNUMBER(INDEX(SPPR!$E:$X,MATCH($A256,SPPR!$A:$A,0),5)),$C256*INDEX(SPPR!$E:$X,MATCH($A256,SPPR!$A:$A,0),5),""),"")</f>
        <v/>
      </c>
      <c r="I256">
        <f>IFERROR(IF(ISNUMBER(INDEX(SPPR!$E:$X,MATCH($A256,SPPR!$A:$A,0),6)),$C256*INDEX(SPPR!$E:$X,MATCH($A256,SPPR!$A:$A,0),6),""),"")</f>
        <v/>
      </c>
      <c r="J256">
        <f>IFERROR(IF(ISNUMBER(INDEX(SPPR!$E:$X,MATCH($A256,SPPR!$A:$A,0),7)),$C256*INDEX(SPPR!$E:$X,MATCH($A256,SPPR!$A:$A,0),7),""),"")</f>
        <v/>
      </c>
      <c r="K256">
        <f>IFERROR(IF(ISNUMBER(INDEX(SPPR!$E:$X,MATCH($A256,SPPR!$A:$A,0),8)),$C256*INDEX(SPPR!$E:$X,MATCH($A256,SPPR!$A:$A,0),8),""),"")</f>
        <v/>
      </c>
      <c r="L256">
        <f>IFERROR(IF(ISNUMBER(INDEX(SPPR!$E:$X,MATCH($A256,SPPR!$A:$A,0),9)),$C256*INDEX(SPPR!$E:$X,MATCH($A256,SPPR!$A:$A,0),9),""),"")</f>
        <v/>
      </c>
      <c r="M256">
        <f>IFERROR(IF(ISNUMBER(INDEX(SPPR!$E:$X,MATCH($A256,SPPR!$A:$A,0),10)),$C256*INDEX(SPPR!$E:$X,MATCH($A256,SPPR!$A:$A,0),10),""),"")</f>
        <v/>
      </c>
      <c r="N256">
        <f>IFERROR(IF(ISNUMBER(INDEX(SPPR!$E:$X,MATCH($A256,SPPR!$A:$A,0),11)),$C256*INDEX(SPPR!$E:$X,MATCH($A256,SPPR!$A:$A,0),11),""),"")</f>
        <v/>
      </c>
      <c r="O256">
        <f>IFERROR(IF(ISNUMBER(INDEX(SPPR!$E:$X,MATCH($A256,SPPR!$A:$A,0),12)),$C256*INDEX(SPPR!$E:$X,MATCH($A256,SPPR!$A:$A,0),12),""),"")</f>
        <v/>
      </c>
      <c r="P256">
        <f>IFERROR(IF(ISNUMBER(INDEX(SPPR!$E:$X,MATCH($A256,SPPR!$A:$A,0),13)),$C256*INDEX(SPPR!$E:$X,MATCH($A256,SPPR!$A:$A,0),13),""),"")</f>
        <v/>
      </c>
      <c r="Q256">
        <f>IFERROR(IF(ISNUMBER(INDEX(SPPR!$E:$X,MATCH($A256,SPPR!$A:$A,0),14)),$C256*INDEX(SPPR!$E:$X,MATCH($A256,SPPR!$A:$A,0),14),""),"")</f>
        <v/>
      </c>
      <c r="R256">
        <f>IFERROR(IF(ISNUMBER(INDEX(SPPR!$E:$X,MATCH($A256,SPPR!$A:$A,0),15)),$C256*INDEX(SPPR!$E:$X,MATCH($A256,SPPR!$A:$A,0),15),""),"")</f>
        <v/>
      </c>
      <c r="S256">
        <f>IFERROR(IF(ISNUMBER(INDEX(SPPR!$E:$X,MATCH($A256,SPPR!$A:$A,0),16)),$C256*INDEX(SPPR!$E:$X,MATCH($A256,SPPR!$A:$A,0),16),""),"")</f>
        <v/>
      </c>
      <c r="T256">
        <f>IFERROR(IF(ISNUMBER(INDEX(SPPR!$E:$X,MATCH($A256,SPPR!$A:$A,0),17)),$C256*INDEX(SPPR!$E:$X,MATCH($A256,SPPR!$A:$A,0),17),""),"")</f>
        <v/>
      </c>
      <c r="U256">
        <f>IFERROR(IF(ISNUMBER(INDEX(SPPR!$E:$X,MATCH($A256,SPPR!$A:$A,0),18)),$C256*INDEX(SPPR!$E:$X,MATCH($A256,SPPR!$A:$A,0),18),""),"")</f>
        <v/>
      </c>
      <c r="V256">
        <f>IFERROR(IF(ISNUMBER(INDEX(SPPR!$E:$X,MATCH($A256,SPPR!$A:$A,0),19)),$C256*INDEX(SPPR!$E:$X,MATCH($A256,SPPR!$A:$A,0),19),""),"")</f>
        <v/>
      </c>
      <c r="W256">
        <f>IFERROR(IF(ISNUMBER(INDEX(SPPR!$E:$X,MATCH($A256,SPPR!$A:$A,0),20)),$C256*INDEX(SPPR!$E:$X,MATCH($A256,SPPR!$A:$A,0),20),""),"")</f>
        <v/>
      </c>
    </row>
    <row r="257">
      <c r="A257" t="inlineStr">
        <is>
          <t>Mierspenaeopsis sculptilis</t>
        </is>
      </c>
      <c r="B257">
        <f>IFERROR(INDEX(SPPR!$D:$D,MATCH($A257,SPPR!$A:$A,0)),"")</f>
        <v/>
      </c>
      <c r="C257">
        <f>IFERROR(INDEX(Catch!$E:$BV,MATCH($A257,Catch!$A:$A,0),MATCH($B$4,Catch!$E$1:$BV$1,0)),0)</f>
        <v/>
      </c>
      <c r="D257">
        <f>IFERROR(IF(ISNUMBER(INDEX(SPPR!$E:$X,MATCH($A257,SPPR!$A:$A,0),1)),$C257*INDEX(SPPR!$E:$X,MATCH($A257,SPPR!$A:$A,0),1),""),"")</f>
        <v/>
      </c>
      <c r="E257">
        <f>IFERROR(IF(ISNUMBER(INDEX(SPPR!$E:$X,MATCH($A257,SPPR!$A:$A,0),2)),$C257*INDEX(SPPR!$E:$X,MATCH($A257,SPPR!$A:$A,0),2),""),"")</f>
        <v/>
      </c>
      <c r="F257">
        <f>IFERROR(IF(ISNUMBER(INDEX(SPPR!$E:$X,MATCH($A257,SPPR!$A:$A,0),3)),$C257*INDEX(SPPR!$E:$X,MATCH($A257,SPPR!$A:$A,0),3),""),"")</f>
        <v/>
      </c>
      <c r="G257">
        <f>IFERROR(IF(ISNUMBER(INDEX(SPPR!$E:$X,MATCH($A257,SPPR!$A:$A,0),4)),$C257*INDEX(SPPR!$E:$X,MATCH($A257,SPPR!$A:$A,0),4),""),"")</f>
        <v/>
      </c>
      <c r="H257">
        <f>IFERROR(IF(ISNUMBER(INDEX(SPPR!$E:$X,MATCH($A257,SPPR!$A:$A,0),5)),$C257*INDEX(SPPR!$E:$X,MATCH($A257,SPPR!$A:$A,0),5),""),"")</f>
        <v/>
      </c>
      <c r="I257">
        <f>IFERROR(IF(ISNUMBER(INDEX(SPPR!$E:$X,MATCH($A257,SPPR!$A:$A,0),6)),$C257*INDEX(SPPR!$E:$X,MATCH($A257,SPPR!$A:$A,0),6),""),"")</f>
        <v/>
      </c>
      <c r="J257">
        <f>IFERROR(IF(ISNUMBER(INDEX(SPPR!$E:$X,MATCH($A257,SPPR!$A:$A,0),7)),$C257*INDEX(SPPR!$E:$X,MATCH($A257,SPPR!$A:$A,0),7),""),"")</f>
        <v/>
      </c>
      <c r="K257">
        <f>IFERROR(IF(ISNUMBER(INDEX(SPPR!$E:$X,MATCH($A257,SPPR!$A:$A,0),8)),$C257*INDEX(SPPR!$E:$X,MATCH($A257,SPPR!$A:$A,0),8),""),"")</f>
        <v/>
      </c>
      <c r="L257">
        <f>IFERROR(IF(ISNUMBER(INDEX(SPPR!$E:$X,MATCH($A257,SPPR!$A:$A,0),9)),$C257*INDEX(SPPR!$E:$X,MATCH($A257,SPPR!$A:$A,0),9),""),"")</f>
        <v/>
      </c>
      <c r="M257">
        <f>IFERROR(IF(ISNUMBER(INDEX(SPPR!$E:$X,MATCH($A257,SPPR!$A:$A,0),10)),$C257*INDEX(SPPR!$E:$X,MATCH($A257,SPPR!$A:$A,0),10),""),"")</f>
        <v/>
      </c>
      <c r="N257">
        <f>IFERROR(IF(ISNUMBER(INDEX(SPPR!$E:$X,MATCH($A257,SPPR!$A:$A,0),11)),$C257*INDEX(SPPR!$E:$X,MATCH($A257,SPPR!$A:$A,0),11),""),"")</f>
        <v/>
      </c>
      <c r="O257">
        <f>IFERROR(IF(ISNUMBER(INDEX(SPPR!$E:$X,MATCH($A257,SPPR!$A:$A,0),12)),$C257*INDEX(SPPR!$E:$X,MATCH($A257,SPPR!$A:$A,0),12),""),"")</f>
        <v/>
      </c>
      <c r="P257">
        <f>IFERROR(IF(ISNUMBER(INDEX(SPPR!$E:$X,MATCH($A257,SPPR!$A:$A,0),13)),$C257*INDEX(SPPR!$E:$X,MATCH($A257,SPPR!$A:$A,0),13),""),"")</f>
        <v/>
      </c>
      <c r="Q257">
        <f>IFERROR(IF(ISNUMBER(INDEX(SPPR!$E:$X,MATCH($A257,SPPR!$A:$A,0),14)),$C257*INDEX(SPPR!$E:$X,MATCH($A257,SPPR!$A:$A,0),14),""),"")</f>
        <v/>
      </c>
      <c r="R257">
        <f>IFERROR(IF(ISNUMBER(INDEX(SPPR!$E:$X,MATCH($A257,SPPR!$A:$A,0),15)),$C257*INDEX(SPPR!$E:$X,MATCH($A257,SPPR!$A:$A,0),15),""),"")</f>
        <v/>
      </c>
      <c r="S257">
        <f>IFERROR(IF(ISNUMBER(INDEX(SPPR!$E:$X,MATCH($A257,SPPR!$A:$A,0),16)),$C257*INDEX(SPPR!$E:$X,MATCH($A257,SPPR!$A:$A,0),16),""),"")</f>
        <v/>
      </c>
      <c r="T257">
        <f>IFERROR(IF(ISNUMBER(INDEX(SPPR!$E:$X,MATCH($A257,SPPR!$A:$A,0),17)),$C257*INDEX(SPPR!$E:$X,MATCH($A257,SPPR!$A:$A,0),17),""),"")</f>
        <v/>
      </c>
      <c r="U257">
        <f>IFERROR(IF(ISNUMBER(INDEX(SPPR!$E:$X,MATCH($A257,SPPR!$A:$A,0),18)),$C257*INDEX(SPPR!$E:$X,MATCH($A257,SPPR!$A:$A,0),18),""),"")</f>
        <v/>
      </c>
      <c r="V257">
        <f>IFERROR(IF(ISNUMBER(INDEX(SPPR!$E:$X,MATCH($A257,SPPR!$A:$A,0),19)),$C257*INDEX(SPPR!$E:$X,MATCH($A257,SPPR!$A:$A,0),19),""),"")</f>
        <v/>
      </c>
      <c r="W257">
        <f>IFERROR(IF(ISNUMBER(INDEX(SPPR!$E:$X,MATCH($A257,SPPR!$A:$A,0),20)),$C257*INDEX(SPPR!$E:$X,MATCH($A257,SPPR!$A:$A,0),20),""),"")</f>
        <v/>
      </c>
    </row>
    <row r="258">
      <c r="A258" t="inlineStr">
        <is>
          <t>Acanthurus</t>
        </is>
      </c>
      <c r="B258">
        <f>IFERROR(INDEX(SPPR!$D:$D,MATCH($A258,SPPR!$A:$A,0)),"")</f>
        <v/>
      </c>
      <c r="C258">
        <f>IFERROR(INDEX(Catch!$E:$BV,MATCH($A258,Catch!$A:$A,0),MATCH($B$4,Catch!$E$1:$BV$1,0)),0)</f>
        <v/>
      </c>
      <c r="D258">
        <f>IFERROR(IF(ISNUMBER(INDEX(SPPR!$E:$X,MATCH($A258,SPPR!$A:$A,0),1)),$C258*INDEX(SPPR!$E:$X,MATCH($A258,SPPR!$A:$A,0),1),""),"")</f>
        <v/>
      </c>
      <c r="E258">
        <f>IFERROR(IF(ISNUMBER(INDEX(SPPR!$E:$X,MATCH($A258,SPPR!$A:$A,0),2)),$C258*INDEX(SPPR!$E:$X,MATCH($A258,SPPR!$A:$A,0),2),""),"")</f>
        <v/>
      </c>
      <c r="F258">
        <f>IFERROR(IF(ISNUMBER(INDEX(SPPR!$E:$X,MATCH($A258,SPPR!$A:$A,0),3)),$C258*INDEX(SPPR!$E:$X,MATCH($A258,SPPR!$A:$A,0),3),""),"")</f>
        <v/>
      </c>
      <c r="G258">
        <f>IFERROR(IF(ISNUMBER(INDEX(SPPR!$E:$X,MATCH($A258,SPPR!$A:$A,0),4)),$C258*INDEX(SPPR!$E:$X,MATCH($A258,SPPR!$A:$A,0),4),""),"")</f>
        <v/>
      </c>
      <c r="H258">
        <f>IFERROR(IF(ISNUMBER(INDEX(SPPR!$E:$X,MATCH($A258,SPPR!$A:$A,0),5)),$C258*INDEX(SPPR!$E:$X,MATCH($A258,SPPR!$A:$A,0),5),""),"")</f>
        <v/>
      </c>
      <c r="I258">
        <f>IFERROR(IF(ISNUMBER(INDEX(SPPR!$E:$X,MATCH($A258,SPPR!$A:$A,0),6)),$C258*INDEX(SPPR!$E:$X,MATCH($A258,SPPR!$A:$A,0),6),""),"")</f>
        <v/>
      </c>
      <c r="J258">
        <f>IFERROR(IF(ISNUMBER(INDEX(SPPR!$E:$X,MATCH($A258,SPPR!$A:$A,0),7)),$C258*INDEX(SPPR!$E:$X,MATCH($A258,SPPR!$A:$A,0),7),""),"")</f>
        <v/>
      </c>
      <c r="K258">
        <f>IFERROR(IF(ISNUMBER(INDEX(SPPR!$E:$X,MATCH($A258,SPPR!$A:$A,0),8)),$C258*INDEX(SPPR!$E:$X,MATCH($A258,SPPR!$A:$A,0),8),""),"")</f>
        <v/>
      </c>
      <c r="L258">
        <f>IFERROR(IF(ISNUMBER(INDEX(SPPR!$E:$X,MATCH($A258,SPPR!$A:$A,0),9)),$C258*INDEX(SPPR!$E:$X,MATCH($A258,SPPR!$A:$A,0),9),""),"")</f>
        <v/>
      </c>
      <c r="M258">
        <f>IFERROR(IF(ISNUMBER(INDEX(SPPR!$E:$X,MATCH($A258,SPPR!$A:$A,0),10)),$C258*INDEX(SPPR!$E:$X,MATCH($A258,SPPR!$A:$A,0),10),""),"")</f>
        <v/>
      </c>
      <c r="N258">
        <f>IFERROR(IF(ISNUMBER(INDEX(SPPR!$E:$X,MATCH($A258,SPPR!$A:$A,0),11)),$C258*INDEX(SPPR!$E:$X,MATCH($A258,SPPR!$A:$A,0),11),""),"")</f>
        <v/>
      </c>
      <c r="O258">
        <f>IFERROR(IF(ISNUMBER(INDEX(SPPR!$E:$X,MATCH($A258,SPPR!$A:$A,0),12)),$C258*INDEX(SPPR!$E:$X,MATCH($A258,SPPR!$A:$A,0),12),""),"")</f>
        <v/>
      </c>
      <c r="P258">
        <f>IFERROR(IF(ISNUMBER(INDEX(SPPR!$E:$X,MATCH($A258,SPPR!$A:$A,0),13)),$C258*INDEX(SPPR!$E:$X,MATCH($A258,SPPR!$A:$A,0),13),""),"")</f>
        <v/>
      </c>
      <c r="Q258">
        <f>IFERROR(IF(ISNUMBER(INDEX(SPPR!$E:$X,MATCH($A258,SPPR!$A:$A,0),14)),$C258*INDEX(SPPR!$E:$X,MATCH($A258,SPPR!$A:$A,0),14),""),"")</f>
        <v/>
      </c>
      <c r="R258">
        <f>IFERROR(IF(ISNUMBER(INDEX(SPPR!$E:$X,MATCH($A258,SPPR!$A:$A,0),15)),$C258*INDEX(SPPR!$E:$X,MATCH($A258,SPPR!$A:$A,0),15),""),"")</f>
        <v/>
      </c>
      <c r="S258">
        <f>IFERROR(IF(ISNUMBER(INDEX(SPPR!$E:$X,MATCH($A258,SPPR!$A:$A,0),16)),$C258*INDEX(SPPR!$E:$X,MATCH($A258,SPPR!$A:$A,0),16),""),"")</f>
        <v/>
      </c>
      <c r="T258">
        <f>IFERROR(IF(ISNUMBER(INDEX(SPPR!$E:$X,MATCH($A258,SPPR!$A:$A,0),17)),$C258*INDEX(SPPR!$E:$X,MATCH($A258,SPPR!$A:$A,0),17),""),"")</f>
        <v/>
      </c>
      <c r="U258">
        <f>IFERROR(IF(ISNUMBER(INDEX(SPPR!$E:$X,MATCH($A258,SPPR!$A:$A,0),18)),$C258*INDEX(SPPR!$E:$X,MATCH($A258,SPPR!$A:$A,0),18),""),"")</f>
        <v/>
      </c>
      <c r="V258">
        <f>IFERROR(IF(ISNUMBER(INDEX(SPPR!$E:$X,MATCH($A258,SPPR!$A:$A,0),19)),$C258*INDEX(SPPR!$E:$X,MATCH($A258,SPPR!$A:$A,0),19),""),"")</f>
        <v/>
      </c>
      <c r="W258">
        <f>IFERROR(IF(ISNUMBER(INDEX(SPPR!$E:$X,MATCH($A258,SPPR!$A:$A,0),20)),$C258*INDEX(SPPR!$E:$X,MATCH($A258,SPPR!$A:$A,0),20),""),"")</f>
        <v/>
      </c>
    </row>
    <row r="259">
      <c r="A259" t="inlineStr">
        <is>
          <t>Palinuridae</t>
        </is>
      </c>
      <c r="B259">
        <f>IFERROR(INDEX(SPPR!$D:$D,MATCH($A259,SPPR!$A:$A,0)),"")</f>
        <v/>
      </c>
      <c r="C259">
        <f>IFERROR(INDEX(Catch!$E:$BV,MATCH($A259,Catch!$A:$A,0),MATCH($B$4,Catch!$E$1:$BV$1,0)),0)</f>
        <v/>
      </c>
      <c r="D259">
        <f>IFERROR(IF(ISNUMBER(INDEX(SPPR!$E:$X,MATCH($A259,SPPR!$A:$A,0),1)),$C259*INDEX(SPPR!$E:$X,MATCH($A259,SPPR!$A:$A,0),1),""),"")</f>
        <v/>
      </c>
      <c r="E259">
        <f>IFERROR(IF(ISNUMBER(INDEX(SPPR!$E:$X,MATCH($A259,SPPR!$A:$A,0),2)),$C259*INDEX(SPPR!$E:$X,MATCH($A259,SPPR!$A:$A,0),2),""),"")</f>
        <v/>
      </c>
      <c r="F259">
        <f>IFERROR(IF(ISNUMBER(INDEX(SPPR!$E:$X,MATCH($A259,SPPR!$A:$A,0),3)),$C259*INDEX(SPPR!$E:$X,MATCH($A259,SPPR!$A:$A,0),3),""),"")</f>
        <v/>
      </c>
      <c r="G259">
        <f>IFERROR(IF(ISNUMBER(INDEX(SPPR!$E:$X,MATCH($A259,SPPR!$A:$A,0),4)),$C259*INDEX(SPPR!$E:$X,MATCH($A259,SPPR!$A:$A,0),4),""),"")</f>
        <v/>
      </c>
      <c r="H259">
        <f>IFERROR(IF(ISNUMBER(INDEX(SPPR!$E:$X,MATCH($A259,SPPR!$A:$A,0),5)),$C259*INDEX(SPPR!$E:$X,MATCH($A259,SPPR!$A:$A,0),5),""),"")</f>
        <v/>
      </c>
      <c r="I259">
        <f>IFERROR(IF(ISNUMBER(INDEX(SPPR!$E:$X,MATCH($A259,SPPR!$A:$A,0),6)),$C259*INDEX(SPPR!$E:$X,MATCH($A259,SPPR!$A:$A,0),6),""),"")</f>
        <v/>
      </c>
      <c r="J259">
        <f>IFERROR(IF(ISNUMBER(INDEX(SPPR!$E:$X,MATCH($A259,SPPR!$A:$A,0),7)),$C259*INDEX(SPPR!$E:$X,MATCH($A259,SPPR!$A:$A,0),7),""),"")</f>
        <v/>
      </c>
      <c r="K259">
        <f>IFERROR(IF(ISNUMBER(INDEX(SPPR!$E:$X,MATCH($A259,SPPR!$A:$A,0),8)),$C259*INDEX(SPPR!$E:$X,MATCH($A259,SPPR!$A:$A,0),8),""),"")</f>
        <v/>
      </c>
      <c r="L259">
        <f>IFERROR(IF(ISNUMBER(INDEX(SPPR!$E:$X,MATCH($A259,SPPR!$A:$A,0),9)),$C259*INDEX(SPPR!$E:$X,MATCH($A259,SPPR!$A:$A,0),9),""),"")</f>
        <v/>
      </c>
      <c r="M259">
        <f>IFERROR(IF(ISNUMBER(INDEX(SPPR!$E:$X,MATCH($A259,SPPR!$A:$A,0),10)),$C259*INDEX(SPPR!$E:$X,MATCH($A259,SPPR!$A:$A,0),10),""),"")</f>
        <v/>
      </c>
      <c r="N259">
        <f>IFERROR(IF(ISNUMBER(INDEX(SPPR!$E:$X,MATCH($A259,SPPR!$A:$A,0),11)),$C259*INDEX(SPPR!$E:$X,MATCH($A259,SPPR!$A:$A,0),11),""),"")</f>
        <v/>
      </c>
      <c r="O259">
        <f>IFERROR(IF(ISNUMBER(INDEX(SPPR!$E:$X,MATCH($A259,SPPR!$A:$A,0),12)),$C259*INDEX(SPPR!$E:$X,MATCH($A259,SPPR!$A:$A,0),12),""),"")</f>
        <v/>
      </c>
      <c r="P259">
        <f>IFERROR(IF(ISNUMBER(INDEX(SPPR!$E:$X,MATCH($A259,SPPR!$A:$A,0),13)),$C259*INDEX(SPPR!$E:$X,MATCH($A259,SPPR!$A:$A,0),13),""),"")</f>
        <v/>
      </c>
      <c r="Q259">
        <f>IFERROR(IF(ISNUMBER(INDEX(SPPR!$E:$X,MATCH($A259,SPPR!$A:$A,0),14)),$C259*INDEX(SPPR!$E:$X,MATCH($A259,SPPR!$A:$A,0),14),""),"")</f>
        <v/>
      </c>
      <c r="R259">
        <f>IFERROR(IF(ISNUMBER(INDEX(SPPR!$E:$X,MATCH($A259,SPPR!$A:$A,0),15)),$C259*INDEX(SPPR!$E:$X,MATCH($A259,SPPR!$A:$A,0),15),""),"")</f>
        <v/>
      </c>
      <c r="S259">
        <f>IFERROR(IF(ISNUMBER(INDEX(SPPR!$E:$X,MATCH($A259,SPPR!$A:$A,0),16)),$C259*INDEX(SPPR!$E:$X,MATCH($A259,SPPR!$A:$A,0),16),""),"")</f>
        <v/>
      </c>
      <c r="T259">
        <f>IFERROR(IF(ISNUMBER(INDEX(SPPR!$E:$X,MATCH($A259,SPPR!$A:$A,0),17)),$C259*INDEX(SPPR!$E:$X,MATCH($A259,SPPR!$A:$A,0),17),""),"")</f>
        <v/>
      </c>
      <c r="U259">
        <f>IFERROR(IF(ISNUMBER(INDEX(SPPR!$E:$X,MATCH($A259,SPPR!$A:$A,0),18)),$C259*INDEX(SPPR!$E:$X,MATCH($A259,SPPR!$A:$A,0),18),""),"")</f>
        <v/>
      </c>
      <c r="V259">
        <f>IFERROR(IF(ISNUMBER(INDEX(SPPR!$E:$X,MATCH($A259,SPPR!$A:$A,0),19)),$C259*INDEX(SPPR!$E:$X,MATCH($A259,SPPR!$A:$A,0),19),""),"")</f>
        <v/>
      </c>
      <c r="W259">
        <f>IFERROR(IF(ISNUMBER(INDEX(SPPR!$E:$X,MATCH($A259,SPPR!$A:$A,0),20)),$C259*INDEX(SPPR!$E:$X,MATCH($A259,SPPR!$A:$A,0),20),""),"")</f>
        <v/>
      </c>
    </row>
    <row r="260">
      <c r="A260" t="inlineStr">
        <is>
          <t>Terapontidae</t>
        </is>
      </c>
      <c r="B260">
        <f>IFERROR(INDEX(SPPR!$D:$D,MATCH($A260,SPPR!$A:$A,0)),"")</f>
        <v/>
      </c>
      <c r="C260">
        <f>IFERROR(INDEX(Catch!$E:$BV,MATCH($A260,Catch!$A:$A,0),MATCH($B$4,Catch!$E$1:$BV$1,0)),0)</f>
        <v/>
      </c>
      <c r="D260">
        <f>IFERROR(IF(ISNUMBER(INDEX(SPPR!$E:$X,MATCH($A260,SPPR!$A:$A,0),1)),$C260*INDEX(SPPR!$E:$X,MATCH($A260,SPPR!$A:$A,0),1),""),"")</f>
        <v/>
      </c>
      <c r="E260">
        <f>IFERROR(IF(ISNUMBER(INDEX(SPPR!$E:$X,MATCH($A260,SPPR!$A:$A,0),2)),$C260*INDEX(SPPR!$E:$X,MATCH($A260,SPPR!$A:$A,0),2),""),"")</f>
        <v/>
      </c>
      <c r="F260">
        <f>IFERROR(IF(ISNUMBER(INDEX(SPPR!$E:$X,MATCH($A260,SPPR!$A:$A,0),3)),$C260*INDEX(SPPR!$E:$X,MATCH($A260,SPPR!$A:$A,0),3),""),"")</f>
        <v/>
      </c>
      <c r="G260">
        <f>IFERROR(IF(ISNUMBER(INDEX(SPPR!$E:$X,MATCH($A260,SPPR!$A:$A,0),4)),$C260*INDEX(SPPR!$E:$X,MATCH($A260,SPPR!$A:$A,0),4),""),"")</f>
        <v/>
      </c>
      <c r="H260">
        <f>IFERROR(IF(ISNUMBER(INDEX(SPPR!$E:$X,MATCH($A260,SPPR!$A:$A,0),5)),$C260*INDEX(SPPR!$E:$X,MATCH($A260,SPPR!$A:$A,0),5),""),"")</f>
        <v/>
      </c>
      <c r="I260">
        <f>IFERROR(IF(ISNUMBER(INDEX(SPPR!$E:$X,MATCH($A260,SPPR!$A:$A,0),6)),$C260*INDEX(SPPR!$E:$X,MATCH($A260,SPPR!$A:$A,0),6),""),"")</f>
        <v/>
      </c>
      <c r="J260">
        <f>IFERROR(IF(ISNUMBER(INDEX(SPPR!$E:$X,MATCH($A260,SPPR!$A:$A,0),7)),$C260*INDEX(SPPR!$E:$X,MATCH($A260,SPPR!$A:$A,0),7),""),"")</f>
        <v/>
      </c>
      <c r="K260">
        <f>IFERROR(IF(ISNUMBER(INDEX(SPPR!$E:$X,MATCH($A260,SPPR!$A:$A,0),8)),$C260*INDEX(SPPR!$E:$X,MATCH($A260,SPPR!$A:$A,0),8),""),"")</f>
        <v/>
      </c>
      <c r="L260">
        <f>IFERROR(IF(ISNUMBER(INDEX(SPPR!$E:$X,MATCH($A260,SPPR!$A:$A,0),9)),$C260*INDEX(SPPR!$E:$X,MATCH($A260,SPPR!$A:$A,0),9),""),"")</f>
        <v/>
      </c>
      <c r="M260">
        <f>IFERROR(IF(ISNUMBER(INDEX(SPPR!$E:$X,MATCH($A260,SPPR!$A:$A,0),10)),$C260*INDEX(SPPR!$E:$X,MATCH($A260,SPPR!$A:$A,0),10),""),"")</f>
        <v/>
      </c>
      <c r="N260">
        <f>IFERROR(IF(ISNUMBER(INDEX(SPPR!$E:$X,MATCH($A260,SPPR!$A:$A,0),11)),$C260*INDEX(SPPR!$E:$X,MATCH($A260,SPPR!$A:$A,0),11),""),"")</f>
        <v/>
      </c>
      <c r="O260">
        <f>IFERROR(IF(ISNUMBER(INDEX(SPPR!$E:$X,MATCH($A260,SPPR!$A:$A,0),12)),$C260*INDEX(SPPR!$E:$X,MATCH($A260,SPPR!$A:$A,0),12),""),"")</f>
        <v/>
      </c>
      <c r="P260">
        <f>IFERROR(IF(ISNUMBER(INDEX(SPPR!$E:$X,MATCH($A260,SPPR!$A:$A,0),13)),$C260*INDEX(SPPR!$E:$X,MATCH($A260,SPPR!$A:$A,0),13),""),"")</f>
        <v/>
      </c>
      <c r="Q260">
        <f>IFERROR(IF(ISNUMBER(INDEX(SPPR!$E:$X,MATCH($A260,SPPR!$A:$A,0),14)),$C260*INDEX(SPPR!$E:$X,MATCH($A260,SPPR!$A:$A,0),14),""),"")</f>
        <v/>
      </c>
      <c r="R260">
        <f>IFERROR(IF(ISNUMBER(INDEX(SPPR!$E:$X,MATCH($A260,SPPR!$A:$A,0),15)),$C260*INDEX(SPPR!$E:$X,MATCH($A260,SPPR!$A:$A,0),15),""),"")</f>
        <v/>
      </c>
      <c r="S260">
        <f>IFERROR(IF(ISNUMBER(INDEX(SPPR!$E:$X,MATCH($A260,SPPR!$A:$A,0),16)),$C260*INDEX(SPPR!$E:$X,MATCH($A260,SPPR!$A:$A,0),16),""),"")</f>
        <v/>
      </c>
      <c r="T260">
        <f>IFERROR(IF(ISNUMBER(INDEX(SPPR!$E:$X,MATCH($A260,SPPR!$A:$A,0),17)),$C260*INDEX(SPPR!$E:$X,MATCH($A260,SPPR!$A:$A,0),17),""),"")</f>
        <v/>
      </c>
      <c r="U260">
        <f>IFERROR(IF(ISNUMBER(INDEX(SPPR!$E:$X,MATCH($A260,SPPR!$A:$A,0),18)),$C260*INDEX(SPPR!$E:$X,MATCH($A260,SPPR!$A:$A,0),18),""),"")</f>
        <v/>
      </c>
      <c r="V260">
        <f>IFERROR(IF(ISNUMBER(INDEX(SPPR!$E:$X,MATCH($A260,SPPR!$A:$A,0),19)),$C260*INDEX(SPPR!$E:$X,MATCH($A260,SPPR!$A:$A,0),19),""),"")</f>
        <v/>
      </c>
      <c r="W260">
        <f>IFERROR(IF(ISNUMBER(INDEX(SPPR!$E:$X,MATCH($A260,SPPR!$A:$A,0),20)),$C260*INDEX(SPPR!$E:$X,MATCH($A260,SPPR!$A:$A,0),20),""),"")</f>
        <v/>
      </c>
    </row>
    <row r="261">
      <c r="A261" t="inlineStr">
        <is>
          <t>Octopus vulgaris</t>
        </is>
      </c>
      <c r="B261">
        <f>IFERROR(INDEX(SPPR!$D:$D,MATCH($A261,SPPR!$A:$A,0)),"")</f>
        <v/>
      </c>
      <c r="C261">
        <f>IFERROR(INDEX(Catch!$E:$BV,MATCH($A261,Catch!$A:$A,0),MATCH($B$4,Catch!$E$1:$BV$1,0)),0)</f>
        <v/>
      </c>
      <c r="D261">
        <f>IFERROR(IF(ISNUMBER(INDEX(SPPR!$E:$X,MATCH($A261,SPPR!$A:$A,0),1)),$C261*INDEX(SPPR!$E:$X,MATCH($A261,SPPR!$A:$A,0),1),""),"")</f>
        <v/>
      </c>
      <c r="E261">
        <f>IFERROR(IF(ISNUMBER(INDEX(SPPR!$E:$X,MATCH($A261,SPPR!$A:$A,0),2)),$C261*INDEX(SPPR!$E:$X,MATCH($A261,SPPR!$A:$A,0),2),""),"")</f>
        <v/>
      </c>
      <c r="F261">
        <f>IFERROR(IF(ISNUMBER(INDEX(SPPR!$E:$X,MATCH($A261,SPPR!$A:$A,0),3)),$C261*INDEX(SPPR!$E:$X,MATCH($A261,SPPR!$A:$A,0),3),""),"")</f>
        <v/>
      </c>
      <c r="G261">
        <f>IFERROR(IF(ISNUMBER(INDEX(SPPR!$E:$X,MATCH($A261,SPPR!$A:$A,0),4)),$C261*INDEX(SPPR!$E:$X,MATCH($A261,SPPR!$A:$A,0),4),""),"")</f>
        <v/>
      </c>
      <c r="H261">
        <f>IFERROR(IF(ISNUMBER(INDEX(SPPR!$E:$X,MATCH($A261,SPPR!$A:$A,0),5)),$C261*INDEX(SPPR!$E:$X,MATCH($A261,SPPR!$A:$A,0),5),""),"")</f>
        <v/>
      </c>
      <c r="I261">
        <f>IFERROR(IF(ISNUMBER(INDEX(SPPR!$E:$X,MATCH($A261,SPPR!$A:$A,0),6)),$C261*INDEX(SPPR!$E:$X,MATCH($A261,SPPR!$A:$A,0),6),""),"")</f>
        <v/>
      </c>
      <c r="J261">
        <f>IFERROR(IF(ISNUMBER(INDEX(SPPR!$E:$X,MATCH($A261,SPPR!$A:$A,0),7)),$C261*INDEX(SPPR!$E:$X,MATCH($A261,SPPR!$A:$A,0),7),""),"")</f>
        <v/>
      </c>
      <c r="K261">
        <f>IFERROR(IF(ISNUMBER(INDEX(SPPR!$E:$X,MATCH($A261,SPPR!$A:$A,0),8)),$C261*INDEX(SPPR!$E:$X,MATCH($A261,SPPR!$A:$A,0),8),""),"")</f>
        <v/>
      </c>
      <c r="L261">
        <f>IFERROR(IF(ISNUMBER(INDEX(SPPR!$E:$X,MATCH($A261,SPPR!$A:$A,0),9)),$C261*INDEX(SPPR!$E:$X,MATCH($A261,SPPR!$A:$A,0),9),""),"")</f>
        <v/>
      </c>
      <c r="M261">
        <f>IFERROR(IF(ISNUMBER(INDEX(SPPR!$E:$X,MATCH($A261,SPPR!$A:$A,0),10)),$C261*INDEX(SPPR!$E:$X,MATCH($A261,SPPR!$A:$A,0),10),""),"")</f>
        <v/>
      </c>
      <c r="N261">
        <f>IFERROR(IF(ISNUMBER(INDEX(SPPR!$E:$X,MATCH($A261,SPPR!$A:$A,0),11)),$C261*INDEX(SPPR!$E:$X,MATCH($A261,SPPR!$A:$A,0),11),""),"")</f>
        <v/>
      </c>
      <c r="O261">
        <f>IFERROR(IF(ISNUMBER(INDEX(SPPR!$E:$X,MATCH($A261,SPPR!$A:$A,0),12)),$C261*INDEX(SPPR!$E:$X,MATCH($A261,SPPR!$A:$A,0),12),""),"")</f>
        <v/>
      </c>
      <c r="P261">
        <f>IFERROR(IF(ISNUMBER(INDEX(SPPR!$E:$X,MATCH($A261,SPPR!$A:$A,0),13)),$C261*INDEX(SPPR!$E:$X,MATCH($A261,SPPR!$A:$A,0),13),""),"")</f>
        <v/>
      </c>
      <c r="Q261">
        <f>IFERROR(IF(ISNUMBER(INDEX(SPPR!$E:$X,MATCH($A261,SPPR!$A:$A,0),14)),$C261*INDEX(SPPR!$E:$X,MATCH($A261,SPPR!$A:$A,0),14),""),"")</f>
        <v/>
      </c>
      <c r="R261">
        <f>IFERROR(IF(ISNUMBER(INDEX(SPPR!$E:$X,MATCH($A261,SPPR!$A:$A,0),15)),$C261*INDEX(SPPR!$E:$X,MATCH($A261,SPPR!$A:$A,0),15),""),"")</f>
        <v/>
      </c>
      <c r="S261">
        <f>IFERROR(IF(ISNUMBER(INDEX(SPPR!$E:$X,MATCH($A261,SPPR!$A:$A,0),16)),$C261*INDEX(SPPR!$E:$X,MATCH($A261,SPPR!$A:$A,0),16),""),"")</f>
        <v/>
      </c>
      <c r="T261">
        <f>IFERROR(IF(ISNUMBER(INDEX(SPPR!$E:$X,MATCH($A261,SPPR!$A:$A,0),17)),$C261*INDEX(SPPR!$E:$X,MATCH($A261,SPPR!$A:$A,0),17),""),"")</f>
        <v/>
      </c>
      <c r="U261">
        <f>IFERROR(IF(ISNUMBER(INDEX(SPPR!$E:$X,MATCH($A261,SPPR!$A:$A,0),18)),$C261*INDEX(SPPR!$E:$X,MATCH($A261,SPPR!$A:$A,0),18),""),"")</f>
        <v/>
      </c>
      <c r="V261">
        <f>IFERROR(IF(ISNUMBER(INDEX(SPPR!$E:$X,MATCH($A261,SPPR!$A:$A,0),19)),$C261*INDEX(SPPR!$E:$X,MATCH($A261,SPPR!$A:$A,0),19),""),"")</f>
        <v/>
      </c>
      <c r="W261">
        <f>IFERROR(IF(ISNUMBER(INDEX(SPPR!$E:$X,MATCH($A261,SPPR!$A:$A,0),20)),$C261*INDEX(SPPR!$E:$X,MATCH($A261,SPPR!$A:$A,0),20),""),"")</f>
        <v/>
      </c>
    </row>
    <row r="262">
      <c r="A262" t="inlineStr">
        <is>
          <t>Solenocera crassicornis</t>
        </is>
      </c>
      <c r="B262">
        <f>IFERROR(INDEX(SPPR!$D:$D,MATCH($A262,SPPR!$A:$A,0)),"")</f>
        <v/>
      </c>
      <c r="C262">
        <f>IFERROR(INDEX(Catch!$E:$BV,MATCH($A262,Catch!$A:$A,0),MATCH($B$4,Catch!$E$1:$BV$1,0)),0)</f>
        <v/>
      </c>
      <c r="D262">
        <f>IFERROR(IF(ISNUMBER(INDEX(SPPR!$E:$X,MATCH($A262,SPPR!$A:$A,0),1)),$C262*INDEX(SPPR!$E:$X,MATCH($A262,SPPR!$A:$A,0),1),""),"")</f>
        <v/>
      </c>
      <c r="E262">
        <f>IFERROR(IF(ISNUMBER(INDEX(SPPR!$E:$X,MATCH($A262,SPPR!$A:$A,0),2)),$C262*INDEX(SPPR!$E:$X,MATCH($A262,SPPR!$A:$A,0),2),""),"")</f>
        <v/>
      </c>
      <c r="F262">
        <f>IFERROR(IF(ISNUMBER(INDEX(SPPR!$E:$X,MATCH($A262,SPPR!$A:$A,0),3)),$C262*INDEX(SPPR!$E:$X,MATCH($A262,SPPR!$A:$A,0),3),""),"")</f>
        <v/>
      </c>
      <c r="G262">
        <f>IFERROR(IF(ISNUMBER(INDEX(SPPR!$E:$X,MATCH($A262,SPPR!$A:$A,0),4)),$C262*INDEX(SPPR!$E:$X,MATCH($A262,SPPR!$A:$A,0),4),""),"")</f>
        <v/>
      </c>
      <c r="H262">
        <f>IFERROR(IF(ISNUMBER(INDEX(SPPR!$E:$X,MATCH($A262,SPPR!$A:$A,0),5)),$C262*INDEX(SPPR!$E:$X,MATCH($A262,SPPR!$A:$A,0),5),""),"")</f>
        <v/>
      </c>
      <c r="I262">
        <f>IFERROR(IF(ISNUMBER(INDEX(SPPR!$E:$X,MATCH($A262,SPPR!$A:$A,0),6)),$C262*INDEX(SPPR!$E:$X,MATCH($A262,SPPR!$A:$A,0),6),""),"")</f>
        <v/>
      </c>
      <c r="J262">
        <f>IFERROR(IF(ISNUMBER(INDEX(SPPR!$E:$X,MATCH($A262,SPPR!$A:$A,0),7)),$C262*INDEX(SPPR!$E:$X,MATCH($A262,SPPR!$A:$A,0),7),""),"")</f>
        <v/>
      </c>
      <c r="K262">
        <f>IFERROR(IF(ISNUMBER(INDEX(SPPR!$E:$X,MATCH($A262,SPPR!$A:$A,0),8)),$C262*INDEX(SPPR!$E:$X,MATCH($A262,SPPR!$A:$A,0),8),""),"")</f>
        <v/>
      </c>
      <c r="L262">
        <f>IFERROR(IF(ISNUMBER(INDEX(SPPR!$E:$X,MATCH($A262,SPPR!$A:$A,0),9)),$C262*INDEX(SPPR!$E:$X,MATCH($A262,SPPR!$A:$A,0),9),""),"")</f>
        <v/>
      </c>
      <c r="M262">
        <f>IFERROR(IF(ISNUMBER(INDEX(SPPR!$E:$X,MATCH($A262,SPPR!$A:$A,0),10)),$C262*INDEX(SPPR!$E:$X,MATCH($A262,SPPR!$A:$A,0),10),""),"")</f>
        <v/>
      </c>
      <c r="N262">
        <f>IFERROR(IF(ISNUMBER(INDEX(SPPR!$E:$X,MATCH($A262,SPPR!$A:$A,0),11)),$C262*INDEX(SPPR!$E:$X,MATCH($A262,SPPR!$A:$A,0),11),""),"")</f>
        <v/>
      </c>
      <c r="O262">
        <f>IFERROR(IF(ISNUMBER(INDEX(SPPR!$E:$X,MATCH($A262,SPPR!$A:$A,0),12)),$C262*INDEX(SPPR!$E:$X,MATCH($A262,SPPR!$A:$A,0),12),""),"")</f>
        <v/>
      </c>
      <c r="P262">
        <f>IFERROR(IF(ISNUMBER(INDEX(SPPR!$E:$X,MATCH($A262,SPPR!$A:$A,0),13)),$C262*INDEX(SPPR!$E:$X,MATCH($A262,SPPR!$A:$A,0),13),""),"")</f>
        <v/>
      </c>
      <c r="Q262">
        <f>IFERROR(IF(ISNUMBER(INDEX(SPPR!$E:$X,MATCH($A262,SPPR!$A:$A,0),14)),$C262*INDEX(SPPR!$E:$X,MATCH($A262,SPPR!$A:$A,0),14),""),"")</f>
        <v/>
      </c>
      <c r="R262">
        <f>IFERROR(IF(ISNUMBER(INDEX(SPPR!$E:$X,MATCH($A262,SPPR!$A:$A,0),15)),$C262*INDEX(SPPR!$E:$X,MATCH($A262,SPPR!$A:$A,0),15),""),"")</f>
        <v/>
      </c>
      <c r="S262">
        <f>IFERROR(IF(ISNUMBER(INDEX(SPPR!$E:$X,MATCH($A262,SPPR!$A:$A,0),16)),$C262*INDEX(SPPR!$E:$X,MATCH($A262,SPPR!$A:$A,0),16),""),"")</f>
        <v/>
      </c>
      <c r="T262">
        <f>IFERROR(IF(ISNUMBER(INDEX(SPPR!$E:$X,MATCH($A262,SPPR!$A:$A,0),17)),$C262*INDEX(SPPR!$E:$X,MATCH($A262,SPPR!$A:$A,0),17),""),"")</f>
        <v/>
      </c>
      <c r="U262">
        <f>IFERROR(IF(ISNUMBER(INDEX(SPPR!$E:$X,MATCH($A262,SPPR!$A:$A,0),18)),$C262*INDEX(SPPR!$E:$X,MATCH($A262,SPPR!$A:$A,0),18),""),"")</f>
        <v/>
      </c>
      <c r="V262">
        <f>IFERROR(IF(ISNUMBER(INDEX(SPPR!$E:$X,MATCH($A262,SPPR!$A:$A,0),19)),$C262*INDEX(SPPR!$E:$X,MATCH($A262,SPPR!$A:$A,0),19),""),"")</f>
        <v/>
      </c>
      <c r="W262">
        <f>IFERROR(IF(ISNUMBER(INDEX(SPPR!$E:$X,MATCH($A262,SPPR!$A:$A,0),20)),$C262*INDEX(SPPR!$E:$X,MATCH($A262,SPPR!$A:$A,0),20),""),"")</f>
        <v/>
      </c>
    </row>
    <row r="263">
      <c r="A263" t="inlineStr">
        <is>
          <t>Thunnus alalunga</t>
        </is>
      </c>
      <c r="B263">
        <f>IFERROR(INDEX(SPPR!$D:$D,MATCH($A263,SPPR!$A:$A,0)),"")</f>
        <v/>
      </c>
      <c r="C263">
        <f>IFERROR(INDEX(Catch!$E:$BV,MATCH($A263,Catch!$A:$A,0),MATCH($B$4,Catch!$E$1:$BV$1,0)),0)</f>
        <v/>
      </c>
      <c r="D263">
        <f>IFERROR(IF(ISNUMBER(INDEX(SPPR!$E:$X,MATCH($A263,SPPR!$A:$A,0),1)),$C263*INDEX(SPPR!$E:$X,MATCH($A263,SPPR!$A:$A,0),1),""),"")</f>
        <v/>
      </c>
      <c r="E263">
        <f>IFERROR(IF(ISNUMBER(INDEX(SPPR!$E:$X,MATCH($A263,SPPR!$A:$A,0),2)),$C263*INDEX(SPPR!$E:$X,MATCH($A263,SPPR!$A:$A,0),2),""),"")</f>
        <v/>
      </c>
      <c r="F263">
        <f>IFERROR(IF(ISNUMBER(INDEX(SPPR!$E:$X,MATCH($A263,SPPR!$A:$A,0),3)),$C263*INDEX(SPPR!$E:$X,MATCH($A263,SPPR!$A:$A,0),3),""),"")</f>
        <v/>
      </c>
      <c r="G263">
        <f>IFERROR(IF(ISNUMBER(INDEX(SPPR!$E:$X,MATCH($A263,SPPR!$A:$A,0),4)),$C263*INDEX(SPPR!$E:$X,MATCH($A263,SPPR!$A:$A,0),4),""),"")</f>
        <v/>
      </c>
      <c r="H263">
        <f>IFERROR(IF(ISNUMBER(INDEX(SPPR!$E:$X,MATCH($A263,SPPR!$A:$A,0),5)),$C263*INDEX(SPPR!$E:$X,MATCH($A263,SPPR!$A:$A,0),5),""),"")</f>
        <v/>
      </c>
      <c r="I263">
        <f>IFERROR(IF(ISNUMBER(INDEX(SPPR!$E:$X,MATCH($A263,SPPR!$A:$A,0),6)),$C263*INDEX(SPPR!$E:$X,MATCH($A263,SPPR!$A:$A,0),6),""),"")</f>
        <v/>
      </c>
      <c r="J263">
        <f>IFERROR(IF(ISNUMBER(INDEX(SPPR!$E:$X,MATCH($A263,SPPR!$A:$A,0),7)),$C263*INDEX(SPPR!$E:$X,MATCH($A263,SPPR!$A:$A,0),7),""),"")</f>
        <v/>
      </c>
      <c r="K263">
        <f>IFERROR(IF(ISNUMBER(INDEX(SPPR!$E:$X,MATCH($A263,SPPR!$A:$A,0),8)),$C263*INDEX(SPPR!$E:$X,MATCH($A263,SPPR!$A:$A,0),8),""),"")</f>
        <v/>
      </c>
      <c r="L263">
        <f>IFERROR(IF(ISNUMBER(INDEX(SPPR!$E:$X,MATCH($A263,SPPR!$A:$A,0),9)),$C263*INDEX(SPPR!$E:$X,MATCH($A263,SPPR!$A:$A,0),9),""),"")</f>
        <v/>
      </c>
      <c r="M263">
        <f>IFERROR(IF(ISNUMBER(INDEX(SPPR!$E:$X,MATCH($A263,SPPR!$A:$A,0),10)),$C263*INDEX(SPPR!$E:$X,MATCH($A263,SPPR!$A:$A,0),10),""),"")</f>
        <v/>
      </c>
      <c r="N263">
        <f>IFERROR(IF(ISNUMBER(INDEX(SPPR!$E:$X,MATCH($A263,SPPR!$A:$A,0),11)),$C263*INDEX(SPPR!$E:$X,MATCH($A263,SPPR!$A:$A,0),11),""),"")</f>
        <v/>
      </c>
      <c r="O263">
        <f>IFERROR(IF(ISNUMBER(INDEX(SPPR!$E:$X,MATCH($A263,SPPR!$A:$A,0),12)),$C263*INDEX(SPPR!$E:$X,MATCH($A263,SPPR!$A:$A,0),12),""),"")</f>
        <v/>
      </c>
      <c r="P263">
        <f>IFERROR(IF(ISNUMBER(INDEX(SPPR!$E:$X,MATCH($A263,SPPR!$A:$A,0),13)),$C263*INDEX(SPPR!$E:$X,MATCH($A263,SPPR!$A:$A,0),13),""),"")</f>
        <v/>
      </c>
      <c r="Q263">
        <f>IFERROR(IF(ISNUMBER(INDEX(SPPR!$E:$X,MATCH($A263,SPPR!$A:$A,0),14)),$C263*INDEX(SPPR!$E:$X,MATCH($A263,SPPR!$A:$A,0),14),""),"")</f>
        <v/>
      </c>
      <c r="R263">
        <f>IFERROR(IF(ISNUMBER(INDEX(SPPR!$E:$X,MATCH($A263,SPPR!$A:$A,0),15)),$C263*INDEX(SPPR!$E:$X,MATCH($A263,SPPR!$A:$A,0),15),""),"")</f>
        <v/>
      </c>
      <c r="S263">
        <f>IFERROR(IF(ISNUMBER(INDEX(SPPR!$E:$X,MATCH($A263,SPPR!$A:$A,0),16)),$C263*INDEX(SPPR!$E:$X,MATCH($A263,SPPR!$A:$A,0),16),""),"")</f>
        <v/>
      </c>
      <c r="T263">
        <f>IFERROR(IF(ISNUMBER(INDEX(SPPR!$E:$X,MATCH($A263,SPPR!$A:$A,0),17)),$C263*INDEX(SPPR!$E:$X,MATCH($A263,SPPR!$A:$A,0),17),""),"")</f>
        <v/>
      </c>
      <c r="U263">
        <f>IFERROR(IF(ISNUMBER(INDEX(SPPR!$E:$X,MATCH($A263,SPPR!$A:$A,0),18)),$C263*INDEX(SPPR!$E:$X,MATCH($A263,SPPR!$A:$A,0),18),""),"")</f>
        <v/>
      </c>
      <c r="V263">
        <f>IFERROR(IF(ISNUMBER(INDEX(SPPR!$E:$X,MATCH($A263,SPPR!$A:$A,0),19)),$C263*INDEX(SPPR!$E:$X,MATCH($A263,SPPR!$A:$A,0),19),""),"")</f>
        <v/>
      </c>
      <c r="W263">
        <f>IFERROR(IF(ISNUMBER(INDEX(SPPR!$E:$X,MATCH($A263,SPPR!$A:$A,0),20)),$C263*INDEX(SPPR!$E:$X,MATCH($A263,SPPR!$A:$A,0),20),""),"")</f>
        <v/>
      </c>
    </row>
    <row r="264">
      <c r="A264" t="inlineStr">
        <is>
          <t>Scorpaenidae</t>
        </is>
      </c>
      <c r="B264">
        <f>IFERROR(INDEX(SPPR!$D:$D,MATCH($A264,SPPR!$A:$A,0)),"")</f>
        <v/>
      </c>
      <c r="C264">
        <f>IFERROR(INDEX(Catch!$E:$BV,MATCH($A264,Catch!$A:$A,0),MATCH($B$4,Catch!$E$1:$BV$1,0)),0)</f>
        <v/>
      </c>
      <c r="D264">
        <f>IFERROR(IF(ISNUMBER(INDEX(SPPR!$E:$X,MATCH($A264,SPPR!$A:$A,0),1)),$C264*INDEX(SPPR!$E:$X,MATCH($A264,SPPR!$A:$A,0),1),""),"")</f>
        <v/>
      </c>
      <c r="E264">
        <f>IFERROR(IF(ISNUMBER(INDEX(SPPR!$E:$X,MATCH($A264,SPPR!$A:$A,0),2)),$C264*INDEX(SPPR!$E:$X,MATCH($A264,SPPR!$A:$A,0),2),""),"")</f>
        <v/>
      </c>
      <c r="F264">
        <f>IFERROR(IF(ISNUMBER(INDEX(SPPR!$E:$X,MATCH($A264,SPPR!$A:$A,0),3)),$C264*INDEX(SPPR!$E:$X,MATCH($A264,SPPR!$A:$A,0),3),""),"")</f>
        <v/>
      </c>
      <c r="G264">
        <f>IFERROR(IF(ISNUMBER(INDEX(SPPR!$E:$X,MATCH($A264,SPPR!$A:$A,0),4)),$C264*INDEX(SPPR!$E:$X,MATCH($A264,SPPR!$A:$A,0),4),""),"")</f>
        <v/>
      </c>
      <c r="H264">
        <f>IFERROR(IF(ISNUMBER(INDEX(SPPR!$E:$X,MATCH($A264,SPPR!$A:$A,0),5)),$C264*INDEX(SPPR!$E:$X,MATCH($A264,SPPR!$A:$A,0),5),""),"")</f>
        <v/>
      </c>
      <c r="I264">
        <f>IFERROR(IF(ISNUMBER(INDEX(SPPR!$E:$X,MATCH($A264,SPPR!$A:$A,0),6)),$C264*INDEX(SPPR!$E:$X,MATCH($A264,SPPR!$A:$A,0),6),""),"")</f>
        <v/>
      </c>
      <c r="J264">
        <f>IFERROR(IF(ISNUMBER(INDEX(SPPR!$E:$X,MATCH($A264,SPPR!$A:$A,0),7)),$C264*INDEX(SPPR!$E:$X,MATCH($A264,SPPR!$A:$A,0),7),""),"")</f>
        <v/>
      </c>
      <c r="K264">
        <f>IFERROR(IF(ISNUMBER(INDEX(SPPR!$E:$X,MATCH($A264,SPPR!$A:$A,0),8)),$C264*INDEX(SPPR!$E:$X,MATCH($A264,SPPR!$A:$A,0),8),""),"")</f>
        <v/>
      </c>
      <c r="L264">
        <f>IFERROR(IF(ISNUMBER(INDEX(SPPR!$E:$X,MATCH($A264,SPPR!$A:$A,0),9)),$C264*INDEX(SPPR!$E:$X,MATCH($A264,SPPR!$A:$A,0),9),""),"")</f>
        <v/>
      </c>
      <c r="M264">
        <f>IFERROR(IF(ISNUMBER(INDEX(SPPR!$E:$X,MATCH($A264,SPPR!$A:$A,0),10)),$C264*INDEX(SPPR!$E:$X,MATCH($A264,SPPR!$A:$A,0),10),""),"")</f>
        <v/>
      </c>
      <c r="N264">
        <f>IFERROR(IF(ISNUMBER(INDEX(SPPR!$E:$X,MATCH($A264,SPPR!$A:$A,0),11)),$C264*INDEX(SPPR!$E:$X,MATCH($A264,SPPR!$A:$A,0),11),""),"")</f>
        <v/>
      </c>
      <c r="O264">
        <f>IFERROR(IF(ISNUMBER(INDEX(SPPR!$E:$X,MATCH($A264,SPPR!$A:$A,0),12)),$C264*INDEX(SPPR!$E:$X,MATCH($A264,SPPR!$A:$A,0),12),""),"")</f>
        <v/>
      </c>
      <c r="P264">
        <f>IFERROR(IF(ISNUMBER(INDEX(SPPR!$E:$X,MATCH($A264,SPPR!$A:$A,0),13)),$C264*INDEX(SPPR!$E:$X,MATCH($A264,SPPR!$A:$A,0),13),""),"")</f>
        <v/>
      </c>
      <c r="Q264">
        <f>IFERROR(IF(ISNUMBER(INDEX(SPPR!$E:$X,MATCH($A264,SPPR!$A:$A,0),14)),$C264*INDEX(SPPR!$E:$X,MATCH($A264,SPPR!$A:$A,0),14),""),"")</f>
        <v/>
      </c>
      <c r="R264">
        <f>IFERROR(IF(ISNUMBER(INDEX(SPPR!$E:$X,MATCH($A264,SPPR!$A:$A,0),15)),$C264*INDEX(SPPR!$E:$X,MATCH($A264,SPPR!$A:$A,0),15),""),"")</f>
        <v/>
      </c>
      <c r="S264">
        <f>IFERROR(IF(ISNUMBER(INDEX(SPPR!$E:$X,MATCH($A264,SPPR!$A:$A,0),16)),$C264*INDEX(SPPR!$E:$X,MATCH($A264,SPPR!$A:$A,0),16),""),"")</f>
        <v/>
      </c>
      <c r="T264">
        <f>IFERROR(IF(ISNUMBER(INDEX(SPPR!$E:$X,MATCH($A264,SPPR!$A:$A,0),17)),$C264*INDEX(SPPR!$E:$X,MATCH($A264,SPPR!$A:$A,0),17),""),"")</f>
        <v/>
      </c>
      <c r="U264">
        <f>IFERROR(IF(ISNUMBER(INDEX(SPPR!$E:$X,MATCH($A264,SPPR!$A:$A,0),18)),$C264*INDEX(SPPR!$E:$X,MATCH($A264,SPPR!$A:$A,0),18),""),"")</f>
        <v/>
      </c>
      <c r="V264">
        <f>IFERROR(IF(ISNUMBER(INDEX(SPPR!$E:$X,MATCH($A264,SPPR!$A:$A,0),19)),$C264*INDEX(SPPR!$E:$X,MATCH($A264,SPPR!$A:$A,0),19),""),"")</f>
        <v/>
      </c>
      <c r="W264">
        <f>IFERROR(IF(ISNUMBER(INDEX(SPPR!$E:$X,MATCH($A264,SPPR!$A:$A,0),20)),$C264*INDEX(SPPR!$E:$X,MATCH($A264,SPPR!$A:$A,0),20),""),"")</f>
        <v/>
      </c>
    </row>
    <row r="265">
      <c r="A265" t="inlineStr">
        <is>
          <t>Carcharhinus falciformis</t>
        </is>
      </c>
      <c r="B265">
        <f>IFERROR(INDEX(SPPR!$D:$D,MATCH($A265,SPPR!$A:$A,0)),"")</f>
        <v/>
      </c>
      <c r="C265">
        <f>IFERROR(INDEX(Catch!$E:$BV,MATCH($A265,Catch!$A:$A,0),MATCH($B$4,Catch!$E$1:$BV$1,0)),0)</f>
        <v/>
      </c>
      <c r="D265">
        <f>IFERROR(IF(ISNUMBER(INDEX(SPPR!$E:$X,MATCH($A265,SPPR!$A:$A,0),1)),$C265*INDEX(SPPR!$E:$X,MATCH($A265,SPPR!$A:$A,0),1),""),"")</f>
        <v/>
      </c>
      <c r="E265">
        <f>IFERROR(IF(ISNUMBER(INDEX(SPPR!$E:$X,MATCH($A265,SPPR!$A:$A,0),2)),$C265*INDEX(SPPR!$E:$X,MATCH($A265,SPPR!$A:$A,0),2),""),"")</f>
        <v/>
      </c>
      <c r="F265">
        <f>IFERROR(IF(ISNUMBER(INDEX(SPPR!$E:$X,MATCH($A265,SPPR!$A:$A,0),3)),$C265*INDEX(SPPR!$E:$X,MATCH($A265,SPPR!$A:$A,0),3),""),"")</f>
        <v/>
      </c>
      <c r="G265">
        <f>IFERROR(IF(ISNUMBER(INDEX(SPPR!$E:$X,MATCH($A265,SPPR!$A:$A,0),4)),$C265*INDEX(SPPR!$E:$X,MATCH($A265,SPPR!$A:$A,0),4),""),"")</f>
        <v/>
      </c>
      <c r="H265">
        <f>IFERROR(IF(ISNUMBER(INDEX(SPPR!$E:$X,MATCH($A265,SPPR!$A:$A,0),5)),$C265*INDEX(SPPR!$E:$X,MATCH($A265,SPPR!$A:$A,0),5),""),"")</f>
        <v/>
      </c>
      <c r="I265">
        <f>IFERROR(IF(ISNUMBER(INDEX(SPPR!$E:$X,MATCH($A265,SPPR!$A:$A,0),6)),$C265*INDEX(SPPR!$E:$X,MATCH($A265,SPPR!$A:$A,0),6),""),"")</f>
        <v/>
      </c>
      <c r="J265">
        <f>IFERROR(IF(ISNUMBER(INDEX(SPPR!$E:$X,MATCH($A265,SPPR!$A:$A,0),7)),$C265*INDEX(SPPR!$E:$X,MATCH($A265,SPPR!$A:$A,0),7),""),"")</f>
        <v/>
      </c>
      <c r="K265">
        <f>IFERROR(IF(ISNUMBER(INDEX(SPPR!$E:$X,MATCH($A265,SPPR!$A:$A,0),8)),$C265*INDEX(SPPR!$E:$X,MATCH($A265,SPPR!$A:$A,0),8),""),"")</f>
        <v/>
      </c>
      <c r="L265">
        <f>IFERROR(IF(ISNUMBER(INDEX(SPPR!$E:$X,MATCH($A265,SPPR!$A:$A,0),9)),$C265*INDEX(SPPR!$E:$X,MATCH($A265,SPPR!$A:$A,0),9),""),"")</f>
        <v/>
      </c>
      <c r="M265">
        <f>IFERROR(IF(ISNUMBER(INDEX(SPPR!$E:$X,MATCH($A265,SPPR!$A:$A,0),10)),$C265*INDEX(SPPR!$E:$X,MATCH($A265,SPPR!$A:$A,0),10),""),"")</f>
        <v/>
      </c>
      <c r="N265">
        <f>IFERROR(IF(ISNUMBER(INDEX(SPPR!$E:$X,MATCH($A265,SPPR!$A:$A,0),11)),$C265*INDEX(SPPR!$E:$X,MATCH($A265,SPPR!$A:$A,0),11),""),"")</f>
        <v/>
      </c>
      <c r="O265">
        <f>IFERROR(IF(ISNUMBER(INDEX(SPPR!$E:$X,MATCH($A265,SPPR!$A:$A,0),12)),$C265*INDEX(SPPR!$E:$X,MATCH($A265,SPPR!$A:$A,0),12),""),"")</f>
        <v/>
      </c>
      <c r="P265">
        <f>IFERROR(IF(ISNUMBER(INDEX(SPPR!$E:$X,MATCH($A265,SPPR!$A:$A,0),13)),$C265*INDEX(SPPR!$E:$X,MATCH($A265,SPPR!$A:$A,0),13),""),"")</f>
        <v/>
      </c>
      <c r="Q265">
        <f>IFERROR(IF(ISNUMBER(INDEX(SPPR!$E:$X,MATCH($A265,SPPR!$A:$A,0),14)),$C265*INDEX(SPPR!$E:$X,MATCH($A265,SPPR!$A:$A,0),14),""),"")</f>
        <v/>
      </c>
      <c r="R265">
        <f>IFERROR(IF(ISNUMBER(INDEX(SPPR!$E:$X,MATCH($A265,SPPR!$A:$A,0),15)),$C265*INDEX(SPPR!$E:$X,MATCH($A265,SPPR!$A:$A,0),15),""),"")</f>
        <v/>
      </c>
      <c r="S265">
        <f>IFERROR(IF(ISNUMBER(INDEX(SPPR!$E:$X,MATCH($A265,SPPR!$A:$A,0),16)),$C265*INDEX(SPPR!$E:$X,MATCH($A265,SPPR!$A:$A,0),16),""),"")</f>
        <v/>
      </c>
      <c r="T265">
        <f>IFERROR(IF(ISNUMBER(INDEX(SPPR!$E:$X,MATCH($A265,SPPR!$A:$A,0),17)),$C265*INDEX(SPPR!$E:$X,MATCH($A265,SPPR!$A:$A,0),17),""),"")</f>
        <v/>
      </c>
      <c r="U265">
        <f>IFERROR(IF(ISNUMBER(INDEX(SPPR!$E:$X,MATCH($A265,SPPR!$A:$A,0),18)),$C265*INDEX(SPPR!$E:$X,MATCH($A265,SPPR!$A:$A,0),18),""),"")</f>
        <v/>
      </c>
      <c r="V265">
        <f>IFERROR(IF(ISNUMBER(INDEX(SPPR!$E:$X,MATCH($A265,SPPR!$A:$A,0),19)),$C265*INDEX(SPPR!$E:$X,MATCH($A265,SPPR!$A:$A,0),19),""),"")</f>
        <v/>
      </c>
      <c r="W265">
        <f>IFERROR(IF(ISNUMBER(INDEX(SPPR!$E:$X,MATCH($A265,SPPR!$A:$A,0),20)),$C265*INDEX(SPPR!$E:$X,MATCH($A265,SPPR!$A:$A,0),20),""),"")</f>
        <v/>
      </c>
    </row>
    <row r="266">
      <c r="A266" t="inlineStr">
        <is>
          <t>Metapenaeus affinis</t>
        </is>
      </c>
      <c r="B266">
        <f>IFERROR(INDEX(SPPR!$D:$D,MATCH($A266,SPPR!$A:$A,0)),"")</f>
        <v/>
      </c>
      <c r="C266">
        <f>IFERROR(INDEX(Catch!$E:$BV,MATCH($A266,Catch!$A:$A,0),MATCH($B$4,Catch!$E$1:$BV$1,0)),0)</f>
        <v/>
      </c>
      <c r="D266">
        <f>IFERROR(IF(ISNUMBER(INDEX(SPPR!$E:$X,MATCH($A266,SPPR!$A:$A,0),1)),$C266*INDEX(SPPR!$E:$X,MATCH($A266,SPPR!$A:$A,0),1),""),"")</f>
        <v/>
      </c>
      <c r="E266">
        <f>IFERROR(IF(ISNUMBER(INDEX(SPPR!$E:$X,MATCH($A266,SPPR!$A:$A,0),2)),$C266*INDEX(SPPR!$E:$X,MATCH($A266,SPPR!$A:$A,0),2),""),"")</f>
        <v/>
      </c>
      <c r="F266">
        <f>IFERROR(IF(ISNUMBER(INDEX(SPPR!$E:$X,MATCH($A266,SPPR!$A:$A,0),3)),$C266*INDEX(SPPR!$E:$X,MATCH($A266,SPPR!$A:$A,0),3),""),"")</f>
        <v/>
      </c>
      <c r="G266">
        <f>IFERROR(IF(ISNUMBER(INDEX(SPPR!$E:$X,MATCH($A266,SPPR!$A:$A,0),4)),$C266*INDEX(SPPR!$E:$X,MATCH($A266,SPPR!$A:$A,0),4),""),"")</f>
        <v/>
      </c>
      <c r="H266">
        <f>IFERROR(IF(ISNUMBER(INDEX(SPPR!$E:$X,MATCH($A266,SPPR!$A:$A,0),5)),$C266*INDEX(SPPR!$E:$X,MATCH($A266,SPPR!$A:$A,0),5),""),"")</f>
        <v/>
      </c>
      <c r="I266">
        <f>IFERROR(IF(ISNUMBER(INDEX(SPPR!$E:$X,MATCH($A266,SPPR!$A:$A,0),6)),$C266*INDEX(SPPR!$E:$X,MATCH($A266,SPPR!$A:$A,0),6),""),"")</f>
        <v/>
      </c>
      <c r="J266">
        <f>IFERROR(IF(ISNUMBER(INDEX(SPPR!$E:$X,MATCH($A266,SPPR!$A:$A,0),7)),$C266*INDEX(SPPR!$E:$X,MATCH($A266,SPPR!$A:$A,0),7),""),"")</f>
        <v/>
      </c>
      <c r="K266">
        <f>IFERROR(IF(ISNUMBER(INDEX(SPPR!$E:$X,MATCH($A266,SPPR!$A:$A,0),8)),$C266*INDEX(SPPR!$E:$X,MATCH($A266,SPPR!$A:$A,0),8),""),"")</f>
        <v/>
      </c>
      <c r="L266">
        <f>IFERROR(IF(ISNUMBER(INDEX(SPPR!$E:$X,MATCH($A266,SPPR!$A:$A,0),9)),$C266*INDEX(SPPR!$E:$X,MATCH($A266,SPPR!$A:$A,0),9),""),"")</f>
        <v/>
      </c>
      <c r="M266">
        <f>IFERROR(IF(ISNUMBER(INDEX(SPPR!$E:$X,MATCH($A266,SPPR!$A:$A,0),10)),$C266*INDEX(SPPR!$E:$X,MATCH($A266,SPPR!$A:$A,0),10),""),"")</f>
        <v/>
      </c>
      <c r="N266">
        <f>IFERROR(IF(ISNUMBER(INDEX(SPPR!$E:$X,MATCH($A266,SPPR!$A:$A,0),11)),$C266*INDEX(SPPR!$E:$X,MATCH($A266,SPPR!$A:$A,0),11),""),"")</f>
        <v/>
      </c>
      <c r="O266">
        <f>IFERROR(IF(ISNUMBER(INDEX(SPPR!$E:$X,MATCH($A266,SPPR!$A:$A,0),12)),$C266*INDEX(SPPR!$E:$X,MATCH($A266,SPPR!$A:$A,0),12),""),"")</f>
        <v/>
      </c>
      <c r="P266">
        <f>IFERROR(IF(ISNUMBER(INDEX(SPPR!$E:$X,MATCH($A266,SPPR!$A:$A,0),13)),$C266*INDEX(SPPR!$E:$X,MATCH($A266,SPPR!$A:$A,0),13),""),"")</f>
        <v/>
      </c>
      <c r="Q266">
        <f>IFERROR(IF(ISNUMBER(INDEX(SPPR!$E:$X,MATCH($A266,SPPR!$A:$A,0),14)),$C266*INDEX(SPPR!$E:$X,MATCH($A266,SPPR!$A:$A,0),14),""),"")</f>
        <v/>
      </c>
      <c r="R266">
        <f>IFERROR(IF(ISNUMBER(INDEX(SPPR!$E:$X,MATCH($A266,SPPR!$A:$A,0),15)),$C266*INDEX(SPPR!$E:$X,MATCH($A266,SPPR!$A:$A,0),15),""),"")</f>
        <v/>
      </c>
      <c r="S266">
        <f>IFERROR(IF(ISNUMBER(INDEX(SPPR!$E:$X,MATCH($A266,SPPR!$A:$A,0),16)),$C266*INDEX(SPPR!$E:$X,MATCH($A266,SPPR!$A:$A,0),16),""),"")</f>
        <v/>
      </c>
      <c r="T266">
        <f>IFERROR(IF(ISNUMBER(INDEX(SPPR!$E:$X,MATCH($A266,SPPR!$A:$A,0),17)),$C266*INDEX(SPPR!$E:$X,MATCH($A266,SPPR!$A:$A,0),17),""),"")</f>
        <v/>
      </c>
      <c r="U266">
        <f>IFERROR(IF(ISNUMBER(INDEX(SPPR!$E:$X,MATCH($A266,SPPR!$A:$A,0),18)),$C266*INDEX(SPPR!$E:$X,MATCH($A266,SPPR!$A:$A,0),18),""),"")</f>
        <v/>
      </c>
      <c r="V266">
        <f>IFERROR(IF(ISNUMBER(INDEX(SPPR!$E:$X,MATCH($A266,SPPR!$A:$A,0),19)),$C266*INDEX(SPPR!$E:$X,MATCH($A266,SPPR!$A:$A,0),19),""),"")</f>
        <v/>
      </c>
      <c r="W266">
        <f>IFERROR(IF(ISNUMBER(INDEX(SPPR!$E:$X,MATCH($A266,SPPR!$A:$A,0),20)),$C266*INDEX(SPPR!$E:$X,MATCH($A266,SPPR!$A:$A,0),20),""),"")</f>
        <v/>
      </c>
    </row>
    <row r="267">
      <c r="A267" t="inlineStr">
        <is>
          <t>Marine groundfishes not identified</t>
        </is>
      </c>
      <c r="B267">
        <f>IFERROR(INDEX(SPPR!$D:$D,MATCH($A267,SPPR!$A:$A,0)),"")</f>
        <v/>
      </c>
      <c r="C267">
        <f>IFERROR(INDEX(Catch!$E:$BV,MATCH($A267,Catch!$A:$A,0),MATCH($B$4,Catch!$E$1:$BV$1,0)),0)</f>
        <v/>
      </c>
      <c r="D267">
        <f>IFERROR(IF(ISNUMBER(INDEX(SPPR!$E:$X,MATCH($A267,SPPR!$A:$A,0),1)),$C267*INDEX(SPPR!$E:$X,MATCH($A267,SPPR!$A:$A,0),1),""),"")</f>
        <v/>
      </c>
      <c r="E267">
        <f>IFERROR(IF(ISNUMBER(INDEX(SPPR!$E:$X,MATCH($A267,SPPR!$A:$A,0),2)),$C267*INDEX(SPPR!$E:$X,MATCH($A267,SPPR!$A:$A,0),2),""),"")</f>
        <v/>
      </c>
      <c r="F267">
        <f>IFERROR(IF(ISNUMBER(INDEX(SPPR!$E:$X,MATCH($A267,SPPR!$A:$A,0),3)),$C267*INDEX(SPPR!$E:$X,MATCH($A267,SPPR!$A:$A,0),3),""),"")</f>
        <v/>
      </c>
      <c r="G267">
        <f>IFERROR(IF(ISNUMBER(INDEX(SPPR!$E:$X,MATCH($A267,SPPR!$A:$A,0),4)),$C267*INDEX(SPPR!$E:$X,MATCH($A267,SPPR!$A:$A,0),4),""),"")</f>
        <v/>
      </c>
      <c r="H267">
        <f>IFERROR(IF(ISNUMBER(INDEX(SPPR!$E:$X,MATCH($A267,SPPR!$A:$A,0),5)),$C267*INDEX(SPPR!$E:$X,MATCH($A267,SPPR!$A:$A,0),5),""),"")</f>
        <v/>
      </c>
      <c r="I267">
        <f>IFERROR(IF(ISNUMBER(INDEX(SPPR!$E:$X,MATCH($A267,SPPR!$A:$A,0),6)),$C267*INDEX(SPPR!$E:$X,MATCH($A267,SPPR!$A:$A,0),6),""),"")</f>
        <v/>
      </c>
      <c r="J267">
        <f>IFERROR(IF(ISNUMBER(INDEX(SPPR!$E:$X,MATCH($A267,SPPR!$A:$A,0),7)),$C267*INDEX(SPPR!$E:$X,MATCH($A267,SPPR!$A:$A,0),7),""),"")</f>
        <v/>
      </c>
      <c r="K267">
        <f>IFERROR(IF(ISNUMBER(INDEX(SPPR!$E:$X,MATCH($A267,SPPR!$A:$A,0),8)),$C267*INDEX(SPPR!$E:$X,MATCH($A267,SPPR!$A:$A,0),8),""),"")</f>
        <v/>
      </c>
      <c r="L267">
        <f>IFERROR(IF(ISNUMBER(INDEX(SPPR!$E:$X,MATCH($A267,SPPR!$A:$A,0),9)),$C267*INDEX(SPPR!$E:$X,MATCH($A267,SPPR!$A:$A,0),9),""),"")</f>
        <v/>
      </c>
      <c r="M267">
        <f>IFERROR(IF(ISNUMBER(INDEX(SPPR!$E:$X,MATCH($A267,SPPR!$A:$A,0),10)),$C267*INDEX(SPPR!$E:$X,MATCH($A267,SPPR!$A:$A,0),10),""),"")</f>
        <v/>
      </c>
      <c r="N267">
        <f>IFERROR(IF(ISNUMBER(INDEX(SPPR!$E:$X,MATCH($A267,SPPR!$A:$A,0),11)),$C267*INDEX(SPPR!$E:$X,MATCH($A267,SPPR!$A:$A,0),11),""),"")</f>
        <v/>
      </c>
      <c r="O267">
        <f>IFERROR(IF(ISNUMBER(INDEX(SPPR!$E:$X,MATCH($A267,SPPR!$A:$A,0),12)),$C267*INDEX(SPPR!$E:$X,MATCH($A267,SPPR!$A:$A,0),12),""),"")</f>
        <v/>
      </c>
      <c r="P267">
        <f>IFERROR(IF(ISNUMBER(INDEX(SPPR!$E:$X,MATCH($A267,SPPR!$A:$A,0),13)),$C267*INDEX(SPPR!$E:$X,MATCH($A267,SPPR!$A:$A,0),13),""),"")</f>
        <v/>
      </c>
      <c r="Q267">
        <f>IFERROR(IF(ISNUMBER(INDEX(SPPR!$E:$X,MATCH($A267,SPPR!$A:$A,0),14)),$C267*INDEX(SPPR!$E:$X,MATCH($A267,SPPR!$A:$A,0),14),""),"")</f>
        <v/>
      </c>
      <c r="R267">
        <f>IFERROR(IF(ISNUMBER(INDEX(SPPR!$E:$X,MATCH($A267,SPPR!$A:$A,0),15)),$C267*INDEX(SPPR!$E:$X,MATCH($A267,SPPR!$A:$A,0),15),""),"")</f>
        <v/>
      </c>
      <c r="S267">
        <f>IFERROR(IF(ISNUMBER(INDEX(SPPR!$E:$X,MATCH($A267,SPPR!$A:$A,0),16)),$C267*INDEX(SPPR!$E:$X,MATCH($A267,SPPR!$A:$A,0),16),""),"")</f>
        <v/>
      </c>
      <c r="T267">
        <f>IFERROR(IF(ISNUMBER(INDEX(SPPR!$E:$X,MATCH($A267,SPPR!$A:$A,0),17)),$C267*INDEX(SPPR!$E:$X,MATCH($A267,SPPR!$A:$A,0),17),""),"")</f>
        <v/>
      </c>
      <c r="U267">
        <f>IFERROR(IF(ISNUMBER(INDEX(SPPR!$E:$X,MATCH($A267,SPPR!$A:$A,0),18)),$C267*INDEX(SPPR!$E:$X,MATCH($A267,SPPR!$A:$A,0),18),""),"")</f>
        <v/>
      </c>
      <c r="V267">
        <f>IFERROR(IF(ISNUMBER(INDEX(SPPR!$E:$X,MATCH($A267,SPPR!$A:$A,0),19)),$C267*INDEX(SPPR!$E:$X,MATCH($A267,SPPR!$A:$A,0),19),""),"")</f>
        <v/>
      </c>
      <c r="W267">
        <f>IFERROR(IF(ISNUMBER(INDEX(SPPR!$E:$X,MATCH($A267,SPPR!$A:$A,0),20)),$C267*INDEX(SPPR!$E:$X,MATCH($A267,SPPR!$A:$A,0),20),""),"")</f>
        <v/>
      </c>
    </row>
    <row r="268">
      <c r="A268" t="inlineStr">
        <is>
          <t>Sardinella albella</t>
        </is>
      </c>
      <c r="B268">
        <f>IFERROR(INDEX(SPPR!$D:$D,MATCH($A268,SPPR!$A:$A,0)),"")</f>
        <v/>
      </c>
      <c r="C268">
        <f>IFERROR(INDEX(Catch!$E:$BV,MATCH($A268,Catch!$A:$A,0),MATCH($B$4,Catch!$E$1:$BV$1,0)),0)</f>
        <v/>
      </c>
      <c r="D268">
        <f>IFERROR(IF(ISNUMBER(INDEX(SPPR!$E:$X,MATCH($A268,SPPR!$A:$A,0),1)),$C268*INDEX(SPPR!$E:$X,MATCH($A268,SPPR!$A:$A,0),1),""),"")</f>
        <v/>
      </c>
      <c r="E268">
        <f>IFERROR(IF(ISNUMBER(INDEX(SPPR!$E:$X,MATCH($A268,SPPR!$A:$A,0),2)),$C268*INDEX(SPPR!$E:$X,MATCH($A268,SPPR!$A:$A,0),2),""),"")</f>
        <v/>
      </c>
      <c r="F268">
        <f>IFERROR(IF(ISNUMBER(INDEX(SPPR!$E:$X,MATCH($A268,SPPR!$A:$A,0),3)),$C268*INDEX(SPPR!$E:$X,MATCH($A268,SPPR!$A:$A,0),3),""),"")</f>
        <v/>
      </c>
      <c r="G268">
        <f>IFERROR(IF(ISNUMBER(INDEX(SPPR!$E:$X,MATCH($A268,SPPR!$A:$A,0),4)),$C268*INDEX(SPPR!$E:$X,MATCH($A268,SPPR!$A:$A,0),4),""),"")</f>
        <v/>
      </c>
      <c r="H268">
        <f>IFERROR(IF(ISNUMBER(INDEX(SPPR!$E:$X,MATCH($A268,SPPR!$A:$A,0),5)),$C268*INDEX(SPPR!$E:$X,MATCH($A268,SPPR!$A:$A,0),5),""),"")</f>
        <v/>
      </c>
      <c r="I268">
        <f>IFERROR(IF(ISNUMBER(INDEX(SPPR!$E:$X,MATCH($A268,SPPR!$A:$A,0),6)),$C268*INDEX(SPPR!$E:$X,MATCH($A268,SPPR!$A:$A,0),6),""),"")</f>
        <v/>
      </c>
      <c r="J268">
        <f>IFERROR(IF(ISNUMBER(INDEX(SPPR!$E:$X,MATCH($A268,SPPR!$A:$A,0),7)),$C268*INDEX(SPPR!$E:$X,MATCH($A268,SPPR!$A:$A,0),7),""),"")</f>
        <v/>
      </c>
      <c r="K268">
        <f>IFERROR(IF(ISNUMBER(INDEX(SPPR!$E:$X,MATCH($A268,SPPR!$A:$A,0),8)),$C268*INDEX(SPPR!$E:$X,MATCH($A268,SPPR!$A:$A,0),8),""),"")</f>
        <v/>
      </c>
      <c r="L268">
        <f>IFERROR(IF(ISNUMBER(INDEX(SPPR!$E:$X,MATCH($A268,SPPR!$A:$A,0),9)),$C268*INDEX(SPPR!$E:$X,MATCH($A268,SPPR!$A:$A,0),9),""),"")</f>
        <v/>
      </c>
      <c r="M268">
        <f>IFERROR(IF(ISNUMBER(INDEX(SPPR!$E:$X,MATCH($A268,SPPR!$A:$A,0),10)),$C268*INDEX(SPPR!$E:$X,MATCH($A268,SPPR!$A:$A,0),10),""),"")</f>
        <v/>
      </c>
      <c r="N268">
        <f>IFERROR(IF(ISNUMBER(INDEX(SPPR!$E:$X,MATCH($A268,SPPR!$A:$A,0),11)),$C268*INDEX(SPPR!$E:$X,MATCH($A268,SPPR!$A:$A,0),11),""),"")</f>
        <v/>
      </c>
      <c r="O268">
        <f>IFERROR(IF(ISNUMBER(INDEX(SPPR!$E:$X,MATCH($A268,SPPR!$A:$A,0),12)),$C268*INDEX(SPPR!$E:$X,MATCH($A268,SPPR!$A:$A,0),12),""),"")</f>
        <v/>
      </c>
      <c r="P268">
        <f>IFERROR(IF(ISNUMBER(INDEX(SPPR!$E:$X,MATCH($A268,SPPR!$A:$A,0),13)),$C268*INDEX(SPPR!$E:$X,MATCH($A268,SPPR!$A:$A,0),13),""),"")</f>
        <v/>
      </c>
      <c r="Q268">
        <f>IFERROR(IF(ISNUMBER(INDEX(SPPR!$E:$X,MATCH($A268,SPPR!$A:$A,0),14)),$C268*INDEX(SPPR!$E:$X,MATCH($A268,SPPR!$A:$A,0),14),""),"")</f>
        <v/>
      </c>
      <c r="R268">
        <f>IFERROR(IF(ISNUMBER(INDEX(SPPR!$E:$X,MATCH($A268,SPPR!$A:$A,0),15)),$C268*INDEX(SPPR!$E:$X,MATCH($A268,SPPR!$A:$A,0),15),""),"")</f>
        <v/>
      </c>
      <c r="S268">
        <f>IFERROR(IF(ISNUMBER(INDEX(SPPR!$E:$X,MATCH($A268,SPPR!$A:$A,0),16)),$C268*INDEX(SPPR!$E:$X,MATCH($A268,SPPR!$A:$A,0),16),""),"")</f>
        <v/>
      </c>
      <c r="T268">
        <f>IFERROR(IF(ISNUMBER(INDEX(SPPR!$E:$X,MATCH($A268,SPPR!$A:$A,0),17)),$C268*INDEX(SPPR!$E:$X,MATCH($A268,SPPR!$A:$A,0),17),""),"")</f>
        <v/>
      </c>
      <c r="U268">
        <f>IFERROR(IF(ISNUMBER(INDEX(SPPR!$E:$X,MATCH($A268,SPPR!$A:$A,0),18)),$C268*INDEX(SPPR!$E:$X,MATCH($A268,SPPR!$A:$A,0),18),""),"")</f>
        <v/>
      </c>
      <c r="V268">
        <f>IFERROR(IF(ISNUMBER(INDEX(SPPR!$E:$X,MATCH($A268,SPPR!$A:$A,0),19)),$C268*INDEX(SPPR!$E:$X,MATCH($A268,SPPR!$A:$A,0),19),""),"")</f>
        <v/>
      </c>
      <c r="W268">
        <f>IFERROR(IF(ISNUMBER(INDEX(SPPR!$E:$X,MATCH($A268,SPPR!$A:$A,0),20)),$C268*INDEX(SPPR!$E:$X,MATCH($A268,SPPR!$A:$A,0),20),""),"")</f>
        <v/>
      </c>
    </row>
    <row r="269">
      <c r="A269" t="inlineStr">
        <is>
          <t>Placuna placenta</t>
        </is>
      </c>
      <c r="B269">
        <f>IFERROR(INDEX(SPPR!$D:$D,MATCH($A269,SPPR!$A:$A,0)),"")</f>
        <v/>
      </c>
      <c r="C269">
        <f>IFERROR(INDEX(Catch!$E:$BV,MATCH($A269,Catch!$A:$A,0),MATCH($B$4,Catch!$E$1:$BV$1,0)),0)</f>
        <v/>
      </c>
      <c r="D269">
        <f>IFERROR(IF(ISNUMBER(INDEX(SPPR!$E:$X,MATCH($A269,SPPR!$A:$A,0),1)),$C269*INDEX(SPPR!$E:$X,MATCH($A269,SPPR!$A:$A,0),1),""),"")</f>
        <v/>
      </c>
      <c r="E269">
        <f>IFERROR(IF(ISNUMBER(INDEX(SPPR!$E:$X,MATCH($A269,SPPR!$A:$A,0),2)),$C269*INDEX(SPPR!$E:$X,MATCH($A269,SPPR!$A:$A,0),2),""),"")</f>
        <v/>
      </c>
      <c r="F269">
        <f>IFERROR(IF(ISNUMBER(INDEX(SPPR!$E:$X,MATCH($A269,SPPR!$A:$A,0),3)),$C269*INDEX(SPPR!$E:$X,MATCH($A269,SPPR!$A:$A,0),3),""),"")</f>
        <v/>
      </c>
      <c r="G269">
        <f>IFERROR(IF(ISNUMBER(INDEX(SPPR!$E:$X,MATCH($A269,SPPR!$A:$A,0),4)),$C269*INDEX(SPPR!$E:$X,MATCH($A269,SPPR!$A:$A,0),4),""),"")</f>
        <v/>
      </c>
      <c r="H269">
        <f>IFERROR(IF(ISNUMBER(INDEX(SPPR!$E:$X,MATCH($A269,SPPR!$A:$A,0),5)),$C269*INDEX(SPPR!$E:$X,MATCH($A269,SPPR!$A:$A,0),5),""),"")</f>
        <v/>
      </c>
      <c r="I269">
        <f>IFERROR(IF(ISNUMBER(INDEX(SPPR!$E:$X,MATCH($A269,SPPR!$A:$A,0),6)),$C269*INDEX(SPPR!$E:$X,MATCH($A269,SPPR!$A:$A,0),6),""),"")</f>
        <v/>
      </c>
      <c r="J269">
        <f>IFERROR(IF(ISNUMBER(INDEX(SPPR!$E:$X,MATCH($A269,SPPR!$A:$A,0),7)),$C269*INDEX(SPPR!$E:$X,MATCH($A269,SPPR!$A:$A,0),7),""),"")</f>
        <v/>
      </c>
      <c r="K269">
        <f>IFERROR(IF(ISNUMBER(INDEX(SPPR!$E:$X,MATCH($A269,SPPR!$A:$A,0),8)),$C269*INDEX(SPPR!$E:$X,MATCH($A269,SPPR!$A:$A,0),8),""),"")</f>
        <v/>
      </c>
      <c r="L269">
        <f>IFERROR(IF(ISNUMBER(INDEX(SPPR!$E:$X,MATCH($A269,SPPR!$A:$A,0),9)),$C269*INDEX(SPPR!$E:$X,MATCH($A269,SPPR!$A:$A,0),9),""),"")</f>
        <v/>
      </c>
      <c r="M269">
        <f>IFERROR(IF(ISNUMBER(INDEX(SPPR!$E:$X,MATCH($A269,SPPR!$A:$A,0),10)),$C269*INDEX(SPPR!$E:$X,MATCH($A269,SPPR!$A:$A,0),10),""),"")</f>
        <v/>
      </c>
      <c r="N269">
        <f>IFERROR(IF(ISNUMBER(INDEX(SPPR!$E:$X,MATCH($A269,SPPR!$A:$A,0),11)),$C269*INDEX(SPPR!$E:$X,MATCH($A269,SPPR!$A:$A,0),11),""),"")</f>
        <v/>
      </c>
      <c r="O269">
        <f>IFERROR(IF(ISNUMBER(INDEX(SPPR!$E:$X,MATCH($A269,SPPR!$A:$A,0),12)),$C269*INDEX(SPPR!$E:$X,MATCH($A269,SPPR!$A:$A,0),12),""),"")</f>
        <v/>
      </c>
      <c r="P269">
        <f>IFERROR(IF(ISNUMBER(INDEX(SPPR!$E:$X,MATCH($A269,SPPR!$A:$A,0),13)),$C269*INDEX(SPPR!$E:$X,MATCH($A269,SPPR!$A:$A,0),13),""),"")</f>
        <v/>
      </c>
      <c r="Q269">
        <f>IFERROR(IF(ISNUMBER(INDEX(SPPR!$E:$X,MATCH($A269,SPPR!$A:$A,0),14)),$C269*INDEX(SPPR!$E:$X,MATCH($A269,SPPR!$A:$A,0),14),""),"")</f>
        <v/>
      </c>
      <c r="R269">
        <f>IFERROR(IF(ISNUMBER(INDEX(SPPR!$E:$X,MATCH($A269,SPPR!$A:$A,0),15)),$C269*INDEX(SPPR!$E:$X,MATCH($A269,SPPR!$A:$A,0),15),""),"")</f>
        <v/>
      </c>
      <c r="S269">
        <f>IFERROR(IF(ISNUMBER(INDEX(SPPR!$E:$X,MATCH($A269,SPPR!$A:$A,0),16)),$C269*INDEX(SPPR!$E:$X,MATCH($A269,SPPR!$A:$A,0),16),""),"")</f>
        <v/>
      </c>
      <c r="T269">
        <f>IFERROR(IF(ISNUMBER(INDEX(SPPR!$E:$X,MATCH($A269,SPPR!$A:$A,0),17)),$C269*INDEX(SPPR!$E:$X,MATCH($A269,SPPR!$A:$A,0),17),""),"")</f>
        <v/>
      </c>
      <c r="U269">
        <f>IFERROR(IF(ISNUMBER(INDEX(SPPR!$E:$X,MATCH($A269,SPPR!$A:$A,0),18)),$C269*INDEX(SPPR!$E:$X,MATCH($A269,SPPR!$A:$A,0),18),""),"")</f>
        <v/>
      </c>
      <c r="V269">
        <f>IFERROR(IF(ISNUMBER(INDEX(SPPR!$E:$X,MATCH($A269,SPPR!$A:$A,0),19)),$C269*INDEX(SPPR!$E:$X,MATCH($A269,SPPR!$A:$A,0),19),""),"")</f>
        <v/>
      </c>
      <c r="W269">
        <f>IFERROR(IF(ISNUMBER(INDEX(SPPR!$E:$X,MATCH($A269,SPPR!$A:$A,0),20)),$C269*INDEX(SPPR!$E:$X,MATCH($A269,SPPR!$A:$A,0),20),""),"")</f>
        <v/>
      </c>
    </row>
    <row r="270">
      <c r="A270" t="inlineStr">
        <is>
          <t>Scaridae</t>
        </is>
      </c>
      <c r="B270">
        <f>IFERROR(INDEX(SPPR!$D:$D,MATCH($A270,SPPR!$A:$A,0)),"")</f>
        <v/>
      </c>
      <c r="C270">
        <f>IFERROR(INDEX(Catch!$E:$BV,MATCH($A270,Catch!$A:$A,0),MATCH($B$4,Catch!$E$1:$BV$1,0)),0)</f>
        <v/>
      </c>
      <c r="D270">
        <f>IFERROR(IF(ISNUMBER(INDEX(SPPR!$E:$X,MATCH($A270,SPPR!$A:$A,0),1)),$C270*INDEX(SPPR!$E:$X,MATCH($A270,SPPR!$A:$A,0),1),""),"")</f>
        <v/>
      </c>
      <c r="E270">
        <f>IFERROR(IF(ISNUMBER(INDEX(SPPR!$E:$X,MATCH($A270,SPPR!$A:$A,0),2)),$C270*INDEX(SPPR!$E:$X,MATCH($A270,SPPR!$A:$A,0),2),""),"")</f>
        <v/>
      </c>
      <c r="F270">
        <f>IFERROR(IF(ISNUMBER(INDEX(SPPR!$E:$X,MATCH($A270,SPPR!$A:$A,0),3)),$C270*INDEX(SPPR!$E:$X,MATCH($A270,SPPR!$A:$A,0),3),""),"")</f>
        <v/>
      </c>
      <c r="G270">
        <f>IFERROR(IF(ISNUMBER(INDEX(SPPR!$E:$X,MATCH($A270,SPPR!$A:$A,0),4)),$C270*INDEX(SPPR!$E:$X,MATCH($A270,SPPR!$A:$A,0),4),""),"")</f>
        <v/>
      </c>
      <c r="H270">
        <f>IFERROR(IF(ISNUMBER(INDEX(SPPR!$E:$X,MATCH($A270,SPPR!$A:$A,0),5)),$C270*INDEX(SPPR!$E:$X,MATCH($A270,SPPR!$A:$A,0),5),""),"")</f>
        <v/>
      </c>
      <c r="I270">
        <f>IFERROR(IF(ISNUMBER(INDEX(SPPR!$E:$X,MATCH($A270,SPPR!$A:$A,0),6)),$C270*INDEX(SPPR!$E:$X,MATCH($A270,SPPR!$A:$A,0),6),""),"")</f>
        <v/>
      </c>
      <c r="J270">
        <f>IFERROR(IF(ISNUMBER(INDEX(SPPR!$E:$X,MATCH($A270,SPPR!$A:$A,0),7)),$C270*INDEX(SPPR!$E:$X,MATCH($A270,SPPR!$A:$A,0),7),""),"")</f>
        <v/>
      </c>
      <c r="K270">
        <f>IFERROR(IF(ISNUMBER(INDEX(SPPR!$E:$X,MATCH($A270,SPPR!$A:$A,0),8)),$C270*INDEX(SPPR!$E:$X,MATCH($A270,SPPR!$A:$A,0),8),""),"")</f>
        <v/>
      </c>
      <c r="L270">
        <f>IFERROR(IF(ISNUMBER(INDEX(SPPR!$E:$X,MATCH($A270,SPPR!$A:$A,0),9)),$C270*INDEX(SPPR!$E:$X,MATCH($A270,SPPR!$A:$A,0),9),""),"")</f>
        <v/>
      </c>
      <c r="M270">
        <f>IFERROR(IF(ISNUMBER(INDEX(SPPR!$E:$X,MATCH($A270,SPPR!$A:$A,0),10)),$C270*INDEX(SPPR!$E:$X,MATCH($A270,SPPR!$A:$A,0),10),""),"")</f>
        <v/>
      </c>
      <c r="N270">
        <f>IFERROR(IF(ISNUMBER(INDEX(SPPR!$E:$X,MATCH($A270,SPPR!$A:$A,0),11)),$C270*INDEX(SPPR!$E:$X,MATCH($A270,SPPR!$A:$A,0),11),""),"")</f>
        <v/>
      </c>
      <c r="O270">
        <f>IFERROR(IF(ISNUMBER(INDEX(SPPR!$E:$X,MATCH($A270,SPPR!$A:$A,0),12)),$C270*INDEX(SPPR!$E:$X,MATCH($A270,SPPR!$A:$A,0),12),""),"")</f>
        <v/>
      </c>
      <c r="P270">
        <f>IFERROR(IF(ISNUMBER(INDEX(SPPR!$E:$X,MATCH($A270,SPPR!$A:$A,0),13)),$C270*INDEX(SPPR!$E:$X,MATCH($A270,SPPR!$A:$A,0),13),""),"")</f>
        <v/>
      </c>
      <c r="Q270">
        <f>IFERROR(IF(ISNUMBER(INDEX(SPPR!$E:$X,MATCH($A270,SPPR!$A:$A,0),14)),$C270*INDEX(SPPR!$E:$X,MATCH($A270,SPPR!$A:$A,0),14),""),"")</f>
        <v/>
      </c>
      <c r="R270">
        <f>IFERROR(IF(ISNUMBER(INDEX(SPPR!$E:$X,MATCH($A270,SPPR!$A:$A,0),15)),$C270*INDEX(SPPR!$E:$X,MATCH($A270,SPPR!$A:$A,0),15),""),"")</f>
        <v/>
      </c>
      <c r="S270">
        <f>IFERROR(IF(ISNUMBER(INDEX(SPPR!$E:$X,MATCH($A270,SPPR!$A:$A,0),16)),$C270*INDEX(SPPR!$E:$X,MATCH($A270,SPPR!$A:$A,0),16),""),"")</f>
        <v/>
      </c>
      <c r="T270">
        <f>IFERROR(IF(ISNUMBER(INDEX(SPPR!$E:$X,MATCH($A270,SPPR!$A:$A,0),17)),$C270*INDEX(SPPR!$E:$X,MATCH($A270,SPPR!$A:$A,0),17),""),"")</f>
        <v/>
      </c>
      <c r="U270">
        <f>IFERROR(IF(ISNUMBER(INDEX(SPPR!$E:$X,MATCH($A270,SPPR!$A:$A,0),18)),$C270*INDEX(SPPR!$E:$X,MATCH($A270,SPPR!$A:$A,0),18),""),"")</f>
        <v/>
      </c>
      <c r="V270">
        <f>IFERROR(IF(ISNUMBER(INDEX(SPPR!$E:$X,MATCH($A270,SPPR!$A:$A,0),19)),$C270*INDEX(SPPR!$E:$X,MATCH($A270,SPPR!$A:$A,0),19),""),"")</f>
        <v/>
      </c>
      <c r="W270">
        <f>IFERROR(IF(ISNUMBER(INDEX(SPPR!$E:$X,MATCH($A270,SPPR!$A:$A,0),20)),$C270*INDEX(SPPR!$E:$X,MATCH($A270,SPPR!$A:$A,0),20),""),"")</f>
        <v/>
      </c>
    </row>
    <row r="271">
      <c r="A271" t="inlineStr">
        <is>
          <t>Seriolina nigrofasciata</t>
        </is>
      </c>
      <c r="B271">
        <f>IFERROR(INDEX(SPPR!$D:$D,MATCH($A271,SPPR!$A:$A,0)),"")</f>
        <v/>
      </c>
      <c r="C271">
        <f>IFERROR(INDEX(Catch!$E:$BV,MATCH($A271,Catch!$A:$A,0),MATCH($B$4,Catch!$E$1:$BV$1,0)),0)</f>
        <v/>
      </c>
      <c r="D271">
        <f>IFERROR(IF(ISNUMBER(INDEX(SPPR!$E:$X,MATCH($A271,SPPR!$A:$A,0),1)),$C271*INDEX(SPPR!$E:$X,MATCH($A271,SPPR!$A:$A,0),1),""),"")</f>
        <v/>
      </c>
      <c r="E271">
        <f>IFERROR(IF(ISNUMBER(INDEX(SPPR!$E:$X,MATCH($A271,SPPR!$A:$A,0),2)),$C271*INDEX(SPPR!$E:$X,MATCH($A271,SPPR!$A:$A,0),2),""),"")</f>
        <v/>
      </c>
      <c r="F271">
        <f>IFERROR(IF(ISNUMBER(INDEX(SPPR!$E:$X,MATCH($A271,SPPR!$A:$A,0),3)),$C271*INDEX(SPPR!$E:$X,MATCH($A271,SPPR!$A:$A,0),3),""),"")</f>
        <v/>
      </c>
      <c r="G271">
        <f>IFERROR(IF(ISNUMBER(INDEX(SPPR!$E:$X,MATCH($A271,SPPR!$A:$A,0),4)),$C271*INDEX(SPPR!$E:$X,MATCH($A271,SPPR!$A:$A,0),4),""),"")</f>
        <v/>
      </c>
      <c r="H271">
        <f>IFERROR(IF(ISNUMBER(INDEX(SPPR!$E:$X,MATCH($A271,SPPR!$A:$A,0),5)),$C271*INDEX(SPPR!$E:$X,MATCH($A271,SPPR!$A:$A,0),5),""),"")</f>
        <v/>
      </c>
      <c r="I271">
        <f>IFERROR(IF(ISNUMBER(INDEX(SPPR!$E:$X,MATCH($A271,SPPR!$A:$A,0),6)),$C271*INDEX(SPPR!$E:$X,MATCH($A271,SPPR!$A:$A,0),6),""),"")</f>
        <v/>
      </c>
      <c r="J271">
        <f>IFERROR(IF(ISNUMBER(INDEX(SPPR!$E:$X,MATCH($A271,SPPR!$A:$A,0),7)),$C271*INDEX(SPPR!$E:$X,MATCH($A271,SPPR!$A:$A,0),7),""),"")</f>
        <v/>
      </c>
      <c r="K271">
        <f>IFERROR(IF(ISNUMBER(INDEX(SPPR!$E:$X,MATCH($A271,SPPR!$A:$A,0),8)),$C271*INDEX(SPPR!$E:$X,MATCH($A271,SPPR!$A:$A,0),8),""),"")</f>
        <v/>
      </c>
      <c r="L271">
        <f>IFERROR(IF(ISNUMBER(INDEX(SPPR!$E:$X,MATCH($A271,SPPR!$A:$A,0),9)),$C271*INDEX(SPPR!$E:$X,MATCH($A271,SPPR!$A:$A,0),9),""),"")</f>
        <v/>
      </c>
      <c r="M271">
        <f>IFERROR(IF(ISNUMBER(INDEX(SPPR!$E:$X,MATCH($A271,SPPR!$A:$A,0),10)),$C271*INDEX(SPPR!$E:$X,MATCH($A271,SPPR!$A:$A,0),10),""),"")</f>
        <v/>
      </c>
      <c r="N271">
        <f>IFERROR(IF(ISNUMBER(INDEX(SPPR!$E:$X,MATCH($A271,SPPR!$A:$A,0),11)),$C271*INDEX(SPPR!$E:$X,MATCH($A271,SPPR!$A:$A,0),11),""),"")</f>
        <v/>
      </c>
      <c r="O271">
        <f>IFERROR(IF(ISNUMBER(INDEX(SPPR!$E:$X,MATCH($A271,SPPR!$A:$A,0),12)),$C271*INDEX(SPPR!$E:$X,MATCH($A271,SPPR!$A:$A,0),12),""),"")</f>
        <v/>
      </c>
      <c r="P271">
        <f>IFERROR(IF(ISNUMBER(INDEX(SPPR!$E:$X,MATCH($A271,SPPR!$A:$A,0),13)),$C271*INDEX(SPPR!$E:$X,MATCH($A271,SPPR!$A:$A,0),13),""),"")</f>
        <v/>
      </c>
      <c r="Q271">
        <f>IFERROR(IF(ISNUMBER(INDEX(SPPR!$E:$X,MATCH($A271,SPPR!$A:$A,0),14)),$C271*INDEX(SPPR!$E:$X,MATCH($A271,SPPR!$A:$A,0),14),""),"")</f>
        <v/>
      </c>
      <c r="R271">
        <f>IFERROR(IF(ISNUMBER(INDEX(SPPR!$E:$X,MATCH($A271,SPPR!$A:$A,0),15)),$C271*INDEX(SPPR!$E:$X,MATCH($A271,SPPR!$A:$A,0),15),""),"")</f>
        <v/>
      </c>
      <c r="S271">
        <f>IFERROR(IF(ISNUMBER(INDEX(SPPR!$E:$X,MATCH($A271,SPPR!$A:$A,0),16)),$C271*INDEX(SPPR!$E:$X,MATCH($A271,SPPR!$A:$A,0),16),""),"")</f>
        <v/>
      </c>
      <c r="T271">
        <f>IFERROR(IF(ISNUMBER(INDEX(SPPR!$E:$X,MATCH($A271,SPPR!$A:$A,0),17)),$C271*INDEX(SPPR!$E:$X,MATCH($A271,SPPR!$A:$A,0),17),""),"")</f>
        <v/>
      </c>
      <c r="U271">
        <f>IFERROR(IF(ISNUMBER(INDEX(SPPR!$E:$X,MATCH($A271,SPPR!$A:$A,0),18)),$C271*INDEX(SPPR!$E:$X,MATCH($A271,SPPR!$A:$A,0),18),""),"")</f>
        <v/>
      </c>
      <c r="V271">
        <f>IFERROR(IF(ISNUMBER(INDEX(SPPR!$E:$X,MATCH($A271,SPPR!$A:$A,0),19)),$C271*INDEX(SPPR!$E:$X,MATCH($A271,SPPR!$A:$A,0),19),""),"")</f>
        <v/>
      </c>
      <c r="W271">
        <f>IFERROR(IF(ISNUMBER(INDEX(SPPR!$E:$X,MATCH($A271,SPPR!$A:$A,0),20)),$C271*INDEX(SPPR!$E:$X,MATCH($A271,SPPR!$A:$A,0),20),""),"")</f>
        <v/>
      </c>
    </row>
    <row r="272">
      <c r="A272" t="inlineStr">
        <is>
          <t>Saurida undosquamis</t>
        </is>
      </c>
      <c r="B272">
        <f>IFERROR(INDEX(SPPR!$D:$D,MATCH($A272,SPPR!$A:$A,0)),"")</f>
        <v/>
      </c>
      <c r="C272">
        <f>IFERROR(INDEX(Catch!$E:$BV,MATCH($A272,Catch!$A:$A,0),MATCH($B$4,Catch!$E$1:$BV$1,0)),0)</f>
        <v/>
      </c>
      <c r="D272">
        <f>IFERROR(IF(ISNUMBER(INDEX(SPPR!$E:$X,MATCH($A272,SPPR!$A:$A,0),1)),$C272*INDEX(SPPR!$E:$X,MATCH($A272,SPPR!$A:$A,0),1),""),"")</f>
        <v/>
      </c>
      <c r="E272">
        <f>IFERROR(IF(ISNUMBER(INDEX(SPPR!$E:$X,MATCH($A272,SPPR!$A:$A,0),2)),$C272*INDEX(SPPR!$E:$X,MATCH($A272,SPPR!$A:$A,0),2),""),"")</f>
        <v/>
      </c>
      <c r="F272">
        <f>IFERROR(IF(ISNUMBER(INDEX(SPPR!$E:$X,MATCH($A272,SPPR!$A:$A,0),3)),$C272*INDEX(SPPR!$E:$X,MATCH($A272,SPPR!$A:$A,0),3),""),"")</f>
        <v/>
      </c>
      <c r="G272">
        <f>IFERROR(IF(ISNUMBER(INDEX(SPPR!$E:$X,MATCH($A272,SPPR!$A:$A,0),4)),$C272*INDEX(SPPR!$E:$X,MATCH($A272,SPPR!$A:$A,0),4),""),"")</f>
        <v/>
      </c>
      <c r="H272">
        <f>IFERROR(IF(ISNUMBER(INDEX(SPPR!$E:$X,MATCH($A272,SPPR!$A:$A,0),5)),$C272*INDEX(SPPR!$E:$X,MATCH($A272,SPPR!$A:$A,0),5),""),"")</f>
        <v/>
      </c>
      <c r="I272">
        <f>IFERROR(IF(ISNUMBER(INDEX(SPPR!$E:$X,MATCH($A272,SPPR!$A:$A,0),6)),$C272*INDEX(SPPR!$E:$X,MATCH($A272,SPPR!$A:$A,0),6),""),"")</f>
        <v/>
      </c>
      <c r="J272">
        <f>IFERROR(IF(ISNUMBER(INDEX(SPPR!$E:$X,MATCH($A272,SPPR!$A:$A,0),7)),$C272*INDEX(SPPR!$E:$X,MATCH($A272,SPPR!$A:$A,0),7),""),"")</f>
        <v/>
      </c>
      <c r="K272">
        <f>IFERROR(IF(ISNUMBER(INDEX(SPPR!$E:$X,MATCH($A272,SPPR!$A:$A,0),8)),$C272*INDEX(SPPR!$E:$X,MATCH($A272,SPPR!$A:$A,0),8),""),"")</f>
        <v/>
      </c>
      <c r="L272">
        <f>IFERROR(IF(ISNUMBER(INDEX(SPPR!$E:$X,MATCH($A272,SPPR!$A:$A,0),9)),$C272*INDEX(SPPR!$E:$X,MATCH($A272,SPPR!$A:$A,0),9),""),"")</f>
        <v/>
      </c>
      <c r="M272">
        <f>IFERROR(IF(ISNUMBER(INDEX(SPPR!$E:$X,MATCH($A272,SPPR!$A:$A,0),10)),$C272*INDEX(SPPR!$E:$X,MATCH($A272,SPPR!$A:$A,0),10),""),"")</f>
        <v/>
      </c>
      <c r="N272">
        <f>IFERROR(IF(ISNUMBER(INDEX(SPPR!$E:$X,MATCH($A272,SPPR!$A:$A,0),11)),$C272*INDEX(SPPR!$E:$X,MATCH($A272,SPPR!$A:$A,0),11),""),"")</f>
        <v/>
      </c>
      <c r="O272">
        <f>IFERROR(IF(ISNUMBER(INDEX(SPPR!$E:$X,MATCH($A272,SPPR!$A:$A,0),12)),$C272*INDEX(SPPR!$E:$X,MATCH($A272,SPPR!$A:$A,0),12),""),"")</f>
        <v/>
      </c>
      <c r="P272">
        <f>IFERROR(IF(ISNUMBER(INDEX(SPPR!$E:$X,MATCH($A272,SPPR!$A:$A,0),13)),$C272*INDEX(SPPR!$E:$X,MATCH($A272,SPPR!$A:$A,0),13),""),"")</f>
        <v/>
      </c>
      <c r="Q272">
        <f>IFERROR(IF(ISNUMBER(INDEX(SPPR!$E:$X,MATCH($A272,SPPR!$A:$A,0),14)),$C272*INDEX(SPPR!$E:$X,MATCH($A272,SPPR!$A:$A,0),14),""),"")</f>
        <v/>
      </c>
      <c r="R272">
        <f>IFERROR(IF(ISNUMBER(INDEX(SPPR!$E:$X,MATCH($A272,SPPR!$A:$A,0),15)),$C272*INDEX(SPPR!$E:$X,MATCH($A272,SPPR!$A:$A,0),15),""),"")</f>
        <v/>
      </c>
      <c r="S272">
        <f>IFERROR(IF(ISNUMBER(INDEX(SPPR!$E:$X,MATCH($A272,SPPR!$A:$A,0),16)),$C272*INDEX(SPPR!$E:$X,MATCH($A272,SPPR!$A:$A,0),16),""),"")</f>
        <v/>
      </c>
      <c r="T272">
        <f>IFERROR(IF(ISNUMBER(INDEX(SPPR!$E:$X,MATCH($A272,SPPR!$A:$A,0),17)),$C272*INDEX(SPPR!$E:$X,MATCH($A272,SPPR!$A:$A,0),17),""),"")</f>
        <v/>
      </c>
      <c r="U272">
        <f>IFERROR(IF(ISNUMBER(INDEX(SPPR!$E:$X,MATCH($A272,SPPR!$A:$A,0),18)),$C272*INDEX(SPPR!$E:$X,MATCH($A272,SPPR!$A:$A,0),18),""),"")</f>
        <v/>
      </c>
      <c r="V272">
        <f>IFERROR(IF(ISNUMBER(INDEX(SPPR!$E:$X,MATCH($A272,SPPR!$A:$A,0),19)),$C272*INDEX(SPPR!$E:$X,MATCH($A272,SPPR!$A:$A,0),19),""),"")</f>
        <v/>
      </c>
      <c r="W272">
        <f>IFERROR(IF(ISNUMBER(INDEX(SPPR!$E:$X,MATCH($A272,SPPR!$A:$A,0),20)),$C272*INDEX(SPPR!$E:$X,MATCH($A272,SPPR!$A:$A,0),20),""),"")</f>
        <v/>
      </c>
    </row>
    <row r="273">
      <c r="A273" t="inlineStr">
        <is>
          <t>Atule mate</t>
        </is>
      </c>
      <c r="B273">
        <f>IFERROR(INDEX(SPPR!$D:$D,MATCH($A273,SPPR!$A:$A,0)),"")</f>
        <v/>
      </c>
      <c r="C273">
        <f>IFERROR(INDEX(Catch!$E:$BV,MATCH($A273,Catch!$A:$A,0),MATCH($B$4,Catch!$E$1:$BV$1,0)),0)</f>
        <v/>
      </c>
      <c r="D273">
        <f>IFERROR(IF(ISNUMBER(INDEX(SPPR!$E:$X,MATCH($A273,SPPR!$A:$A,0),1)),$C273*INDEX(SPPR!$E:$X,MATCH($A273,SPPR!$A:$A,0),1),""),"")</f>
        <v/>
      </c>
      <c r="E273">
        <f>IFERROR(IF(ISNUMBER(INDEX(SPPR!$E:$X,MATCH($A273,SPPR!$A:$A,0),2)),$C273*INDEX(SPPR!$E:$X,MATCH($A273,SPPR!$A:$A,0),2),""),"")</f>
        <v/>
      </c>
      <c r="F273">
        <f>IFERROR(IF(ISNUMBER(INDEX(SPPR!$E:$X,MATCH($A273,SPPR!$A:$A,0),3)),$C273*INDEX(SPPR!$E:$X,MATCH($A273,SPPR!$A:$A,0),3),""),"")</f>
        <v/>
      </c>
      <c r="G273">
        <f>IFERROR(IF(ISNUMBER(INDEX(SPPR!$E:$X,MATCH($A273,SPPR!$A:$A,0),4)),$C273*INDEX(SPPR!$E:$X,MATCH($A273,SPPR!$A:$A,0),4),""),"")</f>
        <v/>
      </c>
      <c r="H273">
        <f>IFERROR(IF(ISNUMBER(INDEX(SPPR!$E:$X,MATCH($A273,SPPR!$A:$A,0),5)),$C273*INDEX(SPPR!$E:$X,MATCH($A273,SPPR!$A:$A,0),5),""),"")</f>
        <v/>
      </c>
      <c r="I273">
        <f>IFERROR(IF(ISNUMBER(INDEX(SPPR!$E:$X,MATCH($A273,SPPR!$A:$A,0),6)),$C273*INDEX(SPPR!$E:$X,MATCH($A273,SPPR!$A:$A,0),6),""),"")</f>
        <v/>
      </c>
      <c r="J273">
        <f>IFERROR(IF(ISNUMBER(INDEX(SPPR!$E:$X,MATCH($A273,SPPR!$A:$A,0),7)),$C273*INDEX(SPPR!$E:$X,MATCH($A273,SPPR!$A:$A,0),7),""),"")</f>
        <v/>
      </c>
      <c r="K273">
        <f>IFERROR(IF(ISNUMBER(INDEX(SPPR!$E:$X,MATCH($A273,SPPR!$A:$A,0),8)),$C273*INDEX(SPPR!$E:$X,MATCH($A273,SPPR!$A:$A,0),8),""),"")</f>
        <v/>
      </c>
      <c r="L273">
        <f>IFERROR(IF(ISNUMBER(INDEX(SPPR!$E:$X,MATCH($A273,SPPR!$A:$A,0),9)),$C273*INDEX(SPPR!$E:$X,MATCH($A273,SPPR!$A:$A,0),9),""),"")</f>
        <v/>
      </c>
      <c r="M273">
        <f>IFERROR(IF(ISNUMBER(INDEX(SPPR!$E:$X,MATCH($A273,SPPR!$A:$A,0),10)),$C273*INDEX(SPPR!$E:$X,MATCH($A273,SPPR!$A:$A,0),10),""),"")</f>
        <v/>
      </c>
      <c r="N273">
        <f>IFERROR(IF(ISNUMBER(INDEX(SPPR!$E:$X,MATCH($A273,SPPR!$A:$A,0),11)),$C273*INDEX(SPPR!$E:$X,MATCH($A273,SPPR!$A:$A,0),11),""),"")</f>
        <v/>
      </c>
      <c r="O273">
        <f>IFERROR(IF(ISNUMBER(INDEX(SPPR!$E:$X,MATCH($A273,SPPR!$A:$A,0),12)),$C273*INDEX(SPPR!$E:$X,MATCH($A273,SPPR!$A:$A,0),12),""),"")</f>
        <v/>
      </c>
      <c r="P273">
        <f>IFERROR(IF(ISNUMBER(INDEX(SPPR!$E:$X,MATCH($A273,SPPR!$A:$A,0),13)),$C273*INDEX(SPPR!$E:$X,MATCH($A273,SPPR!$A:$A,0),13),""),"")</f>
        <v/>
      </c>
      <c r="Q273">
        <f>IFERROR(IF(ISNUMBER(INDEX(SPPR!$E:$X,MATCH($A273,SPPR!$A:$A,0),14)),$C273*INDEX(SPPR!$E:$X,MATCH($A273,SPPR!$A:$A,0),14),""),"")</f>
        <v/>
      </c>
      <c r="R273">
        <f>IFERROR(IF(ISNUMBER(INDEX(SPPR!$E:$X,MATCH($A273,SPPR!$A:$A,0),15)),$C273*INDEX(SPPR!$E:$X,MATCH($A273,SPPR!$A:$A,0),15),""),"")</f>
        <v/>
      </c>
      <c r="S273">
        <f>IFERROR(IF(ISNUMBER(INDEX(SPPR!$E:$X,MATCH($A273,SPPR!$A:$A,0),16)),$C273*INDEX(SPPR!$E:$X,MATCH($A273,SPPR!$A:$A,0),16),""),"")</f>
        <v/>
      </c>
      <c r="T273">
        <f>IFERROR(IF(ISNUMBER(INDEX(SPPR!$E:$X,MATCH($A273,SPPR!$A:$A,0),17)),$C273*INDEX(SPPR!$E:$X,MATCH($A273,SPPR!$A:$A,0),17),""),"")</f>
        <v/>
      </c>
      <c r="U273">
        <f>IFERROR(IF(ISNUMBER(INDEX(SPPR!$E:$X,MATCH($A273,SPPR!$A:$A,0),18)),$C273*INDEX(SPPR!$E:$X,MATCH($A273,SPPR!$A:$A,0),18),""),"")</f>
        <v/>
      </c>
      <c r="V273">
        <f>IFERROR(IF(ISNUMBER(INDEX(SPPR!$E:$X,MATCH($A273,SPPR!$A:$A,0),19)),$C273*INDEX(SPPR!$E:$X,MATCH($A273,SPPR!$A:$A,0),19),""),"")</f>
        <v/>
      </c>
      <c r="W273">
        <f>IFERROR(IF(ISNUMBER(INDEX(SPPR!$E:$X,MATCH($A273,SPPR!$A:$A,0),20)),$C273*INDEX(SPPR!$E:$X,MATCH($A273,SPPR!$A:$A,0),20),""),"")</f>
        <v/>
      </c>
    </row>
    <row r="274">
      <c r="A274" t="inlineStr">
        <is>
          <t>Scarus</t>
        </is>
      </c>
      <c r="B274">
        <f>IFERROR(INDEX(SPPR!$D:$D,MATCH($A274,SPPR!$A:$A,0)),"")</f>
        <v/>
      </c>
      <c r="C274">
        <f>IFERROR(INDEX(Catch!$E:$BV,MATCH($A274,Catch!$A:$A,0),MATCH($B$4,Catch!$E$1:$BV$1,0)),0)</f>
        <v/>
      </c>
      <c r="D274">
        <f>IFERROR(IF(ISNUMBER(INDEX(SPPR!$E:$X,MATCH($A274,SPPR!$A:$A,0),1)),$C274*INDEX(SPPR!$E:$X,MATCH($A274,SPPR!$A:$A,0),1),""),"")</f>
        <v/>
      </c>
      <c r="E274">
        <f>IFERROR(IF(ISNUMBER(INDEX(SPPR!$E:$X,MATCH($A274,SPPR!$A:$A,0),2)),$C274*INDEX(SPPR!$E:$X,MATCH($A274,SPPR!$A:$A,0),2),""),"")</f>
        <v/>
      </c>
      <c r="F274">
        <f>IFERROR(IF(ISNUMBER(INDEX(SPPR!$E:$X,MATCH($A274,SPPR!$A:$A,0),3)),$C274*INDEX(SPPR!$E:$X,MATCH($A274,SPPR!$A:$A,0),3),""),"")</f>
        <v/>
      </c>
      <c r="G274">
        <f>IFERROR(IF(ISNUMBER(INDEX(SPPR!$E:$X,MATCH($A274,SPPR!$A:$A,0),4)),$C274*INDEX(SPPR!$E:$X,MATCH($A274,SPPR!$A:$A,0),4),""),"")</f>
        <v/>
      </c>
      <c r="H274">
        <f>IFERROR(IF(ISNUMBER(INDEX(SPPR!$E:$X,MATCH($A274,SPPR!$A:$A,0),5)),$C274*INDEX(SPPR!$E:$X,MATCH($A274,SPPR!$A:$A,0),5),""),"")</f>
        <v/>
      </c>
      <c r="I274">
        <f>IFERROR(IF(ISNUMBER(INDEX(SPPR!$E:$X,MATCH($A274,SPPR!$A:$A,0),6)),$C274*INDEX(SPPR!$E:$X,MATCH($A274,SPPR!$A:$A,0),6),""),"")</f>
        <v/>
      </c>
      <c r="J274">
        <f>IFERROR(IF(ISNUMBER(INDEX(SPPR!$E:$X,MATCH($A274,SPPR!$A:$A,0),7)),$C274*INDEX(SPPR!$E:$X,MATCH($A274,SPPR!$A:$A,0),7),""),"")</f>
        <v/>
      </c>
      <c r="K274">
        <f>IFERROR(IF(ISNUMBER(INDEX(SPPR!$E:$X,MATCH($A274,SPPR!$A:$A,0),8)),$C274*INDEX(SPPR!$E:$X,MATCH($A274,SPPR!$A:$A,0),8),""),"")</f>
        <v/>
      </c>
      <c r="L274">
        <f>IFERROR(IF(ISNUMBER(INDEX(SPPR!$E:$X,MATCH($A274,SPPR!$A:$A,0),9)),$C274*INDEX(SPPR!$E:$X,MATCH($A274,SPPR!$A:$A,0),9),""),"")</f>
        <v/>
      </c>
      <c r="M274">
        <f>IFERROR(IF(ISNUMBER(INDEX(SPPR!$E:$X,MATCH($A274,SPPR!$A:$A,0),10)),$C274*INDEX(SPPR!$E:$X,MATCH($A274,SPPR!$A:$A,0),10),""),"")</f>
        <v/>
      </c>
      <c r="N274">
        <f>IFERROR(IF(ISNUMBER(INDEX(SPPR!$E:$X,MATCH($A274,SPPR!$A:$A,0),11)),$C274*INDEX(SPPR!$E:$X,MATCH($A274,SPPR!$A:$A,0),11),""),"")</f>
        <v/>
      </c>
      <c r="O274">
        <f>IFERROR(IF(ISNUMBER(INDEX(SPPR!$E:$X,MATCH($A274,SPPR!$A:$A,0),12)),$C274*INDEX(SPPR!$E:$X,MATCH($A274,SPPR!$A:$A,0),12),""),"")</f>
        <v/>
      </c>
      <c r="P274">
        <f>IFERROR(IF(ISNUMBER(INDEX(SPPR!$E:$X,MATCH($A274,SPPR!$A:$A,0),13)),$C274*INDEX(SPPR!$E:$X,MATCH($A274,SPPR!$A:$A,0),13),""),"")</f>
        <v/>
      </c>
      <c r="Q274">
        <f>IFERROR(IF(ISNUMBER(INDEX(SPPR!$E:$X,MATCH($A274,SPPR!$A:$A,0),14)),$C274*INDEX(SPPR!$E:$X,MATCH($A274,SPPR!$A:$A,0),14),""),"")</f>
        <v/>
      </c>
      <c r="R274">
        <f>IFERROR(IF(ISNUMBER(INDEX(SPPR!$E:$X,MATCH($A274,SPPR!$A:$A,0),15)),$C274*INDEX(SPPR!$E:$X,MATCH($A274,SPPR!$A:$A,0),15),""),"")</f>
        <v/>
      </c>
      <c r="S274">
        <f>IFERROR(IF(ISNUMBER(INDEX(SPPR!$E:$X,MATCH($A274,SPPR!$A:$A,0),16)),$C274*INDEX(SPPR!$E:$X,MATCH($A274,SPPR!$A:$A,0),16),""),"")</f>
        <v/>
      </c>
      <c r="T274">
        <f>IFERROR(IF(ISNUMBER(INDEX(SPPR!$E:$X,MATCH($A274,SPPR!$A:$A,0),17)),$C274*INDEX(SPPR!$E:$X,MATCH($A274,SPPR!$A:$A,0),17),""),"")</f>
        <v/>
      </c>
      <c r="U274">
        <f>IFERROR(IF(ISNUMBER(INDEX(SPPR!$E:$X,MATCH($A274,SPPR!$A:$A,0),18)),$C274*INDEX(SPPR!$E:$X,MATCH($A274,SPPR!$A:$A,0),18),""),"")</f>
        <v/>
      </c>
      <c r="V274">
        <f>IFERROR(IF(ISNUMBER(INDEX(SPPR!$E:$X,MATCH($A274,SPPR!$A:$A,0),19)),$C274*INDEX(SPPR!$E:$X,MATCH($A274,SPPR!$A:$A,0),19),""),"")</f>
        <v/>
      </c>
      <c r="W274">
        <f>IFERROR(IF(ISNUMBER(INDEX(SPPR!$E:$X,MATCH($A274,SPPR!$A:$A,0),20)),$C274*INDEX(SPPR!$E:$X,MATCH($A274,SPPR!$A:$A,0),20),""),"")</f>
        <v/>
      </c>
    </row>
    <row r="275">
      <c r="A275" t="inlineStr">
        <is>
          <t>Thunnus</t>
        </is>
      </c>
      <c r="B275">
        <f>IFERROR(INDEX(SPPR!$D:$D,MATCH($A275,SPPR!$A:$A,0)),"")</f>
        <v/>
      </c>
      <c r="C275">
        <f>IFERROR(INDEX(Catch!$E:$BV,MATCH($A275,Catch!$A:$A,0),MATCH($B$4,Catch!$E$1:$BV$1,0)),0)</f>
        <v/>
      </c>
      <c r="D275">
        <f>IFERROR(IF(ISNUMBER(INDEX(SPPR!$E:$X,MATCH($A275,SPPR!$A:$A,0),1)),$C275*INDEX(SPPR!$E:$X,MATCH($A275,SPPR!$A:$A,0),1),""),"")</f>
        <v/>
      </c>
      <c r="E275">
        <f>IFERROR(IF(ISNUMBER(INDEX(SPPR!$E:$X,MATCH($A275,SPPR!$A:$A,0),2)),$C275*INDEX(SPPR!$E:$X,MATCH($A275,SPPR!$A:$A,0),2),""),"")</f>
        <v/>
      </c>
      <c r="F275">
        <f>IFERROR(IF(ISNUMBER(INDEX(SPPR!$E:$X,MATCH($A275,SPPR!$A:$A,0),3)),$C275*INDEX(SPPR!$E:$X,MATCH($A275,SPPR!$A:$A,0),3),""),"")</f>
        <v/>
      </c>
      <c r="G275">
        <f>IFERROR(IF(ISNUMBER(INDEX(SPPR!$E:$X,MATCH($A275,SPPR!$A:$A,0),4)),$C275*INDEX(SPPR!$E:$X,MATCH($A275,SPPR!$A:$A,0),4),""),"")</f>
        <v/>
      </c>
      <c r="H275">
        <f>IFERROR(IF(ISNUMBER(INDEX(SPPR!$E:$X,MATCH($A275,SPPR!$A:$A,0),5)),$C275*INDEX(SPPR!$E:$X,MATCH($A275,SPPR!$A:$A,0),5),""),"")</f>
        <v/>
      </c>
      <c r="I275">
        <f>IFERROR(IF(ISNUMBER(INDEX(SPPR!$E:$X,MATCH($A275,SPPR!$A:$A,0),6)),$C275*INDEX(SPPR!$E:$X,MATCH($A275,SPPR!$A:$A,0),6),""),"")</f>
        <v/>
      </c>
      <c r="J275">
        <f>IFERROR(IF(ISNUMBER(INDEX(SPPR!$E:$X,MATCH($A275,SPPR!$A:$A,0),7)),$C275*INDEX(SPPR!$E:$X,MATCH($A275,SPPR!$A:$A,0),7),""),"")</f>
        <v/>
      </c>
      <c r="K275">
        <f>IFERROR(IF(ISNUMBER(INDEX(SPPR!$E:$X,MATCH($A275,SPPR!$A:$A,0),8)),$C275*INDEX(SPPR!$E:$X,MATCH($A275,SPPR!$A:$A,0),8),""),"")</f>
        <v/>
      </c>
      <c r="L275">
        <f>IFERROR(IF(ISNUMBER(INDEX(SPPR!$E:$X,MATCH($A275,SPPR!$A:$A,0),9)),$C275*INDEX(SPPR!$E:$X,MATCH($A275,SPPR!$A:$A,0),9),""),"")</f>
        <v/>
      </c>
      <c r="M275">
        <f>IFERROR(IF(ISNUMBER(INDEX(SPPR!$E:$X,MATCH($A275,SPPR!$A:$A,0),10)),$C275*INDEX(SPPR!$E:$X,MATCH($A275,SPPR!$A:$A,0),10),""),"")</f>
        <v/>
      </c>
      <c r="N275">
        <f>IFERROR(IF(ISNUMBER(INDEX(SPPR!$E:$X,MATCH($A275,SPPR!$A:$A,0),11)),$C275*INDEX(SPPR!$E:$X,MATCH($A275,SPPR!$A:$A,0),11),""),"")</f>
        <v/>
      </c>
      <c r="O275">
        <f>IFERROR(IF(ISNUMBER(INDEX(SPPR!$E:$X,MATCH($A275,SPPR!$A:$A,0),12)),$C275*INDEX(SPPR!$E:$X,MATCH($A275,SPPR!$A:$A,0),12),""),"")</f>
        <v/>
      </c>
      <c r="P275">
        <f>IFERROR(IF(ISNUMBER(INDEX(SPPR!$E:$X,MATCH($A275,SPPR!$A:$A,0),13)),$C275*INDEX(SPPR!$E:$X,MATCH($A275,SPPR!$A:$A,0),13),""),"")</f>
        <v/>
      </c>
      <c r="Q275">
        <f>IFERROR(IF(ISNUMBER(INDEX(SPPR!$E:$X,MATCH($A275,SPPR!$A:$A,0),14)),$C275*INDEX(SPPR!$E:$X,MATCH($A275,SPPR!$A:$A,0),14),""),"")</f>
        <v/>
      </c>
      <c r="R275">
        <f>IFERROR(IF(ISNUMBER(INDEX(SPPR!$E:$X,MATCH($A275,SPPR!$A:$A,0),15)),$C275*INDEX(SPPR!$E:$X,MATCH($A275,SPPR!$A:$A,0),15),""),"")</f>
        <v/>
      </c>
      <c r="S275">
        <f>IFERROR(IF(ISNUMBER(INDEX(SPPR!$E:$X,MATCH($A275,SPPR!$A:$A,0),16)),$C275*INDEX(SPPR!$E:$X,MATCH($A275,SPPR!$A:$A,0),16),""),"")</f>
        <v/>
      </c>
      <c r="T275">
        <f>IFERROR(IF(ISNUMBER(INDEX(SPPR!$E:$X,MATCH($A275,SPPR!$A:$A,0),17)),$C275*INDEX(SPPR!$E:$X,MATCH($A275,SPPR!$A:$A,0),17),""),"")</f>
        <v/>
      </c>
      <c r="U275">
        <f>IFERROR(IF(ISNUMBER(INDEX(SPPR!$E:$X,MATCH($A275,SPPR!$A:$A,0),18)),$C275*INDEX(SPPR!$E:$X,MATCH($A275,SPPR!$A:$A,0),18),""),"")</f>
        <v/>
      </c>
      <c r="V275">
        <f>IFERROR(IF(ISNUMBER(INDEX(SPPR!$E:$X,MATCH($A275,SPPR!$A:$A,0),19)),$C275*INDEX(SPPR!$E:$X,MATCH($A275,SPPR!$A:$A,0),19),""),"")</f>
        <v/>
      </c>
      <c r="W275">
        <f>IFERROR(IF(ISNUMBER(INDEX(SPPR!$E:$X,MATCH($A275,SPPR!$A:$A,0),20)),$C275*INDEX(SPPR!$E:$X,MATCH($A275,SPPR!$A:$A,0),20),""),"")</f>
        <v/>
      </c>
    </row>
    <row r="276">
      <c r="A276" t="inlineStr">
        <is>
          <t>Ruditapes philippinarum</t>
        </is>
      </c>
      <c r="B276">
        <f>IFERROR(INDEX(SPPR!$D:$D,MATCH($A276,SPPR!$A:$A,0)),"")</f>
        <v/>
      </c>
      <c r="C276">
        <f>IFERROR(INDEX(Catch!$E:$BV,MATCH($A276,Catch!$A:$A,0),MATCH($B$4,Catch!$E$1:$BV$1,0)),0)</f>
        <v/>
      </c>
      <c r="D276">
        <f>IFERROR(IF(ISNUMBER(INDEX(SPPR!$E:$X,MATCH($A276,SPPR!$A:$A,0),1)),$C276*INDEX(SPPR!$E:$X,MATCH($A276,SPPR!$A:$A,0),1),""),"")</f>
        <v/>
      </c>
      <c r="E276">
        <f>IFERROR(IF(ISNUMBER(INDEX(SPPR!$E:$X,MATCH($A276,SPPR!$A:$A,0),2)),$C276*INDEX(SPPR!$E:$X,MATCH($A276,SPPR!$A:$A,0),2),""),"")</f>
        <v/>
      </c>
      <c r="F276">
        <f>IFERROR(IF(ISNUMBER(INDEX(SPPR!$E:$X,MATCH($A276,SPPR!$A:$A,0),3)),$C276*INDEX(SPPR!$E:$X,MATCH($A276,SPPR!$A:$A,0),3),""),"")</f>
        <v/>
      </c>
      <c r="G276">
        <f>IFERROR(IF(ISNUMBER(INDEX(SPPR!$E:$X,MATCH($A276,SPPR!$A:$A,0),4)),$C276*INDEX(SPPR!$E:$X,MATCH($A276,SPPR!$A:$A,0),4),""),"")</f>
        <v/>
      </c>
      <c r="H276">
        <f>IFERROR(IF(ISNUMBER(INDEX(SPPR!$E:$X,MATCH($A276,SPPR!$A:$A,0),5)),$C276*INDEX(SPPR!$E:$X,MATCH($A276,SPPR!$A:$A,0),5),""),"")</f>
        <v/>
      </c>
      <c r="I276">
        <f>IFERROR(IF(ISNUMBER(INDEX(SPPR!$E:$X,MATCH($A276,SPPR!$A:$A,0),6)),$C276*INDEX(SPPR!$E:$X,MATCH($A276,SPPR!$A:$A,0),6),""),"")</f>
        <v/>
      </c>
      <c r="J276">
        <f>IFERROR(IF(ISNUMBER(INDEX(SPPR!$E:$X,MATCH($A276,SPPR!$A:$A,0),7)),$C276*INDEX(SPPR!$E:$X,MATCH($A276,SPPR!$A:$A,0),7),""),"")</f>
        <v/>
      </c>
      <c r="K276">
        <f>IFERROR(IF(ISNUMBER(INDEX(SPPR!$E:$X,MATCH($A276,SPPR!$A:$A,0),8)),$C276*INDEX(SPPR!$E:$X,MATCH($A276,SPPR!$A:$A,0),8),""),"")</f>
        <v/>
      </c>
      <c r="L276">
        <f>IFERROR(IF(ISNUMBER(INDEX(SPPR!$E:$X,MATCH($A276,SPPR!$A:$A,0),9)),$C276*INDEX(SPPR!$E:$X,MATCH($A276,SPPR!$A:$A,0),9),""),"")</f>
        <v/>
      </c>
      <c r="M276">
        <f>IFERROR(IF(ISNUMBER(INDEX(SPPR!$E:$X,MATCH($A276,SPPR!$A:$A,0),10)),$C276*INDEX(SPPR!$E:$X,MATCH($A276,SPPR!$A:$A,0),10),""),"")</f>
        <v/>
      </c>
      <c r="N276">
        <f>IFERROR(IF(ISNUMBER(INDEX(SPPR!$E:$X,MATCH($A276,SPPR!$A:$A,0),11)),$C276*INDEX(SPPR!$E:$X,MATCH($A276,SPPR!$A:$A,0),11),""),"")</f>
        <v/>
      </c>
      <c r="O276">
        <f>IFERROR(IF(ISNUMBER(INDEX(SPPR!$E:$X,MATCH($A276,SPPR!$A:$A,0),12)),$C276*INDEX(SPPR!$E:$X,MATCH($A276,SPPR!$A:$A,0),12),""),"")</f>
        <v/>
      </c>
      <c r="P276">
        <f>IFERROR(IF(ISNUMBER(INDEX(SPPR!$E:$X,MATCH($A276,SPPR!$A:$A,0),13)),$C276*INDEX(SPPR!$E:$X,MATCH($A276,SPPR!$A:$A,0),13),""),"")</f>
        <v/>
      </c>
      <c r="Q276">
        <f>IFERROR(IF(ISNUMBER(INDEX(SPPR!$E:$X,MATCH($A276,SPPR!$A:$A,0),14)),$C276*INDEX(SPPR!$E:$X,MATCH($A276,SPPR!$A:$A,0),14),""),"")</f>
        <v/>
      </c>
      <c r="R276">
        <f>IFERROR(IF(ISNUMBER(INDEX(SPPR!$E:$X,MATCH($A276,SPPR!$A:$A,0),15)),$C276*INDEX(SPPR!$E:$X,MATCH($A276,SPPR!$A:$A,0),15),""),"")</f>
        <v/>
      </c>
      <c r="S276">
        <f>IFERROR(IF(ISNUMBER(INDEX(SPPR!$E:$X,MATCH($A276,SPPR!$A:$A,0),16)),$C276*INDEX(SPPR!$E:$X,MATCH($A276,SPPR!$A:$A,0),16),""),"")</f>
        <v/>
      </c>
      <c r="T276">
        <f>IFERROR(IF(ISNUMBER(INDEX(SPPR!$E:$X,MATCH($A276,SPPR!$A:$A,0),17)),$C276*INDEX(SPPR!$E:$X,MATCH($A276,SPPR!$A:$A,0),17),""),"")</f>
        <v/>
      </c>
      <c r="U276">
        <f>IFERROR(IF(ISNUMBER(INDEX(SPPR!$E:$X,MATCH($A276,SPPR!$A:$A,0),18)),$C276*INDEX(SPPR!$E:$X,MATCH($A276,SPPR!$A:$A,0),18),""),"")</f>
        <v/>
      </c>
      <c r="V276">
        <f>IFERROR(IF(ISNUMBER(INDEX(SPPR!$E:$X,MATCH($A276,SPPR!$A:$A,0),19)),$C276*INDEX(SPPR!$E:$X,MATCH($A276,SPPR!$A:$A,0),19),""),"")</f>
        <v/>
      </c>
      <c r="W276">
        <f>IFERROR(IF(ISNUMBER(INDEX(SPPR!$E:$X,MATCH($A276,SPPR!$A:$A,0),20)),$C276*INDEX(SPPR!$E:$X,MATCH($A276,SPPR!$A:$A,0),20),""),"")</f>
        <v/>
      </c>
    </row>
    <row r="277">
      <c r="A277" t="inlineStr">
        <is>
          <t>Metapenaeus tenuipes</t>
        </is>
      </c>
      <c r="B277">
        <f>IFERROR(INDEX(SPPR!$D:$D,MATCH($A277,SPPR!$A:$A,0)),"")</f>
        <v/>
      </c>
      <c r="C277">
        <f>IFERROR(INDEX(Catch!$E:$BV,MATCH($A277,Catch!$A:$A,0),MATCH($B$4,Catch!$E$1:$BV$1,0)),0)</f>
        <v/>
      </c>
      <c r="D277">
        <f>IFERROR(IF(ISNUMBER(INDEX(SPPR!$E:$X,MATCH($A277,SPPR!$A:$A,0),1)),$C277*INDEX(SPPR!$E:$X,MATCH($A277,SPPR!$A:$A,0),1),""),"")</f>
        <v/>
      </c>
      <c r="E277">
        <f>IFERROR(IF(ISNUMBER(INDEX(SPPR!$E:$X,MATCH($A277,SPPR!$A:$A,0),2)),$C277*INDEX(SPPR!$E:$X,MATCH($A277,SPPR!$A:$A,0),2),""),"")</f>
        <v/>
      </c>
      <c r="F277">
        <f>IFERROR(IF(ISNUMBER(INDEX(SPPR!$E:$X,MATCH($A277,SPPR!$A:$A,0),3)),$C277*INDEX(SPPR!$E:$X,MATCH($A277,SPPR!$A:$A,0),3),""),"")</f>
        <v/>
      </c>
      <c r="G277">
        <f>IFERROR(IF(ISNUMBER(INDEX(SPPR!$E:$X,MATCH($A277,SPPR!$A:$A,0),4)),$C277*INDEX(SPPR!$E:$X,MATCH($A277,SPPR!$A:$A,0),4),""),"")</f>
        <v/>
      </c>
      <c r="H277">
        <f>IFERROR(IF(ISNUMBER(INDEX(SPPR!$E:$X,MATCH($A277,SPPR!$A:$A,0),5)),$C277*INDEX(SPPR!$E:$X,MATCH($A277,SPPR!$A:$A,0),5),""),"")</f>
        <v/>
      </c>
      <c r="I277">
        <f>IFERROR(IF(ISNUMBER(INDEX(SPPR!$E:$X,MATCH($A277,SPPR!$A:$A,0),6)),$C277*INDEX(SPPR!$E:$X,MATCH($A277,SPPR!$A:$A,0),6),""),"")</f>
        <v/>
      </c>
      <c r="J277">
        <f>IFERROR(IF(ISNUMBER(INDEX(SPPR!$E:$X,MATCH($A277,SPPR!$A:$A,0),7)),$C277*INDEX(SPPR!$E:$X,MATCH($A277,SPPR!$A:$A,0),7),""),"")</f>
        <v/>
      </c>
      <c r="K277">
        <f>IFERROR(IF(ISNUMBER(INDEX(SPPR!$E:$X,MATCH($A277,SPPR!$A:$A,0),8)),$C277*INDEX(SPPR!$E:$X,MATCH($A277,SPPR!$A:$A,0),8),""),"")</f>
        <v/>
      </c>
      <c r="L277">
        <f>IFERROR(IF(ISNUMBER(INDEX(SPPR!$E:$X,MATCH($A277,SPPR!$A:$A,0),9)),$C277*INDEX(SPPR!$E:$X,MATCH($A277,SPPR!$A:$A,0),9),""),"")</f>
        <v/>
      </c>
      <c r="M277">
        <f>IFERROR(IF(ISNUMBER(INDEX(SPPR!$E:$X,MATCH($A277,SPPR!$A:$A,0),10)),$C277*INDEX(SPPR!$E:$X,MATCH($A277,SPPR!$A:$A,0),10),""),"")</f>
        <v/>
      </c>
      <c r="N277">
        <f>IFERROR(IF(ISNUMBER(INDEX(SPPR!$E:$X,MATCH($A277,SPPR!$A:$A,0),11)),$C277*INDEX(SPPR!$E:$X,MATCH($A277,SPPR!$A:$A,0),11),""),"")</f>
        <v/>
      </c>
      <c r="O277">
        <f>IFERROR(IF(ISNUMBER(INDEX(SPPR!$E:$X,MATCH($A277,SPPR!$A:$A,0),12)),$C277*INDEX(SPPR!$E:$X,MATCH($A277,SPPR!$A:$A,0),12),""),"")</f>
        <v/>
      </c>
      <c r="P277">
        <f>IFERROR(IF(ISNUMBER(INDEX(SPPR!$E:$X,MATCH($A277,SPPR!$A:$A,0),13)),$C277*INDEX(SPPR!$E:$X,MATCH($A277,SPPR!$A:$A,0),13),""),"")</f>
        <v/>
      </c>
      <c r="Q277">
        <f>IFERROR(IF(ISNUMBER(INDEX(SPPR!$E:$X,MATCH($A277,SPPR!$A:$A,0),14)),$C277*INDEX(SPPR!$E:$X,MATCH($A277,SPPR!$A:$A,0),14),""),"")</f>
        <v/>
      </c>
      <c r="R277">
        <f>IFERROR(IF(ISNUMBER(INDEX(SPPR!$E:$X,MATCH($A277,SPPR!$A:$A,0),15)),$C277*INDEX(SPPR!$E:$X,MATCH($A277,SPPR!$A:$A,0),15),""),"")</f>
        <v/>
      </c>
      <c r="S277">
        <f>IFERROR(IF(ISNUMBER(INDEX(SPPR!$E:$X,MATCH($A277,SPPR!$A:$A,0),16)),$C277*INDEX(SPPR!$E:$X,MATCH($A277,SPPR!$A:$A,0),16),""),"")</f>
        <v/>
      </c>
      <c r="T277">
        <f>IFERROR(IF(ISNUMBER(INDEX(SPPR!$E:$X,MATCH($A277,SPPR!$A:$A,0),17)),$C277*INDEX(SPPR!$E:$X,MATCH($A277,SPPR!$A:$A,0),17),""),"")</f>
        <v/>
      </c>
      <c r="U277">
        <f>IFERROR(IF(ISNUMBER(INDEX(SPPR!$E:$X,MATCH($A277,SPPR!$A:$A,0),18)),$C277*INDEX(SPPR!$E:$X,MATCH($A277,SPPR!$A:$A,0),18),""),"")</f>
        <v/>
      </c>
      <c r="V277">
        <f>IFERROR(IF(ISNUMBER(INDEX(SPPR!$E:$X,MATCH($A277,SPPR!$A:$A,0),19)),$C277*INDEX(SPPR!$E:$X,MATCH($A277,SPPR!$A:$A,0),19),""),"")</f>
        <v/>
      </c>
      <c r="W277">
        <f>IFERROR(IF(ISNUMBER(INDEX(SPPR!$E:$X,MATCH($A277,SPPR!$A:$A,0),20)),$C277*INDEX(SPPR!$E:$X,MATCH($A277,SPPR!$A:$A,0),20),""),"")</f>
        <v/>
      </c>
    </row>
    <row r="278">
      <c r="A278" t="inlineStr">
        <is>
          <t>Acanthocybium solandri</t>
        </is>
      </c>
      <c r="B278">
        <f>IFERROR(INDEX(SPPR!$D:$D,MATCH($A278,SPPR!$A:$A,0)),"")</f>
        <v/>
      </c>
      <c r="C278">
        <f>IFERROR(INDEX(Catch!$E:$BV,MATCH($A278,Catch!$A:$A,0),MATCH($B$4,Catch!$E$1:$BV$1,0)),0)</f>
        <v/>
      </c>
      <c r="D278">
        <f>IFERROR(IF(ISNUMBER(INDEX(SPPR!$E:$X,MATCH($A278,SPPR!$A:$A,0),1)),$C278*INDEX(SPPR!$E:$X,MATCH($A278,SPPR!$A:$A,0),1),""),"")</f>
        <v/>
      </c>
      <c r="E278">
        <f>IFERROR(IF(ISNUMBER(INDEX(SPPR!$E:$X,MATCH($A278,SPPR!$A:$A,0),2)),$C278*INDEX(SPPR!$E:$X,MATCH($A278,SPPR!$A:$A,0),2),""),"")</f>
        <v/>
      </c>
      <c r="F278">
        <f>IFERROR(IF(ISNUMBER(INDEX(SPPR!$E:$X,MATCH($A278,SPPR!$A:$A,0),3)),$C278*INDEX(SPPR!$E:$X,MATCH($A278,SPPR!$A:$A,0),3),""),"")</f>
        <v/>
      </c>
      <c r="G278">
        <f>IFERROR(IF(ISNUMBER(INDEX(SPPR!$E:$X,MATCH($A278,SPPR!$A:$A,0),4)),$C278*INDEX(SPPR!$E:$X,MATCH($A278,SPPR!$A:$A,0),4),""),"")</f>
        <v/>
      </c>
      <c r="H278">
        <f>IFERROR(IF(ISNUMBER(INDEX(SPPR!$E:$X,MATCH($A278,SPPR!$A:$A,0),5)),$C278*INDEX(SPPR!$E:$X,MATCH($A278,SPPR!$A:$A,0),5),""),"")</f>
        <v/>
      </c>
      <c r="I278">
        <f>IFERROR(IF(ISNUMBER(INDEX(SPPR!$E:$X,MATCH($A278,SPPR!$A:$A,0),6)),$C278*INDEX(SPPR!$E:$X,MATCH($A278,SPPR!$A:$A,0),6),""),"")</f>
        <v/>
      </c>
      <c r="J278">
        <f>IFERROR(IF(ISNUMBER(INDEX(SPPR!$E:$X,MATCH($A278,SPPR!$A:$A,0),7)),$C278*INDEX(SPPR!$E:$X,MATCH($A278,SPPR!$A:$A,0),7),""),"")</f>
        <v/>
      </c>
      <c r="K278">
        <f>IFERROR(IF(ISNUMBER(INDEX(SPPR!$E:$X,MATCH($A278,SPPR!$A:$A,0),8)),$C278*INDEX(SPPR!$E:$X,MATCH($A278,SPPR!$A:$A,0),8),""),"")</f>
        <v/>
      </c>
      <c r="L278">
        <f>IFERROR(IF(ISNUMBER(INDEX(SPPR!$E:$X,MATCH($A278,SPPR!$A:$A,0),9)),$C278*INDEX(SPPR!$E:$X,MATCH($A278,SPPR!$A:$A,0),9),""),"")</f>
        <v/>
      </c>
      <c r="M278">
        <f>IFERROR(IF(ISNUMBER(INDEX(SPPR!$E:$X,MATCH($A278,SPPR!$A:$A,0),10)),$C278*INDEX(SPPR!$E:$X,MATCH($A278,SPPR!$A:$A,0),10),""),"")</f>
        <v/>
      </c>
      <c r="N278">
        <f>IFERROR(IF(ISNUMBER(INDEX(SPPR!$E:$X,MATCH($A278,SPPR!$A:$A,0),11)),$C278*INDEX(SPPR!$E:$X,MATCH($A278,SPPR!$A:$A,0),11),""),"")</f>
        <v/>
      </c>
      <c r="O278">
        <f>IFERROR(IF(ISNUMBER(INDEX(SPPR!$E:$X,MATCH($A278,SPPR!$A:$A,0),12)),$C278*INDEX(SPPR!$E:$X,MATCH($A278,SPPR!$A:$A,0),12),""),"")</f>
        <v/>
      </c>
      <c r="P278">
        <f>IFERROR(IF(ISNUMBER(INDEX(SPPR!$E:$X,MATCH($A278,SPPR!$A:$A,0),13)),$C278*INDEX(SPPR!$E:$X,MATCH($A278,SPPR!$A:$A,0),13),""),"")</f>
        <v/>
      </c>
      <c r="Q278">
        <f>IFERROR(IF(ISNUMBER(INDEX(SPPR!$E:$X,MATCH($A278,SPPR!$A:$A,0),14)),$C278*INDEX(SPPR!$E:$X,MATCH($A278,SPPR!$A:$A,0),14),""),"")</f>
        <v/>
      </c>
      <c r="R278">
        <f>IFERROR(IF(ISNUMBER(INDEX(SPPR!$E:$X,MATCH($A278,SPPR!$A:$A,0),15)),$C278*INDEX(SPPR!$E:$X,MATCH($A278,SPPR!$A:$A,0),15),""),"")</f>
        <v/>
      </c>
      <c r="S278">
        <f>IFERROR(IF(ISNUMBER(INDEX(SPPR!$E:$X,MATCH($A278,SPPR!$A:$A,0),16)),$C278*INDEX(SPPR!$E:$X,MATCH($A278,SPPR!$A:$A,0),16),""),"")</f>
        <v/>
      </c>
      <c r="T278">
        <f>IFERROR(IF(ISNUMBER(INDEX(SPPR!$E:$X,MATCH($A278,SPPR!$A:$A,0),17)),$C278*INDEX(SPPR!$E:$X,MATCH($A278,SPPR!$A:$A,0),17),""),"")</f>
        <v/>
      </c>
      <c r="U278">
        <f>IFERROR(IF(ISNUMBER(INDEX(SPPR!$E:$X,MATCH($A278,SPPR!$A:$A,0),18)),$C278*INDEX(SPPR!$E:$X,MATCH($A278,SPPR!$A:$A,0),18),""),"")</f>
        <v/>
      </c>
      <c r="V278">
        <f>IFERROR(IF(ISNUMBER(INDEX(SPPR!$E:$X,MATCH($A278,SPPR!$A:$A,0),19)),$C278*INDEX(SPPR!$E:$X,MATCH($A278,SPPR!$A:$A,0),19),""),"")</f>
        <v/>
      </c>
      <c r="W278">
        <f>IFERROR(IF(ISNUMBER(INDEX(SPPR!$E:$X,MATCH($A278,SPPR!$A:$A,0),20)),$C278*INDEX(SPPR!$E:$X,MATCH($A278,SPPR!$A:$A,0),20),""),"")</f>
        <v/>
      </c>
    </row>
    <row r="279">
      <c r="A279" t="inlineStr">
        <is>
          <t>Acanthopagrus schlegelii</t>
        </is>
      </c>
      <c r="B279">
        <f>IFERROR(INDEX(SPPR!$D:$D,MATCH($A279,SPPR!$A:$A,0)),"")</f>
        <v/>
      </c>
      <c r="C279">
        <f>IFERROR(INDEX(Catch!$E:$BV,MATCH($A279,Catch!$A:$A,0),MATCH($B$4,Catch!$E$1:$BV$1,0)),0)</f>
        <v/>
      </c>
      <c r="D279">
        <f>IFERROR(IF(ISNUMBER(INDEX(SPPR!$E:$X,MATCH($A279,SPPR!$A:$A,0),1)),$C279*INDEX(SPPR!$E:$X,MATCH($A279,SPPR!$A:$A,0),1),""),"")</f>
        <v/>
      </c>
      <c r="E279">
        <f>IFERROR(IF(ISNUMBER(INDEX(SPPR!$E:$X,MATCH($A279,SPPR!$A:$A,0),2)),$C279*INDEX(SPPR!$E:$X,MATCH($A279,SPPR!$A:$A,0),2),""),"")</f>
        <v/>
      </c>
      <c r="F279">
        <f>IFERROR(IF(ISNUMBER(INDEX(SPPR!$E:$X,MATCH($A279,SPPR!$A:$A,0),3)),$C279*INDEX(SPPR!$E:$X,MATCH($A279,SPPR!$A:$A,0),3),""),"")</f>
        <v/>
      </c>
      <c r="G279">
        <f>IFERROR(IF(ISNUMBER(INDEX(SPPR!$E:$X,MATCH($A279,SPPR!$A:$A,0),4)),$C279*INDEX(SPPR!$E:$X,MATCH($A279,SPPR!$A:$A,0),4),""),"")</f>
        <v/>
      </c>
      <c r="H279">
        <f>IFERROR(IF(ISNUMBER(INDEX(SPPR!$E:$X,MATCH($A279,SPPR!$A:$A,0),5)),$C279*INDEX(SPPR!$E:$X,MATCH($A279,SPPR!$A:$A,0),5),""),"")</f>
        <v/>
      </c>
      <c r="I279">
        <f>IFERROR(IF(ISNUMBER(INDEX(SPPR!$E:$X,MATCH($A279,SPPR!$A:$A,0),6)),$C279*INDEX(SPPR!$E:$X,MATCH($A279,SPPR!$A:$A,0),6),""),"")</f>
        <v/>
      </c>
      <c r="J279">
        <f>IFERROR(IF(ISNUMBER(INDEX(SPPR!$E:$X,MATCH($A279,SPPR!$A:$A,0),7)),$C279*INDEX(SPPR!$E:$X,MATCH($A279,SPPR!$A:$A,0),7),""),"")</f>
        <v/>
      </c>
      <c r="K279">
        <f>IFERROR(IF(ISNUMBER(INDEX(SPPR!$E:$X,MATCH($A279,SPPR!$A:$A,0),8)),$C279*INDEX(SPPR!$E:$X,MATCH($A279,SPPR!$A:$A,0),8),""),"")</f>
        <v/>
      </c>
      <c r="L279">
        <f>IFERROR(IF(ISNUMBER(INDEX(SPPR!$E:$X,MATCH($A279,SPPR!$A:$A,0),9)),$C279*INDEX(SPPR!$E:$X,MATCH($A279,SPPR!$A:$A,0),9),""),"")</f>
        <v/>
      </c>
      <c r="M279">
        <f>IFERROR(IF(ISNUMBER(INDEX(SPPR!$E:$X,MATCH($A279,SPPR!$A:$A,0),10)),$C279*INDEX(SPPR!$E:$X,MATCH($A279,SPPR!$A:$A,0),10),""),"")</f>
        <v/>
      </c>
      <c r="N279">
        <f>IFERROR(IF(ISNUMBER(INDEX(SPPR!$E:$X,MATCH($A279,SPPR!$A:$A,0),11)),$C279*INDEX(SPPR!$E:$X,MATCH($A279,SPPR!$A:$A,0),11),""),"")</f>
        <v/>
      </c>
      <c r="O279">
        <f>IFERROR(IF(ISNUMBER(INDEX(SPPR!$E:$X,MATCH($A279,SPPR!$A:$A,0),12)),$C279*INDEX(SPPR!$E:$X,MATCH($A279,SPPR!$A:$A,0),12),""),"")</f>
        <v/>
      </c>
      <c r="P279">
        <f>IFERROR(IF(ISNUMBER(INDEX(SPPR!$E:$X,MATCH($A279,SPPR!$A:$A,0),13)),$C279*INDEX(SPPR!$E:$X,MATCH($A279,SPPR!$A:$A,0),13),""),"")</f>
        <v/>
      </c>
      <c r="Q279">
        <f>IFERROR(IF(ISNUMBER(INDEX(SPPR!$E:$X,MATCH($A279,SPPR!$A:$A,0),14)),$C279*INDEX(SPPR!$E:$X,MATCH($A279,SPPR!$A:$A,0),14),""),"")</f>
        <v/>
      </c>
      <c r="R279">
        <f>IFERROR(IF(ISNUMBER(INDEX(SPPR!$E:$X,MATCH($A279,SPPR!$A:$A,0),15)),$C279*INDEX(SPPR!$E:$X,MATCH($A279,SPPR!$A:$A,0),15),""),"")</f>
        <v/>
      </c>
      <c r="S279">
        <f>IFERROR(IF(ISNUMBER(INDEX(SPPR!$E:$X,MATCH($A279,SPPR!$A:$A,0),16)),$C279*INDEX(SPPR!$E:$X,MATCH($A279,SPPR!$A:$A,0),16),""),"")</f>
        <v/>
      </c>
      <c r="T279">
        <f>IFERROR(IF(ISNUMBER(INDEX(SPPR!$E:$X,MATCH($A279,SPPR!$A:$A,0),17)),$C279*INDEX(SPPR!$E:$X,MATCH($A279,SPPR!$A:$A,0),17),""),"")</f>
        <v/>
      </c>
      <c r="U279">
        <f>IFERROR(IF(ISNUMBER(INDEX(SPPR!$E:$X,MATCH($A279,SPPR!$A:$A,0),18)),$C279*INDEX(SPPR!$E:$X,MATCH($A279,SPPR!$A:$A,0),18),""),"")</f>
        <v/>
      </c>
      <c r="V279">
        <f>IFERROR(IF(ISNUMBER(INDEX(SPPR!$E:$X,MATCH($A279,SPPR!$A:$A,0),19)),$C279*INDEX(SPPR!$E:$X,MATCH($A279,SPPR!$A:$A,0),19),""),"")</f>
        <v/>
      </c>
      <c r="W279">
        <f>IFERROR(IF(ISNUMBER(INDEX(SPPR!$E:$X,MATCH($A279,SPPR!$A:$A,0),20)),$C279*INDEX(SPPR!$E:$X,MATCH($A279,SPPR!$A:$A,0),20),""),"")</f>
        <v/>
      </c>
    </row>
    <row r="280">
      <c r="A280" t="inlineStr">
        <is>
          <t>Lobotes surinamensis</t>
        </is>
      </c>
      <c r="B280">
        <f>IFERROR(INDEX(SPPR!$D:$D,MATCH($A280,SPPR!$A:$A,0)),"")</f>
        <v/>
      </c>
      <c r="C280">
        <f>IFERROR(INDEX(Catch!$E:$BV,MATCH($A280,Catch!$A:$A,0),MATCH($B$4,Catch!$E$1:$BV$1,0)),0)</f>
        <v/>
      </c>
      <c r="D280">
        <f>IFERROR(IF(ISNUMBER(INDEX(SPPR!$E:$X,MATCH($A280,SPPR!$A:$A,0),1)),$C280*INDEX(SPPR!$E:$X,MATCH($A280,SPPR!$A:$A,0),1),""),"")</f>
        <v/>
      </c>
      <c r="E280">
        <f>IFERROR(IF(ISNUMBER(INDEX(SPPR!$E:$X,MATCH($A280,SPPR!$A:$A,0),2)),$C280*INDEX(SPPR!$E:$X,MATCH($A280,SPPR!$A:$A,0),2),""),"")</f>
        <v/>
      </c>
      <c r="F280">
        <f>IFERROR(IF(ISNUMBER(INDEX(SPPR!$E:$X,MATCH($A280,SPPR!$A:$A,0),3)),$C280*INDEX(SPPR!$E:$X,MATCH($A280,SPPR!$A:$A,0),3),""),"")</f>
        <v/>
      </c>
      <c r="G280">
        <f>IFERROR(IF(ISNUMBER(INDEX(SPPR!$E:$X,MATCH($A280,SPPR!$A:$A,0),4)),$C280*INDEX(SPPR!$E:$X,MATCH($A280,SPPR!$A:$A,0),4),""),"")</f>
        <v/>
      </c>
      <c r="H280">
        <f>IFERROR(IF(ISNUMBER(INDEX(SPPR!$E:$X,MATCH($A280,SPPR!$A:$A,0),5)),$C280*INDEX(SPPR!$E:$X,MATCH($A280,SPPR!$A:$A,0),5),""),"")</f>
        <v/>
      </c>
      <c r="I280">
        <f>IFERROR(IF(ISNUMBER(INDEX(SPPR!$E:$X,MATCH($A280,SPPR!$A:$A,0),6)),$C280*INDEX(SPPR!$E:$X,MATCH($A280,SPPR!$A:$A,0),6),""),"")</f>
        <v/>
      </c>
      <c r="J280">
        <f>IFERROR(IF(ISNUMBER(INDEX(SPPR!$E:$X,MATCH($A280,SPPR!$A:$A,0),7)),$C280*INDEX(SPPR!$E:$X,MATCH($A280,SPPR!$A:$A,0),7),""),"")</f>
        <v/>
      </c>
      <c r="K280">
        <f>IFERROR(IF(ISNUMBER(INDEX(SPPR!$E:$X,MATCH($A280,SPPR!$A:$A,0),8)),$C280*INDEX(SPPR!$E:$X,MATCH($A280,SPPR!$A:$A,0),8),""),"")</f>
        <v/>
      </c>
      <c r="L280">
        <f>IFERROR(IF(ISNUMBER(INDEX(SPPR!$E:$X,MATCH($A280,SPPR!$A:$A,0),9)),$C280*INDEX(SPPR!$E:$X,MATCH($A280,SPPR!$A:$A,0),9),""),"")</f>
        <v/>
      </c>
      <c r="M280">
        <f>IFERROR(IF(ISNUMBER(INDEX(SPPR!$E:$X,MATCH($A280,SPPR!$A:$A,0),10)),$C280*INDEX(SPPR!$E:$X,MATCH($A280,SPPR!$A:$A,0),10),""),"")</f>
        <v/>
      </c>
      <c r="N280">
        <f>IFERROR(IF(ISNUMBER(INDEX(SPPR!$E:$X,MATCH($A280,SPPR!$A:$A,0),11)),$C280*INDEX(SPPR!$E:$X,MATCH($A280,SPPR!$A:$A,0),11),""),"")</f>
        <v/>
      </c>
      <c r="O280">
        <f>IFERROR(IF(ISNUMBER(INDEX(SPPR!$E:$X,MATCH($A280,SPPR!$A:$A,0),12)),$C280*INDEX(SPPR!$E:$X,MATCH($A280,SPPR!$A:$A,0),12),""),"")</f>
        <v/>
      </c>
      <c r="P280">
        <f>IFERROR(IF(ISNUMBER(INDEX(SPPR!$E:$X,MATCH($A280,SPPR!$A:$A,0),13)),$C280*INDEX(SPPR!$E:$X,MATCH($A280,SPPR!$A:$A,0),13),""),"")</f>
        <v/>
      </c>
      <c r="Q280">
        <f>IFERROR(IF(ISNUMBER(INDEX(SPPR!$E:$X,MATCH($A280,SPPR!$A:$A,0),14)),$C280*INDEX(SPPR!$E:$X,MATCH($A280,SPPR!$A:$A,0),14),""),"")</f>
        <v/>
      </c>
      <c r="R280">
        <f>IFERROR(IF(ISNUMBER(INDEX(SPPR!$E:$X,MATCH($A280,SPPR!$A:$A,0),15)),$C280*INDEX(SPPR!$E:$X,MATCH($A280,SPPR!$A:$A,0),15),""),"")</f>
        <v/>
      </c>
      <c r="S280">
        <f>IFERROR(IF(ISNUMBER(INDEX(SPPR!$E:$X,MATCH($A280,SPPR!$A:$A,0),16)),$C280*INDEX(SPPR!$E:$X,MATCH($A280,SPPR!$A:$A,0),16),""),"")</f>
        <v/>
      </c>
      <c r="T280">
        <f>IFERROR(IF(ISNUMBER(INDEX(SPPR!$E:$X,MATCH($A280,SPPR!$A:$A,0),17)),$C280*INDEX(SPPR!$E:$X,MATCH($A280,SPPR!$A:$A,0),17),""),"")</f>
        <v/>
      </c>
      <c r="U280">
        <f>IFERROR(IF(ISNUMBER(INDEX(SPPR!$E:$X,MATCH($A280,SPPR!$A:$A,0),18)),$C280*INDEX(SPPR!$E:$X,MATCH($A280,SPPR!$A:$A,0),18),""),"")</f>
        <v/>
      </c>
      <c r="V280">
        <f>IFERROR(IF(ISNUMBER(INDEX(SPPR!$E:$X,MATCH($A280,SPPR!$A:$A,0),19)),$C280*INDEX(SPPR!$E:$X,MATCH($A280,SPPR!$A:$A,0),19),""),"")</f>
        <v/>
      </c>
      <c r="W280">
        <f>IFERROR(IF(ISNUMBER(INDEX(SPPR!$E:$X,MATCH($A280,SPPR!$A:$A,0),20)),$C280*INDEX(SPPR!$E:$X,MATCH($A280,SPPR!$A:$A,0),20),""),"")</f>
        <v/>
      </c>
    </row>
    <row r="281">
      <c r="A281" t="inlineStr">
        <is>
          <t>Sepioteuthis lessoniana</t>
        </is>
      </c>
      <c r="B281">
        <f>IFERROR(INDEX(SPPR!$D:$D,MATCH($A281,SPPR!$A:$A,0)),"")</f>
        <v/>
      </c>
      <c r="C281">
        <f>IFERROR(INDEX(Catch!$E:$BV,MATCH($A281,Catch!$A:$A,0),MATCH($B$4,Catch!$E$1:$BV$1,0)),0)</f>
        <v/>
      </c>
      <c r="D281">
        <f>IFERROR(IF(ISNUMBER(INDEX(SPPR!$E:$X,MATCH($A281,SPPR!$A:$A,0),1)),$C281*INDEX(SPPR!$E:$X,MATCH($A281,SPPR!$A:$A,0),1),""),"")</f>
        <v/>
      </c>
      <c r="E281">
        <f>IFERROR(IF(ISNUMBER(INDEX(SPPR!$E:$X,MATCH($A281,SPPR!$A:$A,0),2)),$C281*INDEX(SPPR!$E:$X,MATCH($A281,SPPR!$A:$A,0),2),""),"")</f>
        <v/>
      </c>
      <c r="F281">
        <f>IFERROR(IF(ISNUMBER(INDEX(SPPR!$E:$X,MATCH($A281,SPPR!$A:$A,0),3)),$C281*INDEX(SPPR!$E:$X,MATCH($A281,SPPR!$A:$A,0),3),""),"")</f>
        <v/>
      </c>
      <c r="G281">
        <f>IFERROR(IF(ISNUMBER(INDEX(SPPR!$E:$X,MATCH($A281,SPPR!$A:$A,0),4)),$C281*INDEX(SPPR!$E:$X,MATCH($A281,SPPR!$A:$A,0),4),""),"")</f>
        <v/>
      </c>
      <c r="H281">
        <f>IFERROR(IF(ISNUMBER(INDEX(SPPR!$E:$X,MATCH($A281,SPPR!$A:$A,0),5)),$C281*INDEX(SPPR!$E:$X,MATCH($A281,SPPR!$A:$A,0),5),""),"")</f>
        <v/>
      </c>
      <c r="I281">
        <f>IFERROR(IF(ISNUMBER(INDEX(SPPR!$E:$X,MATCH($A281,SPPR!$A:$A,0),6)),$C281*INDEX(SPPR!$E:$X,MATCH($A281,SPPR!$A:$A,0),6),""),"")</f>
        <v/>
      </c>
      <c r="J281">
        <f>IFERROR(IF(ISNUMBER(INDEX(SPPR!$E:$X,MATCH($A281,SPPR!$A:$A,0),7)),$C281*INDEX(SPPR!$E:$X,MATCH($A281,SPPR!$A:$A,0),7),""),"")</f>
        <v/>
      </c>
      <c r="K281">
        <f>IFERROR(IF(ISNUMBER(INDEX(SPPR!$E:$X,MATCH($A281,SPPR!$A:$A,0),8)),$C281*INDEX(SPPR!$E:$X,MATCH($A281,SPPR!$A:$A,0),8),""),"")</f>
        <v/>
      </c>
      <c r="L281">
        <f>IFERROR(IF(ISNUMBER(INDEX(SPPR!$E:$X,MATCH($A281,SPPR!$A:$A,0),9)),$C281*INDEX(SPPR!$E:$X,MATCH($A281,SPPR!$A:$A,0),9),""),"")</f>
        <v/>
      </c>
      <c r="M281">
        <f>IFERROR(IF(ISNUMBER(INDEX(SPPR!$E:$X,MATCH($A281,SPPR!$A:$A,0),10)),$C281*INDEX(SPPR!$E:$X,MATCH($A281,SPPR!$A:$A,0),10),""),"")</f>
        <v/>
      </c>
      <c r="N281">
        <f>IFERROR(IF(ISNUMBER(INDEX(SPPR!$E:$X,MATCH($A281,SPPR!$A:$A,0),11)),$C281*INDEX(SPPR!$E:$X,MATCH($A281,SPPR!$A:$A,0),11),""),"")</f>
        <v/>
      </c>
      <c r="O281">
        <f>IFERROR(IF(ISNUMBER(INDEX(SPPR!$E:$X,MATCH($A281,SPPR!$A:$A,0),12)),$C281*INDEX(SPPR!$E:$X,MATCH($A281,SPPR!$A:$A,0),12),""),"")</f>
        <v/>
      </c>
      <c r="P281">
        <f>IFERROR(IF(ISNUMBER(INDEX(SPPR!$E:$X,MATCH($A281,SPPR!$A:$A,0),13)),$C281*INDEX(SPPR!$E:$X,MATCH($A281,SPPR!$A:$A,0),13),""),"")</f>
        <v/>
      </c>
      <c r="Q281">
        <f>IFERROR(IF(ISNUMBER(INDEX(SPPR!$E:$X,MATCH($A281,SPPR!$A:$A,0),14)),$C281*INDEX(SPPR!$E:$X,MATCH($A281,SPPR!$A:$A,0),14),""),"")</f>
        <v/>
      </c>
      <c r="R281">
        <f>IFERROR(IF(ISNUMBER(INDEX(SPPR!$E:$X,MATCH($A281,SPPR!$A:$A,0),15)),$C281*INDEX(SPPR!$E:$X,MATCH($A281,SPPR!$A:$A,0),15),""),"")</f>
        <v/>
      </c>
      <c r="S281">
        <f>IFERROR(IF(ISNUMBER(INDEX(SPPR!$E:$X,MATCH($A281,SPPR!$A:$A,0),16)),$C281*INDEX(SPPR!$E:$X,MATCH($A281,SPPR!$A:$A,0),16),""),"")</f>
        <v/>
      </c>
      <c r="T281">
        <f>IFERROR(IF(ISNUMBER(INDEX(SPPR!$E:$X,MATCH($A281,SPPR!$A:$A,0),17)),$C281*INDEX(SPPR!$E:$X,MATCH($A281,SPPR!$A:$A,0),17),""),"")</f>
        <v/>
      </c>
      <c r="U281">
        <f>IFERROR(IF(ISNUMBER(INDEX(SPPR!$E:$X,MATCH($A281,SPPR!$A:$A,0),18)),$C281*INDEX(SPPR!$E:$X,MATCH($A281,SPPR!$A:$A,0),18),""),"")</f>
        <v/>
      </c>
      <c r="V281">
        <f>IFERROR(IF(ISNUMBER(INDEX(SPPR!$E:$X,MATCH($A281,SPPR!$A:$A,0),19)),$C281*INDEX(SPPR!$E:$X,MATCH($A281,SPPR!$A:$A,0),19),""),"")</f>
        <v/>
      </c>
      <c r="W281">
        <f>IFERROR(IF(ISNUMBER(INDEX(SPPR!$E:$X,MATCH($A281,SPPR!$A:$A,0),20)),$C281*INDEX(SPPR!$E:$X,MATCH($A281,SPPR!$A:$A,0),20),""),"")</f>
        <v/>
      </c>
    </row>
    <row r="282">
      <c r="A282" t="inlineStr">
        <is>
          <t>Eleutheronema tetradactylum</t>
        </is>
      </c>
      <c r="B282">
        <f>IFERROR(INDEX(SPPR!$D:$D,MATCH($A282,SPPR!$A:$A,0)),"")</f>
        <v/>
      </c>
      <c r="C282">
        <f>IFERROR(INDEX(Catch!$E:$BV,MATCH($A282,Catch!$A:$A,0),MATCH($B$4,Catch!$E$1:$BV$1,0)),0)</f>
        <v/>
      </c>
      <c r="D282">
        <f>IFERROR(IF(ISNUMBER(INDEX(SPPR!$E:$X,MATCH($A282,SPPR!$A:$A,0),1)),$C282*INDEX(SPPR!$E:$X,MATCH($A282,SPPR!$A:$A,0),1),""),"")</f>
        <v/>
      </c>
      <c r="E282">
        <f>IFERROR(IF(ISNUMBER(INDEX(SPPR!$E:$X,MATCH($A282,SPPR!$A:$A,0),2)),$C282*INDEX(SPPR!$E:$X,MATCH($A282,SPPR!$A:$A,0),2),""),"")</f>
        <v/>
      </c>
      <c r="F282">
        <f>IFERROR(IF(ISNUMBER(INDEX(SPPR!$E:$X,MATCH($A282,SPPR!$A:$A,0),3)),$C282*INDEX(SPPR!$E:$X,MATCH($A282,SPPR!$A:$A,0),3),""),"")</f>
        <v/>
      </c>
      <c r="G282">
        <f>IFERROR(IF(ISNUMBER(INDEX(SPPR!$E:$X,MATCH($A282,SPPR!$A:$A,0),4)),$C282*INDEX(SPPR!$E:$X,MATCH($A282,SPPR!$A:$A,0),4),""),"")</f>
        <v/>
      </c>
      <c r="H282">
        <f>IFERROR(IF(ISNUMBER(INDEX(SPPR!$E:$X,MATCH($A282,SPPR!$A:$A,0),5)),$C282*INDEX(SPPR!$E:$X,MATCH($A282,SPPR!$A:$A,0),5),""),"")</f>
        <v/>
      </c>
      <c r="I282">
        <f>IFERROR(IF(ISNUMBER(INDEX(SPPR!$E:$X,MATCH($A282,SPPR!$A:$A,0),6)),$C282*INDEX(SPPR!$E:$X,MATCH($A282,SPPR!$A:$A,0),6),""),"")</f>
        <v/>
      </c>
      <c r="J282">
        <f>IFERROR(IF(ISNUMBER(INDEX(SPPR!$E:$X,MATCH($A282,SPPR!$A:$A,0),7)),$C282*INDEX(SPPR!$E:$X,MATCH($A282,SPPR!$A:$A,0),7),""),"")</f>
        <v/>
      </c>
      <c r="K282">
        <f>IFERROR(IF(ISNUMBER(INDEX(SPPR!$E:$X,MATCH($A282,SPPR!$A:$A,0),8)),$C282*INDEX(SPPR!$E:$X,MATCH($A282,SPPR!$A:$A,0),8),""),"")</f>
        <v/>
      </c>
      <c r="L282">
        <f>IFERROR(IF(ISNUMBER(INDEX(SPPR!$E:$X,MATCH($A282,SPPR!$A:$A,0),9)),$C282*INDEX(SPPR!$E:$X,MATCH($A282,SPPR!$A:$A,0),9),""),"")</f>
        <v/>
      </c>
      <c r="M282">
        <f>IFERROR(IF(ISNUMBER(INDEX(SPPR!$E:$X,MATCH($A282,SPPR!$A:$A,0),10)),$C282*INDEX(SPPR!$E:$X,MATCH($A282,SPPR!$A:$A,0),10),""),"")</f>
        <v/>
      </c>
      <c r="N282">
        <f>IFERROR(IF(ISNUMBER(INDEX(SPPR!$E:$X,MATCH($A282,SPPR!$A:$A,0),11)),$C282*INDEX(SPPR!$E:$X,MATCH($A282,SPPR!$A:$A,0),11),""),"")</f>
        <v/>
      </c>
      <c r="O282">
        <f>IFERROR(IF(ISNUMBER(INDEX(SPPR!$E:$X,MATCH($A282,SPPR!$A:$A,0),12)),$C282*INDEX(SPPR!$E:$X,MATCH($A282,SPPR!$A:$A,0),12),""),"")</f>
        <v/>
      </c>
      <c r="P282">
        <f>IFERROR(IF(ISNUMBER(INDEX(SPPR!$E:$X,MATCH($A282,SPPR!$A:$A,0),13)),$C282*INDEX(SPPR!$E:$X,MATCH($A282,SPPR!$A:$A,0),13),""),"")</f>
        <v/>
      </c>
      <c r="Q282">
        <f>IFERROR(IF(ISNUMBER(INDEX(SPPR!$E:$X,MATCH($A282,SPPR!$A:$A,0),14)),$C282*INDEX(SPPR!$E:$X,MATCH($A282,SPPR!$A:$A,0),14),""),"")</f>
        <v/>
      </c>
      <c r="R282">
        <f>IFERROR(IF(ISNUMBER(INDEX(SPPR!$E:$X,MATCH($A282,SPPR!$A:$A,0),15)),$C282*INDEX(SPPR!$E:$X,MATCH($A282,SPPR!$A:$A,0),15),""),"")</f>
        <v/>
      </c>
      <c r="S282">
        <f>IFERROR(IF(ISNUMBER(INDEX(SPPR!$E:$X,MATCH($A282,SPPR!$A:$A,0),16)),$C282*INDEX(SPPR!$E:$X,MATCH($A282,SPPR!$A:$A,0),16),""),"")</f>
        <v/>
      </c>
      <c r="T282">
        <f>IFERROR(IF(ISNUMBER(INDEX(SPPR!$E:$X,MATCH($A282,SPPR!$A:$A,0),17)),$C282*INDEX(SPPR!$E:$X,MATCH($A282,SPPR!$A:$A,0),17),""),"")</f>
        <v/>
      </c>
      <c r="U282">
        <f>IFERROR(IF(ISNUMBER(INDEX(SPPR!$E:$X,MATCH($A282,SPPR!$A:$A,0),18)),$C282*INDEX(SPPR!$E:$X,MATCH($A282,SPPR!$A:$A,0),18),""),"")</f>
        <v/>
      </c>
      <c r="V282">
        <f>IFERROR(IF(ISNUMBER(INDEX(SPPR!$E:$X,MATCH($A282,SPPR!$A:$A,0),19)),$C282*INDEX(SPPR!$E:$X,MATCH($A282,SPPR!$A:$A,0),19),""),"")</f>
        <v/>
      </c>
      <c r="W282">
        <f>IFERROR(IF(ISNUMBER(INDEX(SPPR!$E:$X,MATCH($A282,SPPR!$A:$A,0),20)),$C282*INDEX(SPPR!$E:$X,MATCH($A282,SPPR!$A:$A,0),20),""),"")</f>
        <v/>
      </c>
    </row>
    <row r="283">
      <c r="A283" t="inlineStr">
        <is>
          <t>Scatophagus</t>
        </is>
      </c>
      <c r="B283">
        <f>IFERROR(INDEX(SPPR!$D:$D,MATCH($A283,SPPR!$A:$A,0)),"")</f>
        <v/>
      </c>
      <c r="C283">
        <f>IFERROR(INDEX(Catch!$E:$BV,MATCH($A283,Catch!$A:$A,0),MATCH($B$4,Catch!$E$1:$BV$1,0)),0)</f>
        <v/>
      </c>
      <c r="D283">
        <f>IFERROR(IF(ISNUMBER(INDEX(SPPR!$E:$X,MATCH($A283,SPPR!$A:$A,0),1)),$C283*INDEX(SPPR!$E:$X,MATCH($A283,SPPR!$A:$A,0),1),""),"")</f>
        <v/>
      </c>
      <c r="E283">
        <f>IFERROR(IF(ISNUMBER(INDEX(SPPR!$E:$X,MATCH($A283,SPPR!$A:$A,0),2)),$C283*INDEX(SPPR!$E:$X,MATCH($A283,SPPR!$A:$A,0),2),""),"")</f>
        <v/>
      </c>
      <c r="F283">
        <f>IFERROR(IF(ISNUMBER(INDEX(SPPR!$E:$X,MATCH($A283,SPPR!$A:$A,0),3)),$C283*INDEX(SPPR!$E:$X,MATCH($A283,SPPR!$A:$A,0),3),""),"")</f>
        <v/>
      </c>
      <c r="G283">
        <f>IFERROR(IF(ISNUMBER(INDEX(SPPR!$E:$X,MATCH($A283,SPPR!$A:$A,0),4)),$C283*INDEX(SPPR!$E:$X,MATCH($A283,SPPR!$A:$A,0),4),""),"")</f>
        <v/>
      </c>
      <c r="H283">
        <f>IFERROR(IF(ISNUMBER(INDEX(SPPR!$E:$X,MATCH($A283,SPPR!$A:$A,0),5)),$C283*INDEX(SPPR!$E:$X,MATCH($A283,SPPR!$A:$A,0),5),""),"")</f>
        <v/>
      </c>
      <c r="I283">
        <f>IFERROR(IF(ISNUMBER(INDEX(SPPR!$E:$X,MATCH($A283,SPPR!$A:$A,0),6)),$C283*INDEX(SPPR!$E:$X,MATCH($A283,SPPR!$A:$A,0),6),""),"")</f>
        <v/>
      </c>
      <c r="J283">
        <f>IFERROR(IF(ISNUMBER(INDEX(SPPR!$E:$X,MATCH($A283,SPPR!$A:$A,0),7)),$C283*INDEX(SPPR!$E:$X,MATCH($A283,SPPR!$A:$A,0),7),""),"")</f>
        <v/>
      </c>
      <c r="K283">
        <f>IFERROR(IF(ISNUMBER(INDEX(SPPR!$E:$X,MATCH($A283,SPPR!$A:$A,0),8)),$C283*INDEX(SPPR!$E:$X,MATCH($A283,SPPR!$A:$A,0),8),""),"")</f>
        <v/>
      </c>
      <c r="L283">
        <f>IFERROR(IF(ISNUMBER(INDEX(SPPR!$E:$X,MATCH($A283,SPPR!$A:$A,0),9)),$C283*INDEX(SPPR!$E:$X,MATCH($A283,SPPR!$A:$A,0),9),""),"")</f>
        <v/>
      </c>
      <c r="M283">
        <f>IFERROR(IF(ISNUMBER(INDEX(SPPR!$E:$X,MATCH($A283,SPPR!$A:$A,0),10)),$C283*INDEX(SPPR!$E:$X,MATCH($A283,SPPR!$A:$A,0),10),""),"")</f>
        <v/>
      </c>
      <c r="N283">
        <f>IFERROR(IF(ISNUMBER(INDEX(SPPR!$E:$X,MATCH($A283,SPPR!$A:$A,0),11)),$C283*INDEX(SPPR!$E:$X,MATCH($A283,SPPR!$A:$A,0),11),""),"")</f>
        <v/>
      </c>
      <c r="O283">
        <f>IFERROR(IF(ISNUMBER(INDEX(SPPR!$E:$X,MATCH($A283,SPPR!$A:$A,0),12)),$C283*INDEX(SPPR!$E:$X,MATCH($A283,SPPR!$A:$A,0),12),""),"")</f>
        <v/>
      </c>
      <c r="P283">
        <f>IFERROR(IF(ISNUMBER(INDEX(SPPR!$E:$X,MATCH($A283,SPPR!$A:$A,0),13)),$C283*INDEX(SPPR!$E:$X,MATCH($A283,SPPR!$A:$A,0),13),""),"")</f>
        <v/>
      </c>
      <c r="Q283">
        <f>IFERROR(IF(ISNUMBER(INDEX(SPPR!$E:$X,MATCH($A283,SPPR!$A:$A,0),14)),$C283*INDEX(SPPR!$E:$X,MATCH($A283,SPPR!$A:$A,0),14),""),"")</f>
        <v/>
      </c>
      <c r="R283">
        <f>IFERROR(IF(ISNUMBER(INDEX(SPPR!$E:$X,MATCH($A283,SPPR!$A:$A,0),15)),$C283*INDEX(SPPR!$E:$X,MATCH($A283,SPPR!$A:$A,0),15),""),"")</f>
        <v/>
      </c>
      <c r="S283">
        <f>IFERROR(IF(ISNUMBER(INDEX(SPPR!$E:$X,MATCH($A283,SPPR!$A:$A,0),16)),$C283*INDEX(SPPR!$E:$X,MATCH($A283,SPPR!$A:$A,0),16),""),"")</f>
        <v/>
      </c>
      <c r="T283">
        <f>IFERROR(IF(ISNUMBER(INDEX(SPPR!$E:$X,MATCH($A283,SPPR!$A:$A,0),17)),$C283*INDEX(SPPR!$E:$X,MATCH($A283,SPPR!$A:$A,0),17),""),"")</f>
        <v/>
      </c>
      <c r="U283">
        <f>IFERROR(IF(ISNUMBER(INDEX(SPPR!$E:$X,MATCH($A283,SPPR!$A:$A,0),18)),$C283*INDEX(SPPR!$E:$X,MATCH($A283,SPPR!$A:$A,0),18),""),"")</f>
        <v/>
      </c>
      <c r="V283">
        <f>IFERROR(IF(ISNUMBER(INDEX(SPPR!$E:$X,MATCH($A283,SPPR!$A:$A,0),19)),$C283*INDEX(SPPR!$E:$X,MATCH($A283,SPPR!$A:$A,0),19),""),"")</f>
        <v/>
      </c>
      <c r="W283">
        <f>IFERROR(IF(ISNUMBER(INDEX(SPPR!$E:$X,MATCH($A283,SPPR!$A:$A,0),20)),$C283*INDEX(SPPR!$E:$X,MATCH($A283,SPPR!$A:$A,0),20),""),"")</f>
        <v/>
      </c>
    </row>
    <row r="284">
      <c r="A284" t="inlineStr">
        <is>
          <t>Thunnus orientalis</t>
        </is>
      </c>
      <c r="B284">
        <f>IFERROR(INDEX(SPPR!$D:$D,MATCH($A284,SPPR!$A:$A,0)),"")</f>
        <v/>
      </c>
      <c r="C284">
        <f>IFERROR(INDEX(Catch!$E:$BV,MATCH($A284,Catch!$A:$A,0),MATCH($B$4,Catch!$E$1:$BV$1,0)),0)</f>
        <v/>
      </c>
      <c r="D284">
        <f>IFERROR(IF(ISNUMBER(INDEX(SPPR!$E:$X,MATCH($A284,SPPR!$A:$A,0),1)),$C284*INDEX(SPPR!$E:$X,MATCH($A284,SPPR!$A:$A,0),1),""),"")</f>
        <v/>
      </c>
      <c r="E284">
        <f>IFERROR(IF(ISNUMBER(INDEX(SPPR!$E:$X,MATCH($A284,SPPR!$A:$A,0),2)),$C284*INDEX(SPPR!$E:$X,MATCH($A284,SPPR!$A:$A,0),2),""),"")</f>
        <v/>
      </c>
      <c r="F284">
        <f>IFERROR(IF(ISNUMBER(INDEX(SPPR!$E:$X,MATCH($A284,SPPR!$A:$A,0),3)),$C284*INDEX(SPPR!$E:$X,MATCH($A284,SPPR!$A:$A,0),3),""),"")</f>
        <v/>
      </c>
      <c r="G284">
        <f>IFERROR(IF(ISNUMBER(INDEX(SPPR!$E:$X,MATCH($A284,SPPR!$A:$A,0),4)),$C284*INDEX(SPPR!$E:$X,MATCH($A284,SPPR!$A:$A,0),4),""),"")</f>
        <v/>
      </c>
      <c r="H284">
        <f>IFERROR(IF(ISNUMBER(INDEX(SPPR!$E:$X,MATCH($A284,SPPR!$A:$A,0),5)),$C284*INDEX(SPPR!$E:$X,MATCH($A284,SPPR!$A:$A,0),5),""),"")</f>
        <v/>
      </c>
      <c r="I284">
        <f>IFERROR(IF(ISNUMBER(INDEX(SPPR!$E:$X,MATCH($A284,SPPR!$A:$A,0),6)),$C284*INDEX(SPPR!$E:$X,MATCH($A284,SPPR!$A:$A,0),6),""),"")</f>
        <v/>
      </c>
      <c r="J284">
        <f>IFERROR(IF(ISNUMBER(INDEX(SPPR!$E:$X,MATCH($A284,SPPR!$A:$A,0),7)),$C284*INDEX(SPPR!$E:$X,MATCH($A284,SPPR!$A:$A,0),7),""),"")</f>
        <v/>
      </c>
      <c r="K284">
        <f>IFERROR(IF(ISNUMBER(INDEX(SPPR!$E:$X,MATCH($A284,SPPR!$A:$A,0),8)),$C284*INDEX(SPPR!$E:$X,MATCH($A284,SPPR!$A:$A,0),8),""),"")</f>
        <v/>
      </c>
      <c r="L284">
        <f>IFERROR(IF(ISNUMBER(INDEX(SPPR!$E:$X,MATCH($A284,SPPR!$A:$A,0),9)),$C284*INDEX(SPPR!$E:$X,MATCH($A284,SPPR!$A:$A,0),9),""),"")</f>
        <v/>
      </c>
      <c r="M284">
        <f>IFERROR(IF(ISNUMBER(INDEX(SPPR!$E:$X,MATCH($A284,SPPR!$A:$A,0),10)),$C284*INDEX(SPPR!$E:$X,MATCH($A284,SPPR!$A:$A,0),10),""),"")</f>
        <v/>
      </c>
      <c r="N284">
        <f>IFERROR(IF(ISNUMBER(INDEX(SPPR!$E:$X,MATCH($A284,SPPR!$A:$A,0),11)),$C284*INDEX(SPPR!$E:$X,MATCH($A284,SPPR!$A:$A,0),11),""),"")</f>
        <v/>
      </c>
      <c r="O284">
        <f>IFERROR(IF(ISNUMBER(INDEX(SPPR!$E:$X,MATCH($A284,SPPR!$A:$A,0),12)),$C284*INDEX(SPPR!$E:$X,MATCH($A284,SPPR!$A:$A,0),12),""),"")</f>
        <v/>
      </c>
      <c r="P284">
        <f>IFERROR(IF(ISNUMBER(INDEX(SPPR!$E:$X,MATCH($A284,SPPR!$A:$A,0),13)),$C284*INDEX(SPPR!$E:$X,MATCH($A284,SPPR!$A:$A,0),13),""),"")</f>
        <v/>
      </c>
      <c r="Q284">
        <f>IFERROR(IF(ISNUMBER(INDEX(SPPR!$E:$X,MATCH($A284,SPPR!$A:$A,0),14)),$C284*INDEX(SPPR!$E:$X,MATCH($A284,SPPR!$A:$A,0),14),""),"")</f>
        <v/>
      </c>
      <c r="R284">
        <f>IFERROR(IF(ISNUMBER(INDEX(SPPR!$E:$X,MATCH($A284,SPPR!$A:$A,0),15)),$C284*INDEX(SPPR!$E:$X,MATCH($A284,SPPR!$A:$A,0),15),""),"")</f>
        <v/>
      </c>
      <c r="S284">
        <f>IFERROR(IF(ISNUMBER(INDEX(SPPR!$E:$X,MATCH($A284,SPPR!$A:$A,0),16)),$C284*INDEX(SPPR!$E:$X,MATCH($A284,SPPR!$A:$A,0),16),""),"")</f>
        <v/>
      </c>
      <c r="T284">
        <f>IFERROR(IF(ISNUMBER(INDEX(SPPR!$E:$X,MATCH($A284,SPPR!$A:$A,0),17)),$C284*INDEX(SPPR!$E:$X,MATCH($A284,SPPR!$A:$A,0),17),""),"")</f>
        <v/>
      </c>
      <c r="U284">
        <f>IFERROR(IF(ISNUMBER(INDEX(SPPR!$E:$X,MATCH($A284,SPPR!$A:$A,0),18)),$C284*INDEX(SPPR!$E:$X,MATCH($A284,SPPR!$A:$A,0),18),""),"")</f>
        <v/>
      </c>
      <c r="V284">
        <f>IFERROR(IF(ISNUMBER(INDEX(SPPR!$E:$X,MATCH($A284,SPPR!$A:$A,0),19)),$C284*INDEX(SPPR!$E:$X,MATCH($A284,SPPR!$A:$A,0),19),""),"")</f>
        <v/>
      </c>
      <c r="W284">
        <f>IFERROR(IF(ISNUMBER(INDEX(SPPR!$E:$X,MATCH($A284,SPPR!$A:$A,0),20)),$C284*INDEX(SPPR!$E:$X,MATCH($A284,SPPR!$A:$A,0),20),""),"")</f>
        <v/>
      </c>
    </row>
    <row r="285">
      <c r="A285" t="inlineStr">
        <is>
          <t>Siganus canaliculatus</t>
        </is>
      </c>
      <c r="B285">
        <f>IFERROR(INDEX(SPPR!$D:$D,MATCH($A285,SPPR!$A:$A,0)),"")</f>
        <v/>
      </c>
      <c r="C285">
        <f>IFERROR(INDEX(Catch!$E:$BV,MATCH($A285,Catch!$A:$A,0),MATCH($B$4,Catch!$E$1:$BV$1,0)),0)</f>
        <v/>
      </c>
      <c r="D285">
        <f>IFERROR(IF(ISNUMBER(INDEX(SPPR!$E:$X,MATCH($A285,SPPR!$A:$A,0),1)),$C285*INDEX(SPPR!$E:$X,MATCH($A285,SPPR!$A:$A,0),1),""),"")</f>
        <v/>
      </c>
      <c r="E285">
        <f>IFERROR(IF(ISNUMBER(INDEX(SPPR!$E:$X,MATCH($A285,SPPR!$A:$A,0),2)),$C285*INDEX(SPPR!$E:$X,MATCH($A285,SPPR!$A:$A,0),2),""),"")</f>
        <v/>
      </c>
      <c r="F285">
        <f>IFERROR(IF(ISNUMBER(INDEX(SPPR!$E:$X,MATCH($A285,SPPR!$A:$A,0),3)),$C285*INDEX(SPPR!$E:$X,MATCH($A285,SPPR!$A:$A,0),3),""),"")</f>
        <v/>
      </c>
      <c r="G285">
        <f>IFERROR(IF(ISNUMBER(INDEX(SPPR!$E:$X,MATCH($A285,SPPR!$A:$A,0),4)),$C285*INDEX(SPPR!$E:$X,MATCH($A285,SPPR!$A:$A,0),4),""),"")</f>
        <v/>
      </c>
      <c r="H285">
        <f>IFERROR(IF(ISNUMBER(INDEX(SPPR!$E:$X,MATCH($A285,SPPR!$A:$A,0),5)),$C285*INDEX(SPPR!$E:$X,MATCH($A285,SPPR!$A:$A,0),5),""),"")</f>
        <v/>
      </c>
      <c r="I285">
        <f>IFERROR(IF(ISNUMBER(INDEX(SPPR!$E:$X,MATCH($A285,SPPR!$A:$A,0),6)),$C285*INDEX(SPPR!$E:$X,MATCH($A285,SPPR!$A:$A,0),6),""),"")</f>
        <v/>
      </c>
      <c r="J285">
        <f>IFERROR(IF(ISNUMBER(INDEX(SPPR!$E:$X,MATCH($A285,SPPR!$A:$A,0),7)),$C285*INDEX(SPPR!$E:$X,MATCH($A285,SPPR!$A:$A,0),7),""),"")</f>
        <v/>
      </c>
      <c r="K285">
        <f>IFERROR(IF(ISNUMBER(INDEX(SPPR!$E:$X,MATCH($A285,SPPR!$A:$A,0),8)),$C285*INDEX(SPPR!$E:$X,MATCH($A285,SPPR!$A:$A,0),8),""),"")</f>
        <v/>
      </c>
      <c r="L285">
        <f>IFERROR(IF(ISNUMBER(INDEX(SPPR!$E:$X,MATCH($A285,SPPR!$A:$A,0),9)),$C285*INDEX(SPPR!$E:$X,MATCH($A285,SPPR!$A:$A,0),9),""),"")</f>
        <v/>
      </c>
      <c r="M285">
        <f>IFERROR(IF(ISNUMBER(INDEX(SPPR!$E:$X,MATCH($A285,SPPR!$A:$A,0),10)),$C285*INDEX(SPPR!$E:$X,MATCH($A285,SPPR!$A:$A,0),10),""),"")</f>
        <v/>
      </c>
      <c r="N285">
        <f>IFERROR(IF(ISNUMBER(INDEX(SPPR!$E:$X,MATCH($A285,SPPR!$A:$A,0),11)),$C285*INDEX(SPPR!$E:$X,MATCH($A285,SPPR!$A:$A,0),11),""),"")</f>
        <v/>
      </c>
      <c r="O285">
        <f>IFERROR(IF(ISNUMBER(INDEX(SPPR!$E:$X,MATCH($A285,SPPR!$A:$A,0),12)),$C285*INDEX(SPPR!$E:$X,MATCH($A285,SPPR!$A:$A,0),12),""),"")</f>
        <v/>
      </c>
      <c r="P285">
        <f>IFERROR(IF(ISNUMBER(INDEX(SPPR!$E:$X,MATCH($A285,SPPR!$A:$A,0),13)),$C285*INDEX(SPPR!$E:$X,MATCH($A285,SPPR!$A:$A,0),13),""),"")</f>
        <v/>
      </c>
      <c r="Q285">
        <f>IFERROR(IF(ISNUMBER(INDEX(SPPR!$E:$X,MATCH($A285,SPPR!$A:$A,0),14)),$C285*INDEX(SPPR!$E:$X,MATCH($A285,SPPR!$A:$A,0),14),""),"")</f>
        <v/>
      </c>
      <c r="R285">
        <f>IFERROR(IF(ISNUMBER(INDEX(SPPR!$E:$X,MATCH($A285,SPPR!$A:$A,0),15)),$C285*INDEX(SPPR!$E:$X,MATCH($A285,SPPR!$A:$A,0),15),""),"")</f>
        <v/>
      </c>
      <c r="S285">
        <f>IFERROR(IF(ISNUMBER(INDEX(SPPR!$E:$X,MATCH($A285,SPPR!$A:$A,0),16)),$C285*INDEX(SPPR!$E:$X,MATCH($A285,SPPR!$A:$A,0),16),""),"")</f>
        <v/>
      </c>
      <c r="T285">
        <f>IFERROR(IF(ISNUMBER(INDEX(SPPR!$E:$X,MATCH($A285,SPPR!$A:$A,0),17)),$C285*INDEX(SPPR!$E:$X,MATCH($A285,SPPR!$A:$A,0),17),""),"")</f>
        <v/>
      </c>
      <c r="U285">
        <f>IFERROR(IF(ISNUMBER(INDEX(SPPR!$E:$X,MATCH($A285,SPPR!$A:$A,0),18)),$C285*INDEX(SPPR!$E:$X,MATCH($A285,SPPR!$A:$A,0),18),""),"")</f>
        <v/>
      </c>
      <c r="V285">
        <f>IFERROR(IF(ISNUMBER(INDEX(SPPR!$E:$X,MATCH($A285,SPPR!$A:$A,0),19)),$C285*INDEX(SPPR!$E:$X,MATCH($A285,SPPR!$A:$A,0),19),""),"")</f>
        <v/>
      </c>
      <c r="W285">
        <f>IFERROR(IF(ISNUMBER(INDEX(SPPR!$E:$X,MATCH($A285,SPPR!$A:$A,0),20)),$C285*INDEX(SPPR!$E:$X,MATCH($A285,SPPR!$A:$A,0),20),""),"")</f>
        <v/>
      </c>
    </row>
    <row r="286">
      <c r="A286" t="inlineStr">
        <is>
          <t>Polydactylus sexfilis</t>
        </is>
      </c>
      <c r="B286">
        <f>IFERROR(INDEX(SPPR!$D:$D,MATCH($A286,SPPR!$A:$A,0)),"")</f>
        <v/>
      </c>
      <c r="C286">
        <f>IFERROR(INDEX(Catch!$E:$BV,MATCH($A286,Catch!$A:$A,0),MATCH($B$4,Catch!$E$1:$BV$1,0)),0)</f>
        <v/>
      </c>
      <c r="D286">
        <f>IFERROR(IF(ISNUMBER(INDEX(SPPR!$E:$X,MATCH($A286,SPPR!$A:$A,0),1)),$C286*INDEX(SPPR!$E:$X,MATCH($A286,SPPR!$A:$A,0),1),""),"")</f>
        <v/>
      </c>
      <c r="E286">
        <f>IFERROR(IF(ISNUMBER(INDEX(SPPR!$E:$X,MATCH($A286,SPPR!$A:$A,0),2)),$C286*INDEX(SPPR!$E:$X,MATCH($A286,SPPR!$A:$A,0),2),""),"")</f>
        <v/>
      </c>
      <c r="F286">
        <f>IFERROR(IF(ISNUMBER(INDEX(SPPR!$E:$X,MATCH($A286,SPPR!$A:$A,0),3)),$C286*INDEX(SPPR!$E:$X,MATCH($A286,SPPR!$A:$A,0),3),""),"")</f>
        <v/>
      </c>
      <c r="G286">
        <f>IFERROR(IF(ISNUMBER(INDEX(SPPR!$E:$X,MATCH($A286,SPPR!$A:$A,0),4)),$C286*INDEX(SPPR!$E:$X,MATCH($A286,SPPR!$A:$A,0),4),""),"")</f>
        <v/>
      </c>
      <c r="H286">
        <f>IFERROR(IF(ISNUMBER(INDEX(SPPR!$E:$X,MATCH($A286,SPPR!$A:$A,0),5)),$C286*INDEX(SPPR!$E:$X,MATCH($A286,SPPR!$A:$A,0),5),""),"")</f>
        <v/>
      </c>
      <c r="I286">
        <f>IFERROR(IF(ISNUMBER(INDEX(SPPR!$E:$X,MATCH($A286,SPPR!$A:$A,0),6)),$C286*INDEX(SPPR!$E:$X,MATCH($A286,SPPR!$A:$A,0),6),""),"")</f>
        <v/>
      </c>
      <c r="J286">
        <f>IFERROR(IF(ISNUMBER(INDEX(SPPR!$E:$X,MATCH($A286,SPPR!$A:$A,0),7)),$C286*INDEX(SPPR!$E:$X,MATCH($A286,SPPR!$A:$A,0),7),""),"")</f>
        <v/>
      </c>
      <c r="K286">
        <f>IFERROR(IF(ISNUMBER(INDEX(SPPR!$E:$X,MATCH($A286,SPPR!$A:$A,0),8)),$C286*INDEX(SPPR!$E:$X,MATCH($A286,SPPR!$A:$A,0),8),""),"")</f>
        <v/>
      </c>
      <c r="L286">
        <f>IFERROR(IF(ISNUMBER(INDEX(SPPR!$E:$X,MATCH($A286,SPPR!$A:$A,0),9)),$C286*INDEX(SPPR!$E:$X,MATCH($A286,SPPR!$A:$A,0),9),""),"")</f>
        <v/>
      </c>
      <c r="M286">
        <f>IFERROR(IF(ISNUMBER(INDEX(SPPR!$E:$X,MATCH($A286,SPPR!$A:$A,0),10)),$C286*INDEX(SPPR!$E:$X,MATCH($A286,SPPR!$A:$A,0),10),""),"")</f>
        <v/>
      </c>
      <c r="N286">
        <f>IFERROR(IF(ISNUMBER(INDEX(SPPR!$E:$X,MATCH($A286,SPPR!$A:$A,0),11)),$C286*INDEX(SPPR!$E:$X,MATCH($A286,SPPR!$A:$A,0),11),""),"")</f>
        <v/>
      </c>
      <c r="O286">
        <f>IFERROR(IF(ISNUMBER(INDEX(SPPR!$E:$X,MATCH($A286,SPPR!$A:$A,0),12)),$C286*INDEX(SPPR!$E:$X,MATCH($A286,SPPR!$A:$A,0),12),""),"")</f>
        <v/>
      </c>
      <c r="P286">
        <f>IFERROR(IF(ISNUMBER(INDEX(SPPR!$E:$X,MATCH($A286,SPPR!$A:$A,0),13)),$C286*INDEX(SPPR!$E:$X,MATCH($A286,SPPR!$A:$A,0),13),""),"")</f>
        <v/>
      </c>
      <c r="Q286">
        <f>IFERROR(IF(ISNUMBER(INDEX(SPPR!$E:$X,MATCH($A286,SPPR!$A:$A,0),14)),$C286*INDEX(SPPR!$E:$X,MATCH($A286,SPPR!$A:$A,0),14),""),"")</f>
        <v/>
      </c>
      <c r="R286">
        <f>IFERROR(IF(ISNUMBER(INDEX(SPPR!$E:$X,MATCH($A286,SPPR!$A:$A,0),15)),$C286*INDEX(SPPR!$E:$X,MATCH($A286,SPPR!$A:$A,0),15),""),"")</f>
        <v/>
      </c>
      <c r="S286">
        <f>IFERROR(IF(ISNUMBER(INDEX(SPPR!$E:$X,MATCH($A286,SPPR!$A:$A,0),16)),$C286*INDEX(SPPR!$E:$X,MATCH($A286,SPPR!$A:$A,0),16),""),"")</f>
        <v/>
      </c>
      <c r="T286">
        <f>IFERROR(IF(ISNUMBER(INDEX(SPPR!$E:$X,MATCH($A286,SPPR!$A:$A,0),17)),$C286*INDEX(SPPR!$E:$X,MATCH($A286,SPPR!$A:$A,0),17),""),"")</f>
        <v/>
      </c>
      <c r="U286">
        <f>IFERROR(IF(ISNUMBER(INDEX(SPPR!$E:$X,MATCH($A286,SPPR!$A:$A,0),18)),$C286*INDEX(SPPR!$E:$X,MATCH($A286,SPPR!$A:$A,0),18),""),"")</f>
        <v/>
      </c>
      <c r="V286">
        <f>IFERROR(IF(ISNUMBER(INDEX(SPPR!$E:$X,MATCH($A286,SPPR!$A:$A,0),19)),$C286*INDEX(SPPR!$E:$X,MATCH($A286,SPPR!$A:$A,0),19),""),"")</f>
        <v/>
      </c>
      <c r="W286">
        <f>IFERROR(IF(ISNUMBER(INDEX(SPPR!$E:$X,MATCH($A286,SPPR!$A:$A,0),20)),$C286*INDEX(SPPR!$E:$X,MATCH($A286,SPPR!$A:$A,0),20),""),"")</f>
        <v/>
      </c>
    </row>
    <row r="287">
      <c r="A287" t="inlineStr">
        <is>
          <t>Hilsa kelee</t>
        </is>
      </c>
      <c r="B287">
        <f>IFERROR(INDEX(SPPR!$D:$D,MATCH($A287,SPPR!$A:$A,0)),"")</f>
        <v/>
      </c>
      <c r="C287">
        <f>IFERROR(INDEX(Catch!$E:$BV,MATCH($A287,Catch!$A:$A,0),MATCH($B$4,Catch!$E$1:$BV$1,0)),0)</f>
        <v/>
      </c>
      <c r="D287">
        <f>IFERROR(IF(ISNUMBER(INDEX(SPPR!$E:$X,MATCH($A287,SPPR!$A:$A,0),1)),$C287*INDEX(SPPR!$E:$X,MATCH($A287,SPPR!$A:$A,0),1),""),"")</f>
        <v/>
      </c>
      <c r="E287">
        <f>IFERROR(IF(ISNUMBER(INDEX(SPPR!$E:$X,MATCH($A287,SPPR!$A:$A,0),2)),$C287*INDEX(SPPR!$E:$X,MATCH($A287,SPPR!$A:$A,0),2),""),"")</f>
        <v/>
      </c>
      <c r="F287">
        <f>IFERROR(IF(ISNUMBER(INDEX(SPPR!$E:$X,MATCH($A287,SPPR!$A:$A,0),3)),$C287*INDEX(SPPR!$E:$X,MATCH($A287,SPPR!$A:$A,0),3),""),"")</f>
        <v/>
      </c>
      <c r="G287">
        <f>IFERROR(IF(ISNUMBER(INDEX(SPPR!$E:$X,MATCH($A287,SPPR!$A:$A,0),4)),$C287*INDEX(SPPR!$E:$X,MATCH($A287,SPPR!$A:$A,0),4),""),"")</f>
        <v/>
      </c>
      <c r="H287">
        <f>IFERROR(IF(ISNUMBER(INDEX(SPPR!$E:$X,MATCH($A287,SPPR!$A:$A,0),5)),$C287*INDEX(SPPR!$E:$X,MATCH($A287,SPPR!$A:$A,0),5),""),"")</f>
        <v/>
      </c>
      <c r="I287">
        <f>IFERROR(IF(ISNUMBER(INDEX(SPPR!$E:$X,MATCH($A287,SPPR!$A:$A,0),6)),$C287*INDEX(SPPR!$E:$X,MATCH($A287,SPPR!$A:$A,0),6),""),"")</f>
        <v/>
      </c>
      <c r="J287">
        <f>IFERROR(IF(ISNUMBER(INDEX(SPPR!$E:$X,MATCH($A287,SPPR!$A:$A,0),7)),$C287*INDEX(SPPR!$E:$X,MATCH($A287,SPPR!$A:$A,0),7),""),"")</f>
        <v/>
      </c>
      <c r="K287">
        <f>IFERROR(IF(ISNUMBER(INDEX(SPPR!$E:$X,MATCH($A287,SPPR!$A:$A,0),8)),$C287*INDEX(SPPR!$E:$X,MATCH($A287,SPPR!$A:$A,0),8),""),"")</f>
        <v/>
      </c>
      <c r="L287">
        <f>IFERROR(IF(ISNUMBER(INDEX(SPPR!$E:$X,MATCH($A287,SPPR!$A:$A,0),9)),$C287*INDEX(SPPR!$E:$X,MATCH($A287,SPPR!$A:$A,0),9),""),"")</f>
        <v/>
      </c>
      <c r="M287">
        <f>IFERROR(IF(ISNUMBER(INDEX(SPPR!$E:$X,MATCH($A287,SPPR!$A:$A,0),10)),$C287*INDEX(SPPR!$E:$X,MATCH($A287,SPPR!$A:$A,0),10),""),"")</f>
        <v/>
      </c>
      <c r="N287">
        <f>IFERROR(IF(ISNUMBER(INDEX(SPPR!$E:$X,MATCH($A287,SPPR!$A:$A,0),11)),$C287*INDEX(SPPR!$E:$X,MATCH($A287,SPPR!$A:$A,0),11),""),"")</f>
        <v/>
      </c>
      <c r="O287">
        <f>IFERROR(IF(ISNUMBER(INDEX(SPPR!$E:$X,MATCH($A287,SPPR!$A:$A,0),12)),$C287*INDEX(SPPR!$E:$X,MATCH($A287,SPPR!$A:$A,0),12),""),"")</f>
        <v/>
      </c>
      <c r="P287">
        <f>IFERROR(IF(ISNUMBER(INDEX(SPPR!$E:$X,MATCH($A287,SPPR!$A:$A,0),13)),$C287*INDEX(SPPR!$E:$X,MATCH($A287,SPPR!$A:$A,0),13),""),"")</f>
        <v/>
      </c>
      <c r="Q287">
        <f>IFERROR(IF(ISNUMBER(INDEX(SPPR!$E:$X,MATCH($A287,SPPR!$A:$A,0),14)),$C287*INDEX(SPPR!$E:$X,MATCH($A287,SPPR!$A:$A,0),14),""),"")</f>
        <v/>
      </c>
      <c r="R287">
        <f>IFERROR(IF(ISNUMBER(INDEX(SPPR!$E:$X,MATCH($A287,SPPR!$A:$A,0),15)),$C287*INDEX(SPPR!$E:$X,MATCH($A287,SPPR!$A:$A,0),15),""),"")</f>
        <v/>
      </c>
      <c r="S287">
        <f>IFERROR(IF(ISNUMBER(INDEX(SPPR!$E:$X,MATCH($A287,SPPR!$A:$A,0),16)),$C287*INDEX(SPPR!$E:$X,MATCH($A287,SPPR!$A:$A,0),16),""),"")</f>
        <v/>
      </c>
      <c r="T287">
        <f>IFERROR(IF(ISNUMBER(INDEX(SPPR!$E:$X,MATCH($A287,SPPR!$A:$A,0),17)),$C287*INDEX(SPPR!$E:$X,MATCH($A287,SPPR!$A:$A,0),17),""),"")</f>
        <v/>
      </c>
      <c r="U287">
        <f>IFERROR(IF(ISNUMBER(INDEX(SPPR!$E:$X,MATCH($A287,SPPR!$A:$A,0),18)),$C287*INDEX(SPPR!$E:$X,MATCH($A287,SPPR!$A:$A,0),18),""),"")</f>
        <v/>
      </c>
      <c r="V287">
        <f>IFERROR(IF(ISNUMBER(INDEX(SPPR!$E:$X,MATCH($A287,SPPR!$A:$A,0),19)),$C287*INDEX(SPPR!$E:$X,MATCH($A287,SPPR!$A:$A,0),19),""),"")</f>
        <v/>
      </c>
      <c r="W287">
        <f>IFERROR(IF(ISNUMBER(INDEX(SPPR!$E:$X,MATCH($A287,SPPR!$A:$A,0),20)),$C287*INDEX(SPPR!$E:$X,MATCH($A287,SPPR!$A:$A,0),20),""),"")</f>
        <v/>
      </c>
    </row>
    <row r="288">
      <c r="A288" t="inlineStr">
        <is>
          <t>Thenus orientalis</t>
        </is>
      </c>
      <c r="B288">
        <f>IFERROR(INDEX(SPPR!$D:$D,MATCH($A288,SPPR!$A:$A,0)),"")</f>
        <v/>
      </c>
      <c r="C288">
        <f>IFERROR(INDEX(Catch!$E:$BV,MATCH($A288,Catch!$A:$A,0),MATCH($B$4,Catch!$E$1:$BV$1,0)),0)</f>
        <v/>
      </c>
      <c r="D288">
        <f>IFERROR(IF(ISNUMBER(INDEX(SPPR!$E:$X,MATCH($A288,SPPR!$A:$A,0),1)),$C288*INDEX(SPPR!$E:$X,MATCH($A288,SPPR!$A:$A,0),1),""),"")</f>
        <v/>
      </c>
      <c r="E288">
        <f>IFERROR(IF(ISNUMBER(INDEX(SPPR!$E:$X,MATCH($A288,SPPR!$A:$A,0),2)),$C288*INDEX(SPPR!$E:$X,MATCH($A288,SPPR!$A:$A,0),2),""),"")</f>
        <v/>
      </c>
      <c r="F288">
        <f>IFERROR(IF(ISNUMBER(INDEX(SPPR!$E:$X,MATCH($A288,SPPR!$A:$A,0),3)),$C288*INDEX(SPPR!$E:$X,MATCH($A288,SPPR!$A:$A,0),3),""),"")</f>
        <v/>
      </c>
      <c r="G288">
        <f>IFERROR(IF(ISNUMBER(INDEX(SPPR!$E:$X,MATCH($A288,SPPR!$A:$A,0),4)),$C288*INDEX(SPPR!$E:$X,MATCH($A288,SPPR!$A:$A,0),4),""),"")</f>
        <v/>
      </c>
      <c r="H288">
        <f>IFERROR(IF(ISNUMBER(INDEX(SPPR!$E:$X,MATCH($A288,SPPR!$A:$A,0),5)),$C288*INDEX(SPPR!$E:$X,MATCH($A288,SPPR!$A:$A,0),5),""),"")</f>
        <v/>
      </c>
      <c r="I288">
        <f>IFERROR(IF(ISNUMBER(INDEX(SPPR!$E:$X,MATCH($A288,SPPR!$A:$A,0),6)),$C288*INDEX(SPPR!$E:$X,MATCH($A288,SPPR!$A:$A,0),6),""),"")</f>
        <v/>
      </c>
      <c r="J288">
        <f>IFERROR(IF(ISNUMBER(INDEX(SPPR!$E:$X,MATCH($A288,SPPR!$A:$A,0),7)),$C288*INDEX(SPPR!$E:$X,MATCH($A288,SPPR!$A:$A,0),7),""),"")</f>
        <v/>
      </c>
      <c r="K288">
        <f>IFERROR(IF(ISNUMBER(INDEX(SPPR!$E:$X,MATCH($A288,SPPR!$A:$A,0),8)),$C288*INDEX(SPPR!$E:$X,MATCH($A288,SPPR!$A:$A,0),8),""),"")</f>
        <v/>
      </c>
      <c r="L288">
        <f>IFERROR(IF(ISNUMBER(INDEX(SPPR!$E:$X,MATCH($A288,SPPR!$A:$A,0),9)),$C288*INDEX(SPPR!$E:$X,MATCH($A288,SPPR!$A:$A,0),9),""),"")</f>
        <v/>
      </c>
      <c r="M288">
        <f>IFERROR(IF(ISNUMBER(INDEX(SPPR!$E:$X,MATCH($A288,SPPR!$A:$A,0),10)),$C288*INDEX(SPPR!$E:$X,MATCH($A288,SPPR!$A:$A,0),10),""),"")</f>
        <v/>
      </c>
      <c r="N288">
        <f>IFERROR(IF(ISNUMBER(INDEX(SPPR!$E:$X,MATCH($A288,SPPR!$A:$A,0),11)),$C288*INDEX(SPPR!$E:$X,MATCH($A288,SPPR!$A:$A,0),11),""),"")</f>
        <v/>
      </c>
      <c r="O288">
        <f>IFERROR(IF(ISNUMBER(INDEX(SPPR!$E:$X,MATCH($A288,SPPR!$A:$A,0),12)),$C288*INDEX(SPPR!$E:$X,MATCH($A288,SPPR!$A:$A,0),12),""),"")</f>
        <v/>
      </c>
      <c r="P288">
        <f>IFERROR(IF(ISNUMBER(INDEX(SPPR!$E:$X,MATCH($A288,SPPR!$A:$A,0),13)),$C288*INDEX(SPPR!$E:$X,MATCH($A288,SPPR!$A:$A,0),13),""),"")</f>
        <v/>
      </c>
      <c r="Q288">
        <f>IFERROR(IF(ISNUMBER(INDEX(SPPR!$E:$X,MATCH($A288,SPPR!$A:$A,0),14)),$C288*INDEX(SPPR!$E:$X,MATCH($A288,SPPR!$A:$A,0),14),""),"")</f>
        <v/>
      </c>
      <c r="R288">
        <f>IFERROR(IF(ISNUMBER(INDEX(SPPR!$E:$X,MATCH($A288,SPPR!$A:$A,0),15)),$C288*INDEX(SPPR!$E:$X,MATCH($A288,SPPR!$A:$A,0),15),""),"")</f>
        <v/>
      </c>
      <c r="S288">
        <f>IFERROR(IF(ISNUMBER(INDEX(SPPR!$E:$X,MATCH($A288,SPPR!$A:$A,0),16)),$C288*INDEX(SPPR!$E:$X,MATCH($A288,SPPR!$A:$A,0),16),""),"")</f>
        <v/>
      </c>
      <c r="T288">
        <f>IFERROR(IF(ISNUMBER(INDEX(SPPR!$E:$X,MATCH($A288,SPPR!$A:$A,0),17)),$C288*INDEX(SPPR!$E:$X,MATCH($A288,SPPR!$A:$A,0),17),""),"")</f>
        <v/>
      </c>
      <c r="U288">
        <f>IFERROR(IF(ISNUMBER(INDEX(SPPR!$E:$X,MATCH($A288,SPPR!$A:$A,0),18)),$C288*INDEX(SPPR!$E:$X,MATCH($A288,SPPR!$A:$A,0),18),""),"")</f>
        <v/>
      </c>
      <c r="V288">
        <f>IFERROR(IF(ISNUMBER(INDEX(SPPR!$E:$X,MATCH($A288,SPPR!$A:$A,0),19)),$C288*INDEX(SPPR!$E:$X,MATCH($A288,SPPR!$A:$A,0),19),""),"")</f>
        <v/>
      </c>
      <c r="W288">
        <f>IFERROR(IF(ISNUMBER(INDEX(SPPR!$E:$X,MATCH($A288,SPPR!$A:$A,0),20)),$C288*INDEX(SPPR!$E:$X,MATCH($A288,SPPR!$A:$A,0),20),""),"")</f>
        <v/>
      </c>
    </row>
    <row r="289">
      <c r="A289" t="inlineStr">
        <is>
          <t>Acetes sibogae</t>
        </is>
      </c>
      <c r="B289">
        <f>IFERROR(INDEX(SPPR!$D:$D,MATCH($A289,SPPR!$A:$A,0)),"")</f>
        <v/>
      </c>
      <c r="C289">
        <f>IFERROR(INDEX(Catch!$E:$BV,MATCH($A289,Catch!$A:$A,0),MATCH($B$4,Catch!$E$1:$BV$1,0)),0)</f>
        <v/>
      </c>
      <c r="D289">
        <f>IFERROR(IF(ISNUMBER(INDEX(SPPR!$E:$X,MATCH($A289,SPPR!$A:$A,0),1)),$C289*INDEX(SPPR!$E:$X,MATCH($A289,SPPR!$A:$A,0),1),""),"")</f>
        <v/>
      </c>
      <c r="E289">
        <f>IFERROR(IF(ISNUMBER(INDEX(SPPR!$E:$X,MATCH($A289,SPPR!$A:$A,0),2)),$C289*INDEX(SPPR!$E:$X,MATCH($A289,SPPR!$A:$A,0),2),""),"")</f>
        <v/>
      </c>
      <c r="F289">
        <f>IFERROR(IF(ISNUMBER(INDEX(SPPR!$E:$X,MATCH($A289,SPPR!$A:$A,0),3)),$C289*INDEX(SPPR!$E:$X,MATCH($A289,SPPR!$A:$A,0),3),""),"")</f>
        <v/>
      </c>
      <c r="G289">
        <f>IFERROR(IF(ISNUMBER(INDEX(SPPR!$E:$X,MATCH($A289,SPPR!$A:$A,0),4)),$C289*INDEX(SPPR!$E:$X,MATCH($A289,SPPR!$A:$A,0),4),""),"")</f>
        <v/>
      </c>
      <c r="H289">
        <f>IFERROR(IF(ISNUMBER(INDEX(SPPR!$E:$X,MATCH($A289,SPPR!$A:$A,0),5)),$C289*INDEX(SPPR!$E:$X,MATCH($A289,SPPR!$A:$A,0),5),""),"")</f>
        <v/>
      </c>
      <c r="I289">
        <f>IFERROR(IF(ISNUMBER(INDEX(SPPR!$E:$X,MATCH($A289,SPPR!$A:$A,0),6)),$C289*INDEX(SPPR!$E:$X,MATCH($A289,SPPR!$A:$A,0),6),""),"")</f>
        <v/>
      </c>
      <c r="J289">
        <f>IFERROR(IF(ISNUMBER(INDEX(SPPR!$E:$X,MATCH($A289,SPPR!$A:$A,0),7)),$C289*INDEX(SPPR!$E:$X,MATCH($A289,SPPR!$A:$A,0),7),""),"")</f>
        <v/>
      </c>
      <c r="K289">
        <f>IFERROR(IF(ISNUMBER(INDEX(SPPR!$E:$X,MATCH($A289,SPPR!$A:$A,0),8)),$C289*INDEX(SPPR!$E:$X,MATCH($A289,SPPR!$A:$A,0),8),""),"")</f>
        <v/>
      </c>
      <c r="L289">
        <f>IFERROR(IF(ISNUMBER(INDEX(SPPR!$E:$X,MATCH($A289,SPPR!$A:$A,0),9)),$C289*INDEX(SPPR!$E:$X,MATCH($A289,SPPR!$A:$A,0),9),""),"")</f>
        <v/>
      </c>
      <c r="M289">
        <f>IFERROR(IF(ISNUMBER(INDEX(SPPR!$E:$X,MATCH($A289,SPPR!$A:$A,0),10)),$C289*INDEX(SPPR!$E:$X,MATCH($A289,SPPR!$A:$A,0),10),""),"")</f>
        <v/>
      </c>
      <c r="N289">
        <f>IFERROR(IF(ISNUMBER(INDEX(SPPR!$E:$X,MATCH($A289,SPPR!$A:$A,0),11)),$C289*INDEX(SPPR!$E:$X,MATCH($A289,SPPR!$A:$A,0),11),""),"")</f>
        <v/>
      </c>
      <c r="O289">
        <f>IFERROR(IF(ISNUMBER(INDEX(SPPR!$E:$X,MATCH($A289,SPPR!$A:$A,0),12)),$C289*INDEX(SPPR!$E:$X,MATCH($A289,SPPR!$A:$A,0),12),""),"")</f>
        <v/>
      </c>
      <c r="P289">
        <f>IFERROR(IF(ISNUMBER(INDEX(SPPR!$E:$X,MATCH($A289,SPPR!$A:$A,0),13)),$C289*INDEX(SPPR!$E:$X,MATCH($A289,SPPR!$A:$A,0),13),""),"")</f>
        <v/>
      </c>
      <c r="Q289">
        <f>IFERROR(IF(ISNUMBER(INDEX(SPPR!$E:$X,MATCH($A289,SPPR!$A:$A,0),14)),$C289*INDEX(SPPR!$E:$X,MATCH($A289,SPPR!$A:$A,0),14),""),"")</f>
        <v/>
      </c>
      <c r="R289">
        <f>IFERROR(IF(ISNUMBER(INDEX(SPPR!$E:$X,MATCH($A289,SPPR!$A:$A,0),15)),$C289*INDEX(SPPR!$E:$X,MATCH($A289,SPPR!$A:$A,0),15),""),"")</f>
        <v/>
      </c>
      <c r="S289">
        <f>IFERROR(IF(ISNUMBER(INDEX(SPPR!$E:$X,MATCH($A289,SPPR!$A:$A,0),16)),$C289*INDEX(SPPR!$E:$X,MATCH($A289,SPPR!$A:$A,0),16),""),"")</f>
        <v/>
      </c>
      <c r="T289">
        <f>IFERROR(IF(ISNUMBER(INDEX(SPPR!$E:$X,MATCH($A289,SPPR!$A:$A,0),17)),$C289*INDEX(SPPR!$E:$X,MATCH($A289,SPPR!$A:$A,0),17),""),"")</f>
        <v/>
      </c>
      <c r="U289">
        <f>IFERROR(IF(ISNUMBER(INDEX(SPPR!$E:$X,MATCH($A289,SPPR!$A:$A,0),18)),$C289*INDEX(SPPR!$E:$X,MATCH($A289,SPPR!$A:$A,0),18),""),"")</f>
        <v/>
      </c>
      <c r="V289">
        <f>IFERROR(IF(ISNUMBER(INDEX(SPPR!$E:$X,MATCH($A289,SPPR!$A:$A,0),19)),$C289*INDEX(SPPR!$E:$X,MATCH($A289,SPPR!$A:$A,0),19),""),"")</f>
        <v/>
      </c>
      <c r="W289">
        <f>IFERROR(IF(ISNUMBER(INDEX(SPPR!$E:$X,MATCH($A289,SPPR!$A:$A,0),20)),$C289*INDEX(SPPR!$E:$X,MATCH($A289,SPPR!$A:$A,0),20),""),"")</f>
        <v/>
      </c>
    </row>
    <row r="290">
      <c r="A290" t="inlineStr">
        <is>
          <t>Kajikia audax</t>
        </is>
      </c>
      <c r="B290">
        <f>IFERROR(INDEX(SPPR!$D:$D,MATCH($A290,SPPR!$A:$A,0)),"")</f>
        <v/>
      </c>
      <c r="C290">
        <f>IFERROR(INDEX(Catch!$E:$BV,MATCH($A290,Catch!$A:$A,0),MATCH($B$4,Catch!$E$1:$BV$1,0)),0)</f>
        <v/>
      </c>
      <c r="D290">
        <f>IFERROR(IF(ISNUMBER(INDEX(SPPR!$E:$X,MATCH($A290,SPPR!$A:$A,0),1)),$C290*INDEX(SPPR!$E:$X,MATCH($A290,SPPR!$A:$A,0),1),""),"")</f>
        <v/>
      </c>
      <c r="E290">
        <f>IFERROR(IF(ISNUMBER(INDEX(SPPR!$E:$X,MATCH($A290,SPPR!$A:$A,0),2)),$C290*INDEX(SPPR!$E:$X,MATCH($A290,SPPR!$A:$A,0),2),""),"")</f>
        <v/>
      </c>
      <c r="F290">
        <f>IFERROR(IF(ISNUMBER(INDEX(SPPR!$E:$X,MATCH($A290,SPPR!$A:$A,0),3)),$C290*INDEX(SPPR!$E:$X,MATCH($A290,SPPR!$A:$A,0),3),""),"")</f>
        <v/>
      </c>
      <c r="G290">
        <f>IFERROR(IF(ISNUMBER(INDEX(SPPR!$E:$X,MATCH($A290,SPPR!$A:$A,0),4)),$C290*INDEX(SPPR!$E:$X,MATCH($A290,SPPR!$A:$A,0),4),""),"")</f>
        <v/>
      </c>
      <c r="H290">
        <f>IFERROR(IF(ISNUMBER(INDEX(SPPR!$E:$X,MATCH($A290,SPPR!$A:$A,0),5)),$C290*INDEX(SPPR!$E:$X,MATCH($A290,SPPR!$A:$A,0),5),""),"")</f>
        <v/>
      </c>
      <c r="I290">
        <f>IFERROR(IF(ISNUMBER(INDEX(SPPR!$E:$X,MATCH($A290,SPPR!$A:$A,0),6)),$C290*INDEX(SPPR!$E:$X,MATCH($A290,SPPR!$A:$A,0),6),""),"")</f>
        <v/>
      </c>
      <c r="J290">
        <f>IFERROR(IF(ISNUMBER(INDEX(SPPR!$E:$X,MATCH($A290,SPPR!$A:$A,0),7)),$C290*INDEX(SPPR!$E:$X,MATCH($A290,SPPR!$A:$A,0),7),""),"")</f>
        <v/>
      </c>
      <c r="K290">
        <f>IFERROR(IF(ISNUMBER(INDEX(SPPR!$E:$X,MATCH($A290,SPPR!$A:$A,0),8)),$C290*INDEX(SPPR!$E:$X,MATCH($A290,SPPR!$A:$A,0),8),""),"")</f>
        <v/>
      </c>
      <c r="L290">
        <f>IFERROR(IF(ISNUMBER(INDEX(SPPR!$E:$X,MATCH($A290,SPPR!$A:$A,0),9)),$C290*INDEX(SPPR!$E:$X,MATCH($A290,SPPR!$A:$A,0),9),""),"")</f>
        <v/>
      </c>
      <c r="M290">
        <f>IFERROR(IF(ISNUMBER(INDEX(SPPR!$E:$X,MATCH($A290,SPPR!$A:$A,0),10)),$C290*INDEX(SPPR!$E:$X,MATCH($A290,SPPR!$A:$A,0),10),""),"")</f>
        <v/>
      </c>
      <c r="N290">
        <f>IFERROR(IF(ISNUMBER(INDEX(SPPR!$E:$X,MATCH($A290,SPPR!$A:$A,0),11)),$C290*INDEX(SPPR!$E:$X,MATCH($A290,SPPR!$A:$A,0),11),""),"")</f>
        <v/>
      </c>
      <c r="O290">
        <f>IFERROR(IF(ISNUMBER(INDEX(SPPR!$E:$X,MATCH($A290,SPPR!$A:$A,0),12)),$C290*INDEX(SPPR!$E:$X,MATCH($A290,SPPR!$A:$A,0),12),""),"")</f>
        <v/>
      </c>
      <c r="P290">
        <f>IFERROR(IF(ISNUMBER(INDEX(SPPR!$E:$X,MATCH($A290,SPPR!$A:$A,0),13)),$C290*INDEX(SPPR!$E:$X,MATCH($A290,SPPR!$A:$A,0),13),""),"")</f>
        <v/>
      </c>
      <c r="Q290">
        <f>IFERROR(IF(ISNUMBER(INDEX(SPPR!$E:$X,MATCH($A290,SPPR!$A:$A,0),14)),$C290*INDEX(SPPR!$E:$X,MATCH($A290,SPPR!$A:$A,0),14),""),"")</f>
        <v/>
      </c>
      <c r="R290">
        <f>IFERROR(IF(ISNUMBER(INDEX(SPPR!$E:$X,MATCH($A290,SPPR!$A:$A,0),15)),$C290*INDEX(SPPR!$E:$X,MATCH($A290,SPPR!$A:$A,0),15),""),"")</f>
        <v/>
      </c>
      <c r="S290">
        <f>IFERROR(IF(ISNUMBER(INDEX(SPPR!$E:$X,MATCH($A290,SPPR!$A:$A,0),16)),$C290*INDEX(SPPR!$E:$X,MATCH($A290,SPPR!$A:$A,0),16),""),"")</f>
        <v/>
      </c>
      <c r="T290">
        <f>IFERROR(IF(ISNUMBER(INDEX(SPPR!$E:$X,MATCH($A290,SPPR!$A:$A,0),17)),$C290*INDEX(SPPR!$E:$X,MATCH($A290,SPPR!$A:$A,0),17),""),"")</f>
        <v/>
      </c>
      <c r="U290">
        <f>IFERROR(IF(ISNUMBER(INDEX(SPPR!$E:$X,MATCH($A290,SPPR!$A:$A,0),18)),$C290*INDEX(SPPR!$E:$X,MATCH($A290,SPPR!$A:$A,0),18),""),"")</f>
        <v/>
      </c>
      <c r="V290">
        <f>IFERROR(IF(ISNUMBER(INDEX(SPPR!$E:$X,MATCH($A290,SPPR!$A:$A,0),19)),$C290*INDEX(SPPR!$E:$X,MATCH($A290,SPPR!$A:$A,0),19),""),"")</f>
        <v/>
      </c>
      <c r="W290">
        <f>IFERROR(IF(ISNUMBER(INDEX(SPPR!$E:$X,MATCH($A290,SPPR!$A:$A,0),20)),$C290*INDEX(SPPR!$E:$X,MATCH($A290,SPPR!$A:$A,0),20),""),"")</f>
        <v/>
      </c>
    </row>
    <row r="291">
      <c r="A291" t="inlineStr">
        <is>
          <t>Penaeus semisulcatus</t>
        </is>
      </c>
      <c r="B291">
        <f>IFERROR(INDEX(SPPR!$D:$D,MATCH($A291,SPPR!$A:$A,0)),"")</f>
        <v/>
      </c>
      <c r="C291">
        <f>IFERROR(INDEX(Catch!$E:$BV,MATCH($A291,Catch!$A:$A,0),MATCH($B$4,Catch!$E$1:$BV$1,0)),0)</f>
        <v/>
      </c>
      <c r="D291">
        <f>IFERROR(IF(ISNUMBER(INDEX(SPPR!$E:$X,MATCH($A291,SPPR!$A:$A,0),1)),$C291*INDEX(SPPR!$E:$X,MATCH($A291,SPPR!$A:$A,0),1),""),"")</f>
        <v/>
      </c>
      <c r="E291">
        <f>IFERROR(IF(ISNUMBER(INDEX(SPPR!$E:$X,MATCH($A291,SPPR!$A:$A,0),2)),$C291*INDEX(SPPR!$E:$X,MATCH($A291,SPPR!$A:$A,0),2),""),"")</f>
        <v/>
      </c>
      <c r="F291">
        <f>IFERROR(IF(ISNUMBER(INDEX(SPPR!$E:$X,MATCH($A291,SPPR!$A:$A,0),3)),$C291*INDEX(SPPR!$E:$X,MATCH($A291,SPPR!$A:$A,0),3),""),"")</f>
        <v/>
      </c>
      <c r="G291">
        <f>IFERROR(IF(ISNUMBER(INDEX(SPPR!$E:$X,MATCH($A291,SPPR!$A:$A,0),4)),$C291*INDEX(SPPR!$E:$X,MATCH($A291,SPPR!$A:$A,0),4),""),"")</f>
        <v/>
      </c>
      <c r="H291">
        <f>IFERROR(IF(ISNUMBER(INDEX(SPPR!$E:$X,MATCH($A291,SPPR!$A:$A,0),5)),$C291*INDEX(SPPR!$E:$X,MATCH($A291,SPPR!$A:$A,0),5),""),"")</f>
        <v/>
      </c>
      <c r="I291">
        <f>IFERROR(IF(ISNUMBER(INDEX(SPPR!$E:$X,MATCH($A291,SPPR!$A:$A,0),6)),$C291*INDEX(SPPR!$E:$X,MATCH($A291,SPPR!$A:$A,0),6),""),"")</f>
        <v/>
      </c>
      <c r="J291">
        <f>IFERROR(IF(ISNUMBER(INDEX(SPPR!$E:$X,MATCH($A291,SPPR!$A:$A,0),7)),$C291*INDEX(SPPR!$E:$X,MATCH($A291,SPPR!$A:$A,0),7),""),"")</f>
        <v/>
      </c>
      <c r="K291">
        <f>IFERROR(IF(ISNUMBER(INDEX(SPPR!$E:$X,MATCH($A291,SPPR!$A:$A,0),8)),$C291*INDEX(SPPR!$E:$X,MATCH($A291,SPPR!$A:$A,0),8),""),"")</f>
        <v/>
      </c>
      <c r="L291">
        <f>IFERROR(IF(ISNUMBER(INDEX(SPPR!$E:$X,MATCH($A291,SPPR!$A:$A,0),9)),$C291*INDEX(SPPR!$E:$X,MATCH($A291,SPPR!$A:$A,0),9),""),"")</f>
        <v/>
      </c>
      <c r="M291">
        <f>IFERROR(IF(ISNUMBER(INDEX(SPPR!$E:$X,MATCH($A291,SPPR!$A:$A,0),10)),$C291*INDEX(SPPR!$E:$X,MATCH($A291,SPPR!$A:$A,0),10),""),"")</f>
        <v/>
      </c>
      <c r="N291">
        <f>IFERROR(IF(ISNUMBER(INDEX(SPPR!$E:$X,MATCH($A291,SPPR!$A:$A,0),11)),$C291*INDEX(SPPR!$E:$X,MATCH($A291,SPPR!$A:$A,0),11),""),"")</f>
        <v/>
      </c>
      <c r="O291">
        <f>IFERROR(IF(ISNUMBER(INDEX(SPPR!$E:$X,MATCH($A291,SPPR!$A:$A,0),12)),$C291*INDEX(SPPR!$E:$X,MATCH($A291,SPPR!$A:$A,0),12),""),"")</f>
        <v/>
      </c>
      <c r="P291">
        <f>IFERROR(IF(ISNUMBER(INDEX(SPPR!$E:$X,MATCH($A291,SPPR!$A:$A,0),13)),$C291*INDEX(SPPR!$E:$X,MATCH($A291,SPPR!$A:$A,0),13),""),"")</f>
        <v/>
      </c>
      <c r="Q291">
        <f>IFERROR(IF(ISNUMBER(INDEX(SPPR!$E:$X,MATCH($A291,SPPR!$A:$A,0),14)),$C291*INDEX(SPPR!$E:$X,MATCH($A291,SPPR!$A:$A,0),14),""),"")</f>
        <v/>
      </c>
      <c r="R291">
        <f>IFERROR(IF(ISNUMBER(INDEX(SPPR!$E:$X,MATCH($A291,SPPR!$A:$A,0),15)),$C291*INDEX(SPPR!$E:$X,MATCH($A291,SPPR!$A:$A,0),15),""),"")</f>
        <v/>
      </c>
      <c r="S291">
        <f>IFERROR(IF(ISNUMBER(INDEX(SPPR!$E:$X,MATCH($A291,SPPR!$A:$A,0),16)),$C291*INDEX(SPPR!$E:$X,MATCH($A291,SPPR!$A:$A,0),16),""),"")</f>
        <v/>
      </c>
      <c r="T291">
        <f>IFERROR(IF(ISNUMBER(INDEX(SPPR!$E:$X,MATCH($A291,SPPR!$A:$A,0),17)),$C291*INDEX(SPPR!$E:$X,MATCH($A291,SPPR!$A:$A,0),17),""),"")</f>
        <v/>
      </c>
      <c r="U291">
        <f>IFERROR(IF(ISNUMBER(INDEX(SPPR!$E:$X,MATCH($A291,SPPR!$A:$A,0),18)),$C291*INDEX(SPPR!$E:$X,MATCH($A291,SPPR!$A:$A,0),18),""),"")</f>
        <v/>
      </c>
      <c r="V291">
        <f>IFERROR(IF(ISNUMBER(INDEX(SPPR!$E:$X,MATCH($A291,SPPR!$A:$A,0),19)),$C291*INDEX(SPPR!$E:$X,MATCH($A291,SPPR!$A:$A,0),19),""),"")</f>
        <v/>
      </c>
      <c r="W291">
        <f>IFERROR(IF(ISNUMBER(INDEX(SPPR!$E:$X,MATCH($A291,SPPR!$A:$A,0),20)),$C291*INDEX(SPPR!$E:$X,MATCH($A291,SPPR!$A:$A,0),20),""),"")</f>
        <v/>
      </c>
    </row>
    <row r="292">
      <c r="A292" t="inlineStr">
        <is>
          <t>Siganidae</t>
        </is>
      </c>
      <c r="B292">
        <f>IFERROR(INDEX(SPPR!$D:$D,MATCH($A292,SPPR!$A:$A,0)),"")</f>
        <v/>
      </c>
      <c r="C292">
        <f>IFERROR(INDEX(Catch!$E:$BV,MATCH($A292,Catch!$A:$A,0),MATCH($B$4,Catch!$E$1:$BV$1,0)),0)</f>
        <v/>
      </c>
      <c r="D292">
        <f>IFERROR(IF(ISNUMBER(INDEX(SPPR!$E:$X,MATCH($A292,SPPR!$A:$A,0),1)),$C292*INDEX(SPPR!$E:$X,MATCH($A292,SPPR!$A:$A,0),1),""),"")</f>
        <v/>
      </c>
      <c r="E292">
        <f>IFERROR(IF(ISNUMBER(INDEX(SPPR!$E:$X,MATCH($A292,SPPR!$A:$A,0),2)),$C292*INDEX(SPPR!$E:$X,MATCH($A292,SPPR!$A:$A,0),2),""),"")</f>
        <v/>
      </c>
      <c r="F292">
        <f>IFERROR(IF(ISNUMBER(INDEX(SPPR!$E:$X,MATCH($A292,SPPR!$A:$A,0),3)),$C292*INDEX(SPPR!$E:$X,MATCH($A292,SPPR!$A:$A,0),3),""),"")</f>
        <v/>
      </c>
      <c r="G292">
        <f>IFERROR(IF(ISNUMBER(INDEX(SPPR!$E:$X,MATCH($A292,SPPR!$A:$A,0),4)),$C292*INDEX(SPPR!$E:$X,MATCH($A292,SPPR!$A:$A,0),4),""),"")</f>
        <v/>
      </c>
      <c r="H292">
        <f>IFERROR(IF(ISNUMBER(INDEX(SPPR!$E:$X,MATCH($A292,SPPR!$A:$A,0),5)),$C292*INDEX(SPPR!$E:$X,MATCH($A292,SPPR!$A:$A,0),5),""),"")</f>
        <v/>
      </c>
      <c r="I292">
        <f>IFERROR(IF(ISNUMBER(INDEX(SPPR!$E:$X,MATCH($A292,SPPR!$A:$A,0),6)),$C292*INDEX(SPPR!$E:$X,MATCH($A292,SPPR!$A:$A,0),6),""),"")</f>
        <v/>
      </c>
      <c r="J292">
        <f>IFERROR(IF(ISNUMBER(INDEX(SPPR!$E:$X,MATCH($A292,SPPR!$A:$A,0),7)),$C292*INDEX(SPPR!$E:$X,MATCH($A292,SPPR!$A:$A,0),7),""),"")</f>
        <v/>
      </c>
      <c r="K292">
        <f>IFERROR(IF(ISNUMBER(INDEX(SPPR!$E:$X,MATCH($A292,SPPR!$A:$A,0),8)),$C292*INDEX(SPPR!$E:$X,MATCH($A292,SPPR!$A:$A,0),8),""),"")</f>
        <v/>
      </c>
      <c r="L292">
        <f>IFERROR(IF(ISNUMBER(INDEX(SPPR!$E:$X,MATCH($A292,SPPR!$A:$A,0),9)),$C292*INDEX(SPPR!$E:$X,MATCH($A292,SPPR!$A:$A,0),9),""),"")</f>
        <v/>
      </c>
      <c r="M292">
        <f>IFERROR(IF(ISNUMBER(INDEX(SPPR!$E:$X,MATCH($A292,SPPR!$A:$A,0),10)),$C292*INDEX(SPPR!$E:$X,MATCH($A292,SPPR!$A:$A,0),10),""),"")</f>
        <v/>
      </c>
      <c r="N292">
        <f>IFERROR(IF(ISNUMBER(INDEX(SPPR!$E:$X,MATCH($A292,SPPR!$A:$A,0),11)),$C292*INDEX(SPPR!$E:$X,MATCH($A292,SPPR!$A:$A,0),11),""),"")</f>
        <v/>
      </c>
      <c r="O292">
        <f>IFERROR(IF(ISNUMBER(INDEX(SPPR!$E:$X,MATCH($A292,SPPR!$A:$A,0),12)),$C292*INDEX(SPPR!$E:$X,MATCH($A292,SPPR!$A:$A,0),12),""),"")</f>
        <v/>
      </c>
      <c r="P292">
        <f>IFERROR(IF(ISNUMBER(INDEX(SPPR!$E:$X,MATCH($A292,SPPR!$A:$A,0),13)),$C292*INDEX(SPPR!$E:$X,MATCH($A292,SPPR!$A:$A,0),13),""),"")</f>
        <v/>
      </c>
      <c r="Q292">
        <f>IFERROR(IF(ISNUMBER(INDEX(SPPR!$E:$X,MATCH($A292,SPPR!$A:$A,0),14)),$C292*INDEX(SPPR!$E:$X,MATCH($A292,SPPR!$A:$A,0),14),""),"")</f>
        <v/>
      </c>
      <c r="R292">
        <f>IFERROR(IF(ISNUMBER(INDEX(SPPR!$E:$X,MATCH($A292,SPPR!$A:$A,0),15)),$C292*INDEX(SPPR!$E:$X,MATCH($A292,SPPR!$A:$A,0),15),""),"")</f>
        <v/>
      </c>
      <c r="S292">
        <f>IFERROR(IF(ISNUMBER(INDEX(SPPR!$E:$X,MATCH($A292,SPPR!$A:$A,0),16)),$C292*INDEX(SPPR!$E:$X,MATCH($A292,SPPR!$A:$A,0),16),""),"")</f>
        <v/>
      </c>
      <c r="T292">
        <f>IFERROR(IF(ISNUMBER(INDEX(SPPR!$E:$X,MATCH($A292,SPPR!$A:$A,0),17)),$C292*INDEX(SPPR!$E:$X,MATCH($A292,SPPR!$A:$A,0),17),""),"")</f>
        <v/>
      </c>
      <c r="U292">
        <f>IFERROR(IF(ISNUMBER(INDEX(SPPR!$E:$X,MATCH($A292,SPPR!$A:$A,0),18)),$C292*INDEX(SPPR!$E:$X,MATCH($A292,SPPR!$A:$A,0),18),""),"")</f>
        <v/>
      </c>
      <c r="V292">
        <f>IFERROR(IF(ISNUMBER(INDEX(SPPR!$E:$X,MATCH($A292,SPPR!$A:$A,0),19)),$C292*INDEX(SPPR!$E:$X,MATCH($A292,SPPR!$A:$A,0),19),""),"")</f>
        <v/>
      </c>
      <c r="W292">
        <f>IFERROR(IF(ISNUMBER(INDEX(SPPR!$E:$X,MATCH($A292,SPPR!$A:$A,0),20)),$C292*INDEX(SPPR!$E:$X,MATCH($A292,SPPR!$A:$A,0),20),""),"")</f>
        <v/>
      </c>
    </row>
    <row r="293">
      <c r="A293" t="inlineStr">
        <is>
          <t>Gerres</t>
        </is>
      </c>
      <c r="B293">
        <f>IFERROR(INDEX(SPPR!$D:$D,MATCH($A293,SPPR!$A:$A,0)),"")</f>
        <v/>
      </c>
      <c r="C293">
        <f>IFERROR(INDEX(Catch!$E:$BV,MATCH($A293,Catch!$A:$A,0),MATCH($B$4,Catch!$E$1:$BV$1,0)),0)</f>
        <v/>
      </c>
      <c r="D293">
        <f>IFERROR(IF(ISNUMBER(INDEX(SPPR!$E:$X,MATCH($A293,SPPR!$A:$A,0),1)),$C293*INDEX(SPPR!$E:$X,MATCH($A293,SPPR!$A:$A,0),1),""),"")</f>
        <v/>
      </c>
      <c r="E293">
        <f>IFERROR(IF(ISNUMBER(INDEX(SPPR!$E:$X,MATCH($A293,SPPR!$A:$A,0),2)),$C293*INDEX(SPPR!$E:$X,MATCH($A293,SPPR!$A:$A,0),2),""),"")</f>
        <v/>
      </c>
      <c r="F293">
        <f>IFERROR(IF(ISNUMBER(INDEX(SPPR!$E:$X,MATCH($A293,SPPR!$A:$A,0),3)),$C293*INDEX(SPPR!$E:$X,MATCH($A293,SPPR!$A:$A,0),3),""),"")</f>
        <v/>
      </c>
      <c r="G293">
        <f>IFERROR(IF(ISNUMBER(INDEX(SPPR!$E:$X,MATCH($A293,SPPR!$A:$A,0),4)),$C293*INDEX(SPPR!$E:$X,MATCH($A293,SPPR!$A:$A,0),4),""),"")</f>
        <v/>
      </c>
      <c r="H293">
        <f>IFERROR(IF(ISNUMBER(INDEX(SPPR!$E:$X,MATCH($A293,SPPR!$A:$A,0),5)),$C293*INDEX(SPPR!$E:$X,MATCH($A293,SPPR!$A:$A,0),5),""),"")</f>
        <v/>
      </c>
      <c r="I293">
        <f>IFERROR(IF(ISNUMBER(INDEX(SPPR!$E:$X,MATCH($A293,SPPR!$A:$A,0),6)),$C293*INDEX(SPPR!$E:$X,MATCH($A293,SPPR!$A:$A,0),6),""),"")</f>
        <v/>
      </c>
      <c r="J293">
        <f>IFERROR(IF(ISNUMBER(INDEX(SPPR!$E:$X,MATCH($A293,SPPR!$A:$A,0),7)),$C293*INDEX(SPPR!$E:$X,MATCH($A293,SPPR!$A:$A,0),7),""),"")</f>
        <v/>
      </c>
      <c r="K293">
        <f>IFERROR(IF(ISNUMBER(INDEX(SPPR!$E:$X,MATCH($A293,SPPR!$A:$A,0),8)),$C293*INDEX(SPPR!$E:$X,MATCH($A293,SPPR!$A:$A,0),8),""),"")</f>
        <v/>
      </c>
      <c r="L293">
        <f>IFERROR(IF(ISNUMBER(INDEX(SPPR!$E:$X,MATCH($A293,SPPR!$A:$A,0),9)),$C293*INDEX(SPPR!$E:$X,MATCH($A293,SPPR!$A:$A,0),9),""),"")</f>
        <v/>
      </c>
      <c r="M293">
        <f>IFERROR(IF(ISNUMBER(INDEX(SPPR!$E:$X,MATCH($A293,SPPR!$A:$A,0),10)),$C293*INDEX(SPPR!$E:$X,MATCH($A293,SPPR!$A:$A,0),10),""),"")</f>
        <v/>
      </c>
      <c r="N293">
        <f>IFERROR(IF(ISNUMBER(INDEX(SPPR!$E:$X,MATCH($A293,SPPR!$A:$A,0),11)),$C293*INDEX(SPPR!$E:$X,MATCH($A293,SPPR!$A:$A,0),11),""),"")</f>
        <v/>
      </c>
      <c r="O293">
        <f>IFERROR(IF(ISNUMBER(INDEX(SPPR!$E:$X,MATCH($A293,SPPR!$A:$A,0),12)),$C293*INDEX(SPPR!$E:$X,MATCH($A293,SPPR!$A:$A,0),12),""),"")</f>
        <v/>
      </c>
      <c r="P293">
        <f>IFERROR(IF(ISNUMBER(INDEX(SPPR!$E:$X,MATCH($A293,SPPR!$A:$A,0),13)),$C293*INDEX(SPPR!$E:$X,MATCH($A293,SPPR!$A:$A,0),13),""),"")</f>
        <v/>
      </c>
      <c r="Q293">
        <f>IFERROR(IF(ISNUMBER(INDEX(SPPR!$E:$X,MATCH($A293,SPPR!$A:$A,0),14)),$C293*INDEX(SPPR!$E:$X,MATCH($A293,SPPR!$A:$A,0),14),""),"")</f>
        <v/>
      </c>
      <c r="R293">
        <f>IFERROR(IF(ISNUMBER(INDEX(SPPR!$E:$X,MATCH($A293,SPPR!$A:$A,0),15)),$C293*INDEX(SPPR!$E:$X,MATCH($A293,SPPR!$A:$A,0),15),""),"")</f>
        <v/>
      </c>
      <c r="S293">
        <f>IFERROR(IF(ISNUMBER(INDEX(SPPR!$E:$X,MATCH($A293,SPPR!$A:$A,0),16)),$C293*INDEX(SPPR!$E:$X,MATCH($A293,SPPR!$A:$A,0),16),""),"")</f>
        <v/>
      </c>
      <c r="T293">
        <f>IFERROR(IF(ISNUMBER(INDEX(SPPR!$E:$X,MATCH($A293,SPPR!$A:$A,0),17)),$C293*INDEX(SPPR!$E:$X,MATCH($A293,SPPR!$A:$A,0),17),""),"")</f>
        <v/>
      </c>
      <c r="U293">
        <f>IFERROR(IF(ISNUMBER(INDEX(SPPR!$E:$X,MATCH($A293,SPPR!$A:$A,0),18)),$C293*INDEX(SPPR!$E:$X,MATCH($A293,SPPR!$A:$A,0),18),""),"")</f>
        <v/>
      </c>
      <c r="V293">
        <f>IFERROR(IF(ISNUMBER(INDEX(SPPR!$E:$X,MATCH($A293,SPPR!$A:$A,0),19)),$C293*INDEX(SPPR!$E:$X,MATCH($A293,SPPR!$A:$A,0),19),""),"")</f>
        <v/>
      </c>
      <c r="W293">
        <f>IFERROR(IF(ISNUMBER(INDEX(SPPR!$E:$X,MATCH($A293,SPPR!$A:$A,0),20)),$C293*INDEX(SPPR!$E:$X,MATCH($A293,SPPR!$A:$A,0),20),""),"")</f>
        <v/>
      </c>
    </row>
    <row r="294">
      <c r="A294" t="inlineStr">
        <is>
          <t>Gnathanodon speciosus</t>
        </is>
      </c>
      <c r="B294">
        <f>IFERROR(INDEX(SPPR!$D:$D,MATCH($A294,SPPR!$A:$A,0)),"")</f>
        <v/>
      </c>
      <c r="C294">
        <f>IFERROR(INDEX(Catch!$E:$BV,MATCH($A294,Catch!$A:$A,0),MATCH($B$4,Catch!$E$1:$BV$1,0)),0)</f>
        <v/>
      </c>
      <c r="D294">
        <f>IFERROR(IF(ISNUMBER(INDEX(SPPR!$E:$X,MATCH($A294,SPPR!$A:$A,0),1)),$C294*INDEX(SPPR!$E:$X,MATCH($A294,SPPR!$A:$A,0),1),""),"")</f>
        <v/>
      </c>
      <c r="E294">
        <f>IFERROR(IF(ISNUMBER(INDEX(SPPR!$E:$X,MATCH($A294,SPPR!$A:$A,0),2)),$C294*INDEX(SPPR!$E:$X,MATCH($A294,SPPR!$A:$A,0),2),""),"")</f>
        <v/>
      </c>
      <c r="F294">
        <f>IFERROR(IF(ISNUMBER(INDEX(SPPR!$E:$X,MATCH($A294,SPPR!$A:$A,0),3)),$C294*INDEX(SPPR!$E:$X,MATCH($A294,SPPR!$A:$A,0),3),""),"")</f>
        <v/>
      </c>
      <c r="G294">
        <f>IFERROR(IF(ISNUMBER(INDEX(SPPR!$E:$X,MATCH($A294,SPPR!$A:$A,0),4)),$C294*INDEX(SPPR!$E:$X,MATCH($A294,SPPR!$A:$A,0),4),""),"")</f>
        <v/>
      </c>
      <c r="H294">
        <f>IFERROR(IF(ISNUMBER(INDEX(SPPR!$E:$X,MATCH($A294,SPPR!$A:$A,0),5)),$C294*INDEX(SPPR!$E:$X,MATCH($A294,SPPR!$A:$A,0),5),""),"")</f>
        <v/>
      </c>
      <c r="I294">
        <f>IFERROR(IF(ISNUMBER(INDEX(SPPR!$E:$X,MATCH($A294,SPPR!$A:$A,0),6)),$C294*INDEX(SPPR!$E:$X,MATCH($A294,SPPR!$A:$A,0),6),""),"")</f>
        <v/>
      </c>
      <c r="J294">
        <f>IFERROR(IF(ISNUMBER(INDEX(SPPR!$E:$X,MATCH($A294,SPPR!$A:$A,0),7)),$C294*INDEX(SPPR!$E:$X,MATCH($A294,SPPR!$A:$A,0),7),""),"")</f>
        <v/>
      </c>
      <c r="K294">
        <f>IFERROR(IF(ISNUMBER(INDEX(SPPR!$E:$X,MATCH($A294,SPPR!$A:$A,0),8)),$C294*INDEX(SPPR!$E:$X,MATCH($A294,SPPR!$A:$A,0),8),""),"")</f>
        <v/>
      </c>
      <c r="L294">
        <f>IFERROR(IF(ISNUMBER(INDEX(SPPR!$E:$X,MATCH($A294,SPPR!$A:$A,0),9)),$C294*INDEX(SPPR!$E:$X,MATCH($A294,SPPR!$A:$A,0),9),""),"")</f>
        <v/>
      </c>
      <c r="M294">
        <f>IFERROR(IF(ISNUMBER(INDEX(SPPR!$E:$X,MATCH($A294,SPPR!$A:$A,0),10)),$C294*INDEX(SPPR!$E:$X,MATCH($A294,SPPR!$A:$A,0),10),""),"")</f>
        <v/>
      </c>
      <c r="N294">
        <f>IFERROR(IF(ISNUMBER(INDEX(SPPR!$E:$X,MATCH($A294,SPPR!$A:$A,0),11)),$C294*INDEX(SPPR!$E:$X,MATCH($A294,SPPR!$A:$A,0),11),""),"")</f>
        <v/>
      </c>
      <c r="O294">
        <f>IFERROR(IF(ISNUMBER(INDEX(SPPR!$E:$X,MATCH($A294,SPPR!$A:$A,0),12)),$C294*INDEX(SPPR!$E:$X,MATCH($A294,SPPR!$A:$A,0),12),""),"")</f>
        <v/>
      </c>
      <c r="P294">
        <f>IFERROR(IF(ISNUMBER(INDEX(SPPR!$E:$X,MATCH($A294,SPPR!$A:$A,0),13)),$C294*INDEX(SPPR!$E:$X,MATCH($A294,SPPR!$A:$A,0),13),""),"")</f>
        <v/>
      </c>
      <c r="Q294">
        <f>IFERROR(IF(ISNUMBER(INDEX(SPPR!$E:$X,MATCH($A294,SPPR!$A:$A,0),14)),$C294*INDEX(SPPR!$E:$X,MATCH($A294,SPPR!$A:$A,0),14),""),"")</f>
        <v/>
      </c>
      <c r="R294">
        <f>IFERROR(IF(ISNUMBER(INDEX(SPPR!$E:$X,MATCH($A294,SPPR!$A:$A,0),15)),$C294*INDEX(SPPR!$E:$X,MATCH($A294,SPPR!$A:$A,0),15),""),"")</f>
        <v/>
      </c>
      <c r="S294">
        <f>IFERROR(IF(ISNUMBER(INDEX(SPPR!$E:$X,MATCH($A294,SPPR!$A:$A,0),16)),$C294*INDEX(SPPR!$E:$X,MATCH($A294,SPPR!$A:$A,0),16),""),"")</f>
        <v/>
      </c>
      <c r="T294">
        <f>IFERROR(IF(ISNUMBER(INDEX(SPPR!$E:$X,MATCH($A294,SPPR!$A:$A,0),17)),$C294*INDEX(SPPR!$E:$X,MATCH($A294,SPPR!$A:$A,0),17),""),"")</f>
        <v/>
      </c>
      <c r="U294">
        <f>IFERROR(IF(ISNUMBER(INDEX(SPPR!$E:$X,MATCH($A294,SPPR!$A:$A,0),18)),$C294*INDEX(SPPR!$E:$X,MATCH($A294,SPPR!$A:$A,0),18),""),"")</f>
        <v/>
      </c>
      <c r="V294">
        <f>IFERROR(IF(ISNUMBER(INDEX(SPPR!$E:$X,MATCH($A294,SPPR!$A:$A,0),19)),$C294*INDEX(SPPR!$E:$X,MATCH($A294,SPPR!$A:$A,0),19),""),"")</f>
        <v/>
      </c>
      <c r="W294">
        <f>IFERROR(IF(ISNUMBER(INDEX(SPPR!$E:$X,MATCH($A294,SPPR!$A:$A,0),20)),$C294*INDEX(SPPR!$E:$X,MATCH($A294,SPPR!$A:$A,0),20),""),"")</f>
        <v/>
      </c>
    </row>
    <row r="295">
      <c r="A295" t="inlineStr">
        <is>
          <t>Epinephelus malabaricus</t>
        </is>
      </c>
      <c r="B295">
        <f>IFERROR(INDEX(SPPR!$D:$D,MATCH($A295,SPPR!$A:$A,0)),"")</f>
        <v/>
      </c>
      <c r="C295">
        <f>IFERROR(INDEX(Catch!$E:$BV,MATCH($A295,Catch!$A:$A,0),MATCH($B$4,Catch!$E$1:$BV$1,0)),0)</f>
        <v/>
      </c>
      <c r="D295">
        <f>IFERROR(IF(ISNUMBER(INDEX(SPPR!$E:$X,MATCH($A295,SPPR!$A:$A,0),1)),$C295*INDEX(SPPR!$E:$X,MATCH($A295,SPPR!$A:$A,0),1),""),"")</f>
        <v/>
      </c>
      <c r="E295">
        <f>IFERROR(IF(ISNUMBER(INDEX(SPPR!$E:$X,MATCH($A295,SPPR!$A:$A,0),2)),$C295*INDEX(SPPR!$E:$X,MATCH($A295,SPPR!$A:$A,0),2),""),"")</f>
        <v/>
      </c>
      <c r="F295">
        <f>IFERROR(IF(ISNUMBER(INDEX(SPPR!$E:$X,MATCH($A295,SPPR!$A:$A,0),3)),$C295*INDEX(SPPR!$E:$X,MATCH($A295,SPPR!$A:$A,0),3),""),"")</f>
        <v/>
      </c>
      <c r="G295">
        <f>IFERROR(IF(ISNUMBER(INDEX(SPPR!$E:$X,MATCH($A295,SPPR!$A:$A,0),4)),$C295*INDEX(SPPR!$E:$X,MATCH($A295,SPPR!$A:$A,0),4),""),"")</f>
        <v/>
      </c>
      <c r="H295">
        <f>IFERROR(IF(ISNUMBER(INDEX(SPPR!$E:$X,MATCH($A295,SPPR!$A:$A,0),5)),$C295*INDEX(SPPR!$E:$X,MATCH($A295,SPPR!$A:$A,0),5),""),"")</f>
        <v/>
      </c>
      <c r="I295">
        <f>IFERROR(IF(ISNUMBER(INDEX(SPPR!$E:$X,MATCH($A295,SPPR!$A:$A,0),6)),$C295*INDEX(SPPR!$E:$X,MATCH($A295,SPPR!$A:$A,0),6),""),"")</f>
        <v/>
      </c>
      <c r="J295">
        <f>IFERROR(IF(ISNUMBER(INDEX(SPPR!$E:$X,MATCH($A295,SPPR!$A:$A,0),7)),$C295*INDEX(SPPR!$E:$X,MATCH($A295,SPPR!$A:$A,0),7),""),"")</f>
        <v/>
      </c>
      <c r="K295">
        <f>IFERROR(IF(ISNUMBER(INDEX(SPPR!$E:$X,MATCH($A295,SPPR!$A:$A,0),8)),$C295*INDEX(SPPR!$E:$X,MATCH($A295,SPPR!$A:$A,0),8),""),"")</f>
        <v/>
      </c>
      <c r="L295">
        <f>IFERROR(IF(ISNUMBER(INDEX(SPPR!$E:$X,MATCH($A295,SPPR!$A:$A,0),9)),$C295*INDEX(SPPR!$E:$X,MATCH($A295,SPPR!$A:$A,0),9),""),"")</f>
        <v/>
      </c>
      <c r="M295">
        <f>IFERROR(IF(ISNUMBER(INDEX(SPPR!$E:$X,MATCH($A295,SPPR!$A:$A,0),10)),$C295*INDEX(SPPR!$E:$X,MATCH($A295,SPPR!$A:$A,0),10),""),"")</f>
        <v/>
      </c>
      <c r="N295">
        <f>IFERROR(IF(ISNUMBER(INDEX(SPPR!$E:$X,MATCH($A295,SPPR!$A:$A,0),11)),$C295*INDEX(SPPR!$E:$X,MATCH($A295,SPPR!$A:$A,0),11),""),"")</f>
        <v/>
      </c>
      <c r="O295">
        <f>IFERROR(IF(ISNUMBER(INDEX(SPPR!$E:$X,MATCH($A295,SPPR!$A:$A,0),12)),$C295*INDEX(SPPR!$E:$X,MATCH($A295,SPPR!$A:$A,0),12),""),"")</f>
        <v/>
      </c>
      <c r="P295">
        <f>IFERROR(IF(ISNUMBER(INDEX(SPPR!$E:$X,MATCH($A295,SPPR!$A:$A,0),13)),$C295*INDEX(SPPR!$E:$X,MATCH($A295,SPPR!$A:$A,0),13),""),"")</f>
        <v/>
      </c>
      <c r="Q295">
        <f>IFERROR(IF(ISNUMBER(INDEX(SPPR!$E:$X,MATCH($A295,SPPR!$A:$A,0),14)),$C295*INDEX(SPPR!$E:$X,MATCH($A295,SPPR!$A:$A,0),14),""),"")</f>
        <v/>
      </c>
      <c r="R295">
        <f>IFERROR(IF(ISNUMBER(INDEX(SPPR!$E:$X,MATCH($A295,SPPR!$A:$A,0),15)),$C295*INDEX(SPPR!$E:$X,MATCH($A295,SPPR!$A:$A,0),15),""),"")</f>
        <v/>
      </c>
      <c r="S295">
        <f>IFERROR(IF(ISNUMBER(INDEX(SPPR!$E:$X,MATCH($A295,SPPR!$A:$A,0),16)),$C295*INDEX(SPPR!$E:$X,MATCH($A295,SPPR!$A:$A,0),16),""),"")</f>
        <v/>
      </c>
      <c r="T295">
        <f>IFERROR(IF(ISNUMBER(INDEX(SPPR!$E:$X,MATCH($A295,SPPR!$A:$A,0),17)),$C295*INDEX(SPPR!$E:$X,MATCH($A295,SPPR!$A:$A,0),17),""),"")</f>
        <v/>
      </c>
      <c r="U295">
        <f>IFERROR(IF(ISNUMBER(INDEX(SPPR!$E:$X,MATCH($A295,SPPR!$A:$A,0),18)),$C295*INDEX(SPPR!$E:$X,MATCH($A295,SPPR!$A:$A,0),18),""),"")</f>
        <v/>
      </c>
      <c r="V295">
        <f>IFERROR(IF(ISNUMBER(INDEX(SPPR!$E:$X,MATCH($A295,SPPR!$A:$A,0),19)),$C295*INDEX(SPPR!$E:$X,MATCH($A295,SPPR!$A:$A,0),19),""),"")</f>
        <v/>
      </c>
      <c r="W295">
        <f>IFERROR(IF(ISNUMBER(INDEX(SPPR!$E:$X,MATCH($A295,SPPR!$A:$A,0),20)),$C295*INDEX(SPPR!$E:$X,MATCH($A295,SPPR!$A:$A,0),20),""),"")</f>
        <v/>
      </c>
    </row>
    <row r="296">
      <c r="A296" t="inlineStr">
        <is>
          <t>Hyporhamphus</t>
        </is>
      </c>
      <c r="B296">
        <f>IFERROR(INDEX(SPPR!$D:$D,MATCH($A296,SPPR!$A:$A,0)),"")</f>
        <v/>
      </c>
      <c r="C296">
        <f>IFERROR(INDEX(Catch!$E:$BV,MATCH($A296,Catch!$A:$A,0),MATCH($B$4,Catch!$E$1:$BV$1,0)),0)</f>
        <v/>
      </c>
      <c r="D296">
        <f>IFERROR(IF(ISNUMBER(INDEX(SPPR!$E:$X,MATCH($A296,SPPR!$A:$A,0),1)),$C296*INDEX(SPPR!$E:$X,MATCH($A296,SPPR!$A:$A,0),1),""),"")</f>
        <v/>
      </c>
      <c r="E296">
        <f>IFERROR(IF(ISNUMBER(INDEX(SPPR!$E:$X,MATCH($A296,SPPR!$A:$A,0),2)),$C296*INDEX(SPPR!$E:$X,MATCH($A296,SPPR!$A:$A,0),2),""),"")</f>
        <v/>
      </c>
      <c r="F296">
        <f>IFERROR(IF(ISNUMBER(INDEX(SPPR!$E:$X,MATCH($A296,SPPR!$A:$A,0),3)),$C296*INDEX(SPPR!$E:$X,MATCH($A296,SPPR!$A:$A,0),3),""),"")</f>
        <v/>
      </c>
      <c r="G296">
        <f>IFERROR(IF(ISNUMBER(INDEX(SPPR!$E:$X,MATCH($A296,SPPR!$A:$A,0),4)),$C296*INDEX(SPPR!$E:$X,MATCH($A296,SPPR!$A:$A,0),4),""),"")</f>
        <v/>
      </c>
      <c r="H296">
        <f>IFERROR(IF(ISNUMBER(INDEX(SPPR!$E:$X,MATCH($A296,SPPR!$A:$A,0),5)),$C296*INDEX(SPPR!$E:$X,MATCH($A296,SPPR!$A:$A,0),5),""),"")</f>
        <v/>
      </c>
      <c r="I296">
        <f>IFERROR(IF(ISNUMBER(INDEX(SPPR!$E:$X,MATCH($A296,SPPR!$A:$A,0),6)),$C296*INDEX(SPPR!$E:$X,MATCH($A296,SPPR!$A:$A,0),6),""),"")</f>
        <v/>
      </c>
      <c r="J296">
        <f>IFERROR(IF(ISNUMBER(INDEX(SPPR!$E:$X,MATCH($A296,SPPR!$A:$A,0),7)),$C296*INDEX(SPPR!$E:$X,MATCH($A296,SPPR!$A:$A,0),7),""),"")</f>
        <v/>
      </c>
      <c r="K296">
        <f>IFERROR(IF(ISNUMBER(INDEX(SPPR!$E:$X,MATCH($A296,SPPR!$A:$A,0),8)),$C296*INDEX(SPPR!$E:$X,MATCH($A296,SPPR!$A:$A,0),8),""),"")</f>
        <v/>
      </c>
      <c r="L296">
        <f>IFERROR(IF(ISNUMBER(INDEX(SPPR!$E:$X,MATCH($A296,SPPR!$A:$A,0),9)),$C296*INDEX(SPPR!$E:$X,MATCH($A296,SPPR!$A:$A,0),9),""),"")</f>
        <v/>
      </c>
      <c r="M296">
        <f>IFERROR(IF(ISNUMBER(INDEX(SPPR!$E:$X,MATCH($A296,SPPR!$A:$A,0),10)),$C296*INDEX(SPPR!$E:$X,MATCH($A296,SPPR!$A:$A,0),10),""),"")</f>
        <v/>
      </c>
      <c r="N296">
        <f>IFERROR(IF(ISNUMBER(INDEX(SPPR!$E:$X,MATCH($A296,SPPR!$A:$A,0),11)),$C296*INDEX(SPPR!$E:$X,MATCH($A296,SPPR!$A:$A,0),11),""),"")</f>
        <v/>
      </c>
      <c r="O296">
        <f>IFERROR(IF(ISNUMBER(INDEX(SPPR!$E:$X,MATCH($A296,SPPR!$A:$A,0),12)),$C296*INDEX(SPPR!$E:$X,MATCH($A296,SPPR!$A:$A,0),12),""),"")</f>
        <v/>
      </c>
      <c r="P296">
        <f>IFERROR(IF(ISNUMBER(INDEX(SPPR!$E:$X,MATCH($A296,SPPR!$A:$A,0),13)),$C296*INDEX(SPPR!$E:$X,MATCH($A296,SPPR!$A:$A,0),13),""),"")</f>
        <v/>
      </c>
      <c r="Q296">
        <f>IFERROR(IF(ISNUMBER(INDEX(SPPR!$E:$X,MATCH($A296,SPPR!$A:$A,0),14)),$C296*INDEX(SPPR!$E:$X,MATCH($A296,SPPR!$A:$A,0),14),""),"")</f>
        <v/>
      </c>
      <c r="R296">
        <f>IFERROR(IF(ISNUMBER(INDEX(SPPR!$E:$X,MATCH($A296,SPPR!$A:$A,0),15)),$C296*INDEX(SPPR!$E:$X,MATCH($A296,SPPR!$A:$A,0),15),""),"")</f>
        <v/>
      </c>
      <c r="S296">
        <f>IFERROR(IF(ISNUMBER(INDEX(SPPR!$E:$X,MATCH($A296,SPPR!$A:$A,0),16)),$C296*INDEX(SPPR!$E:$X,MATCH($A296,SPPR!$A:$A,0),16),""),"")</f>
        <v/>
      </c>
      <c r="T296">
        <f>IFERROR(IF(ISNUMBER(INDEX(SPPR!$E:$X,MATCH($A296,SPPR!$A:$A,0),17)),$C296*INDEX(SPPR!$E:$X,MATCH($A296,SPPR!$A:$A,0),17),""),"")</f>
        <v/>
      </c>
      <c r="U296">
        <f>IFERROR(IF(ISNUMBER(INDEX(SPPR!$E:$X,MATCH($A296,SPPR!$A:$A,0),18)),$C296*INDEX(SPPR!$E:$X,MATCH($A296,SPPR!$A:$A,0),18),""),"")</f>
        <v/>
      </c>
      <c r="V296">
        <f>IFERROR(IF(ISNUMBER(INDEX(SPPR!$E:$X,MATCH($A296,SPPR!$A:$A,0),19)),$C296*INDEX(SPPR!$E:$X,MATCH($A296,SPPR!$A:$A,0),19),""),"")</f>
        <v/>
      </c>
      <c r="W296">
        <f>IFERROR(IF(ISNUMBER(INDEX(SPPR!$E:$X,MATCH($A296,SPPR!$A:$A,0),20)),$C296*INDEX(SPPR!$E:$X,MATCH($A296,SPPR!$A:$A,0),20),""),"")</f>
        <v/>
      </c>
    </row>
    <row r="297">
      <c r="A297" t="inlineStr">
        <is>
          <t>Makaira mazara</t>
        </is>
      </c>
      <c r="B297">
        <f>IFERROR(INDEX(SPPR!$D:$D,MATCH($A297,SPPR!$A:$A,0)),"")</f>
        <v/>
      </c>
      <c r="C297">
        <f>IFERROR(INDEX(Catch!$E:$BV,MATCH($A297,Catch!$A:$A,0),MATCH($B$4,Catch!$E$1:$BV$1,0)),0)</f>
        <v/>
      </c>
      <c r="D297">
        <f>IFERROR(IF(ISNUMBER(INDEX(SPPR!$E:$X,MATCH($A297,SPPR!$A:$A,0),1)),$C297*INDEX(SPPR!$E:$X,MATCH($A297,SPPR!$A:$A,0),1),""),"")</f>
        <v/>
      </c>
      <c r="E297">
        <f>IFERROR(IF(ISNUMBER(INDEX(SPPR!$E:$X,MATCH($A297,SPPR!$A:$A,0),2)),$C297*INDEX(SPPR!$E:$X,MATCH($A297,SPPR!$A:$A,0),2),""),"")</f>
        <v/>
      </c>
      <c r="F297">
        <f>IFERROR(IF(ISNUMBER(INDEX(SPPR!$E:$X,MATCH($A297,SPPR!$A:$A,0),3)),$C297*INDEX(SPPR!$E:$X,MATCH($A297,SPPR!$A:$A,0),3),""),"")</f>
        <v/>
      </c>
      <c r="G297">
        <f>IFERROR(IF(ISNUMBER(INDEX(SPPR!$E:$X,MATCH($A297,SPPR!$A:$A,0),4)),$C297*INDEX(SPPR!$E:$X,MATCH($A297,SPPR!$A:$A,0),4),""),"")</f>
        <v/>
      </c>
      <c r="H297">
        <f>IFERROR(IF(ISNUMBER(INDEX(SPPR!$E:$X,MATCH($A297,SPPR!$A:$A,0),5)),$C297*INDEX(SPPR!$E:$X,MATCH($A297,SPPR!$A:$A,0),5),""),"")</f>
        <v/>
      </c>
      <c r="I297">
        <f>IFERROR(IF(ISNUMBER(INDEX(SPPR!$E:$X,MATCH($A297,SPPR!$A:$A,0),6)),$C297*INDEX(SPPR!$E:$X,MATCH($A297,SPPR!$A:$A,0),6),""),"")</f>
        <v/>
      </c>
      <c r="J297">
        <f>IFERROR(IF(ISNUMBER(INDEX(SPPR!$E:$X,MATCH($A297,SPPR!$A:$A,0),7)),$C297*INDEX(SPPR!$E:$X,MATCH($A297,SPPR!$A:$A,0),7),""),"")</f>
        <v/>
      </c>
      <c r="K297">
        <f>IFERROR(IF(ISNUMBER(INDEX(SPPR!$E:$X,MATCH($A297,SPPR!$A:$A,0),8)),$C297*INDEX(SPPR!$E:$X,MATCH($A297,SPPR!$A:$A,0),8),""),"")</f>
        <v/>
      </c>
      <c r="L297">
        <f>IFERROR(IF(ISNUMBER(INDEX(SPPR!$E:$X,MATCH($A297,SPPR!$A:$A,0),9)),$C297*INDEX(SPPR!$E:$X,MATCH($A297,SPPR!$A:$A,0),9),""),"")</f>
        <v/>
      </c>
      <c r="M297">
        <f>IFERROR(IF(ISNUMBER(INDEX(SPPR!$E:$X,MATCH($A297,SPPR!$A:$A,0),10)),$C297*INDEX(SPPR!$E:$X,MATCH($A297,SPPR!$A:$A,0),10),""),"")</f>
        <v/>
      </c>
      <c r="N297">
        <f>IFERROR(IF(ISNUMBER(INDEX(SPPR!$E:$X,MATCH($A297,SPPR!$A:$A,0),11)),$C297*INDEX(SPPR!$E:$X,MATCH($A297,SPPR!$A:$A,0),11),""),"")</f>
        <v/>
      </c>
      <c r="O297">
        <f>IFERROR(IF(ISNUMBER(INDEX(SPPR!$E:$X,MATCH($A297,SPPR!$A:$A,0),12)),$C297*INDEX(SPPR!$E:$X,MATCH($A297,SPPR!$A:$A,0),12),""),"")</f>
        <v/>
      </c>
      <c r="P297">
        <f>IFERROR(IF(ISNUMBER(INDEX(SPPR!$E:$X,MATCH($A297,SPPR!$A:$A,0),13)),$C297*INDEX(SPPR!$E:$X,MATCH($A297,SPPR!$A:$A,0),13),""),"")</f>
        <v/>
      </c>
      <c r="Q297">
        <f>IFERROR(IF(ISNUMBER(INDEX(SPPR!$E:$X,MATCH($A297,SPPR!$A:$A,0),14)),$C297*INDEX(SPPR!$E:$X,MATCH($A297,SPPR!$A:$A,0),14),""),"")</f>
        <v/>
      </c>
      <c r="R297">
        <f>IFERROR(IF(ISNUMBER(INDEX(SPPR!$E:$X,MATCH($A297,SPPR!$A:$A,0),15)),$C297*INDEX(SPPR!$E:$X,MATCH($A297,SPPR!$A:$A,0),15),""),"")</f>
        <v/>
      </c>
      <c r="S297">
        <f>IFERROR(IF(ISNUMBER(INDEX(SPPR!$E:$X,MATCH($A297,SPPR!$A:$A,0),16)),$C297*INDEX(SPPR!$E:$X,MATCH($A297,SPPR!$A:$A,0),16),""),"")</f>
        <v/>
      </c>
      <c r="T297">
        <f>IFERROR(IF(ISNUMBER(INDEX(SPPR!$E:$X,MATCH($A297,SPPR!$A:$A,0),17)),$C297*INDEX(SPPR!$E:$X,MATCH($A297,SPPR!$A:$A,0),17),""),"")</f>
        <v/>
      </c>
      <c r="U297">
        <f>IFERROR(IF(ISNUMBER(INDEX(SPPR!$E:$X,MATCH($A297,SPPR!$A:$A,0),18)),$C297*INDEX(SPPR!$E:$X,MATCH($A297,SPPR!$A:$A,0),18),""),"")</f>
        <v/>
      </c>
      <c r="V297">
        <f>IFERROR(IF(ISNUMBER(INDEX(SPPR!$E:$X,MATCH($A297,SPPR!$A:$A,0),19)),$C297*INDEX(SPPR!$E:$X,MATCH($A297,SPPR!$A:$A,0),19),""),"")</f>
        <v/>
      </c>
      <c r="W297">
        <f>IFERROR(IF(ISNUMBER(INDEX(SPPR!$E:$X,MATCH($A297,SPPR!$A:$A,0),20)),$C297*INDEX(SPPR!$E:$X,MATCH($A297,SPPR!$A:$A,0),20),""),"")</f>
        <v/>
      </c>
    </row>
    <row r="298">
      <c r="A298" t="inlineStr">
        <is>
          <t>Hyporhamphus sajori</t>
        </is>
      </c>
      <c r="B298">
        <f>IFERROR(INDEX(SPPR!$D:$D,MATCH($A298,SPPR!$A:$A,0)),"")</f>
        <v/>
      </c>
      <c r="C298">
        <f>IFERROR(INDEX(Catch!$E:$BV,MATCH($A298,Catch!$A:$A,0),MATCH($B$4,Catch!$E$1:$BV$1,0)),0)</f>
        <v/>
      </c>
      <c r="D298">
        <f>IFERROR(IF(ISNUMBER(INDEX(SPPR!$E:$X,MATCH($A298,SPPR!$A:$A,0),1)),$C298*INDEX(SPPR!$E:$X,MATCH($A298,SPPR!$A:$A,0),1),""),"")</f>
        <v/>
      </c>
      <c r="E298">
        <f>IFERROR(IF(ISNUMBER(INDEX(SPPR!$E:$X,MATCH($A298,SPPR!$A:$A,0),2)),$C298*INDEX(SPPR!$E:$X,MATCH($A298,SPPR!$A:$A,0),2),""),"")</f>
        <v/>
      </c>
      <c r="F298">
        <f>IFERROR(IF(ISNUMBER(INDEX(SPPR!$E:$X,MATCH($A298,SPPR!$A:$A,0),3)),$C298*INDEX(SPPR!$E:$X,MATCH($A298,SPPR!$A:$A,0),3),""),"")</f>
        <v/>
      </c>
      <c r="G298">
        <f>IFERROR(IF(ISNUMBER(INDEX(SPPR!$E:$X,MATCH($A298,SPPR!$A:$A,0),4)),$C298*INDEX(SPPR!$E:$X,MATCH($A298,SPPR!$A:$A,0),4),""),"")</f>
        <v/>
      </c>
      <c r="H298">
        <f>IFERROR(IF(ISNUMBER(INDEX(SPPR!$E:$X,MATCH($A298,SPPR!$A:$A,0),5)),$C298*INDEX(SPPR!$E:$X,MATCH($A298,SPPR!$A:$A,0),5),""),"")</f>
        <v/>
      </c>
      <c r="I298">
        <f>IFERROR(IF(ISNUMBER(INDEX(SPPR!$E:$X,MATCH($A298,SPPR!$A:$A,0),6)),$C298*INDEX(SPPR!$E:$X,MATCH($A298,SPPR!$A:$A,0),6),""),"")</f>
        <v/>
      </c>
      <c r="J298">
        <f>IFERROR(IF(ISNUMBER(INDEX(SPPR!$E:$X,MATCH($A298,SPPR!$A:$A,0),7)),$C298*INDEX(SPPR!$E:$X,MATCH($A298,SPPR!$A:$A,0),7),""),"")</f>
        <v/>
      </c>
      <c r="K298">
        <f>IFERROR(IF(ISNUMBER(INDEX(SPPR!$E:$X,MATCH($A298,SPPR!$A:$A,0),8)),$C298*INDEX(SPPR!$E:$X,MATCH($A298,SPPR!$A:$A,0),8),""),"")</f>
        <v/>
      </c>
      <c r="L298">
        <f>IFERROR(IF(ISNUMBER(INDEX(SPPR!$E:$X,MATCH($A298,SPPR!$A:$A,0),9)),$C298*INDEX(SPPR!$E:$X,MATCH($A298,SPPR!$A:$A,0),9),""),"")</f>
        <v/>
      </c>
      <c r="M298">
        <f>IFERROR(IF(ISNUMBER(INDEX(SPPR!$E:$X,MATCH($A298,SPPR!$A:$A,0),10)),$C298*INDEX(SPPR!$E:$X,MATCH($A298,SPPR!$A:$A,0),10),""),"")</f>
        <v/>
      </c>
      <c r="N298">
        <f>IFERROR(IF(ISNUMBER(INDEX(SPPR!$E:$X,MATCH($A298,SPPR!$A:$A,0),11)),$C298*INDEX(SPPR!$E:$X,MATCH($A298,SPPR!$A:$A,0),11),""),"")</f>
        <v/>
      </c>
      <c r="O298">
        <f>IFERROR(IF(ISNUMBER(INDEX(SPPR!$E:$X,MATCH($A298,SPPR!$A:$A,0),12)),$C298*INDEX(SPPR!$E:$X,MATCH($A298,SPPR!$A:$A,0),12),""),"")</f>
        <v/>
      </c>
      <c r="P298">
        <f>IFERROR(IF(ISNUMBER(INDEX(SPPR!$E:$X,MATCH($A298,SPPR!$A:$A,0),13)),$C298*INDEX(SPPR!$E:$X,MATCH($A298,SPPR!$A:$A,0),13),""),"")</f>
        <v/>
      </c>
      <c r="Q298">
        <f>IFERROR(IF(ISNUMBER(INDEX(SPPR!$E:$X,MATCH($A298,SPPR!$A:$A,0),14)),$C298*INDEX(SPPR!$E:$X,MATCH($A298,SPPR!$A:$A,0),14),""),"")</f>
        <v/>
      </c>
      <c r="R298">
        <f>IFERROR(IF(ISNUMBER(INDEX(SPPR!$E:$X,MATCH($A298,SPPR!$A:$A,0),15)),$C298*INDEX(SPPR!$E:$X,MATCH($A298,SPPR!$A:$A,0),15),""),"")</f>
        <v/>
      </c>
      <c r="S298">
        <f>IFERROR(IF(ISNUMBER(INDEX(SPPR!$E:$X,MATCH($A298,SPPR!$A:$A,0),16)),$C298*INDEX(SPPR!$E:$X,MATCH($A298,SPPR!$A:$A,0),16),""),"")</f>
        <v/>
      </c>
      <c r="T298">
        <f>IFERROR(IF(ISNUMBER(INDEX(SPPR!$E:$X,MATCH($A298,SPPR!$A:$A,0),17)),$C298*INDEX(SPPR!$E:$X,MATCH($A298,SPPR!$A:$A,0),17),""),"")</f>
        <v/>
      </c>
      <c r="U298">
        <f>IFERROR(IF(ISNUMBER(INDEX(SPPR!$E:$X,MATCH($A298,SPPR!$A:$A,0),18)),$C298*INDEX(SPPR!$E:$X,MATCH($A298,SPPR!$A:$A,0),18),""),"")</f>
        <v/>
      </c>
      <c r="V298">
        <f>IFERROR(IF(ISNUMBER(INDEX(SPPR!$E:$X,MATCH($A298,SPPR!$A:$A,0),19)),$C298*INDEX(SPPR!$E:$X,MATCH($A298,SPPR!$A:$A,0),19),""),"")</f>
        <v/>
      </c>
      <c r="W298">
        <f>IFERROR(IF(ISNUMBER(INDEX(SPPR!$E:$X,MATCH($A298,SPPR!$A:$A,0),20)),$C298*INDEX(SPPR!$E:$X,MATCH($A298,SPPR!$A:$A,0),20),""),"")</f>
        <v/>
      </c>
    </row>
    <row r="299">
      <c r="A299" t="inlineStr">
        <is>
          <t>Carcharhinus longimanus</t>
        </is>
      </c>
      <c r="B299">
        <f>IFERROR(INDEX(SPPR!$D:$D,MATCH($A299,SPPR!$A:$A,0)),"")</f>
        <v/>
      </c>
      <c r="C299">
        <f>IFERROR(INDEX(Catch!$E:$BV,MATCH($A299,Catch!$A:$A,0),MATCH($B$4,Catch!$E$1:$BV$1,0)),0)</f>
        <v/>
      </c>
      <c r="D299">
        <f>IFERROR(IF(ISNUMBER(INDEX(SPPR!$E:$X,MATCH($A299,SPPR!$A:$A,0),1)),$C299*INDEX(SPPR!$E:$X,MATCH($A299,SPPR!$A:$A,0),1),""),"")</f>
        <v/>
      </c>
      <c r="E299">
        <f>IFERROR(IF(ISNUMBER(INDEX(SPPR!$E:$X,MATCH($A299,SPPR!$A:$A,0),2)),$C299*INDEX(SPPR!$E:$X,MATCH($A299,SPPR!$A:$A,0),2),""),"")</f>
        <v/>
      </c>
      <c r="F299">
        <f>IFERROR(IF(ISNUMBER(INDEX(SPPR!$E:$X,MATCH($A299,SPPR!$A:$A,0),3)),$C299*INDEX(SPPR!$E:$X,MATCH($A299,SPPR!$A:$A,0),3),""),"")</f>
        <v/>
      </c>
      <c r="G299">
        <f>IFERROR(IF(ISNUMBER(INDEX(SPPR!$E:$X,MATCH($A299,SPPR!$A:$A,0),4)),$C299*INDEX(SPPR!$E:$X,MATCH($A299,SPPR!$A:$A,0),4),""),"")</f>
        <v/>
      </c>
      <c r="H299">
        <f>IFERROR(IF(ISNUMBER(INDEX(SPPR!$E:$X,MATCH($A299,SPPR!$A:$A,0),5)),$C299*INDEX(SPPR!$E:$X,MATCH($A299,SPPR!$A:$A,0),5),""),"")</f>
        <v/>
      </c>
      <c r="I299">
        <f>IFERROR(IF(ISNUMBER(INDEX(SPPR!$E:$X,MATCH($A299,SPPR!$A:$A,0),6)),$C299*INDEX(SPPR!$E:$X,MATCH($A299,SPPR!$A:$A,0),6),""),"")</f>
        <v/>
      </c>
      <c r="J299">
        <f>IFERROR(IF(ISNUMBER(INDEX(SPPR!$E:$X,MATCH($A299,SPPR!$A:$A,0),7)),$C299*INDEX(SPPR!$E:$X,MATCH($A299,SPPR!$A:$A,0),7),""),"")</f>
        <v/>
      </c>
      <c r="K299">
        <f>IFERROR(IF(ISNUMBER(INDEX(SPPR!$E:$X,MATCH($A299,SPPR!$A:$A,0),8)),$C299*INDEX(SPPR!$E:$X,MATCH($A299,SPPR!$A:$A,0),8),""),"")</f>
        <v/>
      </c>
      <c r="L299">
        <f>IFERROR(IF(ISNUMBER(INDEX(SPPR!$E:$X,MATCH($A299,SPPR!$A:$A,0),9)),$C299*INDEX(SPPR!$E:$X,MATCH($A299,SPPR!$A:$A,0),9),""),"")</f>
        <v/>
      </c>
      <c r="M299">
        <f>IFERROR(IF(ISNUMBER(INDEX(SPPR!$E:$X,MATCH($A299,SPPR!$A:$A,0),10)),$C299*INDEX(SPPR!$E:$X,MATCH($A299,SPPR!$A:$A,0),10),""),"")</f>
        <v/>
      </c>
      <c r="N299">
        <f>IFERROR(IF(ISNUMBER(INDEX(SPPR!$E:$X,MATCH($A299,SPPR!$A:$A,0),11)),$C299*INDEX(SPPR!$E:$X,MATCH($A299,SPPR!$A:$A,0),11),""),"")</f>
        <v/>
      </c>
      <c r="O299">
        <f>IFERROR(IF(ISNUMBER(INDEX(SPPR!$E:$X,MATCH($A299,SPPR!$A:$A,0),12)),$C299*INDEX(SPPR!$E:$X,MATCH($A299,SPPR!$A:$A,0),12),""),"")</f>
        <v/>
      </c>
      <c r="P299">
        <f>IFERROR(IF(ISNUMBER(INDEX(SPPR!$E:$X,MATCH($A299,SPPR!$A:$A,0),13)),$C299*INDEX(SPPR!$E:$X,MATCH($A299,SPPR!$A:$A,0),13),""),"")</f>
        <v/>
      </c>
      <c r="Q299">
        <f>IFERROR(IF(ISNUMBER(INDEX(SPPR!$E:$X,MATCH($A299,SPPR!$A:$A,0),14)),$C299*INDEX(SPPR!$E:$X,MATCH($A299,SPPR!$A:$A,0),14),""),"")</f>
        <v/>
      </c>
      <c r="R299">
        <f>IFERROR(IF(ISNUMBER(INDEX(SPPR!$E:$X,MATCH($A299,SPPR!$A:$A,0),15)),$C299*INDEX(SPPR!$E:$X,MATCH($A299,SPPR!$A:$A,0),15),""),"")</f>
        <v/>
      </c>
      <c r="S299">
        <f>IFERROR(IF(ISNUMBER(INDEX(SPPR!$E:$X,MATCH($A299,SPPR!$A:$A,0),16)),$C299*INDEX(SPPR!$E:$X,MATCH($A299,SPPR!$A:$A,0),16),""),"")</f>
        <v/>
      </c>
      <c r="T299">
        <f>IFERROR(IF(ISNUMBER(INDEX(SPPR!$E:$X,MATCH($A299,SPPR!$A:$A,0),17)),$C299*INDEX(SPPR!$E:$X,MATCH($A299,SPPR!$A:$A,0),17),""),"")</f>
        <v/>
      </c>
      <c r="U299">
        <f>IFERROR(IF(ISNUMBER(INDEX(SPPR!$E:$X,MATCH($A299,SPPR!$A:$A,0),18)),$C299*INDEX(SPPR!$E:$X,MATCH($A299,SPPR!$A:$A,0),18),""),"")</f>
        <v/>
      </c>
      <c r="V299">
        <f>IFERROR(IF(ISNUMBER(INDEX(SPPR!$E:$X,MATCH($A299,SPPR!$A:$A,0),19)),$C299*INDEX(SPPR!$E:$X,MATCH($A299,SPPR!$A:$A,0),19),""),"")</f>
        <v/>
      </c>
      <c r="W299">
        <f>IFERROR(IF(ISNUMBER(INDEX(SPPR!$E:$X,MATCH($A299,SPPR!$A:$A,0),20)),$C299*INDEX(SPPR!$E:$X,MATCH($A299,SPPR!$A:$A,0),20),""),"")</f>
        <v/>
      </c>
    </row>
    <row r="300">
      <c r="A300" t="inlineStr">
        <is>
          <t>Ambassidae</t>
        </is>
      </c>
      <c r="B300">
        <f>IFERROR(INDEX(SPPR!$D:$D,MATCH($A300,SPPR!$A:$A,0)),"")</f>
        <v/>
      </c>
      <c r="C300">
        <f>IFERROR(INDEX(Catch!$E:$BV,MATCH($A300,Catch!$A:$A,0),MATCH($B$4,Catch!$E$1:$BV$1,0)),0)</f>
        <v/>
      </c>
      <c r="D300">
        <f>IFERROR(IF(ISNUMBER(INDEX(SPPR!$E:$X,MATCH($A300,SPPR!$A:$A,0),1)),$C300*INDEX(SPPR!$E:$X,MATCH($A300,SPPR!$A:$A,0),1),""),"")</f>
        <v/>
      </c>
      <c r="E300">
        <f>IFERROR(IF(ISNUMBER(INDEX(SPPR!$E:$X,MATCH($A300,SPPR!$A:$A,0),2)),$C300*INDEX(SPPR!$E:$X,MATCH($A300,SPPR!$A:$A,0),2),""),"")</f>
        <v/>
      </c>
      <c r="F300">
        <f>IFERROR(IF(ISNUMBER(INDEX(SPPR!$E:$X,MATCH($A300,SPPR!$A:$A,0),3)),$C300*INDEX(SPPR!$E:$X,MATCH($A300,SPPR!$A:$A,0),3),""),"")</f>
        <v/>
      </c>
      <c r="G300">
        <f>IFERROR(IF(ISNUMBER(INDEX(SPPR!$E:$X,MATCH($A300,SPPR!$A:$A,0),4)),$C300*INDEX(SPPR!$E:$X,MATCH($A300,SPPR!$A:$A,0),4),""),"")</f>
        <v/>
      </c>
      <c r="H300">
        <f>IFERROR(IF(ISNUMBER(INDEX(SPPR!$E:$X,MATCH($A300,SPPR!$A:$A,0),5)),$C300*INDEX(SPPR!$E:$X,MATCH($A300,SPPR!$A:$A,0),5),""),"")</f>
        <v/>
      </c>
      <c r="I300">
        <f>IFERROR(IF(ISNUMBER(INDEX(SPPR!$E:$X,MATCH($A300,SPPR!$A:$A,0),6)),$C300*INDEX(SPPR!$E:$X,MATCH($A300,SPPR!$A:$A,0),6),""),"")</f>
        <v/>
      </c>
      <c r="J300">
        <f>IFERROR(IF(ISNUMBER(INDEX(SPPR!$E:$X,MATCH($A300,SPPR!$A:$A,0),7)),$C300*INDEX(SPPR!$E:$X,MATCH($A300,SPPR!$A:$A,0),7),""),"")</f>
        <v/>
      </c>
      <c r="K300">
        <f>IFERROR(IF(ISNUMBER(INDEX(SPPR!$E:$X,MATCH($A300,SPPR!$A:$A,0),8)),$C300*INDEX(SPPR!$E:$X,MATCH($A300,SPPR!$A:$A,0),8),""),"")</f>
        <v/>
      </c>
      <c r="L300">
        <f>IFERROR(IF(ISNUMBER(INDEX(SPPR!$E:$X,MATCH($A300,SPPR!$A:$A,0),9)),$C300*INDEX(SPPR!$E:$X,MATCH($A300,SPPR!$A:$A,0),9),""),"")</f>
        <v/>
      </c>
      <c r="M300">
        <f>IFERROR(IF(ISNUMBER(INDEX(SPPR!$E:$X,MATCH($A300,SPPR!$A:$A,0),10)),$C300*INDEX(SPPR!$E:$X,MATCH($A300,SPPR!$A:$A,0),10),""),"")</f>
        <v/>
      </c>
      <c r="N300">
        <f>IFERROR(IF(ISNUMBER(INDEX(SPPR!$E:$X,MATCH($A300,SPPR!$A:$A,0),11)),$C300*INDEX(SPPR!$E:$X,MATCH($A300,SPPR!$A:$A,0),11),""),"")</f>
        <v/>
      </c>
      <c r="O300">
        <f>IFERROR(IF(ISNUMBER(INDEX(SPPR!$E:$X,MATCH($A300,SPPR!$A:$A,0),12)),$C300*INDEX(SPPR!$E:$X,MATCH($A300,SPPR!$A:$A,0),12),""),"")</f>
        <v/>
      </c>
      <c r="P300">
        <f>IFERROR(IF(ISNUMBER(INDEX(SPPR!$E:$X,MATCH($A300,SPPR!$A:$A,0),13)),$C300*INDEX(SPPR!$E:$X,MATCH($A300,SPPR!$A:$A,0),13),""),"")</f>
        <v/>
      </c>
      <c r="Q300">
        <f>IFERROR(IF(ISNUMBER(INDEX(SPPR!$E:$X,MATCH($A300,SPPR!$A:$A,0),14)),$C300*INDEX(SPPR!$E:$X,MATCH($A300,SPPR!$A:$A,0),14),""),"")</f>
        <v/>
      </c>
      <c r="R300">
        <f>IFERROR(IF(ISNUMBER(INDEX(SPPR!$E:$X,MATCH($A300,SPPR!$A:$A,0),15)),$C300*INDEX(SPPR!$E:$X,MATCH($A300,SPPR!$A:$A,0),15),""),"")</f>
        <v/>
      </c>
      <c r="S300">
        <f>IFERROR(IF(ISNUMBER(INDEX(SPPR!$E:$X,MATCH($A300,SPPR!$A:$A,0),16)),$C300*INDEX(SPPR!$E:$X,MATCH($A300,SPPR!$A:$A,0),16),""),"")</f>
        <v/>
      </c>
      <c r="T300">
        <f>IFERROR(IF(ISNUMBER(INDEX(SPPR!$E:$X,MATCH($A300,SPPR!$A:$A,0),17)),$C300*INDEX(SPPR!$E:$X,MATCH($A300,SPPR!$A:$A,0),17),""),"")</f>
        <v/>
      </c>
      <c r="U300">
        <f>IFERROR(IF(ISNUMBER(INDEX(SPPR!$E:$X,MATCH($A300,SPPR!$A:$A,0),18)),$C300*INDEX(SPPR!$E:$X,MATCH($A300,SPPR!$A:$A,0),18),""),"")</f>
        <v/>
      </c>
      <c r="V300">
        <f>IFERROR(IF(ISNUMBER(INDEX(SPPR!$E:$X,MATCH($A300,SPPR!$A:$A,0),19)),$C300*INDEX(SPPR!$E:$X,MATCH($A300,SPPR!$A:$A,0),19),""),"")</f>
        <v/>
      </c>
      <c r="W300">
        <f>IFERROR(IF(ISNUMBER(INDEX(SPPR!$E:$X,MATCH($A300,SPPR!$A:$A,0),20)),$C300*INDEX(SPPR!$E:$X,MATCH($A300,SPPR!$A:$A,0),20),""),"")</f>
        <v/>
      </c>
    </row>
    <row r="301">
      <c r="A301" t="inlineStr">
        <is>
          <t>Gazza minuta</t>
        </is>
      </c>
      <c r="B301">
        <f>IFERROR(INDEX(SPPR!$D:$D,MATCH($A301,SPPR!$A:$A,0)),"")</f>
        <v/>
      </c>
      <c r="C301">
        <f>IFERROR(INDEX(Catch!$E:$BV,MATCH($A301,Catch!$A:$A,0),MATCH($B$4,Catch!$E$1:$BV$1,0)),0)</f>
        <v/>
      </c>
      <c r="D301">
        <f>IFERROR(IF(ISNUMBER(INDEX(SPPR!$E:$X,MATCH($A301,SPPR!$A:$A,0),1)),$C301*INDEX(SPPR!$E:$X,MATCH($A301,SPPR!$A:$A,0),1),""),"")</f>
        <v/>
      </c>
      <c r="E301">
        <f>IFERROR(IF(ISNUMBER(INDEX(SPPR!$E:$X,MATCH($A301,SPPR!$A:$A,0),2)),$C301*INDEX(SPPR!$E:$X,MATCH($A301,SPPR!$A:$A,0),2),""),"")</f>
        <v/>
      </c>
      <c r="F301">
        <f>IFERROR(IF(ISNUMBER(INDEX(SPPR!$E:$X,MATCH($A301,SPPR!$A:$A,0),3)),$C301*INDEX(SPPR!$E:$X,MATCH($A301,SPPR!$A:$A,0),3),""),"")</f>
        <v/>
      </c>
      <c r="G301">
        <f>IFERROR(IF(ISNUMBER(INDEX(SPPR!$E:$X,MATCH($A301,SPPR!$A:$A,0),4)),$C301*INDEX(SPPR!$E:$X,MATCH($A301,SPPR!$A:$A,0),4),""),"")</f>
        <v/>
      </c>
      <c r="H301">
        <f>IFERROR(IF(ISNUMBER(INDEX(SPPR!$E:$X,MATCH($A301,SPPR!$A:$A,0),5)),$C301*INDEX(SPPR!$E:$X,MATCH($A301,SPPR!$A:$A,0),5),""),"")</f>
        <v/>
      </c>
      <c r="I301">
        <f>IFERROR(IF(ISNUMBER(INDEX(SPPR!$E:$X,MATCH($A301,SPPR!$A:$A,0),6)),$C301*INDEX(SPPR!$E:$X,MATCH($A301,SPPR!$A:$A,0),6),""),"")</f>
        <v/>
      </c>
      <c r="J301">
        <f>IFERROR(IF(ISNUMBER(INDEX(SPPR!$E:$X,MATCH($A301,SPPR!$A:$A,0),7)),$C301*INDEX(SPPR!$E:$X,MATCH($A301,SPPR!$A:$A,0),7),""),"")</f>
        <v/>
      </c>
      <c r="K301">
        <f>IFERROR(IF(ISNUMBER(INDEX(SPPR!$E:$X,MATCH($A301,SPPR!$A:$A,0),8)),$C301*INDEX(SPPR!$E:$X,MATCH($A301,SPPR!$A:$A,0),8),""),"")</f>
        <v/>
      </c>
      <c r="L301">
        <f>IFERROR(IF(ISNUMBER(INDEX(SPPR!$E:$X,MATCH($A301,SPPR!$A:$A,0),9)),$C301*INDEX(SPPR!$E:$X,MATCH($A301,SPPR!$A:$A,0),9),""),"")</f>
        <v/>
      </c>
      <c r="M301">
        <f>IFERROR(IF(ISNUMBER(INDEX(SPPR!$E:$X,MATCH($A301,SPPR!$A:$A,0),10)),$C301*INDEX(SPPR!$E:$X,MATCH($A301,SPPR!$A:$A,0),10),""),"")</f>
        <v/>
      </c>
      <c r="N301">
        <f>IFERROR(IF(ISNUMBER(INDEX(SPPR!$E:$X,MATCH($A301,SPPR!$A:$A,0),11)),$C301*INDEX(SPPR!$E:$X,MATCH($A301,SPPR!$A:$A,0),11),""),"")</f>
        <v/>
      </c>
      <c r="O301">
        <f>IFERROR(IF(ISNUMBER(INDEX(SPPR!$E:$X,MATCH($A301,SPPR!$A:$A,0),12)),$C301*INDEX(SPPR!$E:$X,MATCH($A301,SPPR!$A:$A,0),12),""),"")</f>
        <v/>
      </c>
      <c r="P301">
        <f>IFERROR(IF(ISNUMBER(INDEX(SPPR!$E:$X,MATCH($A301,SPPR!$A:$A,0),13)),$C301*INDEX(SPPR!$E:$X,MATCH($A301,SPPR!$A:$A,0),13),""),"")</f>
        <v/>
      </c>
      <c r="Q301">
        <f>IFERROR(IF(ISNUMBER(INDEX(SPPR!$E:$X,MATCH($A301,SPPR!$A:$A,0),14)),$C301*INDEX(SPPR!$E:$X,MATCH($A301,SPPR!$A:$A,0),14),""),"")</f>
        <v/>
      </c>
      <c r="R301">
        <f>IFERROR(IF(ISNUMBER(INDEX(SPPR!$E:$X,MATCH($A301,SPPR!$A:$A,0),15)),$C301*INDEX(SPPR!$E:$X,MATCH($A301,SPPR!$A:$A,0),15),""),"")</f>
        <v/>
      </c>
      <c r="S301">
        <f>IFERROR(IF(ISNUMBER(INDEX(SPPR!$E:$X,MATCH($A301,SPPR!$A:$A,0),16)),$C301*INDEX(SPPR!$E:$X,MATCH($A301,SPPR!$A:$A,0),16),""),"")</f>
        <v/>
      </c>
      <c r="T301">
        <f>IFERROR(IF(ISNUMBER(INDEX(SPPR!$E:$X,MATCH($A301,SPPR!$A:$A,0),17)),$C301*INDEX(SPPR!$E:$X,MATCH($A301,SPPR!$A:$A,0),17),""),"")</f>
        <v/>
      </c>
      <c r="U301">
        <f>IFERROR(IF(ISNUMBER(INDEX(SPPR!$E:$X,MATCH($A301,SPPR!$A:$A,0),18)),$C301*INDEX(SPPR!$E:$X,MATCH($A301,SPPR!$A:$A,0),18),""),"")</f>
        <v/>
      </c>
      <c r="V301">
        <f>IFERROR(IF(ISNUMBER(INDEX(SPPR!$E:$X,MATCH($A301,SPPR!$A:$A,0),19)),$C301*INDEX(SPPR!$E:$X,MATCH($A301,SPPR!$A:$A,0),19),""),"")</f>
        <v/>
      </c>
      <c r="W301">
        <f>IFERROR(IF(ISNUMBER(INDEX(SPPR!$E:$X,MATCH($A301,SPPR!$A:$A,0),20)),$C301*INDEX(SPPR!$E:$X,MATCH($A301,SPPR!$A:$A,0),20),""),"")</f>
        <v/>
      </c>
    </row>
    <row r="302">
      <c r="A302" t="inlineStr">
        <is>
          <t>Aluterus</t>
        </is>
      </c>
      <c r="B302">
        <f>IFERROR(INDEX(SPPR!$D:$D,MATCH($A302,SPPR!$A:$A,0)),"")</f>
        <v/>
      </c>
      <c r="C302">
        <f>IFERROR(INDEX(Catch!$E:$BV,MATCH($A302,Catch!$A:$A,0),MATCH($B$4,Catch!$E$1:$BV$1,0)),0)</f>
        <v/>
      </c>
      <c r="D302">
        <f>IFERROR(IF(ISNUMBER(INDEX(SPPR!$E:$X,MATCH($A302,SPPR!$A:$A,0),1)),$C302*INDEX(SPPR!$E:$X,MATCH($A302,SPPR!$A:$A,0),1),""),"")</f>
        <v/>
      </c>
      <c r="E302">
        <f>IFERROR(IF(ISNUMBER(INDEX(SPPR!$E:$X,MATCH($A302,SPPR!$A:$A,0),2)),$C302*INDEX(SPPR!$E:$X,MATCH($A302,SPPR!$A:$A,0),2),""),"")</f>
        <v/>
      </c>
      <c r="F302">
        <f>IFERROR(IF(ISNUMBER(INDEX(SPPR!$E:$X,MATCH($A302,SPPR!$A:$A,0),3)),$C302*INDEX(SPPR!$E:$X,MATCH($A302,SPPR!$A:$A,0),3),""),"")</f>
        <v/>
      </c>
      <c r="G302">
        <f>IFERROR(IF(ISNUMBER(INDEX(SPPR!$E:$X,MATCH($A302,SPPR!$A:$A,0),4)),$C302*INDEX(SPPR!$E:$X,MATCH($A302,SPPR!$A:$A,0),4),""),"")</f>
        <v/>
      </c>
      <c r="H302">
        <f>IFERROR(IF(ISNUMBER(INDEX(SPPR!$E:$X,MATCH($A302,SPPR!$A:$A,0),5)),$C302*INDEX(SPPR!$E:$X,MATCH($A302,SPPR!$A:$A,0),5),""),"")</f>
        <v/>
      </c>
      <c r="I302">
        <f>IFERROR(IF(ISNUMBER(INDEX(SPPR!$E:$X,MATCH($A302,SPPR!$A:$A,0),6)),$C302*INDEX(SPPR!$E:$X,MATCH($A302,SPPR!$A:$A,0),6),""),"")</f>
        <v/>
      </c>
      <c r="J302">
        <f>IFERROR(IF(ISNUMBER(INDEX(SPPR!$E:$X,MATCH($A302,SPPR!$A:$A,0),7)),$C302*INDEX(SPPR!$E:$X,MATCH($A302,SPPR!$A:$A,0),7),""),"")</f>
        <v/>
      </c>
      <c r="K302">
        <f>IFERROR(IF(ISNUMBER(INDEX(SPPR!$E:$X,MATCH($A302,SPPR!$A:$A,0),8)),$C302*INDEX(SPPR!$E:$X,MATCH($A302,SPPR!$A:$A,0),8),""),"")</f>
        <v/>
      </c>
      <c r="L302">
        <f>IFERROR(IF(ISNUMBER(INDEX(SPPR!$E:$X,MATCH($A302,SPPR!$A:$A,0),9)),$C302*INDEX(SPPR!$E:$X,MATCH($A302,SPPR!$A:$A,0),9),""),"")</f>
        <v/>
      </c>
      <c r="M302">
        <f>IFERROR(IF(ISNUMBER(INDEX(SPPR!$E:$X,MATCH($A302,SPPR!$A:$A,0),10)),$C302*INDEX(SPPR!$E:$X,MATCH($A302,SPPR!$A:$A,0),10),""),"")</f>
        <v/>
      </c>
      <c r="N302">
        <f>IFERROR(IF(ISNUMBER(INDEX(SPPR!$E:$X,MATCH($A302,SPPR!$A:$A,0),11)),$C302*INDEX(SPPR!$E:$X,MATCH($A302,SPPR!$A:$A,0),11),""),"")</f>
        <v/>
      </c>
      <c r="O302">
        <f>IFERROR(IF(ISNUMBER(INDEX(SPPR!$E:$X,MATCH($A302,SPPR!$A:$A,0),12)),$C302*INDEX(SPPR!$E:$X,MATCH($A302,SPPR!$A:$A,0),12),""),"")</f>
        <v/>
      </c>
      <c r="P302">
        <f>IFERROR(IF(ISNUMBER(INDEX(SPPR!$E:$X,MATCH($A302,SPPR!$A:$A,0),13)),$C302*INDEX(SPPR!$E:$X,MATCH($A302,SPPR!$A:$A,0),13),""),"")</f>
        <v/>
      </c>
      <c r="Q302">
        <f>IFERROR(IF(ISNUMBER(INDEX(SPPR!$E:$X,MATCH($A302,SPPR!$A:$A,0),14)),$C302*INDEX(SPPR!$E:$X,MATCH($A302,SPPR!$A:$A,0),14),""),"")</f>
        <v/>
      </c>
      <c r="R302">
        <f>IFERROR(IF(ISNUMBER(INDEX(SPPR!$E:$X,MATCH($A302,SPPR!$A:$A,0),15)),$C302*INDEX(SPPR!$E:$X,MATCH($A302,SPPR!$A:$A,0),15),""),"")</f>
        <v/>
      </c>
      <c r="S302">
        <f>IFERROR(IF(ISNUMBER(INDEX(SPPR!$E:$X,MATCH($A302,SPPR!$A:$A,0),16)),$C302*INDEX(SPPR!$E:$X,MATCH($A302,SPPR!$A:$A,0),16),""),"")</f>
        <v/>
      </c>
      <c r="T302">
        <f>IFERROR(IF(ISNUMBER(INDEX(SPPR!$E:$X,MATCH($A302,SPPR!$A:$A,0),17)),$C302*INDEX(SPPR!$E:$X,MATCH($A302,SPPR!$A:$A,0),17),""),"")</f>
        <v/>
      </c>
      <c r="U302">
        <f>IFERROR(IF(ISNUMBER(INDEX(SPPR!$E:$X,MATCH($A302,SPPR!$A:$A,0),18)),$C302*INDEX(SPPR!$E:$X,MATCH($A302,SPPR!$A:$A,0),18),""),"")</f>
        <v/>
      </c>
      <c r="V302">
        <f>IFERROR(IF(ISNUMBER(INDEX(SPPR!$E:$X,MATCH($A302,SPPR!$A:$A,0),19)),$C302*INDEX(SPPR!$E:$X,MATCH($A302,SPPR!$A:$A,0),19),""),"")</f>
        <v/>
      </c>
      <c r="W302">
        <f>IFERROR(IF(ISNUMBER(INDEX(SPPR!$E:$X,MATCH($A302,SPPR!$A:$A,0),20)),$C302*INDEX(SPPR!$E:$X,MATCH($A302,SPPR!$A:$A,0),20),""),"")</f>
        <v/>
      </c>
    </row>
    <row r="303">
      <c r="A303" t="inlineStr">
        <is>
          <t>Hemitriakis japanica</t>
        </is>
      </c>
      <c r="B303">
        <f>IFERROR(INDEX(SPPR!$D:$D,MATCH($A303,SPPR!$A:$A,0)),"")</f>
        <v/>
      </c>
      <c r="C303">
        <f>IFERROR(INDEX(Catch!$E:$BV,MATCH($A303,Catch!$A:$A,0),MATCH($B$4,Catch!$E$1:$BV$1,0)),0)</f>
        <v/>
      </c>
      <c r="D303">
        <f>IFERROR(IF(ISNUMBER(INDEX(SPPR!$E:$X,MATCH($A303,SPPR!$A:$A,0),1)),$C303*INDEX(SPPR!$E:$X,MATCH($A303,SPPR!$A:$A,0),1),""),"")</f>
        <v/>
      </c>
      <c r="E303">
        <f>IFERROR(IF(ISNUMBER(INDEX(SPPR!$E:$X,MATCH($A303,SPPR!$A:$A,0),2)),$C303*INDEX(SPPR!$E:$X,MATCH($A303,SPPR!$A:$A,0),2),""),"")</f>
        <v/>
      </c>
      <c r="F303">
        <f>IFERROR(IF(ISNUMBER(INDEX(SPPR!$E:$X,MATCH($A303,SPPR!$A:$A,0),3)),$C303*INDEX(SPPR!$E:$X,MATCH($A303,SPPR!$A:$A,0),3),""),"")</f>
        <v/>
      </c>
      <c r="G303">
        <f>IFERROR(IF(ISNUMBER(INDEX(SPPR!$E:$X,MATCH($A303,SPPR!$A:$A,0),4)),$C303*INDEX(SPPR!$E:$X,MATCH($A303,SPPR!$A:$A,0),4),""),"")</f>
        <v/>
      </c>
      <c r="H303">
        <f>IFERROR(IF(ISNUMBER(INDEX(SPPR!$E:$X,MATCH($A303,SPPR!$A:$A,0),5)),$C303*INDEX(SPPR!$E:$X,MATCH($A303,SPPR!$A:$A,0),5),""),"")</f>
        <v/>
      </c>
      <c r="I303">
        <f>IFERROR(IF(ISNUMBER(INDEX(SPPR!$E:$X,MATCH($A303,SPPR!$A:$A,0),6)),$C303*INDEX(SPPR!$E:$X,MATCH($A303,SPPR!$A:$A,0),6),""),"")</f>
        <v/>
      </c>
      <c r="J303">
        <f>IFERROR(IF(ISNUMBER(INDEX(SPPR!$E:$X,MATCH($A303,SPPR!$A:$A,0),7)),$C303*INDEX(SPPR!$E:$X,MATCH($A303,SPPR!$A:$A,0),7),""),"")</f>
        <v/>
      </c>
      <c r="K303">
        <f>IFERROR(IF(ISNUMBER(INDEX(SPPR!$E:$X,MATCH($A303,SPPR!$A:$A,0),8)),$C303*INDEX(SPPR!$E:$X,MATCH($A303,SPPR!$A:$A,0),8),""),"")</f>
        <v/>
      </c>
      <c r="L303">
        <f>IFERROR(IF(ISNUMBER(INDEX(SPPR!$E:$X,MATCH($A303,SPPR!$A:$A,0),9)),$C303*INDEX(SPPR!$E:$X,MATCH($A303,SPPR!$A:$A,0),9),""),"")</f>
        <v/>
      </c>
      <c r="M303">
        <f>IFERROR(IF(ISNUMBER(INDEX(SPPR!$E:$X,MATCH($A303,SPPR!$A:$A,0),10)),$C303*INDEX(SPPR!$E:$X,MATCH($A303,SPPR!$A:$A,0),10),""),"")</f>
        <v/>
      </c>
      <c r="N303">
        <f>IFERROR(IF(ISNUMBER(INDEX(SPPR!$E:$X,MATCH($A303,SPPR!$A:$A,0),11)),$C303*INDEX(SPPR!$E:$X,MATCH($A303,SPPR!$A:$A,0),11),""),"")</f>
        <v/>
      </c>
      <c r="O303">
        <f>IFERROR(IF(ISNUMBER(INDEX(SPPR!$E:$X,MATCH($A303,SPPR!$A:$A,0),12)),$C303*INDEX(SPPR!$E:$X,MATCH($A303,SPPR!$A:$A,0),12),""),"")</f>
        <v/>
      </c>
      <c r="P303">
        <f>IFERROR(IF(ISNUMBER(INDEX(SPPR!$E:$X,MATCH($A303,SPPR!$A:$A,0),13)),$C303*INDEX(SPPR!$E:$X,MATCH($A303,SPPR!$A:$A,0),13),""),"")</f>
        <v/>
      </c>
      <c r="Q303">
        <f>IFERROR(IF(ISNUMBER(INDEX(SPPR!$E:$X,MATCH($A303,SPPR!$A:$A,0),14)),$C303*INDEX(SPPR!$E:$X,MATCH($A303,SPPR!$A:$A,0),14),""),"")</f>
        <v/>
      </c>
      <c r="R303">
        <f>IFERROR(IF(ISNUMBER(INDEX(SPPR!$E:$X,MATCH($A303,SPPR!$A:$A,0),15)),$C303*INDEX(SPPR!$E:$X,MATCH($A303,SPPR!$A:$A,0),15),""),"")</f>
        <v/>
      </c>
      <c r="S303">
        <f>IFERROR(IF(ISNUMBER(INDEX(SPPR!$E:$X,MATCH($A303,SPPR!$A:$A,0),16)),$C303*INDEX(SPPR!$E:$X,MATCH($A303,SPPR!$A:$A,0),16),""),"")</f>
        <v/>
      </c>
      <c r="T303">
        <f>IFERROR(IF(ISNUMBER(INDEX(SPPR!$E:$X,MATCH($A303,SPPR!$A:$A,0),17)),$C303*INDEX(SPPR!$E:$X,MATCH($A303,SPPR!$A:$A,0),17),""),"")</f>
        <v/>
      </c>
      <c r="U303">
        <f>IFERROR(IF(ISNUMBER(INDEX(SPPR!$E:$X,MATCH($A303,SPPR!$A:$A,0),18)),$C303*INDEX(SPPR!$E:$X,MATCH($A303,SPPR!$A:$A,0),18),""),"")</f>
        <v/>
      </c>
      <c r="V303">
        <f>IFERROR(IF(ISNUMBER(INDEX(SPPR!$E:$X,MATCH($A303,SPPR!$A:$A,0),19)),$C303*INDEX(SPPR!$E:$X,MATCH($A303,SPPR!$A:$A,0),19),""),"")</f>
        <v/>
      </c>
      <c r="W303">
        <f>IFERROR(IF(ISNUMBER(INDEX(SPPR!$E:$X,MATCH($A303,SPPR!$A:$A,0),20)),$C303*INDEX(SPPR!$E:$X,MATCH($A303,SPPR!$A:$A,0),20),""),"")</f>
        <v/>
      </c>
    </row>
    <row r="304">
      <c r="A304" t="inlineStr">
        <is>
          <t>Echinodermata</t>
        </is>
      </c>
      <c r="B304">
        <f>IFERROR(INDEX(SPPR!$D:$D,MATCH($A304,SPPR!$A:$A,0)),"")</f>
        <v/>
      </c>
      <c r="C304">
        <f>IFERROR(INDEX(Catch!$E:$BV,MATCH($A304,Catch!$A:$A,0),MATCH($B$4,Catch!$E$1:$BV$1,0)),0)</f>
        <v/>
      </c>
      <c r="D304">
        <f>IFERROR(IF(ISNUMBER(INDEX(SPPR!$E:$X,MATCH($A304,SPPR!$A:$A,0),1)),$C304*INDEX(SPPR!$E:$X,MATCH($A304,SPPR!$A:$A,0),1),""),"")</f>
        <v/>
      </c>
      <c r="E304">
        <f>IFERROR(IF(ISNUMBER(INDEX(SPPR!$E:$X,MATCH($A304,SPPR!$A:$A,0),2)),$C304*INDEX(SPPR!$E:$X,MATCH($A304,SPPR!$A:$A,0),2),""),"")</f>
        <v/>
      </c>
      <c r="F304">
        <f>IFERROR(IF(ISNUMBER(INDEX(SPPR!$E:$X,MATCH($A304,SPPR!$A:$A,0),3)),$C304*INDEX(SPPR!$E:$X,MATCH($A304,SPPR!$A:$A,0),3),""),"")</f>
        <v/>
      </c>
      <c r="G304">
        <f>IFERROR(IF(ISNUMBER(INDEX(SPPR!$E:$X,MATCH($A304,SPPR!$A:$A,0),4)),$C304*INDEX(SPPR!$E:$X,MATCH($A304,SPPR!$A:$A,0),4),""),"")</f>
        <v/>
      </c>
      <c r="H304">
        <f>IFERROR(IF(ISNUMBER(INDEX(SPPR!$E:$X,MATCH($A304,SPPR!$A:$A,0),5)),$C304*INDEX(SPPR!$E:$X,MATCH($A304,SPPR!$A:$A,0),5),""),"")</f>
        <v/>
      </c>
      <c r="I304">
        <f>IFERROR(IF(ISNUMBER(INDEX(SPPR!$E:$X,MATCH($A304,SPPR!$A:$A,0),6)),$C304*INDEX(SPPR!$E:$X,MATCH($A304,SPPR!$A:$A,0),6),""),"")</f>
        <v/>
      </c>
      <c r="J304">
        <f>IFERROR(IF(ISNUMBER(INDEX(SPPR!$E:$X,MATCH($A304,SPPR!$A:$A,0),7)),$C304*INDEX(SPPR!$E:$X,MATCH($A304,SPPR!$A:$A,0),7),""),"")</f>
        <v/>
      </c>
      <c r="K304">
        <f>IFERROR(IF(ISNUMBER(INDEX(SPPR!$E:$X,MATCH($A304,SPPR!$A:$A,0),8)),$C304*INDEX(SPPR!$E:$X,MATCH($A304,SPPR!$A:$A,0),8),""),"")</f>
        <v/>
      </c>
      <c r="L304">
        <f>IFERROR(IF(ISNUMBER(INDEX(SPPR!$E:$X,MATCH($A304,SPPR!$A:$A,0),9)),$C304*INDEX(SPPR!$E:$X,MATCH($A304,SPPR!$A:$A,0),9),""),"")</f>
        <v/>
      </c>
      <c r="M304">
        <f>IFERROR(IF(ISNUMBER(INDEX(SPPR!$E:$X,MATCH($A304,SPPR!$A:$A,0),10)),$C304*INDEX(SPPR!$E:$X,MATCH($A304,SPPR!$A:$A,0),10),""),"")</f>
        <v/>
      </c>
      <c r="N304">
        <f>IFERROR(IF(ISNUMBER(INDEX(SPPR!$E:$X,MATCH($A304,SPPR!$A:$A,0),11)),$C304*INDEX(SPPR!$E:$X,MATCH($A304,SPPR!$A:$A,0),11),""),"")</f>
        <v/>
      </c>
      <c r="O304">
        <f>IFERROR(IF(ISNUMBER(INDEX(SPPR!$E:$X,MATCH($A304,SPPR!$A:$A,0),12)),$C304*INDEX(SPPR!$E:$X,MATCH($A304,SPPR!$A:$A,0),12),""),"")</f>
        <v/>
      </c>
      <c r="P304">
        <f>IFERROR(IF(ISNUMBER(INDEX(SPPR!$E:$X,MATCH($A304,SPPR!$A:$A,0),13)),$C304*INDEX(SPPR!$E:$X,MATCH($A304,SPPR!$A:$A,0),13),""),"")</f>
        <v/>
      </c>
      <c r="Q304">
        <f>IFERROR(IF(ISNUMBER(INDEX(SPPR!$E:$X,MATCH($A304,SPPR!$A:$A,0),14)),$C304*INDEX(SPPR!$E:$X,MATCH($A304,SPPR!$A:$A,0),14),""),"")</f>
        <v/>
      </c>
      <c r="R304">
        <f>IFERROR(IF(ISNUMBER(INDEX(SPPR!$E:$X,MATCH($A304,SPPR!$A:$A,0),15)),$C304*INDEX(SPPR!$E:$X,MATCH($A304,SPPR!$A:$A,0),15),""),"")</f>
        <v/>
      </c>
      <c r="S304">
        <f>IFERROR(IF(ISNUMBER(INDEX(SPPR!$E:$X,MATCH($A304,SPPR!$A:$A,0),16)),$C304*INDEX(SPPR!$E:$X,MATCH($A304,SPPR!$A:$A,0),16),""),"")</f>
        <v/>
      </c>
      <c r="T304">
        <f>IFERROR(IF(ISNUMBER(INDEX(SPPR!$E:$X,MATCH($A304,SPPR!$A:$A,0),17)),$C304*INDEX(SPPR!$E:$X,MATCH($A304,SPPR!$A:$A,0),17),""),"")</f>
        <v/>
      </c>
      <c r="U304">
        <f>IFERROR(IF(ISNUMBER(INDEX(SPPR!$E:$X,MATCH($A304,SPPR!$A:$A,0),18)),$C304*INDEX(SPPR!$E:$X,MATCH($A304,SPPR!$A:$A,0),18),""),"")</f>
        <v/>
      </c>
      <c r="V304">
        <f>IFERROR(IF(ISNUMBER(INDEX(SPPR!$E:$X,MATCH($A304,SPPR!$A:$A,0),19)),$C304*INDEX(SPPR!$E:$X,MATCH($A304,SPPR!$A:$A,0),19),""),"")</f>
        <v/>
      </c>
      <c r="W304">
        <f>IFERROR(IF(ISNUMBER(INDEX(SPPR!$E:$X,MATCH($A304,SPPR!$A:$A,0),20)),$C304*INDEX(SPPR!$E:$X,MATCH($A304,SPPR!$A:$A,0),20),""),"")</f>
        <v/>
      </c>
    </row>
    <row r="305">
      <c r="A305" t="inlineStr">
        <is>
          <t>Dasyatidae</t>
        </is>
      </c>
      <c r="B305">
        <f>IFERROR(INDEX(SPPR!$D:$D,MATCH($A305,SPPR!$A:$A,0)),"")</f>
        <v/>
      </c>
      <c r="C305">
        <f>IFERROR(INDEX(Catch!$E:$BV,MATCH($A305,Catch!$A:$A,0),MATCH($B$4,Catch!$E$1:$BV$1,0)),0)</f>
        <v/>
      </c>
      <c r="D305">
        <f>IFERROR(IF(ISNUMBER(INDEX(SPPR!$E:$X,MATCH($A305,SPPR!$A:$A,0),1)),$C305*INDEX(SPPR!$E:$X,MATCH($A305,SPPR!$A:$A,0),1),""),"")</f>
        <v/>
      </c>
      <c r="E305">
        <f>IFERROR(IF(ISNUMBER(INDEX(SPPR!$E:$X,MATCH($A305,SPPR!$A:$A,0),2)),$C305*INDEX(SPPR!$E:$X,MATCH($A305,SPPR!$A:$A,0),2),""),"")</f>
        <v/>
      </c>
      <c r="F305">
        <f>IFERROR(IF(ISNUMBER(INDEX(SPPR!$E:$X,MATCH($A305,SPPR!$A:$A,0),3)),$C305*INDEX(SPPR!$E:$X,MATCH($A305,SPPR!$A:$A,0),3),""),"")</f>
        <v/>
      </c>
      <c r="G305">
        <f>IFERROR(IF(ISNUMBER(INDEX(SPPR!$E:$X,MATCH($A305,SPPR!$A:$A,0),4)),$C305*INDEX(SPPR!$E:$X,MATCH($A305,SPPR!$A:$A,0),4),""),"")</f>
        <v/>
      </c>
      <c r="H305">
        <f>IFERROR(IF(ISNUMBER(INDEX(SPPR!$E:$X,MATCH($A305,SPPR!$A:$A,0),5)),$C305*INDEX(SPPR!$E:$X,MATCH($A305,SPPR!$A:$A,0),5),""),"")</f>
        <v/>
      </c>
      <c r="I305">
        <f>IFERROR(IF(ISNUMBER(INDEX(SPPR!$E:$X,MATCH($A305,SPPR!$A:$A,0),6)),$C305*INDEX(SPPR!$E:$X,MATCH($A305,SPPR!$A:$A,0),6),""),"")</f>
        <v/>
      </c>
      <c r="J305">
        <f>IFERROR(IF(ISNUMBER(INDEX(SPPR!$E:$X,MATCH($A305,SPPR!$A:$A,0),7)),$C305*INDEX(SPPR!$E:$X,MATCH($A305,SPPR!$A:$A,0),7),""),"")</f>
        <v/>
      </c>
      <c r="K305">
        <f>IFERROR(IF(ISNUMBER(INDEX(SPPR!$E:$X,MATCH($A305,SPPR!$A:$A,0),8)),$C305*INDEX(SPPR!$E:$X,MATCH($A305,SPPR!$A:$A,0),8),""),"")</f>
        <v/>
      </c>
      <c r="L305">
        <f>IFERROR(IF(ISNUMBER(INDEX(SPPR!$E:$X,MATCH($A305,SPPR!$A:$A,0),9)),$C305*INDEX(SPPR!$E:$X,MATCH($A305,SPPR!$A:$A,0),9),""),"")</f>
        <v/>
      </c>
      <c r="M305">
        <f>IFERROR(IF(ISNUMBER(INDEX(SPPR!$E:$X,MATCH($A305,SPPR!$A:$A,0),10)),$C305*INDEX(SPPR!$E:$X,MATCH($A305,SPPR!$A:$A,0),10),""),"")</f>
        <v/>
      </c>
      <c r="N305">
        <f>IFERROR(IF(ISNUMBER(INDEX(SPPR!$E:$X,MATCH($A305,SPPR!$A:$A,0),11)),$C305*INDEX(SPPR!$E:$X,MATCH($A305,SPPR!$A:$A,0),11),""),"")</f>
        <v/>
      </c>
      <c r="O305">
        <f>IFERROR(IF(ISNUMBER(INDEX(SPPR!$E:$X,MATCH($A305,SPPR!$A:$A,0),12)),$C305*INDEX(SPPR!$E:$X,MATCH($A305,SPPR!$A:$A,0),12),""),"")</f>
        <v/>
      </c>
      <c r="P305">
        <f>IFERROR(IF(ISNUMBER(INDEX(SPPR!$E:$X,MATCH($A305,SPPR!$A:$A,0),13)),$C305*INDEX(SPPR!$E:$X,MATCH($A305,SPPR!$A:$A,0),13),""),"")</f>
        <v/>
      </c>
      <c r="Q305">
        <f>IFERROR(IF(ISNUMBER(INDEX(SPPR!$E:$X,MATCH($A305,SPPR!$A:$A,0),14)),$C305*INDEX(SPPR!$E:$X,MATCH($A305,SPPR!$A:$A,0),14),""),"")</f>
        <v/>
      </c>
      <c r="R305">
        <f>IFERROR(IF(ISNUMBER(INDEX(SPPR!$E:$X,MATCH($A305,SPPR!$A:$A,0),15)),$C305*INDEX(SPPR!$E:$X,MATCH($A305,SPPR!$A:$A,0),15),""),"")</f>
        <v/>
      </c>
      <c r="S305">
        <f>IFERROR(IF(ISNUMBER(INDEX(SPPR!$E:$X,MATCH($A305,SPPR!$A:$A,0),16)),$C305*INDEX(SPPR!$E:$X,MATCH($A305,SPPR!$A:$A,0),16),""),"")</f>
        <v/>
      </c>
      <c r="T305">
        <f>IFERROR(IF(ISNUMBER(INDEX(SPPR!$E:$X,MATCH($A305,SPPR!$A:$A,0),17)),$C305*INDEX(SPPR!$E:$X,MATCH($A305,SPPR!$A:$A,0),17),""),"")</f>
        <v/>
      </c>
      <c r="U305">
        <f>IFERROR(IF(ISNUMBER(INDEX(SPPR!$E:$X,MATCH($A305,SPPR!$A:$A,0),18)),$C305*INDEX(SPPR!$E:$X,MATCH($A305,SPPR!$A:$A,0),18),""),"")</f>
        <v/>
      </c>
      <c r="V305">
        <f>IFERROR(IF(ISNUMBER(INDEX(SPPR!$E:$X,MATCH($A305,SPPR!$A:$A,0),19)),$C305*INDEX(SPPR!$E:$X,MATCH($A305,SPPR!$A:$A,0),19),""),"")</f>
        <v/>
      </c>
      <c r="W305">
        <f>IFERROR(IF(ISNUMBER(INDEX(SPPR!$E:$X,MATCH($A305,SPPR!$A:$A,0),20)),$C305*INDEX(SPPR!$E:$X,MATCH($A305,SPPR!$A:$A,0),20),""),"")</f>
        <v/>
      </c>
    </row>
    <row r="306">
      <c r="A306" t="inlineStr">
        <is>
          <t>Chanos chanos</t>
        </is>
      </c>
      <c r="B306">
        <f>IFERROR(INDEX(SPPR!$D:$D,MATCH($A306,SPPR!$A:$A,0)),"")</f>
        <v/>
      </c>
      <c r="C306">
        <f>IFERROR(INDEX(Catch!$E:$BV,MATCH($A306,Catch!$A:$A,0),MATCH($B$4,Catch!$E$1:$BV$1,0)),0)</f>
        <v/>
      </c>
      <c r="D306">
        <f>IFERROR(IF(ISNUMBER(INDEX(SPPR!$E:$X,MATCH($A306,SPPR!$A:$A,0),1)),$C306*INDEX(SPPR!$E:$X,MATCH($A306,SPPR!$A:$A,0),1),""),"")</f>
        <v/>
      </c>
      <c r="E306">
        <f>IFERROR(IF(ISNUMBER(INDEX(SPPR!$E:$X,MATCH($A306,SPPR!$A:$A,0),2)),$C306*INDEX(SPPR!$E:$X,MATCH($A306,SPPR!$A:$A,0),2),""),"")</f>
        <v/>
      </c>
      <c r="F306">
        <f>IFERROR(IF(ISNUMBER(INDEX(SPPR!$E:$X,MATCH($A306,SPPR!$A:$A,0),3)),$C306*INDEX(SPPR!$E:$X,MATCH($A306,SPPR!$A:$A,0),3),""),"")</f>
        <v/>
      </c>
      <c r="G306">
        <f>IFERROR(IF(ISNUMBER(INDEX(SPPR!$E:$X,MATCH($A306,SPPR!$A:$A,0),4)),$C306*INDEX(SPPR!$E:$X,MATCH($A306,SPPR!$A:$A,0),4),""),"")</f>
        <v/>
      </c>
      <c r="H306">
        <f>IFERROR(IF(ISNUMBER(INDEX(SPPR!$E:$X,MATCH($A306,SPPR!$A:$A,0),5)),$C306*INDEX(SPPR!$E:$X,MATCH($A306,SPPR!$A:$A,0),5),""),"")</f>
        <v/>
      </c>
      <c r="I306">
        <f>IFERROR(IF(ISNUMBER(INDEX(SPPR!$E:$X,MATCH($A306,SPPR!$A:$A,0),6)),$C306*INDEX(SPPR!$E:$X,MATCH($A306,SPPR!$A:$A,0),6),""),"")</f>
        <v/>
      </c>
      <c r="J306">
        <f>IFERROR(IF(ISNUMBER(INDEX(SPPR!$E:$X,MATCH($A306,SPPR!$A:$A,0),7)),$C306*INDEX(SPPR!$E:$X,MATCH($A306,SPPR!$A:$A,0),7),""),"")</f>
        <v/>
      </c>
      <c r="K306">
        <f>IFERROR(IF(ISNUMBER(INDEX(SPPR!$E:$X,MATCH($A306,SPPR!$A:$A,0),8)),$C306*INDEX(SPPR!$E:$X,MATCH($A306,SPPR!$A:$A,0),8),""),"")</f>
        <v/>
      </c>
      <c r="L306">
        <f>IFERROR(IF(ISNUMBER(INDEX(SPPR!$E:$X,MATCH($A306,SPPR!$A:$A,0),9)),$C306*INDEX(SPPR!$E:$X,MATCH($A306,SPPR!$A:$A,0),9),""),"")</f>
        <v/>
      </c>
      <c r="M306">
        <f>IFERROR(IF(ISNUMBER(INDEX(SPPR!$E:$X,MATCH($A306,SPPR!$A:$A,0),10)),$C306*INDEX(SPPR!$E:$X,MATCH($A306,SPPR!$A:$A,0),10),""),"")</f>
        <v/>
      </c>
      <c r="N306">
        <f>IFERROR(IF(ISNUMBER(INDEX(SPPR!$E:$X,MATCH($A306,SPPR!$A:$A,0),11)),$C306*INDEX(SPPR!$E:$X,MATCH($A306,SPPR!$A:$A,0),11),""),"")</f>
        <v/>
      </c>
      <c r="O306">
        <f>IFERROR(IF(ISNUMBER(INDEX(SPPR!$E:$X,MATCH($A306,SPPR!$A:$A,0),12)),$C306*INDEX(SPPR!$E:$X,MATCH($A306,SPPR!$A:$A,0),12),""),"")</f>
        <v/>
      </c>
      <c r="P306">
        <f>IFERROR(IF(ISNUMBER(INDEX(SPPR!$E:$X,MATCH($A306,SPPR!$A:$A,0),13)),$C306*INDEX(SPPR!$E:$X,MATCH($A306,SPPR!$A:$A,0),13),""),"")</f>
        <v/>
      </c>
      <c r="Q306">
        <f>IFERROR(IF(ISNUMBER(INDEX(SPPR!$E:$X,MATCH($A306,SPPR!$A:$A,0),14)),$C306*INDEX(SPPR!$E:$X,MATCH($A306,SPPR!$A:$A,0),14),""),"")</f>
        <v/>
      </c>
      <c r="R306">
        <f>IFERROR(IF(ISNUMBER(INDEX(SPPR!$E:$X,MATCH($A306,SPPR!$A:$A,0),15)),$C306*INDEX(SPPR!$E:$X,MATCH($A306,SPPR!$A:$A,0),15),""),"")</f>
        <v/>
      </c>
      <c r="S306">
        <f>IFERROR(IF(ISNUMBER(INDEX(SPPR!$E:$X,MATCH($A306,SPPR!$A:$A,0),16)),$C306*INDEX(SPPR!$E:$X,MATCH($A306,SPPR!$A:$A,0),16),""),"")</f>
        <v/>
      </c>
      <c r="T306">
        <f>IFERROR(IF(ISNUMBER(INDEX(SPPR!$E:$X,MATCH($A306,SPPR!$A:$A,0),17)),$C306*INDEX(SPPR!$E:$X,MATCH($A306,SPPR!$A:$A,0),17),""),"")</f>
        <v/>
      </c>
      <c r="U306">
        <f>IFERROR(IF(ISNUMBER(INDEX(SPPR!$E:$X,MATCH($A306,SPPR!$A:$A,0),18)),$C306*INDEX(SPPR!$E:$X,MATCH($A306,SPPR!$A:$A,0),18),""),"")</f>
        <v/>
      </c>
      <c r="V306">
        <f>IFERROR(IF(ISNUMBER(INDEX(SPPR!$E:$X,MATCH($A306,SPPR!$A:$A,0),19)),$C306*INDEX(SPPR!$E:$X,MATCH($A306,SPPR!$A:$A,0),19),""),"")</f>
        <v/>
      </c>
      <c r="W306">
        <f>IFERROR(IF(ISNUMBER(INDEX(SPPR!$E:$X,MATCH($A306,SPPR!$A:$A,0),20)),$C306*INDEX(SPPR!$E:$X,MATCH($A306,SPPR!$A:$A,0),20),""),"")</f>
        <v/>
      </c>
    </row>
    <row r="307">
      <c r="A307" t="inlineStr">
        <is>
          <t>Sphyraena obtusata</t>
        </is>
      </c>
      <c r="B307">
        <f>IFERROR(INDEX(SPPR!$D:$D,MATCH($A307,SPPR!$A:$A,0)),"")</f>
        <v/>
      </c>
      <c r="C307">
        <f>IFERROR(INDEX(Catch!$E:$BV,MATCH($A307,Catch!$A:$A,0),MATCH($B$4,Catch!$E$1:$BV$1,0)),0)</f>
        <v/>
      </c>
      <c r="D307">
        <f>IFERROR(IF(ISNUMBER(INDEX(SPPR!$E:$X,MATCH($A307,SPPR!$A:$A,0),1)),$C307*INDEX(SPPR!$E:$X,MATCH($A307,SPPR!$A:$A,0),1),""),"")</f>
        <v/>
      </c>
      <c r="E307">
        <f>IFERROR(IF(ISNUMBER(INDEX(SPPR!$E:$X,MATCH($A307,SPPR!$A:$A,0),2)),$C307*INDEX(SPPR!$E:$X,MATCH($A307,SPPR!$A:$A,0),2),""),"")</f>
        <v/>
      </c>
      <c r="F307">
        <f>IFERROR(IF(ISNUMBER(INDEX(SPPR!$E:$X,MATCH($A307,SPPR!$A:$A,0),3)),$C307*INDEX(SPPR!$E:$X,MATCH($A307,SPPR!$A:$A,0),3),""),"")</f>
        <v/>
      </c>
      <c r="G307">
        <f>IFERROR(IF(ISNUMBER(INDEX(SPPR!$E:$X,MATCH($A307,SPPR!$A:$A,0),4)),$C307*INDEX(SPPR!$E:$X,MATCH($A307,SPPR!$A:$A,0),4),""),"")</f>
        <v/>
      </c>
      <c r="H307">
        <f>IFERROR(IF(ISNUMBER(INDEX(SPPR!$E:$X,MATCH($A307,SPPR!$A:$A,0),5)),$C307*INDEX(SPPR!$E:$X,MATCH($A307,SPPR!$A:$A,0),5),""),"")</f>
        <v/>
      </c>
      <c r="I307">
        <f>IFERROR(IF(ISNUMBER(INDEX(SPPR!$E:$X,MATCH($A307,SPPR!$A:$A,0),6)),$C307*INDEX(SPPR!$E:$X,MATCH($A307,SPPR!$A:$A,0),6),""),"")</f>
        <v/>
      </c>
      <c r="J307">
        <f>IFERROR(IF(ISNUMBER(INDEX(SPPR!$E:$X,MATCH($A307,SPPR!$A:$A,0),7)),$C307*INDEX(SPPR!$E:$X,MATCH($A307,SPPR!$A:$A,0),7),""),"")</f>
        <v/>
      </c>
      <c r="K307">
        <f>IFERROR(IF(ISNUMBER(INDEX(SPPR!$E:$X,MATCH($A307,SPPR!$A:$A,0),8)),$C307*INDEX(SPPR!$E:$X,MATCH($A307,SPPR!$A:$A,0),8),""),"")</f>
        <v/>
      </c>
      <c r="L307">
        <f>IFERROR(IF(ISNUMBER(INDEX(SPPR!$E:$X,MATCH($A307,SPPR!$A:$A,0),9)),$C307*INDEX(SPPR!$E:$X,MATCH($A307,SPPR!$A:$A,0),9),""),"")</f>
        <v/>
      </c>
      <c r="M307">
        <f>IFERROR(IF(ISNUMBER(INDEX(SPPR!$E:$X,MATCH($A307,SPPR!$A:$A,0),10)),$C307*INDEX(SPPR!$E:$X,MATCH($A307,SPPR!$A:$A,0),10),""),"")</f>
        <v/>
      </c>
      <c r="N307">
        <f>IFERROR(IF(ISNUMBER(INDEX(SPPR!$E:$X,MATCH($A307,SPPR!$A:$A,0),11)),$C307*INDEX(SPPR!$E:$X,MATCH($A307,SPPR!$A:$A,0),11),""),"")</f>
        <v/>
      </c>
      <c r="O307">
        <f>IFERROR(IF(ISNUMBER(INDEX(SPPR!$E:$X,MATCH($A307,SPPR!$A:$A,0),12)),$C307*INDEX(SPPR!$E:$X,MATCH($A307,SPPR!$A:$A,0),12),""),"")</f>
        <v/>
      </c>
      <c r="P307">
        <f>IFERROR(IF(ISNUMBER(INDEX(SPPR!$E:$X,MATCH($A307,SPPR!$A:$A,0),13)),$C307*INDEX(SPPR!$E:$X,MATCH($A307,SPPR!$A:$A,0),13),""),"")</f>
        <v/>
      </c>
      <c r="Q307">
        <f>IFERROR(IF(ISNUMBER(INDEX(SPPR!$E:$X,MATCH($A307,SPPR!$A:$A,0),14)),$C307*INDEX(SPPR!$E:$X,MATCH($A307,SPPR!$A:$A,0),14),""),"")</f>
        <v/>
      </c>
      <c r="R307">
        <f>IFERROR(IF(ISNUMBER(INDEX(SPPR!$E:$X,MATCH($A307,SPPR!$A:$A,0),15)),$C307*INDEX(SPPR!$E:$X,MATCH($A307,SPPR!$A:$A,0),15),""),"")</f>
        <v/>
      </c>
      <c r="S307">
        <f>IFERROR(IF(ISNUMBER(INDEX(SPPR!$E:$X,MATCH($A307,SPPR!$A:$A,0),16)),$C307*INDEX(SPPR!$E:$X,MATCH($A307,SPPR!$A:$A,0),16),""),"")</f>
        <v/>
      </c>
      <c r="T307">
        <f>IFERROR(IF(ISNUMBER(INDEX(SPPR!$E:$X,MATCH($A307,SPPR!$A:$A,0),17)),$C307*INDEX(SPPR!$E:$X,MATCH($A307,SPPR!$A:$A,0),17),""),"")</f>
        <v/>
      </c>
      <c r="U307">
        <f>IFERROR(IF(ISNUMBER(INDEX(SPPR!$E:$X,MATCH($A307,SPPR!$A:$A,0),18)),$C307*INDEX(SPPR!$E:$X,MATCH($A307,SPPR!$A:$A,0),18),""),"")</f>
        <v/>
      </c>
      <c r="V307">
        <f>IFERROR(IF(ISNUMBER(INDEX(SPPR!$E:$X,MATCH($A307,SPPR!$A:$A,0),19)),$C307*INDEX(SPPR!$E:$X,MATCH($A307,SPPR!$A:$A,0),19),""),"")</f>
        <v/>
      </c>
      <c r="W307">
        <f>IFERROR(IF(ISNUMBER(INDEX(SPPR!$E:$X,MATCH($A307,SPPR!$A:$A,0),20)),$C307*INDEX(SPPR!$E:$X,MATCH($A307,SPPR!$A:$A,0),20),""),"")</f>
        <v/>
      </c>
    </row>
    <row r="308">
      <c r="A308" t="inlineStr">
        <is>
          <t>Parupeneus barberinus</t>
        </is>
      </c>
      <c r="B308">
        <f>IFERROR(INDEX(SPPR!$D:$D,MATCH($A308,SPPR!$A:$A,0)),"")</f>
        <v/>
      </c>
      <c r="C308">
        <f>IFERROR(INDEX(Catch!$E:$BV,MATCH($A308,Catch!$A:$A,0),MATCH($B$4,Catch!$E$1:$BV$1,0)),0)</f>
        <v/>
      </c>
      <c r="D308">
        <f>IFERROR(IF(ISNUMBER(INDEX(SPPR!$E:$X,MATCH($A308,SPPR!$A:$A,0),1)),$C308*INDEX(SPPR!$E:$X,MATCH($A308,SPPR!$A:$A,0),1),""),"")</f>
        <v/>
      </c>
      <c r="E308">
        <f>IFERROR(IF(ISNUMBER(INDEX(SPPR!$E:$X,MATCH($A308,SPPR!$A:$A,0),2)),$C308*INDEX(SPPR!$E:$X,MATCH($A308,SPPR!$A:$A,0),2),""),"")</f>
        <v/>
      </c>
      <c r="F308">
        <f>IFERROR(IF(ISNUMBER(INDEX(SPPR!$E:$X,MATCH($A308,SPPR!$A:$A,0),3)),$C308*INDEX(SPPR!$E:$X,MATCH($A308,SPPR!$A:$A,0),3),""),"")</f>
        <v/>
      </c>
      <c r="G308">
        <f>IFERROR(IF(ISNUMBER(INDEX(SPPR!$E:$X,MATCH($A308,SPPR!$A:$A,0),4)),$C308*INDEX(SPPR!$E:$X,MATCH($A308,SPPR!$A:$A,0),4),""),"")</f>
        <v/>
      </c>
      <c r="H308">
        <f>IFERROR(IF(ISNUMBER(INDEX(SPPR!$E:$X,MATCH($A308,SPPR!$A:$A,0),5)),$C308*INDEX(SPPR!$E:$X,MATCH($A308,SPPR!$A:$A,0),5),""),"")</f>
        <v/>
      </c>
      <c r="I308">
        <f>IFERROR(IF(ISNUMBER(INDEX(SPPR!$E:$X,MATCH($A308,SPPR!$A:$A,0),6)),$C308*INDEX(SPPR!$E:$X,MATCH($A308,SPPR!$A:$A,0),6),""),"")</f>
        <v/>
      </c>
      <c r="J308">
        <f>IFERROR(IF(ISNUMBER(INDEX(SPPR!$E:$X,MATCH($A308,SPPR!$A:$A,0),7)),$C308*INDEX(SPPR!$E:$X,MATCH($A308,SPPR!$A:$A,0),7),""),"")</f>
        <v/>
      </c>
      <c r="K308">
        <f>IFERROR(IF(ISNUMBER(INDEX(SPPR!$E:$X,MATCH($A308,SPPR!$A:$A,0),8)),$C308*INDEX(SPPR!$E:$X,MATCH($A308,SPPR!$A:$A,0),8),""),"")</f>
        <v/>
      </c>
      <c r="L308">
        <f>IFERROR(IF(ISNUMBER(INDEX(SPPR!$E:$X,MATCH($A308,SPPR!$A:$A,0),9)),$C308*INDEX(SPPR!$E:$X,MATCH($A308,SPPR!$A:$A,0),9),""),"")</f>
        <v/>
      </c>
      <c r="M308">
        <f>IFERROR(IF(ISNUMBER(INDEX(SPPR!$E:$X,MATCH($A308,SPPR!$A:$A,0),10)),$C308*INDEX(SPPR!$E:$X,MATCH($A308,SPPR!$A:$A,0),10),""),"")</f>
        <v/>
      </c>
      <c r="N308">
        <f>IFERROR(IF(ISNUMBER(INDEX(SPPR!$E:$X,MATCH($A308,SPPR!$A:$A,0),11)),$C308*INDEX(SPPR!$E:$X,MATCH($A308,SPPR!$A:$A,0),11),""),"")</f>
        <v/>
      </c>
      <c r="O308">
        <f>IFERROR(IF(ISNUMBER(INDEX(SPPR!$E:$X,MATCH($A308,SPPR!$A:$A,0),12)),$C308*INDEX(SPPR!$E:$X,MATCH($A308,SPPR!$A:$A,0),12),""),"")</f>
        <v/>
      </c>
      <c r="P308">
        <f>IFERROR(IF(ISNUMBER(INDEX(SPPR!$E:$X,MATCH($A308,SPPR!$A:$A,0),13)),$C308*INDEX(SPPR!$E:$X,MATCH($A308,SPPR!$A:$A,0),13),""),"")</f>
        <v/>
      </c>
      <c r="Q308">
        <f>IFERROR(IF(ISNUMBER(INDEX(SPPR!$E:$X,MATCH($A308,SPPR!$A:$A,0),14)),$C308*INDEX(SPPR!$E:$X,MATCH($A308,SPPR!$A:$A,0),14),""),"")</f>
        <v/>
      </c>
      <c r="R308">
        <f>IFERROR(IF(ISNUMBER(INDEX(SPPR!$E:$X,MATCH($A308,SPPR!$A:$A,0),15)),$C308*INDEX(SPPR!$E:$X,MATCH($A308,SPPR!$A:$A,0),15),""),"")</f>
        <v/>
      </c>
      <c r="S308">
        <f>IFERROR(IF(ISNUMBER(INDEX(SPPR!$E:$X,MATCH($A308,SPPR!$A:$A,0),16)),$C308*INDEX(SPPR!$E:$X,MATCH($A308,SPPR!$A:$A,0),16),""),"")</f>
        <v/>
      </c>
      <c r="T308">
        <f>IFERROR(IF(ISNUMBER(INDEX(SPPR!$E:$X,MATCH($A308,SPPR!$A:$A,0),17)),$C308*INDEX(SPPR!$E:$X,MATCH($A308,SPPR!$A:$A,0),17),""),"")</f>
        <v/>
      </c>
      <c r="U308">
        <f>IFERROR(IF(ISNUMBER(INDEX(SPPR!$E:$X,MATCH($A308,SPPR!$A:$A,0),18)),$C308*INDEX(SPPR!$E:$X,MATCH($A308,SPPR!$A:$A,0),18),""),"")</f>
        <v/>
      </c>
      <c r="V308">
        <f>IFERROR(IF(ISNUMBER(INDEX(SPPR!$E:$X,MATCH($A308,SPPR!$A:$A,0),19)),$C308*INDEX(SPPR!$E:$X,MATCH($A308,SPPR!$A:$A,0),19),""),"")</f>
        <v/>
      </c>
      <c r="W308">
        <f>IFERROR(IF(ISNUMBER(INDEX(SPPR!$E:$X,MATCH($A308,SPPR!$A:$A,0),20)),$C308*INDEX(SPPR!$E:$X,MATCH($A308,SPPR!$A:$A,0),20),""),"")</f>
        <v/>
      </c>
    </row>
    <row r="309">
      <c r="A309" t="inlineStr">
        <is>
          <t>Psettodidae</t>
        </is>
      </c>
      <c r="B309">
        <f>IFERROR(INDEX(SPPR!$D:$D,MATCH($A309,SPPR!$A:$A,0)),"")</f>
        <v/>
      </c>
      <c r="C309">
        <f>IFERROR(INDEX(Catch!$E:$BV,MATCH($A309,Catch!$A:$A,0),MATCH($B$4,Catch!$E$1:$BV$1,0)),0)</f>
        <v/>
      </c>
      <c r="D309">
        <f>IFERROR(IF(ISNUMBER(INDEX(SPPR!$E:$X,MATCH($A309,SPPR!$A:$A,0),1)),$C309*INDEX(SPPR!$E:$X,MATCH($A309,SPPR!$A:$A,0),1),""),"")</f>
        <v/>
      </c>
      <c r="E309">
        <f>IFERROR(IF(ISNUMBER(INDEX(SPPR!$E:$X,MATCH($A309,SPPR!$A:$A,0),2)),$C309*INDEX(SPPR!$E:$X,MATCH($A309,SPPR!$A:$A,0),2),""),"")</f>
        <v/>
      </c>
      <c r="F309">
        <f>IFERROR(IF(ISNUMBER(INDEX(SPPR!$E:$X,MATCH($A309,SPPR!$A:$A,0),3)),$C309*INDEX(SPPR!$E:$X,MATCH($A309,SPPR!$A:$A,0),3),""),"")</f>
        <v/>
      </c>
      <c r="G309">
        <f>IFERROR(IF(ISNUMBER(INDEX(SPPR!$E:$X,MATCH($A309,SPPR!$A:$A,0),4)),$C309*INDEX(SPPR!$E:$X,MATCH($A309,SPPR!$A:$A,0),4),""),"")</f>
        <v/>
      </c>
      <c r="H309">
        <f>IFERROR(IF(ISNUMBER(INDEX(SPPR!$E:$X,MATCH($A309,SPPR!$A:$A,0),5)),$C309*INDEX(SPPR!$E:$X,MATCH($A309,SPPR!$A:$A,0),5),""),"")</f>
        <v/>
      </c>
      <c r="I309">
        <f>IFERROR(IF(ISNUMBER(INDEX(SPPR!$E:$X,MATCH($A309,SPPR!$A:$A,0),6)),$C309*INDEX(SPPR!$E:$X,MATCH($A309,SPPR!$A:$A,0),6),""),"")</f>
        <v/>
      </c>
      <c r="J309">
        <f>IFERROR(IF(ISNUMBER(INDEX(SPPR!$E:$X,MATCH($A309,SPPR!$A:$A,0),7)),$C309*INDEX(SPPR!$E:$X,MATCH($A309,SPPR!$A:$A,0),7),""),"")</f>
        <v/>
      </c>
      <c r="K309">
        <f>IFERROR(IF(ISNUMBER(INDEX(SPPR!$E:$X,MATCH($A309,SPPR!$A:$A,0),8)),$C309*INDEX(SPPR!$E:$X,MATCH($A309,SPPR!$A:$A,0),8),""),"")</f>
        <v/>
      </c>
      <c r="L309">
        <f>IFERROR(IF(ISNUMBER(INDEX(SPPR!$E:$X,MATCH($A309,SPPR!$A:$A,0),9)),$C309*INDEX(SPPR!$E:$X,MATCH($A309,SPPR!$A:$A,0),9),""),"")</f>
        <v/>
      </c>
      <c r="M309">
        <f>IFERROR(IF(ISNUMBER(INDEX(SPPR!$E:$X,MATCH($A309,SPPR!$A:$A,0),10)),$C309*INDEX(SPPR!$E:$X,MATCH($A309,SPPR!$A:$A,0),10),""),"")</f>
        <v/>
      </c>
      <c r="N309">
        <f>IFERROR(IF(ISNUMBER(INDEX(SPPR!$E:$X,MATCH($A309,SPPR!$A:$A,0),11)),$C309*INDEX(SPPR!$E:$X,MATCH($A309,SPPR!$A:$A,0),11),""),"")</f>
        <v/>
      </c>
      <c r="O309">
        <f>IFERROR(IF(ISNUMBER(INDEX(SPPR!$E:$X,MATCH($A309,SPPR!$A:$A,0),12)),$C309*INDEX(SPPR!$E:$X,MATCH($A309,SPPR!$A:$A,0),12),""),"")</f>
        <v/>
      </c>
      <c r="P309">
        <f>IFERROR(IF(ISNUMBER(INDEX(SPPR!$E:$X,MATCH($A309,SPPR!$A:$A,0),13)),$C309*INDEX(SPPR!$E:$X,MATCH($A309,SPPR!$A:$A,0),13),""),"")</f>
        <v/>
      </c>
      <c r="Q309">
        <f>IFERROR(IF(ISNUMBER(INDEX(SPPR!$E:$X,MATCH($A309,SPPR!$A:$A,0),14)),$C309*INDEX(SPPR!$E:$X,MATCH($A309,SPPR!$A:$A,0),14),""),"")</f>
        <v/>
      </c>
      <c r="R309">
        <f>IFERROR(IF(ISNUMBER(INDEX(SPPR!$E:$X,MATCH($A309,SPPR!$A:$A,0),15)),$C309*INDEX(SPPR!$E:$X,MATCH($A309,SPPR!$A:$A,0),15),""),"")</f>
        <v/>
      </c>
      <c r="S309">
        <f>IFERROR(IF(ISNUMBER(INDEX(SPPR!$E:$X,MATCH($A309,SPPR!$A:$A,0),16)),$C309*INDEX(SPPR!$E:$X,MATCH($A309,SPPR!$A:$A,0),16),""),"")</f>
        <v/>
      </c>
      <c r="T309">
        <f>IFERROR(IF(ISNUMBER(INDEX(SPPR!$E:$X,MATCH($A309,SPPR!$A:$A,0),17)),$C309*INDEX(SPPR!$E:$X,MATCH($A309,SPPR!$A:$A,0),17),""),"")</f>
        <v/>
      </c>
      <c r="U309">
        <f>IFERROR(IF(ISNUMBER(INDEX(SPPR!$E:$X,MATCH($A309,SPPR!$A:$A,0),18)),$C309*INDEX(SPPR!$E:$X,MATCH($A309,SPPR!$A:$A,0),18),""),"")</f>
        <v/>
      </c>
      <c r="V309">
        <f>IFERROR(IF(ISNUMBER(INDEX(SPPR!$E:$X,MATCH($A309,SPPR!$A:$A,0),19)),$C309*INDEX(SPPR!$E:$X,MATCH($A309,SPPR!$A:$A,0),19),""),"")</f>
        <v/>
      </c>
      <c r="W309">
        <f>IFERROR(IF(ISNUMBER(INDEX(SPPR!$E:$X,MATCH($A309,SPPR!$A:$A,0),20)),$C309*INDEX(SPPR!$E:$X,MATCH($A309,SPPR!$A:$A,0),20),""),"")</f>
        <v/>
      </c>
    </row>
    <row r="310">
      <c r="A310" t="inlineStr">
        <is>
          <t>Panulirus</t>
        </is>
      </c>
      <c r="B310">
        <f>IFERROR(INDEX(SPPR!$D:$D,MATCH($A310,SPPR!$A:$A,0)),"")</f>
        <v/>
      </c>
      <c r="C310">
        <f>IFERROR(INDEX(Catch!$E:$BV,MATCH($A310,Catch!$A:$A,0),MATCH($B$4,Catch!$E$1:$BV$1,0)),0)</f>
        <v/>
      </c>
      <c r="D310">
        <f>IFERROR(IF(ISNUMBER(INDEX(SPPR!$E:$X,MATCH($A310,SPPR!$A:$A,0),1)),$C310*INDEX(SPPR!$E:$X,MATCH($A310,SPPR!$A:$A,0),1),""),"")</f>
        <v/>
      </c>
      <c r="E310">
        <f>IFERROR(IF(ISNUMBER(INDEX(SPPR!$E:$X,MATCH($A310,SPPR!$A:$A,0),2)),$C310*INDEX(SPPR!$E:$X,MATCH($A310,SPPR!$A:$A,0),2),""),"")</f>
        <v/>
      </c>
      <c r="F310">
        <f>IFERROR(IF(ISNUMBER(INDEX(SPPR!$E:$X,MATCH($A310,SPPR!$A:$A,0),3)),$C310*INDEX(SPPR!$E:$X,MATCH($A310,SPPR!$A:$A,0),3),""),"")</f>
        <v/>
      </c>
      <c r="G310">
        <f>IFERROR(IF(ISNUMBER(INDEX(SPPR!$E:$X,MATCH($A310,SPPR!$A:$A,0),4)),$C310*INDEX(SPPR!$E:$X,MATCH($A310,SPPR!$A:$A,0),4),""),"")</f>
        <v/>
      </c>
      <c r="H310">
        <f>IFERROR(IF(ISNUMBER(INDEX(SPPR!$E:$X,MATCH($A310,SPPR!$A:$A,0),5)),$C310*INDEX(SPPR!$E:$X,MATCH($A310,SPPR!$A:$A,0),5),""),"")</f>
        <v/>
      </c>
      <c r="I310">
        <f>IFERROR(IF(ISNUMBER(INDEX(SPPR!$E:$X,MATCH($A310,SPPR!$A:$A,0),6)),$C310*INDEX(SPPR!$E:$X,MATCH($A310,SPPR!$A:$A,0),6),""),"")</f>
        <v/>
      </c>
      <c r="J310">
        <f>IFERROR(IF(ISNUMBER(INDEX(SPPR!$E:$X,MATCH($A310,SPPR!$A:$A,0),7)),$C310*INDEX(SPPR!$E:$X,MATCH($A310,SPPR!$A:$A,0),7),""),"")</f>
        <v/>
      </c>
      <c r="K310">
        <f>IFERROR(IF(ISNUMBER(INDEX(SPPR!$E:$X,MATCH($A310,SPPR!$A:$A,0),8)),$C310*INDEX(SPPR!$E:$X,MATCH($A310,SPPR!$A:$A,0),8),""),"")</f>
        <v/>
      </c>
      <c r="L310">
        <f>IFERROR(IF(ISNUMBER(INDEX(SPPR!$E:$X,MATCH($A310,SPPR!$A:$A,0),9)),$C310*INDEX(SPPR!$E:$X,MATCH($A310,SPPR!$A:$A,0),9),""),"")</f>
        <v/>
      </c>
      <c r="M310">
        <f>IFERROR(IF(ISNUMBER(INDEX(SPPR!$E:$X,MATCH($A310,SPPR!$A:$A,0),10)),$C310*INDEX(SPPR!$E:$X,MATCH($A310,SPPR!$A:$A,0),10),""),"")</f>
        <v/>
      </c>
      <c r="N310">
        <f>IFERROR(IF(ISNUMBER(INDEX(SPPR!$E:$X,MATCH($A310,SPPR!$A:$A,0),11)),$C310*INDEX(SPPR!$E:$X,MATCH($A310,SPPR!$A:$A,0),11),""),"")</f>
        <v/>
      </c>
      <c r="O310">
        <f>IFERROR(IF(ISNUMBER(INDEX(SPPR!$E:$X,MATCH($A310,SPPR!$A:$A,0),12)),$C310*INDEX(SPPR!$E:$X,MATCH($A310,SPPR!$A:$A,0),12),""),"")</f>
        <v/>
      </c>
      <c r="P310">
        <f>IFERROR(IF(ISNUMBER(INDEX(SPPR!$E:$X,MATCH($A310,SPPR!$A:$A,0),13)),$C310*INDEX(SPPR!$E:$X,MATCH($A310,SPPR!$A:$A,0),13),""),"")</f>
        <v/>
      </c>
      <c r="Q310">
        <f>IFERROR(IF(ISNUMBER(INDEX(SPPR!$E:$X,MATCH($A310,SPPR!$A:$A,0),14)),$C310*INDEX(SPPR!$E:$X,MATCH($A310,SPPR!$A:$A,0),14),""),"")</f>
        <v/>
      </c>
      <c r="R310">
        <f>IFERROR(IF(ISNUMBER(INDEX(SPPR!$E:$X,MATCH($A310,SPPR!$A:$A,0),15)),$C310*INDEX(SPPR!$E:$X,MATCH($A310,SPPR!$A:$A,0),15),""),"")</f>
        <v/>
      </c>
      <c r="S310">
        <f>IFERROR(IF(ISNUMBER(INDEX(SPPR!$E:$X,MATCH($A310,SPPR!$A:$A,0),16)),$C310*INDEX(SPPR!$E:$X,MATCH($A310,SPPR!$A:$A,0),16),""),"")</f>
        <v/>
      </c>
      <c r="T310">
        <f>IFERROR(IF(ISNUMBER(INDEX(SPPR!$E:$X,MATCH($A310,SPPR!$A:$A,0),17)),$C310*INDEX(SPPR!$E:$X,MATCH($A310,SPPR!$A:$A,0),17),""),"")</f>
        <v/>
      </c>
      <c r="U310">
        <f>IFERROR(IF(ISNUMBER(INDEX(SPPR!$E:$X,MATCH($A310,SPPR!$A:$A,0),18)),$C310*INDEX(SPPR!$E:$X,MATCH($A310,SPPR!$A:$A,0),18),""),"")</f>
        <v/>
      </c>
      <c r="V310">
        <f>IFERROR(IF(ISNUMBER(INDEX(SPPR!$E:$X,MATCH($A310,SPPR!$A:$A,0),19)),$C310*INDEX(SPPR!$E:$X,MATCH($A310,SPPR!$A:$A,0),19),""),"")</f>
        <v/>
      </c>
      <c r="W310">
        <f>IFERROR(IF(ISNUMBER(INDEX(SPPR!$E:$X,MATCH($A310,SPPR!$A:$A,0),20)),$C310*INDEX(SPPR!$E:$X,MATCH($A310,SPPR!$A:$A,0),20),""),"")</f>
        <v/>
      </c>
    </row>
    <row r="311">
      <c r="A311" t="inlineStr">
        <is>
          <t>Rhincodon typus</t>
        </is>
      </c>
      <c r="B311">
        <f>IFERROR(INDEX(SPPR!$D:$D,MATCH($A311,SPPR!$A:$A,0)),"")</f>
        <v/>
      </c>
      <c r="C311">
        <f>IFERROR(INDEX(Catch!$E:$BV,MATCH($A311,Catch!$A:$A,0),MATCH($B$4,Catch!$E$1:$BV$1,0)),0)</f>
        <v/>
      </c>
      <c r="D311">
        <f>IFERROR(IF(ISNUMBER(INDEX(SPPR!$E:$X,MATCH($A311,SPPR!$A:$A,0),1)),$C311*INDEX(SPPR!$E:$X,MATCH($A311,SPPR!$A:$A,0),1),""),"")</f>
        <v/>
      </c>
      <c r="E311">
        <f>IFERROR(IF(ISNUMBER(INDEX(SPPR!$E:$X,MATCH($A311,SPPR!$A:$A,0),2)),$C311*INDEX(SPPR!$E:$X,MATCH($A311,SPPR!$A:$A,0),2),""),"")</f>
        <v/>
      </c>
      <c r="F311">
        <f>IFERROR(IF(ISNUMBER(INDEX(SPPR!$E:$X,MATCH($A311,SPPR!$A:$A,0),3)),$C311*INDEX(SPPR!$E:$X,MATCH($A311,SPPR!$A:$A,0),3),""),"")</f>
        <v/>
      </c>
      <c r="G311">
        <f>IFERROR(IF(ISNUMBER(INDEX(SPPR!$E:$X,MATCH($A311,SPPR!$A:$A,0),4)),$C311*INDEX(SPPR!$E:$X,MATCH($A311,SPPR!$A:$A,0),4),""),"")</f>
        <v/>
      </c>
      <c r="H311">
        <f>IFERROR(IF(ISNUMBER(INDEX(SPPR!$E:$X,MATCH($A311,SPPR!$A:$A,0),5)),$C311*INDEX(SPPR!$E:$X,MATCH($A311,SPPR!$A:$A,0),5),""),"")</f>
        <v/>
      </c>
      <c r="I311">
        <f>IFERROR(IF(ISNUMBER(INDEX(SPPR!$E:$X,MATCH($A311,SPPR!$A:$A,0),6)),$C311*INDEX(SPPR!$E:$X,MATCH($A311,SPPR!$A:$A,0),6),""),"")</f>
        <v/>
      </c>
      <c r="J311">
        <f>IFERROR(IF(ISNUMBER(INDEX(SPPR!$E:$X,MATCH($A311,SPPR!$A:$A,0),7)),$C311*INDEX(SPPR!$E:$X,MATCH($A311,SPPR!$A:$A,0),7),""),"")</f>
        <v/>
      </c>
      <c r="K311">
        <f>IFERROR(IF(ISNUMBER(INDEX(SPPR!$E:$X,MATCH($A311,SPPR!$A:$A,0),8)),$C311*INDEX(SPPR!$E:$X,MATCH($A311,SPPR!$A:$A,0),8),""),"")</f>
        <v/>
      </c>
      <c r="L311">
        <f>IFERROR(IF(ISNUMBER(INDEX(SPPR!$E:$X,MATCH($A311,SPPR!$A:$A,0),9)),$C311*INDEX(SPPR!$E:$X,MATCH($A311,SPPR!$A:$A,0),9),""),"")</f>
        <v/>
      </c>
      <c r="M311">
        <f>IFERROR(IF(ISNUMBER(INDEX(SPPR!$E:$X,MATCH($A311,SPPR!$A:$A,0),10)),$C311*INDEX(SPPR!$E:$X,MATCH($A311,SPPR!$A:$A,0),10),""),"")</f>
        <v/>
      </c>
      <c r="N311">
        <f>IFERROR(IF(ISNUMBER(INDEX(SPPR!$E:$X,MATCH($A311,SPPR!$A:$A,0),11)),$C311*INDEX(SPPR!$E:$X,MATCH($A311,SPPR!$A:$A,0),11),""),"")</f>
        <v/>
      </c>
      <c r="O311">
        <f>IFERROR(IF(ISNUMBER(INDEX(SPPR!$E:$X,MATCH($A311,SPPR!$A:$A,0),12)),$C311*INDEX(SPPR!$E:$X,MATCH($A311,SPPR!$A:$A,0),12),""),"")</f>
        <v/>
      </c>
      <c r="P311">
        <f>IFERROR(IF(ISNUMBER(INDEX(SPPR!$E:$X,MATCH($A311,SPPR!$A:$A,0),13)),$C311*INDEX(SPPR!$E:$X,MATCH($A311,SPPR!$A:$A,0),13),""),"")</f>
        <v/>
      </c>
      <c r="Q311">
        <f>IFERROR(IF(ISNUMBER(INDEX(SPPR!$E:$X,MATCH($A311,SPPR!$A:$A,0),14)),$C311*INDEX(SPPR!$E:$X,MATCH($A311,SPPR!$A:$A,0),14),""),"")</f>
        <v/>
      </c>
      <c r="R311">
        <f>IFERROR(IF(ISNUMBER(INDEX(SPPR!$E:$X,MATCH($A311,SPPR!$A:$A,0),15)),$C311*INDEX(SPPR!$E:$X,MATCH($A311,SPPR!$A:$A,0),15),""),"")</f>
        <v/>
      </c>
      <c r="S311">
        <f>IFERROR(IF(ISNUMBER(INDEX(SPPR!$E:$X,MATCH($A311,SPPR!$A:$A,0),16)),$C311*INDEX(SPPR!$E:$X,MATCH($A311,SPPR!$A:$A,0),16),""),"")</f>
        <v/>
      </c>
      <c r="T311">
        <f>IFERROR(IF(ISNUMBER(INDEX(SPPR!$E:$X,MATCH($A311,SPPR!$A:$A,0),17)),$C311*INDEX(SPPR!$E:$X,MATCH($A311,SPPR!$A:$A,0),17),""),"")</f>
        <v/>
      </c>
      <c r="U311">
        <f>IFERROR(IF(ISNUMBER(INDEX(SPPR!$E:$X,MATCH($A311,SPPR!$A:$A,0),18)),$C311*INDEX(SPPR!$E:$X,MATCH($A311,SPPR!$A:$A,0),18),""),"")</f>
        <v/>
      </c>
      <c r="V311">
        <f>IFERROR(IF(ISNUMBER(INDEX(SPPR!$E:$X,MATCH($A311,SPPR!$A:$A,0),19)),$C311*INDEX(SPPR!$E:$X,MATCH($A311,SPPR!$A:$A,0),19),""),"")</f>
        <v/>
      </c>
      <c r="W311">
        <f>IFERROR(IF(ISNUMBER(INDEX(SPPR!$E:$X,MATCH($A311,SPPR!$A:$A,0),20)),$C311*INDEX(SPPR!$E:$X,MATCH($A311,SPPR!$A:$A,0),20),""),"")</f>
        <v/>
      </c>
    </row>
    <row r="312">
      <c r="A312" t="inlineStr">
        <is>
          <t>Cheilopogon unicolor</t>
        </is>
      </c>
      <c r="B312">
        <f>IFERROR(INDEX(SPPR!$D:$D,MATCH($A312,SPPR!$A:$A,0)),"")</f>
        <v/>
      </c>
      <c r="C312">
        <f>IFERROR(INDEX(Catch!$E:$BV,MATCH($A312,Catch!$A:$A,0),MATCH($B$4,Catch!$E$1:$BV$1,0)),0)</f>
        <v/>
      </c>
      <c r="D312">
        <f>IFERROR(IF(ISNUMBER(INDEX(SPPR!$E:$X,MATCH($A312,SPPR!$A:$A,0),1)),$C312*INDEX(SPPR!$E:$X,MATCH($A312,SPPR!$A:$A,0),1),""),"")</f>
        <v/>
      </c>
      <c r="E312">
        <f>IFERROR(IF(ISNUMBER(INDEX(SPPR!$E:$X,MATCH($A312,SPPR!$A:$A,0),2)),$C312*INDEX(SPPR!$E:$X,MATCH($A312,SPPR!$A:$A,0),2),""),"")</f>
        <v/>
      </c>
      <c r="F312">
        <f>IFERROR(IF(ISNUMBER(INDEX(SPPR!$E:$X,MATCH($A312,SPPR!$A:$A,0),3)),$C312*INDEX(SPPR!$E:$X,MATCH($A312,SPPR!$A:$A,0),3),""),"")</f>
        <v/>
      </c>
      <c r="G312">
        <f>IFERROR(IF(ISNUMBER(INDEX(SPPR!$E:$X,MATCH($A312,SPPR!$A:$A,0),4)),$C312*INDEX(SPPR!$E:$X,MATCH($A312,SPPR!$A:$A,0),4),""),"")</f>
        <v/>
      </c>
      <c r="H312">
        <f>IFERROR(IF(ISNUMBER(INDEX(SPPR!$E:$X,MATCH($A312,SPPR!$A:$A,0),5)),$C312*INDEX(SPPR!$E:$X,MATCH($A312,SPPR!$A:$A,0),5),""),"")</f>
        <v/>
      </c>
      <c r="I312">
        <f>IFERROR(IF(ISNUMBER(INDEX(SPPR!$E:$X,MATCH($A312,SPPR!$A:$A,0),6)),$C312*INDEX(SPPR!$E:$X,MATCH($A312,SPPR!$A:$A,0),6),""),"")</f>
        <v/>
      </c>
      <c r="J312">
        <f>IFERROR(IF(ISNUMBER(INDEX(SPPR!$E:$X,MATCH($A312,SPPR!$A:$A,0),7)),$C312*INDEX(SPPR!$E:$X,MATCH($A312,SPPR!$A:$A,0),7),""),"")</f>
        <v/>
      </c>
      <c r="K312">
        <f>IFERROR(IF(ISNUMBER(INDEX(SPPR!$E:$X,MATCH($A312,SPPR!$A:$A,0),8)),$C312*INDEX(SPPR!$E:$X,MATCH($A312,SPPR!$A:$A,0),8),""),"")</f>
        <v/>
      </c>
      <c r="L312">
        <f>IFERROR(IF(ISNUMBER(INDEX(SPPR!$E:$X,MATCH($A312,SPPR!$A:$A,0),9)),$C312*INDEX(SPPR!$E:$X,MATCH($A312,SPPR!$A:$A,0),9),""),"")</f>
        <v/>
      </c>
      <c r="M312">
        <f>IFERROR(IF(ISNUMBER(INDEX(SPPR!$E:$X,MATCH($A312,SPPR!$A:$A,0),10)),$C312*INDEX(SPPR!$E:$X,MATCH($A312,SPPR!$A:$A,0),10),""),"")</f>
        <v/>
      </c>
      <c r="N312">
        <f>IFERROR(IF(ISNUMBER(INDEX(SPPR!$E:$X,MATCH($A312,SPPR!$A:$A,0),11)),$C312*INDEX(SPPR!$E:$X,MATCH($A312,SPPR!$A:$A,0),11),""),"")</f>
        <v/>
      </c>
      <c r="O312">
        <f>IFERROR(IF(ISNUMBER(INDEX(SPPR!$E:$X,MATCH($A312,SPPR!$A:$A,0),12)),$C312*INDEX(SPPR!$E:$X,MATCH($A312,SPPR!$A:$A,0),12),""),"")</f>
        <v/>
      </c>
      <c r="P312">
        <f>IFERROR(IF(ISNUMBER(INDEX(SPPR!$E:$X,MATCH($A312,SPPR!$A:$A,0),13)),$C312*INDEX(SPPR!$E:$X,MATCH($A312,SPPR!$A:$A,0),13),""),"")</f>
        <v/>
      </c>
      <c r="Q312">
        <f>IFERROR(IF(ISNUMBER(INDEX(SPPR!$E:$X,MATCH($A312,SPPR!$A:$A,0),14)),$C312*INDEX(SPPR!$E:$X,MATCH($A312,SPPR!$A:$A,0),14),""),"")</f>
        <v/>
      </c>
      <c r="R312">
        <f>IFERROR(IF(ISNUMBER(INDEX(SPPR!$E:$X,MATCH($A312,SPPR!$A:$A,0),15)),$C312*INDEX(SPPR!$E:$X,MATCH($A312,SPPR!$A:$A,0),15),""),"")</f>
        <v/>
      </c>
      <c r="S312">
        <f>IFERROR(IF(ISNUMBER(INDEX(SPPR!$E:$X,MATCH($A312,SPPR!$A:$A,0),16)),$C312*INDEX(SPPR!$E:$X,MATCH($A312,SPPR!$A:$A,0),16),""),"")</f>
        <v/>
      </c>
      <c r="T312">
        <f>IFERROR(IF(ISNUMBER(INDEX(SPPR!$E:$X,MATCH($A312,SPPR!$A:$A,0),17)),$C312*INDEX(SPPR!$E:$X,MATCH($A312,SPPR!$A:$A,0),17),""),"")</f>
        <v/>
      </c>
      <c r="U312">
        <f>IFERROR(IF(ISNUMBER(INDEX(SPPR!$E:$X,MATCH($A312,SPPR!$A:$A,0),18)),$C312*INDEX(SPPR!$E:$X,MATCH($A312,SPPR!$A:$A,0),18),""),"")</f>
        <v/>
      </c>
      <c r="V312">
        <f>IFERROR(IF(ISNUMBER(INDEX(SPPR!$E:$X,MATCH($A312,SPPR!$A:$A,0),19)),$C312*INDEX(SPPR!$E:$X,MATCH($A312,SPPR!$A:$A,0),19),""),"")</f>
        <v/>
      </c>
      <c r="W312">
        <f>IFERROR(IF(ISNUMBER(INDEX(SPPR!$E:$X,MATCH($A312,SPPR!$A:$A,0),20)),$C312*INDEX(SPPR!$E:$X,MATCH($A312,SPPR!$A:$A,0),20),""),"")</f>
        <v/>
      </c>
    </row>
    <row r="313">
      <c r="A313" t="inlineStr">
        <is>
          <t>Mizuhopecten yessoensis</t>
        </is>
      </c>
      <c r="B313">
        <f>IFERROR(INDEX(SPPR!$D:$D,MATCH($A313,SPPR!$A:$A,0)),"")</f>
        <v/>
      </c>
      <c r="C313">
        <f>IFERROR(INDEX(Catch!$E:$BV,MATCH($A313,Catch!$A:$A,0),MATCH($B$4,Catch!$E$1:$BV$1,0)),0)</f>
        <v/>
      </c>
      <c r="D313">
        <f>IFERROR(IF(ISNUMBER(INDEX(SPPR!$E:$X,MATCH($A313,SPPR!$A:$A,0),1)),$C313*INDEX(SPPR!$E:$X,MATCH($A313,SPPR!$A:$A,0),1),""),"")</f>
        <v/>
      </c>
      <c r="E313">
        <f>IFERROR(IF(ISNUMBER(INDEX(SPPR!$E:$X,MATCH($A313,SPPR!$A:$A,0),2)),$C313*INDEX(SPPR!$E:$X,MATCH($A313,SPPR!$A:$A,0),2),""),"")</f>
        <v/>
      </c>
      <c r="F313">
        <f>IFERROR(IF(ISNUMBER(INDEX(SPPR!$E:$X,MATCH($A313,SPPR!$A:$A,0),3)),$C313*INDEX(SPPR!$E:$X,MATCH($A313,SPPR!$A:$A,0),3),""),"")</f>
        <v/>
      </c>
      <c r="G313">
        <f>IFERROR(IF(ISNUMBER(INDEX(SPPR!$E:$X,MATCH($A313,SPPR!$A:$A,0),4)),$C313*INDEX(SPPR!$E:$X,MATCH($A313,SPPR!$A:$A,0),4),""),"")</f>
        <v/>
      </c>
      <c r="H313">
        <f>IFERROR(IF(ISNUMBER(INDEX(SPPR!$E:$X,MATCH($A313,SPPR!$A:$A,0),5)),$C313*INDEX(SPPR!$E:$X,MATCH($A313,SPPR!$A:$A,0),5),""),"")</f>
        <v/>
      </c>
      <c r="I313">
        <f>IFERROR(IF(ISNUMBER(INDEX(SPPR!$E:$X,MATCH($A313,SPPR!$A:$A,0),6)),$C313*INDEX(SPPR!$E:$X,MATCH($A313,SPPR!$A:$A,0),6),""),"")</f>
        <v/>
      </c>
      <c r="J313">
        <f>IFERROR(IF(ISNUMBER(INDEX(SPPR!$E:$X,MATCH($A313,SPPR!$A:$A,0),7)),$C313*INDEX(SPPR!$E:$X,MATCH($A313,SPPR!$A:$A,0),7),""),"")</f>
        <v/>
      </c>
      <c r="K313">
        <f>IFERROR(IF(ISNUMBER(INDEX(SPPR!$E:$X,MATCH($A313,SPPR!$A:$A,0),8)),$C313*INDEX(SPPR!$E:$X,MATCH($A313,SPPR!$A:$A,0),8),""),"")</f>
        <v/>
      </c>
      <c r="L313">
        <f>IFERROR(IF(ISNUMBER(INDEX(SPPR!$E:$X,MATCH($A313,SPPR!$A:$A,0),9)),$C313*INDEX(SPPR!$E:$X,MATCH($A313,SPPR!$A:$A,0),9),""),"")</f>
        <v/>
      </c>
      <c r="M313">
        <f>IFERROR(IF(ISNUMBER(INDEX(SPPR!$E:$X,MATCH($A313,SPPR!$A:$A,0),10)),$C313*INDEX(SPPR!$E:$X,MATCH($A313,SPPR!$A:$A,0),10),""),"")</f>
        <v/>
      </c>
      <c r="N313">
        <f>IFERROR(IF(ISNUMBER(INDEX(SPPR!$E:$X,MATCH($A313,SPPR!$A:$A,0),11)),$C313*INDEX(SPPR!$E:$X,MATCH($A313,SPPR!$A:$A,0),11),""),"")</f>
        <v/>
      </c>
      <c r="O313">
        <f>IFERROR(IF(ISNUMBER(INDEX(SPPR!$E:$X,MATCH($A313,SPPR!$A:$A,0),12)),$C313*INDEX(SPPR!$E:$X,MATCH($A313,SPPR!$A:$A,0),12),""),"")</f>
        <v/>
      </c>
      <c r="P313">
        <f>IFERROR(IF(ISNUMBER(INDEX(SPPR!$E:$X,MATCH($A313,SPPR!$A:$A,0),13)),$C313*INDEX(SPPR!$E:$X,MATCH($A313,SPPR!$A:$A,0),13),""),"")</f>
        <v/>
      </c>
      <c r="Q313">
        <f>IFERROR(IF(ISNUMBER(INDEX(SPPR!$E:$X,MATCH($A313,SPPR!$A:$A,0),14)),$C313*INDEX(SPPR!$E:$X,MATCH($A313,SPPR!$A:$A,0),14),""),"")</f>
        <v/>
      </c>
      <c r="R313">
        <f>IFERROR(IF(ISNUMBER(INDEX(SPPR!$E:$X,MATCH($A313,SPPR!$A:$A,0),15)),$C313*INDEX(SPPR!$E:$X,MATCH($A313,SPPR!$A:$A,0),15),""),"")</f>
        <v/>
      </c>
      <c r="S313">
        <f>IFERROR(IF(ISNUMBER(INDEX(SPPR!$E:$X,MATCH($A313,SPPR!$A:$A,0),16)),$C313*INDEX(SPPR!$E:$X,MATCH($A313,SPPR!$A:$A,0),16),""),"")</f>
        <v/>
      </c>
      <c r="T313">
        <f>IFERROR(IF(ISNUMBER(INDEX(SPPR!$E:$X,MATCH($A313,SPPR!$A:$A,0),17)),$C313*INDEX(SPPR!$E:$X,MATCH($A313,SPPR!$A:$A,0),17),""),"")</f>
        <v/>
      </c>
      <c r="U313">
        <f>IFERROR(IF(ISNUMBER(INDEX(SPPR!$E:$X,MATCH($A313,SPPR!$A:$A,0),18)),$C313*INDEX(SPPR!$E:$X,MATCH($A313,SPPR!$A:$A,0),18),""),"")</f>
        <v/>
      </c>
      <c r="V313">
        <f>IFERROR(IF(ISNUMBER(INDEX(SPPR!$E:$X,MATCH($A313,SPPR!$A:$A,0),19)),$C313*INDEX(SPPR!$E:$X,MATCH($A313,SPPR!$A:$A,0),19),""),"")</f>
        <v/>
      </c>
      <c r="W313">
        <f>IFERROR(IF(ISNUMBER(INDEX(SPPR!$E:$X,MATCH($A313,SPPR!$A:$A,0),20)),$C313*INDEX(SPPR!$E:$X,MATCH($A313,SPPR!$A:$A,0),20),""),"")</f>
        <v/>
      </c>
    </row>
    <row r="314">
      <c r="A314" t="inlineStr">
        <is>
          <t>Evynnis tumifrons</t>
        </is>
      </c>
      <c r="B314">
        <f>IFERROR(INDEX(SPPR!$D:$D,MATCH($A314,SPPR!$A:$A,0)),"")</f>
        <v/>
      </c>
      <c r="C314">
        <f>IFERROR(INDEX(Catch!$E:$BV,MATCH($A314,Catch!$A:$A,0),MATCH($B$4,Catch!$E$1:$BV$1,0)),0)</f>
        <v/>
      </c>
      <c r="D314">
        <f>IFERROR(IF(ISNUMBER(INDEX(SPPR!$E:$X,MATCH($A314,SPPR!$A:$A,0),1)),$C314*INDEX(SPPR!$E:$X,MATCH($A314,SPPR!$A:$A,0),1),""),"")</f>
        <v/>
      </c>
      <c r="E314">
        <f>IFERROR(IF(ISNUMBER(INDEX(SPPR!$E:$X,MATCH($A314,SPPR!$A:$A,0),2)),$C314*INDEX(SPPR!$E:$X,MATCH($A314,SPPR!$A:$A,0),2),""),"")</f>
        <v/>
      </c>
      <c r="F314">
        <f>IFERROR(IF(ISNUMBER(INDEX(SPPR!$E:$X,MATCH($A314,SPPR!$A:$A,0),3)),$C314*INDEX(SPPR!$E:$X,MATCH($A314,SPPR!$A:$A,0),3),""),"")</f>
        <v/>
      </c>
      <c r="G314">
        <f>IFERROR(IF(ISNUMBER(INDEX(SPPR!$E:$X,MATCH($A314,SPPR!$A:$A,0),4)),$C314*INDEX(SPPR!$E:$X,MATCH($A314,SPPR!$A:$A,0),4),""),"")</f>
        <v/>
      </c>
      <c r="H314">
        <f>IFERROR(IF(ISNUMBER(INDEX(SPPR!$E:$X,MATCH($A314,SPPR!$A:$A,0),5)),$C314*INDEX(SPPR!$E:$X,MATCH($A314,SPPR!$A:$A,0),5),""),"")</f>
        <v/>
      </c>
      <c r="I314">
        <f>IFERROR(IF(ISNUMBER(INDEX(SPPR!$E:$X,MATCH($A314,SPPR!$A:$A,0),6)),$C314*INDEX(SPPR!$E:$X,MATCH($A314,SPPR!$A:$A,0),6),""),"")</f>
        <v/>
      </c>
      <c r="J314">
        <f>IFERROR(IF(ISNUMBER(INDEX(SPPR!$E:$X,MATCH($A314,SPPR!$A:$A,0),7)),$C314*INDEX(SPPR!$E:$X,MATCH($A314,SPPR!$A:$A,0),7),""),"")</f>
        <v/>
      </c>
      <c r="K314">
        <f>IFERROR(IF(ISNUMBER(INDEX(SPPR!$E:$X,MATCH($A314,SPPR!$A:$A,0),8)),$C314*INDEX(SPPR!$E:$X,MATCH($A314,SPPR!$A:$A,0),8),""),"")</f>
        <v/>
      </c>
      <c r="L314">
        <f>IFERROR(IF(ISNUMBER(INDEX(SPPR!$E:$X,MATCH($A314,SPPR!$A:$A,0),9)),$C314*INDEX(SPPR!$E:$X,MATCH($A314,SPPR!$A:$A,0),9),""),"")</f>
        <v/>
      </c>
      <c r="M314">
        <f>IFERROR(IF(ISNUMBER(INDEX(SPPR!$E:$X,MATCH($A314,SPPR!$A:$A,0),10)),$C314*INDEX(SPPR!$E:$X,MATCH($A314,SPPR!$A:$A,0),10),""),"")</f>
        <v/>
      </c>
      <c r="N314">
        <f>IFERROR(IF(ISNUMBER(INDEX(SPPR!$E:$X,MATCH($A314,SPPR!$A:$A,0),11)),$C314*INDEX(SPPR!$E:$X,MATCH($A314,SPPR!$A:$A,0),11),""),"")</f>
        <v/>
      </c>
      <c r="O314">
        <f>IFERROR(IF(ISNUMBER(INDEX(SPPR!$E:$X,MATCH($A314,SPPR!$A:$A,0),12)),$C314*INDEX(SPPR!$E:$X,MATCH($A314,SPPR!$A:$A,0),12),""),"")</f>
        <v/>
      </c>
      <c r="P314">
        <f>IFERROR(IF(ISNUMBER(INDEX(SPPR!$E:$X,MATCH($A314,SPPR!$A:$A,0),13)),$C314*INDEX(SPPR!$E:$X,MATCH($A314,SPPR!$A:$A,0),13),""),"")</f>
        <v/>
      </c>
      <c r="Q314">
        <f>IFERROR(IF(ISNUMBER(INDEX(SPPR!$E:$X,MATCH($A314,SPPR!$A:$A,0),14)),$C314*INDEX(SPPR!$E:$X,MATCH($A314,SPPR!$A:$A,0),14),""),"")</f>
        <v/>
      </c>
      <c r="R314">
        <f>IFERROR(IF(ISNUMBER(INDEX(SPPR!$E:$X,MATCH($A314,SPPR!$A:$A,0),15)),$C314*INDEX(SPPR!$E:$X,MATCH($A314,SPPR!$A:$A,0),15),""),"")</f>
        <v/>
      </c>
      <c r="S314">
        <f>IFERROR(IF(ISNUMBER(INDEX(SPPR!$E:$X,MATCH($A314,SPPR!$A:$A,0),16)),$C314*INDEX(SPPR!$E:$X,MATCH($A314,SPPR!$A:$A,0),16),""),"")</f>
        <v/>
      </c>
      <c r="T314">
        <f>IFERROR(IF(ISNUMBER(INDEX(SPPR!$E:$X,MATCH($A314,SPPR!$A:$A,0),17)),$C314*INDEX(SPPR!$E:$X,MATCH($A314,SPPR!$A:$A,0),17),""),"")</f>
        <v/>
      </c>
      <c r="U314">
        <f>IFERROR(IF(ISNUMBER(INDEX(SPPR!$E:$X,MATCH($A314,SPPR!$A:$A,0),18)),$C314*INDEX(SPPR!$E:$X,MATCH($A314,SPPR!$A:$A,0),18),""),"")</f>
        <v/>
      </c>
      <c r="V314">
        <f>IFERROR(IF(ISNUMBER(INDEX(SPPR!$E:$X,MATCH($A314,SPPR!$A:$A,0),19)),$C314*INDEX(SPPR!$E:$X,MATCH($A314,SPPR!$A:$A,0),19),""),"")</f>
        <v/>
      </c>
      <c r="W314">
        <f>IFERROR(IF(ISNUMBER(INDEX(SPPR!$E:$X,MATCH($A314,SPPR!$A:$A,0),20)),$C314*INDEX(SPPR!$E:$X,MATCH($A314,SPPR!$A:$A,0),20),""),"")</f>
        <v/>
      </c>
    </row>
    <row r="315">
      <c r="A315" t="inlineStr">
        <is>
          <t>Ephippidae</t>
        </is>
      </c>
      <c r="B315">
        <f>IFERROR(INDEX(SPPR!$D:$D,MATCH($A315,SPPR!$A:$A,0)),"")</f>
        <v/>
      </c>
      <c r="C315">
        <f>IFERROR(INDEX(Catch!$E:$BV,MATCH($A315,Catch!$A:$A,0),MATCH($B$4,Catch!$E$1:$BV$1,0)),0)</f>
        <v/>
      </c>
      <c r="D315">
        <f>IFERROR(IF(ISNUMBER(INDEX(SPPR!$E:$X,MATCH($A315,SPPR!$A:$A,0),1)),$C315*INDEX(SPPR!$E:$X,MATCH($A315,SPPR!$A:$A,0),1),""),"")</f>
        <v/>
      </c>
      <c r="E315">
        <f>IFERROR(IF(ISNUMBER(INDEX(SPPR!$E:$X,MATCH($A315,SPPR!$A:$A,0),2)),$C315*INDEX(SPPR!$E:$X,MATCH($A315,SPPR!$A:$A,0),2),""),"")</f>
        <v/>
      </c>
      <c r="F315">
        <f>IFERROR(IF(ISNUMBER(INDEX(SPPR!$E:$X,MATCH($A315,SPPR!$A:$A,0),3)),$C315*INDEX(SPPR!$E:$X,MATCH($A315,SPPR!$A:$A,0),3),""),"")</f>
        <v/>
      </c>
      <c r="G315">
        <f>IFERROR(IF(ISNUMBER(INDEX(SPPR!$E:$X,MATCH($A315,SPPR!$A:$A,0),4)),$C315*INDEX(SPPR!$E:$X,MATCH($A315,SPPR!$A:$A,0),4),""),"")</f>
        <v/>
      </c>
      <c r="H315">
        <f>IFERROR(IF(ISNUMBER(INDEX(SPPR!$E:$X,MATCH($A315,SPPR!$A:$A,0),5)),$C315*INDEX(SPPR!$E:$X,MATCH($A315,SPPR!$A:$A,0),5),""),"")</f>
        <v/>
      </c>
      <c r="I315">
        <f>IFERROR(IF(ISNUMBER(INDEX(SPPR!$E:$X,MATCH($A315,SPPR!$A:$A,0),6)),$C315*INDEX(SPPR!$E:$X,MATCH($A315,SPPR!$A:$A,0),6),""),"")</f>
        <v/>
      </c>
      <c r="J315">
        <f>IFERROR(IF(ISNUMBER(INDEX(SPPR!$E:$X,MATCH($A315,SPPR!$A:$A,0),7)),$C315*INDEX(SPPR!$E:$X,MATCH($A315,SPPR!$A:$A,0),7),""),"")</f>
        <v/>
      </c>
      <c r="K315">
        <f>IFERROR(IF(ISNUMBER(INDEX(SPPR!$E:$X,MATCH($A315,SPPR!$A:$A,0),8)),$C315*INDEX(SPPR!$E:$X,MATCH($A315,SPPR!$A:$A,0),8),""),"")</f>
        <v/>
      </c>
      <c r="L315">
        <f>IFERROR(IF(ISNUMBER(INDEX(SPPR!$E:$X,MATCH($A315,SPPR!$A:$A,0),9)),$C315*INDEX(SPPR!$E:$X,MATCH($A315,SPPR!$A:$A,0),9),""),"")</f>
        <v/>
      </c>
      <c r="M315">
        <f>IFERROR(IF(ISNUMBER(INDEX(SPPR!$E:$X,MATCH($A315,SPPR!$A:$A,0),10)),$C315*INDEX(SPPR!$E:$X,MATCH($A315,SPPR!$A:$A,0),10),""),"")</f>
        <v/>
      </c>
      <c r="N315">
        <f>IFERROR(IF(ISNUMBER(INDEX(SPPR!$E:$X,MATCH($A315,SPPR!$A:$A,0),11)),$C315*INDEX(SPPR!$E:$X,MATCH($A315,SPPR!$A:$A,0),11),""),"")</f>
        <v/>
      </c>
      <c r="O315">
        <f>IFERROR(IF(ISNUMBER(INDEX(SPPR!$E:$X,MATCH($A315,SPPR!$A:$A,0),12)),$C315*INDEX(SPPR!$E:$X,MATCH($A315,SPPR!$A:$A,0),12),""),"")</f>
        <v/>
      </c>
      <c r="P315">
        <f>IFERROR(IF(ISNUMBER(INDEX(SPPR!$E:$X,MATCH($A315,SPPR!$A:$A,0),13)),$C315*INDEX(SPPR!$E:$X,MATCH($A315,SPPR!$A:$A,0),13),""),"")</f>
        <v/>
      </c>
      <c r="Q315">
        <f>IFERROR(IF(ISNUMBER(INDEX(SPPR!$E:$X,MATCH($A315,SPPR!$A:$A,0),14)),$C315*INDEX(SPPR!$E:$X,MATCH($A315,SPPR!$A:$A,0),14),""),"")</f>
        <v/>
      </c>
      <c r="R315">
        <f>IFERROR(IF(ISNUMBER(INDEX(SPPR!$E:$X,MATCH($A315,SPPR!$A:$A,0),15)),$C315*INDEX(SPPR!$E:$X,MATCH($A315,SPPR!$A:$A,0),15),""),"")</f>
        <v/>
      </c>
      <c r="S315">
        <f>IFERROR(IF(ISNUMBER(INDEX(SPPR!$E:$X,MATCH($A315,SPPR!$A:$A,0),16)),$C315*INDEX(SPPR!$E:$X,MATCH($A315,SPPR!$A:$A,0),16),""),"")</f>
        <v/>
      </c>
      <c r="T315">
        <f>IFERROR(IF(ISNUMBER(INDEX(SPPR!$E:$X,MATCH($A315,SPPR!$A:$A,0),17)),$C315*INDEX(SPPR!$E:$X,MATCH($A315,SPPR!$A:$A,0),17),""),"")</f>
        <v/>
      </c>
      <c r="U315">
        <f>IFERROR(IF(ISNUMBER(INDEX(SPPR!$E:$X,MATCH($A315,SPPR!$A:$A,0),18)),$C315*INDEX(SPPR!$E:$X,MATCH($A315,SPPR!$A:$A,0),18),""),"")</f>
        <v/>
      </c>
      <c r="V315">
        <f>IFERROR(IF(ISNUMBER(INDEX(SPPR!$E:$X,MATCH($A315,SPPR!$A:$A,0),19)),$C315*INDEX(SPPR!$E:$X,MATCH($A315,SPPR!$A:$A,0),19),""),"")</f>
        <v/>
      </c>
      <c r="W315">
        <f>IFERROR(IF(ISNUMBER(INDEX(SPPR!$E:$X,MATCH($A315,SPPR!$A:$A,0),20)),$C315*INDEX(SPPR!$E:$X,MATCH($A315,SPPR!$A:$A,0),20),""),"")</f>
        <v/>
      </c>
    </row>
    <row r="316">
      <c r="A316" t="inlineStr">
        <is>
          <t>Mola mola</t>
        </is>
      </c>
      <c r="B316">
        <f>IFERROR(INDEX(SPPR!$D:$D,MATCH($A316,SPPR!$A:$A,0)),"")</f>
        <v/>
      </c>
      <c r="C316">
        <f>IFERROR(INDEX(Catch!$E:$BV,MATCH($A316,Catch!$A:$A,0),MATCH($B$4,Catch!$E$1:$BV$1,0)),0)</f>
        <v/>
      </c>
      <c r="D316">
        <f>IFERROR(IF(ISNUMBER(INDEX(SPPR!$E:$X,MATCH($A316,SPPR!$A:$A,0),1)),$C316*INDEX(SPPR!$E:$X,MATCH($A316,SPPR!$A:$A,0),1),""),"")</f>
        <v/>
      </c>
      <c r="E316">
        <f>IFERROR(IF(ISNUMBER(INDEX(SPPR!$E:$X,MATCH($A316,SPPR!$A:$A,0),2)),$C316*INDEX(SPPR!$E:$X,MATCH($A316,SPPR!$A:$A,0),2),""),"")</f>
        <v/>
      </c>
      <c r="F316">
        <f>IFERROR(IF(ISNUMBER(INDEX(SPPR!$E:$X,MATCH($A316,SPPR!$A:$A,0),3)),$C316*INDEX(SPPR!$E:$X,MATCH($A316,SPPR!$A:$A,0),3),""),"")</f>
        <v/>
      </c>
      <c r="G316">
        <f>IFERROR(IF(ISNUMBER(INDEX(SPPR!$E:$X,MATCH($A316,SPPR!$A:$A,0),4)),$C316*INDEX(SPPR!$E:$X,MATCH($A316,SPPR!$A:$A,0),4),""),"")</f>
        <v/>
      </c>
      <c r="H316">
        <f>IFERROR(IF(ISNUMBER(INDEX(SPPR!$E:$X,MATCH($A316,SPPR!$A:$A,0),5)),$C316*INDEX(SPPR!$E:$X,MATCH($A316,SPPR!$A:$A,0),5),""),"")</f>
        <v/>
      </c>
      <c r="I316">
        <f>IFERROR(IF(ISNUMBER(INDEX(SPPR!$E:$X,MATCH($A316,SPPR!$A:$A,0),6)),$C316*INDEX(SPPR!$E:$X,MATCH($A316,SPPR!$A:$A,0),6),""),"")</f>
        <v/>
      </c>
      <c r="J316">
        <f>IFERROR(IF(ISNUMBER(INDEX(SPPR!$E:$X,MATCH($A316,SPPR!$A:$A,0),7)),$C316*INDEX(SPPR!$E:$X,MATCH($A316,SPPR!$A:$A,0),7),""),"")</f>
        <v/>
      </c>
      <c r="K316">
        <f>IFERROR(IF(ISNUMBER(INDEX(SPPR!$E:$X,MATCH($A316,SPPR!$A:$A,0),8)),$C316*INDEX(SPPR!$E:$X,MATCH($A316,SPPR!$A:$A,0),8),""),"")</f>
        <v/>
      </c>
      <c r="L316">
        <f>IFERROR(IF(ISNUMBER(INDEX(SPPR!$E:$X,MATCH($A316,SPPR!$A:$A,0),9)),$C316*INDEX(SPPR!$E:$X,MATCH($A316,SPPR!$A:$A,0),9),""),"")</f>
        <v/>
      </c>
      <c r="M316">
        <f>IFERROR(IF(ISNUMBER(INDEX(SPPR!$E:$X,MATCH($A316,SPPR!$A:$A,0),10)),$C316*INDEX(SPPR!$E:$X,MATCH($A316,SPPR!$A:$A,0),10),""),"")</f>
        <v/>
      </c>
      <c r="N316">
        <f>IFERROR(IF(ISNUMBER(INDEX(SPPR!$E:$X,MATCH($A316,SPPR!$A:$A,0),11)),$C316*INDEX(SPPR!$E:$X,MATCH($A316,SPPR!$A:$A,0),11),""),"")</f>
        <v/>
      </c>
      <c r="O316">
        <f>IFERROR(IF(ISNUMBER(INDEX(SPPR!$E:$X,MATCH($A316,SPPR!$A:$A,0),12)),$C316*INDEX(SPPR!$E:$X,MATCH($A316,SPPR!$A:$A,0),12),""),"")</f>
        <v/>
      </c>
      <c r="P316">
        <f>IFERROR(IF(ISNUMBER(INDEX(SPPR!$E:$X,MATCH($A316,SPPR!$A:$A,0),13)),$C316*INDEX(SPPR!$E:$X,MATCH($A316,SPPR!$A:$A,0),13),""),"")</f>
        <v/>
      </c>
      <c r="Q316">
        <f>IFERROR(IF(ISNUMBER(INDEX(SPPR!$E:$X,MATCH($A316,SPPR!$A:$A,0),14)),$C316*INDEX(SPPR!$E:$X,MATCH($A316,SPPR!$A:$A,0),14),""),"")</f>
        <v/>
      </c>
      <c r="R316">
        <f>IFERROR(IF(ISNUMBER(INDEX(SPPR!$E:$X,MATCH($A316,SPPR!$A:$A,0),15)),$C316*INDEX(SPPR!$E:$X,MATCH($A316,SPPR!$A:$A,0),15),""),"")</f>
        <v/>
      </c>
      <c r="S316">
        <f>IFERROR(IF(ISNUMBER(INDEX(SPPR!$E:$X,MATCH($A316,SPPR!$A:$A,0),16)),$C316*INDEX(SPPR!$E:$X,MATCH($A316,SPPR!$A:$A,0),16),""),"")</f>
        <v/>
      </c>
      <c r="T316">
        <f>IFERROR(IF(ISNUMBER(INDEX(SPPR!$E:$X,MATCH($A316,SPPR!$A:$A,0),17)),$C316*INDEX(SPPR!$E:$X,MATCH($A316,SPPR!$A:$A,0),17),""),"")</f>
        <v/>
      </c>
      <c r="U316">
        <f>IFERROR(IF(ISNUMBER(INDEX(SPPR!$E:$X,MATCH($A316,SPPR!$A:$A,0),18)),$C316*INDEX(SPPR!$E:$X,MATCH($A316,SPPR!$A:$A,0),18),""),"")</f>
        <v/>
      </c>
      <c r="V316">
        <f>IFERROR(IF(ISNUMBER(INDEX(SPPR!$E:$X,MATCH($A316,SPPR!$A:$A,0),19)),$C316*INDEX(SPPR!$E:$X,MATCH($A316,SPPR!$A:$A,0),19),""),"")</f>
        <v/>
      </c>
      <c r="W316">
        <f>IFERROR(IF(ISNUMBER(INDEX(SPPR!$E:$X,MATCH($A316,SPPR!$A:$A,0),20)),$C316*INDEX(SPPR!$E:$X,MATCH($A316,SPPR!$A:$A,0),20),""),"")</f>
        <v/>
      </c>
    </row>
    <row r="317">
      <c r="A317" t="inlineStr">
        <is>
          <t>Latidae</t>
        </is>
      </c>
      <c r="B317">
        <f>IFERROR(INDEX(SPPR!$D:$D,MATCH($A317,SPPR!$A:$A,0)),"")</f>
        <v/>
      </c>
      <c r="C317">
        <f>IFERROR(INDEX(Catch!$E:$BV,MATCH($A317,Catch!$A:$A,0),MATCH($B$4,Catch!$E$1:$BV$1,0)),0)</f>
        <v/>
      </c>
      <c r="D317">
        <f>IFERROR(IF(ISNUMBER(INDEX(SPPR!$E:$X,MATCH($A317,SPPR!$A:$A,0),1)),$C317*INDEX(SPPR!$E:$X,MATCH($A317,SPPR!$A:$A,0),1),""),"")</f>
        <v/>
      </c>
      <c r="E317">
        <f>IFERROR(IF(ISNUMBER(INDEX(SPPR!$E:$X,MATCH($A317,SPPR!$A:$A,0),2)),$C317*INDEX(SPPR!$E:$X,MATCH($A317,SPPR!$A:$A,0),2),""),"")</f>
        <v/>
      </c>
      <c r="F317">
        <f>IFERROR(IF(ISNUMBER(INDEX(SPPR!$E:$X,MATCH($A317,SPPR!$A:$A,0),3)),$C317*INDEX(SPPR!$E:$X,MATCH($A317,SPPR!$A:$A,0),3),""),"")</f>
        <v/>
      </c>
      <c r="G317">
        <f>IFERROR(IF(ISNUMBER(INDEX(SPPR!$E:$X,MATCH($A317,SPPR!$A:$A,0),4)),$C317*INDEX(SPPR!$E:$X,MATCH($A317,SPPR!$A:$A,0),4),""),"")</f>
        <v/>
      </c>
      <c r="H317">
        <f>IFERROR(IF(ISNUMBER(INDEX(SPPR!$E:$X,MATCH($A317,SPPR!$A:$A,0),5)),$C317*INDEX(SPPR!$E:$X,MATCH($A317,SPPR!$A:$A,0),5),""),"")</f>
        <v/>
      </c>
      <c r="I317">
        <f>IFERROR(IF(ISNUMBER(INDEX(SPPR!$E:$X,MATCH($A317,SPPR!$A:$A,0),6)),$C317*INDEX(SPPR!$E:$X,MATCH($A317,SPPR!$A:$A,0),6),""),"")</f>
        <v/>
      </c>
      <c r="J317">
        <f>IFERROR(IF(ISNUMBER(INDEX(SPPR!$E:$X,MATCH($A317,SPPR!$A:$A,0),7)),$C317*INDEX(SPPR!$E:$X,MATCH($A317,SPPR!$A:$A,0),7),""),"")</f>
        <v/>
      </c>
      <c r="K317">
        <f>IFERROR(IF(ISNUMBER(INDEX(SPPR!$E:$X,MATCH($A317,SPPR!$A:$A,0),8)),$C317*INDEX(SPPR!$E:$X,MATCH($A317,SPPR!$A:$A,0),8),""),"")</f>
        <v/>
      </c>
      <c r="L317">
        <f>IFERROR(IF(ISNUMBER(INDEX(SPPR!$E:$X,MATCH($A317,SPPR!$A:$A,0),9)),$C317*INDEX(SPPR!$E:$X,MATCH($A317,SPPR!$A:$A,0),9),""),"")</f>
        <v/>
      </c>
      <c r="M317">
        <f>IFERROR(IF(ISNUMBER(INDEX(SPPR!$E:$X,MATCH($A317,SPPR!$A:$A,0),10)),$C317*INDEX(SPPR!$E:$X,MATCH($A317,SPPR!$A:$A,0),10),""),"")</f>
        <v/>
      </c>
      <c r="N317">
        <f>IFERROR(IF(ISNUMBER(INDEX(SPPR!$E:$X,MATCH($A317,SPPR!$A:$A,0),11)),$C317*INDEX(SPPR!$E:$X,MATCH($A317,SPPR!$A:$A,0),11),""),"")</f>
        <v/>
      </c>
      <c r="O317">
        <f>IFERROR(IF(ISNUMBER(INDEX(SPPR!$E:$X,MATCH($A317,SPPR!$A:$A,0),12)),$C317*INDEX(SPPR!$E:$X,MATCH($A317,SPPR!$A:$A,0),12),""),"")</f>
        <v/>
      </c>
      <c r="P317">
        <f>IFERROR(IF(ISNUMBER(INDEX(SPPR!$E:$X,MATCH($A317,SPPR!$A:$A,0),13)),$C317*INDEX(SPPR!$E:$X,MATCH($A317,SPPR!$A:$A,0),13),""),"")</f>
        <v/>
      </c>
      <c r="Q317">
        <f>IFERROR(IF(ISNUMBER(INDEX(SPPR!$E:$X,MATCH($A317,SPPR!$A:$A,0),14)),$C317*INDEX(SPPR!$E:$X,MATCH($A317,SPPR!$A:$A,0),14),""),"")</f>
        <v/>
      </c>
      <c r="R317">
        <f>IFERROR(IF(ISNUMBER(INDEX(SPPR!$E:$X,MATCH($A317,SPPR!$A:$A,0),15)),$C317*INDEX(SPPR!$E:$X,MATCH($A317,SPPR!$A:$A,0),15),""),"")</f>
        <v/>
      </c>
      <c r="S317">
        <f>IFERROR(IF(ISNUMBER(INDEX(SPPR!$E:$X,MATCH($A317,SPPR!$A:$A,0),16)),$C317*INDEX(SPPR!$E:$X,MATCH($A317,SPPR!$A:$A,0),16),""),"")</f>
        <v/>
      </c>
      <c r="T317">
        <f>IFERROR(IF(ISNUMBER(INDEX(SPPR!$E:$X,MATCH($A317,SPPR!$A:$A,0),17)),$C317*INDEX(SPPR!$E:$X,MATCH($A317,SPPR!$A:$A,0),17),""),"")</f>
        <v/>
      </c>
      <c r="U317">
        <f>IFERROR(IF(ISNUMBER(INDEX(SPPR!$E:$X,MATCH($A317,SPPR!$A:$A,0),18)),$C317*INDEX(SPPR!$E:$X,MATCH($A317,SPPR!$A:$A,0),18),""),"")</f>
        <v/>
      </c>
      <c r="V317">
        <f>IFERROR(IF(ISNUMBER(INDEX(SPPR!$E:$X,MATCH($A317,SPPR!$A:$A,0),19)),$C317*INDEX(SPPR!$E:$X,MATCH($A317,SPPR!$A:$A,0),19),""),"")</f>
        <v/>
      </c>
      <c r="W317">
        <f>IFERROR(IF(ISNUMBER(INDEX(SPPR!$E:$X,MATCH($A317,SPPR!$A:$A,0),20)),$C317*INDEX(SPPR!$E:$X,MATCH($A317,SPPR!$A:$A,0),20),""),"")</f>
        <v/>
      </c>
    </row>
    <row r="318">
      <c r="A318" t="inlineStr">
        <is>
          <t>Ranina ranina</t>
        </is>
      </c>
      <c r="B318">
        <f>IFERROR(INDEX(SPPR!$D:$D,MATCH($A318,SPPR!$A:$A,0)),"")</f>
        <v/>
      </c>
      <c r="C318">
        <f>IFERROR(INDEX(Catch!$E:$BV,MATCH($A318,Catch!$A:$A,0),MATCH($B$4,Catch!$E$1:$BV$1,0)),0)</f>
        <v/>
      </c>
      <c r="D318">
        <f>IFERROR(IF(ISNUMBER(INDEX(SPPR!$E:$X,MATCH($A318,SPPR!$A:$A,0),1)),$C318*INDEX(SPPR!$E:$X,MATCH($A318,SPPR!$A:$A,0),1),""),"")</f>
        <v/>
      </c>
      <c r="E318">
        <f>IFERROR(IF(ISNUMBER(INDEX(SPPR!$E:$X,MATCH($A318,SPPR!$A:$A,0),2)),$C318*INDEX(SPPR!$E:$X,MATCH($A318,SPPR!$A:$A,0),2),""),"")</f>
        <v/>
      </c>
      <c r="F318">
        <f>IFERROR(IF(ISNUMBER(INDEX(SPPR!$E:$X,MATCH($A318,SPPR!$A:$A,0),3)),$C318*INDEX(SPPR!$E:$X,MATCH($A318,SPPR!$A:$A,0),3),""),"")</f>
        <v/>
      </c>
      <c r="G318">
        <f>IFERROR(IF(ISNUMBER(INDEX(SPPR!$E:$X,MATCH($A318,SPPR!$A:$A,0),4)),$C318*INDEX(SPPR!$E:$X,MATCH($A318,SPPR!$A:$A,0),4),""),"")</f>
        <v/>
      </c>
      <c r="H318">
        <f>IFERROR(IF(ISNUMBER(INDEX(SPPR!$E:$X,MATCH($A318,SPPR!$A:$A,0),5)),$C318*INDEX(SPPR!$E:$X,MATCH($A318,SPPR!$A:$A,0),5),""),"")</f>
        <v/>
      </c>
      <c r="I318">
        <f>IFERROR(IF(ISNUMBER(INDEX(SPPR!$E:$X,MATCH($A318,SPPR!$A:$A,0),6)),$C318*INDEX(SPPR!$E:$X,MATCH($A318,SPPR!$A:$A,0),6),""),"")</f>
        <v/>
      </c>
      <c r="J318">
        <f>IFERROR(IF(ISNUMBER(INDEX(SPPR!$E:$X,MATCH($A318,SPPR!$A:$A,0),7)),$C318*INDEX(SPPR!$E:$X,MATCH($A318,SPPR!$A:$A,0),7),""),"")</f>
        <v/>
      </c>
      <c r="K318">
        <f>IFERROR(IF(ISNUMBER(INDEX(SPPR!$E:$X,MATCH($A318,SPPR!$A:$A,0),8)),$C318*INDEX(SPPR!$E:$X,MATCH($A318,SPPR!$A:$A,0),8),""),"")</f>
        <v/>
      </c>
      <c r="L318">
        <f>IFERROR(IF(ISNUMBER(INDEX(SPPR!$E:$X,MATCH($A318,SPPR!$A:$A,0),9)),$C318*INDEX(SPPR!$E:$X,MATCH($A318,SPPR!$A:$A,0),9),""),"")</f>
        <v/>
      </c>
      <c r="M318">
        <f>IFERROR(IF(ISNUMBER(INDEX(SPPR!$E:$X,MATCH($A318,SPPR!$A:$A,0),10)),$C318*INDEX(SPPR!$E:$X,MATCH($A318,SPPR!$A:$A,0),10),""),"")</f>
        <v/>
      </c>
      <c r="N318">
        <f>IFERROR(IF(ISNUMBER(INDEX(SPPR!$E:$X,MATCH($A318,SPPR!$A:$A,0),11)),$C318*INDEX(SPPR!$E:$X,MATCH($A318,SPPR!$A:$A,0),11),""),"")</f>
        <v/>
      </c>
      <c r="O318">
        <f>IFERROR(IF(ISNUMBER(INDEX(SPPR!$E:$X,MATCH($A318,SPPR!$A:$A,0),12)),$C318*INDEX(SPPR!$E:$X,MATCH($A318,SPPR!$A:$A,0),12),""),"")</f>
        <v/>
      </c>
      <c r="P318">
        <f>IFERROR(IF(ISNUMBER(INDEX(SPPR!$E:$X,MATCH($A318,SPPR!$A:$A,0),13)),$C318*INDEX(SPPR!$E:$X,MATCH($A318,SPPR!$A:$A,0),13),""),"")</f>
        <v/>
      </c>
      <c r="Q318">
        <f>IFERROR(IF(ISNUMBER(INDEX(SPPR!$E:$X,MATCH($A318,SPPR!$A:$A,0),14)),$C318*INDEX(SPPR!$E:$X,MATCH($A318,SPPR!$A:$A,0),14),""),"")</f>
        <v/>
      </c>
      <c r="R318">
        <f>IFERROR(IF(ISNUMBER(INDEX(SPPR!$E:$X,MATCH($A318,SPPR!$A:$A,0),15)),$C318*INDEX(SPPR!$E:$X,MATCH($A318,SPPR!$A:$A,0),15),""),"")</f>
        <v/>
      </c>
      <c r="S318">
        <f>IFERROR(IF(ISNUMBER(INDEX(SPPR!$E:$X,MATCH($A318,SPPR!$A:$A,0),16)),$C318*INDEX(SPPR!$E:$X,MATCH($A318,SPPR!$A:$A,0),16),""),"")</f>
        <v/>
      </c>
      <c r="T318">
        <f>IFERROR(IF(ISNUMBER(INDEX(SPPR!$E:$X,MATCH($A318,SPPR!$A:$A,0),17)),$C318*INDEX(SPPR!$E:$X,MATCH($A318,SPPR!$A:$A,0),17),""),"")</f>
        <v/>
      </c>
      <c r="U318">
        <f>IFERROR(IF(ISNUMBER(INDEX(SPPR!$E:$X,MATCH($A318,SPPR!$A:$A,0),18)),$C318*INDEX(SPPR!$E:$X,MATCH($A318,SPPR!$A:$A,0),18),""),"")</f>
        <v/>
      </c>
      <c r="V318">
        <f>IFERROR(IF(ISNUMBER(INDEX(SPPR!$E:$X,MATCH($A318,SPPR!$A:$A,0),19)),$C318*INDEX(SPPR!$E:$X,MATCH($A318,SPPR!$A:$A,0),19),""),"")</f>
        <v/>
      </c>
      <c r="W318">
        <f>IFERROR(IF(ISNUMBER(INDEX(SPPR!$E:$X,MATCH($A318,SPPR!$A:$A,0),20)),$C318*INDEX(SPPR!$E:$X,MATCH($A318,SPPR!$A:$A,0),20),""),"")</f>
        <v/>
      </c>
    </row>
    <row r="319">
      <c r="A319" t="inlineStr">
        <is>
          <t>Ozius guttatus</t>
        </is>
      </c>
      <c r="B319">
        <f>IFERROR(INDEX(SPPR!$D:$D,MATCH($A319,SPPR!$A:$A,0)),"")</f>
        <v/>
      </c>
      <c r="C319">
        <f>IFERROR(INDEX(Catch!$E:$BV,MATCH($A319,Catch!$A:$A,0),MATCH($B$4,Catch!$E$1:$BV$1,0)),0)</f>
        <v/>
      </c>
      <c r="D319">
        <f>IFERROR(IF(ISNUMBER(INDEX(SPPR!$E:$X,MATCH($A319,SPPR!$A:$A,0),1)),$C319*INDEX(SPPR!$E:$X,MATCH($A319,SPPR!$A:$A,0),1),""),"")</f>
        <v/>
      </c>
      <c r="E319">
        <f>IFERROR(IF(ISNUMBER(INDEX(SPPR!$E:$X,MATCH($A319,SPPR!$A:$A,0),2)),$C319*INDEX(SPPR!$E:$X,MATCH($A319,SPPR!$A:$A,0),2),""),"")</f>
        <v/>
      </c>
      <c r="F319">
        <f>IFERROR(IF(ISNUMBER(INDEX(SPPR!$E:$X,MATCH($A319,SPPR!$A:$A,0),3)),$C319*INDEX(SPPR!$E:$X,MATCH($A319,SPPR!$A:$A,0),3),""),"")</f>
        <v/>
      </c>
      <c r="G319">
        <f>IFERROR(IF(ISNUMBER(INDEX(SPPR!$E:$X,MATCH($A319,SPPR!$A:$A,0),4)),$C319*INDEX(SPPR!$E:$X,MATCH($A319,SPPR!$A:$A,0),4),""),"")</f>
        <v/>
      </c>
      <c r="H319">
        <f>IFERROR(IF(ISNUMBER(INDEX(SPPR!$E:$X,MATCH($A319,SPPR!$A:$A,0),5)),$C319*INDEX(SPPR!$E:$X,MATCH($A319,SPPR!$A:$A,0),5),""),"")</f>
        <v/>
      </c>
      <c r="I319">
        <f>IFERROR(IF(ISNUMBER(INDEX(SPPR!$E:$X,MATCH($A319,SPPR!$A:$A,0),6)),$C319*INDEX(SPPR!$E:$X,MATCH($A319,SPPR!$A:$A,0),6),""),"")</f>
        <v/>
      </c>
      <c r="J319">
        <f>IFERROR(IF(ISNUMBER(INDEX(SPPR!$E:$X,MATCH($A319,SPPR!$A:$A,0),7)),$C319*INDEX(SPPR!$E:$X,MATCH($A319,SPPR!$A:$A,0),7),""),"")</f>
        <v/>
      </c>
      <c r="K319">
        <f>IFERROR(IF(ISNUMBER(INDEX(SPPR!$E:$X,MATCH($A319,SPPR!$A:$A,0),8)),$C319*INDEX(SPPR!$E:$X,MATCH($A319,SPPR!$A:$A,0),8),""),"")</f>
        <v/>
      </c>
      <c r="L319">
        <f>IFERROR(IF(ISNUMBER(INDEX(SPPR!$E:$X,MATCH($A319,SPPR!$A:$A,0),9)),$C319*INDEX(SPPR!$E:$X,MATCH($A319,SPPR!$A:$A,0),9),""),"")</f>
        <v/>
      </c>
      <c r="M319">
        <f>IFERROR(IF(ISNUMBER(INDEX(SPPR!$E:$X,MATCH($A319,SPPR!$A:$A,0),10)),$C319*INDEX(SPPR!$E:$X,MATCH($A319,SPPR!$A:$A,0),10),""),"")</f>
        <v/>
      </c>
      <c r="N319">
        <f>IFERROR(IF(ISNUMBER(INDEX(SPPR!$E:$X,MATCH($A319,SPPR!$A:$A,0),11)),$C319*INDEX(SPPR!$E:$X,MATCH($A319,SPPR!$A:$A,0),11),""),"")</f>
        <v/>
      </c>
      <c r="O319">
        <f>IFERROR(IF(ISNUMBER(INDEX(SPPR!$E:$X,MATCH($A319,SPPR!$A:$A,0),12)),$C319*INDEX(SPPR!$E:$X,MATCH($A319,SPPR!$A:$A,0),12),""),"")</f>
        <v/>
      </c>
      <c r="P319">
        <f>IFERROR(IF(ISNUMBER(INDEX(SPPR!$E:$X,MATCH($A319,SPPR!$A:$A,0),13)),$C319*INDEX(SPPR!$E:$X,MATCH($A319,SPPR!$A:$A,0),13),""),"")</f>
        <v/>
      </c>
      <c r="Q319">
        <f>IFERROR(IF(ISNUMBER(INDEX(SPPR!$E:$X,MATCH($A319,SPPR!$A:$A,0),14)),$C319*INDEX(SPPR!$E:$X,MATCH($A319,SPPR!$A:$A,0),14),""),"")</f>
        <v/>
      </c>
      <c r="R319">
        <f>IFERROR(IF(ISNUMBER(INDEX(SPPR!$E:$X,MATCH($A319,SPPR!$A:$A,0),15)),$C319*INDEX(SPPR!$E:$X,MATCH($A319,SPPR!$A:$A,0),15),""),"")</f>
        <v/>
      </c>
      <c r="S319">
        <f>IFERROR(IF(ISNUMBER(INDEX(SPPR!$E:$X,MATCH($A319,SPPR!$A:$A,0),16)),$C319*INDEX(SPPR!$E:$X,MATCH($A319,SPPR!$A:$A,0),16),""),"")</f>
        <v/>
      </c>
      <c r="T319">
        <f>IFERROR(IF(ISNUMBER(INDEX(SPPR!$E:$X,MATCH($A319,SPPR!$A:$A,0),17)),$C319*INDEX(SPPR!$E:$X,MATCH($A319,SPPR!$A:$A,0),17),""),"")</f>
        <v/>
      </c>
      <c r="U319">
        <f>IFERROR(IF(ISNUMBER(INDEX(SPPR!$E:$X,MATCH($A319,SPPR!$A:$A,0),18)),$C319*INDEX(SPPR!$E:$X,MATCH($A319,SPPR!$A:$A,0),18),""),"")</f>
        <v/>
      </c>
      <c r="V319">
        <f>IFERROR(IF(ISNUMBER(INDEX(SPPR!$E:$X,MATCH($A319,SPPR!$A:$A,0),19)),$C319*INDEX(SPPR!$E:$X,MATCH($A319,SPPR!$A:$A,0),19),""),"")</f>
        <v/>
      </c>
      <c r="W319">
        <f>IFERROR(IF(ISNUMBER(INDEX(SPPR!$E:$X,MATCH($A319,SPPR!$A:$A,0),20)),$C319*INDEX(SPPR!$E:$X,MATCH($A319,SPPR!$A:$A,0),20),""),"")</f>
        <v/>
      </c>
    </row>
    <row r="320">
      <c r="A320" t="inlineStr">
        <is>
          <t>Sphyraena barracuda</t>
        </is>
      </c>
      <c r="B320">
        <f>IFERROR(INDEX(SPPR!$D:$D,MATCH($A320,SPPR!$A:$A,0)),"")</f>
        <v/>
      </c>
      <c r="C320">
        <f>IFERROR(INDEX(Catch!$E:$BV,MATCH($A320,Catch!$A:$A,0),MATCH($B$4,Catch!$E$1:$BV$1,0)),0)</f>
        <v/>
      </c>
      <c r="D320">
        <f>IFERROR(IF(ISNUMBER(INDEX(SPPR!$E:$X,MATCH($A320,SPPR!$A:$A,0),1)),$C320*INDEX(SPPR!$E:$X,MATCH($A320,SPPR!$A:$A,0),1),""),"")</f>
        <v/>
      </c>
      <c r="E320">
        <f>IFERROR(IF(ISNUMBER(INDEX(SPPR!$E:$X,MATCH($A320,SPPR!$A:$A,0),2)),$C320*INDEX(SPPR!$E:$X,MATCH($A320,SPPR!$A:$A,0),2),""),"")</f>
        <v/>
      </c>
      <c r="F320">
        <f>IFERROR(IF(ISNUMBER(INDEX(SPPR!$E:$X,MATCH($A320,SPPR!$A:$A,0),3)),$C320*INDEX(SPPR!$E:$X,MATCH($A320,SPPR!$A:$A,0),3),""),"")</f>
        <v/>
      </c>
      <c r="G320">
        <f>IFERROR(IF(ISNUMBER(INDEX(SPPR!$E:$X,MATCH($A320,SPPR!$A:$A,0),4)),$C320*INDEX(SPPR!$E:$X,MATCH($A320,SPPR!$A:$A,0),4),""),"")</f>
        <v/>
      </c>
      <c r="H320">
        <f>IFERROR(IF(ISNUMBER(INDEX(SPPR!$E:$X,MATCH($A320,SPPR!$A:$A,0),5)),$C320*INDEX(SPPR!$E:$X,MATCH($A320,SPPR!$A:$A,0),5),""),"")</f>
        <v/>
      </c>
      <c r="I320">
        <f>IFERROR(IF(ISNUMBER(INDEX(SPPR!$E:$X,MATCH($A320,SPPR!$A:$A,0),6)),$C320*INDEX(SPPR!$E:$X,MATCH($A320,SPPR!$A:$A,0),6),""),"")</f>
        <v/>
      </c>
      <c r="J320">
        <f>IFERROR(IF(ISNUMBER(INDEX(SPPR!$E:$X,MATCH($A320,SPPR!$A:$A,0),7)),$C320*INDEX(SPPR!$E:$X,MATCH($A320,SPPR!$A:$A,0),7),""),"")</f>
        <v/>
      </c>
      <c r="K320">
        <f>IFERROR(IF(ISNUMBER(INDEX(SPPR!$E:$X,MATCH($A320,SPPR!$A:$A,0),8)),$C320*INDEX(SPPR!$E:$X,MATCH($A320,SPPR!$A:$A,0),8),""),"")</f>
        <v/>
      </c>
      <c r="L320">
        <f>IFERROR(IF(ISNUMBER(INDEX(SPPR!$E:$X,MATCH($A320,SPPR!$A:$A,0),9)),$C320*INDEX(SPPR!$E:$X,MATCH($A320,SPPR!$A:$A,0),9),""),"")</f>
        <v/>
      </c>
      <c r="M320">
        <f>IFERROR(IF(ISNUMBER(INDEX(SPPR!$E:$X,MATCH($A320,SPPR!$A:$A,0),10)),$C320*INDEX(SPPR!$E:$X,MATCH($A320,SPPR!$A:$A,0),10),""),"")</f>
        <v/>
      </c>
      <c r="N320">
        <f>IFERROR(IF(ISNUMBER(INDEX(SPPR!$E:$X,MATCH($A320,SPPR!$A:$A,0),11)),$C320*INDEX(SPPR!$E:$X,MATCH($A320,SPPR!$A:$A,0),11),""),"")</f>
        <v/>
      </c>
      <c r="O320">
        <f>IFERROR(IF(ISNUMBER(INDEX(SPPR!$E:$X,MATCH($A320,SPPR!$A:$A,0),12)),$C320*INDEX(SPPR!$E:$X,MATCH($A320,SPPR!$A:$A,0),12),""),"")</f>
        <v/>
      </c>
      <c r="P320">
        <f>IFERROR(IF(ISNUMBER(INDEX(SPPR!$E:$X,MATCH($A320,SPPR!$A:$A,0),13)),$C320*INDEX(SPPR!$E:$X,MATCH($A320,SPPR!$A:$A,0),13),""),"")</f>
        <v/>
      </c>
      <c r="Q320">
        <f>IFERROR(IF(ISNUMBER(INDEX(SPPR!$E:$X,MATCH($A320,SPPR!$A:$A,0),14)),$C320*INDEX(SPPR!$E:$X,MATCH($A320,SPPR!$A:$A,0),14),""),"")</f>
        <v/>
      </c>
      <c r="R320">
        <f>IFERROR(IF(ISNUMBER(INDEX(SPPR!$E:$X,MATCH($A320,SPPR!$A:$A,0),15)),$C320*INDEX(SPPR!$E:$X,MATCH($A320,SPPR!$A:$A,0),15),""),"")</f>
        <v/>
      </c>
      <c r="S320">
        <f>IFERROR(IF(ISNUMBER(INDEX(SPPR!$E:$X,MATCH($A320,SPPR!$A:$A,0),16)),$C320*INDEX(SPPR!$E:$X,MATCH($A320,SPPR!$A:$A,0),16),""),"")</f>
        <v/>
      </c>
      <c r="T320">
        <f>IFERROR(IF(ISNUMBER(INDEX(SPPR!$E:$X,MATCH($A320,SPPR!$A:$A,0),17)),$C320*INDEX(SPPR!$E:$X,MATCH($A320,SPPR!$A:$A,0),17),""),"")</f>
        <v/>
      </c>
      <c r="U320">
        <f>IFERROR(IF(ISNUMBER(INDEX(SPPR!$E:$X,MATCH($A320,SPPR!$A:$A,0),18)),$C320*INDEX(SPPR!$E:$X,MATCH($A320,SPPR!$A:$A,0),18),""),"")</f>
        <v/>
      </c>
      <c r="V320">
        <f>IFERROR(IF(ISNUMBER(INDEX(SPPR!$E:$X,MATCH($A320,SPPR!$A:$A,0),19)),$C320*INDEX(SPPR!$E:$X,MATCH($A320,SPPR!$A:$A,0),19),""),"")</f>
        <v/>
      </c>
      <c r="W320">
        <f>IFERROR(IF(ISNUMBER(INDEX(SPPR!$E:$X,MATCH($A320,SPPR!$A:$A,0),20)),$C320*INDEX(SPPR!$E:$X,MATCH($A320,SPPR!$A:$A,0),20),""),"")</f>
        <v/>
      </c>
    </row>
    <row r="321">
      <c r="A321" t="inlineStr">
        <is>
          <t>Melicertus canaliculatus</t>
        </is>
      </c>
      <c r="B321">
        <f>IFERROR(INDEX(SPPR!$D:$D,MATCH($A321,SPPR!$A:$A,0)),"")</f>
        <v/>
      </c>
      <c r="C321">
        <f>IFERROR(INDEX(Catch!$E:$BV,MATCH($A321,Catch!$A:$A,0),MATCH($B$4,Catch!$E$1:$BV$1,0)),0)</f>
        <v/>
      </c>
      <c r="D321">
        <f>IFERROR(IF(ISNUMBER(INDEX(SPPR!$E:$X,MATCH($A321,SPPR!$A:$A,0),1)),$C321*INDEX(SPPR!$E:$X,MATCH($A321,SPPR!$A:$A,0),1),""),"")</f>
        <v/>
      </c>
      <c r="E321">
        <f>IFERROR(IF(ISNUMBER(INDEX(SPPR!$E:$X,MATCH($A321,SPPR!$A:$A,0),2)),$C321*INDEX(SPPR!$E:$X,MATCH($A321,SPPR!$A:$A,0),2),""),"")</f>
        <v/>
      </c>
      <c r="F321">
        <f>IFERROR(IF(ISNUMBER(INDEX(SPPR!$E:$X,MATCH($A321,SPPR!$A:$A,0),3)),$C321*INDEX(SPPR!$E:$X,MATCH($A321,SPPR!$A:$A,0),3),""),"")</f>
        <v/>
      </c>
      <c r="G321">
        <f>IFERROR(IF(ISNUMBER(INDEX(SPPR!$E:$X,MATCH($A321,SPPR!$A:$A,0),4)),$C321*INDEX(SPPR!$E:$X,MATCH($A321,SPPR!$A:$A,0),4),""),"")</f>
        <v/>
      </c>
      <c r="H321">
        <f>IFERROR(IF(ISNUMBER(INDEX(SPPR!$E:$X,MATCH($A321,SPPR!$A:$A,0),5)),$C321*INDEX(SPPR!$E:$X,MATCH($A321,SPPR!$A:$A,0),5),""),"")</f>
        <v/>
      </c>
      <c r="I321">
        <f>IFERROR(IF(ISNUMBER(INDEX(SPPR!$E:$X,MATCH($A321,SPPR!$A:$A,0),6)),$C321*INDEX(SPPR!$E:$X,MATCH($A321,SPPR!$A:$A,0),6),""),"")</f>
        <v/>
      </c>
      <c r="J321">
        <f>IFERROR(IF(ISNUMBER(INDEX(SPPR!$E:$X,MATCH($A321,SPPR!$A:$A,0),7)),$C321*INDEX(SPPR!$E:$X,MATCH($A321,SPPR!$A:$A,0),7),""),"")</f>
        <v/>
      </c>
      <c r="K321">
        <f>IFERROR(IF(ISNUMBER(INDEX(SPPR!$E:$X,MATCH($A321,SPPR!$A:$A,0),8)),$C321*INDEX(SPPR!$E:$X,MATCH($A321,SPPR!$A:$A,0),8),""),"")</f>
        <v/>
      </c>
      <c r="L321">
        <f>IFERROR(IF(ISNUMBER(INDEX(SPPR!$E:$X,MATCH($A321,SPPR!$A:$A,0),9)),$C321*INDEX(SPPR!$E:$X,MATCH($A321,SPPR!$A:$A,0),9),""),"")</f>
        <v/>
      </c>
      <c r="M321">
        <f>IFERROR(IF(ISNUMBER(INDEX(SPPR!$E:$X,MATCH($A321,SPPR!$A:$A,0),10)),$C321*INDEX(SPPR!$E:$X,MATCH($A321,SPPR!$A:$A,0),10),""),"")</f>
        <v/>
      </c>
      <c r="N321">
        <f>IFERROR(IF(ISNUMBER(INDEX(SPPR!$E:$X,MATCH($A321,SPPR!$A:$A,0),11)),$C321*INDEX(SPPR!$E:$X,MATCH($A321,SPPR!$A:$A,0),11),""),"")</f>
        <v/>
      </c>
      <c r="O321">
        <f>IFERROR(IF(ISNUMBER(INDEX(SPPR!$E:$X,MATCH($A321,SPPR!$A:$A,0),12)),$C321*INDEX(SPPR!$E:$X,MATCH($A321,SPPR!$A:$A,0),12),""),"")</f>
        <v/>
      </c>
      <c r="P321">
        <f>IFERROR(IF(ISNUMBER(INDEX(SPPR!$E:$X,MATCH($A321,SPPR!$A:$A,0),13)),$C321*INDEX(SPPR!$E:$X,MATCH($A321,SPPR!$A:$A,0),13),""),"")</f>
        <v/>
      </c>
      <c r="Q321">
        <f>IFERROR(IF(ISNUMBER(INDEX(SPPR!$E:$X,MATCH($A321,SPPR!$A:$A,0),14)),$C321*INDEX(SPPR!$E:$X,MATCH($A321,SPPR!$A:$A,0),14),""),"")</f>
        <v/>
      </c>
      <c r="R321">
        <f>IFERROR(IF(ISNUMBER(INDEX(SPPR!$E:$X,MATCH($A321,SPPR!$A:$A,0),15)),$C321*INDEX(SPPR!$E:$X,MATCH($A321,SPPR!$A:$A,0),15),""),"")</f>
        <v/>
      </c>
      <c r="S321">
        <f>IFERROR(IF(ISNUMBER(INDEX(SPPR!$E:$X,MATCH($A321,SPPR!$A:$A,0),16)),$C321*INDEX(SPPR!$E:$X,MATCH($A321,SPPR!$A:$A,0),16),""),"")</f>
        <v/>
      </c>
      <c r="T321">
        <f>IFERROR(IF(ISNUMBER(INDEX(SPPR!$E:$X,MATCH($A321,SPPR!$A:$A,0),17)),$C321*INDEX(SPPR!$E:$X,MATCH($A321,SPPR!$A:$A,0),17),""),"")</f>
        <v/>
      </c>
      <c r="U321">
        <f>IFERROR(IF(ISNUMBER(INDEX(SPPR!$E:$X,MATCH($A321,SPPR!$A:$A,0),18)),$C321*INDEX(SPPR!$E:$X,MATCH($A321,SPPR!$A:$A,0),18),""),"")</f>
        <v/>
      </c>
      <c r="V321">
        <f>IFERROR(IF(ISNUMBER(INDEX(SPPR!$E:$X,MATCH($A321,SPPR!$A:$A,0),19)),$C321*INDEX(SPPR!$E:$X,MATCH($A321,SPPR!$A:$A,0),19),""),"")</f>
        <v/>
      </c>
      <c r="W321">
        <f>IFERROR(IF(ISNUMBER(INDEX(SPPR!$E:$X,MATCH($A321,SPPR!$A:$A,0),20)),$C321*INDEX(SPPR!$E:$X,MATCH($A321,SPPR!$A:$A,0),20),""),"")</f>
        <v/>
      </c>
    </row>
    <row r="322">
      <c r="A322" t="inlineStr">
        <is>
          <t>Seriola dumerili</t>
        </is>
      </c>
      <c r="B322">
        <f>IFERROR(INDEX(SPPR!$D:$D,MATCH($A322,SPPR!$A:$A,0)),"")</f>
        <v/>
      </c>
      <c r="C322">
        <f>IFERROR(INDEX(Catch!$E:$BV,MATCH($A322,Catch!$A:$A,0),MATCH($B$4,Catch!$E$1:$BV$1,0)),0)</f>
        <v/>
      </c>
      <c r="D322">
        <f>IFERROR(IF(ISNUMBER(INDEX(SPPR!$E:$X,MATCH($A322,SPPR!$A:$A,0),1)),$C322*INDEX(SPPR!$E:$X,MATCH($A322,SPPR!$A:$A,0),1),""),"")</f>
        <v/>
      </c>
      <c r="E322">
        <f>IFERROR(IF(ISNUMBER(INDEX(SPPR!$E:$X,MATCH($A322,SPPR!$A:$A,0),2)),$C322*INDEX(SPPR!$E:$X,MATCH($A322,SPPR!$A:$A,0),2),""),"")</f>
        <v/>
      </c>
      <c r="F322">
        <f>IFERROR(IF(ISNUMBER(INDEX(SPPR!$E:$X,MATCH($A322,SPPR!$A:$A,0),3)),$C322*INDEX(SPPR!$E:$X,MATCH($A322,SPPR!$A:$A,0),3),""),"")</f>
        <v/>
      </c>
      <c r="G322">
        <f>IFERROR(IF(ISNUMBER(INDEX(SPPR!$E:$X,MATCH($A322,SPPR!$A:$A,0),4)),$C322*INDEX(SPPR!$E:$X,MATCH($A322,SPPR!$A:$A,0),4),""),"")</f>
        <v/>
      </c>
      <c r="H322">
        <f>IFERROR(IF(ISNUMBER(INDEX(SPPR!$E:$X,MATCH($A322,SPPR!$A:$A,0),5)),$C322*INDEX(SPPR!$E:$X,MATCH($A322,SPPR!$A:$A,0),5),""),"")</f>
        <v/>
      </c>
      <c r="I322">
        <f>IFERROR(IF(ISNUMBER(INDEX(SPPR!$E:$X,MATCH($A322,SPPR!$A:$A,0),6)),$C322*INDEX(SPPR!$E:$X,MATCH($A322,SPPR!$A:$A,0),6),""),"")</f>
        <v/>
      </c>
      <c r="J322">
        <f>IFERROR(IF(ISNUMBER(INDEX(SPPR!$E:$X,MATCH($A322,SPPR!$A:$A,0),7)),$C322*INDEX(SPPR!$E:$X,MATCH($A322,SPPR!$A:$A,0),7),""),"")</f>
        <v/>
      </c>
      <c r="K322">
        <f>IFERROR(IF(ISNUMBER(INDEX(SPPR!$E:$X,MATCH($A322,SPPR!$A:$A,0),8)),$C322*INDEX(SPPR!$E:$X,MATCH($A322,SPPR!$A:$A,0),8),""),"")</f>
        <v/>
      </c>
      <c r="L322">
        <f>IFERROR(IF(ISNUMBER(INDEX(SPPR!$E:$X,MATCH($A322,SPPR!$A:$A,0),9)),$C322*INDEX(SPPR!$E:$X,MATCH($A322,SPPR!$A:$A,0),9),""),"")</f>
        <v/>
      </c>
      <c r="M322">
        <f>IFERROR(IF(ISNUMBER(INDEX(SPPR!$E:$X,MATCH($A322,SPPR!$A:$A,0),10)),$C322*INDEX(SPPR!$E:$X,MATCH($A322,SPPR!$A:$A,0),10),""),"")</f>
        <v/>
      </c>
      <c r="N322">
        <f>IFERROR(IF(ISNUMBER(INDEX(SPPR!$E:$X,MATCH($A322,SPPR!$A:$A,0),11)),$C322*INDEX(SPPR!$E:$X,MATCH($A322,SPPR!$A:$A,0),11),""),"")</f>
        <v/>
      </c>
      <c r="O322">
        <f>IFERROR(IF(ISNUMBER(INDEX(SPPR!$E:$X,MATCH($A322,SPPR!$A:$A,0),12)),$C322*INDEX(SPPR!$E:$X,MATCH($A322,SPPR!$A:$A,0),12),""),"")</f>
        <v/>
      </c>
      <c r="P322">
        <f>IFERROR(IF(ISNUMBER(INDEX(SPPR!$E:$X,MATCH($A322,SPPR!$A:$A,0),13)),$C322*INDEX(SPPR!$E:$X,MATCH($A322,SPPR!$A:$A,0),13),""),"")</f>
        <v/>
      </c>
      <c r="Q322">
        <f>IFERROR(IF(ISNUMBER(INDEX(SPPR!$E:$X,MATCH($A322,SPPR!$A:$A,0),14)),$C322*INDEX(SPPR!$E:$X,MATCH($A322,SPPR!$A:$A,0),14),""),"")</f>
        <v/>
      </c>
      <c r="R322">
        <f>IFERROR(IF(ISNUMBER(INDEX(SPPR!$E:$X,MATCH($A322,SPPR!$A:$A,0),15)),$C322*INDEX(SPPR!$E:$X,MATCH($A322,SPPR!$A:$A,0),15),""),"")</f>
        <v/>
      </c>
      <c r="S322">
        <f>IFERROR(IF(ISNUMBER(INDEX(SPPR!$E:$X,MATCH($A322,SPPR!$A:$A,0),16)),$C322*INDEX(SPPR!$E:$X,MATCH($A322,SPPR!$A:$A,0),16),""),"")</f>
        <v/>
      </c>
      <c r="T322">
        <f>IFERROR(IF(ISNUMBER(INDEX(SPPR!$E:$X,MATCH($A322,SPPR!$A:$A,0),17)),$C322*INDEX(SPPR!$E:$X,MATCH($A322,SPPR!$A:$A,0),17),""),"")</f>
        <v/>
      </c>
      <c r="U322">
        <f>IFERROR(IF(ISNUMBER(INDEX(SPPR!$E:$X,MATCH($A322,SPPR!$A:$A,0),18)),$C322*INDEX(SPPR!$E:$X,MATCH($A322,SPPR!$A:$A,0),18),""),"")</f>
        <v/>
      </c>
      <c r="V322">
        <f>IFERROR(IF(ISNUMBER(INDEX(SPPR!$E:$X,MATCH($A322,SPPR!$A:$A,0),19)),$C322*INDEX(SPPR!$E:$X,MATCH($A322,SPPR!$A:$A,0),19),""),"")</f>
        <v/>
      </c>
      <c r="W322">
        <f>IFERROR(IF(ISNUMBER(INDEX(SPPR!$E:$X,MATCH($A322,SPPR!$A:$A,0),20)),$C322*INDEX(SPPR!$E:$X,MATCH($A322,SPPR!$A:$A,0),20),""),"")</f>
        <v/>
      </c>
    </row>
    <row r="323">
      <c r="A323" t="inlineStr">
        <is>
          <t>Labridae</t>
        </is>
      </c>
      <c r="B323">
        <f>IFERROR(INDEX(SPPR!$D:$D,MATCH($A323,SPPR!$A:$A,0)),"")</f>
        <v/>
      </c>
      <c r="C323">
        <f>IFERROR(INDEX(Catch!$E:$BV,MATCH($A323,Catch!$A:$A,0),MATCH($B$4,Catch!$E$1:$BV$1,0)),0)</f>
        <v/>
      </c>
      <c r="D323">
        <f>IFERROR(IF(ISNUMBER(INDEX(SPPR!$E:$X,MATCH($A323,SPPR!$A:$A,0),1)),$C323*INDEX(SPPR!$E:$X,MATCH($A323,SPPR!$A:$A,0),1),""),"")</f>
        <v/>
      </c>
      <c r="E323">
        <f>IFERROR(IF(ISNUMBER(INDEX(SPPR!$E:$X,MATCH($A323,SPPR!$A:$A,0),2)),$C323*INDEX(SPPR!$E:$X,MATCH($A323,SPPR!$A:$A,0),2),""),"")</f>
        <v/>
      </c>
      <c r="F323">
        <f>IFERROR(IF(ISNUMBER(INDEX(SPPR!$E:$X,MATCH($A323,SPPR!$A:$A,0),3)),$C323*INDEX(SPPR!$E:$X,MATCH($A323,SPPR!$A:$A,0),3),""),"")</f>
        <v/>
      </c>
      <c r="G323">
        <f>IFERROR(IF(ISNUMBER(INDEX(SPPR!$E:$X,MATCH($A323,SPPR!$A:$A,0),4)),$C323*INDEX(SPPR!$E:$X,MATCH($A323,SPPR!$A:$A,0),4),""),"")</f>
        <v/>
      </c>
      <c r="H323">
        <f>IFERROR(IF(ISNUMBER(INDEX(SPPR!$E:$X,MATCH($A323,SPPR!$A:$A,0),5)),$C323*INDEX(SPPR!$E:$X,MATCH($A323,SPPR!$A:$A,0),5),""),"")</f>
        <v/>
      </c>
      <c r="I323">
        <f>IFERROR(IF(ISNUMBER(INDEX(SPPR!$E:$X,MATCH($A323,SPPR!$A:$A,0),6)),$C323*INDEX(SPPR!$E:$X,MATCH($A323,SPPR!$A:$A,0),6),""),"")</f>
        <v/>
      </c>
      <c r="J323">
        <f>IFERROR(IF(ISNUMBER(INDEX(SPPR!$E:$X,MATCH($A323,SPPR!$A:$A,0),7)),$C323*INDEX(SPPR!$E:$X,MATCH($A323,SPPR!$A:$A,0),7),""),"")</f>
        <v/>
      </c>
      <c r="K323">
        <f>IFERROR(IF(ISNUMBER(INDEX(SPPR!$E:$X,MATCH($A323,SPPR!$A:$A,0),8)),$C323*INDEX(SPPR!$E:$X,MATCH($A323,SPPR!$A:$A,0),8),""),"")</f>
        <v/>
      </c>
      <c r="L323">
        <f>IFERROR(IF(ISNUMBER(INDEX(SPPR!$E:$X,MATCH($A323,SPPR!$A:$A,0),9)),$C323*INDEX(SPPR!$E:$X,MATCH($A323,SPPR!$A:$A,0),9),""),"")</f>
        <v/>
      </c>
      <c r="M323">
        <f>IFERROR(IF(ISNUMBER(INDEX(SPPR!$E:$X,MATCH($A323,SPPR!$A:$A,0),10)),$C323*INDEX(SPPR!$E:$X,MATCH($A323,SPPR!$A:$A,0),10),""),"")</f>
        <v/>
      </c>
      <c r="N323">
        <f>IFERROR(IF(ISNUMBER(INDEX(SPPR!$E:$X,MATCH($A323,SPPR!$A:$A,0),11)),$C323*INDEX(SPPR!$E:$X,MATCH($A323,SPPR!$A:$A,0),11),""),"")</f>
        <v/>
      </c>
      <c r="O323">
        <f>IFERROR(IF(ISNUMBER(INDEX(SPPR!$E:$X,MATCH($A323,SPPR!$A:$A,0),12)),$C323*INDEX(SPPR!$E:$X,MATCH($A323,SPPR!$A:$A,0),12),""),"")</f>
        <v/>
      </c>
      <c r="P323">
        <f>IFERROR(IF(ISNUMBER(INDEX(SPPR!$E:$X,MATCH($A323,SPPR!$A:$A,0),13)),$C323*INDEX(SPPR!$E:$X,MATCH($A323,SPPR!$A:$A,0),13),""),"")</f>
        <v/>
      </c>
      <c r="Q323">
        <f>IFERROR(IF(ISNUMBER(INDEX(SPPR!$E:$X,MATCH($A323,SPPR!$A:$A,0),14)),$C323*INDEX(SPPR!$E:$X,MATCH($A323,SPPR!$A:$A,0),14),""),"")</f>
        <v/>
      </c>
      <c r="R323">
        <f>IFERROR(IF(ISNUMBER(INDEX(SPPR!$E:$X,MATCH($A323,SPPR!$A:$A,0),15)),$C323*INDEX(SPPR!$E:$X,MATCH($A323,SPPR!$A:$A,0),15),""),"")</f>
        <v/>
      </c>
      <c r="S323">
        <f>IFERROR(IF(ISNUMBER(INDEX(SPPR!$E:$X,MATCH($A323,SPPR!$A:$A,0),16)),$C323*INDEX(SPPR!$E:$X,MATCH($A323,SPPR!$A:$A,0),16),""),"")</f>
        <v/>
      </c>
      <c r="T323">
        <f>IFERROR(IF(ISNUMBER(INDEX(SPPR!$E:$X,MATCH($A323,SPPR!$A:$A,0),17)),$C323*INDEX(SPPR!$E:$X,MATCH($A323,SPPR!$A:$A,0),17),""),"")</f>
        <v/>
      </c>
      <c r="U323">
        <f>IFERROR(IF(ISNUMBER(INDEX(SPPR!$E:$X,MATCH($A323,SPPR!$A:$A,0),18)),$C323*INDEX(SPPR!$E:$X,MATCH($A323,SPPR!$A:$A,0),18),""),"")</f>
        <v/>
      </c>
      <c r="V323">
        <f>IFERROR(IF(ISNUMBER(INDEX(SPPR!$E:$X,MATCH($A323,SPPR!$A:$A,0),19)),$C323*INDEX(SPPR!$E:$X,MATCH($A323,SPPR!$A:$A,0),19),""),"")</f>
        <v/>
      </c>
      <c r="W323">
        <f>IFERROR(IF(ISNUMBER(INDEX(SPPR!$E:$X,MATCH($A323,SPPR!$A:$A,0),20)),$C323*INDEX(SPPR!$E:$X,MATCH($A323,SPPR!$A:$A,0),20),""),"")</f>
        <v/>
      </c>
    </row>
    <row r="324">
      <c r="A324" t="inlineStr">
        <is>
          <t>Octopus</t>
        </is>
      </c>
      <c r="B324">
        <f>IFERROR(INDEX(SPPR!$D:$D,MATCH($A324,SPPR!$A:$A,0)),"")</f>
        <v/>
      </c>
      <c r="C324">
        <f>IFERROR(INDEX(Catch!$E:$BV,MATCH($A324,Catch!$A:$A,0),MATCH($B$4,Catch!$E$1:$BV$1,0)),0)</f>
        <v/>
      </c>
      <c r="D324">
        <f>IFERROR(IF(ISNUMBER(INDEX(SPPR!$E:$X,MATCH($A324,SPPR!$A:$A,0),1)),$C324*INDEX(SPPR!$E:$X,MATCH($A324,SPPR!$A:$A,0),1),""),"")</f>
        <v/>
      </c>
      <c r="E324">
        <f>IFERROR(IF(ISNUMBER(INDEX(SPPR!$E:$X,MATCH($A324,SPPR!$A:$A,0),2)),$C324*INDEX(SPPR!$E:$X,MATCH($A324,SPPR!$A:$A,0),2),""),"")</f>
        <v/>
      </c>
      <c r="F324">
        <f>IFERROR(IF(ISNUMBER(INDEX(SPPR!$E:$X,MATCH($A324,SPPR!$A:$A,0),3)),$C324*INDEX(SPPR!$E:$X,MATCH($A324,SPPR!$A:$A,0),3),""),"")</f>
        <v/>
      </c>
      <c r="G324">
        <f>IFERROR(IF(ISNUMBER(INDEX(SPPR!$E:$X,MATCH($A324,SPPR!$A:$A,0),4)),$C324*INDEX(SPPR!$E:$X,MATCH($A324,SPPR!$A:$A,0),4),""),"")</f>
        <v/>
      </c>
      <c r="H324">
        <f>IFERROR(IF(ISNUMBER(INDEX(SPPR!$E:$X,MATCH($A324,SPPR!$A:$A,0),5)),$C324*INDEX(SPPR!$E:$X,MATCH($A324,SPPR!$A:$A,0),5),""),"")</f>
        <v/>
      </c>
      <c r="I324">
        <f>IFERROR(IF(ISNUMBER(INDEX(SPPR!$E:$X,MATCH($A324,SPPR!$A:$A,0),6)),$C324*INDEX(SPPR!$E:$X,MATCH($A324,SPPR!$A:$A,0),6),""),"")</f>
        <v/>
      </c>
      <c r="J324">
        <f>IFERROR(IF(ISNUMBER(INDEX(SPPR!$E:$X,MATCH($A324,SPPR!$A:$A,0),7)),$C324*INDEX(SPPR!$E:$X,MATCH($A324,SPPR!$A:$A,0),7),""),"")</f>
        <v/>
      </c>
      <c r="K324">
        <f>IFERROR(IF(ISNUMBER(INDEX(SPPR!$E:$X,MATCH($A324,SPPR!$A:$A,0),8)),$C324*INDEX(SPPR!$E:$X,MATCH($A324,SPPR!$A:$A,0),8),""),"")</f>
        <v/>
      </c>
      <c r="L324">
        <f>IFERROR(IF(ISNUMBER(INDEX(SPPR!$E:$X,MATCH($A324,SPPR!$A:$A,0),9)),$C324*INDEX(SPPR!$E:$X,MATCH($A324,SPPR!$A:$A,0),9),""),"")</f>
        <v/>
      </c>
      <c r="M324">
        <f>IFERROR(IF(ISNUMBER(INDEX(SPPR!$E:$X,MATCH($A324,SPPR!$A:$A,0),10)),$C324*INDEX(SPPR!$E:$X,MATCH($A324,SPPR!$A:$A,0),10),""),"")</f>
        <v/>
      </c>
      <c r="N324">
        <f>IFERROR(IF(ISNUMBER(INDEX(SPPR!$E:$X,MATCH($A324,SPPR!$A:$A,0),11)),$C324*INDEX(SPPR!$E:$X,MATCH($A324,SPPR!$A:$A,0),11),""),"")</f>
        <v/>
      </c>
      <c r="O324">
        <f>IFERROR(IF(ISNUMBER(INDEX(SPPR!$E:$X,MATCH($A324,SPPR!$A:$A,0),12)),$C324*INDEX(SPPR!$E:$X,MATCH($A324,SPPR!$A:$A,0),12),""),"")</f>
        <v/>
      </c>
      <c r="P324">
        <f>IFERROR(IF(ISNUMBER(INDEX(SPPR!$E:$X,MATCH($A324,SPPR!$A:$A,0),13)),$C324*INDEX(SPPR!$E:$X,MATCH($A324,SPPR!$A:$A,0),13),""),"")</f>
        <v/>
      </c>
      <c r="Q324">
        <f>IFERROR(IF(ISNUMBER(INDEX(SPPR!$E:$X,MATCH($A324,SPPR!$A:$A,0),14)),$C324*INDEX(SPPR!$E:$X,MATCH($A324,SPPR!$A:$A,0),14),""),"")</f>
        <v/>
      </c>
      <c r="R324">
        <f>IFERROR(IF(ISNUMBER(INDEX(SPPR!$E:$X,MATCH($A324,SPPR!$A:$A,0),15)),$C324*INDEX(SPPR!$E:$X,MATCH($A324,SPPR!$A:$A,0),15),""),"")</f>
        <v/>
      </c>
      <c r="S324">
        <f>IFERROR(IF(ISNUMBER(INDEX(SPPR!$E:$X,MATCH($A324,SPPR!$A:$A,0),16)),$C324*INDEX(SPPR!$E:$X,MATCH($A324,SPPR!$A:$A,0),16),""),"")</f>
        <v/>
      </c>
      <c r="T324">
        <f>IFERROR(IF(ISNUMBER(INDEX(SPPR!$E:$X,MATCH($A324,SPPR!$A:$A,0),17)),$C324*INDEX(SPPR!$E:$X,MATCH($A324,SPPR!$A:$A,0),17),""),"")</f>
        <v/>
      </c>
      <c r="U324">
        <f>IFERROR(IF(ISNUMBER(INDEX(SPPR!$E:$X,MATCH($A324,SPPR!$A:$A,0),18)),$C324*INDEX(SPPR!$E:$X,MATCH($A324,SPPR!$A:$A,0),18),""),"")</f>
        <v/>
      </c>
      <c r="V324">
        <f>IFERROR(IF(ISNUMBER(INDEX(SPPR!$E:$X,MATCH($A324,SPPR!$A:$A,0),19)),$C324*INDEX(SPPR!$E:$X,MATCH($A324,SPPR!$A:$A,0),19),""),"")</f>
        <v/>
      </c>
      <c r="W324">
        <f>IFERROR(IF(ISNUMBER(INDEX(SPPR!$E:$X,MATCH($A324,SPPR!$A:$A,0),20)),$C324*INDEX(SPPR!$E:$X,MATCH($A324,SPPR!$A:$A,0),20),""),"")</f>
        <v/>
      </c>
    </row>
    <row r="325">
      <c r="A325" t="inlineStr">
        <is>
          <t>Plotosidae</t>
        </is>
      </c>
      <c r="B325">
        <f>IFERROR(INDEX(SPPR!$D:$D,MATCH($A325,SPPR!$A:$A,0)),"")</f>
        <v/>
      </c>
      <c r="C325">
        <f>IFERROR(INDEX(Catch!$E:$BV,MATCH($A325,Catch!$A:$A,0),MATCH($B$4,Catch!$E$1:$BV$1,0)),0)</f>
        <v/>
      </c>
      <c r="D325">
        <f>IFERROR(IF(ISNUMBER(INDEX(SPPR!$E:$X,MATCH($A325,SPPR!$A:$A,0),1)),$C325*INDEX(SPPR!$E:$X,MATCH($A325,SPPR!$A:$A,0),1),""),"")</f>
        <v/>
      </c>
      <c r="E325">
        <f>IFERROR(IF(ISNUMBER(INDEX(SPPR!$E:$X,MATCH($A325,SPPR!$A:$A,0),2)),$C325*INDEX(SPPR!$E:$X,MATCH($A325,SPPR!$A:$A,0),2),""),"")</f>
        <v/>
      </c>
      <c r="F325">
        <f>IFERROR(IF(ISNUMBER(INDEX(SPPR!$E:$X,MATCH($A325,SPPR!$A:$A,0),3)),$C325*INDEX(SPPR!$E:$X,MATCH($A325,SPPR!$A:$A,0),3),""),"")</f>
        <v/>
      </c>
      <c r="G325">
        <f>IFERROR(IF(ISNUMBER(INDEX(SPPR!$E:$X,MATCH($A325,SPPR!$A:$A,0),4)),$C325*INDEX(SPPR!$E:$X,MATCH($A325,SPPR!$A:$A,0),4),""),"")</f>
        <v/>
      </c>
      <c r="H325">
        <f>IFERROR(IF(ISNUMBER(INDEX(SPPR!$E:$X,MATCH($A325,SPPR!$A:$A,0),5)),$C325*INDEX(SPPR!$E:$X,MATCH($A325,SPPR!$A:$A,0),5),""),"")</f>
        <v/>
      </c>
      <c r="I325">
        <f>IFERROR(IF(ISNUMBER(INDEX(SPPR!$E:$X,MATCH($A325,SPPR!$A:$A,0),6)),$C325*INDEX(SPPR!$E:$X,MATCH($A325,SPPR!$A:$A,0),6),""),"")</f>
        <v/>
      </c>
      <c r="J325">
        <f>IFERROR(IF(ISNUMBER(INDEX(SPPR!$E:$X,MATCH($A325,SPPR!$A:$A,0),7)),$C325*INDEX(SPPR!$E:$X,MATCH($A325,SPPR!$A:$A,0),7),""),"")</f>
        <v/>
      </c>
      <c r="K325">
        <f>IFERROR(IF(ISNUMBER(INDEX(SPPR!$E:$X,MATCH($A325,SPPR!$A:$A,0),8)),$C325*INDEX(SPPR!$E:$X,MATCH($A325,SPPR!$A:$A,0),8),""),"")</f>
        <v/>
      </c>
      <c r="L325">
        <f>IFERROR(IF(ISNUMBER(INDEX(SPPR!$E:$X,MATCH($A325,SPPR!$A:$A,0),9)),$C325*INDEX(SPPR!$E:$X,MATCH($A325,SPPR!$A:$A,0),9),""),"")</f>
        <v/>
      </c>
      <c r="M325">
        <f>IFERROR(IF(ISNUMBER(INDEX(SPPR!$E:$X,MATCH($A325,SPPR!$A:$A,0),10)),$C325*INDEX(SPPR!$E:$X,MATCH($A325,SPPR!$A:$A,0),10),""),"")</f>
        <v/>
      </c>
      <c r="N325">
        <f>IFERROR(IF(ISNUMBER(INDEX(SPPR!$E:$X,MATCH($A325,SPPR!$A:$A,0),11)),$C325*INDEX(SPPR!$E:$X,MATCH($A325,SPPR!$A:$A,0),11),""),"")</f>
        <v/>
      </c>
      <c r="O325">
        <f>IFERROR(IF(ISNUMBER(INDEX(SPPR!$E:$X,MATCH($A325,SPPR!$A:$A,0),12)),$C325*INDEX(SPPR!$E:$X,MATCH($A325,SPPR!$A:$A,0),12),""),"")</f>
        <v/>
      </c>
      <c r="P325">
        <f>IFERROR(IF(ISNUMBER(INDEX(SPPR!$E:$X,MATCH($A325,SPPR!$A:$A,0),13)),$C325*INDEX(SPPR!$E:$X,MATCH($A325,SPPR!$A:$A,0),13),""),"")</f>
        <v/>
      </c>
      <c r="Q325">
        <f>IFERROR(IF(ISNUMBER(INDEX(SPPR!$E:$X,MATCH($A325,SPPR!$A:$A,0),14)),$C325*INDEX(SPPR!$E:$X,MATCH($A325,SPPR!$A:$A,0),14),""),"")</f>
        <v/>
      </c>
      <c r="R325">
        <f>IFERROR(IF(ISNUMBER(INDEX(SPPR!$E:$X,MATCH($A325,SPPR!$A:$A,0),15)),$C325*INDEX(SPPR!$E:$X,MATCH($A325,SPPR!$A:$A,0),15),""),"")</f>
        <v/>
      </c>
      <c r="S325">
        <f>IFERROR(IF(ISNUMBER(INDEX(SPPR!$E:$X,MATCH($A325,SPPR!$A:$A,0),16)),$C325*INDEX(SPPR!$E:$X,MATCH($A325,SPPR!$A:$A,0),16),""),"")</f>
        <v/>
      </c>
      <c r="T325">
        <f>IFERROR(IF(ISNUMBER(INDEX(SPPR!$E:$X,MATCH($A325,SPPR!$A:$A,0),17)),$C325*INDEX(SPPR!$E:$X,MATCH($A325,SPPR!$A:$A,0),17),""),"")</f>
        <v/>
      </c>
      <c r="U325">
        <f>IFERROR(IF(ISNUMBER(INDEX(SPPR!$E:$X,MATCH($A325,SPPR!$A:$A,0),18)),$C325*INDEX(SPPR!$E:$X,MATCH($A325,SPPR!$A:$A,0),18),""),"")</f>
        <v/>
      </c>
      <c r="V325">
        <f>IFERROR(IF(ISNUMBER(INDEX(SPPR!$E:$X,MATCH($A325,SPPR!$A:$A,0),19)),$C325*INDEX(SPPR!$E:$X,MATCH($A325,SPPR!$A:$A,0),19),""),"")</f>
        <v/>
      </c>
      <c r="W325">
        <f>IFERROR(IF(ISNUMBER(INDEX(SPPR!$E:$X,MATCH($A325,SPPR!$A:$A,0),20)),$C325*INDEX(SPPR!$E:$X,MATCH($A325,SPPR!$A:$A,0),20),""),"")</f>
        <v/>
      </c>
    </row>
    <row r="326">
      <c r="A326" t="inlineStr">
        <is>
          <t>Alopias</t>
        </is>
      </c>
      <c r="B326">
        <f>IFERROR(INDEX(SPPR!$D:$D,MATCH($A326,SPPR!$A:$A,0)),"")</f>
        <v/>
      </c>
      <c r="C326">
        <f>IFERROR(INDEX(Catch!$E:$BV,MATCH($A326,Catch!$A:$A,0),MATCH($B$4,Catch!$E$1:$BV$1,0)),0)</f>
        <v/>
      </c>
      <c r="D326">
        <f>IFERROR(IF(ISNUMBER(INDEX(SPPR!$E:$X,MATCH($A326,SPPR!$A:$A,0),1)),$C326*INDEX(SPPR!$E:$X,MATCH($A326,SPPR!$A:$A,0),1),""),"")</f>
        <v/>
      </c>
      <c r="E326">
        <f>IFERROR(IF(ISNUMBER(INDEX(SPPR!$E:$X,MATCH($A326,SPPR!$A:$A,0),2)),$C326*INDEX(SPPR!$E:$X,MATCH($A326,SPPR!$A:$A,0),2),""),"")</f>
        <v/>
      </c>
      <c r="F326">
        <f>IFERROR(IF(ISNUMBER(INDEX(SPPR!$E:$X,MATCH($A326,SPPR!$A:$A,0),3)),$C326*INDEX(SPPR!$E:$X,MATCH($A326,SPPR!$A:$A,0),3),""),"")</f>
        <v/>
      </c>
      <c r="G326">
        <f>IFERROR(IF(ISNUMBER(INDEX(SPPR!$E:$X,MATCH($A326,SPPR!$A:$A,0),4)),$C326*INDEX(SPPR!$E:$X,MATCH($A326,SPPR!$A:$A,0),4),""),"")</f>
        <v/>
      </c>
      <c r="H326">
        <f>IFERROR(IF(ISNUMBER(INDEX(SPPR!$E:$X,MATCH($A326,SPPR!$A:$A,0),5)),$C326*INDEX(SPPR!$E:$X,MATCH($A326,SPPR!$A:$A,0),5),""),"")</f>
        <v/>
      </c>
      <c r="I326">
        <f>IFERROR(IF(ISNUMBER(INDEX(SPPR!$E:$X,MATCH($A326,SPPR!$A:$A,0),6)),$C326*INDEX(SPPR!$E:$X,MATCH($A326,SPPR!$A:$A,0),6),""),"")</f>
        <v/>
      </c>
      <c r="J326">
        <f>IFERROR(IF(ISNUMBER(INDEX(SPPR!$E:$X,MATCH($A326,SPPR!$A:$A,0),7)),$C326*INDEX(SPPR!$E:$X,MATCH($A326,SPPR!$A:$A,0),7),""),"")</f>
        <v/>
      </c>
      <c r="K326">
        <f>IFERROR(IF(ISNUMBER(INDEX(SPPR!$E:$X,MATCH($A326,SPPR!$A:$A,0),8)),$C326*INDEX(SPPR!$E:$X,MATCH($A326,SPPR!$A:$A,0),8),""),"")</f>
        <v/>
      </c>
      <c r="L326">
        <f>IFERROR(IF(ISNUMBER(INDEX(SPPR!$E:$X,MATCH($A326,SPPR!$A:$A,0),9)),$C326*INDEX(SPPR!$E:$X,MATCH($A326,SPPR!$A:$A,0),9),""),"")</f>
        <v/>
      </c>
      <c r="M326">
        <f>IFERROR(IF(ISNUMBER(INDEX(SPPR!$E:$X,MATCH($A326,SPPR!$A:$A,0),10)),$C326*INDEX(SPPR!$E:$X,MATCH($A326,SPPR!$A:$A,0),10),""),"")</f>
        <v/>
      </c>
      <c r="N326">
        <f>IFERROR(IF(ISNUMBER(INDEX(SPPR!$E:$X,MATCH($A326,SPPR!$A:$A,0),11)),$C326*INDEX(SPPR!$E:$X,MATCH($A326,SPPR!$A:$A,0),11),""),"")</f>
        <v/>
      </c>
      <c r="O326">
        <f>IFERROR(IF(ISNUMBER(INDEX(SPPR!$E:$X,MATCH($A326,SPPR!$A:$A,0),12)),$C326*INDEX(SPPR!$E:$X,MATCH($A326,SPPR!$A:$A,0),12),""),"")</f>
        <v/>
      </c>
      <c r="P326">
        <f>IFERROR(IF(ISNUMBER(INDEX(SPPR!$E:$X,MATCH($A326,SPPR!$A:$A,0),13)),$C326*INDEX(SPPR!$E:$X,MATCH($A326,SPPR!$A:$A,0),13),""),"")</f>
        <v/>
      </c>
      <c r="Q326">
        <f>IFERROR(IF(ISNUMBER(INDEX(SPPR!$E:$X,MATCH($A326,SPPR!$A:$A,0),14)),$C326*INDEX(SPPR!$E:$X,MATCH($A326,SPPR!$A:$A,0),14),""),"")</f>
        <v/>
      </c>
      <c r="R326">
        <f>IFERROR(IF(ISNUMBER(INDEX(SPPR!$E:$X,MATCH($A326,SPPR!$A:$A,0),15)),$C326*INDEX(SPPR!$E:$X,MATCH($A326,SPPR!$A:$A,0),15),""),"")</f>
        <v/>
      </c>
      <c r="S326">
        <f>IFERROR(IF(ISNUMBER(INDEX(SPPR!$E:$X,MATCH($A326,SPPR!$A:$A,0),16)),$C326*INDEX(SPPR!$E:$X,MATCH($A326,SPPR!$A:$A,0),16),""),"")</f>
        <v/>
      </c>
      <c r="T326">
        <f>IFERROR(IF(ISNUMBER(INDEX(SPPR!$E:$X,MATCH($A326,SPPR!$A:$A,0),17)),$C326*INDEX(SPPR!$E:$X,MATCH($A326,SPPR!$A:$A,0),17),""),"")</f>
        <v/>
      </c>
      <c r="U326">
        <f>IFERROR(IF(ISNUMBER(INDEX(SPPR!$E:$X,MATCH($A326,SPPR!$A:$A,0),18)),$C326*INDEX(SPPR!$E:$X,MATCH($A326,SPPR!$A:$A,0),18),""),"")</f>
        <v/>
      </c>
      <c r="V326">
        <f>IFERROR(IF(ISNUMBER(INDEX(SPPR!$E:$X,MATCH($A326,SPPR!$A:$A,0),19)),$C326*INDEX(SPPR!$E:$X,MATCH($A326,SPPR!$A:$A,0),19),""),"")</f>
        <v/>
      </c>
      <c r="W326">
        <f>IFERROR(IF(ISNUMBER(INDEX(SPPR!$E:$X,MATCH($A326,SPPR!$A:$A,0),20)),$C326*INDEX(SPPR!$E:$X,MATCH($A326,SPPR!$A:$A,0),20),""),"")</f>
        <v/>
      </c>
    </row>
    <row r="327">
      <c r="A327" t="inlineStr">
        <is>
          <t>Elops machnata</t>
        </is>
      </c>
      <c r="B327">
        <f>IFERROR(INDEX(SPPR!$D:$D,MATCH($A327,SPPR!$A:$A,0)),"")</f>
        <v/>
      </c>
      <c r="C327">
        <f>IFERROR(INDEX(Catch!$E:$BV,MATCH($A327,Catch!$A:$A,0),MATCH($B$4,Catch!$E$1:$BV$1,0)),0)</f>
        <v/>
      </c>
      <c r="D327">
        <f>IFERROR(IF(ISNUMBER(INDEX(SPPR!$E:$X,MATCH($A327,SPPR!$A:$A,0),1)),$C327*INDEX(SPPR!$E:$X,MATCH($A327,SPPR!$A:$A,0),1),""),"")</f>
        <v/>
      </c>
      <c r="E327">
        <f>IFERROR(IF(ISNUMBER(INDEX(SPPR!$E:$X,MATCH($A327,SPPR!$A:$A,0),2)),$C327*INDEX(SPPR!$E:$X,MATCH($A327,SPPR!$A:$A,0),2),""),"")</f>
        <v/>
      </c>
      <c r="F327">
        <f>IFERROR(IF(ISNUMBER(INDEX(SPPR!$E:$X,MATCH($A327,SPPR!$A:$A,0),3)),$C327*INDEX(SPPR!$E:$X,MATCH($A327,SPPR!$A:$A,0),3),""),"")</f>
        <v/>
      </c>
      <c r="G327">
        <f>IFERROR(IF(ISNUMBER(INDEX(SPPR!$E:$X,MATCH($A327,SPPR!$A:$A,0),4)),$C327*INDEX(SPPR!$E:$X,MATCH($A327,SPPR!$A:$A,0),4),""),"")</f>
        <v/>
      </c>
      <c r="H327">
        <f>IFERROR(IF(ISNUMBER(INDEX(SPPR!$E:$X,MATCH($A327,SPPR!$A:$A,0),5)),$C327*INDEX(SPPR!$E:$X,MATCH($A327,SPPR!$A:$A,0),5),""),"")</f>
        <v/>
      </c>
      <c r="I327">
        <f>IFERROR(IF(ISNUMBER(INDEX(SPPR!$E:$X,MATCH($A327,SPPR!$A:$A,0),6)),$C327*INDEX(SPPR!$E:$X,MATCH($A327,SPPR!$A:$A,0),6),""),"")</f>
        <v/>
      </c>
      <c r="J327">
        <f>IFERROR(IF(ISNUMBER(INDEX(SPPR!$E:$X,MATCH($A327,SPPR!$A:$A,0),7)),$C327*INDEX(SPPR!$E:$X,MATCH($A327,SPPR!$A:$A,0),7),""),"")</f>
        <v/>
      </c>
      <c r="K327">
        <f>IFERROR(IF(ISNUMBER(INDEX(SPPR!$E:$X,MATCH($A327,SPPR!$A:$A,0),8)),$C327*INDEX(SPPR!$E:$X,MATCH($A327,SPPR!$A:$A,0),8),""),"")</f>
        <v/>
      </c>
      <c r="L327">
        <f>IFERROR(IF(ISNUMBER(INDEX(SPPR!$E:$X,MATCH($A327,SPPR!$A:$A,0),9)),$C327*INDEX(SPPR!$E:$X,MATCH($A327,SPPR!$A:$A,0),9),""),"")</f>
        <v/>
      </c>
      <c r="M327">
        <f>IFERROR(IF(ISNUMBER(INDEX(SPPR!$E:$X,MATCH($A327,SPPR!$A:$A,0),10)),$C327*INDEX(SPPR!$E:$X,MATCH($A327,SPPR!$A:$A,0),10),""),"")</f>
        <v/>
      </c>
      <c r="N327">
        <f>IFERROR(IF(ISNUMBER(INDEX(SPPR!$E:$X,MATCH($A327,SPPR!$A:$A,0),11)),$C327*INDEX(SPPR!$E:$X,MATCH($A327,SPPR!$A:$A,0),11),""),"")</f>
        <v/>
      </c>
      <c r="O327">
        <f>IFERROR(IF(ISNUMBER(INDEX(SPPR!$E:$X,MATCH($A327,SPPR!$A:$A,0),12)),$C327*INDEX(SPPR!$E:$X,MATCH($A327,SPPR!$A:$A,0),12),""),"")</f>
        <v/>
      </c>
      <c r="P327">
        <f>IFERROR(IF(ISNUMBER(INDEX(SPPR!$E:$X,MATCH($A327,SPPR!$A:$A,0),13)),$C327*INDEX(SPPR!$E:$X,MATCH($A327,SPPR!$A:$A,0),13),""),"")</f>
        <v/>
      </c>
      <c r="Q327">
        <f>IFERROR(IF(ISNUMBER(INDEX(SPPR!$E:$X,MATCH($A327,SPPR!$A:$A,0),14)),$C327*INDEX(SPPR!$E:$X,MATCH($A327,SPPR!$A:$A,0),14),""),"")</f>
        <v/>
      </c>
      <c r="R327">
        <f>IFERROR(IF(ISNUMBER(INDEX(SPPR!$E:$X,MATCH($A327,SPPR!$A:$A,0),15)),$C327*INDEX(SPPR!$E:$X,MATCH($A327,SPPR!$A:$A,0),15),""),"")</f>
        <v/>
      </c>
      <c r="S327">
        <f>IFERROR(IF(ISNUMBER(INDEX(SPPR!$E:$X,MATCH($A327,SPPR!$A:$A,0),16)),$C327*INDEX(SPPR!$E:$X,MATCH($A327,SPPR!$A:$A,0),16),""),"")</f>
        <v/>
      </c>
      <c r="T327">
        <f>IFERROR(IF(ISNUMBER(INDEX(SPPR!$E:$X,MATCH($A327,SPPR!$A:$A,0),17)),$C327*INDEX(SPPR!$E:$X,MATCH($A327,SPPR!$A:$A,0),17),""),"")</f>
        <v/>
      </c>
      <c r="U327">
        <f>IFERROR(IF(ISNUMBER(INDEX(SPPR!$E:$X,MATCH($A327,SPPR!$A:$A,0),18)),$C327*INDEX(SPPR!$E:$X,MATCH($A327,SPPR!$A:$A,0),18),""),"")</f>
        <v/>
      </c>
      <c r="V327">
        <f>IFERROR(IF(ISNUMBER(INDEX(SPPR!$E:$X,MATCH($A327,SPPR!$A:$A,0),19)),$C327*INDEX(SPPR!$E:$X,MATCH($A327,SPPR!$A:$A,0),19),""),"")</f>
        <v/>
      </c>
      <c r="W327">
        <f>IFERROR(IF(ISNUMBER(INDEX(SPPR!$E:$X,MATCH($A327,SPPR!$A:$A,0),20)),$C327*INDEX(SPPR!$E:$X,MATCH($A327,SPPR!$A:$A,0),20),""),"")</f>
        <v/>
      </c>
    </row>
    <row r="328">
      <c r="A328" t="inlineStr">
        <is>
          <t>Pellona ditchela</t>
        </is>
      </c>
      <c r="B328">
        <f>IFERROR(INDEX(SPPR!$D:$D,MATCH($A328,SPPR!$A:$A,0)),"")</f>
        <v/>
      </c>
      <c r="C328">
        <f>IFERROR(INDEX(Catch!$E:$BV,MATCH($A328,Catch!$A:$A,0),MATCH($B$4,Catch!$E$1:$BV$1,0)),0)</f>
        <v/>
      </c>
      <c r="D328">
        <f>IFERROR(IF(ISNUMBER(INDEX(SPPR!$E:$X,MATCH($A328,SPPR!$A:$A,0),1)),$C328*INDEX(SPPR!$E:$X,MATCH($A328,SPPR!$A:$A,0),1),""),"")</f>
        <v/>
      </c>
      <c r="E328">
        <f>IFERROR(IF(ISNUMBER(INDEX(SPPR!$E:$X,MATCH($A328,SPPR!$A:$A,0),2)),$C328*INDEX(SPPR!$E:$X,MATCH($A328,SPPR!$A:$A,0),2),""),"")</f>
        <v/>
      </c>
      <c r="F328">
        <f>IFERROR(IF(ISNUMBER(INDEX(SPPR!$E:$X,MATCH($A328,SPPR!$A:$A,0),3)),$C328*INDEX(SPPR!$E:$X,MATCH($A328,SPPR!$A:$A,0),3),""),"")</f>
        <v/>
      </c>
      <c r="G328">
        <f>IFERROR(IF(ISNUMBER(INDEX(SPPR!$E:$X,MATCH($A328,SPPR!$A:$A,0),4)),$C328*INDEX(SPPR!$E:$X,MATCH($A328,SPPR!$A:$A,0),4),""),"")</f>
        <v/>
      </c>
      <c r="H328">
        <f>IFERROR(IF(ISNUMBER(INDEX(SPPR!$E:$X,MATCH($A328,SPPR!$A:$A,0),5)),$C328*INDEX(SPPR!$E:$X,MATCH($A328,SPPR!$A:$A,0),5),""),"")</f>
        <v/>
      </c>
      <c r="I328">
        <f>IFERROR(IF(ISNUMBER(INDEX(SPPR!$E:$X,MATCH($A328,SPPR!$A:$A,0),6)),$C328*INDEX(SPPR!$E:$X,MATCH($A328,SPPR!$A:$A,0),6),""),"")</f>
        <v/>
      </c>
      <c r="J328">
        <f>IFERROR(IF(ISNUMBER(INDEX(SPPR!$E:$X,MATCH($A328,SPPR!$A:$A,0),7)),$C328*INDEX(SPPR!$E:$X,MATCH($A328,SPPR!$A:$A,0),7),""),"")</f>
        <v/>
      </c>
      <c r="K328">
        <f>IFERROR(IF(ISNUMBER(INDEX(SPPR!$E:$X,MATCH($A328,SPPR!$A:$A,0),8)),$C328*INDEX(SPPR!$E:$X,MATCH($A328,SPPR!$A:$A,0),8),""),"")</f>
        <v/>
      </c>
      <c r="L328">
        <f>IFERROR(IF(ISNUMBER(INDEX(SPPR!$E:$X,MATCH($A328,SPPR!$A:$A,0),9)),$C328*INDEX(SPPR!$E:$X,MATCH($A328,SPPR!$A:$A,0),9),""),"")</f>
        <v/>
      </c>
      <c r="M328">
        <f>IFERROR(IF(ISNUMBER(INDEX(SPPR!$E:$X,MATCH($A328,SPPR!$A:$A,0),10)),$C328*INDEX(SPPR!$E:$X,MATCH($A328,SPPR!$A:$A,0),10),""),"")</f>
        <v/>
      </c>
      <c r="N328">
        <f>IFERROR(IF(ISNUMBER(INDEX(SPPR!$E:$X,MATCH($A328,SPPR!$A:$A,0),11)),$C328*INDEX(SPPR!$E:$X,MATCH($A328,SPPR!$A:$A,0),11),""),"")</f>
        <v/>
      </c>
      <c r="O328">
        <f>IFERROR(IF(ISNUMBER(INDEX(SPPR!$E:$X,MATCH($A328,SPPR!$A:$A,0),12)),$C328*INDEX(SPPR!$E:$X,MATCH($A328,SPPR!$A:$A,0),12),""),"")</f>
        <v/>
      </c>
      <c r="P328">
        <f>IFERROR(IF(ISNUMBER(INDEX(SPPR!$E:$X,MATCH($A328,SPPR!$A:$A,0),13)),$C328*INDEX(SPPR!$E:$X,MATCH($A328,SPPR!$A:$A,0),13),""),"")</f>
        <v/>
      </c>
      <c r="Q328">
        <f>IFERROR(IF(ISNUMBER(INDEX(SPPR!$E:$X,MATCH($A328,SPPR!$A:$A,0),14)),$C328*INDEX(SPPR!$E:$X,MATCH($A328,SPPR!$A:$A,0),14),""),"")</f>
        <v/>
      </c>
      <c r="R328">
        <f>IFERROR(IF(ISNUMBER(INDEX(SPPR!$E:$X,MATCH($A328,SPPR!$A:$A,0),15)),$C328*INDEX(SPPR!$E:$X,MATCH($A328,SPPR!$A:$A,0),15),""),"")</f>
        <v/>
      </c>
      <c r="S328">
        <f>IFERROR(IF(ISNUMBER(INDEX(SPPR!$E:$X,MATCH($A328,SPPR!$A:$A,0),16)),$C328*INDEX(SPPR!$E:$X,MATCH($A328,SPPR!$A:$A,0),16),""),"")</f>
        <v/>
      </c>
      <c r="T328">
        <f>IFERROR(IF(ISNUMBER(INDEX(SPPR!$E:$X,MATCH($A328,SPPR!$A:$A,0),17)),$C328*INDEX(SPPR!$E:$X,MATCH($A328,SPPR!$A:$A,0),17),""),"")</f>
        <v/>
      </c>
      <c r="U328">
        <f>IFERROR(IF(ISNUMBER(INDEX(SPPR!$E:$X,MATCH($A328,SPPR!$A:$A,0),18)),$C328*INDEX(SPPR!$E:$X,MATCH($A328,SPPR!$A:$A,0),18),""),"")</f>
        <v/>
      </c>
      <c r="V328">
        <f>IFERROR(IF(ISNUMBER(INDEX(SPPR!$E:$X,MATCH($A328,SPPR!$A:$A,0),19)),$C328*INDEX(SPPR!$E:$X,MATCH($A328,SPPR!$A:$A,0),19),""),"")</f>
        <v/>
      </c>
      <c r="W328">
        <f>IFERROR(IF(ISNUMBER(INDEX(SPPR!$E:$X,MATCH($A328,SPPR!$A:$A,0),20)),$C328*INDEX(SPPR!$E:$X,MATCH($A328,SPPR!$A:$A,0),20),""),"")</f>
        <v/>
      </c>
    </row>
    <row r="329">
      <c r="A329" t="inlineStr">
        <is>
          <t>Chaetodontidae</t>
        </is>
      </c>
      <c r="B329">
        <f>IFERROR(INDEX(SPPR!$D:$D,MATCH($A329,SPPR!$A:$A,0)),"")</f>
        <v/>
      </c>
      <c r="C329">
        <f>IFERROR(INDEX(Catch!$E:$BV,MATCH($A329,Catch!$A:$A,0),MATCH($B$4,Catch!$E$1:$BV$1,0)),0)</f>
        <v/>
      </c>
      <c r="D329">
        <f>IFERROR(IF(ISNUMBER(INDEX(SPPR!$E:$X,MATCH($A329,SPPR!$A:$A,0),1)),$C329*INDEX(SPPR!$E:$X,MATCH($A329,SPPR!$A:$A,0),1),""),"")</f>
        <v/>
      </c>
      <c r="E329">
        <f>IFERROR(IF(ISNUMBER(INDEX(SPPR!$E:$X,MATCH($A329,SPPR!$A:$A,0),2)),$C329*INDEX(SPPR!$E:$X,MATCH($A329,SPPR!$A:$A,0),2),""),"")</f>
        <v/>
      </c>
      <c r="F329">
        <f>IFERROR(IF(ISNUMBER(INDEX(SPPR!$E:$X,MATCH($A329,SPPR!$A:$A,0),3)),$C329*INDEX(SPPR!$E:$X,MATCH($A329,SPPR!$A:$A,0),3),""),"")</f>
        <v/>
      </c>
      <c r="G329">
        <f>IFERROR(IF(ISNUMBER(INDEX(SPPR!$E:$X,MATCH($A329,SPPR!$A:$A,0),4)),$C329*INDEX(SPPR!$E:$X,MATCH($A329,SPPR!$A:$A,0),4),""),"")</f>
        <v/>
      </c>
      <c r="H329">
        <f>IFERROR(IF(ISNUMBER(INDEX(SPPR!$E:$X,MATCH($A329,SPPR!$A:$A,0),5)),$C329*INDEX(SPPR!$E:$X,MATCH($A329,SPPR!$A:$A,0),5),""),"")</f>
        <v/>
      </c>
      <c r="I329">
        <f>IFERROR(IF(ISNUMBER(INDEX(SPPR!$E:$X,MATCH($A329,SPPR!$A:$A,0),6)),$C329*INDEX(SPPR!$E:$X,MATCH($A329,SPPR!$A:$A,0),6),""),"")</f>
        <v/>
      </c>
      <c r="J329">
        <f>IFERROR(IF(ISNUMBER(INDEX(SPPR!$E:$X,MATCH($A329,SPPR!$A:$A,0),7)),$C329*INDEX(SPPR!$E:$X,MATCH($A329,SPPR!$A:$A,0),7),""),"")</f>
        <v/>
      </c>
      <c r="K329">
        <f>IFERROR(IF(ISNUMBER(INDEX(SPPR!$E:$X,MATCH($A329,SPPR!$A:$A,0),8)),$C329*INDEX(SPPR!$E:$X,MATCH($A329,SPPR!$A:$A,0),8),""),"")</f>
        <v/>
      </c>
      <c r="L329">
        <f>IFERROR(IF(ISNUMBER(INDEX(SPPR!$E:$X,MATCH($A329,SPPR!$A:$A,0),9)),$C329*INDEX(SPPR!$E:$X,MATCH($A329,SPPR!$A:$A,0),9),""),"")</f>
        <v/>
      </c>
      <c r="M329">
        <f>IFERROR(IF(ISNUMBER(INDEX(SPPR!$E:$X,MATCH($A329,SPPR!$A:$A,0),10)),$C329*INDEX(SPPR!$E:$X,MATCH($A329,SPPR!$A:$A,0),10),""),"")</f>
        <v/>
      </c>
      <c r="N329">
        <f>IFERROR(IF(ISNUMBER(INDEX(SPPR!$E:$X,MATCH($A329,SPPR!$A:$A,0),11)),$C329*INDEX(SPPR!$E:$X,MATCH($A329,SPPR!$A:$A,0),11),""),"")</f>
        <v/>
      </c>
      <c r="O329">
        <f>IFERROR(IF(ISNUMBER(INDEX(SPPR!$E:$X,MATCH($A329,SPPR!$A:$A,0),12)),$C329*INDEX(SPPR!$E:$X,MATCH($A329,SPPR!$A:$A,0),12),""),"")</f>
        <v/>
      </c>
      <c r="P329">
        <f>IFERROR(IF(ISNUMBER(INDEX(SPPR!$E:$X,MATCH($A329,SPPR!$A:$A,0),13)),$C329*INDEX(SPPR!$E:$X,MATCH($A329,SPPR!$A:$A,0),13),""),"")</f>
        <v/>
      </c>
      <c r="Q329">
        <f>IFERROR(IF(ISNUMBER(INDEX(SPPR!$E:$X,MATCH($A329,SPPR!$A:$A,0),14)),$C329*INDEX(SPPR!$E:$X,MATCH($A329,SPPR!$A:$A,0),14),""),"")</f>
        <v/>
      </c>
      <c r="R329">
        <f>IFERROR(IF(ISNUMBER(INDEX(SPPR!$E:$X,MATCH($A329,SPPR!$A:$A,0),15)),$C329*INDEX(SPPR!$E:$X,MATCH($A329,SPPR!$A:$A,0),15),""),"")</f>
        <v/>
      </c>
      <c r="S329">
        <f>IFERROR(IF(ISNUMBER(INDEX(SPPR!$E:$X,MATCH($A329,SPPR!$A:$A,0),16)),$C329*INDEX(SPPR!$E:$X,MATCH($A329,SPPR!$A:$A,0),16),""),"")</f>
        <v/>
      </c>
      <c r="T329">
        <f>IFERROR(IF(ISNUMBER(INDEX(SPPR!$E:$X,MATCH($A329,SPPR!$A:$A,0),17)),$C329*INDEX(SPPR!$E:$X,MATCH($A329,SPPR!$A:$A,0),17),""),"")</f>
        <v/>
      </c>
      <c r="U329">
        <f>IFERROR(IF(ISNUMBER(INDEX(SPPR!$E:$X,MATCH($A329,SPPR!$A:$A,0),18)),$C329*INDEX(SPPR!$E:$X,MATCH($A329,SPPR!$A:$A,0),18),""),"")</f>
        <v/>
      </c>
      <c r="V329">
        <f>IFERROR(IF(ISNUMBER(INDEX(SPPR!$E:$X,MATCH($A329,SPPR!$A:$A,0),19)),$C329*INDEX(SPPR!$E:$X,MATCH($A329,SPPR!$A:$A,0),19),""),"")</f>
        <v/>
      </c>
      <c r="W329">
        <f>IFERROR(IF(ISNUMBER(INDEX(SPPR!$E:$X,MATCH($A329,SPPR!$A:$A,0),20)),$C329*INDEX(SPPR!$E:$X,MATCH($A329,SPPR!$A:$A,0),20),""),"")</f>
        <v/>
      </c>
    </row>
    <row r="330">
      <c r="A330" t="inlineStr">
        <is>
          <t>Congridae</t>
        </is>
      </c>
      <c r="B330">
        <f>IFERROR(INDEX(SPPR!$D:$D,MATCH($A330,SPPR!$A:$A,0)),"")</f>
        <v/>
      </c>
      <c r="C330">
        <f>IFERROR(INDEX(Catch!$E:$BV,MATCH($A330,Catch!$A:$A,0),MATCH($B$4,Catch!$E$1:$BV$1,0)),0)</f>
        <v/>
      </c>
      <c r="D330">
        <f>IFERROR(IF(ISNUMBER(INDEX(SPPR!$E:$X,MATCH($A330,SPPR!$A:$A,0),1)),$C330*INDEX(SPPR!$E:$X,MATCH($A330,SPPR!$A:$A,0),1),""),"")</f>
        <v/>
      </c>
      <c r="E330">
        <f>IFERROR(IF(ISNUMBER(INDEX(SPPR!$E:$X,MATCH($A330,SPPR!$A:$A,0),2)),$C330*INDEX(SPPR!$E:$X,MATCH($A330,SPPR!$A:$A,0),2),""),"")</f>
        <v/>
      </c>
      <c r="F330">
        <f>IFERROR(IF(ISNUMBER(INDEX(SPPR!$E:$X,MATCH($A330,SPPR!$A:$A,0),3)),$C330*INDEX(SPPR!$E:$X,MATCH($A330,SPPR!$A:$A,0),3),""),"")</f>
        <v/>
      </c>
      <c r="G330">
        <f>IFERROR(IF(ISNUMBER(INDEX(SPPR!$E:$X,MATCH($A330,SPPR!$A:$A,0),4)),$C330*INDEX(SPPR!$E:$X,MATCH($A330,SPPR!$A:$A,0),4),""),"")</f>
        <v/>
      </c>
      <c r="H330">
        <f>IFERROR(IF(ISNUMBER(INDEX(SPPR!$E:$X,MATCH($A330,SPPR!$A:$A,0),5)),$C330*INDEX(SPPR!$E:$X,MATCH($A330,SPPR!$A:$A,0),5),""),"")</f>
        <v/>
      </c>
      <c r="I330">
        <f>IFERROR(IF(ISNUMBER(INDEX(SPPR!$E:$X,MATCH($A330,SPPR!$A:$A,0),6)),$C330*INDEX(SPPR!$E:$X,MATCH($A330,SPPR!$A:$A,0),6),""),"")</f>
        <v/>
      </c>
      <c r="J330">
        <f>IFERROR(IF(ISNUMBER(INDEX(SPPR!$E:$X,MATCH($A330,SPPR!$A:$A,0),7)),$C330*INDEX(SPPR!$E:$X,MATCH($A330,SPPR!$A:$A,0),7),""),"")</f>
        <v/>
      </c>
      <c r="K330">
        <f>IFERROR(IF(ISNUMBER(INDEX(SPPR!$E:$X,MATCH($A330,SPPR!$A:$A,0),8)),$C330*INDEX(SPPR!$E:$X,MATCH($A330,SPPR!$A:$A,0),8),""),"")</f>
        <v/>
      </c>
      <c r="L330">
        <f>IFERROR(IF(ISNUMBER(INDEX(SPPR!$E:$X,MATCH($A330,SPPR!$A:$A,0),9)),$C330*INDEX(SPPR!$E:$X,MATCH($A330,SPPR!$A:$A,0),9),""),"")</f>
        <v/>
      </c>
      <c r="M330">
        <f>IFERROR(IF(ISNUMBER(INDEX(SPPR!$E:$X,MATCH($A330,SPPR!$A:$A,0),10)),$C330*INDEX(SPPR!$E:$X,MATCH($A330,SPPR!$A:$A,0),10),""),"")</f>
        <v/>
      </c>
      <c r="N330">
        <f>IFERROR(IF(ISNUMBER(INDEX(SPPR!$E:$X,MATCH($A330,SPPR!$A:$A,0),11)),$C330*INDEX(SPPR!$E:$X,MATCH($A330,SPPR!$A:$A,0),11),""),"")</f>
        <v/>
      </c>
      <c r="O330">
        <f>IFERROR(IF(ISNUMBER(INDEX(SPPR!$E:$X,MATCH($A330,SPPR!$A:$A,0),12)),$C330*INDEX(SPPR!$E:$X,MATCH($A330,SPPR!$A:$A,0),12),""),"")</f>
        <v/>
      </c>
      <c r="P330">
        <f>IFERROR(IF(ISNUMBER(INDEX(SPPR!$E:$X,MATCH($A330,SPPR!$A:$A,0),13)),$C330*INDEX(SPPR!$E:$X,MATCH($A330,SPPR!$A:$A,0),13),""),"")</f>
        <v/>
      </c>
      <c r="Q330">
        <f>IFERROR(IF(ISNUMBER(INDEX(SPPR!$E:$X,MATCH($A330,SPPR!$A:$A,0),14)),$C330*INDEX(SPPR!$E:$X,MATCH($A330,SPPR!$A:$A,0),14),""),"")</f>
        <v/>
      </c>
      <c r="R330">
        <f>IFERROR(IF(ISNUMBER(INDEX(SPPR!$E:$X,MATCH($A330,SPPR!$A:$A,0),15)),$C330*INDEX(SPPR!$E:$X,MATCH($A330,SPPR!$A:$A,0),15),""),"")</f>
        <v/>
      </c>
      <c r="S330">
        <f>IFERROR(IF(ISNUMBER(INDEX(SPPR!$E:$X,MATCH($A330,SPPR!$A:$A,0),16)),$C330*INDEX(SPPR!$E:$X,MATCH($A330,SPPR!$A:$A,0),16),""),"")</f>
        <v/>
      </c>
      <c r="T330">
        <f>IFERROR(IF(ISNUMBER(INDEX(SPPR!$E:$X,MATCH($A330,SPPR!$A:$A,0),17)),$C330*INDEX(SPPR!$E:$X,MATCH($A330,SPPR!$A:$A,0),17),""),"")</f>
        <v/>
      </c>
      <c r="U330">
        <f>IFERROR(IF(ISNUMBER(INDEX(SPPR!$E:$X,MATCH($A330,SPPR!$A:$A,0),18)),$C330*INDEX(SPPR!$E:$X,MATCH($A330,SPPR!$A:$A,0),18),""),"")</f>
        <v/>
      </c>
      <c r="V330">
        <f>IFERROR(IF(ISNUMBER(INDEX(SPPR!$E:$X,MATCH($A330,SPPR!$A:$A,0),19)),$C330*INDEX(SPPR!$E:$X,MATCH($A330,SPPR!$A:$A,0),19),""),"")</f>
        <v/>
      </c>
      <c r="W330">
        <f>IFERROR(IF(ISNUMBER(INDEX(SPPR!$E:$X,MATCH($A330,SPPR!$A:$A,0),20)),$C330*INDEX(SPPR!$E:$X,MATCH($A330,SPPR!$A:$A,0),20),""),"")</f>
        <v/>
      </c>
    </row>
    <row r="331">
      <c r="A331" t="inlineStr">
        <is>
          <t>Lethrinus miniatus</t>
        </is>
      </c>
      <c r="B331">
        <f>IFERROR(INDEX(SPPR!$D:$D,MATCH($A331,SPPR!$A:$A,0)),"")</f>
        <v/>
      </c>
      <c r="C331">
        <f>IFERROR(INDEX(Catch!$E:$BV,MATCH($A331,Catch!$A:$A,0),MATCH($B$4,Catch!$E$1:$BV$1,0)),0)</f>
        <v/>
      </c>
      <c r="D331">
        <f>IFERROR(IF(ISNUMBER(INDEX(SPPR!$E:$X,MATCH($A331,SPPR!$A:$A,0),1)),$C331*INDEX(SPPR!$E:$X,MATCH($A331,SPPR!$A:$A,0),1),""),"")</f>
        <v/>
      </c>
      <c r="E331">
        <f>IFERROR(IF(ISNUMBER(INDEX(SPPR!$E:$X,MATCH($A331,SPPR!$A:$A,0),2)),$C331*INDEX(SPPR!$E:$X,MATCH($A331,SPPR!$A:$A,0),2),""),"")</f>
        <v/>
      </c>
      <c r="F331">
        <f>IFERROR(IF(ISNUMBER(INDEX(SPPR!$E:$X,MATCH($A331,SPPR!$A:$A,0),3)),$C331*INDEX(SPPR!$E:$X,MATCH($A331,SPPR!$A:$A,0),3),""),"")</f>
        <v/>
      </c>
      <c r="G331">
        <f>IFERROR(IF(ISNUMBER(INDEX(SPPR!$E:$X,MATCH($A331,SPPR!$A:$A,0),4)),$C331*INDEX(SPPR!$E:$X,MATCH($A331,SPPR!$A:$A,0),4),""),"")</f>
        <v/>
      </c>
      <c r="H331">
        <f>IFERROR(IF(ISNUMBER(INDEX(SPPR!$E:$X,MATCH($A331,SPPR!$A:$A,0),5)),$C331*INDEX(SPPR!$E:$X,MATCH($A331,SPPR!$A:$A,0),5),""),"")</f>
        <v/>
      </c>
      <c r="I331">
        <f>IFERROR(IF(ISNUMBER(INDEX(SPPR!$E:$X,MATCH($A331,SPPR!$A:$A,0),6)),$C331*INDEX(SPPR!$E:$X,MATCH($A331,SPPR!$A:$A,0),6),""),"")</f>
        <v/>
      </c>
      <c r="J331">
        <f>IFERROR(IF(ISNUMBER(INDEX(SPPR!$E:$X,MATCH($A331,SPPR!$A:$A,0),7)),$C331*INDEX(SPPR!$E:$X,MATCH($A331,SPPR!$A:$A,0),7),""),"")</f>
        <v/>
      </c>
      <c r="K331">
        <f>IFERROR(IF(ISNUMBER(INDEX(SPPR!$E:$X,MATCH($A331,SPPR!$A:$A,0),8)),$C331*INDEX(SPPR!$E:$X,MATCH($A331,SPPR!$A:$A,0),8),""),"")</f>
        <v/>
      </c>
      <c r="L331">
        <f>IFERROR(IF(ISNUMBER(INDEX(SPPR!$E:$X,MATCH($A331,SPPR!$A:$A,0),9)),$C331*INDEX(SPPR!$E:$X,MATCH($A331,SPPR!$A:$A,0),9),""),"")</f>
        <v/>
      </c>
      <c r="M331">
        <f>IFERROR(IF(ISNUMBER(INDEX(SPPR!$E:$X,MATCH($A331,SPPR!$A:$A,0),10)),$C331*INDEX(SPPR!$E:$X,MATCH($A331,SPPR!$A:$A,0),10),""),"")</f>
        <v/>
      </c>
      <c r="N331">
        <f>IFERROR(IF(ISNUMBER(INDEX(SPPR!$E:$X,MATCH($A331,SPPR!$A:$A,0),11)),$C331*INDEX(SPPR!$E:$X,MATCH($A331,SPPR!$A:$A,0),11),""),"")</f>
        <v/>
      </c>
      <c r="O331">
        <f>IFERROR(IF(ISNUMBER(INDEX(SPPR!$E:$X,MATCH($A331,SPPR!$A:$A,0),12)),$C331*INDEX(SPPR!$E:$X,MATCH($A331,SPPR!$A:$A,0),12),""),"")</f>
        <v/>
      </c>
      <c r="P331">
        <f>IFERROR(IF(ISNUMBER(INDEX(SPPR!$E:$X,MATCH($A331,SPPR!$A:$A,0),13)),$C331*INDEX(SPPR!$E:$X,MATCH($A331,SPPR!$A:$A,0),13),""),"")</f>
        <v/>
      </c>
      <c r="Q331">
        <f>IFERROR(IF(ISNUMBER(INDEX(SPPR!$E:$X,MATCH($A331,SPPR!$A:$A,0),14)),$C331*INDEX(SPPR!$E:$X,MATCH($A331,SPPR!$A:$A,0),14),""),"")</f>
        <v/>
      </c>
      <c r="R331">
        <f>IFERROR(IF(ISNUMBER(INDEX(SPPR!$E:$X,MATCH($A331,SPPR!$A:$A,0),15)),$C331*INDEX(SPPR!$E:$X,MATCH($A331,SPPR!$A:$A,0),15),""),"")</f>
        <v/>
      </c>
      <c r="S331">
        <f>IFERROR(IF(ISNUMBER(INDEX(SPPR!$E:$X,MATCH($A331,SPPR!$A:$A,0),16)),$C331*INDEX(SPPR!$E:$X,MATCH($A331,SPPR!$A:$A,0),16),""),"")</f>
        <v/>
      </c>
      <c r="T331">
        <f>IFERROR(IF(ISNUMBER(INDEX(SPPR!$E:$X,MATCH($A331,SPPR!$A:$A,0),17)),$C331*INDEX(SPPR!$E:$X,MATCH($A331,SPPR!$A:$A,0),17),""),"")</f>
        <v/>
      </c>
      <c r="U331">
        <f>IFERROR(IF(ISNUMBER(INDEX(SPPR!$E:$X,MATCH($A331,SPPR!$A:$A,0),18)),$C331*INDEX(SPPR!$E:$X,MATCH($A331,SPPR!$A:$A,0),18),""),"")</f>
        <v/>
      </c>
      <c r="V331">
        <f>IFERROR(IF(ISNUMBER(INDEX(SPPR!$E:$X,MATCH($A331,SPPR!$A:$A,0),19)),$C331*INDEX(SPPR!$E:$X,MATCH($A331,SPPR!$A:$A,0),19),""),"")</f>
        <v/>
      </c>
      <c r="W331">
        <f>IFERROR(IF(ISNUMBER(INDEX(SPPR!$E:$X,MATCH($A331,SPPR!$A:$A,0),20)),$C331*INDEX(SPPR!$E:$X,MATCH($A331,SPPR!$A:$A,0),20),""),"")</f>
        <v/>
      </c>
    </row>
    <row r="332">
      <c r="A332" t="inlineStr">
        <is>
          <t>Scylla</t>
        </is>
      </c>
      <c r="B332">
        <f>IFERROR(INDEX(SPPR!$D:$D,MATCH($A332,SPPR!$A:$A,0)),"")</f>
        <v/>
      </c>
      <c r="C332">
        <f>IFERROR(INDEX(Catch!$E:$BV,MATCH($A332,Catch!$A:$A,0),MATCH($B$4,Catch!$E$1:$BV$1,0)),0)</f>
        <v/>
      </c>
      <c r="D332">
        <f>IFERROR(IF(ISNUMBER(INDEX(SPPR!$E:$X,MATCH($A332,SPPR!$A:$A,0),1)),$C332*INDEX(SPPR!$E:$X,MATCH($A332,SPPR!$A:$A,0),1),""),"")</f>
        <v/>
      </c>
      <c r="E332">
        <f>IFERROR(IF(ISNUMBER(INDEX(SPPR!$E:$X,MATCH($A332,SPPR!$A:$A,0),2)),$C332*INDEX(SPPR!$E:$X,MATCH($A332,SPPR!$A:$A,0),2),""),"")</f>
        <v/>
      </c>
      <c r="F332">
        <f>IFERROR(IF(ISNUMBER(INDEX(SPPR!$E:$X,MATCH($A332,SPPR!$A:$A,0),3)),$C332*INDEX(SPPR!$E:$X,MATCH($A332,SPPR!$A:$A,0),3),""),"")</f>
        <v/>
      </c>
      <c r="G332">
        <f>IFERROR(IF(ISNUMBER(INDEX(SPPR!$E:$X,MATCH($A332,SPPR!$A:$A,0),4)),$C332*INDEX(SPPR!$E:$X,MATCH($A332,SPPR!$A:$A,0),4),""),"")</f>
        <v/>
      </c>
      <c r="H332">
        <f>IFERROR(IF(ISNUMBER(INDEX(SPPR!$E:$X,MATCH($A332,SPPR!$A:$A,0),5)),$C332*INDEX(SPPR!$E:$X,MATCH($A332,SPPR!$A:$A,0),5),""),"")</f>
        <v/>
      </c>
      <c r="I332">
        <f>IFERROR(IF(ISNUMBER(INDEX(SPPR!$E:$X,MATCH($A332,SPPR!$A:$A,0),6)),$C332*INDEX(SPPR!$E:$X,MATCH($A332,SPPR!$A:$A,0),6),""),"")</f>
        <v/>
      </c>
      <c r="J332">
        <f>IFERROR(IF(ISNUMBER(INDEX(SPPR!$E:$X,MATCH($A332,SPPR!$A:$A,0),7)),$C332*INDEX(SPPR!$E:$X,MATCH($A332,SPPR!$A:$A,0),7),""),"")</f>
        <v/>
      </c>
      <c r="K332">
        <f>IFERROR(IF(ISNUMBER(INDEX(SPPR!$E:$X,MATCH($A332,SPPR!$A:$A,0),8)),$C332*INDEX(SPPR!$E:$X,MATCH($A332,SPPR!$A:$A,0),8),""),"")</f>
        <v/>
      </c>
      <c r="L332">
        <f>IFERROR(IF(ISNUMBER(INDEX(SPPR!$E:$X,MATCH($A332,SPPR!$A:$A,0),9)),$C332*INDEX(SPPR!$E:$X,MATCH($A332,SPPR!$A:$A,0),9),""),"")</f>
        <v/>
      </c>
      <c r="M332">
        <f>IFERROR(IF(ISNUMBER(INDEX(SPPR!$E:$X,MATCH($A332,SPPR!$A:$A,0),10)),$C332*INDEX(SPPR!$E:$X,MATCH($A332,SPPR!$A:$A,0),10),""),"")</f>
        <v/>
      </c>
      <c r="N332">
        <f>IFERROR(IF(ISNUMBER(INDEX(SPPR!$E:$X,MATCH($A332,SPPR!$A:$A,0),11)),$C332*INDEX(SPPR!$E:$X,MATCH($A332,SPPR!$A:$A,0),11),""),"")</f>
        <v/>
      </c>
      <c r="O332">
        <f>IFERROR(IF(ISNUMBER(INDEX(SPPR!$E:$X,MATCH($A332,SPPR!$A:$A,0),12)),$C332*INDEX(SPPR!$E:$X,MATCH($A332,SPPR!$A:$A,0),12),""),"")</f>
        <v/>
      </c>
      <c r="P332">
        <f>IFERROR(IF(ISNUMBER(INDEX(SPPR!$E:$X,MATCH($A332,SPPR!$A:$A,0),13)),$C332*INDEX(SPPR!$E:$X,MATCH($A332,SPPR!$A:$A,0),13),""),"")</f>
        <v/>
      </c>
      <c r="Q332">
        <f>IFERROR(IF(ISNUMBER(INDEX(SPPR!$E:$X,MATCH($A332,SPPR!$A:$A,0),14)),$C332*INDEX(SPPR!$E:$X,MATCH($A332,SPPR!$A:$A,0),14),""),"")</f>
        <v/>
      </c>
      <c r="R332">
        <f>IFERROR(IF(ISNUMBER(INDEX(SPPR!$E:$X,MATCH($A332,SPPR!$A:$A,0),15)),$C332*INDEX(SPPR!$E:$X,MATCH($A332,SPPR!$A:$A,0),15),""),"")</f>
        <v/>
      </c>
      <c r="S332">
        <f>IFERROR(IF(ISNUMBER(INDEX(SPPR!$E:$X,MATCH($A332,SPPR!$A:$A,0),16)),$C332*INDEX(SPPR!$E:$X,MATCH($A332,SPPR!$A:$A,0),16),""),"")</f>
        <v/>
      </c>
      <c r="T332">
        <f>IFERROR(IF(ISNUMBER(INDEX(SPPR!$E:$X,MATCH($A332,SPPR!$A:$A,0),17)),$C332*INDEX(SPPR!$E:$X,MATCH($A332,SPPR!$A:$A,0),17),""),"")</f>
        <v/>
      </c>
      <c r="U332">
        <f>IFERROR(IF(ISNUMBER(INDEX(SPPR!$E:$X,MATCH($A332,SPPR!$A:$A,0),18)),$C332*INDEX(SPPR!$E:$X,MATCH($A332,SPPR!$A:$A,0),18),""),"")</f>
        <v/>
      </c>
      <c r="V332">
        <f>IFERROR(IF(ISNUMBER(INDEX(SPPR!$E:$X,MATCH($A332,SPPR!$A:$A,0),19)),$C332*INDEX(SPPR!$E:$X,MATCH($A332,SPPR!$A:$A,0),19),""),"")</f>
        <v/>
      </c>
      <c r="W332">
        <f>IFERROR(IF(ISNUMBER(INDEX(SPPR!$E:$X,MATCH($A332,SPPR!$A:$A,0),20)),$C332*INDEX(SPPR!$E:$X,MATCH($A332,SPPR!$A:$A,0),20),""),"")</f>
        <v/>
      </c>
    </row>
    <row r="333">
      <c r="A333" t="inlineStr">
        <is>
          <t>Hemitrygon akajei</t>
        </is>
      </c>
      <c r="B333">
        <f>IFERROR(INDEX(SPPR!$D:$D,MATCH($A333,SPPR!$A:$A,0)),"")</f>
        <v/>
      </c>
      <c r="C333">
        <f>IFERROR(INDEX(Catch!$E:$BV,MATCH($A333,Catch!$A:$A,0),MATCH($B$4,Catch!$E$1:$BV$1,0)),0)</f>
        <v/>
      </c>
      <c r="D333">
        <f>IFERROR(IF(ISNUMBER(INDEX(SPPR!$E:$X,MATCH($A333,SPPR!$A:$A,0),1)),$C333*INDEX(SPPR!$E:$X,MATCH($A333,SPPR!$A:$A,0),1),""),"")</f>
        <v/>
      </c>
      <c r="E333">
        <f>IFERROR(IF(ISNUMBER(INDEX(SPPR!$E:$X,MATCH($A333,SPPR!$A:$A,0),2)),$C333*INDEX(SPPR!$E:$X,MATCH($A333,SPPR!$A:$A,0),2),""),"")</f>
        <v/>
      </c>
      <c r="F333">
        <f>IFERROR(IF(ISNUMBER(INDEX(SPPR!$E:$X,MATCH($A333,SPPR!$A:$A,0),3)),$C333*INDEX(SPPR!$E:$X,MATCH($A333,SPPR!$A:$A,0),3),""),"")</f>
        <v/>
      </c>
      <c r="G333">
        <f>IFERROR(IF(ISNUMBER(INDEX(SPPR!$E:$X,MATCH($A333,SPPR!$A:$A,0),4)),$C333*INDEX(SPPR!$E:$X,MATCH($A333,SPPR!$A:$A,0),4),""),"")</f>
        <v/>
      </c>
      <c r="H333">
        <f>IFERROR(IF(ISNUMBER(INDEX(SPPR!$E:$X,MATCH($A333,SPPR!$A:$A,0),5)),$C333*INDEX(SPPR!$E:$X,MATCH($A333,SPPR!$A:$A,0),5),""),"")</f>
        <v/>
      </c>
      <c r="I333">
        <f>IFERROR(IF(ISNUMBER(INDEX(SPPR!$E:$X,MATCH($A333,SPPR!$A:$A,0),6)),$C333*INDEX(SPPR!$E:$X,MATCH($A333,SPPR!$A:$A,0),6),""),"")</f>
        <v/>
      </c>
      <c r="J333">
        <f>IFERROR(IF(ISNUMBER(INDEX(SPPR!$E:$X,MATCH($A333,SPPR!$A:$A,0),7)),$C333*INDEX(SPPR!$E:$X,MATCH($A333,SPPR!$A:$A,0),7),""),"")</f>
        <v/>
      </c>
      <c r="K333">
        <f>IFERROR(IF(ISNUMBER(INDEX(SPPR!$E:$X,MATCH($A333,SPPR!$A:$A,0),8)),$C333*INDEX(SPPR!$E:$X,MATCH($A333,SPPR!$A:$A,0),8),""),"")</f>
        <v/>
      </c>
      <c r="L333">
        <f>IFERROR(IF(ISNUMBER(INDEX(SPPR!$E:$X,MATCH($A333,SPPR!$A:$A,0),9)),$C333*INDEX(SPPR!$E:$X,MATCH($A333,SPPR!$A:$A,0),9),""),"")</f>
        <v/>
      </c>
      <c r="M333">
        <f>IFERROR(IF(ISNUMBER(INDEX(SPPR!$E:$X,MATCH($A333,SPPR!$A:$A,0),10)),$C333*INDEX(SPPR!$E:$X,MATCH($A333,SPPR!$A:$A,0),10),""),"")</f>
        <v/>
      </c>
      <c r="N333">
        <f>IFERROR(IF(ISNUMBER(INDEX(SPPR!$E:$X,MATCH($A333,SPPR!$A:$A,0),11)),$C333*INDEX(SPPR!$E:$X,MATCH($A333,SPPR!$A:$A,0),11),""),"")</f>
        <v/>
      </c>
      <c r="O333">
        <f>IFERROR(IF(ISNUMBER(INDEX(SPPR!$E:$X,MATCH($A333,SPPR!$A:$A,0),12)),$C333*INDEX(SPPR!$E:$X,MATCH($A333,SPPR!$A:$A,0),12),""),"")</f>
        <v/>
      </c>
      <c r="P333">
        <f>IFERROR(IF(ISNUMBER(INDEX(SPPR!$E:$X,MATCH($A333,SPPR!$A:$A,0),13)),$C333*INDEX(SPPR!$E:$X,MATCH($A333,SPPR!$A:$A,0),13),""),"")</f>
        <v/>
      </c>
      <c r="Q333">
        <f>IFERROR(IF(ISNUMBER(INDEX(SPPR!$E:$X,MATCH($A333,SPPR!$A:$A,0),14)),$C333*INDEX(SPPR!$E:$X,MATCH($A333,SPPR!$A:$A,0),14),""),"")</f>
        <v/>
      </c>
      <c r="R333">
        <f>IFERROR(IF(ISNUMBER(INDEX(SPPR!$E:$X,MATCH($A333,SPPR!$A:$A,0),15)),$C333*INDEX(SPPR!$E:$X,MATCH($A333,SPPR!$A:$A,0),15),""),"")</f>
        <v/>
      </c>
      <c r="S333">
        <f>IFERROR(IF(ISNUMBER(INDEX(SPPR!$E:$X,MATCH($A333,SPPR!$A:$A,0),16)),$C333*INDEX(SPPR!$E:$X,MATCH($A333,SPPR!$A:$A,0),16),""),"")</f>
        <v/>
      </c>
      <c r="T333">
        <f>IFERROR(IF(ISNUMBER(INDEX(SPPR!$E:$X,MATCH($A333,SPPR!$A:$A,0),17)),$C333*INDEX(SPPR!$E:$X,MATCH($A333,SPPR!$A:$A,0),17),""),"")</f>
        <v/>
      </c>
      <c r="U333">
        <f>IFERROR(IF(ISNUMBER(INDEX(SPPR!$E:$X,MATCH($A333,SPPR!$A:$A,0),18)),$C333*INDEX(SPPR!$E:$X,MATCH($A333,SPPR!$A:$A,0),18),""),"")</f>
        <v/>
      </c>
      <c r="V333">
        <f>IFERROR(IF(ISNUMBER(INDEX(SPPR!$E:$X,MATCH($A333,SPPR!$A:$A,0),19)),$C333*INDEX(SPPR!$E:$X,MATCH($A333,SPPR!$A:$A,0),19),""),"")</f>
        <v/>
      </c>
      <c r="W333">
        <f>IFERROR(IF(ISNUMBER(INDEX(SPPR!$E:$X,MATCH($A333,SPPR!$A:$A,0),20)),$C333*INDEX(SPPR!$E:$X,MATCH($A333,SPPR!$A:$A,0),20),""),"")</f>
        <v/>
      </c>
    </row>
    <row r="334">
      <c r="A334" t="inlineStr">
        <is>
          <t>Lepidocybium flavobrunneum</t>
        </is>
      </c>
      <c r="B334">
        <f>IFERROR(INDEX(SPPR!$D:$D,MATCH($A334,SPPR!$A:$A,0)),"")</f>
        <v/>
      </c>
      <c r="C334">
        <f>IFERROR(INDEX(Catch!$E:$BV,MATCH($A334,Catch!$A:$A,0),MATCH($B$4,Catch!$E$1:$BV$1,0)),0)</f>
        <v/>
      </c>
      <c r="D334">
        <f>IFERROR(IF(ISNUMBER(INDEX(SPPR!$E:$X,MATCH($A334,SPPR!$A:$A,0),1)),$C334*INDEX(SPPR!$E:$X,MATCH($A334,SPPR!$A:$A,0),1),""),"")</f>
        <v/>
      </c>
      <c r="E334">
        <f>IFERROR(IF(ISNUMBER(INDEX(SPPR!$E:$X,MATCH($A334,SPPR!$A:$A,0),2)),$C334*INDEX(SPPR!$E:$X,MATCH($A334,SPPR!$A:$A,0),2),""),"")</f>
        <v/>
      </c>
      <c r="F334">
        <f>IFERROR(IF(ISNUMBER(INDEX(SPPR!$E:$X,MATCH($A334,SPPR!$A:$A,0),3)),$C334*INDEX(SPPR!$E:$X,MATCH($A334,SPPR!$A:$A,0),3),""),"")</f>
        <v/>
      </c>
      <c r="G334">
        <f>IFERROR(IF(ISNUMBER(INDEX(SPPR!$E:$X,MATCH($A334,SPPR!$A:$A,0),4)),$C334*INDEX(SPPR!$E:$X,MATCH($A334,SPPR!$A:$A,0),4),""),"")</f>
        <v/>
      </c>
      <c r="H334">
        <f>IFERROR(IF(ISNUMBER(INDEX(SPPR!$E:$X,MATCH($A334,SPPR!$A:$A,0),5)),$C334*INDEX(SPPR!$E:$X,MATCH($A334,SPPR!$A:$A,0),5),""),"")</f>
        <v/>
      </c>
      <c r="I334">
        <f>IFERROR(IF(ISNUMBER(INDEX(SPPR!$E:$X,MATCH($A334,SPPR!$A:$A,0),6)),$C334*INDEX(SPPR!$E:$X,MATCH($A334,SPPR!$A:$A,0),6),""),"")</f>
        <v/>
      </c>
      <c r="J334">
        <f>IFERROR(IF(ISNUMBER(INDEX(SPPR!$E:$X,MATCH($A334,SPPR!$A:$A,0),7)),$C334*INDEX(SPPR!$E:$X,MATCH($A334,SPPR!$A:$A,0),7),""),"")</f>
        <v/>
      </c>
      <c r="K334">
        <f>IFERROR(IF(ISNUMBER(INDEX(SPPR!$E:$X,MATCH($A334,SPPR!$A:$A,0),8)),$C334*INDEX(SPPR!$E:$X,MATCH($A334,SPPR!$A:$A,0),8),""),"")</f>
        <v/>
      </c>
      <c r="L334">
        <f>IFERROR(IF(ISNUMBER(INDEX(SPPR!$E:$X,MATCH($A334,SPPR!$A:$A,0),9)),$C334*INDEX(SPPR!$E:$X,MATCH($A334,SPPR!$A:$A,0),9),""),"")</f>
        <v/>
      </c>
      <c r="M334">
        <f>IFERROR(IF(ISNUMBER(INDEX(SPPR!$E:$X,MATCH($A334,SPPR!$A:$A,0),10)),$C334*INDEX(SPPR!$E:$X,MATCH($A334,SPPR!$A:$A,0),10),""),"")</f>
        <v/>
      </c>
      <c r="N334">
        <f>IFERROR(IF(ISNUMBER(INDEX(SPPR!$E:$X,MATCH($A334,SPPR!$A:$A,0),11)),$C334*INDEX(SPPR!$E:$X,MATCH($A334,SPPR!$A:$A,0),11),""),"")</f>
        <v/>
      </c>
      <c r="O334">
        <f>IFERROR(IF(ISNUMBER(INDEX(SPPR!$E:$X,MATCH($A334,SPPR!$A:$A,0),12)),$C334*INDEX(SPPR!$E:$X,MATCH($A334,SPPR!$A:$A,0),12),""),"")</f>
        <v/>
      </c>
      <c r="P334">
        <f>IFERROR(IF(ISNUMBER(INDEX(SPPR!$E:$X,MATCH($A334,SPPR!$A:$A,0),13)),$C334*INDEX(SPPR!$E:$X,MATCH($A334,SPPR!$A:$A,0),13),""),"")</f>
        <v/>
      </c>
      <c r="Q334">
        <f>IFERROR(IF(ISNUMBER(INDEX(SPPR!$E:$X,MATCH($A334,SPPR!$A:$A,0),14)),$C334*INDEX(SPPR!$E:$X,MATCH($A334,SPPR!$A:$A,0),14),""),"")</f>
        <v/>
      </c>
      <c r="R334">
        <f>IFERROR(IF(ISNUMBER(INDEX(SPPR!$E:$X,MATCH($A334,SPPR!$A:$A,0),15)),$C334*INDEX(SPPR!$E:$X,MATCH($A334,SPPR!$A:$A,0),15),""),"")</f>
        <v/>
      </c>
      <c r="S334">
        <f>IFERROR(IF(ISNUMBER(INDEX(SPPR!$E:$X,MATCH($A334,SPPR!$A:$A,0),16)),$C334*INDEX(SPPR!$E:$X,MATCH($A334,SPPR!$A:$A,0),16),""),"")</f>
        <v/>
      </c>
      <c r="T334">
        <f>IFERROR(IF(ISNUMBER(INDEX(SPPR!$E:$X,MATCH($A334,SPPR!$A:$A,0),17)),$C334*INDEX(SPPR!$E:$X,MATCH($A334,SPPR!$A:$A,0),17),""),"")</f>
        <v/>
      </c>
      <c r="U334">
        <f>IFERROR(IF(ISNUMBER(INDEX(SPPR!$E:$X,MATCH($A334,SPPR!$A:$A,0),18)),$C334*INDEX(SPPR!$E:$X,MATCH($A334,SPPR!$A:$A,0),18),""),"")</f>
        <v/>
      </c>
      <c r="V334">
        <f>IFERROR(IF(ISNUMBER(INDEX(SPPR!$E:$X,MATCH($A334,SPPR!$A:$A,0),19)),$C334*INDEX(SPPR!$E:$X,MATCH($A334,SPPR!$A:$A,0),19),""),"")</f>
        <v/>
      </c>
      <c r="W334">
        <f>IFERROR(IF(ISNUMBER(INDEX(SPPR!$E:$X,MATCH($A334,SPPR!$A:$A,0),20)),$C334*INDEX(SPPR!$E:$X,MATCH($A334,SPPR!$A:$A,0),20),""),"")</f>
        <v/>
      </c>
    </row>
    <row r="335">
      <c r="A335" t="inlineStr">
        <is>
          <t>Charybdis feriatus</t>
        </is>
      </c>
      <c r="B335">
        <f>IFERROR(INDEX(SPPR!$D:$D,MATCH($A335,SPPR!$A:$A,0)),"")</f>
        <v/>
      </c>
      <c r="C335">
        <f>IFERROR(INDEX(Catch!$E:$BV,MATCH($A335,Catch!$A:$A,0),MATCH($B$4,Catch!$E$1:$BV$1,0)),0)</f>
        <v/>
      </c>
      <c r="D335">
        <f>IFERROR(IF(ISNUMBER(INDEX(SPPR!$E:$X,MATCH($A335,SPPR!$A:$A,0),1)),$C335*INDEX(SPPR!$E:$X,MATCH($A335,SPPR!$A:$A,0),1),""),"")</f>
        <v/>
      </c>
      <c r="E335">
        <f>IFERROR(IF(ISNUMBER(INDEX(SPPR!$E:$X,MATCH($A335,SPPR!$A:$A,0),2)),$C335*INDEX(SPPR!$E:$X,MATCH($A335,SPPR!$A:$A,0),2),""),"")</f>
        <v/>
      </c>
      <c r="F335">
        <f>IFERROR(IF(ISNUMBER(INDEX(SPPR!$E:$X,MATCH($A335,SPPR!$A:$A,0),3)),$C335*INDEX(SPPR!$E:$X,MATCH($A335,SPPR!$A:$A,0),3),""),"")</f>
        <v/>
      </c>
      <c r="G335">
        <f>IFERROR(IF(ISNUMBER(INDEX(SPPR!$E:$X,MATCH($A335,SPPR!$A:$A,0),4)),$C335*INDEX(SPPR!$E:$X,MATCH($A335,SPPR!$A:$A,0),4),""),"")</f>
        <v/>
      </c>
      <c r="H335">
        <f>IFERROR(IF(ISNUMBER(INDEX(SPPR!$E:$X,MATCH($A335,SPPR!$A:$A,0),5)),$C335*INDEX(SPPR!$E:$X,MATCH($A335,SPPR!$A:$A,0),5),""),"")</f>
        <v/>
      </c>
      <c r="I335">
        <f>IFERROR(IF(ISNUMBER(INDEX(SPPR!$E:$X,MATCH($A335,SPPR!$A:$A,0),6)),$C335*INDEX(SPPR!$E:$X,MATCH($A335,SPPR!$A:$A,0),6),""),"")</f>
        <v/>
      </c>
      <c r="J335">
        <f>IFERROR(IF(ISNUMBER(INDEX(SPPR!$E:$X,MATCH($A335,SPPR!$A:$A,0),7)),$C335*INDEX(SPPR!$E:$X,MATCH($A335,SPPR!$A:$A,0),7),""),"")</f>
        <v/>
      </c>
      <c r="K335">
        <f>IFERROR(IF(ISNUMBER(INDEX(SPPR!$E:$X,MATCH($A335,SPPR!$A:$A,0),8)),$C335*INDEX(SPPR!$E:$X,MATCH($A335,SPPR!$A:$A,0),8),""),"")</f>
        <v/>
      </c>
      <c r="L335">
        <f>IFERROR(IF(ISNUMBER(INDEX(SPPR!$E:$X,MATCH($A335,SPPR!$A:$A,0),9)),$C335*INDEX(SPPR!$E:$X,MATCH($A335,SPPR!$A:$A,0),9),""),"")</f>
        <v/>
      </c>
      <c r="M335">
        <f>IFERROR(IF(ISNUMBER(INDEX(SPPR!$E:$X,MATCH($A335,SPPR!$A:$A,0),10)),$C335*INDEX(SPPR!$E:$X,MATCH($A335,SPPR!$A:$A,0),10),""),"")</f>
        <v/>
      </c>
      <c r="N335">
        <f>IFERROR(IF(ISNUMBER(INDEX(SPPR!$E:$X,MATCH($A335,SPPR!$A:$A,0),11)),$C335*INDEX(SPPR!$E:$X,MATCH($A335,SPPR!$A:$A,0),11),""),"")</f>
        <v/>
      </c>
      <c r="O335">
        <f>IFERROR(IF(ISNUMBER(INDEX(SPPR!$E:$X,MATCH($A335,SPPR!$A:$A,0),12)),$C335*INDEX(SPPR!$E:$X,MATCH($A335,SPPR!$A:$A,0),12),""),"")</f>
        <v/>
      </c>
      <c r="P335">
        <f>IFERROR(IF(ISNUMBER(INDEX(SPPR!$E:$X,MATCH($A335,SPPR!$A:$A,0),13)),$C335*INDEX(SPPR!$E:$X,MATCH($A335,SPPR!$A:$A,0),13),""),"")</f>
        <v/>
      </c>
      <c r="Q335">
        <f>IFERROR(IF(ISNUMBER(INDEX(SPPR!$E:$X,MATCH($A335,SPPR!$A:$A,0),14)),$C335*INDEX(SPPR!$E:$X,MATCH($A335,SPPR!$A:$A,0),14),""),"")</f>
        <v/>
      </c>
      <c r="R335">
        <f>IFERROR(IF(ISNUMBER(INDEX(SPPR!$E:$X,MATCH($A335,SPPR!$A:$A,0),15)),$C335*INDEX(SPPR!$E:$X,MATCH($A335,SPPR!$A:$A,0),15),""),"")</f>
        <v/>
      </c>
      <c r="S335">
        <f>IFERROR(IF(ISNUMBER(INDEX(SPPR!$E:$X,MATCH($A335,SPPR!$A:$A,0),16)),$C335*INDEX(SPPR!$E:$X,MATCH($A335,SPPR!$A:$A,0),16),""),"")</f>
        <v/>
      </c>
      <c r="T335">
        <f>IFERROR(IF(ISNUMBER(INDEX(SPPR!$E:$X,MATCH($A335,SPPR!$A:$A,0),17)),$C335*INDEX(SPPR!$E:$X,MATCH($A335,SPPR!$A:$A,0),17),""),"")</f>
        <v/>
      </c>
      <c r="U335">
        <f>IFERROR(IF(ISNUMBER(INDEX(SPPR!$E:$X,MATCH($A335,SPPR!$A:$A,0),18)),$C335*INDEX(SPPR!$E:$X,MATCH($A335,SPPR!$A:$A,0),18),""),"")</f>
        <v/>
      </c>
      <c r="V335">
        <f>IFERROR(IF(ISNUMBER(INDEX(SPPR!$E:$X,MATCH($A335,SPPR!$A:$A,0),19)),$C335*INDEX(SPPR!$E:$X,MATCH($A335,SPPR!$A:$A,0),19),""),"")</f>
        <v/>
      </c>
      <c r="W335">
        <f>IFERROR(IF(ISNUMBER(INDEX(SPPR!$E:$X,MATCH($A335,SPPR!$A:$A,0),20)),$C335*INDEX(SPPR!$E:$X,MATCH($A335,SPPR!$A:$A,0),20),""),"")</f>
        <v/>
      </c>
    </row>
    <row r="336">
      <c r="A336" t="inlineStr">
        <is>
          <t>Encrasicholina punctifer</t>
        </is>
      </c>
      <c r="B336">
        <f>IFERROR(INDEX(SPPR!$D:$D,MATCH($A336,SPPR!$A:$A,0)),"")</f>
        <v/>
      </c>
      <c r="C336">
        <f>IFERROR(INDEX(Catch!$E:$BV,MATCH($A336,Catch!$A:$A,0),MATCH($B$4,Catch!$E$1:$BV$1,0)),0)</f>
        <v/>
      </c>
      <c r="D336">
        <f>IFERROR(IF(ISNUMBER(INDEX(SPPR!$E:$X,MATCH($A336,SPPR!$A:$A,0),1)),$C336*INDEX(SPPR!$E:$X,MATCH($A336,SPPR!$A:$A,0),1),""),"")</f>
        <v/>
      </c>
      <c r="E336">
        <f>IFERROR(IF(ISNUMBER(INDEX(SPPR!$E:$X,MATCH($A336,SPPR!$A:$A,0),2)),$C336*INDEX(SPPR!$E:$X,MATCH($A336,SPPR!$A:$A,0),2),""),"")</f>
        <v/>
      </c>
      <c r="F336">
        <f>IFERROR(IF(ISNUMBER(INDEX(SPPR!$E:$X,MATCH($A336,SPPR!$A:$A,0),3)),$C336*INDEX(SPPR!$E:$X,MATCH($A336,SPPR!$A:$A,0),3),""),"")</f>
        <v/>
      </c>
      <c r="G336">
        <f>IFERROR(IF(ISNUMBER(INDEX(SPPR!$E:$X,MATCH($A336,SPPR!$A:$A,0),4)),$C336*INDEX(SPPR!$E:$X,MATCH($A336,SPPR!$A:$A,0),4),""),"")</f>
        <v/>
      </c>
      <c r="H336">
        <f>IFERROR(IF(ISNUMBER(INDEX(SPPR!$E:$X,MATCH($A336,SPPR!$A:$A,0),5)),$C336*INDEX(SPPR!$E:$X,MATCH($A336,SPPR!$A:$A,0),5),""),"")</f>
        <v/>
      </c>
      <c r="I336">
        <f>IFERROR(IF(ISNUMBER(INDEX(SPPR!$E:$X,MATCH($A336,SPPR!$A:$A,0),6)),$C336*INDEX(SPPR!$E:$X,MATCH($A336,SPPR!$A:$A,0),6),""),"")</f>
        <v/>
      </c>
      <c r="J336">
        <f>IFERROR(IF(ISNUMBER(INDEX(SPPR!$E:$X,MATCH($A336,SPPR!$A:$A,0),7)),$C336*INDEX(SPPR!$E:$X,MATCH($A336,SPPR!$A:$A,0),7),""),"")</f>
        <v/>
      </c>
      <c r="K336">
        <f>IFERROR(IF(ISNUMBER(INDEX(SPPR!$E:$X,MATCH($A336,SPPR!$A:$A,0),8)),$C336*INDEX(SPPR!$E:$X,MATCH($A336,SPPR!$A:$A,0),8),""),"")</f>
        <v/>
      </c>
      <c r="L336">
        <f>IFERROR(IF(ISNUMBER(INDEX(SPPR!$E:$X,MATCH($A336,SPPR!$A:$A,0),9)),$C336*INDEX(SPPR!$E:$X,MATCH($A336,SPPR!$A:$A,0),9),""),"")</f>
        <v/>
      </c>
      <c r="M336">
        <f>IFERROR(IF(ISNUMBER(INDEX(SPPR!$E:$X,MATCH($A336,SPPR!$A:$A,0),10)),$C336*INDEX(SPPR!$E:$X,MATCH($A336,SPPR!$A:$A,0),10),""),"")</f>
        <v/>
      </c>
      <c r="N336">
        <f>IFERROR(IF(ISNUMBER(INDEX(SPPR!$E:$X,MATCH($A336,SPPR!$A:$A,0),11)),$C336*INDEX(SPPR!$E:$X,MATCH($A336,SPPR!$A:$A,0),11),""),"")</f>
        <v/>
      </c>
      <c r="O336">
        <f>IFERROR(IF(ISNUMBER(INDEX(SPPR!$E:$X,MATCH($A336,SPPR!$A:$A,0),12)),$C336*INDEX(SPPR!$E:$X,MATCH($A336,SPPR!$A:$A,0),12),""),"")</f>
        <v/>
      </c>
      <c r="P336">
        <f>IFERROR(IF(ISNUMBER(INDEX(SPPR!$E:$X,MATCH($A336,SPPR!$A:$A,0),13)),$C336*INDEX(SPPR!$E:$X,MATCH($A336,SPPR!$A:$A,0),13),""),"")</f>
        <v/>
      </c>
      <c r="Q336">
        <f>IFERROR(IF(ISNUMBER(INDEX(SPPR!$E:$X,MATCH($A336,SPPR!$A:$A,0),14)),$C336*INDEX(SPPR!$E:$X,MATCH($A336,SPPR!$A:$A,0),14),""),"")</f>
        <v/>
      </c>
      <c r="R336">
        <f>IFERROR(IF(ISNUMBER(INDEX(SPPR!$E:$X,MATCH($A336,SPPR!$A:$A,0),15)),$C336*INDEX(SPPR!$E:$X,MATCH($A336,SPPR!$A:$A,0),15),""),"")</f>
        <v/>
      </c>
      <c r="S336">
        <f>IFERROR(IF(ISNUMBER(INDEX(SPPR!$E:$X,MATCH($A336,SPPR!$A:$A,0),16)),$C336*INDEX(SPPR!$E:$X,MATCH($A336,SPPR!$A:$A,0),16),""),"")</f>
        <v/>
      </c>
      <c r="T336">
        <f>IFERROR(IF(ISNUMBER(INDEX(SPPR!$E:$X,MATCH($A336,SPPR!$A:$A,0),17)),$C336*INDEX(SPPR!$E:$X,MATCH($A336,SPPR!$A:$A,0),17),""),"")</f>
        <v/>
      </c>
      <c r="U336">
        <f>IFERROR(IF(ISNUMBER(INDEX(SPPR!$E:$X,MATCH($A336,SPPR!$A:$A,0),18)),$C336*INDEX(SPPR!$E:$X,MATCH($A336,SPPR!$A:$A,0),18),""),"")</f>
        <v/>
      </c>
      <c r="V336">
        <f>IFERROR(IF(ISNUMBER(INDEX(SPPR!$E:$X,MATCH($A336,SPPR!$A:$A,0),19)),$C336*INDEX(SPPR!$E:$X,MATCH($A336,SPPR!$A:$A,0),19),""),"")</f>
        <v/>
      </c>
      <c r="W336">
        <f>IFERROR(IF(ISNUMBER(INDEX(SPPR!$E:$X,MATCH($A336,SPPR!$A:$A,0),20)),$C336*INDEX(SPPR!$E:$X,MATCH($A336,SPPR!$A:$A,0),20),""),"")</f>
        <v/>
      </c>
    </row>
    <row r="337">
      <c r="A337" t="inlineStr">
        <is>
          <t>Spongia</t>
        </is>
      </c>
      <c r="B337">
        <f>IFERROR(INDEX(SPPR!$D:$D,MATCH($A337,SPPR!$A:$A,0)),"")</f>
        <v/>
      </c>
      <c r="C337">
        <f>IFERROR(INDEX(Catch!$E:$BV,MATCH($A337,Catch!$A:$A,0),MATCH($B$4,Catch!$E$1:$BV$1,0)),0)</f>
        <v/>
      </c>
      <c r="D337">
        <f>IFERROR(IF(ISNUMBER(INDEX(SPPR!$E:$X,MATCH($A337,SPPR!$A:$A,0),1)),$C337*INDEX(SPPR!$E:$X,MATCH($A337,SPPR!$A:$A,0),1),""),"")</f>
        <v/>
      </c>
      <c r="E337">
        <f>IFERROR(IF(ISNUMBER(INDEX(SPPR!$E:$X,MATCH($A337,SPPR!$A:$A,0),2)),$C337*INDEX(SPPR!$E:$X,MATCH($A337,SPPR!$A:$A,0),2),""),"")</f>
        <v/>
      </c>
      <c r="F337">
        <f>IFERROR(IF(ISNUMBER(INDEX(SPPR!$E:$X,MATCH($A337,SPPR!$A:$A,0),3)),$C337*INDEX(SPPR!$E:$X,MATCH($A337,SPPR!$A:$A,0),3),""),"")</f>
        <v/>
      </c>
      <c r="G337">
        <f>IFERROR(IF(ISNUMBER(INDEX(SPPR!$E:$X,MATCH($A337,SPPR!$A:$A,0),4)),$C337*INDEX(SPPR!$E:$X,MATCH($A337,SPPR!$A:$A,0),4),""),"")</f>
        <v/>
      </c>
      <c r="H337">
        <f>IFERROR(IF(ISNUMBER(INDEX(SPPR!$E:$X,MATCH($A337,SPPR!$A:$A,0),5)),$C337*INDEX(SPPR!$E:$X,MATCH($A337,SPPR!$A:$A,0),5),""),"")</f>
        <v/>
      </c>
      <c r="I337">
        <f>IFERROR(IF(ISNUMBER(INDEX(SPPR!$E:$X,MATCH($A337,SPPR!$A:$A,0),6)),$C337*INDEX(SPPR!$E:$X,MATCH($A337,SPPR!$A:$A,0),6),""),"")</f>
        <v/>
      </c>
      <c r="J337">
        <f>IFERROR(IF(ISNUMBER(INDEX(SPPR!$E:$X,MATCH($A337,SPPR!$A:$A,0),7)),$C337*INDEX(SPPR!$E:$X,MATCH($A337,SPPR!$A:$A,0),7),""),"")</f>
        <v/>
      </c>
      <c r="K337">
        <f>IFERROR(IF(ISNUMBER(INDEX(SPPR!$E:$X,MATCH($A337,SPPR!$A:$A,0),8)),$C337*INDEX(SPPR!$E:$X,MATCH($A337,SPPR!$A:$A,0),8),""),"")</f>
        <v/>
      </c>
      <c r="L337">
        <f>IFERROR(IF(ISNUMBER(INDEX(SPPR!$E:$X,MATCH($A337,SPPR!$A:$A,0),9)),$C337*INDEX(SPPR!$E:$X,MATCH($A337,SPPR!$A:$A,0),9),""),"")</f>
        <v/>
      </c>
      <c r="M337">
        <f>IFERROR(IF(ISNUMBER(INDEX(SPPR!$E:$X,MATCH($A337,SPPR!$A:$A,0),10)),$C337*INDEX(SPPR!$E:$X,MATCH($A337,SPPR!$A:$A,0),10),""),"")</f>
        <v/>
      </c>
      <c r="N337">
        <f>IFERROR(IF(ISNUMBER(INDEX(SPPR!$E:$X,MATCH($A337,SPPR!$A:$A,0),11)),$C337*INDEX(SPPR!$E:$X,MATCH($A337,SPPR!$A:$A,0),11),""),"")</f>
        <v/>
      </c>
      <c r="O337">
        <f>IFERROR(IF(ISNUMBER(INDEX(SPPR!$E:$X,MATCH($A337,SPPR!$A:$A,0),12)),$C337*INDEX(SPPR!$E:$X,MATCH($A337,SPPR!$A:$A,0),12),""),"")</f>
        <v/>
      </c>
      <c r="P337">
        <f>IFERROR(IF(ISNUMBER(INDEX(SPPR!$E:$X,MATCH($A337,SPPR!$A:$A,0),13)),$C337*INDEX(SPPR!$E:$X,MATCH($A337,SPPR!$A:$A,0),13),""),"")</f>
        <v/>
      </c>
      <c r="Q337">
        <f>IFERROR(IF(ISNUMBER(INDEX(SPPR!$E:$X,MATCH($A337,SPPR!$A:$A,0),14)),$C337*INDEX(SPPR!$E:$X,MATCH($A337,SPPR!$A:$A,0),14),""),"")</f>
        <v/>
      </c>
      <c r="R337">
        <f>IFERROR(IF(ISNUMBER(INDEX(SPPR!$E:$X,MATCH($A337,SPPR!$A:$A,0),15)),$C337*INDEX(SPPR!$E:$X,MATCH($A337,SPPR!$A:$A,0),15),""),"")</f>
        <v/>
      </c>
      <c r="S337">
        <f>IFERROR(IF(ISNUMBER(INDEX(SPPR!$E:$X,MATCH($A337,SPPR!$A:$A,0),16)),$C337*INDEX(SPPR!$E:$X,MATCH($A337,SPPR!$A:$A,0),16),""),"")</f>
        <v/>
      </c>
      <c r="T337">
        <f>IFERROR(IF(ISNUMBER(INDEX(SPPR!$E:$X,MATCH($A337,SPPR!$A:$A,0),17)),$C337*INDEX(SPPR!$E:$X,MATCH($A337,SPPR!$A:$A,0),17),""),"")</f>
        <v/>
      </c>
      <c r="U337">
        <f>IFERROR(IF(ISNUMBER(INDEX(SPPR!$E:$X,MATCH($A337,SPPR!$A:$A,0),18)),$C337*INDEX(SPPR!$E:$X,MATCH($A337,SPPR!$A:$A,0),18),""),"")</f>
        <v/>
      </c>
      <c r="V337">
        <f>IFERROR(IF(ISNUMBER(INDEX(SPPR!$E:$X,MATCH($A337,SPPR!$A:$A,0),19)),$C337*INDEX(SPPR!$E:$X,MATCH($A337,SPPR!$A:$A,0),19),""),"")</f>
        <v/>
      </c>
      <c r="W337">
        <f>IFERROR(IF(ISNUMBER(INDEX(SPPR!$E:$X,MATCH($A337,SPPR!$A:$A,0),20)),$C337*INDEX(SPPR!$E:$X,MATCH($A337,SPPR!$A:$A,0),20),""),"")</f>
        <v/>
      </c>
    </row>
    <row r="338">
      <c r="A338" t="inlineStr">
        <is>
          <t>Amusium pleuronectes</t>
        </is>
      </c>
      <c r="B338">
        <f>IFERROR(INDEX(SPPR!$D:$D,MATCH($A338,SPPR!$A:$A,0)),"")</f>
        <v/>
      </c>
      <c r="C338">
        <f>IFERROR(INDEX(Catch!$E:$BV,MATCH($A338,Catch!$A:$A,0),MATCH($B$4,Catch!$E$1:$BV$1,0)),0)</f>
        <v/>
      </c>
      <c r="D338">
        <f>IFERROR(IF(ISNUMBER(INDEX(SPPR!$E:$X,MATCH($A338,SPPR!$A:$A,0),1)),$C338*INDEX(SPPR!$E:$X,MATCH($A338,SPPR!$A:$A,0),1),""),"")</f>
        <v/>
      </c>
      <c r="E338">
        <f>IFERROR(IF(ISNUMBER(INDEX(SPPR!$E:$X,MATCH($A338,SPPR!$A:$A,0),2)),$C338*INDEX(SPPR!$E:$X,MATCH($A338,SPPR!$A:$A,0),2),""),"")</f>
        <v/>
      </c>
      <c r="F338">
        <f>IFERROR(IF(ISNUMBER(INDEX(SPPR!$E:$X,MATCH($A338,SPPR!$A:$A,0),3)),$C338*INDEX(SPPR!$E:$X,MATCH($A338,SPPR!$A:$A,0),3),""),"")</f>
        <v/>
      </c>
      <c r="G338">
        <f>IFERROR(IF(ISNUMBER(INDEX(SPPR!$E:$X,MATCH($A338,SPPR!$A:$A,0),4)),$C338*INDEX(SPPR!$E:$X,MATCH($A338,SPPR!$A:$A,0),4),""),"")</f>
        <v/>
      </c>
      <c r="H338">
        <f>IFERROR(IF(ISNUMBER(INDEX(SPPR!$E:$X,MATCH($A338,SPPR!$A:$A,0),5)),$C338*INDEX(SPPR!$E:$X,MATCH($A338,SPPR!$A:$A,0),5),""),"")</f>
        <v/>
      </c>
      <c r="I338">
        <f>IFERROR(IF(ISNUMBER(INDEX(SPPR!$E:$X,MATCH($A338,SPPR!$A:$A,0),6)),$C338*INDEX(SPPR!$E:$X,MATCH($A338,SPPR!$A:$A,0),6),""),"")</f>
        <v/>
      </c>
      <c r="J338">
        <f>IFERROR(IF(ISNUMBER(INDEX(SPPR!$E:$X,MATCH($A338,SPPR!$A:$A,0),7)),$C338*INDEX(SPPR!$E:$X,MATCH($A338,SPPR!$A:$A,0),7),""),"")</f>
        <v/>
      </c>
      <c r="K338">
        <f>IFERROR(IF(ISNUMBER(INDEX(SPPR!$E:$X,MATCH($A338,SPPR!$A:$A,0),8)),$C338*INDEX(SPPR!$E:$X,MATCH($A338,SPPR!$A:$A,0),8),""),"")</f>
        <v/>
      </c>
      <c r="L338">
        <f>IFERROR(IF(ISNUMBER(INDEX(SPPR!$E:$X,MATCH($A338,SPPR!$A:$A,0),9)),$C338*INDEX(SPPR!$E:$X,MATCH($A338,SPPR!$A:$A,0),9),""),"")</f>
        <v/>
      </c>
      <c r="M338">
        <f>IFERROR(IF(ISNUMBER(INDEX(SPPR!$E:$X,MATCH($A338,SPPR!$A:$A,0),10)),$C338*INDEX(SPPR!$E:$X,MATCH($A338,SPPR!$A:$A,0),10),""),"")</f>
        <v/>
      </c>
      <c r="N338">
        <f>IFERROR(IF(ISNUMBER(INDEX(SPPR!$E:$X,MATCH($A338,SPPR!$A:$A,0),11)),$C338*INDEX(SPPR!$E:$X,MATCH($A338,SPPR!$A:$A,0),11),""),"")</f>
        <v/>
      </c>
      <c r="O338">
        <f>IFERROR(IF(ISNUMBER(INDEX(SPPR!$E:$X,MATCH($A338,SPPR!$A:$A,0),12)),$C338*INDEX(SPPR!$E:$X,MATCH($A338,SPPR!$A:$A,0),12),""),"")</f>
        <v/>
      </c>
      <c r="P338">
        <f>IFERROR(IF(ISNUMBER(INDEX(SPPR!$E:$X,MATCH($A338,SPPR!$A:$A,0),13)),$C338*INDEX(SPPR!$E:$X,MATCH($A338,SPPR!$A:$A,0),13),""),"")</f>
        <v/>
      </c>
      <c r="Q338">
        <f>IFERROR(IF(ISNUMBER(INDEX(SPPR!$E:$X,MATCH($A338,SPPR!$A:$A,0),14)),$C338*INDEX(SPPR!$E:$X,MATCH($A338,SPPR!$A:$A,0),14),""),"")</f>
        <v/>
      </c>
      <c r="R338">
        <f>IFERROR(IF(ISNUMBER(INDEX(SPPR!$E:$X,MATCH($A338,SPPR!$A:$A,0),15)),$C338*INDEX(SPPR!$E:$X,MATCH($A338,SPPR!$A:$A,0),15),""),"")</f>
        <v/>
      </c>
      <c r="S338">
        <f>IFERROR(IF(ISNUMBER(INDEX(SPPR!$E:$X,MATCH($A338,SPPR!$A:$A,0),16)),$C338*INDEX(SPPR!$E:$X,MATCH($A338,SPPR!$A:$A,0),16),""),"")</f>
        <v/>
      </c>
      <c r="T338">
        <f>IFERROR(IF(ISNUMBER(INDEX(SPPR!$E:$X,MATCH($A338,SPPR!$A:$A,0),17)),$C338*INDEX(SPPR!$E:$X,MATCH($A338,SPPR!$A:$A,0),17),""),"")</f>
        <v/>
      </c>
      <c r="U338">
        <f>IFERROR(IF(ISNUMBER(INDEX(SPPR!$E:$X,MATCH($A338,SPPR!$A:$A,0),18)),$C338*INDEX(SPPR!$E:$X,MATCH($A338,SPPR!$A:$A,0),18),""),"")</f>
        <v/>
      </c>
      <c r="V338">
        <f>IFERROR(IF(ISNUMBER(INDEX(SPPR!$E:$X,MATCH($A338,SPPR!$A:$A,0),19)),$C338*INDEX(SPPR!$E:$X,MATCH($A338,SPPR!$A:$A,0),19),""),"")</f>
        <v/>
      </c>
      <c r="W338">
        <f>IFERROR(IF(ISNUMBER(INDEX(SPPR!$E:$X,MATCH($A338,SPPR!$A:$A,0),20)),$C338*INDEX(SPPR!$E:$X,MATCH($A338,SPPR!$A:$A,0),20),""),"")</f>
        <v/>
      </c>
    </row>
    <row r="339">
      <c r="A339" t="inlineStr">
        <is>
          <t>Scatophagus argus</t>
        </is>
      </c>
      <c r="B339">
        <f>IFERROR(INDEX(SPPR!$D:$D,MATCH($A339,SPPR!$A:$A,0)),"")</f>
        <v/>
      </c>
      <c r="C339">
        <f>IFERROR(INDEX(Catch!$E:$BV,MATCH($A339,Catch!$A:$A,0),MATCH($B$4,Catch!$E$1:$BV$1,0)),0)</f>
        <v/>
      </c>
      <c r="D339">
        <f>IFERROR(IF(ISNUMBER(INDEX(SPPR!$E:$X,MATCH($A339,SPPR!$A:$A,0),1)),$C339*INDEX(SPPR!$E:$X,MATCH($A339,SPPR!$A:$A,0),1),""),"")</f>
        <v/>
      </c>
      <c r="E339">
        <f>IFERROR(IF(ISNUMBER(INDEX(SPPR!$E:$X,MATCH($A339,SPPR!$A:$A,0),2)),$C339*INDEX(SPPR!$E:$X,MATCH($A339,SPPR!$A:$A,0),2),""),"")</f>
        <v/>
      </c>
      <c r="F339">
        <f>IFERROR(IF(ISNUMBER(INDEX(SPPR!$E:$X,MATCH($A339,SPPR!$A:$A,0),3)),$C339*INDEX(SPPR!$E:$X,MATCH($A339,SPPR!$A:$A,0),3),""),"")</f>
        <v/>
      </c>
      <c r="G339">
        <f>IFERROR(IF(ISNUMBER(INDEX(SPPR!$E:$X,MATCH($A339,SPPR!$A:$A,0),4)),$C339*INDEX(SPPR!$E:$X,MATCH($A339,SPPR!$A:$A,0),4),""),"")</f>
        <v/>
      </c>
      <c r="H339">
        <f>IFERROR(IF(ISNUMBER(INDEX(SPPR!$E:$X,MATCH($A339,SPPR!$A:$A,0),5)),$C339*INDEX(SPPR!$E:$X,MATCH($A339,SPPR!$A:$A,0),5),""),"")</f>
        <v/>
      </c>
      <c r="I339">
        <f>IFERROR(IF(ISNUMBER(INDEX(SPPR!$E:$X,MATCH($A339,SPPR!$A:$A,0),6)),$C339*INDEX(SPPR!$E:$X,MATCH($A339,SPPR!$A:$A,0),6),""),"")</f>
        <v/>
      </c>
      <c r="J339">
        <f>IFERROR(IF(ISNUMBER(INDEX(SPPR!$E:$X,MATCH($A339,SPPR!$A:$A,0),7)),$C339*INDEX(SPPR!$E:$X,MATCH($A339,SPPR!$A:$A,0),7),""),"")</f>
        <v/>
      </c>
      <c r="K339">
        <f>IFERROR(IF(ISNUMBER(INDEX(SPPR!$E:$X,MATCH($A339,SPPR!$A:$A,0),8)),$C339*INDEX(SPPR!$E:$X,MATCH($A339,SPPR!$A:$A,0),8),""),"")</f>
        <v/>
      </c>
      <c r="L339">
        <f>IFERROR(IF(ISNUMBER(INDEX(SPPR!$E:$X,MATCH($A339,SPPR!$A:$A,0),9)),$C339*INDEX(SPPR!$E:$X,MATCH($A339,SPPR!$A:$A,0),9),""),"")</f>
        <v/>
      </c>
      <c r="M339">
        <f>IFERROR(IF(ISNUMBER(INDEX(SPPR!$E:$X,MATCH($A339,SPPR!$A:$A,0),10)),$C339*INDEX(SPPR!$E:$X,MATCH($A339,SPPR!$A:$A,0),10),""),"")</f>
        <v/>
      </c>
      <c r="N339">
        <f>IFERROR(IF(ISNUMBER(INDEX(SPPR!$E:$X,MATCH($A339,SPPR!$A:$A,0),11)),$C339*INDEX(SPPR!$E:$X,MATCH($A339,SPPR!$A:$A,0),11),""),"")</f>
        <v/>
      </c>
      <c r="O339">
        <f>IFERROR(IF(ISNUMBER(INDEX(SPPR!$E:$X,MATCH($A339,SPPR!$A:$A,0),12)),$C339*INDEX(SPPR!$E:$X,MATCH($A339,SPPR!$A:$A,0),12),""),"")</f>
        <v/>
      </c>
      <c r="P339">
        <f>IFERROR(IF(ISNUMBER(INDEX(SPPR!$E:$X,MATCH($A339,SPPR!$A:$A,0),13)),$C339*INDEX(SPPR!$E:$X,MATCH($A339,SPPR!$A:$A,0),13),""),"")</f>
        <v/>
      </c>
      <c r="Q339">
        <f>IFERROR(IF(ISNUMBER(INDEX(SPPR!$E:$X,MATCH($A339,SPPR!$A:$A,0),14)),$C339*INDEX(SPPR!$E:$X,MATCH($A339,SPPR!$A:$A,0),14),""),"")</f>
        <v/>
      </c>
      <c r="R339">
        <f>IFERROR(IF(ISNUMBER(INDEX(SPPR!$E:$X,MATCH($A339,SPPR!$A:$A,0),15)),$C339*INDEX(SPPR!$E:$X,MATCH($A339,SPPR!$A:$A,0),15),""),"")</f>
        <v/>
      </c>
      <c r="S339">
        <f>IFERROR(IF(ISNUMBER(INDEX(SPPR!$E:$X,MATCH($A339,SPPR!$A:$A,0),16)),$C339*INDEX(SPPR!$E:$X,MATCH($A339,SPPR!$A:$A,0),16),""),"")</f>
        <v/>
      </c>
      <c r="T339">
        <f>IFERROR(IF(ISNUMBER(INDEX(SPPR!$E:$X,MATCH($A339,SPPR!$A:$A,0),17)),$C339*INDEX(SPPR!$E:$X,MATCH($A339,SPPR!$A:$A,0),17),""),"")</f>
        <v/>
      </c>
      <c r="U339">
        <f>IFERROR(IF(ISNUMBER(INDEX(SPPR!$E:$X,MATCH($A339,SPPR!$A:$A,0),18)),$C339*INDEX(SPPR!$E:$X,MATCH($A339,SPPR!$A:$A,0),18),""),"")</f>
        <v/>
      </c>
      <c r="V339">
        <f>IFERROR(IF(ISNUMBER(INDEX(SPPR!$E:$X,MATCH($A339,SPPR!$A:$A,0),19)),$C339*INDEX(SPPR!$E:$X,MATCH($A339,SPPR!$A:$A,0),19),""),"")</f>
        <v/>
      </c>
      <c r="W339">
        <f>IFERROR(IF(ISNUMBER(INDEX(SPPR!$E:$X,MATCH($A339,SPPR!$A:$A,0),20)),$C339*INDEX(SPPR!$E:$X,MATCH($A339,SPPR!$A:$A,0),20),""),"")</f>
        <v/>
      </c>
    </row>
    <row r="340">
      <c r="A340" t="inlineStr">
        <is>
          <t>Podophthalmus vigil</t>
        </is>
      </c>
      <c r="B340">
        <f>IFERROR(INDEX(SPPR!$D:$D,MATCH($A340,SPPR!$A:$A,0)),"")</f>
        <v/>
      </c>
      <c r="C340">
        <f>IFERROR(INDEX(Catch!$E:$BV,MATCH($A340,Catch!$A:$A,0),MATCH($B$4,Catch!$E$1:$BV$1,0)),0)</f>
        <v/>
      </c>
      <c r="D340">
        <f>IFERROR(IF(ISNUMBER(INDEX(SPPR!$E:$X,MATCH($A340,SPPR!$A:$A,0),1)),$C340*INDEX(SPPR!$E:$X,MATCH($A340,SPPR!$A:$A,0),1),""),"")</f>
        <v/>
      </c>
      <c r="E340">
        <f>IFERROR(IF(ISNUMBER(INDEX(SPPR!$E:$X,MATCH($A340,SPPR!$A:$A,0),2)),$C340*INDEX(SPPR!$E:$X,MATCH($A340,SPPR!$A:$A,0),2),""),"")</f>
        <v/>
      </c>
      <c r="F340">
        <f>IFERROR(IF(ISNUMBER(INDEX(SPPR!$E:$X,MATCH($A340,SPPR!$A:$A,0),3)),$C340*INDEX(SPPR!$E:$X,MATCH($A340,SPPR!$A:$A,0),3),""),"")</f>
        <v/>
      </c>
      <c r="G340">
        <f>IFERROR(IF(ISNUMBER(INDEX(SPPR!$E:$X,MATCH($A340,SPPR!$A:$A,0),4)),$C340*INDEX(SPPR!$E:$X,MATCH($A340,SPPR!$A:$A,0),4),""),"")</f>
        <v/>
      </c>
      <c r="H340">
        <f>IFERROR(IF(ISNUMBER(INDEX(SPPR!$E:$X,MATCH($A340,SPPR!$A:$A,0),5)),$C340*INDEX(SPPR!$E:$X,MATCH($A340,SPPR!$A:$A,0),5),""),"")</f>
        <v/>
      </c>
      <c r="I340">
        <f>IFERROR(IF(ISNUMBER(INDEX(SPPR!$E:$X,MATCH($A340,SPPR!$A:$A,0),6)),$C340*INDEX(SPPR!$E:$X,MATCH($A340,SPPR!$A:$A,0),6),""),"")</f>
        <v/>
      </c>
      <c r="J340">
        <f>IFERROR(IF(ISNUMBER(INDEX(SPPR!$E:$X,MATCH($A340,SPPR!$A:$A,0),7)),$C340*INDEX(SPPR!$E:$X,MATCH($A340,SPPR!$A:$A,0),7),""),"")</f>
        <v/>
      </c>
      <c r="K340">
        <f>IFERROR(IF(ISNUMBER(INDEX(SPPR!$E:$X,MATCH($A340,SPPR!$A:$A,0),8)),$C340*INDEX(SPPR!$E:$X,MATCH($A340,SPPR!$A:$A,0),8),""),"")</f>
        <v/>
      </c>
      <c r="L340">
        <f>IFERROR(IF(ISNUMBER(INDEX(SPPR!$E:$X,MATCH($A340,SPPR!$A:$A,0),9)),$C340*INDEX(SPPR!$E:$X,MATCH($A340,SPPR!$A:$A,0),9),""),"")</f>
        <v/>
      </c>
      <c r="M340">
        <f>IFERROR(IF(ISNUMBER(INDEX(SPPR!$E:$X,MATCH($A340,SPPR!$A:$A,0),10)),$C340*INDEX(SPPR!$E:$X,MATCH($A340,SPPR!$A:$A,0),10),""),"")</f>
        <v/>
      </c>
      <c r="N340">
        <f>IFERROR(IF(ISNUMBER(INDEX(SPPR!$E:$X,MATCH($A340,SPPR!$A:$A,0),11)),$C340*INDEX(SPPR!$E:$X,MATCH($A340,SPPR!$A:$A,0),11),""),"")</f>
        <v/>
      </c>
      <c r="O340">
        <f>IFERROR(IF(ISNUMBER(INDEX(SPPR!$E:$X,MATCH($A340,SPPR!$A:$A,0),12)),$C340*INDEX(SPPR!$E:$X,MATCH($A340,SPPR!$A:$A,0),12),""),"")</f>
        <v/>
      </c>
      <c r="P340">
        <f>IFERROR(IF(ISNUMBER(INDEX(SPPR!$E:$X,MATCH($A340,SPPR!$A:$A,0),13)),$C340*INDEX(SPPR!$E:$X,MATCH($A340,SPPR!$A:$A,0),13),""),"")</f>
        <v/>
      </c>
      <c r="Q340">
        <f>IFERROR(IF(ISNUMBER(INDEX(SPPR!$E:$X,MATCH($A340,SPPR!$A:$A,0),14)),$C340*INDEX(SPPR!$E:$X,MATCH($A340,SPPR!$A:$A,0),14),""),"")</f>
        <v/>
      </c>
      <c r="R340">
        <f>IFERROR(IF(ISNUMBER(INDEX(SPPR!$E:$X,MATCH($A340,SPPR!$A:$A,0),15)),$C340*INDEX(SPPR!$E:$X,MATCH($A340,SPPR!$A:$A,0),15),""),"")</f>
        <v/>
      </c>
      <c r="S340">
        <f>IFERROR(IF(ISNUMBER(INDEX(SPPR!$E:$X,MATCH($A340,SPPR!$A:$A,0),16)),$C340*INDEX(SPPR!$E:$X,MATCH($A340,SPPR!$A:$A,0),16),""),"")</f>
        <v/>
      </c>
      <c r="T340">
        <f>IFERROR(IF(ISNUMBER(INDEX(SPPR!$E:$X,MATCH($A340,SPPR!$A:$A,0),17)),$C340*INDEX(SPPR!$E:$X,MATCH($A340,SPPR!$A:$A,0),17),""),"")</f>
        <v/>
      </c>
      <c r="U340">
        <f>IFERROR(IF(ISNUMBER(INDEX(SPPR!$E:$X,MATCH($A340,SPPR!$A:$A,0),18)),$C340*INDEX(SPPR!$E:$X,MATCH($A340,SPPR!$A:$A,0),18),""),"")</f>
        <v/>
      </c>
      <c r="V340">
        <f>IFERROR(IF(ISNUMBER(INDEX(SPPR!$E:$X,MATCH($A340,SPPR!$A:$A,0),19)),$C340*INDEX(SPPR!$E:$X,MATCH($A340,SPPR!$A:$A,0),19),""),"")</f>
        <v/>
      </c>
      <c r="W340">
        <f>IFERROR(IF(ISNUMBER(INDEX(SPPR!$E:$X,MATCH($A340,SPPR!$A:$A,0),20)),$C340*INDEX(SPPR!$E:$X,MATCH($A340,SPPR!$A:$A,0),20),""),"")</f>
        <v/>
      </c>
    </row>
    <row r="341">
      <c r="A341" t="inlineStr">
        <is>
          <t>Drepane punctata</t>
        </is>
      </c>
      <c r="B341">
        <f>IFERROR(INDEX(SPPR!$D:$D,MATCH($A341,SPPR!$A:$A,0)),"")</f>
        <v/>
      </c>
      <c r="C341">
        <f>IFERROR(INDEX(Catch!$E:$BV,MATCH($A341,Catch!$A:$A,0),MATCH($B$4,Catch!$E$1:$BV$1,0)),0)</f>
        <v/>
      </c>
      <c r="D341">
        <f>IFERROR(IF(ISNUMBER(INDEX(SPPR!$E:$X,MATCH($A341,SPPR!$A:$A,0),1)),$C341*INDEX(SPPR!$E:$X,MATCH($A341,SPPR!$A:$A,0),1),""),"")</f>
        <v/>
      </c>
      <c r="E341">
        <f>IFERROR(IF(ISNUMBER(INDEX(SPPR!$E:$X,MATCH($A341,SPPR!$A:$A,0),2)),$C341*INDEX(SPPR!$E:$X,MATCH($A341,SPPR!$A:$A,0),2),""),"")</f>
        <v/>
      </c>
      <c r="F341">
        <f>IFERROR(IF(ISNUMBER(INDEX(SPPR!$E:$X,MATCH($A341,SPPR!$A:$A,0),3)),$C341*INDEX(SPPR!$E:$X,MATCH($A341,SPPR!$A:$A,0),3),""),"")</f>
        <v/>
      </c>
      <c r="G341">
        <f>IFERROR(IF(ISNUMBER(INDEX(SPPR!$E:$X,MATCH($A341,SPPR!$A:$A,0),4)),$C341*INDEX(SPPR!$E:$X,MATCH($A341,SPPR!$A:$A,0),4),""),"")</f>
        <v/>
      </c>
      <c r="H341">
        <f>IFERROR(IF(ISNUMBER(INDEX(SPPR!$E:$X,MATCH($A341,SPPR!$A:$A,0),5)),$C341*INDEX(SPPR!$E:$X,MATCH($A341,SPPR!$A:$A,0),5),""),"")</f>
        <v/>
      </c>
      <c r="I341">
        <f>IFERROR(IF(ISNUMBER(INDEX(SPPR!$E:$X,MATCH($A341,SPPR!$A:$A,0),6)),$C341*INDEX(SPPR!$E:$X,MATCH($A341,SPPR!$A:$A,0),6),""),"")</f>
        <v/>
      </c>
      <c r="J341">
        <f>IFERROR(IF(ISNUMBER(INDEX(SPPR!$E:$X,MATCH($A341,SPPR!$A:$A,0),7)),$C341*INDEX(SPPR!$E:$X,MATCH($A341,SPPR!$A:$A,0),7),""),"")</f>
        <v/>
      </c>
      <c r="K341">
        <f>IFERROR(IF(ISNUMBER(INDEX(SPPR!$E:$X,MATCH($A341,SPPR!$A:$A,0),8)),$C341*INDEX(SPPR!$E:$X,MATCH($A341,SPPR!$A:$A,0),8),""),"")</f>
        <v/>
      </c>
      <c r="L341">
        <f>IFERROR(IF(ISNUMBER(INDEX(SPPR!$E:$X,MATCH($A341,SPPR!$A:$A,0),9)),$C341*INDEX(SPPR!$E:$X,MATCH($A341,SPPR!$A:$A,0),9),""),"")</f>
        <v/>
      </c>
      <c r="M341">
        <f>IFERROR(IF(ISNUMBER(INDEX(SPPR!$E:$X,MATCH($A341,SPPR!$A:$A,0),10)),$C341*INDEX(SPPR!$E:$X,MATCH($A341,SPPR!$A:$A,0),10),""),"")</f>
        <v/>
      </c>
      <c r="N341">
        <f>IFERROR(IF(ISNUMBER(INDEX(SPPR!$E:$X,MATCH($A341,SPPR!$A:$A,0),11)),$C341*INDEX(SPPR!$E:$X,MATCH($A341,SPPR!$A:$A,0),11),""),"")</f>
        <v/>
      </c>
      <c r="O341">
        <f>IFERROR(IF(ISNUMBER(INDEX(SPPR!$E:$X,MATCH($A341,SPPR!$A:$A,0),12)),$C341*INDEX(SPPR!$E:$X,MATCH($A341,SPPR!$A:$A,0),12),""),"")</f>
        <v/>
      </c>
      <c r="P341">
        <f>IFERROR(IF(ISNUMBER(INDEX(SPPR!$E:$X,MATCH($A341,SPPR!$A:$A,0),13)),$C341*INDEX(SPPR!$E:$X,MATCH($A341,SPPR!$A:$A,0),13),""),"")</f>
        <v/>
      </c>
      <c r="Q341">
        <f>IFERROR(IF(ISNUMBER(INDEX(SPPR!$E:$X,MATCH($A341,SPPR!$A:$A,0),14)),$C341*INDEX(SPPR!$E:$X,MATCH($A341,SPPR!$A:$A,0),14),""),"")</f>
        <v/>
      </c>
      <c r="R341">
        <f>IFERROR(IF(ISNUMBER(INDEX(SPPR!$E:$X,MATCH($A341,SPPR!$A:$A,0),15)),$C341*INDEX(SPPR!$E:$X,MATCH($A341,SPPR!$A:$A,0),15),""),"")</f>
        <v/>
      </c>
      <c r="S341">
        <f>IFERROR(IF(ISNUMBER(INDEX(SPPR!$E:$X,MATCH($A341,SPPR!$A:$A,0),16)),$C341*INDEX(SPPR!$E:$X,MATCH($A341,SPPR!$A:$A,0),16),""),"")</f>
        <v/>
      </c>
      <c r="T341">
        <f>IFERROR(IF(ISNUMBER(INDEX(SPPR!$E:$X,MATCH($A341,SPPR!$A:$A,0),17)),$C341*INDEX(SPPR!$E:$X,MATCH($A341,SPPR!$A:$A,0),17),""),"")</f>
        <v/>
      </c>
      <c r="U341">
        <f>IFERROR(IF(ISNUMBER(INDEX(SPPR!$E:$X,MATCH($A341,SPPR!$A:$A,0),18)),$C341*INDEX(SPPR!$E:$X,MATCH($A341,SPPR!$A:$A,0),18),""),"")</f>
        <v/>
      </c>
      <c r="V341">
        <f>IFERROR(IF(ISNUMBER(INDEX(SPPR!$E:$X,MATCH($A341,SPPR!$A:$A,0),19)),$C341*INDEX(SPPR!$E:$X,MATCH($A341,SPPR!$A:$A,0),19),""),"")</f>
        <v/>
      </c>
      <c r="W341">
        <f>IFERROR(IF(ISNUMBER(INDEX(SPPR!$E:$X,MATCH($A341,SPPR!$A:$A,0),20)),$C341*INDEX(SPPR!$E:$X,MATCH($A341,SPPR!$A:$A,0),20),""),"")</f>
        <v/>
      </c>
    </row>
    <row r="342">
      <c r="A342" t="inlineStr">
        <is>
          <t>Charybdis anisodon</t>
        </is>
      </c>
      <c r="B342">
        <f>IFERROR(INDEX(SPPR!$D:$D,MATCH($A342,SPPR!$A:$A,0)),"")</f>
        <v/>
      </c>
      <c r="C342">
        <f>IFERROR(INDEX(Catch!$E:$BV,MATCH($A342,Catch!$A:$A,0),MATCH($B$4,Catch!$E$1:$BV$1,0)),0)</f>
        <v/>
      </c>
      <c r="D342">
        <f>IFERROR(IF(ISNUMBER(INDEX(SPPR!$E:$X,MATCH($A342,SPPR!$A:$A,0),1)),$C342*INDEX(SPPR!$E:$X,MATCH($A342,SPPR!$A:$A,0),1),""),"")</f>
        <v/>
      </c>
      <c r="E342">
        <f>IFERROR(IF(ISNUMBER(INDEX(SPPR!$E:$X,MATCH($A342,SPPR!$A:$A,0),2)),$C342*INDEX(SPPR!$E:$X,MATCH($A342,SPPR!$A:$A,0),2),""),"")</f>
        <v/>
      </c>
      <c r="F342">
        <f>IFERROR(IF(ISNUMBER(INDEX(SPPR!$E:$X,MATCH($A342,SPPR!$A:$A,0),3)),$C342*INDEX(SPPR!$E:$X,MATCH($A342,SPPR!$A:$A,0),3),""),"")</f>
        <v/>
      </c>
      <c r="G342">
        <f>IFERROR(IF(ISNUMBER(INDEX(SPPR!$E:$X,MATCH($A342,SPPR!$A:$A,0),4)),$C342*INDEX(SPPR!$E:$X,MATCH($A342,SPPR!$A:$A,0),4),""),"")</f>
        <v/>
      </c>
      <c r="H342">
        <f>IFERROR(IF(ISNUMBER(INDEX(SPPR!$E:$X,MATCH($A342,SPPR!$A:$A,0),5)),$C342*INDEX(SPPR!$E:$X,MATCH($A342,SPPR!$A:$A,0),5),""),"")</f>
        <v/>
      </c>
      <c r="I342">
        <f>IFERROR(IF(ISNUMBER(INDEX(SPPR!$E:$X,MATCH($A342,SPPR!$A:$A,0),6)),$C342*INDEX(SPPR!$E:$X,MATCH($A342,SPPR!$A:$A,0),6),""),"")</f>
        <v/>
      </c>
      <c r="J342">
        <f>IFERROR(IF(ISNUMBER(INDEX(SPPR!$E:$X,MATCH($A342,SPPR!$A:$A,0),7)),$C342*INDEX(SPPR!$E:$X,MATCH($A342,SPPR!$A:$A,0),7),""),"")</f>
        <v/>
      </c>
      <c r="K342">
        <f>IFERROR(IF(ISNUMBER(INDEX(SPPR!$E:$X,MATCH($A342,SPPR!$A:$A,0),8)),$C342*INDEX(SPPR!$E:$X,MATCH($A342,SPPR!$A:$A,0),8),""),"")</f>
        <v/>
      </c>
      <c r="L342">
        <f>IFERROR(IF(ISNUMBER(INDEX(SPPR!$E:$X,MATCH($A342,SPPR!$A:$A,0),9)),$C342*INDEX(SPPR!$E:$X,MATCH($A342,SPPR!$A:$A,0),9),""),"")</f>
        <v/>
      </c>
      <c r="M342">
        <f>IFERROR(IF(ISNUMBER(INDEX(SPPR!$E:$X,MATCH($A342,SPPR!$A:$A,0),10)),$C342*INDEX(SPPR!$E:$X,MATCH($A342,SPPR!$A:$A,0),10),""),"")</f>
        <v/>
      </c>
      <c r="N342">
        <f>IFERROR(IF(ISNUMBER(INDEX(SPPR!$E:$X,MATCH($A342,SPPR!$A:$A,0),11)),$C342*INDEX(SPPR!$E:$X,MATCH($A342,SPPR!$A:$A,0),11),""),"")</f>
        <v/>
      </c>
      <c r="O342">
        <f>IFERROR(IF(ISNUMBER(INDEX(SPPR!$E:$X,MATCH($A342,SPPR!$A:$A,0),12)),$C342*INDEX(SPPR!$E:$X,MATCH($A342,SPPR!$A:$A,0),12),""),"")</f>
        <v/>
      </c>
      <c r="P342">
        <f>IFERROR(IF(ISNUMBER(INDEX(SPPR!$E:$X,MATCH($A342,SPPR!$A:$A,0),13)),$C342*INDEX(SPPR!$E:$X,MATCH($A342,SPPR!$A:$A,0),13),""),"")</f>
        <v/>
      </c>
      <c r="Q342">
        <f>IFERROR(IF(ISNUMBER(INDEX(SPPR!$E:$X,MATCH($A342,SPPR!$A:$A,0),14)),$C342*INDEX(SPPR!$E:$X,MATCH($A342,SPPR!$A:$A,0),14),""),"")</f>
        <v/>
      </c>
      <c r="R342">
        <f>IFERROR(IF(ISNUMBER(INDEX(SPPR!$E:$X,MATCH($A342,SPPR!$A:$A,0),15)),$C342*INDEX(SPPR!$E:$X,MATCH($A342,SPPR!$A:$A,0),15),""),"")</f>
        <v/>
      </c>
      <c r="S342">
        <f>IFERROR(IF(ISNUMBER(INDEX(SPPR!$E:$X,MATCH($A342,SPPR!$A:$A,0),16)),$C342*INDEX(SPPR!$E:$X,MATCH($A342,SPPR!$A:$A,0),16),""),"")</f>
        <v/>
      </c>
      <c r="T342">
        <f>IFERROR(IF(ISNUMBER(INDEX(SPPR!$E:$X,MATCH($A342,SPPR!$A:$A,0),17)),$C342*INDEX(SPPR!$E:$X,MATCH($A342,SPPR!$A:$A,0),17),""),"")</f>
        <v/>
      </c>
      <c r="U342">
        <f>IFERROR(IF(ISNUMBER(INDEX(SPPR!$E:$X,MATCH($A342,SPPR!$A:$A,0),18)),$C342*INDEX(SPPR!$E:$X,MATCH($A342,SPPR!$A:$A,0),18),""),"")</f>
        <v/>
      </c>
      <c r="V342">
        <f>IFERROR(IF(ISNUMBER(INDEX(SPPR!$E:$X,MATCH($A342,SPPR!$A:$A,0),19)),$C342*INDEX(SPPR!$E:$X,MATCH($A342,SPPR!$A:$A,0),19),""),"")</f>
        <v/>
      </c>
      <c r="W342">
        <f>IFERROR(IF(ISNUMBER(INDEX(SPPR!$E:$X,MATCH($A342,SPPR!$A:$A,0),20)),$C342*INDEX(SPPR!$E:$X,MATCH($A342,SPPR!$A:$A,0),20),""),"")</f>
        <v/>
      </c>
    </row>
    <row r="343">
      <c r="A343" t="inlineStr">
        <is>
          <t>Beryx</t>
        </is>
      </c>
      <c r="B343">
        <f>IFERROR(INDEX(SPPR!$D:$D,MATCH($A343,SPPR!$A:$A,0)),"")</f>
        <v/>
      </c>
      <c r="C343">
        <f>IFERROR(INDEX(Catch!$E:$BV,MATCH($A343,Catch!$A:$A,0),MATCH($B$4,Catch!$E$1:$BV$1,0)),0)</f>
        <v/>
      </c>
      <c r="D343">
        <f>IFERROR(IF(ISNUMBER(INDEX(SPPR!$E:$X,MATCH($A343,SPPR!$A:$A,0),1)),$C343*INDEX(SPPR!$E:$X,MATCH($A343,SPPR!$A:$A,0),1),""),"")</f>
        <v/>
      </c>
      <c r="E343">
        <f>IFERROR(IF(ISNUMBER(INDEX(SPPR!$E:$X,MATCH($A343,SPPR!$A:$A,0),2)),$C343*INDEX(SPPR!$E:$X,MATCH($A343,SPPR!$A:$A,0),2),""),"")</f>
        <v/>
      </c>
      <c r="F343">
        <f>IFERROR(IF(ISNUMBER(INDEX(SPPR!$E:$X,MATCH($A343,SPPR!$A:$A,0),3)),$C343*INDEX(SPPR!$E:$X,MATCH($A343,SPPR!$A:$A,0),3),""),"")</f>
        <v/>
      </c>
      <c r="G343">
        <f>IFERROR(IF(ISNUMBER(INDEX(SPPR!$E:$X,MATCH($A343,SPPR!$A:$A,0),4)),$C343*INDEX(SPPR!$E:$X,MATCH($A343,SPPR!$A:$A,0),4),""),"")</f>
        <v/>
      </c>
      <c r="H343">
        <f>IFERROR(IF(ISNUMBER(INDEX(SPPR!$E:$X,MATCH($A343,SPPR!$A:$A,0),5)),$C343*INDEX(SPPR!$E:$X,MATCH($A343,SPPR!$A:$A,0),5),""),"")</f>
        <v/>
      </c>
      <c r="I343">
        <f>IFERROR(IF(ISNUMBER(INDEX(SPPR!$E:$X,MATCH($A343,SPPR!$A:$A,0),6)),$C343*INDEX(SPPR!$E:$X,MATCH($A343,SPPR!$A:$A,0),6),""),"")</f>
        <v/>
      </c>
      <c r="J343">
        <f>IFERROR(IF(ISNUMBER(INDEX(SPPR!$E:$X,MATCH($A343,SPPR!$A:$A,0),7)),$C343*INDEX(SPPR!$E:$X,MATCH($A343,SPPR!$A:$A,0),7),""),"")</f>
        <v/>
      </c>
      <c r="K343">
        <f>IFERROR(IF(ISNUMBER(INDEX(SPPR!$E:$X,MATCH($A343,SPPR!$A:$A,0),8)),$C343*INDEX(SPPR!$E:$X,MATCH($A343,SPPR!$A:$A,0),8),""),"")</f>
        <v/>
      </c>
      <c r="L343">
        <f>IFERROR(IF(ISNUMBER(INDEX(SPPR!$E:$X,MATCH($A343,SPPR!$A:$A,0),9)),$C343*INDEX(SPPR!$E:$X,MATCH($A343,SPPR!$A:$A,0),9),""),"")</f>
        <v/>
      </c>
      <c r="M343">
        <f>IFERROR(IF(ISNUMBER(INDEX(SPPR!$E:$X,MATCH($A343,SPPR!$A:$A,0),10)),$C343*INDEX(SPPR!$E:$X,MATCH($A343,SPPR!$A:$A,0),10),""),"")</f>
        <v/>
      </c>
      <c r="N343">
        <f>IFERROR(IF(ISNUMBER(INDEX(SPPR!$E:$X,MATCH($A343,SPPR!$A:$A,0),11)),$C343*INDEX(SPPR!$E:$X,MATCH($A343,SPPR!$A:$A,0),11),""),"")</f>
        <v/>
      </c>
      <c r="O343">
        <f>IFERROR(IF(ISNUMBER(INDEX(SPPR!$E:$X,MATCH($A343,SPPR!$A:$A,0),12)),$C343*INDEX(SPPR!$E:$X,MATCH($A343,SPPR!$A:$A,0),12),""),"")</f>
        <v/>
      </c>
      <c r="P343">
        <f>IFERROR(IF(ISNUMBER(INDEX(SPPR!$E:$X,MATCH($A343,SPPR!$A:$A,0),13)),$C343*INDEX(SPPR!$E:$X,MATCH($A343,SPPR!$A:$A,0),13),""),"")</f>
        <v/>
      </c>
      <c r="Q343">
        <f>IFERROR(IF(ISNUMBER(INDEX(SPPR!$E:$X,MATCH($A343,SPPR!$A:$A,0),14)),$C343*INDEX(SPPR!$E:$X,MATCH($A343,SPPR!$A:$A,0),14),""),"")</f>
        <v/>
      </c>
      <c r="R343">
        <f>IFERROR(IF(ISNUMBER(INDEX(SPPR!$E:$X,MATCH($A343,SPPR!$A:$A,0),15)),$C343*INDEX(SPPR!$E:$X,MATCH($A343,SPPR!$A:$A,0),15),""),"")</f>
        <v/>
      </c>
      <c r="S343">
        <f>IFERROR(IF(ISNUMBER(INDEX(SPPR!$E:$X,MATCH($A343,SPPR!$A:$A,0),16)),$C343*INDEX(SPPR!$E:$X,MATCH($A343,SPPR!$A:$A,0),16),""),"")</f>
        <v/>
      </c>
      <c r="T343">
        <f>IFERROR(IF(ISNUMBER(INDEX(SPPR!$E:$X,MATCH($A343,SPPR!$A:$A,0),17)),$C343*INDEX(SPPR!$E:$X,MATCH($A343,SPPR!$A:$A,0),17),""),"")</f>
        <v/>
      </c>
      <c r="U343">
        <f>IFERROR(IF(ISNUMBER(INDEX(SPPR!$E:$X,MATCH($A343,SPPR!$A:$A,0),18)),$C343*INDEX(SPPR!$E:$X,MATCH($A343,SPPR!$A:$A,0),18),""),"")</f>
        <v/>
      </c>
      <c r="V343">
        <f>IFERROR(IF(ISNUMBER(INDEX(SPPR!$E:$X,MATCH($A343,SPPR!$A:$A,0),19)),$C343*INDEX(SPPR!$E:$X,MATCH($A343,SPPR!$A:$A,0),19),""),"")</f>
        <v/>
      </c>
      <c r="W343">
        <f>IFERROR(IF(ISNUMBER(INDEX(SPPR!$E:$X,MATCH($A343,SPPR!$A:$A,0),20)),$C343*INDEX(SPPR!$E:$X,MATCH($A343,SPPR!$A:$A,0),20),""),"")</f>
        <v/>
      </c>
    </row>
    <row r="344">
      <c r="A344" t="inlineStr">
        <is>
          <t>Magallana gigas</t>
        </is>
      </c>
      <c r="B344">
        <f>IFERROR(INDEX(SPPR!$D:$D,MATCH($A344,SPPR!$A:$A,0)),"")</f>
        <v/>
      </c>
      <c r="C344">
        <f>IFERROR(INDEX(Catch!$E:$BV,MATCH($A344,Catch!$A:$A,0),MATCH($B$4,Catch!$E$1:$BV$1,0)),0)</f>
        <v/>
      </c>
      <c r="D344">
        <f>IFERROR(IF(ISNUMBER(INDEX(SPPR!$E:$X,MATCH($A344,SPPR!$A:$A,0),1)),$C344*INDEX(SPPR!$E:$X,MATCH($A344,SPPR!$A:$A,0),1),""),"")</f>
        <v/>
      </c>
      <c r="E344">
        <f>IFERROR(IF(ISNUMBER(INDEX(SPPR!$E:$X,MATCH($A344,SPPR!$A:$A,0),2)),$C344*INDEX(SPPR!$E:$X,MATCH($A344,SPPR!$A:$A,0),2),""),"")</f>
        <v/>
      </c>
      <c r="F344">
        <f>IFERROR(IF(ISNUMBER(INDEX(SPPR!$E:$X,MATCH($A344,SPPR!$A:$A,0),3)),$C344*INDEX(SPPR!$E:$X,MATCH($A344,SPPR!$A:$A,0),3),""),"")</f>
        <v/>
      </c>
      <c r="G344">
        <f>IFERROR(IF(ISNUMBER(INDEX(SPPR!$E:$X,MATCH($A344,SPPR!$A:$A,0),4)),$C344*INDEX(SPPR!$E:$X,MATCH($A344,SPPR!$A:$A,0),4),""),"")</f>
        <v/>
      </c>
      <c r="H344">
        <f>IFERROR(IF(ISNUMBER(INDEX(SPPR!$E:$X,MATCH($A344,SPPR!$A:$A,0),5)),$C344*INDEX(SPPR!$E:$X,MATCH($A344,SPPR!$A:$A,0),5),""),"")</f>
        <v/>
      </c>
      <c r="I344">
        <f>IFERROR(IF(ISNUMBER(INDEX(SPPR!$E:$X,MATCH($A344,SPPR!$A:$A,0),6)),$C344*INDEX(SPPR!$E:$X,MATCH($A344,SPPR!$A:$A,0),6),""),"")</f>
        <v/>
      </c>
      <c r="J344">
        <f>IFERROR(IF(ISNUMBER(INDEX(SPPR!$E:$X,MATCH($A344,SPPR!$A:$A,0),7)),$C344*INDEX(SPPR!$E:$X,MATCH($A344,SPPR!$A:$A,0),7),""),"")</f>
        <v/>
      </c>
      <c r="K344">
        <f>IFERROR(IF(ISNUMBER(INDEX(SPPR!$E:$X,MATCH($A344,SPPR!$A:$A,0),8)),$C344*INDEX(SPPR!$E:$X,MATCH($A344,SPPR!$A:$A,0),8),""),"")</f>
        <v/>
      </c>
      <c r="L344">
        <f>IFERROR(IF(ISNUMBER(INDEX(SPPR!$E:$X,MATCH($A344,SPPR!$A:$A,0),9)),$C344*INDEX(SPPR!$E:$X,MATCH($A344,SPPR!$A:$A,0),9),""),"")</f>
        <v/>
      </c>
      <c r="M344">
        <f>IFERROR(IF(ISNUMBER(INDEX(SPPR!$E:$X,MATCH($A344,SPPR!$A:$A,0),10)),$C344*INDEX(SPPR!$E:$X,MATCH($A344,SPPR!$A:$A,0),10),""),"")</f>
        <v/>
      </c>
      <c r="N344">
        <f>IFERROR(IF(ISNUMBER(INDEX(SPPR!$E:$X,MATCH($A344,SPPR!$A:$A,0),11)),$C344*INDEX(SPPR!$E:$X,MATCH($A344,SPPR!$A:$A,0),11),""),"")</f>
        <v/>
      </c>
      <c r="O344">
        <f>IFERROR(IF(ISNUMBER(INDEX(SPPR!$E:$X,MATCH($A344,SPPR!$A:$A,0),12)),$C344*INDEX(SPPR!$E:$X,MATCH($A344,SPPR!$A:$A,0),12),""),"")</f>
        <v/>
      </c>
      <c r="P344">
        <f>IFERROR(IF(ISNUMBER(INDEX(SPPR!$E:$X,MATCH($A344,SPPR!$A:$A,0),13)),$C344*INDEX(SPPR!$E:$X,MATCH($A344,SPPR!$A:$A,0),13),""),"")</f>
        <v/>
      </c>
      <c r="Q344">
        <f>IFERROR(IF(ISNUMBER(INDEX(SPPR!$E:$X,MATCH($A344,SPPR!$A:$A,0),14)),$C344*INDEX(SPPR!$E:$X,MATCH($A344,SPPR!$A:$A,0),14),""),"")</f>
        <v/>
      </c>
      <c r="R344">
        <f>IFERROR(IF(ISNUMBER(INDEX(SPPR!$E:$X,MATCH($A344,SPPR!$A:$A,0),15)),$C344*INDEX(SPPR!$E:$X,MATCH($A344,SPPR!$A:$A,0),15),""),"")</f>
        <v/>
      </c>
      <c r="S344">
        <f>IFERROR(IF(ISNUMBER(INDEX(SPPR!$E:$X,MATCH($A344,SPPR!$A:$A,0),16)),$C344*INDEX(SPPR!$E:$X,MATCH($A344,SPPR!$A:$A,0),16),""),"")</f>
        <v/>
      </c>
      <c r="T344">
        <f>IFERROR(IF(ISNUMBER(INDEX(SPPR!$E:$X,MATCH($A344,SPPR!$A:$A,0),17)),$C344*INDEX(SPPR!$E:$X,MATCH($A344,SPPR!$A:$A,0),17),""),"")</f>
        <v/>
      </c>
      <c r="U344">
        <f>IFERROR(IF(ISNUMBER(INDEX(SPPR!$E:$X,MATCH($A344,SPPR!$A:$A,0),18)),$C344*INDEX(SPPR!$E:$X,MATCH($A344,SPPR!$A:$A,0),18),""),"")</f>
        <v/>
      </c>
      <c r="V344">
        <f>IFERROR(IF(ISNUMBER(INDEX(SPPR!$E:$X,MATCH($A344,SPPR!$A:$A,0),19)),$C344*INDEX(SPPR!$E:$X,MATCH($A344,SPPR!$A:$A,0),19),""),"")</f>
        <v/>
      </c>
      <c r="W344">
        <f>IFERROR(IF(ISNUMBER(INDEX(SPPR!$E:$X,MATCH($A344,SPPR!$A:$A,0),20)),$C344*INDEX(SPPR!$E:$X,MATCH($A344,SPPR!$A:$A,0),20),""),"")</f>
        <v/>
      </c>
    </row>
    <row r="345">
      <c r="A345" t="inlineStr">
        <is>
          <t>Sillago sihama</t>
        </is>
      </c>
      <c r="B345">
        <f>IFERROR(INDEX(SPPR!$D:$D,MATCH($A345,SPPR!$A:$A,0)),"")</f>
        <v/>
      </c>
      <c r="C345">
        <f>IFERROR(INDEX(Catch!$E:$BV,MATCH($A345,Catch!$A:$A,0),MATCH($B$4,Catch!$E$1:$BV$1,0)),0)</f>
        <v/>
      </c>
      <c r="D345">
        <f>IFERROR(IF(ISNUMBER(INDEX(SPPR!$E:$X,MATCH($A345,SPPR!$A:$A,0),1)),$C345*INDEX(SPPR!$E:$X,MATCH($A345,SPPR!$A:$A,0),1),""),"")</f>
        <v/>
      </c>
      <c r="E345">
        <f>IFERROR(IF(ISNUMBER(INDEX(SPPR!$E:$X,MATCH($A345,SPPR!$A:$A,0),2)),$C345*INDEX(SPPR!$E:$X,MATCH($A345,SPPR!$A:$A,0),2),""),"")</f>
        <v/>
      </c>
      <c r="F345">
        <f>IFERROR(IF(ISNUMBER(INDEX(SPPR!$E:$X,MATCH($A345,SPPR!$A:$A,0),3)),$C345*INDEX(SPPR!$E:$X,MATCH($A345,SPPR!$A:$A,0),3),""),"")</f>
        <v/>
      </c>
      <c r="G345">
        <f>IFERROR(IF(ISNUMBER(INDEX(SPPR!$E:$X,MATCH($A345,SPPR!$A:$A,0),4)),$C345*INDEX(SPPR!$E:$X,MATCH($A345,SPPR!$A:$A,0),4),""),"")</f>
        <v/>
      </c>
      <c r="H345">
        <f>IFERROR(IF(ISNUMBER(INDEX(SPPR!$E:$X,MATCH($A345,SPPR!$A:$A,0),5)),$C345*INDEX(SPPR!$E:$X,MATCH($A345,SPPR!$A:$A,0),5),""),"")</f>
        <v/>
      </c>
      <c r="I345">
        <f>IFERROR(IF(ISNUMBER(INDEX(SPPR!$E:$X,MATCH($A345,SPPR!$A:$A,0),6)),$C345*INDEX(SPPR!$E:$X,MATCH($A345,SPPR!$A:$A,0),6),""),"")</f>
        <v/>
      </c>
      <c r="J345">
        <f>IFERROR(IF(ISNUMBER(INDEX(SPPR!$E:$X,MATCH($A345,SPPR!$A:$A,0),7)),$C345*INDEX(SPPR!$E:$X,MATCH($A345,SPPR!$A:$A,0),7),""),"")</f>
        <v/>
      </c>
      <c r="K345">
        <f>IFERROR(IF(ISNUMBER(INDEX(SPPR!$E:$X,MATCH($A345,SPPR!$A:$A,0),8)),$C345*INDEX(SPPR!$E:$X,MATCH($A345,SPPR!$A:$A,0),8),""),"")</f>
        <v/>
      </c>
      <c r="L345">
        <f>IFERROR(IF(ISNUMBER(INDEX(SPPR!$E:$X,MATCH($A345,SPPR!$A:$A,0),9)),$C345*INDEX(SPPR!$E:$X,MATCH($A345,SPPR!$A:$A,0),9),""),"")</f>
        <v/>
      </c>
      <c r="M345">
        <f>IFERROR(IF(ISNUMBER(INDEX(SPPR!$E:$X,MATCH($A345,SPPR!$A:$A,0),10)),$C345*INDEX(SPPR!$E:$X,MATCH($A345,SPPR!$A:$A,0),10),""),"")</f>
        <v/>
      </c>
      <c r="N345">
        <f>IFERROR(IF(ISNUMBER(INDEX(SPPR!$E:$X,MATCH($A345,SPPR!$A:$A,0),11)),$C345*INDEX(SPPR!$E:$X,MATCH($A345,SPPR!$A:$A,0),11),""),"")</f>
        <v/>
      </c>
      <c r="O345">
        <f>IFERROR(IF(ISNUMBER(INDEX(SPPR!$E:$X,MATCH($A345,SPPR!$A:$A,0),12)),$C345*INDEX(SPPR!$E:$X,MATCH($A345,SPPR!$A:$A,0),12),""),"")</f>
        <v/>
      </c>
      <c r="P345">
        <f>IFERROR(IF(ISNUMBER(INDEX(SPPR!$E:$X,MATCH($A345,SPPR!$A:$A,0),13)),$C345*INDEX(SPPR!$E:$X,MATCH($A345,SPPR!$A:$A,0),13),""),"")</f>
        <v/>
      </c>
      <c r="Q345">
        <f>IFERROR(IF(ISNUMBER(INDEX(SPPR!$E:$X,MATCH($A345,SPPR!$A:$A,0),14)),$C345*INDEX(SPPR!$E:$X,MATCH($A345,SPPR!$A:$A,0),14),""),"")</f>
        <v/>
      </c>
      <c r="R345">
        <f>IFERROR(IF(ISNUMBER(INDEX(SPPR!$E:$X,MATCH($A345,SPPR!$A:$A,0),15)),$C345*INDEX(SPPR!$E:$X,MATCH($A345,SPPR!$A:$A,0),15),""),"")</f>
        <v/>
      </c>
      <c r="S345">
        <f>IFERROR(IF(ISNUMBER(INDEX(SPPR!$E:$X,MATCH($A345,SPPR!$A:$A,0),16)),$C345*INDEX(SPPR!$E:$X,MATCH($A345,SPPR!$A:$A,0),16),""),"")</f>
        <v/>
      </c>
      <c r="T345">
        <f>IFERROR(IF(ISNUMBER(INDEX(SPPR!$E:$X,MATCH($A345,SPPR!$A:$A,0),17)),$C345*INDEX(SPPR!$E:$X,MATCH($A345,SPPR!$A:$A,0),17),""),"")</f>
        <v/>
      </c>
      <c r="U345">
        <f>IFERROR(IF(ISNUMBER(INDEX(SPPR!$E:$X,MATCH($A345,SPPR!$A:$A,0),18)),$C345*INDEX(SPPR!$E:$X,MATCH($A345,SPPR!$A:$A,0),18),""),"")</f>
        <v/>
      </c>
      <c r="V345">
        <f>IFERROR(IF(ISNUMBER(INDEX(SPPR!$E:$X,MATCH($A345,SPPR!$A:$A,0),19)),$C345*INDEX(SPPR!$E:$X,MATCH($A345,SPPR!$A:$A,0),19),""),"")</f>
        <v/>
      </c>
      <c r="W345">
        <f>IFERROR(IF(ISNUMBER(INDEX(SPPR!$E:$X,MATCH($A345,SPPR!$A:$A,0),20)),$C345*INDEX(SPPR!$E:$X,MATCH($A345,SPPR!$A:$A,0),20),""),"")</f>
        <v/>
      </c>
    </row>
    <row r="346">
      <c r="A346" t="inlineStr">
        <is>
          <t>Pteriomorphia</t>
        </is>
      </c>
      <c r="B346">
        <f>IFERROR(INDEX(SPPR!$D:$D,MATCH($A346,SPPR!$A:$A,0)),"")</f>
        <v/>
      </c>
      <c r="C346">
        <f>IFERROR(INDEX(Catch!$E:$BV,MATCH($A346,Catch!$A:$A,0),MATCH($B$4,Catch!$E$1:$BV$1,0)),0)</f>
        <v/>
      </c>
      <c r="D346">
        <f>IFERROR(IF(ISNUMBER(INDEX(SPPR!$E:$X,MATCH($A346,SPPR!$A:$A,0),1)),$C346*INDEX(SPPR!$E:$X,MATCH($A346,SPPR!$A:$A,0),1),""),"")</f>
        <v/>
      </c>
      <c r="E346">
        <f>IFERROR(IF(ISNUMBER(INDEX(SPPR!$E:$X,MATCH($A346,SPPR!$A:$A,0),2)),$C346*INDEX(SPPR!$E:$X,MATCH($A346,SPPR!$A:$A,0),2),""),"")</f>
        <v/>
      </c>
      <c r="F346">
        <f>IFERROR(IF(ISNUMBER(INDEX(SPPR!$E:$X,MATCH($A346,SPPR!$A:$A,0),3)),$C346*INDEX(SPPR!$E:$X,MATCH($A346,SPPR!$A:$A,0),3),""),"")</f>
        <v/>
      </c>
      <c r="G346">
        <f>IFERROR(IF(ISNUMBER(INDEX(SPPR!$E:$X,MATCH($A346,SPPR!$A:$A,0),4)),$C346*INDEX(SPPR!$E:$X,MATCH($A346,SPPR!$A:$A,0),4),""),"")</f>
        <v/>
      </c>
      <c r="H346">
        <f>IFERROR(IF(ISNUMBER(INDEX(SPPR!$E:$X,MATCH($A346,SPPR!$A:$A,0),5)),$C346*INDEX(SPPR!$E:$X,MATCH($A346,SPPR!$A:$A,0),5),""),"")</f>
        <v/>
      </c>
      <c r="I346">
        <f>IFERROR(IF(ISNUMBER(INDEX(SPPR!$E:$X,MATCH($A346,SPPR!$A:$A,0),6)),$C346*INDEX(SPPR!$E:$X,MATCH($A346,SPPR!$A:$A,0),6),""),"")</f>
        <v/>
      </c>
      <c r="J346">
        <f>IFERROR(IF(ISNUMBER(INDEX(SPPR!$E:$X,MATCH($A346,SPPR!$A:$A,0),7)),$C346*INDEX(SPPR!$E:$X,MATCH($A346,SPPR!$A:$A,0),7),""),"")</f>
        <v/>
      </c>
      <c r="K346">
        <f>IFERROR(IF(ISNUMBER(INDEX(SPPR!$E:$X,MATCH($A346,SPPR!$A:$A,0),8)),$C346*INDEX(SPPR!$E:$X,MATCH($A346,SPPR!$A:$A,0),8),""),"")</f>
        <v/>
      </c>
      <c r="L346">
        <f>IFERROR(IF(ISNUMBER(INDEX(SPPR!$E:$X,MATCH($A346,SPPR!$A:$A,0),9)),$C346*INDEX(SPPR!$E:$X,MATCH($A346,SPPR!$A:$A,0),9),""),"")</f>
        <v/>
      </c>
      <c r="M346">
        <f>IFERROR(IF(ISNUMBER(INDEX(SPPR!$E:$X,MATCH($A346,SPPR!$A:$A,0),10)),$C346*INDEX(SPPR!$E:$X,MATCH($A346,SPPR!$A:$A,0),10),""),"")</f>
        <v/>
      </c>
      <c r="N346">
        <f>IFERROR(IF(ISNUMBER(INDEX(SPPR!$E:$X,MATCH($A346,SPPR!$A:$A,0),11)),$C346*INDEX(SPPR!$E:$X,MATCH($A346,SPPR!$A:$A,0),11),""),"")</f>
        <v/>
      </c>
      <c r="O346">
        <f>IFERROR(IF(ISNUMBER(INDEX(SPPR!$E:$X,MATCH($A346,SPPR!$A:$A,0),12)),$C346*INDEX(SPPR!$E:$X,MATCH($A346,SPPR!$A:$A,0),12),""),"")</f>
        <v/>
      </c>
      <c r="P346">
        <f>IFERROR(IF(ISNUMBER(INDEX(SPPR!$E:$X,MATCH($A346,SPPR!$A:$A,0),13)),$C346*INDEX(SPPR!$E:$X,MATCH($A346,SPPR!$A:$A,0),13),""),"")</f>
        <v/>
      </c>
      <c r="Q346">
        <f>IFERROR(IF(ISNUMBER(INDEX(SPPR!$E:$X,MATCH($A346,SPPR!$A:$A,0),14)),$C346*INDEX(SPPR!$E:$X,MATCH($A346,SPPR!$A:$A,0),14),""),"")</f>
        <v/>
      </c>
      <c r="R346">
        <f>IFERROR(IF(ISNUMBER(INDEX(SPPR!$E:$X,MATCH($A346,SPPR!$A:$A,0),15)),$C346*INDEX(SPPR!$E:$X,MATCH($A346,SPPR!$A:$A,0),15),""),"")</f>
        <v/>
      </c>
      <c r="S346">
        <f>IFERROR(IF(ISNUMBER(INDEX(SPPR!$E:$X,MATCH($A346,SPPR!$A:$A,0),16)),$C346*INDEX(SPPR!$E:$X,MATCH($A346,SPPR!$A:$A,0),16),""),"")</f>
        <v/>
      </c>
      <c r="T346">
        <f>IFERROR(IF(ISNUMBER(INDEX(SPPR!$E:$X,MATCH($A346,SPPR!$A:$A,0),17)),$C346*INDEX(SPPR!$E:$X,MATCH($A346,SPPR!$A:$A,0),17),""),"")</f>
        <v/>
      </c>
      <c r="U346">
        <f>IFERROR(IF(ISNUMBER(INDEX(SPPR!$E:$X,MATCH($A346,SPPR!$A:$A,0),18)),$C346*INDEX(SPPR!$E:$X,MATCH($A346,SPPR!$A:$A,0),18),""),"")</f>
        <v/>
      </c>
      <c r="V346">
        <f>IFERROR(IF(ISNUMBER(INDEX(SPPR!$E:$X,MATCH($A346,SPPR!$A:$A,0),19)),$C346*INDEX(SPPR!$E:$X,MATCH($A346,SPPR!$A:$A,0),19),""),"")</f>
        <v/>
      </c>
      <c r="W346">
        <f>IFERROR(IF(ISNUMBER(INDEX(SPPR!$E:$X,MATCH($A346,SPPR!$A:$A,0),20)),$C346*INDEX(SPPR!$E:$X,MATCH($A346,SPPR!$A:$A,0),20),""),"")</f>
        <v/>
      </c>
    </row>
    <row r="347">
      <c r="A347" t="inlineStr">
        <is>
          <t>Metapenaeus ensis</t>
        </is>
      </c>
      <c r="B347">
        <f>IFERROR(INDEX(SPPR!$D:$D,MATCH($A347,SPPR!$A:$A,0)),"")</f>
        <v/>
      </c>
      <c r="C347">
        <f>IFERROR(INDEX(Catch!$E:$BV,MATCH($A347,Catch!$A:$A,0),MATCH($B$4,Catch!$E$1:$BV$1,0)),0)</f>
        <v/>
      </c>
      <c r="D347">
        <f>IFERROR(IF(ISNUMBER(INDEX(SPPR!$E:$X,MATCH($A347,SPPR!$A:$A,0),1)),$C347*INDEX(SPPR!$E:$X,MATCH($A347,SPPR!$A:$A,0),1),""),"")</f>
        <v/>
      </c>
      <c r="E347">
        <f>IFERROR(IF(ISNUMBER(INDEX(SPPR!$E:$X,MATCH($A347,SPPR!$A:$A,0),2)),$C347*INDEX(SPPR!$E:$X,MATCH($A347,SPPR!$A:$A,0),2),""),"")</f>
        <v/>
      </c>
      <c r="F347">
        <f>IFERROR(IF(ISNUMBER(INDEX(SPPR!$E:$X,MATCH($A347,SPPR!$A:$A,0),3)),$C347*INDEX(SPPR!$E:$X,MATCH($A347,SPPR!$A:$A,0),3),""),"")</f>
        <v/>
      </c>
      <c r="G347">
        <f>IFERROR(IF(ISNUMBER(INDEX(SPPR!$E:$X,MATCH($A347,SPPR!$A:$A,0),4)),$C347*INDEX(SPPR!$E:$X,MATCH($A347,SPPR!$A:$A,0),4),""),"")</f>
        <v/>
      </c>
      <c r="H347">
        <f>IFERROR(IF(ISNUMBER(INDEX(SPPR!$E:$X,MATCH($A347,SPPR!$A:$A,0),5)),$C347*INDEX(SPPR!$E:$X,MATCH($A347,SPPR!$A:$A,0),5),""),"")</f>
        <v/>
      </c>
      <c r="I347">
        <f>IFERROR(IF(ISNUMBER(INDEX(SPPR!$E:$X,MATCH($A347,SPPR!$A:$A,0),6)),$C347*INDEX(SPPR!$E:$X,MATCH($A347,SPPR!$A:$A,0),6),""),"")</f>
        <v/>
      </c>
      <c r="J347">
        <f>IFERROR(IF(ISNUMBER(INDEX(SPPR!$E:$X,MATCH($A347,SPPR!$A:$A,0),7)),$C347*INDEX(SPPR!$E:$X,MATCH($A347,SPPR!$A:$A,0),7),""),"")</f>
        <v/>
      </c>
      <c r="K347">
        <f>IFERROR(IF(ISNUMBER(INDEX(SPPR!$E:$X,MATCH($A347,SPPR!$A:$A,0),8)),$C347*INDEX(SPPR!$E:$X,MATCH($A347,SPPR!$A:$A,0),8),""),"")</f>
        <v/>
      </c>
      <c r="L347">
        <f>IFERROR(IF(ISNUMBER(INDEX(SPPR!$E:$X,MATCH($A347,SPPR!$A:$A,0),9)),$C347*INDEX(SPPR!$E:$X,MATCH($A347,SPPR!$A:$A,0),9),""),"")</f>
        <v/>
      </c>
      <c r="M347">
        <f>IFERROR(IF(ISNUMBER(INDEX(SPPR!$E:$X,MATCH($A347,SPPR!$A:$A,0),10)),$C347*INDEX(SPPR!$E:$X,MATCH($A347,SPPR!$A:$A,0),10),""),"")</f>
        <v/>
      </c>
      <c r="N347">
        <f>IFERROR(IF(ISNUMBER(INDEX(SPPR!$E:$X,MATCH($A347,SPPR!$A:$A,0),11)),$C347*INDEX(SPPR!$E:$X,MATCH($A347,SPPR!$A:$A,0),11),""),"")</f>
        <v/>
      </c>
      <c r="O347">
        <f>IFERROR(IF(ISNUMBER(INDEX(SPPR!$E:$X,MATCH($A347,SPPR!$A:$A,0),12)),$C347*INDEX(SPPR!$E:$X,MATCH($A347,SPPR!$A:$A,0),12),""),"")</f>
        <v/>
      </c>
      <c r="P347">
        <f>IFERROR(IF(ISNUMBER(INDEX(SPPR!$E:$X,MATCH($A347,SPPR!$A:$A,0),13)),$C347*INDEX(SPPR!$E:$X,MATCH($A347,SPPR!$A:$A,0),13),""),"")</f>
        <v/>
      </c>
      <c r="Q347">
        <f>IFERROR(IF(ISNUMBER(INDEX(SPPR!$E:$X,MATCH($A347,SPPR!$A:$A,0),14)),$C347*INDEX(SPPR!$E:$X,MATCH($A347,SPPR!$A:$A,0),14),""),"")</f>
        <v/>
      </c>
      <c r="R347">
        <f>IFERROR(IF(ISNUMBER(INDEX(SPPR!$E:$X,MATCH($A347,SPPR!$A:$A,0),15)),$C347*INDEX(SPPR!$E:$X,MATCH($A347,SPPR!$A:$A,0),15),""),"")</f>
        <v/>
      </c>
      <c r="S347">
        <f>IFERROR(IF(ISNUMBER(INDEX(SPPR!$E:$X,MATCH($A347,SPPR!$A:$A,0),16)),$C347*INDEX(SPPR!$E:$X,MATCH($A347,SPPR!$A:$A,0),16),""),"")</f>
        <v/>
      </c>
      <c r="T347">
        <f>IFERROR(IF(ISNUMBER(INDEX(SPPR!$E:$X,MATCH($A347,SPPR!$A:$A,0),17)),$C347*INDEX(SPPR!$E:$X,MATCH($A347,SPPR!$A:$A,0),17),""),"")</f>
        <v/>
      </c>
      <c r="U347">
        <f>IFERROR(IF(ISNUMBER(INDEX(SPPR!$E:$X,MATCH($A347,SPPR!$A:$A,0),18)),$C347*INDEX(SPPR!$E:$X,MATCH($A347,SPPR!$A:$A,0),18),""),"")</f>
        <v/>
      </c>
      <c r="V347">
        <f>IFERROR(IF(ISNUMBER(INDEX(SPPR!$E:$X,MATCH($A347,SPPR!$A:$A,0),19)),$C347*INDEX(SPPR!$E:$X,MATCH($A347,SPPR!$A:$A,0),19),""),"")</f>
        <v/>
      </c>
      <c r="W347">
        <f>IFERROR(IF(ISNUMBER(INDEX(SPPR!$E:$X,MATCH($A347,SPPR!$A:$A,0),20)),$C347*INDEX(SPPR!$E:$X,MATCH($A347,SPPR!$A:$A,0),20),""),"")</f>
        <v/>
      </c>
    </row>
    <row r="348">
      <c r="A348" t="inlineStr">
        <is>
          <t>Macolor</t>
        </is>
      </c>
      <c r="B348">
        <f>IFERROR(INDEX(SPPR!$D:$D,MATCH($A348,SPPR!$A:$A,0)),"")</f>
        <v/>
      </c>
      <c r="C348">
        <f>IFERROR(INDEX(Catch!$E:$BV,MATCH($A348,Catch!$A:$A,0),MATCH($B$4,Catch!$E$1:$BV$1,0)),0)</f>
        <v/>
      </c>
      <c r="D348">
        <f>IFERROR(IF(ISNUMBER(INDEX(SPPR!$E:$X,MATCH($A348,SPPR!$A:$A,0),1)),$C348*INDEX(SPPR!$E:$X,MATCH($A348,SPPR!$A:$A,0),1),""),"")</f>
        <v/>
      </c>
      <c r="E348">
        <f>IFERROR(IF(ISNUMBER(INDEX(SPPR!$E:$X,MATCH($A348,SPPR!$A:$A,0),2)),$C348*INDEX(SPPR!$E:$X,MATCH($A348,SPPR!$A:$A,0),2),""),"")</f>
        <v/>
      </c>
      <c r="F348">
        <f>IFERROR(IF(ISNUMBER(INDEX(SPPR!$E:$X,MATCH($A348,SPPR!$A:$A,0),3)),$C348*INDEX(SPPR!$E:$X,MATCH($A348,SPPR!$A:$A,0),3),""),"")</f>
        <v/>
      </c>
      <c r="G348">
        <f>IFERROR(IF(ISNUMBER(INDEX(SPPR!$E:$X,MATCH($A348,SPPR!$A:$A,0),4)),$C348*INDEX(SPPR!$E:$X,MATCH($A348,SPPR!$A:$A,0),4),""),"")</f>
        <v/>
      </c>
      <c r="H348">
        <f>IFERROR(IF(ISNUMBER(INDEX(SPPR!$E:$X,MATCH($A348,SPPR!$A:$A,0),5)),$C348*INDEX(SPPR!$E:$X,MATCH($A348,SPPR!$A:$A,0),5),""),"")</f>
        <v/>
      </c>
      <c r="I348">
        <f>IFERROR(IF(ISNUMBER(INDEX(SPPR!$E:$X,MATCH($A348,SPPR!$A:$A,0),6)),$C348*INDEX(SPPR!$E:$X,MATCH($A348,SPPR!$A:$A,0),6),""),"")</f>
        <v/>
      </c>
      <c r="J348">
        <f>IFERROR(IF(ISNUMBER(INDEX(SPPR!$E:$X,MATCH($A348,SPPR!$A:$A,0),7)),$C348*INDEX(SPPR!$E:$X,MATCH($A348,SPPR!$A:$A,0),7),""),"")</f>
        <v/>
      </c>
      <c r="K348">
        <f>IFERROR(IF(ISNUMBER(INDEX(SPPR!$E:$X,MATCH($A348,SPPR!$A:$A,0),8)),$C348*INDEX(SPPR!$E:$X,MATCH($A348,SPPR!$A:$A,0),8),""),"")</f>
        <v/>
      </c>
      <c r="L348">
        <f>IFERROR(IF(ISNUMBER(INDEX(SPPR!$E:$X,MATCH($A348,SPPR!$A:$A,0),9)),$C348*INDEX(SPPR!$E:$X,MATCH($A348,SPPR!$A:$A,0),9),""),"")</f>
        <v/>
      </c>
      <c r="M348">
        <f>IFERROR(IF(ISNUMBER(INDEX(SPPR!$E:$X,MATCH($A348,SPPR!$A:$A,0),10)),$C348*INDEX(SPPR!$E:$X,MATCH($A348,SPPR!$A:$A,0),10),""),"")</f>
        <v/>
      </c>
      <c r="N348">
        <f>IFERROR(IF(ISNUMBER(INDEX(SPPR!$E:$X,MATCH($A348,SPPR!$A:$A,0),11)),$C348*INDEX(SPPR!$E:$X,MATCH($A348,SPPR!$A:$A,0),11),""),"")</f>
        <v/>
      </c>
      <c r="O348">
        <f>IFERROR(IF(ISNUMBER(INDEX(SPPR!$E:$X,MATCH($A348,SPPR!$A:$A,0),12)),$C348*INDEX(SPPR!$E:$X,MATCH($A348,SPPR!$A:$A,0),12),""),"")</f>
        <v/>
      </c>
      <c r="P348">
        <f>IFERROR(IF(ISNUMBER(INDEX(SPPR!$E:$X,MATCH($A348,SPPR!$A:$A,0),13)),$C348*INDEX(SPPR!$E:$X,MATCH($A348,SPPR!$A:$A,0),13),""),"")</f>
        <v/>
      </c>
      <c r="Q348">
        <f>IFERROR(IF(ISNUMBER(INDEX(SPPR!$E:$X,MATCH($A348,SPPR!$A:$A,0),14)),$C348*INDEX(SPPR!$E:$X,MATCH($A348,SPPR!$A:$A,0),14),""),"")</f>
        <v/>
      </c>
      <c r="R348">
        <f>IFERROR(IF(ISNUMBER(INDEX(SPPR!$E:$X,MATCH($A348,SPPR!$A:$A,0),15)),$C348*INDEX(SPPR!$E:$X,MATCH($A348,SPPR!$A:$A,0),15),""),"")</f>
        <v/>
      </c>
      <c r="S348">
        <f>IFERROR(IF(ISNUMBER(INDEX(SPPR!$E:$X,MATCH($A348,SPPR!$A:$A,0),16)),$C348*INDEX(SPPR!$E:$X,MATCH($A348,SPPR!$A:$A,0),16),""),"")</f>
        <v/>
      </c>
      <c r="T348">
        <f>IFERROR(IF(ISNUMBER(INDEX(SPPR!$E:$X,MATCH($A348,SPPR!$A:$A,0),17)),$C348*INDEX(SPPR!$E:$X,MATCH($A348,SPPR!$A:$A,0),17),""),"")</f>
        <v/>
      </c>
      <c r="U348">
        <f>IFERROR(IF(ISNUMBER(INDEX(SPPR!$E:$X,MATCH($A348,SPPR!$A:$A,0),18)),$C348*INDEX(SPPR!$E:$X,MATCH($A348,SPPR!$A:$A,0),18),""),"")</f>
        <v/>
      </c>
      <c r="V348">
        <f>IFERROR(IF(ISNUMBER(INDEX(SPPR!$E:$X,MATCH($A348,SPPR!$A:$A,0),19)),$C348*INDEX(SPPR!$E:$X,MATCH($A348,SPPR!$A:$A,0),19),""),"")</f>
        <v/>
      </c>
      <c r="W348">
        <f>IFERROR(IF(ISNUMBER(INDEX(SPPR!$E:$X,MATCH($A348,SPPR!$A:$A,0),20)),$C348*INDEX(SPPR!$E:$X,MATCH($A348,SPPR!$A:$A,0),20),""),"")</f>
        <v/>
      </c>
    </row>
    <row r="349">
      <c r="A349" t="inlineStr">
        <is>
          <t>Haliotis</t>
        </is>
      </c>
      <c r="B349">
        <f>IFERROR(INDEX(SPPR!$D:$D,MATCH($A349,SPPR!$A:$A,0)),"")</f>
        <v/>
      </c>
      <c r="C349">
        <f>IFERROR(INDEX(Catch!$E:$BV,MATCH($A349,Catch!$A:$A,0),MATCH($B$4,Catch!$E$1:$BV$1,0)),0)</f>
        <v/>
      </c>
      <c r="D349">
        <f>IFERROR(IF(ISNUMBER(INDEX(SPPR!$E:$X,MATCH($A349,SPPR!$A:$A,0),1)),$C349*INDEX(SPPR!$E:$X,MATCH($A349,SPPR!$A:$A,0),1),""),"")</f>
        <v/>
      </c>
      <c r="E349">
        <f>IFERROR(IF(ISNUMBER(INDEX(SPPR!$E:$X,MATCH($A349,SPPR!$A:$A,0),2)),$C349*INDEX(SPPR!$E:$X,MATCH($A349,SPPR!$A:$A,0),2),""),"")</f>
        <v/>
      </c>
      <c r="F349">
        <f>IFERROR(IF(ISNUMBER(INDEX(SPPR!$E:$X,MATCH($A349,SPPR!$A:$A,0),3)),$C349*INDEX(SPPR!$E:$X,MATCH($A349,SPPR!$A:$A,0),3),""),"")</f>
        <v/>
      </c>
      <c r="G349">
        <f>IFERROR(IF(ISNUMBER(INDEX(SPPR!$E:$X,MATCH($A349,SPPR!$A:$A,0),4)),$C349*INDEX(SPPR!$E:$X,MATCH($A349,SPPR!$A:$A,0),4),""),"")</f>
        <v/>
      </c>
      <c r="H349">
        <f>IFERROR(IF(ISNUMBER(INDEX(SPPR!$E:$X,MATCH($A349,SPPR!$A:$A,0),5)),$C349*INDEX(SPPR!$E:$X,MATCH($A349,SPPR!$A:$A,0),5),""),"")</f>
        <v/>
      </c>
      <c r="I349">
        <f>IFERROR(IF(ISNUMBER(INDEX(SPPR!$E:$X,MATCH($A349,SPPR!$A:$A,0),6)),$C349*INDEX(SPPR!$E:$X,MATCH($A349,SPPR!$A:$A,0),6),""),"")</f>
        <v/>
      </c>
      <c r="J349">
        <f>IFERROR(IF(ISNUMBER(INDEX(SPPR!$E:$X,MATCH($A349,SPPR!$A:$A,0),7)),$C349*INDEX(SPPR!$E:$X,MATCH($A349,SPPR!$A:$A,0),7),""),"")</f>
        <v/>
      </c>
      <c r="K349">
        <f>IFERROR(IF(ISNUMBER(INDEX(SPPR!$E:$X,MATCH($A349,SPPR!$A:$A,0),8)),$C349*INDEX(SPPR!$E:$X,MATCH($A349,SPPR!$A:$A,0),8),""),"")</f>
        <v/>
      </c>
      <c r="L349">
        <f>IFERROR(IF(ISNUMBER(INDEX(SPPR!$E:$X,MATCH($A349,SPPR!$A:$A,0),9)),$C349*INDEX(SPPR!$E:$X,MATCH($A349,SPPR!$A:$A,0),9),""),"")</f>
        <v/>
      </c>
      <c r="M349">
        <f>IFERROR(IF(ISNUMBER(INDEX(SPPR!$E:$X,MATCH($A349,SPPR!$A:$A,0),10)),$C349*INDEX(SPPR!$E:$X,MATCH($A349,SPPR!$A:$A,0),10),""),"")</f>
        <v/>
      </c>
      <c r="N349">
        <f>IFERROR(IF(ISNUMBER(INDEX(SPPR!$E:$X,MATCH($A349,SPPR!$A:$A,0),11)),$C349*INDEX(SPPR!$E:$X,MATCH($A349,SPPR!$A:$A,0),11),""),"")</f>
        <v/>
      </c>
      <c r="O349">
        <f>IFERROR(IF(ISNUMBER(INDEX(SPPR!$E:$X,MATCH($A349,SPPR!$A:$A,0),12)),$C349*INDEX(SPPR!$E:$X,MATCH($A349,SPPR!$A:$A,0),12),""),"")</f>
        <v/>
      </c>
      <c r="P349">
        <f>IFERROR(IF(ISNUMBER(INDEX(SPPR!$E:$X,MATCH($A349,SPPR!$A:$A,0),13)),$C349*INDEX(SPPR!$E:$X,MATCH($A349,SPPR!$A:$A,0),13),""),"")</f>
        <v/>
      </c>
      <c r="Q349">
        <f>IFERROR(IF(ISNUMBER(INDEX(SPPR!$E:$X,MATCH($A349,SPPR!$A:$A,0),14)),$C349*INDEX(SPPR!$E:$X,MATCH($A349,SPPR!$A:$A,0),14),""),"")</f>
        <v/>
      </c>
      <c r="R349">
        <f>IFERROR(IF(ISNUMBER(INDEX(SPPR!$E:$X,MATCH($A349,SPPR!$A:$A,0),15)),$C349*INDEX(SPPR!$E:$X,MATCH($A349,SPPR!$A:$A,0),15),""),"")</f>
        <v/>
      </c>
      <c r="S349">
        <f>IFERROR(IF(ISNUMBER(INDEX(SPPR!$E:$X,MATCH($A349,SPPR!$A:$A,0),16)),$C349*INDEX(SPPR!$E:$X,MATCH($A349,SPPR!$A:$A,0),16),""),"")</f>
        <v/>
      </c>
      <c r="T349">
        <f>IFERROR(IF(ISNUMBER(INDEX(SPPR!$E:$X,MATCH($A349,SPPR!$A:$A,0),17)),$C349*INDEX(SPPR!$E:$X,MATCH($A349,SPPR!$A:$A,0),17),""),"")</f>
        <v/>
      </c>
      <c r="U349">
        <f>IFERROR(IF(ISNUMBER(INDEX(SPPR!$E:$X,MATCH($A349,SPPR!$A:$A,0),18)),$C349*INDEX(SPPR!$E:$X,MATCH($A349,SPPR!$A:$A,0),18),""),"")</f>
        <v/>
      </c>
      <c r="V349">
        <f>IFERROR(IF(ISNUMBER(INDEX(SPPR!$E:$X,MATCH($A349,SPPR!$A:$A,0),19)),$C349*INDEX(SPPR!$E:$X,MATCH($A349,SPPR!$A:$A,0),19),""),"")</f>
        <v/>
      </c>
      <c r="W349">
        <f>IFERROR(IF(ISNUMBER(INDEX(SPPR!$E:$X,MATCH($A349,SPPR!$A:$A,0),20)),$C349*INDEX(SPPR!$E:$X,MATCH($A349,SPPR!$A:$A,0),20),""),"")</f>
        <v/>
      </c>
    </row>
    <row r="350">
      <c r="A350" t="inlineStr">
        <is>
          <t>Berycidae</t>
        </is>
      </c>
      <c r="B350">
        <f>IFERROR(INDEX(SPPR!$D:$D,MATCH($A350,SPPR!$A:$A,0)),"")</f>
        <v/>
      </c>
      <c r="C350">
        <f>IFERROR(INDEX(Catch!$E:$BV,MATCH($A350,Catch!$A:$A,0),MATCH($B$4,Catch!$E$1:$BV$1,0)),0)</f>
        <v/>
      </c>
      <c r="D350">
        <f>IFERROR(IF(ISNUMBER(INDEX(SPPR!$E:$X,MATCH($A350,SPPR!$A:$A,0),1)),$C350*INDEX(SPPR!$E:$X,MATCH($A350,SPPR!$A:$A,0),1),""),"")</f>
        <v/>
      </c>
      <c r="E350">
        <f>IFERROR(IF(ISNUMBER(INDEX(SPPR!$E:$X,MATCH($A350,SPPR!$A:$A,0),2)),$C350*INDEX(SPPR!$E:$X,MATCH($A350,SPPR!$A:$A,0),2),""),"")</f>
        <v/>
      </c>
      <c r="F350">
        <f>IFERROR(IF(ISNUMBER(INDEX(SPPR!$E:$X,MATCH($A350,SPPR!$A:$A,0),3)),$C350*INDEX(SPPR!$E:$X,MATCH($A350,SPPR!$A:$A,0),3),""),"")</f>
        <v/>
      </c>
      <c r="G350">
        <f>IFERROR(IF(ISNUMBER(INDEX(SPPR!$E:$X,MATCH($A350,SPPR!$A:$A,0),4)),$C350*INDEX(SPPR!$E:$X,MATCH($A350,SPPR!$A:$A,0),4),""),"")</f>
        <v/>
      </c>
      <c r="H350">
        <f>IFERROR(IF(ISNUMBER(INDEX(SPPR!$E:$X,MATCH($A350,SPPR!$A:$A,0),5)),$C350*INDEX(SPPR!$E:$X,MATCH($A350,SPPR!$A:$A,0),5),""),"")</f>
        <v/>
      </c>
      <c r="I350">
        <f>IFERROR(IF(ISNUMBER(INDEX(SPPR!$E:$X,MATCH($A350,SPPR!$A:$A,0),6)),$C350*INDEX(SPPR!$E:$X,MATCH($A350,SPPR!$A:$A,0),6),""),"")</f>
        <v/>
      </c>
      <c r="J350">
        <f>IFERROR(IF(ISNUMBER(INDEX(SPPR!$E:$X,MATCH($A350,SPPR!$A:$A,0),7)),$C350*INDEX(SPPR!$E:$X,MATCH($A350,SPPR!$A:$A,0),7),""),"")</f>
        <v/>
      </c>
      <c r="K350">
        <f>IFERROR(IF(ISNUMBER(INDEX(SPPR!$E:$X,MATCH($A350,SPPR!$A:$A,0),8)),$C350*INDEX(SPPR!$E:$X,MATCH($A350,SPPR!$A:$A,0),8),""),"")</f>
        <v/>
      </c>
      <c r="L350">
        <f>IFERROR(IF(ISNUMBER(INDEX(SPPR!$E:$X,MATCH($A350,SPPR!$A:$A,0),9)),$C350*INDEX(SPPR!$E:$X,MATCH($A350,SPPR!$A:$A,0),9),""),"")</f>
        <v/>
      </c>
      <c r="M350">
        <f>IFERROR(IF(ISNUMBER(INDEX(SPPR!$E:$X,MATCH($A350,SPPR!$A:$A,0),10)),$C350*INDEX(SPPR!$E:$X,MATCH($A350,SPPR!$A:$A,0),10),""),"")</f>
        <v/>
      </c>
      <c r="N350">
        <f>IFERROR(IF(ISNUMBER(INDEX(SPPR!$E:$X,MATCH($A350,SPPR!$A:$A,0),11)),$C350*INDEX(SPPR!$E:$X,MATCH($A350,SPPR!$A:$A,0),11),""),"")</f>
        <v/>
      </c>
      <c r="O350">
        <f>IFERROR(IF(ISNUMBER(INDEX(SPPR!$E:$X,MATCH($A350,SPPR!$A:$A,0),12)),$C350*INDEX(SPPR!$E:$X,MATCH($A350,SPPR!$A:$A,0),12),""),"")</f>
        <v/>
      </c>
      <c r="P350">
        <f>IFERROR(IF(ISNUMBER(INDEX(SPPR!$E:$X,MATCH($A350,SPPR!$A:$A,0),13)),$C350*INDEX(SPPR!$E:$X,MATCH($A350,SPPR!$A:$A,0),13),""),"")</f>
        <v/>
      </c>
      <c r="Q350">
        <f>IFERROR(IF(ISNUMBER(INDEX(SPPR!$E:$X,MATCH($A350,SPPR!$A:$A,0),14)),$C350*INDEX(SPPR!$E:$X,MATCH($A350,SPPR!$A:$A,0),14),""),"")</f>
        <v/>
      </c>
      <c r="R350">
        <f>IFERROR(IF(ISNUMBER(INDEX(SPPR!$E:$X,MATCH($A350,SPPR!$A:$A,0),15)),$C350*INDEX(SPPR!$E:$X,MATCH($A350,SPPR!$A:$A,0),15),""),"")</f>
        <v/>
      </c>
      <c r="S350">
        <f>IFERROR(IF(ISNUMBER(INDEX(SPPR!$E:$X,MATCH($A350,SPPR!$A:$A,0),16)),$C350*INDEX(SPPR!$E:$X,MATCH($A350,SPPR!$A:$A,0),16),""),"")</f>
        <v/>
      </c>
      <c r="T350">
        <f>IFERROR(IF(ISNUMBER(INDEX(SPPR!$E:$X,MATCH($A350,SPPR!$A:$A,0),17)),$C350*INDEX(SPPR!$E:$X,MATCH($A350,SPPR!$A:$A,0),17),""),"")</f>
        <v/>
      </c>
      <c r="U350">
        <f>IFERROR(IF(ISNUMBER(INDEX(SPPR!$E:$X,MATCH($A350,SPPR!$A:$A,0),18)),$C350*INDEX(SPPR!$E:$X,MATCH($A350,SPPR!$A:$A,0),18),""),"")</f>
        <v/>
      </c>
      <c r="V350">
        <f>IFERROR(IF(ISNUMBER(INDEX(SPPR!$E:$X,MATCH($A350,SPPR!$A:$A,0),19)),$C350*INDEX(SPPR!$E:$X,MATCH($A350,SPPR!$A:$A,0),19),""),"")</f>
        <v/>
      </c>
      <c r="W350">
        <f>IFERROR(IF(ISNUMBER(INDEX(SPPR!$E:$X,MATCH($A350,SPPR!$A:$A,0),20)),$C350*INDEX(SPPR!$E:$X,MATCH($A350,SPPR!$A:$A,0),20),""),"")</f>
        <v/>
      </c>
    </row>
    <row r="351">
      <c r="A351" t="inlineStr">
        <is>
          <t>Makaira</t>
        </is>
      </c>
      <c r="B351">
        <f>IFERROR(INDEX(SPPR!$D:$D,MATCH($A351,SPPR!$A:$A,0)),"")</f>
        <v/>
      </c>
      <c r="C351">
        <f>IFERROR(INDEX(Catch!$E:$BV,MATCH($A351,Catch!$A:$A,0),MATCH($B$4,Catch!$E$1:$BV$1,0)),0)</f>
        <v/>
      </c>
      <c r="D351">
        <f>IFERROR(IF(ISNUMBER(INDEX(SPPR!$E:$X,MATCH($A351,SPPR!$A:$A,0),1)),$C351*INDEX(SPPR!$E:$X,MATCH($A351,SPPR!$A:$A,0),1),""),"")</f>
        <v/>
      </c>
      <c r="E351">
        <f>IFERROR(IF(ISNUMBER(INDEX(SPPR!$E:$X,MATCH($A351,SPPR!$A:$A,0),2)),$C351*INDEX(SPPR!$E:$X,MATCH($A351,SPPR!$A:$A,0),2),""),"")</f>
        <v/>
      </c>
      <c r="F351">
        <f>IFERROR(IF(ISNUMBER(INDEX(SPPR!$E:$X,MATCH($A351,SPPR!$A:$A,0),3)),$C351*INDEX(SPPR!$E:$X,MATCH($A351,SPPR!$A:$A,0),3),""),"")</f>
        <v/>
      </c>
      <c r="G351">
        <f>IFERROR(IF(ISNUMBER(INDEX(SPPR!$E:$X,MATCH($A351,SPPR!$A:$A,0),4)),$C351*INDEX(SPPR!$E:$X,MATCH($A351,SPPR!$A:$A,0),4),""),"")</f>
        <v/>
      </c>
      <c r="H351">
        <f>IFERROR(IF(ISNUMBER(INDEX(SPPR!$E:$X,MATCH($A351,SPPR!$A:$A,0),5)),$C351*INDEX(SPPR!$E:$X,MATCH($A351,SPPR!$A:$A,0),5),""),"")</f>
        <v/>
      </c>
      <c r="I351">
        <f>IFERROR(IF(ISNUMBER(INDEX(SPPR!$E:$X,MATCH($A351,SPPR!$A:$A,0),6)),$C351*INDEX(SPPR!$E:$X,MATCH($A351,SPPR!$A:$A,0),6),""),"")</f>
        <v/>
      </c>
      <c r="J351">
        <f>IFERROR(IF(ISNUMBER(INDEX(SPPR!$E:$X,MATCH($A351,SPPR!$A:$A,0),7)),$C351*INDEX(SPPR!$E:$X,MATCH($A351,SPPR!$A:$A,0),7),""),"")</f>
        <v/>
      </c>
      <c r="K351">
        <f>IFERROR(IF(ISNUMBER(INDEX(SPPR!$E:$X,MATCH($A351,SPPR!$A:$A,0),8)),$C351*INDEX(SPPR!$E:$X,MATCH($A351,SPPR!$A:$A,0),8),""),"")</f>
        <v/>
      </c>
      <c r="L351">
        <f>IFERROR(IF(ISNUMBER(INDEX(SPPR!$E:$X,MATCH($A351,SPPR!$A:$A,0),9)),$C351*INDEX(SPPR!$E:$X,MATCH($A351,SPPR!$A:$A,0),9),""),"")</f>
        <v/>
      </c>
      <c r="M351">
        <f>IFERROR(IF(ISNUMBER(INDEX(SPPR!$E:$X,MATCH($A351,SPPR!$A:$A,0),10)),$C351*INDEX(SPPR!$E:$X,MATCH($A351,SPPR!$A:$A,0),10),""),"")</f>
        <v/>
      </c>
      <c r="N351">
        <f>IFERROR(IF(ISNUMBER(INDEX(SPPR!$E:$X,MATCH($A351,SPPR!$A:$A,0),11)),$C351*INDEX(SPPR!$E:$X,MATCH($A351,SPPR!$A:$A,0),11),""),"")</f>
        <v/>
      </c>
      <c r="O351">
        <f>IFERROR(IF(ISNUMBER(INDEX(SPPR!$E:$X,MATCH($A351,SPPR!$A:$A,0),12)),$C351*INDEX(SPPR!$E:$X,MATCH($A351,SPPR!$A:$A,0),12),""),"")</f>
        <v/>
      </c>
      <c r="P351">
        <f>IFERROR(IF(ISNUMBER(INDEX(SPPR!$E:$X,MATCH($A351,SPPR!$A:$A,0),13)),$C351*INDEX(SPPR!$E:$X,MATCH($A351,SPPR!$A:$A,0),13),""),"")</f>
        <v/>
      </c>
      <c r="Q351">
        <f>IFERROR(IF(ISNUMBER(INDEX(SPPR!$E:$X,MATCH($A351,SPPR!$A:$A,0),14)),$C351*INDEX(SPPR!$E:$X,MATCH($A351,SPPR!$A:$A,0),14),""),"")</f>
        <v/>
      </c>
      <c r="R351">
        <f>IFERROR(IF(ISNUMBER(INDEX(SPPR!$E:$X,MATCH($A351,SPPR!$A:$A,0),15)),$C351*INDEX(SPPR!$E:$X,MATCH($A351,SPPR!$A:$A,0),15),""),"")</f>
        <v/>
      </c>
      <c r="S351">
        <f>IFERROR(IF(ISNUMBER(INDEX(SPPR!$E:$X,MATCH($A351,SPPR!$A:$A,0),16)),$C351*INDEX(SPPR!$E:$X,MATCH($A351,SPPR!$A:$A,0),16),""),"")</f>
        <v/>
      </c>
      <c r="T351">
        <f>IFERROR(IF(ISNUMBER(INDEX(SPPR!$E:$X,MATCH($A351,SPPR!$A:$A,0),17)),$C351*INDEX(SPPR!$E:$X,MATCH($A351,SPPR!$A:$A,0),17),""),"")</f>
        <v/>
      </c>
      <c r="U351">
        <f>IFERROR(IF(ISNUMBER(INDEX(SPPR!$E:$X,MATCH($A351,SPPR!$A:$A,0),18)),$C351*INDEX(SPPR!$E:$X,MATCH($A351,SPPR!$A:$A,0),18),""),"")</f>
        <v/>
      </c>
      <c r="V351">
        <f>IFERROR(IF(ISNUMBER(INDEX(SPPR!$E:$X,MATCH($A351,SPPR!$A:$A,0),19)),$C351*INDEX(SPPR!$E:$X,MATCH($A351,SPPR!$A:$A,0),19),""),"")</f>
        <v/>
      </c>
      <c r="W351">
        <f>IFERROR(IF(ISNUMBER(INDEX(SPPR!$E:$X,MATCH($A351,SPPR!$A:$A,0),20)),$C351*INDEX(SPPR!$E:$X,MATCH($A351,SPPR!$A:$A,0),20),""),"")</f>
        <v/>
      </c>
    </row>
    <row r="352">
      <c r="A352" t="inlineStr">
        <is>
          <t>Lutjanus bohar</t>
        </is>
      </c>
      <c r="B352">
        <f>IFERROR(INDEX(SPPR!$D:$D,MATCH($A352,SPPR!$A:$A,0)),"")</f>
        <v/>
      </c>
      <c r="C352">
        <f>IFERROR(INDEX(Catch!$E:$BV,MATCH($A352,Catch!$A:$A,0),MATCH($B$4,Catch!$E$1:$BV$1,0)),0)</f>
        <v/>
      </c>
      <c r="D352">
        <f>IFERROR(IF(ISNUMBER(INDEX(SPPR!$E:$X,MATCH($A352,SPPR!$A:$A,0),1)),$C352*INDEX(SPPR!$E:$X,MATCH($A352,SPPR!$A:$A,0),1),""),"")</f>
        <v/>
      </c>
      <c r="E352">
        <f>IFERROR(IF(ISNUMBER(INDEX(SPPR!$E:$X,MATCH($A352,SPPR!$A:$A,0),2)),$C352*INDEX(SPPR!$E:$X,MATCH($A352,SPPR!$A:$A,0),2),""),"")</f>
        <v/>
      </c>
      <c r="F352">
        <f>IFERROR(IF(ISNUMBER(INDEX(SPPR!$E:$X,MATCH($A352,SPPR!$A:$A,0),3)),$C352*INDEX(SPPR!$E:$X,MATCH($A352,SPPR!$A:$A,0),3),""),"")</f>
        <v/>
      </c>
      <c r="G352">
        <f>IFERROR(IF(ISNUMBER(INDEX(SPPR!$E:$X,MATCH($A352,SPPR!$A:$A,0),4)),$C352*INDEX(SPPR!$E:$X,MATCH($A352,SPPR!$A:$A,0),4),""),"")</f>
        <v/>
      </c>
      <c r="H352">
        <f>IFERROR(IF(ISNUMBER(INDEX(SPPR!$E:$X,MATCH($A352,SPPR!$A:$A,0),5)),$C352*INDEX(SPPR!$E:$X,MATCH($A352,SPPR!$A:$A,0),5),""),"")</f>
        <v/>
      </c>
      <c r="I352">
        <f>IFERROR(IF(ISNUMBER(INDEX(SPPR!$E:$X,MATCH($A352,SPPR!$A:$A,0),6)),$C352*INDEX(SPPR!$E:$X,MATCH($A352,SPPR!$A:$A,0),6),""),"")</f>
        <v/>
      </c>
      <c r="J352">
        <f>IFERROR(IF(ISNUMBER(INDEX(SPPR!$E:$X,MATCH($A352,SPPR!$A:$A,0),7)),$C352*INDEX(SPPR!$E:$X,MATCH($A352,SPPR!$A:$A,0),7),""),"")</f>
        <v/>
      </c>
      <c r="K352">
        <f>IFERROR(IF(ISNUMBER(INDEX(SPPR!$E:$X,MATCH($A352,SPPR!$A:$A,0),8)),$C352*INDEX(SPPR!$E:$X,MATCH($A352,SPPR!$A:$A,0),8),""),"")</f>
        <v/>
      </c>
      <c r="L352">
        <f>IFERROR(IF(ISNUMBER(INDEX(SPPR!$E:$X,MATCH($A352,SPPR!$A:$A,0),9)),$C352*INDEX(SPPR!$E:$X,MATCH($A352,SPPR!$A:$A,0),9),""),"")</f>
        <v/>
      </c>
      <c r="M352">
        <f>IFERROR(IF(ISNUMBER(INDEX(SPPR!$E:$X,MATCH($A352,SPPR!$A:$A,0),10)),$C352*INDEX(SPPR!$E:$X,MATCH($A352,SPPR!$A:$A,0),10),""),"")</f>
        <v/>
      </c>
      <c r="N352">
        <f>IFERROR(IF(ISNUMBER(INDEX(SPPR!$E:$X,MATCH($A352,SPPR!$A:$A,0),11)),$C352*INDEX(SPPR!$E:$X,MATCH($A352,SPPR!$A:$A,0),11),""),"")</f>
        <v/>
      </c>
      <c r="O352">
        <f>IFERROR(IF(ISNUMBER(INDEX(SPPR!$E:$X,MATCH($A352,SPPR!$A:$A,0),12)),$C352*INDEX(SPPR!$E:$X,MATCH($A352,SPPR!$A:$A,0),12),""),"")</f>
        <v/>
      </c>
      <c r="P352">
        <f>IFERROR(IF(ISNUMBER(INDEX(SPPR!$E:$X,MATCH($A352,SPPR!$A:$A,0),13)),$C352*INDEX(SPPR!$E:$X,MATCH($A352,SPPR!$A:$A,0),13),""),"")</f>
        <v/>
      </c>
      <c r="Q352">
        <f>IFERROR(IF(ISNUMBER(INDEX(SPPR!$E:$X,MATCH($A352,SPPR!$A:$A,0),14)),$C352*INDEX(SPPR!$E:$X,MATCH($A352,SPPR!$A:$A,0),14),""),"")</f>
        <v/>
      </c>
      <c r="R352">
        <f>IFERROR(IF(ISNUMBER(INDEX(SPPR!$E:$X,MATCH($A352,SPPR!$A:$A,0),15)),$C352*INDEX(SPPR!$E:$X,MATCH($A352,SPPR!$A:$A,0),15),""),"")</f>
        <v/>
      </c>
      <c r="S352">
        <f>IFERROR(IF(ISNUMBER(INDEX(SPPR!$E:$X,MATCH($A352,SPPR!$A:$A,0),16)),$C352*INDEX(SPPR!$E:$X,MATCH($A352,SPPR!$A:$A,0),16),""),"")</f>
        <v/>
      </c>
      <c r="T352">
        <f>IFERROR(IF(ISNUMBER(INDEX(SPPR!$E:$X,MATCH($A352,SPPR!$A:$A,0),17)),$C352*INDEX(SPPR!$E:$X,MATCH($A352,SPPR!$A:$A,0),17),""),"")</f>
        <v/>
      </c>
      <c r="U352">
        <f>IFERROR(IF(ISNUMBER(INDEX(SPPR!$E:$X,MATCH($A352,SPPR!$A:$A,0),18)),$C352*INDEX(SPPR!$E:$X,MATCH($A352,SPPR!$A:$A,0),18),""),"")</f>
        <v/>
      </c>
      <c r="V352">
        <f>IFERROR(IF(ISNUMBER(INDEX(SPPR!$E:$X,MATCH($A352,SPPR!$A:$A,0),19)),$C352*INDEX(SPPR!$E:$X,MATCH($A352,SPPR!$A:$A,0),19),""),"")</f>
        <v/>
      </c>
      <c r="W352">
        <f>IFERROR(IF(ISNUMBER(INDEX(SPPR!$E:$X,MATCH($A352,SPPR!$A:$A,0),20)),$C352*INDEX(SPPR!$E:$X,MATCH($A352,SPPR!$A:$A,0),20),""),"")</f>
        <v/>
      </c>
    </row>
    <row r="353">
      <c r="A353" t="inlineStr">
        <is>
          <t>Pomadasys argenteus</t>
        </is>
      </c>
      <c r="B353">
        <f>IFERROR(INDEX(SPPR!$D:$D,MATCH($A353,SPPR!$A:$A,0)),"")</f>
        <v/>
      </c>
      <c r="C353">
        <f>IFERROR(INDEX(Catch!$E:$BV,MATCH($A353,Catch!$A:$A,0),MATCH($B$4,Catch!$E$1:$BV$1,0)),0)</f>
        <v/>
      </c>
      <c r="D353">
        <f>IFERROR(IF(ISNUMBER(INDEX(SPPR!$E:$X,MATCH($A353,SPPR!$A:$A,0),1)),$C353*INDEX(SPPR!$E:$X,MATCH($A353,SPPR!$A:$A,0),1),""),"")</f>
        <v/>
      </c>
      <c r="E353">
        <f>IFERROR(IF(ISNUMBER(INDEX(SPPR!$E:$X,MATCH($A353,SPPR!$A:$A,0),2)),$C353*INDEX(SPPR!$E:$X,MATCH($A353,SPPR!$A:$A,0),2),""),"")</f>
        <v/>
      </c>
      <c r="F353">
        <f>IFERROR(IF(ISNUMBER(INDEX(SPPR!$E:$X,MATCH($A353,SPPR!$A:$A,0),3)),$C353*INDEX(SPPR!$E:$X,MATCH($A353,SPPR!$A:$A,0),3),""),"")</f>
        <v/>
      </c>
      <c r="G353">
        <f>IFERROR(IF(ISNUMBER(INDEX(SPPR!$E:$X,MATCH($A353,SPPR!$A:$A,0),4)),$C353*INDEX(SPPR!$E:$X,MATCH($A353,SPPR!$A:$A,0),4),""),"")</f>
        <v/>
      </c>
      <c r="H353">
        <f>IFERROR(IF(ISNUMBER(INDEX(SPPR!$E:$X,MATCH($A353,SPPR!$A:$A,0),5)),$C353*INDEX(SPPR!$E:$X,MATCH($A353,SPPR!$A:$A,0),5),""),"")</f>
        <v/>
      </c>
      <c r="I353">
        <f>IFERROR(IF(ISNUMBER(INDEX(SPPR!$E:$X,MATCH($A353,SPPR!$A:$A,0),6)),$C353*INDEX(SPPR!$E:$X,MATCH($A353,SPPR!$A:$A,0),6),""),"")</f>
        <v/>
      </c>
      <c r="J353">
        <f>IFERROR(IF(ISNUMBER(INDEX(SPPR!$E:$X,MATCH($A353,SPPR!$A:$A,0),7)),$C353*INDEX(SPPR!$E:$X,MATCH($A353,SPPR!$A:$A,0),7),""),"")</f>
        <v/>
      </c>
      <c r="K353">
        <f>IFERROR(IF(ISNUMBER(INDEX(SPPR!$E:$X,MATCH($A353,SPPR!$A:$A,0),8)),$C353*INDEX(SPPR!$E:$X,MATCH($A353,SPPR!$A:$A,0),8),""),"")</f>
        <v/>
      </c>
      <c r="L353">
        <f>IFERROR(IF(ISNUMBER(INDEX(SPPR!$E:$X,MATCH($A353,SPPR!$A:$A,0),9)),$C353*INDEX(SPPR!$E:$X,MATCH($A353,SPPR!$A:$A,0),9),""),"")</f>
        <v/>
      </c>
      <c r="M353">
        <f>IFERROR(IF(ISNUMBER(INDEX(SPPR!$E:$X,MATCH($A353,SPPR!$A:$A,0),10)),$C353*INDEX(SPPR!$E:$X,MATCH($A353,SPPR!$A:$A,0),10),""),"")</f>
        <v/>
      </c>
      <c r="N353">
        <f>IFERROR(IF(ISNUMBER(INDEX(SPPR!$E:$X,MATCH($A353,SPPR!$A:$A,0),11)),$C353*INDEX(SPPR!$E:$X,MATCH($A353,SPPR!$A:$A,0),11),""),"")</f>
        <v/>
      </c>
      <c r="O353">
        <f>IFERROR(IF(ISNUMBER(INDEX(SPPR!$E:$X,MATCH($A353,SPPR!$A:$A,0),12)),$C353*INDEX(SPPR!$E:$X,MATCH($A353,SPPR!$A:$A,0),12),""),"")</f>
        <v/>
      </c>
      <c r="P353">
        <f>IFERROR(IF(ISNUMBER(INDEX(SPPR!$E:$X,MATCH($A353,SPPR!$A:$A,0),13)),$C353*INDEX(SPPR!$E:$X,MATCH($A353,SPPR!$A:$A,0),13),""),"")</f>
        <v/>
      </c>
      <c r="Q353">
        <f>IFERROR(IF(ISNUMBER(INDEX(SPPR!$E:$X,MATCH($A353,SPPR!$A:$A,0),14)),$C353*INDEX(SPPR!$E:$X,MATCH($A353,SPPR!$A:$A,0),14),""),"")</f>
        <v/>
      </c>
      <c r="R353">
        <f>IFERROR(IF(ISNUMBER(INDEX(SPPR!$E:$X,MATCH($A353,SPPR!$A:$A,0),15)),$C353*INDEX(SPPR!$E:$X,MATCH($A353,SPPR!$A:$A,0),15),""),"")</f>
        <v/>
      </c>
      <c r="S353">
        <f>IFERROR(IF(ISNUMBER(INDEX(SPPR!$E:$X,MATCH($A353,SPPR!$A:$A,0),16)),$C353*INDEX(SPPR!$E:$X,MATCH($A353,SPPR!$A:$A,0),16),""),"")</f>
        <v/>
      </c>
      <c r="T353">
        <f>IFERROR(IF(ISNUMBER(INDEX(SPPR!$E:$X,MATCH($A353,SPPR!$A:$A,0),17)),$C353*INDEX(SPPR!$E:$X,MATCH($A353,SPPR!$A:$A,0),17),""),"")</f>
        <v/>
      </c>
      <c r="U353">
        <f>IFERROR(IF(ISNUMBER(INDEX(SPPR!$E:$X,MATCH($A353,SPPR!$A:$A,0),18)),$C353*INDEX(SPPR!$E:$X,MATCH($A353,SPPR!$A:$A,0),18),""),"")</f>
        <v/>
      </c>
      <c r="V353">
        <f>IFERROR(IF(ISNUMBER(INDEX(SPPR!$E:$X,MATCH($A353,SPPR!$A:$A,0),19)),$C353*INDEX(SPPR!$E:$X,MATCH($A353,SPPR!$A:$A,0),19),""),"")</f>
        <v/>
      </c>
      <c r="W353">
        <f>IFERROR(IF(ISNUMBER(INDEX(SPPR!$E:$X,MATCH($A353,SPPR!$A:$A,0),20)),$C353*INDEX(SPPR!$E:$X,MATCH($A353,SPPR!$A:$A,0),20),""),"")</f>
        <v/>
      </c>
    </row>
    <row r="354">
      <c r="A354" t="inlineStr">
        <is>
          <t>Caranx sexfasciatus</t>
        </is>
      </c>
      <c r="B354">
        <f>IFERROR(INDEX(SPPR!$D:$D,MATCH($A354,SPPR!$A:$A,0)),"")</f>
        <v/>
      </c>
      <c r="C354">
        <f>IFERROR(INDEX(Catch!$E:$BV,MATCH($A354,Catch!$A:$A,0),MATCH($B$4,Catch!$E$1:$BV$1,0)),0)</f>
        <v/>
      </c>
      <c r="D354">
        <f>IFERROR(IF(ISNUMBER(INDEX(SPPR!$E:$X,MATCH($A354,SPPR!$A:$A,0),1)),$C354*INDEX(SPPR!$E:$X,MATCH($A354,SPPR!$A:$A,0),1),""),"")</f>
        <v/>
      </c>
      <c r="E354">
        <f>IFERROR(IF(ISNUMBER(INDEX(SPPR!$E:$X,MATCH($A354,SPPR!$A:$A,0),2)),$C354*INDEX(SPPR!$E:$X,MATCH($A354,SPPR!$A:$A,0),2),""),"")</f>
        <v/>
      </c>
      <c r="F354">
        <f>IFERROR(IF(ISNUMBER(INDEX(SPPR!$E:$X,MATCH($A354,SPPR!$A:$A,0),3)),$C354*INDEX(SPPR!$E:$X,MATCH($A354,SPPR!$A:$A,0),3),""),"")</f>
        <v/>
      </c>
      <c r="G354">
        <f>IFERROR(IF(ISNUMBER(INDEX(SPPR!$E:$X,MATCH($A354,SPPR!$A:$A,0),4)),$C354*INDEX(SPPR!$E:$X,MATCH($A354,SPPR!$A:$A,0),4),""),"")</f>
        <v/>
      </c>
      <c r="H354">
        <f>IFERROR(IF(ISNUMBER(INDEX(SPPR!$E:$X,MATCH($A354,SPPR!$A:$A,0),5)),$C354*INDEX(SPPR!$E:$X,MATCH($A354,SPPR!$A:$A,0),5),""),"")</f>
        <v/>
      </c>
      <c r="I354">
        <f>IFERROR(IF(ISNUMBER(INDEX(SPPR!$E:$X,MATCH($A354,SPPR!$A:$A,0),6)),$C354*INDEX(SPPR!$E:$X,MATCH($A354,SPPR!$A:$A,0),6),""),"")</f>
        <v/>
      </c>
      <c r="J354">
        <f>IFERROR(IF(ISNUMBER(INDEX(SPPR!$E:$X,MATCH($A354,SPPR!$A:$A,0),7)),$C354*INDEX(SPPR!$E:$X,MATCH($A354,SPPR!$A:$A,0),7),""),"")</f>
        <v/>
      </c>
      <c r="K354">
        <f>IFERROR(IF(ISNUMBER(INDEX(SPPR!$E:$X,MATCH($A354,SPPR!$A:$A,0),8)),$C354*INDEX(SPPR!$E:$X,MATCH($A354,SPPR!$A:$A,0),8),""),"")</f>
        <v/>
      </c>
      <c r="L354">
        <f>IFERROR(IF(ISNUMBER(INDEX(SPPR!$E:$X,MATCH($A354,SPPR!$A:$A,0),9)),$C354*INDEX(SPPR!$E:$X,MATCH($A354,SPPR!$A:$A,0),9),""),"")</f>
        <v/>
      </c>
      <c r="M354">
        <f>IFERROR(IF(ISNUMBER(INDEX(SPPR!$E:$X,MATCH($A354,SPPR!$A:$A,0),10)),$C354*INDEX(SPPR!$E:$X,MATCH($A354,SPPR!$A:$A,0),10),""),"")</f>
        <v/>
      </c>
      <c r="N354">
        <f>IFERROR(IF(ISNUMBER(INDEX(SPPR!$E:$X,MATCH($A354,SPPR!$A:$A,0),11)),$C354*INDEX(SPPR!$E:$X,MATCH($A354,SPPR!$A:$A,0),11),""),"")</f>
        <v/>
      </c>
      <c r="O354">
        <f>IFERROR(IF(ISNUMBER(INDEX(SPPR!$E:$X,MATCH($A354,SPPR!$A:$A,0),12)),$C354*INDEX(SPPR!$E:$X,MATCH($A354,SPPR!$A:$A,0),12),""),"")</f>
        <v/>
      </c>
      <c r="P354">
        <f>IFERROR(IF(ISNUMBER(INDEX(SPPR!$E:$X,MATCH($A354,SPPR!$A:$A,0),13)),$C354*INDEX(SPPR!$E:$X,MATCH($A354,SPPR!$A:$A,0),13),""),"")</f>
        <v/>
      </c>
      <c r="Q354">
        <f>IFERROR(IF(ISNUMBER(INDEX(SPPR!$E:$X,MATCH($A354,SPPR!$A:$A,0),14)),$C354*INDEX(SPPR!$E:$X,MATCH($A354,SPPR!$A:$A,0),14),""),"")</f>
        <v/>
      </c>
      <c r="R354">
        <f>IFERROR(IF(ISNUMBER(INDEX(SPPR!$E:$X,MATCH($A354,SPPR!$A:$A,0),15)),$C354*INDEX(SPPR!$E:$X,MATCH($A354,SPPR!$A:$A,0),15),""),"")</f>
        <v/>
      </c>
      <c r="S354">
        <f>IFERROR(IF(ISNUMBER(INDEX(SPPR!$E:$X,MATCH($A354,SPPR!$A:$A,0),16)),$C354*INDEX(SPPR!$E:$X,MATCH($A354,SPPR!$A:$A,0),16),""),"")</f>
        <v/>
      </c>
      <c r="T354">
        <f>IFERROR(IF(ISNUMBER(INDEX(SPPR!$E:$X,MATCH($A354,SPPR!$A:$A,0),17)),$C354*INDEX(SPPR!$E:$X,MATCH($A354,SPPR!$A:$A,0),17),""),"")</f>
        <v/>
      </c>
      <c r="U354">
        <f>IFERROR(IF(ISNUMBER(INDEX(SPPR!$E:$X,MATCH($A354,SPPR!$A:$A,0),18)),$C354*INDEX(SPPR!$E:$X,MATCH($A354,SPPR!$A:$A,0),18),""),"")</f>
        <v/>
      </c>
      <c r="V354">
        <f>IFERROR(IF(ISNUMBER(INDEX(SPPR!$E:$X,MATCH($A354,SPPR!$A:$A,0),19)),$C354*INDEX(SPPR!$E:$X,MATCH($A354,SPPR!$A:$A,0),19),""),"")</f>
        <v/>
      </c>
      <c r="W354">
        <f>IFERROR(IF(ISNUMBER(INDEX(SPPR!$E:$X,MATCH($A354,SPPR!$A:$A,0),20)),$C354*INDEX(SPPR!$E:$X,MATCH($A354,SPPR!$A:$A,0),20),""),"")</f>
        <v/>
      </c>
    </row>
    <row r="355">
      <c r="A355" t="inlineStr">
        <is>
          <t>Spratelloides</t>
        </is>
      </c>
      <c r="B355">
        <f>IFERROR(INDEX(SPPR!$D:$D,MATCH($A355,SPPR!$A:$A,0)),"")</f>
        <v/>
      </c>
      <c r="C355">
        <f>IFERROR(INDEX(Catch!$E:$BV,MATCH($A355,Catch!$A:$A,0),MATCH($B$4,Catch!$E$1:$BV$1,0)),0)</f>
        <v/>
      </c>
      <c r="D355">
        <f>IFERROR(IF(ISNUMBER(INDEX(SPPR!$E:$X,MATCH($A355,SPPR!$A:$A,0),1)),$C355*INDEX(SPPR!$E:$X,MATCH($A355,SPPR!$A:$A,0),1),""),"")</f>
        <v/>
      </c>
      <c r="E355">
        <f>IFERROR(IF(ISNUMBER(INDEX(SPPR!$E:$X,MATCH($A355,SPPR!$A:$A,0),2)),$C355*INDEX(SPPR!$E:$X,MATCH($A355,SPPR!$A:$A,0),2),""),"")</f>
        <v/>
      </c>
      <c r="F355">
        <f>IFERROR(IF(ISNUMBER(INDEX(SPPR!$E:$X,MATCH($A355,SPPR!$A:$A,0),3)),$C355*INDEX(SPPR!$E:$X,MATCH($A355,SPPR!$A:$A,0),3),""),"")</f>
        <v/>
      </c>
      <c r="G355">
        <f>IFERROR(IF(ISNUMBER(INDEX(SPPR!$E:$X,MATCH($A355,SPPR!$A:$A,0),4)),$C355*INDEX(SPPR!$E:$X,MATCH($A355,SPPR!$A:$A,0),4),""),"")</f>
        <v/>
      </c>
      <c r="H355">
        <f>IFERROR(IF(ISNUMBER(INDEX(SPPR!$E:$X,MATCH($A355,SPPR!$A:$A,0),5)),$C355*INDEX(SPPR!$E:$X,MATCH($A355,SPPR!$A:$A,0),5),""),"")</f>
        <v/>
      </c>
      <c r="I355">
        <f>IFERROR(IF(ISNUMBER(INDEX(SPPR!$E:$X,MATCH($A355,SPPR!$A:$A,0),6)),$C355*INDEX(SPPR!$E:$X,MATCH($A355,SPPR!$A:$A,0),6),""),"")</f>
        <v/>
      </c>
      <c r="J355">
        <f>IFERROR(IF(ISNUMBER(INDEX(SPPR!$E:$X,MATCH($A355,SPPR!$A:$A,0),7)),$C355*INDEX(SPPR!$E:$X,MATCH($A355,SPPR!$A:$A,0),7),""),"")</f>
        <v/>
      </c>
      <c r="K355">
        <f>IFERROR(IF(ISNUMBER(INDEX(SPPR!$E:$X,MATCH($A355,SPPR!$A:$A,0),8)),$C355*INDEX(SPPR!$E:$X,MATCH($A355,SPPR!$A:$A,0),8),""),"")</f>
        <v/>
      </c>
      <c r="L355">
        <f>IFERROR(IF(ISNUMBER(INDEX(SPPR!$E:$X,MATCH($A355,SPPR!$A:$A,0),9)),$C355*INDEX(SPPR!$E:$X,MATCH($A355,SPPR!$A:$A,0),9),""),"")</f>
        <v/>
      </c>
      <c r="M355">
        <f>IFERROR(IF(ISNUMBER(INDEX(SPPR!$E:$X,MATCH($A355,SPPR!$A:$A,0),10)),$C355*INDEX(SPPR!$E:$X,MATCH($A355,SPPR!$A:$A,0),10),""),"")</f>
        <v/>
      </c>
      <c r="N355">
        <f>IFERROR(IF(ISNUMBER(INDEX(SPPR!$E:$X,MATCH($A355,SPPR!$A:$A,0),11)),$C355*INDEX(SPPR!$E:$X,MATCH($A355,SPPR!$A:$A,0),11),""),"")</f>
        <v/>
      </c>
      <c r="O355">
        <f>IFERROR(IF(ISNUMBER(INDEX(SPPR!$E:$X,MATCH($A355,SPPR!$A:$A,0),12)),$C355*INDEX(SPPR!$E:$X,MATCH($A355,SPPR!$A:$A,0),12),""),"")</f>
        <v/>
      </c>
      <c r="P355">
        <f>IFERROR(IF(ISNUMBER(INDEX(SPPR!$E:$X,MATCH($A355,SPPR!$A:$A,0),13)),$C355*INDEX(SPPR!$E:$X,MATCH($A355,SPPR!$A:$A,0),13),""),"")</f>
        <v/>
      </c>
      <c r="Q355">
        <f>IFERROR(IF(ISNUMBER(INDEX(SPPR!$E:$X,MATCH($A355,SPPR!$A:$A,0),14)),$C355*INDEX(SPPR!$E:$X,MATCH($A355,SPPR!$A:$A,0),14),""),"")</f>
        <v/>
      </c>
      <c r="R355">
        <f>IFERROR(IF(ISNUMBER(INDEX(SPPR!$E:$X,MATCH($A355,SPPR!$A:$A,0),15)),$C355*INDEX(SPPR!$E:$X,MATCH($A355,SPPR!$A:$A,0),15),""),"")</f>
        <v/>
      </c>
      <c r="S355">
        <f>IFERROR(IF(ISNUMBER(INDEX(SPPR!$E:$X,MATCH($A355,SPPR!$A:$A,0),16)),$C355*INDEX(SPPR!$E:$X,MATCH($A355,SPPR!$A:$A,0),16),""),"")</f>
        <v/>
      </c>
      <c r="T355">
        <f>IFERROR(IF(ISNUMBER(INDEX(SPPR!$E:$X,MATCH($A355,SPPR!$A:$A,0),17)),$C355*INDEX(SPPR!$E:$X,MATCH($A355,SPPR!$A:$A,0),17),""),"")</f>
        <v/>
      </c>
      <c r="U355">
        <f>IFERROR(IF(ISNUMBER(INDEX(SPPR!$E:$X,MATCH($A355,SPPR!$A:$A,0),18)),$C355*INDEX(SPPR!$E:$X,MATCH($A355,SPPR!$A:$A,0),18),""),"")</f>
        <v/>
      </c>
      <c r="V355">
        <f>IFERROR(IF(ISNUMBER(INDEX(SPPR!$E:$X,MATCH($A355,SPPR!$A:$A,0),19)),$C355*INDEX(SPPR!$E:$X,MATCH($A355,SPPR!$A:$A,0),19),""),"")</f>
        <v/>
      </c>
      <c r="W355">
        <f>IFERROR(IF(ISNUMBER(INDEX(SPPR!$E:$X,MATCH($A355,SPPR!$A:$A,0),20)),$C355*INDEX(SPPR!$E:$X,MATCH($A355,SPPR!$A:$A,0),20),""),"")</f>
        <v/>
      </c>
    </row>
    <row r="356">
      <c r="A356" t="inlineStr">
        <is>
          <t>Nibea albiflora</t>
        </is>
      </c>
      <c r="B356">
        <f>IFERROR(INDEX(SPPR!$D:$D,MATCH($A356,SPPR!$A:$A,0)),"")</f>
        <v/>
      </c>
      <c r="C356">
        <f>IFERROR(INDEX(Catch!$E:$BV,MATCH($A356,Catch!$A:$A,0),MATCH($B$4,Catch!$E$1:$BV$1,0)),0)</f>
        <v/>
      </c>
      <c r="D356">
        <f>IFERROR(IF(ISNUMBER(INDEX(SPPR!$E:$X,MATCH($A356,SPPR!$A:$A,0),1)),$C356*INDEX(SPPR!$E:$X,MATCH($A356,SPPR!$A:$A,0),1),""),"")</f>
        <v/>
      </c>
      <c r="E356">
        <f>IFERROR(IF(ISNUMBER(INDEX(SPPR!$E:$X,MATCH($A356,SPPR!$A:$A,0),2)),$C356*INDEX(SPPR!$E:$X,MATCH($A356,SPPR!$A:$A,0),2),""),"")</f>
        <v/>
      </c>
      <c r="F356">
        <f>IFERROR(IF(ISNUMBER(INDEX(SPPR!$E:$X,MATCH($A356,SPPR!$A:$A,0),3)),$C356*INDEX(SPPR!$E:$X,MATCH($A356,SPPR!$A:$A,0),3),""),"")</f>
        <v/>
      </c>
      <c r="G356">
        <f>IFERROR(IF(ISNUMBER(INDEX(SPPR!$E:$X,MATCH($A356,SPPR!$A:$A,0),4)),$C356*INDEX(SPPR!$E:$X,MATCH($A356,SPPR!$A:$A,0),4),""),"")</f>
        <v/>
      </c>
      <c r="H356">
        <f>IFERROR(IF(ISNUMBER(INDEX(SPPR!$E:$X,MATCH($A356,SPPR!$A:$A,0),5)),$C356*INDEX(SPPR!$E:$X,MATCH($A356,SPPR!$A:$A,0),5),""),"")</f>
        <v/>
      </c>
      <c r="I356">
        <f>IFERROR(IF(ISNUMBER(INDEX(SPPR!$E:$X,MATCH($A356,SPPR!$A:$A,0),6)),$C356*INDEX(SPPR!$E:$X,MATCH($A356,SPPR!$A:$A,0),6),""),"")</f>
        <v/>
      </c>
      <c r="J356">
        <f>IFERROR(IF(ISNUMBER(INDEX(SPPR!$E:$X,MATCH($A356,SPPR!$A:$A,0),7)),$C356*INDEX(SPPR!$E:$X,MATCH($A356,SPPR!$A:$A,0),7),""),"")</f>
        <v/>
      </c>
      <c r="K356">
        <f>IFERROR(IF(ISNUMBER(INDEX(SPPR!$E:$X,MATCH($A356,SPPR!$A:$A,0),8)),$C356*INDEX(SPPR!$E:$X,MATCH($A356,SPPR!$A:$A,0),8),""),"")</f>
        <v/>
      </c>
      <c r="L356">
        <f>IFERROR(IF(ISNUMBER(INDEX(SPPR!$E:$X,MATCH($A356,SPPR!$A:$A,0),9)),$C356*INDEX(SPPR!$E:$X,MATCH($A356,SPPR!$A:$A,0),9),""),"")</f>
        <v/>
      </c>
      <c r="M356">
        <f>IFERROR(IF(ISNUMBER(INDEX(SPPR!$E:$X,MATCH($A356,SPPR!$A:$A,0),10)),$C356*INDEX(SPPR!$E:$X,MATCH($A356,SPPR!$A:$A,0),10),""),"")</f>
        <v/>
      </c>
      <c r="N356">
        <f>IFERROR(IF(ISNUMBER(INDEX(SPPR!$E:$X,MATCH($A356,SPPR!$A:$A,0),11)),$C356*INDEX(SPPR!$E:$X,MATCH($A356,SPPR!$A:$A,0),11),""),"")</f>
        <v/>
      </c>
      <c r="O356">
        <f>IFERROR(IF(ISNUMBER(INDEX(SPPR!$E:$X,MATCH($A356,SPPR!$A:$A,0),12)),$C356*INDEX(SPPR!$E:$X,MATCH($A356,SPPR!$A:$A,0),12),""),"")</f>
        <v/>
      </c>
      <c r="P356">
        <f>IFERROR(IF(ISNUMBER(INDEX(SPPR!$E:$X,MATCH($A356,SPPR!$A:$A,0),13)),$C356*INDEX(SPPR!$E:$X,MATCH($A356,SPPR!$A:$A,0),13),""),"")</f>
        <v/>
      </c>
      <c r="Q356">
        <f>IFERROR(IF(ISNUMBER(INDEX(SPPR!$E:$X,MATCH($A356,SPPR!$A:$A,0),14)),$C356*INDEX(SPPR!$E:$X,MATCH($A356,SPPR!$A:$A,0),14),""),"")</f>
        <v/>
      </c>
      <c r="R356">
        <f>IFERROR(IF(ISNUMBER(INDEX(SPPR!$E:$X,MATCH($A356,SPPR!$A:$A,0),15)),$C356*INDEX(SPPR!$E:$X,MATCH($A356,SPPR!$A:$A,0),15),""),"")</f>
        <v/>
      </c>
      <c r="S356">
        <f>IFERROR(IF(ISNUMBER(INDEX(SPPR!$E:$X,MATCH($A356,SPPR!$A:$A,0),16)),$C356*INDEX(SPPR!$E:$X,MATCH($A356,SPPR!$A:$A,0),16),""),"")</f>
        <v/>
      </c>
      <c r="T356">
        <f>IFERROR(IF(ISNUMBER(INDEX(SPPR!$E:$X,MATCH($A356,SPPR!$A:$A,0),17)),$C356*INDEX(SPPR!$E:$X,MATCH($A356,SPPR!$A:$A,0),17),""),"")</f>
        <v/>
      </c>
      <c r="U356">
        <f>IFERROR(IF(ISNUMBER(INDEX(SPPR!$E:$X,MATCH($A356,SPPR!$A:$A,0),18)),$C356*INDEX(SPPR!$E:$X,MATCH($A356,SPPR!$A:$A,0),18),""),"")</f>
        <v/>
      </c>
      <c r="V356">
        <f>IFERROR(IF(ISNUMBER(INDEX(SPPR!$E:$X,MATCH($A356,SPPR!$A:$A,0),19)),$C356*INDEX(SPPR!$E:$X,MATCH($A356,SPPR!$A:$A,0),19),""),"")</f>
        <v/>
      </c>
      <c r="W356">
        <f>IFERROR(IF(ISNUMBER(INDEX(SPPR!$E:$X,MATCH($A356,SPPR!$A:$A,0),20)),$C356*INDEX(SPPR!$E:$X,MATCH($A356,SPPR!$A:$A,0),20),""),"")</f>
        <v/>
      </c>
    </row>
    <row r="357">
      <c r="A357" t="inlineStr">
        <is>
          <t>Bramidae</t>
        </is>
      </c>
      <c r="B357">
        <f>IFERROR(INDEX(SPPR!$D:$D,MATCH($A357,SPPR!$A:$A,0)),"")</f>
        <v/>
      </c>
      <c r="C357">
        <f>IFERROR(INDEX(Catch!$E:$BV,MATCH($A357,Catch!$A:$A,0),MATCH($B$4,Catch!$E$1:$BV$1,0)),0)</f>
        <v/>
      </c>
      <c r="D357">
        <f>IFERROR(IF(ISNUMBER(INDEX(SPPR!$E:$X,MATCH($A357,SPPR!$A:$A,0),1)),$C357*INDEX(SPPR!$E:$X,MATCH($A357,SPPR!$A:$A,0),1),""),"")</f>
        <v/>
      </c>
      <c r="E357">
        <f>IFERROR(IF(ISNUMBER(INDEX(SPPR!$E:$X,MATCH($A357,SPPR!$A:$A,0),2)),$C357*INDEX(SPPR!$E:$X,MATCH($A357,SPPR!$A:$A,0),2),""),"")</f>
        <v/>
      </c>
      <c r="F357">
        <f>IFERROR(IF(ISNUMBER(INDEX(SPPR!$E:$X,MATCH($A357,SPPR!$A:$A,0),3)),$C357*INDEX(SPPR!$E:$X,MATCH($A357,SPPR!$A:$A,0),3),""),"")</f>
        <v/>
      </c>
      <c r="G357">
        <f>IFERROR(IF(ISNUMBER(INDEX(SPPR!$E:$X,MATCH($A357,SPPR!$A:$A,0),4)),$C357*INDEX(SPPR!$E:$X,MATCH($A357,SPPR!$A:$A,0),4),""),"")</f>
        <v/>
      </c>
      <c r="H357">
        <f>IFERROR(IF(ISNUMBER(INDEX(SPPR!$E:$X,MATCH($A357,SPPR!$A:$A,0),5)),$C357*INDEX(SPPR!$E:$X,MATCH($A357,SPPR!$A:$A,0),5),""),"")</f>
        <v/>
      </c>
      <c r="I357">
        <f>IFERROR(IF(ISNUMBER(INDEX(SPPR!$E:$X,MATCH($A357,SPPR!$A:$A,0),6)),$C357*INDEX(SPPR!$E:$X,MATCH($A357,SPPR!$A:$A,0),6),""),"")</f>
        <v/>
      </c>
      <c r="J357">
        <f>IFERROR(IF(ISNUMBER(INDEX(SPPR!$E:$X,MATCH($A357,SPPR!$A:$A,0),7)),$C357*INDEX(SPPR!$E:$X,MATCH($A357,SPPR!$A:$A,0),7),""),"")</f>
        <v/>
      </c>
      <c r="K357">
        <f>IFERROR(IF(ISNUMBER(INDEX(SPPR!$E:$X,MATCH($A357,SPPR!$A:$A,0),8)),$C357*INDEX(SPPR!$E:$X,MATCH($A357,SPPR!$A:$A,0),8),""),"")</f>
        <v/>
      </c>
      <c r="L357">
        <f>IFERROR(IF(ISNUMBER(INDEX(SPPR!$E:$X,MATCH($A357,SPPR!$A:$A,0),9)),$C357*INDEX(SPPR!$E:$X,MATCH($A357,SPPR!$A:$A,0),9),""),"")</f>
        <v/>
      </c>
      <c r="M357">
        <f>IFERROR(IF(ISNUMBER(INDEX(SPPR!$E:$X,MATCH($A357,SPPR!$A:$A,0),10)),$C357*INDEX(SPPR!$E:$X,MATCH($A357,SPPR!$A:$A,0),10),""),"")</f>
        <v/>
      </c>
      <c r="N357">
        <f>IFERROR(IF(ISNUMBER(INDEX(SPPR!$E:$X,MATCH($A357,SPPR!$A:$A,0),11)),$C357*INDEX(SPPR!$E:$X,MATCH($A357,SPPR!$A:$A,0),11),""),"")</f>
        <v/>
      </c>
      <c r="O357">
        <f>IFERROR(IF(ISNUMBER(INDEX(SPPR!$E:$X,MATCH($A357,SPPR!$A:$A,0),12)),$C357*INDEX(SPPR!$E:$X,MATCH($A357,SPPR!$A:$A,0),12),""),"")</f>
        <v/>
      </c>
      <c r="P357">
        <f>IFERROR(IF(ISNUMBER(INDEX(SPPR!$E:$X,MATCH($A357,SPPR!$A:$A,0),13)),$C357*INDEX(SPPR!$E:$X,MATCH($A357,SPPR!$A:$A,0),13),""),"")</f>
        <v/>
      </c>
      <c r="Q357">
        <f>IFERROR(IF(ISNUMBER(INDEX(SPPR!$E:$X,MATCH($A357,SPPR!$A:$A,0),14)),$C357*INDEX(SPPR!$E:$X,MATCH($A357,SPPR!$A:$A,0),14),""),"")</f>
        <v/>
      </c>
      <c r="R357">
        <f>IFERROR(IF(ISNUMBER(INDEX(SPPR!$E:$X,MATCH($A357,SPPR!$A:$A,0),15)),$C357*INDEX(SPPR!$E:$X,MATCH($A357,SPPR!$A:$A,0),15),""),"")</f>
        <v/>
      </c>
      <c r="S357">
        <f>IFERROR(IF(ISNUMBER(INDEX(SPPR!$E:$X,MATCH($A357,SPPR!$A:$A,0),16)),$C357*INDEX(SPPR!$E:$X,MATCH($A357,SPPR!$A:$A,0),16),""),"")</f>
        <v/>
      </c>
      <c r="T357">
        <f>IFERROR(IF(ISNUMBER(INDEX(SPPR!$E:$X,MATCH($A357,SPPR!$A:$A,0),17)),$C357*INDEX(SPPR!$E:$X,MATCH($A357,SPPR!$A:$A,0),17),""),"")</f>
        <v/>
      </c>
      <c r="U357">
        <f>IFERROR(IF(ISNUMBER(INDEX(SPPR!$E:$X,MATCH($A357,SPPR!$A:$A,0),18)),$C357*INDEX(SPPR!$E:$X,MATCH($A357,SPPR!$A:$A,0),18),""),"")</f>
        <v/>
      </c>
      <c r="V357">
        <f>IFERROR(IF(ISNUMBER(INDEX(SPPR!$E:$X,MATCH($A357,SPPR!$A:$A,0),19)),$C357*INDEX(SPPR!$E:$X,MATCH($A357,SPPR!$A:$A,0),19),""),"")</f>
        <v/>
      </c>
      <c r="W357">
        <f>IFERROR(IF(ISNUMBER(INDEX(SPPR!$E:$X,MATCH($A357,SPPR!$A:$A,0),20)),$C357*INDEX(SPPR!$E:$X,MATCH($A357,SPPR!$A:$A,0),20),""),"")</f>
        <v/>
      </c>
    </row>
    <row r="358">
      <c r="A358" t="inlineStr">
        <is>
          <t>Anguilliformes</t>
        </is>
      </c>
      <c r="B358">
        <f>IFERROR(INDEX(SPPR!$D:$D,MATCH($A358,SPPR!$A:$A,0)),"")</f>
        <v/>
      </c>
      <c r="C358">
        <f>IFERROR(INDEX(Catch!$E:$BV,MATCH($A358,Catch!$A:$A,0),MATCH($B$4,Catch!$E$1:$BV$1,0)),0)</f>
        <v/>
      </c>
      <c r="D358">
        <f>IFERROR(IF(ISNUMBER(INDEX(SPPR!$E:$X,MATCH($A358,SPPR!$A:$A,0),1)),$C358*INDEX(SPPR!$E:$X,MATCH($A358,SPPR!$A:$A,0),1),""),"")</f>
        <v/>
      </c>
      <c r="E358">
        <f>IFERROR(IF(ISNUMBER(INDEX(SPPR!$E:$X,MATCH($A358,SPPR!$A:$A,0),2)),$C358*INDEX(SPPR!$E:$X,MATCH($A358,SPPR!$A:$A,0),2),""),"")</f>
        <v/>
      </c>
      <c r="F358">
        <f>IFERROR(IF(ISNUMBER(INDEX(SPPR!$E:$X,MATCH($A358,SPPR!$A:$A,0),3)),$C358*INDEX(SPPR!$E:$X,MATCH($A358,SPPR!$A:$A,0),3),""),"")</f>
        <v/>
      </c>
      <c r="G358">
        <f>IFERROR(IF(ISNUMBER(INDEX(SPPR!$E:$X,MATCH($A358,SPPR!$A:$A,0),4)),$C358*INDEX(SPPR!$E:$X,MATCH($A358,SPPR!$A:$A,0),4),""),"")</f>
        <v/>
      </c>
      <c r="H358">
        <f>IFERROR(IF(ISNUMBER(INDEX(SPPR!$E:$X,MATCH($A358,SPPR!$A:$A,0),5)),$C358*INDEX(SPPR!$E:$X,MATCH($A358,SPPR!$A:$A,0),5),""),"")</f>
        <v/>
      </c>
      <c r="I358">
        <f>IFERROR(IF(ISNUMBER(INDEX(SPPR!$E:$X,MATCH($A358,SPPR!$A:$A,0),6)),$C358*INDEX(SPPR!$E:$X,MATCH($A358,SPPR!$A:$A,0),6),""),"")</f>
        <v/>
      </c>
      <c r="J358">
        <f>IFERROR(IF(ISNUMBER(INDEX(SPPR!$E:$X,MATCH($A358,SPPR!$A:$A,0),7)),$C358*INDEX(SPPR!$E:$X,MATCH($A358,SPPR!$A:$A,0),7),""),"")</f>
        <v/>
      </c>
      <c r="K358">
        <f>IFERROR(IF(ISNUMBER(INDEX(SPPR!$E:$X,MATCH($A358,SPPR!$A:$A,0),8)),$C358*INDEX(SPPR!$E:$X,MATCH($A358,SPPR!$A:$A,0),8),""),"")</f>
        <v/>
      </c>
      <c r="L358">
        <f>IFERROR(IF(ISNUMBER(INDEX(SPPR!$E:$X,MATCH($A358,SPPR!$A:$A,0),9)),$C358*INDEX(SPPR!$E:$X,MATCH($A358,SPPR!$A:$A,0),9),""),"")</f>
        <v/>
      </c>
      <c r="M358">
        <f>IFERROR(IF(ISNUMBER(INDEX(SPPR!$E:$X,MATCH($A358,SPPR!$A:$A,0),10)),$C358*INDEX(SPPR!$E:$X,MATCH($A358,SPPR!$A:$A,0),10),""),"")</f>
        <v/>
      </c>
      <c r="N358">
        <f>IFERROR(IF(ISNUMBER(INDEX(SPPR!$E:$X,MATCH($A358,SPPR!$A:$A,0),11)),$C358*INDEX(SPPR!$E:$X,MATCH($A358,SPPR!$A:$A,0),11),""),"")</f>
        <v/>
      </c>
      <c r="O358">
        <f>IFERROR(IF(ISNUMBER(INDEX(SPPR!$E:$X,MATCH($A358,SPPR!$A:$A,0),12)),$C358*INDEX(SPPR!$E:$X,MATCH($A358,SPPR!$A:$A,0),12),""),"")</f>
        <v/>
      </c>
      <c r="P358">
        <f>IFERROR(IF(ISNUMBER(INDEX(SPPR!$E:$X,MATCH($A358,SPPR!$A:$A,0),13)),$C358*INDEX(SPPR!$E:$X,MATCH($A358,SPPR!$A:$A,0),13),""),"")</f>
        <v/>
      </c>
      <c r="Q358">
        <f>IFERROR(IF(ISNUMBER(INDEX(SPPR!$E:$X,MATCH($A358,SPPR!$A:$A,0),14)),$C358*INDEX(SPPR!$E:$X,MATCH($A358,SPPR!$A:$A,0),14),""),"")</f>
        <v/>
      </c>
      <c r="R358">
        <f>IFERROR(IF(ISNUMBER(INDEX(SPPR!$E:$X,MATCH($A358,SPPR!$A:$A,0),15)),$C358*INDEX(SPPR!$E:$X,MATCH($A358,SPPR!$A:$A,0),15),""),"")</f>
        <v/>
      </c>
      <c r="S358">
        <f>IFERROR(IF(ISNUMBER(INDEX(SPPR!$E:$X,MATCH($A358,SPPR!$A:$A,0),16)),$C358*INDEX(SPPR!$E:$X,MATCH($A358,SPPR!$A:$A,0),16),""),"")</f>
        <v/>
      </c>
      <c r="T358">
        <f>IFERROR(IF(ISNUMBER(INDEX(SPPR!$E:$X,MATCH($A358,SPPR!$A:$A,0),17)),$C358*INDEX(SPPR!$E:$X,MATCH($A358,SPPR!$A:$A,0),17),""),"")</f>
        <v/>
      </c>
      <c r="U358">
        <f>IFERROR(IF(ISNUMBER(INDEX(SPPR!$E:$X,MATCH($A358,SPPR!$A:$A,0),18)),$C358*INDEX(SPPR!$E:$X,MATCH($A358,SPPR!$A:$A,0),18),""),"")</f>
        <v/>
      </c>
      <c r="V358">
        <f>IFERROR(IF(ISNUMBER(INDEX(SPPR!$E:$X,MATCH($A358,SPPR!$A:$A,0),19)),$C358*INDEX(SPPR!$E:$X,MATCH($A358,SPPR!$A:$A,0),19),""),"")</f>
        <v/>
      </c>
      <c r="W358">
        <f>IFERROR(IF(ISNUMBER(INDEX(SPPR!$E:$X,MATCH($A358,SPPR!$A:$A,0),20)),$C358*INDEX(SPPR!$E:$X,MATCH($A358,SPPR!$A:$A,0),20),""),"")</f>
        <v/>
      </c>
    </row>
    <row r="359">
      <c r="A359" t="inlineStr">
        <is>
          <t>Crassostrea</t>
        </is>
      </c>
      <c r="B359">
        <f>IFERROR(INDEX(SPPR!$D:$D,MATCH($A359,SPPR!$A:$A,0)),"")</f>
        <v/>
      </c>
      <c r="C359">
        <f>IFERROR(INDEX(Catch!$E:$BV,MATCH($A359,Catch!$A:$A,0),MATCH($B$4,Catch!$E$1:$BV$1,0)),0)</f>
        <v/>
      </c>
      <c r="D359">
        <f>IFERROR(IF(ISNUMBER(INDEX(SPPR!$E:$X,MATCH($A359,SPPR!$A:$A,0),1)),$C359*INDEX(SPPR!$E:$X,MATCH($A359,SPPR!$A:$A,0),1),""),"")</f>
        <v/>
      </c>
      <c r="E359">
        <f>IFERROR(IF(ISNUMBER(INDEX(SPPR!$E:$X,MATCH($A359,SPPR!$A:$A,0),2)),$C359*INDEX(SPPR!$E:$X,MATCH($A359,SPPR!$A:$A,0),2),""),"")</f>
        <v/>
      </c>
      <c r="F359">
        <f>IFERROR(IF(ISNUMBER(INDEX(SPPR!$E:$X,MATCH($A359,SPPR!$A:$A,0),3)),$C359*INDEX(SPPR!$E:$X,MATCH($A359,SPPR!$A:$A,0),3),""),"")</f>
        <v/>
      </c>
      <c r="G359">
        <f>IFERROR(IF(ISNUMBER(INDEX(SPPR!$E:$X,MATCH($A359,SPPR!$A:$A,0),4)),$C359*INDEX(SPPR!$E:$X,MATCH($A359,SPPR!$A:$A,0),4),""),"")</f>
        <v/>
      </c>
      <c r="H359">
        <f>IFERROR(IF(ISNUMBER(INDEX(SPPR!$E:$X,MATCH($A359,SPPR!$A:$A,0),5)),$C359*INDEX(SPPR!$E:$X,MATCH($A359,SPPR!$A:$A,0),5),""),"")</f>
        <v/>
      </c>
      <c r="I359">
        <f>IFERROR(IF(ISNUMBER(INDEX(SPPR!$E:$X,MATCH($A359,SPPR!$A:$A,0),6)),$C359*INDEX(SPPR!$E:$X,MATCH($A359,SPPR!$A:$A,0),6),""),"")</f>
        <v/>
      </c>
      <c r="J359">
        <f>IFERROR(IF(ISNUMBER(INDEX(SPPR!$E:$X,MATCH($A359,SPPR!$A:$A,0),7)),$C359*INDEX(SPPR!$E:$X,MATCH($A359,SPPR!$A:$A,0),7),""),"")</f>
        <v/>
      </c>
      <c r="K359">
        <f>IFERROR(IF(ISNUMBER(INDEX(SPPR!$E:$X,MATCH($A359,SPPR!$A:$A,0),8)),$C359*INDEX(SPPR!$E:$X,MATCH($A359,SPPR!$A:$A,0),8),""),"")</f>
        <v/>
      </c>
      <c r="L359">
        <f>IFERROR(IF(ISNUMBER(INDEX(SPPR!$E:$X,MATCH($A359,SPPR!$A:$A,0),9)),$C359*INDEX(SPPR!$E:$X,MATCH($A359,SPPR!$A:$A,0),9),""),"")</f>
        <v/>
      </c>
      <c r="M359">
        <f>IFERROR(IF(ISNUMBER(INDEX(SPPR!$E:$X,MATCH($A359,SPPR!$A:$A,0),10)),$C359*INDEX(SPPR!$E:$X,MATCH($A359,SPPR!$A:$A,0),10),""),"")</f>
        <v/>
      </c>
      <c r="N359">
        <f>IFERROR(IF(ISNUMBER(INDEX(SPPR!$E:$X,MATCH($A359,SPPR!$A:$A,0),11)),$C359*INDEX(SPPR!$E:$X,MATCH($A359,SPPR!$A:$A,0),11),""),"")</f>
        <v/>
      </c>
      <c r="O359">
        <f>IFERROR(IF(ISNUMBER(INDEX(SPPR!$E:$X,MATCH($A359,SPPR!$A:$A,0),12)),$C359*INDEX(SPPR!$E:$X,MATCH($A359,SPPR!$A:$A,0),12),""),"")</f>
        <v/>
      </c>
      <c r="P359">
        <f>IFERROR(IF(ISNUMBER(INDEX(SPPR!$E:$X,MATCH($A359,SPPR!$A:$A,0),13)),$C359*INDEX(SPPR!$E:$X,MATCH($A359,SPPR!$A:$A,0),13),""),"")</f>
        <v/>
      </c>
      <c r="Q359">
        <f>IFERROR(IF(ISNUMBER(INDEX(SPPR!$E:$X,MATCH($A359,SPPR!$A:$A,0),14)),$C359*INDEX(SPPR!$E:$X,MATCH($A359,SPPR!$A:$A,0),14),""),"")</f>
        <v/>
      </c>
      <c r="R359">
        <f>IFERROR(IF(ISNUMBER(INDEX(SPPR!$E:$X,MATCH($A359,SPPR!$A:$A,0),15)),$C359*INDEX(SPPR!$E:$X,MATCH($A359,SPPR!$A:$A,0),15),""),"")</f>
        <v/>
      </c>
      <c r="S359">
        <f>IFERROR(IF(ISNUMBER(INDEX(SPPR!$E:$X,MATCH($A359,SPPR!$A:$A,0),16)),$C359*INDEX(SPPR!$E:$X,MATCH($A359,SPPR!$A:$A,0),16),""),"")</f>
        <v/>
      </c>
      <c r="T359">
        <f>IFERROR(IF(ISNUMBER(INDEX(SPPR!$E:$X,MATCH($A359,SPPR!$A:$A,0),17)),$C359*INDEX(SPPR!$E:$X,MATCH($A359,SPPR!$A:$A,0),17),""),"")</f>
        <v/>
      </c>
      <c r="U359">
        <f>IFERROR(IF(ISNUMBER(INDEX(SPPR!$E:$X,MATCH($A359,SPPR!$A:$A,0),18)),$C359*INDEX(SPPR!$E:$X,MATCH($A359,SPPR!$A:$A,0),18),""),"")</f>
        <v/>
      </c>
      <c r="V359">
        <f>IFERROR(IF(ISNUMBER(INDEX(SPPR!$E:$X,MATCH($A359,SPPR!$A:$A,0),19)),$C359*INDEX(SPPR!$E:$X,MATCH($A359,SPPR!$A:$A,0),19),""),"")</f>
        <v/>
      </c>
      <c r="W359">
        <f>IFERROR(IF(ISNUMBER(INDEX(SPPR!$E:$X,MATCH($A359,SPPR!$A:$A,0),20)),$C359*INDEX(SPPR!$E:$X,MATCH($A359,SPPR!$A:$A,0),20),""),"")</f>
        <v/>
      </c>
    </row>
    <row r="360">
      <c r="A360" t="inlineStr">
        <is>
          <t>Hippocampus</t>
        </is>
      </c>
      <c r="B360">
        <f>IFERROR(INDEX(SPPR!$D:$D,MATCH($A360,SPPR!$A:$A,0)),"")</f>
        <v/>
      </c>
      <c r="C360">
        <f>IFERROR(INDEX(Catch!$E:$BV,MATCH($A360,Catch!$A:$A,0),MATCH($B$4,Catch!$E$1:$BV$1,0)),0)</f>
        <v/>
      </c>
      <c r="D360">
        <f>IFERROR(IF(ISNUMBER(INDEX(SPPR!$E:$X,MATCH($A360,SPPR!$A:$A,0),1)),$C360*INDEX(SPPR!$E:$X,MATCH($A360,SPPR!$A:$A,0),1),""),"")</f>
        <v/>
      </c>
      <c r="E360">
        <f>IFERROR(IF(ISNUMBER(INDEX(SPPR!$E:$X,MATCH($A360,SPPR!$A:$A,0),2)),$C360*INDEX(SPPR!$E:$X,MATCH($A360,SPPR!$A:$A,0),2),""),"")</f>
        <v/>
      </c>
      <c r="F360">
        <f>IFERROR(IF(ISNUMBER(INDEX(SPPR!$E:$X,MATCH($A360,SPPR!$A:$A,0),3)),$C360*INDEX(SPPR!$E:$X,MATCH($A360,SPPR!$A:$A,0),3),""),"")</f>
        <v/>
      </c>
      <c r="G360">
        <f>IFERROR(IF(ISNUMBER(INDEX(SPPR!$E:$X,MATCH($A360,SPPR!$A:$A,0),4)),$C360*INDEX(SPPR!$E:$X,MATCH($A360,SPPR!$A:$A,0),4),""),"")</f>
        <v/>
      </c>
      <c r="H360">
        <f>IFERROR(IF(ISNUMBER(INDEX(SPPR!$E:$X,MATCH($A360,SPPR!$A:$A,0),5)),$C360*INDEX(SPPR!$E:$X,MATCH($A360,SPPR!$A:$A,0),5),""),"")</f>
        <v/>
      </c>
      <c r="I360">
        <f>IFERROR(IF(ISNUMBER(INDEX(SPPR!$E:$X,MATCH($A360,SPPR!$A:$A,0),6)),$C360*INDEX(SPPR!$E:$X,MATCH($A360,SPPR!$A:$A,0),6),""),"")</f>
        <v/>
      </c>
      <c r="J360">
        <f>IFERROR(IF(ISNUMBER(INDEX(SPPR!$E:$X,MATCH($A360,SPPR!$A:$A,0),7)),$C360*INDEX(SPPR!$E:$X,MATCH($A360,SPPR!$A:$A,0),7),""),"")</f>
        <v/>
      </c>
      <c r="K360">
        <f>IFERROR(IF(ISNUMBER(INDEX(SPPR!$E:$X,MATCH($A360,SPPR!$A:$A,0),8)),$C360*INDEX(SPPR!$E:$X,MATCH($A360,SPPR!$A:$A,0),8),""),"")</f>
        <v/>
      </c>
      <c r="L360">
        <f>IFERROR(IF(ISNUMBER(INDEX(SPPR!$E:$X,MATCH($A360,SPPR!$A:$A,0),9)),$C360*INDEX(SPPR!$E:$X,MATCH($A360,SPPR!$A:$A,0),9),""),"")</f>
        <v/>
      </c>
      <c r="M360">
        <f>IFERROR(IF(ISNUMBER(INDEX(SPPR!$E:$X,MATCH($A360,SPPR!$A:$A,0),10)),$C360*INDEX(SPPR!$E:$X,MATCH($A360,SPPR!$A:$A,0),10),""),"")</f>
        <v/>
      </c>
      <c r="N360">
        <f>IFERROR(IF(ISNUMBER(INDEX(SPPR!$E:$X,MATCH($A360,SPPR!$A:$A,0),11)),$C360*INDEX(SPPR!$E:$X,MATCH($A360,SPPR!$A:$A,0),11),""),"")</f>
        <v/>
      </c>
      <c r="O360">
        <f>IFERROR(IF(ISNUMBER(INDEX(SPPR!$E:$X,MATCH($A360,SPPR!$A:$A,0),12)),$C360*INDEX(SPPR!$E:$X,MATCH($A360,SPPR!$A:$A,0),12),""),"")</f>
        <v/>
      </c>
      <c r="P360">
        <f>IFERROR(IF(ISNUMBER(INDEX(SPPR!$E:$X,MATCH($A360,SPPR!$A:$A,0),13)),$C360*INDEX(SPPR!$E:$X,MATCH($A360,SPPR!$A:$A,0),13),""),"")</f>
        <v/>
      </c>
      <c r="Q360">
        <f>IFERROR(IF(ISNUMBER(INDEX(SPPR!$E:$X,MATCH($A360,SPPR!$A:$A,0),14)),$C360*INDEX(SPPR!$E:$X,MATCH($A360,SPPR!$A:$A,0),14),""),"")</f>
        <v/>
      </c>
      <c r="R360">
        <f>IFERROR(IF(ISNUMBER(INDEX(SPPR!$E:$X,MATCH($A360,SPPR!$A:$A,0),15)),$C360*INDEX(SPPR!$E:$X,MATCH($A360,SPPR!$A:$A,0),15),""),"")</f>
        <v/>
      </c>
      <c r="S360">
        <f>IFERROR(IF(ISNUMBER(INDEX(SPPR!$E:$X,MATCH($A360,SPPR!$A:$A,0),16)),$C360*INDEX(SPPR!$E:$X,MATCH($A360,SPPR!$A:$A,0),16),""),"")</f>
        <v/>
      </c>
      <c r="T360">
        <f>IFERROR(IF(ISNUMBER(INDEX(SPPR!$E:$X,MATCH($A360,SPPR!$A:$A,0),17)),$C360*INDEX(SPPR!$E:$X,MATCH($A360,SPPR!$A:$A,0),17),""),"")</f>
        <v/>
      </c>
      <c r="U360">
        <f>IFERROR(IF(ISNUMBER(INDEX(SPPR!$E:$X,MATCH($A360,SPPR!$A:$A,0),18)),$C360*INDEX(SPPR!$E:$X,MATCH($A360,SPPR!$A:$A,0),18),""),"")</f>
        <v/>
      </c>
      <c r="V360">
        <f>IFERROR(IF(ISNUMBER(INDEX(SPPR!$E:$X,MATCH($A360,SPPR!$A:$A,0),19)),$C360*INDEX(SPPR!$E:$X,MATCH($A360,SPPR!$A:$A,0),19),""),"")</f>
        <v/>
      </c>
      <c r="W360">
        <f>IFERROR(IF(ISNUMBER(INDEX(SPPR!$E:$X,MATCH($A360,SPPR!$A:$A,0),20)),$C360*INDEX(SPPR!$E:$X,MATCH($A360,SPPR!$A:$A,0),20),""),"")</f>
        <v/>
      </c>
    </row>
    <row r="361">
      <c r="A361" t="inlineStr">
        <is>
          <t>Holothuriidae</t>
        </is>
      </c>
      <c r="B361">
        <f>IFERROR(INDEX(SPPR!$D:$D,MATCH($A361,SPPR!$A:$A,0)),"")</f>
        <v/>
      </c>
      <c r="C361">
        <f>IFERROR(INDEX(Catch!$E:$BV,MATCH($A361,Catch!$A:$A,0),MATCH($B$4,Catch!$E$1:$BV$1,0)),0)</f>
        <v/>
      </c>
      <c r="D361">
        <f>IFERROR(IF(ISNUMBER(INDEX(SPPR!$E:$X,MATCH($A361,SPPR!$A:$A,0),1)),$C361*INDEX(SPPR!$E:$X,MATCH($A361,SPPR!$A:$A,0),1),""),"")</f>
        <v/>
      </c>
      <c r="E361">
        <f>IFERROR(IF(ISNUMBER(INDEX(SPPR!$E:$X,MATCH($A361,SPPR!$A:$A,0),2)),$C361*INDEX(SPPR!$E:$X,MATCH($A361,SPPR!$A:$A,0),2),""),"")</f>
        <v/>
      </c>
      <c r="F361">
        <f>IFERROR(IF(ISNUMBER(INDEX(SPPR!$E:$X,MATCH($A361,SPPR!$A:$A,0),3)),$C361*INDEX(SPPR!$E:$X,MATCH($A361,SPPR!$A:$A,0),3),""),"")</f>
        <v/>
      </c>
      <c r="G361">
        <f>IFERROR(IF(ISNUMBER(INDEX(SPPR!$E:$X,MATCH($A361,SPPR!$A:$A,0),4)),$C361*INDEX(SPPR!$E:$X,MATCH($A361,SPPR!$A:$A,0),4),""),"")</f>
        <v/>
      </c>
      <c r="H361">
        <f>IFERROR(IF(ISNUMBER(INDEX(SPPR!$E:$X,MATCH($A361,SPPR!$A:$A,0),5)),$C361*INDEX(SPPR!$E:$X,MATCH($A361,SPPR!$A:$A,0),5),""),"")</f>
        <v/>
      </c>
      <c r="I361">
        <f>IFERROR(IF(ISNUMBER(INDEX(SPPR!$E:$X,MATCH($A361,SPPR!$A:$A,0),6)),$C361*INDEX(SPPR!$E:$X,MATCH($A361,SPPR!$A:$A,0),6),""),"")</f>
        <v/>
      </c>
      <c r="J361">
        <f>IFERROR(IF(ISNUMBER(INDEX(SPPR!$E:$X,MATCH($A361,SPPR!$A:$A,0),7)),$C361*INDEX(SPPR!$E:$X,MATCH($A361,SPPR!$A:$A,0),7),""),"")</f>
        <v/>
      </c>
      <c r="K361">
        <f>IFERROR(IF(ISNUMBER(INDEX(SPPR!$E:$X,MATCH($A361,SPPR!$A:$A,0),8)),$C361*INDEX(SPPR!$E:$X,MATCH($A361,SPPR!$A:$A,0),8),""),"")</f>
        <v/>
      </c>
      <c r="L361">
        <f>IFERROR(IF(ISNUMBER(INDEX(SPPR!$E:$X,MATCH($A361,SPPR!$A:$A,0),9)),$C361*INDEX(SPPR!$E:$X,MATCH($A361,SPPR!$A:$A,0),9),""),"")</f>
        <v/>
      </c>
      <c r="M361">
        <f>IFERROR(IF(ISNUMBER(INDEX(SPPR!$E:$X,MATCH($A361,SPPR!$A:$A,0),10)),$C361*INDEX(SPPR!$E:$X,MATCH($A361,SPPR!$A:$A,0),10),""),"")</f>
        <v/>
      </c>
      <c r="N361">
        <f>IFERROR(IF(ISNUMBER(INDEX(SPPR!$E:$X,MATCH($A361,SPPR!$A:$A,0),11)),$C361*INDEX(SPPR!$E:$X,MATCH($A361,SPPR!$A:$A,0),11),""),"")</f>
        <v/>
      </c>
      <c r="O361">
        <f>IFERROR(IF(ISNUMBER(INDEX(SPPR!$E:$X,MATCH($A361,SPPR!$A:$A,0),12)),$C361*INDEX(SPPR!$E:$X,MATCH($A361,SPPR!$A:$A,0),12),""),"")</f>
        <v/>
      </c>
      <c r="P361">
        <f>IFERROR(IF(ISNUMBER(INDEX(SPPR!$E:$X,MATCH($A361,SPPR!$A:$A,0),13)),$C361*INDEX(SPPR!$E:$X,MATCH($A361,SPPR!$A:$A,0),13),""),"")</f>
        <v/>
      </c>
      <c r="Q361">
        <f>IFERROR(IF(ISNUMBER(INDEX(SPPR!$E:$X,MATCH($A361,SPPR!$A:$A,0),14)),$C361*INDEX(SPPR!$E:$X,MATCH($A361,SPPR!$A:$A,0),14),""),"")</f>
        <v/>
      </c>
      <c r="R361">
        <f>IFERROR(IF(ISNUMBER(INDEX(SPPR!$E:$X,MATCH($A361,SPPR!$A:$A,0),15)),$C361*INDEX(SPPR!$E:$X,MATCH($A361,SPPR!$A:$A,0),15),""),"")</f>
        <v/>
      </c>
      <c r="S361">
        <f>IFERROR(IF(ISNUMBER(INDEX(SPPR!$E:$X,MATCH($A361,SPPR!$A:$A,0),16)),$C361*INDEX(SPPR!$E:$X,MATCH($A361,SPPR!$A:$A,0),16),""),"")</f>
        <v/>
      </c>
      <c r="T361">
        <f>IFERROR(IF(ISNUMBER(INDEX(SPPR!$E:$X,MATCH($A361,SPPR!$A:$A,0),17)),$C361*INDEX(SPPR!$E:$X,MATCH($A361,SPPR!$A:$A,0),17),""),"")</f>
        <v/>
      </c>
      <c r="U361">
        <f>IFERROR(IF(ISNUMBER(INDEX(SPPR!$E:$X,MATCH($A361,SPPR!$A:$A,0),18)),$C361*INDEX(SPPR!$E:$X,MATCH($A361,SPPR!$A:$A,0),18),""),"")</f>
        <v/>
      </c>
      <c r="V361">
        <f>IFERROR(IF(ISNUMBER(INDEX(SPPR!$E:$X,MATCH($A361,SPPR!$A:$A,0),19)),$C361*INDEX(SPPR!$E:$X,MATCH($A361,SPPR!$A:$A,0),19),""),"")</f>
        <v/>
      </c>
      <c r="W361">
        <f>IFERROR(IF(ISNUMBER(INDEX(SPPR!$E:$X,MATCH($A361,SPPR!$A:$A,0),20)),$C361*INDEX(SPPR!$E:$X,MATCH($A361,SPPR!$A:$A,0),20),""),"")</f>
        <v/>
      </c>
    </row>
    <row r="362">
      <c r="A362" t="inlineStr">
        <is>
          <t>Isurus oxyrinchus</t>
        </is>
      </c>
      <c r="B362">
        <f>IFERROR(INDEX(SPPR!$D:$D,MATCH($A362,SPPR!$A:$A,0)),"")</f>
        <v/>
      </c>
      <c r="C362">
        <f>IFERROR(INDEX(Catch!$E:$BV,MATCH($A362,Catch!$A:$A,0),MATCH($B$4,Catch!$E$1:$BV$1,0)),0)</f>
        <v/>
      </c>
      <c r="D362">
        <f>IFERROR(IF(ISNUMBER(INDEX(SPPR!$E:$X,MATCH($A362,SPPR!$A:$A,0),1)),$C362*INDEX(SPPR!$E:$X,MATCH($A362,SPPR!$A:$A,0),1),""),"")</f>
        <v/>
      </c>
      <c r="E362">
        <f>IFERROR(IF(ISNUMBER(INDEX(SPPR!$E:$X,MATCH($A362,SPPR!$A:$A,0),2)),$C362*INDEX(SPPR!$E:$X,MATCH($A362,SPPR!$A:$A,0),2),""),"")</f>
        <v/>
      </c>
      <c r="F362">
        <f>IFERROR(IF(ISNUMBER(INDEX(SPPR!$E:$X,MATCH($A362,SPPR!$A:$A,0),3)),$C362*INDEX(SPPR!$E:$X,MATCH($A362,SPPR!$A:$A,0),3),""),"")</f>
        <v/>
      </c>
      <c r="G362">
        <f>IFERROR(IF(ISNUMBER(INDEX(SPPR!$E:$X,MATCH($A362,SPPR!$A:$A,0),4)),$C362*INDEX(SPPR!$E:$X,MATCH($A362,SPPR!$A:$A,0),4),""),"")</f>
        <v/>
      </c>
      <c r="H362">
        <f>IFERROR(IF(ISNUMBER(INDEX(SPPR!$E:$X,MATCH($A362,SPPR!$A:$A,0),5)),$C362*INDEX(SPPR!$E:$X,MATCH($A362,SPPR!$A:$A,0),5),""),"")</f>
        <v/>
      </c>
      <c r="I362">
        <f>IFERROR(IF(ISNUMBER(INDEX(SPPR!$E:$X,MATCH($A362,SPPR!$A:$A,0),6)),$C362*INDEX(SPPR!$E:$X,MATCH($A362,SPPR!$A:$A,0),6),""),"")</f>
        <v/>
      </c>
      <c r="J362">
        <f>IFERROR(IF(ISNUMBER(INDEX(SPPR!$E:$X,MATCH($A362,SPPR!$A:$A,0),7)),$C362*INDEX(SPPR!$E:$X,MATCH($A362,SPPR!$A:$A,0),7),""),"")</f>
        <v/>
      </c>
      <c r="K362">
        <f>IFERROR(IF(ISNUMBER(INDEX(SPPR!$E:$X,MATCH($A362,SPPR!$A:$A,0),8)),$C362*INDEX(SPPR!$E:$X,MATCH($A362,SPPR!$A:$A,0),8),""),"")</f>
        <v/>
      </c>
      <c r="L362">
        <f>IFERROR(IF(ISNUMBER(INDEX(SPPR!$E:$X,MATCH($A362,SPPR!$A:$A,0),9)),$C362*INDEX(SPPR!$E:$X,MATCH($A362,SPPR!$A:$A,0),9),""),"")</f>
        <v/>
      </c>
      <c r="M362">
        <f>IFERROR(IF(ISNUMBER(INDEX(SPPR!$E:$X,MATCH($A362,SPPR!$A:$A,0),10)),$C362*INDEX(SPPR!$E:$X,MATCH($A362,SPPR!$A:$A,0),10),""),"")</f>
        <v/>
      </c>
      <c r="N362">
        <f>IFERROR(IF(ISNUMBER(INDEX(SPPR!$E:$X,MATCH($A362,SPPR!$A:$A,0),11)),$C362*INDEX(SPPR!$E:$X,MATCH($A362,SPPR!$A:$A,0),11),""),"")</f>
        <v/>
      </c>
      <c r="O362">
        <f>IFERROR(IF(ISNUMBER(INDEX(SPPR!$E:$X,MATCH($A362,SPPR!$A:$A,0),12)),$C362*INDEX(SPPR!$E:$X,MATCH($A362,SPPR!$A:$A,0),12),""),"")</f>
        <v/>
      </c>
      <c r="P362">
        <f>IFERROR(IF(ISNUMBER(INDEX(SPPR!$E:$X,MATCH($A362,SPPR!$A:$A,0),13)),$C362*INDEX(SPPR!$E:$X,MATCH($A362,SPPR!$A:$A,0),13),""),"")</f>
        <v/>
      </c>
      <c r="Q362">
        <f>IFERROR(IF(ISNUMBER(INDEX(SPPR!$E:$X,MATCH($A362,SPPR!$A:$A,0),14)),$C362*INDEX(SPPR!$E:$X,MATCH($A362,SPPR!$A:$A,0),14),""),"")</f>
        <v/>
      </c>
      <c r="R362">
        <f>IFERROR(IF(ISNUMBER(INDEX(SPPR!$E:$X,MATCH($A362,SPPR!$A:$A,0),15)),$C362*INDEX(SPPR!$E:$X,MATCH($A362,SPPR!$A:$A,0),15),""),"")</f>
        <v/>
      </c>
      <c r="S362">
        <f>IFERROR(IF(ISNUMBER(INDEX(SPPR!$E:$X,MATCH($A362,SPPR!$A:$A,0),16)),$C362*INDEX(SPPR!$E:$X,MATCH($A362,SPPR!$A:$A,0),16),""),"")</f>
        <v/>
      </c>
      <c r="T362">
        <f>IFERROR(IF(ISNUMBER(INDEX(SPPR!$E:$X,MATCH($A362,SPPR!$A:$A,0),17)),$C362*INDEX(SPPR!$E:$X,MATCH($A362,SPPR!$A:$A,0),17),""),"")</f>
        <v/>
      </c>
      <c r="U362">
        <f>IFERROR(IF(ISNUMBER(INDEX(SPPR!$E:$X,MATCH($A362,SPPR!$A:$A,0),18)),$C362*INDEX(SPPR!$E:$X,MATCH($A362,SPPR!$A:$A,0),18),""),"")</f>
        <v/>
      </c>
      <c r="V362">
        <f>IFERROR(IF(ISNUMBER(INDEX(SPPR!$E:$X,MATCH($A362,SPPR!$A:$A,0),19)),$C362*INDEX(SPPR!$E:$X,MATCH($A362,SPPR!$A:$A,0),19),""),"")</f>
        <v/>
      </c>
      <c r="W362">
        <f>IFERROR(IF(ISNUMBER(INDEX(SPPR!$E:$X,MATCH($A362,SPPR!$A:$A,0),20)),$C362*INDEX(SPPR!$E:$X,MATCH($A362,SPPR!$A:$A,0),20),""),"")</f>
        <v/>
      </c>
    </row>
    <row r="363">
      <c r="A363" t="inlineStr">
        <is>
          <t>Amblygaster sirm</t>
        </is>
      </c>
      <c r="B363">
        <f>IFERROR(INDEX(SPPR!$D:$D,MATCH($A363,SPPR!$A:$A,0)),"")</f>
        <v/>
      </c>
      <c r="C363">
        <f>IFERROR(INDEX(Catch!$E:$BV,MATCH($A363,Catch!$A:$A,0),MATCH($B$4,Catch!$E$1:$BV$1,0)),0)</f>
        <v/>
      </c>
      <c r="D363">
        <f>IFERROR(IF(ISNUMBER(INDEX(SPPR!$E:$X,MATCH($A363,SPPR!$A:$A,0),1)),$C363*INDEX(SPPR!$E:$X,MATCH($A363,SPPR!$A:$A,0),1),""),"")</f>
        <v/>
      </c>
      <c r="E363">
        <f>IFERROR(IF(ISNUMBER(INDEX(SPPR!$E:$X,MATCH($A363,SPPR!$A:$A,0),2)),$C363*INDEX(SPPR!$E:$X,MATCH($A363,SPPR!$A:$A,0),2),""),"")</f>
        <v/>
      </c>
      <c r="F363">
        <f>IFERROR(IF(ISNUMBER(INDEX(SPPR!$E:$X,MATCH($A363,SPPR!$A:$A,0),3)),$C363*INDEX(SPPR!$E:$X,MATCH($A363,SPPR!$A:$A,0),3),""),"")</f>
        <v/>
      </c>
      <c r="G363">
        <f>IFERROR(IF(ISNUMBER(INDEX(SPPR!$E:$X,MATCH($A363,SPPR!$A:$A,0),4)),$C363*INDEX(SPPR!$E:$X,MATCH($A363,SPPR!$A:$A,0),4),""),"")</f>
        <v/>
      </c>
      <c r="H363">
        <f>IFERROR(IF(ISNUMBER(INDEX(SPPR!$E:$X,MATCH($A363,SPPR!$A:$A,0),5)),$C363*INDEX(SPPR!$E:$X,MATCH($A363,SPPR!$A:$A,0),5),""),"")</f>
        <v/>
      </c>
      <c r="I363">
        <f>IFERROR(IF(ISNUMBER(INDEX(SPPR!$E:$X,MATCH($A363,SPPR!$A:$A,0),6)),$C363*INDEX(SPPR!$E:$X,MATCH($A363,SPPR!$A:$A,0),6),""),"")</f>
        <v/>
      </c>
      <c r="J363">
        <f>IFERROR(IF(ISNUMBER(INDEX(SPPR!$E:$X,MATCH($A363,SPPR!$A:$A,0),7)),$C363*INDEX(SPPR!$E:$X,MATCH($A363,SPPR!$A:$A,0),7),""),"")</f>
        <v/>
      </c>
      <c r="K363">
        <f>IFERROR(IF(ISNUMBER(INDEX(SPPR!$E:$X,MATCH($A363,SPPR!$A:$A,0),8)),$C363*INDEX(SPPR!$E:$X,MATCH($A363,SPPR!$A:$A,0),8),""),"")</f>
        <v/>
      </c>
      <c r="L363">
        <f>IFERROR(IF(ISNUMBER(INDEX(SPPR!$E:$X,MATCH($A363,SPPR!$A:$A,0),9)),$C363*INDEX(SPPR!$E:$X,MATCH($A363,SPPR!$A:$A,0),9),""),"")</f>
        <v/>
      </c>
      <c r="M363">
        <f>IFERROR(IF(ISNUMBER(INDEX(SPPR!$E:$X,MATCH($A363,SPPR!$A:$A,0),10)),$C363*INDEX(SPPR!$E:$X,MATCH($A363,SPPR!$A:$A,0),10),""),"")</f>
        <v/>
      </c>
      <c r="N363">
        <f>IFERROR(IF(ISNUMBER(INDEX(SPPR!$E:$X,MATCH($A363,SPPR!$A:$A,0),11)),$C363*INDEX(SPPR!$E:$X,MATCH($A363,SPPR!$A:$A,0),11),""),"")</f>
        <v/>
      </c>
      <c r="O363">
        <f>IFERROR(IF(ISNUMBER(INDEX(SPPR!$E:$X,MATCH($A363,SPPR!$A:$A,0),12)),$C363*INDEX(SPPR!$E:$X,MATCH($A363,SPPR!$A:$A,0),12),""),"")</f>
        <v/>
      </c>
      <c r="P363">
        <f>IFERROR(IF(ISNUMBER(INDEX(SPPR!$E:$X,MATCH($A363,SPPR!$A:$A,0),13)),$C363*INDEX(SPPR!$E:$X,MATCH($A363,SPPR!$A:$A,0),13),""),"")</f>
        <v/>
      </c>
      <c r="Q363">
        <f>IFERROR(IF(ISNUMBER(INDEX(SPPR!$E:$X,MATCH($A363,SPPR!$A:$A,0),14)),$C363*INDEX(SPPR!$E:$X,MATCH($A363,SPPR!$A:$A,0),14),""),"")</f>
        <v/>
      </c>
      <c r="R363">
        <f>IFERROR(IF(ISNUMBER(INDEX(SPPR!$E:$X,MATCH($A363,SPPR!$A:$A,0),15)),$C363*INDEX(SPPR!$E:$X,MATCH($A363,SPPR!$A:$A,0),15),""),"")</f>
        <v/>
      </c>
      <c r="S363">
        <f>IFERROR(IF(ISNUMBER(INDEX(SPPR!$E:$X,MATCH($A363,SPPR!$A:$A,0),16)),$C363*INDEX(SPPR!$E:$X,MATCH($A363,SPPR!$A:$A,0),16),""),"")</f>
        <v/>
      </c>
      <c r="T363">
        <f>IFERROR(IF(ISNUMBER(INDEX(SPPR!$E:$X,MATCH($A363,SPPR!$A:$A,0),17)),$C363*INDEX(SPPR!$E:$X,MATCH($A363,SPPR!$A:$A,0),17),""),"")</f>
        <v/>
      </c>
      <c r="U363">
        <f>IFERROR(IF(ISNUMBER(INDEX(SPPR!$E:$X,MATCH($A363,SPPR!$A:$A,0),18)),$C363*INDEX(SPPR!$E:$X,MATCH($A363,SPPR!$A:$A,0),18),""),"")</f>
        <v/>
      </c>
      <c r="V363">
        <f>IFERROR(IF(ISNUMBER(INDEX(SPPR!$E:$X,MATCH($A363,SPPR!$A:$A,0),19)),$C363*INDEX(SPPR!$E:$X,MATCH($A363,SPPR!$A:$A,0),19),""),"")</f>
        <v/>
      </c>
      <c r="W363">
        <f>IFERROR(IF(ISNUMBER(INDEX(SPPR!$E:$X,MATCH($A363,SPPR!$A:$A,0),20)),$C363*INDEX(SPPR!$E:$X,MATCH($A363,SPPR!$A:$A,0),20),""),"")</f>
        <v/>
      </c>
    </row>
    <row r="364">
      <c r="A364" t="inlineStr">
        <is>
          <t>Lampris guttatus</t>
        </is>
      </c>
      <c r="B364">
        <f>IFERROR(INDEX(SPPR!$D:$D,MATCH($A364,SPPR!$A:$A,0)),"")</f>
        <v/>
      </c>
      <c r="C364">
        <f>IFERROR(INDEX(Catch!$E:$BV,MATCH($A364,Catch!$A:$A,0),MATCH($B$4,Catch!$E$1:$BV$1,0)),0)</f>
        <v/>
      </c>
      <c r="D364">
        <f>IFERROR(IF(ISNUMBER(INDEX(SPPR!$E:$X,MATCH($A364,SPPR!$A:$A,0),1)),$C364*INDEX(SPPR!$E:$X,MATCH($A364,SPPR!$A:$A,0),1),""),"")</f>
        <v/>
      </c>
      <c r="E364">
        <f>IFERROR(IF(ISNUMBER(INDEX(SPPR!$E:$X,MATCH($A364,SPPR!$A:$A,0),2)),$C364*INDEX(SPPR!$E:$X,MATCH($A364,SPPR!$A:$A,0),2),""),"")</f>
        <v/>
      </c>
      <c r="F364">
        <f>IFERROR(IF(ISNUMBER(INDEX(SPPR!$E:$X,MATCH($A364,SPPR!$A:$A,0),3)),$C364*INDEX(SPPR!$E:$X,MATCH($A364,SPPR!$A:$A,0),3),""),"")</f>
        <v/>
      </c>
      <c r="G364">
        <f>IFERROR(IF(ISNUMBER(INDEX(SPPR!$E:$X,MATCH($A364,SPPR!$A:$A,0),4)),$C364*INDEX(SPPR!$E:$X,MATCH($A364,SPPR!$A:$A,0),4),""),"")</f>
        <v/>
      </c>
      <c r="H364">
        <f>IFERROR(IF(ISNUMBER(INDEX(SPPR!$E:$X,MATCH($A364,SPPR!$A:$A,0),5)),$C364*INDEX(SPPR!$E:$X,MATCH($A364,SPPR!$A:$A,0),5),""),"")</f>
        <v/>
      </c>
      <c r="I364">
        <f>IFERROR(IF(ISNUMBER(INDEX(SPPR!$E:$X,MATCH($A364,SPPR!$A:$A,0),6)),$C364*INDEX(SPPR!$E:$X,MATCH($A364,SPPR!$A:$A,0),6),""),"")</f>
        <v/>
      </c>
      <c r="J364">
        <f>IFERROR(IF(ISNUMBER(INDEX(SPPR!$E:$X,MATCH($A364,SPPR!$A:$A,0),7)),$C364*INDEX(SPPR!$E:$X,MATCH($A364,SPPR!$A:$A,0),7),""),"")</f>
        <v/>
      </c>
      <c r="K364">
        <f>IFERROR(IF(ISNUMBER(INDEX(SPPR!$E:$X,MATCH($A364,SPPR!$A:$A,0),8)),$C364*INDEX(SPPR!$E:$X,MATCH($A364,SPPR!$A:$A,0),8),""),"")</f>
        <v/>
      </c>
      <c r="L364">
        <f>IFERROR(IF(ISNUMBER(INDEX(SPPR!$E:$X,MATCH($A364,SPPR!$A:$A,0),9)),$C364*INDEX(SPPR!$E:$X,MATCH($A364,SPPR!$A:$A,0),9),""),"")</f>
        <v/>
      </c>
      <c r="M364">
        <f>IFERROR(IF(ISNUMBER(INDEX(SPPR!$E:$X,MATCH($A364,SPPR!$A:$A,0),10)),$C364*INDEX(SPPR!$E:$X,MATCH($A364,SPPR!$A:$A,0),10),""),"")</f>
        <v/>
      </c>
      <c r="N364">
        <f>IFERROR(IF(ISNUMBER(INDEX(SPPR!$E:$X,MATCH($A364,SPPR!$A:$A,0),11)),$C364*INDEX(SPPR!$E:$X,MATCH($A364,SPPR!$A:$A,0),11),""),"")</f>
        <v/>
      </c>
      <c r="O364">
        <f>IFERROR(IF(ISNUMBER(INDEX(SPPR!$E:$X,MATCH($A364,SPPR!$A:$A,0),12)),$C364*INDEX(SPPR!$E:$X,MATCH($A364,SPPR!$A:$A,0),12),""),"")</f>
        <v/>
      </c>
      <c r="P364">
        <f>IFERROR(IF(ISNUMBER(INDEX(SPPR!$E:$X,MATCH($A364,SPPR!$A:$A,0),13)),$C364*INDEX(SPPR!$E:$X,MATCH($A364,SPPR!$A:$A,0),13),""),"")</f>
        <v/>
      </c>
      <c r="Q364">
        <f>IFERROR(IF(ISNUMBER(INDEX(SPPR!$E:$X,MATCH($A364,SPPR!$A:$A,0),14)),$C364*INDEX(SPPR!$E:$X,MATCH($A364,SPPR!$A:$A,0),14),""),"")</f>
        <v/>
      </c>
      <c r="R364">
        <f>IFERROR(IF(ISNUMBER(INDEX(SPPR!$E:$X,MATCH($A364,SPPR!$A:$A,0),15)),$C364*INDEX(SPPR!$E:$X,MATCH($A364,SPPR!$A:$A,0),15),""),"")</f>
        <v/>
      </c>
      <c r="S364">
        <f>IFERROR(IF(ISNUMBER(INDEX(SPPR!$E:$X,MATCH($A364,SPPR!$A:$A,0),16)),$C364*INDEX(SPPR!$E:$X,MATCH($A364,SPPR!$A:$A,0),16),""),"")</f>
        <v/>
      </c>
      <c r="T364">
        <f>IFERROR(IF(ISNUMBER(INDEX(SPPR!$E:$X,MATCH($A364,SPPR!$A:$A,0),17)),$C364*INDEX(SPPR!$E:$X,MATCH($A364,SPPR!$A:$A,0),17),""),"")</f>
        <v/>
      </c>
      <c r="U364">
        <f>IFERROR(IF(ISNUMBER(INDEX(SPPR!$E:$X,MATCH($A364,SPPR!$A:$A,0),18)),$C364*INDEX(SPPR!$E:$X,MATCH($A364,SPPR!$A:$A,0),18),""),"")</f>
        <v/>
      </c>
      <c r="V364">
        <f>IFERROR(IF(ISNUMBER(INDEX(SPPR!$E:$X,MATCH($A364,SPPR!$A:$A,0),19)),$C364*INDEX(SPPR!$E:$X,MATCH($A364,SPPR!$A:$A,0),19),""),"")</f>
        <v/>
      </c>
      <c r="W364">
        <f>IFERROR(IF(ISNUMBER(INDEX(SPPR!$E:$X,MATCH($A364,SPPR!$A:$A,0),20)),$C364*INDEX(SPPR!$E:$X,MATCH($A364,SPPR!$A:$A,0),20),""),"")</f>
        <v/>
      </c>
    </row>
    <row r="365">
      <c r="A365" t="inlineStr">
        <is>
          <t>Pectinidae</t>
        </is>
      </c>
      <c r="B365">
        <f>IFERROR(INDEX(SPPR!$D:$D,MATCH($A365,SPPR!$A:$A,0)),"")</f>
        <v/>
      </c>
      <c r="C365">
        <f>IFERROR(INDEX(Catch!$E:$BV,MATCH($A365,Catch!$A:$A,0),MATCH($B$4,Catch!$E$1:$BV$1,0)),0)</f>
        <v/>
      </c>
      <c r="D365">
        <f>IFERROR(IF(ISNUMBER(INDEX(SPPR!$E:$X,MATCH($A365,SPPR!$A:$A,0),1)),$C365*INDEX(SPPR!$E:$X,MATCH($A365,SPPR!$A:$A,0),1),""),"")</f>
        <v/>
      </c>
      <c r="E365">
        <f>IFERROR(IF(ISNUMBER(INDEX(SPPR!$E:$X,MATCH($A365,SPPR!$A:$A,0),2)),$C365*INDEX(SPPR!$E:$X,MATCH($A365,SPPR!$A:$A,0),2),""),"")</f>
        <v/>
      </c>
      <c r="F365">
        <f>IFERROR(IF(ISNUMBER(INDEX(SPPR!$E:$X,MATCH($A365,SPPR!$A:$A,0),3)),$C365*INDEX(SPPR!$E:$X,MATCH($A365,SPPR!$A:$A,0),3),""),"")</f>
        <v/>
      </c>
      <c r="G365">
        <f>IFERROR(IF(ISNUMBER(INDEX(SPPR!$E:$X,MATCH($A365,SPPR!$A:$A,0),4)),$C365*INDEX(SPPR!$E:$X,MATCH($A365,SPPR!$A:$A,0),4),""),"")</f>
        <v/>
      </c>
      <c r="H365">
        <f>IFERROR(IF(ISNUMBER(INDEX(SPPR!$E:$X,MATCH($A365,SPPR!$A:$A,0),5)),$C365*INDEX(SPPR!$E:$X,MATCH($A365,SPPR!$A:$A,0),5),""),"")</f>
        <v/>
      </c>
      <c r="I365">
        <f>IFERROR(IF(ISNUMBER(INDEX(SPPR!$E:$X,MATCH($A365,SPPR!$A:$A,0),6)),$C365*INDEX(SPPR!$E:$X,MATCH($A365,SPPR!$A:$A,0),6),""),"")</f>
        <v/>
      </c>
      <c r="J365">
        <f>IFERROR(IF(ISNUMBER(INDEX(SPPR!$E:$X,MATCH($A365,SPPR!$A:$A,0),7)),$C365*INDEX(SPPR!$E:$X,MATCH($A365,SPPR!$A:$A,0),7),""),"")</f>
        <v/>
      </c>
      <c r="K365">
        <f>IFERROR(IF(ISNUMBER(INDEX(SPPR!$E:$X,MATCH($A365,SPPR!$A:$A,0),8)),$C365*INDEX(SPPR!$E:$X,MATCH($A365,SPPR!$A:$A,0),8),""),"")</f>
        <v/>
      </c>
      <c r="L365">
        <f>IFERROR(IF(ISNUMBER(INDEX(SPPR!$E:$X,MATCH($A365,SPPR!$A:$A,0),9)),$C365*INDEX(SPPR!$E:$X,MATCH($A365,SPPR!$A:$A,0),9),""),"")</f>
        <v/>
      </c>
      <c r="M365">
        <f>IFERROR(IF(ISNUMBER(INDEX(SPPR!$E:$X,MATCH($A365,SPPR!$A:$A,0),10)),$C365*INDEX(SPPR!$E:$X,MATCH($A365,SPPR!$A:$A,0),10),""),"")</f>
        <v/>
      </c>
      <c r="N365">
        <f>IFERROR(IF(ISNUMBER(INDEX(SPPR!$E:$X,MATCH($A365,SPPR!$A:$A,0),11)),$C365*INDEX(SPPR!$E:$X,MATCH($A365,SPPR!$A:$A,0),11),""),"")</f>
        <v/>
      </c>
      <c r="O365">
        <f>IFERROR(IF(ISNUMBER(INDEX(SPPR!$E:$X,MATCH($A365,SPPR!$A:$A,0),12)),$C365*INDEX(SPPR!$E:$X,MATCH($A365,SPPR!$A:$A,0),12),""),"")</f>
        <v/>
      </c>
      <c r="P365">
        <f>IFERROR(IF(ISNUMBER(INDEX(SPPR!$E:$X,MATCH($A365,SPPR!$A:$A,0),13)),$C365*INDEX(SPPR!$E:$X,MATCH($A365,SPPR!$A:$A,0),13),""),"")</f>
        <v/>
      </c>
      <c r="Q365">
        <f>IFERROR(IF(ISNUMBER(INDEX(SPPR!$E:$X,MATCH($A365,SPPR!$A:$A,0),14)),$C365*INDEX(SPPR!$E:$X,MATCH($A365,SPPR!$A:$A,0),14),""),"")</f>
        <v/>
      </c>
      <c r="R365">
        <f>IFERROR(IF(ISNUMBER(INDEX(SPPR!$E:$X,MATCH($A365,SPPR!$A:$A,0),15)),$C365*INDEX(SPPR!$E:$X,MATCH($A365,SPPR!$A:$A,0),15),""),"")</f>
        <v/>
      </c>
      <c r="S365">
        <f>IFERROR(IF(ISNUMBER(INDEX(SPPR!$E:$X,MATCH($A365,SPPR!$A:$A,0),16)),$C365*INDEX(SPPR!$E:$X,MATCH($A365,SPPR!$A:$A,0),16),""),"")</f>
        <v/>
      </c>
      <c r="T365">
        <f>IFERROR(IF(ISNUMBER(INDEX(SPPR!$E:$X,MATCH($A365,SPPR!$A:$A,0),17)),$C365*INDEX(SPPR!$E:$X,MATCH($A365,SPPR!$A:$A,0),17),""),"")</f>
        <v/>
      </c>
      <c r="U365">
        <f>IFERROR(IF(ISNUMBER(INDEX(SPPR!$E:$X,MATCH($A365,SPPR!$A:$A,0),18)),$C365*INDEX(SPPR!$E:$X,MATCH($A365,SPPR!$A:$A,0),18),""),"")</f>
        <v/>
      </c>
      <c r="V365">
        <f>IFERROR(IF(ISNUMBER(INDEX(SPPR!$E:$X,MATCH($A365,SPPR!$A:$A,0),19)),$C365*INDEX(SPPR!$E:$X,MATCH($A365,SPPR!$A:$A,0),19),""),"")</f>
        <v/>
      </c>
      <c r="W365">
        <f>IFERROR(IF(ISNUMBER(INDEX(SPPR!$E:$X,MATCH($A365,SPPR!$A:$A,0),20)),$C365*INDEX(SPPR!$E:$X,MATCH($A365,SPPR!$A:$A,0),20),""),"")</f>
        <v/>
      </c>
    </row>
    <row r="366">
      <c r="A366" t="inlineStr">
        <is>
          <t>Gymnosarda unicolor</t>
        </is>
      </c>
      <c r="B366">
        <f>IFERROR(INDEX(SPPR!$D:$D,MATCH($A366,SPPR!$A:$A,0)),"")</f>
        <v/>
      </c>
      <c r="C366">
        <f>IFERROR(INDEX(Catch!$E:$BV,MATCH($A366,Catch!$A:$A,0),MATCH($B$4,Catch!$E$1:$BV$1,0)),0)</f>
        <v/>
      </c>
      <c r="D366">
        <f>IFERROR(IF(ISNUMBER(INDEX(SPPR!$E:$X,MATCH($A366,SPPR!$A:$A,0),1)),$C366*INDEX(SPPR!$E:$X,MATCH($A366,SPPR!$A:$A,0),1),""),"")</f>
        <v/>
      </c>
      <c r="E366">
        <f>IFERROR(IF(ISNUMBER(INDEX(SPPR!$E:$X,MATCH($A366,SPPR!$A:$A,0),2)),$C366*INDEX(SPPR!$E:$X,MATCH($A366,SPPR!$A:$A,0),2),""),"")</f>
        <v/>
      </c>
      <c r="F366">
        <f>IFERROR(IF(ISNUMBER(INDEX(SPPR!$E:$X,MATCH($A366,SPPR!$A:$A,0),3)),$C366*INDEX(SPPR!$E:$X,MATCH($A366,SPPR!$A:$A,0),3),""),"")</f>
        <v/>
      </c>
      <c r="G366">
        <f>IFERROR(IF(ISNUMBER(INDEX(SPPR!$E:$X,MATCH($A366,SPPR!$A:$A,0),4)),$C366*INDEX(SPPR!$E:$X,MATCH($A366,SPPR!$A:$A,0),4),""),"")</f>
        <v/>
      </c>
      <c r="H366">
        <f>IFERROR(IF(ISNUMBER(INDEX(SPPR!$E:$X,MATCH($A366,SPPR!$A:$A,0),5)),$C366*INDEX(SPPR!$E:$X,MATCH($A366,SPPR!$A:$A,0),5),""),"")</f>
        <v/>
      </c>
      <c r="I366">
        <f>IFERROR(IF(ISNUMBER(INDEX(SPPR!$E:$X,MATCH($A366,SPPR!$A:$A,0),6)),$C366*INDEX(SPPR!$E:$X,MATCH($A366,SPPR!$A:$A,0),6),""),"")</f>
        <v/>
      </c>
      <c r="J366">
        <f>IFERROR(IF(ISNUMBER(INDEX(SPPR!$E:$X,MATCH($A366,SPPR!$A:$A,0),7)),$C366*INDEX(SPPR!$E:$X,MATCH($A366,SPPR!$A:$A,0),7),""),"")</f>
        <v/>
      </c>
      <c r="K366">
        <f>IFERROR(IF(ISNUMBER(INDEX(SPPR!$E:$X,MATCH($A366,SPPR!$A:$A,0),8)),$C366*INDEX(SPPR!$E:$X,MATCH($A366,SPPR!$A:$A,0),8),""),"")</f>
        <v/>
      </c>
      <c r="L366">
        <f>IFERROR(IF(ISNUMBER(INDEX(SPPR!$E:$X,MATCH($A366,SPPR!$A:$A,0),9)),$C366*INDEX(SPPR!$E:$X,MATCH($A366,SPPR!$A:$A,0),9),""),"")</f>
        <v/>
      </c>
      <c r="M366">
        <f>IFERROR(IF(ISNUMBER(INDEX(SPPR!$E:$X,MATCH($A366,SPPR!$A:$A,0),10)),$C366*INDEX(SPPR!$E:$X,MATCH($A366,SPPR!$A:$A,0),10),""),"")</f>
        <v/>
      </c>
      <c r="N366">
        <f>IFERROR(IF(ISNUMBER(INDEX(SPPR!$E:$X,MATCH($A366,SPPR!$A:$A,0),11)),$C366*INDEX(SPPR!$E:$X,MATCH($A366,SPPR!$A:$A,0),11),""),"")</f>
        <v/>
      </c>
      <c r="O366">
        <f>IFERROR(IF(ISNUMBER(INDEX(SPPR!$E:$X,MATCH($A366,SPPR!$A:$A,0),12)),$C366*INDEX(SPPR!$E:$X,MATCH($A366,SPPR!$A:$A,0),12),""),"")</f>
        <v/>
      </c>
      <c r="P366">
        <f>IFERROR(IF(ISNUMBER(INDEX(SPPR!$E:$X,MATCH($A366,SPPR!$A:$A,0),13)),$C366*INDEX(SPPR!$E:$X,MATCH($A366,SPPR!$A:$A,0),13),""),"")</f>
        <v/>
      </c>
      <c r="Q366">
        <f>IFERROR(IF(ISNUMBER(INDEX(SPPR!$E:$X,MATCH($A366,SPPR!$A:$A,0),14)),$C366*INDEX(SPPR!$E:$X,MATCH($A366,SPPR!$A:$A,0),14),""),"")</f>
        <v/>
      </c>
      <c r="R366">
        <f>IFERROR(IF(ISNUMBER(INDEX(SPPR!$E:$X,MATCH($A366,SPPR!$A:$A,0),15)),$C366*INDEX(SPPR!$E:$X,MATCH($A366,SPPR!$A:$A,0),15),""),"")</f>
        <v/>
      </c>
      <c r="S366">
        <f>IFERROR(IF(ISNUMBER(INDEX(SPPR!$E:$X,MATCH($A366,SPPR!$A:$A,0),16)),$C366*INDEX(SPPR!$E:$X,MATCH($A366,SPPR!$A:$A,0),16),""),"")</f>
        <v/>
      </c>
      <c r="T366">
        <f>IFERROR(IF(ISNUMBER(INDEX(SPPR!$E:$X,MATCH($A366,SPPR!$A:$A,0),17)),$C366*INDEX(SPPR!$E:$X,MATCH($A366,SPPR!$A:$A,0),17),""),"")</f>
        <v/>
      </c>
      <c r="U366">
        <f>IFERROR(IF(ISNUMBER(INDEX(SPPR!$E:$X,MATCH($A366,SPPR!$A:$A,0),18)),$C366*INDEX(SPPR!$E:$X,MATCH($A366,SPPR!$A:$A,0),18),""),"")</f>
        <v/>
      </c>
      <c r="V366">
        <f>IFERROR(IF(ISNUMBER(INDEX(SPPR!$E:$X,MATCH($A366,SPPR!$A:$A,0),19)),$C366*INDEX(SPPR!$E:$X,MATCH($A366,SPPR!$A:$A,0),19),""),"")</f>
        <v/>
      </c>
      <c r="W366">
        <f>IFERROR(IF(ISNUMBER(INDEX(SPPR!$E:$X,MATCH($A366,SPPR!$A:$A,0),20)),$C366*INDEX(SPPR!$E:$X,MATCH($A366,SPPR!$A:$A,0),20),""),"")</f>
        <v/>
      </c>
    </row>
    <row r="367">
      <c r="A367" t="inlineStr">
        <is>
          <t>Tenualosa toli</t>
        </is>
      </c>
      <c r="B367">
        <f>IFERROR(INDEX(SPPR!$D:$D,MATCH($A367,SPPR!$A:$A,0)),"")</f>
        <v/>
      </c>
      <c r="C367">
        <f>IFERROR(INDEX(Catch!$E:$BV,MATCH($A367,Catch!$A:$A,0),MATCH($B$4,Catch!$E$1:$BV$1,0)),0)</f>
        <v/>
      </c>
      <c r="D367">
        <f>IFERROR(IF(ISNUMBER(INDEX(SPPR!$E:$X,MATCH($A367,SPPR!$A:$A,0),1)),$C367*INDEX(SPPR!$E:$X,MATCH($A367,SPPR!$A:$A,0),1),""),"")</f>
        <v/>
      </c>
      <c r="E367">
        <f>IFERROR(IF(ISNUMBER(INDEX(SPPR!$E:$X,MATCH($A367,SPPR!$A:$A,0),2)),$C367*INDEX(SPPR!$E:$X,MATCH($A367,SPPR!$A:$A,0),2),""),"")</f>
        <v/>
      </c>
      <c r="F367">
        <f>IFERROR(IF(ISNUMBER(INDEX(SPPR!$E:$X,MATCH($A367,SPPR!$A:$A,0),3)),$C367*INDEX(SPPR!$E:$X,MATCH($A367,SPPR!$A:$A,0),3),""),"")</f>
        <v/>
      </c>
      <c r="G367">
        <f>IFERROR(IF(ISNUMBER(INDEX(SPPR!$E:$X,MATCH($A367,SPPR!$A:$A,0),4)),$C367*INDEX(SPPR!$E:$X,MATCH($A367,SPPR!$A:$A,0),4),""),"")</f>
        <v/>
      </c>
      <c r="H367">
        <f>IFERROR(IF(ISNUMBER(INDEX(SPPR!$E:$X,MATCH($A367,SPPR!$A:$A,0),5)),$C367*INDEX(SPPR!$E:$X,MATCH($A367,SPPR!$A:$A,0),5),""),"")</f>
        <v/>
      </c>
      <c r="I367">
        <f>IFERROR(IF(ISNUMBER(INDEX(SPPR!$E:$X,MATCH($A367,SPPR!$A:$A,0),6)),$C367*INDEX(SPPR!$E:$X,MATCH($A367,SPPR!$A:$A,0),6),""),"")</f>
        <v/>
      </c>
      <c r="J367">
        <f>IFERROR(IF(ISNUMBER(INDEX(SPPR!$E:$X,MATCH($A367,SPPR!$A:$A,0),7)),$C367*INDEX(SPPR!$E:$X,MATCH($A367,SPPR!$A:$A,0),7),""),"")</f>
        <v/>
      </c>
      <c r="K367">
        <f>IFERROR(IF(ISNUMBER(INDEX(SPPR!$E:$X,MATCH($A367,SPPR!$A:$A,0),8)),$C367*INDEX(SPPR!$E:$X,MATCH($A367,SPPR!$A:$A,0),8),""),"")</f>
        <v/>
      </c>
      <c r="L367">
        <f>IFERROR(IF(ISNUMBER(INDEX(SPPR!$E:$X,MATCH($A367,SPPR!$A:$A,0),9)),$C367*INDEX(SPPR!$E:$X,MATCH($A367,SPPR!$A:$A,0),9),""),"")</f>
        <v/>
      </c>
      <c r="M367">
        <f>IFERROR(IF(ISNUMBER(INDEX(SPPR!$E:$X,MATCH($A367,SPPR!$A:$A,0),10)),$C367*INDEX(SPPR!$E:$X,MATCH($A367,SPPR!$A:$A,0),10),""),"")</f>
        <v/>
      </c>
      <c r="N367">
        <f>IFERROR(IF(ISNUMBER(INDEX(SPPR!$E:$X,MATCH($A367,SPPR!$A:$A,0),11)),$C367*INDEX(SPPR!$E:$X,MATCH($A367,SPPR!$A:$A,0),11),""),"")</f>
        <v/>
      </c>
      <c r="O367">
        <f>IFERROR(IF(ISNUMBER(INDEX(SPPR!$E:$X,MATCH($A367,SPPR!$A:$A,0),12)),$C367*INDEX(SPPR!$E:$X,MATCH($A367,SPPR!$A:$A,0),12),""),"")</f>
        <v/>
      </c>
      <c r="P367">
        <f>IFERROR(IF(ISNUMBER(INDEX(SPPR!$E:$X,MATCH($A367,SPPR!$A:$A,0),13)),$C367*INDEX(SPPR!$E:$X,MATCH($A367,SPPR!$A:$A,0),13),""),"")</f>
        <v/>
      </c>
      <c r="Q367">
        <f>IFERROR(IF(ISNUMBER(INDEX(SPPR!$E:$X,MATCH($A367,SPPR!$A:$A,0),14)),$C367*INDEX(SPPR!$E:$X,MATCH($A367,SPPR!$A:$A,0),14),""),"")</f>
        <v/>
      </c>
      <c r="R367">
        <f>IFERROR(IF(ISNUMBER(INDEX(SPPR!$E:$X,MATCH($A367,SPPR!$A:$A,0),15)),$C367*INDEX(SPPR!$E:$X,MATCH($A367,SPPR!$A:$A,0),15),""),"")</f>
        <v/>
      </c>
      <c r="S367">
        <f>IFERROR(IF(ISNUMBER(INDEX(SPPR!$E:$X,MATCH($A367,SPPR!$A:$A,0),16)),$C367*INDEX(SPPR!$E:$X,MATCH($A367,SPPR!$A:$A,0),16),""),"")</f>
        <v/>
      </c>
      <c r="T367">
        <f>IFERROR(IF(ISNUMBER(INDEX(SPPR!$E:$X,MATCH($A367,SPPR!$A:$A,0),17)),$C367*INDEX(SPPR!$E:$X,MATCH($A367,SPPR!$A:$A,0),17),""),"")</f>
        <v/>
      </c>
      <c r="U367">
        <f>IFERROR(IF(ISNUMBER(INDEX(SPPR!$E:$X,MATCH($A367,SPPR!$A:$A,0),18)),$C367*INDEX(SPPR!$E:$X,MATCH($A367,SPPR!$A:$A,0),18),""),"")</f>
        <v/>
      </c>
      <c r="V367">
        <f>IFERROR(IF(ISNUMBER(INDEX(SPPR!$E:$X,MATCH($A367,SPPR!$A:$A,0),19)),$C367*INDEX(SPPR!$E:$X,MATCH($A367,SPPR!$A:$A,0),19),""),"")</f>
        <v/>
      </c>
      <c r="W367">
        <f>IFERROR(IF(ISNUMBER(INDEX(SPPR!$E:$X,MATCH($A367,SPPR!$A:$A,0),20)),$C367*INDEX(SPPR!$E:$X,MATCH($A367,SPPR!$A:$A,0),20),""),"")</f>
        <v/>
      </c>
    </row>
    <row r="368">
      <c r="A368" t="inlineStr">
        <is>
          <t>Sphyrna</t>
        </is>
      </c>
      <c r="B368">
        <f>IFERROR(INDEX(SPPR!$D:$D,MATCH($A368,SPPR!$A:$A,0)),"")</f>
        <v/>
      </c>
      <c r="C368">
        <f>IFERROR(INDEX(Catch!$E:$BV,MATCH($A368,Catch!$A:$A,0),MATCH($B$4,Catch!$E$1:$BV$1,0)),0)</f>
        <v/>
      </c>
      <c r="D368">
        <f>IFERROR(IF(ISNUMBER(INDEX(SPPR!$E:$X,MATCH($A368,SPPR!$A:$A,0),1)),$C368*INDEX(SPPR!$E:$X,MATCH($A368,SPPR!$A:$A,0),1),""),"")</f>
        <v/>
      </c>
      <c r="E368">
        <f>IFERROR(IF(ISNUMBER(INDEX(SPPR!$E:$X,MATCH($A368,SPPR!$A:$A,0),2)),$C368*INDEX(SPPR!$E:$X,MATCH($A368,SPPR!$A:$A,0),2),""),"")</f>
        <v/>
      </c>
      <c r="F368">
        <f>IFERROR(IF(ISNUMBER(INDEX(SPPR!$E:$X,MATCH($A368,SPPR!$A:$A,0),3)),$C368*INDEX(SPPR!$E:$X,MATCH($A368,SPPR!$A:$A,0),3),""),"")</f>
        <v/>
      </c>
      <c r="G368">
        <f>IFERROR(IF(ISNUMBER(INDEX(SPPR!$E:$X,MATCH($A368,SPPR!$A:$A,0),4)),$C368*INDEX(SPPR!$E:$X,MATCH($A368,SPPR!$A:$A,0),4),""),"")</f>
        <v/>
      </c>
      <c r="H368">
        <f>IFERROR(IF(ISNUMBER(INDEX(SPPR!$E:$X,MATCH($A368,SPPR!$A:$A,0),5)),$C368*INDEX(SPPR!$E:$X,MATCH($A368,SPPR!$A:$A,0),5),""),"")</f>
        <v/>
      </c>
      <c r="I368">
        <f>IFERROR(IF(ISNUMBER(INDEX(SPPR!$E:$X,MATCH($A368,SPPR!$A:$A,0),6)),$C368*INDEX(SPPR!$E:$X,MATCH($A368,SPPR!$A:$A,0),6),""),"")</f>
        <v/>
      </c>
      <c r="J368">
        <f>IFERROR(IF(ISNUMBER(INDEX(SPPR!$E:$X,MATCH($A368,SPPR!$A:$A,0),7)),$C368*INDEX(SPPR!$E:$X,MATCH($A368,SPPR!$A:$A,0),7),""),"")</f>
        <v/>
      </c>
      <c r="K368">
        <f>IFERROR(IF(ISNUMBER(INDEX(SPPR!$E:$X,MATCH($A368,SPPR!$A:$A,0),8)),$C368*INDEX(SPPR!$E:$X,MATCH($A368,SPPR!$A:$A,0),8),""),"")</f>
        <v/>
      </c>
      <c r="L368">
        <f>IFERROR(IF(ISNUMBER(INDEX(SPPR!$E:$X,MATCH($A368,SPPR!$A:$A,0),9)),$C368*INDEX(SPPR!$E:$X,MATCH($A368,SPPR!$A:$A,0),9),""),"")</f>
        <v/>
      </c>
      <c r="M368">
        <f>IFERROR(IF(ISNUMBER(INDEX(SPPR!$E:$X,MATCH($A368,SPPR!$A:$A,0),10)),$C368*INDEX(SPPR!$E:$X,MATCH($A368,SPPR!$A:$A,0),10),""),"")</f>
        <v/>
      </c>
      <c r="N368">
        <f>IFERROR(IF(ISNUMBER(INDEX(SPPR!$E:$X,MATCH($A368,SPPR!$A:$A,0),11)),$C368*INDEX(SPPR!$E:$X,MATCH($A368,SPPR!$A:$A,0),11),""),"")</f>
        <v/>
      </c>
      <c r="O368">
        <f>IFERROR(IF(ISNUMBER(INDEX(SPPR!$E:$X,MATCH($A368,SPPR!$A:$A,0),12)),$C368*INDEX(SPPR!$E:$X,MATCH($A368,SPPR!$A:$A,0),12),""),"")</f>
        <v/>
      </c>
      <c r="P368">
        <f>IFERROR(IF(ISNUMBER(INDEX(SPPR!$E:$X,MATCH($A368,SPPR!$A:$A,0),13)),$C368*INDEX(SPPR!$E:$X,MATCH($A368,SPPR!$A:$A,0),13),""),"")</f>
        <v/>
      </c>
      <c r="Q368">
        <f>IFERROR(IF(ISNUMBER(INDEX(SPPR!$E:$X,MATCH($A368,SPPR!$A:$A,0),14)),$C368*INDEX(SPPR!$E:$X,MATCH($A368,SPPR!$A:$A,0),14),""),"")</f>
        <v/>
      </c>
      <c r="R368">
        <f>IFERROR(IF(ISNUMBER(INDEX(SPPR!$E:$X,MATCH($A368,SPPR!$A:$A,0),15)),$C368*INDEX(SPPR!$E:$X,MATCH($A368,SPPR!$A:$A,0),15),""),"")</f>
        <v/>
      </c>
      <c r="S368">
        <f>IFERROR(IF(ISNUMBER(INDEX(SPPR!$E:$X,MATCH($A368,SPPR!$A:$A,0),16)),$C368*INDEX(SPPR!$E:$X,MATCH($A368,SPPR!$A:$A,0),16),""),"")</f>
        <v/>
      </c>
      <c r="T368">
        <f>IFERROR(IF(ISNUMBER(INDEX(SPPR!$E:$X,MATCH($A368,SPPR!$A:$A,0),17)),$C368*INDEX(SPPR!$E:$X,MATCH($A368,SPPR!$A:$A,0),17),""),"")</f>
        <v/>
      </c>
      <c r="U368">
        <f>IFERROR(IF(ISNUMBER(INDEX(SPPR!$E:$X,MATCH($A368,SPPR!$A:$A,0),18)),$C368*INDEX(SPPR!$E:$X,MATCH($A368,SPPR!$A:$A,0),18),""),"")</f>
        <v/>
      </c>
      <c r="V368">
        <f>IFERROR(IF(ISNUMBER(INDEX(SPPR!$E:$X,MATCH($A368,SPPR!$A:$A,0),19)),$C368*INDEX(SPPR!$E:$X,MATCH($A368,SPPR!$A:$A,0),19),""),"")</f>
        <v/>
      </c>
      <c r="W368">
        <f>IFERROR(IF(ISNUMBER(INDEX(SPPR!$E:$X,MATCH($A368,SPPR!$A:$A,0),20)),$C368*INDEX(SPPR!$E:$X,MATCH($A368,SPPR!$A:$A,0),20),""),"")</f>
        <v/>
      </c>
    </row>
    <row r="369">
      <c r="A369" t="inlineStr">
        <is>
          <t>Ostreidae</t>
        </is>
      </c>
      <c r="B369">
        <f>IFERROR(INDEX(SPPR!$D:$D,MATCH($A369,SPPR!$A:$A,0)),"")</f>
        <v/>
      </c>
      <c r="C369">
        <f>IFERROR(INDEX(Catch!$E:$BV,MATCH($A369,Catch!$A:$A,0),MATCH($B$4,Catch!$E$1:$BV$1,0)),0)</f>
        <v/>
      </c>
      <c r="D369">
        <f>IFERROR(IF(ISNUMBER(INDEX(SPPR!$E:$X,MATCH($A369,SPPR!$A:$A,0),1)),$C369*INDEX(SPPR!$E:$X,MATCH($A369,SPPR!$A:$A,0),1),""),"")</f>
        <v/>
      </c>
      <c r="E369">
        <f>IFERROR(IF(ISNUMBER(INDEX(SPPR!$E:$X,MATCH($A369,SPPR!$A:$A,0),2)),$C369*INDEX(SPPR!$E:$X,MATCH($A369,SPPR!$A:$A,0),2),""),"")</f>
        <v/>
      </c>
      <c r="F369">
        <f>IFERROR(IF(ISNUMBER(INDEX(SPPR!$E:$X,MATCH($A369,SPPR!$A:$A,0),3)),$C369*INDEX(SPPR!$E:$X,MATCH($A369,SPPR!$A:$A,0),3),""),"")</f>
        <v/>
      </c>
      <c r="G369">
        <f>IFERROR(IF(ISNUMBER(INDEX(SPPR!$E:$X,MATCH($A369,SPPR!$A:$A,0),4)),$C369*INDEX(SPPR!$E:$X,MATCH($A369,SPPR!$A:$A,0),4),""),"")</f>
        <v/>
      </c>
      <c r="H369">
        <f>IFERROR(IF(ISNUMBER(INDEX(SPPR!$E:$X,MATCH($A369,SPPR!$A:$A,0),5)),$C369*INDEX(SPPR!$E:$X,MATCH($A369,SPPR!$A:$A,0),5),""),"")</f>
        <v/>
      </c>
      <c r="I369">
        <f>IFERROR(IF(ISNUMBER(INDEX(SPPR!$E:$X,MATCH($A369,SPPR!$A:$A,0),6)),$C369*INDEX(SPPR!$E:$X,MATCH($A369,SPPR!$A:$A,0),6),""),"")</f>
        <v/>
      </c>
      <c r="J369">
        <f>IFERROR(IF(ISNUMBER(INDEX(SPPR!$E:$X,MATCH($A369,SPPR!$A:$A,0),7)),$C369*INDEX(SPPR!$E:$X,MATCH($A369,SPPR!$A:$A,0),7),""),"")</f>
        <v/>
      </c>
      <c r="K369">
        <f>IFERROR(IF(ISNUMBER(INDEX(SPPR!$E:$X,MATCH($A369,SPPR!$A:$A,0),8)),$C369*INDEX(SPPR!$E:$X,MATCH($A369,SPPR!$A:$A,0),8),""),"")</f>
        <v/>
      </c>
      <c r="L369">
        <f>IFERROR(IF(ISNUMBER(INDEX(SPPR!$E:$X,MATCH($A369,SPPR!$A:$A,0),9)),$C369*INDEX(SPPR!$E:$X,MATCH($A369,SPPR!$A:$A,0),9),""),"")</f>
        <v/>
      </c>
      <c r="M369">
        <f>IFERROR(IF(ISNUMBER(INDEX(SPPR!$E:$X,MATCH($A369,SPPR!$A:$A,0),10)),$C369*INDEX(SPPR!$E:$X,MATCH($A369,SPPR!$A:$A,0),10),""),"")</f>
        <v/>
      </c>
      <c r="N369">
        <f>IFERROR(IF(ISNUMBER(INDEX(SPPR!$E:$X,MATCH($A369,SPPR!$A:$A,0),11)),$C369*INDEX(SPPR!$E:$X,MATCH($A369,SPPR!$A:$A,0),11),""),"")</f>
        <v/>
      </c>
      <c r="O369">
        <f>IFERROR(IF(ISNUMBER(INDEX(SPPR!$E:$X,MATCH($A369,SPPR!$A:$A,0),12)),$C369*INDEX(SPPR!$E:$X,MATCH($A369,SPPR!$A:$A,0),12),""),"")</f>
        <v/>
      </c>
      <c r="P369">
        <f>IFERROR(IF(ISNUMBER(INDEX(SPPR!$E:$X,MATCH($A369,SPPR!$A:$A,0),13)),$C369*INDEX(SPPR!$E:$X,MATCH($A369,SPPR!$A:$A,0),13),""),"")</f>
        <v/>
      </c>
      <c r="Q369">
        <f>IFERROR(IF(ISNUMBER(INDEX(SPPR!$E:$X,MATCH($A369,SPPR!$A:$A,0),14)),$C369*INDEX(SPPR!$E:$X,MATCH($A369,SPPR!$A:$A,0),14),""),"")</f>
        <v/>
      </c>
      <c r="R369">
        <f>IFERROR(IF(ISNUMBER(INDEX(SPPR!$E:$X,MATCH($A369,SPPR!$A:$A,0),15)),$C369*INDEX(SPPR!$E:$X,MATCH($A369,SPPR!$A:$A,0),15),""),"")</f>
        <v/>
      </c>
      <c r="S369">
        <f>IFERROR(IF(ISNUMBER(INDEX(SPPR!$E:$X,MATCH($A369,SPPR!$A:$A,0),16)),$C369*INDEX(SPPR!$E:$X,MATCH($A369,SPPR!$A:$A,0),16),""),"")</f>
        <v/>
      </c>
      <c r="T369">
        <f>IFERROR(IF(ISNUMBER(INDEX(SPPR!$E:$X,MATCH($A369,SPPR!$A:$A,0),17)),$C369*INDEX(SPPR!$E:$X,MATCH($A369,SPPR!$A:$A,0),17),""),"")</f>
        <v/>
      </c>
      <c r="U369">
        <f>IFERROR(IF(ISNUMBER(INDEX(SPPR!$E:$X,MATCH($A369,SPPR!$A:$A,0),18)),$C369*INDEX(SPPR!$E:$X,MATCH($A369,SPPR!$A:$A,0),18),""),"")</f>
        <v/>
      </c>
      <c r="V369">
        <f>IFERROR(IF(ISNUMBER(INDEX(SPPR!$E:$X,MATCH($A369,SPPR!$A:$A,0),19)),$C369*INDEX(SPPR!$E:$X,MATCH($A369,SPPR!$A:$A,0),19),""),"")</f>
        <v/>
      </c>
      <c r="W369">
        <f>IFERROR(IF(ISNUMBER(INDEX(SPPR!$E:$X,MATCH($A369,SPPR!$A:$A,0),20)),$C369*INDEX(SPPR!$E:$X,MATCH($A369,SPPR!$A:$A,0),20),""),"")</f>
        <v/>
      </c>
    </row>
    <row r="370">
      <c r="A370" t="inlineStr">
        <is>
          <t>Tripneustes gratilla</t>
        </is>
      </c>
      <c r="B370">
        <f>IFERROR(INDEX(SPPR!$D:$D,MATCH($A370,SPPR!$A:$A,0)),"")</f>
        <v/>
      </c>
      <c r="C370">
        <f>IFERROR(INDEX(Catch!$E:$BV,MATCH($A370,Catch!$A:$A,0),MATCH($B$4,Catch!$E$1:$BV$1,0)),0)</f>
        <v/>
      </c>
      <c r="D370">
        <f>IFERROR(IF(ISNUMBER(INDEX(SPPR!$E:$X,MATCH($A370,SPPR!$A:$A,0),1)),$C370*INDEX(SPPR!$E:$X,MATCH($A370,SPPR!$A:$A,0),1),""),"")</f>
        <v/>
      </c>
      <c r="E370">
        <f>IFERROR(IF(ISNUMBER(INDEX(SPPR!$E:$X,MATCH($A370,SPPR!$A:$A,0),2)),$C370*INDEX(SPPR!$E:$X,MATCH($A370,SPPR!$A:$A,0),2),""),"")</f>
        <v/>
      </c>
      <c r="F370">
        <f>IFERROR(IF(ISNUMBER(INDEX(SPPR!$E:$X,MATCH($A370,SPPR!$A:$A,0),3)),$C370*INDEX(SPPR!$E:$X,MATCH($A370,SPPR!$A:$A,0),3),""),"")</f>
        <v/>
      </c>
      <c r="G370">
        <f>IFERROR(IF(ISNUMBER(INDEX(SPPR!$E:$X,MATCH($A370,SPPR!$A:$A,0),4)),$C370*INDEX(SPPR!$E:$X,MATCH($A370,SPPR!$A:$A,0),4),""),"")</f>
        <v/>
      </c>
      <c r="H370">
        <f>IFERROR(IF(ISNUMBER(INDEX(SPPR!$E:$X,MATCH($A370,SPPR!$A:$A,0),5)),$C370*INDEX(SPPR!$E:$X,MATCH($A370,SPPR!$A:$A,0),5),""),"")</f>
        <v/>
      </c>
      <c r="I370">
        <f>IFERROR(IF(ISNUMBER(INDEX(SPPR!$E:$X,MATCH($A370,SPPR!$A:$A,0),6)),$C370*INDEX(SPPR!$E:$X,MATCH($A370,SPPR!$A:$A,0),6),""),"")</f>
        <v/>
      </c>
      <c r="J370">
        <f>IFERROR(IF(ISNUMBER(INDEX(SPPR!$E:$X,MATCH($A370,SPPR!$A:$A,0),7)),$C370*INDEX(SPPR!$E:$X,MATCH($A370,SPPR!$A:$A,0),7),""),"")</f>
        <v/>
      </c>
      <c r="K370">
        <f>IFERROR(IF(ISNUMBER(INDEX(SPPR!$E:$X,MATCH($A370,SPPR!$A:$A,0),8)),$C370*INDEX(SPPR!$E:$X,MATCH($A370,SPPR!$A:$A,0),8),""),"")</f>
        <v/>
      </c>
      <c r="L370">
        <f>IFERROR(IF(ISNUMBER(INDEX(SPPR!$E:$X,MATCH($A370,SPPR!$A:$A,0),9)),$C370*INDEX(SPPR!$E:$X,MATCH($A370,SPPR!$A:$A,0),9),""),"")</f>
        <v/>
      </c>
      <c r="M370">
        <f>IFERROR(IF(ISNUMBER(INDEX(SPPR!$E:$X,MATCH($A370,SPPR!$A:$A,0),10)),$C370*INDEX(SPPR!$E:$X,MATCH($A370,SPPR!$A:$A,0),10),""),"")</f>
        <v/>
      </c>
      <c r="N370">
        <f>IFERROR(IF(ISNUMBER(INDEX(SPPR!$E:$X,MATCH($A370,SPPR!$A:$A,0),11)),$C370*INDEX(SPPR!$E:$X,MATCH($A370,SPPR!$A:$A,0),11),""),"")</f>
        <v/>
      </c>
      <c r="O370">
        <f>IFERROR(IF(ISNUMBER(INDEX(SPPR!$E:$X,MATCH($A370,SPPR!$A:$A,0),12)),$C370*INDEX(SPPR!$E:$X,MATCH($A370,SPPR!$A:$A,0),12),""),"")</f>
        <v/>
      </c>
      <c r="P370">
        <f>IFERROR(IF(ISNUMBER(INDEX(SPPR!$E:$X,MATCH($A370,SPPR!$A:$A,0),13)),$C370*INDEX(SPPR!$E:$X,MATCH($A370,SPPR!$A:$A,0),13),""),"")</f>
        <v/>
      </c>
      <c r="Q370">
        <f>IFERROR(IF(ISNUMBER(INDEX(SPPR!$E:$X,MATCH($A370,SPPR!$A:$A,0),14)),$C370*INDEX(SPPR!$E:$X,MATCH($A370,SPPR!$A:$A,0),14),""),"")</f>
        <v/>
      </c>
      <c r="R370">
        <f>IFERROR(IF(ISNUMBER(INDEX(SPPR!$E:$X,MATCH($A370,SPPR!$A:$A,0),15)),$C370*INDEX(SPPR!$E:$X,MATCH($A370,SPPR!$A:$A,0),15),""),"")</f>
        <v/>
      </c>
      <c r="S370">
        <f>IFERROR(IF(ISNUMBER(INDEX(SPPR!$E:$X,MATCH($A370,SPPR!$A:$A,0),16)),$C370*INDEX(SPPR!$E:$X,MATCH($A370,SPPR!$A:$A,0),16),""),"")</f>
        <v/>
      </c>
      <c r="T370">
        <f>IFERROR(IF(ISNUMBER(INDEX(SPPR!$E:$X,MATCH($A370,SPPR!$A:$A,0),17)),$C370*INDEX(SPPR!$E:$X,MATCH($A370,SPPR!$A:$A,0),17),""),"")</f>
        <v/>
      </c>
      <c r="U370">
        <f>IFERROR(IF(ISNUMBER(INDEX(SPPR!$E:$X,MATCH($A370,SPPR!$A:$A,0),18)),$C370*INDEX(SPPR!$E:$X,MATCH($A370,SPPR!$A:$A,0),18),""),"")</f>
        <v/>
      </c>
      <c r="V370">
        <f>IFERROR(IF(ISNUMBER(INDEX(SPPR!$E:$X,MATCH($A370,SPPR!$A:$A,0),19)),$C370*INDEX(SPPR!$E:$X,MATCH($A370,SPPR!$A:$A,0),19),""),"")</f>
        <v/>
      </c>
      <c r="W370">
        <f>IFERROR(IF(ISNUMBER(INDEX(SPPR!$E:$X,MATCH($A370,SPPR!$A:$A,0),20)),$C370*INDEX(SPPR!$E:$X,MATCH($A370,SPPR!$A:$A,0),20),""),"")</f>
        <v/>
      </c>
    </row>
    <row r="371">
      <c r="A371" t="inlineStr">
        <is>
          <t>Lutjanus argentimaculatus</t>
        </is>
      </c>
      <c r="B371">
        <f>IFERROR(INDEX(SPPR!$D:$D,MATCH($A371,SPPR!$A:$A,0)),"")</f>
        <v/>
      </c>
      <c r="C371">
        <f>IFERROR(INDEX(Catch!$E:$BV,MATCH($A371,Catch!$A:$A,0),MATCH($B$4,Catch!$E$1:$BV$1,0)),0)</f>
        <v/>
      </c>
      <c r="D371">
        <f>IFERROR(IF(ISNUMBER(INDEX(SPPR!$E:$X,MATCH($A371,SPPR!$A:$A,0),1)),$C371*INDEX(SPPR!$E:$X,MATCH($A371,SPPR!$A:$A,0),1),""),"")</f>
        <v/>
      </c>
      <c r="E371">
        <f>IFERROR(IF(ISNUMBER(INDEX(SPPR!$E:$X,MATCH($A371,SPPR!$A:$A,0),2)),$C371*INDEX(SPPR!$E:$X,MATCH($A371,SPPR!$A:$A,0),2),""),"")</f>
        <v/>
      </c>
      <c r="F371">
        <f>IFERROR(IF(ISNUMBER(INDEX(SPPR!$E:$X,MATCH($A371,SPPR!$A:$A,0),3)),$C371*INDEX(SPPR!$E:$X,MATCH($A371,SPPR!$A:$A,0),3),""),"")</f>
        <v/>
      </c>
      <c r="G371">
        <f>IFERROR(IF(ISNUMBER(INDEX(SPPR!$E:$X,MATCH($A371,SPPR!$A:$A,0),4)),$C371*INDEX(SPPR!$E:$X,MATCH($A371,SPPR!$A:$A,0),4),""),"")</f>
        <v/>
      </c>
      <c r="H371">
        <f>IFERROR(IF(ISNUMBER(INDEX(SPPR!$E:$X,MATCH($A371,SPPR!$A:$A,0),5)),$C371*INDEX(SPPR!$E:$X,MATCH($A371,SPPR!$A:$A,0),5),""),"")</f>
        <v/>
      </c>
      <c r="I371">
        <f>IFERROR(IF(ISNUMBER(INDEX(SPPR!$E:$X,MATCH($A371,SPPR!$A:$A,0),6)),$C371*INDEX(SPPR!$E:$X,MATCH($A371,SPPR!$A:$A,0),6),""),"")</f>
        <v/>
      </c>
      <c r="J371">
        <f>IFERROR(IF(ISNUMBER(INDEX(SPPR!$E:$X,MATCH($A371,SPPR!$A:$A,0),7)),$C371*INDEX(SPPR!$E:$X,MATCH($A371,SPPR!$A:$A,0),7),""),"")</f>
        <v/>
      </c>
      <c r="K371">
        <f>IFERROR(IF(ISNUMBER(INDEX(SPPR!$E:$X,MATCH($A371,SPPR!$A:$A,0),8)),$C371*INDEX(SPPR!$E:$X,MATCH($A371,SPPR!$A:$A,0),8),""),"")</f>
        <v/>
      </c>
      <c r="L371">
        <f>IFERROR(IF(ISNUMBER(INDEX(SPPR!$E:$X,MATCH($A371,SPPR!$A:$A,0),9)),$C371*INDEX(SPPR!$E:$X,MATCH($A371,SPPR!$A:$A,0),9),""),"")</f>
        <v/>
      </c>
      <c r="M371">
        <f>IFERROR(IF(ISNUMBER(INDEX(SPPR!$E:$X,MATCH($A371,SPPR!$A:$A,0),10)),$C371*INDEX(SPPR!$E:$X,MATCH($A371,SPPR!$A:$A,0),10),""),"")</f>
        <v/>
      </c>
      <c r="N371">
        <f>IFERROR(IF(ISNUMBER(INDEX(SPPR!$E:$X,MATCH($A371,SPPR!$A:$A,0),11)),$C371*INDEX(SPPR!$E:$X,MATCH($A371,SPPR!$A:$A,0),11),""),"")</f>
        <v/>
      </c>
      <c r="O371">
        <f>IFERROR(IF(ISNUMBER(INDEX(SPPR!$E:$X,MATCH($A371,SPPR!$A:$A,0),12)),$C371*INDEX(SPPR!$E:$X,MATCH($A371,SPPR!$A:$A,0),12),""),"")</f>
        <v/>
      </c>
      <c r="P371">
        <f>IFERROR(IF(ISNUMBER(INDEX(SPPR!$E:$X,MATCH($A371,SPPR!$A:$A,0),13)),$C371*INDEX(SPPR!$E:$X,MATCH($A371,SPPR!$A:$A,0),13),""),"")</f>
        <v/>
      </c>
      <c r="Q371">
        <f>IFERROR(IF(ISNUMBER(INDEX(SPPR!$E:$X,MATCH($A371,SPPR!$A:$A,0),14)),$C371*INDEX(SPPR!$E:$X,MATCH($A371,SPPR!$A:$A,0),14),""),"")</f>
        <v/>
      </c>
      <c r="R371">
        <f>IFERROR(IF(ISNUMBER(INDEX(SPPR!$E:$X,MATCH($A371,SPPR!$A:$A,0),15)),$C371*INDEX(SPPR!$E:$X,MATCH($A371,SPPR!$A:$A,0),15),""),"")</f>
        <v/>
      </c>
      <c r="S371">
        <f>IFERROR(IF(ISNUMBER(INDEX(SPPR!$E:$X,MATCH($A371,SPPR!$A:$A,0),16)),$C371*INDEX(SPPR!$E:$X,MATCH($A371,SPPR!$A:$A,0),16),""),"")</f>
        <v/>
      </c>
      <c r="T371">
        <f>IFERROR(IF(ISNUMBER(INDEX(SPPR!$E:$X,MATCH($A371,SPPR!$A:$A,0),17)),$C371*INDEX(SPPR!$E:$X,MATCH($A371,SPPR!$A:$A,0),17),""),"")</f>
        <v/>
      </c>
      <c r="U371">
        <f>IFERROR(IF(ISNUMBER(INDEX(SPPR!$E:$X,MATCH($A371,SPPR!$A:$A,0),18)),$C371*INDEX(SPPR!$E:$X,MATCH($A371,SPPR!$A:$A,0),18),""),"")</f>
        <v/>
      </c>
      <c r="V371">
        <f>IFERROR(IF(ISNUMBER(INDEX(SPPR!$E:$X,MATCH($A371,SPPR!$A:$A,0),19)),$C371*INDEX(SPPR!$E:$X,MATCH($A371,SPPR!$A:$A,0),19),""),"")</f>
        <v/>
      </c>
      <c r="W371">
        <f>IFERROR(IF(ISNUMBER(INDEX(SPPR!$E:$X,MATCH($A371,SPPR!$A:$A,0),20)),$C371*INDEX(SPPR!$E:$X,MATCH($A371,SPPR!$A:$A,0),20),""),"")</f>
        <v/>
      </c>
    </row>
    <row r="372">
      <c r="A372" t="inlineStr">
        <is>
          <t>Pomatomus saltatrix</t>
        </is>
      </c>
      <c r="B372">
        <f>IFERROR(INDEX(SPPR!$D:$D,MATCH($A372,SPPR!$A:$A,0)),"")</f>
        <v/>
      </c>
      <c r="C372">
        <f>IFERROR(INDEX(Catch!$E:$BV,MATCH($A372,Catch!$A:$A,0),MATCH($B$4,Catch!$E$1:$BV$1,0)),0)</f>
        <v/>
      </c>
      <c r="D372">
        <f>IFERROR(IF(ISNUMBER(INDEX(SPPR!$E:$X,MATCH($A372,SPPR!$A:$A,0),1)),$C372*INDEX(SPPR!$E:$X,MATCH($A372,SPPR!$A:$A,0),1),""),"")</f>
        <v/>
      </c>
      <c r="E372">
        <f>IFERROR(IF(ISNUMBER(INDEX(SPPR!$E:$X,MATCH($A372,SPPR!$A:$A,0),2)),$C372*INDEX(SPPR!$E:$X,MATCH($A372,SPPR!$A:$A,0),2),""),"")</f>
        <v/>
      </c>
      <c r="F372">
        <f>IFERROR(IF(ISNUMBER(INDEX(SPPR!$E:$X,MATCH($A372,SPPR!$A:$A,0),3)),$C372*INDEX(SPPR!$E:$X,MATCH($A372,SPPR!$A:$A,0),3),""),"")</f>
        <v/>
      </c>
      <c r="G372">
        <f>IFERROR(IF(ISNUMBER(INDEX(SPPR!$E:$X,MATCH($A372,SPPR!$A:$A,0),4)),$C372*INDEX(SPPR!$E:$X,MATCH($A372,SPPR!$A:$A,0),4),""),"")</f>
        <v/>
      </c>
      <c r="H372">
        <f>IFERROR(IF(ISNUMBER(INDEX(SPPR!$E:$X,MATCH($A372,SPPR!$A:$A,0),5)),$C372*INDEX(SPPR!$E:$X,MATCH($A372,SPPR!$A:$A,0),5),""),"")</f>
        <v/>
      </c>
      <c r="I372">
        <f>IFERROR(IF(ISNUMBER(INDEX(SPPR!$E:$X,MATCH($A372,SPPR!$A:$A,0),6)),$C372*INDEX(SPPR!$E:$X,MATCH($A372,SPPR!$A:$A,0),6),""),"")</f>
        <v/>
      </c>
      <c r="J372">
        <f>IFERROR(IF(ISNUMBER(INDEX(SPPR!$E:$X,MATCH($A372,SPPR!$A:$A,0),7)),$C372*INDEX(SPPR!$E:$X,MATCH($A372,SPPR!$A:$A,0),7),""),"")</f>
        <v/>
      </c>
      <c r="K372">
        <f>IFERROR(IF(ISNUMBER(INDEX(SPPR!$E:$X,MATCH($A372,SPPR!$A:$A,0),8)),$C372*INDEX(SPPR!$E:$X,MATCH($A372,SPPR!$A:$A,0),8),""),"")</f>
        <v/>
      </c>
      <c r="L372">
        <f>IFERROR(IF(ISNUMBER(INDEX(SPPR!$E:$X,MATCH($A372,SPPR!$A:$A,0),9)),$C372*INDEX(SPPR!$E:$X,MATCH($A372,SPPR!$A:$A,0),9),""),"")</f>
        <v/>
      </c>
      <c r="M372">
        <f>IFERROR(IF(ISNUMBER(INDEX(SPPR!$E:$X,MATCH($A372,SPPR!$A:$A,0),10)),$C372*INDEX(SPPR!$E:$X,MATCH($A372,SPPR!$A:$A,0),10),""),"")</f>
        <v/>
      </c>
      <c r="N372">
        <f>IFERROR(IF(ISNUMBER(INDEX(SPPR!$E:$X,MATCH($A372,SPPR!$A:$A,0),11)),$C372*INDEX(SPPR!$E:$X,MATCH($A372,SPPR!$A:$A,0),11),""),"")</f>
        <v/>
      </c>
      <c r="O372">
        <f>IFERROR(IF(ISNUMBER(INDEX(SPPR!$E:$X,MATCH($A372,SPPR!$A:$A,0),12)),$C372*INDEX(SPPR!$E:$X,MATCH($A372,SPPR!$A:$A,0),12),""),"")</f>
        <v/>
      </c>
      <c r="P372">
        <f>IFERROR(IF(ISNUMBER(INDEX(SPPR!$E:$X,MATCH($A372,SPPR!$A:$A,0),13)),$C372*INDEX(SPPR!$E:$X,MATCH($A372,SPPR!$A:$A,0),13),""),"")</f>
        <v/>
      </c>
      <c r="Q372">
        <f>IFERROR(IF(ISNUMBER(INDEX(SPPR!$E:$X,MATCH($A372,SPPR!$A:$A,0),14)),$C372*INDEX(SPPR!$E:$X,MATCH($A372,SPPR!$A:$A,0),14),""),"")</f>
        <v/>
      </c>
      <c r="R372">
        <f>IFERROR(IF(ISNUMBER(INDEX(SPPR!$E:$X,MATCH($A372,SPPR!$A:$A,0),15)),$C372*INDEX(SPPR!$E:$X,MATCH($A372,SPPR!$A:$A,0),15),""),"")</f>
        <v/>
      </c>
      <c r="S372">
        <f>IFERROR(IF(ISNUMBER(INDEX(SPPR!$E:$X,MATCH($A372,SPPR!$A:$A,0),16)),$C372*INDEX(SPPR!$E:$X,MATCH($A372,SPPR!$A:$A,0),16),""),"")</f>
        <v/>
      </c>
      <c r="T372">
        <f>IFERROR(IF(ISNUMBER(INDEX(SPPR!$E:$X,MATCH($A372,SPPR!$A:$A,0),17)),$C372*INDEX(SPPR!$E:$X,MATCH($A372,SPPR!$A:$A,0),17),""),"")</f>
        <v/>
      </c>
      <c r="U372">
        <f>IFERROR(IF(ISNUMBER(INDEX(SPPR!$E:$X,MATCH($A372,SPPR!$A:$A,0),18)),$C372*INDEX(SPPR!$E:$X,MATCH($A372,SPPR!$A:$A,0),18),""),"")</f>
        <v/>
      </c>
      <c r="V372">
        <f>IFERROR(IF(ISNUMBER(INDEX(SPPR!$E:$X,MATCH($A372,SPPR!$A:$A,0),19)),$C372*INDEX(SPPR!$E:$X,MATCH($A372,SPPR!$A:$A,0),19),""),"")</f>
        <v/>
      </c>
      <c r="W372">
        <f>IFERROR(IF(ISNUMBER(INDEX(SPPR!$E:$X,MATCH($A372,SPPR!$A:$A,0),20)),$C372*INDEX(SPPR!$E:$X,MATCH($A372,SPPR!$A:$A,0),20),""),"")</f>
        <v/>
      </c>
    </row>
    <row r="373">
      <c r="A373" t="inlineStr">
        <is>
          <t>Sphyraena jello</t>
        </is>
      </c>
      <c r="B373">
        <f>IFERROR(INDEX(SPPR!$D:$D,MATCH($A373,SPPR!$A:$A,0)),"")</f>
        <v/>
      </c>
      <c r="C373">
        <f>IFERROR(INDEX(Catch!$E:$BV,MATCH($A373,Catch!$A:$A,0),MATCH($B$4,Catch!$E$1:$BV$1,0)),0)</f>
        <v/>
      </c>
      <c r="D373">
        <f>IFERROR(IF(ISNUMBER(INDEX(SPPR!$E:$X,MATCH($A373,SPPR!$A:$A,0),1)),$C373*INDEX(SPPR!$E:$X,MATCH($A373,SPPR!$A:$A,0),1),""),"")</f>
        <v/>
      </c>
      <c r="E373">
        <f>IFERROR(IF(ISNUMBER(INDEX(SPPR!$E:$X,MATCH($A373,SPPR!$A:$A,0),2)),$C373*INDEX(SPPR!$E:$X,MATCH($A373,SPPR!$A:$A,0),2),""),"")</f>
        <v/>
      </c>
      <c r="F373">
        <f>IFERROR(IF(ISNUMBER(INDEX(SPPR!$E:$X,MATCH($A373,SPPR!$A:$A,0),3)),$C373*INDEX(SPPR!$E:$X,MATCH($A373,SPPR!$A:$A,0),3),""),"")</f>
        <v/>
      </c>
      <c r="G373">
        <f>IFERROR(IF(ISNUMBER(INDEX(SPPR!$E:$X,MATCH($A373,SPPR!$A:$A,0),4)),$C373*INDEX(SPPR!$E:$X,MATCH($A373,SPPR!$A:$A,0),4),""),"")</f>
        <v/>
      </c>
      <c r="H373">
        <f>IFERROR(IF(ISNUMBER(INDEX(SPPR!$E:$X,MATCH($A373,SPPR!$A:$A,0),5)),$C373*INDEX(SPPR!$E:$X,MATCH($A373,SPPR!$A:$A,0),5),""),"")</f>
        <v/>
      </c>
      <c r="I373">
        <f>IFERROR(IF(ISNUMBER(INDEX(SPPR!$E:$X,MATCH($A373,SPPR!$A:$A,0),6)),$C373*INDEX(SPPR!$E:$X,MATCH($A373,SPPR!$A:$A,0),6),""),"")</f>
        <v/>
      </c>
      <c r="J373">
        <f>IFERROR(IF(ISNUMBER(INDEX(SPPR!$E:$X,MATCH($A373,SPPR!$A:$A,0),7)),$C373*INDEX(SPPR!$E:$X,MATCH($A373,SPPR!$A:$A,0),7),""),"")</f>
        <v/>
      </c>
      <c r="K373">
        <f>IFERROR(IF(ISNUMBER(INDEX(SPPR!$E:$X,MATCH($A373,SPPR!$A:$A,0),8)),$C373*INDEX(SPPR!$E:$X,MATCH($A373,SPPR!$A:$A,0),8),""),"")</f>
        <v/>
      </c>
      <c r="L373">
        <f>IFERROR(IF(ISNUMBER(INDEX(SPPR!$E:$X,MATCH($A373,SPPR!$A:$A,0),9)),$C373*INDEX(SPPR!$E:$X,MATCH($A373,SPPR!$A:$A,0),9),""),"")</f>
        <v/>
      </c>
      <c r="M373">
        <f>IFERROR(IF(ISNUMBER(INDEX(SPPR!$E:$X,MATCH($A373,SPPR!$A:$A,0),10)),$C373*INDEX(SPPR!$E:$X,MATCH($A373,SPPR!$A:$A,0),10),""),"")</f>
        <v/>
      </c>
      <c r="N373">
        <f>IFERROR(IF(ISNUMBER(INDEX(SPPR!$E:$X,MATCH($A373,SPPR!$A:$A,0),11)),$C373*INDEX(SPPR!$E:$X,MATCH($A373,SPPR!$A:$A,0),11),""),"")</f>
        <v/>
      </c>
      <c r="O373">
        <f>IFERROR(IF(ISNUMBER(INDEX(SPPR!$E:$X,MATCH($A373,SPPR!$A:$A,0),12)),$C373*INDEX(SPPR!$E:$X,MATCH($A373,SPPR!$A:$A,0),12),""),"")</f>
        <v/>
      </c>
      <c r="P373">
        <f>IFERROR(IF(ISNUMBER(INDEX(SPPR!$E:$X,MATCH($A373,SPPR!$A:$A,0),13)),$C373*INDEX(SPPR!$E:$X,MATCH($A373,SPPR!$A:$A,0),13),""),"")</f>
        <v/>
      </c>
      <c r="Q373">
        <f>IFERROR(IF(ISNUMBER(INDEX(SPPR!$E:$X,MATCH($A373,SPPR!$A:$A,0),14)),$C373*INDEX(SPPR!$E:$X,MATCH($A373,SPPR!$A:$A,0),14),""),"")</f>
        <v/>
      </c>
      <c r="R373">
        <f>IFERROR(IF(ISNUMBER(INDEX(SPPR!$E:$X,MATCH($A373,SPPR!$A:$A,0),15)),$C373*INDEX(SPPR!$E:$X,MATCH($A373,SPPR!$A:$A,0),15),""),"")</f>
        <v/>
      </c>
      <c r="S373">
        <f>IFERROR(IF(ISNUMBER(INDEX(SPPR!$E:$X,MATCH($A373,SPPR!$A:$A,0),16)),$C373*INDEX(SPPR!$E:$X,MATCH($A373,SPPR!$A:$A,0),16),""),"")</f>
        <v/>
      </c>
      <c r="T373">
        <f>IFERROR(IF(ISNUMBER(INDEX(SPPR!$E:$X,MATCH($A373,SPPR!$A:$A,0),17)),$C373*INDEX(SPPR!$E:$X,MATCH($A373,SPPR!$A:$A,0),17),""),"")</f>
        <v/>
      </c>
      <c r="U373">
        <f>IFERROR(IF(ISNUMBER(INDEX(SPPR!$E:$X,MATCH($A373,SPPR!$A:$A,0),18)),$C373*INDEX(SPPR!$E:$X,MATCH($A373,SPPR!$A:$A,0),18),""),"")</f>
        <v/>
      </c>
      <c r="V373">
        <f>IFERROR(IF(ISNUMBER(INDEX(SPPR!$E:$X,MATCH($A373,SPPR!$A:$A,0),19)),$C373*INDEX(SPPR!$E:$X,MATCH($A373,SPPR!$A:$A,0),19),""),"")</f>
        <v/>
      </c>
      <c r="W373">
        <f>IFERROR(IF(ISNUMBER(INDEX(SPPR!$E:$X,MATCH($A373,SPPR!$A:$A,0),20)),$C373*INDEX(SPPR!$E:$X,MATCH($A373,SPPR!$A:$A,0),20),""),"")</f>
        <v/>
      </c>
    </row>
    <row r="374">
      <c r="A374" t="inlineStr">
        <is>
          <t>Echinozoa</t>
        </is>
      </c>
      <c r="B374">
        <f>IFERROR(INDEX(SPPR!$D:$D,MATCH($A374,SPPR!$A:$A,0)),"")</f>
        <v/>
      </c>
      <c r="C374">
        <f>IFERROR(INDEX(Catch!$E:$BV,MATCH($A374,Catch!$A:$A,0),MATCH($B$4,Catch!$E$1:$BV$1,0)),0)</f>
        <v/>
      </c>
      <c r="D374">
        <f>IFERROR(IF(ISNUMBER(INDEX(SPPR!$E:$X,MATCH($A374,SPPR!$A:$A,0),1)),$C374*INDEX(SPPR!$E:$X,MATCH($A374,SPPR!$A:$A,0),1),""),"")</f>
        <v/>
      </c>
      <c r="E374">
        <f>IFERROR(IF(ISNUMBER(INDEX(SPPR!$E:$X,MATCH($A374,SPPR!$A:$A,0),2)),$C374*INDEX(SPPR!$E:$X,MATCH($A374,SPPR!$A:$A,0),2),""),"")</f>
        <v/>
      </c>
      <c r="F374">
        <f>IFERROR(IF(ISNUMBER(INDEX(SPPR!$E:$X,MATCH($A374,SPPR!$A:$A,0),3)),$C374*INDEX(SPPR!$E:$X,MATCH($A374,SPPR!$A:$A,0),3),""),"")</f>
        <v/>
      </c>
      <c r="G374">
        <f>IFERROR(IF(ISNUMBER(INDEX(SPPR!$E:$X,MATCH($A374,SPPR!$A:$A,0),4)),$C374*INDEX(SPPR!$E:$X,MATCH($A374,SPPR!$A:$A,0),4),""),"")</f>
        <v/>
      </c>
      <c r="H374">
        <f>IFERROR(IF(ISNUMBER(INDEX(SPPR!$E:$X,MATCH($A374,SPPR!$A:$A,0),5)),$C374*INDEX(SPPR!$E:$X,MATCH($A374,SPPR!$A:$A,0),5),""),"")</f>
        <v/>
      </c>
      <c r="I374">
        <f>IFERROR(IF(ISNUMBER(INDEX(SPPR!$E:$X,MATCH($A374,SPPR!$A:$A,0),6)),$C374*INDEX(SPPR!$E:$X,MATCH($A374,SPPR!$A:$A,0),6),""),"")</f>
        <v/>
      </c>
      <c r="J374">
        <f>IFERROR(IF(ISNUMBER(INDEX(SPPR!$E:$X,MATCH($A374,SPPR!$A:$A,0),7)),$C374*INDEX(SPPR!$E:$X,MATCH($A374,SPPR!$A:$A,0),7),""),"")</f>
        <v/>
      </c>
      <c r="K374">
        <f>IFERROR(IF(ISNUMBER(INDEX(SPPR!$E:$X,MATCH($A374,SPPR!$A:$A,0),8)),$C374*INDEX(SPPR!$E:$X,MATCH($A374,SPPR!$A:$A,0),8),""),"")</f>
        <v/>
      </c>
      <c r="L374">
        <f>IFERROR(IF(ISNUMBER(INDEX(SPPR!$E:$X,MATCH($A374,SPPR!$A:$A,0),9)),$C374*INDEX(SPPR!$E:$X,MATCH($A374,SPPR!$A:$A,0),9),""),"")</f>
        <v/>
      </c>
      <c r="M374">
        <f>IFERROR(IF(ISNUMBER(INDEX(SPPR!$E:$X,MATCH($A374,SPPR!$A:$A,0),10)),$C374*INDEX(SPPR!$E:$X,MATCH($A374,SPPR!$A:$A,0),10),""),"")</f>
        <v/>
      </c>
      <c r="N374">
        <f>IFERROR(IF(ISNUMBER(INDEX(SPPR!$E:$X,MATCH($A374,SPPR!$A:$A,0),11)),$C374*INDEX(SPPR!$E:$X,MATCH($A374,SPPR!$A:$A,0),11),""),"")</f>
        <v/>
      </c>
      <c r="O374">
        <f>IFERROR(IF(ISNUMBER(INDEX(SPPR!$E:$X,MATCH($A374,SPPR!$A:$A,0),12)),$C374*INDEX(SPPR!$E:$X,MATCH($A374,SPPR!$A:$A,0),12),""),"")</f>
        <v/>
      </c>
      <c r="P374">
        <f>IFERROR(IF(ISNUMBER(INDEX(SPPR!$E:$X,MATCH($A374,SPPR!$A:$A,0),13)),$C374*INDEX(SPPR!$E:$X,MATCH($A374,SPPR!$A:$A,0),13),""),"")</f>
        <v/>
      </c>
      <c r="Q374">
        <f>IFERROR(IF(ISNUMBER(INDEX(SPPR!$E:$X,MATCH($A374,SPPR!$A:$A,0),14)),$C374*INDEX(SPPR!$E:$X,MATCH($A374,SPPR!$A:$A,0),14),""),"")</f>
        <v/>
      </c>
      <c r="R374">
        <f>IFERROR(IF(ISNUMBER(INDEX(SPPR!$E:$X,MATCH($A374,SPPR!$A:$A,0),15)),$C374*INDEX(SPPR!$E:$X,MATCH($A374,SPPR!$A:$A,0),15),""),"")</f>
        <v/>
      </c>
      <c r="S374">
        <f>IFERROR(IF(ISNUMBER(INDEX(SPPR!$E:$X,MATCH($A374,SPPR!$A:$A,0),16)),$C374*INDEX(SPPR!$E:$X,MATCH($A374,SPPR!$A:$A,0),16),""),"")</f>
        <v/>
      </c>
      <c r="T374">
        <f>IFERROR(IF(ISNUMBER(INDEX(SPPR!$E:$X,MATCH($A374,SPPR!$A:$A,0),17)),$C374*INDEX(SPPR!$E:$X,MATCH($A374,SPPR!$A:$A,0),17),""),"")</f>
        <v/>
      </c>
      <c r="U374">
        <f>IFERROR(IF(ISNUMBER(INDEX(SPPR!$E:$X,MATCH($A374,SPPR!$A:$A,0),18)),$C374*INDEX(SPPR!$E:$X,MATCH($A374,SPPR!$A:$A,0),18),""),"")</f>
        <v/>
      </c>
      <c r="V374">
        <f>IFERROR(IF(ISNUMBER(INDEX(SPPR!$E:$X,MATCH($A374,SPPR!$A:$A,0),19)),$C374*INDEX(SPPR!$E:$X,MATCH($A374,SPPR!$A:$A,0),19),""),"")</f>
        <v/>
      </c>
      <c r="W374">
        <f>IFERROR(IF(ISNUMBER(INDEX(SPPR!$E:$X,MATCH($A374,SPPR!$A:$A,0),20)),$C374*INDEX(SPPR!$E:$X,MATCH($A374,SPPR!$A:$A,0),20),""),"")</f>
        <v/>
      </c>
    </row>
    <row r="375">
      <c r="A375" t="inlineStr">
        <is>
          <t>Tetrapturus angustirostris</t>
        </is>
      </c>
      <c r="B375">
        <f>IFERROR(INDEX(SPPR!$D:$D,MATCH($A375,SPPR!$A:$A,0)),"")</f>
        <v/>
      </c>
      <c r="C375">
        <f>IFERROR(INDEX(Catch!$E:$BV,MATCH($A375,Catch!$A:$A,0),MATCH($B$4,Catch!$E$1:$BV$1,0)),0)</f>
        <v/>
      </c>
      <c r="D375">
        <f>IFERROR(IF(ISNUMBER(INDEX(SPPR!$E:$X,MATCH($A375,SPPR!$A:$A,0),1)),$C375*INDEX(SPPR!$E:$X,MATCH($A375,SPPR!$A:$A,0),1),""),"")</f>
        <v/>
      </c>
      <c r="E375">
        <f>IFERROR(IF(ISNUMBER(INDEX(SPPR!$E:$X,MATCH($A375,SPPR!$A:$A,0),2)),$C375*INDEX(SPPR!$E:$X,MATCH($A375,SPPR!$A:$A,0),2),""),"")</f>
        <v/>
      </c>
      <c r="F375">
        <f>IFERROR(IF(ISNUMBER(INDEX(SPPR!$E:$X,MATCH($A375,SPPR!$A:$A,0),3)),$C375*INDEX(SPPR!$E:$X,MATCH($A375,SPPR!$A:$A,0),3),""),"")</f>
        <v/>
      </c>
      <c r="G375">
        <f>IFERROR(IF(ISNUMBER(INDEX(SPPR!$E:$X,MATCH($A375,SPPR!$A:$A,0),4)),$C375*INDEX(SPPR!$E:$X,MATCH($A375,SPPR!$A:$A,0),4),""),"")</f>
        <v/>
      </c>
      <c r="H375">
        <f>IFERROR(IF(ISNUMBER(INDEX(SPPR!$E:$X,MATCH($A375,SPPR!$A:$A,0),5)),$C375*INDEX(SPPR!$E:$X,MATCH($A375,SPPR!$A:$A,0),5),""),"")</f>
        <v/>
      </c>
      <c r="I375">
        <f>IFERROR(IF(ISNUMBER(INDEX(SPPR!$E:$X,MATCH($A375,SPPR!$A:$A,0),6)),$C375*INDEX(SPPR!$E:$X,MATCH($A375,SPPR!$A:$A,0),6),""),"")</f>
        <v/>
      </c>
      <c r="J375">
        <f>IFERROR(IF(ISNUMBER(INDEX(SPPR!$E:$X,MATCH($A375,SPPR!$A:$A,0),7)),$C375*INDEX(SPPR!$E:$X,MATCH($A375,SPPR!$A:$A,0),7),""),"")</f>
        <v/>
      </c>
      <c r="K375">
        <f>IFERROR(IF(ISNUMBER(INDEX(SPPR!$E:$X,MATCH($A375,SPPR!$A:$A,0),8)),$C375*INDEX(SPPR!$E:$X,MATCH($A375,SPPR!$A:$A,0),8),""),"")</f>
        <v/>
      </c>
      <c r="L375">
        <f>IFERROR(IF(ISNUMBER(INDEX(SPPR!$E:$X,MATCH($A375,SPPR!$A:$A,0),9)),$C375*INDEX(SPPR!$E:$X,MATCH($A375,SPPR!$A:$A,0),9),""),"")</f>
        <v/>
      </c>
      <c r="M375">
        <f>IFERROR(IF(ISNUMBER(INDEX(SPPR!$E:$X,MATCH($A375,SPPR!$A:$A,0),10)),$C375*INDEX(SPPR!$E:$X,MATCH($A375,SPPR!$A:$A,0),10),""),"")</f>
        <v/>
      </c>
      <c r="N375">
        <f>IFERROR(IF(ISNUMBER(INDEX(SPPR!$E:$X,MATCH($A375,SPPR!$A:$A,0),11)),$C375*INDEX(SPPR!$E:$X,MATCH($A375,SPPR!$A:$A,0),11),""),"")</f>
        <v/>
      </c>
      <c r="O375">
        <f>IFERROR(IF(ISNUMBER(INDEX(SPPR!$E:$X,MATCH($A375,SPPR!$A:$A,0),12)),$C375*INDEX(SPPR!$E:$X,MATCH($A375,SPPR!$A:$A,0),12),""),"")</f>
        <v/>
      </c>
      <c r="P375">
        <f>IFERROR(IF(ISNUMBER(INDEX(SPPR!$E:$X,MATCH($A375,SPPR!$A:$A,0),13)),$C375*INDEX(SPPR!$E:$X,MATCH($A375,SPPR!$A:$A,0),13),""),"")</f>
        <v/>
      </c>
      <c r="Q375">
        <f>IFERROR(IF(ISNUMBER(INDEX(SPPR!$E:$X,MATCH($A375,SPPR!$A:$A,0),14)),$C375*INDEX(SPPR!$E:$X,MATCH($A375,SPPR!$A:$A,0),14),""),"")</f>
        <v/>
      </c>
      <c r="R375">
        <f>IFERROR(IF(ISNUMBER(INDEX(SPPR!$E:$X,MATCH($A375,SPPR!$A:$A,0),15)),$C375*INDEX(SPPR!$E:$X,MATCH($A375,SPPR!$A:$A,0),15),""),"")</f>
        <v/>
      </c>
      <c r="S375">
        <f>IFERROR(IF(ISNUMBER(INDEX(SPPR!$E:$X,MATCH($A375,SPPR!$A:$A,0),16)),$C375*INDEX(SPPR!$E:$X,MATCH($A375,SPPR!$A:$A,0),16),""),"")</f>
        <v/>
      </c>
      <c r="T375">
        <f>IFERROR(IF(ISNUMBER(INDEX(SPPR!$E:$X,MATCH($A375,SPPR!$A:$A,0),17)),$C375*INDEX(SPPR!$E:$X,MATCH($A375,SPPR!$A:$A,0),17),""),"")</f>
        <v/>
      </c>
      <c r="U375">
        <f>IFERROR(IF(ISNUMBER(INDEX(SPPR!$E:$X,MATCH($A375,SPPR!$A:$A,0),18)),$C375*INDEX(SPPR!$E:$X,MATCH($A375,SPPR!$A:$A,0),18),""),"")</f>
        <v/>
      </c>
      <c r="V375">
        <f>IFERROR(IF(ISNUMBER(INDEX(SPPR!$E:$X,MATCH($A375,SPPR!$A:$A,0),19)),$C375*INDEX(SPPR!$E:$X,MATCH($A375,SPPR!$A:$A,0),19),""),"")</f>
        <v/>
      </c>
      <c r="W375">
        <f>IFERROR(IF(ISNUMBER(INDEX(SPPR!$E:$X,MATCH($A375,SPPR!$A:$A,0),20)),$C375*INDEX(SPPR!$E:$X,MATCH($A375,SPPR!$A:$A,0),20),""),"")</f>
        <v/>
      </c>
    </row>
    <row r="376">
      <c r="A376" t="inlineStr">
        <is>
          <t>Sphyrna lewini</t>
        </is>
      </c>
      <c r="B376">
        <f>IFERROR(INDEX(SPPR!$D:$D,MATCH($A376,SPPR!$A:$A,0)),"")</f>
        <v/>
      </c>
      <c r="C376">
        <f>IFERROR(INDEX(Catch!$E:$BV,MATCH($A376,Catch!$A:$A,0),MATCH($B$4,Catch!$E$1:$BV$1,0)),0)</f>
        <v/>
      </c>
      <c r="D376">
        <f>IFERROR(IF(ISNUMBER(INDEX(SPPR!$E:$X,MATCH($A376,SPPR!$A:$A,0),1)),$C376*INDEX(SPPR!$E:$X,MATCH($A376,SPPR!$A:$A,0),1),""),"")</f>
        <v/>
      </c>
      <c r="E376">
        <f>IFERROR(IF(ISNUMBER(INDEX(SPPR!$E:$X,MATCH($A376,SPPR!$A:$A,0),2)),$C376*INDEX(SPPR!$E:$X,MATCH($A376,SPPR!$A:$A,0),2),""),"")</f>
        <v/>
      </c>
      <c r="F376">
        <f>IFERROR(IF(ISNUMBER(INDEX(SPPR!$E:$X,MATCH($A376,SPPR!$A:$A,0),3)),$C376*INDEX(SPPR!$E:$X,MATCH($A376,SPPR!$A:$A,0),3),""),"")</f>
        <v/>
      </c>
      <c r="G376">
        <f>IFERROR(IF(ISNUMBER(INDEX(SPPR!$E:$X,MATCH($A376,SPPR!$A:$A,0),4)),$C376*INDEX(SPPR!$E:$X,MATCH($A376,SPPR!$A:$A,0),4),""),"")</f>
        <v/>
      </c>
      <c r="H376">
        <f>IFERROR(IF(ISNUMBER(INDEX(SPPR!$E:$X,MATCH($A376,SPPR!$A:$A,0),5)),$C376*INDEX(SPPR!$E:$X,MATCH($A376,SPPR!$A:$A,0),5),""),"")</f>
        <v/>
      </c>
      <c r="I376">
        <f>IFERROR(IF(ISNUMBER(INDEX(SPPR!$E:$X,MATCH($A376,SPPR!$A:$A,0),6)),$C376*INDEX(SPPR!$E:$X,MATCH($A376,SPPR!$A:$A,0),6),""),"")</f>
        <v/>
      </c>
      <c r="J376">
        <f>IFERROR(IF(ISNUMBER(INDEX(SPPR!$E:$X,MATCH($A376,SPPR!$A:$A,0),7)),$C376*INDEX(SPPR!$E:$X,MATCH($A376,SPPR!$A:$A,0),7),""),"")</f>
        <v/>
      </c>
      <c r="K376">
        <f>IFERROR(IF(ISNUMBER(INDEX(SPPR!$E:$X,MATCH($A376,SPPR!$A:$A,0),8)),$C376*INDEX(SPPR!$E:$X,MATCH($A376,SPPR!$A:$A,0),8),""),"")</f>
        <v/>
      </c>
      <c r="L376">
        <f>IFERROR(IF(ISNUMBER(INDEX(SPPR!$E:$X,MATCH($A376,SPPR!$A:$A,0),9)),$C376*INDEX(SPPR!$E:$X,MATCH($A376,SPPR!$A:$A,0),9),""),"")</f>
        <v/>
      </c>
      <c r="M376">
        <f>IFERROR(IF(ISNUMBER(INDEX(SPPR!$E:$X,MATCH($A376,SPPR!$A:$A,0),10)),$C376*INDEX(SPPR!$E:$X,MATCH($A376,SPPR!$A:$A,0),10),""),"")</f>
        <v/>
      </c>
      <c r="N376">
        <f>IFERROR(IF(ISNUMBER(INDEX(SPPR!$E:$X,MATCH($A376,SPPR!$A:$A,0),11)),$C376*INDEX(SPPR!$E:$X,MATCH($A376,SPPR!$A:$A,0),11),""),"")</f>
        <v/>
      </c>
      <c r="O376">
        <f>IFERROR(IF(ISNUMBER(INDEX(SPPR!$E:$X,MATCH($A376,SPPR!$A:$A,0),12)),$C376*INDEX(SPPR!$E:$X,MATCH($A376,SPPR!$A:$A,0),12),""),"")</f>
        <v/>
      </c>
      <c r="P376">
        <f>IFERROR(IF(ISNUMBER(INDEX(SPPR!$E:$X,MATCH($A376,SPPR!$A:$A,0),13)),$C376*INDEX(SPPR!$E:$X,MATCH($A376,SPPR!$A:$A,0),13),""),"")</f>
        <v/>
      </c>
      <c r="Q376">
        <f>IFERROR(IF(ISNUMBER(INDEX(SPPR!$E:$X,MATCH($A376,SPPR!$A:$A,0),14)),$C376*INDEX(SPPR!$E:$X,MATCH($A376,SPPR!$A:$A,0),14),""),"")</f>
        <v/>
      </c>
      <c r="R376">
        <f>IFERROR(IF(ISNUMBER(INDEX(SPPR!$E:$X,MATCH($A376,SPPR!$A:$A,0),15)),$C376*INDEX(SPPR!$E:$X,MATCH($A376,SPPR!$A:$A,0),15),""),"")</f>
        <v/>
      </c>
      <c r="S376">
        <f>IFERROR(IF(ISNUMBER(INDEX(SPPR!$E:$X,MATCH($A376,SPPR!$A:$A,0),16)),$C376*INDEX(SPPR!$E:$X,MATCH($A376,SPPR!$A:$A,0),16),""),"")</f>
        <v/>
      </c>
      <c r="T376">
        <f>IFERROR(IF(ISNUMBER(INDEX(SPPR!$E:$X,MATCH($A376,SPPR!$A:$A,0),17)),$C376*INDEX(SPPR!$E:$X,MATCH($A376,SPPR!$A:$A,0),17),""),"")</f>
        <v/>
      </c>
      <c r="U376">
        <f>IFERROR(IF(ISNUMBER(INDEX(SPPR!$E:$X,MATCH($A376,SPPR!$A:$A,0),18)),$C376*INDEX(SPPR!$E:$X,MATCH($A376,SPPR!$A:$A,0),18),""),"")</f>
        <v/>
      </c>
      <c r="V376">
        <f>IFERROR(IF(ISNUMBER(INDEX(SPPR!$E:$X,MATCH($A376,SPPR!$A:$A,0),19)),$C376*INDEX(SPPR!$E:$X,MATCH($A376,SPPR!$A:$A,0),19),""),"")</f>
        <v/>
      </c>
      <c r="W376">
        <f>IFERROR(IF(ISNUMBER(INDEX(SPPR!$E:$X,MATCH($A376,SPPR!$A:$A,0),20)),$C376*INDEX(SPPR!$E:$X,MATCH($A376,SPPR!$A:$A,0),20),""),"")</f>
        <v/>
      </c>
    </row>
    <row r="377">
      <c r="A377" t="inlineStr">
        <is>
          <t>Trochus niloticus</t>
        </is>
      </c>
      <c r="B377">
        <f>IFERROR(INDEX(SPPR!$D:$D,MATCH($A377,SPPR!$A:$A,0)),"")</f>
        <v/>
      </c>
      <c r="C377">
        <f>IFERROR(INDEX(Catch!$E:$BV,MATCH($A377,Catch!$A:$A,0),MATCH($B$4,Catch!$E$1:$BV$1,0)),0)</f>
        <v/>
      </c>
      <c r="D377">
        <f>IFERROR(IF(ISNUMBER(INDEX(SPPR!$E:$X,MATCH($A377,SPPR!$A:$A,0),1)),$C377*INDEX(SPPR!$E:$X,MATCH($A377,SPPR!$A:$A,0),1),""),"")</f>
        <v/>
      </c>
      <c r="E377">
        <f>IFERROR(IF(ISNUMBER(INDEX(SPPR!$E:$X,MATCH($A377,SPPR!$A:$A,0),2)),$C377*INDEX(SPPR!$E:$X,MATCH($A377,SPPR!$A:$A,0),2),""),"")</f>
        <v/>
      </c>
      <c r="F377">
        <f>IFERROR(IF(ISNUMBER(INDEX(SPPR!$E:$X,MATCH($A377,SPPR!$A:$A,0),3)),$C377*INDEX(SPPR!$E:$X,MATCH($A377,SPPR!$A:$A,0),3),""),"")</f>
        <v/>
      </c>
      <c r="G377">
        <f>IFERROR(IF(ISNUMBER(INDEX(SPPR!$E:$X,MATCH($A377,SPPR!$A:$A,0),4)),$C377*INDEX(SPPR!$E:$X,MATCH($A377,SPPR!$A:$A,0),4),""),"")</f>
        <v/>
      </c>
      <c r="H377">
        <f>IFERROR(IF(ISNUMBER(INDEX(SPPR!$E:$X,MATCH($A377,SPPR!$A:$A,0),5)),$C377*INDEX(SPPR!$E:$X,MATCH($A377,SPPR!$A:$A,0),5),""),"")</f>
        <v/>
      </c>
      <c r="I377">
        <f>IFERROR(IF(ISNUMBER(INDEX(SPPR!$E:$X,MATCH($A377,SPPR!$A:$A,0),6)),$C377*INDEX(SPPR!$E:$X,MATCH($A377,SPPR!$A:$A,0),6),""),"")</f>
        <v/>
      </c>
      <c r="J377">
        <f>IFERROR(IF(ISNUMBER(INDEX(SPPR!$E:$X,MATCH($A377,SPPR!$A:$A,0),7)),$C377*INDEX(SPPR!$E:$X,MATCH($A377,SPPR!$A:$A,0),7),""),"")</f>
        <v/>
      </c>
      <c r="K377">
        <f>IFERROR(IF(ISNUMBER(INDEX(SPPR!$E:$X,MATCH($A377,SPPR!$A:$A,0),8)),$C377*INDEX(SPPR!$E:$X,MATCH($A377,SPPR!$A:$A,0),8),""),"")</f>
        <v/>
      </c>
      <c r="L377">
        <f>IFERROR(IF(ISNUMBER(INDEX(SPPR!$E:$X,MATCH($A377,SPPR!$A:$A,0),9)),$C377*INDEX(SPPR!$E:$X,MATCH($A377,SPPR!$A:$A,0),9),""),"")</f>
        <v/>
      </c>
      <c r="M377">
        <f>IFERROR(IF(ISNUMBER(INDEX(SPPR!$E:$X,MATCH($A377,SPPR!$A:$A,0),10)),$C377*INDEX(SPPR!$E:$X,MATCH($A377,SPPR!$A:$A,0),10),""),"")</f>
        <v/>
      </c>
      <c r="N377">
        <f>IFERROR(IF(ISNUMBER(INDEX(SPPR!$E:$X,MATCH($A377,SPPR!$A:$A,0),11)),$C377*INDEX(SPPR!$E:$X,MATCH($A377,SPPR!$A:$A,0),11),""),"")</f>
        <v/>
      </c>
      <c r="O377">
        <f>IFERROR(IF(ISNUMBER(INDEX(SPPR!$E:$X,MATCH($A377,SPPR!$A:$A,0),12)),$C377*INDEX(SPPR!$E:$X,MATCH($A377,SPPR!$A:$A,0),12),""),"")</f>
        <v/>
      </c>
      <c r="P377">
        <f>IFERROR(IF(ISNUMBER(INDEX(SPPR!$E:$X,MATCH($A377,SPPR!$A:$A,0),13)),$C377*INDEX(SPPR!$E:$X,MATCH($A377,SPPR!$A:$A,0),13),""),"")</f>
        <v/>
      </c>
      <c r="Q377">
        <f>IFERROR(IF(ISNUMBER(INDEX(SPPR!$E:$X,MATCH($A377,SPPR!$A:$A,0),14)),$C377*INDEX(SPPR!$E:$X,MATCH($A377,SPPR!$A:$A,0),14),""),"")</f>
        <v/>
      </c>
      <c r="R377">
        <f>IFERROR(IF(ISNUMBER(INDEX(SPPR!$E:$X,MATCH($A377,SPPR!$A:$A,0),15)),$C377*INDEX(SPPR!$E:$X,MATCH($A377,SPPR!$A:$A,0),15),""),"")</f>
        <v/>
      </c>
      <c r="S377">
        <f>IFERROR(IF(ISNUMBER(INDEX(SPPR!$E:$X,MATCH($A377,SPPR!$A:$A,0),16)),$C377*INDEX(SPPR!$E:$X,MATCH($A377,SPPR!$A:$A,0),16),""),"")</f>
        <v/>
      </c>
      <c r="T377">
        <f>IFERROR(IF(ISNUMBER(INDEX(SPPR!$E:$X,MATCH($A377,SPPR!$A:$A,0),17)),$C377*INDEX(SPPR!$E:$X,MATCH($A377,SPPR!$A:$A,0),17),""),"")</f>
        <v/>
      </c>
      <c r="U377">
        <f>IFERROR(IF(ISNUMBER(INDEX(SPPR!$E:$X,MATCH($A377,SPPR!$A:$A,0),18)),$C377*INDEX(SPPR!$E:$X,MATCH($A377,SPPR!$A:$A,0),18),""),"")</f>
        <v/>
      </c>
      <c r="V377">
        <f>IFERROR(IF(ISNUMBER(INDEX(SPPR!$E:$X,MATCH($A377,SPPR!$A:$A,0),19)),$C377*INDEX(SPPR!$E:$X,MATCH($A377,SPPR!$A:$A,0),19),""),"")</f>
        <v/>
      </c>
      <c r="W377">
        <f>IFERROR(IF(ISNUMBER(INDEX(SPPR!$E:$X,MATCH($A377,SPPR!$A:$A,0),20)),$C377*INDEX(SPPR!$E:$X,MATCH($A377,SPPR!$A:$A,0),20),""),"")</f>
        <v/>
      </c>
    </row>
    <row r="378">
      <c r="A378" t="inlineStr">
        <is>
          <t>Holothuroidea</t>
        </is>
      </c>
      <c r="B378">
        <f>IFERROR(INDEX(SPPR!$D:$D,MATCH($A378,SPPR!$A:$A,0)),"")</f>
        <v/>
      </c>
      <c r="C378">
        <f>IFERROR(INDEX(Catch!$E:$BV,MATCH($A378,Catch!$A:$A,0),MATCH($B$4,Catch!$E$1:$BV$1,0)),0)</f>
        <v/>
      </c>
      <c r="D378">
        <f>IFERROR(IF(ISNUMBER(INDEX(SPPR!$E:$X,MATCH($A378,SPPR!$A:$A,0),1)),$C378*INDEX(SPPR!$E:$X,MATCH($A378,SPPR!$A:$A,0),1),""),"")</f>
        <v/>
      </c>
      <c r="E378">
        <f>IFERROR(IF(ISNUMBER(INDEX(SPPR!$E:$X,MATCH($A378,SPPR!$A:$A,0),2)),$C378*INDEX(SPPR!$E:$X,MATCH($A378,SPPR!$A:$A,0),2),""),"")</f>
        <v/>
      </c>
      <c r="F378">
        <f>IFERROR(IF(ISNUMBER(INDEX(SPPR!$E:$X,MATCH($A378,SPPR!$A:$A,0),3)),$C378*INDEX(SPPR!$E:$X,MATCH($A378,SPPR!$A:$A,0),3),""),"")</f>
        <v/>
      </c>
      <c r="G378">
        <f>IFERROR(IF(ISNUMBER(INDEX(SPPR!$E:$X,MATCH($A378,SPPR!$A:$A,0),4)),$C378*INDEX(SPPR!$E:$X,MATCH($A378,SPPR!$A:$A,0),4),""),"")</f>
        <v/>
      </c>
      <c r="H378">
        <f>IFERROR(IF(ISNUMBER(INDEX(SPPR!$E:$X,MATCH($A378,SPPR!$A:$A,0),5)),$C378*INDEX(SPPR!$E:$X,MATCH($A378,SPPR!$A:$A,0),5),""),"")</f>
        <v/>
      </c>
      <c r="I378">
        <f>IFERROR(IF(ISNUMBER(INDEX(SPPR!$E:$X,MATCH($A378,SPPR!$A:$A,0),6)),$C378*INDEX(SPPR!$E:$X,MATCH($A378,SPPR!$A:$A,0),6),""),"")</f>
        <v/>
      </c>
      <c r="J378">
        <f>IFERROR(IF(ISNUMBER(INDEX(SPPR!$E:$X,MATCH($A378,SPPR!$A:$A,0),7)),$C378*INDEX(SPPR!$E:$X,MATCH($A378,SPPR!$A:$A,0),7),""),"")</f>
        <v/>
      </c>
      <c r="K378">
        <f>IFERROR(IF(ISNUMBER(INDEX(SPPR!$E:$X,MATCH($A378,SPPR!$A:$A,0),8)),$C378*INDEX(SPPR!$E:$X,MATCH($A378,SPPR!$A:$A,0),8),""),"")</f>
        <v/>
      </c>
      <c r="L378">
        <f>IFERROR(IF(ISNUMBER(INDEX(SPPR!$E:$X,MATCH($A378,SPPR!$A:$A,0),9)),$C378*INDEX(SPPR!$E:$X,MATCH($A378,SPPR!$A:$A,0),9),""),"")</f>
        <v/>
      </c>
      <c r="M378">
        <f>IFERROR(IF(ISNUMBER(INDEX(SPPR!$E:$X,MATCH($A378,SPPR!$A:$A,0),10)),$C378*INDEX(SPPR!$E:$X,MATCH($A378,SPPR!$A:$A,0),10),""),"")</f>
        <v/>
      </c>
      <c r="N378">
        <f>IFERROR(IF(ISNUMBER(INDEX(SPPR!$E:$X,MATCH($A378,SPPR!$A:$A,0),11)),$C378*INDEX(SPPR!$E:$X,MATCH($A378,SPPR!$A:$A,0),11),""),"")</f>
        <v/>
      </c>
      <c r="O378">
        <f>IFERROR(IF(ISNUMBER(INDEX(SPPR!$E:$X,MATCH($A378,SPPR!$A:$A,0),12)),$C378*INDEX(SPPR!$E:$X,MATCH($A378,SPPR!$A:$A,0),12),""),"")</f>
        <v/>
      </c>
      <c r="P378">
        <f>IFERROR(IF(ISNUMBER(INDEX(SPPR!$E:$X,MATCH($A378,SPPR!$A:$A,0),13)),$C378*INDEX(SPPR!$E:$X,MATCH($A378,SPPR!$A:$A,0),13),""),"")</f>
        <v/>
      </c>
      <c r="Q378">
        <f>IFERROR(IF(ISNUMBER(INDEX(SPPR!$E:$X,MATCH($A378,SPPR!$A:$A,0),14)),$C378*INDEX(SPPR!$E:$X,MATCH($A378,SPPR!$A:$A,0),14),""),"")</f>
        <v/>
      </c>
      <c r="R378">
        <f>IFERROR(IF(ISNUMBER(INDEX(SPPR!$E:$X,MATCH($A378,SPPR!$A:$A,0),15)),$C378*INDEX(SPPR!$E:$X,MATCH($A378,SPPR!$A:$A,0),15),""),"")</f>
        <v/>
      </c>
      <c r="S378">
        <f>IFERROR(IF(ISNUMBER(INDEX(SPPR!$E:$X,MATCH($A378,SPPR!$A:$A,0),16)),$C378*INDEX(SPPR!$E:$X,MATCH($A378,SPPR!$A:$A,0),16),""),"")</f>
        <v/>
      </c>
      <c r="T378">
        <f>IFERROR(IF(ISNUMBER(INDEX(SPPR!$E:$X,MATCH($A378,SPPR!$A:$A,0),17)),$C378*INDEX(SPPR!$E:$X,MATCH($A378,SPPR!$A:$A,0),17),""),"")</f>
        <v/>
      </c>
      <c r="U378">
        <f>IFERROR(IF(ISNUMBER(INDEX(SPPR!$E:$X,MATCH($A378,SPPR!$A:$A,0),18)),$C378*INDEX(SPPR!$E:$X,MATCH($A378,SPPR!$A:$A,0),18),""),"")</f>
        <v/>
      </c>
      <c r="V378">
        <f>IFERROR(IF(ISNUMBER(INDEX(SPPR!$E:$X,MATCH($A378,SPPR!$A:$A,0),19)),$C378*INDEX(SPPR!$E:$X,MATCH($A378,SPPR!$A:$A,0),19),""),"")</f>
        <v/>
      </c>
      <c r="W378">
        <f>IFERROR(IF(ISNUMBER(INDEX(SPPR!$E:$X,MATCH($A378,SPPR!$A:$A,0),20)),$C378*INDEX(SPPR!$E:$X,MATCH($A378,SPPR!$A:$A,0),20),""),"")</f>
        <v/>
      </c>
    </row>
    <row r="379">
      <c r="A379" t="inlineStr">
        <is>
          <t>Pinctada</t>
        </is>
      </c>
      <c r="B379">
        <f>IFERROR(INDEX(SPPR!$D:$D,MATCH($A379,SPPR!$A:$A,0)),"")</f>
        <v/>
      </c>
      <c r="C379">
        <f>IFERROR(INDEX(Catch!$E:$BV,MATCH($A379,Catch!$A:$A,0),MATCH($B$4,Catch!$E$1:$BV$1,0)),0)</f>
        <v/>
      </c>
      <c r="D379">
        <f>IFERROR(IF(ISNUMBER(INDEX(SPPR!$E:$X,MATCH($A379,SPPR!$A:$A,0),1)),$C379*INDEX(SPPR!$E:$X,MATCH($A379,SPPR!$A:$A,0),1),""),"")</f>
        <v/>
      </c>
      <c r="E379">
        <f>IFERROR(IF(ISNUMBER(INDEX(SPPR!$E:$X,MATCH($A379,SPPR!$A:$A,0),2)),$C379*INDEX(SPPR!$E:$X,MATCH($A379,SPPR!$A:$A,0),2),""),"")</f>
        <v/>
      </c>
      <c r="F379">
        <f>IFERROR(IF(ISNUMBER(INDEX(SPPR!$E:$X,MATCH($A379,SPPR!$A:$A,0),3)),$C379*INDEX(SPPR!$E:$X,MATCH($A379,SPPR!$A:$A,0),3),""),"")</f>
        <v/>
      </c>
      <c r="G379">
        <f>IFERROR(IF(ISNUMBER(INDEX(SPPR!$E:$X,MATCH($A379,SPPR!$A:$A,0),4)),$C379*INDEX(SPPR!$E:$X,MATCH($A379,SPPR!$A:$A,0),4),""),"")</f>
        <v/>
      </c>
      <c r="H379">
        <f>IFERROR(IF(ISNUMBER(INDEX(SPPR!$E:$X,MATCH($A379,SPPR!$A:$A,0),5)),$C379*INDEX(SPPR!$E:$X,MATCH($A379,SPPR!$A:$A,0),5),""),"")</f>
        <v/>
      </c>
      <c r="I379">
        <f>IFERROR(IF(ISNUMBER(INDEX(SPPR!$E:$X,MATCH($A379,SPPR!$A:$A,0),6)),$C379*INDEX(SPPR!$E:$X,MATCH($A379,SPPR!$A:$A,0),6),""),"")</f>
        <v/>
      </c>
      <c r="J379">
        <f>IFERROR(IF(ISNUMBER(INDEX(SPPR!$E:$X,MATCH($A379,SPPR!$A:$A,0),7)),$C379*INDEX(SPPR!$E:$X,MATCH($A379,SPPR!$A:$A,0),7),""),"")</f>
        <v/>
      </c>
      <c r="K379">
        <f>IFERROR(IF(ISNUMBER(INDEX(SPPR!$E:$X,MATCH($A379,SPPR!$A:$A,0),8)),$C379*INDEX(SPPR!$E:$X,MATCH($A379,SPPR!$A:$A,0),8),""),"")</f>
        <v/>
      </c>
      <c r="L379">
        <f>IFERROR(IF(ISNUMBER(INDEX(SPPR!$E:$X,MATCH($A379,SPPR!$A:$A,0),9)),$C379*INDEX(SPPR!$E:$X,MATCH($A379,SPPR!$A:$A,0),9),""),"")</f>
        <v/>
      </c>
      <c r="M379">
        <f>IFERROR(IF(ISNUMBER(INDEX(SPPR!$E:$X,MATCH($A379,SPPR!$A:$A,0),10)),$C379*INDEX(SPPR!$E:$X,MATCH($A379,SPPR!$A:$A,0),10),""),"")</f>
        <v/>
      </c>
      <c r="N379">
        <f>IFERROR(IF(ISNUMBER(INDEX(SPPR!$E:$X,MATCH($A379,SPPR!$A:$A,0),11)),$C379*INDEX(SPPR!$E:$X,MATCH($A379,SPPR!$A:$A,0),11),""),"")</f>
        <v/>
      </c>
      <c r="O379">
        <f>IFERROR(IF(ISNUMBER(INDEX(SPPR!$E:$X,MATCH($A379,SPPR!$A:$A,0),12)),$C379*INDEX(SPPR!$E:$X,MATCH($A379,SPPR!$A:$A,0),12),""),"")</f>
        <v/>
      </c>
      <c r="P379">
        <f>IFERROR(IF(ISNUMBER(INDEX(SPPR!$E:$X,MATCH($A379,SPPR!$A:$A,0),13)),$C379*INDEX(SPPR!$E:$X,MATCH($A379,SPPR!$A:$A,0),13),""),"")</f>
        <v/>
      </c>
      <c r="Q379">
        <f>IFERROR(IF(ISNUMBER(INDEX(SPPR!$E:$X,MATCH($A379,SPPR!$A:$A,0),14)),$C379*INDEX(SPPR!$E:$X,MATCH($A379,SPPR!$A:$A,0),14),""),"")</f>
        <v/>
      </c>
      <c r="R379">
        <f>IFERROR(IF(ISNUMBER(INDEX(SPPR!$E:$X,MATCH($A379,SPPR!$A:$A,0),15)),$C379*INDEX(SPPR!$E:$X,MATCH($A379,SPPR!$A:$A,0),15),""),"")</f>
        <v/>
      </c>
      <c r="S379">
        <f>IFERROR(IF(ISNUMBER(INDEX(SPPR!$E:$X,MATCH($A379,SPPR!$A:$A,0),16)),$C379*INDEX(SPPR!$E:$X,MATCH($A379,SPPR!$A:$A,0),16),""),"")</f>
        <v/>
      </c>
      <c r="T379">
        <f>IFERROR(IF(ISNUMBER(INDEX(SPPR!$E:$X,MATCH($A379,SPPR!$A:$A,0),17)),$C379*INDEX(SPPR!$E:$X,MATCH($A379,SPPR!$A:$A,0),17),""),"")</f>
        <v/>
      </c>
      <c r="U379">
        <f>IFERROR(IF(ISNUMBER(INDEX(SPPR!$E:$X,MATCH($A379,SPPR!$A:$A,0),18)),$C379*INDEX(SPPR!$E:$X,MATCH($A379,SPPR!$A:$A,0),18),""),"")</f>
        <v/>
      </c>
      <c r="V379">
        <f>IFERROR(IF(ISNUMBER(INDEX(SPPR!$E:$X,MATCH($A379,SPPR!$A:$A,0),19)),$C379*INDEX(SPPR!$E:$X,MATCH($A379,SPPR!$A:$A,0),19),""),"")</f>
        <v/>
      </c>
      <c r="W379">
        <f>IFERROR(IF(ISNUMBER(INDEX(SPPR!$E:$X,MATCH($A379,SPPR!$A:$A,0),20)),$C379*INDEX(SPPR!$E:$X,MATCH($A379,SPPR!$A:$A,0),20),""),"")</f>
        <v/>
      </c>
    </row>
    <row r="380">
      <c r="A380" t="inlineStr">
        <is>
          <t>Carcharhinus amblyrhynchos</t>
        </is>
      </c>
      <c r="B380">
        <f>IFERROR(INDEX(SPPR!$D:$D,MATCH($A380,SPPR!$A:$A,0)),"")</f>
        <v/>
      </c>
      <c r="C380">
        <f>IFERROR(INDEX(Catch!$E:$BV,MATCH($A380,Catch!$A:$A,0),MATCH($B$4,Catch!$E$1:$BV$1,0)),0)</f>
        <v/>
      </c>
      <c r="D380">
        <f>IFERROR(IF(ISNUMBER(INDEX(SPPR!$E:$X,MATCH($A380,SPPR!$A:$A,0),1)),$C380*INDEX(SPPR!$E:$X,MATCH($A380,SPPR!$A:$A,0),1),""),"")</f>
        <v/>
      </c>
      <c r="E380">
        <f>IFERROR(IF(ISNUMBER(INDEX(SPPR!$E:$X,MATCH($A380,SPPR!$A:$A,0),2)),$C380*INDEX(SPPR!$E:$X,MATCH($A380,SPPR!$A:$A,0),2),""),"")</f>
        <v/>
      </c>
      <c r="F380">
        <f>IFERROR(IF(ISNUMBER(INDEX(SPPR!$E:$X,MATCH($A380,SPPR!$A:$A,0),3)),$C380*INDEX(SPPR!$E:$X,MATCH($A380,SPPR!$A:$A,0),3),""),"")</f>
        <v/>
      </c>
      <c r="G380">
        <f>IFERROR(IF(ISNUMBER(INDEX(SPPR!$E:$X,MATCH($A380,SPPR!$A:$A,0),4)),$C380*INDEX(SPPR!$E:$X,MATCH($A380,SPPR!$A:$A,0),4),""),"")</f>
        <v/>
      </c>
      <c r="H380">
        <f>IFERROR(IF(ISNUMBER(INDEX(SPPR!$E:$X,MATCH($A380,SPPR!$A:$A,0),5)),$C380*INDEX(SPPR!$E:$X,MATCH($A380,SPPR!$A:$A,0),5),""),"")</f>
        <v/>
      </c>
      <c r="I380">
        <f>IFERROR(IF(ISNUMBER(INDEX(SPPR!$E:$X,MATCH($A380,SPPR!$A:$A,0),6)),$C380*INDEX(SPPR!$E:$X,MATCH($A380,SPPR!$A:$A,0),6),""),"")</f>
        <v/>
      </c>
      <c r="J380">
        <f>IFERROR(IF(ISNUMBER(INDEX(SPPR!$E:$X,MATCH($A380,SPPR!$A:$A,0),7)),$C380*INDEX(SPPR!$E:$X,MATCH($A380,SPPR!$A:$A,0),7),""),"")</f>
        <v/>
      </c>
      <c r="K380">
        <f>IFERROR(IF(ISNUMBER(INDEX(SPPR!$E:$X,MATCH($A380,SPPR!$A:$A,0),8)),$C380*INDEX(SPPR!$E:$X,MATCH($A380,SPPR!$A:$A,0),8),""),"")</f>
        <v/>
      </c>
      <c r="L380">
        <f>IFERROR(IF(ISNUMBER(INDEX(SPPR!$E:$X,MATCH($A380,SPPR!$A:$A,0),9)),$C380*INDEX(SPPR!$E:$X,MATCH($A380,SPPR!$A:$A,0),9),""),"")</f>
        <v/>
      </c>
      <c r="M380">
        <f>IFERROR(IF(ISNUMBER(INDEX(SPPR!$E:$X,MATCH($A380,SPPR!$A:$A,0),10)),$C380*INDEX(SPPR!$E:$X,MATCH($A380,SPPR!$A:$A,0),10),""),"")</f>
        <v/>
      </c>
      <c r="N380">
        <f>IFERROR(IF(ISNUMBER(INDEX(SPPR!$E:$X,MATCH($A380,SPPR!$A:$A,0),11)),$C380*INDEX(SPPR!$E:$X,MATCH($A380,SPPR!$A:$A,0),11),""),"")</f>
        <v/>
      </c>
      <c r="O380">
        <f>IFERROR(IF(ISNUMBER(INDEX(SPPR!$E:$X,MATCH($A380,SPPR!$A:$A,0),12)),$C380*INDEX(SPPR!$E:$X,MATCH($A380,SPPR!$A:$A,0),12),""),"")</f>
        <v/>
      </c>
      <c r="P380">
        <f>IFERROR(IF(ISNUMBER(INDEX(SPPR!$E:$X,MATCH($A380,SPPR!$A:$A,0),13)),$C380*INDEX(SPPR!$E:$X,MATCH($A380,SPPR!$A:$A,0),13),""),"")</f>
        <v/>
      </c>
      <c r="Q380">
        <f>IFERROR(IF(ISNUMBER(INDEX(SPPR!$E:$X,MATCH($A380,SPPR!$A:$A,0),14)),$C380*INDEX(SPPR!$E:$X,MATCH($A380,SPPR!$A:$A,0),14),""),"")</f>
        <v/>
      </c>
      <c r="R380">
        <f>IFERROR(IF(ISNUMBER(INDEX(SPPR!$E:$X,MATCH($A380,SPPR!$A:$A,0),15)),$C380*INDEX(SPPR!$E:$X,MATCH($A380,SPPR!$A:$A,0),15),""),"")</f>
        <v/>
      </c>
      <c r="S380">
        <f>IFERROR(IF(ISNUMBER(INDEX(SPPR!$E:$X,MATCH($A380,SPPR!$A:$A,0),16)),$C380*INDEX(SPPR!$E:$X,MATCH($A380,SPPR!$A:$A,0),16),""),"")</f>
        <v/>
      </c>
      <c r="T380">
        <f>IFERROR(IF(ISNUMBER(INDEX(SPPR!$E:$X,MATCH($A380,SPPR!$A:$A,0),17)),$C380*INDEX(SPPR!$E:$X,MATCH($A380,SPPR!$A:$A,0),17),""),"")</f>
        <v/>
      </c>
      <c r="U380">
        <f>IFERROR(IF(ISNUMBER(INDEX(SPPR!$E:$X,MATCH($A380,SPPR!$A:$A,0),18)),$C380*INDEX(SPPR!$E:$X,MATCH($A380,SPPR!$A:$A,0),18),""),"")</f>
        <v/>
      </c>
      <c r="V380">
        <f>IFERROR(IF(ISNUMBER(INDEX(SPPR!$E:$X,MATCH($A380,SPPR!$A:$A,0),19)),$C380*INDEX(SPPR!$E:$X,MATCH($A380,SPPR!$A:$A,0),19),""),"")</f>
        <v/>
      </c>
      <c r="W380">
        <f>IFERROR(IF(ISNUMBER(INDEX(SPPR!$E:$X,MATCH($A380,SPPR!$A:$A,0),20)),$C380*INDEX(SPPR!$E:$X,MATCH($A380,SPPR!$A:$A,0),20),""),"")</f>
        <v/>
      </c>
    </row>
    <row r="381">
      <c r="A381" t="inlineStr">
        <is>
          <t>Sphyrnidae</t>
        </is>
      </c>
      <c r="B381">
        <f>IFERROR(INDEX(SPPR!$D:$D,MATCH($A381,SPPR!$A:$A,0)),"")</f>
        <v/>
      </c>
      <c r="C381">
        <f>IFERROR(INDEX(Catch!$E:$BV,MATCH($A381,Catch!$A:$A,0),MATCH($B$4,Catch!$E$1:$BV$1,0)),0)</f>
        <v/>
      </c>
      <c r="D381">
        <f>IFERROR(IF(ISNUMBER(INDEX(SPPR!$E:$X,MATCH($A381,SPPR!$A:$A,0),1)),$C381*INDEX(SPPR!$E:$X,MATCH($A381,SPPR!$A:$A,0),1),""),"")</f>
        <v/>
      </c>
      <c r="E381">
        <f>IFERROR(IF(ISNUMBER(INDEX(SPPR!$E:$X,MATCH($A381,SPPR!$A:$A,0),2)),$C381*INDEX(SPPR!$E:$X,MATCH($A381,SPPR!$A:$A,0),2),""),"")</f>
        <v/>
      </c>
      <c r="F381">
        <f>IFERROR(IF(ISNUMBER(INDEX(SPPR!$E:$X,MATCH($A381,SPPR!$A:$A,0),3)),$C381*INDEX(SPPR!$E:$X,MATCH($A381,SPPR!$A:$A,0),3),""),"")</f>
        <v/>
      </c>
      <c r="G381">
        <f>IFERROR(IF(ISNUMBER(INDEX(SPPR!$E:$X,MATCH($A381,SPPR!$A:$A,0),4)),$C381*INDEX(SPPR!$E:$X,MATCH($A381,SPPR!$A:$A,0),4),""),"")</f>
        <v/>
      </c>
      <c r="H381">
        <f>IFERROR(IF(ISNUMBER(INDEX(SPPR!$E:$X,MATCH($A381,SPPR!$A:$A,0),5)),$C381*INDEX(SPPR!$E:$X,MATCH($A381,SPPR!$A:$A,0),5),""),"")</f>
        <v/>
      </c>
      <c r="I381">
        <f>IFERROR(IF(ISNUMBER(INDEX(SPPR!$E:$X,MATCH($A381,SPPR!$A:$A,0),6)),$C381*INDEX(SPPR!$E:$X,MATCH($A381,SPPR!$A:$A,0),6),""),"")</f>
        <v/>
      </c>
      <c r="J381">
        <f>IFERROR(IF(ISNUMBER(INDEX(SPPR!$E:$X,MATCH($A381,SPPR!$A:$A,0),7)),$C381*INDEX(SPPR!$E:$X,MATCH($A381,SPPR!$A:$A,0),7),""),"")</f>
        <v/>
      </c>
      <c r="K381">
        <f>IFERROR(IF(ISNUMBER(INDEX(SPPR!$E:$X,MATCH($A381,SPPR!$A:$A,0),8)),$C381*INDEX(SPPR!$E:$X,MATCH($A381,SPPR!$A:$A,0),8),""),"")</f>
        <v/>
      </c>
      <c r="L381">
        <f>IFERROR(IF(ISNUMBER(INDEX(SPPR!$E:$X,MATCH($A381,SPPR!$A:$A,0),9)),$C381*INDEX(SPPR!$E:$X,MATCH($A381,SPPR!$A:$A,0),9),""),"")</f>
        <v/>
      </c>
      <c r="M381">
        <f>IFERROR(IF(ISNUMBER(INDEX(SPPR!$E:$X,MATCH($A381,SPPR!$A:$A,0),10)),$C381*INDEX(SPPR!$E:$X,MATCH($A381,SPPR!$A:$A,0),10),""),"")</f>
        <v/>
      </c>
      <c r="N381">
        <f>IFERROR(IF(ISNUMBER(INDEX(SPPR!$E:$X,MATCH($A381,SPPR!$A:$A,0),11)),$C381*INDEX(SPPR!$E:$X,MATCH($A381,SPPR!$A:$A,0),11),""),"")</f>
        <v/>
      </c>
      <c r="O381">
        <f>IFERROR(IF(ISNUMBER(INDEX(SPPR!$E:$X,MATCH($A381,SPPR!$A:$A,0),12)),$C381*INDEX(SPPR!$E:$X,MATCH($A381,SPPR!$A:$A,0),12),""),"")</f>
        <v/>
      </c>
      <c r="P381">
        <f>IFERROR(IF(ISNUMBER(INDEX(SPPR!$E:$X,MATCH($A381,SPPR!$A:$A,0),13)),$C381*INDEX(SPPR!$E:$X,MATCH($A381,SPPR!$A:$A,0),13),""),"")</f>
        <v/>
      </c>
      <c r="Q381">
        <f>IFERROR(IF(ISNUMBER(INDEX(SPPR!$E:$X,MATCH($A381,SPPR!$A:$A,0),14)),$C381*INDEX(SPPR!$E:$X,MATCH($A381,SPPR!$A:$A,0),14),""),"")</f>
        <v/>
      </c>
      <c r="R381">
        <f>IFERROR(IF(ISNUMBER(INDEX(SPPR!$E:$X,MATCH($A381,SPPR!$A:$A,0),15)),$C381*INDEX(SPPR!$E:$X,MATCH($A381,SPPR!$A:$A,0),15),""),"")</f>
        <v/>
      </c>
      <c r="S381">
        <f>IFERROR(IF(ISNUMBER(INDEX(SPPR!$E:$X,MATCH($A381,SPPR!$A:$A,0),16)),$C381*INDEX(SPPR!$E:$X,MATCH($A381,SPPR!$A:$A,0),16),""),"")</f>
        <v/>
      </c>
      <c r="T381">
        <f>IFERROR(IF(ISNUMBER(INDEX(SPPR!$E:$X,MATCH($A381,SPPR!$A:$A,0),17)),$C381*INDEX(SPPR!$E:$X,MATCH($A381,SPPR!$A:$A,0),17),""),"")</f>
        <v/>
      </c>
      <c r="U381">
        <f>IFERROR(IF(ISNUMBER(INDEX(SPPR!$E:$X,MATCH($A381,SPPR!$A:$A,0),18)),$C381*INDEX(SPPR!$E:$X,MATCH($A381,SPPR!$A:$A,0),18),""),"")</f>
        <v/>
      </c>
      <c r="V381">
        <f>IFERROR(IF(ISNUMBER(INDEX(SPPR!$E:$X,MATCH($A381,SPPR!$A:$A,0),19)),$C381*INDEX(SPPR!$E:$X,MATCH($A381,SPPR!$A:$A,0),19),""),"")</f>
        <v/>
      </c>
      <c r="W381">
        <f>IFERROR(IF(ISNUMBER(INDEX(SPPR!$E:$X,MATCH($A381,SPPR!$A:$A,0),20)),$C381*INDEX(SPPR!$E:$X,MATCH($A381,SPPR!$A:$A,0),20),""),"")</f>
        <v/>
      </c>
    </row>
  </sheetData>
  <dataValidations count="1">
    <dataValidation sqref="B4" showDropDown="0" showInputMessage="0" showErrorMessage="0" allowBlank="0" type="list">
      <formula1>=Catch!$E$1:$BV$1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4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4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</cols>
  <sheetData>
    <row r="1">
      <c r="A1" s="1" t="inlineStr">
        <is>
          <t>The model's own compartments, and their SPPR under each method.</t>
        </is>
      </c>
    </row>
    <row r="2">
      <c r="A2" t="inlineStr">
        <is>
          <t>Group names here are authoritative. Everything in the other sheets joins on them character for character.</t>
        </is>
      </c>
    </row>
    <row r="4">
      <c r="A4" s="4" t="inlineStr">
        <is>
          <t>seq</t>
        </is>
      </c>
      <c r="B4" s="4" t="inlineStr">
        <is>
          <t>group_name</t>
        </is>
      </c>
      <c r="C4" s="4" t="inlineStr">
        <is>
          <t>type</t>
        </is>
      </c>
      <c r="D4" s="4" t="inlineStr">
        <is>
          <t>TL</t>
        </is>
      </c>
      <c r="E4" s="4" t="inlineStr">
        <is>
          <t>GE</t>
        </is>
      </c>
      <c r="F4" s="4" t="inlineStr">
        <is>
          <t>EE</t>
        </is>
      </c>
      <c r="G4" s="4" t="inlineStr">
        <is>
          <t>biomass</t>
        </is>
      </c>
      <c r="H4" s="4" t="inlineStr">
        <is>
          <t>model catch</t>
        </is>
      </c>
      <c r="I4" s="4" t="inlineStr">
        <is>
          <t>SPPR_1986</t>
        </is>
      </c>
      <c r="J4" s="4" t="inlineStr">
        <is>
          <t>SPPR_1995_TE0.1</t>
        </is>
      </c>
      <c r="K4" s="4" t="inlineStr">
        <is>
          <t>SPPR_1995_TEmean</t>
        </is>
      </c>
      <c r="L4" s="4" t="inlineStr">
        <is>
          <t>Ulanowicz_globalTEmean</t>
        </is>
      </c>
      <c r="M4" s="4" t="inlineStr">
        <is>
          <t>Ulanowicz_TE</t>
        </is>
      </c>
      <c r="N4" s="4" t="inlineStr">
        <is>
          <t>EwE_TE_noEE</t>
        </is>
      </c>
      <c r="O4" s="4" t="inlineStr">
        <is>
          <t>EwE_TE_EE</t>
        </is>
      </c>
      <c r="P4" s="4" t="inlineStr">
        <is>
          <t>SPPR_2015</t>
        </is>
      </c>
      <c r="Q4" s="4" t="inlineStr">
        <is>
          <t>new_TE_noEEfix</t>
        </is>
      </c>
      <c r="R4" s="4" t="inlineStr">
        <is>
          <t>new_TE_EEfix</t>
        </is>
      </c>
      <c r="S4" s="4" t="inlineStr">
        <is>
          <t>new_GE</t>
        </is>
      </c>
      <c r="T4" s="4" t="inlineStr">
        <is>
          <t>new_WithEgestion</t>
        </is>
      </c>
      <c r="U4" s="4" t="inlineStr">
        <is>
          <t>sym_TE_asPP</t>
        </is>
      </c>
      <c r="V4" s="4" t="inlineStr">
        <is>
          <t>sym_TE_asDC</t>
        </is>
      </c>
      <c r="W4" s="4" t="inlineStr">
        <is>
          <t>sym_GE_asPP</t>
        </is>
      </c>
      <c r="X4" s="4" t="inlineStr">
        <is>
          <t>sym_GE_asDC</t>
        </is>
      </c>
      <c r="Y4" s="4" t="inlineStr">
        <is>
          <t>sym_WithEgestion_asPP</t>
        </is>
      </c>
      <c r="Z4" s="4" t="inlineStr">
        <is>
          <t>sym_WithEgestion_asDC</t>
        </is>
      </c>
      <c r="AA4" s="4" t="inlineStr">
        <is>
          <t>MC_new_GE</t>
        </is>
      </c>
      <c r="AB4" s="4" t="inlineStr">
        <is>
          <t>MC_new_TE_EEfix</t>
        </is>
      </c>
    </row>
    <row r="5">
      <c r="A5" t="n">
        <v>1</v>
      </c>
      <c r="B5" t="inlineStr">
        <is>
          <t>Phytoplankton</t>
        </is>
      </c>
      <c r="C5" t="inlineStr">
        <is>
          <t>PP</t>
        </is>
      </c>
      <c r="D5" t="n">
        <v>1</v>
      </c>
      <c r="E5" t="n">
        <v>1</v>
      </c>
      <c r="F5" t="n">
        <v>0.03500000000000003</v>
      </c>
      <c r="G5" t="n">
        <v>323</v>
      </c>
      <c r="H5" t="n">
        <v>0</v>
      </c>
      <c r="I5" t="n">
        <v>140.953883</v>
      </c>
      <c r="J5" t="n">
        <v>1</v>
      </c>
      <c r="K5" t="n">
        <v>1</v>
      </c>
      <c r="L5" t="n">
        <v>1</v>
      </c>
      <c r="M5" t="n">
        <v>1</v>
      </c>
      <c r="N5" t="n">
        <v>0</v>
      </c>
      <c r="O5" t="n">
        <v>0.035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2</v>
      </c>
      <c r="B6" t="inlineStr">
        <is>
          <t>Benthic producer</t>
        </is>
      </c>
      <c r="C6" t="inlineStr">
        <is>
          <t>PP</t>
        </is>
      </c>
      <c r="D6" t="n">
        <v>1</v>
      </c>
      <c r="E6" t="n">
        <v>1</v>
      </c>
      <c r="F6" t="n">
        <v>0.02000000000000002</v>
      </c>
      <c r="G6" t="n">
        <v>153</v>
      </c>
      <c r="H6" t="n">
        <v>0.0056</v>
      </c>
      <c r="I6" t="n">
        <v>140.953883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n">
        <v>0.02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3</v>
      </c>
      <c r="B7" t="inlineStr">
        <is>
          <t>Zooplankton</t>
        </is>
      </c>
      <c r="C7" t="inlineStr">
        <is>
          <t>Regular</t>
        </is>
      </c>
      <c r="D7" t="n">
        <v>2</v>
      </c>
      <c r="E7" t="n">
        <v>0.1666666666666667</v>
      </c>
      <c r="F7" t="n">
        <v>0.05200000000000016</v>
      </c>
      <c r="G7" t="n">
        <v>33.8</v>
      </c>
      <c r="H7" t="n">
        <v>0.01</v>
      </c>
      <c r="I7" t="n">
        <v>140.953883</v>
      </c>
      <c r="J7" t="n">
        <v>10</v>
      </c>
      <c r="K7" t="n">
        <v>7.482941</v>
      </c>
      <c r="L7" t="n">
        <v>7.482941</v>
      </c>
      <c r="M7" t="n">
        <v>115.384615</v>
      </c>
      <c r="N7" t="n">
        <v>115.384615</v>
      </c>
      <c r="O7" t="n">
        <v>6</v>
      </c>
      <c r="P7" t="n">
        <v>114.728394</v>
      </c>
      <c r="Q7" t="n">
        <v>114.728394</v>
      </c>
      <c r="R7" t="n">
        <v>114.728394</v>
      </c>
      <c r="S7" t="n">
        <v>6.05984</v>
      </c>
      <c r="T7" t="n">
        <v>4.848511</v>
      </c>
      <c r="U7" t="n">
        <v>114.728394</v>
      </c>
      <c r="V7" t="n">
        <v>114.728394</v>
      </c>
      <c r="W7" t="n">
        <v>6.05984</v>
      </c>
      <c r="X7" t="n">
        <v>6.05984</v>
      </c>
      <c r="Y7" t="n">
        <v>4.848511</v>
      </c>
      <c r="Z7" t="n">
        <v>4.848511</v>
      </c>
      <c r="AA7" t="n">
        <v>6.224783</v>
      </c>
      <c r="AB7" t="n">
        <v>116.846993</v>
      </c>
    </row>
    <row r="8">
      <c r="A8" t="n">
        <v>4</v>
      </c>
      <c r="B8" t="inlineStr">
        <is>
          <t>Jellyfish</t>
        </is>
      </c>
      <c r="C8" t="inlineStr">
        <is>
          <t>Regular</t>
        </is>
      </c>
      <c r="D8" t="n">
        <v>3.104070721217805</v>
      </c>
      <c r="E8" t="n">
        <v>0.25</v>
      </c>
      <c r="F8" t="n">
        <v>0.95</v>
      </c>
      <c r="G8" t="n">
        <v>0.146</v>
      </c>
      <c r="H8" t="n">
        <v>0.0012</v>
      </c>
      <c r="I8" t="n">
        <v>140.953883</v>
      </c>
      <c r="J8" t="n">
        <v>103.790936</v>
      </c>
      <c r="K8" t="n">
        <v>57.845447</v>
      </c>
      <c r="L8" t="n">
        <v>56.932587</v>
      </c>
      <c r="M8" t="n">
        <v>468.918008</v>
      </c>
      <c r="N8" t="n">
        <v>473.97462</v>
      </c>
      <c r="O8" t="n">
        <v>450.275889</v>
      </c>
      <c r="P8" t="n">
        <v>711.02964</v>
      </c>
      <c r="Q8" t="n">
        <v>711.02964</v>
      </c>
      <c r="R8" t="n">
        <v>711.02964</v>
      </c>
      <c r="S8" t="n">
        <v>34.656914</v>
      </c>
      <c r="T8" t="n">
        <v>19.970973</v>
      </c>
      <c r="U8" t="n">
        <v>711.02964</v>
      </c>
      <c r="V8" t="n">
        <v>711.02964</v>
      </c>
      <c r="W8" t="n">
        <v>34.656914</v>
      </c>
      <c r="X8" t="n">
        <v>34.656914</v>
      </c>
      <c r="Y8" t="n">
        <v>19.970973</v>
      </c>
      <c r="Z8" t="n">
        <v>19.970973</v>
      </c>
      <c r="AA8" t="n">
        <v>36.368369</v>
      </c>
      <c r="AB8" t="n">
        <v>756.8536319999999</v>
      </c>
    </row>
    <row r="9">
      <c r="A9" t="n">
        <v>5</v>
      </c>
      <c r="B9" t="inlineStr">
        <is>
          <t>Polychaetes</t>
        </is>
      </c>
      <c r="C9" t="inlineStr">
        <is>
          <t>Regular</t>
        </is>
      </c>
      <c r="D9" t="n">
        <v>2</v>
      </c>
      <c r="E9" t="n">
        <v>0.3</v>
      </c>
      <c r="F9" t="n">
        <v>0.95</v>
      </c>
      <c r="G9" t="n">
        <v>3.421</v>
      </c>
      <c r="H9" t="n">
        <v>0</v>
      </c>
      <c r="I9" t="n">
        <v>140.953883</v>
      </c>
      <c r="J9" t="n">
        <v>10</v>
      </c>
      <c r="K9" t="n">
        <v>7.482941</v>
      </c>
      <c r="L9" t="n">
        <v>7.482941</v>
      </c>
      <c r="M9" t="n">
        <v>3.508772</v>
      </c>
      <c r="N9" t="n">
        <v>3.508772</v>
      </c>
      <c r="O9" t="n">
        <v>3.333333</v>
      </c>
      <c r="P9" t="n">
        <v>3.442254</v>
      </c>
      <c r="Q9" t="n">
        <v>3.442254</v>
      </c>
      <c r="R9" t="n">
        <v>3.442254</v>
      </c>
      <c r="S9" t="n">
        <v>3.444147</v>
      </c>
      <c r="T9" t="n">
        <v>2.756501</v>
      </c>
      <c r="U9" t="n">
        <v>3.442254</v>
      </c>
      <c r="V9" t="n">
        <v>3.442254</v>
      </c>
      <c r="W9" t="n">
        <v>3.444147</v>
      </c>
      <c r="X9" t="n">
        <v>3.444147</v>
      </c>
      <c r="Y9" t="n">
        <v>2.756501</v>
      </c>
      <c r="Z9" t="n">
        <v>2.756501</v>
      </c>
      <c r="AA9" t="n">
        <v>3.417354</v>
      </c>
      <c r="AB9" t="n">
        <v>3.409848</v>
      </c>
    </row>
    <row r="10">
      <c r="A10" t="n">
        <v>6</v>
      </c>
      <c r="B10" t="inlineStr">
        <is>
          <t>Echinoderms</t>
        </is>
      </c>
      <c r="C10" t="inlineStr">
        <is>
          <t>Regular</t>
        </is>
      </c>
      <c r="D10" t="n">
        <v>2.333214688865273</v>
      </c>
      <c r="E10" t="n">
        <v>0.335195530726257</v>
      </c>
      <c r="F10" t="n">
        <v>0.398</v>
      </c>
      <c r="G10" t="n">
        <v>3.065</v>
      </c>
      <c r="H10" t="n">
        <v>0.0039</v>
      </c>
      <c r="I10" t="n">
        <v>140.953883</v>
      </c>
      <c r="J10" t="n">
        <v>18.617087</v>
      </c>
      <c r="K10" t="n">
        <v>12.882339</v>
      </c>
      <c r="L10" t="n">
        <v>42.220898</v>
      </c>
      <c r="M10" t="n">
        <v>603.989501</v>
      </c>
      <c r="N10" t="n">
        <v>603.989501</v>
      </c>
      <c r="O10" t="n">
        <v>240.387821</v>
      </c>
      <c r="P10" t="n">
        <v>1080.992157</v>
      </c>
      <c r="Q10" t="n">
        <v>1080.992157</v>
      </c>
      <c r="R10" t="n">
        <v>1080.992157</v>
      </c>
      <c r="S10" t="n">
        <v>17.290347</v>
      </c>
      <c r="T10" t="n">
        <v>9.498851999999999</v>
      </c>
      <c r="U10" t="n">
        <v>1080.992157</v>
      </c>
      <c r="V10" t="n">
        <v>1080.992157</v>
      </c>
      <c r="W10" t="n">
        <v>17.290347</v>
      </c>
      <c r="X10" t="n">
        <v>17.290347</v>
      </c>
      <c r="Y10" t="n">
        <v>9.498851999999999</v>
      </c>
      <c r="Z10" t="n">
        <v>9.498851999999999</v>
      </c>
      <c r="AA10" t="n">
        <v>17.932707</v>
      </c>
      <c r="AB10" t="n">
        <v>1135.08839</v>
      </c>
    </row>
    <row r="11">
      <c r="A11" t="n">
        <v>7</v>
      </c>
      <c r="B11" t="inlineStr">
        <is>
          <t>Benthic crustaceans</t>
        </is>
      </c>
      <c r="C11" t="inlineStr">
        <is>
          <t>Regular</t>
        </is>
      </c>
      <c r="D11" t="n">
        <v>2.199822222222222</v>
      </c>
      <c r="E11" t="n">
        <v>0.2100371747211896</v>
      </c>
      <c r="F11" t="n">
        <v>0.624</v>
      </c>
      <c r="G11" t="n">
        <v>2.649</v>
      </c>
      <c r="H11" t="n">
        <v>0.0019</v>
      </c>
      <c r="I11" t="n">
        <v>140.953883</v>
      </c>
      <c r="J11" t="n">
        <v>15.812995</v>
      </c>
      <c r="K11" t="n">
        <v>11.169278</v>
      </c>
      <c r="L11" t="n">
        <v>22.580939</v>
      </c>
      <c r="M11" t="n">
        <v>110.765161</v>
      </c>
      <c r="N11" t="n">
        <v>110.765161</v>
      </c>
      <c r="O11" t="n">
        <v>69.11746100000001</v>
      </c>
      <c r="P11" t="n">
        <v>113.463496</v>
      </c>
      <c r="Q11" t="n">
        <v>113.463496</v>
      </c>
      <c r="R11" t="n">
        <v>113.463496</v>
      </c>
      <c r="S11" t="n">
        <v>8.170260000000001</v>
      </c>
      <c r="T11" t="n">
        <v>5.693764</v>
      </c>
      <c r="U11" t="n">
        <v>113.463496</v>
      </c>
      <c r="V11" t="n">
        <v>113.463496</v>
      </c>
      <c r="W11" t="n">
        <v>8.170260000000001</v>
      </c>
      <c r="X11" t="n">
        <v>8.170260000000001</v>
      </c>
      <c r="Y11" t="n">
        <v>5.693764</v>
      </c>
      <c r="Z11" t="n">
        <v>5.693764</v>
      </c>
      <c r="AA11" t="n">
        <v>8.298344999999999</v>
      </c>
      <c r="AB11" t="n">
        <v>118.931059</v>
      </c>
    </row>
    <row r="12">
      <c r="A12" t="n">
        <v>8</v>
      </c>
      <c r="B12" t="inlineStr">
        <is>
          <t>Non-ceph molluscs</t>
        </is>
      </c>
      <c r="C12" t="inlineStr">
        <is>
          <t>Regular</t>
        </is>
      </c>
      <c r="D12" t="n">
        <v>2.177777777777778</v>
      </c>
      <c r="E12" t="n">
        <v>0.4285714285714285</v>
      </c>
      <c r="F12" t="n">
        <v>0.383</v>
      </c>
      <c r="G12" t="n">
        <v>13.747</v>
      </c>
      <c r="H12" t="n">
        <v>0.0056</v>
      </c>
      <c r="I12" t="n">
        <v>140.953883</v>
      </c>
      <c r="J12" t="n">
        <v>14.712171</v>
      </c>
      <c r="K12" t="n">
        <v>10.486582</v>
      </c>
      <c r="L12" t="n">
        <v>17.347998</v>
      </c>
      <c r="M12" t="n">
        <v>87.52377799999999</v>
      </c>
      <c r="N12" t="n">
        <v>87.52377799999999</v>
      </c>
      <c r="O12" t="n">
        <v>33.521607</v>
      </c>
      <c r="P12" t="n">
        <v>92.59366</v>
      </c>
      <c r="Q12" t="n">
        <v>92.59366</v>
      </c>
      <c r="R12" t="n">
        <v>92.59366</v>
      </c>
      <c r="S12" t="n">
        <v>4.448657</v>
      </c>
      <c r="T12" t="n">
        <v>3.058348</v>
      </c>
      <c r="U12" t="n">
        <v>92.59366</v>
      </c>
      <c r="V12" t="n">
        <v>92.59366</v>
      </c>
      <c r="W12" t="n">
        <v>4.448657</v>
      </c>
      <c r="X12" t="n">
        <v>4.448657</v>
      </c>
      <c r="Y12" t="n">
        <v>3.058348</v>
      </c>
      <c r="Z12" t="n">
        <v>3.058348</v>
      </c>
      <c r="AA12" t="n">
        <v>4.556294</v>
      </c>
      <c r="AB12" t="n">
        <v>96.447226</v>
      </c>
    </row>
    <row r="13">
      <c r="A13" t="n">
        <v>9</v>
      </c>
      <c r="B13" t="inlineStr">
        <is>
          <t>Sessile/other invertebrates</t>
        </is>
      </c>
      <c r="C13" t="inlineStr">
        <is>
          <t>Regular</t>
        </is>
      </c>
      <c r="D13" t="n">
        <v>2.6</v>
      </c>
      <c r="E13" t="n">
        <v>0.1111111111111111</v>
      </c>
      <c r="F13" t="n">
        <v>0.845</v>
      </c>
      <c r="G13" t="n">
        <v>3.114</v>
      </c>
      <c r="H13" t="n">
        <v>0.0011</v>
      </c>
      <c r="I13" t="n">
        <v>140.953883</v>
      </c>
      <c r="J13" t="n">
        <v>39.810717</v>
      </c>
      <c r="K13" t="n">
        <v>25.033164</v>
      </c>
      <c r="L13" t="n">
        <v>36.589822</v>
      </c>
      <c r="M13" t="n">
        <v>741.629495</v>
      </c>
      <c r="N13" t="n">
        <v>741.629495</v>
      </c>
      <c r="O13" t="n">
        <v>626.676923</v>
      </c>
      <c r="P13" t="n">
        <v>737.355125</v>
      </c>
      <c r="Q13" t="n">
        <v>737.355125</v>
      </c>
      <c r="R13" t="n">
        <v>737.355125</v>
      </c>
      <c r="S13" t="n">
        <v>36.442813</v>
      </c>
      <c r="T13" t="n">
        <v>23.922587</v>
      </c>
      <c r="U13" t="n">
        <v>737.355125</v>
      </c>
      <c r="V13" t="n">
        <v>737.355125</v>
      </c>
      <c r="W13" t="n">
        <v>36.442813</v>
      </c>
      <c r="X13" t="n">
        <v>36.442813</v>
      </c>
      <c r="Y13" t="n">
        <v>23.922587</v>
      </c>
      <c r="Z13" t="n">
        <v>23.922587</v>
      </c>
      <c r="AA13" t="n">
        <v>37.547619</v>
      </c>
      <c r="AB13" t="n">
        <v>765.5198799999999</v>
      </c>
    </row>
    <row r="14">
      <c r="A14" t="n">
        <v>10</v>
      </c>
      <c r="B14" t="inlineStr">
        <is>
          <t>Shrimps</t>
        </is>
      </c>
      <c r="C14" t="inlineStr">
        <is>
          <t>Regular</t>
        </is>
      </c>
      <c r="D14" t="n">
        <v>2.314</v>
      </c>
      <c r="E14" t="n">
        <v>0.1868512110726644</v>
      </c>
      <c r="F14" t="n">
        <v>0.95</v>
      </c>
      <c r="G14" t="n">
        <v>0.422</v>
      </c>
      <c r="H14" t="n">
        <v>0.035</v>
      </c>
      <c r="I14" t="n">
        <v>140.953883</v>
      </c>
      <c r="J14" t="n">
        <v>20.606299</v>
      </c>
      <c r="K14" t="n">
        <v>14.077679</v>
      </c>
      <c r="L14" t="n">
        <v>22.715542</v>
      </c>
      <c r="M14" t="n">
        <v>131.71072</v>
      </c>
      <c r="N14" t="n">
        <v>131.71072</v>
      </c>
      <c r="O14" t="n">
        <v>125.125184</v>
      </c>
      <c r="P14" t="n">
        <v>130.894857</v>
      </c>
      <c r="Q14" t="n">
        <v>130.894857</v>
      </c>
      <c r="R14" t="n">
        <v>130.894857</v>
      </c>
      <c r="S14" t="n">
        <v>12.255972</v>
      </c>
      <c r="T14" t="n">
        <v>8.448598</v>
      </c>
      <c r="U14" t="n">
        <v>130.894857</v>
      </c>
      <c r="V14" t="n">
        <v>130.894857</v>
      </c>
      <c r="W14" t="n">
        <v>12.255972</v>
      </c>
      <c r="X14" t="n">
        <v>12.255972</v>
      </c>
      <c r="Y14" t="n">
        <v>8.448598</v>
      </c>
      <c r="Z14" t="n">
        <v>8.448598</v>
      </c>
      <c r="AA14" t="n">
        <v>12.680707</v>
      </c>
      <c r="AB14" t="n">
        <v>136.520004</v>
      </c>
    </row>
    <row r="15">
      <c r="A15" t="n">
        <v>11</v>
      </c>
      <c r="B15" t="inlineStr">
        <is>
          <t>Crabs</t>
        </is>
      </c>
      <c r="C15" t="inlineStr">
        <is>
          <t>Regular</t>
        </is>
      </c>
      <c r="D15" t="n">
        <v>2.523917480221986</v>
      </c>
      <c r="E15" t="n">
        <v>0.25</v>
      </c>
      <c r="F15" t="n">
        <v>0.95</v>
      </c>
      <c r="G15" t="n">
        <v>0.731</v>
      </c>
      <c r="H15" t="n">
        <v>0.01</v>
      </c>
      <c r="I15" t="n">
        <v>140.953883</v>
      </c>
      <c r="J15" t="n">
        <v>33.254785</v>
      </c>
      <c r="K15" t="n">
        <v>21.389991</v>
      </c>
      <c r="L15" t="n">
        <v>53.354334</v>
      </c>
      <c r="M15" t="n">
        <v>151.084056</v>
      </c>
      <c r="N15" t="n">
        <v>151.084056</v>
      </c>
      <c r="O15" t="n">
        <v>143.529853</v>
      </c>
      <c r="P15" t="n">
        <v>173.938876</v>
      </c>
      <c r="Q15" t="n">
        <v>173.938876</v>
      </c>
      <c r="R15" t="n">
        <v>173.938876</v>
      </c>
      <c r="S15" t="n">
        <v>13.215653</v>
      </c>
      <c r="T15" t="n">
        <v>8.00437</v>
      </c>
      <c r="U15" t="n">
        <v>173.938876</v>
      </c>
      <c r="V15" t="n">
        <v>173.938876</v>
      </c>
      <c r="W15" t="n">
        <v>13.215653</v>
      </c>
      <c r="X15" t="n">
        <v>13.215653</v>
      </c>
      <c r="Y15" t="n">
        <v>8.00437</v>
      </c>
      <c r="Z15" t="n">
        <v>8.00437</v>
      </c>
      <c r="AA15" t="n">
        <v>13.539814</v>
      </c>
      <c r="AB15" t="n">
        <v>184.933079</v>
      </c>
    </row>
    <row r="16">
      <c r="A16" t="n">
        <v>12</v>
      </c>
      <c r="B16" t="inlineStr">
        <is>
          <t>Cephalopods</t>
        </is>
      </c>
      <c r="C16" t="inlineStr">
        <is>
          <t>Regular</t>
        </is>
      </c>
      <c r="D16" t="n">
        <v>3.29081348223872</v>
      </c>
      <c r="E16" t="n">
        <v>0.3875000000000001</v>
      </c>
      <c r="F16" t="n">
        <v>0.5</v>
      </c>
      <c r="G16" t="n">
        <v>0.465</v>
      </c>
      <c r="H16" t="n">
        <v>0.0244</v>
      </c>
      <c r="I16" t="n">
        <v>140.953883</v>
      </c>
      <c r="J16" t="n">
        <v>170.518341</v>
      </c>
      <c r="K16" t="n">
        <v>89.274901</v>
      </c>
      <c r="L16" t="n">
        <v>176.937394</v>
      </c>
      <c r="M16" t="n">
        <v>1050.872908</v>
      </c>
      <c r="N16" t="n">
        <v>1075.829695</v>
      </c>
      <c r="O16" t="n">
        <v>537.914847</v>
      </c>
      <c r="P16" t="n">
        <v>1659.687874</v>
      </c>
      <c r="Q16" t="n">
        <v>1659.687874</v>
      </c>
      <c r="R16" t="n">
        <v>1659.687874</v>
      </c>
      <c r="S16" t="n">
        <v>31.362197</v>
      </c>
      <c r="T16" t="n">
        <v>16.184075</v>
      </c>
      <c r="U16" t="n">
        <v>1659.687874</v>
      </c>
      <c r="V16" t="n">
        <v>1659.687874</v>
      </c>
      <c r="W16" t="n">
        <v>31.362197</v>
      </c>
      <c r="X16" t="n">
        <v>31.362197</v>
      </c>
      <c r="Y16" t="n">
        <v>16.184075</v>
      </c>
      <c r="Z16" t="n">
        <v>16.184075</v>
      </c>
      <c r="AA16" t="n">
        <v>32.286772</v>
      </c>
      <c r="AB16" t="n">
        <v>1775.112325</v>
      </c>
    </row>
    <row r="17">
      <c r="A17" t="n">
        <v>13</v>
      </c>
      <c r="B17" t="inlineStr">
        <is>
          <t>Threadfin bream (nemipterids)</t>
        </is>
      </c>
      <c r="C17" t="inlineStr">
        <is>
          <t>Regular</t>
        </is>
      </c>
      <c r="D17" t="n">
        <v>3.210667554973283</v>
      </c>
      <c r="E17" t="n">
        <v>0.09135802469135804</v>
      </c>
      <c r="F17" t="n">
        <v>0.469</v>
      </c>
      <c r="G17" t="n">
        <v>1.04</v>
      </c>
      <c r="H17" t="n">
        <v>0.044</v>
      </c>
      <c r="I17" t="n">
        <v>140.953883</v>
      </c>
      <c r="J17" t="n">
        <v>158.552335</v>
      </c>
      <c r="K17" t="n">
        <v>83.774152</v>
      </c>
      <c r="L17" t="n">
        <v>197.082776</v>
      </c>
      <c r="M17" t="n">
        <v>3502.459341</v>
      </c>
      <c r="N17" t="n">
        <v>3796.144916</v>
      </c>
      <c r="O17" t="n">
        <v>1780.391965</v>
      </c>
      <c r="P17" t="n">
        <v>4710.704014</v>
      </c>
      <c r="Q17" t="n">
        <v>4710.704014</v>
      </c>
      <c r="R17" t="n">
        <v>4710.704014</v>
      </c>
      <c r="S17" t="n">
        <v>105.183965</v>
      </c>
      <c r="T17" t="n">
        <v>52.828865</v>
      </c>
      <c r="U17" t="n">
        <v>4710.704014</v>
      </c>
      <c r="V17" t="n">
        <v>4710.704014</v>
      </c>
      <c r="W17" t="n">
        <v>105.183965</v>
      </c>
      <c r="X17" t="n">
        <v>105.183965</v>
      </c>
      <c r="Y17" t="n">
        <v>52.828865</v>
      </c>
      <c r="Z17" t="n">
        <v>52.828865</v>
      </c>
      <c r="AA17" t="n">
        <v>109.611209</v>
      </c>
      <c r="AB17" t="n">
        <v>5115.038689</v>
      </c>
    </row>
    <row r="18">
      <c r="A18" t="n">
        <v>14</v>
      </c>
      <c r="B18" t="inlineStr">
        <is>
          <t>Bigeyes (priacanthids)</t>
        </is>
      </c>
      <c r="C18" t="inlineStr">
        <is>
          <t>Regular</t>
        </is>
      </c>
      <c r="D18" t="n">
        <v>3.471984562385465</v>
      </c>
      <c r="E18" t="n">
        <v>0.1070796460176991</v>
      </c>
      <c r="F18" t="n">
        <v>0.3280000000000001</v>
      </c>
      <c r="G18" t="n">
        <v>0.318</v>
      </c>
      <c r="H18" t="n">
        <v>0.035</v>
      </c>
      <c r="I18" t="n">
        <v>140.953883</v>
      </c>
      <c r="J18" t="n">
        <v>283.896083</v>
      </c>
      <c r="K18" t="n">
        <v>139.392295</v>
      </c>
      <c r="L18" t="n">
        <v>456.88162</v>
      </c>
      <c r="M18" t="n">
        <v>10688.374283</v>
      </c>
      <c r="N18" t="n">
        <v>10967.724493</v>
      </c>
      <c r="O18" t="n">
        <v>3597.413634</v>
      </c>
      <c r="P18" t="n">
        <v>16970.336092</v>
      </c>
      <c r="Q18" t="n">
        <v>16970.336092</v>
      </c>
      <c r="R18" t="n">
        <v>16970.336092</v>
      </c>
      <c r="S18" t="n">
        <v>214.616191</v>
      </c>
      <c r="T18" t="n">
        <v>96.945487</v>
      </c>
      <c r="U18" t="n">
        <v>16970.336092</v>
      </c>
      <c r="V18" t="n">
        <v>16970.336092</v>
      </c>
      <c r="W18" t="n">
        <v>214.616191</v>
      </c>
      <c r="X18" t="n">
        <v>214.616191</v>
      </c>
      <c r="Y18" t="n">
        <v>96.945487</v>
      </c>
      <c r="Z18" t="n">
        <v>96.945487</v>
      </c>
      <c r="AA18" t="n">
        <v>226.201493</v>
      </c>
      <c r="AB18" t="n">
        <v>17690.628268</v>
      </c>
    </row>
    <row r="19">
      <c r="A19" t="n">
        <v>15</v>
      </c>
      <c r="B19" t="inlineStr">
        <is>
          <t>Lizard fish (synodontids)</t>
        </is>
      </c>
      <c r="C19" t="inlineStr">
        <is>
          <t>Regular</t>
        </is>
      </c>
      <c r="D19" t="n">
        <v>3.856614847729229</v>
      </c>
      <c r="E19" t="n">
        <v>0.4251386321626617</v>
      </c>
      <c r="F19" t="n">
        <v>0.2409999999999999</v>
      </c>
      <c r="G19" t="n">
        <v>0.3</v>
      </c>
      <c r="H19" t="n">
        <v>0.08400000000000001</v>
      </c>
      <c r="I19" t="n">
        <v>140.953883</v>
      </c>
      <c r="J19" t="n">
        <v>667.104795</v>
      </c>
      <c r="K19" t="n">
        <v>294.137165</v>
      </c>
      <c r="L19" t="n">
        <v>674.482249</v>
      </c>
      <c r="M19" t="n">
        <v>9604.557183999999</v>
      </c>
      <c r="N19" t="n">
        <v>10115.319409</v>
      </c>
      <c r="O19" t="n">
        <v>2437.791978</v>
      </c>
      <c r="P19" t="n">
        <v>16798.641648</v>
      </c>
      <c r="Q19" t="n">
        <v>16798.641648</v>
      </c>
      <c r="R19" t="n">
        <v>16798.641648</v>
      </c>
      <c r="S19" t="n">
        <v>88.03658900000001</v>
      </c>
      <c r="T19" t="n">
        <v>38.159556</v>
      </c>
      <c r="U19" t="n">
        <v>16798.641648</v>
      </c>
      <c r="V19" t="n">
        <v>16798.641648</v>
      </c>
      <c r="W19" t="n">
        <v>88.03658900000001</v>
      </c>
      <c r="X19" t="n">
        <v>88.03658900000001</v>
      </c>
      <c r="Y19" t="n">
        <v>38.159556</v>
      </c>
      <c r="Z19" t="n">
        <v>38.159556</v>
      </c>
      <c r="AA19" t="n">
        <v>92.54017</v>
      </c>
      <c r="AB19" t="n">
        <v>18119.633615</v>
      </c>
    </row>
    <row r="20">
      <c r="A20" t="n">
        <v>16</v>
      </c>
      <c r="B20" t="inlineStr">
        <is>
          <t>Juvenile Hairtail (trichiurids)</t>
        </is>
      </c>
      <c r="C20" t="inlineStr">
        <is>
          <t>Regular</t>
        </is>
      </c>
      <c r="D20" t="n">
        <v>3.878329620318159</v>
      </c>
      <c r="E20" t="n">
        <v>0.1715137956748695</v>
      </c>
      <c r="F20" t="n">
        <v>0.329</v>
      </c>
      <c r="G20" t="n">
        <v>0.034</v>
      </c>
      <c r="H20" t="n">
        <v>0.0038</v>
      </c>
      <c r="I20" t="n">
        <v>140.953883</v>
      </c>
      <c r="J20" t="n">
        <v>700.024899</v>
      </c>
      <c r="K20" t="n">
        <v>306.785616</v>
      </c>
      <c r="L20" t="n">
        <v>959.902047</v>
      </c>
      <c r="M20" t="n">
        <v>18812.478678</v>
      </c>
      <c r="N20" t="n">
        <v>19688.697334</v>
      </c>
      <c r="O20" t="n">
        <v>6477.581423</v>
      </c>
      <c r="P20" t="n">
        <v>33363.7801</v>
      </c>
      <c r="Q20" t="n">
        <v>33363.7801</v>
      </c>
      <c r="R20" t="n">
        <v>33363.7801</v>
      </c>
      <c r="S20" t="n">
        <v>229.406938</v>
      </c>
      <c r="T20" t="n">
        <v>97.04932100000001</v>
      </c>
      <c r="U20" t="n">
        <v>33363.7801</v>
      </c>
      <c r="V20" t="n">
        <v>33363.7801</v>
      </c>
      <c r="W20" t="n">
        <v>229.406938</v>
      </c>
      <c r="X20" t="n">
        <v>229.406938</v>
      </c>
      <c r="Y20" t="n">
        <v>97.04932100000001</v>
      </c>
      <c r="Z20" t="n">
        <v>97.04932100000001</v>
      </c>
      <c r="AA20" t="n">
        <v>236.95555</v>
      </c>
      <c r="AB20" t="n">
        <v>36288.272669</v>
      </c>
    </row>
    <row r="21">
      <c r="A21" t="n">
        <v>17</v>
      </c>
      <c r="B21" t="inlineStr">
        <is>
          <t>Adult hairtail (trichiurids)</t>
        </is>
      </c>
      <c r="C21" t="inlineStr">
        <is>
          <t>Regular</t>
        </is>
      </c>
      <c r="D21" t="n">
        <v>3.913681634309746</v>
      </c>
      <c r="E21" t="n">
        <v>0.2415458937198068</v>
      </c>
      <c r="F21" t="n">
        <v>0.327</v>
      </c>
      <c r="G21" t="n">
        <v>0.0426</v>
      </c>
      <c r="H21" t="n">
        <v>0.0152</v>
      </c>
      <c r="I21" t="n">
        <v>140.953883</v>
      </c>
      <c r="J21" t="n">
        <v>774.112337</v>
      </c>
      <c r="K21" t="n">
        <v>334.983682</v>
      </c>
      <c r="L21" t="n">
        <v>887.579351</v>
      </c>
      <c r="M21" t="n">
        <v>14531.048098</v>
      </c>
      <c r="N21" t="n">
        <v>15150.328312</v>
      </c>
      <c r="O21" t="n">
        <v>4954.157358</v>
      </c>
      <c r="P21" t="n">
        <v>24638.994117</v>
      </c>
      <c r="Q21" t="n">
        <v>24638.994116</v>
      </c>
      <c r="R21" t="n">
        <v>24638.994116</v>
      </c>
      <c r="S21" t="n">
        <v>150.603685</v>
      </c>
      <c r="T21" t="n">
        <v>65.35183000000001</v>
      </c>
      <c r="U21" t="n">
        <v>24638.994116</v>
      </c>
      <c r="V21" t="n">
        <v>24638.994116</v>
      </c>
      <c r="W21" t="n">
        <v>150.603685</v>
      </c>
      <c r="X21" t="n">
        <v>150.603685</v>
      </c>
      <c r="Y21" t="n">
        <v>65.35183000000001</v>
      </c>
      <c r="Z21" t="n">
        <v>65.35183000000001</v>
      </c>
      <c r="AA21" t="n">
        <v>161.744541</v>
      </c>
      <c r="AB21" t="n">
        <v>27059.648227</v>
      </c>
    </row>
    <row r="22">
      <c r="A22" t="n">
        <v>18</v>
      </c>
      <c r="B22" t="inlineStr">
        <is>
          <t>Pomfret (stromateids)</t>
        </is>
      </c>
      <c r="C22" t="inlineStr">
        <is>
          <t>Regular</t>
        </is>
      </c>
      <c r="D22" t="n">
        <v>3.587017325582895</v>
      </c>
      <c r="E22" t="n">
        <v>0.2037617554858934</v>
      </c>
      <c r="F22" t="n">
        <v>0.95</v>
      </c>
      <c r="G22" t="n">
        <v>0.065</v>
      </c>
      <c r="H22" t="n">
        <v>0.0053</v>
      </c>
      <c r="I22" t="n">
        <v>140.953883</v>
      </c>
      <c r="J22" t="n">
        <v>342.280115</v>
      </c>
      <c r="K22" t="n">
        <v>164.146984</v>
      </c>
      <c r="L22" t="n">
        <v>260.083928</v>
      </c>
      <c r="M22" t="n">
        <v>1585.623721</v>
      </c>
      <c r="N22" t="n">
        <v>1650.152477</v>
      </c>
      <c r="O22" t="n">
        <v>1567.644853</v>
      </c>
      <c r="P22" t="n">
        <v>2274.19106</v>
      </c>
      <c r="Q22" t="n">
        <v>2274.19106</v>
      </c>
      <c r="R22" t="n">
        <v>2274.19106</v>
      </c>
      <c r="S22" t="n">
        <v>105.127985</v>
      </c>
      <c r="T22" t="n">
        <v>50.974766</v>
      </c>
      <c r="U22" t="n">
        <v>2274.19106</v>
      </c>
      <c r="V22" t="n">
        <v>2274.19106</v>
      </c>
      <c r="W22" t="n">
        <v>105.127985</v>
      </c>
      <c r="X22" t="n">
        <v>105.127985</v>
      </c>
      <c r="Y22" t="n">
        <v>50.974766</v>
      </c>
      <c r="Z22" t="n">
        <v>50.974766</v>
      </c>
      <c r="AA22" t="n">
        <v>111.155847</v>
      </c>
      <c r="AB22" t="n">
        <v>2438.947747</v>
      </c>
    </row>
    <row r="23">
      <c r="A23" t="n">
        <v>19</v>
      </c>
      <c r="B23" t="inlineStr">
        <is>
          <t>Snappers</t>
        </is>
      </c>
      <c r="C23" t="inlineStr">
        <is>
          <t>Regular</t>
        </is>
      </c>
      <c r="D23" t="n">
        <v>3.769209176753436</v>
      </c>
      <c r="E23" t="n">
        <v>0.1492204899777283</v>
      </c>
      <c r="F23" t="n">
        <v>0.95</v>
      </c>
      <c r="G23" t="n">
        <v>0.014</v>
      </c>
      <c r="H23" t="n">
        <v>0.0053</v>
      </c>
      <c r="I23" t="n">
        <v>140.953883</v>
      </c>
      <c r="J23" t="n">
        <v>554.842266</v>
      </c>
      <c r="K23" t="n">
        <v>250.381754</v>
      </c>
      <c r="L23" t="n">
        <v>650.642591</v>
      </c>
      <c r="M23" t="n">
        <v>3230.237663</v>
      </c>
      <c r="N23" t="n">
        <v>3367.037571</v>
      </c>
      <c r="O23" t="n">
        <v>3198.685692</v>
      </c>
      <c r="P23" t="n">
        <v>4133.4309</v>
      </c>
      <c r="Q23" t="n">
        <v>4133.4309</v>
      </c>
      <c r="R23" t="n">
        <v>4133.4309</v>
      </c>
      <c r="S23" t="n">
        <v>205.658598</v>
      </c>
      <c r="T23" t="n">
        <v>91.38801100000001</v>
      </c>
      <c r="U23" t="n">
        <v>4133.4309</v>
      </c>
      <c r="V23" t="n">
        <v>4133.4309</v>
      </c>
      <c r="W23" t="n">
        <v>205.658598</v>
      </c>
      <c r="X23" t="n">
        <v>205.658598</v>
      </c>
      <c r="Y23" t="n">
        <v>91.38801100000001</v>
      </c>
      <c r="Z23" t="n">
        <v>91.38801100000001</v>
      </c>
      <c r="AA23" t="n">
        <v>216.473302</v>
      </c>
      <c r="AB23" t="n">
        <v>4393.486979</v>
      </c>
    </row>
    <row r="24">
      <c r="A24" t="n">
        <v>20</v>
      </c>
      <c r="B24" t="inlineStr">
        <is>
          <t>Adult groupers</t>
        </is>
      </c>
      <c r="C24" t="inlineStr">
        <is>
          <t>Regular</t>
        </is>
      </c>
      <c r="D24" t="n">
        <v>3.759047426500872</v>
      </c>
      <c r="E24" t="n">
        <v>0.139344262295082</v>
      </c>
      <c r="F24" t="n">
        <v>0.375</v>
      </c>
      <c r="G24" t="n">
        <v>0.04</v>
      </c>
      <c r="H24" t="n">
        <v>0.0029</v>
      </c>
      <c r="I24" t="n">
        <v>140.953883</v>
      </c>
      <c r="J24" t="n">
        <v>539.046528</v>
      </c>
      <c r="K24" t="n">
        <v>244.14</v>
      </c>
      <c r="L24" t="n">
        <v>669.483011</v>
      </c>
      <c r="M24" t="n">
        <v>10399.759602</v>
      </c>
      <c r="N24" t="n">
        <v>10694.630086</v>
      </c>
      <c r="O24" t="n">
        <v>4010.486282</v>
      </c>
      <c r="P24" t="n">
        <v>14214.100911</v>
      </c>
      <c r="Q24" t="n">
        <v>14214.100911</v>
      </c>
      <c r="R24" t="n">
        <v>14214.100911</v>
      </c>
      <c r="S24" t="n">
        <v>203.72024</v>
      </c>
      <c r="T24" t="n">
        <v>90.708206</v>
      </c>
      <c r="U24" t="n">
        <v>14214.100911</v>
      </c>
      <c r="V24" t="n">
        <v>14214.100911</v>
      </c>
      <c r="W24" t="n">
        <v>203.72024</v>
      </c>
      <c r="X24" t="n">
        <v>203.72024</v>
      </c>
      <c r="Y24" t="n">
        <v>90.708206</v>
      </c>
      <c r="Z24" t="n">
        <v>90.708206</v>
      </c>
      <c r="AA24" t="n">
        <v>213.076898</v>
      </c>
      <c r="AB24" t="n">
        <v>15231.972848</v>
      </c>
    </row>
    <row r="25">
      <c r="A25" t="n">
        <v>21</v>
      </c>
      <c r="B25" t="inlineStr">
        <is>
          <t>Croakers (≤ 30 cm)</t>
        </is>
      </c>
      <c r="C25" t="inlineStr">
        <is>
          <t>Regular</t>
        </is>
      </c>
      <c r="D25" t="n">
        <v>3.312753045334324</v>
      </c>
      <c r="E25" t="n">
        <v>0.2092198581560283</v>
      </c>
      <c r="F25" t="n">
        <v>0.784</v>
      </c>
      <c r="G25" t="n">
        <v>0.289</v>
      </c>
      <c r="H25" t="n">
        <v>0.016</v>
      </c>
      <c r="I25" t="n">
        <v>140.953883</v>
      </c>
      <c r="J25" t="n">
        <v>201.414719</v>
      </c>
      <c r="K25" t="n">
        <v>103.26244</v>
      </c>
      <c r="L25" t="n">
        <v>246.307264</v>
      </c>
      <c r="M25" t="n">
        <v>1402.335676</v>
      </c>
      <c r="N25" t="n">
        <v>1449.344811</v>
      </c>
      <c r="O25" t="n">
        <v>1136.286332</v>
      </c>
      <c r="P25" t="n">
        <v>1692.571887</v>
      </c>
      <c r="Q25" t="n">
        <v>1692.571887</v>
      </c>
      <c r="R25" t="n">
        <v>1692.571887</v>
      </c>
      <c r="S25" t="n">
        <v>68.15794</v>
      </c>
      <c r="T25" t="n">
        <v>34.55496</v>
      </c>
      <c r="U25" t="n">
        <v>1692.571887</v>
      </c>
      <c r="V25" t="n">
        <v>1692.571887</v>
      </c>
      <c r="W25" t="n">
        <v>68.15794</v>
      </c>
      <c r="X25" t="n">
        <v>68.15794</v>
      </c>
      <c r="Y25" t="n">
        <v>34.55496</v>
      </c>
      <c r="Z25" t="n">
        <v>34.55496</v>
      </c>
      <c r="AA25" t="n">
        <v>71.462779</v>
      </c>
      <c r="AB25" t="n">
        <v>1758.686512</v>
      </c>
    </row>
    <row r="26">
      <c r="A26" t="n">
        <v>22</v>
      </c>
      <c r="B26" t="inlineStr">
        <is>
          <t>Juvenile large croakers</t>
        </is>
      </c>
      <c r="C26" t="inlineStr">
        <is>
          <t>Regular</t>
        </is>
      </c>
      <c r="D26" t="n">
        <v>3.238588184699975</v>
      </c>
      <c r="E26" t="n">
        <v>0.1507987220447284</v>
      </c>
      <c r="F26" t="n">
        <v>0.913</v>
      </c>
      <c r="G26" t="n">
        <v>0.0425</v>
      </c>
      <c r="H26" t="n">
        <v>0.011</v>
      </c>
      <c r="I26" t="n">
        <v>140.953883</v>
      </c>
      <c r="J26" t="n">
        <v>166.134045</v>
      </c>
      <c r="K26" t="n">
        <v>87.265277</v>
      </c>
      <c r="L26" t="n">
        <v>253.886479</v>
      </c>
      <c r="M26" t="n">
        <v>1781.28598</v>
      </c>
      <c r="N26" t="n">
        <v>1803.92647</v>
      </c>
      <c r="O26" t="n">
        <v>1646.984867</v>
      </c>
      <c r="P26" t="n">
        <v>2297.497518</v>
      </c>
      <c r="Q26" t="n">
        <v>2297.497518</v>
      </c>
      <c r="R26" t="n">
        <v>2297.497518</v>
      </c>
      <c r="S26" t="n">
        <v>87.077232</v>
      </c>
      <c r="T26" t="n">
        <v>43.279903</v>
      </c>
      <c r="U26" t="n">
        <v>2297.497518</v>
      </c>
      <c r="V26" t="n">
        <v>2297.497518</v>
      </c>
      <c r="W26" t="n">
        <v>87.077232</v>
      </c>
      <c r="X26" t="n">
        <v>87.077232</v>
      </c>
      <c r="Y26" t="n">
        <v>43.279903</v>
      </c>
      <c r="Z26" t="n">
        <v>43.279903</v>
      </c>
      <c r="AA26" t="n">
        <v>91.244243</v>
      </c>
      <c r="AB26" t="n">
        <v>2428.836763</v>
      </c>
    </row>
    <row r="27">
      <c r="A27" t="n">
        <v>23</v>
      </c>
      <c r="B27" t="inlineStr">
        <is>
          <t>Croakers (&gt; 30 cm)</t>
        </is>
      </c>
      <c r="C27" t="inlineStr">
        <is>
          <t>Regular</t>
        </is>
      </c>
      <c r="D27" t="n">
        <v>3.472838939946794</v>
      </c>
      <c r="E27" t="n">
        <v>0.2295345104333868</v>
      </c>
      <c r="F27" t="n">
        <v>0.541</v>
      </c>
      <c r="G27" t="n">
        <v>0.095</v>
      </c>
      <c r="H27" t="n">
        <v>0.044</v>
      </c>
      <c r="I27" t="n">
        <v>140.953883</v>
      </c>
      <c r="J27" t="n">
        <v>290.403291</v>
      </c>
      <c r="K27" t="n">
        <v>142.18098</v>
      </c>
      <c r="L27" t="n">
        <v>396.583296</v>
      </c>
      <c r="M27" t="n">
        <v>3228.620571</v>
      </c>
      <c r="N27" t="n">
        <v>3327.653278</v>
      </c>
      <c r="O27" t="n">
        <v>1800.260423</v>
      </c>
      <c r="P27" t="n">
        <v>4039.901519</v>
      </c>
      <c r="Q27" t="n">
        <v>4039.901519</v>
      </c>
      <c r="R27" t="n">
        <v>4039.901519</v>
      </c>
      <c r="S27" t="n">
        <v>94.21130599999999</v>
      </c>
      <c r="T27" t="n">
        <v>44.282791</v>
      </c>
      <c r="U27" t="n">
        <v>4039.901519</v>
      </c>
      <c r="V27" t="n">
        <v>4039.901519</v>
      </c>
      <c r="W27" t="n">
        <v>94.21130599999999</v>
      </c>
      <c r="X27" t="n">
        <v>94.21130599999999</v>
      </c>
      <c r="Y27" t="n">
        <v>44.282791</v>
      </c>
      <c r="Z27" t="n">
        <v>44.282791</v>
      </c>
      <c r="AA27" t="n">
        <v>98.331816</v>
      </c>
      <c r="AB27" t="n">
        <v>4315.276634</v>
      </c>
    </row>
    <row r="28">
      <c r="A28" t="n">
        <v>24</v>
      </c>
      <c r="B28" t="inlineStr">
        <is>
          <t>Demesral fish (≤ 30 cm)</t>
        </is>
      </c>
      <c r="C28" t="inlineStr">
        <is>
          <t>Regular</t>
        </is>
      </c>
      <c r="D28" t="n">
        <v>3.00931693541396</v>
      </c>
      <c r="E28" t="n">
        <v>0.2072141212586339</v>
      </c>
      <c r="F28" t="n">
        <v>0.95</v>
      </c>
      <c r="G28" t="n">
        <v>1.541</v>
      </c>
      <c r="H28" t="n">
        <v>0.0902</v>
      </c>
      <c r="I28" t="n">
        <v>140.953883</v>
      </c>
      <c r="J28" t="n">
        <v>95.34341499999999</v>
      </c>
      <c r="K28" t="n">
        <v>53.708528</v>
      </c>
      <c r="L28" t="n">
        <v>114.11959</v>
      </c>
      <c r="M28" t="n">
        <v>569.846189</v>
      </c>
      <c r="N28" t="n">
        <v>594.287325</v>
      </c>
      <c r="O28" t="n">
        <v>564.572959</v>
      </c>
      <c r="P28" t="n">
        <v>738.02552</v>
      </c>
      <c r="Q28" t="n">
        <v>738.02552</v>
      </c>
      <c r="R28" t="n">
        <v>738.02552</v>
      </c>
      <c r="S28" t="n">
        <v>39.685535</v>
      </c>
      <c r="T28" t="n">
        <v>21.622034</v>
      </c>
      <c r="U28" t="n">
        <v>738.02552</v>
      </c>
      <c r="V28" t="n">
        <v>738.02552</v>
      </c>
      <c r="W28" t="n">
        <v>39.685535</v>
      </c>
      <c r="X28" t="n">
        <v>39.685535</v>
      </c>
      <c r="Y28" t="n">
        <v>21.622034</v>
      </c>
      <c r="Z28" t="n">
        <v>21.622034</v>
      </c>
      <c r="AA28" t="n">
        <v>41.109943</v>
      </c>
      <c r="AB28" t="n">
        <v>772.895549</v>
      </c>
    </row>
    <row r="29">
      <c r="A29" t="n">
        <v>25</v>
      </c>
      <c r="B29" t="inlineStr">
        <is>
          <t>Juvenile demersal fish (&gt; 30 cm)</t>
        </is>
      </c>
      <c r="C29" t="inlineStr">
        <is>
          <t>Regular</t>
        </is>
      </c>
      <c r="D29" t="n">
        <v>3.043612179667134</v>
      </c>
      <c r="E29" t="n">
        <v>0.1681759379042691</v>
      </c>
      <c r="F29" t="n">
        <v>0.599</v>
      </c>
      <c r="G29" t="n">
        <v>0.112</v>
      </c>
      <c r="H29" t="n">
        <v>0.0288</v>
      </c>
      <c r="I29" t="n">
        <v>140.953883</v>
      </c>
      <c r="J29" t="n">
        <v>107.215631</v>
      </c>
      <c r="K29" t="n">
        <v>59.510342</v>
      </c>
      <c r="L29" t="n">
        <v>118.532265</v>
      </c>
      <c r="M29" t="n">
        <v>1361.395938</v>
      </c>
      <c r="N29" t="n">
        <v>1364.327136</v>
      </c>
      <c r="O29" t="n">
        <v>817.231955</v>
      </c>
      <c r="P29" t="n">
        <v>1542.046037</v>
      </c>
      <c r="Q29" t="n">
        <v>1542.046037</v>
      </c>
      <c r="R29" t="n">
        <v>1542.046037</v>
      </c>
      <c r="S29" t="n">
        <v>49.018375</v>
      </c>
      <c r="T29" t="n">
        <v>27.692265</v>
      </c>
      <c r="U29" t="n">
        <v>1542.046037</v>
      </c>
      <c r="V29" t="n">
        <v>1542.046037</v>
      </c>
      <c r="W29" t="n">
        <v>49.018375</v>
      </c>
      <c r="X29" t="n">
        <v>49.018375</v>
      </c>
      <c r="Y29" t="n">
        <v>27.692265</v>
      </c>
      <c r="Z29" t="n">
        <v>27.692265</v>
      </c>
      <c r="AA29" t="n">
        <v>50.796907</v>
      </c>
      <c r="AB29" t="n">
        <v>1602.1405</v>
      </c>
    </row>
    <row r="30">
      <c r="A30" t="n">
        <v>26</v>
      </c>
      <c r="B30" t="inlineStr">
        <is>
          <t>Adult demersal fish (&gt; 30 cm)</t>
        </is>
      </c>
      <c r="C30" t="inlineStr">
        <is>
          <t>Regular</t>
        </is>
      </c>
      <c r="D30" t="n">
        <v>3.427086988746579</v>
      </c>
      <c r="E30" t="n">
        <v>0.2318840579710145</v>
      </c>
      <c r="F30" t="n">
        <v>0.355</v>
      </c>
      <c r="G30" t="n">
        <v>0.195</v>
      </c>
      <c r="H30" t="n">
        <v>0.115</v>
      </c>
      <c r="I30" t="n">
        <v>140.953883</v>
      </c>
      <c r="J30" t="n">
        <v>259.279322</v>
      </c>
      <c r="K30" t="n">
        <v>128.767935</v>
      </c>
      <c r="L30" t="n">
        <v>481.490663</v>
      </c>
      <c r="M30" t="n">
        <v>7900.416311</v>
      </c>
      <c r="N30" t="n">
        <v>8500.333087999999</v>
      </c>
      <c r="O30" t="n">
        <v>3017.618246</v>
      </c>
      <c r="P30" t="n">
        <v>12965.959653</v>
      </c>
      <c r="Q30" t="n">
        <v>12965.959653</v>
      </c>
      <c r="R30" t="n">
        <v>12965.959653</v>
      </c>
      <c r="S30" t="n">
        <v>94.019074</v>
      </c>
      <c r="T30" t="n">
        <v>41.234605</v>
      </c>
      <c r="U30" t="n">
        <v>12965.959653</v>
      </c>
      <c r="V30" t="n">
        <v>12965.959653</v>
      </c>
      <c r="W30" t="n">
        <v>94.019074</v>
      </c>
      <c r="X30" t="n">
        <v>94.019074</v>
      </c>
      <c r="Y30" t="n">
        <v>41.234605</v>
      </c>
      <c r="Z30" t="n">
        <v>41.234605</v>
      </c>
      <c r="AA30" t="n">
        <v>97.699888</v>
      </c>
      <c r="AB30" t="n">
        <v>13990.405339</v>
      </c>
    </row>
    <row r="31">
      <c r="A31" t="n">
        <v>27</v>
      </c>
      <c r="B31" t="inlineStr">
        <is>
          <t>Benthopelagic fish</t>
        </is>
      </c>
      <c r="C31" t="inlineStr">
        <is>
          <t>Regular</t>
        </is>
      </c>
      <c r="D31" t="n">
        <v>2.780602456126404</v>
      </c>
      <c r="E31" t="n">
        <v>0.2</v>
      </c>
      <c r="F31" t="n">
        <v>0.95</v>
      </c>
      <c r="G31" t="n">
        <v>0.47</v>
      </c>
      <c r="H31" t="n">
        <v>0.0303</v>
      </c>
      <c r="I31" t="n">
        <v>140.953883</v>
      </c>
      <c r="J31" t="n">
        <v>57.638856</v>
      </c>
      <c r="K31" t="n">
        <v>34.593347</v>
      </c>
      <c r="L31" t="n">
        <v>74.650282</v>
      </c>
      <c r="M31" t="n">
        <v>512.103289</v>
      </c>
      <c r="N31" t="n">
        <v>553.467817</v>
      </c>
      <c r="O31" t="n">
        <v>525.794426</v>
      </c>
      <c r="P31" t="n">
        <v>602.712303</v>
      </c>
      <c r="Q31" t="n">
        <v>602.712303</v>
      </c>
      <c r="R31" t="n">
        <v>602.712303</v>
      </c>
      <c r="S31" t="n">
        <v>31.190871</v>
      </c>
      <c r="T31" t="n">
        <v>18.283791</v>
      </c>
      <c r="U31" t="n">
        <v>602.712303</v>
      </c>
      <c r="V31" t="n">
        <v>602.712303</v>
      </c>
      <c r="W31" t="n">
        <v>31.190871</v>
      </c>
      <c r="X31" t="n">
        <v>31.190871</v>
      </c>
      <c r="Y31" t="n">
        <v>18.283791</v>
      </c>
      <c r="Z31" t="n">
        <v>18.283791</v>
      </c>
      <c r="AA31" t="n">
        <v>32.089433</v>
      </c>
      <c r="AB31" t="n">
        <v>622.065443</v>
      </c>
    </row>
    <row r="32">
      <c r="A32" t="n">
        <v>28</v>
      </c>
      <c r="B32" t="inlineStr">
        <is>
          <t>Melon seed</t>
        </is>
      </c>
      <c r="C32" t="inlineStr">
        <is>
          <t>Regular</t>
        </is>
      </c>
      <c r="D32" t="n">
        <v>3.03486548350679</v>
      </c>
      <c r="E32" t="n">
        <v>0.09068825910931176</v>
      </c>
      <c r="F32" t="n">
        <v>0.964</v>
      </c>
      <c r="G32" t="n">
        <v>0.114</v>
      </c>
      <c r="H32" t="n">
        <v>0.0057</v>
      </c>
      <c r="I32" t="n">
        <v>140.953883</v>
      </c>
      <c r="J32" t="n">
        <v>105.954074</v>
      </c>
      <c r="K32" t="n">
        <v>58.897834</v>
      </c>
      <c r="L32" t="n">
        <v>94.696302</v>
      </c>
      <c r="M32" t="n">
        <v>1687.26083</v>
      </c>
      <c r="N32" t="n">
        <v>1714.476263</v>
      </c>
      <c r="O32" t="n">
        <v>1652.755118</v>
      </c>
      <c r="P32" t="n">
        <v>1871.214813</v>
      </c>
      <c r="Q32" t="n">
        <v>1871.214813</v>
      </c>
      <c r="R32" t="n">
        <v>1871.214813</v>
      </c>
      <c r="S32" t="n">
        <v>83.98319100000001</v>
      </c>
      <c r="T32" t="n">
        <v>49.600357</v>
      </c>
      <c r="U32" t="n">
        <v>1871.214813</v>
      </c>
      <c r="V32" t="n">
        <v>1871.214813</v>
      </c>
      <c r="W32" t="n">
        <v>83.98319100000001</v>
      </c>
      <c r="X32" t="n">
        <v>83.98319100000001</v>
      </c>
      <c r="Y32" t="n">
        <v>49.600357</v>
      </c>
      <c r="Z32" t="n">
        <v>49.600357</v>
      </c>
      <c r="AA32" t="n">
        <v>88.607298</v>
      </c>
      <c r="AB32" t="n">
        <v>1933.149653</v>
      </c>
    </row>
    <row r="33">
      <c r="A33" t="n">
        <v>29</v>
      </c>
      <c r="B33" t="inlineStr">
        <is>
          <t>Pelagic fish (≤ 30 cm)</t>
        </is>
      </c>
      <c r="C33" t="inlineStr">
        <is>
          <t>Regular</t>
        </is>
      </c>
      <c r="D33" t="n">
        <v>2.781666666666666</v>
      </c>
      <c r="E33" t="n">
        <v>0.234860883797054</v>
      </c>
      <c r="F33" t="n">
        <v>0.95</v>
      </c>
      <c r="G33" t="n">
        <v>1.05</v>
      </c>
      <c r="H33" t="n">
        <v>0.146</v>
      </c>
      <c r="I33" t="n">
        <v>140.953883</v>
      </c>
      <c r="J33" t="n">
        <v>60.479203</v>
      </c>
      <c r="K33" t="n">
        <v>36.07884</v>
      </c>
      <c r="L33" t="n">
        <v>45.98261</v>
      </c>
      <c r="M33" t="n">
        <v>395.888053</v>
      </c>
      <c r="N33" t="n">
        <v>395.888053</v>
      </c>
      <c r="O33" t="n">
        <v>376.09365</v>
      </c>
      <c r="P33" t="n">
        <v>393.787233</v>
      </c>
      <c r="Q33" t="n">
        <v>393.787233</v>
      </c>
      <c r="R33" t="n">
        <v>393.787233</v>
      </c>
      <c r="S33" t="n">
        <v>20.916473</v>
      </c>
      <c r="T33" t="n">
        <v>13.510088</v>
      </c>
      <c r="U33" t="n">
        <v>393.787233</v>
      </c>
      <c r="V33" t="n">
        <v>393.787233</v>
      </c>
      <c r="W33" t="n">
        <v>20.916473</v>
      </c>
      <c r="X33" t="n">
        <v>20.916473</v>
      </c>
      <c r="Y33" t="n">
        <v>13.510088</v>
      </c>
      <c r="Z33" t="n">
        <v>13.510088</v>
      </c>
      <c r="AA33" t="n">
        <v>21.939981</v>
      </c>
      <c r="AB33" t="n">
        <v>405.784084</v>
      </c>
    </row>
    <row r="34">
      <c r="A34" t="n">
        <v>30</v>
      </c>
      <c r="B34" t="inlineStr">
        <is>
          <t>Juvenile large pelagic fish</t>
        </is>
      </c>
      <c r="C34" t="inlineStr">
        <is>
          <t>Regular</t>
        </is>
      </c>
      <c r="D34" t="n">
        <v>2.893396853714223</v>
      </c>
      <c r="E34" t="n">
        <v>0.1997216423103689</v>
      </c>
      <c r="F34" t="n">
        <v>0.6200000000000001</v>
      </c>
      <c r="G34" t="n">
        <v>0.118</v>
      </c>
      <c r="H34" t="n">
        <v>0.009599999999999999</v>
      </c>
      <c r="I34" t="n">
        <v>140.953883</v>
      </c>
      <c r="J34" t="n">
        <v>77.482131</v>
      </c>
      <c r="K34" t="n">
        <v>44.802146</v>
      </c>
      <c r="L34" t="n">
        <v>102.017224</v>
      </c>
      <c r="M34" t="n">
        <v>1184.193499</v>
      </c>
      <c r="N34" t="n">
        <v>1206.048386</v>
      </c>
      <c r="O34" t="n">
        <v>747.749999</v>
      </c>
      <c r="P34" t="n">
        <v>1249.656321</v>
      </c>
      <c r="Q34" t="n">
        <v>1249.656321</v>
      </c>
      <c r="R34" t="n">
        <v>1249.656321</v>
      </c>
      <c r="S34" t="n">
        <v>40.406762</v>
      </c>
      <c r="T34" t="n">
        <v>22.900074</v>
      </c>
      <c r="U34" t="n">
        <v>1249.656321</v>
      </c>
      <c r="V34" t="n">
        <v>1249.656321</v>
      </c>
      <c r="W34" t="n">
        <v>40.406762</v>
      </c>
      <c r="X34" t="n">
        <v>40.406762</v>
      </c>
      <c r="Y34" t="n">
        <v>22.900074</v>
      </c>
      <c r="Z34" t="n">
        <v>22.900074</v>
      </c>
      <c r="AA34" t="n">
        <v>42.394565</v>
      </c>
      <c r="AB34" t="n">
        <v>1275.963463</v>
      </c>
    </row>
    <row r="35">
      <c r="A35" t="n">
        <v>31</v>
      </c>
      <c r="B35" t="inlineStr">
        <is>
          <t>Pelagic fish (&gt; 30 cm)</t>
        </is>
      </c>
      <c r="C35" t="inlineStr">
        <is>
          <t>Regular</t>
        </is>
      </c>
      <c r="D35" t="n">
        <v>3.367201063009562</v>
      </c>
      <c r="E35" t="n">
        <v>0.143312101910828</v>
      </c>
      <c r="F35" t="n">
        <v>0.2829999999999999</v>
      </c>
      <c r="G35" t="n">
        <v>0.158</v>
      </c>
      <c r="H35" t="n">
        <v>0.038</v>
      </c>
      <c r="I35" t="n">
        <v>140.953883</v>
      </c>
      <c r="J35" t="n">
        <v>231.755137</v>
      </c>
      <c r="K35" t="n">
        <v>116.736521</v>
      </c>
      <c r="L35" t="n">
        <v>243.556275</v>
      </c>
      <c r="M35" t="n">
        <v>7522.545642</v>
      </c>
      <c r="N35" t="n">
        <v>7619.353795</v>
      </c>
      <c r="O35" t="n">
        <v>2156.277124</v>
      </c>
      <c r="P35" t="n">
        <v>8594.243818999999</v>
      </c>
      <c r="Q35" t="n">
        <v>8594.243818999999</v>
      </c>
      <c r="R35" t="n">
        <v>8594.243818999999</v>
      </c>
      <c r="S35" t="n">
        <v>99.98532899999999</v>
      </c>
      <c r="T35" t="n">
        <v>52.562982</v>
      </c>
      <c r="U35" t="n">
        <v>8594.243818999999</v>
      </c>
      <c r="V35" t="n">
        <v>8594.243818999999</v>
      </c>
      <c r="W35" t="n">
        <v>99.98532899999999</v>
      </c>
      <c r="X35" t="n">
        <v>99.98532899999999</v>
      </c>
      <c r="Y35" t="n">
        <v>52.562982</v>
      </c>
      <c r="Z35" t="n">
        <v>52.562982</v>
      </c>
      <c r="AA35" t="n">
        <v>105.86076</v>
      </c>
      <c r="AB35" t="n">
        <v>9021.195495</v>
      </c>
    </row>
    <row r="36">
      <c r="A36" t="n">
        <v>32</v>
      </c>
      <c r="B36" t="inlineStr">
        <is>
          <t>Demersal sharks and rays</t>
        </is>
      </c>
      <c r="C36" t="inlineStr">
        <is>
          <t>Regular</t>
        </is>
      </c>
      <c r="D36" t="n">
        <v>3.509427430945212</v>
      </c>
      <c r="E36" t="n">
        <v>0.2</v>
      </c>
      <c r="F36" t="n">
        <v>0.3639999999999999</v>
      </c>
      <c r="G36" t="n">
        <v>0.04</v>
      </c>
      <c r="H36" t="n">
        <v>0.0158</v>
      </c>
      <c r="I36" t="n">
        <v>140.953883</v>
      </c>
      <c r="J36" t="n">
        <v>308.68601</v>
      </c>
      <c r="K36" t="n">
        <v>149.974663</v>
      </c>
      <c r="L36" t="n">
        <v>602.366804</v>
      </c>
      <c r="M36" t="n">
        <v>10706.101486</v>
      </c>
      <c r="N36" t="n">
        <v>10781.622707</v>
      </c>
      <c r="O36" t="n">
        <v>3924.510665</v>
      </c>
      <c r="P36" t="n">
        <v>18846.946222</v>
      </c>
      <c r="Q36" t="n">
        <v>18846.946222</v>
      </c>
      <c r="R36" t="n">
        <v>18846.946222</v>
      </c>
      <c r="S36" t="n">
        <v>119.185901</v>
      </c>
      <c r="T36" t="n">
        <v>52.155741</v>
      </c>
      <c r="U36" t="n">
        <v>18846.946222</v>
      </c>
      <c r="V36" t="n">
        <v>18846.946222</v>
      </c>
      <c r="W36" t="n">
        <v>119.185901</v>
      </c>
      <c r="X36" t="n">
        <v>119.185901</v>
      </c>
      <c r="Y36" t="n">
        <v>52.155741</v>
      </c>
      <c r="Z36" t="n">
        <v>52.155741</v>
      </c>
      <c r="AA36" t="n">
        <v>124.506314</v>
      </c>
      <c r="AB36" t="n">
        <v>20404.471037</v>
      </c>
    </row>
    <row r="37">
      <c r="A37" t="n">
        <v>33</v>
      </c>
      <c r="B37" t="inlineStr">
        <is>
          <t>Pelagic sharks and rays</t>
        </is>
      </c>
      <c r="C37" t="inlineStr">
        <is>
          <t>Regular</t>
        </is>
      </c>
      <c r="D37" t="n">
        <v>3.989708938669605</v>
      </c>
      <c r="E37" t="n">
        <v>0.2</v>
      </c>
      <c r="F37" t="n">
        <v>0.5</v>
      </c>
      <c r="G37" t="n">
        <v>0.028</v>
      </c>
      <c r="H37" t="n">
        <v>0.0051</v>
      </c>
      <c r="I37" t="n">
        <v>140.953883</v>
      </c>
      <c r="J37" t="n">
        <v>908.988005</v>
      </c>
      <c r="K37" t="n">
        <v>385.472886</v>
      </c>
      <c r="L37" t="n">
        <v>784.4685459999999</v>
      </c>
      <c r="M37" t="n">
        <v>125208.792952</v>
      </c>
      <c r="N37" t="n">
        <v>126616.154086</v>
      </c>
      <c r="O37" t="n">
        <v>63308.077043</v>
      </c>
      <c r="P37" t="n">
        <v>172174.15174</v>
      </c>
      <c r="Q37" t="n">
        <v>172174.151739</v>
      </c>
      <c r="R37" t="n">
        <v>172174.151739</v>
      </c>
      <c r="S37" t="n">
        <v>202.141045</v>
      </c>
      <c r="T37" t="n">
        <v>87.49926499999999</v>
      </c>
      <c r="U37" t="n">
        <v>172174.151739</v>
      </c>
      <c r="V37" t="n">
        <v>172174.151739</v>
      </c>
      <c r="W37" t="n">
        <v>202.141045</v>
      </c>
      <c r="X37" t="n">
        <v>202.141045</v>
      </c>
      <c r="Y37" t="n">
        <v>87.49926499999999</v>
      </c>
      <c r="Z37" t="n">
        <v>87.49926499999999</v>
      </c>
      <c r="AA37" t="n">
        <v>214.928725</v>
      </c>
      <c r="AB37" t="n">
        <v>183923.261916</v>
      </c>
    </row>
    <row r="38">
      <c r="A38" t="n">
        <v>34</v>
      </c>
      <c r="B38" t="inlineStr">
        <is>
          <t>Seabirds</t>
        </is>
      </c>
      <c r="C38" t="inlineStr">
        <is>
          <t>Regular</t>
        </is>
      </c>
      <c r="D38" t="n">
        <v>3.414700950377541</v>
      </c>
      <c r="E38" t="n">
        <v>0.0008854781582054309</v>
      </c>
      <c r="F38" t="n">
        <v>0.005000000000000115</v>
      </c>
      <c r="G38" t="n">
        <v>0.0022</v>
      </c>
      <c r="H38" t="n">
        <v>0</v>
      </c>
      <c r="I38" t="n">
        <v>140.953883</v>
      </c>
      <c r="J38" t="n">
        <v>252.737295</v>
      </c>
      <c r="K38" t="n">
        <v>125.923503</v>
      </c>
      <c r="L38" t="n">
        <v>559.520268</v>
      </c>
      <c r="M38" t="n">
        <v>114992570.596754</v>
      </c>
      <c r="N38" t="n">
        <v>118462921.256599</v>
      </c>
      <c r="O38" t="n">
        <v>592314.606283</v>
      </c>
      <c r="P38" t="n">
        <v>142997375.907786</v>
      </c>
      <c r="Q38" t="n">
        <v>142997375.907166</v>
      </c>
      <c r="R38" t="n">
        <v>142997375.907166</v>
      </c>
      <c r="S38" t="n">
        <v>25221.159456</v>
      </c>
      <c r="T38" t="n">
        <v>11273.119926</v>
      </c>
      <c r="U38" t="n">
        <v>142997375.90717</v>
      </c>
      <c r="V38" t="n">
        <v>142997375.90717</v>
      </c>
      <c r="W38" t="n">
        <v>25221.159456</v>
      </c>
      <c r="X38" t="n">
        <v>25221.159456</v>
      </c>
      <c r="Y38" t="n">
        <v>11273.119926</v>
      </c>
      <c r="Z38" t="n">
        <v>11273.119926</v>
      </c>
      <c r="AA38" t="n">
        <v>26556.265048</v>
      </c>
      <c r="AB38" t="n">
        <v>152627302.111988</v>
      </c>
    </row>
    <row r="39">
      <c r="A39" t="n">
        <v>35</v>
      </c>
      <c r="B39" t="inlineStr">
        <is>
          <t>Pinnipeds</t>
        </is>
      </c>
      <c r="C39" t="inlineStr">
        <is>
          <t>Regular</t>
        </is>
      </c>
      <c r="D39" t="n">
        <v>4.146384704092291</v>
      </c>
      <c r="E39" t="n">
        <v>0.003046716316858497</v>
      </c>
      <c r="F39" t="n">
        <v>0.679</v>
      </c>
      <c r="G39" t="n">
        <v>0.0046</v>
      </c>
      <c r="H39" t="n">
        <v>0.0002</v>
      </c>
      <c r="I39" t="n">
        <v>140.953883</v>
      </c>
      <c r="J39" t="n">
        <v>1309.957766</v>
      </c>
      <c r="K39" t="n">
        <v>530.528068</v>
      </c>
      <c r="L39" t="n">
        <v>1251.989192</v>
      </c>
      <c r="M39" t="n">
        <v>529369.198881</v>
      </c>
      <c r="N39" t="n">
        <v>540110.531527</v>
      </c>
      <c r="O39" t="n">
        <v>366735.050907</v>
      </c>
      <c r="P39" t="n">
        <v>713102.337084</v>
      </c>
      <c r="Q39" t="n">
        <v>713102.337081</v>
      </c>
      <c r="R39" t="n">
        <v>713102.337081</v>
      </c>
      <c r="S39" t="n">
        <v>14980.630695</v>
      </c>
      <c r="T39" t="n">
        <v>6299.897453</v>
      </c>
      <c r="U39" t="n">
        <v>713102.337081</v>
      </c>
      <c r="V39" t="n">
        <v>713102.337081</v>
      </c>
      <c r="W39" t="n">
        <v>14980.630695</v>
      </c>
      <c r="X39" t="n">
        <v>14980.630695</v>
      </c>
      <c r="Y39" t="n">
        <v>6299.897453</v>
      </c>
      <c r="Z39" t="n">
        <v>6299.897453</v>
      </c>
      <c r="AA39" t="n">
        <v>16089.109389</v>
      </c>
      <c r="AB39" t="n">
        <v>754975.060388</v>
      </c>
    </row>
    <row r="40">
      <c r="A40" t="n">
        <v>36</v>
      </c>
      <c r="B40" t="inlineStr">
        <is>
          <t>Other mammals</t>
        </is>
      </c>
      <c r="C40" t="inlineStr">
        <is>
          <t>Regular</t>
        </is>
      </c>
      <c r="D40" t="n">
        <v>3.922805246334676</v>
      </c>
      <c r="E40" t="n">
        <v>0.01064638783269962</v>
      </c>
      <c r="F40" t="n">
        <v>0.06800000000000006</v>
      </c>
      <c r="G40" t="n">
        <v>0.0158</v>
      </c>
      <c r="H40" t="n">
        <v>0.0001</v>
      </c>
      <c r="I40" t="n">
        <v>140.953883</v>
      </c>
      <c r="J40" t="n">
        <v>804.919552</v>
      </c>
      <c r="K40" t="n">
        <v>346.60742</v>
      </c>
      <c r="L40" t="n">
        <v>889.069003</v>
      </c>
      <c r="M40" t="n">
        <v>1874464.07965</v>
      </c>
      <c r="N40" t="n">
        <v>1885163.373911</v>
      </c>
      <c r="O40" t="n">
        <v>128191.109426</v>
      </c>
      <c r="P40" t="n">
        <v>2655425.222791</v>
      </c>
      <c r="Q40" t="n">
        <v>2655425.22278</v>
      </c>
      <c r="R40" t="n">
        <v>2655425.22278</v>
      </c>
      <c r="S40" t="n">
        <v>4066.093194</v>
      </c>
      <c r="T40" t="n">
        <v>1748.991526</v>
      </c>
      <c r="U40" t="n">
        <v>2655425.22278</v>
      </c>
      <c r="V40" t="n">
        <v>2655425.22278</v>
      </c>
      <c r="W40" t="n">
        <v>4066.093194</v>
      </c>
      <c r="X40" t="n">
        <v>4066.093194</v>
      </c>
      <c r="Y40" t="n">
        <v>1748.991526</v>
      </c>
      <c r="Z40" t="n">
        <v>1748.991526</v>
      </c>
      <c r="AA40" t="n">
        <v>4302.546937</v>
      </c>
      <c r="AB40" t="n">
        <v>2858734.731157</v>
      </c>
    </row>
    <row r="41">
      <c r="A41" t="n">
        <v>37</v>
      </c>
      <c r="B41" t="inlineStr">
        <is>
          <t>Marine turtles</t>
        </is>
      </c>
      <c r="C41" t="inlineStr">
        <is>
          <t>Regular</t>
        </is>
      </c>
      <c r="D41" t="n">
        <v>2.972461641294619</v>
      </c>
      <c r="E41" t="n">
        <v>0.02857142857142857</v>
      </c>
      <c r="F41" t="n">
        <v>0.5029999999999999</v>
      </c>
      <c r="G41" t="n">
        <v>0.0002</v>
      </c>
      <c r="H41" t="n">
        <v>0.0001</v>
      </c>
      <c r="I41" t="n">
        <v>140.953883</v>
      </c>
      <c r="J41" t="n">
        <v>92.36817600000001</v>
      </c>
      <c r="K41" t="n">
        <v>52.240669</v>
      </c>
      <c r="L41" t="n">
        <v>644.432921</v>
      </c>
      <c r="M41" t="n">
        <v>94248.914883</v>
      </c>
      <c r="N41" t="n">
        <v>92415.442283</v>
      </c>
      <c r="O41" t="n">
        <v>46484.967468</v>
      </c>
      <c r="P41" t="n">
        <v>154693.451843</v>
      </c>
      <c r="Q41" t="n">
        <v>154693.451843</v>
      </c>
      <c r="R41" t="n">
        <v>154693.451843</v>
      </c>
      <c r="S41" t="n">
        <v>919.1551920000001</v>
      </c>
      <c r="T41" t="n">
        <v>375.501358</v>
      </c>
      <c r="U41" t="n">
        <v>154693.451843</v>
      </c>
      <c r="V41" t="n">
        <v>154693.451843</v>
      </c>
      <c r="W41" t="n">
        <v>919.1551920000001</v>
      </c>
      <c r="X41" t="n">
        <v>919.1551920000001</v>
      </c>
      <c r="Y41" t="n">
        <v>375.501358</v>
      </c>
      <c r="Z41" t="n">
        <v>375.501358</v>
      </c>
      <c r="AA41" t="n">
        <v>964.229331</v>
      </c>
      <c r="AB41" t="n">
        <v>171169.874667</v>
      </c>
    </row>
    <row r="42">
      <c r="A42" t="n">
        <v>38</v>
      </c>
      <c r="B42" t="inlineStr">
        <is>
          <t>Detritus</t>
        </is>
      </c>
      <c r="C42" t="inlineStr">
        <is>
          <t>DET</t>
        </is>
      </c>
      <c r="D42" t="n">
        <v>1</v>
      </c>
      <c r="E42" t="n">
        <v>1</v>
      </c>
      <c r="F42" t="n">
        <v>1</v>
      </c>
      <c r="G42" t="n">
        <v>100</v>
      </c>
      <c r="H42" t="n">
        <v>0</v>
      </c>
      <c r="I42" t="n">
        <v>140.953883</v>
      </c>
      <c r="J42" t="n">
        <v>1</v>
      </c>
      <c r="K42" t="n">
        <v>1</v>
      </c>
      <c r="L42" t="n">
        <v>1</v>
      </c>
      <c r="M42" t="n">
        <v>1</v>
      </c>
      <c r="N42" t="n">
        <v>0</v>
      </c>
      <c r="O42" t="n">
        <v>1</v>
      </c>
      <c r="P42" t="n">
        <v>0.981042</v>
      </c>
      <c r="Q42" t="n">
        <v>0.981042</v>
      </c>
      <c r="R42" t="n">
        <v>0.981042</v>
      </c>
      <c r="S42" t="n">
        <v>1.033244</v>
      </c>
      <c r="T42" t="n">
        <v>1.033688</v>
      </c>
      <c r="U42" t="n">
        <v>0.981042</v>
      </c>
      <c r="V42" t="n">
        <v>0.981042</v>
      </c>
      <c r="W42" t="n">
        <v>1.033244</v>
      </c>
      <c r="X42" t="n">
        <v>1.033244</v>
      </c>
      <c r="Y42" t="n">
        <v>1.033688</v>
      </c>
      <c r="Z42" t="n">
        <v>1.033688</v>
      </c>
      <c r="AA42" t="n">
        <v>1.034703</v>
      </c>
      <c r="AB42" t="n">
        <v>0.981042</v>
      </c>
    </row>
    <row r="43">
      <c r="A43" t="n">
        <v>39</v>
      </c>
      <c r="B43" t="inlineStr">
        <is>
          <t>diet_import</t>
        </is>
      </c>
      <c r="C43" t="inlineStr">
        <is>
          <t>Import</t>
        </is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n">
        <v>140.953883</v>
      </c>
      <c r="J43" t="n">
        <v>1</v>
      </c>
      <c r="K43" t="n">
        <v>1</v>
      </c>
      <c r="L43" t="n">
        <v>1</v>
      </c>
      <c r="M43" t="n">
        <v>1</v>
      </c>
      <c r="N43" t="n">
        <v>0</v>
      </c>
      <c r="O43" t="n">
        <v>0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W43" t="n">
        <v>1</v>
      </c>
      <c r="Y43" t="n">
        <v>1</v>
      </c>
      <c r="AA43" t="n">
        <v>1</v>
      </c>
      <c r="AB4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1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18" t="inlineStr">
        <is>
          <t>year</t>
        </is>
      </c>
      <c r="B3" s="18" t="inlineStr">
        <is>
          <t>npp_antoinemorel_tC_yr</t>
        </is>
      </c>
      <c r="C3" s="18" t="inlineStr">
        <is>
          <t>npp_vgpm_tC_yr</t>
        </is>
      </c>
      <c r="D3" s="18" t="inlineStr">
        <is>
          <t>npp_eppley_tC_yr</t>
        </is>
      </c>
      <c r="E3" s="18" t="inlineStr">
        <is>
          <t>npp_cbpm_tC_yr</t>
        </is>
      </c>
      <c r="F3" s="18" t="inlineStr">
        <is>
          <t>npp_cafe_tC_yr</t>
        </is>
      </c>
      <c r="G3" s="18" t="inlineStr">
        <is>
          <t>ens_median_tC_yr</t>
        </is>
      </c>
      <c r="H3" s="18" t="inlineStr">
        <is>
          <t>ens_min_tC_yr</t>
        </is>
      </c>
      <c r="I3" s="18" t="inlineStr">
        <is>
          <t>ens_max_tC_yr</t>
        </is>
      </c>
      <c r="J3" s="18" t="inlineStr">
        <is>
          <t>status</t>
        </is>
      </c>
      <c r="K3" s="18" t="inlineStr">
        <is>
          <t>reason</t>
        </is>
      </c>
      <c r="L3" s="18" t="inlineStr">
        <is>
          <t>provenance</t>
        </is>
      </c>
      <c r="M3" s="18" t="inlineStr">
        <is>
          <t>n_models</t>
        </is>
      </c>
      <c r="N3" s="18" t="inlineStr">
        <is>
          <t>available_models</t>
        </is>
      </c>
      <c r="O3" s="18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762730127.2175671</v>
      </c>
      <c r="G52" t="n">
        <v>762730127.2175671</v>
      </c>
      <c r="H52" t="n">
        <v>762730127.2175671</v>
      </c>
      <c r="I52" t="n">
        <v>762730127.2175671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786301903.8927914</v>
      </c>
      <c r="G53" t="n">
        <v>786301903.8927914</v>
      </c>
      <c r="H53" t="n">
        <v>786301903.8927914</v>
      </c>
      <c r="I53" t="n">
        <v>786301903.8927914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805465267.1698498</v>
      </c>
      <c r="G54" t="n">
        <v>805465267.1698498</v>
      </c>
      <c r="H54" t="n">
        <v>805465267.1698498</v>
      </c>
      <c r="I54" t="n">
        <v>805465267.1698498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821821864.7807221</v>
      </c>
      <c r="G55" t="n">
        <v>821821864.7807221</v>
      </c>
      <c r="H55" t="n">
        <v>821821864.7807221</v>
      </c>
      <c r="I55" t="n">
        <v>821821864.7807221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818801505.684653</v>
      </c>
      <c r="G56" t="n">
        <v>818801505.684653</v>
      </c>
      <c r="H56" t="n">
        <v>818801505.684653</v>
      </c>
      <c r="I56" t="n">
        <v>818801505.684653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849739848.7979212</v>
      </c>
      <c r="C57" t="n">
        <v>602126216.880752</v>
      </c>
      <c r="D57" t="n">
        <v>1072193836.83449</v>
      </c>
      <c r="E57" t="n">
        <v>908560250.9895586</v>
      </c>
      <c r="F57" t="n">
        <v>713897257.0057914</v>
      </c>
      <c r="G57" t="n">
        <v>849739848.7979212</v>
      </c>
      <c r="H57" t="n">
        <v>602126216.880752</v>
      </c>
      <c r="I57" t="n">
        <v>1072193836.83449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848819914.5030699</v>
      </c>
      <c r="C58" t="n">
        <v>611990671.2523291</v>
      </c>
      <c r="D58" t="n">
        <v>1052419547.592666</v>
      </c>
      <c r="E58" t="n">
        <v>926881086.9577328</v>
      </c>
      <c r="F58" t="n">
        <v>679997884.2560726</v>
      </c>
      <c r="G58" t="n">
        <v>848819914.5030699</v>
      </c>
      <c r="H58" t="n">
        <v>611990671.2523291</v>
      </c>
      <c r="I58" t="n">
        <v>1052419547.592666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825883246.2400607</v>
      </c>
      <c r="C59" t="n">
        <v>600333261.0875763</v>
      </c>
      <c r="D59" t="n">
        <v>1043110359.099023</v>
      </c>
      <c r="E59" t="n">
        <v>877240267.425997</v>
      </c>
      <c r="F59" t="n">
        <v>661178090.8075349</v>
      </c>
      <c r="G59" t="n">
        <v>825883246.2400607</v>
      </c>
      <c r="H59" t="n">
        <v>600333261.0875763</v>
      </c>
      <c r="I59" t="n">
        <v>1043110359.099023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829793479.5800862</v>
      </c>
      <c r="C60" t="n">
        <v>587087364.2330979</v>
      </c>
      <c r="D60" t="n">
        <v>1040140308.607266</v>
      </c>
      <c r="E60" t="n">
        <v>890211165.2820171</v>
      </c>
      <c r="F60" t="n">
        <v>669290165.2178687</v>
      </c>
      <c r="G60" t="n">
        <v>829793479.5800862</v>
      </c>
      <c r="H60" t="n">
        <v>587087364.2330979</v>
      </c>
      <c r="I60" t="n">
        <v>1040140308.607266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842552687.5912061</v>
      </c>
      <c r="C61" t="n">
        <v>614211881.1163784</v>
      </c>
      <c r="D61" t="n">
        <v>1068275514.869114</v>
      </c>
      <c r="E61" t="n">
        <v>879444108.5777674</v>
      </c>
      <c r="F61" t="n">
        <v>670197208.8179662</v>
      </c>
      <c r="G61" t="n">
        <v>842552687.5912061</v>
      </c>
      <c r="H61" t="n">
        <v>614211881.1163784</v>
      </c>
      <c r="I61" t="n">
        <v>1068275514.869114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834805142.49043</v>
      </c>
      <c r="C62" t="n">
        <v>612210430.9113274</v>
      </c>
      <c r="D62" t="n">
        <v>1065952583.940214</v>
      </c>
      <c r="E62" t="n">
        <v>872491288.3934709</v>
      </c>
      <c r="F62" t="n">
        <v>663474650.6633369</v>
      </c>
      <c r="G62" t="n">
        <v>834805142.49043</v>
      </c>
      <c r="H62" t="n">
        <v>612210430.9113274</v>
      </c>
      <c r="I62" t="n">
        <v>1065952583.940214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836169340.6570677</v>
      </c>
      <c r="C63" t="n">
        <v>604564979.9689518</v>
      </c>
      <c r="D63" t="n">
        <v>1056444092.457385</v>
      </c>
      <c r="E63" t="n">
        <v>890036249.1410153</v>
      </c>
      <c r="F63" t="n">
        <v>640289499.3553935</v>
      </c>
      <c r="G63" t="n">
        <v>836169340.6570677</v>
      </c>
      <c r="H63" t="n">
        <v>604564979.9689518</v>
      </c>
      <c r="I63" t="n">
        <v>1056444092.457385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847680566.730783</v>
      </c>
      <c r="C64" t="n">
        <v>591565908.0278044</v>
      </c>
      <c r="D64" t="n">
        <v>1088001908.987172</v>
      </c>
      <c r="E64" t="n">
        <v>877932963.2465122</v>
      </c>
      <c r="F64" t="n">
        <v>616246070.4522116</v>
      </c>
      <c r="G64" t="n">
        <v>847680566.730783</v>
      </c>
      <c r="H64" t="n">
        <v>591565908.0278044</v>
      </c>
      <c r="I64" t="n">
        <v>1088001908.987172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819705575.5841926</v>
      </c>
      <c r="C65" t="n">
        <v>625928312.1204942</v>
      </c>
      <c r="D65" t="n">
        <v>1051998579.722854</v>
      </c>
      <c r="E65" t="n">
        <v>876872043.2534138</v>
      </c>
      <c r="F65" t="n">
        <v>642196302.0848556</v>
      </c>
      <c r="G65" t="n">
        <v>819705575.5841926</v>
      </c>
      <c r="H65" t="n">
        <v>625928312.1204942</v>
      </c>
      <c r="I65" t="n">
        <v>1051998579.722854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794581376.4256303</v>
      </c>
      <c r="C66" t="n">
        <v>565137229.3116368</v>
      </c>
      <c r="D66" t="n">
        <v>1021142728.900364</v>
      </c>
      <c r="E66" t="n">
        <v>850481470.0011201</v>
      </c>
      <c r="F66" t="n">
        <v>626219369.3954555</v>
      </c>
      <c r="G66" t="n">
        <v>794581376.4256303</v>
      </c>
      <c r="H66" t="n">
        <v>565137229.3116368</v>
      </c>
      <c r="I66" t="n">
        <v>1021142728.900364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802058080.4486796</v>
      </c>
      <c r="C67" t="n">
        <v>589453379.2204536</v>
      </c>
      <c r="D67" t="n">
        <v>1053680148.164961</v>
      </c>
      <c r="E67" t="n">
        <v>856279698.708218</v>
      </c>
      <c r="F67" t="n">
        <v>616971484.8724502</v>
      </c>
      <c r="G67" t="n">
        <v>802058080.4486796</v>
      </c>
      <c r="H67" t="n">
        <v>589453379.2204536</v>
      </c>
      <c r="I67" t="n">
        <v>1053680148.164961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804866220.6545502</v>
      </c>
      <c r="C68" t="n">
        <v>585276783.5130209</v>
      </c>
      <c r="D68" t="n">
        <v>1013752195.396637</v>
      </c>
      <c r="E68" t="n">
        <v>861871636.8734862</v>
      </c>
      <c r="F68" t="n">
        <v>653632357.2928101</v>
      </c>
      <c r="G68" t="n">
        <v>804866220.6545502</v>
      </c>
      <c r="H68" t="n">
        <v>585276783.5130209</v>
      </c>
      <c r="I68" t="n">
        <v>1013752195.396637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820471171.8437567</v>
      </c>
      <c r="C69" t="n">
        <v>570655990.5773482</v>
      </c>
      <c r="D69" t="n">
        <v>1023190416.243628</v>
      </c>
      <c r="E69" t="n">
        <v>863160750.7088088</v>
      </c>
      <c r="F69" t="n">
        <v>643540830.4155337</v>
      </c>
      <c r="G69" t="n">
        <v>820471171.8437567</v>
      </c>
      <c r="H69" t="n">
        <v>570655990.5773482</v>
      </c>
      <c r="I69" t="n">
        <v>1023190416.243628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849720471.7117414</v>
      </c>
      <c r="C70" t="n">
        <v>599709709.0542985</v>
      </c>
      <c r="D70" t="n">
        <v>1097364857.523421</v>
      </c>
      <c r="E70" t="n">
        <v>877177092.2867509</v>
      </c>
      <c r="F70" t="n">
        <v>634401604.6203098</v>
      </c>
      <c r="G70" t="n">
        <v>849720471.7117414</v>
      </c>
      <c r="H70" t="n">
        <v>599709709.0542985</v>
      </c>
      <c r="I70" t="n">
        <v>1097364857.523421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849347855.4120202</v>
      </c>
      <c r="C71" t="n">
        <v>596910979.8169287</v>
      </c>
      <c r="D71" t="n">
        <v>1079548623.702166</v>
      </c>
      <c r="E71" t="n">
        <v>852872649.3494724</v>
      </c>
      <c r="F71" t="n">
        <v>635152486.9900841</v>
      </c>
      <c r="G71" t="n">
        <v>849347855.4120202</v>
      </c>
      <c r="H71" t="n">
        <v>596910979.8169287</v>
      </c>
      <c r="I71" t="n">
        <v>1079548623.702166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836945749.6110218</v>
      </c>
      <c r="C72" t="n">
        <v>572629686.4373745</v>
      </c>
      <c r="D72" t="n">
        <v>1023969808.102137</v>
      </c>
      <c r="E72" t="n">
        <v>849654682.6907592</v>
      </c>
      <c r="F72" t="n">
        <v>617382742.6447375</v>
      </c>
      <c r="G72" t="n">
        <v>836945749.6110218</v>
      </c>
      <c r="H72" t="n">
        <v>572629686.4373745</v>
      </c>
      <c r="I72" t="n">
        <v>1023969808.102137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839939773.3415867</v>
      </c>
      <c r="C73" t="n">
        <v>569536167.7037263</v>
      </c>
      <c r="D73" t="n">
        <v>1045081739.728972</v>
      </c>
      <c r="E73" t="n">
        <v>865988503.4074858</v>
      </c>
      <c r="F73" t="n">
        <v>587423966.1984771</v>
      </c>
      <c r="G73" t="n">
        <v>839939773.3415867</v>
      </c>
      <c r="H73" t="n">
        <v>569536167.7037263</v>
      </c>
      <c r="I73" t="n">
        <v>1045081739.728972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2026-09-11T00:04:39Z</dcterms:created>
  <dcterms:modified xsi:type="dcterms:W3CDTF">2026-09-11T00:04:43Z</dcterms:modified>
</cp:coreProperties>
</file>